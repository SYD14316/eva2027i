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SOPORTEYDESARROLLO\Documents\MEGA\test.evaluaciones.umg.edu.mx\eva2025ii\Documentos\Informacion\Bachillerato\"/>
    </mc:Choice>
  </mc:AlternateContent>
  <xr:revisionPtr revIDLastSave="0" documentId="13_ncr:1_{5F6D5F35-62B8-471D-B664-9B709C0BB8D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ja1" sheetId="2" r:id="rId1"/>
    <sheet name="Hoja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2" i="3"/>
  <c r="J2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3" i="3"/>
</calcChain>
</file>

<file path=xl/sharedStrings.xml><?xml version="1.0" encoding="utf-8"?>
<sst xmlns="http://schemas.openxmlformats.org/spreadsheetml/2006/main" count="2043" uniqueCount="158">
  <si>
    <t>Nível</t>
  </si>
  <si>
    <t>BACHILLERATO</t>
  </si>
  <si>
    <t>Carrera</t>
  </si>
  <si>
    <t>ADMINISTRACIÓN 2021</t>
  </si>
  <si>
    <t>ADMINISTRACIÓN 2023</t>
  </si>
  <si>
    <t>COMUNICACIÓN 2021</t>
  </si>
  <si>
    <t>COMUNICACIÓN 2023</t>
  </si>
  <si>
    <t>DISEÑO GRÁFICO 2021</t>
  </si>
  <si>
    <t>DISEÑO GRÁFICO 2023</t>
  </si>
  <si>
    <t>ELECTRÓNICA 2020</t>
  </si>
  <si>
    <t>ELECTRÓNICA 2023</t>
  </si>
  <si>
    <t>HIGIENE Y SALUD COMUNITARIA 2021</t>
  </si>
  <si>
    <t>HIGIENE Y SALUD COMUNITARIA 2023</t>
  </si>
  <si>
    <t>TRONCO COMÚN 2021</t>
  </si>
  <si>
    <t>TRONCO COMÚN 2023</t>
  </si>
  <si>
    <t>TRONCO COMÚN 2023A</t>
  </si>
  <si>
    <t>Grupo</t>
  </si>
  <si>
    <t>Nombre</t>
  </si>
  <si>
    <t>RAMIREZ ORTIZ LUIS ALFONSO</t>
  </si>
  <si>
    <t>RIOS CORONADO VERONICA</t>
  </si>
  <si>
    <t>SANCHEZ DIAZ DURAN VERONICA AVRIL</t>
  </si>
  <si>
    <t>GRAJEDA ALVARADO ANA ISABEL</t>
  </si>
  <si>
    <t>ARANA RAMIREZ MONICA CECILIA</t>
  </si>
  <si>
    <t>SANTOS JIMENEZ FAUSTO VINICIO</t>
  </si>
  <si>
    <t>ALONSO OROZCO LETICIA SARAHI</t>
  </si>
  <si>
    <t>HERNANDEZ NAVARRO ROBERTO</t>
  </si>
  <si>
    <t>AVILA TORRES MANUEL ANDRES</t>
  </si>
  <si>
    <t>PONCE LEMUS YAZMIN</t>
  </si>
  <si>
    <t xml:space="preserve">JIMENEZ HERNANDEZ DULCE ADEI </t>
  </si>
  <si>
    <t>LOPEZ ORTEGA SALVADOR</t>
  </si>
  <si>
    <t>RIVAS GONZALEZ MARIO ALBERTO</t>
  </si>
  <si>
    <t>BECERRA GONZALEZ KIMBERLY CATALINA</t>
  </si>
  <si>
    <t>ESPARZA ESTRADA CARLOS ISMAEL</t>
  </si>
  <si>
    <t>GUZMAN VERA MOISES GREGORIO</t>
  </si>
  <si>
    <t>JAUREGUI MORENO NIDIA</t>
  </si>
  <si>
    <t>RUANOVA LABRA FERNANDO</t>
  </si>
  <si>
    <t>VAZQUEZ GONZALEZ JOSE VALENTIN</t>
  </si>
  <si>
    <t>ORTEGA RUA ANA MATILDE</t>
  </si>
  <si>
    <t>ARELLANO LOPEZ CESAR</t>
  </si>
  <si>
    <t>MIGES MARIN EVARISTO CARLOS</t>
  </si>
  <si>
    <t>ALZAGA SALAS MARIANA NAYELI</t>
  </si>
  <si>
    <t>GUTIERREZ MEDINA PAOLA CAROLINA</t>
  </si>
  <si>
    <t>RODRIGUEZ CADENA SANDRA LUZ</t>
  </si>
  <si>
    <t>HERNANDEZ NAVARRO ULISES</t>
  </si>
  <si>
    <t>CORTES MORA FERNANDO</t>
  </si>
  <si>
    <t>MERCADO BRIZUELA TERESA ISABEL</t>
  </si>
  <si>
    <t>LOPEZ HIDALGO MARIO ALBERTO</t>
  </si>
  <si>
    <t>CANO DE DIOS ANDREA GORETTI</t>
  </si>
  <si>
    <t>Materia</t>
  </si>
  <si>
    <t>MATEMÁTICAS FINANCIERAS II</t>
  </si>
  <si>
    <t>COMUNICACIÓN DE LA EMPRESA</t>
  </si>
  <si>
    <t>PROYECTO EMPRENDEDOR</t>
  </si>
  <si>
    <t>MERCADOTECNIA</t>
  </si>
  <si>
    <t>LEGALIDAD EMPRESARIAL</t>
  </si>
  <si>
    <t>COMUNICACIÓN ORGANIZACIONAL</t>
  </si>
  <si>
    <t>PRODUCCIÓN AUDIOVISUAL</t>
  </si>
  <si>
    <t>PROBABILIDAD Y ESTADISTICA II</t>
  </si>
  <si>
    <t>PUBLICIDAD Y PROPAGANDA</t>
  </si>
  <si>
    <t>DISEÑO GRÁFICO</t>
  </si>
  <si>
    <t>DISEÑO DE PRODUCTO SUSTENTABLE</t>
  </si>
  <si>
    <t>PRODUCTOS DE DIFUSIÓN MASIVA</t>
  </si>
  <si>
    <t>TEORÍA DEL COLOR</t>
  </si>
  <si>
    <t>TIPOGRAFÍA Y PRODUCTOS EDITORIALES</t>
  </si>
  <si>
    <t>INTRODUCCIÓN AL CONTROL INDUSTRIAL</t>
  </si>
  <si>
    <t>INTRODUCCIÓN AL DISEÑO INDUSTRIAL E IMPRESIÓN 3D</t>
  </si>
  <si>
    <t xml:space="preserve">CÁLCULO INTEGRAL </t>
  </si>
  <si>
    <t>ANÁLISIS DE CIRCUITOS ANALÓGICOS</t>
  </si>
  <si>
    <t>SEMICONDUCTORES</t>
  </si>
  <si>
    <t>CUIDADO DEL PACIENTE GERIÁTRICO</t>
  </si>
  <si>
    <t>TÉCNICAS CLÍNICAS II</t>
  </si>
  <si>
    <t>SALUD PÚBLICA</t>
  </si>
  <si>
    <t>NUTRICIÓN</t>
  </si>
  <si>
    <t>ECOLOGÍA Y MEDIO AMBIENTE</t>
  </si>
  <si>
    <t>FILOSOFÍA</t>
  </si>
  <si>
    <t>TALLER DE INTEGRACIÓN SOCIAL II</t>
  </si>
  <si>
    <t>ETIMOLOGÍAS GRECOLATINAS II</t>
  </si>
  <si>
    <t>SOCIOLOGÍA II</t>
  </si>
  <si>
    <t>ACTIVIDADES CULTURALES Y DEPORTIVAS VI</t>
  </si>
  <si>
    <t>PSICOLOGÍA II</t>
  </si>
  <si>
    <t>HISTORIA UNIVERSAL CONTEMPORÁNEA</t>
  </si>
  <si>
    <t>LENGUA ADICIONAL AL ESPAÑOL VI</t>
  </si>
  <si>
    <t>MATEMÁTICAS IV</t>
  </si>
  <si>
    <t>FÍSICA II</t>
  </si>
  <si>
    <t>BIOLOGÍA II.</t>
  </si>
  <si>
    <t xml:space="preserve">ACTIVIDADES CULTURALES Y DEPORTIVAS IV </t>
  </si>
  <si>
    <t>ORIENTACIÓN VOCACIONAL Y PROFESIONAL II</t>
  </si>
  <si>
    <t>LITERATURA II</t>
  </si>
  <si>
    <t>HISTORIA DE MÉXICO II.</t>
  </si>
  <si>
    <t>TALLER DE FORMACIÓN HUMANA Y CRISTIANA II</t>
  </si>
  <si>
    <t>INGLÉS IV</t>
  </si>
  <si>
    <t>ÉTICA II</t>
  </si>
  <si>
    <t>MATEMÁTICAS II</t>
  </si>
  <si>
    <t>INFORMÁTICA II</t>
  </si>
  <si>
    <t>INTRODUCCIÓN A LA ORIENTACIÓN VOCACIONAL II</t>
  </si>
  <si>
    <t>TALLER DE INICIACIÓN HUMANA Y CRISTIANA II</t>
  </si>
  <si>
    <t>INTRODUCCIÓN A LAS CIENCIAS SOCIALES.</t>
  </si>
  <si>
    <t>TALLER DE LECTURA Y REDACCIÓN II</t>
  </si>
  <si>
    <t>QUÍMICA II</t>
  </si>
  <si>
    <t>ACTIVIDADES CULTURALES Y DEPORTIVAS II</t>
  </si>
  <si>
    <t>INGLÉS II</t>
  </si>
  <si>
    <t>Sexo</t>
  </si>
  <si>
    <t>MASCULINO</t>
  </si>
  <si>
    <t>FEMENINO</t>
  </si>
  <si>
    <t>B MATFIN B'</t>
  </si>
  <si>
    <t>B MATFIN A'</t>
  </si>
  <si>
    <t>B ESTADISB'</t>
  </si>
  <si>
    <t>B ESTADISA'</t>
  </si>
  <si>
    <t>B6° BIL FR'</t>
  </si>
  <si>
    <t>B4° 2B-II1'</t>
  </si>
  <si>
    <t>B4° 2B-II2'</t>
  </si>
  <si>
    <t>B4° 3B-II1'</t>
  </si>
  <si>
    <t>B4° 3B-II2'</t>
  </si>
  <si>
    <t>B4° 4A-II1'</t>
  </si>
  <si>
    <t>B4° 4A-II2'</t>
  </si>
  <si>
    <t>B2°BIL ING'</t>
  </si>
  <si>
    <t>B CALINTE'</t>
  </si>
  <si>
    <t>B6° 3A-II'</t>
  </si>
  <si>
    <t>B6° 3B-II'</t>
  </si>
  <si>
    <t>B6° 4A-II'</t>
  </si>
  <si>
    <t>B6° 4B-II'</t>
  </si>
  <si>
    <t>B4° 3A-II'</t>
  </si>
  <si>
    <t>B4°BIL FR'</t>
  </si>
  <si>
    <t>B2° 2A-II'</t>
  </si>
  <si>
    <t>B2° 2B-II'</t>
  </si>
  <si>
    <t>B2° 3A-II'</t>
  </si>
  <si>
    <t>B2° 3B-II'</t>
  </si>
  <si>
    <t>B2°BIL FR'</t>
  </si>
  <si>
    <t>B 32A'</t>
  </si>
  <si>
    <t>B 32B'</t>
  </si>
  <si>
    <t>B 22A'</t>
  </si>
  <si>
    <t>B 22B'</t>
  </si>
  <si>
    <t>B 31A'</t>
  </si>
  <si>
    <t>B 31B'</t>
  </si>
  <si>
    <t>B 21A'</t>
  </si>
  <si>
    <t>B 21B'</t>
  </si>
  <si>
    <t>B 331'</t>
  </si>
  <si>
    <t>B 332'</t>
  </si>
  <si>
    <t>B 333'</t>
  </si>
  <si>
    <t>B 334'</t>
  </si>
  <si>
    <t>B 221'</t>
  </si>
  <si>
    <t>B 222'</t>
  </si>
  <si>
    <t>B 223'</t>
  </si>
  <si>
    <t>B 224'</t>
  </si>
  <si>
    <t>B 225'</t>
  </si>
  <si>
    <t>B 111'</t>
  </si>
  <si>
    <t>B 112'</t>
  </si>
  <si>
    <t>B 113'</t>
  </si>
  <si>
    <t>B 114'</t>
  </si>
  <si>
    <t>B 115'</t>
  </si>
  <si>
    <t>B 34'</t>
  </si>
  <si>
    <t>B 24'</t>
  </si>
  <si>
    <t>B 33'</t>
  </si>
  <si>
    <t>B 23'</t>
  </si>
  <si>
    <t>B 35'</t>
  </si>
  <si>
    <t>B 25'</t>
  </si>
  <si>
    <t>id</t>
  </si>
  <si>
    <t>sello</t>
  </si>
  <si>
    <t>INSERT INTO profesores (id,nivel,carrera,grupo,nombre,materia,sexo,sello) VALUES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</si>
</sst>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9C17-682C-4412-9347-0E51923FF044}">
  <dimension ref="A1:F170"/>
  <sheetViews>
    <sheetView topLeftCell="A133" workbookViewId="0">
      <selection sqref="A1:F170"/>
    </sheetView>
  </sheetViews>
  <sheetFormatPr baseColWidth="10" defaultRowHeight="14.4" x14ac:dyDescent="0.3"/>
  <cols>
    <col min="1" max="1" width="13.5546875" customWidth="1"/>
    <col min="2" max="2" width="33" bestFit="1" customWidth="1"/>
    <col min="3" max="3" width="11" bestFit="1" customWidth="1"/>
    <col min="4" max="4" width="36.5546875" bestFit="1" customWidth="1"/>
    <col min="5" max="5" width="49.5546875" bestFit="1" customWidth="1"/>
    <col min="6" max="6" width="11.33203125" bestFit="1" customWidth="1"/>
  </cols>
  <sheetData>
    <row r="1" spans="1:6" x14ac:dyDescent="0.3">
      <c r="A1" t="s">
        <v>0</v>
      </c>
      <c r="B1" t="s">
        <v>2</v>
      </c>
      <c r="C1" t="s">
        <v>16</v>
      </c>
      <c r="D1" t="s">
        <v>17</v>
      </c>
      <c r="E1" t="s">
        <v>48</v>
      </c>
      <c r="F1" t="s">
        <v>100</v>
      </c>
    </row>
    <row r="2" spans="1:6" x14ac:dyDescent="0.3">
      <c r="A2" t="s">
        <v>1</v>
      </c>
      <c r="B2" t="s">
        <v>3</v>
      </c>
      <c r="C2" t="s">
        <v>103</v>
      </c>
      <c r="D2" t="s">
        <v>18</v>
      </c>
      <c r="E2" t="s">
        <v>49</v>
      </c>
      <c r="F2" t="s">
        <v>101</v>
      </c>
    </row>
    <row r="3" spans="1:6" x14ac:dyDescent="0.3">
      <c r="A3" t="s">
        <v>1</v>
      </c>
      <c r="B3" t="s">
        <v>3</v>
      </c>
      <c r="C3" t="s">
        <v>127</v>
      </c>
      <c r="D3" t="s">
        <v>18</v>
      </c>
      <c r="E3" t="s">
        <v>50</v>
      </c>
      <c r="F3" t="s">
        <v>101</v>
      </c>
    </row>
    <row r="4" spans="1:6" x14ac:dyDescent="0.3">
      <c r="A4" t="s">
        <v>1</v>
      </c>
      <c r="B4" t="s">
        <v>3</v>
      </c>
      <c r="C4" t="s">
        <v>127</v>
      </c>
      <c r="D4" t="s">
        <v>19</v>
      </c>
      <c r="E4" t="s">
        <v>51</v>
      </c>
      <c r="F4" t="s">
        <v>102</v>
      </c>
    </row>
    <row r="5" spans="1:6" x14ac:dyDescent="0.3">
      <c r="A5" t="s">
        <v>1</v>
      </c>
      <c r="B5" t="s">
        <v>3</v>
      </c>
      <c r="C5" t="s">
        <v>128</v>
      </c>
      <c r="D5" t="s">
        <v>18</v>
      </c>
      <c r="E5" t="s">
        <v>50</v>
      </c>
      <c r="F5" t="s">
        <v>101</v>
      </c>
    </row>
    <row r="6" spans="1:6" x14ac:dyDescent="0.3">
      <c r="A6" t="s">
        <v>1</v>
      </c>
      <c r="B6" t="s">
        <v>3</v>
      </c>
      <c r="C6" t="s">
        <v>128</v>
      </c>
      <c r="D6" t="s">
        <v>19</v>
      </c>
      <c r="E6" t="s">
        <v>51</v>
      </c>
      <c r="F6" t="s">
        <v>102</v>
      </c>
    </row>
    <row r="7" spans="1:6" x14ac:dyDescent="0.3">
      <c r="A7" t="s">
        <v>1</v>
      </c>
      <c r="B7" t="s">
        <v>3</v>
      </c>
      <c r="C7" t="s">
        <v>104</v>
      </c>
      <c r="D7" t="s">
        <v>19</v>
      </c>
      <c r="E7" t="s">
        <v>49</v>
      </c>
      <c r="F7" t="s">
        <v>102</v>
      </c>
    </row>
    <row r="8" spans="1:6" x14ac:dyDescent="0.3">
      <c r="A8" t="s">
        <v>1</v>
      </c>
      <c r="B8" t="s">
        <v>4</v>
      </c>
      <c r="C8" t="s">
        <v>129</v>
      </c>
      <c r="D8" t="s">
        <v>18</v>
      </c>
      <c r="E8" t="s">
        <v>52</v>
      </c>
      <c r="F8" t="s">
        <v>101</v>
      </c>
    </row>
    <row r="9" spans="1:6" x14ac:dyDescent="0.3">
      <c r="A9" t="s">
        <v>1</v>
      </c>
      <c r="B9" t="s">
        <v>4</v>
      </c>
      <c r="C9" t="s">
        <v>129</v>
      </c>
      <c r="D9" t="s">
        <v>19</v>
      </c>
      <c r="E9" t="s">
        <v>53</v>
      </c>
      <c r="F9" t="s">
        <v>102</v>
      </c>
    </row>
    <row r="10" spans="1:6" x14ac:dyDescent="0.3">
      <c r="A10" t="s">
        <v>1</v>
      </c>
      <c r="B10" t="s">
        <v>4</v>
      </c>
      <c r="C10" t="s">
        <v>130</v>
      </c>
      <c r="D10" t="s">
        <v>18</v>
      </c>
      <c r="E10" t="s">
        <v>52</v>
      </c>
      <c r="F10" t="s">
        <v>101</v>
      </c>
    </row>
    <row r="11" spans="1:6" x14ac:dyDescent="0.3">
      <c r="A11" t="s">
        <v>1</v>
      </c>
      <c r="B11" t="s">
        <v>4</v>
      </c>
      <c r="C11" t="s">
        <v>130</v>
      </c>
      <c r="D11" t="s">
        <v>19</v>
      </c>
      <c r="E11" t="s">
        <v>53</v>
      </c>
      <c r="F11" t="s">
        <v>102</v>
      </c>
    </row>
    <row r="12" spans="1:6" x14ac:dyDescent="0.3">
      <c r="A12" t="s">
        <v>1</v>
      </c>
      <c r="B12" t="s">
        <v>5</v>
      </c>
      <c r="C12" t="s">
        <v>149</v>
      </c>
      <c r="D12" t="s">
        <v>20</v>
      </c>
      <c r="E12" t="s">
        <v>54</v>
      </c>
      <c r="F12" t="s">
        <v>102</v>
      </c>
    </row>
    <row r="13" spans="1:6" x14ac:dyDescent="0.3">
      <c r="A13" t="s">
        <v>1</v>
      </c>
      <c r="B13" t="s">
        <v>5</v>
      </c>
      <c r="C13" t="s">
        <v>149</v>
      </c>
      <c r="D13" t="s">
        <v>20</v>
      </c>
      <c r="E13" t="s">
        <v>55</v>
      </c>
      <c r="F13" t="s">
        <v>102</v>
      </c>
    </row>
    <row r="14" spans="1:6" x14ac:dyDescent="0.3">
      <c r="A14" t="s">
        <v>1</v>
      </c>
      <c r="B14" t="s">
        <v>5</v>
      </c>
      <c r="C14" t="s">
        <v>105</v>
      </c>
      <c r="D14" t="s">
        <v>21</v>
      </c>
      <c r="E14" t="s">
        <v>56</v>
      </c>
      <c r="F14" t="s">
        <v>102</v>
      </c>
    </row>
    <row r="15" spans="1:6" x14ac:dyDescent="0.3">
      <c r="A15" t="s">
        <v>1</v>
      </c>
      <c r="B15" t="s">
        <v>6</v>
      </c>
      <c r="C15" t="s">
        <v>150</v>
      </c>
      <c r="D15" t="s">
        <v>22</v>
      </c>
      <c r="E15" t="s">
        <v>57</v>
      </c>
      <c r="F15" t="s">
        <v>102</v>
      </c>
    </row>
    <row r="16" spans="1:6" x14ac:dyDescent="0.3">
      <c r="A16" t="s">
        <v>1</v>
      </c>
      <c r="B16" t="s">
        <v>6</v>
      </c>
      <c r="C16" t="s">
        <v>150</v>
      </c>
      <c r="D16" t="s">
        <v>23</v>
      </c>
      <c r="E16" t="s">
        <v>58</v>
      </c>
      <c r="F16" t="s">
        <v>101</v>
      </c>
    </row>
    <row r="17" spans="1:6" x14ac:dyDescent="0.3">
      <c r="A17" t="s">
        <v>1</v>
      </c>
      <c r="B17" t="s">
        <v>7</v>
      </c>
      <c r="C17" t="s">
        <v>151</v>
      </c>
      <c r="D17" t="s">
        <v>24</v>
      </c>
      <c r="E17" t="s">
        <v>59</v>
      </c>
      <c r="F17" t="s">
        <v>102</v>
      </c>
    </row>
    <row r="18" spans="1:6" x14ac:dyDescent="0.3">
      <c r="A18" t="s">
        <v>1</v>
      </c>
      <c r="B18" t="s">
        <v>7</v>
      </c>
      <c r="C18" t="s">
        <v>151</v>
      </c>
      <c r="D18" t="s">
        <v>24</v>
      </c>
      <c r="E18" t="s">
        <v>60</v>
      </c>
      <c r="F18" t="s">
        <v>102</v>
      </c>
    </row>
    <row r="19" spans="1:6" x14ac:dyDescent="0.3">
      <c r="A19" t="s">
        <v>1</v>
      </c>
      <c r="B19" t="s">
        <v>7</v>
      </c>
      <c r="C19" t="s">
        <v>106</v>
      </c>
      <c r="D19" t="s">
        <v>25</v>
      </c>
      <c r="E19" t="s">
        <v>56</v>
      </c>
      <c r="F19" t="s">
        <v>101</v>
      </c>
    </row>
    <row r="20" spans="1:6" x14ac:dyDescent="0.3">
      <c r="A20" t="s">
        <v>1</v>
      </c>
      <c r="B20" t="s">
        <v>8</v>
      </c>
      <c r="C20" t="s">
        <v>152</v>
      </c>
      <c r="D20" t="s">
        <v>24</v>
      </c>
      <c r="E20" t="s">
        <v>61</v>
      </c>
      <c r="F20" t="s">
        <v>102</v>
      </c>
    </row>
    <row r="21" spans="1:6" x14ac:dyDescent="0.3">
      <c r="A21" t="s">
        <v>1</v>
      </c>
      <c r="B21" t="s">
        <v>8</v>
      </c>
      <c r="C21" t="s">
        <v>152</v>
      </c>
      <c r="D21" t="s">
        <v>24</v>
      </c>
      <c r="E21" t="s">
        <v>62</v>
      </c>
      <c r="F21" t="s">
        <v>102</v>
      </c>
    </row>
    <row r="22" spans="1:6" x14ac:dyDescent="0.3">
      <c r="A22" t="s">
        <v>1</v>
      </c>
      <c r="B22" t="s">
        <v>9</v>
      </c>
      <c r="C22" t="s">
        <v>153</v>
      </c>
      <c r="D22" t="s">
        <v>26</v>
      </c>
      <c r="E22" t="s">
        <v>63</v>
      </c>
      <c r="F22" t="s">
        <v>101</v>
      </c>
    </row>
    <row r="23" spans="1:6" x14ac:dyDescent="0.3">
      <c r="A23" t="s">
        <v>1</v>
      </c>
      <c r="B23" t="s">
        <v>9</v>
      </c>
      <c r="C23" t="s">
        <v>153</v>
      </c>
      <c r="D23" t="s">
        <v>26</v>
      </c>
      <c r="E23" t="s">
        <v>64</v>
      </c>
      <c r="F23" t="s">
        <v>101</v>
      </c>
    </row>
    <row r="24" spans="1:6" x14ac:dyDescent="0.3">
      <c r="A24" t="s">
        <v>1</v>
      </c>
      <c r="B24" t="s">
        <v>9</v>
      </c>
      <c r="C24" t="s">
        <v>115</v>
      </c>
      <c r="D24" t="s">
        <v>27</v>
      </c>
      <c r="E24" t="s">
        <v>65</v>
      </c>
      <c r="F24" t="s">
        <v>102</v>
      </c>
    </row>
    <row r="25" spans="1:6" x14ac:dyDescent="0.3">
      <c r="A25" t="s">
        <v>1</v>
      </c>
      <c r="B25" t="s">
        <v>10</v>
      </c>
      <c r="C25" t="s">
        <v>154</v>
      </c>
      <c r="D25" t="s">
        <v>26</v>
      </c>
      <c r="E25" t="s">
        <v>66</v>
      </c>
      <c r="F25" t="s">
        <v>101</v>
      </c>
    </row>
    <row r="26" spans="1:6" x14ac:dyDescent="0.3">
      <c r="A26" t="s">
        <v>1</v>
      </c>
      <c r="B26" t="s">
        <v>10</v>
      </c>
      <c r="C26" t="s">
        <v>154</v>
      </c>
      <c r="D26" t="s">
        <v>26</v>
      </c>
      <c r="E26" t="s">
        <v>67</v>
      </c>
      <c r="F26" t="s">
        <v>101</v>
      </c>
    </row>
    <row r="27" spans="1:6" x14ac:dyDescent="0.3">
      <c r="A27" t="s">
        <v>1</v>
      </c>
      <c r="B27" t="s">
        <v>11</v>
      </c>
      <c r="C27" t="s">
        <v>131</v>
      </c>
      <c r="D27" t="s">
        <v>28</v>
      </c>
      <c r="E27" t="s">
        <v>68</v>
      </c>
      <c r="F27" t="s">
        <v>102</v>
      </c>
    </row>
    <row r="28" spans="1:6" x14ac:dyDescent="0.3">
      <c r="A28" t="s">
        <v>1</v>
      </c>
      <c r="B28" t="s">
        <v>11</v>
      </c>
      <c r="C28" t="s">
        <v>131</v>
      </c>
      <c r="D28" t="s">
        <v>29</v>
      </c>
      <c r="E28" t="s">
        <v>69</v>
      </c>
      <c r="F28" t="s">
        <v>101</v>
      </c>
    </row>
    <row r="29" spans="1:6" x14ac:dyDescent="0.3">
      <c r="A29" t="s">
        <v>1</v>
      </c>
      <c r="B29" t="s">
        <v>11</v>
      </c>
      <c r="C29" t="s">
        <v>132</v>
      </c>
      <c r="D29" t="s">
        <v>28</v>
      </c>
      <c r="E29" t="s">
        <v>68</v>
      </c>
      <c r="F29" t="s">
        <v>102</v>
      </c>
    </row>
    <row r="30" spans="1:6" x14ac:dyDescent="0.3">
      <c r="A30" t="s">
        <v>1</v>
      </c>
      <c r="B30" t="s">
        <v>11</v>
      </c>
      <c r="C30" t="s">
        <v>132</v>
      </c>
      <c r="D30" t="s">
        <v>29</v>
      </c>
      <c r="E30" t="s">
        <v>69</v>
      </c>
      <c r="F30" t="s">
        <v>101</v>
      </c>
    </row>
    <row r="31" spans="1:6" x14ac:dyDescent="0.3">
      <c r="A31" t="s">
        <v>1</v>
      </c>
      <c r="B31" t="s">
        <v>12</v>
      </c>
      <c r="C31" t="s">
        <v>133</v>
      </c>
      <c r="D31" t="s">
        <v>28</v>
      </c>
      <c r="E31" t="s">
        <v>70</v>
      </c>
      <c r="F31" t="s">
        <v>102</v>
      </c>
    </row>
    <row r="32" spans="1:6" x14ac:dyDescent="0.3">
      <c r="A32" t="s">
        <v>1</v>
      </c>
      <c r="B32" t="s">
        <v>12</v>
      </c>
      <c r="C32" t="s">
        <v>133</v>
      </c>
      <c r="D32" t="s">
        <v>30</v>
      </c>
      <c r="E32" t="s">
        <v>71</v>
      </c>
      <c r="F32" t="s">
        <v>101</v>
      </c>
    </row>
    <row r="33" spans="1:6" x14ac:dyDescent="0.3">
      <c r="A33" t="s">
        <v>1</v>
      </c>
      <c r="B33" t="s">
        <v>12</v>
      </c>
      <c r="C33" t="s">
        <v>134</v>
      </c>
      <c r="D33" t="s">
        <v>28</v>
      </c>
      <c r="E33" t="s">
        <v>70</v>
      </c>
      <c r="F33" t="s">
        <v>102</v>
      </c>
    </row>
    <row r="34" spans="1:6" x14ac:dyDescent="0.3">
      <c r="A34" t="s">
        <v>1</v>
      </c>
      <c r="B34" t="s">
        <v>12</v>
      </c>
      <c r="C34" t="s">
        <v>134</v>
      </c>
      <c r="D34" t="s">
        <v>30</v>
      </c>
      <c r="E34" t="s">
        <v>71</v>
      </c>
      <c r="F34" t="s">
        <v>101</v>
      </c>
    </row>
    <row r="35" spans="1:6" x14ac:dyDescent="0.3">
      <c r="A35" t="s">
        <v>1</v>
      </c>
      <c r="B35" t="s">
        <v>13</v>
      </c>
      <c r="C35" t="s">
        <v>135</v>
      </c>
      <c r="D35" t="s">
        <v>31</v>
      </c>
      <c r="E35" t="s">
        <v>72</v>
      </c>
      <c r="F35" t="s">
        <v>102</v>
      </c>
    </row>
    <row r="36" spans="1:6" x14ac:dyDescent="0.3">
      <c r="A36" t="s">
        <v>1</v>
      </c>
      <c r="B36" t="s">
        <v>13</v>
      </c>
      <c r="C36" t="s">
        <v>135</v>
      </c>
      <c r="D36" t="s">
        <v>32</v>
      </c>
      <c r="E36" t="s">
        <v>73</v>
      </c>
      <c r="F36" t="s">
        <v>101</v>
      </c>
    </row>
    <row r="37" spans="1:6" x14ac:dyDescent="0.3">
      <c r="A37" t="s">
        <v>1</v>
      </c>
      <c r="B37" t="s">
        <v>13</v>
      </c>
      <c r="C37" t="s">
        <v>135</v>
      </c>
      <c r="D37" t="s">
        <v>32</v>
      </c>
      <c r="E37" t="s">
        <v>74</v>
      </c>
      <c r="F37" t="s">
        <v>101</v>
      </c>
    </row>
    <row r="38" spans="1:6" x14ac:dyDescent="0.3">
      <c r="A38" t="s">
        <v>1</v>
      </c>
      <c r="B38" t="s">
        <v>13</v>
      </c>
      <c r="C38" t="s">
        <v>135</v>
      </c>
      <c r="D38" t="s">
        <v>33</v>
      </c>
      <c r="E38" t="s">
        <v>75</v>
      </c>
      <c r="F38" t="s">
        <v>101</v>
      </c>
    </row>
    <row r="39" spans="1:6" x14ac:dyDescent="0.3">
      <c r="A39" t="s">
        <v>1</v>
      </c>
      <c r="B39" t="s">
        <v>13</v>
      </c>
      <c r="C39" t="s">
        <v>135</v>
      </c>
      <c r="D39" t="s">
        <v>34</v>
      </c>
      <c r="E39" t="s">
        <v>76</v>
      </c>
      <c r="F39" t="s">
        <v>102</v>
      </c>
    </row>
    <row r="40" spans="1:6" x14ac:dyDescent="0.3">
      <c r="A40" t="s">
        <v>1</v>
      </c>
      <c r="B40" t="s">
        <v>13</v>
      </c>
      <c r="C40" t="s">
        <v>135</v>
      </c>
      <c r="D40" t="s">
        <v>30</v>
      </c>
      <c r="E40" t="s">
        <v>77</v>
      </c>
      <c r="F40" t="s">
        <v>101</v>
      </c>
    </row>
    <row r="41" spans="1:6" x14ac:dyDescent="0.3">
      <c r="A41" t="s">
        <v>1</v>
      </c>
      <c r="B41" t="s">
        <v>13</v>
      </c>
      <c r="C41" t="s">
        <v>135</v>
      </c>
      <c r="D41" t="s">
        <v>35</v>
      </c>
      <c r="E41" t="s">
        <v>78</v>
      </c>
      <c r="F41" t="s">
        <v>101</v>
      </c>
    </row>
    <row r="42" spans="1:6" x14ac:dyDescent="0.3">
      <c r="A42" t="s">
        <v>1</v>
      </c>
      <c r="B42" t="s">
        <v>13</v>
      </c>
      <c r="C42" t="s">
        <v>135</v>
      </c>
      <c r="D42" t="s">
        <v>36</v>
      </c>
      <c r="E42" t="s">
        <v>79</v>
      </c>
      <c r="F42" t="s">
        <v>101</v>
      </c>
    </row>
    <row r="43" spans="1:6" x14ac:dyDescent="0.3">
      <c r="A43" t="s">
        <v>1</v>
      </c>
      <c r="B43" t="s">
        <v>13</v>
      </c>
      <c r="C43" t="s">
        <v>136</v>
      </c>
      <c r="D43" t="s">
        <v>31</v>
      </c>
      <c r="E43" t="s">
        <v>72</v>
      </c>
      <c r="F43" t="s">
        <v>102</v>
      </c>
    </row>
    <row r="44" spans="1:6" x14ac:dyDescent="0.3">
      <c r="A44" t="s">
        <v>1</v>
      </c>
      <c r="B44" t="s">
        <v>13</v>
      </c>
      <c r="C44" t="s">
        <v>136</v>
      </c>
      <c r="D44" t="s">
        <v>32</v>
      </c>
      <c r="E44" t="s">
        <v>73</v>
      </c>
      <c r="F44" t="s">
        <v>101</v>
      </c>
    </row>
    <row r="45" spans="1:6" x14ac:dyDescent="0.3">
      <c r="A45" t="s">
        <v>1</v>
      </c>
      <c r="B45" t="s">
        <v>13</v>
      </c>
      <c r="C45" t="s">
        <v>136</v>
      </c>
      <c r="D45" t="s">
        <v>32</v>
      </c>
      <c r="E45" t="s">
        <v>79</v>
      </c>
      <c r="F45" t="s">
        <v>101</v>
      </c>
    </row>
    <row r="46" spans="1:6" x14ac:dyDescent="0.3">
      <c r="A46" t="s">
        <v>1</v>
      </c>
      <c r="B46" t="s">
        <v>13</v>
      </c>
      <c r="C46" t="s">
        <v>136</v>
      </c>
      <c r="D46" t="s">
        <v>33</v>
      </c>
      <c r="E46" t="s">
        <v>75</v>
      </c>
      <c r="F46" t="s">
        <v>101</v>
      </c>
    </row>
    <row r="47" spans="1:6" x14ac:dyDescent="0.3">
      <c r="A47" t="s">
        <v>1</v>
      </c>
      <c r="B47" t="s">
        <v>13</v>
      </c>
      <c r="C47" t="s">
        <v>136</v>
      </c>
      <c r="D47" t="s">
        <v>33</v>
      </c>
      <c r="E47" t="s">
        <v>76</v>
      </c>
      <c r="F47" t="s">
        <v>101</v>
      </c>
    </row>
    <row r="48" spans="1:6" x14ac:dyDescent="0.3">
      <c r="A48" t="s">
        <v>1</v>
      </c>
      <c r="B48" t="s">
        <v>13</v>
      </c>
      <c r="C48" t="s">
        <v>136</v>
      </c>
      <c r="D48" t="s">
        <v>37</v>
      </c>
      <c r="E48" t="s">
        <v>74</v>
      </c>
      <c r="F48" t="s">
        <v>102</v>
      </c>
    </row>
    <row r="49" spans="1:6" x14ac:dyDescent="0.3">
      <c r="A49" t="s">
        <v>1</v>
      </c>
      <c r="B49" t="s">
        <v>13</v>
      </c>
      <c r="C49" t="s">
        <v>136</v>
      </c>
      <c r="D49" t="s">
        <v>30</v>
      </c>
      <c r="E49" t="s">
        <v>77</v>
      </c>
      <c r="F49" t="s">
        <v>101</v>
      </c>
    </row>
    <row r="50" spans="1:6" x14ac:dyDescent="0.3">
      <c r="A50" t="s">
        <v>1</v>
      </c>
      <c r="B50" t="s">
        <v>13</v>
      </c>
      <c r="C50" t="s">
        <v>136</v>
      </c>
      <c r="D50" t="s">
        <v>35</v>
      </c>
      <c r="E50" t="s">
        <v>78</v>
      </c>
      <c r="F50" t="s">
        <v>101</v>
      </c>
    </row>
    <row r="51" spans="1:6" x14ac:dyDescent="0.3">
      <c r="A51" t="s">
        <v>1</v>
      </c>
      <c r="B51" t="s">
        <v>13</v>
      </c>
      <c r="C51" t="s">
        <v>137</v>
      </c>
      <c r="D51" t="s">
        <v>38</v>
      </c>
      <c r="E51" t="s">
        <v>76</v>
      </c>
      <c r="F51" t="s">
        <v>101</v>
      </c>
    </row>
    <row r="52" spans="1:6" x14ac:dyDescent="0.3">
      <c r="A52" t="s">
        <v>1</v>
      </c>
      <c r="B52" t="s">
        <v>13</v>
      </c>
      <c r="C52" t="s">
        <v>137</v>
      </c>
      <c r="D52" t="s">
        <v>31</v>
      </c>
      <c r="E52" t="s">
        <v>72</v>
      </c>
      <c r="F52" t="s">
        <v>102</v>
      </c>
    </row>
    <row r="53" spans="1:6" x14ac:dyDescent="0.3">
      <c r="A53" t="s">
        <v>1</v>
      </c>
      <c r="B53" t="s">
        <v>13</v>
      </c>
      <c r="C53" t="s">
        <v>137</v>
      </c>
      <c r="D53" t="s">
        <v>32</v>
      </c>
      <c r="E53" t="s">
        <v>73</v>
      </c>
      <c r="F53" t="s">
        <v>101</v>
      </c>
    </row>
    <row r="54" spans="1:6" x14ac:dyDescent="0.3">
      <c r="A54" t="s">
        <v>1</v>
      </c>
      <c r="B54" t="s">
        <v>13</v>
      </c>
      <c r="C54" t="s">
        <v>137</v>
      </c>
      <c r="D54" t="s">
        <v>32</v>
      </c>
      <c r="E54" t="s">
        <v>79</v>
      </c>
      <c r="F54" t="s">
        <v>101</v>
      </c>
    </row>
    <row r="55" spans="1:6" x14ac:dyDescent="0.3">
      <c r="A55" t="s">
        <v>1</v>
      </c>
      <c r="B55" t="s">
        <v>13</v>
      </c>
      <c r="C55" t="s">
        <v>137</v>
      </c>
      <c r="D55" t="s">
        <v>33</v>
      </c>
      <c r="E55" t="s">
        <v>75</v>
      </c>
      <c r="F55" t="s">
        <v>101</v>
      </c>
    </row>
    <row r="56" spans="1:6" x14ac:dyDescent="0.3">
      <c r="A56" t="s">
        <v>1</v>
      </c>
      <c r="B56" t="s">
        <v>13</v>
      </c>
      <c r="C56" t="s">
        <v>137</v>
      </c>
      <c r="D56" t="s">
        <v>33</v>
      </c>
      <c r="E56" t="s">
        <v>74</v>
      </c>
      <c r="F56" t="s">
        <v>101</v>
      </c>
    </row>
    <row r="57" spans="1:6" x14ac:dyDescent="0.3">
      <c r="A57" t="s">
        <v>1</v>
      </c>
      <c r="B57" t="s">
        <v>13</v>
      </c>
      <c r="C57" t="s">
        <v>137</v>
      </c>
      <c r="D57" t="s">
        <v>30</v>
      </c>
      <c r="E57" t="s">
        <v>77</v>
      </c>
      <c r="F57" t="s">
        <v>101</v>
      </c>
    </row>
    <row r="58" spans="1:6" x14ac:dyDescent="0.3">
      <c r="A58" t="s">
        <v>1</v>
      </c>
      <c r="B58" t="s">
        <v>13</v>
      </c>
      <c r="C58" t="s">
        <v>137</v>
      </c>
      <c r="D58" t="s">
        <v>35</v>
      </c>
      <c r="E58" t="s">
        <v>78</v>
      </c>
      <c r="F58" t="s">
        <v>101</v>
      </c>
    </row>
    <row r="59" spans="1:6" x14ac:dyDescent="0.3">
      <c r="A59" t="s">
        <v>1</v>
      </c>
      <c r="B59" t="s">
        <v>13</v>
      </c>
      <c r="C59" t="s">
        <v>138</v>
      </c>
      <c r="D59" t="s">
        <v>31</v>
      </c>
      <c r="E59" t="s">
        <v>72</v>
      </c>
      <c r="F59" t="s">
        <v>102</v>
      </c>
    </row>
    <row r="60" spans="1:6" x14ac:dyDescent="0.3">
      <c r="A60" t="s">
        <v>1</v>
      </c>
      <c r="B60" t="s">
        <v>13</v>
      </c>
      <c r="C60" t="s">
        <v>138</v>
      </c>
      <c r="D60" t="s">
        <v>32</v>
      </c>
      <c r="E60" t="s">
        <v>73</v>
      </c>
      <c r="F60" t="s">
        <v>101</v>
      </c>
    </row>
    <row r="61" spans="1:6" x14ac:dyDescent="0.3">
      <c r="A61" t="s">
        <v>1</v>
      </c>
      <c r="B61" t="s">
        <v>13</v>
      </c>
      <c r="C61" t="s">
        <v>138</v>
      </c>
      <c r="D61" t="s">
        <v>32</v>
      </c>
      <c r="E61" t="s">
        <v>76</v>
      </c>
      <c r="F61" t="s">
        <v>101</v>
      </c>
    </row>
    <row r="62" spans="1:6" x14ac:dyDescent="0.3">
      <c r="A62" t="s">
        <v>1</v>
      </c>
      <c r="B62" t="s">
        <v>13</v>
      </c>
      <c r="C62" t="s">
        <v>138</v>
      </c>
      <c r="D62" t="s">
        <v>33</v>
      </c>
      <c r="E62" t="s">
        <v>75</v>
      </c>
      <c r="F62" t="s">
        <v>101</v>
      </c>
    </row>
    <row r="63" spans="1:6" x14ac:dyDescent="0.3">
      <c r="A63" t="s">
        <v>1</v>
      </c>
      <c r="B63" t="s">
        <v>13</v>
      </c>
      <c r="C63" t="s">
        <v>138</v>
      </c>
      <c r="D63" t="s">
        <v>39</v>
      </c>
      <c r="E63" t="s">
        <v>79</v>
      </c>
      <c r="F63" t="s">
        <v>101</v>
      </c>
    </row>
    <row r="64" spans="1:6" x14ac:dyDescent="0.3">
      <c r="A64" t="s">
        <v>1</v>
      </c>
      <c r="B64" t="s">
        <v>13</v>
      </c>
      <c r="C64" t="s">
        <v>138</v>
      </c>
      <c r="D64" t="s">
        <v>39</v>
      </c>
      <c r="E64" t="s">
        <v>74</v>
      </c>
      <c r="F64" t="s">
        <v>101</v>
      </c>
    </row>
    <row r="65" spans="1:6" x14ac:dyDescent="0.3">
      <c r="A65" t="s">
        <v>1</v>
      </c>
      <c r="B65" t="s">
        <v>13</v>
      </c>
      <c r="C65" t="s">
        <v>138</v>
      </c>
      <c r="D65" t="s">
        <v>30</v>
      </c>
      <c r="E65" t="s">
        <v>77</v>
      </c>
      <c r="F65" t="s">
        <v>101</v>
      </c>
    </row>
    <row r="66" spans="1:6" x14ac:dyDescent="0.3">
      <c r="A66" t="s">
        <v>1</v>
      </c>
      <c r="B66" t="s">
        <v>13</v>
      </c>
      <c r="C66" t="s">
        <v>138</v>
      </c>
      <c r="D66" t="s">
        <v>35</v>
      </c>
      <c r="E66" t="s">
        <v>78</v>
      </c>
      <c r="F66" t="s">
        <v>101</v>
      </c>
    </row>
    <row r="67" spans="1:6" x14ac:dyDescent="0.3">
      <c r="A67" t="s">
        <v>1</v>
      </c>
      <c r="B67" t="s">
        <v>13</v>
      </c>
      <c r="C67" t="s">
        <v>116</v>
      </c>
      <c r="D67" t="s">
        <v>40</v>
      </c>
      <c r="E67" t="s">
        <v>80</v>
      </c>
      <c r="F67" t="s">
        <v>102</v>
      </c>
    </row>
    <row r="68" spans="1:6" x14ac:dyDescent="0.3">
      <c r="A68" t="s">
        <v>1</v>
      </c>
      <c r="B68" t="s">
        <v>13</v>
      </c>
      <c r="C68" t="s">
        <v>117</v>
      </c>
      <c r="D68" t="s">
        <v>41</v>
      </c>
      <c r="E68" t="s">
        <v>80</v>
      </c>
      <c r="F68" t="s">
        <v>102</v>
      </c>
    </row>
    <row r="69" spans="1:6" x14ac:dyDescent="0.3">
      <c r="A69" t="s">
        <v>1</v>
      </c>
      <c r="B69" t="s">
        <v>13</v>
      </c>
      <c r="C69" t="s">
        <v>118</v>
      </c>
      <c r="D69" t="s">
        <v>42</v>
      </c>
      <c r="E69" t="s">
        <v>80</v>
      </c>
      <c r="F69" t="s">
        <v>102</v>
      </c>
    </row>
    <row r="70" spans="1:6" x14ac:dyDescent="0.3">
      <c r="A70" t="s">
        <v>1</v>
      </c>
      <c r="B70" t="s">
        <v>13</v>
      </c>
      <c r="C70" t="s">
        <v>119</v>
      </c>
      <c r="D70" t="s">
        <v>43</v>
      </c>
      <c r="E70" t="s">
        <v>80</v>
      </c>
      <c r="F70" t="s">
        <v>101</v>
      </c>
    </row>
    <row r="71" spans="1:6" x14ac:dyDescent="0.3">
      <c r="A71" t="s">
        <v>1</v>
      </c>
      <c r="B71" t="s">
        <v>13</v>
      </c>
      <c r="C71" t="s">
        <v>107</v>
      </c>
      <c r="D71" t="s">
        <v>20</v>
      </c>
      <c r="E71" t="s">
        <v>80</v>
      </c>
      <c r="F71" t="s">
        <v>102</v>
      </c>
    </row>
    <row r="72" spans="1:6" x14ac:dyDescent="0.3">
      <c r="A72" t="s">
        <v>1</v>
      </c>
      <c r="B72" t="s">
        <v>14</v>
      </c>
      <c r="C72" t="s">
        <v>139</v>
      </c>
      <c r="D72" t="s">
        <v>26</v>
      </c>
      <c r="E72" t="s">
        <v>81</v>
      </c>
      <c r="F72" t="s">
        <v>101</v>
      </c>
    </row>
    <row r="73" spans="1:6" x14ac:dyDescent="0.3">
      <c r="A73" t="s">
        <v>1</v>
      </c>
      <c r="B73" t="s">
        <v>14</v>
      </c>
      <c r="C73" t="s">
        <v>139</v>
      </c>
      <c r="D73" t="s">
        <v>44</v>
      </c>
      <c r="E73" t="s">
        <v>82</v>
      </c>
      <c r="F73" t="s">
        <v>101</v>
      </c>
    </row>
    <row r="74" spans="1:6" x14ac:dyDescent="0.3">
      <c r="A74" t="s">
        <v>1</v>
      </c>
      <c r="B74" t="s">
        <v>14</v>
      </c>
      <c r="C74" t="s">
        <v>139</v>
      </c>
      <c r="D74" t="s">
        <v>28</v>
      </c>
      <c r="E74" t="s">
        <v>83</v>
      </c>
      <c r="F74" t="s">
        <v>102</v>
      </c>
    </row>
    <row r="75" spans="1:6" x14ac:dyDescent="0.3">
      <c r="A75" t="s">
        <v>1</v>
      </c>
      <c r="B75" t="s">
        <v>14</v>
      </c>
      <c r="C75" t="s">
        <v>139</v>
      </c>
      <c r="D75" t="s">
        <v>30</v>
      </c>
      <c r="E75" t="s">
        <v>84</v>
      </c>
      <c r="F75" t="s">
        <v>101</v>
      </c>
    </row>
    <row r="76" spans="1:6" x14ac:dyDescent="0.3">
      <c r="A76" t="s">
        <v>1</v>
      </c>
      <c r="B76" t="s">
        <v>14</v>
      </c>
      <c r="C76" t="s">
        <v>139</v>
      </c>
      <c r="D76" t="s">
        <v>35</v>
      </c>
      <c r="E76" t="s">
        <v>85</v>
      </c>
      <c r="F76" t="s">
        <v>101</v>
      </c>
    </row>
    <row r="77" spans="1:6" x14ac:dyDescent="0.3">
      <c r="A77" t="s">
        <v>1</v>
      </c>
      <c r="B77" t="s">
        <v>14</v>
      </c>
      <c r="C77" t="s">
        <v>139</v>
      </c>
      <c r="D77" t="s">
        <v>23</v>
      </c>
      <c r="E77" t="s">
        <v>86</v>
      </c>
      <c r="F77" t="s">
        <v>101</v>
      </c>
    </row>
    <row r="78" spans="1:6" x14ac:dyDescent="0.3">
      <c r="A78" t="s">
        <v>1</v>
      </c>
      <c r="B78" t="s">
        <v>14</v>
      </c>
      <c r="C78" t="s">
        <v>139</v>
      </c>
      <c r="D78" t="s">
        <v>36</v>
      </c>
      <c r="E78" t="s">
        <v>87</v>
      </c>
      <c r="F78" t="s">
        <v>101</v>
      </c>
    </row>
    <row r="79" spans="1:6" x14ac:dyDescent="0.3">
      <c r="A79" t="s">
        <v>1</v>
      </c>
      <c r="B79" t="s">
        <v>14</v>
      </c>
      <c r="C79" t="s">
        <v>139</v>
      </c>
      <c r="D79" t="s">
        <v>36</v>
      </c>
      <c r="E79" t="s">
        <v>88</v>
      </c>
      <c r="F79" t="s">
        <v>101</v>
      </c>
    </row>
    <row r="80" spans="1:6" x14ac:dyDescent="0.3">
      <c r="A80" t="s">
        <v>1</v>
      </c>
      <c r="B80" t="s">
        <v>14</v>
      </c>
      <c r="C80" t="s">
        <v>140</v>
      </c>
      <c r="D80" t="s">
        <v>44</v>
      </c>
      <c r="E80" t="s">
        <v>82</v>
      </c>
      <c r="F80" t="s">
        <v>101</v>
      </c>
    </row>
    <row r="81" spans="1:6" x14ac:dyDescent="0.3">
      <c r="A81" t="s">
        <v>1</v>
      </c>
      <c r="B81" t="s">
        <v>14</v>
      </c>
      <c r="C81" t="s">
        <v>140</v>
      </c>
      <c r="D81" t="s">
        <v>28</v>
      </c>
      <c r="E81" t="s">
        <v>83</v>
      </c>
      <c r="F81" t="s">
        <v>102</v>
      </c>
    </row>
    <row r="82" spans="1:6" x14ac:dyDescent="0.3">
      <c r="A82" t="s">
        <v>1</v>
      </c>
      <c r="B82" t="s">
        <v>14</v>
      </c>
      <c r="C82" t="s">
        <v>140</v>
      </c>
      <c r="D82" t="s">
        <v>27</v>
      </c>
      <c r="E82" t="s">
        <v>81</v>
      </c>
      <c r="F82" t="s">
        <v>102</v>
      </c>
    </row>
    <row r="83" spans="1:6" x14ac:dyDescent="0.3">
      <c r="A83" t="s">
        <v>1</v>
      </c>
      <c r="B83" t="s">
        <v>14</v>
      </c>
      <c r="C83" t="s">
        <v>140</v>
      </c>
      <c r="D83" t="s">
        <v>30</v>
      </c>
      <c r="E83" t="s">
        <v>84</v>
      </c>
      <c r="F83" t="s">
        <v>101</v>
      </c>
    </row>
    <row r="84" spans="1:6" x14ac:dyDescent="0.3">
      <c r="A84" t="s">
        <v>1</v>
      </c>
      <c r="B84" t="s">
        <v>14</v>
      </c>
      <c r="C84" t="s">
        <v>140</v>
      </c>
      <c r="D84" t="s">
        <v>35</v>
      </c>
      <c r="E84" t="s">
        <v>85</v>
      </c>
      <c r="F84" t="s">
        <v>101</v>
      </c>
    </row>
    <row r="85" spans="1:6" x14ac:dyDescent="0.3">
      <c r="A85" t="s">
        <v>1</v>
      </c>
      <c r="B85" t="s">
        <v>14</v>
      </c>
      <c r="C85" t="s">
        <v>140</v>
      </c>
      <c r="D85" t="s">
        <v>23</v>
      </c>
      <c r="E85" t="s">
        <v>86</v>
      </c>
      <c r="F85" t="s">
        <v>101</v>
      </c>
    </row>
    <row r="86" spans="1:6" x14ac:dyDescent="0.3">
      <c r="A86" t="s">
        <v>1</v>
      </c>
      <c r="B86" t="s">
        <v>14</v>
      </c>
      <c r="C86" t="s">
        <v>140</v>
      </c>
      <c r="D86" t="s">
        <v>23</v>
      </c>
      <c r="E86" t="s">
        <v>88</v>
      </c>
      <c r="F86" t="s">
        <v>101</v>
      </c>
    </row>
    <row r="87" spans="1:6" x14ac:dyDescent="0.3">
      <c r="A87" t="s">
        <v>1</v>
      </c>
      <c r="B87" t="s">
        <v>14</v>
      </c>
      <c r="C87" t="s">
        <v>140</v>
      </c>
      <c r="D87" t="s">
        <v>36</v>
      </c>
      <c r="E87" t="s">
        <v>87</v>
      </c>
      <c r="F87" t="s">
        <v>101</v>
      </c>
    </row>
    <row r="88" spans="1:6" x14ac:dyDescent="0.3">
      <c r="A88" t="s">
        <v>1</v>
      </c>
      <c r="B88" t="s">
        <v>14</v>
      </c>
      <c r="C88" t="s">
        <v>141</v>
      </c>
      <c r="D88" t="s">
        <v>40</v>
      </c>
      <c r="E88" t="s">
        <v>85</v>
      </c>
      <c r="F88" t="s">
        <v>102</v>
      </c>
    </row>
    <row r="89" spans="1:6" x14ac:dyDescent="0.3">
      <c r="A89" t="s">
        <v>1</v>
      </c>
      <c r="B89" t="s">
        <v>14</v>
      </c>
      <c r="C89" t="s">
        <v>141</v>
      </c>
      <c r="D89" t="s">
        <v>44</v>
      </c>
      <c r="E89" t="s">
        <v>82</v>
      </c>
      <c r="F89" t="s">
        <v>101</v>
      </c>
    </row>
    <row r="90" spans="1:6" x14ac:dyDescent="0.3">
      <c r="A90" t="s">
        <v>1</v>
      </c>
      <c r="B90" t="s">
        <v>14</v>
      </c>
      <c r="C90" t="s">
        <v>141</v>
      </c>
      <c r="D90" t="s">
        <v>28</v>
      </c>
      <c r="E90" t="s">
        <v>83</v>
      </c>
      <c r="F90" t="s">
        <v>102</v>
      </c>
    </row>
    <row r="91" spans="1:6" x14ac:dyDescent="0.3">
      <c r="A91" t="s">
        <v>1</v>
      </c>
      <c r="B91" t="s">
        <v>14</v>
      </c>
      <c r="C91" t="s">
        <v>141</v>
      </c>
      <c r="D91" t="s">
        <v>27</v>
      </c>
      <c r="E91" t="s">
        <v>81</v>
      </c>
      <c r="F91" t="s">
        <v>102</v>
      </c>
    </row>
    <row r="92" spans="1:6" x14ac:dyDescent="0.3">
      <c r="A92" t="s">
        <v>1</v>
      </c>
      <c r="B92" t="s">
        <v>14</v>
      </c>
      <c r="C92" t="s">
        <v>141</v>
      </c>
      <c r="D92" t="s">
        <v>30</v>
      </c>
      <c r="E92" t="s">
        <v>84</v>
      </c>
      <c r="F92" t="s">
        <v>101</v>
      </c>
    </row>
    <row r="93" spans="1:6" x14ac:dyDescent="0.3">
      <c r="A93" t="s">
        <v>1</v>
      </c>
      <c r="B93" t="s">
        <v>14</v>
      </c>
      <c r="C93" t="s">
        <v>141</v>
      </c>
      <c r="D93" t="s">
        <v>20</v>
      </c>
      <c r="E93" t="s">
        <v>88</v>
      </c>
      <c r="F93" t="s">
        <v>102</v>
      </c>
    </row>
    <row r="94" spans="1:6" x14ac:dyDescent="0.3">
      <c r="A94" t="s">
        <v>1</v>
      </c>
      <c r="B94" t="s">
        <v>14</v>
      </c>
      <c r="C94" t="s">
        <v>141</v>
      </c>
      <c r="D94" t="s">
        <v>23</v>
      </c>
      <c r="E94" t="s">
        <v>86</v>
      </c>
      <c r="F94" t="s">
        <v>101</v>
      </c>
    </row>
    <row r="95" spans="1:6" x14ac:dyDescent="0.3">
      <c r="A95" t="s">
        <v>1</v>
      </c>
      <c r="B95" t="s">
        <v>14</v>
      </c>
      <c r="C95" t="s">
        <v>141</v>
      </c>
      <c r="D95" t="s">
        <v>36</v>
      </c>
      <c r="E95" t="s">
        <v>87</v>
      </c>
      <c r="F95" t="s">
        <v>101</v>
      </c>
    </row>
    <row r="96" spans="1:6" x14ac:dyDescent="0.3">
      <c r="A96" t="s">
        <v>1</v>
      </c>
      <c r="B96" t="s">
        <v>14</v>
      </c>
      <c r="C96" t="s">
        <v>142</v>
      </c>
      <c r="D96" t="s">
        <v>22</v>
      </c>
      <c r="E96" t="s">
        <v>86</v>
      </c>
      <c r="F96" t="s">
        <v>102</v>
      </c>
    </row>
    <row r="97" spans="1:6" x14ac:dyDescent="0.3">
      <c r="A97" t="s">
        <v>1</v>
      </c>
      <c r="B97" t="s">
        <v>14</v>
      </c>
      <c r="C97" t="s">
        <v>142</v>
      </c>
      <c r="D97" t="s">
        <v>44</v>
      </c>
      <c r="E97" t="s">
        <v>82</v>
      </c>
      <c r="F97" t="s">
        <v>101</v>
      </c>
    </row>
    <row r="98" spans="1:6" x14ac:dyDescent="0.3">
      <c r="A98" t="s">
        <v>1</v>
      </c>
      <c r="B98" t="s">
        <v>14</v>
      </c>
      <c r="C98" t="s">
        <v>142</v>
      </c>
      <c r="D98" t="s">
        <v>28</v>
      </c>
      <c r="E98" t="s">
        <v>83</v>
      </c>
      <c r="F98" t="s">
        <v>102</v>
      </c>
    </row>
    <row r="99" spans="1:6" x14ac:dyDescent="0.3">
      <c r="A99" t="s">
        <v>1</v>
      </c>
      <c r="B99" t="s">
        <v>14</v>
      </c>
      <c r="C99" t="s">
        <v>142</v>
      </c>
      <c r="D99" t="s">
        <v>27</v>
      </c>
      <c r="E99" t="s">
        <v>81</v>
      </c>
      <c r="F99" t="s">
        <v>102</v>
      </c>
    </row>
    <row r="100" spans="1:6" x14ac:dyDescent="0.3">
      <c r="A100" t="s">
        <v>1</v>
      </c>
      <c r="B100" t="s">
        <v>14</v>
      </c>
      <c r="C100" t="s">
        <v>142</v>
      </c>
      <c r="D100" t="s">
        <v>19</v>
      </c>
      <c r="E100" t="s">
        <v>88</v>
      </c>
      <c r="F100" t="s">
        <v>102</v>
      </c>
    </row>
    <row r="101" spans="1:6" x14ac:dyDescent="0.3">
      <c r="A101" t="s">
        <v>1</v>
      </c>
      <c r="B101" t="s">
        <v>14</v>
      </c>
      <c r="C101" t="s">
        <v>142</v>
      </c>
      <c r="D101" t="s">
        <v>30</v>
      </c>
      <c r="E101" t="s">
        <v>84</v>
      </c>
      <c r="F101" t="s">
        <v>101</v>
      </c>
    </row>
    <row r="102" spans="1:6" x14ac:dyDescent="0.3">
      <c r="A102" t="s">
        <v>1</v>
      </c>
      <c r="B102" t="s">
        <v>14</v>
      </c>
      <c r="C102" t="s">
        <v>142</v>
      </c>
      <c r="D102" t="s">
        <v>35</v>
      </c>
      <c r="E102" t="s">
        <v>85</v>
      </c>
      <c r="F102" t="s">
        <v>101</v>
      </c>
    </row>
    <row r="103" spans="1:6" x14ac:dyDescent="0.3">
      <c r="A103" t="s">
        <v>1</v>
      </c>
      <c r="B103" t="s">
        <v>14</v>
      </c>
      <c r="C103" t="s">
        <v>142</v>
      </c>
      <c r="D103" t="s">
        <v>36</v>
      </c>
      <c r="E103" t="s">
        <v>87</v>
      </c>
      <c r="F103" t="s">
        <v>101</v>
      </c>
    </row>
    <row r="104" spans="1:6" x14ac:dyDescent="0.3">
      <c r="A104" t="s">
        <v>1</v>
      </c>
      <c r="B104" t="s">
        <v>14</v>
      </c>
      <c r="C104" t="s">
        <v>143</v>
      </c>
      <c r="D104" t="s">
        <v>22</v>
      </c>
      <c r="E104" t="s">
        <v>86</v>
      </c>
      <c r="F104" t="s">
        <v>102</v>
      </c>
    </row>
    <row r="105" spans="1:6" x14ac:dyDescent="0.3">
      <c r="A105" t="s">
        <v>1</v>
      </c>
      <c r="B105" t="s">
        <v>14</v>
      </c>
      <c r="C105" t="s">
        <v>143</v>
      </c>
      <c r="D105" t="s">
        <v>31</v>
      </c>
      <c r="E105" t="s">
        <v>83</v>
      </c>
      <c r="F105" t="s">
        <v>102</v>
      </c>
    </row>
    <row r="106" spans="1:6" x14ac:dyDescent="0.3">
      <c r="A106" t="s">
        <v>1</v>
      </c>
      <c r="B106" t="s">
        <v>14</v>
      </c>
      <c r="C106" t="s">
        <v>143</v>
      </c>
      <c r="D106" t="s">
        <v>44</v>
      </c>
      <c r="E106" t="s">
        <v>82</v>
      </c>
      <c r="F106" t="s">
        <v>101</v>
      </c>
    </row>
    <row r="107" spans="1:6" x14ac:dyDescent="0.3">
      <c r="A107" t="s">
        <v>1</v>
      </c>
      <c r="B107" t="s">
        <v>14</v>
      </c>
      <c r="C107" t="s">
        <v>143</v>
      </c>
      <c r="D107" t="s">
        <v>44</v>
      </c>
      <c r="E107" t="s">
        <v>88</v>
      </c>
      <c r="F107" t="s">
        <v>101</v>
      </c>
    </row>
    <row r="108" spans="1:6" x14ac:dyDescent="0.3">
      <c r="A108" t="s">
        <v>1</v>
      </c>
      <c r="B108" t="s">
        <v>14</v>
      </c>
      <c r="C108" t="s">
        <v>143</v>
      </c>
      <c r="D108" t="s">
        <v>27</v>
      </c>
      <c r="E108" t="s">
        <v>81</v>
      </c>
      <c r="F108" t="s">
        <v>102</v>
      </c>
    </row>
    <row r="109" spans="1:6" x14ac:dyDescent="0.3">
      <c r="A109" t="s">
        <v>1</v>
      </c>
      <c r="B109" t="s">
        <v>14</v>
      </c>
      <c r="C109" t="s">
        <v>143</v>
      </c>
      <c r="D109" t="s">
        <v>30</v>
      </c>
      <c r="E109" t="s">
        <v>84</v>
      </c>
      <c r="F109" t="s">
        <v>101</v>
      </c>
    </row>
    <row r="110" spans="1:6" x14ac:dyDescent="0.3">
      <c r="A110" t="s">
        <v>1</v>
      </c>
      <c r="B110" t="s">
        <v>14</v>
      </c>
      <c r="C110" t="s">
        <v>143</v>
      </c>
      <c r="D110" t="s">
        <v>35</v>
      </c>
      <c r="E110" t="s">
        <v>85</v>
      </c>
      <c r="F110" t="s">
        <v>101</v>
      </c>
    </row>
    <row r="111" spans="1:6" x14ac:dyDescent="0.3">
      <c r="A111" t="s">
        <v>1</v>
      </c>
      <c r="B111" t="s">
        <v>14</v>
      </c>
      <c r="C111" t="s">
        <v>143</v>
      </c>
      <c r="D111" t="s">
        <v>36</v>
      </c>
      <c r="E111" t="s">
        <v>87</v>
      </c>
      <c r="F111" t="s">
        <v>101</v>
      </c>
    </row>
    <row r="112" spans="1:6" x14ac:dyDescent="0.3">
      <c r="A112" t="s">
        <v>1</v>
      </c>
      <c r="B112" t="s">
        <v>14</v>
      </c>
      <c r="C112" t="s">
        <v>108</v>
      </c>
      <c r="D112" t="s">
        <v>45</v>
      </c>
      <c r="E112" t="s">
        <v>89</v>
      </c>
      <c r="F112" t="s">
        <v>102</v>
      </c>
    </row>
    <row r="113" spans="1:6" x14ac:dyDescent="0.3">
      <c r="A113" t="s">
        <v>1</v>
      </c>
      <c r="B113" t="s">
        <v>14</v>
      </c>
      <c r="C113" t="s">
        <v>109</v>
      </c>
      <c r="D113" t="s">
        <v>41</v>
      </c>
      <c r="E113" t="s">
        <v>89</v>
      </c>
      <c r="F113" t="s">
        <v>102</v>
      </c>
    </row>
    <row r="114" spans="1:6" x14ac:dyDescent="0.3">
      <c r="A114" t="s">
        <v>1</v>
      </c>
      <c r="B114" t="s">
        <v>14</v>
      </c>
      <c r="C114" t="s">
        <v>120</v>
      </c>
      <c r="D114" t="s">
        <v>41</v>
      </c>
      <c r="E114" t="s">
        <v>89</v>
      </c>
      <c r="F114" t="s">
        <v>102</v>
      </c>
    </row>
    <row r="115" spans="1:6" x14ac:dyDescent="0.3">
      <c r="A115" t="s">
        <v>1</v>
      </c>
      <c r="B115" t="s">
        <v>14</v>
      </c>
      <c r="C115" t="s">
        <v>110</v>
      </c>
      <c r="D115" t="s">
        <v>40</v>
      </c>
      <c r="E115" t="s">
        <v>89</v>
      </c>
      <c r="F115" t="s">
        <v>102</v>
      </c>
    </row>
    <row r="116" spans="1:6" x14ac:dyDescent="0.3">
      <c r="A116" t="s">
        <v>1</v>
      </c>
      <c r="B116" t="s">
        <v>14</v>
      </c>
      <c r="C116" t="s">
        <v>111</v>
      </c>
      <c r="D116" t="s">
        <v>41</v>
      </c>
      <c r="E116" t="s">
        <v>89</v>
      </c>
      <c r="F116" t="s">
        <v>102</v>
      </c>
    </row>
    <row r="117" spans="1:6" x14ac:dyDescent="0.3">
      <c r="A117" t="s">
        <v>1</v>
      </c>
      <c r="B117" t="s">
        <v>14</v>
      </c>
      <c r="C117" t="s">
        <v>112</v>
      </c>
      <c r="D117" t="s">
        <v>42</v>
      </c>
      <c r="E117" t="s">
        <v>89</v>
      </c>
      <c r="F117" t="s">
        <v>102</v>
      </c>
    </row>
    <row r="118" spans="1:6" x14ac:dyDescent="0.3">
      <c r="A118" t="s">
        <v>1</v>
      </c>
      <c r="B118" t="s">
        <v>14</v>
      </c>
      <c r="C118" t="s">
        <v>113</v>
      </c>
      <c r="D118" t="s">
        <v>42</v>
      </c>
      <c r="E118" t="s">
        <v>89</v>
      </c>
      <c r="F118" t="s">
        <v>102</v>
      </c>
    </row>
    <row r="119" spans="1:6" x14ac:dyDescent="0.3">
      <c r="A119" t="s">
        <v>1</v>
      </c>
      <c r="B119" t="s">
        <v>14</v>
      </c>
      <c r="C119" t="s">
        <v>121</v>
      </c>
      <c r="D119" t="s">
        <v>43</v>
      </c>
      <c r="E119" t="s">
        <v>89</v>
      </c>
      <c r="F119" t="s">
        <v>101</v>
      </c>
    </row>
    <row r="120" spans="1:6" x14ac:dyDescent="0.3">
      <c r="A120" t="s">
        <v>1</v>
      </c>
      <c r="B120" t="s">
        <v>15</v>
      </c>
      <c r="C120" t="s">
        <v>144</v>
      </c>
      <c r="D120" t="s">
        <v>38</v>
      </c>
      <c r="E120" t="s">
        <v>90</v>
      </c>
      <c r="F120" t="s">
        <v>101</v>
      </c>
    </row>
    <row r="121" spans="1:6" x14ac:dyDescent="0.3">
      <c r="A121" t="s">
        <v>1</v>
      </c>
      <c r="B121" t="s">
        <v>15</v>
      </c>
      <c r="C121" t="s">
        <v>144</v>
      </c>
      <c r="D121" t="s">
        <v>26</v>
      </c>
      <c r="E121" t="s">
        <v>91</v>
      </c>
      <c r="F121" t="s">
        <v>101</v>
      </c>
    </row>
    <row r="122" spans="1:6" x14ac:dyDescent="0.3">
      <c r="A122" t="s">
        <v>1</v>
      </c>
      <c r="B122" t="s">
        <v>15</v>
      </c>
      <c r="C122" t="s">
        <v>144</v>
      </c>
      <c r="D122" t="s">
        <v>25</v>
      </c>
      <c r="E122" t="s">
        <v>92</v>
      </c>
      <c r="F122" t="s">
        <v>101</v>
      </c>
    </row>
    <row r="123" spans="1:6" x14ac:dyDescent="0.3">
      <c r="A123" t="s">
        <v>1</v>
      </c>
      <c r="B123" t="s">
        <v>15</v>
      </c>
      <c r="C123" t="s">
        <v>144</v>
      </c>
      <c r="D123" t="s">
        <v>43</v>
      </c>
      <c r="E123" t="s">
        <v>93</v>
      </c>
      <c r="F123" t="s">
        <v>101</v>
      </c>
    </row>
    <row r="124" spans="1:6" x14ac:dyDescent="0.3">
      <c r="A124" t="s">
        <v>1</v>
      </c>
      <c r="B124" t="s">
        <v>15</v>
      </c>
      <c r="C124" t="s">
        <v>144</v>
      </c>
      <c r="D124" t="s">
        <v>43</v>
      </c>
      <c r="E124" t="s">
        <v>94</v>
      </c>
      <c r="F124" t="s">
        <v>101</v>
      </c>
    </row>
    <row r="125" spans="1:6" x14ac:dyDescent="0.3">
      <c r="A125" t="s">
        <v>1</v>
      </c>
      <c r="B125" t="s">
        <v>15</v>
      </c>
      <c r="C125" t="s">
        <v>144</v>
      </c>
      <c r="D125" t="s">
        <v>34</v>
      </c>
      <c r="E125" t="s">
        <v>95</v>
      </c>
      <c r="F125" t="s">
        <v>102</v>
      </c>
    </row>
    <row r="126" spans="1:6" x14ac:dyDescent="0.3">
      <c r="A126" t="s">
        <v>1</v>
      </c>
      <c r="B126" t="s">
        <v>15</v>
      </c>
      <c r="C126" t="s">
        <v>144</v>
      </c>
      <c r="D126" t="s">
        <v>34</v>
      </c>
      <c r="E126" t="s">
        <v>96</v>
      </c>
      <c r="F126" t="s">
        <v>102</v>
      </c>
    </row>
    <row r="127" spans="1:6" x14ac:dyDescent="0.3">
      <c r="A127" t="s">
        <v>1</v>
      </c>
      <c r="B127" t="s">
        <v>15</v>
      </c>
      <c r="C127" t="s">
        <v>144</v>
      </c>
      <c r="D127" t="s">
        <v>46</v>
      </c>
      <c r="E127" t="s">
        <v>97</v>
      </c>
      <c r="F127" t="s">
        <v>101</v>
      </c>
    </row>
    <row r="128" spans="1:6" x14ac:dyDescent="0.3">
      <c r="A128" t="s">
        <v>1</v>
      </c>
      <c r="B128" t="s">
        <v>15</v>
      </c>
      <c r="C128" t="s">
        <v>144</v>
      </c>
      <c r="D128" t="s">
        <v>30</v>
      </c>
      <c r="E128" t="s">
        <v>98</v>
      </c>
      <c r="F128" t="s">
        <v>101</v>
      </c>
    </row>
    <row r="129" spans="1:6" x14ac:dyDescent="0.3">
      <c r="A129" t="s">
        <v>1</v>
      </c>
      <c r="B129" t="s">
        <v>15</v>
      </c>
      <c r="C129" t="s">
        <v>145</v>
      </c>
      <c r="D129" t="s">
        <v>22</v>
      </c>
      <c r="E129" t="s">
        <v>94</v>
      </c>
      <c r="F129" t="s">
        <v>102</v>
      </c>
    </row>
    <row r="130" spans="1:6" x14ac:dyDescent="0.3">
      <c r="A130" t="s">
        <v>1</v>
      </c>
      <c r="B130" t="s">
        <v>15</v>
      </c>
      <c r="C130" t="s">
        <v>145</v>
      </c>
      <c r="D130" t="s">
        <v>22</v>
      </c>
      <c r="E130" t="s">
        <v>96</v>
      </c>
      <c r="F130" t="s">
        <v>102</v>
      </c>
    </row>
    <row r="131" spans="1:6" x14ac:dyDescent="0.3">
      <c r="A131" t="s">
        <v>1</v>
      </c>
      <c r="B131" t="s">
        <v>15</v>
      </c>
      <c r="C131" t="s">
        <v>145</v>
      </c>
      <c r="D131" t="s">
        <v>38</v>
      </c>
      <c r="E131" t="s">
        <v>90</v>
      </c>
      <c r="F131" t="s">
        <v>101</v>
      </c>
    </row>
    <row r="132" spans="1:6" x14ac:dyDescent="0.3">
      <c r="A132" t="s">
        <v>1</v>
      </c>
      <c r="B132" t="s">
        <v>15</v>
      </c>
      <c r="C132" t="s">
        <v>145</v>
      </c>
      <c r="D132" t="s">
        <v>21</v>
      </c>
      <c r="E132" t="s">
        <v>91</v>
      </c>
      <c r="F132" t="s">
        <v>102</v>
      </c>
    </row>
    <row r="133" spans="1:6" x14ac:dyDescent="0.3">
      <c r="A133" t="s">
        <v>1</v>
      </c>
      <c r="B133" t="s">
        <v>15</v>
      </c>
      <c r="C133" t="s">
        <v>145</v>
      </c>
      <c r="D133" t="s">
        <v>25</v>
      </c>
      <c r="E133" t="s">
        <v>92</v>
      </c>
      <c r="F133" t="s">
        <v>101</v>
      </c>
    </row>
    <row r="134" spans="1:6" x14ac:dyDescent="0.3">
      <c r="A134" t="s">
        <v>1</v>
      </c>
      <c r="B134" t="s">
        <v>15</v>
      </c>
      <c r="C134" t="s">
        <v>145</v>
      </c>
      <c r="D134" t="s">
        <v>43</v>
      </c>
      <c r="E134" t="s">
        <v>93</v>
      </c>
      <c r="F134" t="s">
        <v>101</v>
      </c>
    </row>
    <row r="135" spans="1:6" x14ac:dyDescent="0.3">
      <c r="A135" t="s">
        <v>1</v>
      </c>
      <c r="B135" t="s">
        <v>15</v>
      </c>
      <c r="C135" t="s">
        <v>145</v>
      </c>
      <c r="D135" t="s">
        <v>34</v>
      </c>
      <c r="E135" t="s">
        <v>95</v>
      </c>
      <c r="F135" t="s">
        <v>102</v>
      </c>
    </row>
    <row r="136" spans="1:6" x14ac:dyDescent="0.3">
      <c r="A136" t="s">
        <v>1</v>
      </c>
      <c r="B136" t="s">
        <v>15</v>
      </c>
      <c r="C136" t="s">
        <v>145</v>
      </c>
      <c r="D136" t="s">
        <v>46</v>
      </c>
      <c r="E136" t="s">
        <v>97</v>
      </c>
      <c r="F136" t="s">
        <v>101</v>
      </c>
    </row>
    <row r="137" spans="1:6" x14ac:dyDescent="0.3">
      <c r="A137" t="s">
        <v>1</v>
      </c>
      <c r="B137" t="s">
        <v>15</v>
      </c>
      <c r="C137" t="s">
        <v>145</v>
      </c>
      <c r="D137" t="s">
        <v>30</v>
      </c>
      <c r="E137" t="s">
        <v>98</v>
      </c>
      <c r="F137" t="s">
        <v>101</v>
      </c>
    </row>
    <row r="138" spans="1:6" x14ac:dyDescent="0.3">
      <c r="A138" t="s">
        <v>1</v>
      </c>
      <c r="B138" t="s">
        <v>15</v>
      </c>
      <c r="C138" t="s">
        <v>146</v>
      </c>
      <c r="D138" t="s">
        <v>38</v>
      </c>
      <c r="E138" t="s">
        <v>90</v>
      </c>
      <c r="F138" t="s">
        <v>101</v>
      </c>
    </row>
    <row r="139" spans="1:6" x14ac:dyDescent="0.3">
      <c r="A139" t="s">
        <v>1</v>
      </c>
      <c r="B139" t="s">
        <v>15</v>
      </c>
      <c r="C139" t="s">
        <v>146</v>
      </c>
      <c r="D139" t="s">
        <v>47</v>
      </c>
      <c r="E139" t="s">
        <v>96</v>
      </c>
      <c r="F139" t="s">
        <v>102</v>
      </c>
    </row>
    <row r="140" spans="1:6" x14ac:dyDescent="0.3">
      <c r="A140" t="s">
        <v>1</v>
      </c>
      <c r="B140" t="s">
        <v>15</v>
      </c>
      <c r="C140" t="s">
        <v>146</v>
      </c>
      <c r="D140" t="s">
        <v>21</v>
      </c>
      <c r="E140" t="s">
        <v>91</v>
      </c>
      <c r="F140" t="s">
        <v>102</v>
      </c>
    </row>
    <row r="141" spans="1:6" x14ac:dyDescent="0.3">
      <c r="A141" t="s">
        <v>1</v>
      </c>
      <c r="B141" t="s">
        <v>15</v>
      </c>
      <c r="C141" t="s">
        <v>146</v>
      </c>
      <c r="D141" t="s">
        <v>25</v>
      </c>
      <c r="E141" t="s">
        <v>92</v>
      </c>
      <c r="F141" t="s">
        <v>101</v>
      </c>
    </row>
    <row r="142" spans="1:6" x14ac:dyDescent="0.3">
      <c r="A142" t="s">
        <v>1</v>
      </c>
      <c r="B142" t="s">
        <v>15</v>
      </c>
      <c r="C142" t="s">
        <v>146</v>
      </c>
      <c r="D142" t="s">
        <v>34</v>
      </c>
      <c r="E142" t="s">
        <v>95</v>
      </c>
      <c r="F142" t="s">
        <v>102</v>
      </c>
    </row>
    <row r="143" spans="1:6" x14ac:dyDescent="0.3">
      <c r="A143" t="s">
        <v>1</v>
      </c>
      <c r="B143" t="s">
        <v>15</v>
      </c>
      <c r="C143" t="s">
        <v>146</v>
      </c>
      <c r="D143" t="s">
        <v>46</v>
      </c>
      <c r="E143" t="s">
        <v>97</v>
      </c>
      <c r="F143" t="s">
        <v>101</v>
      </c>
    </row>
    <row r="144" spans="1:6" x14ac:dyDescent="0.3">
      <c r="A144" t="s">
        <v>1</v>
      </c>
      <c r="B144" t="s">
        <v>15</v>
      </c>
      <c r="C144" t="s">
        <v>146</v>
      </c>
      <c r="D144" t="s">
        <v>46</v>
      </c>
      <c r="E144" t="s">
        <v>94</v>
      </c>
      <c r="F144" t="s">
        <v>101</v>
      </c>
    </row>
    <row r="145" spans="1:6" x14ac:dyDescent="0.3">
      <c r="A145" t="s">
        <v>1</v>
      </c>
      <c r="B145" t="s">
        <v>15</v>
      </c>
      <c r="C145" t="s">
        <v>146</v>
      </c>
      <c r="D145" t="s">
        <v>39</v>
      </c>
      <c r="E145" t="s">
        <v>93</v>
      </c>
      <c r="F145" t="s">
        <v>101</v>
      </c>
    </row>
    <row r="146" spans="1:6" x14ac:dyDescent="0.3">
      <c r="A146" t="s">
        <v>1</v>
      </c>
      <c r="B146" t="s">
        <v>15</v>
      </c>
      <c r="C146" t="s">
        <v>146</v>
      </c>
      <c r="D146" t="s">
        <v>30</v>
      </c>
      <c r="E146" t="s">
        <v>98</v>
      </c>
      <c r="F146" t="s">
        <v>101</v>
      </c>
    </row>
    <row r="147" spans="1:6" x14ac:dyDescent="0.3">
      <c r="A147" t="s">
        <v>1</v>
      </c>
      <c r="B147" t="s">
        <v>15</v>
      </c>
      <c r="C147" t="s">
        <v>147</v>
      </c>
      <c r="D147" t="s">
        <v>38</v>
      </c>
      <c r="E147" t="s">
        <v>90</v>
      </c>
      <c r="F147" t="s">
        <v>101</v>
      </c>
    </row>
    <row r="148" spans="1:6" x14ac:dyDescent="0.3">
      <c r="A148" t="s">
        <v>1</v>
      </c>
      <c r="B148" t="s">
        <v>15</v>
      </c>
      <c r="C148" t="s">
        <v>147</v>
      </c>
      <c r="D148" t="s">
        <v>38</v>
      </c>
      <c r="E148" t="s">
        <v>94</v>
      </c>
      <c r="F148" t="s">
        <v>101</v>
      </c>
    </row>
    <row r="149" spans="1:6" x14ac:dyDescent="0.3">
      <c r="A149" t="s">
        <v>1</v>
      </c>
      <c r="B149" t="s">
        <v>15</v>
      </c>
      <c r="C149" t="s">
        <v>147</v>
      </c>
      <c r="D149" t="s">
        <v>47</v>
      </c>
      <c r="E149" t="s">
        <v>96</v>
      </c>
      <c r="F149" t="s">
        <v>102</v>
      </c>
    </row>
    <row r="150" spans="1:6" x14ac:dyDescent="0.3">
      <c r="A150" t="s">
        <v>1</v>
      </c>
      <c r="B150" t="s">
        <v>15</v>
      </c>
      <c r="C150" t="s">
        <v>147</v>
      </c>
      <c r="D150" t="s">
        <v>21</v>
      </c>
      <c r="E150" t="s">
        <v>91</v>
      </c>
      <c r="F150" t="s">
        <v>102</v>
      </c>
    </row>
    <row r="151" spans="1:6" x14ac:dyDescent="0.3">
      <c r="A151" t="s">
        <v>1</v>
      </c>
      <c r="B151" t="s">
        <v>15</v>
      </c>
      <c r="C151" t="s">
        <v>147</v>
      </c>
      <c r="D151" t="s">
        <v>25</v>
      </c>
      <c r="E151" t="s">
        <v>92</v>
      </c>
      <c r="F151" t="s">
        <v>101</v>
      </c>
    </row>
    <row r="152" spans="1:6" x14ac:dyDescent="0.3">
      <c r="A152" t="s">
        <v>1</v>
      </c>
      <c r="B152" t="s">
        <v>15</v>
      </c>
      <c r="C152" t="s">
        <v>147</v>
      </c>
      <c r="D152" t="s">
        <v>34</v>
      </c>
      <c r="E152" t="s">
        <v>95</v>
      </c>
      <c r="F152" t="s">
        <v>102</v>
      </c>
    </row>
    <row r="153" spans="1:6" x14ac:dyDescent="0.3">
      <c r="A153" t="s">
        <v>1</v>
      </c>
      <c r="B153" t="s">
        <v>15</v>
      </c>
      <c r="C153" t="s">
        <v>147</v>
      </c>
      <c r="D153" t="s">
        <v>29</v>
      </c>
      <c r="E153" t="s">
        <v>97</v>
      </c>
      <c r="F153" t="s">
        <v>101</v>
      </c>
    </row>
    <row r="154" spans="1:6" x14ac:dyDescent="0.3">
      <c r="A154" t="s">
        <v>1</v>
      </c>
      <c r="B154" t="s">
        <v>15</v>
      </c>
      <c r="C154" t="s">
        <v>147</v>
      </c>
      <c r="D154" t="s">
        <v>39</v>
      </c>
      <c r="E154" t="s">
        <v>93</v>
      </c>
      <c r="F154" t="s">
        <v>101</v>
      </c>
    </row>
    <row r="155" spans="1:6" x14ac:dyDescent="0.3">
      <c r="A155" t="s">
        <v>1</v>
      </c>
      <c r="B155" t="s">
        <v>15</v>
      </c>
      <c r="C155" t="s">
        <v>147</v>
      </c>
      <c r="D155" t="s">
        <v>30</v>
      </c>
      <c r="E155" t="s">
        <v>98</v>
      </c>
      <c r="F155" t="s">
        <v>101</v>
      </c>
    </row>
    <row r="156" spans="1:6" x14ac:dyDescent="0.3">
      <c r="A156" t="s">
        <v>1</v>
      </c>
      <c r="B156" t="s">
        <v>15</v>
      </c>
      <c r="C156" t="s">
        <v>148</v>
      </c>
      <c r="D156" t="s">
        <v>38</v>
      </c>
      <c r="E156" t="s">
        <v>90</v>
      </c>
      <c r="F156" t="s">
        <v>101</v>
      </c>
    </row>
    <row r="157" spans="1:6" x14ac:dyDescent="0.3">
      <c r="A157" t="s">
        <v>1</v>
      </c>
      <c r="B157" t="s">
        <v>15</v>
      </c>
      <c r="C157" t="s">
        <v>148</v>
      </c>
      <c r="D157" t="s">
        <v>47</v>
      </c>
      <c r="E157" t="s">
        <v>96</v>
      </c>
      <c r="F157" t="s">
        <v>102</v>
      </c>
    </row>
    <row r="158" spans="1:6" x14ac:dyDescent="0.3">
      <c r="A158" t="s">
        <v>1</v>
      </c>
      <c r="B158" t="s">
        <v>15</v>
      </c>
      <c r="C158" t="s">
        <v>148</v>
      </c>
      <c r="D158" t="s">
        <v>25</v>
      </c>
      <c r="E158" t="s">
        <v>92</v>
      </c>
      <c r="F158" t="s">
        <v>101</v>
      </c>
    </row>
    <row r="159" spans="1:6" x14ac:dyDescent="0.3">
      <c r="A159" t="s">
        <v>1</v>
      </c>
      <c r="B159" t="s">
        <v>15</v>
      </c>
      <c r="C159" t="s">
        <v>148</v>
      </c>
      <c r="D159" t="s">
        <v>34</v>
      </c>
      <c r="E159" t="s">
        <v>95</v>
      </c>
      <c r="F159" t="s">
        <v>102</v>
      </c>
    </row>
    <row r="160" spans="1:6" x14ac:dyDescent="0.3">
      <c r="A160" t="s">
        <v>1</v>
      </c>
      <c r="B160" t="s">
        <v>15</v>
      </c>
      <c r="C160" t="s">
        <v>148</v>
      </c>
      <c r="D160" t="s">
        <v>46</v>
      </c>
      <c r="E160" t="s">
        <v>97</v>
      </c>
      <c r="F160" t="s">
        <v>101</v>
      </c>
    </row>
    <row r="161" spans="1:6" x14ac:dyDescent="0.3">
      <c r="A161" t="s">
        <v>1</v>
      </c>
      <c r="B161" t="s">
        <v>15</v>
      </c>
      <c r="C161" t="s">
        <v>148</v>
      </c>
      <c r="D161" t="s">
        <v>29</v>
      </c>
      <c r="E161" t="s">
        <v>91</v>
      </c>
      <c r="F161" t="s">
        <v>101</v>
      </c>
    </row>
    <row r="162" spans="1:6" x14ac:dyDescent="0.3">
      <c r="A162" t="s">
        <v>1</v>
      </c>
      <c r="B162" t="s">
        <v>15</v>
      </c>
      <c r="C162" t="s">
        <v>148</v>
      </c>
      <c r="D162" t="s">
        <v>37</v>
      </c>
      <c r="E162" t="s">
        <v>93</v>
      </c>
      <c r="F162" t="s">
        <v>102</v>
      </c>
    </row>
    <row r="163" spans="1:6" x14ac:dyDescent="0.3">
      <c r="A163" t="s">
        <v>1</v>
      </c>
      <c r="B163" t="s">
        <v>15</v>
      </c>
      <c r="C163" t="s">
        <v>148</v>
      </c>
      <c r="D163" t="s">
        <v>30</v>
      </c>
      <c r="E163" t="s">
        <v>98</v>
      </c>
      <c r="F163" t="s">
        <v>101</v>
      </c>
    </row>
    <row r="164" spans="1:6" x14ac:dyDescent="0.3">
      <c r="A164" t="s">
        <v>1</v>
      </c>
      <c r="B164" t="s">
        <v>15</v>
      </c>
      <c r="C164" t="s">
        <v>148</v>
      </c>
      <c r="D164" t="s">
        <v>42</v>
      </c>
      <c r="E164" t="s">
        <v>94</v>
      </c>
      <c r="F164" t="s">
        <v>102</v>
      </c>
    </row>
    <row r="165" spans="1:6" x14ac:dyDescent="0.3">
      <c r="A165" t="s">
        <v>1</v>
      </c>
      <c r="B165" t="s">
        <v>15</v>
      </c>
      <c r="C165" t="s">
        <v>122</v>
      </c>
      <c r="D165" t="s">
        <v>45</v>
      </c>
      <c r="E165" t="s">
        <v>99</v>
      </c>
      <c r="F165" t="s">
        <v>102</v>
      </c>
    </row>
    <row r="166" spans="1:6" x14ac:dyDescent="0.3">
      <c r="A166" t="s">
        <v>1</v>
      </c>
      <c r="B166" t="s">
        <v>15</v>
      </c>
      <c r="C166" t="s">
        <v>123</v>
      </c>
      <c r="D166" t="s">
        <v>41</v>
      </c>
      <c r="E166" t="s">
        <v>99</v>
      </c>
      <c r="F166" t="s">
        <v>102</v>
      </c>
    </row>
    <row r="167" spans="1:6" x14ac:dyDescent="0.3">
      <c r="A167" t="s">
        <v>1</v>
      </c>
      <c r="B167" t="s">
        <v>15</v>
      </c>
      <c r="C167" t="s">
        <v>124</v>
      </c>
      <c r="D167" t="s">
        <v>40</v>
      </c>
      <c r="E167" t="s">
        <v>99</v>
      </c>
      <c r="F167" t="s">
        <v>102</v>
      </c>
    </row>
    <row r="168" spans="1:6" x14ac:dyDescent="0.3">
      <c r="A168" t="s">
        <v>1</v>
      </c>
      <c r="B168" t="s">
        <v>15</v>
      </c>
      <c r="C168" t="s">
        <v>125</v>
      </c>
      <c r="D168" t="s">
        <v>42</v>
      </c>
      <c r="E168" t="s">
        <v>99</v>
      </c>
      <c r="F168" t="s">
        <v>102</v>
      </c>
    </row>
    <row r="169" spans="1:6" x14ac:dyDescent="0.3">
      <c r="A169" t="s">
        <v>1</v>
      </c>
      <c r="B169" t="s">
        <v>15</v>
      </c>
      <c r="C169" t="s">
        <v>126</v>
      </c>
      <c r="D169" t="s">
        <v>20</v>
      </c>
      <c r="E169" t="s">
        <v>99</v>
      </c>
      <c r="F169" t="s">
        <v>102</v>
      </c>
    </row>
    <row r="170" spans="1:6" x14ac:dyDescent="0.3">
      <c r="A170" t="s">
        <v>1</v>
      </c>
      <c r="B170" t="s">
        <v>15</v>
      </c>
      <c r="C170" t="s">
        <v>114</v>
      </c>
      <c r="D170" t="s">
        <v>40</v>
      </c>
      <c r="E170" t="s">
        <v>99</v>
      </c>
      <c r="F170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642A-E70C-40A4-BC38-297AB1B76F3F}">
  <dimension ref="A1:J170"/>
  <sheetViews>
    <sheetView tabSelected="1" topLeftCell="I133" workbookViewId="0">
      <selection activeCell="J2" sqref="J2:J170"/>
    </sheetView>
  </sheetViews>
  <sheetFormatPr baseColWidth="10" defaultRowHeight="14.4" x14ac:dyDescent="0.3"/>
  <cols>
    <col min="2" max="2" width="13.5546875" bestFit="1" customWidth="1"/>
    <col min="3" max="3" width="33" bestFit="1" customWidth="1"/>
    <col min="4" max="4" width="11.33203125" bestFit="1" customWidth="1"/>
    <col min="5" max="5" width="36.5546875" bestFit="1" customWidth="1"/>
    <col min="6" max="6" width="49.5546875" bestFit="1" customWidth="1"/>
    <col min="7" max="7" width="11.33203125" bestFit="1" customWidth="1"/>
  </cols>
  <sheetData>
    <row r="1" spans="1:10" x14ac:dyDescent="0.3">
      <c r="A1" t="s">
        <v>155</v>
      </c>
      <c r="B1" t="s">
        <v>0</v>
      </c>
      <c r="C1" t="s">
        <v>2</v>
      </c>
      <c r="D1" t="s">
        <v>16</v>
      </c>
      <c r="E1" t="s">
        <v>17</v>
      </c>
      <c r="F1" t="s">
        <v>48</v>
      </c>
      <c r="G1" t="s">
        <v>100</v>
      </c>
      <c r="H1" t="s">
        <v>156</v>
      </c>
      <c r="I1" s="1" t="s">
        <v>157</v>
      </c>
    </row>
    <row r="2" spans="1:10" x14ac:dyDescent="0.3">
      <c r="A2">
        <v>3001</v>
      </c>
      <c r="B2" t="s">
        <v>1</v>
      </c>
      <c r="C2" t="s">
        <v>3</v>
      </c>
      <c r="D2" t="s">
        <v>103</v>
      </c>
      <c r="E2" t="s">
        <v>18</v>
      </c>
      <c r="F2" t="s">
        <v>49</v>
      </c>
      <c r="G2" t="s">
        <v>101</v>
      </c>
      <c r="H2">
        <v>0</v>
      </c>
      <c r="I2" t="str">
        <f>CONCATENATE(A2,",'",B2,"','",C2,"','",TRIM(D2),",'",E2,"','",F2,"','",G2,"',",H2)</f>
        <v>3001,'BACHILLERATO','ADMINISTRACIÓN 2021','B MATFIN B','RAMIREZ ORTIZ LUIS ALFONSO','MATEMÁTICAS FINANCIERAS II','MASCULINO',0</v>
      </c>
      <c r="J2" t="str">
        <f>CONCATENATE($I$1,I2,");")</f>
        <v>INSERT INTO profesores (id,nivel,carrera,grupo,nombre,materia,sexo,sello) VALUES (3001,'BACHILLERATO','ADMINISTRACIÓN 2021','B MATFIN B','RAMIREZ ORTIZ LUIS ALFONSO','MATEMÁTICAS FINANCIERAS II','MASCULINO',0);</v>
      </c>
    </row>
    <row r="3" spans="1:10" x14ac:dyDescent="0.3">
      <c r="A3">
        <f>A2+1</f>
        <v>3002</v>
      </c>
      <c r="B3" t="s">
        <v>1</v>
      </c>
      <c r="C3" t="s">
        <v>3</v>
      </c>
      <c r="D3" t="s">
        <v>127</v>
      </c>
      <c r="E3" t="s">
        <v>18</v>
      </c>
      <c r="F3" t="s">
        <v>50</v>
      </c>
      <c r="G3" t="s">
        <v>101</v>
      </c>
      <c r="H3">
        <v>0</v>
      </c>
      <c r="I3" t="str">
        <f t="shared" ref="I3:I66" si="0">CONCATENATE(A3,",'",B3,"','",C3,"','",TRIM(D3),",'",E3,"','",F3,"','",G3,"',",H3)</f>
        <v>3002,'BACHILLERATO','ADMINISTRACIÓN 2021','B 32A','RAMIREZ ORTIZ LUIS ALFONSO','COMUNICACIÓN DE LA EMPRESA','MASCULINO',0</v>
      </c>
      <c r="J3" t="str">
        <f t="shared" ref="J3:J66" si="1">CONCATENATE($I$1,I3,");")</f>
        <v>INSERT INTO profesores (id,nivel,carrera,grupo,nombre,materia,sexo,sello) VALUES (3002,'BACHILLERATO','ADMINISTRACIÓN 2021','B 32A','RAMIREZ ORTIZ LUIS ALFONSO','COMUNICACIÓN DE LA EMPRESA','MASCULINO',0);</v>
      </c>
    </row>
    <row r="4" spans="1:10" x14ac:dyDescent="0.3">
      <c r="A4">
        <f t="shared" ref="A4:A67" si="2">A3+1</f>
        <v>3003</v>
      </c>
      <c r="B4" t="s">
        <v>1</v>
      </c>
      <c r="C4" t="s">
        <v>3</v>
      </c>
      <c r="D4" t="s">
        <v>127</v>
      </c>
      <c r="E4" t="s">
        <v>19</v>
      </c>
      <c r="F4" t="s">
        <v>51</v>
      </c>
      <c r="G4" t="s">
        <v>102</v>
      </c>
      <c r="H4">
        <v>0</v>
      </c>
      <c r="I4" t="str">
        <f t="shared" si="0"/>
        <v>3003,'BACHILLERATO','ADMINISTRACIÓN 2021','B 32A','RIOS CORONADO VERONICA','PROYECTO EMPRENDEDOR','FEMENINO',0</v>
      </c>
      <c r="J4" t="str">
        <f t="shared" si="1"/>
        <v>INSERT INTO profesores (id,nivel,carrera,grupo,nombre,materia,sexo,sello) VALUES (3003,'BACHILLERATO','ADMINISTRACIÓN 2021','B 32A','RIOS CORONADO VERONICA','PROYECTO EMPRENDEDOR','FEMENINO',0);</v>
      </c>
    </row>
    <row r="5" spans="1:10" x14ac:dyDescent="0.3">
      <c r="A5">
        <f t="shared" si="2"/>
        <v>3004</v>
      </c>
      <c r="B5" t="s">
        <v>1</v>
      </c>
      <c r="C5" t="s">
        <v>3</v>
      </c>
      <c r="D5" t="s">
        <v>128</v>
      </c>
      <c r="E5" t="s">
        <v>18</v>
      </c>
      <c r="F5" t="s">
        <v>50</v>
      </c>
      <c r="G5" t="s">
        <v>101</v>
      </c>
      <c r="H5">
        <v>0</v>
      </c>
      <c r="I5" t="str">
        <f t="shared" si="0"/>
        <v>3004,'BACHILLERATO','ADMINISTRACIÓN 2021','B 32B','RAMIREZ ORTIZ LUIS ALFONSO','COMUNICACIÓN DE LA EMPRESA','MASCULINO',0</v>
      </c>
      <c r="J5" t="str">
        <f t="shared" si="1"/>
        <v>INSERT INTO profesores (id,nivel,carrera,grupo,nombre,materia,sexo,sello) VALUES (3004,'BACHILLERATO','ADMINISTRACIÓN 2021','B 32B','RAMIREZ ORTIZ LUIS ALFONSO','COMUNICACIÓN DE LA EMPRESA','MASCULINO',0);</v>
      </c>
    </row>
    <row r="6" spans="1:10" x14ac:dyDescent="0.3">
      <c r="A6">
        <f t="shared" si="2"/>
        <v>3005</v>
      </c>
      <c r="B6" t="s">
        <v>1</v>
      </c>
      <c r="C6" t="s">
        <v>3</v>
      </c>
      <c r="D6" t="s">
        <v>128</v>
      </c>
      <c r="E6" t="s">
        <v>19</v>
      </c>
      <c r="F6" t="s">
        <v>51</v>
      </c>
      <c r="G6" t="s">
        <v>102</v>
      </c>
      <c r="H6">
        <v>0</v>
      </c>
      <c r="I6" t="str">
        <f t="shared" si="0"/>
        <v>3005,'BACHILLERATO','ADMINISTRACIÓN 2021','B 32B','RIOS CORONADO VERONICA','PROYECTO EMPRENDEDOR','FEMENINO',0</v>
      </c>
      <c r="J6" t="str">
        <f t="shared" si="1"/>
        <v>INSERT INTO profesores (id,nivel,carrera,grupo,nombre,materia,sexo,sello) VALUES (3005,'BACHILLERATO','ADMINISTRACIÓN 2021','B 32B','RIOS CORONADO VERONICA','PROYECTO EMPRENDEDOR','FEMENINO',0);</v>
      </c>
    </row>
    <row r="7" spans="1:10" x14ac:dyDescent="0.3">
      <c r="A7">
        <f t="shared" si="2"/>
        <v>3006</v>
      </c>
      <c r="B7" t="s">
        <v>1</v>
      </c>
      <c r="C7" t="s">
        <v>3</v>
      </c>
      <c r="D7" t="s">
        <v>104</v>
      </c>
      <c r="E7" t="s">
        <v>19</v>
      </c>
      <c r="F7" t="s">
        <v>49</v>
      </c>
      <c r="G7" t="s">
        <v>102</v>
      </c>
      <c r="H7">
        <v>0</v>
      </c>
      <c r="I7" t="str">
        <f t="shared" si="0"/>
        <v>3006,'BACHILLERATO','ADMINISTRACIÓN 2021','B MATFIN A','RIOS CORONADO VERONICA','MATEMÁTICAS FINANCIERAS II','FEMENINO',0</v>
      </c>
      <c r="J7" t="str">
        <f t="shared" si="1"/>
        <v>INSERT INTO profesores (id,nivel,carrera,grupo,nombre,materia,sexo,sello) VALUES (3006,'BACHILLERATO','ADMINISTRACIÓN 2021','B MATFIN A','RIOS CORONADO VERONICA','MATEMÁTICAS FINANCIERAS II','FEMENINO',0);</v>
      </c>
    </row>
    <row r="8" spans="1:10" x14ac:dyDescent="0.3">
      <c r="A8">
        <f t="shared" si="2"/>
        <v>3007</v>
      </c>
      <c r="B8" t="s">
        <v>1</v>
      </c>
      <c r="C8" t="s">
        <v>4</v>
      </c>
      <c r="D8" t="s">
        <v>129</v>
      </c>
      <c r="E8" t="s">
        <v>18</v>
      </c>
      <c r="F8" t="s">
        <v>52</v>
      </c>
      <c r="G8" t="s">
        <v>101</v>
      </c>
      <c r="H8">
        <v>0</v>
      </c>
      <c r="I8" t="str">
        <f t="shared" si="0"/>
        <v>3007,'BACHILLERATO','ADMINISTRACIÓN 2023','B 22A','RAMIREZ ORTIZ LUIS ALFONSO','MERCADOTECNIA','MASCULINO',0</v>
      </c>
      <c r="J8" t="str">
        <f t="shared" si="1"/>
        <v>INSERT INTO profesores (id,nivel,carrera,grupo,nombre,materia,sexo,sello) VALUES (3007,'BACHILLERATO','ADMINISTRACIÓN 2023','B 22A','RAMIREZ ORTIZ LUIS ALFONSO','MERCADOTECNIA','MASCULINO',0);</v>
      </c>
    </row>
    <row r="9" spans="1:10" x14ac:dyDescent="0.3">
      <c r="A9">
        <f t="shared" si="2"/>
        <v>3008</v>
      </c>
      <c r="B9" t="s">
        <v>1</v>
      </c>
      <c r="C9" t="s">
        <v>4</v>
      </c>
      <c r="D9" t="s">
        <v>129</v>
      </c>
      <c r="E9" t="s">
        <v>19</v>
      </c>
      <c r="F9" t="s">
        <v>53</v>
      </c>
      <c r="G9" t="s">
        <v>102</v>
      </c>
      <c r="H9">
        <v>0</v>
      </c>
      <c r="I9" t="str">
        <f t="shared" si="0"/>
        <v>3008,'BACHILLERATO','ADMINISTRACIÓN 2023','B 22A','RIOS CORONADO VERONICA','LEGALIDAD EMPRESARIAL','FEMENINO',0</v>
      </c>
      <c r="J9" t="str">
        <f t="shared" si="1"/>
        <v>INSERT INTO profesores (id,nivel,carrera,grupo,nombre,materia,sexo,sello) VALUES (3008,'BACHILLERATO','ADMINISTRACIÓN 2023','B 22A','RIOS CORONADO VERONICA','LEGALIDAD EMPRESARIAL','FEMENINO',0);</v>
      </c>
    </row>
    <row r="10" spans="1:10" x14ac:dyDescent="0.3">
      <c r="A10">
        <f t="shared" si="2"/>
        <v>3009</v>
      </c>
      <c r="B10" t="s">
        <v>1</v>
      </c>
      <c r="C10" t="s">
        <v>4</v>
      </c>
      <c r="D10" t="s">
        <v>130</v>
      </c>
      <c r="E10" t="s">
        <v>18</v>
      </c>
      <c r="F10" t="s">
        <v>52</v>
      </c>
      <c r="G10" t="s">
        <v>101</v>
      </c>
      <c r="H10">
        <v>0</v>
      </c>
      <c r="I10" t="str">
        <f t="shared" si="0"/>
        <v>3009,'BACHILLERATO','ADMINISTRACIÓN 2023','B 22B','RAMIREZ ORTIZ LUIS ALFONSO','MERCADOTECNIA','MASCULINO',0</v>
      </c>
      <c r="J10" t="str">
        <f t="shared" si="1"/>
        <v>INSERT INTO profesores (id,nivel,carrera,grupo,nombre,materia,sexo,sello) VALUES (3009,'BACHILLERATO','ADMINISTRACIÓN 2023','B 22B','RAMIREZ ORTIZ LUIS ALFONSO','MERCADOTECNIA','MASCULINO',0);</v>
      </c>
    </row>
    <row r="11" spans="1:10" x14ac:dyDescent="0.3">
      <c r="A11">
        <f t="shared" si="2"/>
        <v>3010</v>
      </c>
      <c r="B11" t="s">
        <v>1</v>
      </c>
      <c r="C11" t="s">
        <v>4</v>
      </c>
      <c r="D11" t="s">
        <v>130</v>
      </c>
      <c r="E11" t="s">
        <v>19</v>
      </c>
      <c r="F11" t="s">
        <v>53</v>
      </c>
      <c r="G11" t="s">
        <v>102</v>
      </c>
      <c r="H11">
        <v>0</v>
      </c>
      <c r="I11" t="str">
        <f t="shared" si="0"/>
        <v>3010,'BACHILLERATO','ADMINISTRACIÓN 2023','B 22B','RIOS CORONADO VERONICA','LEGALIDAD EMPRESARIAL','FEMENINO',0</v>
      </c>
      <c r="J11" t="str">
        <f t="shared" si="1"/>
        <v>INSERT INTO profesores (id,nivel,carrera,grupo,nombre,materia,sexo,sello) VALUES (3010,'BACHILLERATO','ADMINISTRACIÓN 2023','B 22B','RIOS CORONADO VERONICA','LEGALIDAD EMPRESARIAL','FEMENINO',0);</v>
      </c>
    </row>
    <row r="12" spans="1:10" x14ac:dyDescent="0.3">
      <c r="A12">
        <f t="shared" si="2"/>
        <v>3011</v>
      </c>
      <c r="B12" t="s">
        <v>1</v>
      </c>
      <c r="C12" t="s">
        <v>5</v>
      </c>
      <c r="D12" t="s">
        <v>149</v>
      </c>
      <c r="E12" t="s">
        <v>20</v>
      </c>
      <c r="F12" t="s">
        <v>54</v>
      </c>
      <c r="G12" t="s">
        <v>102</v>
      </c>
      <c r="H12">
        <v>0</v>
      </c>
      <c r="I12" t="str">
        <f t="shared" si="0"/>
        <v>3011,'BACHILLERATO','COMUNICACIÓN 2021','B 34','SANCHEZ DIAZ DURAN VERONICA AVRIL','COMUNICACIÓN ORGANIZACIONAL','FEMENINO',0</v>
      </c>
      <c r="J12" t="str">
        <f t="shared" si="1"/>
        <v>INSERT INTO profesores (id,nivel,carrera,grupo,nombre,materia,sexo,sello) VALUES (3011,'BACHILLERATO','COMUNICACIÓN 2021','B 34','SANCHEZ DIAZ DURAN VERONICA AVRIL','COMUNICACIÓN ORGANIZACIONAL','FEMENINO',0);</v>
      </c>
    </row>
    <row r="13" spans="1:10" x14ac:dyDescent="0.3">
      <c r="A13">
        <f t="shared" si="2"/>
        <v>3012</v>
      </c>
      <c r="B13" t="s">
        <v>1</v>
      </c>
      <c r="C13" t="s">
        <v>5</v>
      </c>
      <c r="D13" t="s">
        <v>149</v>
      </c>
      <c r="E13" t="s">
        <v>20</v>
      </c>
      <c r="F13" t="s">
        <v>55</v>
      </c>
      <c r="G13" t="s">
        <v>102</v>
      </c>
      <c r="H13">
        <v>0</v>
      </c>
      <c r="I13" t="str">
        <f t="shared" si="0"/>
        <v>3012,'BACHILLERATO','COMUNICACIÓN 2021','B 34','SANCHEZ DIAZ DURAN VERONICA AVRIL','PRODUCCIÓN AUDIOVISUAL','FEMENINO',0</v>
      </c>
      <c r="J13" t="str">
        <f t="shared" si="1"/>
        <v>INSERT INTO profesores (id,nivel,carrera,grupo,nombre,materia,sexo,sello) VALUES (3012,'BACHILLERATO','COMUNICACIÓN 2021','B 34','SANCHEZ DIAZ DURAN VERONICA AVRIL','PRODUCCIÓN AUDIOVISUAL','FEMENINO',0);</v>
      </c>
    </row>
    <row r="14" spans="1:10" x14ac:dyDescent="0.3">
      <c r="A14">
        <f t="shared" si="2"/>
        <v>3013</v>
      </c>
      <c r="B14" t="s">
        <v>1</v>
      </c>
      <c r="C14" t="s">
        <v>5</v>
      </c>
      <c r="D14" t="s">
        <v>105</v>
      </c>
      <c r="E14" t="s">
        <v>21</v>
      </c>
      <c r="F14" t="s">
        <v>56</v>
      </c>
      <c r="G14" t="s">
        <v>102</v>
      </c>
      <c r="H14">
        <v>0</v>
      </c>
      <c r="I14" t="str">
        <f t="shared" si="0"/>
        <v>3013,'BACHILLERATO','COMUNICACIÓN 2021','B ESTADISB','GRAJEDA ALVARADO ANA ISABEL','PROBABILIDAD Y ESTADISTICA II','FEMENINO',0</v>
      </c>
      <c r="J14" t="str">
        <f t="shared" si="1"/>
        <v>INSERT INTO profesores (id,nivel,carrera,grupo,nombre,materia,sexo,sello) VALUES (3013,'BACHILLERATO','COMUNICACIÓN 2021','B ESTADISB','GRAJEDA ALVARADO ANA ISABEL','PROBABILIDAD Y ESTADISTICA II','FEMENINO',0);</v>
      </c>
    </row>
    <row r="15" spans="1:10" x14ac:dyDescent="0.3">
      <c r="A15">
        <f t="shared" si="2"/>
        <v>3014</v>
      </c>
      <c r="B15" t="s">
        <v>1</v>
      </c>
      <c r="C15" t="s">
        <v>6</v>
      </c>
      <c r="D15" t="s">
        <v>150</v>
      </c>
      <c r="E15" t="s">
        <v>22</v>
      </c>
      <c r="F15" t="s">
        <v>57</v>
      </c>
      <c r="G15" t="s">
        <v>102</v>
      </c>
      <c r="H15">
        <v>0</v>
      </c>
      <c r="I15" t="str">
        <f t="shared" si="0"/>
        <v>3014,'BACHILLERATO','COMUNICACIÓN 2023','B 24','ARANA RAMIREZ MONICA CECILIA','PUBLICIDAD Y PROPAGANDA','FEMENINO',0</v>
      </c>
      <c r="J15" t="str">
        <f t="shared" si="1"/>
        <v>INSERT INTO profesores (id,nivel,carrera,grupo,nombre,materia,sexo,sello) VALUES (3014,'BACHILLERATO','COMUNICACIÓN 2023','B 24','ARANA RAMIREZ MONICA CECILIA','PUBLICIDAD Y PROPAGANDA','FEMENINO',0);</v>
      </c>
    </row>
    <row r="16" spans="1:10" x14ac:dyDescent="0.3">
      <c r="A16">
        <f t="shared" si="2"/>
        <v>3015</v>
      </c>
      <c r="B16" t="s">
        <v>1</v>
      </c>
      <c r="C16" t="s">
        <v>6</v>
      </c>
      <c r="D16" t="s">
        <v>150</v>
      </c>
      <c r="E16" t="s">
        <v>23</v>
      </c>
      <c r="F16" t="s">
        <v>58</v>
      </c>
      <c r="G16" t="s">
        <v>101</v>
      </c>
      <c r="H16">
        <v>0</v>
      </c>
      <c r="I16" t="str">
        <f t="shared" si="0"/>
        <v>3015,'BACHILLERATO','COMUNICACIÓN 2023','B 24','SANTOS JIMENEZ FAUSTO VINICIO','DISEÑO GRÁFICO','MASCULINO',0</v>
      </c>
      <c r="J16" t="str">
        <f t="shared" si="1"/>
        <v>INSERT INTO profesores (id,nivel,carrera,grupo,nombre,materia,sexo,sello) VALUES (3015,'BACHILLERATO','COMUNICACIÓN 2023','B 24','SANTOS JIMENEZ FAUSTO VINICIO','DISEÑO GRÁFICO','MASCULINO',0);</v>
      </c>
    </row>
    <row r="17" spans="1:10" x14ac:dyDescent="0.3">
      <c r="A17">
        <f t="shared" si="2"/>
        <v>3016</v>
      </c>
      <c r="B17" t="s">
        <v>1</v>
      </c>
      <c r="C17" t="s">
        <v>7</v>
      </c>
      <c r="D17" t="s">
        <v>151</v>
      </c>
      <c r="E17" t="s">
        <v>24</v>
      </c>
      <c r="F17" t="s">
        <v>59</v>
      </c>
      <c r="G17" t="s">
        <v>102</v>
      </c>
      <c r="H17">
        <v>0</v>
      </c>
      <c r="I17" t="str">
        <f t="shared" si="0"/>
        <v>3016,'BACHILLERATO','DISEÑO GRÁFICO 2021','B 33','ALONSO OROZCO LETICIA SARAHI','DISEÑO DE PRODUCTO SUSTENTABLE','FEMENINO',0</v>
      </c>
      <c r="J17" t="str">
        <f t="shared" si="1"/>
        <v>INSERT INTO profesores (id,nivel,carrera,grupo,nombre,materia,sexo,sello) VALUES (3016,'BACHILLERATO','DISEÑO GRÁFICO 2021','B 33','ALONSO OROZCO LETICIA SARAHI','DISEÑO DE PRODUCTO SUSTENTABLE','FEMENINO',0);</v>
      </c>
    </row>
    <row r="18" spans="1:10" x14ac:dyDescent="0.3">
      <c r="A18">
        <f t="shared" si="2"/>
        <v>3017</v>
      </c>
      <c r="B18" t="s">
        <v>1</v>
      </c>
      <c r="C18" t="s">
        <v>7</v>
      </c>
      <c r="D18" t="s">
        <v>151</v>
      </c>
      <c r="E18" t="s">
        <v>24</v>
      </c>
      <c r="F18" t="s">
        <v>60</v>
      </c>
      <c r="G18" t="s">
        <v>102</v>
      </c>
      <c r="H18">
        <v>0</v>
      </c>
      <c r="I18" t="str">
        <f t="shared" si="0"/>
        <v>3017,'BACHILLERATO','DISEÑO GRÁFICO 2021','B 33','ALONSO OROZCO LETICIA SARAHI','PRODUCTOS DE DIFUSIÓN MASIVA','FEMENINO',0</v>
      </c>
      <c r="J18" t="str">
        <f t="shared" si="1"/>
        <v>INSERT INTO profesores (id,nivel,carrera,grupo,nombre,materia,sexo,sello) VALUES (3017,'BACHILLERATO','DISEÑO GRÁFICO 2021','B 33','ALONSO OROZCO LETICIA SARAHI','PRODUCTOS DE DIFUSIÓN MASIVA','FEMENINO',0);</v>
      </c>
    </row>
    <row r="19" spans="1:10" x14ac:dyDescent="0.3">
      <c r="A19">
        <f t="shared" si="2"/>
        <v>3018</v>
      </c>
      <c r="B19" t="s">
        <v>1</v>
      </c>
      <c r="C19" t="s">
        <v>7</v>
      </c>
      <c r="D19" t="s">
        <v>106</v>
      </c>
      <c r="E19" t="s">
        <v>25</v>
      </c>
      <c r="F19" t="s">
        <v>56</v>
      </c>
      <c r="G19" t="s">
        <v>101</v>
      </c>
      <c r="H19">
        <v>0</v>
      </c>
      <c r="I19" t="str">
        <f t="shared" si="0"/>
        <v>3018,'BACHILLERATO','DISEÑO GRÁFICO 2021','B ESTADISA','HERNANDEZ NAVARRO ROBERTO','PROBABILIDAD Y ESTADISTICA II','MASCULINO',0</v>
      </c>
      <c r="J19" t="str">
        <f t="shared" si="1"/>
        <v>INSERT INTO profesores (id,nivel,carrera,grupo,nombre,materia,sexo,sello) VALUES (3018,'BACHILLERATO','DISEÑO GRÁFICO 2021','B ESTADISA','HERNANDEZ NAVARRO ROBERTO','PROBABILIDAD Y ESTADISTICA II','MASCULINO',0);</v>
      </c>
    </row>
    <row r="20" spans="1:10" x14ac:dyDescent="0.3">
      <c r="A20">
        <f t="shared" si="2"/>
        <v>3019</v>
      </c>
      <c r="B20" t="s">
        <v>1</v>
      </c>
      <c r="C20" t="s">
        <v>8</v>
      </c>
      <c r="D20" t="s">
        <v>152</v>
      </c>
      <c r="E20" t="s">
        <v>24</v>
      </c>
      <c r="F20" t="s">
        <v>61</v>
      </c>
      <c r="G20" t="s">
        <v>102</v>
      </c>
      <c r="H20">
        <v>0</v>
      </c>
      <c r="I20" t="str">
        <f t="shared" si="0"/>
        <v>3019,'BACHILLERATO','DISEÑO GRÁFICO 2023','B 23','ALONSO OROZCO LETICIA SARAHI','TEORÍA DEL COLOR','FEMENINO',0</v>
      </c>
      <c r="J20" t="str">
        <f t="shared" si="1"/>
        <v>INSERT INTO profesores (id,nivel,carrera,grupo,nombre,materia,sexo,sello) VALUES (3019,'BACHILLERATO','DISEÑO GRÁFICO 2023','B 23','ALONSO OROZCO LETICIA SARAHI','TEORÍA DEL COLOR','FEMENINO',0);</v>
      </c>
    </row>
    <row r="21" spans="1:10" x14ac:dyDescent="0.3">
      <c r="A21">
        <f t="shared" si="2"/>
        <v>3020</v>
      </c>
      <c r="B21" t="s">
        <v>1</v>
      </c>
      <c r="C21" t="s">
        <v>8</v>
      </c>
      <c r="D21" t="s">
        <v>152</v>
      </c>
      <c r="E21" t="s">
        <v>24</v>
      </c>
      <c r="F21" t="s">
        <v>62</v>
      </c>
      <c r="G21" t="s">
        <v>102</v>
      </c>
      <c r="H21">
        <v>0</v>
      </c>
      <c r="I21" t="str">
        <f t="shared" si="0"/>
        <v>3020,'BACHILLERATO','DISEÑO GRÁFICO 2023','B 23','ALONSO OROZCO LETICIA SARAHI','TIPOGRAFÍA Y PRODUCTOS EDITORIALES','FEMENINO',0</v>
      </c>
      <c r="J21" t="str">
        <f t="shared" si="1"/>
        <v>INSERT INTO profesores (id,nivel,carrera,grupo,nombre,materia,sexo,sello) VALUES (3020,'BACHILLERATO','DISEÑO GRÁFICO 2023','B 23','ALONSO OROZCO LETICIA SARAHI','TIPOGRAFÍA Y PRODUCTOS EDITORIALES','FEMENINO',0);</v>
      </c>
    </row>
    <row r="22" spans="1:10" x14ac:dyDescent="0.3">
      <c r="A22">
        <f t="shared" si="2"/>
        <v>3021</v>
      </c>
      <c r="B22" t="s">
        <v>1</v>
      </c>
      <c r="C22" t="s">
        <v>9</v>
      </c>
      <c r="D22" t="s">
        <v>153</v>
      </c>
      <c r="E22" t="s">
        <v>26</v>
      </c>
      <c r="F22" t="s">
        <v>63</v>
      </c>
      <c r="G22" t="s">
        <v>101</v>
      </c>
      <c r="H22">
        <v>0</v>
      </c>
      <c r="I22" t="str">
        <f t="shared" si="0"/>
        <v>3021,'BACHILLERATO','ELECTRÓNICA 2020','B 35','AVILA TORRES MANUEL ANDRES','INTRODUCCIÓN AL CONTROL INDUSTRIAL','MASCULINO',0</v>
      </c>
      <c r="J22" t="str">
        <f t="shared" si="1"/>
        <v>INSERT INTO profesores (id,nivel,carrera,grupo,nombre,materia,sexo,sello) VALUES (3021,'BACHILLERATO','ELECTRÓNICA 2020','B 35','AVILA TORRES MANUEL ANDRES','INTRODUCCIÓN AL CONTROL INDUSTRIAL','MASCULINO',0);</v>
      </c>
    </row>
    <row r="23" spans="1:10" x14ac:dyDescent="0.3">
      <c r="A23">
        <f t="shared" si="2"/>
        <v>3022</v>
      </c>
      <c r="B23" t="s">
        <v>1</v>
      </c>
      <c r="C23" t="s">
        <v>9</v>
      </c>
      <c r="D23" t="s">
        <v>153</v>
      </c>
      <c r="E23" t="s">
        <v>26</v>
      </c>
      <c r="F23" t="s">
        <v>64</v>
      </c>
      <c r="G23" t="s">
        <v>101</v>
      </c>
      <c r="H23">
        <v>0</v>
      </c>
      <c r="I23" t="str">
        <f t="shared" si="0"/>
        <v>3022,'BACHILLERATO','ELECTRÓNICA 2020','B 35','AVILA TORRES MANUEL ANDRES','INTRODUCCIÓN AL DISEÑO INDUSTRIAL E IMPRESIÓN 3D','MASCULINO',0</v>
      </c>
      <c r="J23" t="str">
        <f t="shared" si="1"/>
        <v>INSERT INTO profesores (id,nivel,carrera,grupo,nombre,materia,sexo,sello) VALUES (3022,'BACHILLERATO','ELECTRÓNICA 2020','B 35','AVILA TORRES MANUEL ANDRES','INTRODUCCIÓN AL DISEÑO INDUSTRIAL E IMPRESIÓN 3D','MASCULINO',0);</v>
      </c>
    </row>
    <row r="24" spans="1:10" x14ac:dyDescent="0.3">
      <c r="A24">
        <f t="shared" si="2"/>
        <v>3023</v>
      </c>
      <c r="B24" t="s">
        <v>1</v>
      </c>
      <c r="C24" t="s">
        <v>9</v>
      </c>
      <c r="D24" t="s">
        <v>115</v>
      </c>
      <c r="E24" t="s">
        <v>27</v>
      </c>
      <c r="F24" t="s">
        <v>65</v>
      </c>
      <c r="G24" t="s">
        <v>102</v>
      </c>
      <c r="H24">
        <v>0</v>
      </c>
      <c r="I24" t="str">
        <f t="shared" si="0"/>
        <v>3023,'BACHILLERATO','ELECTRÓNICA 2020','B CALINTE','PONCE LEMUS YAZMIN','CÁLCULO INTEGRAL ','FEMENINO',0</v>
      </c>
      <c r="J24" t="str">
        <f t="shared" si="1"/>
        <v>INSERT INTO profesores (id,nivel,carrera,grupo,nombre,materia,sexo,sello) VALUES (3023,'BACHILLERATO','ELECTRÓNICA 2020','B CALINTE','PONCE LEMUS YAZMIN','CÁLCULO INTEGRAL ','FEMENINO',0);</v>
      </c>
    </row>
    <row r="25" spans="1:10" x14ac:dyDescent="0.3">
      <c r="A25">
        <f t="shared" si="2"/>
        <v>3024</v>
      </c>
      <c r="B25" t="s">
        <v>1</v>
      </c>
      <c r="C25" t="s">
        <v>10</v>
      </c>
      <c r="D25" t="s">
        <v>154</v>
      </c>
      <c r="E25" t="s">
        <v>26</v>
      </c>
      <c r="F25" t="s">
        <v>66</v>
      </c>
      <c r="G25" t="s">
        <v>101</v>
      </c>
      <c r="H25">
        <v>0</v>
      </c>
      <c r="I25" t="str">
        <f t="shared" si="0"/>
        <v>3024,'BACHILLERATO','ELECTRÓNICA 2023','B 25','AVILA TORRES MANUEL ANDRES','ANÁLISIS DE CIRCUITOS ANALÓGICOS','MASCULINO',0</v>
      </c>
      <c r="J25" t="str">
        <f t="shared" si="1"/>
        <v>INSERT INTO profesores (id,nivel,carrera,grupo,nombre,materia,sexo,sello) VALUES (3024,'BACHILLERATO','ELECTRÓNICA 2023','B 25','AVILA TORRES MANUEL ANDRES','ANÁLISIS DE CIRCUITOS ANALÓGICOS','MASCULINO',0);</v>
      </c>
    </row>
    <row r="26" spans="1:10" x14ac:dyDescent="0.3">
      <c r="A26">
        <f t="shared" si="2"/>
        <v>3025</v>
      </c>
      <c r="B26" t="s">
        <v>1</v>
      </c>
      <c r="C26" t="s">
        <v>10</v>
      </c>
      <c r="D26" t="s">
        <v>154</v>
      </c>
      <c r="E26" t="s">
        <v>26</v>
      </c>
      <c r="F26" t="s">
        <v>67</v>
      </c>
      <c r="G26" t="s">
        <v>101</v>
      </c>
      <c r="H26">
        <v>0</v>
      </c>
      <c r="I26" t="str">
        <f t="shared" si="0"/>
        <v>3025,'BACHILLERATO','ELECTRÓNICA 2023','B 25','AVILA TORRES MANUEL ANDRES','SEMICONDUCTORES','MASCULINO',0</v>
      </c>
      <c r="J26" t="str">
        <f t="shared" si="1"/>
        <v>INSERT INTO profesores (id,nivel,carrera,grupo,nombre,materia,sexo,sello) VALUES (3025,'BACHILLERATO','ELECTRÓNICA 2023','B 25','AVILA TORRES MANUEL ANDRES','SEMICONDUCTORES','MASCULINO',0);</v>
      </c>
    </row>
    <row r="27" spans="1:10" x14ac:dyDescent="0.3">
      <c r="A27">
        <f t="shared" si="2"/>
        <v>3026</v>
      </c>
      <c r="B27" t="s">
        <v>1</v>
      </c>
      <c r="C27" t="s">
        <v>11</v>
      </c>
      <c r="D27" t="s">
        <v>131</v>
      </c>
      <c r="E27" t="s">
        <v>28</v>
      </c>
      <c r="F27" t="s">
        <v>68</v>
      </c>
      <c r="G27" t="s">
        <v>102</v>
      </c>
      <c r="H27">
        <v>0</v>
      </c>
      <c r="I27" t="str">
        <f t="shared" si="0"/>
        <v>3026,'BACHILLERATO','HIGIENE Y SALUD COMUNITARIA 2021','B 31A','JIMENEZ HERNANDEZ DULCE ADEI ','CUIDADO DEL PACIENTE GERIÁTRICO','FEMENINO',0</v>
      </c>
      <c r="J27" t="str">
        <f t="shared" si="1"/>
        <v>INSERT INTO profesores (id,nivel,carrera,grupo,nombre,materia,sexo,sello) VALUES (3026,'BACHILLERATO','HIGIENE Y SALUD COMUNITARIA 2021','B 31A','JIMENEZ HERNANDEZ DULCE ADEI ','CUIDADO DEL PACIENTE GERIÁTRICO','FEMENINO',0);</v>
      </c>
    </row>
    <row r="28" spans="1:10" x14ac:dyDescent="0.3">
      <c r="A28">
        <f t="shared" si="2"/>
        <v>3027</v>
      </c>
      <c r="B28" t="s">
        <v>1</v>
      </c>
      <c r="C28" t="s">
        <v>11</v>
      </c>
      <c r="D28" t="s">
        <v>131</v>
      </c>
      <c r="E28" t="s">
        <v>29</v>
      </c>
      <c r="F28" t="s">
        <v>69</v>
      </c>
      <c r="G28" t="s">
        <v>101</v>
      </c>
      <c r="H28">
        <v>0</v>
      </c>
      <c r="I28" t="str">
        <f t="shared" si="0"/>
        <v>3027,'BACHILLERATO','HIGIENE Y SALUD COMUNITARIA 2021','B 31A','LOPEZ ORTEGA SALVADOR','TÉCNICAS CLÍNICAS II','MASCULINO',0</v>
      </c>
      <c r="J28" t="str">
        <f t="shared" si="1"/>
        <v>INSERT INTO profesores (id,nivel,carrera,grupo,nombre,materia,sexo,sello) VALUES (3027,'BACHILLERATO','HIGIENE Y SALUD COMUNITARIA 2021','B 31A','LOPEZ ORTEGA SALVADOR','TÉCNICAS CLÍNICAS II','MASCULINO',0);</v>
      </c>
    </row>
    <row r="29" spans="1:10" x14ac:dyDescent="0.3">
      <c r="A29">
        <f t="shared" si="2"/>
        <v>3028</v>
      </c>
      <c r="B29" t="s">
        <v>1</v>
      </c>
      <c r="C29" t="s">
        <v>11</v>
      </c>
      <c r="D29" t="s">
        <v>132</v>
      </c>
      <c r="E29" t="s">
        <v>28</v>
      </c>
      <c r="F29" t="s">
        <v>68</v>
      </c>
      <c r="G29" t="s">
        <v>102</v>
      </c>
      <c r="H29">
        <v>0</v>
      </c>
      <c r="I29" t="str">
        <f t="shared" si="0"/>
        <v>3028,'BACHILLERATO','HIGIENE Y SALUD COMUNITARIA 2021','B 31B','JIMENEZ HERNANDEZ DULCE ADEI ','CUIDADO DEL PACIENTE GERIÁTRICO','FEMENINO',0</v>
      </c>
      <c r="J29" t="str">
        <f t="shared" si="1"/>
        <v>INSERT INTO profesores (id,nivel,carrera,grupo,nombre,materia,sexo,sello) VALUES (3028,'BACHILLERATO','HIGIENE Y SALUD COMUNITARIA 2021','B 31B','JIMENEZ HERNANDEZ DULCE ADEI ','CUIDADO DEL PACIENTE GERIÁTRICO','FEMENINO',0);</v>
      </c>
    </row>
    <row r="30" spans="1:10" x14ac:dyDescent="0.3">
      <c r="A30">
        <f t="shared" si="2"/>
        <v>3029</v>
      </c>
      <c r="B30" t="s">
        <v>1</v>
      </c>
      <c r="C30" t="s">
        <v>11</v>
      </c>
      <c r="D30" t="s">
        <v>132</v>
      </c>
      <c r="E30" t="s">
        <v>29</v>
      </c>
      <c r="F30" t="s">
        <v>69</v>
      </c>
      <c r="G30" t="s">
        <v>101</v>
      </c>
      <c r="H30">
        <v>0</v>
      </c>
      <c r="I30" t="str">
        <f t="shared" si="0"/>
        <v>3029,'BACHILLERATO','HIGIENE Y SALUD COMUNITARIA 2021','B 31B','LOPEZ ORTEGA SALVADOR','TÉCNICAS CLÍNICAS II','MASCULINO',0</v>
      </c>
      <c r="J30" t="str">
        <f t="shared" si="1"/>
        <v>INSERT INTO profesores (id,nivel,carrera,grupo,nombre,materia,sexo,sello) VALUES (3029,'BACHILLERATO','HIGIENE Y SALUD COMUNITARIA 2021','B 31B','LOPEZ ORTEGA SALVADOR','TÉCNICAS CLÍNICAS II','MASCULINO',0);</v>
      </c>
    </row>
    <row r="31" spans="1:10" x14ac:dyDescent="0.3">
      <c r="A31">
        <f t="shared" si="2"/>
        <v>3030</v>
      </c>
      <c r="B31" t="s">
        <v>1</v>
      </c>
      <c r="C31" t="s">
        <v>12</v>
      </c>
      <c r="D31" t="s">
        <v>133</v>
      </c>
      <c r="E31" t="s">
        <v>28</v>
      </c>
      <c r="F31" t="s">
        <v>70</v>
      </c>
      <c r="G31" t="s">
        <v>102</v>
      </c>
      <c r="H31">
        <v>0</v>
      </c>
      <c r="I31" t="str">
        <f t="shared" si="0"/>
        <v>3030,'BACHILLERATO','HIGIENE Y SALUD COMUNITARIA 2023','B 21A','JIMENEZ HERNANDEZ DULCE ADEI ','SALUD PÚBLICA','FEMENINO',0</v>
      </c>
      <c r="J31" t="str">
        <f t="shared" si="1"/>
        <v>INSERT INTO profesores (id,nivel,carrera,grupo,nombre,materia,sexo,sello) VALUES (3030,'BACHILLERATO','HIGIENE Y SALUD COMUNITARIA 2023','B 21A','JIMENEZ HERNANDEZ DULCE ADEI ','SALUD PÚBLICA','FEMENINO',0);</v>
      </c>
    </row>
    <row r="32" spans="1:10" x14ac:dyDescent="0.3">
      <c r="A32">
        <f t="shared" si="2"/>
        <v>3031</v>
      </c>
      <c r="B32" t="s">
        <v>1</v>
      </c>
      <c r="C32" t="s">
        <v>12</v>
      </c>
      <c r="D32" t="s">
        <v>133</v>
      </c>
      <c r="E32" t="s">
        <v>30</v>
      </c>
      <c r="F32" t="s">
        <v>71</v>
      </c>
      <c r="G32" t="s">
        <v>101</v>
      </c>
      <c r="H32">
        <v>0</v>
      </c>
      <c r="I32" t="str">
        <f t="shared" si="0"/>
        <v>3031,'BACHILLERATO','HIGIENE Y SALUD COMUNITARIA 2023','B 21A','RIVAS GONZALEZ MARIO ALBERTO','NUTRICIÓN','MASCULINO',0</v>
      </c>
      <c r="J32" t="str">
        <f t="shared" si="1"/>
        <v>INSERT INTO profesores (id,nivel,carrera,grupo,nombre,materia,sexo,sello) VALUES (3031,'BACHILLERATO','HIGIENE Y SALUD COMUNITARIA 2023','B 21A','RIVAS GONZALEZ MARIO ALBERTO','NUTRICIÓN','MASCULINO',0);</v>
      </c>
    </row>
    <row r="33" spans="1:10" x14ac:dyDescent="0.3">
      <c r="A33">
        <f t="shared" si="2"/>
        <v>3032</v>
      </c>
      <c r="B33" t="s">
        <v>1</v>
      </c>
      <c r="C33" t="s">
        <v>12</v>
      </c>
      <c r="D33" t="s">
        <v>134</v>
      </c>
      <c r="E33" t="s">
        <v>28</v>
      </c>
      <c r="F33" t="s">
        <v>70</v>
      </c>
      <c r="G33" t="s">
        <v>102</v>
      </c>
      <c r="H33">
        <v>0</v>
      </c>
      <c r="I33" t="str">
        <f t="shared" si="0"/>
        <v>3032,'BACHILLERATO','HIGIENE Y SALUD COMUNITARIA 2023','B 21B','JIMENEZ HERNANDEZ DULCE ADEI ','SALUD PÚBLICA','FEMENINO',0</v>
      </c>
      <c r="J33" t="str">
        <f t="shared" si="1"/>
        <v>INSERT INTO profesores (id,nivel,carrera,grupo,nombre,materia,sexo,sello) VALUES (3032,'BACHILLERATO','HIGIENE Y SALUD COMUNITARIA 2023','B 21B','JIMENEZ HERNANDEZ DULCE ADEI ','SALUD PÚBLICA','FEMENINO',0);</v>
      </c>
    </row>
    <row r="34" spans="1:10" x14ac:dyDescent="0.3">
      <c r="A34">
        <f t="shared" si="2"/>
        <v>3033</v>
      </c>
      <c r="B34" t="s">
        <v>1</v>
      </c>
      <c r="C34" t="s">
        <v>12</v>
      </c>
      <c r="D34" t="s">
        <v>134</v>
      </c>
      <c r="E34" t="s">
        <v>30</v>
      </c>
      <c r="F34" t="s">
        <v>71</v>
      </c>
      <c r="G34" t="s">
        <v>101</v>
      </c>
      <c r="H34">
        <v>0</v>
      </c>
      <c r="I34" t="str">
        <f t="shared" si="0"/>
        <v>3033,'BACHILLERATO','HIGIENE Y SALUD COMUNITARIA 2023','B 21B','RIVAS GONZALEZ MARIO ALBERTO','NUTRICIÓN','MASCULINO',0</v>
      </c>
      <c r="J34" t="str">
        <f t="shared" si="1"/>
        <v>INSERT INTO profesores (id,nivel,carrera,grupo,nombre,materia,sexo,sello) VALUES (3033,'BACHILLERATO','HIGIENE Y SALUD COMUNITARIA 2023','B 21B','RIVAS GONZALEZ MARIO ALBERTO','NUTRICIÓN','MASCULINO',0);</v>
      </c>
    </row>
    <row r="35" spans="1:10" x14ac:dyDescent="0.3">
      <c r="A35">
        <f t="shared" si="2"/>
        <v>3034</v>
      </c>
      <c r="B35" t="s">
        <v>1</v>
      </c>
      <c r="C35" t="s">
        <v>13</v>
      </c>
      <c r="D35" t="s">
        <v>135</v>
      </c>
      <c r="E35" t="s">
        <v>31</v>
      </c>
      <c r="F35" t="s">
        <v>72</v>
      </c>
      <c r="G35" t="s">
        <v>102</v>
      </c>
      <c r="H35">
        <v>0</v>
      </c>
      <c r="I35" t="str">
        <f t="shared" si="0"/>
        <v>3034,'BACHILLERATO','TRONCO COMÚN 2021','B 331','BECERRA GONZALEZ KIMBERLY CATALINA','ECOLOGÍA Y MEDIO AMBIENTE','FEMENINO',0</v>
      </c>
      <c r="J35" t="str">
        <f t="shared" si="1"/>
        <v>INSERT INTO profesores (id,nivel,carrera,grupo,nombre,materia,sexo,sello) VALUES (3034,'BACHILLERATO','TRONCO COMÚN 2021','B 331','BECERRA GONZALEZ KIMBERLY CATALINA','ECOLOGÍA Y MEDIO AMBIENTE','FEMENINO',0);</v>
      </c>
    </row>
    <row r="36" spans="1:10" x14ac:dyDescent="0.3">
      <c r="A36">
        <f t="shared" si="2"/>
        <v>3035</v>
      </c>
      <c r="B36" t="s">
        <v>1</v>
      </c>
      <c r="C36" t="s">
        <v>13</v>
      </c>
      <c r="D36" t="s">
        <v>135</v>
      </c>
      <c r="E36" t="s">
        <v>32</v>
      </c>
      <c r="F36" t="s">
        <v>73</v>
      </c>
      <c r="G36" t="s">
        <v>101</v>
      </c>
      <c r="H36">
        <v>0</v>
      </c>
      <c r="I36" t="str">
        <f t="shared" si="0"/>
        <v>3035,'BACHILLERATO','TRONCO COMÚN 2021','B 331','ESPARZA ESTRADA CARLOS ISMAEL','FILOSOFÍA','MASCULINO',0</v>
      </c>
      <c r="J36" t="str">
        <f t="shared" si="1"/>
        <v>INSERT INTO profesores (id,nivel,carrera,grupo,nombre,materia,sexo,sello) VALUES (3035,'BACHILLERATO','TRONCO COMÚN 2021','B 331','ESPARZA ESTRADA CARLOS ISMAEL','FILOSOFÍA','MASCULINO',0);</v>
      </c>
    </row>
    <row r="37" spans="1:10" x14ac:dyDescent="0.3">
      <c r="A37">
        <f t="shared" si="2"/>
        <v>3036</v>
      </c>
      <c r="B37" t="s">
        <v>1</v>
      </c>
      <c r="C37" t="s">
        <v>13</v>
      </c>
      <c r="D37" t="s">
        <v>135</v>
      </c>
      <c r="E37" t="s">
        <v>32</v>
      </c>
      <c r="F37" t="s">
        <v>74</v>
      </c>
      <c r="G37" t="s">
        <v>101</v>
      </c>
      <c r="H37">
        <v>0</v>
      </c>
      <c r="I37" t="str">
        <f t="shared" si="0"/>
        <v>3036,'BACHILLERATO','TRONCO COMÚN 2021','B 331','ESPARZA ESTRADA CARLOS ISMAEL','TALLER DE INTEGRACIÓN SOCIAL II','MASCULINO',0</v>
      </c>
      <c r="J37" t="str">
        <f t="shared" si="1"/>
        <v>INSERT INTO profesores (id,nivel,carrera,grupo,nombre,materia,sexo,sello) VALUES (3036,'BACHILLERATO','TRONCO COMÚN 2021','B 331','ESPARZA ESTRADA CARLOS ISMAEL','TALLER DE INTEGRACIÓN SOCIAL II','MASCULINO',0);</v>
      </c>
    </row>
    <row r="38" spans="1:10" x14ac:dyDescent="0.3">
      <c r="A38">
        <f t="shared" si="2"/>
        <v>3037</v>
      </c>
      <c r="B38" t="s">
        <v>1</v>
      </c>
      <c r="C38" t="s">
        <v>13</v>
      </c>
      <c r="D38" t="s">
        <v>135</v>
      </c>
      <c r="E38" t="s">
        <v>33</v>
      </c>
      <c r="F38" t="s">
        <v>75</v>
      </c>
      <c r="G38" t="s">
        <v>101</v>
      </c>
      <c r="H38">
        <v>0</v>
      </c>
      <c r="I38" t="str">
        <f t="shared" si="0"/>
        <v>3037,'BACHILLERATO','TRONCO COMÚN 2021','B 331','GUZMAN VERA MOISES GREGORIO','ETIMOLOGÍAS GRECOLATINAS II','MASCULINO',0</v>
      </c>
      <c r="J38" t="str">
        <f t="shared" si="1"/>
        <v>INSERT INTO profesores (id,nivel,carrera,grupo,nombre,materia,sexo,sello) VALUES (3037,'BACHILLERATO','TRONCO COMÚN 2021','B 331','GUZMAN VERA MOISES GREGORIO','ETIMOLOGÍAS GRECOLATINAS II','MASCULINO',0);</v>
      </c>
    </row>
    <row r="39" spans="1:10" x14ac:dyDescent="0.3">
      <c r="A39">
        <f t="shared" si="2"/>
        <v>3038</v>
      </c>
      <c r="B39" t="s">
        <v>1</v>
      </c>
      <c r="C39" t="s">
        <v>13</v>
      </c>
      <c r="D39" t="s">
        <v>135</v>
      </c>
      <c r="E39" t="s">
        <v>34</v>
      </c>
      <c r="F39" t="s">
        <v>76</v>
      </c>
      <c r="G39" t="s">
        <v>102</v>
      </c>
      <c r="H39">
        <v>0</v>
      </c>
      <c r="I39" t="str">
        <f t="shared" si="0"/>
        <v>3038,'BACHILLERATO','TRONCO COMÚN 2021','B 331','JAUREGUI MORENO NIDIA','SOCIOLOGÍA II','FEMENINO',0</v>
      </c>
      <c r="J39" t="str">
        <f t="shared" si="1"/>
        <v>INSERT INTO profesores (id,nivel,carrera,grupo,nombre,materia,sexo,sello) VALUES (3038,'BACHILLERATO','TRONCO COMÚN 2021','B 331','JAUREGUI MORENO NIDIA','SOCIOLOGÍA II','FEMENINO',0);</v>
      </c>
    </row>
    <row r="40" spans="1:10" x14ac:dyDescent="0.3">
      <c r="A40">
        <f t="shared" si="2"/>
        <v>3039</v>
      </c>
      <c r="B40" t="s">
        <v>1</v>
      </c>
      <c r="C40" t="s">
        <v>13</v>
      </c>
      <c r="D40" t="s">
        <v>135</v>
      </c>
      <c r="E40" t="s">
        <v>30</v>
      </c>
      <c r="F40" t="s">
        <v>77</v>
      </c>
      <c r="G40" t="s">
        <v>101</v>
      </c>
      <c r="H40">
        <v>0</v>
      </c>
      <c r="I40" t="str">
        <f t="shared" si="0"/>
        <v>3039,'BACHILLERATO','TRONCO COMÚN 2021','B 331','RIVAS GONZALEZ MARIO ALBERTO','ACTIVIDADES CULTURALES Y DEPORTIVAS VI','MASCULINO',0</v>
      </c>
      <c r="J40" t="str">
        <f t="shared" si="1"/>
        <v>INSERT INTO profesores (id,nivel,carrera,grupo,nombre,materia,sexo,sello) VALUES (3039,'BACHILLERATO','TRONCO COMÚN 2021','B 331','RIVAS GONZALEZ MARIO ALBERTO','ACTIVIDADES CULTURALES Y DEPORTIVAS VI','MASCULINO',0);</v>
      </c>
    </row>
    <row r="41" spans="1:10" x14ac:dyDescent="0.3">
      <c r="A41">
        <f t="shared" si="2"/>
        <v>3040</v>
      </c>
      <c r="B41" t="s">
        <v>1</v>
      </c>
      <c r="C41" t="s">
        <v>13</v>
      </c>
      <c r="D41" t="s">
        <v>135</v>
      </c>
      <c r="E41" t="s">
        <v>35</v>
      </c>
      <c r="F41" t="s">
        <v>78</v>
      </c>
      <c r="G41" t="s">
        <v>101</v>
      </c>
      <c r="H41">
        <v>0</v>
      </c>
      <c r="I41" t="str">
        <f t="shared" si="0"/>
        <v>3040,'BACHILLERATO','TRONCO COMÚN 2021','B 331','RUANOVA LABRA FERNANDO','PSICOLOGÍA II','MASCULINO',0</v>
      </c>
      <c r="J41" t="str">
        <f t="shared" si="1"/>
        <v>INSERT INTO profesores (id,nivel,carrera,grupo,nombre,materia,sexo,sello) VALUES (3040,'BACHILLERATO','TRONCO COMÚN 2021','B 331','RUANOVA LABRA FERNANDO','PSICOLOGÍA II','MASCULINO',0);</v>
      </c>
    </row>
    <row r="42" spans="1:10" x14ac:dyDescent="0.3">
      <c r="A42">
        <f t="shared" si="2"/>
        <v>3041</v>
      </c>
      <c r="B42" t="s">
        <v>1</v>
      </c>
      <c r="C42" t="s">
        <v>13</v>
      </c>
      <c r="D42" t="s">
        <v>135</v>
      </c>
      <c r="E42" t="s">
        <v>36</v>
      </c>
      <c r="F42" t="s">
        <v>79</v>
      </c>
      <c r="G42" t="s">
        <v>101</v>
      </c>
      <c r="H42">
        <v>0</v>
      </c>
      <c r="I42" t="str">
        <f t="shared" si="0"/>
        <v>3041,'BACHILLERATO','TRONCO COMÚN 2021','B 331','VAZQUEZ GONZALEZ JOSE VALENTIN','HISTORIA UNIVERSAL CONTEMPORÁNEA','MASCULINO',0</v>
      </c>
      <c r="J42" t="str">
        <f t="shared" si="1"/>
        <v>INSERT INTO profesores (id,nivel,carrera,grupo,nombre,materia,sexo,sello) VALUES (3041,'BACHILLERATO','TRONCO COMÚN 2021','B 331','VAZQUEZ GONZALEZ JOSE VALENTIN','HISTORIA UNIVERSAL CONTEMPORÁNEA','MASCULINO',0);</v>
      </c>
    </row>
    <row r="43" spans="1:10" x14ac:dyDescent="0.3">
      <c r="A43">
        <f t="shared" si="2"/>
        <v>3042</v>
      </c>
      <c r="B43" t="s">
        <v>1</v>
      </c>
      <c r="C43" t="s">
        <v>13</v>
      </c>
      <c r="D43" t="s">
        <v>136</v>
      </c>
      <c r="E43" t="s">
        <v>31</v>
      </c>
      <c r="F43" t="s">
        <v>72</v>
      </c>
      <c r="G43" t="s">
        <v>102</v>
      </c>
      <c r="H43">
        <v>0</v>
      </c>
      <c r="I43" t="str">
        <f t="shared" si="0"/>
        <v>3042,'BACHILLERATO','TRONCO COMÚN 2021','B 332','BECERRA GONZALEZ KIMBERLY CATALINA','ECOLOGÍA Y MEDIO AMBIENTE','FEMENINO',0</v>
      </c>
      <c r="J43" t="str">
        <f t="shared" si="1"/>
        <v>INSERT INTO profesores (id,nivel,carrera,grupo,nombre,materia,sexo,sello) VALUES (3042,'BACHILLERATO','TRONCO COMÚN 2021','B 332','BECERRA GONZALEZ KIMBERLY CATALINA','ECOLOGÍA Y MEDIO AMBIENTE','FEMENINO',0);</v>
      </c>
    </row>
    <row r="44" spans="1:10" x14ac:dyDescent="0.3">
      <c r="A44">
        <f t="shared" si="2"/>
        <v>3043</v>
      </c>
      <c r="B44" t="s">
        <v>1</v>
      </c>
      <c r="C44" t="s">
        <v>13</v>
      </c>
      <c r="D44" t="s">
        <v>136</v>
      </c>
      <c r="E44" t="s">
        <v>32</v>
      </c>
      <c r="F44" t="s">
        <v>73</v>
      </c>
      <c r="G44" t="s">
        <v>101</v>
      </c>
      <c r="H44">
        <v>0</v>
      </c>
      <c r="I44" t="str">
        <f t="shared" si="0"/>
        <v>3043,'BACHILLERATO','TRONCO COMÚN 2021','B 332','ESPARZA ESTRADA CARLOS ISMAEL','FILOSOFÍA','MASCULINO',0</v>
      </c>
      <c r="J44" t="str">
        <f t="shared" si="1"/>
        <v>INSERT INTO profesores (id,nivel,carrera,grupo,nombre,materia,sexo,sello) VALUES (3043,'BACHILLERATO','TRONCO COMÚN 2021','B 332','ESPARZA ESTRADA CARLOS ISMAEL','FILOSOFÍA','MASCULINO',0);</v>
      </c>
    </row>
    <row r="45" spans="1:10" x14ac:dyDescent="0.3">
      <c r="A45">
        <f t="shared" si="2"/>
        <v>3044</v>
      </c>
      <c r="B45" t="s">
        <v>1</v>
      </c>
      <c r="C45" t="s">
        <v>13</v>
      </c>
      <c r="D45" t="s">
        <v>136</v>
      </c>
      <c r="E45" t="s">
        <v>32</v>
      </c>
      <c r="F45" t="s">
        <v>79</v>
      </c>
      <c r="G45" t="s">
        <v>101</v>
      </c>
      <c r="H45">
        <v>0</v>
      </c>
      <c r="I45" t="str">
        <f t="shared" si="0"/>
        <v>3044,'BACHILLERATO','TRONCO COMÚN 2021','B 332','ESPARZA ESTRADA CARLOS ISMAEL','HISTORIA UNIVERSAL CONTEMPORÁNEA','MASCULINO',0</v>
      </c>
      <c r="J45" t="str">
        <f t="shared" si="1"/>
        <v>INSERT INTO profesores (id,nivel,carrera,grupo,nombre,materia,sexo,sello) VALUES (3044,'BACHILLERATO','TRONCO COMÚN 2021','B 332','ESPARZA ESTRADA CARLOS ISMAEL','HISTORIA UNIVERSAL CONTEMPORÁNEA','MASCULINO',0);</v>
      </c>
    </row>
    <row r="46" spans="1:10" x14ac:dyDescent="0.3">
      <c r="A46">
        <f t="shared" si="2"/>
        <v>3045</v>
      </c>
      <c r="B46" t="s">
        <v>1</v>
      </c>
      <c r="C46" t="s">
        <v>13</v>
      </c>
      <c r="D46" t="s">
        <v>136</v>
      </c>
      <c r="E46" t="s">
        <v>33</v>
      </c>
      <c r="F46" t="s">
        <v>75</v>
      </c>
      <c r="G46" t="s">
        <v>101</v>
      </c>
      <c r="H46">
        <v>0</v>
      </c>
      <c r="I46" t="str">
        <f t="shared" si="0"/>
        <v>3045,'BACHILLERATO','TRONCO COMÚN 2021','B 332','GUZMAN VERA MOISES GREGORIO','ETIMOLOGÍAS GRECOLATINAS II','MASCULINO',0</v>
      </c>
      <c r="J46" t="str">
        <f t="shared" si="1"/>
        <v>INSERT INTO profesores (id,nivel,carrera,grupo,nombre,materia,sexo,sello) VALUES (3045,'BACHILLERATO','TRONCO COMÚN 2021','B 332','GUZMAN VERA MOISES GREGORIO','ETIMOLOGÍAS GRECOLATINAS II','MASCULINO',0);</v>
      </c>
    </row>
    <row r="47" spans="1:10" x14ac:dyDescent="0.3">
      <c r="A47">
        <f t="shared" si="2"/>
        <v>3046</v>
      </c>
      <c r="B47" t="s">
        <v>1</v>
      </c>
      <c r="C47" t="s">
        <v>13</v>
      </c>
      <c r="D47" t="s">
        <v>136</v>
      </c>
      <c r="E47" t="s">
        <v>33</v>
      </c>
      <c r="F47" t="s">
        <v>76</v>
      </c>
      <c r="G47" t="s">
        <v>101</v>
      </c>
      <c r="H47">
        <v>0</v>
      </c>
      <c r="I47" t="str">
        <f t="shared" si="0"/>
        <v>3046,'BACHILLERATO','TRONCO COMÚN 2021','B 332','GUZMAN VERA MOISES GREGORIO','SOCIOLOGÍA II','MASCULINO',0</v>
      </c>
      <c r="J47" t="str">
        <f t="shared" si="1"/>
        <v>INSERT INTO profesores (id,nivel,carrera,grupo,nombre,materia,sexo,sello) VALUES (3046,'BACHILLERATO','TRONCO COMÚN 2021','B 332','GUZMAN VERA MOISES GREGORIO','SOCIOLOGÍA II','MASCULINO',0);</v>
      </c>
    </row>
    <row r="48" spans="1:10" x14ac:dyDescent="0.3">
      <c r="A48">
        <f t="shared" si="2"/>
        <v>3047</v>
      </c>
      <c r="B48" t="s">
        <v>1</v>
      </c>
      <c r="C48" t="s">
        <v>13</v>
      </c>
      <c r="D48" t="s">
        <v>136</v>
      </c>
      <c r="E48" t="s">
        <v>37</v>
      </c>
      <c r="F48" t="s">
        <v>74</v>
      </c>
      <c r="G48" t="s">
        <v>102</v>
      </c>
      <c r="H48">
        <v>0</v>
      </c>
      <c r="I48" t="str">
        <f t="shared" si="0"/>
        <v>3047,'BACHILLERATO','TRONCO COMÚN 2021','B 332','ORTEGA RUA ANA MATILDE','TALLER DE INTEGRACIÓN SOCIAL II','FEMENINO',0</v>
      </c>
      <c r="J48" t="str">
        <f t="shared" si="1"/>
        <v>INSERT INTO profesores (id,nivel,carrera,grupo,nombre,materia,sexo,sello) VALUES (3047,'BACHILLERATO','TRONCO COMÚN 2021','B 332','ORTEGA RUA ANA MATILDE','TALLER DE INTEGRACIÓN SOCIAL II','FEMENINO',0);</v>
      </c>
    </row>
    <row r="49" spans="1:10" x14ac:dyDescent="0.3">
      <c r="A49">
        <f t="shared" si="2"/>
        <v>3048</v>
      </c>
      <c r="B49" t="s">
        <v>1</v>
      </c>
      <c r="C49" t="s">
        <v>13</v>
      </c>
      <c r="D49" t="s">
        <v>136</v>
      </c>
      <c r="E49" t="s">
        <v>30</v>
      </c>
      <c r="F49" t="s">
        <v>77</v>
      </c>
      <c r="G49" t="s">
        <v>101</v>
      </c>
      <c r="H49">
        <v>0</v>
      </c>
      <c r="I49" t="str">
        <f t="shared" si="0"/>
        <v>3048,'BACHILLERATO','TRONCO COMÚN 2021','B 332','RIVAS GONZALEZ MARIO ALBERTO','ACTIVIDADES CULTURALES Y DEPORTIVAS VI','MASCULINO',0</v>
      </c>
      <c r="J49" t="str">
        <f t="shared" si="1"/>
        <v>INSERT INTO profesores (id,nivel,carrera,grupo,nombre,materia,sexo,sello) VALUES (3048,'BACHILLERATO','TRONCO COMÚN 2021','B 332','RIVAS GONZALEZ MARIO ALBERTO','ACTIVIDADES CULTURALES Y DEPORTIVAS VI','MASCULINO',0);</v>
      </c>
    </row>
    <row r="50" spans="1:10" x14ac:dyDescent="0.3">
      <c r="A50">
        <f t="shared" si="2"/>
        <v>3049</v>
      </c>
      <c r="B50" t="s">
        <v>1</v>
      </c>
      <c r="C50" t="s">
        <v>13</v>
      </c>
      <c r="D50" t="s">
        <v>136</v>
      </c>
      <c r="E50" t="s">
        <v>35</v>
      </c>
      <c r="F50" t="s">
        <v>78</v>
      </c>
      <c r="G50" t="s">
        <v>101</v>
      </c>
      <c r="H50">
        <v>0</v>
      </c>
      <c r="I50" t="str">
        <f t="shared" si="0"/>
        <v>3049,'BACHILLERATO','TRONCO COMÚN 2021','B 332','RUANOVA LABRA FERNANDO','PSICOLOGÍA II','MASCULINO',0</v>
      </c>
      <c r="J50" t="str">
        <f t="shared" si="1"/>
        <v>INSERT INTO profesores (id,nivel,carrera,grupo,nombre,materia,sexo,sello) VALUES (3049,'BACHILLERATO','TRONCO COMÚN 2021','B 332','RUANOVA LABRA FERNANDO','PSICOLOGÍA II','MASCULINO',0);</v>
      </c>
    </row>
    <row r="51" spans="1:10" x14ac:dyDescent="0.3">
      <c r="A51">
        <f t="shared" si="2"/>
        <v>3050</v>
      </c>
      <c r="B51" t="s">
        <v>1</v>
      </c>
      <c r="C51" t="s">
        <v>13</v>
      </c>
      <c r="D51" t="s">
        <v>137</v>
      </c>
      <c r="E51" t="s">
        <v>38</v>
      </c>
      <c r="F51" t="s">
        <v>76</v>
      </c>
      <c r="G51" t="s">
        <v>101</v>
      </c>
      <c r="H51">
        <v>0</v>
      </c>
      <c r="I51" t="str">
        <f t="shared" si="0"/>
        <v>3050,'BACHILLERATO','TRONCO COMÚN 2021','B 333','ARELLANO LOPEZ CESAR','SOCIOLOGÍA II','MASCULINO',0</v>
      </c>
      <c r="J51" t="str">
        <f t="shared" si="1"/>
        <v>INSERT INTO profesores (id,nivel,carrera,grupo,nombre,materia,sexo,sello) VALUES (3050,'BACHILLERATO','TRONCO COMÚN 2021','B 333','ARELLANO LOPEZ CESAR','SOCIOLOGÍA II','MASCULINO',0);</v>
      </c>
    </row>
    <row r="52" spans="1:10" x14ac:dyDescent="0.3">
      <c r="A52">
        <f t="shared" si="2"/>
        <v>3051</v>
      </c>
      <c r="B52" t="s">
        <v>1</v>
      </c>
      <c r="C52" t="s">
        <v>13</v>
      </c>
      <c r="D52" t="s">
        <v>137</v>
      </c>
      <c r="E52" t="s">
        <v>31</v>
      </c>
      <c r="F52" t="s">
        <v>72</v>
      </c>
      <c r="G52" t="s">
        <v>102</v>
      </c>
      <c r="H52">
        <v>0</v>
      </c>
      <c r="I52" t="str">
        <f t="shared" si="0"/>
        <v>3051,'BACHILLERATO','TRONCO COMÚN 2021','B 333','BECERRA GONZALEZ KIMBERLY CATALINA','ECOLOGÍA Y MEDIO AMBIENTE','FEMENINO',0</v>
      </c>
      <c r="J52" t="str">
        <f t="shared" si="1"/>
        <v>INSERT INTO profesores (id,nivel,carrera,grupo,nombre,materia,sexo,sello) VALUES (3051,'BACHILLERATO','TRONCO COMÚN 2021','B 333','BECERRA GONZALEZ KIMBERLY CATALINA','ECOLOGÍA Y MEDIO AMBIENTE','FEMENINO',0);</v>
      </c>
    </row>
    <row r="53" spans="1:10" x14ac:dyDescent="0.3">
      <c r="A53">
        <f t="shared" si="2"/>
        <v>3052</v>
      </c>
      <c r="B53" t="s">
        <v>1</v>
      </c>
      <c r="C53" t="s">
        <v>13</v>
      </c>
      <c r="D53" t="s">
        <v>137</v>
      </c>
      <c r="E53" t="s">
        <v>32</v>
      </c>
      <c r="F53" t="s">
        <v>73</v>
      </c>
      <c r="G53" t="s">
        <v>101</v>
      </c>
      <c r="H53">
        <v>0</v>
      </c>
      <c r="I53" t="str">
        <f t="shared" si="0"/>
        <v>3052,'BACHILLERATO','TRONCO COMÚN 2021','B 333','ESPARZA ESTRADA CARLOS ISMAEL','FILOSOFÍA','MASCULINO',0</v>
      </c>
      <c r="J53" t="str">
        <f t="shared" si="1"/>
        <v>INSERT INTO profesores (id,nivel,carrera,grupo,nombre,materia,sexo,sello) VALUES (3052,'BACHILLERATO','TRONCO COMÚN 2021','B 333','ESPARZA ESTRADA CARLOS ISMAEL','FILOSOFÍA','MASCULINO',0);</v>
      </c>
    </row>
    <row r="54" spans="1:10" x14ac:dyDescent="0.3">
      <c r="A54">
        <f t="shared" si="2"/>
        <v>3053</v>
      </c>
      <c r="B54" t="s">
        <v>1</v>
      </c>
      <c r="C54" t="s">
        <v>13</v>
      </c>
      <c r="D54" t="s">
        <v>137</v>
      </c>
      <c r="E54" t="s">
        <v>32</v>
      </c>
      <c r="F54" t="s">
        <v>79</v>
      </c>
      <c r="G54" t="s">
        <v>101</v>
      </c>
      <c r="H54">
        <v>0</v>
      </c>
      <c r="I54" t="str">
        <f t="shared" si="0"/>
        <v>3053,'BACHILLERATO','TRONCO COMÚN 2021','B 333','ESPARZA ESTRADA CARLOS ISMAEL','HISTORIA UNIVERSAL CONTEMPORÁNEA','MASCULINO',0</v>
      </c>
      <c r="J54" t="str">
        <f t="shared" si="1"/>
        <v>INSERT INTO profesores (id,nivel,carrera,grupo,nombre,materia,sexo,sello) VALUES (3053,'BACHILLERATO','TRONCO COMÚN 2021','B 333','ESPARZA ESTRADA CARLOS ISMAEL','HISTORIA UNIVERSAL CONTEMPORÁNEA','MASCULINO',0);</v>
      </c>
    </row>
    <row r="55" spans="1:10" x14ac:dyDescent="0.3">
      <c r="A55">
        <f t="shared" si="2"/>
        <v>3054</v>
      </c>
      <c r="B55" t="s">
        <v>1</v>
      </c>
      <c r="C55" t="s">
        <v>13</v>
      </c>
      <c r="D55" t="s">
        <v>137</v>
      </c>
      <c r="E55" t="s">
        <v>33</v>
      </c>
      <c r="F55" t="s">
        <v>75</v>
      </c>
      <c r="G55" t="s">
        <v>101</v>
      </c>
      <c r="H55">
        <v>0</v>
      </c>
      <c r="I55" t="str">
        <f t="shared" si="0"/>
        <v>3054,'BACHILLERATO','TRONCO COMÚN 2021','B 333','GUZMAN VERA MOISES GREGORIO','ETIMOLOGÍAS GRECOLATINAS II','MASCULINO',0</v>
      </c>
      <c r="J55" t="str">
        <f t="shared" si="1"/>
        <v>INSERT INTO profesores (id,nivel,carrera,grupo,nombre,materia,sexo,sello) VALUES (3054,'BACHILLERATO','TRONCO COMÚN 2021','B 333','GUZMAN VERA MOISES GREGORIO','ETIMOLOGÍAS GRECOLATINAS II','MASCULINO',0);</v>
      </c>
    </row>
    <row r="56" spans="1:10" x14ac:dyDescent="0.3">
      <c r="A56">
        <f t="shared" si="2"/>
        <v>3055</v>
      </c>
      <c r="B56" t="s">
        <v>1</v>
      </c>
      <c r="C56" t="s">
        <v>13</v>
      </c>
      <c r="D56" t="s">
        <v>137</v>
      </c>
      <c r="E56" t="s">
        <v>33</v>
      </c>
      <c r="F56" t="s">
        <v>74</v>
      </c>
      <c r="G56" t="s">
        <v>101</v>
      </c>
      <c r="H56">
        <v>0</v>
      </c>
      <c r="I56" t="str">
        <f t="shared" si="0"/>
        <v>3055,'BACHILLERATO','TRONCO COMÚN 2021','B 333','GUZMAN VERA MOISES GREGORIO','TALLER DE INTEGRACIÓN SOCIAL II','MASCULINO',0</v>
      </c>
      <c r="J56" t="str">
        <f t="shared" si="1"/>
        <v>INSERT INTO profesores (id,nivel,carrera,grupo,nombre,materia,sexo,sello) VALUES (3055,'BACHILLERATO','TRONCO COMÚN 2021','B 333','GUZMAN VERA MOISES GREGORIO','TALLER DE INTEGRACIÓN SOCIAL II','MASCULINO',0);</v>
      </c>
    </row>
    <row r="57" spans="1:10" x14ac:dyDescent="0.3">
      <c r="A57">
        <f t="shared" si="2"/>
        <v>3056</v>
      </c>
      <c r="B57" t="s">
        <v>1</v>
      </c>
      <c r="C57" t="s">
        <v>13</v>
      </c>
      <c r="D57" t="s">
        <v>137</v>
      </c>
      <c r="E57" t="s">
        <v>30</v>
      </c>
      <c r="F57" t="s">
        <v>77</v>
      </c>
      <c r="G57" t="s">
        <v>101</v>
      </c>
      <c r="H57">
        <v>0</v>
      </c>
      <c r="I57" t="str">
        <f t="shared" si="0"/>
        <v>3056,'BACHILLERATO','TRONCO COMÚN 2021','B 333','RIVAS GONZALEZ MARIO ALBERTO','ACTIVIDADES CULTURALES Y DEPORTIVAS VI','MASCULINO',0</v>
      </c>
      <c r="J57" t="str">
        <f t="shared" si="1"/>
        <v>INSERT INTO profesores (id,nivel,carrera,grupo,nombre,materia,sexo,sello) VALUES (3056,'BACHILLERATO','TRONCO COMÚN 2021','B 333','RIVAS GONZALEZ MARIO ALBERTO','ACTIVIDADES CULTURALES Y DEPORTIVAS VI','MASCULINO',0);</v>
      </c>
    </row>
    <row r="58" spans="1:10" x14ac:dyDescent="0.3">
      <c r="A58">
        <f t="shared" si="2"/>
        <v>3057</v>
      </c>
      <c r="B58" t="s">
        <v>1</v>
      </c>
      <c r="C58" t="s">
        <v>13</v>
      </c>
      <c r="D58" t="s">
        <v>137</v>
      </c>
      <c r="E58" t="s">
        <v>35</v>
      </c>
      <c r="F58" t="s">
        <v>78</v>
      </c>
      <c r="G58" t="s">
        <v>101</v>
      </c>
      <c r="H58">
        <v>0</v>
      </c>
      <c r="I58" t="str">
        <f t="shared" si="0"/>
        <v>3057,'BACHILLERATO','TRONCO COMÚN 2021','B 333','RUANOVA LABRA FERNANDO','PSICOLOGÍA II','MASCULINO',0</v>
      </c>
      <c r="J58" t="str">
        <f t="shared" si="1"/>
        <v>INSERT INTO profesores (id,nivel,carrera,grupo,nombre,materia,sexo,sello) VALUES (3057,'BACHILLERATO','TRONCO COMÚN 2021','B 333','RUANOVA LABRA FERNANDO','PSICOLOGÍA II','MASCULINO',0);</v>
      </c>
    </row>
    <row r="59" spans="1:10" x14ac:dyDescent="0.3">
      <c r="A59">
        <f t="shared" si="2"/>
        <v>3058</v>
      </c>
      <c r="B59" t="s">
        <v>1</v>
      </c>
      <c r="C59" t="s">
        <v>13</v>
      </c>
      <c r="D59" t="s">
        <v>138</v>
      </c>
      <c r="E59" t="s">
        <v>31</v>
      </c>
      <c r="F59" t="s">
        <v>72</v>
      </c>
      <c r="G59" t="s">
        <v>102</v>
      </c>
      <c r="H59">
        <v>0</v>
      </c>
      <c r="I59" t="str">
        <f t="shared" si="0"/>
        <v>3058,'BACHILLERATO','TRONCO COMÚN 2021','B 334','BECERRA GONZALEZ KIMBERLY CATALINA','ECOLOGÍA Y MEDIO AMBIENTE','FEMENINO',0</v>
      </c>
      <c r="J59" t="str">
        <f t="shared" si="1"/>
        <v>INSERT INTO profesores (id,nivel,carrera,grupo,nombre,materia,sexo,sello) VALUES (3058,'BACHILLERATO','TRONCO COMÚN 2021','B 334','BECERRA GONZALEZ KIMBERLY CATALINA','ECOLOGÍA Y MEDIO AMBIENTE','FEMENINO',0);</v>
      </c>
    </row>
    <row r="60" spans="1:10" x14ac:dyDescent="0.3">
      <c r="A60">
        <f t="shared" si="2"/>
        <v>3059</v>
      </c>
      <c r="B60" t="s">
        <v>1</v>
      </c>
      <c r="C60" t="s">
        <v>13</v>
      </c>
      <c r="D60" t="s">
        <v>138</v>
      </c>
      <c r="E60" t="s">
        <v>32</v>
      </c>
      <c r="F60" t="s">
        <v>73</v>
      </c>
      <c r="G60" t="s">
        <v>101</v>
      </c>
      <c r="H60">
        <v>0</v>
      </c>
      <c r="I60" t="str">
        <f t="shared" si="0"/>
        <v>3059,'BACHILLERATO','TRONCO COMÚN 2021','B 334','ESPARZA ESTRADA CARLOS ISMAEL','FILOSOFÍA','MASCULINO',0</v>
      </c>
      <c r="J60" t="str">
        <f t="shared" si="1"/>
        <v>INSERT INTO profesores (id,nivel,carrera,grupo,nombre,materia,sexo,sello) VALUES (3059,'BACHILLERATO','TRONCO COMÚN 2021','B 334','ESPARZA ESTRADA CARLOS ISMAEL','FILOSOFÍA','MASCULINO',0);</v>
      </c>
    </row>
    <row r="61" spans="1:10" x14ac:dyDescent="0.3">
      <c r="A61">
        <f t="shared" si="2"/>
        <v>3060</v>
      </c>
      <c r="B61" t="s">
        <v>1</v>
      </c>
      <c r="C61" t="s">
        <v>13</v>
      </c>
      <c r="D61" t="s">
        <v>138</v>
      </c>
      <c r="E61" t="s">
        <v>32</v>
      </c>
      <c r="F61" t="s">
        <v>76</v>
      </c>
      <c r="G61" t="s">
        <v>101</v>
      </c>
      <c r="H61">
        <v>0</v>
      </c>
      <c r="I61" t="str">
        <f t="shared" si="0"/>
        <v>3060,'BACHILLERATO','TRONCO COMÚN 2021','B 334','ESPARZA ESTRADA CARLOS ISMAEL','SOCIOLOGÍA II','MASCULINO',0</v>
      </c>
      <c r="J61" t="str">
        <f t="shared" si="1"/>
        <v>INSERT INTO profesores (id,nivel,carrera,grupo,nombre,materia,sexo,sello) VALUES (3060,'BACHILLERATO','TRONCO COMÚN 2021','B 334','ESPARZA ESTRADA CARLOS ISMAEL','SOCIOLOGÍA II','MASCULINO',0);</v>
      </c>
    </row>
    <row r="62" spans="1:10" x14ac:dyDescent="0.3">
      <c r="A62">
        <f t="shared" si="2"/>
        <v>3061</v>
      </c>
      <c r="B62" t="s">
        <v>1</v>
      </c>
      <c r="C62" t="s">
        <v>13</v>
      </c>
      <c r="D62" t="s">
        <v>138</v>
      </c>
      <c r="E62" t="s">
        <v>33</v>
      </c>
      <c r="F62" t="s">
        <v>75</v>
      </c>
      <c r="G62" t="s">
        <v>101</v>
      </c>
      <c r="H62">
        <v>0</v>
      </c>
      <c r="I62" t="str">
        <f t="shared" si="0"/>
        <v>3061,'BACHILLERATO','TRONCO COMÚN 2021','B 334','GUZMAN VERA MOISES GREGORIO','ETIMOLOGÍAS GRECOLATINAS II','MASCULINO',0</v>
      </c>
      <c r="J62" t="str">
        <f t="shared" si="1"/>
        <v>INSERT INTO profesores (id,nivel,carrera,grupo,nombre,materia,sexo,sello) VALUES (3061,'BACHILLERATO','TRONCO COMÚN 2021','B 334','GUZMAN VERA MOISES GREGORIO','ETIMOLOGÍAS GRECOLATINAS II','MASCULINO',0);</v>
      </c>
    </row>
    <row r="63" spans="1:10" x14ac:dyDescent="0.3">
      <c r="A63">
        <f t="shared" si="2"/>
        <v>3062</v>
      </c>
      <c r="B63" t="s">
        <v>1</v>
      </c>
      <c r="C63" t="s">
        <v>13</v>
      </c>
      <c r="D63" t="s">
        <v>138</v>
      </c>
      <c r="E63" t="s">
        <v>39</v>
      </c>
      <c r="F63" t="s">
        <v>79</v>
      </c>
      <c r="G63" t="s">
        <v>101</v>
      </c>
      <c r="H63">
        <v>0</v>
      </c>
      <c r="I63" t="str">
        <f t="shared" si="0"/>
        <v>3062,'BACHILLERATO','TRONCO COMÚN 2021','B 334','MIGES MARIN EVARISTO CARLOS','HISTORIA UNIVERSAL CONTEMPORÁNEA','MASCULINO',0</v>
      </c>
      <c r="J63" t="str">
        <f t="shared" si="1"/>
        <v>INSERT INTO profesores (id,nivel,carrera,grupo,nombre,materia,sexo,sello) VALUES (3062,'BACHILLERATO','TRONCO COMÚN 2021','B 334','MIGES MARIN EVARISTO CARLOS','HISTORIA UNIVERSAL CONTEMPORÁNEA','MASCULINO',0);</v>
      </c>
    </row>
    <row r="64" spans="1:10" x14ac:dyDescent="0.3">
      <c r="A64">
        <f t="shared" si="2"/>
        <v>3063</v>
      </c>
      <c r="B64" t="s">
        <v>1</v>
      </c>
      <c r="C64" t="s">
        <v>13</v>
      </c>
      <c r="D64" t="s">
        <v>138</v>
      </c>
      <c r="E64" t="s">
        <v>39</v>
      </c>
      <c r="F64" t="s">
        <v>74</v>
      </c>
      <c r="G64" t="s">
        <v>101</v>
      </c>
      <c r="H64">
        <v>0</v>
      </c>
      <c r="I64" t="str">
        <f t="shared" si="0"/>
        <v>3063,'BACHILLERATO','TRONCO COMÚN 2021','B 334','MIGES MARIN EVARISTO CARLOS','TALLER DE INTEGRACIÓN SOCIAL II','MASCULINO',0</v>
      </c>
      <c r="J64" t="str">
        <f t="shared" si="1"/>
        <v>INSERT INTO profesores (id,nivel,carrera,grupo,nombre,materia,sexo,sello) VALUES (3063,'BACHILLERATO','TRONCO COMÚN 2021','B 334','MIGES MARIN EVARISTO CARLOS','TALLER DE INTEGRACIÓN SOCIAL II','MASCULINO',0);</v>
      </c>
    </row>
    <row r="65" spans="1:10" x14ac:dyDescent="0.3">
      <c r="A65">
        <f t="shared" si="2"/>
        <v>3064</v>
      </c>
      <c r="B65" t="s">
        <v>1</v>
      </c>
      <c r="C65" t="s">
        <v>13</v>
      </c>
      <c r="D65" t="s">
        <v>138</v>
      </c>
      <c r="E65" t="s">
        <v>30</v>
      </c>
      <c r="F65" t="s">
        <v>77</v>
      </c>
      <c r="G65" t="s">
        <v>101</v>
      </c>
      <c r="H65">
        <v>0</v>
      </c>
      <c r="I65" t="str">
        <f t="shared" si="0"/>
        <v>3064,'BACHILLERATO','TRONCO COMÚN 2021','B 334','RIVAS GONZALEZ MARIO ALBERTO','ACTIVIDADES CULTURALES Y DEPORTIVAS VI','MASCULINO',0</v>
      </c>
      <c r="J65" t="str">
        <f t="shared" si="1"/>
        <v>INSERT INTO profesores (id,nivel,carrera,grupo,nombre,materia,sexo,sello) VALUES (3064,'BACHILLERATO','TRONCO COMÚN 2021','B 334','RIVAS GONZALEZ MARIO ALBERTO','ACTIVIDADES CULTURALES Y DEPORTIVAS VI','MASCULINO',0);</v>
      </c>
    </row>
    <row r="66" spans="1:10" x14ac:dyDescent="0.3">
      <c r="A66">
        <f t="shared" si="2"/>
        <v>3065</v>
      </c>
      <c r="B66" t="s">
        <v>1</v>
      </c>
      <c r="C66" t="s">
        <v>13</v>
      </c>
      <c r="D66" t="s">
        <v>138</v>
      </c>
      <c r="E66" t="s">
        <v>35</v>
      </c>
      <c r="F66" t="s">
        <v>78</v>
      </c>
      <c r="G66" t="s">
        <v>101</v>
      </c>
      <c r="H66">
        <v>0</v>
      </c>
      <c r="I66" t="str">
        <f t="shared" si="0"/>
        <v>3065,'BACHILLERATO','TRONCO COMÚN 2021','B 334','RUANOVA LABRA FERNANDO','PSICOLOGÍA II','MASCULINO',0</v>
      </c>
      <c r="J66" t="str">
        <f t="shared" si="1"/>
        <v>INSERT INTO profesores (id,nivel,carrera,grupo,nombre,materia,sexo,sello) VALUES (3065,'BACHILLERATO','TRONCO COMÚN 2021','B 334','RUANOVA LABRA FERNANDO','PSICOLOGÍA II','MASCULINO',0);</v>
      </c>
    </row>
    <row r="67" spans="1:10" x14ac:dyDescent="0.3">
      <c r="A67">
        <f t="shared" si="2"/>
        <v>3066</v>
      </c>
      <c r="B67" t="s">
        <v>1</v>
      </c>
      <c r="C67" t="s">
        <v>13</v>
      </c>
      <c r="D67" t="s">
        <v>116</v>
      </c>
      <c r="E67" t="s">
        <v>40</v>
      </c>
      <c r="F67" t="s">
        <v>80</v>
      </c>
      <c r="G67" t="s">
        <v>102</v>
      </c>
      <c r="H67">
        <v>0</v>
      </c>
      <c r="I67" t="str">
        <f t="shared" ref="I67:I130" si="3">CONCATENATE(A67,",'",B67,"','",C67,"','",TRIM(D67),",'",E67,"','",F67,"','",G67,"',",H67)</f>
        <v>3066,'BACHILLERATO','TRONCO COMÚN 2021','B6° 3A-II','ALZAGA SALAS MARIANA NAYELI','LENGUA ADICIONAL AL ESPAÑOL VI','FEMENINO',0</v>
      </c>
      <c r="J67" t="str">
        <f t="shared" ref="J67:J130" si="4">CONCATENATE($I$1,I67,");")</f>
        <v>INSERT INTO profesores (id,nivel,carrera,grupo,nombre,materia,sexo,sello) VALUES (3066,'BACHILLERATO','TRONCO COMÚN 2021','B6° 3A-II','ALZAGA SALAS MARIANA NAYELI','LENGUA ADICIONAL AL ESPAÑOL VI','FEMENINO',0);</v>
      </c>
    </row>
    <row r="68" spans="1:10" x14ac:dyDescent="0.3">
      <c r="A68">
        <f t="shared" ref="A68:A131" si="5">A67+1</f>
        <v>3067</v>
      </c>
      <c r="B68" t="s">
        <v>1</v>
      </c>
      <c r="C68" t="s">
        <v>13</v>
      </c>
      <c r="D68" t="s">
        <v>117</v>
      </c>
      <c r="E68" t="s">
        <v>41</v>
      </c>
      <c r="F68" t="s">
        <v>80</v>
      </c>
      <c r="G68" t="s">
        <v>102</v>
      </c>
      <c r="H68">
        <v>0</v>
      </c>
      <c r="I68" t="str">
        <f t="shared" si="3"/>
        <v>3067,'BACHILLERATO','TRONCO COMÚN 2021','B6° 3B-II','GUTIERREZ MEDINA PAOLA CAROLINA','LENGUA ADICIONAL AL ESPAÑOL VI','FEMENINO',0</v>
      </c>
      <c r="J68" t="str">
        <f t="shared" si="4"/>
        <v>INSERT INTO profesores (id,nivel,carrera,grupo,nombre,materia,sexo,sello) VALUES (3067,'BACHILLERATO','TRONCO COMÚN 2021','B6° 3B-II','GUTIERREZ MEDINA PAOLA CAROLINA','LENGUA ADICIONAL AL ESPAÑOL VI','FEMENINO',0);</v>
      </c>
    </row>
    <row r="69" spans="1:10" x14ac:dyDescent="0.3">
      <c r="A69">
        <f t="shared" si="5"/>
        <v>3068</v>
      </c>
      <c r="B69" t="s">
        <v>1</v>
      </c>
      <c r="C69" t="s">
        <v>13</v>
      </c>
      <c r="D69" t="s">
        <v>118</v>
      </c>
      <c r="E69" t="s">
        <v>42</v>
      </c>
      <c r="F69" t="s">
        <v>80</v>
      </c>
      <c r="G69" t="s">
        <v>102</v>
      </c>
      <c r="H69">
        <v>0</v>
      </c>
      <c r="I69" t="str">
        <f t="shared" si="3"/>
        <v>3068,'BACHILLERATO','TRONCO COMÚN 2021','B6° 4A-II','RODRIGUEZ CADENA SANDRA LUZ','LENGUA ADICIONAL AL ESPAÑOL VI','FEMENINO',0</v>
      </c>
      <c r="J69" t="str">
        <f t="shared" si="4"/>
        <v>INSERT INTO profesores (id,nivel,carrera,grupo,nombre,materia,sexo,sello) VALUES (3068,'BACHILLERATO','TRONCO COMÚN 2021','B6° 4A-II','RODRIGUEZ CADENA SANDRA LUZ','LENGUA ADICIONAL AL ESPAÑOL VI','FEMENINO',0);</v>
      </c>
    </row>
    <row r="70" spans="1:10" x14ac:dyDescent="0.3">
      <c r="A70">
        <f t="shared" si="5"/>
        <v>3069</v>
      </c>
      <c r="B70" t="s">
        <v>1</v>
      </c>
      <c r="C70" t="s">
        <v>13</v>
      </c>
      <c r="D70" t="s">
        <v>119</v>
      </c>
      <c r="E70" t="s">
        <v>43</v>
      </c>
      <c r="F70" t="s">
        <v>80</v>
      </c>
      <c r="G70" t="s">
        <v>101</v>
      </c>
      <c r="H70">
        <v>0</v>
      </c>
      <c r="I70" t="str">
        <f t="shared" si="3"/>
        <v>3069,'BACHILLERATO','TRONCO COMÚN 2021','B6° 4B-II','HERNANDEZ NAVARRO ULISES','LENGUA ADICIONAL AL ESPAÑOL VI','MASCULINO',0</v>
      </c>
      <c r="J70" t="str">
        <f t="shared" si="4"/>
        <v>INSERT INTO profesores (id,nivel,carrera,grupo,nombre,materia,sexo,sello) VALUES (3069,'BACHILLERATO','TRONCO COMÚN 2021','B6° 4B-II','HERNANDEZ NAVARRO ULISES','LENGUA ADICIONAL AL ESPAÑOL VI','MASCULINO',0);</v>
      </c>
    </row>
    <row r="71" spans="1:10" x14ac:dyDescent="0.3">
      <c r="A71">
        <f t="shared" si="5"/>
        <v>3070</v>
      </c>
      <c r="B71" t="s">
        <v>1</v>
      </c>
      <c r="C71" t="s">
        <v>13</v>
      </c>
      <c r="D71" t="s">
        <v>107</v>
      </c>
      <c r="E71" t="s">
        <v>20</v>
      </c>
      <c r="F71" t="s">
        <v>80</v>
      </c>
      <c r="G71" t="s">
        <v>102</v>
      </c>
      <c r="H71">
        <v>0</v>
      </c>
      <c r="I71" t="str">
        <f t="shared" si="3"/>
        <v>3070,'BACHILLERATO','TRONCO COMÚN 2021','B6° BIL FR','SANCHEZ DIAZ DURAN VERONICA AVRIL','LENGUA ADICIONAL AL ESPAÑOL VI','FEMENINO',0</v>
      </c>
      <c r="J71" t="str">
        <f t="shared" si="4"/>
        <v>INSERT INTO profesores (id,nivel,carrera,grupo,nombre,materia,sexo,sello) VALUES (3070,'BACHILLERATO','TRONCO COMÚN 2021','B6° BIL FR','SANCHEZ DIAZ DURAN VERONICA AVRIL','LENGUA ADICIONAL AL ESPAÑOL VI','FEMENINO',0);</v>
      </c>
    </row>
    <row r="72" spans="1:10" x14ac:dyDescent="0.3">
      <c r="A72">
        <f t="shared" si="5"/>
        <v>3071</v>
      </c>
      <c r="B72" t="s">
        <v>1</v>
      </c>
      <c r="C72" t="s">
        <v>14</v>
      </c>
      <c r="D72" t="s">
        <v>139</v>
      </c>
      <c r="E72" t="s">
        <v>26</v>
      </c>
      <c r="F72" t="s">
        <v>81</v>
      </c>
      <c r="G72" t="s">
        <v>101</v>
      </c>
      <c r="H72">
        <v>0</v>
      </c>
      <c r="I72" t="str">
        <f t="shared" si="3"/>
        <v>3071,'BACHILLERATO','TRONCO COMÚN 2023','B 221','AVILA TORRES MANUEL ANDRES','MATEMÁTICAS IV','MASCULINO',0</v>
      </c>
      <c r="J72" t="str">
        <f t="shared" si="4"/>
        <v>INSERT INTO profesores (id,nivel,carrera,grupo,nombre,materia,sexo,sello) VALUES (3071,'BACHILLERATO','TRONCO COMÚN 2023','B 221','AVILA TORRES MANUEL ANDRES','MATEMÁTICAS IV','MASCULINO',0);</v>
      </c>
    </row>
    <row r="73" spans="1:10" x14ac:dyDescent="0.3">
      <c r="A73">
        <f t="shared" si="5"/>
        <v>3072</v>
      </c>
      <c r="B73" t="s">
        <v>1</v>
      </c>
      <c r="C73" t="s">
        <v>14</v>
      </c>
      <c r="D73" t="s">
        <v>139</v>
      </c>
      <c r="E73" t="s">
        <v>44</v>
      </c>
      <c r="F73" t="s">
        <v>82</v>
      </c>
      <c r="G73" t="s">
        <v>101</v>
      </c>
      <c r="H73">
        <v>0</v>
      </c>
      <c r="I73" t="str">
        <f t="shared" si="3"/>
        <v>3072,'BACHILLERATO','TRONCO COMÚN 2023','B 221','CORTES MORA FERNANDO','FÍSICA II','MASCULINO',0</v>
      </c>
      <c r="J73" t="str">
        <f t="shared" si="4"/>
        <v>INSERT INTO profesores (id,nivel,carrera,grupo,nombre,materia,sexo,sello) VALUES (3072,'BACHILLERATO','TRONCO COMÚN 2023','B 221','CORTES MORA FERNANDO','FÍSICA II','MASCULINO',0);</v>
      </c>
    </row>
    <row r="74" spans="1:10" x14ac:dyDescent="0.3">
      <c r="A74">
        <f t="shared" si="5"/>
        <v>3073</v>
      </c>
      <c r="B74" t="s">
        <v>1</v>
      </c>
      <c r="C74" t="s">
        <v>14</v>
      </c>
      <c r="D74" t="s">
        <v>139</v>
      </c>
      <c r="E74" t="s">
        <v>28</v>
      </c>
      <c r="F74" t="s">
        <v>83</v>
      </c>
      <c r="G74" t="s">
        <v>102</v>
      </c>
      <c r="H74">
        <v>0</v>
      </c>
      <c r="I74" t="str">
        <f t="shared" si="3"/>
        <v>3073,'BACHILLERATO','TRONCO COMÚN 2023','B 221','JIMENEZ HERNANDEZ DULCE ADEI ','BIOLOGÍA II.','FEMENINO',0</v>
      </c>
      <c r="J74" t="str">
        <f t="shared" si="4"/>
        <v>INSERT INTO profesores (id,nivel,carrera,grupo,nombre,materia,sexo,sello) VALUES (3073,'BACHILLERATO','TRONCO COMÚN 2023','B 221','JIMENEZ HERNANDEZ DULCE ADEI ','BIOLOGÍA II.','FEMENINO',0);</v>
      </c>
    </row>
    <row r="75" spans="1:10" x14ac:dyDescent="0.3">
      <c r="A75">
        <f t="shared" si="5"/>
        <v>3074</v>
      </c>
      <c r="B75" t="s">
        <v>1</v>
      </c>
      <c r="C75" t="s">
        <v>14</v>
      </c>
      <c r="D75" t="s">
        <v>139</v>
      </c>
      <c r="E75" t="s">
        <v>30</v>
      </c>
      <c r="F75" t="s">
        <v>84</v>
      </c>
      <c r="G75" t="s">
        <v>101</v>
      </c>
      <c r="H75">
        <v>0</v>
      </c>
      <c r="I75" t="str">
        <f t="shared" si="3"/>
        <v>3074,'BACHILLERATO','TRONCO COMÚN 2023','B 221','RIVAS GONZALEZ MARIO ALBERTO','ACTIVIDADES CULTURALES Y DEPORTIVAS IV ','MASCULINO',0</v>
      </c>
      <c r="J75" t="str">
        <f t="shared" si="4"/>
        <v>INSERT INTO profesores (id,nivel,carrera,grupo,nombre,materia,sexo,sello) VALUES (3074,'BACHILLERATO','TRONCO COMÚN 2023','B 221','RIVAS GONZALEZ MARIO ALBERTO','ACTIVIDADES CULTURALES Y DEPORTIVAS IV ','MASCULINO',0);</v>
      </c>
    </row>
    <row r="76" spans="1:10" x14ac:dyDescent="0.3">
      <c r="A76">
        <f t="shared" si="5"/>
        <v>3075</v>
      </c>
      <c r="B76" t="s">
        <v>1</v>
      </c>
      <c r="C76" t="s">
        <v>14</v>
      </c>
      <c r="D76" t="s">
        <v>139</v>
      </c>
      <c r="E76" t="s">
        <v>35</v>
      </c>
      <c r="F76" t="s">
        <v>85</v>
      </c>
      <c r="G76" t="s">
        <v>101</v>
      </c>
      <c r="H76">
        <v>0</v>
      </c>
      <c r="I76" t="str">
        <f t="shared" si="3"/>
        <v>3075,'BACHILLERATO','TRONCO COMÚN 2023','B 221','RUANOVA LABRA FERNANDO','ORIENTACIÓN VOCACIONAL Y PROFESIONAL II','MASCULINO',0</v>
      </c>
      <c r="J76" t="str">
        <f t="shared" si="4"/>
        <v>INSERT INTO profesores (id,nivel,carrera,grupo,nombre,materia,sexo,sello) VALUES (3075,'BACHILLERATO','TRONCO COMÚN 2023','B 221','RUANOVA LABRA FERNANDO','ORIENTACIÓN VOCACIONAL Y PROFESIONAL II','MASCULINO',0);</v>
      </c>
    </row>
    <row r="77" spans="1:10" x14ac:dyDescent="0.3">
      <c r="A77">
        <f t="shared" si="5"/>
        <v>3076</v>
      </c>
      <c r="B77" t="s">
        <v>1</v>
      </c>
      <c r="C77" t="s">
        <v>14</v>
      </c>
      <c r="D77" t="s">
        <v>139</v>
      </c>
      <c r="E77" t="s">
        <v>23</v>
      </c>
      <c r="F77" t="s">
        <v>86</v>
      </c>
      <c r="G77" t="s">
        <v>101</v>
      </c>
      <c r="H77">
        <v>0</v>
      </c>
      <c r="I77" t="str">
        <f t="shared" si="3"/>
        <v>3076,'BACHILLERATO','TRONCO COMÚN 2023','B 221','SANTOS JIMENEZ FAUSTO VINICIO','LITERATURA II','MASCULINO',0</v>
      </c>
      <c r="J77" t="str">
        <f t="shared" si="4"/>
        <v>INSERT INTO profesores (id,nivel,carrera,grupo,nombre,materia,sexo,sello) VALUES (3076,'BACHILLERATO','TRONCO COMÚN 2023','B 221','SANTOS JIMENEZ FAUSTO VINICIO','LITERATURA II','MASCULINO',0);</v>
      </c>
    </row>
    <row r="78" spans="1:10" x14ac:dyDescent="0.3">
      <c r="A78">
        <f t="shared" si="5"/>
        <v>3077</v>
      </c>
      <c r="B78" t="s">
        <v>1</v>
      </c>
      <c r="C78" t="s">
        <v>14</v>
      </c>
      <c r="D78" t="s">
        <v>139</v>
      </c>
      <c r="E78" t="s">
        <v>36</v>
      </c>
      <c r="F78" t="s">
        <v>87</v>
      </c>
      <c r="G78" t="s">
        <v>101</v>
      </c>
      <c r="H78">
        <v>0</v>
      </c>
      <c r="I78" t="str">
        <f t="shared" si="3"/>
        <v>3077,'BACHILLERATO','TRONCO COMÚN 2023','B 221','VAZQUEZ GONZALEZ JOSE VALENTIN','HISTORIA DE MÉXICO II.','MASCULINO',0</v>
      </c>
      <c r="J78" t="str">
        <f t="shared" si="4"/>
        <v>INSERT INTO profesores (id,nivel,carrera,grupo,nombre,materia,sexo,sello) VALUES (3077,'BACHILLERATO','TRONCO COMÚN 2023','B 221','VAZQUEZ GONZALEZ JOSE VALENTIN','HISTORIA DE MÉXICO II.','MASCULINO',0);</v>
      </c>
    </row>
    <row r="79" spans="1:10" x14ac:dyDescent="0.3">
      <c r="A79">
        <f t="shared" si="5"/>
        <v>3078</v>
      </c>
      <c r="B79" t="s">
        <v>1</v>
      </c>
      <c r="C79" t="s">
        <v>14</v>
      </c>
      <c r="D79" t="s">
        <v>139</v>
      </c>
      <c r="E79" t="s">
        <v>36</v>
      </c>
      <c r="F79" t="s">
        <v>88</v>
      </c>
      <c r="G79" t="s">
        <v>101</v>
      </c>
      <c r="H79">
        <v>0</v>
      </c>
      <c r="I79" t="str">
        <f t="shared" si="3"/>
        <v>3078,'BACHILLERATO','TRONCO COMÚN 2023','B 221','VAZQUEZ GONZALEZ JOSE VALENTIN','TALLER DE FORMACIÓN HUMANA Y CRISTIANA II','MASCULINO',0</v>
      </c>
      <c r="J79" t="str">
        <f t="shared" si="4"/>
        <v>INSERT INTO profesores (id,nivel,carrera,grupo,nombre,materia,sexo,sello) VALUES (3078,'BACHILLERATO','TRONCO COMÚN 2023','B 221','VAZQUEZ GONZALEZ JOSE VALENTIN','TALLER DE FORMACIÓN HUMANA Y CRISTIANA II','MASCULINO',0);</v>
      </c>
    </row>
    <row r="80" spans="1:10" x14ac:dyDescent="0.3">
      <c r="A80">
        <f t="shared" si="5"/>
        <v>3079</v>
      </c>
      <c r="B80" t="s">
        <v>1</v>
      </c>
      <c r="C80" t="s">
        <v>14</v>
      </c>
      <c r="D80" t="s">
        <v>140</v>
      </c>
      <c r="E80" t="s">
        <v>44</v>
      </c>
      <c r="F80" t="s">
        <v>82</v>
      </c>
      <c r="G80" t="s">
        <v>101</v>
      </c>
      <c r="H80">
        <v>0</v>
      </c>
      <c r="I80" t="str">
        <f t="shared" si="3"/>
        <v>3079,'BACHILLERATO','TRONCO COMÚN 2023','B 222','CORTES MORA FERNANDO','FÍSICA II','MASCULINO',0</v>
      </c>
      <c r="J80" t="str">
        <f t="shared" si="4"/>
        <v>INSERT INTO profesores (id,nivel,carrera,grupo,nombre,materia,sexo,sello) VALUES (3079,'BACHILLERATO','TRONCO COMÚN 2023','B 222','CORTES MORA FERNANDO','FÍSICA II','MASCULINO',0);</v>
      </c>
    </row>
    <row r="81" spans="1:10" x14ac:dyDescent="0.3">
      <c r="A81">
        <f t="shared" si="5"/>
        <v>3080</v>
      </c>
      <c r="B81" t="s">
        <v>1</v>
      </c>
      <c r="C81" t="s">
        <v>14</v>
      </c>
      <c r="D81" t="s">
        <v>140</v>
      </c>
      <c r="E81" t="s">
        <v>28</v>
      </c>
      <c r="F81" t="s">
        <v>83</v>
      </c>
      <c r="G81" t="s">
        <v>102</v>
      </c>
      <c r="H81">
        <v>0</v>
      </c>
      <c r="I81" t="str">
        <f t="shared" si="3"/>
        <v>3080,'BACHILLERATO','TRONCO COMÚN 2023','B 222','JIMENEZ HERNANDEZ DULCE ADEI ','BIOLOGÍA II.','FEMENINO',0</v>
      </c>
      <c r="J81" t="str">
        <f t="shared" si="4"/>
        <v>INSERT INTO profesores (id,nivel,carrera,grupo,nombre,materia,sexo,sello) VALUES (3080,'BACHILLERATO','TRONCO COMÚN 2023','B 222','JIMENEZ HERNANDEZ DULCE ADEI ','BIOLOGÍA II.','FEMENINO',0);</v>
      </c>
    </row>
    <row r="82" spans="1:10" x14ac:dyDescent="0.3">
      <c r="A82">
        <f t="shared" si="5"/>
        <v>3081</v>
      </c>
      <c r="B82" t="s">
        <v>1</v>
      </c>
      <c r="C82" t="s">
        <v>14</v>
      </c>
      <c r="D82" t="s">
        <v>140</v>
      </c>
      <c r="E82" t="s">
        <v>27</v>
      </c>
      <c r="F82" t="s">
        <v>81</v>
      </c>
      <c r="G82" t="s">
        <v>102</v>
      </c>
      <c r="H82">
        <v>0</v>
      </c>
      <c r="I82" t="str">
        <f t="shared" si="3"/>
        <v>3081,'BACHILLERATO','TRONCO COMÚN 2023','B 222','PONCE LEMUS YAZMIN','MATEMÁTICAS IV','FEMENINO',0</v>
      </c>
      <c r="J82" t="str">
        <f t="shared" si="4"/>
        <v>INSERT INTO profesores (id,nivel,carrera,grupo,nombre,materia,sexo,sello) VALUES (3081,'BACHILLERATO','TRONCO COMÚN 2023','B 222','PONCE LEMUS YAZMIN','MATEMÁTICAS IV','FEMENINO',0);</v>
      </c>
    </row>
    <row r="83" spans="1:10" x14ac:dyDescent="0.3">
      <c r="A83">
        <f t="shared" si="5"/>
        <v>3082</v>
      </c>
      <c r="B83" t="s">
        <v>1</v>
      </c>
      <c r="C83" t="s">
        <v>14</v>
      </c>
      <c r="D83" t="s">
        <v>140</v>
      </c>
      <c r="E83" t="s">
        <v>30</v>
      </c>
      <c r="F83" t="s">
        <v>84</v>
      </c>
      <c r="G83" t="s">
        <v>101</v>
      </c>
      <c r="H83">
        <v>0</v>
      </c>
      <c r="I83" t="str">
        <f t="shared" si="3"/>
        <v>3082,'BACHILLERATO','TRONCO COMÚN 2023','B 222','RIVAS GONZALEZ MARIO ALBERTO','ACTIVIDADES CULTURALES Y DEPORTIVAS IV ','MASCULINO',0</v>
      </c>
      <c r="J83" t="str">
        <f t="shared" si="4"/>
        <v>INSERT INTO profesores (id,nivel,carrera,grupo,nombre,materia,sexo,sello) VALUES (3082,'BACHILLERATO','TRONCO COMÚN 2023','B 222','RIVAS GONZALEZ MARIO ALBERTO','ACTIVIDADES CULTURALES Y DEPORTIVAS IV ','MASCULINO',0);</v>
      </c>
    </row>
    <row r="84" spans="1:10" x14ac:dyDescent="0.3">
      <c r="A84">
        <f t="shared" si="5"/>
        <v>3083</v>
      </c>
      <c r="B84" t="s">
        <v>1</v>
      </c>
      <c r="C84" t="s">
        <v>14</v>
      </c>
      <c r="D84" t="s">
        <v>140</v>
      </c>
      <c r="E84" t="s">
        <v>35</v>
      </c>
      <c r="F84" t="s">
        <v>85</v>
      </c>
      <c r="G84" t="s">
        <v>101</v>
      </c>
      <c r="H84">
        <v>0</v>
      </c>
      <c r="I84" t="str">
        <f t="shared" si="3"/>
        <v>3083,'BACHILLERATO','TRONCO COMÚN 2023','B 222','RUANOVA LABRA FERNANDO','ORIENTACIÓN VOCACIONAL Y PROFESIONAL II','MASCULINO',0</v>
      </c>
      <c r="J84" t="str">
        <f t="shared" si="4"/>
        <v>INSERT INTO profesores (id,nivel,carrera,grupo,nombre,materia,sexo,sello) VALUES (3083,'BACHILLERATO','TRONCO COMÚN 2023','B 222','RUANOVA LABRA FERNANDO','ORIENTACIÓN VOCACIONAL Y PROFESIONAL II','MASCULINO',0);</v>
      </c>
    </row>
    <row r="85" spans="1:10" x14ac:dyDescent="0.3">
      <c r="A85">
        <f t="shared" si="5"/>
        <v>3084</v>
      </c>
      <c r="B85" t="s">
        <v>1</v>
      </c>
      <c r="C85" t="s">
        <v>14</v>
      </c>
      <c r="D85" t="s">
        <v>140</v>
      </c>
      <c r="E85" t="s">
        <v>23</v>
      </c>
      <c r="F85" t="s">
        <v>86</v>
      </c>
      <c r="G85" t="s">
        <v>101</v>
      </c>
      <c r="H85">
        <v>0</v>
      </c>
      <c r="I85" t="str">
        <f t="shared" si="3"/>
        <v>3084,'BACHILLERATO','TRONCO COMÚN 2023','B 222','SANTOS JIMENEZ FAUSTO VINICIO','LITERATURA II','MASCULINO',0</v>
      </c>
      <c r="J85" t="str">
        <f t="shared" si="4"/>
        <v>INSERT INTO profesores (id,nivel,carrera,grupo,nombre,materia,sexo,sello) VALUES (3084,'BACHILLERATO','TRONCO COMÚN 2023','B 222','SANTOS JIMENEZ FAUSTO VINICIO','LITERATURA II','MASCULINO',0);</v>
      </c>
    </row>
    <row r="86" spans="1:10" x14ac:dyDescent="0.3">
      <c r="A86">
        <f t="shared" si="5"/>
        <v>3085</v>
      </c>
      <c r="B86" t="s">
        <v>1</v>
      </c>
      <c r="C86" t="s">
        <v>14</v>
      </c>
      <c r="D86" t="s">
        <v>140</v>
      </c>
      <c r="E86" t="s">
        <v>23</v>
      </c>
      <c r="F86" t="s">
        <v>88</v>
      </c>
      <c r="G86" t="s">
        <v>101</v>
      </c>
      <c r="H86">
        <v>0</v>
      </c>
      <c r="I86" t="str">
        <f t="shared" si="3"/>
        <v>3085,'BACHILLERATO','TRONCO COMÚN 2023','B 222','SANTOS JIMENEZ FAUSTO VINICIO','TALLER DE FORMACIÓN HUMANA Y CRISTIANA II','MASCULINO',0</v>
      </c>
      <c r="J86" t="str">
        <f t="shared" si="4"/>
        <v>INSERT INTO profesores (id,nivel,carrera,grupo,nombre,materia,sexo,sello) VALUES (3085,'BACHILLERATO','TRONCO COMÚN 2023','B 222','SANTOS JIMENEZ FAUSTO VINICIO','TALLER DE FORMACIÓN HUMANA Y CRISTIANA II','MASCULINO',0);</v>
      </c>
    </row>
    <row r="87" spans="1:10" x14ac:dyDescent="0.3">
      <c r="A87">
        <f t="shared" si="5"/>
        <v>3086</v>
      </c>
      <c r="B87" t="s">
        <v>1</v>
      </c>
      <c r="C87" t="s">
        <v>14</v>
      </c>
      <c r="D87" t="s">
        <v>140</v>
      </c>
      <c r="E87" t="s">
        <v>36</v>
      </c>
      <c r="F87" t="s">
        <v>87</v>
      </c>
      <c r="G87" t="s">
        <v>101</v>
      </c>
      <c r="H87">
        <v>0</v>
      </c>
      <c r="I87" t="str">
        <f t="shared" si="3"/>
        <v>3086,'BACHILLERATO','TRONCO COMÚN 2023','B 222','VAZQUEZ GONZALEZ JOSE VALENTIN','HISTORIA DE MÉXICO II.','MASCULINO',0</v>
      </c>
      <c r="J87" t="str">
        <f t="shared" si="4"/>
        <v>INSERT INTO profesores (id,nivel,carrera,grupo,nombre,materia,sexo,sello) VALUES (3086,'BACHILLERATO','TRONCO COMÚN 2023','B 222','VAZQUEZ GONZALEZ JOSE VALENTIN','HISTORIA DE MÉXICO II.','MASCULINO',0);</v>
      </c>
    </row>
    <row r="88" spans="1:10" x14ac:dyDescent="0.3">
      <c r="A88">
        <f t="shared" si="5"/>
        <v>3087</v>
      </c>
      <c r="B88" t="s">
        <v>1</v>
      </c>
      <c r="C88" t="s">
        <v>14</v>
      </c>
      <c r="D88" t="s">
        <v>141</v>
      </c>
      <c r="E88" t="s">
        <v>40</v>
      </c>
      <c r="F88" t="s">
        <v>85</v>
      </c>
      <c r="G88" t="s">
        <v>102</v>
      </c>
      <c r="H88">
        <v>0</v>
      </c>
      <c r="I88" t="str">
        <f t="shared" si="3"/>
        <v>3087,'BACHILLERATO','TRONCO COMÚN 2023','B 223','ALZAGA SALAS MARIANA NAYELI','ORIENTACIÓN VOCACIONAL Y PROFESIONAL II','FEMENINO',0</v>
      </c>
      <c r="J88" t="str">
        <f t="shared" si="4"/>
        <v>INSERT INTO profesores (id,nivel,carrera,grupo,nombre,materia,sexo,sello) VALUES (3087,'BACHILLERATO','TRONCO COMÚN 2023','B 223','ALZAGA SALAS MARIANA NAYELI','ORIENTACIÓN VOCACIONAL Y PROFESIONAL II','FEMENINO',0);</v>
      </c>
    </row>
    <row r="89" spans="1:10" x14ac:dyDescent="0.3">
      <c r="A89">
        <f t="shared" si="5"/>
        <v>3088</v>
      </c>
      <c r="B89" t="s">
        <v>1</v>
      </c>
      <c r="C89" t="s">
        <v>14</v>
      </c>
      <c r="D89" t="s">
        <v>141</v>
      </c>
      <c r="E89" t="s">
        <v>44</v>
      </c>
      <c r="F89" t="s">
        <v>82</v>
      </c>
      <c r="G89" t="s">
        <v>101</v>
      </c>
      <c r="H89">
        <v>0</v>
      </c>
      <c r="I89" t="str">
        <f t="shared" si="3"/>
        <v>3088,'BACHILLERATO','TRONCO COMÚN 2023','B 223','CORTES MORA FERNANDO','FÍSICA II','MASCULINO',0</v>
      </c>
      <c r="J89" t="str">
        <f t="shared" si="4"/>
        <v>INSERT INTO profesores (id,nivel,carrera,grupo,nombre,materia,sexo,sello) VALUES (3088,'BACHILLERATO','TRONCO COMÚN 2023','B 223','CORTES MORA FERNANDO','FÍSICA II','MASCULINO',0);</v>
      </c>
    </row>
    <row r="90" spans="1:10" x14ac:dyDescent="0.3">
      <c r="A90">
        <f t="shared" si="5"/>
        <v>3089</v>
      </c>
      <c r="B90" t="s">
        <v>1</v>
      </c>
      <c r="C90" t="s">
        <v>14</v>
      </c>
      <c r="D90" t="s">
        <v>141</v>
      </c>
      <c r="E90" t="s">
        <v>28</v>
      </c>
      <c r="F90" t="s">
        <v>83</v>
      </c>
      <c r="G90" t="s">
        <v>102</v>
      </c>
      <c r="H90">
        <v>0</v>
      </c>
      <c r="I90" t="str">
        <f t="shared" si="3"/>
        <v>3089,'BACHILLERATO','TRONCO COMÚN 2023','B 223','JIMENEZ HERNANDEZ DULCE ADEI ','BIOLOGÍA II.','FEMENINO',0</v>
      </c>
      <c r="J90" t="str">
        <f t="shared" si="4"/>
        <v>INSERT INTO profesores (id,nivel,carrera,grupo,nombre,materia,sexo,sello) VALUES (3089,'BACHILLERATO','TRONCO COMÚN 2023','B 223','JIMENEZ HERNANDEZ DULCE ADEI ','BIOLOGÍA II.','FEMENINO',0);</v>
      </c>
    </row>
    <row r="91" spans="1:10" x14ac:dyDescent="0.3">
      <c r="A91">
        <f t="shared" si="5"/>
        <v>3090</v>
      </c>
      <c r="B91" t="s">
        <v>1</v>
      </c>
      <c r="C91" t="s">
        <v>14</v>
      </c>
      <c r="D91" t="s">
        <v>141</v>
      </c>
      <c r="E91" t="s">
        <v>27</v>
      </c>
      <c r="F91" t="s">
        <v>81</v>
      </c>
      <c r="G91" t="s">
        <v>102</v>
      </c>
      <c r="H91">
        <v>0</v>
      </c>
      <c r="I91" t="str">
        <f t="shared" si="3"/>
        <v>3090,'BACHILLERATO','TRONCO COMÚN 2023','B 223','PONCE LEMUS YAZMIN','MATEMÁTICAS IV','FEMENINO',0</v>
      </c>
      <c r="J91" t="str">
        <f t="shared" si="4"/>
        <v>INSERT INTO profesores (id,nivel,carrera,grupo,nombre,materia,sexo,sello) VALUES (3090,'BACHILLERATO','TRONCO COMÚN 2023','B 223','PONCE LEMUS YAZMIN','MATEMÁTICAS IV','FEMENINO',0);</v>
      </c>
    </row>
    <row r="92" spans="1:10" x14ac:dyDescent="0.3">
      <c r="A92">
        <f t="shared" si="5"/>
        <v>3091</v>
      </c>
      <c r="B92" t="s">
        <v>1</v>
      </c>
      <c r="C92" t="s">
        <v>14</v>
      </c>
      <c r="D92" t="s">
        <v>141</v>
      </c>
      <c r="E92" t="s">
        <v>30</v>
      </c>
      <c r="F92" t="s">
        <v>84</v>
      </c>
      <c r="G92" t="s">
        <v>101</v>
      </c>
      <c r="H92">
        <v>0</v>
      </c>
      <c r="I92" t="str">
        <f t="shared" si="3"/>
        <v>3091,'BACHILLERATO','TRONCO COMÚN 2023','B 223','RIVAS GONZALEZ MARIO ALBERTO','ACTIVIDADES CULTURALES Y DEPORTIVAS IV ','MASCULINO',0</v>
      </c>
      <c r="J92" t="str">
        <f t="shared" si="4"/>
        <v>INSERT INTO profesores (id,nivel,carrera,grupo,nombre,materia,sexo,sello) VALUES (3091,'BACHILLERATO','TRONCO COMÚN 2023','B 223','RIVAS GONZALEZ MARIO ALBERTO','ACTIVIDADES CULTURALES Y DEPORTIVAS IV ','MASCULINO',0);</v>
      </c>
    </row>
    <row r="93" spans="1:10" x14ac:dyDescent="0.3">
      <c r="A93">
        <f t="shared" si="5"/>
        <v>3092</v>
      </c>
      <c r="B93" t="s">
        <v>1</v>
      </c>
      <c r="C93" t="s">
        <v>14</v>
      </c>
      <c r="D93" t="s">
        <v>141</v>
      </c>
      <c r="E93" t="s">
        <v>20</v>
      </c>
      <c r="F93" t="s">
        <v>88</v>
      </c>
      <c r="G93" t="s">
        <v>102</v>
      </c>
      <c r="H93">
        <v>0</v>
      </c>
      <c r="I93" t="str">
        <f t="shared" si="3"/>
        <v>3092,'BACHILLERATO','TRONCO COMÚN 2023','B 223','SANCHEZ DIAZ DURAN VERONICA AVRIL','TALLER DE FORMACIÓN HUMANA Y CRISTIANA II','FEMENINO',0</v>
      </c>
      <c r="J93" t="str">
        <f t="shared" si="4"/>
        <v>INSERT INTO profesores (id,nivel,carrera,grupo,nombre,materia,sexo,sello) VALUES (3092,'BACHILLERATO','TRONCO COMÚN 2023','B 223','SANCHEZ DIAZ DURAN VERONICA AVRIL','TALLER DE FORMACIÓN HUMANA Y CRISTIANA II','FEMENINO',0);</v>
      </c>
    </row>
    <row r="94" spans="1:10" x14ac:dyDescent="0.3">
      <c r="A94">
        <f t="shared" si="5"/>
        <v>3093</v>
      </c>
      <c r="B94" t="s">
        <v>1</v>
      </c>
      <c r="C94" t="s">
        <v>14</v>
      </c>
      <c r="D94" t="s">
        <v>141</v>
      </c>
      <c r="E94" t="s">
        <v>23</v>
      </c>
      <c r="F94" t="s">
        <v>86</v>
      </c>
      <c r="G94" t="s">
        <v>101</v>
      </c>
      <c r="H94">
        <v>0</v>
      </c>
      <c r="I94" t="str">
        <f t="shared" si="3"/>
        <v>3093,'BACHILLERATO','TRONCO COMÚN 2023','B 223','SANTOS JIMENEZ FAUSTO VINICIO','LITERATURA II','MASCULINO',0</v>
      </c>
      <c r="J94" t="str">
        <f t="shared" si="4"/>
        <v>INSERT INTO profesores (id,nivel,carrera,grupo,nombre,materia,sexo,sello) VALUES (3093,'BACHILLERATO','TRONCO COMÚN 2023','B 223','SANTOS JIMENEZ FAUSTO VINICIO','LITERATURA II','MASCULINO',0);</v>
      </c>
    </row>
    <row r="95" spans="1:10" x14ac:dyDescent="0.3">
      <c r="A95">
        <f t="shared" si="5"/>
        <v>3094</v>
      </c>
      <c r="B95" t="s">
        <v>1</v>
      </c>
      <c r="C95" t="s">
        <v>14</v>
      </c>
      <c r="D95" t="s">
        <v>141</v>
      </c>
      <c r="E95" t="s">
        <v>36</v>
      </c>
      <c r="F95" t="s">
        <v>87</v>
      </c>
      <c r="G95" t="s">
        <v>101</v>
      </c>
      <c r="H95">
        <v>0</v>
      </c>
      <c r="I95" t="str">
        <f t="shared" si="3"/>
        <v>3094,'BACHILLERATO','TRONCO COMÚN 2023','B 223','VAZQUEZ GONZALEZ JOSE VALENTIN','HISTORIA DE MÉXICO II.','MASCULINO',0</v>
      </c>
      <c r="J95" t="str">
        <f t="shared" si="4"/>
        <v>INSERT INTO profesores (id,nivel,carrera,grupo,nombre,materia,sexo,sello) VALUES (3094,'BACHILLERATO','TRONCO COMÚN 2023','B 223','VAZQUEZ GONZALEZ JOSE VALENTIN','HISTORIA DE MÉXICO II.','MASCULINO',0);</v>
      </c>
    </row>
    <row r="96" spans="1:10" x14ac:dyDescent="0.3">
      <c r="A96">
        <f t="shared" si="5"/>
        <v>3095</v>
      </c>
      <c r="B96" t="s">
        <v>1</v>
      </c>
      <c r="C96" t="s">
        <v>14</v>
      </c>
      <c r="D96" t="s">
        <v>142</v>
      </c>
      <c r="E96" t="s">
        <v>22</v>
      </c>
      <c r="F96" t="s">
        <v>86</v>
      </c>
      <c r="G96" t="s">
        <v>102</v>
      </c>
      <c r="H96">
        <v>0</v>
      </c>
      <c r="I96" t="str">
        <f t="shared" si="3"/>
        <v>3095,'BACHILLERATO','TRONCO COMÚN 2023','B 224','ARANA RAMIREZ MONICA CECILIA','LITERATURA II','FEMENINO',0</v>
      </c>
      <c r="J96" t="str">
        <f t="shared" si="4"/>
        <v>INSERT INTO profesores (id,nivel,carrera,grupo,nombre,materia,sexo,sello) VALUES (3095,'BACHILLERATO','TRONCO COMÚN 2023','B 224','ARANA RAMIREZ MONICA CECILIA','LITERATURA II','FEMENINO',0);</v>
      </c>
    </row>
    <row r="97" spans="1:10" x14ac:dyDescent="0.3">
      <c r="A97">
        <f t="shared" si="5"/>
        <v>3096</v>
      </c>
      <c r="B97" t="s">
        <v>1</v>
      </c>
      <c r="C97" t="s">
        <v>14</v>
      </c>
      <c r="D97" t="s">
        <v>142</v>
      </c>
      <c r="E97" t="s">
        <v>44</v>
      </c>
      <c r="F97" t="s">
        <v>82</v>
      </c>
      <c r="G97" t="s">
        <v>101</v>
      </c>
      <c r="H97">
        <v>0</v>
      </c>
      <c r="I97" t="str">
        <f t="shared" si="3"/>
        <v>3096,'BACHILLERATO','TRONCO COMÚN 2023','B 224','CORTES MORA FERNANDO','FÍSICA II','MASCULINO',0</v>
      </c>
      <c r="J97" t="str">
        <f t="shared" si="4"/>
        <v>INSERT INTO profesores (id,nivel,carrera,grupo,nombre,materia,sexo,sello) VALUES (3096,'BACHILLERATO','TRONCO COMÚN 2023','B 224','CORTES MORA FERNANDO','FÍSICA II','MASCULINO',0);</v>
      </c>
    </row>
    <row r="98" spans="1:10" x14ac:dyDescent="0.3">
      <c r="A98">
        <f t="shared" si="5"/>
        <v>3097</v>
      </c>
      <c r="B98" t="s">
        <v>1</v>
      </c>
      <c r="C98" t="s">
        <v>14</v>
      </c>
      <c r="D98" t="s">
        <v>142</v>
      </c>
      <c r="E98" t="s">
        <v>28</v>
      </c>
      <c r="F98" t="s">
        <v>83</v>
      </c>
      <c r="G98" t="s">
        <v>102</v>
      </c>
      <c r="H98">
        <v>0</v>
      </c>
      <c r="I98" t="str">
        <f t="shared" si="3"/>
        <v>3097,'BACHILLERATO','TRONCO COMÚN 2023','B 224','JIMENEZ HERNANDEZ DULCE ADEI ','BIOLOGÍA II.','FEMENINO',0</v>
      </c>
      <c r="J98" t="str">
        <f t="shared" si="4"/>
        <v>INSERT INTO profesores (id,nivel,carrera,grupo,nombre,materia,sexo,sello) VALUES (3097,'BACHILLERATO','TRONCO COMÚN 2023','B 224','JIMENEZ HERNANDEZ DULCE ADEI ','BIOLOGÍA II.','FEMENINO',0);</v>
      </c>
    </row>
    <row r="99" spans="1:10" x14ac:dyDescent="0.3">
      <c r="A99">
        <f t="shared" si="5"/>
        <v>3098</v>
      </c>
      <c r="B99" t="s">
        <v>1</v>
      </c>
      <c r="C99" t="s">
        <v>14</v>
      </c>
      <c r="D99" t="s">
        <v>142</v>
      </c>
      <c r="E99" t="s">
        <v>27</v>
      </c>
      <c r="F99" t="s">
        <v>81</v>
      </c>
      <c r="G99" t="s">
        <v>102</v>
      </c>
      <c r="H99">
        <v>0</v>
      </c>
      <c r="I99" t="str">
        <f t="shared" si="3"/>
        <v>3098,'BACHILLERATO','TRONCO COMÚN 2023','B 224','PONCE LEMUS YAZMIN','MATEMÁTICAS IV','FEMENINO',0</v>
      </c>
      <c r="J99" t="str">
        <f t="shared" si="4"/>
        <v>INSERT INTO profesores (id,nivel,carrera,grupo,nombre,materia,sexo,sello) VALUES (3098,'BACHILLERATO','TRONCO COMÚN 2023','B 224','PONCE LEMUS YAZMIN','MATEMÁTICAS IV','FEMENINO',0);</v>
      </c>
    </row>
    <row r="100" spans="1:10" x14ac:dyDescent="0.3">
      <c r="A100">
        <f t="shared" si="5"/>
        <v>3099</v>
      </c>
      <c r="B100" t="s">
        <v>1</v>
      </c>
      <c r="C100" t="s">
        <v>14</v>
      </c>
      <c r="D100" t="s">
        <v>142</v>
      </c>
      <c r="E100" t="s">
        <v>19</v>
      </c>
      <c r="F100" t="s">
        <v>88</v>
      </c>
      <c r="G100" t="s">
        <v>102</v>
      </c>
      <c r="H100">
        <v>0</v>
      </c>
      <c r="I100" t="str">
        <f t="shared" si="3"/>
        <v>3099,'BACHILLERATO','TRONCO COMÚN 2023','B 224','RIOS CORONADO VERONICA','TALLER DE FORMACIÓN HUMANA Y CRISTIANA II','FEMENINO',0</v>
      </c>
      <c r="J100" t="str">
        <f t="shared" si="4"/>
        <v>INSERT INTO profesores (id,nivel,carrera,grupo,nombre,materia,sexo,sello) VALUES (3099,'BACHILLERATO','TRONCO COMÚN 2023','B 224','RIOS CORONADO VERONICA','TALLER DE FORMACIÓN HUMANA Y CRISTIANA II','FEMENINO',0);</v>
      </c>
    </row>
    <row r="101" spans="1:10" x14ac:dyDescent="0.3">
      <c r="A101">
        <f t="shared" si="5"/>
        <v>3100</v>
      </c>
      <c r="B101" t="s">
        <v>1</v>
      </c>
      <c r="C101" t="s">
        <v>14</v>
      </c>
      <c r="D101" t="s">
        <v>142</v>
      </c>
      <c r="E101" t="s">
        <v>30</v>
      </c>
      <c r="F101" t="s">
        <v>84</v>
      </c>
      <c r="G101" t="s">
        <v>101</v>
      </c>
      <c r="H101">
        <v>0</v>
      </c>
      <c r="I101" t="str">
        <f t="shared" si="3"/>
        <v>3100,'BACHILLERATO','TRONCO COMÚN 2023','B 224','RIVAS GONZALEZ MARIO ALBERTO','ACTIVIDADES CULTURALES Y DEPORTIVAS IV ','MASCULINO',0</v>
      </c>
      <c r="J101" t="str">
        <f t="shared" si="4"/>
        <v>INSERT INTO profesores (id,nivel,carrera,grupo,nombre,materia,sexo,sello) VALUES (3100,'BACHILLERATO','TRONCO COMÚN 2023','B 224','RIVAS GONZALEZ MARIO ALBERTO','ACTIVIDADES CULTURALES Y DEPORTIVAS IV ','MASCULINO',0);</v>
      </c>
    </row>
    <row r="102" spans="1:10" x14ac:dyDescent="0.3">
      <c r="A102">
        <f t="shared" si="5"/>
        <v>3101</v>
      </c>
      <c r="B102" t="s">
        <v>1</v>
      </c>
      <c r="C102" t="s">
        <v>14</v>
      </c>
      <c r="D102" t="s">
        <v>142</v>
      </c>
      <c r="E102" t="s">
        <v>35</v>
      </c>
      <c r="F102" t="s">
        <v>85</v>
      </c>
      <c r="G102" t="s">
        <v>101</v>
      </c>
      <c r="H102">
        <v>0</v>
      </c>
      <c r="I102" t="str">
        <f t="shared" si="3"/>
        <v>3101,'BACHILLERATO','TRONCO COMÚN 2023','B 224','RUANOVA LABRA FERNANDO','ORIENTACIÓN VOCACIONAL Y PROFESIONAL II','MASCULINO',0</v>
      </c>
      <c r="J102" t="str">
        <f t="shared" si="4"/>
        <v>INSERT INTO profesores (id,nivel,carrera,grupo,nombre,materia,sexo,sello) VALUES (3101,'BACHILLERATO','TRONCO COMÚN 2023','B 224','RUANOVA LABRA FERNANDO','ORIENTACIÓN VOCACIONAL Y PROFESIONAL II','MASCULINO',0);</v>
      </c>
    </row>
    <row r="103" spans="1:10" x14ac:dyDescent="0.3">
      <c r="A103">
        <f t="shared" si="5"/>
        <v>3102</v>
      </c>
      <c r="B103" t="s">
        <v>1</v>
      </c>
      <c r="C103" t="s">
        <v>14</v>
      </c>
      <c r="D103" t="s">
        <v>142</v>
      </c>
      <c r="E103" t="s">
        <v>36</v>
      </c>
      <c r="F103" t="s">
        <v>87</v>
      </c>
      <c r="G103" t="s">
        <v>101</v>
      </c>
      <c r="H103">
        <v>0</v>
      </c>
      <c r="I103" t="str">
        <f t="shared" si="3"/>
        <v>3102,'BACHILLERATO','TRONCO COMÚN 2023','B 224','VAZQUEZ GONZALEZ JOSE VALENTIN','HISTORIA DE MÉXICO II.','MASCULINO',0</v>
      </c>
      <c r="J103" t="str">
        <f t="shared" si="4"/>
        <v>INSERT INTO profesores (id,nivel,carrera,grupo,nombre,materia,sexo,sello) VALUES (3102,'BACHILLERATO','TRONCO COMÚN 2023','B 224','VAZQUEZ GONZALEZ JOSE VALENTIN','HISTORIA DE MÉXICO II.','MASCULINO',0);</v>
      </c>
    </row>
    <row r="104" spans="1:10" x14ac:dyDescent="0.3">
      <c r="A104">
        <f t="shared" si="5"/>
        <v>3103</v>
      </c>
      <c r="B104" t="s">
        <v>1</v>
      </c>
      <c r="C104" t="s">
        <v>14</v>
      </c>
      <c r="D104" t="s">
        <v>143</v>
      </c>
      <c r="E104" t="s">
        <v>22</v>
      </c>
      <c r="F104" t="s">
        <v>86</v>
      </c>
      <c r="G104" t="s">
        <v>102</v>
      </c>
      <c r="H104">
        <v>0</v>
      </c>
      <c r="I104" t="str">
        <f t="shared" si="3"/>
        <v>3103,'BACHILLERATO','TRONCO COMÚN 2023','B 225','ARANA RAMIREZ MONICA CECILIA','LITERATURA II','FEMENINO',0</v>
      </c>
      <c r="J104" t="str">
        <f t="shared" si="4"/>
        <v>INSERT INTO profesores (id,nivel,carrera,grupo,nombre,materia,sexo,sello) VALUES (3103,'BACHILLERATO','TRONCO COMÚN 2023','B 225','ARANA RAMIREZ MONICA CECILIA','LITERATURA II','FEMENINO',0);</v>
      </c>
    </row>
    <row r="105" spans="1:10" x14ac:dyDescent="0.3">
      <c r="A105">
        <f t="shared" si="5"/>
        <v>3104</v>
      </c>
      <c r="B105" t="s">
        <v>1</v>
      </c>
      <c r="C105" t="s">
        <v>14</v>
      </c>
      <c r="D105" t="s">
        <v>143</v>
      </c>
      <c r="E105" t="s">
        <v>31</v>
      </c>
      <c r="F105" t="s">
        <v>83</v>
      </c>
      <c r="G105" t="s">
        <v>102</v>
      </c>
      <c r="H105">
        <v>0</v>
      </c>
      <c r="I105" t="str">
        <f t="shared" si="3"/>
        <v>3104,'BACHILLERATO','TRONCO COMÚN 2023','B 225','BECERRA GONZALEZ KIMBERLY CATALINA','BIOLOGÍA II.','FEMENINO',0</v>
      </c>
      <c r="J105" t="str">
        <f t="shared" si="4"/>
        <v>INSERT INTO profesores (id,nivel,carrera,grupo,nombre,materia,sexo,sello) VALUES (3104,'BACHILLERATO','TRONCO COMÚN 2023','B 225','BECERRA GONZALEZ KIMBERLY CATALINA','BIOLOGÍA II.','FEMENINO',0);</v>
      </c>
    </row>
    <row r="106" spans="1:10" x14ac:dyDescent="0.3">
      <c r="A106">
        <f t="shared" si="5"/>
        <v>3105</v>
      </c>
      <c r="B106" t="s">
        <v>1</v>
      </c>
      <c r="C106" t="s">
        <v>14</v>
      </c>
      <c r="D106" t="s">
        <v>143</v>
      </c>
      <c r="E106" t="s">
        <v>44</v>
      </c>
      <c r="F106" t="s">
        <v>82</v>
      </c>
      <c r="G106" t="s">
        <v>101</v>
      </c>
      <c r="H106">
        <v>0</v>
      </c>
      <c r="I106" t="str">
        <f t="shared" si="3"/>
        <v>3105,'BACHILLERATO','TRONCO COMÚN 2023','B 225','CORTES MORA FERNANDO','FÍSICA II','MASCULINO',0</v>
      </c>
      <c r="J106" t="str">
        <f t="shared" si="4"/>
        <v>INSERT INTO profesores (id,nivel,carrera,grupo,nombre,materia,sexo,sello) VALUES (3105,'BACHILLERATO','TRONCO COMÚN 2023','B 225','CORTES MORA FERNANDO','FÍSICA II','MASCULINO',0);</v>
      </c>
    </row>
    <row r="107" spans="1:10" x14ac:dyDescent="0.3">
      <c r="A107">
        <f t="shared" si="5"/>
        <v>3106</v>
      </c>
      <c r="B107" t="s">
        <v>1</v>
      </c>
      <c r="C107" t="s">
        <v>14</v>
      </c>
      <c r="D107" t="s">
        <v>143</v>
      </c>
      <c r="E107" t="s">
        <v>44</v>
      </c>
      <c r="F107" t="s">
        <v>88</v>
      </c>
      <c r="G107" t="s">
        <v>101</v>
      </c>
      <c r="H107">
        <v>0</v>
      </c>
      <c r="I107" t="str">
        <f t="shared" si="3"/>
        <v>3106,'BACHILLERATO','TRONCO COMÚN 2023','B 225','CORTES MORA FERNANDO','TALLER DE FORMACIÓN HUMANA Y CRISTIANA II','MASCULINO',0</v>
      </c>
      <c r="J107" t="str">
        <f t="shared" si="4"/>
        <v>INSERT INTO profesores (id,nivel,carrera,grupo,nombre,materia,sexo,sello) VALUES (3106,'BACHILLERATO','TRONCO COMÚN 2023','B 225','CORTES MORA FERNANDO','TALLER DE FORMACIÓN HUMANA Y CRISTIANA II','MASCULINO',0);</v>
      </c>
    </row>
    <row r="108" spans="1:10" x14ac:dyDescent="0.3">
      <c r="A108">
        <f t="shared" si="5"/>
        <v>3107</v>
      </c>
      <c r="B108" t="s">
        <v>1</v>
      </c>
      <c r="C108" t="s">
        <v>14</v>
      </c>
      <c r="D108" t="s">
        <v>143</v>
      </c>
      <c r="E108" t="s">
        <v>27</v>
      </c>
      <c r="F108" t="s">
        <v>81</v>
      </c>
      <c r="G108" t="s">
        <v>102</v>
      </c>
      <c r="H108">
        <v>0</v>
      </c>
      <c r="I108" t="str">
        <f t="shared" si="3"/>
        <v>3107,'BACHILLERATO','TRONCO COMÚN 2023','B 225','PONCE LEMUS YAZMIN','MATEMÁTICAS IV','FEMENINO',0</v>
      </c>
      <c r="J108" t="str">
        <f t="shared" si="4"/>
        <v>INSERT INTO profesores (id,nivel,carrera,grupo,nombre,materia,sexo,sello) VALUES (3107,'BACHILLERATO','TRONCO COMÚN 2023','B 225','PONCE LEMUS YAZMIN','MATEMÁTICAS IV','FEMENINO',0);</v>
      </c>
    </row>
    <row r="109" spans="1:10" x14ac:dyDescent="0.3">
      <c r="A109">
        <f t="shared" si="5"/>
        <v>3108</v>
      </c>
      <c r="B109" t="s">
        <v>1</v>
      </c>
      <c r="C109" t="s">
        <v>14</v>
      </c>
      <c r="D109" t="s">
        <v>143</v>
      </c>
      <c r="E109" t="s">
        <v>30</v>
      </c>
      <c r="F109" t="s">
        <v>84</v>
      </c>
      <c r="G109" t="s">
        <v>101</v>
      </c>
      <c r="H109">
        <v>0</v>
      </c>
      <c r="I109" t="str">
        <f t="shared" si="3"/>
        <v>3108,'BACHILLERATO','TRONCO COMÚN 2023','B 225','RIVAS GONZALEZ MARIO ALBERTO','ACTIVIDADES CULTURALES Y DEPORTIVAS IV ','MASCULINO',0</v>
      </c>
      <c r="J109" t="str">
        <f t="shared" si="4"/>
        <v>INSERT INTO profesores (id,nivel,carrera,grupo,nombre,materia,sexo,sello) VALUES (3108,'BACHILLERATO','TRONCO COMÚN 2023','B 225','RIVAS GONZALEZ MARIO ALBERTO','ACTIVIDADES CULTURALES Y DEPORTIVAS IV ','MASCULINO',0);</v>
      </c>
    </row>
    <row r="110" spans="1:10" x14ac:dyDescent="0.3">
      <c r="A110">
        <f t="shared" si="5"/>
        <v>3109</v>
      </c>
      <c r="B110" t="s">
        <v>1</v>
      </c>
      <c r="C110" t="s">
        <v>14</v>
      </c>
      <c r="D110" t="s">
        <v>143</v>
      </c>
      <c r="E110" t="s">
        <v>35</v>
      </c>
      <c r="F110" t="s">
        <v>85</v>
      </c>
      <c r="G110" t="s">
        <v>101</v>
      </c>
      <c r="H110">
        <v>0</v>
      </c>
      <c r="I110" t="str">
        <f t="shared" si="3"/>
        <v>3109,'BACHILLERATO','TRONCO COMÚN 2023','B 225','RUANOVA LABRA FERNANDO','ORIENTACIÓN VOCACIONAL Y PROFESIONAL II','MASCULINO',0</v>
      </c>
      <c r="J110" t="str">
        <f t="shared" si="4"/>
        <v>INSERT INTO profesores (id,nivel,carrera,grupo,nombre,materia,sexo,sello) VALUES (3109,'BACHILLERATO','TRONCO COMÚN 2023','B 225','RUANOVA LABRA FERNANDO','ORIENTACIÓN VOCACIONAL Y PROFESIONAL II','MASCULINO',0);</v>
      </c>
    </row>
    <row r="111" spans="1:10" x14ac:dyDescent="0.3">
      <c r="A111">
        <f t="shared" si="5"/>
        <v>3110</v>
      </c>
      <c r="B111" t="s">
        <v>1</v>
      </c>
      <c r="C111" t="s">
        <v>14</v>
      </c>
      <c r="D111" t="s">
        <v>143</v>
      </c>
      <c r="E111" t="s">
        <v>36</v>
      </c>
      <c r="F111" t="s">
        <v>87</v>
      </c>
      <c r="G111" t="s">
        <v>101</v>
      </c>
      <c r="H111">
        <v>0</v>
      </c>
      <c r="I111" t="str">
        <f t="shared" si="3"/>
        <v>3110,'BACHILLERATO','TRONCO COMÚN 2023','B 225','VAZQUEZ GONZALEZ JOSE VALENTIN','HISTORIA DE MÉXICO II.','MASCULINO',0</v>
      </c>
      <c r="J111" t="str">
        <f t="shared" si="4"/>
        <v>INSERT INTO profesores (id,nivel,carrera,grupo,nombre,materia,sexo,sello) VALUES (3110,'BACHILLERATO','TRONCO COMÚN 2023','B 225','VAZQUEZ GONZALEZ JOSE VALENTIN','HISTORIA DE MÉXICO II.','MASCULINO',0);</v>
      </c>
    </row>
    <row r="112" spans="1:10" x14ac:dyDescent="0.3">
      <c r="A112">
        <f t="shared" si="5"/>
        <v>3111</v>
      </c>
      <c r="B112" t="s">
        <v>1</v>
      </c>
      <c r="C112" t="s">
        <v>14</v>
      </c>
      <c r="D112" t="s">
        <v>108</v>
      </c>
      <c r="E112" t="s">
        <v>45</v>
      </c>
      <c r="F112" t="s">
        <v>89</v>
      </c>
      <c r="G112" t="s">
        <v>102</v>
      </c>
      <c r="H112">
        <v>0</v>
      </c>
      <c r="I112" t="str">
        <f t="shared" si="3"/>
        <v>3111,'BACHILLERATO','TRONCO COMÚN 2023','B4° 2B-II1','MERCADO BRIZUELA TERESA ISABEL','INGLÉS IV','FEMENINO',0</v>
      </c>
      <c r="J112" t="str">
        <f t="shared" si="4"/>
        <v>INSERT INTO profesores (id,nivel,carrera,grupo,nombre,materia,sexo,sello) VALUES (3111,'BACHILLERATO','TRONCO COMÚN 2023','B4° 2B-II1','MERCADO BRIZUELA TERESA ISABEL','INGLÉS IV','FEMENINO',0);</v>
      </c>
    </row>
    <row r="113" spans="1:10" x14ac:dyDescent="0.3">
      <c r="A113">
        <f t="shared" si="5"/>
        <v>3112</v>
      </c>
      <c r="B113" t="s">
        <v>1</v>
      </c>
      <c r="C113" t="s">
        <v>14</v>
      </c>
      <c r="D113" t="s">
        <v>109</v>
      </c>
      <c r="E113" t="s">
        <v>41</v>
      </c>
      <c r="F113" t="s">
        <v>89</v>
      </c>
      <c r="G113" t="s">
        <v>102</v>
      </c>
      <c r="H113">
        <v>0</v>
      </c>
      <c r="I113" t="str">
        <f t="shared" si="3"/>
        <v>3112,'BACHILLERATO','TRONCO COMÚN 2023','B4° 2B-II2','GUTIERREZ MEDINA PAOLA CAROLINA','INGLÉS IV','FEMENINO',0</v>
      </c>
      <c r="J113" t="str">
        <f t="shared" si="4"/>
        <v>INSERT INTO profesores (id,nivel,carrera,grupo,nombre,materia,sexo,sello) VALUES (3112,'BACHILLERATO','TRONCO COMÚN 2023','B4° 2B-II2','GUTIERREZ MEDINA PAOLA CAROLINA','INGLÉS IV','FEMENINO',0);</v>
      </c>
    </row>
    <row r="114" spans="1:10" x14ac:dyDescent="0.3">
      <c r="A114">
        <f t="shared" si="5"/>
        <v>3113</v>
      </c>
      <c r="B114" t="s">
        <v>1</v>
      </c>
      <c r="C114" t="s">
        <v>14</v>
      </c>
      <c r="D114" t="s">
        <v>120</v>
      </c>
      <c r="E114" t="s">
        <v>41</v>
      </c>
      <c r="F114" t="s">
        <v>89</v>
      </c>
      <c r="G114" t="s">
        <v>102</v>
      </c>
      <c r="H114">
        <v>0</v>
      </c>
      <c r="I114" t="str">
        <f t="shared" si="3"/>
        <v>3113,'BACHILLERATO','TRONCO COMÚN 2023','B4° 3A-II','GUTIERREZ MEDINA PAOLA CAROLINA','INGLÉS IV','FEMENINO',0</v>
      </c>
      <c r="J114" t="str">
        <f t="shared" si="4"/>
        <v>INSERT INTO profesores (id,nivel,carrera,grupo,nombre,materia,sexo,sello) VALUES (3113,'BACHILLERATO','TRONCO COMÚN 2023','B4° 3A-II','GUTIERREZ MEDINA PAOLA CAROLINA','INGLÉS IV','FEMENINO',0);</v>
      </c>
    </row>
    <row r="115" spans="1:10" x14ac:dyDescent="0.3">
      <c r="A115">
        <f t="shared" si="5"/>
        <v>3114</v>
      </c>
      <c r="B115" t="s">
        <v>1</v>
      </c>
      <c r="C115" t="s">
        <v>14</v>
      </c>
      <c r="D115" t="s">
        <v>110</v>
      </c>
      <c r="E115" t="s">
        <v>40</v>
      </c>
      <c r="F115" t="s">
        <v>89</v>
      </c>
      <c r="G115" t="s">
        <v>102</v>
      </c>
      <c r="H115">
        <v>0</v>
      </c>
      <c r="I115" t="str">
        <f t="shared" si="3"/>
        <v>3114,'BACHILLERATO','TRONCO COMÚN 2023','B4° 3B-II1','ALZAGA SALAS MARIANA NAYELI','INGLÉS IV','FEMENINO',0</v>
      </c>
      <c r="J115" t="str">
        <f t="shared" si="4"/>
        <v>INSERT INTO profesores (id,nivel,carrera,grupo,nombre,materia,sexo,sello) VALUES (3114,'BACHILLERATO','TRONCO COMÚN 2023','B4° 3B-II1','ALZAGA SALAS MARIANA NAYELI','INGLÉS IV','FEMENINO',0);</v>
      </c>
    </row>
    <row r="116" spans="1:10" x14ac:dyDescent="0.3">
      <c r="A116">
        <f t="shared" si="5"/>
        <v>3115</v>
      </c>
      <c r="B116" t="s">
        <v>1</v>
      </c>
      <c r="C116" t="s">
        <v>14</v>
      </c>
      <c r="D116" t="s">
        <v>111</v>
      </c>
      <c r="E116" t="s">
        <v>41</v>
      </c>
      <c r="F116" t="s">
        <v>89</v>
      </c>
      <c r="G116" t="s">
        <v>102</v>
      </c>
      <c r="H116">
        <v>0</v>
      </c>
      <c r="I116" t="str">
        <f t="shared" si="3"/>
        <v>3115,'BACHILLERATO','TRONCO COMÚN 2023','B4° 3B-II2','GUTIERREZ MEDINA PAOLA CAROLINA','INGLÉS IV','FEMENINO',0</v>
      </c>
      <c r="J116" t="str">
        <f t="shared" si="4"/>
        <v>INSERT INTO profesores (id,nivel,carrera,grupo,nombre,materia,sexo,sello) VALUES (3115,'BACHILLERATO','TRONCO COMÚN 2023','B4° 3B-II2','GUTIERREZ MEDINA PAOLA CAROLINA','INGLÉS IV','FEMENINO',0);</v>
      </c>
    </row>
    <row r="117" spans="1:10" x14ac:dyDescent="0.3">
      <c r="A117">
        <f t="shared" si="5"/>
        <v>3116</v>
      </c>
      <c r="B117" t="s">
        <v>1</v>
      </c>
      <c r="C117" t="s">
        <v>14</v>
      </c>
      <c r="D117" t="s">
        <v>112</v>
      </c>
      <c r="E117" t="s">
        <v>42</v>
      </c>
      <c r="F117" t="s">
        <v>89</v>
      </c>
      <c r="G117" t="s">
        <v>102</v>
      </c>
      <c r="H117">
        <v>0</v>
      </c>
      <c r="I117" t="str">
        <f t="shared" si="3"/>
        <v>3116,'BACHILLERATO','TRONCO COMÚN 2023','B4° 4A-II1','RODRIGUEZ CADENA SANDRA LUZ','INGLÉS IV','FEMENINO',0</v>
      </c>
      <c r="J117" t="str">
        <f t="shared" si="4"/>
        <v>INSERT INTO profesores (id,nivel,carrera,grupo,nombre,materia,sexo,sello) VALUES (3116,'BACHILLERATO','TRONCO COMÚN 2023','B4° 4A-II1','RODRIGUEZ CADENA SANDRA LUZ','INGLÉS IV','FEMENINO',0);</v>
      </c>
    </row>
    <row r="118" spans="1:10" x14ac:dyDescent="0.3">
      <c r="A118">
        <f t="shared" si="5"/>
        <v>3117</v>
      </c>
      <c r="B118" t="s">
        <v>1</v>
      </c>
      <c r="C118" t="s">
        <v>14</v>
      </c>
      <c r="D118" t="s">
        <v>113</v>
      </c>
      <c r="E118" t="s">
        <v>42</v>
      </c>
      <c r="F118" t="s">
        <v>89</v>
      </c>
      <c r="G118" t="s">
        <v>102</v>
      </c>
      <c r="H118">
        <v>0</v>
      </c>
      <c r="I118" t="str">
        <f t="shared" si="3"/>
        <v>3117,'BACHILLERATO','TRONCO COMÚN 2023','B4° 4A-II2','RODRIGUEZ CADENA SANDRA LUZ','INGLÉS IV','FEMENINO',0</v>
      </c>
      <c r="J118" t="str">
        <f t="shared" si="4"/>
        <v>INSERT INTO profesores (id,nivel,carrera,grupo,nombre,materia,sexo,sello) VALUES (3117,'BACHILLERATO','TRONCO COMÚN 2023','B4° 4A-II2','RODRIGUEZ CADENA SANDRA LUZ','INGLÉS IV','FEMENINO',0);</v>
      </c>
    </row>
    <row r="119" spans="1:10" x14ac:dyDescent="0.3">
      <c r="A119">
        <f t="shared" si="5"/>
        <v>3118</v>
      </c>
      <c r="B119" t="s">
        <v>1</v>
      </c>
      <c r="C119" t="s">
        <v>14</v>
      </c>
      <c r="D119" t="s">
        <v>121</v>
      </c>
      <c r="E119" t="s">
        <v>43</v>
      </c>
      <c r="F119" t="s">
        <v>89</v>
      </c>
      <c r="G119" t="s">
        <v>101</v>
      </c>
      <c r="H119">
        <v>0</v>
      </c>
      <c r="I119" t="str">
        <f t="shared" si="3"/>
        <v>3118,'BACHILLERATO','TRONCO COMÚN 2023','B4°BIL FR','HERNANDEZ NAVARRO ULISES','INGLÉS IV','MASCULINO',0</v>
      </c>
      <c r="J119" t="str">
        <f t="shared" si="4"/>
        <v>INSERT INTO profesores (id,nivel,carrera,grupo,nombre,materia,sexo,sello) VALUES (3118,'BACHILLERATO','TRONCO COMÚN 2023','B4°BIL FR','HERNANDEZ NAVARRO ULISES','INGLÉS IV','MASCULINO',0);</v>
      </c>
    </row>
    <row r="120" spans="1:10" x14ac:dyDescent="0.3">
      <c r="A120">
        <f t="shared" si="5"/>
        <v>3119</v>
      </c>
      <c r="B120" t="s">
        <v>1</v>
      </c>
      <c r="C120" t="s">
        <v>15</v>
      </c>
      <c r="D120" t="s">
        <v>144</v>
      </c>
      <c r="E120" t="s">
        <v>38</v>
      </c>
      <c r="F120" t="s">
        <v>90</v>
      </c>
      <c r="G120" t="s">
        <v>101</v>
      </c>
      <c r="H120">
        <v>0</v>
      </c>
      <c r="I120" t="str">
        <f t="shared" si="3"/>
        <v>3119,'BACHILLERATO','TRONCO COMÚN 2023A','B 111','ARELLANO LOPEZ CESAR','ÉTICA II','MASCULINO',0</v>
      </c>
      <c r="J120" t="str">
        <f t="shared" si="4"/>
        <v>INSERT INTO profesores (id,nivel,carrera,grupo,nombre,materia,sexo,sello) VALUES (3119,'BACHILLERATO','TRONCO COMÚN 2023A','B 111','ARELLANO LOPEZ CESAR','ÉTICA II','MASCULINO',0);</v>
      </c>
    </row>
    <row r="121" spans="1:10" x14ac:dyDescent="0.3">
      <c r="A121">
        <f t="shared" si="5"/>
        <v>3120</v>
      </c>
      <c r="B121" t="s">
        <v>1</v>
      </c>
      <c r="C121" t="s">
        <v>15</v>
      </c>
      <c r="D121" t="s">
        <v>144</v>
      </c>
      <c r="E121" t="s">
        <v>26</v>
      </c>
      <c r="F121" t="s">
        <v>91</v>
      </c>
      <c r="G121" t="s">
        <v>101</v>
      </c>
      <c r="H121">
        <v>0</v>
      </c>
      <c r="I121" t="str">
        <f t="shared" si="3"/>
        <v>3120,'BACHILLERATO','TRONCO COMÚN 2023A','B 111','AVILA TORRES MANUEL ANDRES','MATEMÁTICAS II','MASCULINO',0</v>
      </c>
      <c r="J121" t="str">
        <f t="shared" si="4"/>
        <v>INSERT INTO profesores (id,nivel,carrera,grupo,nombre,materia,sexo,sello) VALUES (3120,'BACHILLERATO','TRONCO COMÚN 2023A','B 111','AVILA TORRES MANUEL ANDRES','MATEMÁTICAS II','MASCULINO',0);</v>
      </c>
    </row>
    <row r="122" spans="1:10" x14ac:dyDescent="0.3">
      <c r="A122">
        <f t="shared" si="5"/>
        <v>3121</v>
      </c>
      <c r="B122" t="s">
        <v>1</v>
      </c>
      <c r="C122" t="s">
        <v>15</v>
      </c>
      <c r="D122" t="s">
        <v>144</v>
      </c>
      <c r="E122" t="s">
        <v>25</v>
      </c>
      <c r="F122" t="s">
        <v>92</v>
      </c>
      <c r="G122" t="s">
        <v>101</v>
      </c>
      <c r="H122">
        <v>0</v>
      </c>
      <c r="I122" t="str">
        <f t="shared" si="3"/>
        <v>3121,'BACHILLERATO','TRONCO COMÚN 2023A','B 111','HERNANDEZ NAVARRO ROBERTO','INFORMÁTICA II','MASCULINO',0</v>
      </c>
      <c r="J122" t="str">
        <f t="shared" si="4"/>
        <v>INSERT INTO profesores (id,nivel,carrera,grupo,nombre,materia,sexo,sello) VALUES (3121,'BACHILLERATO','TRONCO COMÚN 2023A','B 111','HERNANDEZ NAVARRO ROBERTO','INFORMÁTICA II','MASCULINO',0);</v>
      </c>
    </row>
    <row r="123" spans="1:10" x14ac:dyDescent="0.3">
      <c r="A123">
        <f t="shared" si="5"/>
        <v>3122</v>
      </c>
      <c r="B123" t="s">
        <v>1</v>
      </c>
      <c r="C123" t="s">
        <v>15</v>
      </c>
      <c r="D123" t="s">
        <v>144</v>
      </c>
      <c r="E123" t="s">
        <v>43</v>
      </c>
      <c r="F123" t="s">
        <v>93</v>
      </c>
      <c r="G123" t="s">
        <v>101</v>
      </c>
      <c r="H123">
        <v>0</v>
      </c>
      <c r="I123" t="str">
        <f t="shared" si="3"/>
        <v>3122,'BACHILLERATO','TRONCO COMÚN 2023A','B 111','HERNANDEZ NAVARRO ULISES','INTRODUCCIÓN A LA ORIENTACIÓN VOCACIONAL II','MASCULINO',0</v>
      </c>
      <c r="J123" t="str">
        <f t="shared" si="4"/>
        <v>INSERT INTO profesores (id,nivel,carrera,grupo,nombre,materia,sexo,sello) VALUES (3122,'BACHILLERATO','TRONCO COMÚN 2023A','B 111','HERNANDEZ NAVARRO ULISES','INTRODUCCIÓN A LA ORIENTACIÓN VOCACIONAL II','MASCULINO',0);</v>
      </c>
    </row>
    <row r="124" spans="1:10" x14ac:dyDescent="0.3">
      <c r="A124">
        <f t="shared" si="5"/>
        <v>3123</v>
      </c>
      <c r="B124" t="s">
        <v>1</v>
      </c>
      <c r="C124" t="s">
        <v>15</v>
      </c>
      <c r="D124" t="s">
        <v>144</v>
      </c>
      <c r="E124" t="s">
        <v>43</v>
      </c>
      <c r="F124" t="s">
        <v>94</v>
      </c>
      <c r="G124" t="s">
        <v>101</v>
      </c>
      <c r="H124">
        <v>0</v>
      </c>
      <c r="I124" t="str">
        <f t="shared" si="3"/>
        <v>3123,'BACHILLERATO','TRONCO COMÚN 2023A','B 111','HERNANDEZ NAVARRO ULISES','TALLER DE INICIACIÓN HUMANA Y CRISTIANA II','MASCULINO',0</v>
      </c>
      <c r="J124" t="str">
        <f t="shared" si="4"/>
        <v>INSERT INTO profesores (id,nivel,carrera,grupo,nombre,materia,sexo,sello) VALUES (3123,'BACHILLERATO','TRONCO COMÚN 2023A','B 111','HERNANDEZ NAVARRO ULISES','TALLER DE INICIACIÓN HUMANA Y CRISTIANA II','MASCULINO',0);</v>
      </c>
    </row>
    <row r="125" spans="1:10" x14ac:dyDescent="0.3">
      <c r="A125">
        <f t="shared" si="5"/>
        <v>3124</v>
      </c>
      <c r="B125" t="s">
        <v>1</v>
      </c>
      <c r="C125" t="s">
        <v>15</v>
      </c>
      <c r="D125" t="s">
        <v>144</v>
      </c>
      <c r="E125" t="s">
        <v>34</v>
      </c>
      <c r="F125" t="s">
        <v>95</v>
      </c>
      <c r="G125" t="s">
        <v>102</v>
      </c>
      <c r="H125">
        <v>0</v>
      </c>
      <c r="I125" t="str">
        <f t="shared" si="3"/>
        <v>3124,'BACHILLERATO','TRONCO COMÚN 2023A','B 111','JAUREGUI MORENO NIDIA','INTRODUCCIÓN A LAS CIENCIAS SOCIALES.','FEMENINO',0</v>
      </c>
      <c r="J125" t="str">
        <f t="shared" si="4"/>
        <v>INSERT INTO profesores (id,nivel,carrera,grupo,nombre,materia,sexo,sello) VALUES (3124,'BACHILLERATO','TRONCO COMÚN 2023A','B 111','JAUREGUI MORENO NIDIA','INTRODUCCIÓN A LAS CIENCIAS SOCIALES.','FEMENINO',0);</v>
      </c>
    </row>
    <row r="126" spans="1:10" x14ac:dyDescent="0.3">
      <c r="A126">
        <f t="shared" si="5"/>
        <v>3125</v>
      </c>
      <c r="B126" t="s">
        <v>1</v>
      </c>
      <c r="C126" t="s">
        <v>15</v>
      </c>
      <c r="D126" t="s">
        <v>144</v>
      </c>
      <c r="E126" t="s">
        <v>34</v>
      </c>
      <c r="F126" t="s">
        <v>96</v>
      </c>
      <c r="G126" t="s">
        <v>102</v>
      </c>
      <c r="H126">
        <v>0</v>
      </c>
      <c r="I126" t="str">
        <f t="shared" si="3"/>
        <v>3125,'BACHILLERATO','TRONCO COMÚN 2023A','B 111','JAUREGUI MORENO NIDIA','TALLER DE LECTURA Y REDACCIÓN II','FEMENINO',0</v>
      </c>
      <c r="J126" t="str">
        <f t="shared" si="4"/>
        <v>INSERT INTO profesores (id,nivel,carrera,grupo,nombre,materia,sexo,sello) VALUES (3125,'BACHILLERATO','TRONCO COMÚN 2023A','B 111','JAUREGUI MORENO NIDIA','TALLER DE LECTURA Y REDACCIÓN II','FEMENINO',0);</v>
      </c>
    </row>
    <row r="127" spans="1:10" x14ac:dyDescent="0.3">
      <c r="A127">
        <f t="shared" si="5"/>
        <v>3126</v>
      </c>
      <c r="B127" t="s">
        <v>1</v>
      </c>
      <c r="C127" t="s">
        <v>15</v>
      </c>
      <c r="D127" t="s">
        <v>144</v>
      </c>
      <c r="E127" t="s">
        <v>46</v>
      </c>
      <c r="F127" t="s">
        <v>97</v>
      </c>
      <c r="G127" t="s">
        <v>101</v>
      </c>
      <c r="H127">
        <v>0</v>
      </c>
      <c r="I127" t="str">
        <f t="shared" si="3"/>
        <v>3126,'BACHILLERATO','TRONCO COMÚN 2023A','B 111','LOPEZ HIDALGO MARIO ALBERTO','QUÍMICA II','MASCULINO',0</v>
      </c>
      <c r="J127" t="str">
        <f t="shared" si="4"/>
        <v>INSERT INTO profesores (id,nivel,carrera,grupo,nombre,materia,sexo,sello) VALUES (3126,'BACHILLERATO','TRONCO COMÚN 2023A','B 111','LOPEZ HIDALGO MARIO ALBERTO','QUÍMICA II','MASCULINO',0);</v>
      </c>
    </row>
    <row r="128" spans="1:10" x14ac:dyDescent="0.3">
      <c r="A128">
        <f t="shared" si="5"/>
        <v>3127</v>
      </c>
      <c r="B128" t="s">
        <v>1</v>
      </c>
      <c r="C128" t="s">
        <v>15</v>
      </c>
      <c r="D128" t="s">
        <v>144</v>
      </c>
      <c r="E128" t="s">
        <v>30</v>
      </c>
      <c r="F128" t="s">
        <v>98</v>
      </c>
      <c r="G128" t="s">
        <v>101</v>
      </c>
      <c r="H128">
        <v>0</v>
      </c>
      <c r="I128" t="str">
        <f t="shared" si="3"/>
        <v>3127,'BACHILLERATO','TRONCO COMÚN 2023A','B 111','RIVAS GONZALEZ MARIO ALBERTO','ACTIVIDADES CULTURALES Y DEPORTIVAS II','MASCULINO',0</v>
      </c>
      <c r="J128" t="str">
        <f t="shared" si="4"/>
        <v>INSERT INTO profesores (id,nivel,carrera,grupo,nombre,materia,sexo,sello) VALUES (3127,'BACHILLERATO','TRONCO COMÚN 2023A','B 111','RIVAS GONZALEZ MARIO ALBERTO','ACTIVIDADES CULTURALES Y DEPORTIVAS II','MASCULINO',0);</v>
      </c>
    </row>
    <row r="129" spans="1:10" x14ac:dyDescent="0.3">
      <c r="A129">
        <f t="shared" si="5"/>
        <v>3128</v>
      </c>
      <c r="B129" t="s">
        <v>1</v>
      </c>
      <c r="C129" t="s">
        <v>15</v>
      </c>
      <c r="D129" t="s">
        <v>145</v>
      </c>
      <c r="E129" t="s">
        <v>22</v>
      </c>
      <c r="F129" t="s">
        <v>94</v>
      </c>
      <c r="G129" t="s">
        <v>102</v>
      </c>
      <c r="H129">
        <v>0</v>
      </c>
      <c r="I129" t="str">
        <f t="shared" si="3"/>
        <v>3128,'BACHILLERATO','TRONCO COMÚN 2023A','B 112','ARANA RAMIREZ MONICA CECILIA','TALLER DE INICIACIÓN HUMANA Y CRISTIANA II','FEMENINO',0</v>
      </c>
      <c r="J129" t="str">
        <f t="shared" si="4"/>
        <v>INSERT INTO profesores (id,nivel,carrera,grupo,nombre,materia,sexo,sello) VALUES (3128,'BACHILLERATO','TRONCO COMÚN 2023A','B 112','ARANA RAMIREZ MONICA CECILIA','TALLER DE INICIACIÓN HUMANA Y CRISTIANA II','FEMENINO',0);</v>
      </c>
    </row>
    <row r="130" spans="1:10" x14ac:dyDescent="0.3">
      <c r="A130">
        <f t="shared" si="5"/>
        <v>3129</v>
      </c>
      <c r="B130" t="s">
        <v>1</v>
      </c>
      <c r="C130" t="s">
        <v>15</v>
      </c>
      <c r="D130" t="s">
        <v>145</v>
      </c>
      <c r="E130" t="s">
        <v>22</v>
      </c>
      <c r="F130" t="s">
        <v>96</v>
      </c>
      <c r="G130" t="s">
        <v>102</v>
      </c>
      <c r="H130">
        <v>0</v>
      </c>
      <c r="I130" t="str">
        <f t="shared" si="3"/>
        <v>3129,'BACHILLERATO','TRONCO COMÚN 2023A','B 112','ARANA RAMIREZ MONICA CECILIA','TALLER DE LECTURA Y REDACCIÓN II','FEMENINO',0</v>
      </c>
      <c r="J130" t="str">
        <f t="shared" si="4"/>
        <v>INSERT INTO profesores (id,nivel,carrera,grupo,nombre,materia,sexo,sello) VALUES (3129,'BACHILLERATO','TRONCO COMÚN 2023A','B 112','ARANA RAMIREZ MONICA CECILIA','TALLER DE LECTURA Y REDACCIÓN II','FEMENINO',0);</v>
      </c>
    </row>
    <row r="131" spans="1:10" x14ac:dyDescent="0.3">
      <c r="A131">
        <f t="shared" si="5"/>
        <v>3130</v>
      </c>
      <c r="B131" t="s">
        <v>1</v>
      </c>
      <c r="C131" t="s">
        <v>15</v>
      </c>
      <c r="D131" t="s">
        <v>145</v>
      </c>
      <c r="E131" t="s">
        <v>38</v>
      </c>
      <c r="F131" t="s">
        <v>90</v>
      </c>
      <c r="G131" t="s">
        <v>101</v>
      </c>
      <c r="H131">
        <v>0</v>
      </c>
      <c r="I131" t="str">
        <f t="shared" ref="I131:I170" si="6">CONCATENATE(A131,",'",B131,"','",C131,"','",TRIM(D131),",'",E131,"','",F131,"','",G131,"',",H131)</f>
        <v>3130,'BACHILLERATO','TRONCO COMÚN 2023A','B 112','ARELLANO LOPEZ CESAR','ÉTICA II','MASCULINO',0</v>
      </c>
      <c r="J131" t="str">
        <f t="shared" ref="J131:J170" si="7">CONCATENATE($I$1,I131,");")</f>
        <v>INSERT INTO profesores (id,nivel,carrera,grupo,nombre,materia,sexo,sello) VALUES (3130,'BACHILLERATO','TRONCO COMÚN 2023A','B 112','ARELLANO LOPEZ CESAR','ÉTICA II','MASCULINO',0);</v>
      </c>
    </row>
    <row r="132" spans="1:10" x14ac:dyDescent="0.3">
      <c r="A132">
        <f t="shared" ref="A132:A170" si="8">A131+1</f>
        <v>3131</v>
      </c>
      <c r="B132" t="s">
        <v>1</v>
      </c>
      <c r="C132" t="s">
        <v>15</v>
      </c>
      <c r="D132" t="s">
        <v>145</v>
      </c>
      <c r="E132" t="s">
        <v>21</v>
      </c>
      <c r="F132" t="s">
        <v>91</v>
      </c>
      <c r="G132" t="s">
        <v>102</v>
      </c>
      <c r="H132">
        <v>0</v>
      </c>
      <c r="I132" t="str">
        <f t="shared" si="6"/>
        <v>3131,'BACHILLERATO','TRONCO COMÚN 2023A','B 112','GRAJEDA ALVARADO ANA ISABEL','MATEMÁTICAS II','FEMENINO',0</v>
      </c>
      <c r="J132" t="str">
        <f t="shared" si="7"/>
        <v>INSERT INTO profesores (id,nivel,carrera,grupo,nombre,materia,sexo,sello) VALUES (3131,'BACHILLERATO','TRONCO COMÚN 2023A','B 112','GRAJEDA ALVARADO ANA ISABEL','MATEMÁTICAS II','FEMENINO',0);</v>
      </c>
    </row>
    <row r="133" spans="1:10" x14ac:dyDescent="0.3">
      <c r="A133">
        <f t="shared" si="8"/>
        <v>3132</v>
      </c>
      <c r="B133" t="s">
        <v>1</v>
      </c>
      <c r="C133" t="s">
        <v>15</v>
      </c>
      <c r="D133" t="s">
        <v>145</v>
      </c>
      <c r="E133" t="s">
        <v>25</v>
      </c>
      <c r="F133" t="s">
        <v>92</v>
      </c>
      <c r="G133" t="s">
        <v>101</v>
      </c>
      <c r="H133">
        <v>0</v>
      </c>
      <c r="I133" t="str">
        <f t="shared" si="6"/>
        <v>3132,'BACHILLERATO','TRONCO COMÚN 2023A','B 112','HERNANDEZ NAVARRO ROBERTO','INFORMÁTICA II','MASCULINO',0</v>
      </c>
      <c r="J133" t="str">
        <f t="shared" si="7"/>
        <v>INSERT INTO profesores (id,nivel,carrera,grupo,nombre,materia,sexo,sello) VALUES (3132,'BACHILLERATO','TRONCO COMÚN 2023A','B 112','HERNANDEZ NAVARRO ROBERTO','INFORMÁTICA II','MASCULINO',0);</v>
      </c>
    </row>
    <row r="134" spans="1:10" x14ac:dyDescent="0.3">
      <c r="A134">
        <f t="shared" si="8"/>
        <v>3133</v>
      </c>
      <c r="B134" t="s">
        <v>1</v>
      </c>
      <c r="C134" t="s">
        <v>15</v>
      </c>
      <c r="D134" t="s">
        <v>145</v>
      </c>
      <c r="E134" t="s">
        <v>43</v>
      </c>
      <c r="F134" t="s">
        <v>93</v>
      </c>
      <c r="G134" t="s">
        <v>101</v>
      </c>
      <c r="H134">
        <v>0</v>
      </c>
      <c r="I134" t="str">
        <f t="shared" si="6"/>
        <v>3133,'BACHILLERATO','TRONCO COMÚN 2023A','B 112','HERNANDEZ NAVARRO ULISES','INTRODUCCIÓN A LA ORIENTACIÓN VOCACIONAL II','MASCULINO',0</v>
      </c>
      <c r="J134" t="str">
        <f t="shared" si="7"/>
        <v>INSERT INTO profesores (id,nivel,carrera,grupo,nombre,materia,sexo,sello) VALUES (3133,'BACHILLERATO','TRONCO COMÚN 2023A','B 112','HERNANDEZ NAVARRO ULISES','INTRODUCCIÓN A LA ORIENTACIÓN VOCACIONAL II','MASCULINO',0);</v>
      </c>
    </row>
    <row r="135" spans="1:10" x14ac:dyDescent="0.3">
      <c r="A135">
        <f t="shared" si="8"/>
        <v>3134</v>
      </c>
      <c r="B135" t="s">
        <v>1</v>
      </c>
      <c r="C135" t="s">
        <v>15</v>
      </c>
      <c r="D135" t="s">
        <v>145</v>
      </c>
      <c r="E135" t="s">
        <v>34</v>
      </c>
      <c r="F135" t="s">
        <v>95</v>
      </c>
      <c r="G135" t="s">
        <v>102</v>
      </c>
      <c r="H135">
        <v>0</v>
      </c>
      <c r="I135" t="str">
        <f t="shared" si="6"/>
        <v>3134,'BACHILLERATO','TRONCO COMÚN 2023A','B 112','JAUREGUI MORENO NIDIA','INTRODUCCIÓN A LAS CIENCIAS SOCIALES.','FEMENINO',0</v>
      </c>
      <c r="J135" t="str">
        <f t="shared" si="7"/>
        <v>INSERT INTO profesores (id,nivel,carrera,grupo,nombre,materia,sexo,sello) VALUES (3134,'BACHILLERATO','TRONCO COMÚN 2023A','B 112','JAUREGUI MORENO NIDIA','INTRODUCCIÓN A LAS CIENCIAS SOCIALES.','FEMENINO',0);</v>
      </c>
    </row>
    <row r="136" spans="1:10" x14ac:dyDescent="0.3">
      <c r="A136">
        <f t="shared" si="8"/>
        <v>3135</v>
      </c>
      <c r="B136" t="s">
        <v>1</v>
      </c>
      <c r="C136" t="s">
        <v>15</v>
      </c>
      <c r="D136" t="s">
        <v>145</v>
      </c>
      <c r="E136" t="s">
        <v>46</v>
      </c>
      <c r="F136" t="s">
        <v>97</v>
      </c>
      <c r="G136" t="s">
        <v>101</v>
      </c>
      <c r="H136">
        <v>0</v>
      </c>
      <c r="I136" t="str">
        <f t="shared" si="6"/>
        <v>3135,'BACHILLERATO','TRONCO COMÚN 2023A','B 112','LOPEZ HIDALGO MARIO ALBERTO','QUÍMICA II','MASCULINO',0</v>
      </c>
      <c r="J136" t="str">
        <f t="shared" si="7"/>
        <v>INSERT INTO profesores (id,nivel,carrera,grupo,nombre,materia,sexo,sello) VALUES (3135,'BACHILLERATO','TRONCO COMÚN 2023A','B 112','LOPEZ HIDALGO MARIO ALBERTO','QUÍMICA II','MASCULINO',0);</v>
      </c>
    </row>
    <row r="137" spans="1:10" x14ac:dyDescent="0.3">
      <c r="A137">
        <f t="shared" si="8"/>
        <v>3136</v>
      </c>
      <c r="B137" t="s">
        <v>1</v>
      </c>
      <c r="C137" t="s">
        <v>15</v>
      </c>
      <c r="D137" t="s">
        <v>145</v>
      </c>
      <c r="E137" t="s">
        <v>30</v>
      </c>
      <c r="F137" t="s">
        <v>98</v>
      </c>
      <c r="G137" t="s">
        <v>101</v>
      </c>
      <c r="H137">
        <v>0</v>
      </c>
      <c r="I137" t="str">
        <f t="shared" si="6"/>
        <v>3136,'BACHILLERATO','TRONCO COMÚN 2023A','B 112','RIVAS GONZALEZ MARIO ALBERTO','ACTIVIDADES CULTURALES Y DEPORTIVAS II','MASCULINO',0</v>
      </c>
      <c r="J137" t="str">
        <f t="shared" si="7"/>
        <v>INSERT INTO profesores (id,nivel,carrera,grupo,nombre,materia,sexo,sello) VALUES (3136,'BACHILLERATO','TRONCO COMÚN 2023A','B 112','RIVAS GONZALEZ MARIO ALBERTO','ACTIVIDADES CULTURALES Y DEPORTIVAS II','MASCULINO',0);</v>
      </c>
    </row>
    <row r="138" spans="1:10" x14ac:dyDescent="0.3">
      <c r="A138">
        <f t="shared" si="8"/>
        <v>3137</v>
      </c>
      <c r="B138" t="s">
        <v>1</v>
      </c>
      <c r="C138" t="s">
        <v>15</v>
      </c>
      <c r="D138" t="s">
        <v>146</v>
      </c>
      <c r="E138" t="s">
        <v>38</v>
      </c>
      <c r="F138" t="s">
        <v>90</v>
      </c>
      <c r="G138" t="s">
        <v>101</v>
      </c>
      <c r="H138">
        <v>0</v>
      </c>
      <c r="I138" t="str">
        <f t="shared" si="6"/>
        <v>3137,'BACHILLERATO','TRONCO COMÚN 2023A','B 113','ARELLANO LOPEZ CESAR','ÉTICA II','MASCULINO',0</v>
      </c>
      <c r="J138" t="str">
        <f t="shared" si="7"/>
        <v>INSERT INTO profesores (id,nivel,carrera,grupo,nombre,materia,sexo,sello) VALUES (3137,'BACHILLERATO','TRONCO COMÚN 2023A','B 113','ARELLANO LOPEZ CESAR','ÉTICA II','MASCULINO',0);</v>
      </c>
    </row>
    <row r="139" spans="1:10" x14ac:dyDescent="0.3">
      <c r="A139">
        <f t="shared" si="8"/>
        <v>3138</v>
      </c>
      <c r="B139" t="s">
        <v>1</v>
      </c>
      <c r="C139" t="s">
        <v>15</v>
      </c>
      <c r="D139" t="s">
        <v>146</v>
      </c>
      <c r="E139" t="s">
        <v>47</v>
      </c>
      <c r="F139" t="s">
        <v>96</v>
      </c>
      <c r="G139" t="s">
        <v>102</v>
      </c>
      <c r="H139">
        <v>0</v>
      </c>
      <c r="I139" t="str">
        <f t="shared" si="6"/>
        <v>3138,'BACHILLERATO','TRONCO COMÚN 2023A','B 113','CANO DE DIOS ANDREA GORETTI','TALLER DE LECTURA Y REDACCIÓN II','FEMENINO',0</v>
      </c>
      <c r="J139" t="str">
        <f t="shared" si="7"/>
        <v>INSERT INTO profesores (id,nivel,carrera,grupo,nombre,materia,sexo,sello) VALUES (3138,'BACHILLERATO','TRONCO COMÚN 2023A','B 113','CANO DE DIOS ANDREA GORETTI','TALLER DE LECTURA Y REDACCIÓN II','FEMENINO',0);</v>
      </c>
    </row>
    <row r="140" spans="1:10" x14ac:dyDescent="0.3">
      <c r="A140">
        <f t="shared" si="8"/>
        <v>3139</v>
      </c>
      <c r="B140" t="s">
        <v>1</v>
      </c>
      <c r="C140" t="s">
        <v>15</v>
      </c>
      <c r="D140" t="s">
        <v>146</v>
      </c>
      <c r="E140" t="s">
        <v>21</v>
      </c>
      <c r="F140" t="s">
        <v>91</v>
      </c>
      <c r="G140" t="s">
        <v>102</v>
      </c>
      <c r="H140">
        <v>0</v>
      </c>
      <c r="I140" t="str">
        <f t="shared" si="6"/>
        <v>3139,'BACHILLERATO','TRONCO COMÚN 2023A','B 113','GRAJEDA ALVARADO ANA ISABEL','MATEMÁTICAS II','FEMENINO',0</v>
      </c>
      <c r="J140" t="str">
        <f t="shared" si="7"/>
        <v>INSERT INTO profesores (id,nivel,carrera,grupo,nombre,materia,sexo,sello) VALUES (3139,'BACHILLERATO','TRONCO COMÚN 2023A','B 113','GRAJEDA ALVARADO ANA ISABEL','MATEMÁTICAS II','FEMENINO',0);</v>
      </c>
    </row>
    <row r="141" spans="1:10" x14ac:dyDescent="0.3">
      <c r="A141">
        <f t="shared" si="8"/>
        <v>3140</v>
      </c>
      <c r="B141" t="s">
        <v>1</v>
      </c>
      <c r="C141" t="s">
        <v>15</v>
      </c>
      <c r="D141" t="s">
        <v>146</v>
      </c>
      <c r="E141" t="s">
        <v>25</v>
      </c>
      <c r="F141" t="s">
        <v>92</v>
      </c>
      <c r="G141" t="s">
        <v>101</v>
      </c>
      <c r="H141">
        <v>0</v>
      </c>
      <c r="I141" t="str">
        <f t="shared" si="6"/>
        <v>3140,'BACHILLERATO','TRONCO COMÚN 2023A','B 113','HERNANDEZ NAVARRO ROBERTO','INFORMÁTICA II','MASCULINO',0</v>
      </c>
      <c r="J141" t="str">
        <f t="shared" si="7"/>
        <v>INSERT INTO profesores (id,nivel,carrera,grupo,nombre,materia,sexo,sello) VALUES (3140,'BACHILLERATO','TRONCO COMÚN 2023A','B 113','HERNANDEZ NAVARRO ROBERTO','INFORMÁTICA II','MASCULINO',0);</v>
      </c>
    </row>
    <row r="142" spans="1:10" x14ac:dyDescent="0.3">
      <c r="A142">
        <f t="shared" si="8"/>
        <v>3141</v>
      </c>
      <c r="B142" t="s">
        <v>1</v>
      </c>
      <c r="C142" t="s">
        <v>15</v>
      </c>
      <c r="D142" t="s">
        <v>146</v>
      </c>
      <c r="E142" t="s">
        <v>34</v>
      </c>
      <c r="F142" t="s">
        <v>95</v>
      </c>
      <c r="G142" t="s">
        <v>102</v>
      </c>
      <c r="H142">
        <v>0</v>
      </c>
      <c r="I142" t="str">
        <f t="shared" si="6"/>
        <v>3141,'BACHILLERATO','TRONCO COMÚN 2023A','B 113','JAUREGUI MORENO NIDIA','INTRODUCCIÓN A LAS CIENCIAS SOCIALES.','FEMENINO',0</v>
      </c>
      <c r="J142" t="str">
        <f t="shared" si="7"/>
        <v>INSERT INTO profesores (id,nivel,carrera,grupo,nombre,materia,sexo,sello) VALUES (3141,'BACHILLERATO','TRONCO COMÚN 2023A','B 113','JAUREGUI MORENO NIDIA','INTRODUCCIÓN A LAS CIENCIAS SOCIALES.','FEMENINO',0);</v>
      </c>
    </row>
    <row r="143" spans="1:10" x14ac:dyDescent="0.3">
      <c r="A143">
        <f t="shared" si="8"/>
        <v>3142</v>
      </c>
      <c r="B143" t="s">
        <v>1</v>
      </c>
      <c r="C143" t="s">
        <v>15</v>
      </c>
      <c r="D143" t="s">
        <v>146</v>
      </c>
      <c r="E143" t="s">
        <v>46</v>
      </c>
      <c r="F143" t="s">
        <v>97</v>
      </c>
      <c r="G143" t="s">
        <v>101</v>
      </c>
      <c r="H143">
        <v>0</v>
      </c>
      <c r="I143" t="str">
        <f t="shared" si="6"/>
        <v>3142,'BACHILLERATO','TRONCO COMÚN 2023A','B 113','LOPEZ HIDALGO MARIO ALBERTO','QUÍMICA II','MASCULINO',0</v>
      </c>
      <c r="J143" t="str">
        <f t="shared" si="7"/>
        <v>INSERT INTO profesores (id,nivel,carrera,grupo,nombre,materia,sexo,sello) VALUES (3142,'BACHILLERATO','TRONCO COMÚN 2023A','B 113','LOPEZ HIDALGO MARIO ALBERTO','QUÍMICA II','MASCULINO',0);</v>
      </c>
    </row>
    <row r="144" spans="1:10" x14ac:dyDescent="0.3">
      <c r="A144">
        <f t="shared" si="8"/>
        <v>3143</v>
      </c>
      <c r="B144" t="s">
        <v>1</v>
      </c>
      <c r="C144" t="s">
        <v>15</v>
      </c>
      <c r="D144" t="s">
        <v>146</v>
      </c>
      <c r="E144" t="s">
        <v>46</v>
      </c>
      <c r="F144" t="s">
        <v>94</v>
      </c>
      <c r="G144" t="s">
        <v>101</v>
      </c>
      <c r="H144">
        <v>0</v>
      </c>
      <c r="I144" t="str">
        <f t="shared" si="6"/>
        <v>3143,'BACHILLERATO','TRONCO COMÚN 2023A','B 113','LOPEZ HIDALGO MARIO ALBERTO','TALLER DE INICIACIÓN HUMANA Y CRISTIANA II','MASCULINO',0</v>
      </c>
      <c r="J144" t="str">
        <f t="shared" si="7"/>
        <v>INSERT INTO profesores (id,nivel,carrera,grupo,nombre,materia,sexo,sello) VALUES (3143,'BACHILLERATO','TRONCO COMÚN 2023A','B 113','LOPEZ HIDALGO MARIO ALBERTO','TALLER DE INICIACIÓN HUMANA Y CRISTIANA II','MASCULINO',0);</v>
      </c>
    </row>
    <row r="145" spans="1:10" x14ac:dyDescent="0.3">
      <c r="A145">
        <f t="shared" si="8"/>
        <v>3144</v>
      </c>
      <c r="B145" t="s">
        <v>1</v>
      </c>
      <c r="C145" t="s">
        <v>15</v>
      </c>
      <c r="D145" t="s">
        <v>146</v>
      </c>
      <c r="E145" t="s">
        <v>39</v>
      </c>
      <c r="F145" t="s">
        <v>93</v>
      </c>
      <c r="G145" t="s">
        <v>101</v>
      </c>
      <c r="H145">
        <v>0</v>
      </c>
      <c r="I145" t="str">
        <f t="shared" si="6"/>
        <v>3144,'BACHILLERATO','TRONCO COMÚN 2023A','B 113','MIGES MARIN EVARISTO CARLOS','INTRODUCCIÓN A LA ORIENTACIÓN VOCACIONAL II','MASCULINO',0</v>
      </c>
      <c r="J145" t="str">
        <f t="shared" si="7"/>
        <v>INSERT INTO profesores (id,nivel,carrera,grupo,nombre,materia,sexo,sello) VALUES (3144,'BACHILLERATO','TRONCO COMÚN 2023A','B 113','MIGES MARIN EVARISTO CARLOS','INTRODUCCIÓN A LA ORIENTACIÓN VOCACIONAL II','MASCULINO',0);</v>
      </c>
    </row>
    <row r="146" spans="1:10" x14ac:dyDescent="0.3">
      <c r="A146">
        <f t="shared" si="8"/>
        <v>3145</v>
      </c>
      <c r="B146" t="s">
        <v>1</v>
      </c>
      <c r="C146" t="s">
        <v>15</v>
      </c>
      <c r="D146" t="s">
        <v>146</v>
      </c>
      <c r="E146" t="s">
        <v>30</v>
      </c>
      <c r="F146" t="s">
        <v>98</v>
      </c>
      <c r="G146" t="s">
        <v>101</v>
      </c>
      <c r="H146">
        <v>0</v>
      </c>
      <c r="I146" t="str">
        <f t="shared" si="6"/>
        <v>3145,'BACHILLERATO','TRONCO COMÚN 2023A','B 113','RIVAS GONZALEZ MARIO ALBERTO','ACTIVIDADES CULTURALES Y DEPORTIVAS II','MASCULINO',0</v>
      </c>
      <c r="J146" t="str">
        <f t="shared" si="7"/>
        <v>INSERT INTO profesores (id,nivel,carrera,grupo,nombre,materia,sexo,sello) VALUES (3145,'BACHILLERATO','TRONCO COMÚN 2023A','B 113','RIVAS GONZALEZ MARIO ALBERTO','ACTIVIDADES CULTURALES Y DEPORTIVAS II','MASCULINO',0);</v>
      </c>
    </row>
    <row r="147" spans="1:10" x14ac:dyDescent="0.3">
      <c r="A147">
        <f t="shared" si="8"/>
        <v>3146</v>
      </c>
      <c r="B147" t="s">
        <v>1</v>
      </c>
      <c r="C147" t="s">
        <v>15</v>
      </c>
      <c r="D147" t="s">
        <v>147</v>
      </c>
      <c r="E147" t="s">
        <v>38</v>
      </c>
      <c r="F147" t="s">
        <v>90</v>
      </c>
      <c r="G147" t="s">
        <v>101</v>
      </c>
      <c r="H147">
        <v>0</v>
      </c>
      <c r="I147" t="str">
        <f t="shared" si="6"/>
        <v>3146,'BACHILLERATO','TRONCO COMÚN 2023A','B 114','ARELLANO LOPEZ CESAR','ÉTICA II','MASCULINO',0</v>
      </c>
      <c r="J147" t="str">
        <f t="shared" si="7"/>
        <v>INSERT INTO profesores (id,nivel,carrera,grupo,nombre,materia,sexo,sello) VALUES (3146,'BACHILLERATO','TRONCO COMÚN 2023A','B 114','ARELLANO LOPEZ CESAR','ÉTICA II','MASCULINO',0);</v>
      </c>
    </row>
    <row r="148" spans="1:10" x14ac:dyDescent="0.3">
      <c r="A148">
        <f t="shared" si="8"/>
        <v>3147</v>
      </c>
      <c r="B148" t="s">
        <v>1</v>
      </c>
      <c r="C148" t="s">
        <v>15</v>
      </c>
      <c r="D148" t="s">
        <v>147</v>
      </c>
      <c r="E148" t="s">
        <v>38</v>
      </c>
      <c r="F148" t="s">
        <v>94</v>
      </c>
      <c r="G148" t="s">
        <v>101</v>
      </c>
      <c r="H148">
        <v>0</v>
      </c>
      <c r="I148" t="str">
        <f t="shared" si="6"/>
        <v>3147,'BACHILLERATO','TRONCO COMÚN 2023A','B 114','ARELLANO LOPEZ CESAR','TALLER DE INICIACIÓN HUMANA Y CRISTIANA II','MASCULINO',0</v>
      </c>
      <c r="J148" t="str">
        <f t="shared" si="7"/>
        <v>INSERT INTO profesores (id,nivel,carrera,grupo,nombre,materia,sexo,sello) VALUES (3147,'BACHILLERATO','TRONCO COMÚN 2023A','B 114','ARELLANO LOPEZ CESAR','TALLER DE INICIACIÓN HUMANA Y CRISTIANA II','MASCULINO',0);</v>
      </c>
    </row>
    <row r="149" spans="1:10" x14ac:dyDescent="0.3">
      <c r="A149">
        <f t="shared" si="8"/>
        <v>3148</v>
      </c>
      <c r="B149" t="s">
        <v>1</v>
      </c>
      <c r="C149" t="s">
        <v>15</v>
      </c>
      <c r="D149" t="s">
        <v>147</v>
      </c>
      <c r="E149" t="s">
        <v>47</v>
      </c>
      <c r="F149" t="s">
        <v>96</v>
      </c>
      <c r="G149" t="s">
        <v>102</v>
      </c>
      <c r="H149">
        <v>0</v>
      </c>
      <c r="I149" t="str">
        <f t="shared" si="6"/>
        <v>3148,'BACHILLERATO','TRONCO COMÚN 2023A','B 114','CANO DE DIOS ANDREA GORETTI','TALLER DE LECTURA Y REDACCIÓN II','FEMENINO',0</v>
      </c>
      <c r="J149" t="str">
        <f t="shared" si="7"/>
        <v>INSERT INTO profesores (id,nivel,carrera,grupo,nombre,materia,sexo,sello) VALUES (3148,'BACHILLERATO','TRONCO COMÚN 2023A','B 114','CANO DE DIOS ANDREA GORETTI','TALLER DE LECTURA Y REDACCIÓN II','FEMENINO',0);</v>
      </c>
    </row>
    <row r="150" spans="1:10" x14ac:dyDescent="0.3">
      <c r="A150">
        <f t="shared" si="8"/>
        <v>3149</v>
      </c>
      <c r="B150" t="s">
        <v>1</v>
      </c>
      <c r="C150" t="s">
        <v>15</v>
      </c>
      <c r="D150" t="s">
        <v>147</v>
      </c>
      <c r="E150" t="s">
        <v>21</v>
      </c>
      <c r="F150" t="s">
        <v>91</v>
      </c>
      <c r="G150" t="s">
        <v>102</v>
      </c>
      <c r="H150">
        <v>0</v>
      </c>
      <c r="I150" t="str">
        <f t="shared" si="6"/>
        <v>3149,'BACHILLERATO','TRONCO COMÚN 2023A','B 114','GRAJEDA ALVARADO ANA ISABEL','MATEMÁTICAS II','FEMENINO',0</v>
      </c>
      <c r="J150" t="str">
        <f t="shared" si="7"/>
        <v>INSERT INTO profesores (id,nivel,carrera,grupo,nombre,materia,sexo,sello) VALUES (3149,'BACHILLERATO','TRONCO COMÚN 2023A','B 114','GRAJEDA ALVARADO ANA ISABEL','MATEMÁTICAS II','FEMENINO',0);</v>
      </c>
    </row>
    <row r="151" spans="1:10" x14ac:dyDescent="0.3">
      <c r="A151">
        <f t="shared" si="8"/>
        <v>3150</v>
      </c>
      <c r="B151" t="s">
        <v>1</v>
      </c>
      <c r="C151" t="s">
        <v>15</v>
      </c>
      <c r="D151" t="s">
        <v>147</v>
      </c>
      <c r="E151" t="s">
        <v>25</v>
      </c>
      <c r="F151" t="s">
        <v>92</v>
      </c>
      <c r="G151" t="s">
        <v>101</v>
      </c>
      <c r="H151">
        <v>0</v>
      </c>
      <c r="I151" t="str">
        <f t="shared" si="6"/>
        <v>3150,'BACHILLERATO','TRONCO COMÚN 2023A','B 114','HERNANDEZ NAVARRO ROBERTO','INFORMÁTICA II','MASCULINO',0</v>
      </c>
      <c r="J151" t="str">
        <f t="shared" si="7"/>
        <v>INSERT INTO profesores (id,nivel,carrera,grupo,nombre,materia,sexo,sello) VALUES (3150,'BACHILLERATO','TRONCO COMÚN 2023A','B 114','HERNANDEZ NAVARRO ROBERTO','INFORMÁTICA II','MASCULINO',0);</v>
      </c>
    </row>
    <row r="152" spans="1:10" x14ac:dyDescent="0.3">
      <c r="A152">
        <f t="shared" si="8"/>
        <v>3151</v>
      </c>
      <c r="B152" t="s">
        <v>1</v>
      </c>
      <c r="C152" t="s">
        <v>15</v>
      </c>
      <c r="D152" t="s">
        <v>147</v>
      </c>
      <c r="E152" t="s">
        <v>34</v>
      </c>
      <c r="F152" t="s">
        <v>95</v>
      </c>
      <c r="G152" t="s">
        <v>102</v>
      </c>
      <c r="H152">
        <v>0</v>
      </c>
      <c r="I152" t="str">
        <f t="shared" si="6"/>
        <v>3151,'BACHILLERATO','TRONCO COMÚN 2023A','B 114','JAUREGUI MORENO NIDIA','INTRODUCCIÓN A LAS CIENCIAS SOCIALES.','FEMENINO',0</v>
      </c>
      <c r="J152" t="str">
        <f t="shared" si="7"/>
        <v>INSERT INTO profesores (id,nivel,carrera,grupo,nombre,materia,sexo,sello) VALUES (3151,'BACHILLERATO','TRONCO COMÚN 2023A','B 114','JAUREGUI MORENO NIDIA','INTRODUCCIÓN A LAS CIENCIAS SOCIALES.','FEMENINO',0);</v>
      </c>
    </row>
    <row r="153" spans="1:10" x14ac:dyDescent="0.3">
      <c r="A153">
        <f t="shared" si="8"/>
        <v>3152</v>
      </c>
      <c r="B153" t="s">
        <v>1</v>
      </c>
      <c r="C153" t="s">
        <v>15</v>
      </c>
      <c r="D153" t="s">
        <v>147</v>
      </c>
      <c r="E153" t="s">
        <v>29</v>
      </c>
      <c r="F153" t="s">
        <v>97</v>
      </c>
      <c r="G153" t="s">
        <v>101</v>
      </c>
      <c r="H153">
        <v>0</v>
      </c>
      <c r="I153" t="str">
        <f t="shared" si="6"/>
        <v>3152,'BACHILLERATO','TRONCO COMÚN 2023A','B 114','LOPEZ ORTEGA SALVADOR','QUÍMICA II','MASCULINO',0</v>
      </c>
      <c r="J153" t="str">
        <f t="shared" si="7"/>
        <v>INSERT INTO profesores (id,nivel,carrera,grupo,nombre,materia,sexo,sello) VALUES (3152,'BACHILLERATO','TRONCO COMÚN 2023A','B 114','LOPEZ ORTEGA SALVADOR','QUÍMICA II','MASCULINO',0);</v>
      </c>
    </row>
    <row r="154" spans="1:10" x14ac:dyDescent="0.3">
      <c r="A154">
        <f t="shared" si="8"/>
        <v>3153</v>
      </c>
      <c r="B154" t="s">
        <v>1</v>
      </c>
      <c r="C154" t="s">
        <v>15</v>
      </c>
      <c r="D154" t="s">
        <v>147</v>
      </c>
      <c r="E154" t="s">
        <v>39</v>
      </c>
      <c r="F154" t="s">
        <v>93</v>
      </c>
      <c r="G154" t="s">
        <v>101</v>
      </c>
      <c r="H154">
        <v>0</v>
      </c>
      <c r="I154" t="str">
        <f t="shared" si="6"/>
        <v>3153,'BACHILLERATO','TRONCO COMÚN 2023A','B 114','MIGES MARIN EVARISTO CARLOS','INTRODUCCIÓN A LA ORIENTACIÓN VOCACIONAL II','MASCULINO',0</v>
      </c>
      <c r="J154" t="str">
        <f t="shared" si="7"/>
        <v>INSERT INTO profesores (id,nivel,carrera,grupo,nombre,materia,sexo,sello) VALUES (3153,'BACHILLERATO','TRONCO COMÚN 2023A','B 114','MIGES MARIN EVARISTO CARLOS','INTRODUCCIÓN A LA ORIENTACIÓN VOCACIONAL II','MASCULINO',0);</v>
      </c>
    </row>
    <row r="155" spans="1:10" x14ac:dyDescent="0.3">
      <c r="A155">
        <f t="shared" si="8"/>
        <v>3154</v>
      </c>
      <c r="B155" t="s">
        <v>1</v>
      </c>
      <c r="C155" t="s">
        <v>15</v>
      </c>
      <c r="D155" t="s">
        <v>147</v>
      </c>
      <c r="E155" t="s">
        <v>30</v>
      </c>
      <c r="F155" t="s">
        <v>98</v>
      </c>
      <c r="G155" t="s">
        <v>101</v>
      </c>
      <c r="H155">
        <v>0</v>
      </c>
      <c r="I155" t="str">
        <f t="shared" si="6"/>
        <v>3154,'BACHILLERATO','TRONCO COMÚN 2023A','B 114','RIVAS GONZALEZ MARIO ALBERTO','ACTIVIDADES CULTURALES Y DEPORTIVAS II','MASCULINO',0</v>
      </c>
      <c r="J155" t="str">
        <f t="shared" si="7"/>
        <v>INSERT INTO profesores (id,nivel,carrera,grupo,nombre,materia,sexo,sello) VALUES (3154,'BACHILLERATO','TRONCO COMÚN 2023A','B 114','RIVAS GONZALEZ MARIO ALBERTO','ACTIVIDADES CULTURALES Y DEPORTIVAS II','MASCULINO',0);</v>
      </c>
    </row>
    <row r="156" spans="1:10" x14ac:dyDescent="0.3">
      <c r="A156">
        <f t="shared" si="8"/>
        <v>3155</v>
      </c>
      <c r="B156" t="s">
        <v>1</v>
      </c>
      <c r="C156" t="s">
        <v>15</v>
      </c>
      <c r="D156" t="s">
        <v>148</v>
      </c>
      <c r="E156" t="s">
        <v>38</v>
      </c>
      <c r="F156" t="s">
        <v>90</v>
      </c>
      <c r="G156" t="s">
        <v>101</v>
      </c>
      <c r="H156">
        <v>0</v>
      </c>
      <c r="I156" t="str">
        <f t="shared" si="6"/>
        <v>3155,'BACHILLERATO','TRONCO COMÚN 2023A','B 115','ARELLANO LOPEZ CESAR','ÉTICA II','MASCULINO',0</v>
      </c>
      <c r="J156" t="str">
        <f t="shared" si="7"/>
        <v>INSERT INTO profesores (id,nivel,carrera,grupo,nombre,materia,sexo,sello) VALUES (3155,'BACHILLERATO','TRONCO COMÚN 2023A','B 115','ARELLANO LOPEZ CESAR','ÉTICA II','MASCULINO',0);</v>
      </c>
    </row>
    <row r="157" spans="1:10" x14ac:dyDescent="0.3">
      <c r="A157">
        <f t="shared" si="8"/>
        <v>3156</v>
      </c>
      <c r="B157" t="s">
        <v>1</v>
      </c>
      <c r="C157" t="s">
        <v>15</v>
      </c>
      <c r="D157" t="s">
        <v>148</v>
      </c>
      <c r="E157" t="s">
        <v>47</v>
      </c>
      <c r="F157" t="s">
        <v>96</v>
      </c>
      <c r="G157" t="s">
        <v>102</v>
      </c>
      <c r="H157">
        <v>0</v>
      </c>
      <c r="I157" t="str">
        <f t="shared" si="6"/>
        <v>3156,'BACHILLERATO','TRONCO COMÚN 2023A','B 115','CANO DE DIOS ANDREA GORETTI','TALLER DE LECTURA Y REDACCIÓN II','FEMENINO',0</v>
      </c>
      <c r="J157" t="str">
        <f t="shared" si="7"/>
        <v>INSERT INTO profesores (id,nivel,carrera,grupo,nombre,materia,sexo,sello) VALUES (3156,'BACHILLERATO','TRONCO COMÚN 2023A','B 115','CANO DE DIOS ANDREA GORETTI','TALLER DE LECTURA Y REDACCIÓN II','FEMENINO',0);</v>
      </c>
    </row>
    <row r="158" spans="1:10" x14ac:dyDescent="0.3">
      <c r="A158">
        <f t="shared" si="8"/>
        <v>3157</v>
      </c>
      <c r="B158" t="s">
        <v>1</v>
      </c>
      <c r="C158" t="s">
        <v>15</v>
      </c>
      <c r="D158" t="s">
        <v>148</v>
      </c>
      <c r="E158" t="s">
        <v>25</v>
      </c>
      <c r="F158" t="s">
        <v>92</v>
      </c>
      <c r="G158" t="s">
        <v>101</v>
      </c>
      <c r="H158">
        <v>0</v>
      </c>
      <c r="I158" t="str">
        <f t="shared" si="6"/>
        <v>3157,'BACHILLERATO','TRONCO COMÚN 2023A','B 115','HERNANDEZ NAVARRO ROBERTO','INFORMÁTICA II','MASCULINO',0</v>
      </c>
      <c r="J158" t="str">
        <f t="shared" si="7"/>
        <v>INSERT INTO profesores (id,nivel,carrera,grupo,nombre,materia,sexo,sello) VALUES (3157,'BACHILLERATO','TRONCO COMÚN 2023A','B 115','HERNANDEZ NAVARRO ROBERTO','INFORMÁTICA II','MASCULINO',0);</v>
      </c>
    </row>
    <row r="159" spans="1:10" x14ac:dyDescent="0.3">
      <c r="A159">
        <f t="shared" si="8"/>
        <v>3158</v>
      </c>
      <c r="B159" t="s">
        <v>1</v>
      </c>
      <c r="C159" t="s">
        <v>15</v>
      </c>
      <c r="D159" t="s">
        <v>148</v>
      </c>
      <c r="E159" t="s">
        <v>34</v>
      </c>
      <c r="F159" t="s">
        <v>95</v>
      </c>
      <c r="G159" t="s">
        <v>102</v>
      </c>
      <c r="H159">
        <v>0</v>
      </c>
      <c r="I159" t="str">
        <f t="shared" si="6"/>
        <v>3158,'BACHILLERATO','TRONCO COMÚN 2023A','B 115','JAUREGUI MORENO NIDIA','INTRODUCCIÓN A LAS CIENCIAS SOCIALES.','FEMENINO',0</v>
      </c>
      <c r="J159" t="str">
        <f t="shared" si="7"/>
        <v>INSERT INTO profesores (id,nivel,carrera,grupo,nombre,materia,sexo,sello) VALUES (3158,'BACHILLERATO','TRONCO COMÚN 2023A','B 115','JAUREGUI MORENO NIDIA','INTRODUCCIÓN A LAS CIENCIAS SOCIALES.','FEMENINO',0);</v>
      </c>
    </row>
    <row r="160" spans="1:10" x14ac:dyDescent="0.3">
      <c r="A160">
        <f t="shared" si="8"/>
        <v>3159</v>
      </c>
      <c r="B160" t="s">
        <v>1</v>
      </c>
      <c r="C160" t="s">
        <v>15</v>
      </c>
      <c r="D160" t="s">
        <v>148</v>
      </c>
      <c r="E160" t="s">
        <v>46</v>
      </c>
      <c r="F160" t="s">
        <v>97</v>
      </c>
      <c r="G160" t="s">
        <v>101</v>
      </c>
      <c r="H160">
        <v>0</v>
      </c>
      <c r="I160" t="str">
        <f t="shared" si="6"/>
        <v>3159,'BACHILLERATO','TRONCO COMÚN 2023A','B 115','LOPEZ HIDALGO MARIO ALBERTO','QUÍMICA II','MASCULINO',0</v>
      </c>
      <c r="J160" t="str">
        <f t="shared" si="7"/>
        <v>INSERT INTO profesores (id,nivel,carrera,grupo,nombre,materia,sexo,sello) VALUES (3159,'BACHILLERATO','TRONCO COMÚN 2023A','B 115','LOPEZ HIDALGO MARIO ALBERTO','QUÍMICA II','MASCULINO',0);</v>
      </c>
    </row>
    <row r="161" spans="1:10" x14ac:dyDescent="0.3">
      <c r="A161">
        <f t="shared" si="8"/>
        <v>3160</v>
      </c>
      <c r="B161" t="s">
        <v>1</v>
      </c>
      <c r="C161" t="s">
        <v>15</v>
      </c>
      <c r="D161" t="s">
        <v>148</v>
      </c>
      <c r="E161" t="s">
        <v>29</v>
      </c>
      <c r="F161" t="s">
        <v>91</v>
      </c>
      <c r="G161" t="s">
        <v>101</v>
      </c>
      <c r="H161">
        <v>0</v>
      </c>
      <c r="I161" t="str">
        <f t="shared" si="6"/>
        <v>3160,'BACHILLERATO','TRONCO COMÚN 2023A','B 115','LOPEZ ORTEGA SALVADOR','MATEMÁTICAS II','MASCULINO',0</v>
      </c>
      <c r="J161" t="str">
        <f t="shared" si="7"/>
        <v>INSERT INTO profesores (id,nivel,carrera,grupo,nombre,materia,sexo,sello) VALUES (3160,'BACHILLERATO','TRONCO COMÚN 2023A','B 115','LOPEZ ORTEGA SALVADOR','MATEMÁTICAS II','MASCULINO',0);</v>
      </c>
    </row>
    <row r="162" spans="1:10" x14ac:dyDescent="0.3">
      <c r="A162">
        <f t="shared" si="8"/>
        <v>3161</v>
      </c>
      <c r="B162" t="s">
        <v>1</v>
      </c>
      <c r="C162" t="s">
        <v>15</v>
      </c>
      <c r="D162" t="s">
        <v>148</v>
      </c>
      <c r="E162" t="s">
        <v>37</v>
      </c>
      <c r="F162" t="s">
        <v>93</v>
      </c>
      <c r="G162" t="s">
        <v>102</v>
      </c>
      <c r="H162">
        <v>0</v>
      </c>
      <c r="I162" t="str">
        <f t="shared" si="6"/>
        <v>3161,'BACHILLERATO','TRONCO COMÚN 2023A','B 115','ORTEGA RUA ANA MATILDE','INTRODUCCIÓN A LA ORIENTACIÓN VOCACIONAL II','FEMENINO',0</v>
      </c>
      <c r="J162" t="str">
        <f t="shared" si="7"/>
        <v>INSERT INTO profesores (id,nivel,carrera,grupo,nombre,materia,sexo,sello) VALUES (3161,'BACHILLERATO','TRONCO COMÚN 2023A','B 115','ORTEGA RUA ANA MATILDE','INTRODUCCIÓN A LA ORIENTACIÓN VOCACIONAL II','FEMENINO',0);</v>
      </c>
    </row>
    <row r="163" spans="1:10" x14ac:dyDescent="0.3">
      <c r="A163">
        <f t="shared" si="8"/>
        <v>3162</v>
      </c>
      <c r="B163" t="s">
        <v>1</v>
      </c>
      <c r="C163" t="s">
        <v>15</v>
      </c>
      <c r="D163" t="s">
        <v>148</v>
      </c>
      <c r="E163" t="s">
        <v>30</v>
      </c>
      <c r="F163" t="s">
        <v>98</v>
      </c>
      <c r="G163" t="s">
        <v>101</v>
      </c>
      <c r="H163">
        <v>0</v>
      </c>
      <c r="I163" t="str">
        <f t="shared" si="6"/>
        <v>3162,'BACHILLERATO','TRONCO COMÚN 2023A','B 115','RIVAS GONZALEZ MARIO ALBERTO','ACTIVIDADES CULTURALES Y DEPORTIVAS II','MASCULINO',0</v>
      </c>
      <c r="J163" t="str">
        <f t="shared" si="7"/>
        <v>INSERT INTO profesores (id,nivel,carrera,grupo,nombre,materia,sexo,sello) VALUES (3162,'BACHILLERATO','TRONCO COMÚN 2023A','B 115','RIVAS GONZALEZ MARIO ALBERTO','ACTIVIDADES CULTURALES Y DEPORTIVAS II','MASCULINO',0);</v>
      </c>
    </row>
    <row r="164" spans="1:10" x14ac:dyDescent="0.3">
      <c r="A164">
        <f t="shared" si="8"/>
        <v>3163</v>
      </c>
      <c r="B164" t="s">
        <v>1</v>
      </c>
      <c r="C164" t="s">
        <v>15</v>
      </c>
      <c r="D164" t="s">
        <v>148</v>
      </c>
      <c r="E164" t="s">
        <v>42</v>
      </c>
      <c r="F164" t="s">
        <v>94</v>
      </c>
      <c r="G164" t="s">
        <v>102</v>
      </c>
      <c r="H164">
        <v>0</v>
      </c>
      <c r="I164" t="str">
        <f t="shared" si="6"/>
        <v>3163,'BACHILLERATO','TRONCO COMÚN 2023A','B 115','RODRIGUEZ CADENA SANDRA LUZ','TALLER DE INICIACIÓN HUMANA Y CRISTIANA II','FEMENINO',0</v>
      </c>
      <c r="J164" t="str">
        <f t="shared" si="7"/>
        <v>INSERT INTO profesores (id,nivel,carrera,grupo,nombre,materia,sexo,sello) VALUES (3163,'BACHILLERATO','TRONCO COMÚN 2023A','B 115','RODRIGUEZ CADENA SANDRA LUZ','TALLER DE INICIACIÓN HUMANA Y CRISTIANA II','FEMENINO',0);</v>
      </c>
    </row>
    <row r="165" spans="1:10" x14ac:dyDescent="0.3">
      <c r="A165">
        <f t="shared" si="8"/>
        <v>3164</v>
      </c>
      <c r="B165" t="s">
        <v>1</v>
      </c>
      <c r="C165" t="s">
        <v>15</v>
      </c>
      <c r="D165" t="s">
        <v>122</v>
      </c>
      <c r="E165" t="s">
        <v>45</v>
      </c>
      <c r="F165" t="s">
        <v>99</v>
      </c>
      <c r="G165" t="s">
        <v>102</v>
      </c>
      <c r="H165">
        <v>0</v>
      </c>
      <c r="I165" t="str">
        <f t="shared" si="6"/>
        <v>3164,'BACHILLERATO','TRONCO COMÚN 2023A','B2° 2A-II','MERCADO BRIZUELA TERESA ISABEL','INGLÉS II','FEMENINO',0</v>
      </c>
      <c r="J165" t="str">
        <f t="shared" si="7"/>
        <v>INSERT INTO profesores (id,nivel,carrera,grupo,nombre,materia,sexo,sello) VALUES (3164,'BACHILLERATO','TRONCO COMÚN 2023A','B2° 2A-II','MERCADO BRIZUELA TERESA ISABEL','INGLÉS II','FEMENINO',0);</v>
      </c>
    </row>
    <row r="166" spans="1:10" x14ac:dyDescent="0.3">
      <c r="A166">
        <f t="shared" si="8"/>
        <v>3165</v>
      </c>
      <c r="B166" t="s">
        <v>1</v>
      </c>
      <c r="C166" t="s">
        <v>15</v>
      </c>
      <c r="D166" t="s">
        <v>123</v>
      </c>
      <c r="E166" t="s">
        <v>41</v>
      </c>
      <c r="F166" t="s">
        <v>99</v>
      </c>
      <c r="G166" t="s">
        <v>102</v>
      </c>
      <c r="H166">
        <v>0</v>
      </c>
      <c r="I166" t="str">
        <f t="shared" si="6"/>
        <v>3165,'BACHILLERATO','TRONCO COMÚN 2023A','B2° 2B-II','GUTIERREZ MEDINA PAOLA CAROLINA','INGLÉS II','FEMENINO',0</v>
      </c>
      <c r="J166" t="str">
        <f t="shared" si="7"/>
        <v>INSERT INTO profesores (id,nivel,carrera,grupo,nombre,materia,sexo,sello) VALUES (3165,'BACHILLERATO','TRONCO COMÚN 2023A','B2° 2B-II','GUTIERREZ MEDINA PAOLA CAROLINA','INGLÉS II','FEMENINO',0);</v>
      </c>
    </row>
    <row r="167" spans="1:10" x14ac:dyDescent="0.3">
      <c r="A167">
        <f t="shared" si="8"/>
        <v>3166</v>
      </c>
      <c r="B167" t="s">
        <v>1</v>
      </c>
      <c r="C167" t="s">
        <v>15</v>
      </c>
      <c r="D167" t="s">
        <v>124</v>
      </c>
      <c r="E167" t="s">
        <v>40</v>
      </c>
      <c r="F167" t="s">
        <v>99</v>
      </c>
      <c r="G167" t="s">
        <v>102</v>
      </c>
      <c r="H167">
        <v>0</v>
      </c>
      <c r="I167" t="str">
        <f t="shared" si="6"/>
        <v>3166,'BACHILLERATO','TRONCO COMÚN 2023A','B2° 3A-II','ALZAGA SALAS MARIANA NAYELI','INGLÉS II','FEMENINO',0</v>
      </c>
      <c r="J167" t="str">
        <f t="shared" si="7"/>
        <v>INSERT INTO profesores (id,nivel,carrera,grupo,nombre,materia,sexo,sello) VALUES (3166,'BACHILLERATO','TRONCO COMÚN 2023A','B2° 3A-II','ALZAGA SALAS MARIANA NAYELI','INGLÉS II','FEMENINO',0);</v>
      </c>
    </row>
    <row r="168" spans="1:10" x14ac:dyDescent="0.3">
      <c r="A168">
        <f t="shared" si="8"/>
        <v>3167</v>
      </c>
      <c r="B168" t="s">
        <v>1</v>
      </c>
      <c r="C168" t="s">
        <v>15</v>
      </c>
      <c r="D168" t="s">
        <v>125</v>
      </c>
      <c r="E168" t="s">
        <v>42</v>
      </c>
      <c r="F168" t="s">
        <v>99</v>
      </c>
      <c r="G168" t="s">
        <v>102</v>
      </c>
      <c r="H168">
        <v>0</v>
      </c>
      <c r="I168" t="str">
        <f t="shared" si="6"/>
        <v>3167,'BACHILLERATO','TRONCO COMÚN 2023A','B2° 3B-II','RODRIGUEZ CADENA SANDRA LUZ','INGLÉS II','FEMENINO',0</v>
      </c>
      <c r="J168" t="str">
        <f t="shared" si="7"/>
        <v>INSERT INTO profesores (id,nivel,carrera,grupo,nombre,materia,sexo,sello) VALUES (3167,'BACHILLERATO','TRONCO COMÚN 2023A','B2° 3B-II','RODRIGUEZ CADENA SANDRA LUZ','INGLÉS II','FEMENINO',0);</v>
      </c>
    </row>
    <row r="169" spans="1:10" x14ac:dyDescent="0.3">
      <c r="A169">
        <f t="shared" si="8"/>
        <v>3168</v>
      </c>
      <c r="B169" t="s">
        <v>1</v>
      </c>
      <c r="C169" t="s">
        <v>15</v>
      </c>
      <c r="D169" t="s">
        <v>126</v>
      </c>
      <c r="E169" t="s">
        <v>20</v>
      </c>
      <c r="F169" t="s">
        <v>99</v>
      </c>
      <c r="G169" t="s">
        <v>102</v>
      </c>
      <c r="H169">
        <v>0</v>
      </c>
      <c r="I169" t="str">
        <f t="shared" si="6"/>
        <v>3168,'BACHILLERATO','TRONCO COMÚN 2023A','B2°BIL FR','SANCHEZ DIAZ DURAN VERONICA AVRIL','INGLÉS II','FEMENINO',0</v>
      </c>
      <c r="J169" t="str">
        <f t="shared" si="7"/>
        <v>INSERT INTO profesores (id,nivel,carrera,grupo,nombre,materia,sexo,sello) VALUES (3168,'BACHILLERATO','TRONCO COMÚN 2023A','B2°BIL FR','SANCHEZ DIAZ DURAN VERONICA AVRIL','INGLÉS II','FEMENINO',0);</v>
      </c>
    </row>
    <row r="170" spans="1:10" x14ac:dyDescent="0.3">
      <c r="A170">
        <f t="shared" si="8"/>
        <v>3169</v>
      </c>
      <c r="B170" t="s">
        <v>1</v>
      </c>
      <c r="C170" t="s">
        <v>15</v>
      </c>
      <c r="D170" t="s">
        <v>114</v>
      </c>
      <c r="E170" t="s">
        <v>40</v>
      </c>
      <c r="F170" t="s">
        <v>99</v>
      </c>
      <c r="G170" t="s">
        <v>102</v>
      </c>
      <c r="H170">
        <v>0</v>
      </c>
      <c r="I170" t="str">
        <f t="shared" si="6"/>
        <v>3169,'BACHILLERATO','TRONCO COMÚN 2023A','B2°BIL ING','ALZAGA SALAS MARIANA NAYELI','INGLÉS II','FEMENINO',0</v>
      </c>
      <c r="J170" t="str">
        <f t="shared" si="7"/>
        <v>INSERT INTO profesores (id,nivel,carrera,grupo,nombre,materia,sexo,sello) VALUES (3169,'BACHILLERATO','TRONCO COMÚN 2023A','B2°BIL ING','ALZAGA SALAS MARIANA NAYELI','INGLÉS II','FEMENINO',0);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2025-05-06T16:26:13Z</dcterms:modified>
</cp:coreProperties>
</file>