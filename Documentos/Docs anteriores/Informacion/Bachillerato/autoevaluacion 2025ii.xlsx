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13_ncr:1_{868849A7-632D-4B59-A816-C682669F67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2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L3" i="3" s="1"/>
  <c r="K14" i="3"/>
  <c r="L14" i="3" s="1"/>
  <c r="K15" i="3"/>
  <c r="L15" i="3" s="1"/>
  <c r="K27" i="3"/>
  <c r="L27" i="3" s="1"/>
  <c r="K2" i="3"/>
  <c r="L2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K31" i="3" s="1"/>
  <c r="L31" i="3" s="1"/>
  <c r="K21" i="3" l="1"/>
  <c r="L21" i="3" s="1"/>
  <c r="K9" i="3"/>
  <c r="L9" i="3" s="1"/>
  <c r="K26" i="3"/>
  <c r="L26" i="3" s="1"/>
  <c r="K20" i="3"/>
  <c r="L20" i="3" s="1"/>
  <c r="K8" i="3"/>
  <c r="L8" i="3" s="1"/>
  <c r="K19" i="3"/>
  <c r="L19" i="3" s="1"/>
  <c r="K7" i="3"/>
  <c r="L7" i="3" s="1"/>
  <c r="K30" i="3"/>
  <c r="L30" i="3" s="1"/>
  <c r="K18" i="3"/>
  <c r="L18" i="3" s="1"/>
  <c r="K6" i="3"/>
  <c r="L6" i="3" s="1"/>
  <c r="K29" i="3"/>
  <c r="L29" i="3" s="1"/>
  <c r="K17" i="3"/>
  <c r="L17" i="3" s="1"/>
  <c r="K5" i="3"/>
  <c r="L5" i="3" s="1"/>
  <c r="K28" i="3"/>
  <c r="L28" i="3" s="1"/>
  <c r="K16" i="3"/>
  <c r="L16" i="3" s="1"/>
  <c r="K4" i="3"/>
  <c r="L4" i="3" s="1"/>
  <c r="K25" i="3"/>
  <c r="L25" i="3" s="1"/>
  <c r="K13" i="3"/>
  <c r="L13" i="3" s="1"/>
  <c r="K24" i="3"/>
  <c r="L24" i="3" s="1"/>
  <c r="K12" i="3"/>
  <c r="L12" i="3" s="1"/>
  <c r="K23" i="3"/>
  <c r="L23" i="3" s="1"/>
  <c r="K11" i="3"/>
  <c r="L11" i="3" s="1"/>
  <c r="K22" i="3"/>
  <c r="L22" i="3" s="1"/>
  <c r="K10" i="3"/>
  <c r="L10" i="3" s="1"/>
</calcChain>
</file>

<file path=xl/sharedStrings.xml><?xml version="1.0" encoding="utf-8"?>
<sst xmlns="http://schemas.openxmlformats.org/spreadsheetml/2006/main" count="410" uniqueCount="188">
  <si>
    <t>Nível</t>
  </si>
  <si>
    <t>BACHILLERATO</t>
  </si>
  <si>
    <t>Nombre Maestro</t>
  </si>
  <si>
    <t>ANA ISABEL</t>
  </si>
  <si>
    <t>ANA MATILDE</t>
  </si>
  <si>
    <t>ANDREA GORETTI</t>
  </si>
  <si>
    <t>CARLOS ISMAEL</t>
  </si>
  <si>
    <t>CESAR</t>
  </si>
  <si>
    <t xml:space="preserve">DULCE ADEI </t>
  </si>
  <si>
    <t>EVARISTO CARLOS</t>
  </si>
  <si>
    <t>FAUSTO VINICIO</t>
  </si>
  <si>
    <t>FERNANDO</t>
  </si>
  <si>
    <t>JOSE VALENTIN</t>
  </si>
  <si>
    <t>KIMBERLY CATALINA</t>
  </si>
  <si>
    <t>LETICIA SARAHI</t>
  </si>
  <si>
    <t>LUIS ALFONSO</t>
  </si>
  <si>
    <t>MANUEL ANDRES</t>
  </si>
  <si>
    <t>MARIANA NAYELI</t>
  </si>
  <si>
    <t>MARIO ALBERTO</t>
  </si>
  <si>
    <t>MOISES GREGORIO</t>
  </si>
  <si>
    <t>MONICA CECILIA</t>
  </si>
  <si>
    <t>NIDIA</t>
  </si>
  <si>
    <t>PAOLA CAROLINA</t>
  </si>
  <si>
    <t>ROBERTO</t>
  </si>
  <si>
    <t>SALVADOR</t>
  </si>
  <si>
    <t>SANDRA LUZ</t>
  </si>
  <si>
    <t>TERESA ISABEL</t>
  </si>
  <si>
    <t>ULISES</t>
  </si>
  <si>
    <t>VERONICA</t>
  </si>
  <si>
    <t>VERONICA AVRIL</t>
  </si>
  <si>
    <t>YAZMIN</t>
  </si>
  <si>
    <t>Paterno Maestro</t>
  </si>
  <si>
    <t>GRAJEDA</t>
  </si>
  <si>
    <t>ORTEGA</t>
  </si>
  <si>
    <t>CANO</t>
  </si>
  <si>
    <t>ESPARZA</t>
  </si>
  <si>
    <t>ARELLANO</t>
  </si>
  <si>
    <t>JIMENEZ</t>
  </si>
  <si>
    <t>MIGES</t>
  </si>
  <si>
    <t>SANTOS</t>
  </si>
  <si>
    <t>CORTES</t>
  </si>
  <si>
    <t>RUANOVA</t>
  </si>
  <si>
    <t>VAZQUEZ</t>
  </si>
  <si>
    <t>BECERRA</t>
  </si>
  <si>
    <t>ALONSO</t>
  </si>
  <si>
    <t>RAMIREZ</t>
  </si>
  <si>
    <t>AVILA</t>
  </si>
  <si>
    <t>ALZAGA</t>
  </si>
  <si>
    <t>LOPEZ</t>
  </si>
  <si>
    <t>RIVAS</t>
  </si>
  <si>
    <t>GUZMAN</t>
  </si>
  <si>
    <t>ARANA</t>
  </si>
  <si>
    <t>JAUREGUI</t>
  </si>
  <si>
    <t>GUTIERREZ</t>
  </si>
  <si>
    <t>HERNANDEZ</t>
  </si>
  <si>
    <t>RODRIGUEZ</t>
  </si>
  <si>
    <t>MERCADO</t>
  </si>
  <si>
    <t>RIOS</t>
  </si>
  <si>
    <t>SANCHEZ</t>
  </si>
  <si>
    <t>PONCE</t>
  </si>
  <si>
    <t>Materno Maestro</t>
  </si>
  <si>
    <t>ALVARADO</t>
  </si>
  <si>
    <t>RUA</t>
  </si>
  <si>
    <t>DE DIOS</t>
  </si>
  <si>
    <t>ESTRADA</t>
  </si>
  <si>
    <t>MARIN</t>
  </si>
  <si>
    <t>MORA</t>
  </si>
  <si>
    <t>LABRA</t>
  </si>
  <si>
    <t>GONZALEZ</t>
  </si>
  <si>
    <t>OROZCO</t>
  </si>
  <si>
    <t>ORTIZ</t>
  </si>
  <si>
    <t>TORRES</t>
  </si>
  <si>
    <t>SALAS</t>
  </si>
  <si>
    <t>HIDALGO</t>
  </si>
  <si>
    <t>VERA</t>
  </si>
  <si>
    <t>MORENO</t>
  </si>
  <si>
    <t>MEDINA</t>
  </si>
  <si>
    <t>NAVARRO</t>
  </si>
  <si>
    <t>CADENA</t>
  </si>
  <si>
    <t>BRIZUELA</t>
  </si>
  <si>
    <t>CORONADO</t>
  </si>
  <si>
    <t>DIAZ DURAN</t>
  </si>
  <si>
    <t>LEMUS</t>
  </si>
  <si>
    <t>Maestro</t>
  </si>
  <si>
    <t>Nombre</t>
  </si>
  <si>
    <t>GRAJEDA ALVARADO ANA ISABEL</t>
  </si>
  <si>
    <t>ORTEGA RUA ANA MATILDE</t>
  </si>
  <si>
    <t>CANO DE DIOS ANDREA GORETTI</t>
  </si>
  <si>
    <t>ESPARZA ESTRADA CARLOS ISMAEL</t>
  </si>
  <si>
    <t>ARELLANO LOPEZ CESAR</t>
  </si>
  <si>
    <t xml:space="preserve">JIMENEZ HERNANDEZ DULCE ADEI </t>
  </si>
  <si>
    <t>MIGES MARIN EVARISTO CARLOS</t>
  </si>
  <si>
    <t>SANTOS JIMENEZ FAUSTO VINICIO</t>
  </si>
  <si>
    <t>CORTES MORA FERNANDO</t>
  </si>
  <si>
    <t>RUANOVA LABRA FERNANDO</t>
  </si>
  <si>
    <t>VAZQUEZ GONZALEZ JOSE VALENTIN</t>
  </si>
  <si>
    <t>BECERRA GONZALEZ KIMBERLY CATALINA</t>
  </si>
  <si>
    <t>ALONSO OROZCO LETICIA SARAHI</t>
  </si>
  <si>
    <t>RAMIREZ ORTIZ LUIS ALFONSO</t>
  </si>
  <si>
    <t>AVILA TORRES MANUEL ANDRES</t>
  </si>
  <si>
    <t>ALZAGA SALAS MARIANA NAYELI</t>
  </si>
  <si>
    <t>LOPEZ HIDALGO MARIO ALBERTO</t>
  </si>
  <si>
    <t>RIVAS GONZALEZ MARIO ALBERTO</t>
  </si>
  <si>
    <t>GUZMAN VERA MOISES GREGORIO</t>
  </si>
  <si>
    <t>ARANA RAMIREZ MONICA CECILIA</t>
  </si>
  <si>
    <t>JAUREGUI MORENO NIDIA</t>
  </si>
  <si>
    <t>GUTIERREZ MEDINA PAOLA CAROLINA</t>
  </si>
  <si>
    <t>HERNANDEZ NAVARRO ROBERTO</t>
  </si>
  <si>
    <t>LOPEZ ORTEGA SALVADOR</t>
  </si>
  <si>
    <t>RODRIGUEZ CADENA SANDRA LUZ</t>
  </si>
  <si>
    <t>MERCADO BRIZUELA TERESA ISABEL</t>
  </si>
  <si>
    <t>HERNANDEZ NAVARRO ULISES</t>
  </si>
  <si>
    <t>RIOS CORONADO VERONICA</t>
  </si>
  <si>
    <t>SANCHEZ DIAZ DURAN VERONICA AVRIL</t>
  </si>
  <si>
    <t>PONCE LEMUS YAZMIN</t>
  </si>
  <si>
    <t>Sexo</t>
  </si>
  <si>
    <t>FEMENINO</t>
  </si>
  <si>
    <t>MASCULINO</t>
  </si>
  <si>
    <t>GAA1944</t>
  </si>
  <si>
    <t>ORA1085</t>
  </si>
  <si>
    <t>CDA1738</t>
  </si>
  <si>
    <t>EEC1368</t>
  </si>
  <si>
    <t>ALC1071</t>
  </si>
  <si>
    <t>JHD1373</t>
  </si>
  <si>
    <t>MME1093</t>
  </si>
  <si>
    <t>SJF1190</t>
  </si>
  <si>
    <t>CMF1163</t>
  </si>
  <si>
    <t>RLF1287</t>
  </si>
  <si>
    <t>VGJ1543</t>
  </si>
  <si>
    <t>BGK1285</t>
  </si>
  <si>
    <t>AOL1397</t>
  </si>
  <si>
    <t>ROL1739</t>
  </si>
  <si>
    <t>ATM0308</t>
  </si>
  <si>
    <t>ASM0098</t>
  </si>
  <si>
    <t>LHM0641</t>
  </si>
  <si>
    <t>RGM1775</t>
  </si>
  <si>
    <t>GVM1028</t>
  </si>
  <si>
    <t>ARM1562</t>
  </si>
  <si>
    <t>JMN1803</t>
  </si>
  <si>
    <t>GMP1737</t>
  </si>
  <si>
    <t>HNR1233</t>
  </si>
  <si>
    <t>LOS1401</t>
  </si>
  <si>
    <t>RCS1686</t>
  </si>
  <si>
    <t>MBT0203</t>
  </si>
  <si>
    <t>HNU1371</t>
  </si>
  <si>
    <t>RCV0642</t>
  </si>
  <si>
    <t>SDV1430</t>
  </si>
  <si>
    <t>PLY0765</t>
  </si>
  <si>
    <t>id</t>
  </si>
  <si>
    <t>correo</t>
  </si>
  <si>
    <t>ana.grajeda</t>
  </si>
  <si>
    <t>ana.ortega</t>
  </si>
  <si>
    <t>andrea.cano</t>
  </si>
  <si>
    <t>carlos.esparza</t>
  </si>
  <si>
    <t>cesar.arellano</t>
  </si>
  <si>
    <t>dulce.jimenez</t>
  </si>
  <si>
    <t>evaristo.miges</t>
  </si>
  <si>
    <t>fausto.santos</t>
  </si>
  <si>
    <t>fernando.cortes</t>
  </si>
  <si>
    <t>fernando.ruanova</t>
  </si>
  <si>
    <t>jose.vazquez</t>
  </si>
  <si>
    <t>kimberly.becerra</t>
  </si>
  <si>
    <t>leticia.alonso</t>
  </si>
  <si>
    <t>luis.ramirez</t>
  </si>
  <si>
    <t>manuel.avila</t>
  </si>
  <si>
    <t>mariana.alzaga</t>
  </si>
  <si>
    <t>mario.lopez</t>
  </si>
  <si>
    <t>mario.rivas</t>
  </si>
  <si>
    <t>moises.guzman</t>
  </si>
  <si>
    <t>monica.arana</t>
  </si>
  <si>
    <t>nidia.jauregui</t>
  </si>
  <si>
    <t>paola.gutierrez</t>
  </si>
  <si>
    <t>roberto.hernandez</t>
  </si>
  <si>
    <t>salvador.lopez</t>
  </si>
  <si>
    <t>sandra.rodriguez</t>
  </si>
  <si>
    <t>teresa.mercado</t>
  </si>
  <si>
    <t>ulises.hernandez</t>
  </si>
  <si>
    <t>veronica.rios</t>
  </si>
  <si>
    <t>veronica.sanchez</t>
  </si>
  <si>
    <t>yazmin.ponce</t>
  </si>
  <si>
    <t>CARRERA</t>
  </si>
  <si>
    <t>GRADO</t>
  </si>
  <si>
    <t>PROFESORES</t>
  </si>
  <si>
    <t>SITUACION</t>
  </si>
  <si>
    <t>matricula</t>
  </si>
  <si>
    <t>TOMAR DEL SND'</t>
  </si>
  <si>
    <t>INSERT INTO participantes (id,nivel,correo,matricula,clave,nombre,carrera,grado,sexo,situacion,evaluados,num_evaluados,total_evaluaciones,ultimo_acceso,nivel_acceso) VALUES (</t>
  </si>
  <si>
    <t>id,nivel,correo,matricula,clave,nombre,carrera,grado,sexo,situacion,evaluados,num_evaluados,total_evaluaciones,ultimo_acceso,nivel_acceso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</si>
</sst>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4511-4A31-49CA-BAB1-0E393BDBDD6A}">
  <dimension ref="A1:G31"/>
  <sheetViews>
    <sheetView workbookViewId="0">
      <selection sqref="A1:G31"/>
    </sheetView>
  </sheetViews>
  <sheetFormatPr baseColWidth="10" defaultRowHeight="14.4" x14ac:dyDescent="0.3"/>
  <cols>
    <col min="1" max="1" width="13.5546875" bestFit="1" customWidth="1"/>
    <col min="2" max="2" width="18.44140625" bestFit="1" customWidth="1"/>
    <col min="3" max="3" width="15.21875" bestFit="1" customWidth="1"/>
    <col min="4" max="4" width="16" bestFit="1" customWidth="1"/>
    <col min="5" max="5" width="10.6640625" bestFit="1" customWidth="1"/>
    <col min="6" max="6" width="36.5546875" bestFit="1" customWidth="1"/>
    <col min="7" max="7" width="11.33203125" bestFit="1" customWidth="1"/>
  </cols>
  <sheetData>
    <row r="1" spans="1:7" x14ac:dyDescent="0.3">
      <c r="A1" t="s">
        <v>0</v>
      </c>
      <c r="B1" t="s">
        <v>2</v>
      </c>
      <c r="C1" t="s">
        <v>31</v>
      </c>
      <c r="D1" t="s">
        <v>60</v>
      </c>
      <c r="E1" t="s">
        <v>83</v>
      </c>
      <c r="F1" t="s">
        <v>84</v>
      </c>
      <c r="G1" t="s">
        <v>115</v>
      </c>
    </row>
    <row r="2" spans="1:7" x14ac:dyDescent="0.3">
      <c r="A2" t="s">
        <v>1</v>
      </c>
      <c r="B2" t="s">
        <v>3</v>
      </c>
      <c r="C2" t="s">
        <v>32</v>
      </c>
      <c r="D2" t="s">
        <v>61</v>
      </c>
      <c r="E2" t="s">
        <v>118</v>
      </c>
      <c r="F2" t="s">
        <v>85</v>
      </c>
      <c r="G2" t="s">
        <v>116</v>
      </c>
    </row>
    <row r="3" spans="1:7" x14ac:dyDescent="0.3">
      <c r="A3" t="s">
        <v>1</v>
      </c>
      <c r="B3" t="s">
        <v>4</v>
      </c>
      <c r="C3" t="s">
        <v>33</v>
      </c>
      <c r="D3" t="s">
        <v>62</v>
      </c>
      <c r="E3" t="s">
        <v>119</v>
      </c>
      <c r="F3" t="s">
        <v>86</v>
      </c>
      <c r="G3" t="s">
        <v>116</v>
      </c>
    </row>
    <row r="4" spans="1:7" x14ac:dyDescent="0.3">
      <c r="A4" t="s">
        <v>1</v>
      </c>
      <c r="B4" t="s">
        <v>5</v>
      </c>
      <c r="C4" t="s">
        <v>34</v>
      </c>
      <c r="D4" t="s">
        <v>63</v>
      </c>
      <c r="E4" t="s">
        <v>120</v>
      </c>
      <c r="F4" t="s">
        <v>87</v>
      </c>
      <c r="G4" t="s">
        <v>116</v>
      </c>
    </row>
    <row r="5" spans="1:7" x14ac:dyDescent="0.3">
      <c r="A5" t="s">
        <v>1</v>
      </c>
      <c r="B5" t="s">
        <v>6</v>
      </c>
      <c r="C5" t="s">
        <v>35</v>
      </c>
      <c r="D5" t="s">
        <v>64</v>
      </c>
      <c r="E5" t="s">
        <v>121</v>
      </c>
      <c r="F5" t="s">
        <v>88</v>
      </c>
      <c r="G5" t="s">
        <v>117</v>
      </c>
    </row>
    <row r="6" spans="1:7" x14ac:dyDescent="0.3">
      <c r="A6" t="s">
        <v>1</v>
      </c>
      <c r="B6" t="s">
        <v>7</v>
      </c>
      <c r="C6" t="s">
        <v>36</v>
      </c>
      <c r="D6" t="s">
        <v>48</v>
      </c>
      <c r="E6" t="s">
        <v>122</v>
      </c>
      <c r="F6" t="s">
        <v>89</v>
      </c>
      <c r="G6" t="s">
        <v>117</v>
      </c>
    </row>
    <row r="7" spans="1:7" x14ac:dyDescent="0.3">
      <c r="A7" t="s">
        <v>1</v>
      </c>
      <c r="B7" t="s">
        <v>8</v>
      </c>
      <c r="C7" t="s">
        <v>37</v>
      </c>
      <c r="D7" t="s">
        <v>54</v>
      </c>
      <c r="E7" t="s">
        <v>123</v>
      </c>
      <c r="F7" t="s">
        <v>90</v>
      </c>
      <c r="G7" t="s">
        <v>116</v>
      </c>
    </row>
    <row r="8" spans="1:7" x14ac:dyDescent="0.3">
      <c r="A8" t="s">
        <v>1</v>
      </c>
      <c r="B8" t="s">
        <v>9</v>
      </c>
      <c r="C8" t="s">
        <v>38</v>
      </c>
      <c r="D8" t="s">
        <v>65</v>
      </c>
      <c r="E8" t="s">
        <v>124</v>
      </c>
      <c r="F8" t="s">
        <v>91</v>
      </c>
      <c r="G8" t="s">
        <v>117</v>
      </c>
    </row>
    <row r="9" spans="1:7" x14ac:dyDescent="0.3">
      <c r="A9" t="s">
        <v>1</v>
      </c>
      <c r="B9" t="s">
        <v>10</v>
      </c>
      <c r="C9" t="s">
        <v>39</v>
      </c>
      <c r="D9" t="s">
        <v>37</v>
      </c>
      <c r="E9" t="s">
        <v>125</v>
      </c>
      <c r="F9" t="s">
        <v>92</v>
      </c>
      <c r="G9" t="s">
        <v>117</v>
      </c>
    </row>
    <row r="10" spans="1:7" x14ac:dyDescent="0.3">
      <c r="A10" t="s">
        <v>1</v>
      </c>
      <c r="B10" t="s">
        <v>11</v>
      </c>
      <c r="C10" t="s">
        <v>40</v>
      </c>
      <c r="D10" t="s">
        <v>66</v>
      </c>
      <c r="E10" t="s">
        <v>126</v>
      </c>
      <c r="F10" t="s">
        <v>93</v>
      </c>
      <c r="G10" t="s">
        <v>117</v>
      </c>
    </row>
    <row r="11" spans="1:7" x14ac:dyDescent="0.3">
      <c r="A11" t="s">
        <v>1</v>
      </c>
      <c r="B11" t="s">
        <v>11</v>
      </c>
      <c r="C11" t="s">
        <v>41</v>
      </c>
      <c r="D11" t="s">
        <v>67</v>
      </c>
      <c r="E11" t="s">
        <v>127</v>
      </c>
      <c r="F11" t="s">
        <v>94</v>
      </c>
      <c r="G11" t="s">
        <v>117</v>
      </c>
    </row>
    <row r="12" spans="1:7" x14ac:dyDescent="0.3">
      <c r="A12" t="s">
        <v>1</v>
      </c>
      <c r="B12" t="s">
        <v>12</v>
      </c>
      <c r="C12" t="s">
        <v>42</v>
      </c>
      <c r="D12" t="s">
        <v>68</v>
      </c>
      <c r="E12" t="s">
        <v>128</v>
      </c>
      <c r="F12" t="s">
        <v>95</v>
      </c>
      <c r="G12" t="s">
        <v>117</v>
      </c>
    </row>
    <row r="13" spans="1:7" x14ac:dyDescent="0.3">
      <c r="A13" t="s">
        <v>1</v>
      </c>
      <c r="B13" t="s">
        <v>13</v>
      </c>
      <c r="C13" t="s">
        <v>43</v>
      </c>
      <c r="D13" t="s">
        <v>68</v>
      </c>
      <c r="E13" t="s">
        <v>129</v>
      </c>
      <c r="F13" t="s">
        <v>96</v>
      </c>
      <c r="G13" t="s">
        <v>116</v>
      </c>
    </row>
    <row r="14" spans="1:7" x14ac:dyDescent="0.3">
      <c r="A14" t="s">
        <v>1</v>
      </c>
      <c r="B14" t="s">
        <v>14</v>
      </c>
      <c r="C14" t="s">
        <v>44</v>
      </c>
      <c r="D14" t="s">
        <v>69</v>
      </c>
      <c r="E14" t="s">
        <v>130</v>
      </c>
      <c r="F14" t="s">
        <v>97</v>
      </c>
      <c r="G14" t="s">
        <v>116</v>
      </c>
    </row>
    <row r="15" spans="1:7" x14ac:dyDescent="0.3">
      <c r="A15" t="s">
        <v>1</v>
      </c>
      <c r="B15" t="s">
        <v>15</v>
      </c>
      <c r="C15" t="s">
        <v>45</v>
      </c>
      <c r="D15" t="s">
        <v>70</v>
      </c>
      <c r="E15" t="s">
        <v>131</v>
      </c>
      <c r="F15" t="s">
        <v>98</v>
      </c>
      <c r="G15" t="s">
        <v>117</v>
      </c>
    </row>
    <row r="16" spans="1:7" x14ac:dyDescent="0.3">
      <c r="A16" t="s">
        <v>1</v>
      </c>
      <c r="B16" t="s">
        <v>16</v>
      </c>
      <c r="C16" t="s">
        <v>46</v>
      </c>
      <c r="D16" t="s">
        <v>71</v>
      </c>
      <c r="E16" t="s">
        <v>132</v>
      </c>
      <c r="F16" t="s">
        <v>99</v>
      </c>
      <c r="G16" t="s">
        <v>117</v>
      </c>
    </row>
    <row r="17" spans="1:7" x14ac:dyDescent="0.3">
      <c r="A17" t="s">
        <v>1</v>
      </c>
      <c r="B17" t="s">
        <v>17</v>
      </c>
      <c r="C17" t="s">
        <v>47</v>
      </c>
      <c r="D17" t="s">
        <v>72</v>
      </c>
      <c r="E17" t="s">
        <v>133</v>
      </c>
      <c r="F17" t="s">
        <v>100</v>
      </c>
      <c r="G17" t="s">
        <v>116</v>
      </c>
    </row>
    <row r="18" spans="1:7" x14ac:dyDescent="0.3">
      <c r="A18" t="s">
        <v>1</v>
      </c>
      <c r="B18" t="s">
        <v>18</v>
      </c>
      <c r="C18" t="s">
        <v>48</v>
      </c>
      <c r="D18" t="s">
        <v>73</v>
      </c>
      <c r="E18" t="s">
        <v>134</v>
      </c>
      <c r="F18" t="s">
        <v>101</v>
      </c>
      <c r="G18" t="s">
        <v>117</v>
      </c>
    </row>
    <row r="19" spans="1:7" x14ac:dyDescent="0.3">
      <c r="A19" t="s">
        <v>1</v>
      </c>
      <c r="B19" t="s">
        <v>18</v>
      </c>
      <c r="C19" t="s">
        <v>49</v>
      </c>
      <c r="D19" t="s">
        <v>68</v>
      </c>
      <c r="E19" t="s">
        <v>135</v>
      </c>
      <c r="F19" t="s">
        <v>102</v>
      </c>
      <c r="G19" t="s">
        <v>117</v>
      </c>
    </row>
    <row r="20" spans="1:7" x14ac:dyDescent="0.3">
      <c r="A20" t="s">
        <v>1</v>
      </c>
      <c r="B20" t="s">
        <v>19</v>
      </c>
      <c r="C20" t="s">
        <v>50</v>
      </c>
      <c r="D20" t="s">
        <v>74</v>
      </c>
      <c r="E20" t="s">
        <v>136</v>
      </c>
      <c r="F20" t="s">
        <v>103</v>
      </c>
      <c r="G20" t="s">
        <v>117</v>
      </c>
    </row>
    <row r="21" spans="1:7" x14ac:dyDescent="0.3">
      <c r="A21" t="s">
        <v>1</v>
      </c>
      <c r="B21" t="s">
        <v>20</v>
      </c>
      <c r="C21" t="s">
        <v>51</v>
      </c>
      <c r="D21" t="s">
        <v>45</v>
      </c>
      <c r="E21" t="s">
        <v>137</v>
      </c>
      <c r="F21" t="s">
        <v>104</v>
      </c>
      <c r="G21" t="s">
        <v>116</v>
      </c>
    </row>
    <row r="22" spans="1:7" x14ac:dyDescent="0.3">
      <c r="A22" t="s">
        <v>1</v>
      </c>
      <c r="B22" t="s">
        <v>21</v>
      </c>
      <c r="C22" t="s">
        <v>52</v>
      </c>
      <c r="D22" t="s">
        <v>75</v>
      </c>
      <c r="E22" t="s">
        <v>138</v>
      </c>
      <c r="F22" t="s">
        <v>105</v>
      </c>
      <c r="G22" t="s">
        <v>116</v>
      </c>
    </row>
    <row r="23" spans="1:7" x14ac:dyDescent="0.3">
      <c r="A23" t="s">
        <v>1</v>
      </c>
      <c r="B23" t="s">
        <v>22</v>
      </c>
      <c r="C23" t="s">
        <v>53</v>
      </c>
      <c r="D23" t="s">
        <v>76</v>
      </c>
      <c r="E23" t="s">
        <v>139</v>
      </c>
      <c r="F23" t="s">
        <v>106</v>
      </c>
      <c r="G23" t="s">
        <v>116</v>
      </c>
    </row>
    <row r="24" spans="1:7" x14ac:dyDescent="0.3">
      <c r="A24" t="s">
        <v>1</v>
      </c>
      <c r="B24" t="s">
        <v>23</v>
      </c>
      <c r="C24" t="s">
        <v>54</v>
      </c>
      <c r="D24" t="s">
        <v>77</v>
      </c>
      <c r="E24" t="s">
        <v>140</v>
      </c>
      <c r="F24" t="s">
        <v>107</v>
      </c>
      <c r="G24" t="s">
        <v>117</v>
      </c>
    </row>
    <row r="25" spans="1:7" x14ac:dyDescent="0.3">
      <c r="A25" t="s">
        <v>1</v>
      </c>
      <c r="B25" t="s">
        <v>24</v>
      </c>
      <c r="C25" t="s">
        <v>48</v>
      </c>
      <c r="D25" t="s">
        <v>33</v>
      </c>
      <c r="E25" t="s">
        <v>141</v>
      </c>
      <c r="F25" t="s">
        <v>108</v>
      </c>
      <c r="G25" t="s">
        <v>117</v>
      </c>
    </row>
    <row r="26" spans="1:7" x14ac:dyDescent="0.3">
      <c r="A26" t="s">
        <v>1</v>
      </c>
      <c r="B26" t="s">
        <v>25</v>
      </c>
      <c r="C26" t="s">
        <v>55</v>
      </c>
      <c r="D26" t="s">
        <v>78</v>
      </c>
      <c r="E26" t="s">
        <v>142</v>
      </c>
      <c r="F26" t="s">
        <v>109</v>
      </c>
      <c r="G26" t="s">
        <v>116</v>
      </c>
    </row>
    <row r="27" spans="1:7" x14ac:dyDescent="0.3">
      <c r="A27" t="s">
        <v>1</v>
      </c>
      <c r="B27" t="s">
        <v>26</v>
      </c>
      <c r="C27" t="s">
        <v>56</v>
      </c>
      <c r="D27" t="s">
        <v>79</v>
      </c>
      <c r="E27" t="s">
        <v>143</v>
      </c>
      <c r="F27" t="s">
        <v>110</v>
      </c>
      <c r="G27" t="s">
        <v>116</v>
      </c>
    </row>
    <row r="28" spans="1:7" x14ac:dyDescent="0.3">
      <c r="A28" t="s">
        <v>1</v>
      </c>
      <c r="B28" t="s">
        <v>27</v>
      </c>
      <c r="C28" t="s">
        <v>54</v>
      </c>
      <c r="D28" t="s">
        <v>77</v>
      </c>
      <c r="E28" t="s">
        <v>144</v>
      </c>
      <c r="F28" t="s">
        <v>111</v>
      </c>
      <c r="G28" t="s">
        <v>117</v>
      </c>
    </row>
    <row r="29" spans="1:7" x14ac:dyDescent="0.3">
      <c r="A29" t="s">
        <v>1</v>
      </c>
      <c r="B29" t="s">
        <v>28</v>
      </c>
      <c r="C29" t="s">
        <v>57</v>
      </c>
      <c r="D29" t="s">
        <v>80</v>
      </c>
      <c r="E29" t="s">
        <v>145</v>
      </c>
      <c r="F29" t="s">
        <v>112</v>
      </c>
      <c r="G29" t="s">
        <v>116</v>
      </c>
    </row>
    <row r="30" spans="1:7" x14ac:dyDescent="0.3">
      <c r="A30" t="s">
        <v>1</v>
      </c>
      <c r="B30" t="s">
        <v>29</v>
      </c>
      <c r="C30" t="s">
        <v>58</v>
      </c>
      <c r="D30" t="s">
        <v>81</v>
      </c>
      <c r="E30" t="s">
        <v>146</v>
      </c>
      <c r="F30" t="s">
        <v>113</v>
      </c>
      <c r="G30" t="s">
        <v>116</v>
      </c>
    </row>
    <row r="31" spans="1:7" x14ac:dyDescent="0.3">
      <c r="A31" t="s">
        <v>1</v>
      </c>
      <c r="B31" t="s">
        <v>30</v>
      </c>
      <c r="C31" t="s">
        <v>59</v>
      </c>
      <c r="D31" t="s">
        <v>82</v>
      </c>
      <c r="E31" t="s">
        <v>147</v>
      </c>
      <c r="F31" t="s">
        <v>114</v>
      </c>
      <c r="G3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BD10-4A8C-4F38-8FD7-9084A3CE7B08}">
  <dimension ref="A1:L31"/>
  <sheetViews>
    <sheetView tabSelected="1" workbookViewId="0">
      <selection sqref="A1:J31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17.33203125" bestFit="1" customWidth="1"/>
    <col min="4" max="4" width="9.33203125" bestFit="1" customWidth="1"/>
    <col min="5" max="5" width="15.21875" bestFit="1" customWidth="1"/>
    <col min="6" max="6" width="36.5546875" bestFit="1" customWidth="1"/>
    <col min="7" max="7" width="11.88671875" bestFit="1" customWidth="1"/>
    <col min="8" max="8" width="7.21875" bestFit="1" customWidth="1"/>
    <col min="9" max="9" width="11.33203125" bestFit="1" customWidth="1"/>
  </cols>
  <sheetData>
    <row r="1" spans="1:12" x14ac:dyDescent="0.3">
      <c r="A1" t="s">
        <v>148</v>
      </c>
      <c r="B1" t="s">
        <v>0</v>
      </c>
      <c r="C1" t="s">
        <v>149</v>
      </c>
      <c r="D1" t="s">
        <v>83</v>
      </c>
      <c r="E1" t="s">
        <v>184</v>
      </c>
      <c r="F1" t="s">
        <v>84</v>
      </c>
      <c r="G1" t="s">
        <v>180</v>
      </c>
      <c r="H1" t="s">
        <v>181</v>
      </c>
      <c r="I1" t="s">
        <v>115</v>
      </c>
      <c r="J1" t="s">
        <v>183</v>
      </c>
      <c r="K1" t="s">
        <v>186</v>
      </c>
      <c r="L1" s="1" t="s">
        <v>187</v>
      </c>
    </row>
    <row r="2" spans="1:12" x14ac:dyDescent="0.3">
      <c r="A2">
        <v>4001</v>
      </c>
      <c r="B2" t="s">
        <v>1</v>
      </c>
      <c r="C2" t="s">
        <v>150</v>
      </c>
      <c r="D2" t="s">
        <v>118</v>
      </c>
      <c r="E2" s="2" t="s">
        <v>185</v>
      </c>
      <c r="F2" t="s">
        <v>85</v>
      </c>
      <c r="G2" s="1" t="s">
        <v>182</v>
      </c>
      <c r="H2" s="1"/>
      <c r="I2" t="s">
        <v>116</v>
      </c>
      <c r="K2" t="str">
        <f>CONCATENATE(A2,",'",B2,"','",C2,"','",D2,"','",E2,",'",F2,"','",G2,"','",H2,"','",UPPER(I2),"','",UPPER(J2),"','',0,0,'','PROFESOR'")</f>
        <v>4001,'BACHILLERATO','ana.grajeda','GAA1944','TOMAR DEL SND','GRAJEDA ALVARADO ANA ISABEL','PROFESORES','','FEMENINO','','',0,0,'','PROFESOR'</v>
      </c>
      <c r="L2" t="str">
        <f t="shared" ref="L2:L31" si="0">CONCATENATE($K$1,K2,");")</f>
        <v>INSERT INTO participantes (id,nivel,correo,matricula,clave,nombre,carrera,grado,sexo,situacion,evaluados,num_evaluados,total_evaluaciones,ultimo_acceso,nivel_acceso) VALUES (4001,'BACHILLERATO','ana.grajeda','GAA1944','TOMAR DEL SND','GRAJEDA ALVARADO ANA ISABEL','PROFESORES','','FEMENINO','','',0,0,'','PROFESOR');</v>
      </c>
    </row>
    <row r="3" spans="1:12" x14ac:dyDescent="0.3">
      <c r="A3">
        <f>A2+1</f>
        <v>4002</v>
      </c>
      <c r="B3" t="s">
        <v>1</v>
      </c>
      <c r="C3" t="s">
        <v>151</v>
      </c>
      <c r="D3" t="s">
        <v>119</v>
      </c>
      <c r="E3" s="2" t="s">
        <v>185</v>
      </c>
      <c r="F3" t="s">
        <v>86</v>
      </c>
      <c r="I3" t="s">
        <v>116</v>
      </c>
      <c r="K3" t="str">
        <f t="shared" ref="K3:K31" si="1">CONCATENATE(A3,",'",B3,"','",C3,"','",D3,"','",E3,",'",F3,"','",G3,"','",H3,"','",UPPER(I3),"','",UPPER(J3),"','',0,0,'','PROFESOR'")</f>
        <v>4002,'BACHILLERATO','ana.ortega','ORA1085','TOMAR DEL SND','ORTEGA RUA ANA MATILDE','','','FEMENINO','','',0,0,'','PROFESOR'</v>
      </c>
      <c r="L3" t="str">
        <f t="shared" si="0"/>
        <v>INSERT INTO participantes (id,nivel,correo,matricula,clave,nombre,carrera,grado,sexo,situacion,evaluados,num_evaluados,total_evaluaciones,ultimo_acceso,nivel_acceso) VALUES (4002,'BACHILLERATO','ana.ortega','ORA1085','TOMAR DEL SND','ORTEGA RUA ANA MATILDE','','','FEMENINO','','',0,0,'','PROFESOR');</v>
      </c>
    </row>
    <row r="4" spans="1:12" x14ac:dyDescent="0.3">
      <c r="A4">
        <f t="shared" ref="A4:A31" si="2">A3+1</f>
        <v>4003</v>
      </c>
      <c r="B4" t="s">
        <v>1</v>
      </c>
      <c r="C4" t="s">
        <v>152</v>
      </c>
      <c r="D4" t="s">
        <v>120</v>
      </c>
      <c r="E4" s="2" t="s">
        <v>185</v>
      </c>
      <c r="F4" t="s">
        <v>87</v>
      </c>
      <c r="I4" t="s">
        <v>116</v>
      </c>
      <c r="K4" t="str">
        <f t="shared" si="1"/>
        <v>4003,'BACHILLERATO','andrea.cano','CDA1738','TOMAR DEL SND','CANO DE DIOS ANDREA GORETTI','','','FEMENINO','','',0,0,'','PROFESOR'</v>
      </c>
      <c r="L4" t="str">
        <f t="shared" si="0"/>
        <v>INSERT INTO participantes (id,nivel,correo,matricula,clave,nombre,carrera,grado,sexo,situacion,evaluados,num_evaluados,total_evaluaciones,ultimo_acceso,nivel_acceso) VALUES (4003,'BACHILLERATO','andrea.cano','CDA1738','TOMAR DEL SND','CANO DE DIOS ANDREA GORETTI','','','FEMENINO','','',0,0,'','PROFESOR');</v>
      </c>
    </row>
    <row r="5" spans="1:12" x14ac:dyDescent="0.3">
      <c r="A5">
        <f t="shared" si="2"/>
        <v>4004</v>
      </c>
      <c r="B5" t="s">
        <v>1</v>
      </c>
      <c r="C5" t="s">
        <v>153</v>
      </c>
      <c r="D5" t="s">
        <v>121</v>
      </c>
      <c r="E5" s="2" t="s">
        <v>185</v>
      </c>
      <c r="F5" t="s">
        <v>88</v>
      </c>
      <c r="I5" t="s">
        <v>117</v>
      </c>
      <c r="K5" t="str">
        <f t="shared" si="1"/>
        <v>4004,'BACHILLERATO','carlos.esparza','EEC1368','TOMAR DEL SND','ESPARZA ESTRADA CARLOS ISMAEL','','','MASCULINO','','',0,0,'','PROFESOR'</v>
      </c>
      <c r="L5" t="str">
        <f t="shared" si="0"/>
        <v>INSERT INTO participantes (id,nivel,correo,matricula,clave,nombre,carrera,grado,sexo,situacion,evaluados,num_evaluados,total_evaluaciones,ultimo_acceso,nivel_acceso) VALUES (4004,'BACHILLERATO','carlos.esparza','EEC1368','TOMAR DEL SND','ESPARZA ESTRADA CARLOS ISMAEL','','','MASCULINO','','',0,0,'','PROFESOR');</v>
      </c>
    </row>
    <row r="6" spans="1:12" x14ac:dyDescent="0.3">
      <c r="A6">
        <f t="shared" si="2"/>
        <v>4005</v>
      </c>
      <c r="B6" t="s">
        <v>1</v>
      </c>
      <c r="C6" t="s">
        <v>154</v>
      </c>
      <c r="D6" t="s">
        <v>122</v>
      </c>
      <c r="E6" s="2" t="s">
        <v>185</v>
      </c>
      <c r="F6" t="s">
        <v>89</v>
      </c>
      <c r="I6" t="s">
        <v>117</v>
      </c>
      <c r="K6" t="str">
        <f t="shared" si="1"/>
        <v>4005,'BACHILLERATO','cesar.arellano','ALC1071','TOMAR DEL SND','ARELLANO LOPEZ CESAR','','','MASCULINO','','',0,0,'','PROFESOR'</v>
      </c>
      <c r="L6" t="str">
        <f t="shared" si="0"/>
        <v>INSERT INTO participantes (id,nivel,correo,matricula,clave,nombre,carrera,grado,sexo,situacion,evaluados,num_evaluados,total_evaluaciones,ultimo_acceso,nivel_acceso) VALUES (4005,'BACHILLERATO','cesar.arellano','ALC1071','TOMAR DEL SND','ARELLANO LOPEZ CESAR','','','MASCULINO','','',0,0,'','PROFESOR');</v>
      </c>
    </row>
    <row r="7" spans="1:12" x14ac:dyDescent="0.3">
      <c r="A7">
        <f t="shared" si="2"/>
        <v>4006</v>
      </c>
      <c r="B7" t="s">
        <v>1</v>
      </c>
      <c r="C7" t="s">
        <v>155</v>
      </c>
      <c r="D7" t="s">
        <v>123</v>
      </c>
      <c r="E7" s="2" t="s">
        <v>185</v>
      </c>
      <c r="F7" t="s">
        <v>90</v>
      </c>
      <c r="I7" t="s">
        <v>116</v>
      </c>
      <c r="K7" t="str">
        <f t="shared" si="1"/>
        <v>4006,'BACHILLERATO','dulce.jimenez','JHD1373','TOMAR DEL SND','JIMENEZ HERNANDEZ DULCE ADEI ','','','FEMENINO','','',0,0,'','PROFESOR'</v>
      </c>
      <c r="L7" t="str">
        <f t="shared" si="0"/>
        <v>INSERT INTO participantes (id,nivel,correo,matricula,clave,nombre,carrera,grado,sexo,situacion,evaluados,num_evaluados,total_evaluaciones,ultimo_acceso,nivel_acceso) VALUES (4006,'BACHILLERATO','dulce.jimenez','JHD1373','TOMAR DEL SND','JIMENEZ HERNANDEZ DULCE ADEI ','','','FEMENINO','','',0,0,'','PROFESOR');</v>
      </c>
    </row>
    <row r="8" spans="1:12" x14ac:dyDescent="0.3">
      <c r="A8">
        <f t="shared" si="2"/>
        <v>4007</v>
      </c>
      <c r="B8" t="s">
        <v>1</v>
      </c>
      <c r="C8" t="s">
        <v>156</v>
      </c>
      <c r="D8" t="s">
        <v>124</v>
      </c>
      <c r="E8" s="2" t="s">
        <v>185</v>
      </c>
      <c r="F8" t="s">
        <v>91</v>
      </c>
      <c r="I8" t="s">
        <v>117</v>
      </c>
      <c r="K8" t="str">
        <f t="shared" si="1"/>
        <v>4007,'BACHILLERATO','evaristo.miges','MME1093','TOMAR DEL SND','MIGES MARIN EVARISTO CARLOS','','','MASCULINO','','',0,0,'','PROFESOR'</v>
      </c>
      <c r="L8" t="str">
        <f t="shared" si="0"/>
        <v>INSERT INTO participantes (id,nivel,correo,matricula,clave,nombre,carrera,grado,sexo,situacion,evaluados,num_evaluados,total_evaluaciones,ultimo_acceso,nivel_acceso) VALUES (4007,'BACHILLERATO','evaristo.miges','MME1093','TOMAR DEL SND','MIGES MARIN EVARISTO CARLOS','','','MASCULINO','','',0,0,'','PROFESOR');</v>
      </c>
    </row>
    <row r="9" spans="1:12" x14ac:dyDescent="0.3">
      <c r="A9">
        <f t="shared" si="2"/>
        <v>4008</v>
      </c>
      <c r="B9" t="s">
        <v>1</v>
      </c>
      <c r="C9" t="s">
        <v>157</v>
      </c>
      <c r="D9" t="s">
        <v>125</v>
      </c>
      <c r="E9" s="2" t="s">
        <v>185</v>
      </c>
      <c r="F9" t="s">
        <v>92</v>
      </c>
      <c r="I9" t="s">
        <v>117</v>
      </c>
      <c r="K9" t="str">
        <f t="shared" si="1"/>
        <v>4008,'BACHILLERATO','fausto.santos','SJF1190','TOMAR DEL SND','SANTOS JIMENEZ FAUSTO VINICIO','','','MASCULINO','','',0,0,'','PROFESOR'</v>
      </c>
      <c r="L9" t="str">
        <f t="shared" si="0"/>
        <v>INSERT INTO participantes (id,nivel,correo,matricula,clave,nombre,carrera,grado,sexo,situacion,evaluados,num_evaluados,total_evaluaciones,ultimo_acceso,nivel_acceso) VALUES (4008,'BACHILLERATO','fausto.santos','SJF1190','TOMAR DEL SND','SANTOS JIMENEZ FAUSTO VINICIO','','','MASCULINO','','',0,0,'','PROFESOR');</v>
      </c>
    </row>
    <row r="10" spans="1:12" x14ac:dyDescent="0.3">
      <c r="A10">
        <f t="shared" si="2"/>
        <v>4009</v>
      </c>
      <c r="B10" t="s">
        <v>1</v>
      </c>
      <c r="C10" t="s">
        <v>158</v>
      </c>
      <c r="D10" t="s">
        <v>126</v>
      </c>
      <c r="E10" s="2" t="s">
        <v>185</v>
      </c>
      <c r="F10" t="s">
        <v>93</v>
      </c>
      <c r="I10" t="s">
        <v>117</v>
      </c>
      <c r="K10" t="str">
        <f t="shared" si="1"/>
        <v>4009,'BACHILLERATO','fernando.cortes','CMF1163','TOMAR DEL SND','CORTES MORA FERNANDO','','','MASCULINO','','',0,0,'','PROFESOR'</v>
      </c>
      <c r="L10" t="str">
        <f t="shared" si="0"/>
        <v>INSERT INTO participantes (id,nivel,correo,matricula,clave,nombre,carrera,grado,sexo,situacion,evaluados,num_evaluados,total_evaluaciones,ultimo_acceso,nivel_acceso) VALUES (4009,'BACHILLERATO','fernando.cortes','CMF1163','TOMAR DEL SND','CORTES MORA FERNANDO','','','MASCULINO','','',0,0,'','PROFESOR');</v>
      </c>
    </row>
    <row r="11" spans="1:12" x14ac:dyDescent="0.3">
      <c r="A11">
        <f t="shared" si="2"/>
        <v>4010</v>
      </c>
      <c r="B11" t="s">
        <v>1</v>
      </c>
      <c r="C11" t="s">
        <v>159</v>
      </c>
      <c r="D11" t="s">
        <v>127</v>
      </c>
      <c r="E11" s="2" t="s">
        <v>185</v>
      </c>
      <c r="F11" t="s">
        <v>94</v>
      </c>
      <c r="I11" t="s">
        <v>117</v>
      </c>
      <c r="K11" t="str">
        <f t="shared" si="1"/>
        <v>4010,'BACHILLERATO','fernando.ruanova','RLF1287','TOMAR DEL SND','RUANOVA LABRA FERNANDO','','','MASCULINO','','',0,0,'','PROFESOR'</v>
      </c>
      <c r="L11" t="str">
        <f t="shared" si="0"/>
        <v>INSERT INTO participantes (id,nivel,correo,matricula,clave,nombre,carrera,grado,sexo,situacion,evaluados,num_evaluados,total_evaluaciones,ultimo_acceso,nivel_acceso) VALUES (4010,'BACHILLERATO','fernando.ruanova','RLF1287','TOMAR DEL SND','RUANOVA LABRA FERNANDO','','','MASCULINO','','',0,0,'','PROFESOR');</v>
      </c>
    </row>
    <row r="12" spans="1:12" x14ac:dyDescent="0.3">
      <c r="A12">
        <f t="shared" si="2"/>
        <v>4011</v>
      </c>
      <c r="B12" t="s">
        <v>1</v>
      </c>
      <c r="C12" t="s">
        <v>160</v>
      </c>
      <c r="D12" t="s">
        <v>128</v>
      </c>
      <c r="E12" s="2" t="s">
        <v>185</v>
      </c>
      <c r="F12" t="s">
        <v>95</v>
      </c>
      <c r="I12" t="s">
        <v>117</v>
      </c>
      <c r="K12" t="str">
        <f t="shared" si="1"/>
        <v>4011,'BACHILLERATO','jose.vazquez','VGJ1543','TOMAR DEL SND','VAZQUEZ GONZALEZ JOSE VALENTIN','','','MASCULINO','','',0,0,'','PROFESOR'</v>
      </c>
      <c r="L12" t="str">
        <f t="shared" si="0"/>
        <v>INSERT INTO participantes (id,nivel,correo,matricula,clave,nombre,carrera,grado,sexo,situacion,evaluados,num_evaluados,total_evaluaciones,ultimo_acceso,nivel_acceso) VALUES (4011,'BACHILLERATO','jose.vazquez','VGJ1543','TOMAR DEL SND','VAZQUEZ GONZALEZ JOSE VALENTIN','','','MASCULINO','','',0,0,'','PROFESOR');</v>
      </c>
    </row>
    <row r="13" spans="1:12" x14ac:dyDescent="0.3">
      <c r="A13">
        <f t="shared" si="2"/>
        <v>4012</v>
      </c>
      <c r="B13" t="s">
        <v>1</v>
      </c>
      <c r="C13" t="s">
        <v>161</v>
      </c>
      <c r="D13" t="s">
        <v>129</v>
      </c>
      <c r="E13" s="2" t="s">
        <v>185</v>
      </c>
      <c r="F13" t="s">
        <v>96</v>
      </c>
      <c r="I13" t="s">
        <v>116</v>
      </c>
      <c r="K13" t="str">
        <f t="shared" si="1"/>
        <v>4012,'BACHILLERATO','kimberly.becerra','BGK1285','TOMAR DEL SND','BECERRA GONZALEZ KIMBERLY CATALINA','','','FEMENINO','','',0,0,'','PROFESOR'</v>
      </c>
      <c r="L13" t="str">
        <f t="shared" si="0"/>
        <v>INSERT INTO participantes (id,nivel,correo,matricula,clave,nombre,carrera,grado,sexo,situacion,evaluados,num_evaluados,total_evaluaciones,ultimo_acceso,nivel_acceso) VALUES (4012,'BACHILLERATO','kimberly.becerra','BGK1285','TOMAR DEL SND','BECERRA GONZALEZ KIMBERLY CATALINA','','','FEMENINO','','',0,0,'','PROFESOR');</v>
      </c>
    </row>
    <row r="14" spans="1:12" x14ac:dyDescent="0.3">
      <c r="A14">
        <f t="shared" si="2"/>
        <v>4013</v>
      </c>
      <c r="B14" t="s">
        <v>1</v>
      </c>
      <c r="C14" t="s">
        <v>162</v>
      </c>
      <c r="D14" t="s">
        <v>130</v>
      </c>
      <c r="E14" s="2" t="s">
        <v>185</v>
      </c>
      <c r="F14" t="s">
        <v>97</v>
      </c>
      <c r="I14" t="s">
        <v>116</v>
      </c>
      <c r="K14" t="str">
        <f t="shared" si="1"/>
        <v>4013,'BACHILLERATO','leticia.alonso','AOL1397','TOMAR DEL SND','ALONSO OROZCO LETICIA SARAHI','','','FEMENINO','','',0,0,'','PROFESOR'</v>
      </c>
      <c r="L14" t="str">
        <f t="shared" si="0"/>
        <v>INSERT INTO participantes (id,nivel,correo,matricula,clave,nombre,carrera,grado,sexo,situacion,evaluados,num_evaluados,total_evaluaciones,ultimo_acceso,nivel_acceso) VALUES (4013,'BACHILLERATO','leticia.alonso','AOL1397','TOMAR DEL SND','ALONSO OROZCO LETICIA SARAHI','','','FEMENINO','','',0,0,'','PROFESOR');</v>
      </c>
    </row>
    <row r="15" spans="1:12" x14ac:dyDescent="0.3">
      <c r="A15">
        <f t="shared" si="2"/>
        <v>4014</v>
      </c>
      <c r="B15" t="s">
        <v>1</v>
      </c>
      <c r="C15" t="s">
        <v>163</v>
      </c>
      <c r="D15" t="s">
        <v>131</v>
      </c>
      <c r="E15" s="2" t="s">
        <v>185</v>
      </c>
      <c r="F15" t="s">
        <v>98</v>
      </c>
      <c r="I15" t="s">
        <v>117</v>
      </c>
      <c r="K15" t="str">
        <f t="shared" si="1"/>
        <v>4014,'BACHILLERATO','luis.ramirez','ROL1739','TOMAR DEL SND','RAMIREZ ORTIZ LUIS ALFONSO','','','MASCULINO','','',0,0,'','PROFESOR'</v>
      </c>
      <c r="L15" t="str">
        <f t="shared" si="0"/>
        <v>INSERT INTO participantes (id,nivel,correo,matricula,clave,nombre,carrera,grado,sexo,situacion,evaluados,num_evaluados,total_evaluaciones,ultimo_acceso,nivel_acceso) VALUES (4014,'BACHILLERATO','luis.ramirez','ROL1739','TOMAR DEL SND','RAMIREZ ORTIZ LUIS ALFONSO','','','MASCULINO','','',0,0,'','PROFESOR');</v>
      </c>
    </row>
    <row r="16" spans="1:12" x14ac:dyDescent="0.3">
      <c r="A16">
        <f t="shared" si="2"/>
        <v>4015</v>
      </c>
      <c r="B16" t="s">
        <v>1</v>
      </c>
      <c r="C16" t="s">
        <v>164</v>
      </c>
      <c r="D16" t="s">
        <v>132</v>
      </c>
      <c r="E16" s="2" t="s">
        <v>185</v>
      </c>
      <c r="F16" t="s">
        <v>99</v>
      </c>
      <c r="I16" t="s">
        <v>117</v>
      </c>
      <c r="K16" t="str">
        <f t="shared" si="1"/>
        <v>4015,'BACHILLERATO','manuel.avila','ATM0308','TOMAR DEL SND','AVILA TORRES MANUEL ANDRES','','','MASCULINO','','',0,0,'','PROFESOR'</v>
      </c>
      <c r="L16" t="str">
        <f t="shared" si="0"/>
        <v>INSERT INTO participantes (id,nivel,correo,matricula,clave,nombre,carrera,grado,sexo,situacion,evaluados,num_evaluados,total_evaluaciones,ultimo_acceso,nivel_acceso) VALUES (4015,'BACHILLERATO','manuel.avila','ATM0308','TOMAR DEL SND','AVILA TORRES MANUEL ANDRES','','','MASCULINO','','',0,0,'','PROFESOR');</v>
      </c>
    </row>
    <row r="17" spans="1:12" x14ac:dyDescent="0.3">
      <c r="A17">
        <f t="shared" si="2"/>
        <v>4016</v>
      </c>
      <c r="B17" t="s">
        <v>1</v>
      </c>
      <c r="C17" t="s">
        <v>165</v>
      </c>
      <c r="D17" t="s">
        <v>133</v>
      </c>
      <c r="E17" s="2" t="s">
        <v>185</v>
      </c>
      <c r="F17" t="s">
        <v>100</v>
      </c>
      <c r="I17" t="s">
        <v>116</v>
      </c>
      <c r="K17" t="str">
        <f t="shared" si="1"/>
        <v>4016,'BACHILLERATO','mariana.alzaga','ASM0098','TOMAR DEL SND','ALZAGA SALAS MARIANA NAYELI','','','FEMENINO','','',0,0,'','PROFESOR'</v>
      </c>
      <c r="L17" t="str">
        <f t="shared" si="0"/>
        <v>INSERT INTO participantes (id,nivel,correo,matricula,clave,nombre,carrera,grado,sexo,situacion,evaluados,num_evaluados,total_evaluaciones,ultimo_acceso,nivel_acceso) VALUES (4016,'BACHILLERATO','mariana.alzaga','ASM0098','TOMAR DEL SND','ALZAGA SALAS MARIANA NAYELI','','','FEMENINO','','',0,0,'','PROFESOR');</v>
      </c>
    </row>
    <row r="18" spans="1:12" x14ac:dyDescent="0.3">
      <c r="A18">
        <f t="shared" si="2"/>
        <v>4017</v>
      </c>
      <c r="B18" t="s">
        <v>1</v>
      </c>
      <c r="C18" t="s">
        <v>166</v>
      </c>
      <c r="D18" t="s">
        <v>134</v>
      </c>
      <c r="E18" s="2" t="s">
        <v>185</v>
      </c>
      <c r="F18" t="s">
        <v>101</v>
      </c>
      <c r="I18" t="s">
        <v>117</v>
      </c>
      <c r="K18" t="str">
        <f t="shared" si="1"/>
        <v>4017,'BACHILLERATO','mario.lopez','LHM0641','TOMAR DEL SND','LOPEZ HIDALGO MARIO ALBERTO','','','MASCULINO','','',0,0,'','PROFESOR'</v>
      </c>
      <c r="L18" t="str">
        <f t="shared" si="0"/>
        <v>INSERT INTO participantes (id,nivel,correo,matricula,clave,nombre,carrera,grado,sexo,situacion,evaluados,num_evaluados,total_evaluaciones,ultimo_acceso,nivel_acceso) VALUES (4017,'BACHILLERATO','mario.lopez','LHM0641','TOMAR DEL SND','LOPEZ HIDALGO MARIO ALBERTO','','','MASCULINO','','',0,0,'','PROFESOR');</v>
      </c>
    </row>
    <row r="19" spans="1:12" x14ac:dyDescent="0.3">
      <c r="A19">
        <f t="shared" si="2"/>
        <v>4018</v>
      </c>
      <c r="B19" t="s">
        <v>1</v>
      </c>
      <c r="C19" t="s">
        <v>167</v>
      </c>
      <c r="D19" t="s">
        <v>135</v>
      </c>
      <c r="E19" s="2" t="s">
        <v>185</v>
      </c>
      <c r="F19" t="s">
        <v>102</v>
      </c>
      <c r="I19" t="s">
        <v>117</v>
      </c>
      <c r="K19" t="str">
        <f t="shared" si="1"/>
        <v>4018,'BACHILLERATO','mario.rivas','RGM1775','TOMAR DEL SND','RIVAS GONZALEZ MARIO ALBERTO','','','MASCULINO','','',0,0,'','PROFESOR'</v>
      </c>
      <c r="L19" t="str">
        <f t="shared" si="0"/>
        <v>INSERT INTO participantes (id,nivel,correo,matricula,clave,nombre,carrera,grado,sexo,situacion,evaluados,num_evaluados,total_evaluaciones,ultimo_acceso,nivel_acceso) VALUES (4018,'BACHILLERATO','mario.rivas','RGM1775','TOMAR DEL SND','RIVAS GONZALEZ MARIO ALBERTO','','','MASCULINO','','',0,0,'','PROFESOR');</v>
      </c>
    </row>
    <row r="20" spans="1:12" x14ac:dyDescent="0.3">
      <c r="A20">
        <f t="shared" si="2"/>
        <v>4019</v>
      </c>
      <c r="B20" t="s">
        <v>1</v>
      </c>
      <c r="C20" t="s">
        <v>168</v>
      </c>
      <c r="D20" t="s">
        <v>136</v>
      </c>
      <c r="E20" s="2" t="s">
        <v>185</v>
      </c>
      <c r="F20" t="s">
        <v>103</v>
      </c>
      <c r="I20" t="s">
        <v>117</v>
      </c>
      <c r="K20" t="str">
        <f t="shared" si="1"/>
        <v>4019,'BACHILLERATO','moises.guzman','GVM1028','TOMAR DEL SND','GUZMAN VERA MOISES GREGORIO','','','MASCULINO','','',0,0,'','PROFESOR'</v>
      </c>
      <c r="L20" t="str">
        <f t="shared" si="0"/>
        <v>INSERT INTO participantes (id,nivel,correo,matricula,clave,nombre,carrera,grado,sexo,situacion,evaluados,num_evaluados,total_evaluaciones,ultimo_acceso,nivel_acceso) VALUES (4019,'BACHILLERATO','moises.guzman','GVM1028','TOMAR DEL SND','GUZMAN VERA MOISES GREGORIO','','','MASCULINO','','',0,0,'','PROFESOR');</v>
      </c>
    </row>
    <row r="21" spans="1:12" x14ac:dyDescent="0.3">
      <c r="A21">
        <f t="shared" si="2"/>
        <v>4020</v>
      </c>
      <c r="B21" t="s">
        <v>1</v>
      </c>
      <c r="C21" t="s">
        <v>169</v>
      </c>
      <c r="D21" t="s">
        <v>137</v>
      </c>
      <c r="E21" s="2" t="s">
        <v>185</v>
      </c>
      <c r="F21" t="s">
        <v>104</v>
      </c>
      <c r="I21" t="s">
        <v>116</v>
      </c>
      <c r="K21" t="str">
        <f t="shared" si="1"/>
        <v>4020,'BACHILLERATO','monica.arana','ARM1562','TOMAR DEL SND','ARANA RAMIREZ MONICA CECILIA','','','FEMENINO','','',0,0,'','PROFESOR'</v>
      </c>
      <c r="L21" t="str">
        <f t="shared" si="0"/>
        <v>INSERT INTO participantes (id,nivel,correo,matricula,clave,nombre,carrera,grado,sexo,situacion,evaluados,num_evaluados,total_evaluaciones,ultimo_acceso,nivel_acceso) VALUES (4020,'BACHILLERATO','monica.arana','ARM1562','TOMAR DEL SND','ARANA RAMIREZ MONICA CECILIA','','','FEMENINO','','',0,0,'','PROFESOR');</v>
      </c>
    </row>
    <row r="22" spans="1:12" x14ac:dyDescent="0.3">
      <c r="A22">
        <f t="shared" si="2"/>
        <v>4021</v>
      </c>
      <c r="B22" t="s">
        <v>1</v>
      </c>
      <c r="C22" t="s">
        <v>170</v>
      </c>
      <c r="D22" t="s">
        <v>138</v>
      </c>
      <c r="E22" s="2" t="s">
        <v>185</v>
      </c>
      <c r="F22" t="s">
        <v>105</v>
      </c>
      <c r="I22" t="s">
        <v>116</v>
      </c>
      <c r="K22" t="str">
        <f t="shared" si="1"/>
        <v>4021,'BACHILLERATO','nidia.jauregui','JMN1803','TOMAR DEL SND','JAUREGUI MORENO NIDIA','','','FEMENINO','','',0,0,'','PROFESOR'</v>
      </c>
      <c r="L22" t="str">
        <f t="shared" si="0"/>
        <v>INSERT INTO participantes (id,nivel,correo,matricula,clave,nombre,carrera,grado,sexo,situacion,evaluados,num_evaluados,total_evaluaciones,ultimo_acceso,nivel_acceso) VALUES (4021,'BACHILLERATO','nidia.jauregui','JMN1803','TOMAR DEL SND','JAUREGUI MORENO NIDIA','','','FEMENINO','','',0,0,'','PROFESOR');</v>
      </c>
    </row>
    <row r="23" spans="1:12" x14ac:dyDescent="0.3">
      <c r="A23">
        <f t="shared" si="2"/>
        <v>4022</v>
      </c>
      <c r="B23" t="s">
        <v>1</v>
      </c>
      <c r="C23" t="s">
        <v>171</v>
      </c>
      <c r="D23" t="s">
        <v>139</v>
      </c>
      <c r="E23" s="2" t="s">
        <v>185</v>
      </c>
      <c r="F23" t="s">
        <v>106</v>
      </c>
      <c r="I23" t="s">
        <v>116</v>
      </c>
      <c r="K23" t="str">
        <f t="shared" si="1"/>
        <v>4022,'BACHILLERATO','paola.gutierrez','GMP1737','TOMAR DEL SND','GUTIERREZ MEDINA PAOLA CAROLINA','','','FEMENINO','','',0,0,'','PROFESOR'</v>
      </c>
      <c r="L23" t="str">
        <f t="shared" si="0"/>
        <v>INSERT INTO participantes (id,nivel,correo,matricula,clave,nombre,carrera,grado,sexo,situacion,evaluados,num_evaluados,total_evaluaciones,ultimo_acceso,nivel_acceso) VALUES (4022,'BACHILLERATO','paola.gutierrez','GMP1737','TOMAR DEL SND','GUTIERREZ MEDINA PAOLA CAROLINA','','','FEMENINO','','',0,0,'','PROFESOR');</v>
      </c>
    </row>
    <row r="24" spans="1:12" x14ac:dyDescent="0.3">
      <c r="A24">
        <f t="shared" si="2"/>
        <v>4023</v>
      </c>
      <c r="B24" t="s">
        <v>1</v>
      </c>
      <c r="C24" t="s">
        <v>172</v>
      </c>
      <c r="D24" t="s">
        <v>140</v>
      </c>
      <c r="E24" s="2" t="s">
        <v>185</v>
      </c>
      <c r="F24" t="s">
        <v>107</v>
      </c>
      <c r="I24" t="s">
        <v>117</v>
      </c>
      <c r="K24" t="str">
        <f t="shared" si="1"/>
        <v>4023,'BACHILLERATO','roberto.hernandez','HNR1233','TOMAR DEL SND','HERNANDEZ NAVARRO ROBERTO','','','MASCULINO','','',0,0,'','PROFESOR'</v>
      </c>
      <c r="L24" t="str">
        <f t="shared" si="0"/>
        <v>INSERT INTO participantes (id,nivel,correo,matricula,clave,nombre,carrera,grado,sexo,situacion,evaluados,num_evaluados,total_evaluaciones,ultimo_acceso,nivel_acceso) VALUES (4023,'BACHILLERATO','roberto.hernandez','HNR1233','TOMAR DEL SND','HERNANDEZ NAVARRO ROBERTO','','','MASCULINO','','',0,0,'','PROFESOR');</v>
      </c>
    </row>
    <row r="25" spans="1:12" x14ac:dyDescent="0.3">
      <c r="A25">
        <f t="shared" si="2"/>
        <v>4024</v>
      </c>
      <c r="B25" t="s">
        <v>1</v>
      </c>
      <c r="C25" t="s">
        <v>173</v>
      </c>
      <c r="D25" t="s">
        <v>141</v>
      </c>
      <c r="E25" s="2" t="s">
        <v>185</v>
      </c>
      <c r="F25" t="s">
        <v>108</v>
      </c>
      <c r="I25" t="s">
        <v>117</v>
      </c>
      <c r="K25" t="str">
        <f t="shared" si="1"/>
        <v>4024,'BACHILLERATO','salvador.lopez','LOS1401','TOMAR DEL SND','LOPEZ ORTEGA SALVADOR','','','MASCULINO','','',0,0,'','PROFESOR'</v>
      </c>
      <c r="L25" t="str">
        <f t="shared" si="0"/>
        <v>INSERT INTO participantes (id,nivel,correo,matricula,clave,nombre,carrera,grado,sexo,situacion,evaluados,num_evaluados,total_evaluaciones,ultimo_acceso,nivel_acceso) VALUES (4024,'BACHILLERATO','salvador.lopez','LOS1401','TOMAR DEL SND','LOPEZ ORTEGA SALVADOR','','','MASCULINO','','',0,0,'','PROFESOR');</v>
      </c>
    </row>
    <row r="26" spans="1:12" x14ac:dyDescent="0.3">
      <c r="A26">
        <f t="shared" si="2"/>
        <v>4025</v>
      </c>
      <c r="B26" t="s">
        <v>1</v>
      </c>
      <c r="C26" t="s">
        <v>174</v>
      </c>
      <c r="D26" t="s">
        <v>142</v>
      </c>
      <c r="E26" s="2" t="s">
        <v>185</v>
      </c>
      <c r="F26" t="s">
        <v>109</v>
      </c>
      <c r="I26" t="s">
        <v>116</v>
      </c>
      <c r="K26" t="str">
        <f t="shared" si="1"/>
        <v>4025,'BACHILLERATO','sandra.rodriguez','RCS1686','TOMAR DEL SND','RODRIGUEZ CADENA SANDRA LUZ','','','FEMENINO','','',0,0,'','PROFESOR'</v>
      </c>
      <c r="L26" t="str">
        <f t="shared" si="0"/>
        <v>INSERT INTO participantes (id,nivel,correo,matricula,clave,nombre,carrera,grado,sexo,situacion,evaluados,num_evaluados,total_evaluaciones,ultimo_acceso,nivel_acceso) VALUES (4025,'BACHILLERATO','sandra.rodriguez','RCS1686','TOMAR DEL SND','RODRIGUEZ CADENA SANDRA LUZ','','','FEMENINO','','',0,0,'','PROFESOR');</v>
      </c>
    </row>
    <row r="27" spans="1:12" x14ac:dyDescent="0.3">
      <c r="A27">
        <f t="shared" si="2"/>
        <v>4026</v>
      </c>
      <c r="B27" t="s">
        <v>1</v>
      </c>
      <c r="C27" t="s">
        <v>175</v>
      </c>
      <c r="D27" t="s">
        <v>143</v>
      </c>
      <c r="E27" s="2" t="s">
        <v>185</v>
      </c>
      <c r="F27" t="s">
        <v>110</v>
      </c>
      <c r="I27" t="s">
        <v>116</v>
      </c>
      <c r="K27" t="str">
        <f t="shared" si="1"/>
        <v>4026,'BACHILLERATO','teresa.mercado','MBT0203','TOMAR DEL SND','MERCADO BRIZUELA TERESA ISABEL','','','FEMENINO','','',0,0,'','PROFESOR'</v>
      </c>
      <c r="L27" t="str">
        <f t="shared" si="0"/>
        <v>INSERT INTO participantes (id,nivel,correo,matricula,clave,nombre,carrera,grado,sexo,situacion,evaluados,num_evaluados,total_evaluaciones,ultimo_acceso,nivel_acceso) VALUES (4026,'BACHILLERATO','teresa.mercado','MBT0203','TOMAR DEL SND','MERCADO BRIZUELA TERESA ISABEL','','','FEMENINO','','',0,0,'','PROFESOR');</v>
      </c>
    </row>
    <row r="28" spans="1:12" x14ac:dyDescent="0.3">
      <c r="A28">
        <f t="shared" si="2"/>
        <v>4027</v>
      </c>
      <c r="B28" t="s">
        <v>1</v>
      </c>
      <c r="C28" t="s">
        <v>176</v>
      </c>
      <c r="D28" t="s">
        <v>144</v>
      </c>
      <c r="E28" s="2" t="s">
        <v>185</v>
      </c>
      <c r="F28" t="s">
        <v>111</v>
      </c>
      <c r="I28" t="s">
        <v>117</v>
      </c>
      <c r="K28" t="str">
        <f t="shared" si="1"/>
        <v>4027,'BACHILLERATO','ulises.hernandez','HNU1371','TOMAR DEL SND','HERNANDEZ NAVARRO ULISES','','','MASCULINO','','',0,0,'','PROFESOR'</v>
      </c>
      <c r="L28" t="str">
        <f t="shared" si="0"/>
        <v>INSERT INTO participantes (id,nivel,correo,matricula,clave,nombre,carrera,grado,sexo,situacion,evaluados,num_evaluados,total_evaluaciones,ultimo_acceso,nivel_acceso) VALUES (4027,'BACHILLERATO','ulises.hernandez','HNU1371','TOMAR DEL SND','HERNANDEZ NAVARRO ULISES','','','MASCULINO','','',0,0,'','PROFESOR');</v>
      </c>
    </row>
    <row r="29" spans="1:12" x14ac:dyDescent="0.3">
      <c r="A29">
        <f t="shared" si="2"/>
        <v>4028</v>
      </c>
      <c r="B29" t="s">
        <v>1</v>
      </c>
      <c r="C29" t="s">
        <v>177</v>
      </c>
      <c r="D29" t="s">
        <v>145</v>
      </c>
      <c r="E29" s="2" t="s">
        <v>185</v>
      </c>
      <c r="F29" t="s">
        <v>112</v>
      </c>
      <c r="I29" t="s">
        <v>116</v>
      </c>
      <c r="K29" t="str">
        <f t="shared" si="1"/>
        <v>4028,'BACHILLERATO','veronica.rios','RCV0642','TOMAR DEL SND','RIOS CORONADO VERONICA','','','FEMENINO','','',0,0,'','PROFESOR'</v>
      </c>
      <c r="L29" t="str">
        <f t="shared" si="0"/>
        <v>INSERT INTO participantes (id,nivel,correo,matricula,clave,nombre,carrera,grado,sexo,situacion,evaluados,num_evaluados,total_evaluaciones,ultimo_acceso,nivel_acceso) VALUES (4028,'BACHILLERATO','veronica.rios','RCV0642','TOMAR DEL SND','RIOS CORONADO VERONICA','','','FEMENINO','','',0,0,'','PROFESOR');</v>
      </c>
    </row>
    <row r="30" spans="1:12" x14ac:dyDescent="0.3">
      <c r="A30">
        <f t="shared" si="2"/>
        <v>4029</v>
      </c>
      <c r="B30" t="s">
        <v>1</v>
      </c>
      <c r="C30" t="s">
        <v>178</v>
      </c>
      <c r="D30" t="s">
        <v>146</v>
      </c>
      <c r="E30" s="2" t="s">
        <v>185</v>
      </c>
      <c r="F30" t="s">
        <v>113</v>
      </c>
      <c r="I30" t="s">
        <v>116</v>
      </c>
      <c r="K30" t="str">
        <f t="shared" si="1"/>
        <v>4029,'BACHILLERATO','veronica.sanchez','SDV1430','TOMAR DEL SND','SANCHEZ DIAZ DURAN VERONICA AVRIL','','','FEMENINO','','',0,0,'','PROFESOR'</v>
      </c>
      <c r="L30" t="str">
        <f t="shared" si="0"/>
        <v>INSERT INTO participantes (id,nivel,correo,matricula,clave,nombre,carrera,grado,sexo,situacion,evaluados,num_evaluados,total_evaluaciones,ultimo_acceso,nivel_acceso) VALUES (4029,'BACHILLERATO','veronica.sanchez','SDV1430','TOMAR DEL SND','SANCHEZ DIAZ DURAN VERONICA AVRIL','','','FEMENINO','','',0,0,'','PROFESOR');</v>
      </c>
    </row>
    <row r="31" spans="1:12" x14ac:dyDescent="0.3">
      <c r="A31">
        <f t="shared" si="2"/>
        <v>4030</v>
      </c>
      <c r="B31" t="s">
        <v>1</v>
      </c>
      <c r="C31" t="s">
        <v>179</v>
      </c>
      <c r="D31" t="s">
        <v>147</v>
      </c>
      <c r="E31" s="2" t="s">
        <v>185</v>
      </c>
      <c r="F31" t="s">
        <v>114</v>
      </c>
      <c r="I31" t="s">
        <v>116</v>
      </c>
      <c r="K31" t="str">
        <f t="shared" si="1"/>
        <v>4030,'BACHILLERATO','yazmin.ponce','PLY0765','TOMAR DEL SND','PONCE LEMUS YAZMIN','','','FEMENINO','','',0,0,'','PROFESOR'</v>
      </c>
      <c r="L31" t="str">
        <f t="shared" si="0"/>
        <v>INSERT INTO participantes (id,nivel,correo,matricula,clave,nombre,carrera,grado,sexo,situacion,evaluados,num_evaluados,total_evaluaciones,ultimo_acceso,nivel_acceso) VALUES (4030,'BACHILLERATO','yazmin.ponce','PLY0765','TOMAR DEL SND','PONCE LEMUS YAZMIN','','','FEMENINO','','',0,0,'','PROFESOR');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2025-05-06T16:34:02Z</dcterms:modified>
</cp:coreProperties>
</file>