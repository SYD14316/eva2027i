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GE6\OneDrive\Documentos\MEGA\test.evaluaciones.umg.edu.mx\eva2026ii\Documentos\Docs anteriores\Informacion\Licenciaturas\"/>
    </mc:Choice>
  </mc:AlternateContent>
  <xr:revisionPtr revIDLastSave="0" documentId="13_ncr:1_{B726D209-40E5-4512-B2DA-7AB54E32A6E5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Hoja2" sheetId="4" r:id="rId1"/>
    <sheet name="Hoja1" sheetId="2" r:id="rId2"/>
    <sheet name="PARTICIPANTES" sheetId="3" r:id="rId3"/>
    <sheet name="Materias" sheetId="5" r:id="rId4"/>
  </sheets>
  <definedNames>
    <definedName name="_xlnm._FilterDatabase" localSheetId="3" hidden="1">Materias!$A$1:$J$329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5" l="1"/>
  <c r="I55" i="5"/>
  <c r="I54" i="5"/>
  <c r="I53" i="5"/>
  <c r="I5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2" i="5"/>
  <c r="I57" i="5"/>
  <c r="I2" i="5"/>
  <c r="L2" i="3"/>
  <c r="C3" i="5" l="1"/>
  <c r="E3" i="5"/>
  <c r="F3" i="5"/>
  <c r="G3" i="5"/>
  <c r="H3" i="5"/>
  <c r="C4" i="5"/>
  <c r="H4" i="5" s="1"/>
  <c r="E4" i="5"/>
  <c r="F4" i="5"/>
  <c r="G4" i="5"/>
  <c r="C5" i="5"/>
  <c r="E5" i="5"/>
  <c r="F5" i="5"/>
  <c r="G5" i="5"/>
  <c r="H5" i="5"/>
  <c r="C6" i="5"/>
  <c r="H6" i="5" s="1"/>
  <c r="E6" i="5"/>
  <c r="F6" i="5"/>
  <c r="G6" i="5"/>
  <c r="C7" i="5"/>
  <c r="E7" i="5"/>
  <c r="F7" i="5"/>
  <c r="G7" i="5"/>
  <c r="H7" i="5"/>
  <c r="C8" i="5"/>
  <c r="H8" i="5" s="1"/>
  <c r="E8" i="5"/>
  <c r="F8" i="5"/>
  <c r="G8" i="5"/>
  <c r="C9" i="5"/>
  <c r="E9" i="5"/>
  <c r="F9" i="5"/>
  <c r="G9" i="5"/>
  <c r="H9" i="5"/>
  <c r="C10" i="5"/>
  <c r="H10" i="5" s="1"/>
  <c r="E10" i="5"/>
  <c r="F10" i="5"/>
  <c r="G10" i="5"/>
  <c r="C11" i="5"/>
  <c r="E11" i="5"/>
  <c r="F11" i="5"/>
  <c r="G11" i="5"/>
  <c r="H11" i="5"/>
  <c r="C12" i="5"/>
  <c r="H12" i="5" s="1"/>
  <c r="E12" i="5"/>
  <c r="F12" i="5"/>
  <c r="G12" i="5"/>
  <c r="C13" i="5"/>
  <c r="E13" i="5"/>
  <c r="F13" i="5"/>
  <c r="G13" i="5"/>
  <c r="H13" i="5"/>
  <c r="C14" i="5"/>
  <c r="H14" i="5" s="1"/>
  <c r="E14" i="5"/>
  <c r="F14" i="5"/>
  <c r="G14" i="5"/>
  <c r="C15" i="5"/>
  <c r="E15" i="5"/>
  <c r="F15" i="5"/>
  <c r="G15" i="5"/>
  <c r="H15" i="5"/>
  <c r="C16" i="5"/>
  <c r="H16" i="5" s="1"/>
  <c r="E16" i="5"/>
  <c r="F16" i="5"/>
  <c r="G16" i="5"/>
  <c r="C17" i="5"/>
  <c r="E17" i="5"/>
  <c r="F17" i="5"/>
  <c r="G17" i="5"/>
  <c r="H17" i="5"/>
  <c r="C18" i="5"/>
  <c r="H18" i="5" s="1"/>
  <c r="E18" i="5"/>
  <c r="F18" i="5"/>
  <c r="G18" i="5"/>
  <c r="C19" i="5"/>
  <c r="E19" i="5"/>
  <c r="F19" i="5"/>
  <c r="G19" i="5"/>
  <c r="H19" i="5"/>
  <c r="C20" i="5"/>
  <c r="H20" i="5" s="1"/>
  <c r="E20" i="5"/>
  <c r="F20" i="5"/>
  <c r="G20" i="5"/>
  <c r="C21" i="5"/>
  <c r="E21" i="5"/>
  <c r="F21" i="5"/>
  <c r="G21" i="5"/>
  <c r="H21" i="5"/>
  <c r="C22" i="5"/>
  <c r="H22" i="5" s="1"/>
  <c r="E22" i="5"/>
  <c r="F22" i="5"/>
  <c r="G22" i="5"/>
  <c r="C23" i="5"/>
  <c r="E23" i="5"/>
  <c r="F23" i="5"/>
  <c r="G23" i="5"/>
  <c r="H23" i="5"/>
  <c r="C24" i="5"/>
  <c r="H24" i="5" s="1"/>
  <c r="E24" i="5"/>
  <c r="F24" i="5"/>
  <c r="G24" i="5"/>
  <c r="C25" i="5"/>
  <c r="E25" i="5"/>
  <c r="F25" i="5"/>
  <c r="G25" i="5"/>
  <c r="H25" i="5"/>
  <c r="C26" i="5"/>
  <c r="H26" i="5" s="1"/>
  <c r="E26" i="5"/>
  <c r="F26" i="5"/>
  <c r="G26" i="5"/>
  <c r="C27" i="5"/>
  <c r="E27" i="5"/>
  <c r="F27" i="5"/>
  <c r="G27" i="5"/>
  <c r="H27" i="5"/>
  <c r="C28" i="5"/>
  <c r="H28" i="5" s="1"/>
  <c r="E28" i="5"/>
  <c r="F28" i="5"/>
  <c r="G28" i="5"/>
  <c r="C29" i="5"/>
  <c r="E29" i="5"/>
  <c r="F29" i="5"/>
  <c r="G29" i="5"/>
  <c r="H29" i="5"/>
  <c r="C30" i="5"/>
  <c r="H30" i="5" s="1"/>
  <c r="E30" i="5"/>
  <c r="F30" i="5"/>
  <c r="G30" i="5"/>
  <c r="C31" i="5"/>
  <c r="E31" i="5"/>
  <c r="F31" i="5"/>
  <c r="G31" i="5"/>
  <c r="H31" i="5"/>
  <c r="C32" i="5"/>
  <c r="H32" i="5" s="1"/>
  <c r="E32" i="5"/>
  <c r="F32" i="5"/>
  <c r="G32" i="5"/>
  <c r="C33" i="5"/>
  <c r="E33" i="5"/>
  <c r="F33" i="5"/>
  <c r="G33" i="5"/>
  <c r="H33" i="5"/>
  <c r="C34" i="5"/>
  <c r="H34" i="5" s="1"/>
  <c r="E34" i="5"/>
  <c r="F34" i="5"/>
  <c r="G34" i="5"/>
  <c r="C35" i="5"/>
  <c r="E35" i="5"/>
  <c r="F35" i="5"/>
  <c r="G35" i="5"/>
  <c r="H35" i="5"/>
  <c r="C36" i="5"/>
  <c r="H36" i="5" s="1"/>
  <c r="E36" i="5"/>
  <c r="F36" i="5"/>
  <c r="G36" i="5"/>
  <c r="C37" i="5"/>
  <c r="E37" i="5"/>
  <c r="F37" i="5"/>
  <c r="G37" i="5"/>
  <c r="H37" i="5"/>
  <c r="C38" i="5"/>
  <c r="H38" i="5" s="1"/>
  <c r="E38" i="5"/>
  <c r="F38" i="5"/>
  <c r="G38" i="5"/>
  <c r="C39" i="5"/>
  <c r="E39" i="5"/>
  <c r="F39" i="5"/>
  <c r="G39" i="5"/>
  <c r="H39" i="5"/>
  <c r="C40" i="5"/>
  <c r="H40" i="5" s="1"/>
  <c r="E40" i="5"/>
  <c r="F40" i="5"/>
  <c r="G40" i="5"/>
  <c r="C41" i="5"/>
  <c r="E41" i="5"/>
  <c r="F41" i="5"/>
  <c r="G41" i="5"/>
  <c r="H41" i="5"/>
  <c r="C42" i="5"/>
  <c r="H42" i="5" s="1"/>
  <c r="E42" i="5"/>
  <c r="F42" i="5"/>
  <c r="G42" i="5"/>
  <c r="C43" i="5"/>
  <c r="E43" i="5"/>
  <c r="F43" i="5"/>
  <c r="G43" i="5"/>
  <c r="H43" i="5"/>
  <c r="C44" i="5"/>
  <c r="H44" i="5" s="1"/>
  <c r="E44" i="5"/>
  <c r="F44" i="5"/>
  <c r="G44" i="5"/>
  <c r="C45" i="5"/>
  <c r="E45" i="5"/>
  <c r="F45" i="5"/>
  <c r="G45" i="5"/>
  <c r="H45" i="5"/>
  <c r="C46" i="5"/>
  <c r="H46" i="5" s="1"/>
  <c r="E46" i="5"/>
  <c r="F46" i="5"/>
  <c r="G46" i="5"/>
  <c r="C47" i="5"/>
  <c r="E47" i="5"/>
  <c r="F47" i="5"/>
  <c r="G47" i="5"/>
  <c r="H47" i="5"/>
  <c r="C48" i="5"/>
  <c r="H48" i="5" s="1"/>
  <c r="E48" i="5"/>
  <c r="F48" i="5"/>
  <c r="G48" i="5"/>
  <c r="C49" i="5"/>
  <c r="E49" i="5"/>
  <c r="F49" i="5"/>
  <c r="G49" i="5"/>
  <c r="H49" i="5"/>
  <c r="C50" i="5"/>
  <c r="H50" i="5" s="1"/>
  <c r="E50" i="5"/>
  <c r="F50" i="5"/>
  <c r="G50" i="5"/>
  <c r="E51" i="5"/>
  <c r="F51" i="5"/>
  <c r="G51" i="5"/>
  <c r="E52" i="5"/>
  <c r="F52" i="5"/>
  <c r="G52" i="5"/>
  <c r="E53" i="5"/>
  <c r="F53" i="5"/>
  <c r="G53" i="5"/>
  <c r="E54" i="5"/>
  <c r="F54" i="5"/>
  <c r="G54" i="5"/>
  <c r="E55" i="5"/>
  <c r="F55" i="5"/>
  <c r="G55" i="5"/>
  <c r="E56" i="5"/>
  <c r="F56" i="5"/>
  <c r="G56" i="5"/>
  <c r="E57" i="5"/>
  <c r="F57" i="5"/>
  <c r="G57" i="5"/>
  <c r="C58" i="5"/>
  <c r="E58" i="5"/>
  <c r="F58" i="5"/>
  <c r="G58" i="5"/>
  <c r="C59" i="5"/>
  <c r="E59" i="5"/>
  <c r="F59" i="5"/>
  <c r="G59" i="5"/>
  <c r="C60" i="5"/>
  <c r="E60" i="5"/>
  <c r="F60" i="5"/>
  <c r="G60" i="5"/>
  <c r="C61" i="5"/>
  <c r="H61" i="5" s="1"/>
  <c r="E61" i="5"/>
  <c r="F61" i="5"/>
  <c r="G61" i="5"/>
  <c r="C62" i="5"/>
  <c r="E62" i="5"/>
  <c r="F62" i="5"/>
  <c r="G62" i="5"/>
  <c r="C63" i="5"/>
  <c r="H63" i="5" s="1"/>
  <c r="E63" i="5"/>
  <c r="F63" i="5"/>
  <c r="G63" i="5"/>
  <c r="C64" i="5"/>
  <c r="E64" i="5"/>
  <c r="F64" i="5"/>
  <c r="G64" i="5"/>
  <c r="C65" i="5"/>
  <c r="E65" i="5"/>
  <c r="F65" i="5"/>
  <c r="G65" i="5"/>
  <c r="H65" i="5"/>
  <c r="C66" i="5"/>
  <c r="E66" i="5"/>
  <c r="F66" i="5"/>
  <c r="G66" i="5"/>
  <c r="C67" i="5"/>
  <c r="E67" i="5"/>
  <c r="F67" i="5"/>
  <c r="G67" i="5"/>
  <c r="C68" i="5"/>
  <c r="E68" i="5"/>
  <c r="F68" i="5"/>
  <c r="G68" i="5"/>
  <c r="C69" i="5"/>
  <c r="H69" i="5" s="1"/>
  <c r="E69" i="5"/>
  <c r="F69" i="5"/>
  <c r="G69" i="5"/>
  <c r="C70" i="5"/>
  <c r="E70" i="5"/>
  <c r="F70" i="5"/>
  <c r="G70" i="5"/>
  <c r="C71" i="5"/>
  <c r="H71" i="5" s="1"/>
  <c r="E71" i="5"/>
  <c r="F71" i="5"/>
  <c r="G71" i="5"/>
  <c r="C72" i="5"/>
  <c r="E72" i="5"/>
  <c r="F72" i="5"/>
  <c r="G72" i="5"/>
  <c r="C73" i="5"/>
  <c r="E73" i="5"/>
  <c r="F73" i="5"/>
  <c r="G73" i="5"/>
  <c r="H73" i="5"/>
  <c r="C74" i="5"/>
  <c r="E74" i="5"/>
  <c r="F74" i="5"/>
  <c r="G74" i="5"/>
  <c r="C75" i="5"/>
  <c r="E75" i="5"/>
  <c r="F75" i="5"/>
  <c r="G75" i="5"/>
  <c r="C76" i="5"/>
  <c r="E76" i="5"/>
  <c r="F76" i="5"/>
  <c r="G76" i="5"/>
  <c r="C77" i="5"/>
  <c r="H77" i="5" s="1"/>
  <c r="E77" i="5"/>
  <c r="F77" i="5"/>
  <c r="G77" i="5"/>
  <c r="C78" i="5"/>
  <c r="E78" i="5"/>
  <c r="F78" i="5"/>
  <c r="G78" i="5"/>
  <c r="C79" i="5"/>
  <c r="H79" i="5" s="1"/>
  <c r="E79" i="5"/>
  <c r="F79" i="5"/>
  <c r="G79" i="5"/>
  <c r="C80" i="5"/>
  <c r="E80" i="5"/>
  <c r="F80" i="5"/>
  <c r="G80" i="5"/>
  <c r="C81" i="5"/>
  <c r="E81" i="5"/>
  <c r="F81" i="5"/>
  <c r="G81" i="5"/>
  <c r="H81" i="5"/>
  <c r="C82" i="5"/>
  <c r="E82" i="5"/>
  <c r="F82" i="5"/>
  <c r="G82" i="5"/>
  <c r="C83" i="5"/>
  <c r="E83" i="5"/>
  <c r="F83" i="5"/>
  <c r="G83" i="5"/>
  <c r="C84" i="5"/>
  <c r="E84" i="5"/>
  <c r="F84" i="5"/>
  <c r="G84" i="5"/>
  <c r="C85" i="5"/>
  <c r="H85" i="5" s="1"/>
  <c r="E85" i="5"/>
  <c r="F85" i="5"/>
  <c r="G85" i="5"/>
  <c r="C86" i="5"/>
  <c r="E86" i="5"/>
  <c r="F86" i="5"/>
  <c r="G86" i="5"/>
  <c r="C87" i="5"/>
  <c r="H87" i="5" s="1"/>
  <c r="E87" i="5"/>
  <c r="F87" i="5"/>
  <c r="G87" i="5"/>
  <c r="C88" i="5"/>
  <c r="E88" i="5"/>
  <c r="F88" i="5"/>
  <c r="G88" i="5"/>
  <c r="C89" i="5"/>
  <c r="E89" i="5"/>
  <c r="F89" i="5"/>
  <c r="G89" i="5"/>
  <c r="H89" i="5"/>
  <c r="C90" i="5"/>
  <c r="E90" i="5"/>
  <c r="F90" i="5"/>
  <c r="G90" i="5"/>
  <c r="C91" i="5"/>
  <c r="E91" i="5"/>
  <c r="F91" i="5"/>
  <c r="G91" i="5"/>
  <c r="C92" i="5"/>
  <c r="E92" i="5"/>
  <c r="F92" i="5"/>
  <c r="G92" i="5"/>
  <c r="C93" i="5"/>
  <c r="H93" i="5" s="1"/>
  <c r="E93" i="5"/>
  <c r="F93" i="5"/>
  <c r="G93" i="5"/>
  <c r="C94" i="5"/>
  <c r="E94" i="5"/>
  <c r="F94" i="5"/>
  <c r="G94" i="5"/>
  <c r="C95" i="5"/>
  <c r="H95" i="5" s="1"/>
  <c r="E95" i="5"/>
  <c r="F95" i="5"/>
  <c r="G95" i="5"/>
  <c r="C96" i="5"/>
  <c r="E96" i="5"/>
  <c r="F96" i="5"/>
  <c r="G96" i="5"/>
  <c r="C97" i="5"/>
  <c r="E97" i="5"/>
  <c r="F97" i="5"/>
  <c r="G97" i="5"/>
  <c r="C98" i="5"/>
  <c r="E98" i="5"/>
  <c r="F98" i="5"/>
  <c r="G98" i="5"/>
  <c r="C99" i="5"/>
  <c r="E99" i="5"/>
  <c r="F99" i="5"/>
  <c r="G99" i="5"/>
  <c r="C100" i="5"/>
  <c r="E100" i="5"/>
  <c r="F100" i="5"/>
  <c r="G100" i="5"/>
  <c r="C101" i="5"/>
  <c r="H101" i="5" s="1"/>
  <c r="E101" i="5"/>
  <c r="F101" i="5"/>
  <c r="G101" i="5"/>
  <c r="C102" i="5"/>
  <c r="E102" i="5"/>
  <c r="F102" i="5"/>
  <c r="G102" i="5"/>
  <c r="C103" i="5"/>
  <c r="E103" i="5"/>
  <c r="F103" i="5"/>
  <c r="G103" i="5"/>
  <c r="C104" i="5"/>
  <c r="E104" i="5"/>
  <c r="F104" i="5"/>
  <c r="G104" i="5"/>
  <c r="C105" i="5"/>
  <c r="E105" i="5"/>
  <c r="F105" i="5"/>
  <c r="G105" i="5"/>
  <c r="C106" i="5"/>
  <c r="E106" i="5"/>
  <c r="F106" i="5"/>
  <c r="G106" i="5"/>
  <c r="C107" i="5"/>
  <c r="E107" i="5"/>
  <c r="F107" i="5"/>
  <c r="G107" i="5"/>
  <c r="C108" i="5"/>
  <c r="E108" i="5"/>
  <c r="F108" i="5"/>
  <c r="G108" i="5"/>
  <c r="C109" i="5"/>
  <c r="E109" i="5"/>
  <c r="F109" i="5"/>
  <c r="G109" i="5"/>
  <c r="C110" i="5"/>
  <c r="E110" i="5"/>
  <c r="F110" i="5"/>
  <c r="G110" i="5"/>
  <c r="C111" i="5"/>
  <c r="E111" i="5"/>
  <c r="F111" i="5"/>
  <c r="G111" i="5"/>
  <c r="C112" i="5"/>
  <c r="E112" i="5"/>
  <c r="F112" i="5"/>
  <c r="G112" i="5"/>
  <c r="C113" i="5"/>
  <c r="H113" i="5" s="1"/>
  <c r="E113" i="5"/>
  <c r="F113" i="5"/>
  <c r="G113" i="5"/>
  <c r="C114" i="5"/>
  <c r="E114" i="5"/>
  <c r="F114" i="5"/>
  <c r="G114" i="5"/>
  <c r="C115" i="5"/>
  <c r="E115" i="5"/>
  <c r="F115" i="5"/>
  <c r="G115" i="5"/>
  <c r="H115" i="5"/>
  <c r="C116" i="5"/>
  <c r="E116" i="5"/>
  <c r="F116" i="5"/>
  <c r="G116" i="5"/>
  <c r="C117" i="5"/>
  <c r="E117" i="5"/>
  <c r="F117" i="5"/>
  <c r="G117" i="5"/>
  <c r="C118" i="5"/>
  <c r="E118" i="5"/>
  <c r="F118" i="5"/>
  <c r="G118" i="5"/>
  <c r="C119" i="5"/>
  <c r="F119" i="5"/>
  <c r="G119" i="5"/>
  <c r="C120" i="5"/>
  <c r="E120" i="5"/>
  <c r="F120" i="5"/>
  <c r="G120" i="5"/>
  <c r="C121" i="5"/>
  <c r="E121" i="5"/>
  <c r="F121" i="5"/>
  <c r="G121" i="5"/>
  <c r="C122" i="5"/>
  <c r="E122" i="5"/>
  <c r="F122" i="5"/>
  <c r="G122" i="5"/>
  <c r="C123" i="5"/>
  <c r="E123" i="5"/>
  <c r="F123" i="5"/>
  <c r="G123" i="5"/>
  <c r="C124" i="5"/>
  <c r="E124" i="5"/>
  <c r="F124" i="5"/>
  <c r="G124" i="5"/>
  <c r="C125" i="5"/>
  <c r="E125" i="5"/>
  <c r="F125" i="5"/>
  <c r="G125" i="5"/>
  <c r="H125" i="5"/>
  <c r="C126" i="5"/>
  <c r="F126" i="5"/>
  <c r="G126" i="5"/>
  <c r="C127" i="5"/>
  <c r="E127" i="5"/>
  <c r="F127" i="5"/>
  <c r="G127" i="5"/>
  <c r="C128" i="5"/>
  <c r="E128" i="5"/>
  <c r="F128" i="5"/>
  <c r="G128" i="5"/>
  <c r="C129" i="5"/>
  <c r="E129" i="5"/>
  <c r="F129" i="5"/>
  <c r="G129" i="5"/>
  <c r="C130" i="5"/>
  <c r="E130" i="5"/>
  <c r="F130" i="5"/>
  <c r="G130" i="5"/>
  <c r="C131" i="5"/>
  <c r="E131" i="5"/>
  <c r="F131" i="5"/>
  <c r="G131" i="5"/>
  <c r="C132" i="5"/>
  <c r="E132" i="5"/>
  <c r="F132" i="5"/>
  <c r="G132" i="5"/>
  <c r="C133" i="5"/>
  <c r="E133" i="5"/>
  <c r="F133" i="5"/>
  <c r="G133" i="5"/>
  <c r="C134" i="5"/>
  <c r="E134" i="5"/>
  <c r="F134" i="5"/>
  <c r="G134" i="5"/>
  <c r="C135" i="5"/>
  <c r="E135" i="5"/>
  <c r="F135" i="5"/>
  <c r="G135" i="5"/>
  <c r="C136" i="5"/>
  <c r="E136" i="5"/>
  <c r="F136" i="5"/>
  <c r="G136" i="5"/>
  <c r="C137" i="5"/>
  <c r="E137" i="5"/>
  <c r="F137" i="5"/>
  <c r="G137" i="5"/>
  <c r="H137" i="5"/>
  <c r="C138" i="5"/>
  <c r="E138" i="5"/>
  <c r="F138" i="5"/>
  <c r="G138" i="5"/>
  <c r="C139" i="5"/>
  <c r="H139" i="5" s="1"/>
  <c r="E139" i="5"/>
  <c r="F139" i="5"/>
  <c r="G139" i="5"/>
  <c r="C140" i="5"/>
  <c r="E140" i="5"/>
  <c r="F140" i="5"/>
  <c r="G140" i="5"/>
  <c r="C141" i="5"/>
  <c r="E141" i="5"/>
  <c r="F141" i="5"/>
  <c r="G141" i="5"/>
  <c r="H141" i="5"/>
  <c r="C142" i="5"/>
  <c r="E142" i="5"/>
  <c r="F142" i="5"/>
  <c r="G142" i="5"/>
  <c r="C143" i="5"/>
  <c r="E143" i="5"/>
  <c r="F143" i="5"/>
  <c r="G143" i="5"/>
  <c r="C144" i="5"/>
  <c r="E144" i="5"/>
  <c r="F144" i="5"/>
  <c r="G144" i="5"/>
  <c r="C145" i="5"/>
  <c r="E145" i="5"/>
  <c r="F145" i="5"/>
  <c r="G145" i="5"/>
  <c r="C146" i="5"/>
  <c r="E146" i="5"/>
  <c r="F146" i="5"/>
  <c r="G146" i="5"/>
  <c r="C147" i="5"/>
  <c r="E147" i="5"/>
  <c r="F147" i="5"/>
  <c r="G147" i="5"/>
  <c r="C148" i="5"/>
  <c r="E148" i="5"/>
  <c r="F148" i="5"/>
  <c r="G148" i="5"/>
  <c r="C149" i="5"/>
  <c r="E149" i="5"/>
  <c r="F149" i="5"/>
  <c r="G149" i="5"/>
  <c r="C150" i="5"/>
  <c r="E150" i="5"/>
  <c r="F150" i="5"/>
  <c r="G150" i="5"/>
  <c r="C151" i="5"/>
  <c r="E151" i="5"/>
  <c r="F151" i="5"/>
  <c r="G151" i="5"/>
  <c r="C152" i="5"/>
  <c r="E152" i="5"/>
  <c r="F152" i="5"/>
  <c r="G152" i="5"/>
  <c r="C153" i="5"/>
  <c r="E153" i="5"/>
  <c r="F153" i="5"/>
  <c r="G153" i="5"/>
  <c r="C154" i="5"/>
  <c r="E154" i="5"/>
  <c r="F154" i="5"/>
  <c r="G154" i="5"/>
  <c r="C155" i="5"/>
  <c r="E155" i="5"/>
  <c r="F155" i="5"/>
  <c r="G155" i="5"/>
  <c r="C156" i="5"/>
  <c r="E156" i="5"/>
  <c r="F156" i="5"/>
  <c r="G156" i="5"/>
  <c r="C157" i="5"/>
  <c r="E157" i="5"/>
  <c r="F157" i="5"/>
  <c r="G157" i="5"/>
  <c r="C158" i="5"/>
  <c r="E158" i="5"/>
  <c r="F158" i="5"/>
  <c r="G158" i="5"/>
  <c r="C159" i="5"/>
  <c r="E159" i="5"/>
  <c r="F159" i="5"/>
  <c r="G159" i="5"/>
  <c r="C160" i="5"/>
  <c r="E160" i="5"/>
  <c r="F160" i="5"/>
  <c r="G160" i="5"/>
  <c r="C161" i="5"/>
  <c r="E161" i="5"/>
  <c r="F161" i="5"/>
  <c r="G161" i="5"/>
  <c r="C162" i="5"/>
  <c r="E162" i="5"/>
  <c r="F162" i="5"/>
  <c r="G162" i="5"/>
  <c r="C163" i="5"/>
  <c r="E163" i="5"/>
  <c r="F163" i="5"/>
  <c r="G163" i="5"/>
  <c r="H163" i="5"/>
  <c r="C164" i="5"/>
  <c r="E164" i="5"/>
  <c r="F164" i="5"/>
  <c r="G164" i="5"/>
  <c r="C165" i="5"/>
  <c r="H165" i="5" s="1"/>
  <c r="E165" i="5"/>
  <c r="F165" i="5"/>
  <c r="G165" i="5"/>
  <c r="C166" i="5"/>
  <c r="E166" i="5"/>
  <c r="F166" i="5"/>
  <c r="G166" i="5"/>
  <c r="C167" i="5"/>
  <c r="E167" i="5"/>
  <c r="F167" i="5"/>
  <c r="G167" i="5"/>
  <c r="C168" i="5"/>
  <c r="E168" i="5"/>
  <c r="F168" i="5"/>
  <c r="G168" i="5"/>
  <c r="C169" i="5"/>
  <c r="E169" i="5"/>
  <c r="F169" i="5"/>
  <c r="G169" i="5"/>
  <c r="C170" i="5"/>
  <c r="E170" i="5"/>
  <c r="F170" i="5"/>
  <c r="G170" i="5"/>
  <c r="C171" i="5"/>
  <c r="E171" i="5"/>
  <c r="F171" i="5"/>
  <c r="G171" i="5"/>
  <c r="C172" i="5"/>
  <c r="E172" i="5"/>
  <c r="F172" i="5"/>
  <c r="G172" i="5"/>
  <c r="C173" i="5"/>
  <c r="E173" i="5"/>
  <c r="F173" i="5"/>
  <c r="G173" i="5"/>
  <c r="H173" i="5"/>
  <c r="C174" i="5"/>
  <c r="E174" i="5"/>
  <c r="F174" i="5"/>
  <c r="G174" i="5"/>
  <c r="H174" i="5"/>
  <c r="C175" i="5"/>
  <c r="E175" i="5"/>
  <c r="F175" i="5"/>
  <c r="G175" i="5"/>
  <c r="C176" i="5"/>
  <c r="H176" i="5" s="1"/>
  <c r="E176" i="5"/>
  <c r="F176" i="5"/>
  <c r="G176" i="5"/>
  <c r="C177" i="5"/>
  <c r="E177" i="5"/>
  <c r="F177" i="5"/>
  <c r="G177" i="5"/>
  <c r="C178" i="5"/>
  <c r="H178" i="5" s="1"/>
  <c r="E178" i="5"/>
  <c r="F178" i="5"/>
  <c r="G178" i="5"/>
  <c r="C179" i="5"/>
  <c r="E179" i="5"/>
  <c r="F179" i="5"/>
  <c r="G179" i="5"/>
  <c r="H179" i="5"/>
  <c r="C180" i="5"/>
  <c r="E180" i="5"/>
  <c r="F180" i="5"/>
  <c r="G180" i="5"/>
  <c r="H180" i="5"/>
  <c r="C181" i="5"/>
  <c r="H181" i="5" s="1"/>
  <c r="E181" i="5"/>
  <c r="F181" i="5"/>
  <c r="G181" i="5"/>
  <c r="C182" i="5"/>
  <c r="E182" i="5"/>
  <c r="F182" i="5"/>
  <c r="G182" i="5"/>
  <c r="C183" i="5"/>
  <c r="H183" i="5" s="1"/>
  <c r="E183" i="5"/>
  <c r="F183" i="5"/>
  <c r="G183" i="5"/>
  <c r="C184" i="5"/>
  <c r="E184" i="5"/>
  <c r="F184" i="5"/>
  <c r="G184" i="5"/>
  <c r="C185" i="5"/>
  <c r="E185" i="5"/>
  <c r="F185" i="5"/>
  <c r="G185" i="5"/>
  <c r="H185" i="5"/>
  <c r="C186" i="5"/>
  <c r="E186" i="5"/>
  <c r="F186" i="5"/>
  <c r="G186" i="5"/>
  <c r="H186" i="5"/>
  <c r="C187" i="5"/>
  <c r="E187" i="5"/>
  <c r="F187" i="5"/>
  <c r="G187" i="5"/>
  <c r="C188" i="5"/>
  <c r="H188" i="5" s="1"/>
  <c r="E188" i="5"/>
  <c r="F188" i="5"/>
  <c r="G188" i="5"/>
  <c r="C189" i="5"/>
  <c r="E189" i="5"/>
  <c r="F189" i="5"/>
  <c r="G189" i="5"/>
  <c r="C190" i="5"/>
  <c r="F190" i="5"/>
  <c r="G190" i="5"/>
  <c r="H190" i="5"/>
  <c r="C191" i="5"/>
  <c r="E191" i="5"/>
  <c r="F191" i="5"/>
  <c r="G191" i="5"/>
  <c r="H191" i="5"/>
  <c r="C192" i="5"/>
  <c r="E192" i="5"/>
  <c r="F192" i="5"/>
  <c r="G192" i="5"/>
  <c r="C193" i="5"/>
  <c r="H193" i="5" s="1"/>
  <c r="E193" i="5"/>
  <c r="F193" i="5"/>
  <c r="G193" i="5"/>
  <c r="C194" i="5"/>
  <c r="E194" i="5"/>
  <c r="F194" i="5"/>
  <c r="G194" i="5"/>
  <c r="C195" i="5"/>
  <c r="H195" i="5" s="1"/>
  <c r="E195" i="5"/>
  <c r="F195" i="5"/>
  <c r="G195" i="5"/>
  <c r="C196" i="5"/>
  <c r="E196" i="5"/>
  <c r="F196" i="5"/>
  <c r="G196" i="5"/>
  <c r="H196" i="5"/>
  <c r="C197" i="5"/>
  <c r="E197" i="5"/>
  <c r="F197" i="5"/>
  <c r="G197" i="5"/>
  <c r="H197" i="5"/>
  <c r="C198" i="5"/>
  <c r="H198" i="5" s="1"/>
  <c r="E198" i="5"/>
  <c r="F198" i="5"/>
  <c r="G198" i="5"/>
  <c r="C199" i="5"/>
  <c r="E199" i="5"/>
  <c r="F199" i="5"/>
  <c r="G199" i="5"/>
  <c r="C200" i="5"/>
  <c r="H200" i="5" s="1"/>
  <c r="E200" i="5"/>
  <c r="F200" i="5"/>
  <c r="G200" i="5"/>
  <c r="C201" i="5"/>
  <c r="E201" i="5"/>
  <c r="F201" i="5"/>
  <c r="G201" i="5"/>
  <c r="C202" i="5"/>
  <c r="E202" i="5"/>
  <c r="F202" i="5"/>
  <c r="G202" i="5"/>
  <c r="H202" i="5"/>
  <c r="C203" i="5"/>
  <c r="E203" i="5"/>
  <c r="F203" i="5"/>
  <c r="G203" i="5"/>
  <c r="H203" i="5"/>
  <c r="C204" i="5"/>
  <c r="E204" i="5"/>
  <c r="F204" i="5"/>
  <c r="G204" i="5"/>
  <c r="C205" i="5"/>
  <c r="H205" i="5" s="1"/>
  <c r="E205" i="5"/>
  <c r="F205" i="5"/>
  <c r="G205" i="5"/>
  <c r="C206" i="5"/>
  <c r="E206" i="5"/>
  <c r="F206" i="5"/>
  <c r="G206" i="5"/>
  <c r="C207" i="5"/>
  <c r="H207" i="5" s="1"/>
  <c r="E207" i="5"/>
  <c r="F207" i="5"/>
  <c r="G207" i="5"/>
  <c r="C208" i="5"/>
  <c r="E208" i="5"/>
  <c r="F208" i="5"/>
  <c r="G208" i="5"/>
  <c r="H208" i="5"/>
  <c r="C209" i="5"/>
  <c r="F209" i="5"/>
  <c r="G209" i="5"/>
  <c r="H209" i="5"/>
  <c r="C210" i="5"/>
  <c r="H210" i="5" s="1"/>
  <c r="E210" i="5"/>
  <c r="F210" i="5"/>
  <c r="G210" i="5"/>
  <c r="C211" i="5"/>
  <c r="E211" i="5"/>
  <c r="F211" i="5"/>
  <c r="G211" i="5"/>
  <c r="C212" i="5"/>
  <c r="H212" i="5" s="1"/>
  <c r="E212" i="5"/>
  <c r="F212" i="5"/>
  <c r="G212" i="5"/>
  <c r="C213" i="5"/>
  <c r="E213" i="5"/>
  <c r="F213" i="5"/>
  <c r="G213" i="5"/>
  <c r="H213" i="5"/>
  <c r="C214" i="5"/>
  <c r="E214" i="5"/>
  <c r="F214" i="5"/>
  <c r="G214" i="5"/>
  <c r="H214" i="5"/>
  <c r="C215" i="5"/>
  <c r="H215" i="5" s="1"/>
  <c r="E215" i="5"/>
  <c r="F215" i="5"/>
  <c r="G215" i="5"/>
  <c r="C216" i="5"/>
  <c r="E216" i="5"/>
  <c r="F216" i="5"/>
  <c r="G216" i="5"/>
  <c r="C217" i="5"/>
  <c r="H217" i="5" s="1"/>
  <c r="E217" i="5"/>
  <c r="F217" i="5"/>
  <c r="G217" i="5"/>
  <c r="C218" i="5"/>
  <c r="E218" i="5"/>
  <c r="F218" i="5"/>
  <c r="G218" i="5"/>
  <c r="C219" i="5"/>
  <c r="E219" i="5"/>
  <c r="F219" i="5"/>
  <c r="G219" i="5"/>
  <c r="H219" i="5"/>
  <c r="C220" i="5"/>
  <c r="E220" i="5"/>
  <c r="F220" i="5"/>
  <c r="G220" i="5"/>
  <c r="H220" i="5"/>
  <c r="C221" i="5"/>
  <c r="E221" i="5"/>
  <c r="F221" i="5"/>
  <c r="G221" i="5"/>
  <c r="C222" i="5"/>
  <c r="H222" i="5" s="1"/>
  <c r="E222" i="5"/>
  <c r="F222" i="5"/>
  <c r="G222" i="5"/>
  <c r="C223" i="5"/>
  <c r="E223" i="5"/>
  <c r="F223" i="5"/>
  <c r="G223" i="5"/>
  <c r="C224" i="5"/>
  <c r="H224" i="5" s="1"/>
  <c r="E224" i="5"/>
  <c r="F224" i="5"/>
  <c r="G224" i="5"/>
  <c r="C225" i="5"/>
  <c r="E225" i="5"/>
  <c r="F225" i="5"/>
  <c r="G225" i="5"/>
  <c r="H225" i="5"/>
  <c r="C226" i="5"/>
  <c r="E226" i="5"/>
  <c r="F226" i="5"/>
  <c r="G226" i="5"/>
  <c r="H226" i="5"/>
  <c r="C227" i="5"/>
  <c r="H227" i="5" s="1"/>
  <c r="E227" i="5"/>
  <c r="F227" i="5"/>
  <c r="G227" i="5"/>
  <c r="C228" i="5"/>
  <c r="E228" i="5"/>
  <c r="F228" i="5"/>
  <c r="G228" i="5"/>
  <c r="C229" i="5"/>
  <c r="H229" i="5" s="1"/>
  <c r="E229" i="5"/>
  <c r="F229" i="5"/>
  <c r="G229" i="5"/>
  <c r="C230" i="5"/>
  <c r="E230" i="5"/>
  <c r="F230" i="5"/>
  <c r="G230" i="5"/>
  <c r="C231" i="5"/>
  <c r="E231" i="5"/>
  <c r="F231" i="5"/>
  <c r="G231" i="5"/>
  <c r="H231" i="5"/>
  <c r="C232" i="5"/>
  <c r="E232" i="5"/>
  <c r="F232" i="5"/>
  <c r="G232" i="5"/>
  <c r="H232" i="5"/>
  <c r="C233" i="5"/>
  <c r="E233" i="5"/>
  <c r="F233" i="5"/>
  <c r="G233" i="5"/>
  <c r="C234" i="5"/>
  <c r="H234" i="5" s="1"/>
  <c r="E234" i="5"/>
  <c r="F234" i="5"/>
  <c r="G234" i="5"/>
  <c r="C235" i="5"/>
  <c r="E235" i="5"/>
  <c r="F235" i="5"/>
  <c r="G235" i="5"/>
  <c r="C236" i="5"/>
  <c r="H236" i="5" s="1"/>
  <c r="E236" i="5"/>
  <c r="F236" i="5"/>
  <c r="G236" i="5"/>
  <c r="C237" i="5"/>
  <c r="F237" i="5"/>
  <c r="G237" i="5"/>
  <c r="H237" i="5"/>
  <c r="C238" i="5"/>
  <c r="E238" i="5"/>
  <c r="F238" i="5"/>
  <c r="G238" i="5"/>
  <c r="C239" i="5"/>
  <c r="H239" i="5" s="1"/>
  <c r="E239" i="5"/>
  <c r="F239" i="5"/>
  <c r="G239" i="5"/>
  <c r="C240" i="5"/>
  <c r="E240" i="5"/>
  <c r="F240" i="5"/>
  <c r="G240" i="5"/>
  <c r="C241" i="5"/>
  <c r="H241" i="5" s="1"/>
  <c r="E241" i="5"/>
  <c r="F241" i="5"/>
  <c r="G241" i="5"/>
  <c r="C242" i="5"/>
  <c r="E242" i="5"/>
  <c r="F242" i="5"/>
  <c r="G242" i="5"/>
  <c r="H242" i="5"/>
  <c r="C243" i="5"/>
  <c r="E243" i="5"/>
  <c r="F243" i="5"/>
  <c r="G243" i="5"/>
  <c r="H243" i="5"/>
  <c r="C244" i="5"/>
  <c r="H244" i="5" s="1"/>
  <c r="G244" i="5"/>
  <c r="C245" i="5"/>
  <c r="E245" i="5"/>
  <c r="F245" i="5"/>
  <c r="G245" i="5"/>
  <c r="C246" i="5"/>
  <c r="E246" i="5"/>
  <c r="F246" i="5"/>
  <c r="G246" i="5"/>
  <c r="H246" i="5"/>
  <c r="C247" i="5"/>
  <c r="E247" i="5"/>
  <c r="F247" i="5"/>
  <c r="G247" i="5"/>
  <c r="H247" i="5"/>
  <c r="C248" i="5"/>
  <c r="E248" i="5"/>
  <c r="F248" i="5"/>
  <c r="G248" i="5"/>
  <c r="C249" i="5"/>
  <c r="H249" i="5" s="1"/>
  <c r="E249" i="5"/>
  <c r="F249" i="5"/>
  <c r="G249" i="5"/>
  <c r="C250" i="5"/>
  <c r="E250" i="5"/>
  <c r="F250" i="5"/>
  <c r="G250" i="5"/>
  <c r="C251" i="5"/>
  <c r="H251" i="5" s="1"/>
  <c r="E251" i="5"/>
  <c r="F251" i="5"/>
  <c r="G251" i="5"/>
  <c r="C252" i="5"/>
  <c r="E252" i="5"/>
  <c r="F252" i="5"/>
  <c r="G252" i="5"/>
  <c r="H252" i="5"/>
  <c r="C253" i="5"/>
  <c r="E253" i="5"/>
  <c r="F253" i="5"/>
  <c r="G253" i="5"/>
  <c r="H253" i="5"/>
  <c r="C254" i="5"/>
  <c r="H254" i="5" s="1"/>
  <c r="E254" i="5"/>
  <c r="F254" i="5"/>
  <c r="G254" i="5"/>
  <c r="C255" i="5"/>
  <c r="E255" i="5"/>
  <c r="F255" i="5"/>
  <c r="G255" i="5"/>
  <c r="C256" i="5"/>
  <c r="H256" i="5" s="1"/>
  <c r="E256" i="5"/>
  <c r="F256" i="5"/>
  <c r="G256" i="5"/>
  <c r="C257" i="5"/>
  <c r="E257" i="5"/>
  <c r="F257" i="5"/>
  <c r="G257" i="5"/>
  <c r="C258" i="5"/>
  <c r="E258" i="5"/>
  <c r="F258" i="5"/>
  <c r="G258" i="5"/>
  <c r="H258" i="5"/>
  <c r="C259" i="5"/>
  <c r="E259" i="5"/>
  <c r="F259" i="5"/>
  <c r="G259" i="5"/>
  <c r="H259" i="5"/>
  <c r="C260" i="5"/>
  <c r="E260" i="5"/>
  <c r="F260" i="5"/>
  <c r="G260" i="5"/>
  <c r="C261" i="5"/>
  <c r="H261" i="5" s="1"/>
  <c r="E261" i="5"/>
  <c r="F261" i="5"/>
  <c r="G261" i="5"/>
  <c r="C262" i="5"/>
  <c r="E262" i="5"/>
  <c r="F262" i="5"/>
  <c r="G262" i="5"/>
  <c r="C263" i="5"/>
  <c r="H263" i="5" s="1"/>
  <c r="E263" i="5"/>
  <c r="F263" i="5"/>
  <c r="G263" i="5"/>
  <c r="C264" i="5"/>
  <c r="E264" i="5"/>
  <c r="F264" i="5"/>
  <c r="G264" i="5"/>
  <c r="H264" i="5"/>
  <c r="C265" i="5"/>
  <c r="E265" i="5"/>
  <c r="F265" i="5"/>
  <c r="G265" i="5"/>
  <c r="H265" i="5"/>
  <c r="C266" i="5"/>
  <c r="H266" i="5" s="1"/>
  <c r="E266" i="5"/>
  <c r="F266" i="5"/>
  <c r="G266" i="5"/>
  <c r="C267" i="5"/>
  <c r="E267" i="5"/>
  <c r="F267" i="5"/>
  <c r="G267" i="5"/>
  <c r="C268" i="5"/>
  <c r="H268" i="5" s="1"/>
  <c r="E268" i="5"/>
  <c r="F268" i="5"/>
  <c r="G268" i="5"/>
  <c r="C269" i="5"/>
  <c r="E269" i="5"/>
  <c r="F269" i="5"/>
  <c r="G269" i="5"/>
  <c r="C270" i="5"/>
  <c r="E270" i="5"/>
  <c r="F270" i="5"/>
  <c r="G270" i="5"/>
  <c r="H270" i="5"/>
  <c r="C271" i="5"/>
  <c r="E271" i="5"/>
  <c r="F271" i="5"/>
  <c r="G271" i="5"/>
  <c r="H271" i="5"/>
  <c r="C272" i="5"/>
  <c r="E272" i="5"/>
  <c r="F272" i="5"/>
  <c r="G272" i="5"/>
  <c r="C273" i="5"/>
  <c r="H273" i="5" s="1"/>
  <c r="E273" i="5"/>
  <c r="F273" i="5"/>
  <c r="G273" i="5"/>
  <c r="C274" i="5"/>
  <c r="E274" i="5"/>
  <c r="F274" i="5"/>
  <c r="G274" i="5"/>
  <c r="C275" i="5"/>
  <c r="H275" i="5" s="1"/>
  <c r="E275" i="5"/>
  <c r="F275" i="5"/>
  <c r="G275" i="5"/>
  <c r="C276" i="5"/>
  <c r="E276" i="5"/>
  <c r="F276" i="5"/>
  <c r="G276" i="5"/>
  <c r="H276" i="5"/>
  <c r="C277" i="5"/>
  <c r="E277" i="5"/>
  <c r="F277" i="5"/>
  <c r="G277" i="5"/>
  <c r="H277" i="5"/>
  <c r="C278" i="5"/>
  <c r="H278" i="5" s="1"/>
  <c r="E278" i="5"/>
  <c r="F278" i="5"/>
  <c r="G278" i="5"/>
  <c r="C279" i="5"/>
  <c r="E279" i="5"/>
  <c r="F279" i="5"/>
  <c r="G279" i="5"/>
  <c r="C280" i="5"/>
  <c r="H280" i="5" s="1"/>
  <c r="E280" i="5"/>
  <c r="F280" i="5"/>
  <c r="G280" i="5"/>
  <c r="C281" i="5"/>
  <c r="E281" i="5"/>
  <c r="F281" i="5"/>
  <c r="G281" i="5"/>
  <c r="C282" i="5"/>
  <c r="E282" i="5"/>
  <c r="F282" i="5"/>
  <c r="G282" i="5"/>
  <c r="H282" i="5"/>
  <c r="C283" i="5"/>
  <c r="E283" i="5"/>
  <c r="F283" i="5"/>
  <c r="G283" i="5"/>
  <c r="C284" i="5"/>
  <c r="E284" i="5"/>
  <c r="F284" i="5"/>
  <c r="G284" i="5"/>
  <c r="C285" i="5"/>
  <c r="H285" i="5" s="1"/>
  <c r="E285" i="5"/>
  <c r="F285" i="5"/>
  <c r="G285" i="5"/>
  <c r="C286" i="5"/>
  <c r="E286" i="5"/>
  <c r="F286" i="5"/>
  <c r="G286" i="5"/>
  <c r="C287" i="5"/>
  <c r="E287" i="5"/>
  <c r="F287" i="5"/>
  <c r="G287" i="5"/>
  <c r="H287" i="5"/>
  <c r="C288" i="5"/>
  <c r="E288" i="5"/>
  <c r="F288" i="5"/>
  <c r="G288" i="5"/>
  <c r="H288" i="5"/>
  <c r="C289" i="5"/>
  <c r="E289" i="5"/>
  <c r="F289" i="5"/>
  <c r="G289" i="5"/>
  <c r="C290" i="5"/>
  <c r="H290" i="5" s="1"/>
  <c r="E290" i="5"/>
  <c r="F290" i="5"/>
  <c r="G290" i="5"/>
  <c r="C291" i="5"/>
  <c r="E291" i="5"/>
  <c r="F291" i="5"/>
  <c r="G291" i="5"/>
  <c r="C292" i="5"/>
  <c r="E292" i="5"/>
  <c r="F292" i="5"/>
  <c r="G292" i="5"/>
  <c r="H292" i="5"/>
  <c r="C293" i="5"/>
  <c r="E293" i="5"/>
  <c r="F293" i="5"/>
  <c r="G293" i="5"/>
  <c r="C294" i="5"/>
  <c r="E294" i="5"/>
  <c r="F294" i="5"/>
  <c r="G294" i="5"/>
  <c r="C295" i="5"/>
  <c r="E295" i="5"/>
  <c r="F295" i="5"/>
  <c r="G295" i="5"/>
  <c r="C296" i="5"/>
  <c r="E296" i="5"/>
  <c r="F296" i="5"/>
  <c r="G296" i="5"/>
  <c r="H296" i="5"/>
  <c r="C297" i="5"/>
  <c r="E297" i="5"/>
  <c r="F297" i="5"/>
  <c r="G297" i="5"/>
  <c r="C298" i="5"/>
  <c r="H298" i="5" s="1"/>
  <c r="E298" i="5"/>
  <c r="F298" i="5"/>
  <c r="G298" i="5"/>
  <c r="C299" i="5"/>
  <c r="E299" i="5"/>
  <c r="F299" i="5"/>
  <c r="G299" i="5"/>
  <c r="C300" i="5"/>
  <c r="E300" i="5"/>
  <c r="F300" i="5"/>
  <c r="G300" i="5"/>
  <c r="H300" i="5"/>
  <c r="C301" i="5"/>
  <c r="E301" i="5"/>
  <c r="F301" i="5"/>
  <c r="G301" i="5"/>
  <c r="C302" i="5"/>
  <c r="E302" i="5"/>
  <c r="F302" i="5"/>
  <c r="G302" i="5"/>
  <c r="C303" i="5"/>
  <c r="E303" i="5"/>
  <c r="F303" i="5"/>
  <c r="G303" i="5"/>
  <c r="C304" i="5"/>
  <c r="E304" i="5"/>
  <c r="F304" i="5"/>
  <c r="G304" i="5"/>
  <c r="H304" i="5"/>
  <c r="C305" i="5"/>
  <c r="E305" i="5"/>
  <c r="F305" i="5"/>
  <c r="G305" i="5"/>
  <c r="C306" i="5"/>
  <c r="H306" i="5" s="1"/>
  <c r="E306" i="5"/>
  <c r="F306" i="5"/>
  <c r="G306" i="5"/>
  <c r="C307" i="5"/>
  <c r="E307" i="5"/>
  <c r="F307" i="5"/>
  <c r="G307" i="5"/>
  <c r="C308" i="5"/>
  <c r="E308" i="5"/>
  <c r="F308" i="5"/>
  <c r="G308" i="5"/>
  <c r="H308" i="5"/>
  <c r="C309" i="5"/>
  <c r="E309" i="5"/>
  <c r="F309" i="5"/>
  <c r="G309" i="5"/>
  <c r="C310" i="5"/>
  <c r="E310" i="5"/>
  <c r="F310" i="5"/>
  <c r="G310" i="5"/>
  <c r="C311" i="5"/>
  <c r="E311" i="5"/>
  <c r="F311" i="5"/>
  <c r="G311" i="5"/>
  <c r="C312" i="5"/>
  <c r="E312" i="5"/>
  <c r="F312" i="5"/>
  <c r="G312" i="5"/>
  <c r="H312" i="5"/>
  <c r="C313" i="5"/>
  <c r="E313" i="5"/>
  <c r="F313" i="5"/>
  <c r="G313" i="5"/>
  <c r="C314" i="5"/>
  <c r="H314" i="5" s="1"/>
  <c r="E314" i="5"/>
  <c r="F314" i="5"/>
  <c r="G314" i="5"/>
  <c r="C315" i="5"/>
  <c r="E315" i="5"/>
  <c r="F315" i="5"/>
  <c r="G315" i="5"/>
  <c r="C316" i="5"/>
  <c r="E316" i="5"/>
  <c r="F316" i="5"/>
  <c r="G316" i="5"/>
  <c r="H316" i="5"/>
  <c r="C317" i="5"/>
  <c r="E317" i="5"/>
  <c r="F317" i="5"/>
  <c r="G317" i="5"/>
  <c r="C318" i="5"/>
  <c r="E318" i="5"/>
  <c r="F318" i="5"/>
  <c r="G318" i="5"/>
  <c r="C319" i="5"/>
  <c r="E319" i="5"/>
  <c r="F319" i="5"/>
  <c r="G319" i="5"/>
  <c r="C320" i="5"/>
  <c r="E320" i="5"/>
  <c r="F320" i="5"/>
  <c r="G320" i="5"/>
  <c r="H320" i="5"/>
  <c r="C321" i="5"/>
  <c r="E321" i="5"/>
  <c r="F321" i="5"/>
  <c r="G321" i="5"/>
  <c r="C322" i="5"/>
  <c r="H322" i="5" s="1"/>
  <c r="E322" i="5"/>
  <c r="F322" i="5"/>
  <c r="G322" i="5"/>
  <c r="C323" i="5"/>
  <c r="E323" i="5"/>
  <c r="F323" i="5"/>
  <c r="G323" i="5"/>
  <c r="C324" i="5"/>
  <c r="E324" i="5"/>
  <c r="F324" i="5"/>
  <c r="G324" i="5"/>
  <c r="H324" i="5"/>
  <c r="C325" i="5"/>
  <c r="E325" i="5"/>
  <c r="F325" i="5"/>
  <c r="G325" i="5"/>
  <c r="C326" i="5"/>
  <c r="E326" i="5"/>
  <c r="F326" i="5"/>
  <c r="G326" i="5"/>
  <c r="C327" i="5"/>
  <c r="E327" i="5"/>
  <c r="F327" i="5"/>
  <c r="G327" i="5"/>
  <c r="C328" i="5"/>
  <c r="E328" i="5"/>
  <c r="F328" i="5"/>
  <c r="G328" i="5"/>
  <c r="H328" i="5"/>
  <c r="C329" i="5"/>
  <c r="E329" i="5"/>
  <c r="F329" i="5"/>
  <c r="G329" i="5"/>
  <c r="H2" i="5"/>
  <c r="J2" i="5" s="1"/>
  <c r="G2" i="5"/>
  <c r="F2" i="5"/>
  <c r="E2" i="5"/>
  <c r="C2" i="5"/>
  <c r="A3" i="5"/>
  <c r="J3" i="5" s="1"/>
  <c r="A4" i="3"/>
  <c r="A5" i="3" s="1"/>
  <c r="A6" i="3" s="1"/>
  <c r="A7" i="3" s="1"/>
  <c r="A8" i="3" s="1"/>
  <c r="C3" i="3"/>
  <c r="D3" i="3"/>
  <c r="F3" i="3"/>
  <c r="I3" i="3"/>
  <c r="C4" i="3"/>
  <c r="D4" i="3"/>
  <c r="F4" i="3"/>
  <c r="I4" i="3"/>
  <c r="C5" i="3"/>
  <c r="D5" i="3"/>
  <c r="F5" i="3"/>
  <c r="I5" i="3"/>
  <c r="C6" i="3"/>
  <c r="D6" i="3"/>
  <c r="F6" i="3"/>
  <c r="I6" i="3"/>
  <c r="C7" i="3"/>
  <c r="D7" i="3"/>
  <c r="F7" i="3"/>
  <c r="I7" i="3"/>
  <c r="C8" i="3"/>
  <c r="D8" i="3"/>
  <c r="F8" i="3"/>
  <c r="I8" i="3"/>
  <c r="C9" i="3"/>
  <c r="D9" i="3"/>
  <c r="F9" i="3"/>
  <c r="I9" i="3"/>
  <c r="C10" i="3"/>
  <c r="D10" i="3"/>
  <c r="F10" i="3"/>
  <c r="I10" i="3"/>
  <c r="C11" i="3"/>
  <c r="D11" i="3"/>
  <c r="F11" i="3"/>
  <c r="I11" i="3"/>
  <c r="C12" i="3"/>
  <c r="D12" i="3"/>
  <c r="F12" i="3"/>
  <c r="I12" i="3"/>
  <c r="C13" i="3"/>
  <c r="D13" i="3"/>
  <c r="F13" i="3"/>
  <c r="I13" i="3"/>
  <c r="C14" i="3"/>
  <c r="D14" i="3"/>
  <c r="F14" i="3"/>
  <c r="I14" i="3"/>
  <c r="C15" i="3"/>
  <c r="D15" i="3"/>
  <c r="F15" i="3"/>
  <c r="I15" i="3"/>
  <c r="C16" i="3"/>
  <c r="D16" i="3"/>
  <c r="F16" i="3"/>
  <c r="I16" i="3"/>
  <c r="C17" i="3"/>
  <c r="D17" i="3"/>
  <c r="F17" i="3"/>
  <c r="I17" i="3"/>
  <c r="C18" i="3"/>
  <c r="D18" i="3"/>
  <c r="F18" i="3"/>
  <c r="I18" i="3"/>
  <c r="C19" i="3"/>
  <c r="D19" i="3"/>
  <c r="F19" i="3"/>
  <c r="I19" i="3"/>
  <c r="C20" i="3"/>
  <c r="D20" i="3"/>
  <c r="F20" i="3"/>
  <c r="I20" i="3"/>
  <c r="C21" i="3"/>
  <c r="D21" i="3"/>
  <c r="F21" i="3"/>
  <c r="I21" i="3"/>
  <c r="C22" i="3"/>
  <c r="D22" i="3"/>
  <c r="F22" i="3"/>
  <c r="I22" i="3"/>
  <c r="C23" i="3"/>
  <c r="D23" i="3"/>
  <c r="F23" i="3"/>
  <c r="I23" i="3"/>
  <c r="C24" i="3"/>
  <c r="D24" i="3"/>
  <c r="F24" i="3"/>
  <c r="I24" i="3"/>
  <c r="C25" i="3"/>
  <c r="D25" i="3"/>
  <c r="F25" i="3"/>
  <c r="I25" i="3"/>
  <c r="C26" i="3"/>
  <c r="D26" i="3"/>
  <c r="F26" i="3"/>
  <c r="I26" i="3"/>
  <c r="C27" i="3"/>
  <c r="D27" i="3"/>
  <c r="F27" i="3"/>
  <c r="I27" i="3"/>
  <c r="C28" i="3"/>
  <c r="D28" i="3"/>
  <c r="F28" i="3"/>
  <c r="I28" i="3"/>
  <c r="C29" i="3"/>
  <c r="D29" i="3"/>
  <c r="F29" i="3"/>
  <c r="I29" i="3"/>
  <c r="C30" i="3"/>
  <c r="D30" i="3"/>
  <c r="F30" i="3"/>
  <c r="I30" i="3"/>
  <c r="C31" i="3"/>
  <c r="D31" i="3"/>
  <c r="F31" i="3"/>
  <c r="I31" i="3"/>
  <c r="C32" i="3"/>
  <c r="D32" i="3"/>
  <c r="F32" i="3"/>
  <c r="I32" i="3"/>
  <c r="C33" i="3"/>
  <c r="D33" i="3"/>
  <c r="F33" i="3"/>
  <c r="I33" i="3"/>
  <c r="C34" i="3"/>
  <c r="D34" i="3"/>
  <c r="F34" i="3"/>
  <c r="I34" i="3"/>
  <c r="C35" i="3"/>
  <c r="D35" i="3"/>
  <c r="F35" i="3"/>
  <c r="I35" i="3"/>
  <c r="C36" i="3"/>
  <c r="D36" i="3"/>
  <c r="F36" i="3"/>
  <c r="I36" i="3"/>
  <c r="C37" i="3"/>
  <c r="D37" i="3"/>
  <c r="F37" i="3"/>
  <c r="I37" i="3"/>
  <c r="C38" i="3"/>
  <c r="D38" i="3"/>
  <c r="F38" i="3"/>
  <c r="I38" i="3"/>
  <c r="C39" i="3"/>
  <c r="D39" i="3"/>
  <c r="F39" i="3"/>
  <c r="I39" i="3"/>
  <c r="C40" i="3"/>
  <c r="D40" i="3"/>
  <c r="F40" i="3"/>
  <c r="I40" i="3"/>
  <c r="C41" i="3"/>
  <c r="D41" i="3"/>
  <c r="F41" i="3"/>
  <c r="I41" i="3"/>
  <c r="C42" i="3"/>
  <c r="D42" i="3"/>
  <c r="F42" i="3"/>
  <c r="I42" i="3"/>
  <c r="C43" i="3"/>
  <c r="D43" i="3"/>
  <c r="F43" i="3"/>
  <c r="I43" i="3"/>
  <c r="C44" i="3"/>
  <c r="D44" i="3"/>
  <c r="F44" i="3"/>
  <c r="I44" i="3"/>
  <c r="C45" i="3"/>
  <c r="D45" i="3"/>
  <c r="F45" i="3"/>
  <c r="I45" i="3"/>
  <c r="C46" i="3"/>
  <c r="D46" i="3"/>
  <c r="F46" i="3"/>
  <c r="I46" i="3"/>
  <c r="C47" i="3"/>
  <c r="D47" i="3"/>
  <c r="F47" i="3"/>
  <c r="I47" i="3"/>
  <c r="C48" i="3"/>
  <c r="D48" i="3"/>
  <c r="F48" i="3"/>
  <c r="I48" i="3"/>
  <c r="C49" i="3"/>
  <c r="D49" i="3"/>
  <c r="F49" i="3"/>
  <c r="I49" i="3"/>
  <c r="C50" i="3"/>
  <c r="D50" i="3"/>
  <c r="F50" i="3"/>
  <c r="I50" i="3"/>
  <c r="C51" i="3"/>
  <c r="D51" i="3"/>
  <c r="F51" i="3"/>
  <c r="I51" i="3"/>
  <c r="C52" i="3"/>
  <c r="D52" i="3"/>
  <c r="F52" i="3"/>
  <c r="I52" i="3"/>
  <c r="C53" i="3"/>
  <c r="D53" i="3"/>
  <c r="F53" i="3"/>
  <c r="I53" i="3"/>
  <c r="C54" i="3"/>
  <c r="D54" i="3"/>
  <c r="F54" i="3"/>
  <c r="I54" i="3"/>
  <c r="C55" i="3"/>
  <c r="D55" i="3"/>
  <c r="F55" i="3"/>
  <c r="I55" i="3"/>
  <c r="C56" i="3"/>
  <c r="D56" i="3"/>
  <c r="F56" i="3"/>
  <c r="I56" i="3"/>
  <c r="C57" i="3"/>
  <c r="D57" i="3"/>
  <c r="F57" i="3"/>
  <c r="I57" i="3"/>
  <c r="C58" i="3"/>
  <c r="D58" i="3"/>
  <c r="F58" i="3"/>
  <c r="I58" i="3"/>
  <c r="C59" i="3"/>
  <c r="D59" i="3"/>
  <c r="F59" i="3"/>
  <c r="I59" i="3"/>
  <c r="C60" i="3"/>
  <c r="D60" i="3"/>
  <c r="F60" i="3"/>
  <c r="I60" i="3"/>
  <c r="C61" i="3"/>
  <c r="D61" i="3"/>
  <c r="F61" i="3"/>
  <c r="I61" i="3"/>
  <c r="C62" i="3"/>
  <c r="D62" i="3"/>
  <c r="F62" i="3"/>
  <c r="I62" i="3"/>
  <c r="C63" i="3"/>
  <c r="D63" i="3"/>
  <c r="F63" i="3"/>
  <c r="I63" i="3"/>
  <c r="C64" i="3"/>
  <c r="D64" i="3"/>
  <c r="F64" i="3"/>
  <c r="I64" i="3"/>
  <c r="C65" i="3"/>
  <c r="D65" i="3"/>
  <c r="F65" i="3"/>
  <c r="I65" i="3"/>
  <c r="C66" i="3"/>
  <c r="D66" i="3"/>
  <c r="F66" i="3"/>
  <c r="I66" i="3"/>
  <c r="C67" i="3"/>
  <c r="D67" i="3"/>
  <c r="F67" i="3"/>
  <c r="I67" i="3"/>
  <c r="C68" i="3"/>
  <c r="D68" i="3"/>
  <c r="F68" i="3"/>
  <c r="I68" i="3"/>
  <c r="C69" i="3"/>
  <c r="D69" i="3"/>
  <c r="F69" i="3"/>
  <c r="I69" i="3"/>
  <c r="C70" i="3"/>
  <c r="D70" i="3"/>
  <c r="F70" i="3"/>
  <c r="I70" i="3"/>
  <c r="C71" i="3"/>
  <c r="D71" i="3"/>
  <c r="F71" i="3"/>
  <c r="I71" i="3"/>
  <c r="C72" i="3"/>
  <c r="D72" i="3"/>
  <c r="F72" i="3"/>
  <c r="I72" i="3"/>
  <c r="C73" i="3"/>
  <c r="D73" i="3"/>
  <c r="F73" i="3"/>
  <c r="I73" i="3"/>
  <c r="C74" i="3"/>
  <c r="D74" i="3"/>
  <c r="F74" i="3"/>
  <c r="I74" i="3"/>
  <c r="C75" i="3"/>
  <c r="D75" i="3"/>
  <c r="F75" i="3"/>
  <c r="I75" i="3"/>
  <c r="C76" i="3"/>
  <c r="D76" i="3"/>
  <c r="F76" i="3"/>
  <c r="I76" i="3"/>
  <c r="C77" i="3"/>
  <c r="D77" i="3"/>
  <c r="F77" i="3"/>
  <c r="I77" i="3"/>
  <c r="C78" i="3"/>
  <c r="D78" i="3"/>
  <c r="F78" i="3"/>
  <c r="I78" i="3"/>
  <c r="C79" i="3"/>
  <c r="D79" i="3"/>
  <c r="F79" i="3"/>
  <c r="I79" i="3"/>
  <c r="C80" i="3"/>
  <c r="D80" i="3"/>
  <c r="F80" i="3"/>
  <c r="I80" i="3"/>
  <c r="C81" i="3"/>
  <c r="D81" i="3"/>
  <c r="F81" i="3"/>
  <c r="I81" i="3"/>
  <c r="C82" i="3"/>
  <c r="D82" i="3"/>
  <c r="F82" i="3"/>
  <c r="I82" i="3"/>
  <c r="C83" i="3"/>
  <c r="D83" i="3"/>
  <c r="F83" i="3"/>
  <c r="I83" i="3"/>
  <c r="C84" i="3"/>
  <c r="D84" i="3"/>
  <c r="F84" i="3"/>
  <c r="I84" i="3"/>
  <c r="C85" i="3"/>
  <c r="D85" i="3"/>
  <c r="F85" i="3"/>
  <c r="I85" i="3"/>
  <c r="C86" i="3"/>
  <c r="D86" i="3"/>
  <c r="F86" i="3"/>
  <c r="I86" i="3"/>
  <c r="C87" i="3"/>
  <c r="D87" i="3"/>
  <c r="F87" i="3"/>
  <c r="I87" i="3"/>
  <c r="C88" i="3"/>
  <c r="D88" i="3"/>
  <c r="F88" i="3"/>
  <c r="I88" i="3"/>
  <c r="C89" i="3"/>
  <c r="D89" i="3"/>
  <c r="F89" i="3"/>
  <c r="I89" i="3"/>
  <c r="C90" i="3"/>
  <c r="D90" i="3"/>
  <c r="F90" i="3"/>
  <c r="I90" i="3"/>
  <c r="C91" i="3"/>
  <c r="D91" i="3"/>
  <c r="F91" i="3"/>
  <c r="I91" i="3"/>
  <c r="C92" i="3"/>
  <c r="D92" i="3"/>
  <c r="F92" i="3"/>
  <c r="I92" i="3"/>
  <c r="C93" i="3"/>
  <c r="D93" i="3"/>
  <c r="F93" i="3"/>
  <c r="I93" i="3"/>
  <c r="C94" i="3"/>
  <c r="D94" i="3"/>
  <c r="F94" i="3"/>
  <c r="I94" i="3"/>
  <c r="C95" i="3"/>
  <c r="D95" i="3"/>
  <c r="F95" i="3"/>
  <c r="I95" i="3"/>
  <c r="C96" i="3"/>
  <c r="D96" i="3"/>
  <c r="F96" i="3"/>
  <c r="I96" i="3"/>
  <c r="C97" i="3"/>
  <c r="D97" i="3"/>
  <c r="F97" i="3"/>
  <c r="I97" i="3"/>
  <c r="C98" i="3"/>
  <c r="D98" i="3"/>
  <c r="F98" i="3"/>
  <c r="I98" i="3"/>
  <c r="C99" i="3"/>
  <c r="D99" i="3"/>
  <c r="F99" i="3"/>
  <c r="I99" i="3"/>
  <c r="C100" i="3"/>
  <c r="D100" i="3"/>
  <c r="F100" i="3"/>
  <c r="I100" i="3"/>
  <c r="C101" i="3"/>
  <c r="D101" i="3"/>
  <c r="F101" i="3"/>
  <c r="I101" i="3"/>
  <c r="C102" i="3"/>
  <c r="D102" i="3"/>
  <c r="F102" i="3"/>
  <c r="I102" i="3"/>
  <c r="C103" i="3"/>
  <c r="D103" i="3"/>
  <c r="F103" i="3"/>
  <c r="I103" i="3"/>
  <c r="C104" i="3"/>
  <c r="D104" i="3"/>
  <c r="F104" i="3"/>
  <c r="I104" i="3"/>
  <c r="C105" i="3"/>
  <c r="D105" i="3"/>
  <c r="F105" i="3"/>
  <c r="I105" i="3"/>
  <c r="C106" i="3"/>
  <c r="D106" i="3"/>
  <c r="F106" i="3"/>
  <c r="I106" i="3"/>
  <c r="C107" i="3"/>
  <c r="D107" i="3"/>
  <c r="F107" i="3"/>
  <c r="I107" i="3"/>
  <c r="C108" i="3"/>
  <c r="D108" i="3"/>
  <c r="F108" i="3"/>
  <c r="I108" i="3"/>
  <c r="C109" i="3"/>
  <c r="D109" i="3"/>
  <c r="F109" i="3"/>
  <c r="I109" i="3"/>
  <c r="C110" i="3"/>
  <c r="D110" i="3"/>
  <c r="F110" i="3"/>
  <c r="I110" i="3"/>
  <c r="C111" i="3"/>
  <c r="D111" i="3"/>
  <c r="F111" i="3"/>
  <c r="I111" i="3"/>
  <c r="C112" i="3"/>
  <c r="D112" i="3"/>
  <c r="F112" i="3"/>
  <c r="I112" i="3"/>
  <c r="C113" i="3"/>
  <c r="D113" i="3"/>
  <c r="F113" i="3"/>
  <c r="I113" i="3"/>
  <c r="C114" i="3"/>
  <c r="D114" i="3"/>
  <c r="F114" i="3"/>
  <c r="I114" i="3"/>
  <c r="C115" i="3"/>
  <c r="D115" i="3"/>
  <c r="F115" i="3"/>
  <c r="I115" i="3"/>
  <c r="C116" i="3"/>
  <c r="D116" i="3"/>
  <c r="F116" i="3"/>
  <c r="I116" i="3"/>
  <c r="C117" i="3"/>
  <c r="D117" i="3"/>
  <c r="F117" i="3"/>
  <c r="I117" i="3"/>
  <c r="C118" i="3"/>
  <c r="D118" i="3"/>
  <c r="F118" i="3"/>
  <c r="I118" i="3"/>
  <c r="C119" i="3"/>
  <c r="D119" i="3"/>
  <c r="F119" i="3"/>
  <c r="I119" i="3"/>
  <c r="C120" i="3"/>
  <c r="D120" i="3"/>
  <c r="F120" i="3"/>
  <c r="I120" i="3"/>
  <c r="C121" i="3"/>
  <c r="D121" i="3"/>
  <c r="F121" i="3"/>
  <c r="I121" i="3"/>
  <c r="C122" i="3"/>
  <c r="D122" i="3"/>
  <c r="F122" i="3"/>
  <c r="I122" i="3"/>
  <c r="C123" i="3"/>
  <c r="D123" i="3"/>
  <c r="F123" i="3"/>
  <c r="I123" i="3"/>
  <c r="C124" i="3"/>
  <c r="D124" i="3"/>
  <c r="F124" i="3"/>
  <c r="I124" i="3"/>
  <c r="C125" i="3"/>
  <c r="D125" i="3"/>
  <c r="F125" i="3"/>
  <c r="I125" i="3"/>
  <c r="C126" i="3"/>
  <c r="D126" i="3"/>
  <c r="F126" i="3"/>
  <c r="I126" i="3"/>
  <c r="C127" i="3"/>
  <c r="D127" i="3"/>
  <c r="F127" i="3"/>
  <c r="I127" i="3"/>
  <c r="C128" i="3"/>
  <c r="D128" i="3"/>
  <c r="F128" i="3"/>
  <c r="I128" i="3"/>
  <c r="C129" i="3"/>
  <c r="D129" i="3"/>
  <c r="F129" i="3"/>
  <c r="I129" i="3"/>
  <c r="C130" i="3"/>
  <c r="D130" i="3"/>
  <c r="F130" i="3"/>
  <c r="I130" i="3"/>
  <c r="C131" i="3"/>
  <c r="D131" i="3"/>
  <c r="F131" i="3"/>
  <c r="I131" i="3"/>
  <c r="C132" i="3"/>
  <c r="D132" i="3"/>
  <c r="F132" i="3"/>
  <c r="I132" i="3"/>
  <c r="C133" i="3"/>
  <c r="D133" i="3"/>
  <c r="F133" i="3"/>
  <c r="I133" i="3"/>
  <c r="C134" i="3"/>
  <c r="D134" i="3"/>
  <c r="F134" i="3"/>
  <c r="I134" i="3"/>
  <c r="C135" i="3"/>
  <c r="D135" i="3"/>
  <c r="F135" i="3"/>
  <c r="I135" i="3"/>
  <c r="C136" i="3"/>
  <c r="D136" i="3"/>
  <c r="F136" i="3"/>
  <c r="I136" i="3"/>
  <c r="C137" i="3"/>
  <c r="D137" i="3"/>
  <c r="F137" i="3"/>
  <c r="I137" i="3"/>
  <c r="C138" i="3"/>
  <c r="D138" i="3"/>
  <c r="F138" i="3"/>
  <c r="I138" i="3"/>
  <c r="C139" i="3"/>
  <c r="D139" i="3"/>
  <c r="F139" i="3"/>
  <c r="I139" i="3"/>
  <c r="C140" i="3"/>
  <c r="D140" i="3"/>
  <c r="F140" i="3"/>
  <c r="I140" i="3"/>
  <c r="C141" i="3"/>
  <c r="D141" i="3"/>
  <c r="F141" i="3"/>
  <c r="I141" i="3"/>
  <c r="C142" i="3"/>
  <c r="D142" i="3"/>
  <c r="F142" i="3"/>
  <c r="I142" i="3"/>
  <c r="C143" i="3"/>
  <c r="D143" i="3"/>
  <c r="F143" i="3"/>
  <c r="I143" i="3"/>
  <c r="C144" i="3"/>
  <c r="D144" i="3"/>
  <c r="F144" i="3"/>
  <c r="I144" i="3"/>
  <c r="C145" i="3"/>
  <c r="D145" i="3"/>
  <c r="F145" i="3"/>
  <c r="I145" i="3"/>
  <c r="C146" i="3"/>
  <c r="D146" i="3"/>
  <c r="F146" i="3"/>
  <c r="I146" i="3"/>
  <c r="C147" i="3"/>
  <c r="D147" i="3"/>
  <c r="F147" i="3"/>
  <c r="I147" i="3"/>
  <c r="C148" i="3"/>
  <c r="D148" i="3"/>
  <c r="F148" i="3"/>
  <c r="I148" i="3"/>
  <c r="C149" i="3"/>
  <c r="D149" i="3"/>
  <c r="F149" i="3"/>
  <c r="I149" i="3"/>
  <c r="C150" i="3"/>
  <c r="D150" i="3"/>
  <c r="F150" i="3"/>
  <c r="I150" i="3"/>
  <c r="C151" i="3"/>
  <c r="D151" i="3"/>
  <c r="F151" i="3"/>
  <c r="I151" i="3"/>
  <c r="C152" i="3"/>
  <c r="D152" i="3"/>
  <c r="F152" i="3"/>
  <c r="I152" i="3"/>
  <c r="C153" i="3"/>
  <c r="D153" i="3"/>
  <c r="F153" i="3"/>
  <c r="I153" i="3"/>
  <c r="C154" i="3"/>
  <c r="D154" i="3"/>
  <c r="F154" i="3"/>
  <c r="I154" i="3"/>
  <c r="C155" i="3"/>
  <c r="D155" i="3"/>
  <c r="F155" i="3"/>
  <c r="I155" i="3"/>
  <c r="C156" i="3"/>
  <c r="D156" i="3"/>
  <c r="F156" i="3"/>
  <c r="I156" i="3"/>
  <c r="C157" i="3"/>
  <c r="D157" i="3"/>
  <c r="F157" i="3"/>
  <c r="I157" i="3"/>
  <c r="C158" i="3"/>
  <c r="D158" i="3"/>
  <c r="F158" i="3"/>
  <c r="I158" i="3"/>
  <c r="C159" i="3"/>
  <c r="D159" i="3"/>
  <c r="F159" i="3"/>
  <c r="I159" i="3"/>
  <c r="C160" i="3"/>
  <c r="D160" i="3"/>
  <c r="F160" i="3"/>
  <c r="I160" i="3"/>
  <c r="C161" i="3"/>
  <c r="D161" i="3"/>
  <c r="F161" i="3"/>
  <c r="I161" i="3"/>
  <c r="C162" i="3"/>
  <c r="D162" i="3"/>
  <c r="F162" i="3"/>
  <c r="I162" i="3"/>
  <c r="C163" i="3"/>
  <c r="D163" i="3"/>
  <c r="F163" i="3"/>
  <c r="I163" i="3"/>
  <c r="C164" i="3"/>
  <c r="D164" i="3"/>
  <c r="F164" i="3"/>
  <c r="I164" i="3"/>
  <c r="C165" i="3"/>
  <c r="D165" i="3"/>
  <c r="F165" i="3"/>
  <c r="I165" i="3"/>
  <c r="C166" i="3"/>
  <c r="D166" i="3"/>
  <c r="F166" i="3"/>
  <c r="I166" i="3"/>
  <c r="C167" i="3"/>
  <c r="D167" i="3"/>
  <c r="F167" i="3"/>
  <c r="I167" i="3"/>
  <c r="C168" i="3"/>
  <c r="D168" i="3"/>
  <c r="F168" i="3"/>
  <c r="I168" i="3"/>
  <c r="C169" i="3"/>
  <c r="D169" i="3"/>
  <c r="F169" i="3"/>
  <c r="I169" i="3"/>
  <c r="C170" i="3"/>
  <c r="D170" i="3"/>
  <c r="F170" i="3"/>
  <c r="I170" i="3"/>
  <c r="C171" i="3"/>
  <c r="D171" i="3"/>
  <c r="F171" i="3"/>
  <c r="I171" i="3"/>
  <c r="C172" i="3"/>
  <c r="D172" i="3"/>
  <c r="F172" i="3"/>
  <c r="I172" i="3"/>
  <c r="C173" i="3"/>
  <c r="D173" i="3"/>
  <c r="F173" i="3"/>
  <c r="I173" i="3"/>
  <c r="C174" i="3"/>
  <c r="D174" i="3"/>
  <c r="F174" i="3"/>
  <c r="I174" i="3"/>
  <c r="C175" i="3"/>
  <c r="D175" i="3"/>
  <c r="F175" i="3"/>
  <c r="I175" i="3"/>
  <c r="C176" i="3"/>
  <c r="D176" i="3"/>
  <c r="F176" i="3"/>
  <c r="I176" i="3"/>
  <c r="C177" i="3"/>
  <c r="D177" i="3"/>
  <c r="F177" i="3"/>
  <c r="I177" i="3"/>
  <c r="C178" i="3"/>
  <c r="D178" i="3"/>
  <c r="F178" i="3"/>
  <c r="I178" i="3"/>
  <c r="C179" i="3"/>
  <c r="D179" i="3"/>
  <c r="F179" i="3"/>
  <c r="I179" i="3"/>
  <c r="I2" i="3"/>
  <c r="F2" i="3"/>
  <c r="D2" i="3"/>
  <c r="K2" i="3" s="1"/>
  <c r="K1" i="3"/>
  <c r="C2" i="3"/>
  <c r="A3" i="3"/>
  <c r="H138" i="5" l="1"/>
  <c r="I138" i="5"/>
  <c r="H126" i="5"/>
  <c r="I126" i="5" s="1"/>
  <c r="H100" i="5"/>
  <c r="I100" i="5"/>
  <c r="H97" i="5"/>
  <c r="I97" i="5"/>
  <c r="I89" i="5"/>
  <c r="I81" i="5"/>
  <c r="I73" i="5"/>
  <c r="I65" i="5"/>
  <c r="H123" i="5"/>
  <c r="I123" i="5"/>
  <c r="H94" i="5"/>
  <c r="I94" i="5"/>
  <c r="H86" i="5"/>
  <c r="I86" i="5" s="1"/>
  <c r="H78" i="5"/>
  <c r="I78" i="5"/>
  <c r="H70" i="5"/>
  <c r="I70" i="5"/>
  <c r="H62" i="5"/>
  <c r="I62" i="5" s="1"/>
  <c r="H132" i="5"/>
  <c r="I132" i="5" s="1"/>
  <c r="H323" i="5"/>
  <c r="I323" i="5"/>
  <c r="H315" i="5"/>
  <c r="I315" i="5"/>
  <c r="H307" i="5"/>
  <c r="I307" i="5" s="1"/>
  <c r="H299" i="5"/>
  <c r="I299" i="5"/>
  <c r="H291" i="5"/>
  <c r="I291" i="5"/>
  <c r="I211" i="5"/>
  <c r="H172" i="5"/>
  <c r="I172" i="5" s="1"/>
  <c r="H169" i="5"/>
  <c r="I169" i="5"/>
  <c r="H166" i="5"/>
  <c r="I166" i="5" s="1"/>
  <c r="H146" i="5"/>
  <c r="I146" i="5" s="1"/>
  <c r="H143" i="5"/>
  <c r="I143" i="5"/>
  <c r="H114" i="5"/>
  <c r="I114" i="5"/>
  <c r="H155" i="5"/>
  <c r="I155" i="5"/>
  <c r="H129" i="5"/>
  <c r="I129" i="5"/>
  <c r="H140" i="5"/>
  <c r="I140" i="5" s="1"/>
  <c r="H111" i="5"/>
  <c r="I111" i="5"/>
  <c r="H108" i="5"/>
  <c r="I108" i="5"/>
  <c r="H105" i="5"/>
  <c r="I105" i="5" s="1"/>
  <c r="H102" i="5"/>
  <c r="I102" i="5"/>
  <c r="I75" i="5"/>
  <c r="H158" i="5"/>
  <c r="I158" i="5" s="1"/>
  <c r="H152" i="5"/>
  <c r="I152" i="5"/>
  <c r="H135" i="5"/>
  <c r="I135" i="5" s="1"/>
  <c r="I328" i="5"/>
  <c r="I320" i="5"/>
  <c r="I312" i="5"/>
  <c r="I304" i="5"/>
  <c r="I296" i="5"/>
  <c r="I276" i="5"/>
  <c r="I264" i="5"/>
  <c r="I252" i="5"/>
  <c r="I242" i="5"/>
  <c r="I237" i="5"/>
  <c r="I225" i="5"/>
  <c r="I213" i="5"/>
  <c r="I208" i="5"/>
  <c r="I196" i="5"/>
  <c r="I179" i="5"/>
  <c r="I163" i="5"/>
  <c r="H119" i="5"/>
  <c r="I119" i="5" s="1"/>
  <c r="H99" i="5"/>
  <c r="I99" i="5" s="1"/>
  <c r="H96" i="5"/>
  <c r="I96" i="5"/>
  <c r="H88" i="5"/>
  <c r="I88" i="5" s="1"/>
  <c r="H80" i="5"/>
  <c r="I80" i="5"/>
  <c r="H72" i="5"/>
  <c r="I72" i="5"/>
  <c r="H64" i="5"/>
  <c r="I64" i="5" s="1"/>
  <c r="H120" i="5"/>
  <c r="I120" i="5"/>
  <c r="H325" i="5"/>
  <c r="I325" i="5" s="1"/>
  <c r="H317" i="5"/>
  <c r="I317" i="5"/>
  <c r="H309" i="5"/>
  <c r="I309" i="5"/>
  <c r="H301" i="5"/>
  <c r="I301" i="5" s="1"/>
  <c r="H293" i="5"/>
  <c r="I293" i="5" s="1"/>
  <c r="I288" i="5"/>
  <c r="H283" i="5"/>
  <c r="I283" i="5"/>
  <c r="I271" i="5"/>
  <c r="I259" i="5"/>
  <c r="I247" i="5"/>
  <c r="I232" i="5"/>
  <c r="I220" i="5"/>
  <c r="I203" i="5"/>
  <c r="I191" i="5"/>
  <c r="I186" i="5"/>
  <c r="I174" i="5"/>
  <c r="H160" i="5"/>
  <c r="I160" i="5"/>
  <c r="H157" i="5"/>
  <c r="I157" i="5" s="1"/>
  <c r="H154" i="5"/>
  <c r="I154" i="5"/>
  <c r="H151" i="5"/>
  <c r="I151" i="5"/>
  <c r="I137" i="5"/>
  <c r="H134" i="5"/>
  <c r="I134" i="5"/>
  <c r="H131" i="5"/>
  <c r="I131" i="5" s="1"/>
  <c r="H128" i="5"/>
  <c r="I128" i="5"/>
  <c r="I125" i="5"/>
  <c r="H122" i="5"/>
  <c r="I122" i="5"/>
  <c r="H116" i="5"/>
  <c r="I116" i="5"/>
  <c r="I278" i="5"/>
  <c r="I266" i="5"/>
  <c r="I254" i="5"/>
  <c r="I244" i="5"/>
  <c r="I227" i="5"/>
  <c r="I215" i="5"/>
  <c r="I198" i="5"/>
  <c r="I181" i="5"/>
  <c r="H171" i="5"/>
  <c r="I171" i="5"/>
  <c r="H168" i="5"/>
  <c r="I168" i="5"/>
  <c r="H148" i="5"/>
  <c r="I148" i="5" s="1"/>
  <c r="H145" i="5"/>
  <c r="I145" i="5" s="1"/>
  <c r="H142" i="5"/>
  <c r="I142" i="5"/>
  <c r="I93" i="5"/>
  <c r="I85" i="5"/>
  <c r="I77" i="5"/>
  <c r="I69" i="5"/>
  <c r="I61" i="5"/>
  <c r="I322" i="5"/>
  <c r="I290" i="5"/>
  <c r="I273" i="5"/>
  <c r="I261" i="5"/>
  <c r="I249" i="5"/>
  <c r="I239" i="5"/>
  <c r="I234" i="5"/>
  <c r="I222" i="5"/>
  <c r="I210" i="5"/>
  <c r="I205" i="5"/>
  <c r="I193" i="5"/>
  <c r="I188" i="5"/>
  <c r="I176" i="5"/>
  <c r="I165" i="5"/>
  <c r="I113" i="5"/>
  <c r="H110" i="5"/>
  <c r="I110" i="5" s="1"/>
  <c r="H107" i="5"/>
  <c r="I107" i="5"/>
  <c r="H104" i="5"/>
  <c r="I104" i="5" s="1"/>
  <c r="H90" i="5"/>
  <c r="I90" i="5"/>
  <c r="H82" i="5"/>
  <c r="I82" i="5"/>
  <c r="H74" i="5"/>
  <c r="I74" i="5" s="1"/>
  <c r="H66" i="5"/>
  <c r="I66" i="5" s="1"/>
  <c r="H58" i="5"/>
  <c r="I58" i="5"/>
  <c r="I306" i="5"/>
  <c r="H303" i="5"/>
  <c r="I303" i="5"/>
  <c r="I280" i="5"/>
  <c r="H272" i="5"/>
  <c r="I272" i="5" s="1"/>
  <c r="H248" i="5"/>
  <c r="I248" i="5" s="1"/>
  <c r="I229" i="5"/>
  <c r="H221" i="5"/>
  <c r="I221" i="5" s="1"/>
  <c r="H204" i="5"/>
  <c r="I204" i="5" s="1"/>
  <c r="H192" i="5"/>
  <c r="I192" i="5" s="1"/>
  <c r="H187" i="5"/>
  <c r="I187" i="5" s="1"/>
  <c r="I183" i="5"/>
  <c r="H175" i="5"/>
  <c r="I175" i="5" s="1"/>
  <c r="H162" i="5"/>
  <c r="I162" i="5"/>
  <c r="I139" i="5"/>
  <c r="H118" i="5"/>
  <c r="I118" i="5"/>
  <c r="H98" i="5"/>
  <c r="I98" i="5" s="1"/>
  <c r="I298" i="5"/>
  <c r="H327" i="5"/>
  <c r="I327" i="5" s="1"/>
  <c r="I285" i="5"/>
  <c r="I268" i="5"/>
  <c r="H260" i="5"/>
  <c r="I260" i="5" s="1"/>
  <c r="I217" i="5"/>
  <c r="I101" i="5"/>
  <c r="I275" i="5"/>
  <c r="H267" i="5"/>
  <c r="I267" i="5" s="1"/>
  <c r="I251" i="5"/>
  <c r="I236" i="5"/>
  <c r="H228" i="5"/>
  <c r="I228" i="5" s="1"/>
  <c r="I224" i="5"/>
  <c r="H216" i="5"/>
  <c r="I216" i="5" s="1"/>
  <c r="I207" i="5"/>
  <c r="H199" i="5"/>
  <c r="I199" i="5" s="1"/>
  <c r="I195" i="5"/>
  <c r="I190" i="5"/>
  <c r="H182" i="5"/>
  <c r="I182" i="5" s="1"/>
  <c r="I178" i="5"/>
  <c r="H161" i="5"/>
  <c r="I161" i="5" s="1"/>
  <c r="H159" i="5"/>
  <c r="I159" i="5" s="1"/>
  <c r="H156" i="5"/>
  <c r="I156" i="5" s="1"/>
  <c r="H153" i="5"/>
  <c r="I153" i="5"/>
  <c r="H150" i="5"/>
  <c r="I150" i="5" s="1"/>
  <c r="H136" i="5"/>
  <c r="I136" i="5"/>
  <c r="H133" i="5"/>
  <c r="I133" i="5"/>
  <c r="H130" i="5"/>
  <c r="I130" i="5" s="1"/>
  <c r="H127" i="5"/>
  <c r="I127" i="5" s="1"/>
  <c r="H124" i="5"/>
  <c r="I124" i="5"/>
  <c r="H121" i="5"/>
  <c r="I121" i="5" s="1"/>
  <c r="H117" i="5"/>
  <c r="I117" i="5" s="1"/>
  <c r="I95" i="5"/>
  <c r="I87" i="5"/>
  <c r="I79" i="5"/>
  <c r="I71" i="5"/>
  <c r="I63" i="5"/>
  <c r="H311" i="5"/>
  <c r="I311" i="5" s="1"/>
  <c r="H318" i="5"/>
  <c r="I318" i="5" s="1"/>
  <c r="H310" i="5"/>
  <c r="I310" i="5" s="1"/>
  <c r="H294" i="5"/>
  <c r="I294" i="5" s="1"/>
  <c r="H284" i="5"/>
  <c r="I284" i="5" s="1"/>
  <c r="H255" i="5"/>
  <c r="I255" i="5" s="1"/>
  <c r="I212" i="5"/>
  <c r="I324" i="5"/>
  <c r="I316" i="5"/>
  <c r="I308" i="5"/>
  <c r="I300" i="5"/>
  <c r="I292" i="5"/>
  <c r="I287" i="5"/>
  <c r="I282" i="5"/>
  <c r="H274" i="5"/>
  <c r="I274" i="5" s="1"/>
  <c r="I270" i="5"/>
  <c r="H262" i="5"/>
  <c r="I262" i="5" s="1"/>
  <c r="I258" i="5"/>
  <c r="H250" i="5"/>
  <c r="I250" i="5" s="1"/>
  <c r="I246" i="5"/>
  <c r="H240" i="5"/>
  <c r="I240" i="5" s="1"/>
  <c r="H235" i="5"/>
  <c r="I235" i="5" s="1"/>
  <c r="I231" i="5"/>
  <c r="H223" i="5"/>
  <c r="I223" i="5" s="1"/>
  <c r="I219" i="5"/>
  <c r="H211" i="5"/>
  <c r="H206" i="5"/>
  <c r="I206" i="5" s="1"/>
  <c r="I202" i="5"/>
  <c r="H194" i="5"/>
  <c r="I194" i="5" s="1"/>
  <c r="H189" i="5"/>
  <c r="I189" i="5" s="1"/>
  <c r="I185" i="5"/>
  <c r="H177" i="5"/>
  <c r="I177" i="5" s="1"/>
  <c r="I173" i="5"/>
  <c r="H170" i="5"/>
  <c r="I170" i="5" s="1"/>
  <c r="H167" i="5"/>
  <c r="I167" i="5" s="1"/>
  <c r="H149" i="5"/>
  <c r="I149" i="5" s="1"/>
  <c r="H147" i="5"/>
  <c r="I147" i="5"/>
  <c r="H144" i="5"/>
  <c r="I144" i="5"/>
  <c r="I115" i="5"/>
  <c r="H92" i="5"/>
  <c r="I92" i="5"/>
  <c r="H84" i="5"/>
  <c r="I84" i="5" s="1"/>
  <c r="H76" i="5"/>
  <c r="I76" i="5" s="1"/>
  <c r="H68" i="5"/>
  <c r="I68" i="5"/>
  <c r="H60" i="5"/>
  <c r="I60" i="5" s="1"/>
  <c r="I314" i="5"/>
  <c r="H319" i="5"/>
  <c r="I319" i="5" s="1"/>
  <c r="H295" i="5"/>
  <c r="I295" i="5"/>
  <c r="H289" i="5"/>
  <c r="I289" i="5" s="1"/>
  <c r="I256" i="5"/>
  <c r="H238" i="5"/>
  <c r="I238" i="5" s="1"/>
  <c r="H233" i="5"/>
  <c r="I233" i="5" s="1"/>
  <c r="I200" i="5"/>
  <c r="H326" i="5"/>
  <c r="I326" i="5" s="1"/>
  <c r="H302" i="5"/>
  <c r="I302" i="5" s="1"/>
  <c r="H279" i="5"/>
  <c r="I279" i="5" s="1"/>
  <c r="I263" i="5"/>
  <c r="I241" i="5"/>
  <c r="H329" i="5"/>
  <c r="I329" i="5"/>
  <c r="H321" i="5"/>
  <c r="I321" i="5"/>
  <c r="H313" i="5"/>
  <c r="I313" i="5" s="1"/>
  <c r="H305" i="5"/>
  <c r="I305" i="5"/>
  <c r="H297" i="5"/>
  <c r="I297" i="5"/>
  <c r="H286" i="5"/>
  <c r="I286" i="5" s="1"/>
  <c r="H281" i="5"/>
  <c r="I281" i="5" s="1"/>
  <c r="I277" i="5"/>
  <c r="H269" i="5"/>
  <c r="I269" i="5" s="1"/>
  <c r="I265" i="5"/>
  <c r="H257" i="5"/>
  <c r="I257" i="5" s="1"/>
  <c r="I253" i="5"/>
  <c r="H245" i="5"/>
  <c r="I245" i="5" s="1"/>
  <c r="I243" i="5"/>
  <c r="H230" i="5"/>
  <c r="I230" i="5" s="1"/>
  <c r="I226" i="5"/>
  <c r="H218" i="5"/>
  <c r="I218" i="5" s="1"/>
  <c r="I214" i="5"/>
  <c r="I209" i="5"/>
  <c r="H201" i="5"/>
  <c r="I201" i="5" s="1"/>
  <c r="I197" i="5"/>
  <c r="H184" i="5"/>
  <c r="I184" i="5" s="1"/>
  <c r="I180" i="5"/>
  <c r="H164" i="5"/>
  <c r="I164" i="5" s="1"/>
  <c r="I141" i="5"/>
  <c r="H112" i="5"/>
  <c r="I112" i="5" s="1"/>
  <c r="H109" i="5"/>
  <c r="I109" i="5"/>
  <c r="H106" i="5"/>
  <c r="I106" i="5"/>
  <c r="H103" i="5"/>
  <c r="I103" i="5" s="1"/>
  <c r="H91" i="5"/>
  <c r="I91" i="5" s="1"/>
  <c r="H83" i="5"/>
  <c r="I83" i="5" s="1"/>
  <c r="H75" i="5"/>
  <c r="H67" i="5"/>
  <c r="I67" i="5" s="1"/>
  <c r="H59" i="5"/>
  <c r="I59" i="5" s="1"/>
  <c r="A4" i="5"/>
  <c r="K3" i="3"/>
  <c r="L3" i="3" s="1"/>
  <c r="A9" i="3"/>
  <c r="K8" i="3"/>
  <c r="L8" i="3" s="1"/>
  <c r="K6" i="3"/>
  <c r="L6" i="3" s="1"/>
  <c r="K5" i="3"/>
  <c r="L5" i="3" s="1"/>
  <c r="K7" i="3"/>
  <c r="L7" i="3" s="1"/>
  <c r="K4" i="3"/>
  <c r="L4" i="3" s="1"/>
  <c r="A5" i="5" l="1"/>
  <c r="J4" i="5"/>
  <c r="A10" i="3"/>
  <c r="K9" i="3"/>
  <c r="L9" i="3" s="1"/>
  <c r="A6" i="5" l="1"/>
  <c r="J5" i="5"/>
  <c r="A11" i="3"/>
  <c r="K10" i="3"/>
  <c r="L10" i="3" s="1"/>
  <c r="A7" i="5" l="1"/>
  <c r="J6" i="5"/>
  <c r="A12" i="3"/>
  <c r="K11" i="3"/>
  <c r="L11" i="3" s="1"/>
  <c r="A8" i="5" l="1"/>
  <c r="J7" i="5"/>
  <c r="A13" i="3"/>
  <c r="K12" i="3"/>
  <c r="L12" i="3" s="1"/>
  <c r="A9" i="5" l="1"/>
  <c r="J8" i="5"/>
  <c r="A14" i="3"/>
  <c r="K13" i="3"/>
  <c r="L13" i="3" s="1"/>
  <c r="A10" i="5" l="1"/>
  <c r="J9" i="5"/>
  <c r="A15" i="3"/>
  <c r="K14" i="3"/>
  <c r="L14" i="3" s="1"/>
  <c r="A11" i="5" l="1"/>
  <c r="J10" i="5"/>
  <c r="A16" i="3"/>
  <c r="K15" i="3"/>
  <c r="L15" i="3" s="1"/>
  <c r="A12" i="5" l="1"/>
  <c r="J11" i="5"/>
  <c r="A17" i="3"/>
  <c r="K16" i="3"/>
  <c r="L16" i="3" s="1"/>
  <c r="A13" i="5" l="1"/>
  <c r="J12" i="5"/>
  <c r="A18" i="3"/>
  <c r="K17" i="3"/>
  <c r="L17" i="3" s="1"/>
  <c r="A14" i="5" l="1"/>
  <c r="J13" i="5"/>
  <c r="A19" i="3"/>
  <c r="K18" i="3"/>
  <c r="L18" i="3" s="1"/>
  <c r="A15" i="5" l="1"/>
  <c r="J14" i="5"/>
  <c r="A20" i="3"/>
  <c r="K19" i="3"/>
  <c r="L19" i="3" s="1"/>
  <c r="A16" i="5" l="1"/>
  <c r="J15" i="5"/>
  <c r="K20" i="3"/>
  <c r="L20" i="3" s="1"/>
  <c r="A21" i="3"/>
  <c r="A17" i="5" l="1"/>
  <c r="J16" i="5"/>
  <c r="K21" i="3"/>
  <c r="L21" i="3" s="1"/>
  <c r="A22" i="3"/>
  <c r="A18" i="5" l="1"/>
  <c r="J17" i="5"/>
  <c r="A23" i="3"/>
  <c r="K22" i="3"/>
  <c r="L22" i="3" s="1"/>
  <c r="A19" i="5" l="1"/>
  <c r="J18" i="5"/>
  <c r="A24" i="3"/>
  <c r="K23" i="3"/>
  <c r="L23" i="3" s="1"/>
  <c r="A20" i="5" l="1"/>
  <c r="J19" i="5"/>
  <c r="A25" i="3"/>
  <c r="K24" i="3"/>
  <c r="L24" i="3" s="1"/>
  <c r="A21" i="5" l="1"/>
  <c r="J20" i="5"/>
  <c r="A26" i="3"/>
  <c r="K25" i="3"/>
  <c r="L25" i="3" s="1"/>
  <c r="A22" i="5" l="1"/>
  <c r="J21" i="5"/>
  <c r="A27" i="3"/>
  <c r="K26" i="3"/>
  <c r="L26" i="3" s="1"/>
  <c r="A23" i="5" l="1"/>
  <c r="J22" i="5"/>
  <c r="A28" i="3"/>
  <c r="K27" i="3"/>
  <c r="L27" i="3" s="1"/>
  <c r="A24" i="5" l="1"/>
  <c r="J23" i="5"/>
  <c r="A29" i="3"/>
  <c r="K28" i="3"/>
  <c r="L28" i="3" s="1"/>
  <c r="A25" i="5" l="1"/>
  <c r="J24" i="5"/>
  <c r="A30" i="3"/>
  <c r="K29" i="3"/>
  <c r="L29" i="3" s="1"/>
  <c r="A26" i="5" l="1"/>
  <c r="J25" i="5"/>
  <c r="A31" i="3"/>
  <c r="K30" i="3"/>
  <c r="L30" i="3" s="1"/>
  <c r="A27" i="5" l="1"/>
  <c r="J26" i="5"/>
  <c r="A32" i="3"/>
  <c r="K31" i="3"/>
  <c r="L31" i="3" s="1"/>
  <c r="A28" i="5" l="1"/>
  <c r="J27" i="5"/>
  <c r="A33" i="3"/>
  <c r="K32" i="3"/>
  <c r="L32" i="3" s="1"/>
  <c r="A29" i="5" l="1"/>
  <c r="J28" i="5"/>
  <c r="K33" i="3"/>
  <c r="L33" i="3" s="1"/>
  <c r="A34" i="3"/>
  <c r="A30" i="5" l="1"/>
  <c r="J29" i="5"/>
  <c r="A35" i="3"/>
  <c r="K34" i="3"/>
  <c r="L34" i="3" s="1"/>
  <c r="A31" i="5" l="1"/>
  <c r="J30" i="5"/>
  <c r="A36" i="3"/>
  <c r="K35" i="3"/>
  <c r="L35" i="3" s="1"/>
  <c r="A32" i="5" l="1"/>
  <c r="J31" i="5"/>
  <c r="A37" i="3"/>
  <c r="K36" i="3"/>
  <c r="L36" i="3" s="1"/>
  <c r="A33" i="5" l="1"/>
  <c r="J32" i="5"/>
  <c r="A38" i="3"/>
  <c r="K37" i="3"/>
  <c r="L37" i="3" s="1"/>
  <c r="A34" i="5" l="1"/>
  <c r="J33" i="5"/>
  <c r="A39" i="3"/>
  <c r="K38" i="3"/>
  <c r="L38" i="3" s="1"/>
  <c r="A35" i="5" l="1"/>
  <c r="J34" i="5"/>
  <c r="A40" i="3"/>
  <c r="K39" i="3"/>
  <c r="L39" i="3" s="1"/>
  <c r="A36" i="5" l="1"/>
  <c r="J35" i="5"/>
  <c r="A41" i="3"/>
  <c r="K40" i="3"/>
  <c r="L40" i="3" s="1"/>
  <c r="A37" i="5" l="1"/>
  <c r="J36" i="5"/>
  <c r="A42" i="3"/>
  <c r="K41" i="3"/>
  <c r="L41" i="3" s="1"/>
  <c r="A38" i="5" l="1"/>
  <c r="J37" i="5"/>
  <c r="A43" i="3"/>
  <c r="K42" i="3"/>
  <c r="L42" i="3" s="1"/>
  <c r="A39" i="5" l="1"/>
  <c r="J38" i="5"/>
  <c r="A44" i="3"/>
  <c r="K43" i="3"/>
  <c r="L43" i="3" s="1"/>
  <c r="A40" i="5" l="1"/>
  <c r="J39" i="5"/>
  <c r="A45" i="3"/>
  <c r="K44" i="3"/>
  <c r="L44" i="3" s="1"/>
  <c r="A41" i="5" l="1"/>
  <c r="J40" i="5"/>
  <c r="K45" i="3"/>
  <c r="L45" i="3" s="1"/>
  <c r="A46" i="3"/>
  <c r="A42" i="5" l="1"/>
  <c r="J41" i="5"/>
  <c r="A47" i="3"/>
  <c r="K46" i="3"/>
  <c r="L46" i="3" s="1"/>
  <c r="A43" i="5" l="1"/>
  <c r="J42" i="5"/>
  <c r="A48" i="3"/>
  <c r="K47" i="3"/>
  <c r="L47" i="3" s="1"/>
  <c r="A44" i="5" l="1"/>
  <c r="J43" i="5"/>
  <c r="A49" i="3"/>
  <c r="K48" i="3"/>
  <c r="L48" i="3" s="1"/>
  <c r="A45" i="5" l="1"/>
  <c r="J44" i="5"/>
  <c r="A50" i="3"/>
  <c r="K49" i="3"/>
  <c r="L49" i="3" s="1"/>
  <c r="A46" i="5" l="1"/>
  <c r="J45" i="5"/>
  <c r="A51" i="3"/>
  <c r="K50" i="3"/>
  <c r="L50" i="3" s="1"/>
  <c r="A47" i="5" l="1"/>
  <c r="J46" i="5"/>
  <c r="A52" i="3"/>
  <c r="K51" i="3"/>
  <c r="L51" i="3" s="1"/>
  <c r="A48" i="5" l="1"/>
  <c r="J47" i="5"/>
  <c r="A53" i="3"/>
  <c r="K52" i="3"/>
  <c r="L52" i="3" s="1"/>
  <c r="A49" i="5" l="1"/>
  <c r="J48" i="5"/>
  <c r="A54" i="3"/>
  <c r="K53" i="3"/>
  <c r="L53" i="3" s="1"/>
  <c r="A50" i="5" l="1"/>
  <c r="J49" i="5"/>
  <c r="A55" i="3"/>
  <c r="K54" i="3"/>
  <c r="L54" i="3" s="1"/>
  <c r="A51" i="5" l="1"/>
  <c r="J50" i="5"/>
  <c r="A56" i="3"/>
  <c r="K55" i="3"/>
  <c r="L55" i="3" s="1"/>
  <c r="A52" i="5" l="1"/>
  <c r="J51" i="5"/>
  <c r="K56" i="3"/>
  <c r="L56" i="3" s="1"/>
  <c r="A57" i="3"/>
  <c r="A53" i="5" l="1"/>
  <c r="J52" i="5"/>
  <c r="K57" i="3"/>
  <c r="L57" i="3" s="1"/>
  <c r="A58" i="3"/>
  <c r="A54" i="5" l="1"/>
  <c r="J53" i="5"/>
  <c r="A59" i="3"/>
  <c r="K58" i="3"/>
  <c r="L58" i="3" s="1"/>
  <c r="A55" i="5" l="1"/>
  <c r="J54" i="5"/>
  <c r="A60" i="3"/>
  <c r="K59" i="3"/>
  <c r="L59" i="3" s="1"/>
  <c r="A56" i="5" l="1"/>
  <c r="J55" i="5"/>
  <c r="A61" i="3"/>
  <c r="K60" i="3"/>
  <c r="L60" i="3" s="1"/>
  <c r="A57" i="5" l="1"/>
  <c r="J56" i="5"/>
  <c r="A62" i="3"/>
  <c r="K61" i="3"/>
  <c r="L61" i="3" s="1"/>
  <c r="A58" i="5" l="1"/>
  <c r="J57" i="5"/>
  <c r="A63" i="3"/>
  <c r="K62" i="3"/>
  <c r="L62" i="3" s="1"/>
  <c r="A59" i="5" l="1"/>
  <c r="J58" i="5"/>
  <c r="A64" i="3"/>
  <c r="K63" i="3"/>
  <c r="L63" i="3" s="1"/>
  <c r="A60" i="5" l="1"/>
  <c r="J59" i="5"/>
  <c r="A65" i="3"/>
  <c r="K64" i="3"/>
  <c r="L64" i="3" s="1"/>
  <c r="A61" i="5" l="1"/>
  <c r="J60" i="5"/>
  <c r="A66" i="3"/>
  <c r="K65" i="3"/>
  <c r="L65" i="3" s="1"/>
  <c r="A62" i="5" l="1"/>
  <c r="J61" i="5"/>
  <c r="A67" i="3"/>
  <c r="K66" i="3"/>
  <c r="L66" i="3" s="1"/>
  <c r="A63" i="5" l="1"/>
  <c r="J62" i="5"/>
  <c r="A68" i="3"/>
  <c r="K67" i="3"/>
  <c r="L67" i="3" s="1"/>
  <c r="A64" i="5" l="1"/>
  <c r="J63" i="5"/>
  <c r="A69" i="3"/>
  <c r="K68" i="3"/>
  <c r="L68" i="3" s="1"/>
  <c r="A65" i="5" l="1"/>
  <c r="J64" i="5"/>
  <c r="K69" i="3"/>
  <c r="L69" i="3" s="1"/>
  <c r="A70" i="3"/>
  <c r="A66" i="5" l="1"/>
  <c r="J65" i="5"/>
  <c r="K70" i="3"/>
  <c r="L70" i="3" s="1"/>
  <c r="A71" i="3"/>
  <c r="A67" i="5" l="1"/>
  <c r="J66" i="5"/>
  <c r="A72" i="3"/>
  <c r="K71" i="3"/>
  <c r="L71" i="3" s="1"/>
  <c r="A68" i="5" l="1"/>
  <c r="J67" i="5"/>
  <c r="A73" i="3"/>
  <c r="K72" i="3"/>
  <c r="L72" i="3" s="1"/>
  <c r="A69" i="5" l="1"/>
  <c r="J68" i="5"/>
  <c r="A74" i="3"/>
  <c r="K73" i="3"/>
  <c r="L73" i="3" s="1"/>
  <c r="A70" i="5" l="1"/>
  <c r="J69" i="5"/>
  <c r="A75" i="3"/>
  <c r="K74" i="3"/>
  <c r="L74" i="3" s="1"/>
  <c r="A71" i="5" l="1"/>
  <c r="J70" i="5"/>
  <c r="A76" i="3"/>
  <c r="K75" i="3"/>
  <c r="L75" i="3" s="1"/>
  <c r="A72" i="5" l="1"/>
  <c r="J71" i="5"/>
  <c r="A77" i="3"/>
  <c r="K76" i="3"/>
  <c r="L76" i="3" s="1"/>
  <c r="A73" i="5" l="1"/>
  <c r="J72" i="5"/>
  <c r="A78" i="3"/>
  <c r="K77" i="3"/>
  <c r="L77" i="3" s="1"/>
  <c r="A74" i="5" l="1"/>
  <c r="J73" i="5"/>
  <c r="A79" i="3"/>
  <c r="K78" i="3"/>
  <c r="L78" i="3" s="1"/>
  <c r="A75" i="5" l="1"/>
  <c r="J74" i="5"/>
  <c r="A80" i="3"/>
  <c r="K79" i="3"/>
  <c r="L79" i="3" s="1"/>
  <c r="A76" i="5" l="1"/>
  <c r="J75" i="5"/>
  <c r="A81" i="3"/>
  <c r="K80" i="3"/>
  <c r="L80" i="3" s="1"/>
  <c r="A77" i="5" l="1"/>
  <c r="J76" i="5"/>
  <c r="A82" i="3"/>
  <c r="K81" i="3"/>
  <c r="L81" i="3" s="1"/>
  <c r="A78" i="5" l="1"/>
  <c r="J77" i="5"/>
  <c r="A83" i="3"/>
  <c r="K82" i="3"/>
  <c r="L82" i="3" s="1"/>
  <c r="A79" i="5" l="1"/>
  <c r="J78" i="5"/>
  <c r="A84" i="3"/>
  <c r="K83" i="3"/>
  <c r="L83" i="3" s="1"/>
  <c r="A80" i="5" l="1"/>
  <c r="J79" i="5"/>
  <c r="A85" i="3"/>
  <c r="K84" i="3"/>
  <c r="L84" i="3" s="1"/>
  <c r="A81" i="5" l="1"/>
  <c r="J80" i="5"/>
  <c r="A86" i="3"/>
  <c r="K85" i="3"/>
  <c r="L85" i="3" s="1"/>
  <c r="A82" i="5" l="1"/>
  <c r="J81" i="5"/>
  <c r="A87" i="3"/>
  <c r="K86" i="3"/>
  <c r="L86" i="3" s="1"/>
  <c r="A83" i="5" l="1"/>
  <c r="J82" i="5"/>
  <c r="A88" i="3"/>
  <c r="K87" i="3"/>
  <c r="L87" i="3" s="1"/>
  <c r="A84" i="5" l="1"/>
  <c r="J83" i="5"/>
  <c r="A89" i="3"/>
  <c r="K88" i="3"/>
  <c r="L88" i="3" s="1"/>
  <c r="A85" i="5" l="1"/>
  <c r="J84" i="5"/>
  <c r="A90" i="3"/>
  <c r="K89" i="3"/>
  <c r="L89" i="3" s="1"/>
  <c r="A86" i="5" l="1"/>
  <c r="J85" i="5"/>
  <c r="A91" i="3"/>
  <c r="K90" i="3"/>
  <c r="L90" i="3" s="1"/>
  <c r="A87" i="5" l="1"/>
  <c r="J86" i="5"/>
  <c r="A92" i="3"/>
  <c r="K91" i="3"/>
  <c r="L91" i="3" s="1"/>
  <c r="A88" i="5" l="1"/>
  <c r="J87" i="5"/>
  <c r="A93" i="3"/>
  <c r="K92" i="3"/>
  <c r="L92" i="3" s="1"/>
  <c r="A89" i="5" l="1"/>
  <c r="J88" i="5"/>
  <c r="A94" i="3"/>
  <c r="K93" i="3"/>
  <c r="L93" i="3" s="1"/>
  <c r="A90" i="5" l="1"/>
  <c r="J89" i="5"/>
  <c r="A95" i="3"/>
  <c r="K94" i="3"/>
  <c r="L94" i="3" s="1"/>
  <c r="A91" i="5" l="1"/>
  <c r="J90" i="5"/>
  <c r="A96" i="3"/>
  <c r="K95" i="3"/>
  <c r="L95" i="3" s="1"/>
  <c r="A92" i="5" l="1"/>
  <c r="J91" i="5"/>
  <c r="A97" i="3"/>
  <c r="K96" i="3"/>
  <c r="L96" i="3" s="1"/>
  <c r="A93" i="5" l="1"/>
  <c r="J92" i="5"/>
  <c r="A98" i="3"/>
  <c r="K97" i="3"/>
  <c r="L97" i="3" s="1"/>
  <c r="A94" i="5" l="1"/>
  <c r="J93" i="5"/>
  <c r="A99" i="3"/>
  <c r="K98" i="3"/>
  <c r="L98" i="3" s="1"/>
  <c r="A95" i="5" l="1"/>
  <c r="J94" i="5"/>
  <c r="A100" i="3"/>
  <c r="K99" i="3"/>
  <c r="L99" i="3" s="1"/>
  <c r="A96" i="5" l="1"/>
  <c r="J95" i="5"/>
  <c r="A101" i="3"/>
  <c r="K100" i="3"/>
  <c r="L100" i="3" s="1"/>
  <c r="A97" i="5" l="1"/>
  <c r="J96" i="5"/>
  <c r="A102" i="3"/>
  <c r="K101" i="3"/>
  <c r="L101" i="3" s="1"/>
  <c r="A98" i="5" l="1"/>
  <c r="J97" i="5"/>
  <c r="A103" i="3"/>
  <c r="K102" i="3"/>
  <c r="L102" i="3" s="1"/>
  <c r="A99" i="5" l="1"/>
  <c r="J98" i="5"/>
  <c r="A104" i="3"/>
  <c r="K103" i="3"/>
  <c r="L103" i="3" s="1"/>
  <c r="A100" i="5" l="1"/>
  <c r="J99" i="5"/>
  <c r="K104" i="3"/>
  <c r="L104" i="3" s="1"/>
  <c r="A105" i="3"/>
  <c r="A101" i="5" l="1"/>
  <c r="J100" i="5"/>
  <c r="K105" i="3"/>
  <c r="L105" i="3" s="1"/>
  <c r="A106" i="3"/>
  <c r="A102" i="5" l="1"/>
  <c r="J101" i="5"/>
  <c r="A107" i="3"/>
  <c r="K106" i="3"/>
  <c r="L106" i="3" s="1"/>
  <c r="A103" i="5" l="1"/>
  <c r="J102" i="5"/>
  <c r="A108" i="3"/>
  <c r="K107" i="3"/>
  <c r="L107" i="3" s="1"/>
  <c r="A104" i="5" l="1"/>
  <c r="J103" i="5"/>
  <c r="A109" i="3"/>
  <c r="K108" i="3"/>
  <c r="L108" i="3" s="1"/>
  <c r="A105" i="5" l="1"/>
  <c r="J104" i="5"/>
  <c r="A110" i="3"/>
  <c r="K109" i="3"/>
  <c r="L109" i="3" s="1"/>
  <c r="A106" i="5" l="1"/>
  <c r="J105" i="5"/>
  <c r="A111" i="3"/>
  <c r="K110" i="3"/>
  <c r="L110" i="3" s="1"/>
  <c r="A107" i="5" l="1"/>
  <c r="J106" i="5"/>
  <c r="A112" i="3"/>
  <c r="K111" i="3"/>
  <c r="L111" i="3" s="1"/>
  <c r="A108" i="5" l="1"/>
  <c r="J107" i="5"/>
  <c r="A113" i="3"/>
  <c r="K112" i="3"/>
  <c r="L112" i="3" s="1"/>
  <c r="A109" i="5" l="1"/>
  <c r="J108" i="5"/>
  <c r="A114" i="3"/>
  <c r="K113" i="3"/>
  <c r="L113" i="3" s="1"/>
  <c r="A110" i="5" l="1"/>
  <c r="J109" i="5"/>
  <c r="A115" i="3"/>
  <c r="K114" i="3"/>
  <c r="L114" i="3" s="1"/>
  <c r="A111" i="5" l="1"/>
  <c r="J110" i="5"/>
  <c r="A116" i="3"/>
  <c r="K115" i="3"/>
  <c r="L115" i="3" s="1"/>
  <c r="A112" i="5" l="1"/>
  <c r="J111" i="5"/>
  <c r="A117" i="3"/>
  <c r="K116" i="3"/>
  <c r="L116" i="3" s="1"/>
  <c r="A113" i="5" l="1"/>
  <c r="J112" i="5"/>
  <c r="K117" i="3"/>
  <c r="L117" i="3" s="1"/>
  <c r="A118" i="3"/>
  <c r="A114" i="5" l="1"/>
  <c r="J113" i="5"/>
  <c r="A119" i="3"/>
  <c r="K118" i="3"/>
  <c r="L118" i="3" s="1"/>
  <c r="A115" i="5" l="1"/>
  <c r="J114" i="5"/>
  <c r="A120" i="3"/>
  <c r="K119" i="3"/>
  <c r="L119" i="3" s="1"/>
  <c r="A116" i="5" l="1"/>
  <c r="J115" i="5"/>
  <c r="A121" i="3"/>
  <c r="K120" i="3"/>
  <c r="L120" i="3" s="1"/>
  <c r="A117" i="5" l="1"/>
  <c r="J116" i="5"/>
  <c r="A122" i="3"/>
  <c r="K121" i="3"/>
  <c r="L121" i="3" s="1"/>
  <c r="A118" i="5" l="1"/>
  <c r="J117" i="5"/>
  <c r="A123" i="3"/>
  <c r="K122" i="3"/>
  <c r="L122" i="3" s="1"/>
  <c r="A119" i="5" l="1"/>
  <c r="J118" i="5"/>
  <c r="A124" i="3"/>
  <c r="K123" i="3"/>
  <c r="L123" i="3" s="1"/>
  <c r="A120" i="5" l="1"/>
  <c r="J119" i="5"/>
  <c r="A125" i="3"/>
  <c r="K124" i="3"/>
  <c r="L124" i="3" s="1"/>
  <c r="A121" i="5" l="1"/>
  <c r="J120" i="5"/>
  <c r="A126" i="3"/>
  <c r="K125" i="3"/>
  <c r="L125" i="3" s="1"/>
  <c r="A122" i="5" l="1"/>
  <c r="J121" i="5"/>
  <c r="A127" i="3"/>
  <c r="K126" i="3"/>
  <c r="L126" i="3" s="1"/>
  <c r="A123" i="5" l="1"/>
  <c r="J122" i="5"/>
  <c r="A128" i="3"/>
  <c r="K127" i="3"/>
  <c r="L127" i="3" s="1"/>
  <c r="A124" i="5" l="1"/>
  <c r="J123" i="5"/>
  <c r="A129" i="3"/>
  <c r="K128" i="3"/>
  <c r="L128" i="3" s="1"/>
  <c r="A125" i="5" l="1"/>
  <c r="J124" i="5"/>
  <c r="K129" i="3"/>
  <c r="L129" i="3" s="1"/>
  <c r="A130" i="3"/>
  <c r="A126" i="5" l="1"/>
  <c r="J125" i="5"/>
  <c r="A131" i="3"/>
  <c r="K130" i="3"/>
  <c r="L130" i="3" s="1"/>
  <c r="A127" i="5" l="1"/>
  <c r="J126" i="5"/>
  <c r="A132" i="3"/>
  <c r="K131" i="3"/>
  <c r="L131" i="3" s="1"/>
  <c r="A128" i="5" l="1"/>
  <c r="J127" i="5"/>
  <c r="A133" i="3"/>
  <c r="K132" i="3"/>
  <c r="L132" i="3" s="1"/>
  <c r="A129" i="5" l="1"/>
  <c r="J128" i="5"/>
  <c r="A134" i="3"/>
  <c r="K133" i="3"/>
  <c r="L133" i="3" s="1"/>
  <c r="A130" i="5" l="1"/>
  <c r="J129" i="5"/>
  <c r="A135" i="3"/>
  <c r="K134" i="3"/>
  <c r="L134" i="3" s="1"/>
  <c r="A131" i="5" l="1"/>
  <c r="J130" i="5"/>
  <c r="A136" i="3"/>
  <c r="K135" i="3"/>
  <c r="L135" i="3" s="1"/>
  <c r="A132" i="5" l="1"/>
  <c r="J131" i="5"/>
  <c r="A137" i="3"/>
  <c r="K136" i="3"/>
  <c r="L136" i="3" s="1"/>
  <c r="A133" i="5" l="1"/>
  <c r="J132" i="5"/>
  <c r="A138" i="3"/>
  <c r="K137" i="3"/>
  <c r="L137" i="3" s="1"/>
  <c r="A134" i="5" l="1"/>
  <c r="J133" i="5"/>
  <c r="A139" i="3"/>
  <c r="K138" i="3"/>
  <c r="L138" i="3" s="1"/>
  <c r="A135" i="5" l="1"/>
  <c r="J134" i="5"/>
  <c r="A140" i="3"/>
  <c r="K139" i="3"/>
  <c r="L139" i="3" s="1"/>
  <c r="A136" i="5" l="1"/>
  <c r="J135" i="5"/>
  <c r="A141" i="3"/>
  <c r="K140" i="3"/>
  <c r="L140" i="3" s="1"/>
  <c r="A137" i="5" l="1"/>
  <c r="J136" i="5"/>
  <c r="K141" i="3"/>
  <c r="L141" i="3" s="1"/>
  <c r="A142" i="3"/>
  <c r="A138" i="5" l="1"/>
  <c r="J137" i="5"/>
  <c r="A143" i="3"/>
  <c r="K142" i="3"/>
  <c r="L142" i="3" s="1"/>
  <c r="A139" i="5" l="1"/>
  <c r="J138" i="5"/>
  <c r="A144" i="3"/>
  <c r="K143" i="3"/>
  <c r="L143" i="3" s="1"/>
  <c r="A140" i="5" l="1"/>
  <c r="J139" i="5"/>
  <c r="A145" i="3"/>
  <c r="K144" i="3"/>
  <c r="L144" i="3" s="1"/>
  <c r="A141" i="5" l="1"/>
  <c r="J140" i="5"/>
  <c r="A146" i="3"/>
  <c r="K145" i="3"/>
  <c r="L145" i="3" s="1"/>
  <c r="A142" i="5" l="1"/>
  <c r="J141" i="5"/>
  <c r="A147" i="3"/>
  <c r="K146" i="3"/>
  <c r="L146" i="3" s="1"/>
  <c r="A143" i="5" l="1"/>
  <c r="J142" i="5"/>
  <c r="A148" i="3"/>
  <c r="K147" i="3"/>
  <c r="L147" i="3" s="1"/>
  <c r="A144" i="5" l="1"/>
  <c r="J143" i="5"/>
  <c r="A149" i="3"/>
  <c r="K148" i="3"/>
  <c r="L148" i="3" s="1"/>
  <c r="A145" i="5" l="1"/>
  <c r="J144" i="5"/>
  <c r="A150" i="3"/>
  <c r="K149" i="3"/>
  <c r="L149" i="3" s="1"/>
  <c r="A146" i="5" l="1"/>
  <c r="J145" i="5"/>
  <c r="A151" i="3"/>
  <c r="K150" i="3"/>
  <c r="L150" i="3" s="1"/>
  <c r="A147" i="5" l="1"/>
  <c r="J146" i="5"/>
  <c r="A152" i="3"/>
  <c r="K151" i="3"/>
  <c r="L151" i="3" s="1"/>
  <c r="A148" i="5" l="1"/>
  <c r="J147" i="5"/>
  <c r="K152" i="3"/>
  <c r="L152" i="3" s="1"/>
  <c r="A153" i="3"/>
  <c r="A149" i="5" l="1"/>
  <c r="J148" i="5"/>
  <c r="K153" i="3"/>
  <c r="L153" i="3" s="1"/>
  <c r="A154" i="3"/>
  <c r="A150" i="5" l="1"/>
  <c r="J149" i="5"/>
  <c r="A155" i="3"/>
  <c r="K154" i="3"/>
  <c r="L154" i="3" s="1"/>
  <c r="A151" i="5" l="1"/>
  <c r="J150" i="5"/>
  <c r="A156" i="3"/>
  <c r="K155" i="3"/>
  <c r="L155" i="3" s="1"/>
  <c r="A152" i="5" l="1"/>
  <c r="J151" i="5"/>
  <c r="A157" i="3"/>
  <c r="K156" i="3"/>
  <c r="L156" i="3" s="1"/>
  <c r="A153" i="5" l="1"/>
  <c r="J152" i="5"/>
  <c r="A158" i="3"/>
  <c r="K157" i="3"/>
  <c r="L157" i="3" s="1"/>
  <c r="A154" i="5" l="1"/>
  <c r="J153" i="5"/>
  <c r="A159" i="3"/>
  <c r="K158" i="3"/>
  <c r="L158" i="3" s="1"/>
  <c r="A155" i="5" l="1"/>
  <c r="J154" i="5"/>
  <c r="A160" i="3"/>
  <c r="K159" i="3"/>
  <c r="L159" i="3" s="1"/>
  <c r="A156" i="5" l="1"/>
  <c r="J155" i="5"/>
  <c r="A161" i="3"/>
  <c r="K160" i="3"/>
  <c r="L160" i="3" s="1"/>
  <c r="A157" i="5" l="1"/>
  <c r="J156" i="5"/>
  <c r="A162" i="3"/>
  <c r="K161" i="3"/>
  <c r="L161" i="3" s="1"/>
  <c r="A158" i="5" l="1"/>
  <c r="J157" i="5"/>
  <c r="A163" i="3"/>
  <c r="K162" i="3"/>
  <c r="L162" i="3" s="1"/>
  <c r="A159" i="5" l="1"/>
  <c r="J158" i="5"/>
  <c r="A164" i="3"/>
  <c r="K163" i="3"/>
  <c r="L163" i="3" s="1"/>
  <c r="A160" i="5" l="1"/>
  <c r="J159" i="5"/>
  <c r="A165" i="3"/>
  <c r="K164" i="3"/>
  <c r="L164" i="3" s="1"/>
  <c r="A161" i="5" l="1"/>
  <c r="J160" i="5"/>
  <c r="K165" i="3"/>
  <c r="L165" i="3" s="1"/>
  <c r="A166" i="3"/>
  <c r="A162" i="5" l="1"/>
  <c r="J161" i="5"/>
  <c r="K166" i="3"/>
  <c r="L166" i="3" s="1"/>
  <c r="A167" i="3"/>
  <c r="A163" i="5" l="1"/>
  <c r="J162" i="5"/>
  <c r="A168" i="3"/>
  <c r="K167" i="3"/>
  <c r="L167" i="3" s="1"/>
  <c r="A164" i="5" l="1"/>
  <c r="J163" i="5"/>
  <c r="A169" i="3"/>
  <c r="K168" i="3"/>
  <c r="L168" i="3" s="1"/>
  <c r="A165" i="5" l="1"/>
  <c r="J164" i="5"/>
  <c r="A170" i="3"/>
  <c r="K169" i="3"/>
  <c r="L169" i="3" s="1"/>
  <c r="A166" i="5" l="1"/>
  <c r="J165" i="5"/>
  <c r="A171" i="3"/>
  <c r="K170" i="3"/>
  <c r="L170" i="3" s="1"/>
  <c r="A167" i="5" l="1"/>
  <c r="J166" i="5"/>
  <c r="A172" i="3"/>
  <c r="K171" i="3"/>
  <c r="L171" i="3" s="1"/>
  <c r="A168" i="5" l="1"/>
  <c r="J167" i="5"/>
  <c r="A173" i="3"/>
  <c r="K172" i="3"/>
  <c r="L172" i="3" s="1"/>
  <c r="A169" i="5" l="1"/>
  <c r="J168" i="5"/>
  <c r="A174" i="3"/>
  <c r="K173" i="3"/>
  <c r="L173" i="3" s="1"/>
  <c r="A170" i="5" l="1"/>
  <c r="J169" i="5"/>
  <c r="A175" i="3"/>
  <c r="K174" i="3"/>
  <c r="L174" i="3" s="1"/>
  <c r="A171" i="5" l="1"/>
  <c r="J170" i="5"/>
  <c r="A176" i="3"/>
  <c r="K175" i="3"/>
  <c r="L175" i="3" s="1"/>
  <c r="A172" i="5" l="1"/>
  <c r="J171" i="5"/>
  <c r="A177" i="3"/>
  <c r="K176" i="3"/>
  <c r="L176" i="3" s="1"/>
  <c r="A173" i="5" l="1"/>
  <c r="J172" i="5"/>
  <c r="A178" i="3"/>
  <c r="K177" i="3"/>
  <c r="L177" i="3" s="1"/>
  <c r="A174" i="5" l="1"/>
  <c r="J173" i="5"/>
  <c r="A179" i="3"/>
  <c r="K178" i="3"/>
  <c r="L178" i="3" s="1"/>
  <c r="A175" i="5" l="1"/>
  <c r="J174" i="5"/>
  <c r="K179" i="3"/>
  <c r="L179" i="3" s="1"/>
  <c r="A176" i="5" l="1"/>
  <c r="J175" i="5"/>
  <c r="A177" i="5" l="1"/>
  <c r="J176" i="5"/>
  <c r="A178" i="5" l="1"/>
  <c r="J177" i="5"/>
  <c r="A179" i="5" l="1"/>
  <c r="J178" i="5"/>
  <c r="A180" i="5" l="1"/>
  <c r="J179" i="5"/>
  <c r="A181" i="5" l="1"/>
  <c r="J180" i="5"/>
  <c r="A182" i="5" l="1"/>
  <c r="J181" i="5"/>
  <c r="A183" i="5" l="1"/>
  <c r="J182" i="5"/>
  <c r="A184" i="5" l="1"/>
  <c r="J183" i="5"/>
  <c r="A185" i="5" l="1"/>
  <c r="J184" i="5"/>
  <c r="A186" i="5" l="1"/>
  <c r="J185" i="5"/>
  <c r="A187" i="5" l="1"/>
  <c r="J186" i="5"/>
  <c r="A188" i="5" l="1"/>
  <c r="J187" i="5"/>
  <c r="A189" i="5" l="1"/>
  <c r="J188" i="5"/>
  <c r="A190" i="5" l="1"/>
  <c r="J189" i="5"/>
  <c r="A191" i="5" l="1"/>
  <c r="J190" i="5"/>
  <c r="A192" i="5" l="1"/>
  <c r="J191" i="5"/>
  <c r="A193" i="5" l="1"/>
  <c r="J192" i="5"/>
  <c r="A194" i="5" l="1"/>
  <c r="J193" i="5"/>
  <c r="A195" i="5" l="1"/>
  <c r="J194" i="5"/>
  <c r="A196" i="5" l="1"/>
  <c r="J195" i="5"/>
  <c r="A197" i="5" l="1"/>
  <c r="J196" i="5"/>
  <c r="A198" i="5" l="1"/>
  <c r="J197" i="5"/>
  <c r="A199" i="5" l="1"/>
  <c r="J198" i="5"/>
  <c r="A200" i="5" l="1"/>
  <c r="J199" i="5"/>
  <c r="A201" i="5" l="1"/>
  <c r="J200" i="5"/>
  <c r="A202" i="5" l="1"/>
  <c r="J201" i="5"/>
  <c r="A203" i="5" l="1"/>
  <c r="J202" i="5"/>
  <c r="A204" i="5" l="1"/>
  <c r="J203" i="5"/>
  <c r="A205" i="5" l="1"/>
  <c r="J204" i="5"/>
  <c r="A206" i="5" l="1"/>
  <c r="J205" i="5"/>
  <c r="A207" i="5" l="1"/>
  <c r="J206" i="5"/>
  <c r="A208" i="5" l="1"/>
  <c r="J207" i="5"/>
  <c r="A209" i="5" l="1"/>
  <c r="J208" i="5"/>
  <c r="A210" i="5" l="1"/>
  <c r="J209" i="5"/>
  <c r="A211" i="5" l="1"/>
  <c r="J210" i="5"/>
  <c r="A212" i="5" l="1"/>
  <c r="J211" i="5"/>
  <c r="A213" i="5" l="1"/>
  <c r="J212" i="5"/>
  <c r="A214" i="5" l="1"/>
  <c r="J213" i="5"/>
  <c r="A215" i="5" l="1"/>
  <c r="J214" i="5"/>
  <c r="A216" i="5" l="1"/>
  <c r="J215" i="5"/>
  <c r="A217" i="5" l="1"/>
  <c r="J216" i="5"/>
  <c r="A218" i="5" l="1"/>
  <c r="J217" i="5"/>
  <c r="A219" i="5" l="1"/>
  <c r="J218" i="5"/>
  <c r="A220" i="5" l="1"/>
  <c r="J219" i="5"/>
  <c r="A221" i="5" l="1"/>
  <c r="J220" i="5"/>
  <c r="A222" i="5" l="1"/>
  <c r="J221" i="5"/>
  <c r="A223" i="5" l="1"/>
  <c r="J222" i="5"/>
  <c r="A224" i="5" l="1"/>
  <c r="J223" i="5"/>
  <c r="A225" i="5" l="1"/>
  <c r="J224" i="5"/>
  <c r="A226" i="5" l="1"/>
  <c r="J225" i="5"/>
  <c r="A227" i="5" l="1"/>
  <c r="J226" i="5"/>
  <c r="A228" i="5" l="1"/>
  <c r="J227" i="5"/>
  <c r="A229" i="5" l="1"/>
  <c r="J228" i="5"/>
  <c r="A230" i="5" l="1"/>
  <c r="J229" i="5"/>
  <c r="A231" i="5" l="1"/>
  <c r="J230" i="5"/>
  <c r="A232" i="5" l="1"/>
  <c r="J231" i="5"/>
  <c r="A233" i="5" l="1"/>
  <c r="J232" i="5"/>
  <c r="A234" i="5" l="1"/>
  <c r="J233" i="5"/>
  <c r="A235" i="5" l="1"/>
  <c r="J234" i="5"/>
  <c r="A236" i="5" l="1"/>
  <c r="J235" i="5"/>
  <c r="A237" i="5" l="1"/>
  <c r="J236" i="5"/>
  <c r="A238" i="5" l="1"/>
  <c r="J237" i="5"/>
  <c r="A239" i="5" l="1"/>
  <c r="J238" i="5"/>
  <c r="A240" i="5" l="1"/>
  <c r="J239" i="5"/>
  <c r="A241" i="5" l="1"/>
  <c r="J240" i="5"/>
  <c r="A242" i="5" l="1"/>
  <c r="J241" i="5"/>
  <c r="A243" i="5" l="1"/>
  <c r="J242" i="5"/>
  <c r="A244" i="5" l="1"/>
  <c r="J243" i="5"/>
  <c r="A245" i="5" l="1"/>
  <c r="J244" i="5"/>
  <c r="A246" i="5" l="1"/>
  <c r="J245" i="5"/>
  <c r="A247" i="5" l="1"/>
  <c r="J246" i="5"/>
  <c r="A248" i="5" l="1"/>
  <c r="J247" i="5"/>
  <c r="A249" i="5" l="1"/>
  <c r="J248" i="5"/>
  <c r="A250" i="5" l="1"/>
  <c r="J249" i="5"/>
  <c r="A251" i="5" l="1"/>
  <c r="J250" i="5"/>
  <c r="A252" i="5" l="1"/>
  <c r="J251" i="5"/>
  <c r="A253" i="5" l="1"/>
  <c r="J252" i="5"/>
  <c r="A254" i="5" l="1"/>
  <c r="J253" i="5"/>
  <c r="A255" i="5" l="1"/>
  <c r="J254" i="5"/>
  <c r="A256" i="5" l="1"/>
  <c r="J255" i="5"/>
  <c r="A257" i="5" l="1"/>
  <c r="J256" i="5"/>
  <c r="A258" i="5" l="1"/>
  <c r="J257" i="5"/>
  <c r="A259" i="5" l="1"/>
  <c r="J258" i="5"/>
  <c r="A260" i="5" l="1"/>
  <c r="J259" i="5"/>
  <c r="A261" i="5" l="1"/>
  <c r="J260" i="5"/>
  <c r="A262" i="5" l="1"/>
  <c r="J261" i="5"/>
  <c r="A263" i="5" l="1"/>
  <c r="J262" i="5"/>
  <c r="A264" i="5" l="1"/>
  <c r="J263" i="5"/>
  <c r="A265" i="5" l="1"/>
  <c r="J264" i="5"/>
  <c r="A266" i="5" l="1"/>
  <c r="J265" i="5"/>
  <c r="A267" i="5" l="1"/>
  <c r="J266" i="5"/>
  <c r="A268" i="5" l="1"/>
  <c r="J267" i="5"/>
  <c r="A269" i="5" l="1"/>
  <c r="J268" i="5"/>
  <c r="A270" i="5" l="1"/>
  <c r="J269" i="5"/>
  <c r="A271" i="5" l="1"/>
  <c r="J270" i="5"/>
  <c r="A272" i="5" l="1"/>
  <c r="J271" i="5"/>
  <c r="A273" i="5" l="1"/>
  <c r="J272" i="5"/>
  <c r="A274" i="5" l="1"/>
  <c r="J273" i="5"/>
  <c r="A275" i="5" l="1"/>
  <c r="J274" i="5"/>
  <c r="A276" i="5" l="1"/>
  <c r="J275" i="5"/>
  <c r="A277" i="5" l="1"/>
  <c r="J276" i="5"/>
  <c r="A278" i="5" l="1"/>
  <c r="J277" i="5"/>
  <c r="A279" i="5" l="1"/>
  <c r="J278" i="5"/>
  <c r="A280" i="5" l="1"/>
  <c r="J279" i="5"/>
  <c r="A281" i="5" l="1"/>
  <c r="J280" i="5"/>
  <c r="A282" i="5" l="1"/>
  <c r="J281" i="5"/>
  <c r="A283" i="5" l="1"/>
  <c r="J282" i="5"/>
  <c r="A284" i="5" l="1"/>
  <c r="J283" i="5"/>
  <c r="A285" i="5" l="1"/>
  <c r="J284" i="5"/>
  <c r="A286" i="5" l="1"/>
  <c r="J285" i="5"/>
  <c r="A287" i="5" l="1"/>
  <c r="J286" i="5"/>
  <c r="A288" i="5" l="1"/>
  <c r="J287" i="5"/>
  <c r="A289" i="5" l="1"/>
  <c r="J288" i="5"/>
  <c r="A290" i="5" l="1"/>
  <c r="J289" i="5"/>
  <c r="A291" i="5" l="1"/>
  <c r="J290" i="5"/>
  <c r="A292" i="5" l="1"/>
  <c r="J291" i="5"/>
  <c r="A293" i="5" l="1"/>
  <c r="J292" i="5"/>
  <c r="A294" i="5" l="1"/>
  <c r="J293" i="5"/>
  <c r="A295" i="5" l="1"/>
  <c r="J294" i="5"/>
  <c r="A296" i="5" l="1"/>
  <c r="J295" i="5"/>
  <c r="A297" i="5" l="1"/>
  <c r="J296" i="5"/>
  <c r="A298" i="5" l="1"/>
  <c r="J297" i="5"/>
  <c r="A299" i="5" l="1"/>
  <c r="J298" i="5"/>
  <c r="A300" i="5" l="1"/>
  <c r="J299" i="5"/>
  <c r="A301" i="5" l="1"/>
  <c r="J300" i="5"/>
  <c r="A302" i="5" l="1"/>
  <c r="J301" i="5"/>
  <c r="A303" i="5" l="1"/>
  <c r="J302" i="5"/>
  <c r="A304" i="5" l="1"/>
  <c r="J303" i="5"/>
  <c r="A305" i="5" l="1"/>
  <c r="J304" i="5"/>
  <c r="A306" i="5" l="1"/>
  <c r="J305" i="5"/>
  <c r="A307" i="5" l="1"/>
  <c r="J306" i="5"/>
  <c r="A308" i="5" l="1"/>
  <c r="J307" i="5"/>
  <c r="A309" i="5" l="1"/>
  <c r="J308" i="5"/>
  <c r="A310" i="5" l="1"/>
  <c r="J309" i="5"/>
  <c r="A311" i="5" l="1"/>
  <c r="J310" i="5"/>
  <c r="A312" i="5" l="1"/>
  <c r="J311" i="5"/>
  <c r="A313" i="5" l="1"/>
  <c r="J312" i="5"/>
  <c r="A314" i="5" l="1"/>
  <c r="J313" i="5"/>
  <c r="A315" i="5" l="1"/>
  <c r="J314" i="5"/>
  <c r="A316" i="5" l="1"/>
  <c r="J315" i="5"/>
  <c r="A317" i="5" l="1"/>
  <c r="J316" i="5"/>
  <c r="A318" i="5" l="1"/>
  <c r="J317" i="5"/>
  <c r="A319" i="5" l="1"/>
  <c r="J318" i="5"/>
  <c r="A320" i="5" l="1"/>
  <c r="J319" i="5"/>
  <c r="A321" i="5" l="1"/>
  <c r="J320" i="5"/>
  <c r="A322" i="5" l="1"/>
  <c r="J321" i="5"/>
  <c r="A323" i="5" l="1"/>
  <c r="J322" i="5"/>
  <c r="A324" i="5" l="1"/>
  <c r="J323" i="5"/>
  <c r="A325" i="5" l="1"/>
  <c r="J324" i="5"/>
  <c r="A326" i="5" l="1"/>
  <c r="J325" i="5"/>
  <c r="A327" i="5" l="1"/>
  <c r="J326" i="5"/>
  <c r="A328" i="5" l="1"/>
  <c r="J327" i="5"/>
  <c r="A329" i="5" l="1"/>
  <c r="J329" i="5" s="1"/>
  <c r="J328" i="5"/>
</calcChain>
</file>

<file path=xl/sharedStrings.xml><?xml version="1.0" encoding="utf-8"?>
<sst xmlns="http://schemas.openxmlformats.org/spreadsheetml/2006/main" count="4630" uniqueCount="1446">
  <si>
    <t>Nível</t>
  </si>
  <si>
    <t>LICENCIATURA</t>
  </si>
  <si>
    <t>Carrera</t>
  </si>
  <si>
    <t>Grupo</t>
  </si>
  <si>
    <t xml:space="preserve">TC 0503 1 </t>
  </si>
  <si>
    <t xml:space="preserve">TC 0503 2 </t>
  </si>
  <si>
    <t xml:space="preserve">TC 0601 1 </t>
  </si>
  <si>
    <t xml:space="preserve">TC 0603 1 </t>
  </si>
  <si>
    <t xml:space="preserve">TC 0801   </t>
  </si>
  <si>
    <t xml:space="preserve">TC0201 1  </t>
  </si>
  <si>
    <t xml:space="preserve">TC0201 2  </t>
  </si>
  <si>
    <t xml:space="preserve">TC0201 3  </t>
  </si>
  <si>
    <t xml:space="preserve">TC0201 4  </t>
  </si>
  <si>
    <t xml:space="preserve">TC0201 5  </t>
  </si>
  <si>
    <t xml:space="preserve">TC0201 6  </t>
  </si>
  <si>
    <t xml:space="preserve">TC0201 7  </t>
  </si>
  <si>
    <t xml:space="preserve">TC0201 8  </t>
  </si>
  <si>
    <t xml:space="preserve">TC0202 1  </t>
  </si>
  <si>
    <t xml:space="preserve">TC0202 2  </t>
  </si>
  <si>
    <t xml:space="preserve">TC0202 3  </t>
  </si>
  <si>
    <t xml:space="preserve">TC0202 4  </t>
  </si>
  <si>
    <t xml:space="preserve">TC0202 5  </t>
  </si>
  <si>
    <t xml:space="preserve">TC0202 6  </t>
  </si>
  <si>
    <t xml:space="preserve">TC0202 7  </t>
  </si>
  <si>
    <t xml:space="preserve">TC0202 8  </t>
  </si>
  <si>
    <t xml:space="preserve">TC0401 1  </t>
  </si>
  <si>
    <t xml:space="preserve">TC0401 2  </t>
  </si>
  <si>
    <t xml:space="preserve">TC0401 3  </t>
  </si>
  <si>
    <t xml:space="preserve">TC0401 4  </t>
  </si>
  <si>
    <t xml:space="preserve">TC0401 5  </t>
  </si>
  <si>
    <t xml:space="preserve">TC0401 6  </t>
  </si>
  <si>
    <t xml:space="preserve">TC0401 7  </t>
  </si>
  <si>
    <t xml:space="preserve">TC0402 1  </t>
  </si>
  <si>
    <t xml:space="preserve">TC0402 2  </t>
  </si>
  <si>
    <t xml:space="preserve">TC0402 3  </t>
  </si>
  <si>
    <t xml:space="preserve">TC0402 4  </t>
  </si>
  <si>
    <t xml:space="preserve">TC0402 5  </t>
  </si>
  <si>
    <t xml:space="preserve">TC0402 6  </t>
  </si>
  <si>
    <t xml:space="preserve">TC0402 7  </t>
  </si>
  <si>
    <t xml:space="preserve">TC0601 2  </t>
  </si>
  <si>
    <t xml:space="preserve">TC0601 3  </t>
  </si>
  <si>
    <t xml:space="preserve">TC0601 4  </t>
  </si>
  <si>
    <t xml:space="preserve">TC0601 5  </t>
  </si>
  <si>
    <t xml:space="preserve">TC0603 1  </t>
  </si>
  <si>
    <t xml:space="preserve">TC0603 2  </t>
  </si>
  <si>
    <t xml:space="preserve">TC0603 3  </t>
  </si>
  <si>
    <t xml:space="preserve">TC0603 4  </t>
  </si>
  <si>
    <t xml:space="preserve">TC0603 5  </t>
  </si>
  <si>
    <t xml:space="preserve">TC0603 6  </t>
  </si>
  <si>
    <t xml:space="preserve">TC0801 2  </t>
  </si>
  <si>
    <t xml:space="preserve">TC0801 3  </t>
  </si>
  <si>
    <t xml:space="preserve">TC0801 4  </t>
  </si>
  <si>
    <t xml:space="preserve">TC0801 5  </t>
  </si>
  <si>
    <t>TIDIOMAS_1</t>
  </si>
  <si>
    <t>TIDIOMAS_2</t>
  </si>
  <si>
    <t>TIDIOMAS_3</t>
  </si>
  <si>
    <t>TIDIOMAS_4</t>
  </si>
  <si>
    <t>TIDIOMAS_5</t>
  </si>
  <si>
    <t>TIDIOMAS_6</t>
  </si>
  <si>
    <t>TIDIOMAS_7</t>
  </si>
  <si>
    <t xml:space="preserve">ADMON 2°  </t>
  </si>
  <si>
    <t xml:space="preserve">ADMON 4°  </t>
  </si>
  <si>
    <t xml:space="preserve">ADMON 6°  </t>
  </si>
  <si>
    <t xml:space="preserve">ADMON 8°  </t>
  </si>
  <si>
    <t xml:space="preserve">ANIM 2°   </t>
  </si>
  <si>
    <t xml:space="preserve">ANIM 4°   </t>
  </si>
  <si>
    <t xml:space="preserve">ANIM 6°   </t>
  </si>
  <si>
    <t xml:space="preserve">ANIM 8°   </t>
  </si>
  <si>
    <t xml:space="preserve">ARQ 2°    </t>
  </si>
  <si>
    <t xml:space="preserve">ARQ 4°    </t>
  </si>
  <si>
    <t xml:space="preserve">ARQ 6°    </t>
  </si>
  <si>
    <t xml:space="preserve">ARQ 8°    </t>
  </si>
  <si>
    <t xml:space="preserve">COM 6°    </t>
  </si>
  <si>
    <t xml:space="preserve">COM 8°    </t>
  </si>
  <si>
    <t xml:space="preserve">DER 6°    </t>
  </si>
  <si>
    <t xml:space="preserve">DER 8°    </t>
  </si>
  <si>
    <t xml:space="preserve">DGD 4°    </t>
  </si>
  <si>
    <t xml:space="preserve">DGD 6°    </t>
  </si>
  <si>
    <t xml:space="preserve">DGD 8°    </t>
  </si>
  <si>
    <t xml:space="preserve">AERO 2° A </t>
  </si>
  <si>
    <t xml:space="preserve">AERO 2° B </t>
  </si>
  <si>
    <t xml:space="preserve">AERO 4°   </t>
  </si>
  <si>
    <t xml:space="preserve">AERO 6°   </t>
  </si>
  <si>
    <t xml:space="preserve">AERO 8°   </t>
  </si>
  <si>
    <t xml:space="preserve">AERO_10°  </t>
  </si>
  <si>
    <t xml:space="preserve">AUTO 2° A </t>
  </si>
  <si>
    <t xml:space="preserve">AUTO 2° B </t>
  </si>
  <si>
    <t xml:space="preserve">AUTO 4°   </t>
  </si>
  <si>
    <t xml:space="preserve">CIB 4°    </t>
  </si>
  <si>
    <t xml:space="preserve">CIB 6°    </t>
  </si>
  <si>
    <t xml:space="preserve">CIB 8°    </t>
  </si>
  <si>
    <t xml:space="preserve">IA 2°     </t>
  </si>
  <si>
    <t xml:space="preserve">IA 4°     </t>
  </si>
  <si>
    <t xml:space="preserve">IND 4°    </t>
  </si>
  <si>
    <t xml:space="preserve">IND 8°    </t>
  </si>
  <si>
    <t xml:space="preserve">MKT 6°    </t>
  </si>
  <si>
    <t xml:space="preserve">MKT 8°    </t>
  </si>
  <si>
    <t xml:space="preserve">NUT 2°    </t>
  </si>
  <si>
    <t xml:space="preserve">NUT 4°    </t>
  </si>
  <si>
    <t xml:space="preserve">NUT 6°    </t>
  </si>
  <si>
    <t xml:space="preserve">NUT 8°    </t>
  </si>
  <si>
    <t xml:space="preserve">PSI 2°    </t>
  </si>
  <si>
    <t xml:space="preserve">PSI 4°    </t>
  </si>
  <si>
    <t xml:space="preserve">PSI 6°    </t>
  </si>
  <si>
    <t xml:space="preserve">PSI 8°    </t>
  </si>
  <si>
    <t>Nombre</t>
  </si>
  <si>
    <t>LUNA HERRERA JOSE CARLOS</t>
  </si>
  <si>
    <t>TAPIA VELAZQUEZ FRANCISCO</t>
  </si>
  <si>
    <t>CHAN  NUÑEZ MARIA ELENA</t>
  </si>
  <si>
    <t>HERNANDEZ MONTAÑO AIDA CITLALI</t>
  </si>
  <si>
    <t>AGUILAR CEBALLOS CARLA MARIANA</t>
  </si>
  <si>
    <t>FARIAS CASTELLANOS ISIS</t>
  </si>
  <si>
    <t>CASILLAS MORA MONICA DANIELA</t>
  </si>
  <si>
    <t>MARTINEZ MEDINA LILIANA</t>
  </si>
  <si>
    <t>PADILLA MARTINEZ ELSA GEORGINA</t>
  </si>
  <si>
    <t>GARCIA VAZQUEZ JOSE COSME</t>
  </si>
  <si>
    <t>TRUJILLO RODRIGUEZ ANATALIA GUADALUPE</t>
  </si>
  <si>
    <t>FAJER ROMO DANIELA</t>
  </si>
  <si>
    <t>JARAMILLO MARTINEZ PAULETTE</t>
  </si>
  <si>
    <t>NUÑEZ GONZALEZ BARBARA</t>
  </si>
  <si>
    <t>BERMUDEZ QUIROGA LEIDY CAROLINA</t>
  </si>
  <si>
    <t>BUSTAMANTE RAMIREZ LIDIA SELENE</t>
  </si>
  <si>
    <t>MESTAS LOPEZ CARLA PAULINA</t>
  </si>
  <si>
    <t>URIBE LOPEZ ALEJANDRO</t>
  </si>
  <si>
    <t>KOCH TORRES SEPTIEN MICHEL</t>
  </si>
  <si>
    <t>ESPEJO REGALADO ERIKA</t>
  </si>
  <si>
    <t>CORTES VELASCO CLAUDIA PAOLA</t>
  </si>
  <si>
    <t>GARIBAY GARCIA GABRIELA</t>
  </si>
  <si>
    <t>DE LA ROSA RICARIO MELISSA</t>
  </si>
  <si>
    <t>MONCAYO TARIN ITZEL ALABAMA</t>
  </si>
  <si>
    <t>QUIROZ ZEPEDA JUAN PABLO</t>
  </si>
  <si>
    <t>JIMENEZ ROBLES LINA ADITH</t>
  </si>
  <si>
    <t>DELGADO BEJAR RUTH</t>
  </si>
  <si>
    <t>ESCARCEGA GARCIA DE LEON MIGUEL ANGEL</t>
  </si>
  <si>
    <t>LUA HERRERA LILIANA</t>
  </si>
  <si>
    <t>MORENO CORRAL ALVARO</t>
  </si>
  <si>
    <t>OROZCO DIAZ BEATRIZ IRENE</t>
  </si>
  <si>
    <t>RODRIGUEZ ROMERO DENIS PAUL</t>
  </si>
  <si>
    <t>GUILLEN LAGUNES JOSE JAVIER</t>
  </si>
  <si>
    <t>MAGALLON RAMIREZ MARIA DEL CARMEN</t>
  </si>
  <si>
    <t>TORRES FERNANDEZ CLAUDIA CECILIA</t>
  </si>
  <si>
    <t>BUENROSTRO OLMOS JOSE LEONEL</t>
  </si>
  <si>
    <t>GOMEZ LEDEZMA JESUS ALEJANDRO</t>
  </si>
  <si>
    <t>ROMERO MACIEL LORENZA DE LA LUZ</t>
  </si>
  <si>
    <t>ACEVES REYNAGA DAVID EDUARDO</t>
  </si>
  <si>
    <t>RENTERIA JIMENEZ AMANDA JANETTE</t>
  </si>
  <si>
    <t>ABREU TEJEDA RAQUEL ABIGAIL</t>
  </si>
  <si>
    <t>DEL RIO AZCONA HECTOR RICARDO</t>
  </si>
  <si>
    <t>FLORES MONTAÑO SAUL EMMANUEL</t>
  </si>
  <si>
    <t>HOBART GARCIA ELISA</t>
  </si>
  <si>
    <t>LOPEZ VIDAURRI FERNANDO ABIF</t>
  </si>
  <si>
    <t>MICHEL SANDOVAL LAURA LIVIER</t>
  </si>
  <si>
    <t>MORELOS VELAZQUEZ CARLA DANIELA</t>
  </si>
  <si>
    <t>ROSALES VARGAS LUCINA SARAY</t>
  </si>
  <si>
    <t>ACOSTA NUÑEZ JORGE</t>
  </si>
  <si>
    <t>AGUILAR CALLEJAS GASTON EDUARDO</t>
  </si>
  <si>
    <t>BLANQUET CHAVOYA JOSE LUIS</t>
  </si>
  <si>
    <t>GOMEZ CANALES ALAM</t>
  </si>
  <si>
    <t>HERNANDEZ GONZALEZ BARCENA NICOLE</t>
  </si>
  <si>
    <t>ZAMBRANO LOPEZ ZAIRA MARLENE</t>
  </si>
  <si>
    <t>BENITEZ LOZANO GABRIEL</t>
  </si>
  <si>
    <t>FLORES HERNANDEZ ROSA ESMERALDA</t>
  </si>
  <si>
    <t>SALCEDO RONDON JAVIER EDUARDO</t>
  </si>
  <si>
    <t>RAMIREZ ORNELAS FRANCISCO JAVIER</t>
  </si>
  <si>
    <t>ESPINO CAMPOS NYDIA</t>
  </si>
  <si>
    <t>GUDIÑO GONZALEZ JESUS ANTONIO</t>
  </si>
  <si>
    <t>MARTINEZ GOMEZ LETICIA</t>
  </si>
  <si>
    <t>MONTELONGO AGUAYO DANIEL</t>
  </si>
  <si>
    <t>PEREZ GUTIERREZ JORGE HUMBERTO</t>
  </si>
  <si>
    <t>PONCE CUEVAS JUAN</t>
  </si>
  <si>
    <t>PUJOL BECERRA ALVARO</t>
  </si>
  <si>
    <t>ASCENCIO RUBIO ALFONSO</t>
  </si>
  <si>
    <t>RAMOS RENTERIA MONTSERRAT FABIOLA</t>
  </si>
  <si>
    <t>SANCHEZ MUÑOZ JOSE JORGE</t>
  </si>
  <si>
    <t>SEGOVIANO MARTINEZ HUGO MIGUEL</t>
  </si>
  <si>
    <t>CASTELLANOS MEZA IRMA ELIZABETH</t>
  </si>
  <si>
    <t>FLORES COSIO LEONARDO</t>
  </si>
  <si>
    <t>TOSCANO RENTERIA IRMA ARACELY</t>
  </si>
  <si>
    <t>VALENZUELA CHAVIRA JOSE DANIEL</t>
  </si>
  <si>
    <t>ESPEJEL VARGAS RAUL ENRIQUE</t>
  </si>
  <si>
    <t>GARCIA RAIGOSA LUIS ANTONIO</t>
  </si>
  <si>
    <t>ONTIVEROS MURGUIA MYRIAM DEL CARMEN</t>
  </si>
  <si>
    <t>ANTOLIN LUNA MARIA DE GUADALUPE</t>
  </si>
  <si>
    <t>CASTILLO NUÑEZ PEDRO ALBERTO</t>
  </si>
  <si>
    <t>CHAVEZ PEREZ SERGIO RODOLFO</t>
  </si>
  <si>
    <t>GARCIA COVARRUBIAS LUIS RAFAEL</t>
  </si>
  <si>
    <t>GONZALEZ PULIDO ALDO EVERARDO</t>
  </si>
  <si>
    <t>PADILLA GALINDO EMMANUEL</t>
  </si>
  <si>
    <t>PINTO POMPA JULIO CESAR</t>
  </si>
  <si>
    <t>ABASCAL  CUELLAR MARIA DE LAS VIRTUDES</t>
  </si>
  <si>
    <t>CAMPOS RAMIREZ HERMES</t>
  </si>
  <si>
    <t>MANZO CASTREJON LUIS AUGUSTO</t>
  </si>
  <si>
    <t>MONTERO LOPEZ STEPHANY ELIZABETH</t>
  </si>
  <si>
    <t>RIVERO CARRERA ARTURO</t>
  </si>
  <si>
    <t>BAUTISTA PARRA CLAUDIA LUCIA</t>
  </si>
  <si>
    <t>FLORES GIL ARACELI</t>
  </si>
  <si>
    <t>MORENO LLAMAS HECTOR RAUL</t>
  </si>
  <si>
    <t>PEREZ ORTIZ MERCEDES</t>
  </si>
  <si>
    <t>QUINTERO LOPEZ MARTIN DE JESUS</t>
  </si>
  <si>
    <t>MARTINEZ MARTINEZ MARIA JOSE</t>
  </si>
  <si>
    <t>ANDRADE HERNANDEZ GISELLE</t>
  </si>
  <si>
    <t>FERRER LOPEZ BERTHA LUCRECIA</t>
  </si>
  <si>
    <t>HERNANDEZ ESPINOSA DANIEL</t>
  </si>
  <si>
    <t xml:space="preserve">NUÑEZ VELAZQUEZ ANA MARIA </t>
  </si>
  <si>
    <t>SHINDO TAINI DAISUKE</t>
  </si>
  <si>
    <t>VELA TORRES FATIMA ALEJANDRA</t>
  </si>
  <si>
    <t>AVALOS MARTINEZ JORGE</t>
  </si>
  <si>
    <t>JIMENEZ ANDALON ENRIQUE</t>
  </si>
  <si>
    <t>QUEZADA NAVARRO VICTOR MANUEL</t>
  </si>
  <si>
    <t>RODRIGUEZ CABRERA JUAN JOSE</t>
  </si>
  <si>
    <t>SANCHEZ LOPEZ FERNANDO</t>
  </si>
  <si>
    <t>SANCHEZ OCAMPO EDUARDO FRANCISCO</t>
  </si>
  <si>
    <t>GARCIA FLORES JOSE LUIS</t>
  </si>
  <si>
    <t>MEDINA VELAZQUEZ NANCY</t>
  </si>
  <si>
    <t>MONTAÑO ALVIZO JUAN CARLOS</t>
  </si>
  <si>
    <t>RODRIGUEZ MIRANDA JOSE BENJAMIN</t>
  </si>
  <si>
    <t>ZARATE  TOMAS CIRO</t>
  </si>
  <si>
    <t>ESCOBEDO ALVA JONATHAN OMEGA</t>
  </si>
  <si>
    <t>LARA FAVELA DANIEL</t>
  </si>
  <si>
    <t>OSORNO MONTES LUIS ALFONSO</t>
  </si>
  <si>
    <t>CARDENAS CASTILLO SANTIAGO</t>
  </si>
  <si>
    <t>FRANCO DE JESUS LEONARDO</t>
  </si>
  <si>
    <t>HERNANDEZ MONTES JAZMIN</t>
  </si>
  <si>
    <t>MACIAS GARZA JORGE ENRIQUE</t>
  </si>
  <si>
    <t>SALDIVAR OROZCO EMMANUEL</t>
  </si>
  <si>
    <t>GONZALEZ CHAVEZ DAVID</t>
  </si>
  <si>
    <t>HERNANDEZ LOMELI LUIS EDUARDO</t>
  </si>
  <si>
    <t>MELENDEZ PIÑA PEDRO OMAR</t>
  </si>
  <si>
    <t>ANGUIANO SUAREZ DEL REAL RAFAEL DE JESUS</t>
  </si>
  <si>
    <t xml:space="preserve">GARCIA  SANCHEZ  MARIA LUISA </t>
  </si>
  <si>
    <t>GAYTAN GODINEZ LORENA</t>
  </si>
  <si>
    <t>MARTINEZ  ALVARADO JUAN CARLOS</t>
  </si>
  <si>
    <t>CONTRERAS MONTAÑO MIGUEL ANGEL</t>
  </si>
  <si>
    <t>DELGADILLO BOCANEGRA JOSE DE JESUS</t>
  </si>
  <si>
    <t>GARCIA HERNANDEZ  MARTIN</t>
  </si>
  <si>
    <t>MADRIGAL RODRIGUEZ GRISELDA</t>
  </si>
  <si>
    <t>BAEZA MONTIEL RICARDO IGNACIO</t>
  </si>
  <si>
    <t>CANDELARIO MEDINA RICARDO ABRAHAM</t>
  </si>
  <si>
    <t>RUIZ AREVALO ALDO MACIEL</t>
  </si>
  <si>
    <t>RIZO DOMINGUEZ LUIS</t>
  </si>
  <si>
    <t>TEJEDA DAVALOS FABIOLA</t>
  </si>
  <si>
    <t>CALZADA SUAREZ LUIS ALONSO</t>
  </si>
  <si>
    <t>DE ALBA GONZALEZ JULIETA</t>
  </si>
  <si>
    <t>HERNANDEZ SALDIVAR LUIS FERNANDO</t>
  </si>
  <si>
    <t>MIRANDA MORTERA MARIA DOLORES</t>
  </si>
  <si>
    <t>VELAZQUEZ SANTOS ALFREDO DE JESUS</t>
  </si>
  <si>
    <t>LOZADA AGUILERA GONZALO ALBERTO</t>
  </si>
  <si>
    <t>ARTEAGA CARDONA HORACIO</t>
  </si>
  <si>
    <t>BAROCIO RAMIREZ ANA KAREN</t>
  </si>
  <si>
    <t>DOMINGUEZ LOPEZ MARIA ALEJANDRA</t>
  </si>
  <si>
    <t>GONZALEZ GONZALEZ ENRIQUE</t>
  </si>
  <si>
    <t>RIVAS MIRANDA JUAN</t>
  </si>
  <si>
    <t>VELAZQUEZ NAVARRETE ALMA DANIELA</t>
  </si>
  <si>
    <t>CAVALLO  MAZZITELLI HERNAN ANDRES</t>
  </si>
  <si>
    <t>GONZALEZ ALVAREZ MARIA TERESA</t>
  </si>
  <si>
    <t>RIVAS MELANO MARLEN</t>
  </si>
  <si>
    <t>RODRIGUEZ LOPEZ EDER MANUEL</t>
  </si>
  <si>
    <t>SALCEDO ROSALES ERIKA IVETTE</t>
  </si>
  <si>
    <t>VEGA ROMAN CITLALIN</t>
  </si>
  <si>
    <t>CAMACHO BUENROSTRO DENNIS</t>
  </si>
  <si>
    <t>MORENO TERAN LIZETTE SARAI</t>
  </si>
  <si>
    <t>PEÑA CAMACHO RODRIGO</t>
  </si>
  <si>
    <t>ROMERO  CORDOVA LUIS ARTURO</t>
  </si>
  <si>
    <t>BEGINES CINCO JESUS HIRAM</t>
  </si>
  <si>
    <t>GAMA GOMEZ LAURA JEZABEL</t>
  </si>
  <si>
    <t>MARQUEZ CORONA FRANCISCO ALBERTO</t>
  </si>
  <si>
    <t>RIVAS RODRIGUEZ LAURA</t>
  </si>
  <si>
    <t>RODRIGUEZ ALONSO IRVING TRINIDAD</t>
  </si>
  <si>
    <t>FLORES GUZMAN HECTOR ALFONSO</t>
  </si>
  <si>
    <t>GARCIA VALDERRAMA ALFREDO</t>
  </si>
  <si>
    <t>GOMEZ PEREZ DAVID UBALDO</t>
  </si>
  <si>
    <t>GUERRA RIOS BRENDA JEANNETTE</t>
  </si>
  <si>
    <t>PEREZ CAMACHO MONSERRAT MARLEM</t>
  </si>
  <si>
    <t>ZEPEDA  GOMEZ MANUEL GUSTAVO</t>
  </si>
  <si>
    <t>AVALOS TORRES ANGEL ALEJANDRO</t>
  </si>
  <si>
    <t>CHAVEZ OSORIO ALEJANDRA</t>
  </si>
  <si>
    <t>LOPEZ GUZMAN BRENDA ALEJANDRA</t>
  </si>
  <si>
    <t>MONTAÑO FLORES MARTHA ELIA</t>
  </si>
  <si>
    <t>GARZA MORA ANTONIO</t>
  </si>
  <si>
    <t>HERRERA ARAGON DAVID</t>
  </si>
  <si>
    <t>LIZARRAGA LOMELI KARLA BERENICE</t>
  </si>
  <si>
    <t>GARIBAY CAMACHO EMMANUEL</t>
  </si>
  <si>
    <t>GIL CASTELLANO MONICA</t>
  </si>
  <si>
    <t>ROSARIO BECERRA CARLOS ALFONSO</t>
  </si>
  <si>
    <t>Materia</t>
  </si>
  <si>
    <t>CIUDADANIA Y DESARROLLO PROFESIONAL</t>
  </si>
  <si>
    <t>ESCENARIO DE INTERVENCION SOCIAL I</t>
  </si>
  <si>
    <t>LIDERAZGO Y MANEJO DE GRUPOS</t>
  </si>
  <si>
    <t>ESCENARIO DE INTERVENCION III</t>
  </si>
  <si>
    <t>EXPERIENCIA DE ACCION SOCIAL</t>
  </si>
  <si>
    <t>DERECHOS HUMANOS Y JUSTICIA SOCIAL</t>
  </si>
  <si>
    <t>EMPRENDIMIENTO E INNOVACIÓN</t>
  </si>
  <si>
    <t>SUSTENTABILIDAD</t>
  </si>
  <si>
    <t>IDIOMAS 2</t>
  </si>
  <si>
    <t>CONTABILIDAD BASICA</t>
  </si>
  <si>
    <t>ESTADISTICA I</t>
  </si>
  <si>
    <t>MATEMATICAS FINANCIERAS</t>
  </si>
  <si>
    <t>PLANEACION ESTRATEGICA</t>
  </si>
  <si>
    <t>DERECHO MERCANTIL</t>
  </si>
  <si>
    <t>DISEÑO DE ESTRUCTURAS Y SISTEMAS ADMINISTRATIVOS</t>
  </si>
  <si>
    <t>ECONOMIA MEXICANA Y DESARROLLO</t>
  </si>
  <si>
    <t>FUNDAMENTOS DE MERCADOTECNIA</t>
  </si>
  <si>
    <t>DIAGNOSTICO Y DESARROLLO ORGANIZACIONAL</t>
  </si>
  <si>
    <t>DERECHO TRIBUTARIO</t>
  </si>
  <si>
    <t>GESTIÓN FINANCIERA</t>
  </si>
  <si>
    <t>PRESUPUESTOS</t>
  </si>
  <si>
    <t>DIRECCIÓN DE NEGOCIOS ELECTRÓNICOS</t>
  </si>
  <si>
    <t>MEGA DATOS Y ANALITICA</t>
  </si>
  <si>
    <t>ADMINISTRACION DE LA CALIDAD II</t>
  </si>
  <si>
    <t>DIRECCION DEL CAPITAL HUMANO II</t>
  </si>
  <si>
    <t>PLANEACION DE LA PRODUCCION</t>
  </si>
  <si>
    <t>MERCADOTECNIA DIGITAL</t>
  </si>
  <si>
    <t>FUNDAMENTOS DEL DERECHO ADUANERO</t>
  </si>
  <si>
    <t>TOPICOS DE ACTUALIDAD</t>
  </si>
  <si>
    <t>GOBIERNO CORPORATIVO</t>
  </si>
  <si>
    <t>GESTION DE LA CONSULTORIA Y AUDITORIA</t>
  </si>
  <si>
    <t>DISEÑO DE ESTRATEGIAS DE LOGISTICA Y DISTRIBUCION</t>
  </si>
  <si>
    <t>DIRECCION DE NEGOCIOS INTERNACIONALES</t>
  </si>
  <si>
    <t>GESTION DE INNOVACION Y TECNOLOGIA</t>
  </si>
  <si>
    <t>INTRODUCCION AL 3D</t>
  </si>
  <si>
    <t>GEOMETRIA Y TRIGONOMETRIA</t>
  </si>
  <si>
    <t>FISICA</t>
  </si>
  <si>
    <t>ANIMACION 2D I</t>
  </si>
  <si>
    <t>TALLER DE STOPMOTION</t>
  </si>
  <si>
    <t>GUION LITERARIO Y TECNICO</t>
  </si>
  <si>
    <t>DIBUJO ARTISTICO</t>
  </si>
  <si>
    <t>ILUSTRACION DIGITAL</t>
  </si>
  <si>
    <t>MODELADO 3D ORGANICO</t>
  </si>
  <si>
    <t>DISEÑO DE PERSONAJES II</t>
  </si>
  <si>
    <t>PROCESOS DE PRODUCCION DE ANIMACION Y VIDEOJUEGOS</t>
  </si>
  <si>
    <t>AUDIO Y SONORIZACION</t>
  </si>
  <si>
    <t>ANIMACION 2D COMPORTAMIENTO DE PERSONAJES</t>
  </si>
  <si>
    <t>MECANICAS DE JUEGO</t>
  </si>
  <si>
    <t>GUION GRAFICO Y ANIMATICO</t>
  </si>
  <si>
    <t>TALLER DE ANIMACION II</t>
  </si>
  <si>
    <t>RENDER E ILUMINACION</t>
  </si>
  <si>
    <t>MERCADOTECNIA</t>
  </si>
  <si>
    <t>ANIMACION 3D I</t>
  </si>
  <si>
    <t>FUNDAMENTOS DE PROGRAMACION</t>
  </si>
  <si>
    <t>DISEÑO DE NIVELES DE JUEGO</t>
  </si>
  <si>
    <t>TEXTURIZADOS Y SHADERS</t>
  </si>
  <si>
    <t>EFECTOS ESPECIALES</t>
  </si>
  <si>
    <t>TEMAS SELECTOS DE ANIMACION</t>
  </si>
  <si>
    <t>MOTORES PARA VIDEOJUEGOS II</t>
  </si>
  <si>
    <t>PUBLICACION Y DISTRIBUCION</t>
  </si>
  <si>
    <t>ANIMACION 3D II</t>
  </si>
  <si>
    <t>POSTPRODUCCION Y COMPOSICION II</t>
  </si>
  <si>
    <t>SEMINARIO DE INTEGRACION</t>
  </si>
  <si>
    <t>GEOMETRIA APLICADA A LA ARQUITECTURA</t>
  </si>
  <si>
    <t>HISTORIA CRITICA DE LA ARQUITECTURA Y URBANISMO BASICA</t>
  </si>
  <si>
    <t>DISEÑO DEL ESPACIO HABITACIONAL UNIFAMILIAR</t>
  </si>
  <si>
    <t>MATERIALES DE CONSTRUCCION</t>
  </si>
  <si>
    <t>ESTATICA</t>
  </si>
  <si>
    <t>MAQUETAS</t>
  </si>
  <si>
    <t>DIBUJO ASISTIDO POR COMPUTADORA</t>
  </si>
  <si>
    <t>HISTORIA DE LA ARQUITECTURA MEXICANA</t>
  </si>
  <si>
    <t>DISEÑO DEL ESPACIO RELIGIOSO Y EDUCATIVO</t>
  </si>
  <si>
    <t>ARQUITECTURA DEL PAISAJISMO</t>
  </si>
  <si>
    <t>DISEÑO DE INSTALACIONES HIDRAULICAS SANITARIAS</t>
  </si>
  <si>
    <t>FOTOGRAFIA</t>
  </si>
  <si>
    <t>HISTORIA CRITICA DEL URBANISMO</t>
  </si>
  <si>
    <t>DISEÑO DE ESTRUCTURAS DE ACERO</t>
  </si>
  <si>
    <t>CONSERVACION DEL PATRIMONIO CULTURAL</t>
  </si>
  <si>
    <t>ARQUITECTURA INTELIGENTE</t>
  </si>
  <si>
    <t>DISEÑO ASISTIDO POR COMPUTADORA AVANZADO</t>
  </si>
  <si>
    <t>RESCATE DE ZONAS URBANAS</t>
  </si>
  <si>
    <t>COSTOS Y PRESUPUESTOS DE LA EDIFICACION</t>
  </si>
  <si>
    <t>DISEÑO DEL ESPACIO CULTURAL Y RECREATIVO</t>
  </si>
  <si>
    <t>CIMENTACIONES Y TIPOS DE FALLAS</t>
  </si>
  <si>
    <t>DISEÑO ARQUITECTONICO SUSTENTABLE</t>
  </si>
  <si>
    <t>DESARROLLO DE PROYECTOS URBANISTICOS</t>
  </si>
  <si>
    <t>DISEÑO DEL ESPACIO PARA LA SALUD</t>
  </si>
  <si>
    <t>GESTION Y ORGANIZACION DE OBRAS</t>
  </si>
  <si>
    <t xml:space="preserve">INVESTIGACION Y APLICADA  </t>
  </si>
  <si>
    <t>LICITACION DE OBRAS</t>
  </si>
  <si>
    <t>COMERCIALIZACION</t>
  </si>
  <si>
    <t>OPERACIONES Y SERVICIOS PORTUARIOS</t>
  </si>
  <si>
    <t>PROYECTO DE IMPORTACION Y EXPORTACION I</t>
  </si>
  <si>
    <t>DESARROLLO DE NUEVOS PRODUCTOS</t>
  </si>
  <si>
    <t>AUDITORIA CON BASE EN RIESGOS</t>
  </si>
  <si>
    <t>TOPICOS DE ACTUALIDAD DE COMERCIO INTERNACIONAL</t>
  </si>
  <si>
    <t>COMERCIO DE SERVICIOS</t>
  </si>
  <si>
    <t>ETICA</t>
  </si>
  <si>
    <t>LEGISLACION ADUANERA II</t>
  </si>
  <si>
    <t>PROGRAMAS DE FOMENTO AL COMERCIO EXTERIOR</t>
  </si>
  <si>
    <t>DERECHO AMBIENTAL</t>
  </si>
  <si>
    <t>DERECHOS HUMANOS</t>
  </si>
  <si>
    <t>FILOSOFIA DEL DERECHO</t>
  </si>
  <si>
    <t>DERECHO FISCAL</t>
  </si>
  <si>
    <t>DERECHO INFORMATICO</t>
  </si>
  <si>
    <t>METODOS ALTERNATIVOS DE SOLUCION DE CONFLICTOS</t>
  </si>
  <si>
    <t>DERECHO AGRARIO</t>
  </si>
  <si>
    <t>COMERCIO EXTERIOR</t>
  </si>
  <si>
    <t>DERECHO INTERNACIONAL PUBLICO</t>
  </si>
  <si>
    <t>DERECHO ELECTORAL</t>
  </si>
  <si>
    <t>DERECHO BANCARIO</t>
  </si>
  <si>
    <t>ETICA PROFESIONAL</t>
  </si>
  <si>
    <t>CLINICA DE JUICIO DE AMPARO</t>
  </si>
  <si>
    <t>ENVASE Y EMBALAJE</t>
  </si>
  <si>
    <t>DISEÑO DE INTERFACES</t>
  </si>
  <si>
    <t>TIPOGRAFIA DIGITAL</t>
  </si>
  <si>
    <t>SEÑALETICA</t>
  </si>
  <si>
    <t>DISEÑO DE IDENTIDAD CORPORATIVA</t>
  </si>
  <si>
    <t>DISEÑO TRIDIMENSIONAL Y ESCAPARATISMO</t>
  </si>
  <si>
    <t>ANIMACION TRIDIMENSIONAL</t>
  </si>
  <si>
    <t>LENGUAJE DE MAQUETACION</t>
  </si>
  <si>
    <t>DISEÑO DE INCLUSION SOCIAL</t>
  </si>
  <si>
    <t>DISEÑO EDITORIAL BASICO</t>
  </si>
  <si>
    <t>DISEÑO DE APLICACIONES</t>
  </si>
  <si>
    <t>SEMINARIO DE INTEGRACION DE LA CARRERA</t>
  </si>
  <si>
    <t>CALCULO INTEGRAL</t>
  </si>
  <si>
    <t>GEOMETRIA DESCRIPTIVA</t>
  </si>
  <si>
    <t>CIENCIA Y TECNOLOGIA DE MATERIALES AEROESPACIALES</t>
  </si>
  <si>
    <t>CIRCUITOS ELECTRICOS</t>
  </si>
  <si>
    <t>INTRODUCCION A LA PROGRAMACION</t>
  </si>
  <si>
    <t>TERMODINAMICA</t>
  </si>
  <si>
    <t>NORMATIVA AERONAUTICA I</t>
  </si>
  <si>
    <t>METODOS NUMERICOS</t>
  </si>
  <si>
    <t>PLANIFICACION Y DISEÑO DE AEROPUERTOS</t>
  </si>
  <si>
    <t>DISEÑO Y FABRICACION ASISTIDO POR COMPUTADORA</t>
  </si>
  <si>
    <t>MICROCONTROLADORES</t>
  </si>
  <si>
    <t>MECANICA DE FLUIDOS</t>
  </si>
  <si>
    <t>GESTION Y EXPLOTACION DE AEROPUERTOS</t>
  </si>
  <si>
    <t>TRAFICO AEREO</t>
  </si>
  <si>
    <t>SEÑALES Y SISTEMAS DE RADIOFRECUENCIAS</t>
  </si>
  <si>
    <t>SISTEMAS DE AERONAVES I</t>
  </si>
  <si>
    <t>MOTORES RECIPROCOS Y SUS SISTEMAS</t>
  </si>
  <si>
    <t>MECANICA DE VUELOS</t>
  </si>
  <si>
    <t>CALCULO DE AVIONES</t>
  </si>
  <si>
    <t>MECANICA DE VUELO AVANZADA</t>
  </si>
  <si>
    <t>AERONAVES DE ALA ROTATIVA</t>
  </si>
  <si>
    <t>OPERACION DE VEHICULOS ESPACIALES NO TRIPULADOS</t>
  </si>
  <si>
    <t>FABRICACION DE AERONAVES Y SISTEMAS DE GESTION DE CALIDAD</t>
  </si>
  <si>
    <t>DISEÑO PRELIMINAR DE NAVES ESPACIALES</t>
  </si>
  <si>
    <t>AUTOMATIZACION DE LA FABRIACACION</t>
  </si>
  <si>
    <t>TOPICOS DE ACTUALIDAD EN INGENIERIA AEROESPACIAL</t>
  </si>
  <si>
    <t>ESTRUCTURAS ESPACIALES</t>
  </si>
  <si>
    <t>METROLOGIA</t>
  </si>
  <si>
    <t xml:space="preserve">MAQUINAS Y HERRAMIENTAS </t>
  </si>
  <si>
    <t>DIBUJO ASISTIDO POR COMPUTADORA I</t>
  </si>
  <si>
    <t xml:space="preserve">ALGEBRA LINEAL </t>
  </si>
  <si>
    <t xml:space="preserve">CIRCUITOS LOGICOS </t>
  </si>
  <si>
    <t xml:space="preserve">DINAMICA </t>
  </si>
  <si>
    <t xml:space="preserve">CIENCIA DE LOS MATERIALES </t>
  </si>
  <si>
    <t>MECANICA VECTORIAL</t>
  </si>
  <si>
    <t>ECUACIONES DIFERENCIALES</t>
  </si>
  <si>
    <t>SUSPENSION, DIRECCION Y FRENOS</t>
  </si>
  <si>
    <t>DIBUJO ASISTIDO POR COMPUTADORA III</t>
  </si>
  <si>
    <t xml:space="preserve">DISEÑO DE SISTEMAS DIGITALES </t>
  </si>
  <si>
    <t>PROGRAMACION AVANZADA</t>
  </si>
  <si>
    <t>ESTADISTICA</t>
  </si>
  <si>
    <t>SISTEMAS OPERATIVOS</t>
  </si>
  <si>
    <t>ESTRUCTURA DE DATOS</t>
  </si>
  <si>
    <t>CONTROL DIGITAL</t>
  </si>
  <si>
    <t>ELECTRONICA AVANZADA</t>
  </si>
  <si>
    <t>BASE DE DATOS NO RELACIONALES</t>
  </si>
  <si>
    <t>ROBOTICA</t>
  </si>
  <si>
    <t>TEORIA DE AUTOMATAS Y LENGUAJES FORMALES</t>
  </si>
  <si>
    <t>METRICAS DE SOFTWARE Y PRUEBAS UNITARIAS</t>
  </si>
  <si>
    <t>SISTEMAS EMBEBIDOS</t>
  </si>
  <si>
    <t>COMPILADORES</t>
  </si>
  <si>
    <t>SEGURIDAD Y AUDITORIA INFORMATICA</t>
  </si>
  <si>
    <t>REDES NEURONALES ARTIFICIALES</t>
  </si>
  <si>
    <t>MINERIA DE DATOS</t>
  </si>
  <si>
    <t xml:space="preserve">SISTEMAS OPERATIVOS </t>
  </si>
  <si>
    <t xml:space="preserve">PROGRAMACIÓN ORIENTADA A OBJETOS </t>
  </si>
  <si>
    <t>CÁLCULO MULTIVARIABLE</t>
  </si>
  <si>
    <t xml:space="preserve">REPRESENTACION DEL CONOCIMIENTO </t>
  </si>
  <si>
    <t xml:space="preserve">PROBABILIDAD Y ESTADISTICA APLICADA </t>
  </si>
  <si>
    <t xml:space="preserve">ELECTRÓNICA </t>
  </si>
  <si>
    <t xml:space="preserve">PROGRAMACIÓN PARA ENTORNOS VIRTUALES </t>
  </si>
  <si>
    <t xml:space="preserve">ALGORITMOS INTELIGENTES </t>
  </si>
  <si>
    <t xml:space="preserve">ESTRUCTURA DE DATOS </t>
  </si>
  <si>
    <t xml:space="preserve">BASES DE DATOS NO RELACIONALES </t>
  </si>
  <si>
    <t>ANÁLISIS DE FOURIER</t>
  </si>
  <si>
    <t xml:space="preserve">ANÁLISIS Y DISEÑO DE SISTEMAS </t>
  </si>
  <si>
    <t>TEORIA DE SISTEMAS</t>
  </si>
  <si>
    <t>INGENIERIA ECONOMICA Y FINANZAS</t>
  </si>
  <si>
    <t>MAQUINAS Y HERRAMIENTAS</t>
  </si>
  <si>
    <t>CALCULO MULTIVARIABLE</t>
  </si>
  <si>
    <t>ECOLOGIA INDUSTRIAL</t>
  </si>
  <si>
    <t>ELECTRONICA BASICA</t>
  </si>
  <si>
    <t>TOPICOS DE ACTUALIDAD DE INGENIERIA INDUSTRIAL</t>
  </si>
  <si>
    <t>ADMINISTRACION DE PLANTAS INDUSTRIALES</t>
  </si>
  <si>
    <t>EVALUACION DE PROYECTOS</t>
  </si>
  <si>
    <t>MANUFACTURA ESBELTA</t>
  </si>
  <si>
    <t>PLAN DE MARKETING</t>
  </si>
  <si>
    <t>SEGUIMIENTO DE PROYECTO Y CUADRO DE MANDO INTEGRAL</t>
  </si>
  <si>
    <t>ESTRATEGIAS DE PRODUCTO Y PRECIO</t>
  </si>
  <si>
    <t>MARKETING EXPERIENCIAL</t>
  </si>
  <si>
    <t>COMERCIO ELECTRONICO</t>
  </si>
  <si>
    <t>MERCADOTECNIA Y FINANZAS</t>
  </si>
  <si>
    <t>TALLER DE INNOVACION PUBLICITARIA</t>
  </si>
  <si>
    <t>MARKETING SOCIAL Y POLITICO</t>
  </si>
  <si>
    <t>NUEVAS TENDENCIAS EN LA MERCADOTECNIA</t>
  </si>
  <si>
    <t>TALLER DE PRODUCCION DE CONTENIDOS</t>
  </si>
  <si>
    <t>ESTRATEGIAS DE MERCADOTECNIA INDUSTRIAL</t>
  </si>
  <si>
    <t>AUDITORIA EN MARKETING</t>
  </si>
  <si>
    <t>PANADERIA BASICA</t>
  </si>
  <si>
    <t>EPIDEMIOLOGIA Y SALUD PUBLICA</t>
  </si>
  <si>
    <t>MICROBIOLOGIA</t>
  </si>
  <si>
    <t>ANATOMIA Y FISIOLOGIA II</t>
  </si>
  <si>
    <t>QUIMICA DE LOS ALIMENTOS</t>
  </si>
  <si>
    <t>MANEJO DE CARNES</t>
  </si>
  <si>
    <t>CHARCUTERIA</t>
  </si>
  <si>
    <t>EVALUACION DEL ESTADO NUTRICIO</t>
  </si>
  <si>
    <t>COCINA MEDITERRANEA I</t>
  </si>
  <si>
    <t>LACTEOS</t>
  </si>
  <si>
    <t>ENDOCRINOLOGIA</t>
  </si>
  <si>
    <t>PSICOLOGIA EN NUTRICION</t>
  </si>
  <si>
    <t>FARMACOLOGIA</t>
  </si>
  <si>
    <t>NUTRICION EN GINECOLOGIA Y PEDIATRIA</t>
  </si>
  <si>
    <t>ADMINISTRACION DE SERVICIOS ALIMENTICIOS</t>
  </si>
  <si>
    <t>TALLER DE ORIENTACION ALIMENTARIA</t>
  </si>
  <si>
    <t>NUTRICION CLINICA I</t>
  </si>
  <si>
    <t>REPOSTERIA BASICA</t>
  </si>
  <si>
    <t>BEBIDAS AVANZADAS</t>
  </si>
  <si>
    <t>MUKIMONO</t>
  </si>
  <si>
    <t>MERCADOTECNIA EN ALIMENTOS</t>
  </si>
  <si>
    <t>BIOETICA</t>
  </si>
  <si>
    <t>NUTRICION EN GERIATRIA</t>
  </si>
  <si>
    <t>COCINA VEGETARIANA Y VEGANA</t>
  </si>
  <si>
    <t>NUTRICION EN LA ACTIVIDAD FISICA Y DEPORTE</t>
  </si>
  <si>
    <t>PROMOCION COMUNITARIA Y PSICOLOGIA DE LA SALUD</t>
  </si>
  <si>
    <t>PSICOLOGIA DE LA INFANCIA Y ADOLESCENCIA</t>
  </si>
  <si>
    <t>TEORIAS DE LA PERSONALIDAD I</t>
  </si>
  <si>
    <t>MANEJO DE GRUPO</t>
  </si>
  <si>
    <t>BASES DE LA NEUROCIENCIA</t>
  </si>
  <si>
    <t>ENFOQUE DE LA ENSEÑANZA APRENDIZAJE</t>
  </si>
  <si>
    <t>PSICOLOGIA SOCIAL</t>
  </si>
  <si>
    <t>PSICOGERONTOLOGIA</t>
  </si>
  <si>
    <t>DISEÑO DE PROGRAMAS PSICOEDUCATIVOS</t>
  </si>
  <si>
    <t>METODOS DE DIAGNOSTICO</t>
  </si>
  <si>
    <t>SEXUALIDAD HUMANA</t>
  </si>
  <si>
    <t>PSICOPATOLOGIA</t>
  </si>
  <si>
    <t xml:space="preserve">ADMINISTRACION DE RECURSOS HUMANOS </t>
  </si>
  <si>
    <t>PSICOFARMACOLOGIA</t>
  </si>
  <si>
    <t>PROYECTO DE INVESTIGACION EN PSICOLOGIA</t>
  </si>
  <si>
    <t>MODELOS PSICOLOGICOS DE INTERVENCION II</t>
  </si>
  <si>
    <t>INTERVENCION PSICOLOGICA DESDE LA GESTALT Y EL HUMANISMO</t>
  </si>
  <si>
    <t>INTERVENCION PSICOLOGICA DESDE EL MODELO SISTEMICO FAMILIAR</t>
  </si>
  <si>
    <t>MODELOS PSICOLOGICOS DE INTERVENCION IV</t>
  </si>
  <si>
    <t>TANATOLOGIA</t>
  </si>
  <si>
    <t>MODELOS PSICOLOGICOS DE INTERVENCION EMERGENTE</t>
  </si>
  <si>
    <t>PSICOLOGIA DE LO VIRTUAL</t>
  </si>
  <si>
    <t>TENDENCIAS CONTEMPORANEAS DE LA PSICOLOGIA</t>
  </si>
  <si>
    <t>Sexo</t>
  </si>
  <si>
    <t>MASCULINO</t>
  </si>
  <si>
    <t>FEMENINO</t>
  </si>
  <si>
    <t>MATERIAS INSTITUCIONALES</t>
  </si>
  <si>
    <t>ID</t>
  </si>
  <si>
    <t>Nombre Maestro</t>
  </si>
  <si>
    <t>Paterno Maestro</t>
  </si>
  <si>
    <t>Materno Maestro</t>
  </si>
  <si>
    <t>Correo</t>
  </si>
  <si>
    <t>Maestro</t>
  </si>
  <si>
    <t>Nivel</t>
  </si>
  <si>
    <t>matricula</t>
  </si>
  <si>
    <t>clave</t>
  </si>
  <si>
    <t>carrera</t>
  </si>
  <si>
    <t>grado</t>
  </si>
  <si>
    <t>sexo</t>
  </si>
  <si>
    <t>situacion</t>
  </si>
  <si>
    <t>'LICENCIATURA'</t>
  </si>
  <si>
    <t>AIDA CITLALI</t>
  </si>
  <si>
    <t>HERNANDEZ</t>
  </si>
  <si>
    <t>MONTAÑO</t>
  </si>
  <si>
    <t>ALAM</t>
  </si>
  <si>
    <t>GOMEZ</t>
  </si>
  <si>
    <t>CANALES</t>
  </si>
  <si>
    <t>ALDO EVERARDO</t>
  </si>
  <si>
    <t>GONZALEZ</t>
  </si>
  <si>
    <t>PULIDO</t>
  </si>
  <si>
    <t>ALDO MACIEL</t>
  </si>
  <si>
    <t>RUIZ</t>
  </si>
  <si>
    <t>AREVALO</t>
  </si>
  <si>
    <t>ALEJANDRA</t>
  </si>
  <si>
    <t>CHAVEZ</t>
  </si>
  <si>
    <t>OSORIO</t>
  </si>
  <si>
    <t>ALEJANDRO</t>
  </si>
  <si>
    <t>URIBE</t>
  </si>
  <si>
    <t>LOPEZ</t>
  </si>
  <si>
    <t>ALFONSO</t>
  </si>
  <si>
    <t>ASCENCIO</t>
  </si>
  <si>
    <t>RUBIO</t>
  </si>
  <si>
    <t>ALFREDO</t>
  </si>
  <si>
    <t>GARCIA</t>
  </si>
  <si>
    <t>VALDERRAMA</t>
  </si>
  <si>
    <t>ALFREDO DE JESUS</t>
  </si>
  <si>
    <t>VELAZQUEZ</t>
  </si>
  <si>
    <t>SANTOS</t>
  </si>
  <si>
    <t>ALMA DANIELA</t>
  </si>
  <si>
    <t>NAVARRETE</t>
  </si>
  <si>
    <t>ALVARO</t>
  </si>
  <si>
    <t>MORENO</t>
  </si>
  <si>
    <t>CORRAL</t>
  </si>
  <si>
    <t>PUJOL</t>
  </si>
  <si>
    <t>BECERRA</t>
  </si>
  <si>
    <t>AMANDA JANETTE</t>
  </si>
  <si>
    <t>RENTERIA</t>
  </si>
  <si>
    <t>JIMENEZ</t>
  </si>
  <si>
    <t>ANA KAREN</t>
  </si>
  <si>
    <t>BAROCIO</t>
  </si>
  <si>
    <t>RAMIREZ</t>
  </si>
  <si>
    <t xml:space="preserve">ANA MARIA </t>
  </si>
  <si>
    <t>NUÑEZ</t>
  </si>
  <si>
    <t>ANATALIA GUADALUPE</t>
  </si>
  <si>
    <t>TRUJILLO</t>
  </si>
  <si>
    <t>RODRIGUEZ</t>
  </si>
  <si>
    <t>ANGEL ALEJANDRO</t>
  </si>
  <si>
    <t>AVALOS</t>
  </si>
  <si>
    <t>TORRES</t>
  </si>
  <si>
    <t>ANTONIO</t>
  </si>
  <si>
    <t>GARZA</t>
  </si>
  <si>
    <t>MORA</t>
  </si>
  <si>
    <t>ARACELI</t>
  </si>
  <si>
    <t>FLORES</t>
  </si>
  <si>
    <t>GIL</t>
  </si>
  <si>
    <t>ARTURO</t>
  </si>
  <si>
    <t>RIVERO</t>
  </si>
  <si>
    <t>CARRERA</t>
  </si>
  <si>
    <t>BARBARA</t>
  </si>
  <si>
    <t>BEATRIZ IRENE</t>
  </si>
  <si>
    <t>OROZCO</t>
  </si>
  <si>
    <t>DIAZ</t>
  </si>
  <si>
    <t>BERTHA LUCRECIA</t>
  </si>
  <si>
    <t>FERRER</t>
  </si>
  <si>
    <t>BRENDA ALEJANDRA</t>
  </si>
  <si>
    <t>GUZMAN</t>
  </si>
  <si>
    <t>BRENDA JEANNETTE</t>
  </si>
  <si>
    <t>GUERRA</t>
  </si>
  <si>
    <t>RIOS</t>
  </si>
  <si>
    <t>CARLA DANIELA</t>
  </si>
  <si>
    <t>MORELOS</t>
  </si>
  <si>
    <t>CARLA MARIANA</t>
  </si>
  <si>
    <t>AGUILAR</t>
  </si>
  <si>
    <t>CEBALLOS</t>
  </si>
  <si>
    <t>CARLA PAULINA</t>
  </si>
  <si>
    <t>MESTAS</t>
  </si>
  <si>
    <t>CARLOS ALFONSO</t>
  </si>
  <si>
    <t>ROSARIO</t>
  </si>
  <si>
    <t>CIRO</t>
  </si>
  <si>
    <t xml:space="preserve">ZARATE </t>
  </si>
  <si>
    <t>TOMAS</t>
  </si>
  <si>
    <t>CITLALIN</t>
  </si>
  <si>
    <t>VEGA</t>
  </si>
  <si>
    <t>ROMAN</t>
  </si>
  <si>
    <t>CLAUDIA CECILIA</t>
  </si>
  <si>
    <t>FERNANDEZ</t>
  </si>
  <si>
    <t>CLAUDIA LUCIA</t>
  </si>
  <si>
    <t>BAUTISTA</t>
  </si>
  <si>
    <t>PARRA</t>
  </si>
  <si>
    <t>CLAUDIA PAOLA</t>
  </si>
  <si>
    <t>CORTES</t>
  </si>
  <si>
    <t>VELASCO</t>
  </si>
  <si>
    <t>DAISUKE</t>
  </si>
  <si>
    <t>SHINDO</t>
  </si>
  <si>
    <t>TAINI</t>
  </si>
  <si>
    <t>DANIEL</t>
  </si>
  <si>
    <t>ESPINOSA</t>
  </si>
  <si>
    <t>LARA</t>
  </si>
  <si>
    <t>FAVELA</t>
  </si>
  <si>
    <t>MONTELONGO</t>
  </si>
  <si>
    <t>AGUAYO</t>
  </si>
  <si>
    <t>DANIELA</t>
  </si>
  <si>
    <t>FAJER</t>
  </si>
  <si>
    <t>ROMO</t>
  </si>
  <si>
    <t>DAVID</t>
  </si>
  <si>
    <t>HERRERA</t>
  </si>
  <si>
    <t>ARAGON</t>
  </si>
  <si>
    <t>DAVID EDUARDO</t>
  </si>
  <si>
    <t>ACEVES</t>
  </si>
  <si>
    <t>REYNAGA</t>
  </si>
  <si>
    <t>DAVID UBALDO</t>
  </si>
  <si>
    <t>PEREZ</t>
  </si>
  <si>
    <t>DENIS PAUL</t>
  </si>
  <si>
    <t>ROMERO</t>
  </si>
  <si>
    <t>DENNIS</t>
  </si>
  <si>
    <t>CAMACHO</t>
  </si>
  <si>
    <t>BUENROSTRO</t>
  </si>
  <si>
    <t>EDER MANUEL</t>
  </si>
  <si>
    <t>EDUARDO FRANCISCO</t>
  </si>
  <si>
    <t>SANCHEZ</t>
  </si>
  <si>
    <t>OCAMPO</t>
  </si>
  <si>
    <t>ELISA</t>
  </si>
  <si>
    <t>HOBART</t>
  </si>
  <si>
    <t>ELSA GEORGINA</t>
  </si>
  <si>
    <t>PADILLA</t>
  </si>
  <si>
    <t>MARTINEZ</t>
  </si>
  <si>
    <t>EMMANUEL</t>
  </si>
  <si>
    <t>GARIBAY</t>
  </si>
  <si>
    <t>GALINDO</t>
  </si>
  <si>
    <t>SALDIVAR</t>
  </si>
  <si>
    <t>ENRIQUE</t>
  </si>
  <si>
    <t>ANDALON</t>
  </si>
  <si>
    <t>ERIKA</t>
  </si>
  <si>
    <t>ESPEJO</t>
  </si>
  <si>
    <t>REGALADO</t>
  </si>
  <si>
    <t>ERIKA IVETTE</t>
  </si>
  <si>
    <t>SALCEDO</t>
  </si>
  <si>
    <t>ROSALES</t>
  </si>
  <si>
    <t>FABIOLA</t>
  </si>
  <si>
    <t>TEJEDA</t>
  </si>
  <si>
    <t>DAVALOS</t>
  </si>
  <si>
    <t>FATIMA ALEJANDRA</t>
  </si>
  <si>
    <t>VELA</t>
  </si>
  <si>
    <t>FERNANDO</t>
  </si>
  <si>
    <t>FERNANDO ABIF</t>
  </si>
  <si>
    <t>VIDAURRI</t>
  </si>
  <si>
    <t>FRANCISCO</t>
  </si>
  <si>
    <t>TAPIA</t>
  </si>
  <si>
    <t>FRANCISCO ALBERTO</t>
  </si>
  <si>
    <t>MARQUEZ</t>
  </si>
  <si>
    <t>CORONA</t>
  </si>
  <si>
    <t>FRANCISCO JAVIER</t>
  </si>
  <si>
    <t>ORNELAS</t>
  </si>
  <si>
    <t>GABRIEL</t>
  </si>
  <si>
    <t>BENITEZ</t>
  </si>
  <si>
    <t>LOZANO</t>
  </si>
  <si>
    <t>GABRIELA</t>
  </si>
  <si>
    <t>GASTON EDUARDO</t>
  </si>
  <si>
    <t>CALLEJAS</t>
  </si>
  <si>
    <t>GISELLE</t>
  </si>
  <si>
    <t>ANDRADE</t>
  </si>
  <si>
    <t>GONZALO ALBERTO</t>
  </si>
  <si>
    <t>LOZADA</t>
  </si>
  <si>
    <t>AGUILERA</t>
  </si>
  <si>
    <t>GRISELDA</t>
  </si>
  <si>
    <t>MADRIGAL</t>
  </si>
  <si>
    <t>HECTOR ALFONSO</t>
  </si>
  <si>
    <t>HECTOR RAUL</t>
  </si>
  <si>
    <t>LLAMAS</t>
  </si>
  <si>
    <t>HECTOR RICARDO</t>
  </si>
  <si>
    <t>DEL RIO</t>
  </si>
  <si>
    <t>AZCONA</t>
  </si>
  <si>
    <t>HERMES</t>
  </si>
  <si>
    <t>CAMPOS</t>
  </si>
  <si>
    <t>HERNAN ANDRES</t>
  </si>
  <si>
    <t>CAVALLO</t>
  </si>
  <si>
    <t xml:space="preserve"> MAZZITELLI</t>
  </si>
  <si>
    <t>HORACIO</t>
  </si>
  <si>
    <t>ARTEAGA</t>
  </si>
  <si>
    <t>CARDONA</t>
  </si>
  <si>
    <t>HUGO MIGUEL</t>
  </si>
  <si>
    <t>SEGOVIANO</t>
  </si>
  <si>
    <t>IRMA ARACELY</t>
  </si>
  <si>
    <t>TOSCANO</t>
  </si>
  <si>
    <t>IRMA ELIZABETH</t>
  </si>
  <si>
    <t>CASTELLANOS</t>
  </si>
  <si>
    <t>MEZA</t>
  </si>
  <si>
    <t>IRVING TRINIDAD</t>
  </si>
  <si>
    <t>ALONSO</t>
  </si>
  <si>
    <t>ISIS</t>
  </si>
  <si>
    <t>FARIAS</t>
  </si>
  <si>
    <t>ITZEL ALABAMA</t>
  </si>
  <si>
    <t>MONCAYO</t>
  </si>
  <si>
    <t>TARIN</t>
  </si>
  <si>
    <t>JAVIER EDUARDO</t>
  </si>
  <si>
    <t>RONDON</t>
  </si>
  <si>
    <t>JAZMIN</t>
  </si>
  <si>
    <t>MONTES</t>
  </si>
  <si>
    <t>JESUS ALEJANDRO</t>
  </si>
  <si>
    <t>LEDEZMA</t>
  </si>
  <si>
    <t>JESUS ANTONIO</t>
  </si>
  <si>
    <t>GUDIÑO</t>
  </si>
  <si>
    <t>JESUS HIRAM</t>
  </si>
  <si>
    <t>BEGINES</t>
  </si>
  <si>
    <t>CINCO</t>
  </si>
  <si>
    <t>JONATHAN OMEGA</t>
  </si>
  <si>
    <t>ESCOBEDO</t>
  </si>
  <si>
    <t>ALVA</t>
  </si>
  <si>
    <t>JORGE</t>
  </si>
  <si>
    <t>ACOSTA</t>
  </si>
  <si>
    <t>JORGE ENRIQUE</t>
  </si>
  <si>
    <t>MACIAS</t>
  </si>
  <si>
    <t>JORGE HUMBERTO</t>
  </si>
  <si>
    <t>GUTIERREZ</t>
  </si>
  <si>
    <t>JOSE BENJAMIN</t>
  </si>
  <si>
    <t>MIRANDA</t>
  </si>
  <si>
    <t>JOSE CARLOS</t>
  </si>
  <si>
    <t>LUNA</t>
  </si>
  <si>
    <t>JOSE COSME</t>
  </si>
  <si>
    <t>VAZQUEZ</t>
  </si>
  <si>
    <t>JOSE DANIEL</t>
  </si>
  <si>
    <t>VALENZUELA</t>
  </si>
  <si>
    <t>CHAVIRA</t>
  </si>
  <si>
    <t>JOSE DE JESUS</t>
  </si>
  <si>
    <t>DELGADILLO</t>
  </si>
  <si>
    <t>BOCANEGRA</t>
  </si>
  <si>
    <t>JOSE JAVIER</t>
  </si>
  <si>
    <t>GUILLEN</t>
  </si>
  <si>
    <t>LAGUNES</t>
  </si>
  <si>
    <t>JOSE JORGE</t>
  </si>
  <si>
    <t>MUÑOZ</t>
  </si>
  <si>
    <t>JOSE LEONEL</t>
  </si>
  <si>
    <t>OLMOS</t>
  </si>
  <si>
    <t>JOSE LUIS</t>
  </si>
  <si>
    <t>BLANQUET</t>
  </si>
  <si>
    <t>CHAVOYA</t>
  </si>
  <si>
    <t>JUAN</t>
  </si>
  <si>
    <t>PONCE</t>
  </si>
  <si>
    <t>CUEVAS</t>
  </si>
  <si>
    <t>RIVAS</t>
  </si>
  <si>
    <t>JUAN CARLOS</t>
  </si>
  <si>
    <t xml:space="preserve">MARTINEZ </t>
  </si>
  <si>
    <t>ALVARADO</t>
  </si>
  <si>
    <t>ALVIZO</t>
  </si>
  <si>
    <t>JUAN JOSE</t>
  </si>
  <si>
    <t>CABRERA</t>
  </si>
  <si>
    <t>JUAN PABLO</t>
  </si>
  <si>
    <t>QUIROZ</t>
  </si>
  <si>
    <t>ZEPEDA</t>
  </si>
  <si>
    <t>JULIETA</t>
  </si>
  <si>
    <t>DE ALBA</t>
  </si>
  <si>
    <t>JULIO CESAR</t>
  </si>
  <si>
    <t>PINTO</t>
  </si>
  <si>
    <t>POMPA</t>
  </si>
  <si>
    <t>KARLA BERENICE</t>
  </si>
  <si>
    <t>LIZARRAGA</t>
  </si>
  <si>
    <t>LOMELI</t>
  </si>
  <si>
    <t>LAURA</t>
  </si>
  <si>
    <t>LAURA JEZABEL</t>
  </si>
  <si>
    <t>GAMA</t>
  </si>
  <si>
    <t>LAURA LIVIER</t>
  </si>
  <si>
    <t>MICHEL</t>
  </si>
  <si>
    <t>SANDOVAL</t>
  </si>
  <si>
    <t>LEIDY CAROLINA</t>
  </si>
  <si>
    <t>BERMUDEZ</t>
  </si>
  <si>
    <t>QUIROGA</t>
  </si>
  <si>
    <t>LEONARDO</t>
  </si>
  <si>
    <t>COSIO</t>
  </si>
  <si>
    <t>FRANCO</t>
  </si>
  <si>
    <t>DE JESUS</t>
  </si>
  <si>
    <t>LETICIA</t>
  </si>
  <si>
    <t>LIDIA SELENE</t>
  </si>
  <si>
    <t>BUSTAMANTE</t>
  </si>
  <si>
    <t>LILIANA</t>
  </si>
  <si>
    <t>LUA</t>
  </si>
  <si>
    <t>MEDINA</t>
  </si>
  <si>
    <t>LINA ADITH</t>
  </si>
  <si>
    <t>ROBLES</t>
  </si>
  <si>
    <t>LIZETTE SARAI</t>
  </si>
  <si>
    <t>TERAN</t>
  </si>
  <si>
    <t>LORENA</t>
  </si>
  <si>
    <t>GAYTAN</t>
  </si>
  <si>
    <t>GODINEZ</t>
  </si>
  <si>
    <t>LORENZA DE LA LUZ</t>
  </si>
  <si>
    <t>MACIEL</t>
  </si>
  <si>
    <t>LUCINA SARAY</t>
  </si>
  <si>
    <t>VARGAS</t>
  </si>
  <si>
    <t>LUIS</t>
  </si>
  <si>
    <t>RIZO</t>
  </si>
  <si>
    <t>DOMINGUEZ</t>
  </si>
  <si>
    <t>LUIS ALFONSO</t>
  </si>
  <si>
    <t>OSORNO</t>
  </si>
  <si>
    <t>LUIS ALONSO</t>
  </si>
  <si>
    <t>CALZADA</t>
  </si>
  <si>
    <t>SUAREZ</t>
  </si>
  <si>
    <t>LUIS ANTONIO</t>
  </si>
  <si>
    <t>RAIGOSA</t>
  </si>
  <si>
    <t>LUIS ARTURO</t>
  </si>
  <si>
    <t xml:space="preserve">ROMERO </t>
  </si>
  <si>
    <t>CORDOVA</t>
  </si>
  <si>
    <t>LUIS AUGUSTO</t>
  </si>
  <si>
    <t>MANZO</t>
  </si>
  <si>
    <t>CASTREJON</t>
  </si>
  <si>
    <t>LUIS EDUARDO</t>
  </si>
  <si>
    <t>LUIS FERNANDO</t>
  </si>
  <si>
    <t>LUIS RAFAEL</t>
  </si>
  <si>
    <t>COVARRUBIAS</t>
  </si>
  <si>
    <t>MANUEL GUSTAVO</t>
  </si>
  <si>
    <t xml:space="preserve">ZEPEDA </t>
  </si>
  <si>
    <t>MARIA ALEJANDRA</t>
  </si>
  <si>
    <t>MARIA DE GUADALUPE</t>
  </si>
  <si>
    <t>ANTOLIN</t>
  </si>
  <si>
    <t>MARIA DE LAS VIRTUDES</t>
  </si>
  <si>
    <t xml:space="preserve">ABASCAL </t>
  </si>
  <si>
    <t>CUELLAR</t>
  </si>
  <si>
    <t>MARIA DEL CARMEN</t>
  </si>
  <si>
    <t>MAGALLON</t>
  </si>
  <si>
    <t>MARIA DOLORES</t>
  </si>
  <si>
    <t>MORTERA</t>
  </si>
  <si>
    <t>MARIA ELENA</t>
  </si>
  <si>
    <t xml:space="preserve">CHAN </t>
  </si>
  <si>
    <t>MARIA JOSE</t>
  </si>
  <si>
    <t xml:space="preserve">MARIA LUISA </t>
  </si>
  <si>
    <t xml:space="preserve">GARCIA </t>
  </si>
  <si>
    <t xml:space="preserve">SANCHEZ </t>
  </si>
  <si>
    <t>MARIA TERESA</t>
  </si>
  <si>
    <t>ALVAREZ</t>
  </si>
  <si>
    <t>MARLEN</t>
  </si>
  <si>
    <t>MELANO</t>
  </si>
  <si>
    <t>MARTHA ELIA</t>
  </si>
  <si>
    <t>MARTIN</t>
  </si>
  <si>
    <t xml:space="preserve">HERNANDEZ </t>
  </si>
  <si>
    <t>MARTIN DE JESUS</t>
  </si>
  <si>
    <t>QUINTERO</t>
  </si>
  <si>
    <t>MELISSA</t>
  </si>
  <si>
    <t>DE LA ROSA</t>
  </si>
  <si>
    <t>RICARIO</t>
  </si>
  <si>
    <t>MERCEDES</t>
  </si>
  <si>
    <t>ORTIZ</t>
  </si>
  <si>
    <t>KOCH</t>
  </si>
  <si>
    <t>TORRES SEPTIEN</t>
  </si>
  <si>
    <t>MIGUEL ANGEL</t>
  </si>
  <si>
    <t>CONTRERAS</t>
  </si>
  <si>
    <t>ESCARCEGA</t>
  </si>
  <si>
    <t>GARCIA DE LEON</t>
  </si>
  <si>
    <t>MONICA</t>
  </si>
  <si>
    <t>CASTELLANO</t>
  </si>
  <si>
    <t>MONICA DANIELA</t>
  </si>
  <si>
    <t>CASILLAS</t>
  </si>
  <si>
    <t>MONSERRAT MARLEM</t>
  </si>
  <si>
    <t>MONTSERRAT FABIOLA</t>
  </si>
  <si>
    <t>RAMOS</t>
  </si>
  <si>
    <t>MYRIAM DEL CARMEN</t>
  </si>
  <si>
    <t>ONTIVEROS</t>
  </si>
  <si>
    <t>MURGUIA</t>
  </si>
  <si>
    <t>NANCY</t>
  </si>
  <si>
    <t>NICOLE</t>
  </si>
  <si>
    <t>HERNANDEZ GONZALEZ</t>
  </si>
  <si>
    <t>BARCENA</t>
  </si>
  <si>
    <t>NYDIA</t>
  </si>
  <si>
    <t>ESPINO</t>
  </si>
  <si>
    <t>PAULETTE</t>
  </si>
  <si>
    <t>JARAMILLO</t>
  </si>
  <si>
    <t>PEDRO ALBERTO</t>
  </si>
  <si>
    <t>CASTILLO</t>
  </si>
  <si>
    <t>PEDRO OMAR</t>
  </si>
  <si>
    <t>MELENDEZ</t>
  </si>
  <si>
    <t>PIÑA</t>
  </si>
  <si>
    <t>RAFAEL DE JESUS</t>
  </si>
  <si>
    <t>ANGUIANO</t>
  </si>
  <si>
    <t>SUAREZ DEL REAL</t>
  </si>
  <si>
    <t>RAQUEL ABIGAIL</t>
  </si>
  <si>
    <t>ABREU</t>
  </si>
  <si>
    <t>RAUL ENRIQUE</t>
  </si>
  <si>
    <t>ESPEJEL</t>
  </si>
  <si>
    <t>RICARDO ABRAHAM</t>
  </si>
  <si>
    <t>CANDELARIO</t>
  </si>
  <si>
    <t>RICARDO IGNACIO</t>
  </si>
  <si>
    <t>BAEZA</t>
  </si>
  <si>
    <t>MONTIEL</t>
  </si>
  <si>
    <t>RODRIGO</t>
  </si>
  <si>
    <t>PEÑA</t>
  </si>
  <si>
    <t>ROSA ESMERALDA</t>
  </si>
  <si>
    <t>RUTH</t>
  </si>
  <si>
    <t>DELGADO</t>
  </si>
  <si>
    <t>BEJAR</t>
  </si>
  <si>
    <t>SANTIAGO</t>
  </si>
  <si>
    <t>CARDENAS</t>
  </si>
  <si>
    <t>SAUL EMMANUEL</t>
  </si>
  <si>
    <t>SERGIO RODOLFO</t>
  </si>
  <si>
    <t>STEPHANY ELIZABETH</t>
  </si>
  <si>
    <t>MONTERO</t>
  </si>
  <si>
    <t>VICTOR MANUEL</t>
  </si>
  <si>
    <t>QUEZADA</t>
  </si>
  <si>
    <t>NAVARRO</t>
  </si>
  <si>
    <t>ZAIRA MARLENE</t>
  </si>
  <si>
    <t>ZAMBRANO</t>
  </si>
  <si>
    <t>correo</t>
  </si>
  <si>
    <t>alam.gomezcanales</t>
  </si>
  <si>
    <t>alejandra.chavezosorio</t>
  </si>
  <si>
    <t>alejandro.uribelopez</t>
  </si>
  <si>
    <t>alfonso.ascenciorubio</t>
  </si>
  <si>
    <t>alfredo.garciavalderrama</t>
  </si>
  <si>
    <t>alvaro.morenocorral</t>
  </si>
  <si>
    <t>alvaro.pujolbecerra</t>
  </si>
  <si>
    <t>antonio.garzamora</t>
  </si>
  <si>
    <t>araceli.floresgil</t>
  </si>
  <si>
    <t>arturo.riverocarrera</t>
  </si>
  <si>
    <t>barbara.nuñezgonzalez</t>
  </si>
  <si>
    <t>ciro.zaratetomas</t>
  </si>
  <si>
    <t>citlalin.vegaroman</t>
  </si>
  <si>
    <t>daisuke.shindotaini</t>
  </si>
  <si>
    <t>daniel.hernandezespinosa</t>
  </si>
  <si>
    <t>daniel.larafavela</t>
  </si>
  <si>
    <t>daniel.montelongoaguayo</t>
  </si>
  <si>
    <t>daniela.fajerromo</t>
  </si>
  <si>
    <t>david.gonzalezchavez</t>
  </si>
  <si>
    <t>david.herreraaragon</t>
  </si>
  <si>
    <t>dennis.camachobuenrostro</t>
  </si>
  <si>
    <t>elisa.hobartgarcia</t>
  </si>
  <si>
    <t>emmanuel.garibaycamacho</t>
  </si>
  <si>
    <t>emmanuel.padillagalindo</t>
  </si>
  <si>
    <t>emmanuel.saldivarorozco</t>
  </si>
  <si>
    <t>enrique.gonzalezgonzalez</t>
  </si>
  <si>
    <t>enrique.jimenezandalon</t>
  </si>
  <si>
    <t>erika.espejoregalado</t>
  </si>
  <si>
    <t>fabiola.tejedadavalos</t>
  </si>
  <si>
    <t>fernando.sanchezlopez</t>
  </si>
  <si>
    <t>francisco.tapiavelazquez</t>
  </si>
  <si>
    <t>gabriel.benitezlozano</t>
  </si>
  <si>
    <t>gabriela.garibaygarcia</t>
  </si>
  <si>
    <t>giselle.andradehernandez</t>
  </si>
  <si>
    <t>griselda.madrigalrodriguez</t>
  </si>
  <si>
    <t>hermes.camposramirez</t>
  </si>
  <si>
    <t>horacio.arteagacardona</t>
  </si>
  <si>
    <t>isis.fariascastellanos</t>
  </si>
  <si>
    <t>jazmin.hernandezmontes</t>
  </si>
  <si>
    <t>jorge.acostanuñez</t>
  </si>
  <si>
    <t>jorge.avalosmartinez</t>
  </si>
  <si>
    <t>juan.poncecuevas</t>
  </si>
  <si>
    <t>juan.rivasmiranda</t>
  </si>
  <si>
    <t>laura.rivasrodriguez</t>
  </si>
  <si>
    <t>leonardo.florescosio</t>
  </si>
  <si>
    <t>leticia.martinezgomez</t>
  </si>
  <si>
    <t>liliana.luaherrera</t>
  </si>
  <si>
    <t>liliana.martinezmedina</t>
  </si>
  <si>
    <t>lorena.gaytangodinez</t>
  </si>
  <si>
    <t>luis.rizodominguez</t>
  </si>
  <si>
    <t>marlen.rivasmelano</t>
  </si>
  <si>
    <t>martin.garciahernandez</t>
  </si>
  <si>
    <t>mercedes.perezortiz</t>
  </si>
  <si>
    <t>monica.gilcastellano</t>
  </si>
  <si>
    <t>nancy.medinavelazquez</t>
  </si>
  <si>
    <t>nydia.espinocampos</t>
  </si>
  <si>
    <t>paulette.jaramillomartinez</t>
  </si>
  <si>
    <t>rodrigo.peñacamacho</t>
  </si>
  <si>
    <t>ruth.delgadobejar</t>
  </si>
  <si>
    <t>santiago.cardenascastillo</t>
  </si>
  <si>
    <t>aidacitlali.hernandezmontaño</t>
  </si>
  <si>
    <t>aldoeverardo.gonzalezpulido</t>
  </si>
  <si>
    <t>aldomaciel.ruizarevalo</t>
  </si>
  <si>
    <t>alfredodejesus.velazquezsantos</t>
  </si>
  <si>
    <t>almadaniela.velazqueznavarrete</t>
  </si>
  <si>
    <t>amandajanette.renteriajimenez</t>
  </si>
  <si>
    <t>anakaren.barocioramirez</t>
  </si>
  <si>
    <t>anamaria.nuñezvelazquez</t>
  </si>
  <si>
    <t>anataliaguadalupe.trujillorodriguez</t>
  </si>
  <si>
    <t>angelalejandro.avalostorres</t>
  </si>
  <si>
    <t>beatrizirene.orozcodiaz</t>
  </si>
  <si>
    <t>berthalucrecia.ferrerlopez</t>
  </si>
  <si>
    <t>brendaalejandra.lopezguzman</t>
  </si>
  <si>
    <t>brendajeannette.guerrarios</t>
  </si>
  <si>
    <t>carladaniela.morelosvelazquez</t>
  </si>
  <si>
    <t>carlamariana.aguilarceballos</t>
  </si>
  <si>
    <t>carlapaulina.mestaslopez</t>
  </si>
  <si>
    <t>carlosalfonso.rosariobecerra</t>
  </si>
  <si>
    <t>claudiacecilia.torresfernandez</t>
  </si>
  <si>
    <t>claudialucia.bautistaparra</t>
  </si>
  <si>
    <t>claudiapaola.cortesvelasco</t>
  </si>
  <si>
    <t>davideduardo.acevesreynaga</t>
  </si>
  <si>
    <t>davidubaldo.gomezperez</t>
  </si>
  <si>
    <t>denispaul.rodriguezromero</t>
  </si>
  <si>
    <t>edermanuel.rodriguezlopez</t>
  </si>
  <si>
    <t>eduardofrancisco.sanchezocampo</t>
  </si>
  <si>
    <t>elsageorgina.padillamartinez</t>
  </si>
  <si>
    <t>erikaivette.salcedorosales</t>
  </si>
  <si>
    <t>fatimaalejandra.velatorres</t>
  </si>
  <si>
    <t>fernandoabif.lopezvidaurri</t>
  </si>
  <si>
    <t>franciscoalberto.marquezcorona</t>
  </si>
  <si>
    <t>franciscojavier.ramirezornelas</t>
  </si>
  <si>
    <t>gastoneduardo.aguilarcallejas</t>
  </si>
  <si>
    <t>gonzaloalberto.lozadaaguilera</t>
  </si>
  <si>
    <t>hectoralfonso.floresguzman</t>
  </si>
  <si>
    <t>hectorraul.morenollamas</t>
  </si>
  <si>
    <t>hectorricardo.delrioazcona</t>
  </si>
  <si>
    <t>hernanandres.cavallomazzitelli</t>
  </si>
  <si>
    <t>hugomiguel.segovianomartinez</t>
  </si>
  <si>
    <t>irmaaracely.toscanorenteria</t>
  </si>
  <si>
    <t>irmaelizabeth.castellanosmeza</t>
  </si>
  <si>
    <t>irvingtrinidad.rodriguezalonso</t>
  </si>
  <si>
    <t>itzelalabama.moncayotarin</t>
  </si>
  <si>
    <t>javiereduardo.salcedorondon</t>
  </si>
  <si>
    <t>jesusalejandro.gomezledezma</t>
  </si>
  <si>
    <t>jesusantonio.gudiñogonzalez</t>
  </si>
  <si>
    <t>jesushiram.beginescinco</t>
  </si>
  <si>
    <t>jonathanomega.escobedoalva</t>
  </si>
  <si>
    <t>jorgeenrique.maciasgarza</t>
  </si>
  <si>
    <t>jorgehumberto.perezgutierrez</t>
  </si>
  <si>
    <t>josebenjamin.rodriguezmiranda</t>
  </si>
  <si>
    <t>josecarlos.lunaherrera</t>
  </si>
  <si>
    <t>josecosme.garciavazquez</t>
  </si>
  <si>
    <t>josedaniel.valenzuelachavira</t>
  </si>
  <si>
    <t>josedejesus.delgadillobocanegra</t>
  </si>
  <si>
    <t>josejavier.guillenlagunes</t>
  </si>
  <si>
    <t>josejorge.sanchezmuñoz</t>
  </si>
  <si>
    <t>joseleonel.buenrostroolmos</t>
  </si>
  <si>
    <t>joseluis.blanquetchavoya</t>
  </si>
  <si>
    <t>joseluis.garciaflores</t>
  </si>
  <si>
    <t>juancarlos.martinezalvarado</t>
  </si>
  <si>
    <t>juancarlos.montañoalvizo</t>
  </si>
  <si>
    <t>juanjose.rodriguezcabrera</t>
  </si>
  <si>
    <t>juanpablo.quirozzepeda</t>
  </si>
  <si>
    <t>julieta.dealbagonzalez</t>
  </si>
  <si>
    <t>juliocesar.pintopompa</t>
  </si>
  <si>
    <t>karlaberenice.lizarragalomeli</t>
  </si>
  <si>
    <t>laurajezabel.gamagomez</t>
  </si>
  <si>
    <t>lauralivier.michelsandoval</t>
  </si>
  <si>
    <t>leidycarolina.bermudezquiroga</t>
  </si>
  <si>
    <t>leonardo.francodejesus</t>
  </si>
  <si>
    <t>lidiaselene.bustamanteramirez</t>
  </si>
  <si>
    <t>linaadith.jimenezrobles</t>
  </si>
  <si>
    <t>lizettesarai.morenoteran</t>
  </si>
  <si>
    <t>lorenzadelaluz.romeromaciel</t>
  </si>
  <si>
    <t>lucinasaray.rosalesvargas</t>
  </si>
  <si>
    <t>luisalfonso.osornomontes</t>
  </si>
  <si>
    <t>luisalonso.calzadasuarez</t>
  </si>
  <si>
    <t>luisantonio.garciaraigosa</t>
  </si>
  <si>
    <t>luisarturo.romerocordova</t>
  </si>
  <si>
    <t>luisaugusto.manzocastrejon</t>
  </si>
  <si>
    <t>luiseduardo.hernandezlomeli</t>
  </si>
  <si>
    <t>luisfernando.hernandezsaldivar</t>
  </si>
  <si>
    <t>luisrafael.garciacovarrubias</t>
  </si>
  <si>
    <t>manuelgustavo.zepedagomez</t>
  </si>
  <si>
    <t>mariaalejandra.dominguezlopez</t>
  </si>
  <si>
    <t>mariadeguadalupe.antolinluna</t>
  </si>
  <si>
    <t>mariadelasvirtudes.abascalcuellar</t>
  </si>
  <si>
    <t>mariadelcarmen.magallonramirez</t>
  </si>
  <si>
    <t>mariadolores.mirandamortera</t>
  </si>
  <si>
    <t>mariaelena.channuñez</t>
  </si>
  <si>
    <t>mariajose.martinezmartinez</t>
  </si>
  <si>
    <t>marialuisa.garciasanchez</t>
  </si>
  <si>
    <t>mariateresa.gonzalezalvarez</t>
  </si>
  <si>
    <t>marthaelia.montañoflores</t>
  </si>
  <si>
    <t>martindejesus.quinterolopez</t>
  </si>
  <si>
    <t>melissa.delarosaricario</t>
  </si>
  <si>
    <t>michel.kochtorresseptien</t>
  </si>
  <si>
    <t>miguelangel.contrerasmontaño</t>
  </si>
  <si>
    <t>miguelangel.escarcegagarciadeleon</t>
  </si>
  <si>
    <t>monicadaniela.casillasmora</t>
  </si>
  <si>
    <t>monserratmarlem.perezcamacho</t>
  </si>
  <si>
    <t>montserratfabiola.ramosrenteria</t>
  </si>
  <si>
    <t>myriamdelcarmen.ontiverosmurguia</t>
  </si>
  <si>
    <t>nicole.hernandezgonzalezbarcena</t>
  </si>
  <si>
    <t>pedroalberto.castillonuñez</t>
  </si>
  <si>
    <t>pedroomar.melendezpiña</t>
  </si>
  <si>
    <t>rafaeldejesus.anguianosuarezdelreal</t>
  </si>
  <si>
    <t>raquelabigail.abreutejeda</t>
  </si>
  <si>
    <t>raulenrique.espejelvargas</t>
  </si>
  <si>
    <t>ricardoabraham.candelariomedina</t>
  </si>
  <si>
    <t>ricardoignacio.baezamontiel</t>
  </si>
  <si>
    <t>rosaesmeralda.floreshernandez</t>
  </si>
  <si>
    <t>saulemmanuel.floresmontaño</t>
  </si>
  <si>
    <t>sergiorodolfo.chavezperez</t>
  </si>
  <si>
    <t>stephanyelizabeth.monterolopez</t>
  </si>
  <si>
    <t>victormanuel.quezadanavarro</t>
  </si>
  <si>
    <t>zairamarlene.zambranolopez</t>
  </si>
  <si>
    <t>id</t>
  </si>
  <si>
    <t>id,nivel,correo,matricula,clave,nombre,carrera,grado,sexo,situacion,evaluados,num_evaluados,total_evaluaciones,ultimo_acceso,nivel_acceso</t>
  </si>
  <si>
    <t>TOMAR DEL SND'</t>
  </si>
  <si>
    <t>PROFESORES</t>
  </si>
  <si>
    <t>HMA1841</t>
  </si>
  <si>
    <t>GCA1735</t>
  </si>
  <si>
    <t>GPA1916</t>
  </si>
  <si>
    <t>RAA1942</t>
  </si>
  <si>
    <t>COA1894</t>
  </si>
  <si>
    <t>ULA0927</t>
  </si>
  <si>
    <t>ARA0918</t>
  </si>
  <si>
    <t>GVA1919</t>
  </si>
  <si>
    <t>VSA1861</t>
  </si>
  <si>
    <t>VNA1925</t>
  </si>
  <si>
    <t>MCA1844</t>
  </si>
  <si>
    <t>PBA1849</t>
  </si>
  <si>
    <t>RJA1850</t>
  </si>
  <si>
    <t>BRA1605</t>
  </si>
  <si>
    <t>NVA1745</t>
  </si>
  <si>
    <t>TRA1428</t>
  </si>
  <si>
    <t>ATA1653</t>
  </si>
  <si>
    <t>GMA1936</t>
  </si>
  <si>
    <t>FGA1042</t>
  </si>
  <si>
    <t>RCA1895</t>
  </si>
  <si>
    <t>NGB1914</t>
  </si>
  <si>
    <t>ODB1845</t>
  </si>
  <si>
    <t>FLB0895</t>
  </si>
  <si>
    <t>LGB1604</t>
  </si>
  <si>
    <t>GRB0956</t>
  </si>
  <si>
    <t>MVC1563</t>
  </si>
  <si>
    <t>ACC1730</t>
  </si>
  <si>
    <t>MLC1913</t>
  </si>
  <si>
    <t>RBC1633</t>
  </si>
  <si>
    <t>ZTC1408</t>
  </si>
  <si>
    <t>VRC1859</t>
  </si>
  <si>
    <t>TFC1678</t>
  </si>
  <si>
    <t>BPC1920</t>
  </si>
  <si>
    <t>CVC1898</t>
  </si>
  <si>
    <t>SD0167</t>
  </si>
  <si>
    <t>HED1374</t>
  </si>
  <si>
    <t>LFD1482</t>
  </si>
  <si>
    <t>MAD0975</t>
  </si>
  <si>
    <t>FRD1712</t>
  </si>
  <si>
    <t>GCD0049</t>
  </si>
  <si>
    <t>HAD0939</t>
  </si>
  <si>
    <t>ARD1864</t>
  </si>
  <si>
    <t>GPD1665</t>
  </si>
  <si>
    <t>RRD1854</t>
  </si>
  <si>
    <t>CBD0795</t>
  </si>
  <si>
    <t>RLE0945</t>
  </si>
  <si>
    <t>SOE1855</t>
  </si>
  <si>
    <t>HGE1078</t>
  </si>
  <si>
    <t>PME1742</t>
  </si>
  <si>
    <t>GCE0971</t>
  </si>
  <si>
    <t>PGE1527</t>
  </si>
  <si>
    <t>SE0523</t>
  </si>
  <si>
    <t>GGE1133</t>
  </si>
  <si>
    <t>JAE1729</t>
  </si>
  <si>
    <t>ERE1767</t>
  </si>
  <si>
    <t>SRE1199</t>
  </si>
  <si>
    <t>TDF1367</t>
  </si>
  <si>
    <t>VTF1860</t>
  </si>
  <si>
    <t>SLF1932</t>
  </si>
  <si>
    <t>LVF1601</t>
  </si>
  <si>
    <t>TVF1344</t>
  </si>
  <si>
    <t>MCF1923</t>
  </si>
  <si>
    <t>ROF1352</t>
  </si>
  <si>
    <t>BLG1791</t>
  </si>
  <si>
    <t>GGG1774</t>
  </si>
  <si>
    <t>ACG1402</t>
  </si>
  <si>
    <t>AHG0679</t>
  </si>
  <si>
    <t>LAG0954</t>
  </si>
  <si>
    <t>MRG1930</t>
  </si>
  <si>
    <t>FGH1934</t>
  </si>
  <si>
    <t>MLH1052</t>
  </si>
  <si>
    <t>DAH0151</t>
  </si>
  <si>
    <t>CRH1264</t>
  </si>
  <si>
    <t>CMH1305</t>
  </si>
  <si>
    <t>ACH1131</t>
  </si>
  <si>
    <t>SMH1905</t>
  </si>
  <si>
    <t>TRI1926</t>
  </si>
  <si>
    <t>CMI1010</t>
  </si>
  <si>
    <t>RAI1236</t>
  </si>
  <si>
    <t>FCI1701</t>
  </si>
  <si>
    <t>MTI1761</t>
  </si>
  <si>
    <t>SRJ1260</t>
  </si>
  <si>
    <t>HMJ1870</t>
  </si>
  <si>
    <t>GLJ1802</t>
  </si>
  <si>
    <t>GGJ1869</t>
  </si>
  <si>
    <t>BCJ1210</t>
  </si>
  <si>
    <t>EAJ1945</t>
  </si>
  <si>
    <t>AMJ1423</t>
  </si>
  <si>
    <t>AMJ1866</t>
  </si>
  <si>
    <t>MGJ1410</t>
  </si>
  <si>
    <t>PGJ1240</t>
  </si>
  <si>
    <t>RMJ1853</t>
  </si>
  <si>
    <t>LHJ1611</t>
  </si>
  <si>
    <t>GVJ1876</t>
  </si>
  <si>
    <t>VCJ1927</t>
  </si>
  <si>
    <t>DBJ1893</t>
  </si>
  <si>
    <t>GLJ1890</t>
  </si>
  <si>
    <t>SMJ0539</t>
  </si>
  <si>
    <t>BOJ1778</t>
  </si>
  <si>
    <t>BCJ1051</t>
  </si>
  <si>
    <t>GFJ1530</t>
  </si>
  <si>
    <t>PCJ1177</t>
  </si>
  <si>
    <t>RMJ1448</t>
  </si>
  <si>
    <t>MJ0221</t>
  </si>
  <si>
    <t>MAJ1442</t>
  </si>
  <si>
    <t>RCJ1881</t>
  </si>
  <si>
    <t>QZJ1436</t>
  </si>
  <si>
    <t>DGJ1732</t>
  </si>
  <si>
    <t>PPJ1884</t>
  </si>
  <si>
    <t>LLK1291</t>
  </si>
  <si>
    <t>RRL1304</t>
  </si>
  <si>
    <t>GGL1922</t>
  </si>
  <si>
    <t>MSL1607</t>
  </si>
  <si>
    <t>BQL1911</t>
  </si>
  <si>
    <t>FCL1178</t>
  </si>
  <si>
    <t>FDL1897</t>
  </si>
  <si>
    <t>MGL0928</t>
  </si>
  <si>
    <t>BRL1609</t>
  </si>
  <si>
    <t>LHL1004</t>
  </si>
  <si>
    <t>MML1660</t>
  </si>
  <si>
    <t>JRL1762</t>
  </si>
  <si>
    <t>MTL1553</t>
  </si>
  <si>
    <t>GGL1120</t>
  </si>
  <si>
    <t>RML0793</t>
  </si>
  <si>
    <t>RVL1931</t>
  </si>
  <si>
    <t>RDL1814</t>
  </si>
  <si>
    <t>OML1606</t>
  </si>
  <si>
    <t>CSL1915</t>
  </si>
  <si>
    <t>GRL0684</t>
  </si>
  <si>
    <t>RCL1449</t>
  </si>
  <si>
    <t>MCL1917</t>
  </si>
  <si>
    <t>HLL1929</t>
  </si>
  <si>
    <t>HZL0661</t>
  </si>
  <si>
    <t>GCL1128</t>
  </si>
  <si>
    <t>ZGM1566</t>
  </si>
  <si>
    <t>DLM0970</t>
  </si>
  <si>
    <t>ALM1223</t>
  </si>
  <si>
    <t>ACM0473</t>
  </si>
  <si>
    <t>MRM1794</t>
  </si>
  <si>
    <t>MMM1414</t>
  </si>
  <si>
    <t>CNM0034</t>
  </si>
  <si>
    <t>MMM1455</t>
  </si>
  <si>
    <t>GSM0224</t>
  </si>
  <si>
    <t>GAM0556</t>
  </si>
  <si>
    <t>RMM1724</t>
  </si>
  <si>
    <t>MFM0088</t>
  </si>
  <si>
    <t>GHM1198</t>
  </si>
  <si>
    <t>QLM0846</t>
  </si>
  <si>
    <t>DRM1880</t>
  </si>
  <si>
    <t>POM0707</t>
  </si>
  <si>
    <t>KTM1805</t>
  </si>
  <si>
    <t>CMM1867</t>
  </si>
  <si>
    <t>EGM1892</t>
  </si>
  <si>
    <t>GCM1278</t>
  </si>
  <si>
    <t>CMM1873</t>
  </si>
  <si>
    <t>PCM1848</t>
  </si>
  <si>
    <t>RRM1422</t>
  </si>
  <si>
    <t>OMM1889</t>
  </si>
  <si>
    <t>MVN1938</t>
  </si>
  <si>
    <t>HBN1668</t>
  </si>
  <si>
    <t>ECN0993</t>
  </si>
  <si>
    <t>JMP1912</t>
  </si>
  <si>
    <t>CNP1815</t>
  </si>
  <si>
    <t>MPP1935</t>
  </si>
  <si>
    <t>ASR1799</t>
  </si>
  <si>
    <t>ATR1755</t>
  </si>
  <si>
    <t>EVR1642</t>
  </si>
  <si>
    <t>CMR1943</t>
  </si>
  <si>
    <t>BMR1221</t>
  </si>
  <si>
    <t>PCR0609</t>
  </si>
  <si>
    <t>FHR1421</t>
  </si>
  <si>
    <t>DBR1921</t>
  </si>
  <si>
    <t>CCS0709</t>
  </si>
  <si>
    <t>FMS1800</t>
  </si>
  <si>
    <t>CPS0028</t>
  </si>
  <si>
    <t>MLS1918</t>
  </si>
  <si>
    <t>QNV1347</t>
  </si>
  <si>
    <t>ZLZ1862</t>
  </si>
  <si>
    <t>NIVEL</t>
  </si>
  <si>
    <t>SELLO</t>
  </si>
  <si>
    <t>INSERT INTO profesores (id,nivel,carrera,grupo,nombre,materia,sexo,sello) VALUES (</t>
  </si>
  <si>
    <t>TC 0503 1'</t>
  </si>
  <si>
    <t>TC 0503 2'</t>
  </si>
  <si>
    <t>TC 0601 1'</t>
  </si>
  <si>
    <t>TC 0603 1'</t>
  </si>
  <si>
    <t>AERO 2° A'</t>
  </si>
  <si>
    <t>AERO 2° B'</t>
  </si>
  <si>
    <t>AUTO 2° A'</t>
  </si>
  <si>
    <t>AUTO 2° B'</t>
  </si>
  <si>
    <t>TC0201 1'</t>
  </si>
  <si>
    <t>TC0201 2'</t>
  </si>
  <si>
    <t>TC0201 3'</t>
  </si>
  <si>
    <t>TC0201 4'</t>
  </si>
  <si>
    <t>TC0201 5'</t>
  </si>
  <si>
    <t>TC0201 6'</t>
  </si>
  <si>
    <t>TC0201 7'</t>
  </si>
  <si>
    <t>TC0201 8'</t>
  </si>
  <si>
    <t>TC0202 1'</t>
  </si>
  <si>
    <t>TC0202 2'</t>
  </si>
  <si>
    <t>TC0202 3'</t>
  </si>
  <si>
    <t>TC0202 4'</t>
  </si>
  <si>
    <t>TC0202 5'</t>
  </si>
  <si>
    <t>TC0202 6'</t>
  </si>
  <si>
    <t>TC0202 7'</t>
  </si>
  <si>
    <t>TC0202 8'</t>
  </si>
  <si>
    <t>TC0401 1'</t>
  </si>
  <si>
    <t>TC0401 2'</t>
  </si>
  <si>
    <t>TC0401 3'</t>
  </si>
  <si>
    <t>TC0401 4'</t>
  </si>
  <si>
    <t>TC0401 5'</t>
  </si>
  <si>
    <t>TC0401 6'</t>
  </si>
  <si>
    <t>TC0401 7'</t>
  </si>
  <si>
    <t>TC0402 1'</t>
  </si>
  <si>
    <t>TC0402 2'</t>
  </si>
  <si>
    <t>TC0402 3'</t>
  </si>
  <si>
    <t>TC0402 4'</t>
  </si>
  <si>
    <t>TC0402 5'</t>
  </si>
  <si>
    <t>TC0402 6'</t>
  </si>
  <si>
    <t>TC0402 7'</t>
  </si>
  <si>
    <t>TC0601 2'</t>
  </si>
  <si>
    <t>TC0601 3'</t>
  </si>
  <si>
    <t>TC0601 4'</t>
  </si>
  <si>
    <t>TC0601 5'</t>
  </si>
  <si>
    <t>TC0603 1'</t>
  </si>
  <si>
    <t>TC0603 2'</t>
  </si>
  <si>
    <t>TC0603 3'</t>
  </si>
  <si>
    <t>TC0603 4'</t>
  </si>
  <si>
    <t>TC0603 5'</t>
  </si>
  <si>
    <t>TC0603 6'</t>
  </si>
  <si>
    <t>TC0801 2'</t>
  </si>
  <si>
    <t>TC0801 3'</t>
  </si>
  <si>
    <t>TC0801 4'</t>
  </si>
  <si>
    <t>TC0801 5'</t>
  </si>
  <si>
    <t>ADMON 2°'</t>
  </si>
  <si>
    <t>ADMON 4°'</t>
  </si>
  <si>
    <t>ADMON 6°'</t>
  </si>
  <si>
    <t>ADMON 8°'</t>
  </si>
  <si>
    <t>AERO_10°'</t>
  </si>
  <si>
    <t>TC 0801'</t>
  </si>
  <si>
    <t>ANIM 2°'</t>
  </si>
  <si>
    <t>ANIM 4°'</t>
  </si>
  <si>
    <t>ANIM 6°'</t>
  </si>
  <si>
    <t>ANIM 8°'</t>
  </si>
  <si>
    <t>AERO 4°'</t>
  </si>
  <si>
    <t>AERO 6°'</t>
  </si>
  <si>
    <t>AERO 8°'</t>
  </si>
  <si>
    <t>AUTO 4°'</t>
  </si>
  <si>
    <t>ARQ 2°'</t>
  </si>
  <si>
    <t>ARQ 4°'</t>
  </si>
  <si>
    <t>ARQ 6°'</t>
  </si>
  <si>
    <t>ARQ 8°'</t>
  </si>
  <si>
    <t>COM 6°'</t>
  </si>
  <si>
    <t>COM 8°'</t>
  </si>
  <si>
    <t>DER 6°'</t>
  </si>
  <si>
    <t>DER 8°'</t>
  </si>
  <si>
    <t>DGD 4°'</t>
  </si>
  <si>
    <t>DGD 6°'</t>
  </si>
  <si>
    <t>DGD 8°'</t>
  </si>
  <si>
    <t>CIB 4°'</t>
  </si>
  <si>
    <t>CIB 6°'</t>
  </si>
  <si>
    <t>CIB 8°'</t>
  </si>
  <si>
    <t>IND 4°'</t>
  </si>
  <si>
    <t>IND 8°'</t>
  </si>
  <si>
    <t>MKT 6°'</t>
  </si>
  <si>
    <t>MKT 8°'</t>
  </si>
  <si>
    <t>NUT 2°'</t>
  </si>
  <si>
    <t>NUT 4°'</t>
  </si>
  <si>
    <t>NUT 6°'</t>
  </si>
  <si>
    <t>NUT 8°'</t>
  </si>
  <si>
    <t>PSI 2°'</t>
  </si>
  <si>
    <t>PSI 4°'</t>
  </si>
  <si>
    <t>PSI 6°'</t>
  </si>
  <si>
    <t>PSI 8°'</t>
  </si>
  <si>
    <t>IA 2°'</t>
  </si>
  <si>
    <t>IA 4°'</t>
  </si>
  <si>
    <t>CUESTA SÁNCHEZ EDUARDO</t>
  </si>
  <si>
    <t>CALDERON CHAVARRIN NOEMI MONTSERRAT</t>
  </si>
  <si>
    <t>NAVA CANALES CARLOS ARMANDO</t>
  </si>
  <si>
    <t>MÉNDEZ JIMÉNEZ ALBERTO</t>
  </si>
  <si>
    <t>DE LEÓN SÁNCHEZ JOSÉ ISRAEL</t>
  </si>
  <si>
    <t>COMPLEJIDAD DE ALGORITMOS</t>
  </si>
  <si>
    <t>IDIOMAS</t>
  </si>
  <si>
    <t>ADMINISTRACION Y DIRECCION DE NEGOCIOS</t>
  </si>
  <si>
    <t>ANIMACION DIGITAL Y VIDEOJUEGOS</t>
  </si>
  <si>
    <t>ARQUITECTURA</t>
  </si>
  <si>
    <t>COMERCIO INTERNACIONAL</t>
  </si>
  <si>
    <t>DERECHO</t>
  </si>
  <si>
    <t>DISEÑO GRAFICO Y DIGITAL</t>
  </si>
  <si>
    <t>INGENIERIA AEROESPACIAL</t>
  </si>
  <si>
    <t>INGENIERÍA AUTOMOTRIZ</t>
  </si>
  <si>
    <t>INGENIERIA CIBERNETICA Y EN SISTEMAS COMPUTACIONALES</t>
  </si>
  <si>
    <t>INGENIERÍA EN INTELIGENCIA ARTIFICIAL</t>
  </si>
  <si>
    <t>INGENIERIA INDUSTRIAL Y EN SISTEMAS ORGANIZACIONALES</t>
  </si>
  <si>
    <t>MERCADOTECNIA Y PUBLICIDAD</t>
  </si>
  <si>
    <t>NUTRICION Y GASTRONOMIA</t>
  </si>
  <si>
    <t>PSICOLOGIA</t>
  </si>
  <si>
    <t>TIDIOMAS_1'</t>
  </si>
  <si>
    <t>TIDIOMAS_2'</t>
  </si>
  <si>
    <t>TIDIOMAS_3'</t>
  </si>
  <si>
    <t>TIDIOMAS_4'</t>
  </si>
  <si>
    <t>TIDIOMAS_5'</t>
  </si>
  <si>
    <t>TIDIOMAS_6'</t>
  </si>
  <si>
    <t>TIDIOMAS_7'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</si>
</sst>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2" fillId="0" borderId="0" xfId="0" applyFont="1" applyAlignment="1">
      <alignment wrapText="1"/>
    </xf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C61D-4592-4043-B2B5-3305E8FE55DD}">
  <dimension ref="A1:H179"/>
  <sheetViews>
    <sheetView topLeftCell="C1" workbookViewId="0">
      <selection activeCell="E1" sqref="E1:E1048576"/>
    </sheetView>
  </sheetViews>
  <sheetFormatPr baseColWidth="10" defaultRowHeight="15" x14ac:dyDescent="0.25"/>
  <cols>
    <col min="1" max="1" width="13.28515625" bestFit="1" customWidth="1"/>
    <col min="2" max="2" width="21.85546875" bestFit="1" customWidth="1"/>
    <col min="3" max="3" width="21.28515625" bestFit="1" customWidth="1"/>
    <col min="4" max="4" width="16" bestFit="1" customWidth="1"/>
    <col min="5" max="5" width="11.28515625" bestFit="1" customWidth="1"/>
    <col min="6" max="6" width="41.28515625" customWidth="1"/>
    <col min="7" max="7" width="11.28515625" customWidth="1"/>
  </cols>
  <sheetData>
    <row r="1" spans="1:8" x14ac:dyDescent="0.25">
      <c r="A1" t="s">
        <v>0</v>
      </c>
      <c r="B1" t="s">
        <v>551</v>
      </c>
      <c r="C1" t="s">
        <v>552</v>
      </c>
      <c r="D1" t="s">
        <v>553</v>
      </c>
      <c r="E1" t="s">
        <v>555</v>
      </c>
      <c r="F1" t="s">
        <v>105</v>
      </c>
      <c r="G1" t="s">
        <v>546</v>
      </c>
      <c r="H1" s="1" t="s">
        <v>960</v>
      </c>
    </row>
    <row r="2" spans="1:8" x14ac:dyDescent="0.25">
      <c r="A2" t="s">
        <v>1</v>
      </c>
      <c r="B2" t="s">
        <v>564</v>
      </c>
      <c r="C2" t="s">
        <v>565</v>
      </c>
      <c r="D2" t="s">
        <v>566</v>
      </c>
      <c r="E2" t="s">
        <v>1143</v>
      </c>
      <c r="F2" t="s">
        <v>109</v>
      </c>
      <c r="G2" t="s">
        <v>548</v>
      </c>
      <c r="H2" t="s">
        <v>1021</v>
      </c>
    </row>
    <row r="3" spans="1:8" x14ac:dyDescent="0.25">
      <c r="A3" t="s">
        <v>1</v>
      </c>
      <c r="B3" t="s">
        <v>567</v>
      </c>
      <c r="C3" t="s">
        <v>568</v>
      </c>
      <c r="D3" t="s">
        <v>569</v>
      </c>
      <c r="E3" t="s">
        <v>1144</v>
      </c>
      <c r="F3" t="s">
        <v>157</v>
      </c>
      <c r="G3" t="s">
        <v>547</v>
      </c>
      <c r="H3" t="s">
        <v>961</v>
      </c>
    </row>
    <row r="4" spans="1:8" x14ac:dyDescent="0.25">
      <c r="A4" t="s">
        <v>1</v>
      </c>
      <c r="B4" t="s">
        <v>570</v>
      </c>
      <c r="C4" t="s">
        <v>571</v>
      </c>
      <c r="D4" t="s">
        <v>572</v>
      </c>
      <c r="E4" t="s">
        <v>1145</v>
      </c>
      <c r="F4" t="s">
        <v>186</v>
      </c>
      <c r="G4" t="s">
        <v>547</v>
      </c>
      <c r="H4" t="s">
        <v>1022</v>
      </c>
    </row>
    <row r="5" spans="1:8" x14ac:dyDescent="0.25">
      <c r="A5" t="s">
        <v>1</v>
      </c>
      <c r="B5" t="s">
        <v>573</v>
      </c>
      <c r="C5" t="s">
        <v>574</v>
      </c>
      <c r="D5" t="s">
        <v>575</v>
      </c>
      <c r="E5" t="s">
        <v>1146</v>
      </c>
      <c r="F5" t="s">
        <v>238</v>
      </c>
      <c r="G5" t="s">
        <v>547</v>
      </c>
      <c r="H5" t="s">
        <v>1023</v>
      </c>
    </row>
    <row r="6" spans="1:8" x14ac:dyDescent="0.25">
      <c r="A6" t="s">
        <v>1</v>
      </c>
      <c r="B6" t="s">
        <v>576</v>
      </c>
      <c r="C6" t="s">
        <v>577</v>
      </c>
      <c r="D6" t="s">
        <v>578</v>
      </c>
      <c r="E6" t="s">
        <v>1147</v>
      </c>
      <c r="F6" t="s">
        <v>275</v>
      </c>
      <c r="G6" t="s">
        <v>548</v>
      </c>
      <c r="H6" t="s">
        <v>962</v>
      </c>
    </row>
    <row r="7" spans="1:8" x14ac:dyDescent="0.25">
      <c r="A7" t="s">
        <v>1</v>
      </c>
      <c r="B7" t="s">
        <v>579</v>
      </c>
      <c r="C7" t="s">
        <v>580</v>
      </c>
      <c r="D7" t="s">
        <v>581</v>
      </c>
      <c r="E7" t="s">
        <v>1148</v>
      </c>
      <c r="F7" t="s">
        <v>123</v>
      </c>
      <c r="G7" t="s">
        <v>547</v>
      </c>
      <c r="H7" t="s">
        <v>963</v>
      </c>
    </row>
    <row r="8" spans="1:8" x14ac:dyDescent="0.25">
      <c r="A8" t="s">
        <v>1</v>
      </c>
      <c r="B8" t="s">
        <v>582</v>
      </c>
      <c r="C8" t="s">
        <v>583</v>
      </c>
      <c r="D8" t="s">
        <v>584</v>
      </c>
      <c r="E8" t="s">
        <v>1149</v>
      </c>
      <c r="F8" t="s">
        <v>171</v>
      </c>
      <c r="G8" t="s">
        <v>547</v>
      </c>
      <c r="H8" t="s">
        <v>964</v>
      </c>
    </row>
    <row r="9" spans="1:8" x14ac:dyDescent="0.25">
      <c r="A9" t="s">
        <v>1</v>
      </c>
      <c r="B9" t="s">
        <v>585</v>
      </c>
      <c r="C9" t="s">
        <v>586</v>
      </c>
      <c r="D9" t="s">
        <v>587</v>
      </c>
      <c r="E9" t="s">
        <v>1150</v>
      </c>
      <c r="F9" t="s">
        <v>269</v>
      </c>
      <c r="G9" t="s">
        <v>547</v>
      </c>
      <c r="H9" t="s">
        <v>965</v>
      </c>
    </row>
    <row r="10" spans="1:8" x14ac:dyDescent="0.25">
      <c r="A10" t="s">
        <v>1</v>
      </c>
      <c r="B10" t="s">
        <v>588</v>
      </c>
      <c r="C10" t="s">
        <v>589</v>
      </c>
      <c r="D10" t="s">
        <v>590</v>
      </c>
      <c r="E10" t="s">
        <v>1151</v>
      </c>
      <c r="F10" t="s">
        <v>245</v>
      </c>
      <c r="G10" t="s">
        <v>547</v>
      </c>
      <c r="H10" t="s">
        <v>1024</v>
      </c>
    </row>
    <row r="11" spans="1:8" x14ac:dyDescent="0.25">
      <c r="A11" t="s">
        <v>1</v>
      </c>
      <c r="B11" t="s">
        <v>591</v>
      </c>
      <c r="C11" t="s">
        <v>589</v>
      </c>
      <c r="D11" t="s">
        <v>592</v>
      </c>
      <c r="E11" t="s">
        <v>1152</v>
      </c>
      <c r="F11" t="s">
        <v>252</v>
      </c>
      <c r="G11" t="s">
        <v>548</v>
      </c>
      <c r="H11" t="s">
        <v>1025</v>
      </c>
    </row>
    <row r="12" spans="1:8" x14ac:dyDescent="0.25">
      <c r="A12" t="s">
        <v>1</v>
      </c>
      <c r="B12" t="s">
        <v>593</v>
      </c>
      <c r="C12" t="s">
        <v>594</v>
      </c>
      <c r="D12" t="s">
        <v>595</v>
      </c>
      <c r="E12" t="s">
        <v>1153</v>
      </c>
      <c r="F12" t="s">
        <v>135</v>
      </c>
      <c r="G12" t="s">
        <v>547</v>
      </c>
      <c r="H12" t="s">
        <v>966</v>
      </c>
    </row>
    <row r="13" spans="1:8" x14ac:dyDescent="0.25">
      <c r="A13" t="s">
        <v>1</v>
      </c>
      <c r="B13" t="s">
        <v>593</v>
      </c>
      <c r="C13" t="s">
        <v>596</v>
      </c>
      <c r="D13" t="s">
        <v>597</v>
      </c>
      <c r="E13" t="s">
        <v>1154</v>
      </c>
      <c r="F13" t="s">
        <v>170</v>
      </c>
      <c r="G13" t="s">
        <v>547</v>
      </c>
      <c r="H13" t="s">
        <v>967</v>
      </c>
    </row>
    <row r="14" spans="1:8" x14ac:dyDescent="0.25">
      <c r="A14" t="s">
        <v>1</v>
      </c>
      <c r="B14" t="s">
        <v>598</v>
      </c>
      <c r="C14" t="s">
        <v>599</v>
      </c>
      <c r="D14" t="s">
        <v>600</v>
      </c>
      <c r="E14" t="s">
        <v>1155</v>
      </c>
      <c r="F14" t="s">
        <v>145</v>
      </c>
      <c r="G14" t="s">
        <v>548</v>
      </c>
      <c r="H14" t="s">
        <v>1026</v>
      </c>
    </row>
    <row r="15" spans="1:8" x14ac:dyDescent="0.25">
      <c r="A15" t="s">
        <v>1</v>
      </c>
      <c r="B15" t="s">
        <v>601</v>
      </c>
      <c r="C15" t="s">
        <v>602</v>
      </c>
      <c r="D15" t="s">
        <v>603</v>
      </c>
      <c r="E15" t="s">
        <v>1156</v>
      </c>
      <c r="F15" t="s">
        <v>248</v>
      </c>
      <c r="G15" t="s">
        <v>548</v>
      </c>
      <c r="H15" t="s">
        <v>1027</v>
      </c>
    </row>
    <row r="16" spans="1:8" x14ac:dyDescent="0.25">
      <c r="A16" t="s">
        <v>1</v>
      </c>
      <c r="B16" t="s">
        <v>604</v>
      </c>
      <c r="C16" t="s">
        <v>605</v>
      </c>
      <c r="D16" t="s">
        <v>589</v>
      </c>
      <c r="E16" t="s">
        <v>1157</v>
      </c>
      <c r="F16" t="s">
        <v>203</v>
      </c>
      <c r="G16" t="s">
        <v>548</v>
      </c>
      <c r="H16" t="s">
        <v>1028</v>
      </c>
    </row>
    <row r="17" spans="1:8" x14ac:dyDescent="0.25">
      <c r="A17" t="s">
        <v>1</v>
      </c>
      <c r="B17" t="s">
        <v>606</v>
      </c>
      <c r="C17" t="s">
        <v>607</v>
      </c>
      <c r="D17" t="s">
        <v>608</v>
      </c>
      <c r="E17" t="s">
        <v>1158</v>
      </c>
      <c r="F17" t="s">
        <v>116</v>
      </c>
      <c r="G17" t="s">
        <v>548</v>
      </c>
      <c r="H17" t="s">
        <v>1029</v>
      </c>
    </row>
    <row r="18" spans="1:8" x14ac:dyDescent="0.25">
      <c r="A18" t="s">
        <v>1</v>
      </c>
      <c r="B18" t="s">
        <v>609</v>
      </c>
      <c r="C18" t="s">
        <v>610</v>
      </c>
      <c r="D18" t="s">
        <v>611</v>
      </c>
      <c r="E18" t="s">
        <v>1159</v>
      </c>
      <c r="F18" t="s">
        <v>274</v>
      </c>
      <c r="G18" t="s">
        <v>547</v>
      </c>
      <c r="H18" t="s">
        <v>1030</v>
      </c>
    </row>
    <row r="19" spans="1:8" x14ac:dyDescent="0.25">
      <c r="A19" t="s">
        <v>1</v>
      </c>
      <c r="B19" t="s">
        <v>612</v>
      </c>
      <c r="C19" t="s">
        <v>613</v>
      </c>
      <c r="D19" t="s">
        <v>614</v>
      </c>
      <c r="E19" t="s">
        <v>1160</v>
      </c>
      <c r="F19" t="s">
        <v>278</v>
      </c>
      <c r="G19" t="s">
        <v>547</v>
      </c>
      <c r="H19" t="s">
        <v>968</v>
      </c>
    </row>
    <row r="20" spans="1:8" x14ac:dyDescent="0.25">
      <c r="A20" t="s">
        <v>1</v>
      </c>
      <c r="B20" t="s">
        <v>615</v>
      </c>
      <c r="C20" t="s">
        <v>616</v>
      </c>
      <c r="D20" t="s">
        <v>617</v>
      </c>
      <c r="E20" t="s">
        <v>1161</v>
      </c>
      <c r="F20" t="s">
        <v>195</v>
      </c>
      <c r="G20" t="s">
        <v>548</v>
      </c>
      <c r="H20" t="s">
        <v>969</v>
      </c>
    </row>
    <row r="21" spans="1:8" x14ac:dyDescent="0.25">
      <c r="A21" t="s">
        <v>1</v>
      </c>
      <c r="B21" t="s">
        <v>618</v>
      </c>
      <c r="C21" t="s">
        <v>619</v>
      </c>
      <c r="D21" t="s">
        <v>620</v>
      </c>
      <c r="E21" t="s">
        <v>1162</v>
      </c>
      <c r="F21" t="s">
        <v>193</v>
      </c>
      <c r="G21" t="s">
        <v>547</v>
      </c>
      <c r="H21" t="s">
        <v>970</v>
      </c>
    </row>
    <row r="22" spans="1:8" x14ac:dyDescent="0.25">
      <c r="A22" t="s">
        <v>1</v>
      </c>
      <c r="B22" t="s">
        <v>621</v>
      </c>
      <c r="C22" t="s">
        <v>605</v>
      </c>
      <c r="D22" t="s">
        <v>571</v>
      </c>
      <c r="E22" t="s">
        <v>1163</v>
      </c>
      <c r="F22" t="s">
        <v>119</v>
      </c>
      <c r="G22" t="s">
        <v>548</v>
      </c>
      <c r="H22" t="s">
        <v>971</v>
      </c>
    </row>
    <row r="23" spans="1:8" x14ac:dyDescent="0.25">
      <c r="A23" t="s">
        <v>1</v>
      </c>
      <c r="B23" t="s">
        <v>622</v>
      </c>
      <c r="C23" t="s">
        <v>623</v>
      </c>
      <c r="D23" t="s">
        <v>624</v>
      </c>
      <c r="E23" t="s">
        <v>1164</v>
      </c>
      <c r="F23" t="s">
        <v>136</v>
      </c>
      <c r="G23" t="s">
        <v>548</v>
      </c>
      <c r="H23" t="s">
        <v>1031</v>
      </c>
    </row>
    <row r="24" spans="1:8" x14ac:dyDescent="0.25">
      <c r="A24" t="s">
        <v>1</v>
      </c>
      <c r="B24" t="s">
        <v>625</v>
      </c>
      <c r="C24" t="s">
        <v>626</v>
      </c>
      <c r="D24" t="s">
        <v>581</v>
      </c>
      <c r="E24" t="s">
        <v>1165</v>
      </c>
      <c r="F24" t="s">
        <v>201</v>
      </c>
      <c r="G24" t="s">
        <v>548</v>
      </c>
      <c r="H24" t="s">
        <v>1032</v>
      </c>
    </row>
    <row r="25" spans="1:8" x14ac:dyDescent="0.25">
      <c r="A25" t="s">
        <v>1</v>
      </c>
      <c r="B25" t="s">
        <v>627</v>
      </c>
      <c r="C25" t="s">
        <v>581</v>
      </c>
      <c r="D25" t="s">
        <v>628</v>
      </c>
      <c r="E25" t="s">
        <v>1166</v>
      </c>
      <c r="F25" t="s">
        <v>276</v>
      </c>
      <c r="G25" t="s">
        <v>548</v>
      </c>
      <c r="H25" t="s">
        <v>1033</v>
      </c>
    </row>
    <row r="26" spans="1:8" x14ac:dyDescent="0.25">
      <c r="A26" t="s">
        <v>1</v>
      </c>
      <c r="B26" t="s">
        <v>629</v>
      </c>
      <c r="C26" t="s">
        <v>630</v>
      </c>
      <c r="D26" t="s">
        <v>631</v>
      </c>
      <c r="E26" t="s">
        <v>1167</v>
      </c>
      <c r="F26" t="s">
        <v>271</v>
      </c>
      <c r="G26" t="s">
        <v>548</v>
      </c>
      <c r="H26" t="s">
        <v>1034</v>
      </c>
    </row>
    <row r="27" spans="1:8" x14ac:dyDescent="0.25">
      <c r="A27" t="s">
        <v>1</v>
      </c>
      <c r="B27" t="s">
        <v>632</v>
      </c>
      <c r="C27" t="s">
        <v>633</v>
      </c>
      <c r="D27" t="s">
        <v>589</v>
      </c>
      <c r="E27" t="s">
        <v>1168</v>
      </c>
      <c r="F27" t="s">
        <v>152</v>
      </c>
      <c r="G27" t="s">
        <v>548</v>
      </c>
      <c r="H27" t="s">
        <v>1035</v>
      </c>
    </row>
    <row r="28" spans="1:8" x14ac:dyDescent="0.25">
      <c r="A28" t="s">
        <v>1</v>
      </c>
      <c r="B28" t="s">
        <v>634</v>
      </c>
      <c r="C28" t="s">
        <v>635</v>
      </c>
      <c r="D28" t="s">
        <v>636</v>
      </c>
      <c r="E28" t="s">
        <v>1169</v>
      </c>
      <c r="F28" t="s">
        <v>110</v>
      </c>
      <c r="G28" t="s">
        <v>548</v>
      </c>
      <c r="H28" t="s">
        <v>1036</v>
      </c>
    </row>
    <row r="29" spans="1:8" x14ac:dyDescent="0.25">
      <c r="A29" t="s">
        <v>1</v>
      </c>
      <c r="B29" t="s">
        <v>637</v>
      </c>
      <c r="C29" t="s">
        <v>638</v>
      </c>
      <c r="D29" t="s">
        <v>581</v>
      </c>
      <c r="E29" t="s">
        <v>1170</v>
      </c>
      <c r="F29" t="s">
        <v>122</v>
      </c>
      <c r="G29" t="s">
        <v>548</v>
      </c>
      <c r="H29" t="s">
        <v>1037</v>
      </c>
    </row>
    <row r="30" spans="1:8" x14ac:dyDescent="0.25">
      <c r="A30" t="s">
        <v>1</v>
      </c>
      <c r="B30" t="s">
        <v>639</v>
      </c>
      <c r="C30" t="s">
        <v>640</v>
      </c>
      <c r="D30" t="s">
        <v>597</v>
      </c>
      <c r="E30" t="s">
        <v>1171</v>
      </c>
      <c r="F30" t="s">
        <v>283</v>
      </c>
      <c r="G30" t="s">
        <v>547</v>
      </c>
      <c r="H30" t="s">
        <v>1038</v>
      </c>
    </row>
    <row r="31" spans="1:8" x14ac:dyDescent="0.25">
      <c r="A31" t="s">
        <v>1</v>
      </c>
      <c r="B31" t="s">
        <v>641</v>
      </c>
      <c r="C31" t="s">
        <v>642</v>
      </c>
      <c r="D31" t="s">
        <v>643</v>
      </c>
      <c r="E31" t="s">
        <v>1172</v>
      </c>
      <c r="F31" t="s">
        <v>216</v>
      </c>
      <c r="G31" t="s">
        <v>547</v>
      </c>
      <c r="H31" t="s">
        <v>972</v>
      </c>
    </row>
    <row r="32" spans="1:8" x14ac:dyDescent="0.25">
      <c r="A32" t="s">
        <v>1</v>
      </c>
      <c r="B32" t="s">
        <v>644</v>
      </c>
      <c r="C32" t="s">
        <v>645</v>
      </c>
      <c r="D32" t="s">
        <v>646</v>
      </c>
      <c r="E32" t="s">
        <v>1173</v>
      </c>
      <c r="F32" t="s">
        <v>258</v>
      </c>
      <c r="G32" t="s">
        <v>548</v>
      </c>
      <c r="H32" t="s">
        <v>973</v>
      </c>
    </row>
    <row r="33" spans="1:8" x14ac:dyDescent="0.25">
      <c r="A33" t="s">
        <v>1</v>
      </c>
      <c r="B33" t="s">
        <v>647</v>
      </c>
      <c r="C33" t="s">
        <v>611</v>
      </c>
      <c r="D33" t="s">
        <v>648</v>
      </c>
      <c r="E33" t="s">
        <v>1174</v>
      </c>
      <c r="F33" t="s">
        <v>140</v>
      </c>
      <c r="G33" t="s">
        <v>548</v>
      </c>
      <c r="H33" t="s">
        <v>1039</v>
      </c>
    </row>
    <row r="34" spans="1:8" x14ac:dyDescent="0.25">
      <c r="A34" t="s">
        <v>1</v>
      </c>
      <c r="B34" t="s">
        <v>649</v>
      </c>
      <c r="C34" t="s">
        <v>650</v>
      </c>
      <c r="D34" t="s">
        <v>651</v>
      </c>
      <c r="E34" t="s">
        <v>1175</v>
      </c>
      <c r="F34" t="s">
        <v>194</v>
      </c>
      <c r="G34" t="s">
        <v>548</v>
      </c>
      <c r="H34" t="s">
        <v>1040</v>
      </c>
    </row>
    <row r="35" spans="1:8" x14ac:dyDescent="0.25">
      <c r="A35" t="s">
        <v>1</v>
      </c>
      <c r="B35" t="s">
        <v>652</v>
      </c>
      <c r="C35" t="s">
        <v>653</v>
      </c>
      <c r="D35" t="s">
        <v>654</v>
      </c>
      <c r="E35" t="s">
        <v>1176</v>
      </c>
      <c r="F35" t="s">
        <v>126</v>
      </c>
      <c r="G35" t="s">
        <v>548</v>
      </c>
      <c r="H35" t="s">
        <v>1041</v>
      </c>
    </row>
    <row r="36" spans="1:8" x14ac:dyDescent="0.25">
      <c r="A36" t="s">
        <v>1</v>
      </c>
      <c r="B36" t="s">
        <v>655</v>
      </c>
      <c r="C36" t="s">
        <v>656</v>
      </c>
      <c r="D36" t="s">
        <v>657</v>
      </c>
      <c r="E36" t="s">
        <v>1177</v>
      </c>
      <c r="F36" t="s">
        <v>204</v>
      </c>
      <c r="G36" t="s">
        <v>547</v>
      </c>
      <c r="H36" t="s">
        <v>974</v>
      </c>
    </row>
    <row r="37" spans="1:8" x14ac:dyDescent="0.25">
      <c r="A37" t="s">
        <v>1</v>
      </c>
      <c r="B37" t="s">
        <v>658</v>
      </c>
      <c r="C37" t="s">
        <v>565</v>
      </c>
      <c r="D37" t="s">
        <v>659</v>
      </c>
      <c r="E37" t="s">
        <v>1178</v>
      </c>
      <c r="F37" t="s">
        <v>202</v>
      </c>
      <c r="G37" t="s">
        <v>547</v>
      </c>
      <c r="H37" t="s">
        <v>975</v>
      </c>
    </row>
    <row r="38" spans="1:8" x14ac:dyDescent="0.25">
      <c r="A38" t="s">
        <v>1</v>
      </c>
      <c r="B38" t="s">
        <v>658</v>
      </c>
      <c r="C38" t="s">
        <v>660</v>
      </c>
      <c r="D38" t="s">
        <v>661</v>
      </c>
      <c r="E38" t="s">
        <v>1179</v>
      </c>
      <c r="F38" t="s">
        <v>218</v>
      </c>
      <c r="G38" t="s">
        <v>547</v>
      </c>
      <c r="H38" t="s">
        <v>976</v>
      </c>
    </row>
    <row r="39" spans="1:8" x14ac:dyDescent="0.25">
      <c r="A39" t="s">
        <v>1</v>
      </c>
      <c r="B39" t="s">
        <v>658</v>
      </c>
      <c r="C39" t="s">
        <v>662</v>
      </c>
      <c r="D39" t="s">
        <v>663</v>
      </c>
      <c r="E39" t="s">
        <v>1180</v>
      </c>
      <c r="F39" t="s">
        <v>167</v>
      </c>
      <c r="G39" t="s">
        <v>547</v>
      </c>
      <c r="H39" t="s">
        <v>977</v>
      </c>
    </row>
    <row r="40" spans="1:8" x14ac:dyDescent="0.25">
      <c r="A40" t="s">
        <v>1</v>
      </c>
      <c r="B40" t="s">
        <v>664</v>
      </c>
      <c r="C40" t="s">
        <v>665</v>
      </c>
      <c r="D40" t="s">
        <v>666</v>
      </c>
      <c r="E40" t="s">
        <v>1181</v>
      </c>
      <c r="F40" t="s">
        <v>117</v>
      </c>
      <c r="G40" t="s">
        <v>548</v>
      </c>
      <c r="H40" t="s">
        <v>978</v>
      </c>
    </row>
    <row r="41" spans="1:8" x14ac:dyDescent="0.25">
      <c r="A41" t="s">
        <v>1</v>
      </c>
      <c r="B41" t="s">
        <v>667</v>
      </c>
      <c r="C41" t="s">
        <v>571</v>
      </c>
      <c r="D41" t="s">
        <v>577</v>
      </c>
      <c r="E41" t="s">
        <v>1182</v>
      </c>
      <c r="F41" t="s">
        <v>225</v>
      </c>
      <c r="G41" t="s">
        <v>547</v>
      </c>
      <c r="H41" t="s">
        <v>979</v>
      </c>
    </row>
    <row r="42" spans="1:8" x14ac:dyDescent="0.25">
      <c r="A42" t="s">
        <v>1</v>
      </c>
      <c r="B42" t="s">
        <v>667</v>
      </c>
      <c r="C42" t="s">
        <v>668</v>
      </c>
      <c r="D42" t="s">
        <v>669</v>
      </c>
      <c r="E42" t="s">
        <v>1183</v>
      </c>
      <c r="F42" t="s">
        <v>279</v>
      </c>
      <c r="G42" t="s">
        <v>547</v>
      </c>
      <c r="H42" t="s">
        <v>980</v>
      </c>
    </row>
    <row r="43" spans="1:8" x14ac:dyDescent="0.25">
      <c r="A43" t="s">
        <v>1</v>
      </c>
      <c r="B43" t="s">
        <v>670</v>
      </c>
      <c r="C43" t="s">
        <v>671</v>
      </c>
      <c r="D43" t="s">
        <v>672</v>
      </c>
      <c r="E43" t="s">
        <v>1184</v>
      </c>
      <c r="F43" t="s">
        <v>144</v>
      </c>
      <c r="G43" t="s">
        <v>547</v>
      </c>
      <c r="H43" t="s">
        <v>1042</v>
      </c>
    </row>
    <row r="44" spans="1:8" x14ac:dyDescent="0.25">
      <c r="A44" t="s">
        <v>1</v>
      </c>
      <c r="B44" t="s">
        <v>673</v>
      </c>
      <c r="C44" t="s">
        <v>568</v>
      </c>
      <c r="D44" t="s">
        <v>674</v>
      </c>
      <c r="E44" t="s">
        <v>1185</v>
      </c>
      <c r="F44" t="s">
        <v>270</v>
      </c>
      <c r="G44" t="s">
        <v>547</v>
      </c>
      <c r="H44" t="s">
        <v>1043</v>
      </c>
    </row>
    <row r="45" spans="1:8" x14ac:dyDescent="0.25">
      <c r="A45" t="s">
        <v>1</v>
      </c>
      <c r="B45" t="s">
        <v>675</v>
      </c>
      <c r="C45" t="s">
        <v>608</v>
      </c>
      <c r="D45" t="s">
        <v>676</v>
      </c>
      <c r="E45" t="s">
        <v>1186</v>
      </c>
      <c r="F45" t="s">
        <v>137</v>
      </c>
      <c r="G45" t="s">
        <v>547</v>
      </c>
      <c r="H45" t="s">
        <v>1044</v>
      </c>
    </row>
    <row r="46" spans="1:8" x14ac:dyDescent="0.25">
      <c r="A46" t="s">
        <v>1</v>
      </c>
      <c r="B46" t="s">
        <v>677</v>
      </c>
      <c r="C46" t="s">
        <v>678</v>
      </c>
      <c r="D46" t="s">
        <v>679</v>
      </c>
      <c r="E46" t="s">
        <v>1187</v>
      </c>
      <c r="F46" t="s">
        <v>259</v>
      </c>
      <c r="G46" t="s">
        <v>548</v>
      </c>
      <c r="H46" t="s">
        <v>981</v>
      </c>
    </row>
    <row r="47" spans="1:8" x14ac:dyDescent="0.25">
      <c r="A47" t="s">
        <v>1</v>
      </c>
      <c r="B47" t="s">
        <v>680</v>
      </c>
      <c r="C47" t="s">
        <v>608</v>
      </c>
      <c r="D47" t="s">
        <v>581</v>
      </c>
      <c r="E47" t="s">
        <v>1188</v>
      </c>
      <c r="F47" t="s">
        <v>256</v>
      </c>
      <c r="G47" t="s">
        <v>547</v>
      </c>
      <c r="H47" t="s">
        <v>1045</v>
      </c>
    </row>
    <row r="48" spans="1:8" x14ac:dyDescent="0.25">
      <c r="A48" t="s">
        <v>1</v>
      </c>
      <c r="B48" t="s">
        <v>681</v>
      </c>
      <c r="C48" t="s">
        <v>682</v>
      </c>
      <c r="D48" t="s">
        <v>683</v>
      </c>
      <c r="E48" t="s">
        <v>1189</v>
      </c>
      <c r="F48" t="s">
        <v>211</v>
      </c>
      <c r="G48" t="s">
        <v>547</v>
      </c>
      <c r="H48" t="s">
        <v>1046</v>
      </c>
    </row>
    <row r="49" spans="1:8" x14ac:dyDescent="0.25">
      <c r="A49" t="s">
        <v>1</v>
      </c>
      <c r="B49" t="s">
        <v>684</v>
      </c>
      <c r="C49" t="s">
        <v>685</v>
      </c>
      <c r="D49" t="s">
        <v>586</v>
      </c>
      <c r="E49" t="s">
        <v>1190</v>
      </c>
      <c r="F49" t="s">
        <v>149</v>
      </c>
      <c r="G49" t="s">
        <v>548</v>
      </c>
      <c r="H49" t="s">
        <v>982</v>
      </c>
    </row>
    <row r="50" spans="1:8" x14ac:dyDescent="0.25">
      <c r="A50" t="s">
        <v>1</v>
      </c>
      <c r="B50" t="s">
        <v>686</v>
      </c>
      <c r="C50" t="s">
        <v>687</v>
      </c>
      <c r="D50" t="s">
        <v>688</v>
      </c>
      <c r="E50" t="s">
        <v>1191</v>
      </c>
      <c r="F50" t="s">
        <v>114</v>
      </c>
      <c r="G50" t="s">
        <v>548</v>
      </c>
      <c r="H50" t="s">
        <v>1047</v>
      </c>
    </row>
    <row r="51" spans="1:8" x14ac:dyDescent="0.25">
      <c r="A51" t="s">
        <v>1</v>
      </c>
      <c r="B51" t="s">
        <v>689</v>
      </c>
      <c r="C51" t="s">
        <v>690</v>
      </c>
      <c r="D51" t="s">
        <v>678</v>
      </c>
      <c r="E51" t="s">
        <v>1192</v>
      </c>
      <c r="F51" t="s">
        <v>281</v>
      </c>
      <c r="G51" t="s">
        <v>547</v>
      </c>
      <c r="H51" t="s">
        <v>983</v>
      </c>
    </row>
    <row r="52" spans="1:8" x14ac:dyDescent="0.25">
      <c r="A52" t="s">
        <v>1</v>
      </c>
      <c r="B52" t="s">
        <v>689</v>
      </c>
      <c r="C52" t="s">
        <v>687</v>
      </c>
      <c r="D52" t="s">
        <v>691</v>
      </c>
      <c r="E52" t="s">
        <v>1193</v>
      </c>
      <c r="F52" t="s">
        <v>187</v>
      </c>
      <c r="G52" t="s">
        <v>547</v>
      </c>
      <c r="H52" t="s">
        <v>984</v>
      </c>
    </row>
    <row r="53" spans="1:8" x14ac:dyDescent="0.25">
      <c r="A53" t="s">
        <v>1</v>
      </c>
      <c r="B53" t="s">
        <v>689</v>
      </c>
      <c r="C53" t="s">
        <v>692</v>
      </c>
      <c r="D53" t="s">
        <v>623</v>
      </c>
      <c r="E53" t="s">
        <v>1194</v>
      </c>
      <c r="F53" t="s">
        <v>224</v>
      </c>
      <c r="G53" t="s">
        <v>547</v>
      </c>
      <c r="H53" t="s">
        <v>985</v>
      </c>
    </row>
    <row r="54" spans="1:8" x14ac:dyDescent="0.25">
      <c r="A54" t="s">
        <v>1</v>
      </c>
      <c r="B54" t="s">
        <v>693</v>
      </c>
      <c r="C54" t="s">
        <v>571</v>
      </c>
      <c r="D54" t="s">
        <v>571</v>
      </c>
      <c r="E54" t="s">
        <v>1195</v>
      </c>
      <c r="F54" t="s">
        <v>250</v>
      </c>
      <c r="G54" t="s">
        <v>547</v>
      </c>
      <c r="H54" t="s">
        <v>986</v>
      </c>
    </row>
    <row r="55" spans="1:8" x14ac:dyDescent="0.25">
      <c r="A55" t="s">
        <v>1</v>
      </c>
      <c r="B55" t="s">
        <v>693</v>
      </c>
      <c r="C55" t="s">
        <v>600</v>
      </c>
      <c r="D55" t="s">
        <v>694</v>
      </c>
      <c r="E55" t="s">
        <v>1196</v>
      </c>
      <c r="F55" t="s">
        <v>207</v>
      </c>
      <c r="G55" t="s">
        <v>547</v>
      </c>
      <c r="H55" t="s">
        <v>987</v>
      </c>
    </row>
    <row r="56" spans="1:8" x14ac:dyDescent="0.25">
      <c r="A56" t="s">
        <v>1</v>
      </c>
      <c r="B56" t="s">
        <v>695</v>
      </c>
      <c r="C56" t="s">
        <v>696</v>
      </c>
      <c r="D56" t="s">
        <v>697</v>
      </c>
      <c r="E56" t="s">
        <v>1197</v>
      </c>
      <c r="F56" t="s">
        <v>125</v>
      </c>
      <c r="G56" t="s">
        <v>548</v>
      </c>
      <c r="H56" t="s">
        <v>988</v>
      </c>
    </row>
    <row r="57" spans="1:8" x14ac:dyDescent="0.25">
      <c r="A57" t="s">
        <v>1</v>
      </c>
      <c r="B57" t="s">
        <v>698</v>
      </c>
      <c r="C57" t="s">
        <v>699</v>
      </c>
      <c r="D57" t="s">
        <v>700</v>
      </c>
      <c r="E57" t="s">
        <v>1198</v>
      </c>
      <c r="F57" t="s">
        <v>257</v>
      </c>
      <c r="G57" t="s">
        <v>548</v>
      </c>
      <c r="H57" t="s">
        <v>1048</v>
      </c>
    </row>
    <row r="58" spans="1:8" x14ac:dyDescent="0.25">
      <c r="A58" t="s">
        <v>1</v>
      </c>
      <c r="B58" t="s">
        <v>701</v>
      </c>
      <c r="C58" t="s">
        <v>702</v>
      </c>
      <c r="D58" t="s">
        <v>703</v>
      </c>
      <c r="E58" t="s">
        <v>1199</v>
      </c>
      <c r="F58" t="s">
        <v>240</v>
      </c>
      <c r="G58" t="s">
        <v>548</v>
      </c>
      <c r="H58" t="s">
        <v>989</v>
      </c>
    </row>
    <row r="59" spans="1:8" x14ac:dyDescent="0.25">
      <c r="A59" t="s">
        <v>1</v>
      </c>
      <c r="B59" t="s">
        <v>704</v>
      </c>
      <c r="C59" t="s">
        <v>705</v>
      </c>
      <c r="D59" t="s">
        <v>611</v>
      </c>
      <c r="E59" t="s">
        <v>1200</v>
      </c>
      <c r="F59" t="s">
        <v>205</v>
      </c>
      <c r="G59" t="s">
        <v>548</v>
      </c>
      <c r="H59" t="s">
        <v>1049</v>
      </c>
    </row>
    <row r="60" spans="1:8" x14ac:dyDescent="0.25">
      <c r="A60" t="s">
        <v>1</v>
      </c>
      <c r="B60" t="s">
        <v>706</v>
      </c>
      <c r="C60" t="s">
        <v>682</v>
      </c>
      <c r="D60" t="s">
        <v>581</v>
      </c>
      <c r="E60" t="s">
        <v>1201</v>
      </c>
      <c r="F60" t="s">
        <v>210</v>
      </c>
      <c r="G60" t="s">
        <v>547</v>
      </c>
      <c r="H60" t="s">
        <v>990</v>
      </c>
    </row>
    <row r="61" spans="1:8" x14ac:dyDescent="0.25">
      <c r="A61" t="s">
        <v>1</v>
      </c>
      <c r="B61" t="s">
        <v>707</v>
      </c>
      <c r="C61" t="s">
        <v>581</v>
      </c>
      <c r="D61" t="s">
        <v>708</v>
      </c>
      <c r="E61" t="s">
        <v>1202</v>
      </c>
      <c r="F61" t="s">
        <v>150</v>
      </c>
      <c r="G61" t="s">
        <v>547</v>
      </c>
      <c r="H61" t="s">
        <v>1050</v>
      </c>
    </row>
    <row r="62" spans="1:8" x14ac:dyDescent="0.25">
      <c r="A62" t="s">
        <v>1</v>
      </c>
      <c r="B62" t="s">
        <v>709</v>
      </c>
      <c r="C62" t="s">
        <v>710</v>
      </c>
      <c r="D62" t="s">
        <v>589</v>
      </c>
      <c r="E62" t="s">
        <v>1203</v>
      </c>
      <c r="F62" t="s">
        <v>107</v>
      </c>
      <c r="G62" t="s">
        <v>547</v>
      </c>
      <c r="H62" t="s">
        <v>991</v>
      </c>
    </row>
    <row r="63" spans="1:8" x14ac:dyDescent="0.25">
      <c r="A63" t="s">
        <v>1</v>
      </c>
      <c r="B63" t="s">
        <v>711</v>
      </c>
      <c r="C63" t="s">
        <v>712</v>
      </c>
      <c r="D63" t="s">
        <v>713</v>
      </c>
      <c r="E63" t="s">
        <v>1204</v>
      </c>
      <c r="F63" t="s">
        <v>265</v>
      </c>
      <c r="G63" t="s">
        <v>547</v>
      </c>
      <c r="H63" t="s">
        <v>1051</v>
      </c>
    </row>
    <row r="64" spans="1:8" x14ac:dyDescent="0.25">
      <c r="A64" t="s">
        <v>1</v>
      </c>
      <c r="B64" t="s">
        <v>714</v>
      </c>
      <c r="C64" t="s">
        <v>603</v>
      </c>
      <c r="D64" t="s">
        <v>715</v>
      </c>
      <c r="E64" t="s">
        <v>1205</v>
      </c>
      <c r="F64" t="s">
        <v>163</v>
      </c>
      <c r="G64" t="s">
        <v>547</v>
      </c>
      <c r="H64" t="s">
        <v>1052</v>
      </c>
    </row>
    <row r="65" spans="1:8" x14ac:dyDescent="0.25">
      <c r="A65" t="s">
        <v>1</v>
      </c>
      <c r="B65" t="s">
        <v>716</v>
      </c>
      <c r="C65" t="s">
        <v>717</v>
      </c>
      <c r="D65" t="s">
        <v>718</v>
      </c>
      <c r="E65" t="s">
        <v>1206</v>
      </c>
      <c r="F65" t="s">
        <v>160</v>
      </c>
      <c r="G65" t="s">
        <v>547</v>
      </c>
      <c r="H65" t="s">
        <v>992</v>
      </c>
    </row>
    <row r="66" spans="1:8" x14ac:dyDescent="0.25">
      <c r="A66" t="s">
        <v>1</v>
      </c>
      <c r="B66" t="s">
        <v>719</v>
      </c>
      <c r="C66" t="s">
        <v>690</v>
      </c>
      <c r="D66" t="s">
        <v>586</v>
      </c>
      <c r="E66" t="s">
        <v>1207</v>
      </c>
      <c r="F66" t="s">
        <v>127</v>
      </c>
      <c r="G66" t="s">
        <v>548</v>
      </c>
      <c r="H66" t="s">
        <v>993</v>
      </c>
    </row>
    <row r="67" spans="1:8" x14ac:dyDescent="0.25">
      <c r="A67" t="s">
        <v>1</v>
      </c>
      <c r="B67" t="s">
        <v>720</v>
      </c>
      <c r="C67" t="s">
        <v>635</v>
      </c>
      <c r="D67" t="s">
        <v>721</v>
      </c>
      <c r="E67" t="s">
        <v>1208</v>
      </c>
      <c r="F67" t="s">
        <v>155</v>
      </c>
      <c r="G67" t="s">
        <v>547</v>
      </c>
      <c r="H67" t="s">
        <v>1053</v>
      </c>
    </row>
    <row r="68" spans="1:8" x14ac:dyDescent="0.25">
      <c r="A68" t="s">
        <v>1</v>
      </c>
      <c r="B68" t="s">
        <v>722</v>
      </c>
      <c r="C68" t="s">
        <v>723</v>
      </c>
      <c r="D68" t="s">
        <v>565</v>
      </c>
      <c r="E68" t="s">
        <v>1209</v>
      </c>
      <c r="F68" t="s">
        <v>200</v>
      </c>
      <c r="G68" t="s">
        <v>548</v>
      </c>
      <c r="H68" t="s">
        <v>994</v>
      </c>
    </row>
    <row r="69" spans="1:8" x14ac:dyDescent="0.25">
      <c r="A69" t="s">
        <v>1</v>
      </c>
      <c r="B69" t="s">
        <v>724</v>
      </c>
      <c r="C69" t="s">
        <v>725</v>
      </c>
      <c r="D69" t="s">
        <v>726</v>
      </c>
      <c r="E69" t="s">
        <v>1210</v>
      </c>
      <c r="F69" t="s">
        <v>246</v>
      </c>
      <c r="G69" t="s">
        <v>547</v>
      </c>
      <c r="H69" t="s">
        <v>1054</v>
      </c>
    </row>
    <row r="70" spans="1:8" x14ac:dyDescent="0.25">
      <c r="A70" t="s">
        <v>1</v>
      </c>
      <c r="B70" t="s">
        <v>727</v>
      </c>
      <c r="C70" t="s">
        <v>728</v>
      </c>
      <c r="D70" t="s">
        <v>608</v>
      </c>
      <c r="E70" t="s">
        <v>1211</v>
      </c>
      <c r="F70" t="s">
        <v>235</v>
      </c>
      <c r="G70" t="s">
        <v>548</v>
      </c>
      <c r="H70" t="s">
        <v>995</v>
      </c>
    </row>
    <row r="71" spans="1:8" x14ac:dyDescent="0.25">
      <c r="A71" t="s">
        <v>1</v>
      </c>
      <c r="B71" t="s">
        <v>729</v>
      </c>
      <c r="C71" t="s">
        <v>616</v>
      </c>
      <c r="D71" t="s">
        <v>628</v>
      </c>
      <c r="E71" t="s">
        <v>1212</v>
      </c>
      <c r="F71" t="s">
        <v>268</v>
      </c>
      <c r="G71" t="s">
        <v>547</v>
      </c>
      <c r="H71" t="s">
        <v>1055</v>
      </c>
    </row>
    <row r="72" spans="1:8" x14ac:dyDescent="0.25">
      <c r="A72" t="s">
        <v>1</v>
      </c>
      <c r="B72" t="s">
        <v>730</v>
      </c>
      <c r="C72" t="s">
        <v>594</v>
      </c>
      <c r="D72" t="s">
        <v>731</v>
      </c>
      <c r="E72" t="s">
        <v>1213</v>
      </c>
      <c r="F72" t="s">
        <v>196</v>
      </c>
      <c r="G72" t="s">
        <v>547</v>
      </c>
      <c r="H72" t="s">
        <v>1056</v>
      </c>
    </row>
    <row r="73" spans="1:8" x14ac:dyDescent="0.25">
      <c r="A73" t="s">
        <v>1</v>
      </c>
      <c r="B73" t="s">
        <v>732</v>
      </c>
      <c r="C73" t="s">
        <v>733</v>
      </c>
      <c r="D73" t="s">
        <v>734</v>
      </c>
      <c r="E73" t="s">
        <v>1214</v>
      </c>
      <c r="F73" t="s">
        <v>147</v>
      </c>
      <c r="G73" t="s">
        <v>547</v>
      </c>
      <c r="H73" t="s">
        <v>1057</v>
      </c>
    </row>
    <row r="74" spans="1:8" x14ac:dyDescent="0.25">
      <c r="A74" t="s">
        <v>1</v>
      </c>
      <c r="B74" t="s">
        <v>735</v>
      </c>
      <c r="C74" t="s">
        <v>736</v>
      </c>
      <c r="D74" t="s">
        <v>603</v>
      </c>
      <c r="E74" t="s">
        <v>1215</v>
      </c>
      <c r="F74" t="s">
        <v>190</v>
      </c>
      <c r="G74" t="s">
        <v>547</v>
      </c>
      <c r="H74" t="s">
        <v>996</v>
      </c>
    </row>
    <row r="75" spans="1:8" x14ac:dyDescent="0.25">
      <c r="A75" t="s">
        <v>1</v>
      </c>
      <c r="B75" t="s">
        <v>737</v>
      </c>
      <c r="C75" t="s">
        <v>738</v>
      </c>
      <c r="D75" t="s">
        <v>739</v>
      </c>
      <c r="E75" t="s">
        <v>1216</v>
      </c>
      <c r="F75" t="s">
        <v>253</v>
      </c>
      <c r="G75" t="s">
        <v>547</v>
      </c>
      <c r="H75" t="s">
        <v>1058</v>
      </c>
    </row>
    <row r="76" spans="1:8" x14ac:dyDescent="0.25">
      <c r="A76" t="s">
        <v>1</v>
      </c>
      <c r="B76" t="s">
        <v>740</v>
      </c>
      <c r="C76" t="s">
        <v>741</v>
      </c>
      <c r="D76" t="s">
        <v>742</v>
      </c>
      <c r="E76" t="s">
        <v>1217</v>
      </c>
      <c r="F76" t="s">
        <v>247</v>
      </c>
      <c r="G76" t="s">
        <v>547</v>
      </c>
      <c r="H76" t="s">
        <v>997</v>
      </c>
    </row>
    <row r="77" spans="1:8" x14ac:dyDescent="0.25">
      <c r="A77" t="s">
        <v>1</v>
      </c>
      <c r="B77" t="s">
        <v>743</v>
      </c>
      <c r="C77" t="s">
        <v>744</v>
      </c>
      <c r="D77" t="s">
        <v>688</v>
      </c>
      <c r="E77" t="s">
        <v>1218</v>
      </c>
      <c r="F77" t="s">
        <v>174</v>
      </c>
      <c r="G77" t="s">
        <v>547</v>
      </c>
      <c r="H77" t="s">
        <v>1059</v>
      </c>
    </row>
    <row r="78" spans="1:8" x14ac:dyDescent="0.25">
      <c r="A78" t="s">
        <v>1</v>
      </c>
      <c r="B78" t="s">
        <v>745</v>
      </c>
      <c r="C78" t="s">
        <v>746</v>
      </c>
      <c r="D78" t="s">
        <v>599</v>
      </c>
      <c r="E78" t="s">
        <v>1219</v>
      </c>
      <c r="F78" t="s">
        <v>177</v>
      </c>
      <c r="G78" t="s">
        <v>548</v>
      </c>
      <c r="H78" t="s">
        <v>1060</v>
      </c>
    </row>
    <row r="79" spans="1:8" x14ac:dyDescent="0.25">
      <c r="A79" t="s">
        <v>1</v>
      </c>
      <c r="B79" t="s">
        <v>747</v>
      </c>
      <c r="C79" t="s">
        <v>748</v>
      </c>
      <c r="D79" t="s">
        <v>749</v>
      </c>
      <c r="E79" t="s">
        <v>1220</v>
      </c>
      <c r="F79" t="s">
        <v>175</v>
      </c>
      <c r="G79" t="s">
        <v>548</v>
      </c>
      <c r="H79" t="s">
        <v>1061</v>
      </c>
    </row>
    <row r="80" spans="1:8" x14ac:dyDescent="0.25">
      <c r="A80" t="s">
        <v>1</v>
      </c>
      <c r="B80" t="s">
        <v>750</v>
      </c>
      <c r="C80" t="s">
        <v>608</v>
      </c>
      <c r="D80" t="s">
        <v>751</v>
      </c>
      <c r="E80" t="s">
        <v>1221</v>
      </c>
      <c r="F80" t="s">
        <v>267</v>
      </c>
      <c r="G80" t="s">
        <v>547</v>
      </c>
      <c r="H80" t="s">
        <v>1062</v>
      </c>
    </row>
    <row r="81" spans="1:8" x14ac:dyDescent="0.25">
      <c r="A81" t="s">
        <v>1</v>
      </c>
      <c r="B81" t="s">
        <v>752</v>
      </c>
      <c r="C81" t="s">
        <v>753</v>
      </c>
      <c r="D81" t="s">
        <v>748</v>
      </c>
      <c r="E81" t="s">
        <v>1222</v>
      </c>
      <c r="F81" t="s">
        <v>111</v>
      </c>
      <c r="G81" t="s">
        <v>548</v>
      </c>
      <c r="H81" t="s">
        <v>998</v>
      </c>
    </row>
    <row r="82" spans="1:8" x14ac:dyDescent="0.25">
      <c r="A82" t="s">
        <v>1</v>
      </c>
      <c r="B82" t="s">
        <v>754</v>
      </c>
      <c r="C82" t="s">
        <v>755</v>
      </c>
      <c r="D82" t="s">
        <v>756</v>
      </c>
      <c r="E82" t="s">
        <v>1223</v>
      </c>
      <c r="F82" t="s">
        <v>129</v>
      </c>
      <c r="G82" t="s">
        <v>548</v>
      </c>
      <c r="H82" t="s">
        <v>1063</v>
      </c>
    </row>
    <row r="83" spans="1:8" x14ac:dyDescent="0.25">
      <c r="A83" t="s">
        <v>1</v>
      </c>
      <c r="B83" t="s">
        <v>757</v>
      </c>
      <c r="C83" t="s">
        <v>699</v>
      </c>
      <c r="D83" t="s">
        <v>758</v>
      </c>
      <c r="E83" t="s">
        <v>1224</v>
      </c>
      <c r="F83" t="s">
        <v>162</v>
      </c>
      <c r="G83" t="s">
        <v>547</v>
      </c>
      <c r="H83" t="s">
        <v>1064</v>
      </c>
    </row>
    <row r="84" spans="1:8" x14ac:dyDescent="0.25">
      <c r="A84" t="s">
        <v>1</v>
      </c>
      <c r="B84" t="s">
        <v>759</v>
      </c>
      <c r="C84" t="s">
        <v>565</v>
      </c>
      <c r="D84" t="s">
        <v>760</v>
      </c>
      <c r="E84" t="s">
        <v>1225</v>
      </c>
      <c r="F84" t="s">
        <v>222</v>
      </c>
      <c r="G84" t="s">
        <v>548</v>
      </c>
      <c r="H84" t="s">
        <v>999</v>
      </c>
    </row>
    <row r="85" spans="1:8" x14ac:dyDescent="0.25">
      <c r="A85" t="s">
        <v>1</v>
      </c>
      <c r="B85" t="s">
        <v>761</v>
      </c>
      <c r="C85" t="s">
        <v>568</v>
      </c>
      <c r="D85" t="s">
        <v>762</v>
      </c>
      <c r="E85" t="s">
        <v>1226</v>
      </c>
      <c r="F85" t="s">
        <v>142</v>
      </c>
      <c r="G85" t="s">
        <v>547</v>
      </c>
      <c r="H85" t="s">
        <v>1065</v>
      </c>
    </row>
    <row r="86" spans="1:8" x14ac:dyDescent="0.25">
      <c r="A86" t="s">
        <v>1</v>
      </c>
      <c r="B86" t="s">
        <v>763</v>
      </c>
      <c r="C86" t="s">
        <v>764</v>
      </c>
      <c r="D86" t="s">
        <v>571</v>
      </c>
      <c r="E86" t="s">
        <v>1227</v>
      </c>
      <c r="F86" t="s">
        <v>165</v>
      </c>
      <c r="G86" t="s">
        <v>547</v>
      </c>
      <c r="H86" t="s">
        <v>1066</v>
      </c>
    </row>
    <row r="87" spans="1:8" x14ac:dyDescent="0.25">
      <c r="A87" t="s">
        <v>1</v>
      </c>
      <c r="B87" t="s">
        <v>765</v>
      </c>
      <c r="C87" t="s">
        <v>766</v>
      </c>
      <c r="D87" t="s">
        <v>767</v>
      </c>
      <c r="E87" t="s">
        <v>1228</v>
      </c>
      <c r="F87" t="s">
        <v>263</v>
      </c>
      <c r="G87" t="s">
        <v>547</v>
      </c>
      <c r="H87" t="s">
        <v>1067</v>
      </c>
    </row>
    <row r="88" spans="1:8" x14ac:dyDescent="0.25">
      <c r="A88" t="s">
        <v>1</v>
      </c>
      <c r="B88" t="s">
        <v>768</v>
      </c>
      <c r="C88" t="s">
        <v>769</v>
      </c>
      <c r="D88" t="s">
        <v>770</v>
      </c>
      <c r="E88" t="s">
        <v>1229</v>
      </c>
      <c r="F88" t="s">
        <v>217</v>
      </c>
      <c r="G88" t="s">
        <v>547</v>
      </c>
      <c r="H88" t="s">
        <v>1068</v>
      </c>
    </row>
    <row r="89" spans="1:8" x14ac:dyDescent="0.25">
      <c r="A89" t="s">
        <v>1</v>
      </c>
      <c r="B89" t="s">
        <v>771</v>
      </c>
      <c r="C89" t="s">
        <v>772</v>
      </c>
      <c r="D89" t="s">
        <v>605</v>
      </c>
      <c r="E89" t="s">
        <v>1230</v>
      </c>
      <c r="F89" t="s">
        <v>154</v>
      </c>
      <c r="G89" t="s">
        <v>547</v>
      </c>
      <c r="H89" t="s">
        <v>1000</v>
      </c>
    </row>
    <row r="90" spans="1:8" x14ac:dyDescent="0.25">
      <c r="A90" t="s">
        <v>1</v>
      </c>
      <c r="B90" t="s">
        <v>771</v>
      </c>
      <c r="C90" t="s">
        <v>610</v>
      </c>
      <c r="D90" t="s">
        <v>688</v>
      </c>
      <c r="E90" t="s">
        <v>1231</v>
      </c>
      <c r="F90" t="s">
        <v>206</v>
      </c>
      <c r="G90" t="s">
        <v>547</v>
      </c>
      <c r="H90" t="s">
        <v>1001</v>
      </c>
    </row>
    <row r="91" spans="1:8" x14ac:dyDescent="0.25">
      <c r="A91" t="s">
        <v>1</v>
      </c>
      <c r="B91" t="s">
        <v>773</v>
      </c>
      <c r="C91" t="s">
        <v>774</v>
      </c>
      <c r="D91" t="s">
        <v>613</v>
      </c>
      <c r="E91" t="s">
        <v>1232</v>
      </c>
      <c r="F91" t="s">
        <v>223</v>
      </c>
      <c r="G91" t="s">
        <v>547</v>
      </c>
      <c r="H91" t="s">
        <v>1069</v>
      </c>
    </row>
    <row r="92" spans="1:8" x14ac:dyDescent="0.25">
      <c r="A92" t="s">
        <v>1</v>
      </c>
      <c r="B92" t="s">
        <v>775</v>
      </c>
      <c r="C92" t="s">
        <v>674</v>
      </c>
      <c r="D92" t="s">
        <v>776</v>
      </c>
      <c r="E92" t="s">
        <v>1233</v>
      </c>
      <c r="F92" t="s">
        <v>168</v>
      </c>
      <c r="G92" t="s">
        <v>547</v>
      </c>
      <c r="H92" t="s">
        <v>1070</v>
      </c>
    </row>
    <row r="93" spans="1:8" x14ac:dyDescent="0.25">
      <c r="A93" t="s">
        <v>1</v>
      </c>
      <c r="B93" t="s">
        <v>777</v>
      </c>
      <c r="C93" t="s">
        <v>608</v>
      </c>
      <c r="D93" t="s">
        <v>778</v>
      </c>
      <c r="E93" t="s">
        <v>1234</v>
      </c>
      <c r="F93" t="s">
        <v>215</v>
      </c>
      <c r="G93" t="s">
        <v>547</v>
      </c>
      <c r="H93" t="s">
        <v>1071</v>
      </c>
    </row>
    <row r="94" spans="1:8" x14ac:dyDescent="0.25">
      <c r="A94" t="s">
        <v>1</v>
      </c>
      <c r="B94" t="s">
        <v>779</v>
      </c>
      <c r="C94" t="s">
        <v>780</v>
      </c>
      <c r="D94" t="s">
        <v>668</v>
      </c>
      <c r="E94" t="s">
        <v>1235</v>
      </c>
      <c r="F94" t="s">
        <v>106</v>
      </c>
      <c r="G94" t="s">
        <v>547</v>
      </c>
      <c r="H94" t="s">
        <v>1072</v>
      </c>
    </row>
    <row r="95" spans="1:8" x14ac:dyDescent="0.25">
      <c r="A95" t="s">
        <v>1</v>
      </c>
      <c r="B95" t="s">
        <v>781</v>
      </c>
      <c r="C95" t="s">
        <v>586</v>
      </c>
      <c r="D95" t="s">
        <v>782</v>
      </c>
      <c r="E95" t="s">
        <v>1236</v>
      </c>
      <c r="F95" t="s">
        <v>115</v>
      </c>
      <c r="G95" t="s">
        <v>547</v>
      </c>
      <c r="H95" t="s">
        <v>1073</v>
      </c>
    </row>
    <row r="96" spans="1:8" x14ac:dyDescent="0.25">
      <c r="A96" t="s">
        <v>1</v>
      </c>
      <c r="B96" t="s">
        <v>783</v>
      </c>
      <c r="C96" t="s">
        <v>784</v>
      </c>
      <c r="D96" t="s">
        <v>785</v>
      </c>
      <c r="E96" t="s">
        <v>1237</v>
      </c>
      <c r="F96" t="s">
        <v>178</v>
      </c>
      <c r="G96" t="s">
        <v>547</v>
      </c>
      <c r="H96" t="s">
        <v>1074</v>
      </c>
    </row>
    <row r="97" spans="1:8" x14ac:dyDescent="0.25">
      <c r="A97" t="s">
        <v>1</v>
      </c>
      <c r="B97" t="s">
        <v>786</v>
      </c>
      <c r="C97" t="s">
        <v>787</v>
      </c>
      <c r="D97" t="s">
        <v>788</v>
      </c>
      <c r="E97" t="s">
        <v>1238</v>
      </c>
      <c r="F97" t="s">
        <v>233</v>
      </c>
      <c r="G97" t="s">
        <v>547</v>
      </c>
      <c r="H97" t="s">
        <v>1075</v>
      </c>
    </row>
    <row r="98" spans="1:8" x14ac:dyDescent="0.25">
      <c r="A98" t="s">
        <v>1</v>
      </c>
      <c r="B98" t="s">
        <v>789</v>
      </c>
      <c r="C98" t="s">
        <v>790</v>
      </c>
      <c r="D98" t="s">
        <v>791</v>
      </c>
      <c r="E98" t="s">
        <v>1239</v>
      </c>
      <c r="F98" t="s">
        <v>138</v>
      </c>
      <c r="G98" t="s">
        <v>547</v>
      </c>
      <c r="H98" t="s">
        <v>1076</v>
      </c>
    </row>
    <row r="99" spans="1:8" x14ac:dyDescent="0.25">
      <c r="A99" t="s">
        <v>1</v>
      </c>
      <c r="B99" t="s">
        <v>792</v>
      </c>
      <c r="C99" t="s">
        <v>682</v>
      </c>
      <c r="D99" t="s">
        <v>793</v>
      </c>
      <c r="E99" t="s">
        <v>1240</v>
      </c>
      <c r="F99" t="s">
        <v>173</v>
      </c>
      <c r="G99" t="s">
        <v>547</v>
      </c>
      <c r="H99" t="s">
        <v>1077</v>
      </c>
    </row>
    <row r="100" spans="1:8" x14ac:dyDescent="0.25">
      <c r="A100" t="s">
        <v>1</v>
      </c>
      <c r="B100" t="s">
        <v>794</v>
      </c>
      <c r="C100" t="s">
        <v>679</v>
      </c>
      <c r="D100" t="s">
        <v>795</v>
      </c>
      <c r="E100" t="s">
        <v>1241</v>
      </c>
      <c r="F100" t="s">
        <v>141</v>
      </c>
      <c r="G100" t="s">
        <v>547</v>
      </c>
      <c r="H100" t="s">
        <v>1078</v>
      </c>
    </row>
    <row r="101" spans="1:8" x14ac:dyDescent="0.25">
      <c r="A101" t="s">
        <v>1</v>
      </c>
      <c r="B101" t="s">
        <v>796</v>
      </c>
      <c r="C101" t="s">
        <v>797</v>
      </c>
      <c r="D101" t="s">
        <v>798</v>
      </c>
      <c r="E101" t="s">
        <v>1242</v>
      </c>
      <c r="F101" t="s">
        <v>156</v>
      </c>
      <c r="G101" t="s">
        <v>547</v>
      </c>
      <c r="H101" t="s">
        <v>1079</v>
      </c>
    </row>
    <row r="102" spans="1:8" x14ac:dyDescent="0.25">
      <c r="A102" t="s">
        <v>1</v>
      </c>
      <c r="B102" t="s">
        <v>796</v>
      </c>
      <c r="C102" t="s">
        <v>586</v>
      </c>
      <c r="D102" t="s">
        <v>616</v>
      </c>
      <c r="E102" t="s">
        <v>1243</v>
      </c>
      <c r="F102" t="s">
        <v>212</v>
      </c>
      <c r="G102" t="s">
        <v>547</v>
      </c>
      <c r="H102" t="s">
        <v>1080</v>
      </c>
    </row>
    <row r="103" spans="1:8" x14ac:dyDescent="0.25">
      <c r="A103" t="s">
        <v>1</v>
      </c>
      <c r="B103" t="s">
        <v>799</v>
      </c>
      <c r="C103" t="s">
        <v>800</v>
      </c>
      <c r="D103" t="s">
        <v>801</v>
      </c>
      <c r="E103" t="s">
        <v>1244</v>
      </c>
      <c r="F103" t="s">
        <v>169</v>
      </c>
      <c r="G103" t="s">
        <v>547</v>
      </c>
      <c r="H103" t="s">
        <v>1002</v>
      </c>
    </row>
    <row r="104" spans="1:8" x14ac:dyDescent="0.25">
      <c r="A104" t="s">
        <v>1</v>
      </c>
      <c r="B104" t="s">
        <v>799</v>
      </c>
      <c r="C104" t="s">
        <v>802</v>
      </c>
      <c r="D104" t="s">
        <v>778</v>
      </c>
      <c r="E104" t="s">
        <v>1245</v>
      </c>
      <c r="F104" t="s">
        <v>251</v>
      </c>
      <c r="G104" t="s">
        <v>547</v>
      </c>
      <c r="H104" t="s">
        <v>1003</v>
      </c>
    </row>
    <row r="105" spans="1:8" x14ac:dyDescent="0.25">
      <c r="A105" t="s">
        <v>1</v>
      </c>
      <c r="B105" t="s">
        <v>803</v>
      </c>
      <c r="C105" t="s">
        <v>804</v>
      </c>
      <c r="D105" t="s">
        <v>805</v>
      </c>
      <c r="E105" t="s">
        <v>1246</v>
      </c>
      <c r="F105" t="s">
        <v>231</v>
      </c>
      <c r="G105" t="s">
        <v>547</v>
      </c>
      <c r="H105" t="s">
        <v>1081</v>
      </c>
    </row>
    <row r="106" spans="1:8" x14ac:dyDescent="0.25">
      <c r="A106" t="s">
        <v>1</v>
      </c>
      <c r="B106" t="s">
        <v>803</v>
      </c>
      <c r="C106" t="s">
        <v>566</v>
      </c>
      <c r="D106" t="s">
        <v>806</v>
      </c>
      <c r="E106" t="s">
        <v>1247</v>
      </c>
      <c r="F106" t="s">
        <v>214</v>
      </c>
      <c r="G106" t="s">
        <v>547</v>
      </c>
      <c r="H106" t="s">
        <v>1082</v>
      </c>
    </row>
    <row r="107" spans="1:8" x14ac:dyDescent="0.25">
      <c r="A107" t="s">
        <v>1</v>
      </c>
      <c r="B107" t="s">
        <v>807</v>
      </c>
      <c r="C107" t="s">
        <v>608</v>
      </c>
      <c r="D107" t="s">
        <v>808</v>
      </c>
      <c r="E107" t="s">
        <v>1248</v>
      </c>
      <c r="F107" t="s">
        <v>209</v>
      </c>
      <c r="G107" t="s">
        <v>547</v>
      </c>
      <c r="H107" t="s">
        <v>1083</v>
      </c>
    </row>
    <row r="108" spans="1:8" x14ac:dyDescent="0.25">
      <c r="A108" t="s">
        <v>1</v>
      </c>
      <c r="B108" t="s">
        <v>809</v>
      </c>
      <c r="C108" t="s">
        <v>810</v>
      </c>
      <c r="D108" t="s">
        <v>811</v>
      </c>
      <c r="E108" t="s">
        <v>1249</v>
      </c>
      <c r="F108" t="s">
        <v>130</v>
      </c>
      <c r="G108" t="s">
        <v>547</v>
      </c>
      <c r="H108" t="s">
        <v>1084</v>
      </c>
    </row>
    <row r="109" spans="1:8" x14ac:dyDescent="0.25">
      <c r="A109" t="s">
        <v>1</v>
      </c>
      <c r="B109" t="s">
        <v>812</v>
      </c>
      <c r="C109" t="s">
        <v>813</v>
      </c>
      <c r="D109" t="s">
        <v>571</v>
      </c>
      <c r="E109" t="s">
        <v>1250</v>
      </c>
      <c r="F109" t="s">
        <v>242</v>
      </c>
      <c r="G109" t="s">
        <v>548</v>
      </c>
      <c r="H109" t="s">
        <v>1085</v>
      </c>
    </row>
    <row r="110" spans="1:8" x14ac:dyDescent="0.25">
      <c r="A110" t="s">
        <v>1</v>
      </c>
      <c r="B110" t="s">
        <v>814</v>
      </c>
      <c r="C110" t="s">
        <v>815</v>
      </c>
      <c r="D110" t="s">
        <v>816</v>
      </c>
      <c r="E110" t="s">
        <v>1251</v>
      </c>
      <c r="F110" t="s">
        <v>188</v>
      </c>
      <c r="G110" t="s">
        <v>547</v>
      </c>
      <c r="H110" t="s">
        <v>1086</v>
      </c>
    </row>
    <row r="111" spans="1:8" x14ac:dyDescent="0.25">
      <c r="A111" t="s">
        <v>1</v>
      </c>
      <c r="B111" t="s">
        <v>817</v>
      </c>
      <c r="C111" t="s">
        <v>818</v>
      </c>
      <c r="D111" t="s">
        <v>819</v>
      </c>
      <c r="E111" t="s">
        <v>1252</v>
      </c>
      <c r="F111" t="s">
        <v>280</v>
      </c>
      <c r="G111" t="s">
        <v>548</v>
      </c>
      <c r="H111" t="s">
        <v>1087</v>
      </c>
    </row>
    <row r="112" spans="1:8" x14ac:dyDescent="0.25">
      <c r="A112" t="s">
        <v>1</v>
      </c>
      <c r="B112" t="s">
        <v>820</v>
      </c>
      <c r="C112" t="s">
        <v>802</v>
      </c>
      <c r="D112" t="s">
        <v>608</v>
      </c>
      <c r="E112" t="s">
        <v>1253</v>
      </c>
      <c r="F112" t="s">
        <v>266</v>
      </c>
      <c r="G112" t="s">
        <v>548</v>
      </c>
      <c r="H112" t="s">
        <v>1004</v>
      </c>
    </row>
    <row r="113" spans="1:8" x14ac:dyDescent="0.25">
      <c r="A113" t="s">
        <v>1</v>
      </c>
      <c r="B113" t="s">
        <v>821</v>
      </c>
      <c r="C113" t="s">
        <v>822</v>
      </c>
      <c r="D113" t="s">
        <v>568</v>
      </c>
      <c r="E113" t="s">
        <v>1254</v>
      </c>
      <c r="F113" t="s">
        <v>264</v>
      </c>
      <c r="G113" t="s">
        <v>548</v>
      </c>
      <c r="H113" t="s">
        <v>1088</v>
      </c>
    </row>
    <row r="114" spans="1:8" x14ac:dyDescent="0.25">
      <c r="A114" t="s">
        <v>1</v>
      </c>
      <c r="B114" t="s">
        <v>823</v>
      </c>
      <c r="C114" t="s">
        <v>824</v>
      </c>
      <c r="D114" t="s">
        <v>825</v>
      </c>
      <c r="E114" t="s">
        <v>1255</v>
      </c>
      <c r="F114" t="s">
        <v>151</v>
      </c>
      <c r="G114" t="s">
        <v>548</v>
      </c>
      <c r="H114" t="s">
        <v>1089</v>
      </c>
    </row>
    <row r="115" spans="1:8" x14ac:dyDescent="0.25">
      <c r="A115" t="s">
        <v>1</v>
      </c>
      <c r="B115" t="s">
        <v>826</v>
      </c>
      <c r="C115" t="s">
        <v>827</v>
      </c>
      <c r="D115" t="s">
        <v>828</v>
      </c>
      <c r="E115" t="s">
        <v>1256</v>
      </c>
      <c r="F115" t="s">
        <v>120</v>
      </c>
      <c r="G115" t="s">
        <v>548</v>
      </c>
      <c r="H115" t="s">
        <v>1090</v>
      </c>
    </row>
    <row r="116" spans="1:8" x14ac:dyDescent="0.25">
      <c r="A116" t="s">
        <v>1</v>
      </c>
      <c r="B116" t="s">
        <v>829</v>
      </c>
      <c r="C116" t="s">
        <v>616</v>
      </c>
      <c r="D116" t="s">
        <v>830</v>
      </c>
      <c r="E116" t="s">
        <v>1257</v>
      </c>
      <c r="F116" t="s">
        <v>176</v>
      </c>
      <c r="G116" t="s">
        <v>547</v>
      </c>
      <c r="H116" t="s">
        <v>1005</v>
      </c>
    </row>
    <row r="117" spans="1:8" x14ac:dyDescent="0.25">
      <c r="A117" t="s">
        <v>1</v>
      </c>
      <c r="B117" t="s">
        <v>829</v>
      </c>
      <c r="C117" t="s">
        <v>831</v>
      </c>
      <c r="D117" t="s">
        <v>832</v>
      </c>
      <c r="E117" t="s">
        <v>1258</v>
      </c>
      <c r="F117" t="s">
        <v>221</v>
      </c>
      <c r="G117" t="s">
        <v>547</v>
      </c>
      <c r="H117" t="s">
        <v>1091</v>
      </c>
    </row>
    <row r="118" spans="1:8" x14ac:dyDescent="0.25">
      <c r="A118" t="s">
        <v>1</v>
      </c>
      <c r="B118" t="s">
        <v>833</v>
      </c>
      <c r="C118" t="s">
        <v>688</v>
      </c>
      <c r="D118" t="s">
        <v>568</v>
      </c>
      <c r="E118" t="s">
        <v>1259</v>
      </c>
      <c r="F118" t="s">
        <v>166</v>
      </c>
      <c r="G118" t="s">
        <v>548</v>
      </c>
      <c r="H118" t="s">
        <v>1006</v>
      </c>
    </row>
    <row r="119" spans="1:8" x14ac:dyDescent="0.25">
      <c r="A119" t="s">
        <v>1</v>
      </c>
      <c r="B119" t="s">
        <v>834</v>
      </c>
      <c r="C119" t="s">
        <v>835</v>
      </c>
      <c r="D119" t="s">
        <v>603</v>
      </c>
      <c r="E119" t="s">
        <v>1260</v>
      </c>
      <c r="F119" t="s">
        <v>121</v>
      </c>
      <c r="G119" t="s">
        <v>547</v>
      </c>
      <c r="H119" t="s">
        <v>1092</v>
      </c>
    </row>
    <row r="120" spans="1:8" x14ac:dyDescent="0.25">
      <c r="A120" t="s">
        <v>1</v>
      </c>
      <c r="B120" t="s">
        <v>836</v>
      </c>
      <c r="C120" t="s">
        <v>837</v>
      </c>
      <c r="D120" t="s">
        <v>668</v>
      </c>
      <c r="E120" t="s">
        <v>1261</v>
      </c>
      <c r="F120" t="s">
        <v>134</v>
      </c>
      <c r="G120" t="s">
        <v>548</v>
      </c>
      <c r="H120" t="s">
        <v>1007</v>
      </c>
    </row>
    <row r="121" spans="1:8" x14ac:dyDescent="0.25">
      <c r="A121" t="s">
        <v>1</v>
      </c>
      <c r="B121" t="s">
        <v>836</v>
      </c>
      <c r="C121" t="s">
        <v>688</v>
      </c>
      <c r="D121" t="s">
        <v>838</v>
      </c>
      <c r="E121" t="s">
        <v>1262</v>
      </c>
      <c r="F121" t="s">
        <v>113</v>
      </c>
      <c r="G121" t="s">
        <v>548</v>
      </c>
      <c r="H121" t="s">
        <v>1008</v>
      </c>
    </row>
    <row r="122" spans="1:8" x14ac:dyDescent="0.25">
      <c r="A122" t="s">
        <v>1</v>
      </c>
      <c r="B122" t="s">
        <v>839</v>
      </c>
      <c r="C122" t="s">
        <v>600</v>
      </c>
      <c r="D122" t="s">
        <v>840</v>
      </c>
      <c r="E122" t="s">
        <v>1263</v>
      </c>
      <c r="F122" t="s">
        <v>131</v>
      </c>
      <c r="G122" t="s">
        <v>548</v>
      </c>
      <c r="H122" t="s">
        <v>1093</v>
      </c>
    </row>
    <row r="123" spans="1:8" x14ac:dyDescent="0.25">
      <c r="A123" t="s">
        <v>1</v>
      </c>
      <c r="B123" t="s">
        <v>841</v>
      </c>
      <c r="C123" t="s">
        <v>594</v>
      </c>
      <c r="D123" t="s">
        <v>842</v>
      </c>
      <c r="E123" t="s">
        <v>1264</v>
      </c>
      <c r="F123" t="s">
        <v>260</v>
      </c>
      <c r="G123" t="s">
        <v>548</v>
      </c>
      <c r="H123" t="s">
        <v>1094</v>
      </c>
    </row>
    <row r="124" spans="1:8" x14ac:dyDescent="0.25">
      <c r="A124" t="s">
        <v>1</v>
      </c>
      <c r="B124" t="s">
        <v>843</v>
      </c>
      <c r="C124" t="s">
        <v>844</v>
      </c>
      <c r="D124" t="s">
        <v>845</v>
      </c>
      <c r="E124" t="s">
        <v>1265</v>
      </c>
      <c r="F124" t="s">
        <v>230</v>
      </c>
      <c r="G124" t="s">
        <v>548</v>
      </c>
      <c r="H124" t="s">
        <v>1009</v>
      </c>
    </row>
    <row r="125" spans="1:8" x14ac:dyDescent="0.25">
      <c r="A125" t="s">
        <v>1</v>
      </c>
      <c r="B125" t="s">
        <v>846</v>
      </c>
      <c r="C125" t="s">
        <v>676</v>
      </c>
      <c r="D125" t="s">
        <v>847</v>
      </c>
      <c r="E125" t="s">
        <v>1266</v>
      </c>
      <c r="F125" t="s">
        <v>143</v>
      </c>
      <c r="G125" t="s">
        <v>548</v>
      </c>
      <c r="H125" t="s">
        <v>1095</v>
      </c>
    </row>
    <row r="126" spans="1:8" x14ac:dyDescent="0.25">
      <c r="A126" t="s">
        <v>1</v>
      </c>
      <c r="B126" t="s">
        <v>848</v>
      </c>
      <c r="C126" t="s">
        <v>700</v>
      </c>
      <c r="D126" t="s">
        <v>849</v>
      </c>
      <c r="E126" t="s">
        <v>1267</v>
      </c>
      <c r="F126" t="s">
        <v>153</v>
      </c>
      <c r="G126" t="s">
        <v>548</v>
      </c>
      <c r="H126" t="s">
        <v>1096</v>
      </c>
    </row>
    <row r="127" spans="1:8" x14ac:dyDescent="0.25">
      <c r="A127" t="s">
        <v>1</v>
      </c>
      <c r="B127" t="s">
        <v>850</v>
      </c>
      <c r="C127" t="s">
        <v>851</v>
      </c>
      <c r="D127" t="s">
        <v>852</v>
      </c>
      <c r="E127" t="s">
        <v>1268</v>
      </c>
      <c r="F127" t="s">
        <v>239</v>
      </c>
      <c r="G127" t="s">
        <v>547</v>
      </c>
      <c r="H127" t="s">
        <v>1010</v>
      </c>
    </row>
    <row r="128" spans="1:8" x14ac:dyDescent="0.25">
      <c r="A128" t="s">
        <v>1</v>
      </c>
      <c r="B128" t="s">
        <v>853</v>
      </c>
      <c r="C128" t="s">
        <v>854</v>
      </c>
      <c r="D128" t="s">
        <v>760</v>
      </c>
      <c r="E128" t="s">
        <v>1269</v>
      </c>
      <c r="F128" t="s">
        <v>219</v>
      </c>
      <c r="G128" t="s">
        <v>547</v>
      </c>
      <c r="H128" t="s">
        <v>1097</v>
      </c>
    </row>
    <row r="129" spans="1:8" x14ac:dyDescent="0.25">
      <c r="A129" t="s">
        <v>1</v>
      </c>
      <c r="B129" t="s">
        <v>855</v>
      </c>
      <c r="C129" t="s">
        <v>856</v>
      </c>
      <c r="D129" t="s">
        <v>857</v>
      </c>
      <c r="E129" t="s">
        <v>1270</v>
      </c>
      <c r="F129" t="s">
        <v>241</v>
      </c>
      <c r="G129" t="s">
        <v>548</v>
      </c>
      <c r="H129" t="s">
        <v>1098</v>
      </c>
    </row>
    <row r="130" spans="1:8" x14ac:dyDescent="0.25">
      <c r="A130" t="s">
        <v>1</v>
      </c>
      <c r="B130" t="s">
        <v>858</v>
      </c>
      <c r="C130" t="s">
        <v>586</v>
      </c>
      <c r="D130" t="s">
        <v>859</v>
      </c>
      <c r="E130" t="s">
        <v>1271</v>
      </c>
      <c r="F130" t="s">
        <v>180</v>
      </c>
      <c r="G130" t="s">
        <v>547</v>
      </c>
      <c r="H130" t="s">
        <v>1099</v>
      </c>
    </row>
    <row r="131" spans="1:8" x14ac:dyDescent="0.25">
      <c r="A131" t="s">
        <v>1</v>
      </c>
      <c r="B131" t="s">
        <v>860</v>
      </c>
      <c r="C131" t="s">
        <v>861</v>
      </c>
      <c r="D131" t="s">
        <v>862</v>
      </c>
      <c r="E131" t="s">
        <v>1272</v>
      </c>
      <c r="F131" t="s">
        <v>262</v>
      </c>
      <c r="G131" t="s">
        <v>547</v>
      </c>
      <c r="H131" t="s">
        <v>1100</v>
      </c>
    </row>
    <row r="132" spans="1:8" x14ac:dyDescent="0.25">
      <c r="A132" t="s">
        <v>1</v>
      </c>
      <c r="B132" t="s">
        <v>863</v>
      </c>
      <c r="C132" t="s">
        <v>864</v>
      </c>
      <c r="D132" t="s">
        <v>865</v>
      </c>
      <c r="E132" t="s">
        <v>1273</v>
      </c>
      <c r="F132" t="s">
        <v>191</v>
      </c>
      <c r="G132" t="s">
        <v>547</v>
      </c>
      <c r="H132" t="s">
        <v>1101</v>
      </c>
    </row>
    <row r="133" spans="1:8" x14ac:dyDescent="0.25">
      <c r="A133" t="s">
        <v>1</v>
      </c>
      <c r="B133" t="s">
        <v>866</v>
      </c>
      <c r="C133" t="s">
        <v>565</v>
      </c>
      <c r="D133" t="s">
        <v>819</v>
      </c>
      <c r="E133" t="s">
        <v>1274</v>
      </c>
      <c r="F133" t="s">
        <v>226</v>
      </c>
      <c r="G133" t="s">
        <v>547</v>
      </c>
      <c r="H133" t="s">
        <v>1102</v>
      </c>
    </row>
    <row r="134" spans="1:8" x14ac:dyDescent="0.25">
      <c r="A134" t="s">
        <v>1</v>
      </c>
      <c r="B134" t="s">
        <v>867</v>
      </c>
      <c r="C134" t="s">
        <v>565</v>
      </c>
      <c r="D134" t="s">
        <v>692</v>
      </c>
      <c r="E134" t="s">
        <v>1275</v>
      </c>
      <c r="F134" t="s">
        <v>243</v>
      </c>
      <c r="G134" t="s">
        <v>547</v>
      </c>
      <c r="H134" t="s">
        <v>1103</v>
      </c>
    </row>
    <row r="135" spans="1:8" x14ac:dyDescent="0.25">
      <c r="A135" t="s">
        <v>1</v>
      </c>
      <c r="B135" t="s">
        <v>868</v>
      </c>
      <c r="C135" t="s">
        <v>586</v>
      </c>
      <c r="D135" t="s">
        <v>869</v>
      </c>
      <c r="E135" t="s">
        <v>1276</v>
      </c>
      <c r="F135" t="s">
        <v>185</v>
      </c>
      <c r="G135" t="s">
        <v>547</v>
      </c>
      <c r="H135" t="s">
        <v>1104</v>
      </c>
    </row>
    <row r="136" spans="1:8" x14ac:dyDescent="0.25">
      <c r="A136" t="s">
        <v>1</v>
      </c>
      <c r="B136" t="s">
        <v>870</v>
      </c>
      <c r="C136" t="s">
        <v>871</v>
      </c>
      <c r="D136" t="s">
        <v>568</v>
      </c>
      <c r="E136" t="s">
        <v>1277</v>
      </c>
      <c r="F136" t="s">
        <v>273</v>
      </c>
      <c r="G136" t="s">
        <v>547</v>
      </c>
      <c r="H136" t="s">
        <v>1105</v>
      </c>
    </row>
    <row r="137" spans="1:8" x14ac:dyDescent="0.25">
      <c r="A137" t="s">
        <v>1</v>
      </c>
      <c r="B137" t="s">
        <v>872</v>
      </c>
      <c r="C137" t="s">
        <v>852</v>
      </c>
      <c r="D137" t="s">
        <v>581</v>
      </c>
      <c r="E137" t="s">
        <v>1278</v>
      </c>
      <c r="F137" t="s">
        <v>249</v>
      </c>
      <c r="G137" t="s">
        <v>548</v>
      </c>
      <c r="H137" t="s">
        <v>1106</v>
      </c>
    </row>
    <row r="138" spans="1:8" x14ac:dyDescent="0.25">
      <c r="A138" t="s">
        <v>1</v>
      </c>
      <c r="B138" t="s">
        <v>873</v>
      </c>
      <c r="C138" t="s">
        <v>874</v>
      </c>
      <c r="D138" t="s">
        <v>780</v>
      </c>
      <c r="E138" t="s">
        <v>1279</v>
      </c>
      <c r="F138" t="s">
        <v>182</v>
      </c>
      <c r="G138" t="s">
        <v>548</v>
      </c>
      <c r="H138" t="s">
        <v>1107</v>
      </c>
    </row>
    <row r="139" spans="1:8" x14ac:dyDescent="0.25">
      <c r="A139" t="s">
        <v>1</v>
      </c>
      <c r="B139" t="s">
        <v>875</v>
      </c>
      <c r="C139" t="s">
        <v>876</v>
      </c>
      <c r="D139" t="s">
        <v>877</v>
      </c>
      <c r="E139" t="s">
        <v>1280</v>
      </c>
      <c r="F139" t="s">
        <v>189</v>
      </c>
      <c r="G139" t="s">
        <v>548</v>
      </c>
      <c r="H139" t="s">
        <v>1108</v>
      </c>
    </row>
    <row r="140" spans="1:8" x14ac:dyDescent="0.25">
      <c r="A140" t="s">
        <v>1</v>
      </c>
      <c r="B140" t="s">
        <v>878</v>
      </c>
      <c r="C140" t="s">
        <v>879</v>
      </c>
      <c r="D140" t="s">
        <v>603</v>
      </c>
      <c r="E140" t="s">
        <v>1281</v>
      </c>
      <c r="F140" t="s">
        <v>139</v>
      </c>
      <c r="G140" t="s">
        <v>548</v>
      </c>
      <c r="H140" t="s">
        <v>1109</v>
      </c>
    </row>
    <row r="141" spans="1:8" x14ac:dyDescent="0.25">
      <c r="A141" t="s">
        <v>1</v>
      </c>
      <c r="B141" t="s">
        <v>880</v>
      </c>
      <c r="C141" t="s">
        <v>778</v>
      </c>
      <c r="D141" t="s">
        <v>881</v>
      </c>
      <c r="E141" t="s">
        <v>1282</v>
      </c>
      <c r="F141" t="s">
        <v>244</v>
      </c>
      <c r="G141" t="s">
        <v>548</v>
      </c>
      <c r="H141" t="s">
        <v>1110</v>
      </c>
    </row>
    <row r="142" spans="1:8" x14ac:dyDescent="0.25">
      <c r="A142" t="s">
        <v>1</v>
      </c>
      <c r="B142" t="s">
        <v>882</v>
      </c>
      <c r="C142" t="s">
        <v>883</v>
      </c>
      <c r="D142" t="s">
        <v>605</v>
      </c>
      <c r="E142" t="s">
        <v>1283</v>
      </c>
      <c r="F142" t="s">
        <v>108</v>
      </c>
      <c r="G142" t="s">
        <v>548</v>
      </c>
      <c r="H142" t="s">
        <v>1111</v>
      </c>
    </row>
    <row r="143" spans="1:8" x14ac:dyDescent="0.25">
      <c r="A143" t="s">
        <v>1</v>
      </c>
      <c r="B143" t="s">
        <v>884</v>
      </c>
      <c r="C143" t="s">
        <v>688</v>
      </c>
      <c r="D143" t="s">
        <v>688</v>
      </c>
      <c r="E143" t="s">
        <v>1284</v>
      </c>
      <c r="F143" t="s">
        <v>199</v>
      </c>
      <c r="G143" t="s">
        <v>548</v>
      </c>
      <c r="H143" t="s">
        <v>1112</v>
      </c>
    </row>
    <row r="144" spans="1:8" x14ac:dyDescent="0.25">
      <c r="A144" t="s">
        <v>1</v>
      </c>
      <c r="B144" t="s">
        <v>885</v>
      </c>
      <c r="C144" t="s">
        <v>886</v>
      </c>
      <c r="D144" t="s">
        <v>887</v>
      </c>
      <c r="E144" t="s">
        <v>1285</v>
      </c>
      <c r="F144" t="s">
        <v>229</v>
      </c>
      <c r="G144" t="s">
        <v>548</v>
      </c>
      <c r="H144" t="s">
        <v>1113</v>
      </c>
    </row>
    <row r="145" spans="1:8" x14ac:dyDescent="0.25">
      <c r="A145" t="s">
        <v>1</v>
      </c>
      <c r="B145" t="s">
        <v>888</v>
      </c>
      <c r="C145" t="s">
        <v>571</v>
      </c>
      <c r="D145" t="s">
        <v>889</v>
      </c>
      <c r="E145" t="s">
        <v>1286</v>
      </c>
      <c r="F145" t="s">
        <v>254</v>
      </c>
      <c r="G145" t="s">
        <v>548</v>
      </c>
      <c r="H145" t="s">
        <v>1114</v>
      </c>
    </row>
    <row r="146" spans="1:8" x14ac:dyDescent="0.25">
      <c r="A146" t="s">
        <v>1</v>
      </c>
      <c r="B146" t="s">
        <v>890</v>
      </c>
      <c r="C146" t="s">
        <v>802</v>
      </c>
      <c r="D146" t="s">
        <v>891</v>
      </c>
      <c r="E146" t="s">
        <v>1287</v>
      </c>
      <c r="F146" t="s">
        <v>255</v>
      </c>
      <c r="G146" t="s">
        <v>548</v>
      </c>
      <c r="H146" t="s">
        <v>1011</v>
      </c>
    </row>
    <row r="147" spans="1:8" x14ac:dyDescent="0.25">
      <c r="A147" t="s">
        <v>1</v>
      </c>
      <c r="B147" t="s">
        <v>892</v>
      </c>
      <c r="C147" t="s">
        <v>566</v>
      </c>
      <c r="D147" t="s">
        <v>616</v>
      </c>
      <c r="E147" t="s">
        <v>1288</v>
      </c>
      <c r="F147" t="s">
        <v>277</v>
      </c>
      <c r="G147" t="s">
        <v>548</v>
      </c>
      <c r="H147" t="s">
        <v>1115</v>
      </c>
    </row>
    <row r="148" spans="1:8" x14ac:dyDescent="0.25">
      <c r="A148" t="s">
        <v>1</v>
      </c>
      <c r="B148" t="s">
        <v>893</v>
      </c>
      <c r="C148" t="s">
        <v>586</v>
      </c>
      <c r="D148" t="s">
        <v>894</v>
      </c>
      <c r="E148" t="s">
        <v>1289</v>
      </c>
      <c r="F148" t="s">
        <v>234</v>
      </c>
      <c r="G148" t="s">
        <v>547</v>
      </c>
      <c r="H148" t="s">
        <v>1012</v>
      </c>
    </row>
    <row r="149" spans="1:8" x14ac:dyDescent="0.25">
      <c r="A149" t="s">
        <v>1</v>
      </c>
      <c r="B149" t="s">
        <v>895</v>
      </c>
      <c r="C149" t="s">
        <v>896</v>
      </c>
      <c r="D149" t="s">
        <v>581</v>
      </c>
      <c r="E149" t="s">
        <v>1290</v>
      </c>
      <c r="F149" t="s">
        <v>198</v>
      </c>
      <c r="G149" t="s">
        <v>547</v>
      </c>
      <c r="H149" t="s">
        <v>1116</v>
      </c>
    </row>
    <row r="150" spans="1:8" x14ac:dyDescent="0.25">
      <c r="A150" t="s">
        <v>1</v>
      </c>
      <c r="B150" t="s">
        <v>897</v>
      </c>
      <c r="C150" t="s">
        <v>898</v>
      </c>
      <c r="D150" t="s">
        <v>899</v>
      </c>
      <c r="E150" t="s">
        <v>1291</v>
      </c>
      <c r="F150" t="s">
        <v>128</v>
      </c>
      <c r="G150" t="s">
        <v>548</v>
      </c>
      <c r="H150" t="s">
        <v>1117</v>
      </c>
    </row>
    <row r="151" spans="1:8" x14ac:dyDescent="0.25">
      <c r="A151" t="s">
        <v>1</v>
      </c>
      <c r="B151" t="s">
        <v>900</v>
      </c>
      <c r="C151" t="s">
        <v>674</v>
      </c>
      <c r="D151" t="s">
        <v>901</v>
      </c>
      <c r="E151" t="s">
        <v>1292</v>
      </c>
      <c r="F151" t="s">
        <v>197</v>
      </c>
      <c r="G151" t="s">
        <v>548</v>
      </c>
      <c r="H151" t="s">
        <v>1013</v>
      </c>
    </row>
    <row r="152" spans="1:8" x14ac:dyDescent="0.25">
      <c r="A152" t="s">
        <v>1</v>
      </c>
      <c r="B152" t="s">
        <v>824</v>
      </c>
      <c r="C152" t="s">
        <v>902</v>
      </c>
      <c r="D152" t="s">
        <v>903</v>
      </c>
      <c r="E152" t="s">
        <v>1293</v>
      </c>
      <c r="F152" t="s">
        <v>124</v>
      </c>
      <c r="G152" t="s">
        <v>548</v>
      </c>
      <c r="H152" t="s">
        <v>1118</v>
      </c>
    </row>
    <row r="153" spans="1:8" x14ac:dyDescent="0.25">
      <c r="A153" t="s">
        <v>1</v>
      </c>
      <c r="B153" t="s">
        <v>904</v>
      </c>
      <c r="C153" t="s">
        <v>905</v>
      </c>
      <c r="D153" t="s">
        <v>566</v>
      </c>
      <c r="E153" t="s">
        <v>1294</v>
      </c>
      <c r="F153" t="s">
        <v>232</v>
      </c>
      <c r="G153" t="s">
        <v>547</v>
      </c>
      <c r="H153" t="s">
        <v>1119</v>
      </c>
    </row>
    <row r="154" spans="1:8" x14ac:dyDescent="0.25">
      <c r="A154" t="s">
        <v>1</v>
      </c>
      <c r="B154" t="s">
        <v>904</v>
      </c>
      <c r="C154" t="s">
        <v>906</v>
      </c>
      <c r="D154" t="s">
        <v>907</v>
      </c>
      <c r="E154" t="s">
        <v>1295</v>
      </c>
      <c r="F154" t="s">
        <v>133</v>
      </c>
      <c r="G154" t="s">
        <v>547</v>
      </c>
      <c r="H154" t="s">
        <v>1120</v>
      </c>
    </row>
    <row r="155" spans="1:8" x14ac:dyDescent="0.25">
      <c r="A155" t="s">
        <v>1</v>
      </c>
      <c r="B155" t="s">
        <v>908</v>
      </c>
      <c r="C155" t="s">
        <v>617</v>
      </c>
      <c r="D155" t="s">
        <v>909</v>
      </c>
      <c r="E155" t="s">
        <v>1296</v>
      </c>
      <c r="F155" t="s">
        <v>282</v>
      </c>
      <c r="G155" t="s">
        <v>548</v>
      </c>
      <c r="H155" t="s">
        <v>1014</v>
      </c>
    </row>
    <row r="156" spans="1:8" x14ac:dyDescent="0.25">
      <c r="A156" t="s">
        <v>1</v>
      </c>
      <c r="B156" t="s">
        <v>910</v>
      </c>
      <c r="C156" t="s">
        <v>911</v>
      </c>
      <c r="D156" t="s">
        <v>614</v>
      </c>
      <c r="E156" t="s">
        <v>1297</v>
      </c>
      <c r="F156" t="s">
        <v>112</v>
      </c>
      <c r="G156" t="s">
        <v>548</v>
      </c>
      <c r="H156" t="s">
        <v>1121</v>
      </c>
    </row>
    <row r="157" spans="1:8" x14ac:dyDescent="0.25">
      <c r="A157" t="s">
        <v>1</v>
      </c>
      <c r="B157" t="s">
        <v>912</v>
      </c>
      <c r="C157" t="s">
        <v>674</v>
      </c>
      <c r="D157" t="s">
        <v>678</v>
      </c>
      <c r="E157" t="s">
        <v>1298</v>
      </c>
      <c r="F157" t="s">
        <v>272</v>
      </c>
      <c r="G157" t="s">
        <v>548</v>
      </c>
      <c r="H157" t="s">
        <v>1122</v>
      </c>
    </row>
    <row r="158" spans="1:8" x14ac:dyDescent="0.25">
      <c r="A158" t="s">
        <v>1</v>
      </c>
      <c r="B158" t="s">
        <v>913</v>
      </c>
      <c r="C158" t="s">
        <v>914</v>
      </c>
      <c r="D158" t="s">
        <v>599</v>
      </c>
      <c r="E158" t="s">
        <v>1299</v>
      </c>
      <c r="F158" t="s">
        <v>172</v>
      </c>
      <c r="G158" t="s">
        <v>548</v>
      </c>
      <c r="H158" t="s">
        <v>1123</v>
      </c>
    </row>
    <row r="159" spans="1:8" x14ac:dyDescent="0.25">
      <c r="A159" t="s">
        <v>1</v>
      </c>
      <c r="B159" t="s">
        <v>915</v>
      </c>
      <c r="C159" t="s">
        <v>916</v>
      </c>
      <c r="D159" t="s">
        <v>917</v>
      </c>
      <c r="E159" t="s">
        <v>1300</v>
      </c>
      <c r="F159" t="s">
        <v>181</v>
      </c>
      <c r="G159" t="s">
        <v>548</v>
      </c>
      <c r="H159" t="s">
        <v>1124</v>
      </c>
    </row>
    <row r="160" spans="1:8" x14ac:dyDescent="0.25">
      <c r="A160" t="s">
        <v>1</v>
      </c>
      <c r="B160" t="s">
        <v>918</v>
      </c>
      <c r="C160" t="s">
        <v>838</v>
      </c>
      <c r="D160" t="s">
        <v>589</v>
      </c>
      <c r="E160" t="s">
        <v>1301</v>
      </c>
      <c r="F160" t="s">
        <v>213</v>
      </c>
      <c r="G160" t="s">
        <v>548</v>
      </c>
      <c r="H160" t="s">
        <v>1015</v>
      </c>
    </row>
    <row r="161" spans="1:8" x14ac:dyDescent="0.25">
      <c r="A161" t="s">
        <v>1</v>
      </c>
      <c r="B161" t="s">
        <v>919</v>
      </c>
      <c r="C161" t="s">
        <v>920</v>
      </c>
      <c r="D161" t="s">
        <v>921</v>
      </c>
      <c r="E161" t="s">
        <v>1302</v>
      </c>
      <c r="F161" t="s">
        <v>158</v>
      </c>
      <c r="G161" t="s">
        <v>548</v>
      </c>
      <c r="H161" t="s">
        <v>1125</v>
      </c>
    </row>
    <row r="162" spans="1:8" x14ac:dyDescent="0.25">
      <c r="A162" t="s">
        <v>1</v>
      </c>
      <c r="B162" t="s">
        <v>922</v>
      </c>
      <c r="C162" t="s">
        <v>923</v>
      </c>
      <c r="D162" t="s">
        <v>736</v>
      </c>
      <c r="E162" t="s">
        <v>1303</v>
      </c>
      <c r="F162" t="s">
        <v>164</v>
      </c>
      <c r="G162" t="s">
        <v>548</v>
      </c>
      <c r="H162" t="s">
        <v>1016</v>
      </c>
    </row>
    <row r="163" spans="1:8" x14ac:dyDescent="0.25">
      <c r="A163" t="s">
        <v>1</v>
      </c>
      <c r="B163" t="s">
        <v>924</v>
      </c>
      <c r="C163" t="s">
        <v>925</v>
      </c>
      <c r="D163" t="s">
        <v>688</v>
      </c>
      <c r="E163" t="s">
        <v>1304</v>
      </c>
      <c r="F163" t="s">
        <v>118</v>
      </c>
      <c r="G163" t="s">
        <v>548</v>
      </c>
      <c r="H163" t="s">
        <v>1017</v>
      </c>
    </row>
    <row r="164" spans="1:8" x14ac:dyDescent="0.25">
      <c r="A164" t="s">
        <v>1</v>
      </c>
      <c r="B164" t="s">
        <v>926</v>
      </c>
      <c r="C164" t="s">
        <v>927</v>
      </c>
      <c r="D164" t="s">
        <v>605</v>
      </c>
      <c r="E164" t="s">
        <v>1305</v>
      </c>
      <c r="F164" t="s">
        <v>183</v>
      </c>
      <c r="G164" t="s">
        <v>547</v>
      </c>
      <c r="H164" t="s">
        <v>1126</v>
      </c>
    </row>
    <row r="165" spans="1:8" x14ac:dyDescent="0.25">
      <c r="A165" t="s">
        <v>1</v>
      </c>
      <c r="B165" t="s">
        <v>928</v>
      </c>
      <c r="C165" t="s">
        <v>929</v>
      </c>
      <c r="D165" t="s">
        <v>930</v>
      </c>
      <c r="E165" t="s">
        <v>1306</v>
      </c>
      <c r="F165" t="s">
        <v>227</v>
      </c>
      <c r="G165" t="s">
        <v>547</v>
      </c>
      <c r="H165" t="s">
        <v>1127</v>
      </c>
    </row>
    <row r="166" spans="1:8" x14ac:dyDescent="0.25">
      <c r="A166" t="s">
        <v>1</v>
      </c>
      <c r="B166" t="s">
        <v>931</v>
      </c>
      <c r="C166" t="s">
        <v>932</v>
      </c>
      <c r="D166" t="s">
        <v>933</v>
      </c>
      <c r="E166" t="s">
        <v>1307</v>
      </c>
      <c r="F166" t="s">
        <v>228</v>
      </c>
      <c r="G166" t="s">
        <v>547</v>
      </c>
      <c r="H166" t="s">
        <v>1128</v>
      </c>
    </row>
    <row r="167" spans="1:8" x14ac:dyDescent="0.25">
      <c r="A167" t="s">
        <v>1</v>
      </c>
      <c r="B167" t="s">
        <v>934</v>
      </c>
      <c r="C167" t="s">
        <v>935</v>
      </c>
      <c r="D167" t="s">
        <v>702</v>
      </c>
      <c r="E167" t="s">
        <v>1308</v>
      </c>
      <c r="F167" t="s">
        <v>146</v>
      </c>
      <c r="G167" t="s">
        <v>548</v>
      </c>
      <c r="H167" t="s">
        <v>1129</v>
      </c>
    </row>
    <row r="168" spans="1:8" x14ac:dyDescent="0.25">
      <c r="A168" t="s">
        <v>1</v>
      </c>
      <c r="B168" t="s">
        <v>936</v>
      </c>
      <c r="C168" t="s">
        <v>937</v>
      </c>
      <c r="D168" t="s">
        <v>849</v>
      </c>
      <c r="E168" t="s">
        <v>1309</v>
      </c>
      <c r="F168" t="s">
        <v>179</v>
      </c>
      <c r="G168" t="s">
        <v>547</v>
      </c>
      <c r="H168" t="s">
        <v>1130</v>
      </c>
    </row>
    <row r="169" spans="1:8" x14ac:dyDescent="0.25">
      <c r="A169" t="s">
        <v>1</v>
      </c>
      <c r="B169" t="s">
        <v>938</v>
      </c>
      <c r="C169" t="s">
        <v>939</v>
      </c>
      <c r="D169" t="s">
        <v>838</v>
      </c>
      <c r="E169" t="s">
        <v>1310</v>
      </c>
      <c r="F169" t="s">
        <v>237</v>
      </c>
      <c r="G169" t="s">
        <v>547</v>
      </c>
      <c r="H169" t="s">
        <v>1131</v>
      </c>
    </row>
    <row r="170" spans="1:8" x14ac:dyDescent="0.25">
      <c r="A170" t="s">
        <v>1</v>
      </c>
      <c r="B170" t="s">
        <v>940</v>
      </c>
      <c r="C170" t="s">
        <v>941</v>
      </c>
      <c r="D170" t="s">
        <v>942</v>
      </c>
      <c r="E170" t="s">
        <v>1311</v>
      </c>
      <c r="F170" t="s">
        <v>236</v>
      </c>
      <c r="G170" t="s">
        <v>547</v>
      </c>
      <c r="H170" t="s">
        <v>1132</v>
      </c>
    </row>
    <row r="171" spans="1:8" x14ac:dyDescent="0.25">
      <c r="A171" t="s">
        <v>1</v>
      </c>
      <c r="B171" t="s">
        <v>943</v>
      </c>
      <c r="C171" t="s">
        <v>944</v>
      </c>
      <c r="D171" t="s">
        <v>678</v>
      </c>
      <c r="E171" t="s">
        <v>1312</v>
      </c>
      <c r="F171" t="s">
        <v>261</v>
      </c>
      <c r="G171" t="s">
        <v>547</v>
      </c>
      <c r="H171" t="s">
        <v>1018</v>
      </c>
    </row>
    <row r="172" spans="1:8" x14ac:dyDescent="0.25">
      <c r="A172" t="s">
        <v>1</v>
      </c>
      <c r="B172" t="s">
        <v>945</v>
      </c>
      <c r="C172" t="s">
        <v>616</v>
      </c>
      <c r="D172" t="s">
        <v>565</v>
      </c>
      <c r="E172" t="s">
        <v>1313</v>
      </c>
      <c r="F172" t="s">
        <v>161</v>
      </c>
      <c r="G172" t="s">
        <v>548</v>
      </c>
      <c r="H172" t="s">
        <v>1133</v>
      </c>
    </row>
    <row r="173" spans="1:8" x14ac:dyDescent="0.25">
      <c r="A173" t="s">
        <v>1</v>
      </c>
      <c r="B173" t="s">
        <v>946</v>
      </c>
      <c r="C173" t="s">
        <v>947</v>
      </c>
      <c r="D173" t="s">
        <v>948</v>
      </c>
      <c r="E173" t="s">
        <v>1314</v>
      </c>
      <c r="F173" t="s">
        <v>132</v>
      </c>
      <c r="G173" t="s">
        <v>548</v>
      </c>
      <c r="H173" t="s">
        <v>1019</v>
      </c>
    </row>
    <row r="174" spans="1:8" x14ac:dyDescent="0.25">
      <c r="A174" t="s">
        <v>1</v>
      </c>
      <c r="B174" t="s">
        <v>949</v>
      </c>
      <c r="C174" t="s">
        <v>950</v>
      </c>
      <c r="D174" t="s">
        <v>927</v>
      </c>
      <c r="E174" t="s">
        <v>1315</v>
      </c>
      <c r="F174" t="s">
        <v>220</v>
      </c>
      <c r="G174" t="s">
        <v>547</v>
      </c>
      <c r="H174" t="s">
        <v>1020</v>
      </c>
    </row>
    <row r="175" spans="1:8" x14ac:dyDescent="0.25">
      <c r="A175" t="s">
        <v>1</v>
      </c>
      <c r="B175" t="s">
        <v>951</v>
      </c>
      <c r="C175" t="s">
        <v>616</v>
      </c>
      <c r="D175" t="s">
        <v>566</v>
      </c>
      <c r="E175" t="s">
        <v>1316</v>
      </c>
      <c r="F175" t="s">
        <v>148</v>
      </c>
      <c r="G175" t="s">
        <v>547</v>
      </c>
      <c r="H175" t="s">
        <v>1134</v>
      </c>
    </row>
    <row r="176" spans="1:8" x14ac:dyDescent="0.25">
      <c r="A176" t="s">
        <v>1</v>
      </c>
      <c r="B176" t="s">
        <v>952</v>
      </c>
      <c r="C176" t="s">
        <v>577</v>
      </c>
      <c r="D176" t="s">
        <v>674</v>
      </c>
      <c r="E176" t="s">
        <v>1317</v>
      </c>
      <c r="F176" t="s">
        <v>184</v>
      </c>
      <c r="G176" t="s">
        <v>547</v>
      </c>
      <c r="H176" t="s">
        <v>1135</v>
      </c>
    </row>
    <row r="177" spans="1:8" x14ac:dyDescent="0.25">
      <c r="A177" t="s">
        <v>1</v>
      </c>
      <c r="B177" t="s">
        <v>953</v>
      </c>
      <c r="C177" t="s">
        <v>954</v>
      </c>
      <c r="D177" t="s">
        <v>581</v>
      </c>
      <c r="E177" t="s">
        <v>1318</v>
      </c>
      <c r="F177" t="s">
        <v>192</v>
      </c>
      <c r="G177" t="s">
        <v>548</v>
      </c>
      <c r="H177" t="s">
        <v>1136</v>
      </c>
    </row>
    <row r="178" spans="1:8" x14ac:dyDescent="0.25">
      <c r="A178" t="s">
        <v>1</v>
      </c>
      <c r="B178" t="s">
        <v>955</v>
      </c>
      <c r="C178" t="s">
        <v>956</v>
      </c>
      <c r="D178" t="s">
        <v>957</v>
      </c>
      <c r="E178" t="s">
        <v>1319</v>
      </c>
      <c r="F178" t="s">
        <v>208</v>
      </c>
      <c r="G178" t="s">
        <v>547</v>
      </c>
      <c r="H178" t="s">
        <v>1137</v>
      </c>
    </row>
    <row r="179" spans="1:8" x14ac:dyDescent="0.25">
      <c r="A179" t="s">
        <v>1</v>
      </c>
      <c r="B179" t="s">
        <v>958</v>
      </c>
      <c r="C179" t="s">
        <v>959</v>
      </c>
      <c r="D179" t="s">
        <v>581</v>
      </c>
      <c r="E179" t="s">
        <v>1320</v>
      </c>
      <c r="F179" t="s">
        <v>159</v>
      </c>
      <c r="G179" t="s">
        <v>548</v>
      </c>
      <c r="H179" t="s">
        <v>1138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9D7F-032A-4ED8-B629-AFA49D30E45E}">
  <dimension ref="A1:F329"/>
  <sheetViews>
    <sheetView topLeftCell="A292" workbookViewId="0">
      <selection activeCell="D311" sqref="D311"/>
    </sheetView>
  </sheetViews>
  <sheetFormatPr baseColWidth="10" defaultRowHeight="15" x14ac:dyDescent="0.25"/>
  <cols>
    <col min="1" max="1" width="13.28515625" bestFit="1" customWidth="1"/>
    <col min="2" max="2" width="27" customWidth="1"/>
    <col min="3" max="3" width="11.5703125" bestFit="1" customWidth="1"/>
    <col min="4" max="4" width="41.28515625" bestFit="1" customWidth="1"/>
    <col min="5" max="5" width="61.5703125" bestFit="1" customWidth="1"/>
    <col min="6" max="6" width="11.28515625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105</v>
      </c>
      <c r="E1" t="s">
        <v>284</v>
      </c>
      <c r="F1" t="s">
        <v>546</v>
      </c>
    </row>
    <row r="2" spans="1:6" x14ac:dyDescent="0.25">
      <c r="A2" t="s">
        <v>1</v>
      </c>
      <c r="B2" t="s">
        <v>549</v>
      </c>
      <c r="C2" t="s">
        <v>4</v>
      </c>
      <c r="D2" t="s">
        <v>106</v>
      </c>
      <c r="E2" t="s">
        <v>285</v>
      </c>
      <c r="F2" t="s">
        <v>547</v>
      </c>
    </row>
    <row r="3" spans="1:6" x14ac:dyDescent="0.25">
      <c r="A3" t="s">
        <v>1</v>
      </c>
      <c r="B3" t="s">
        <v>549</v>
      </c>
      <c r="C3" t="s">
        <v>5</v>
      </c>
      <c r="D3" t="s">
        <v>107</v>
      </c>
      <c r="E3" t="s">
        <v>285</v>
      </c>
      <c r="F3" t="s">
        <v>547</v>
      </c>
    </row>
    <row r="4" spans="1:6" x14ac:dyDescent="0.25">
      <c r="A4" t="s">
        <v>1</v>
      </c>
      <c r="B4" t="s">
        <v>549</v>
      </c>
      <c r="C4" t="s">
        <v>6</v>
      </c>
      <c r="D4" t="s">
        <v>108</v>
      </c>
      <c r="E4" t="s">
        <v>286</v>
      </c>
      <c r="F4" t="s">
        <v>548</v>
      </c>
    </row>
    <row r="5" spans="1:6" x14ac:dyDescent="0.25">
      <c r="A5" t="s">
        <v>1</v>
      </c>
      <c r="B5" t="s">
        <v>549</v>
      </c>
      <c r="C5" t="s">
        <v>7</v>
      </c>
      <c r="D5" t="s">
        <v>106</v>
      </c>
      <c r="E5" t="s">
        <v>287</v>
      </c>
      <c r="F5" t="s">
        <v>547</v>
      </c>
    </row>
    <row r="6" spans="1:6" x14ac:dyDescent="0.25">
      <c r="A6" t="s">
        <v>1</v>
      </c>
      <c r="B6" t="s">
        <v>549</v>
      </c>
      <c r="C6" t="s">
        <v>8</v>
      </c>
      <c r="D6" t="s">
        <v>108</v>
      </c>
      <c r="E6" t="s">
        <v>288</v>
      </c>
      <c r="F6" t="s">
        <v>548</v>
      </c>
    </row>
    <row r="7" spans="1:6" x14ac:dyDescent="0.25">
      <c r="A7" t="s">
        <v>1</v>
      </c>
      <c r="B7" t="s">
        <v>549</v>
      </c>
      <c r="C7" t="s">
        <v>9</v>
      </c>
      <c r="D7" t="s">
        <v>109</v>
      </c>
      <c r="E7" t="s">
        <v>289</v>
      </c>
      <c r="F7" t="s">
        <v>548</v>
      </c>
    </row>
    <row r="8" spans="1:6" x14ac:dyDescent="0.25">
      <c r="A8" t="s">
        <v>1</v>
      </c>
      <c r="B8" t="s">
        <v>549</v>
      </c>
      <c r="C8" t="s">
        <v>10</v>
      </c>
      <c r="D8" t="s">
        <v>110</v>
      </c>
      <c r="E8" t="s">
        <v>289</v>
      </c>
      <c r="F8" t="s">
        <v>548</v>
      </c>
    </row>
    <row r="9" spans="1:6" x14ac:dyDescent="0.25">
      <c r="A9" t="s">
        <v>1</v>
      </c>
      <c r="B9" t="s">
        <v>549</v>
      </c>
      <c r="C9" t="s">
        <v>11</v>
      </c>
      <c r="D9" t="s">
        <v>111</v>
      </c>
      <c r="E9" t="s">
        <v>289</v>
      </c>
      <c r="F9" t="s">
        <v>548</v>
      </c>
    </row>
    <row r="10" spans="1:6" x14ac:dyDescent="0.25">
      <c r="A10" t="s">
        <v>1</v>
      </c>
      <c r="B10" t="s">
        <v>549</v>
      </c>
      <c r="C10" t="s">
        <v>12</v>
      </c>
      <c r="D10" t="s">
        <v>112</v>
      </c>
      <c r="E10" t="s">
        <v>289</v>
      </c>
      <c r="F10" t="s">
        <v>548</v>
      </c>
    </row>
    <row r="11" spans="1:6" x14ac:dyDescent="0.25">
      <c r="A11" t="s">
        <v>1</v>
      </c>
      <c r="B11" t="s">
        <v>549</v>
      </c>
      <c r="C11" t="s">
        <v>13</v>
      </c>
      <c r="D11" t="s">
        <v>109</v>
      </c>
      <c r="E11" t="s">
        <v>289</v>
      </c>
      <c r="F11" t="s">
        <v>548</v>
      </c>
    </row>
    <row r="12" spans="1:6" x14ac:dyDescent="0.25">
      <c r="A12" t="s">
        <v>1</v>
      </c>
      <c r="B12" t="s">
        <v>549</v>
      </c>
      <c r="C12" t="s">
        <v>14</v>
      </c>
      <c r="D12" t="s">
        <v>110</v>
      </c>
      <c r="E12" t="s">
        <v>289</v>
      </c>
      <c r="F12" t="s">
        <v>548</v>
      </c>
    </row>
    <row r="13" spans="1:6" x14ac:dyDescent="0.25">
      <c r="A13" t="s">
        <v>1</v>
      </c>
      <c r="B13" t="s">
        <v>549</v>
      </c>
      <c r="C13" t="s">
        <v>15</v>
      </c>
      <c r="D13" t="s">
        <v>111</v>
      </c>
      <c r="E13" t="s">
        <v>289</v>
      </c>
      <c r="F13" t="s">
        <v>548</v>
      </c>
    </row>
    <row r="14" spans="1:6" x14ac:dyDescent="0.25">
      <c r="A14" t="s">
        <v>1</v>
      </c>
      <c r="B14" t="s">
        <v>549</v>
      </c>
      <c r="C14" t="s">
        <v>16</v>
      </c>
      <c r="D14" t="s">
        <v>112</v>
      </c>
      <c r="E14" t="s">
        <v>289</v>
      </c>
      <c r="F14" t="s">
        <v>548</v>
      </c>
    </row>
    <row r="15" spans="1:6" x14ac:dyDescent="0.25">
      <c r="A15" t="s">
        <v>1</v>
      </c>
      <c r="B15" t="s">
        <v>549</v>
      </c>
      <c r="C15" t="s">
        <v>17</v>
      </c>
      <c r="D15" t="s">
        <v>109</v>
      </c>
      <c r="E15" t="s">
        <v>290</v>
      </c>
      <c r="F15" t="s">
        <v>548</v>
      </c>
    </row>
    <row r="16" spans="1:6" x14ac:dyDescent="0.25">
      <c r="A16" t="s">
        <v>1</v>
      </c>
      <c r="B16" t="s">
        <v>549</v>
      </c>
      <c r="C16" t="s">
        <v>18</v>
      </c>
      <c r="D16" t="s">
        <v>110</v>
      </c>
      <c r="E16" t="s">
        <v>290</v>
      </c>
      <c r="F16" t="s">
        <v>548</v>
      </c>
    </row>
    <row r="17" spans="1:6" x14ac:dyDescent="0.25">
      <c r="A17" t="s">
        <v>1</v>
      </c>
      <c r="B17" t="s">
        <v>549</v>
      </c>
      <c r="C17" t="s">
        <v>19</v>
      </c>
      <c r="D17" t="s">
        <v>111</v>
      </c>
      <c r="E17" t="s">
        <v>290</v>
      </c>
      <c r="F17" t="s">
        <v>548</v>
      </c>
    </row>
    <row r="18" spans="1:6" x14ac:dyDescent="0.25">
      <c r="A18" t="s">
        <v>1</v>
      </c>
      <c r="B18" t="s">
        <v>549</v>
      </c>
      <c r="C18" t="s">
        <v>20</v>
      </c>
      <c r="D18" t="s">
        <v>112</v>
      </c>
      <c r="E18" t="s">
        <v>290</v>
      </c>
      <c r="F18" t="s">
        <v>548</v>
      </c>
    </row>
    <row r="19" spans="1:6" x14ac:dyDescent="0.25">
      <c r="A19" t="s">
        <v>1</v>
      </c>
      <c r="B19" t="s">
        <v>549</v>
      </c>
      <c r="C19" t="s">
        <v>21</v>
      </c>
      <c r="D19" t="s">
        <v>109</v>
      </c>
      <c r="E19" t="s">
        <v>290</v>
      </c>
      <c r="F19" t="s">
        <v>548</v>
      </c>
    </row>
    <row r="20" spans="1:6" x14ac:dyDescent="0.25">
      <c r="A20" t="s">
        <v>1</v>
      </c>
      <c r="B20" t="s">
        <v>549</v>
      </c>
      <c r="C20" t="s">
        <v>22</v>
      </c>
      <c r="D20" t="s">
        <v>110</v>
      </c>
      <c r="E20" t="s">
        <v>290</v>
      </c>
      <c r="F20" t="s">
        <v>548</v>
      </c>
    </row>
    <row r="21" spans="1:6" x14ac:dyDescent="0.25">
      <c r="A21" t="s">
        <v>1</v>
      </c>
      <c r="B21" t="s">
        <v>549</v>
      </c>
      <c r="C21" t="s">
        <v>23</v>
      </c>
      <c r="D21" t="s">
        <v>111</v>
      </c>
      <c r="E21" t="s">
        <v>290</v>
      </c>
      <c r="F21" t="s">
        <v>548</v>
      </c>
    </row>
    <row r="22" spans="1:6" x14ac:dyDescent="0.25">
      <c r="A22" t="s">
        <v>1</v>
      </c>
      <c r="B22" t="s">
        <v>549</v>
      </c>
      <c r="C22" t="s">
        <v>24</v>
      </c>
      <c r="D22" t="s">
        <v>112</v>
      </c>
      <c r="E22" t="s">
        <v>290</v>
      </c>
      <c r="F22" t="s">
        <v>548</v>
      </c>
    </row>
    <row r="23" spans="1:6" x14ac:dyDescent="0.25">
      <c r="A23" t="s">
        <v>1</v>
      </c>
      <c r="B23" t="s">
        <v>549</v>
      </c>
      <c r="C23" t="s">
        <v>25</v>
      </c>
      <c r="D23" t="s">
        <v>113</v>
      </c>
      <c r="E23" t="s">
        <v>291</v>
      </c>
      <c r="F23" t="s">
        <v>548</v>
      </c>
    </row>
    <row r="24" spans="1:6" x14ac:dyDescent="0.25">
      <c r="A24" t="s">
        <v>1</v>
      </c>
      <c r="B24" t="s">
        <v>549</v>
      </c>
      <c r="C24" t="s">
        <v>26</v>
      </c>
      <c r="D24" t="s">
        <v>114</v>
      </c>
      <c r="E24" t="s">
        <v>291</v>
      </c>
      <c r="F24" t="s">
        <v>548</v>
      </c>
    </row>
    <row r="25" spans="1:6" x14ac:dyDescent="0.25">
      <c r="A25" t="s">
        <v>1</v>
      </c>
      <c r="B25" t="s">
        <v>549</v>
      </c>
      <c r="C25" t="s">
        <v>27</v>
      </c>
      <c r="D25" t="s">
        <v>115</v>
      </c>
      <c r="E25" t="s">
        <v>291</v>
      </c>
      <c r="F25" t="s">
        <v>547</v>
      </c>
    </row>
    <row r="26" spans="1:6" x14ac:dyDescent="0.25">
      <c r="A26" t="s">
        <v>1</v>
      </c>
      <c r="B26" t="s">
        <v>549</v>
      </c>
      <c r="C26" t="s">
        <v>28</v>
      </c>
      <c r="D26" t="s">
        <v>116</v>
      </c>
      <c r="E26" t="s">
        <v>291</v>
      </c>
      <c r="F26" t="s">
        <v>548</v>
      </c>
    </row>
    <row r="27" spans="1:6" x14ac:dyDescent="0.25">
      <c r="A27" t="s">
        <v>1</v>
      </c>
      <c r="B27" t="s">
        <v>549</v>
      </c>
      <c r="C27" t="s">
        <v>29</v>
      </c>
      <c r="D27" t="s">
        <v>114</v>
      </c>
      <c r="E27" t="s">
        <v>291</v>
      </c>
      <c r="F27" t="s">
        <v>548</v>
      </c>
    </row>
    <row r="28" spans="1:6" x14ac:dyDescent="0.25">
      <c r="A28" t="s">
        <v>1</v>
      </c>
      <c r="B28" t="s">
        <v>549</v>
      </c>
      <c r="C28" t="s">
        <v>30</v>
      </c>
      <c r="D28" t="s">
        <v>115</v>
      </c>
      <c r="E28" t="s">
        <v>291</v>
      </c>
      <c r="F28" t="s">
        <v>547</v>
      </c>
    </row>
    <row r="29" spans="1:6" x14ac:dyDescent="0.25">
      <c r="A29" t="s">
        <v>1</v>
      </c>
      <c r="B29" t="s">
        <v>549</v>
      </c>
      <c r="C29" t="s">
        <v>31</v>
      </c>
      <c r="D29" t="s">
        <v>113</v>
      </c>
      <c r="E29" t="s">
        <v>291</v>
      </c>
      <c r="F29" t="s">
        <v>548</v>
      </c>
    </row>
    <row r="30" spans="1:6" x14ac:dyDescent="0.25">
      <c r="A30" t="s">
        <v>1</v>
      </c>
      <c r="B30" t="s">
        <v>549</v>
      </c>
      <c r="C30" t="s">
        <v>32</v>
      </c>
      <c r="D30" t="s">
        <v>117</v>
      </c>
      <c r="E30" t="s">
        <v>292</v>
      </c>
      <c r="F30" t="s">
        <v>548</v>
      </c>
    </row>
    <row r="31" spans="1:6" x14ac:dyDescent="0.25">
      <c r="A31" t="s">
        <v>1</v>
      </c>
      <c r="B31" t="s">
        <v>549</v>
      </c>
      <c r="C31" t="s">
        <v>33</v>
      </c>
      <c r="D31" t="s">
        <v>118</v>
      </c>
      <c r="E31" t="s">
        <v>292</v>
      </c>
      <c r="F31" t="s">
        <v>548</v>
      </c>
    </row>
    <row r="32" spans="1:6" x14ac:dyDescent="0.25">
      <c r="A32" t="s">
        <v>1</v>
      </c>
      <c r="B32" t="s">
        <v>549</v>
      </c>
      <c r="C32" t="s">
        <v>34</v>
      </c>
      <c r="D32" t="s">
        <v>119</v>
      </c>
      <c r="E32" t="s">
        <v>292</v>
      </c>
      <c r="F32" t="s">
        <v>548</v>
      </c>
    </row>
    <row r="33" spans="1:6" x14ac:dyDescent="0.25">
      <c r="A33" t="s">
        <v>1</v>
      </c>
      <c r="B33" t="s">
        <v>549</v>
      </c>
      <c r="C33" t="s">
        <v>35</v>
      </c>
      <c r="D33" t="s">
        <v>120</v>
      </c>
      <c r="E33" t="s">
        <v>292</v>
      </c>
      <c r="F33" t="s">
        <v>548</v>
      </c>
    </row>
    <row r="34" spans="1:6" x14ac:dyDescent="0.25">
      <c r="A34" t="s">
        <v>1</v>
      </c>
      <c r="B34" t="s">
        <v>549</v>
      </c>
      <c r="C34" t="s">
        <v>36</v>
      </c>
      <c r="D34" t="s">
        <v>117</v>
      </c>
      <c r="E34" t="s">
        <v>292</v>
      </c>
      <c r="F34" t="s">
        <v>548</v>
      </c>
    </row>
    <row r="35" spans="1:6" x14ac:dyDescent="0.25">
      <c r="A35" t="s">
        <v>1</v>
      </c>
      <c r="B35" t="s">
        <v>549</v>
      </c>
      <c r="C35" t="s">
        <v>37</v>
      </c>
      <c r="D35" t="s">
        <v>118</v>
      </c>
      <c r="E35" t="s">
        <v>292</v>
      </c>
      <c r="F35" t="s">
        <v>548</v>
      </c>
    </row>
    <row r="36" spans="1:6" x14ac:dyDescent="0.25">
      <c r="A36" t="s">
        <v>1</v>
      </c>
      <c r="B36" t="s">
        <v>549</v>
      </c>
      <c r="C36" t="s">
        <v>38</v>
      </c>
      <c r="D36" t="s">
        <v>119</v>
      </c>
      <c r="E36" t="s">
        <v>292</v>
      </c>
      <c r="F36" t="s">
        <v>548</v>
      </c>
    </row>
    <row r="37" spans="1:6" x14ac:dyDescent="0.25">
      <c r="A37" t="s">
        <v>1</v>
      </c>
      <c r="B37" t="s">
        <v>549</v>
      </c>
      <c r="C37" t="s">
        <v>39</v>
      </c>
      <c r="D37" t="s">
        <v>111</v>
      </c>
      <c r="E37" t="s">
        <v>286</v>
      </c>
      <c r="F37" t="s">
        <v>548</v>
      </c>
    </row>
    <row r="38" spans="1:6" x14ac:dyDescent="0.25">
      <c r="A38" t="s">
        <v>1</v>
      </c>
      <c r="B38" t="s">
        <v>549</v>
      </c>
      <c r="C38" t="s">
        <v>40</v>
      </c>
      <c r="D38" t="s">
        <v>121</v>
      </c>
      <c r="E38" t="s">
        <v>286</v>
      </c>
      <c r="F38" t="s">
        <v>547</v>
      </c>
    </row>
    <row r="39" spans="1:6" x14ac:dyDescent="0.25">
      <c r="A39" t="s">
        <v>1</v>
      </c>
      <c r="B39" t="s">
        <v>549</v>
      </c>
      <c r="C39" t="s">
        <v>41</v>
      </c>
      <c r="D39" t="s">
        <v>122</v>
      </c>
      <c r="E39" t="s">
        <v>286</v>
      </c>
      <c r="F39" t="s">
        <v>548</v>
      </c>
    </row>
    <row r="40" spans="1:6" x14ac:dyDescent="0.25">
      <c r="A40" t="s">
        <v>1</v>
      </c>
      <c r="B40" t="s">
        <v>549</v>
      </c>
      <c r="C40" t="s">
        <v>42</v>
      </c>
      <c r="D40" t="s">
        <v>123</v>
      </c>
      <c r="E40" t="s">
        <v>286</v>
      </c>
      <c r="F40" t="s">
        <v>547</v>
      </c>
    </row>
    <row r="41" spans="1:6" x14ac:dyDescent="0.25">
      <c r="A41" t="s">
        <v>1</v>
      </c>
      <c r="B41" t="s">
        <v>549</v>
      </c>
      <c r="C41" t="s">
        <v>43</v>
      </c>
      <c r="D41" t="s">
        <v>110</v>
      </c>
      <c r="E41" t="s">
        <v>287</v>
      </c>
      <c r="F41" t="s">
        <v>548</v>
      </c>
    </row>
    <row r="42" spans="1:6" x14ac:dyDescent="0.25">
      <c r="A42" t="s">
        <v>1</v>
      </c>
      <c r="B42" t="s">
        <v>549</v>
      </c>
      <c r="C42" t="s">
        <v>44</v>
      </c>
      <c r="D42" t="s">
        <v>106</v>
      </c>
      <c r="E42" t="s">
        <v>287</v>
      </c>
      <c r="F42" t="s">
        <v>547</v>
      </c>
    </row>
    <row r="43" spans="1:6" x14ac:dyDescent="0.25">
      <c r="A43" t="s">
        <v>1</v>
      </c>
      <c r="B43" t="s">
        <v>549</v>
      </c>
      <c r="C43" t="s">
        <v>45</v>
      </c>
      <c r="D43" t="s">
        <v>124</v>
      </c>
      <c r="E43" t="s">
        <v>287</v>
      </c>
      <c r="F43" t="s">
        <v>548</v>
      </c>
    </row>
    <row r="44" spans="1:6" x14ac:dyDescent="0.25">
      <c r="A44" t="s">
        <v>1</v>
      </c>
      <c r="B44" t="s">
        <v>549</v>
      </c>
      <c r="C44" t="s">
        <v>46</v>
      </c>
      <c r="D44" t="s">
        <v>110</v>
      </c>
      <c r="E44" t="s">
        <v>287</v>
      </c>
      <c r="F44" t="s">
        <v>548</v>
      </c>
    </row>
    <row r="45" spans="1:6" x14ac:dyDescent="0.25">
      <c r="A45" t="s">
        <v>1</v>
      </c>
      <c r="B45" t="s">
        <v>549</v>
      </c>
      <c r="C45" t="s">
        <v>47</v>
      </c>
      <c r="D45" t="s">
        <v>106</v>
      </c>
      <c r="E45" t="s">
        <v>287</v>
      </c>
      <c r="F45" t="s">
        <v>547</v>
      </c>
    </row>
    <row r="46" spans="1:6" x14ac:dyDescent="0.25">
      <c r="A46" t="s">
        <v>1</v>
      </c>
      <c r="B46" t="s">
        <v>549</v>
      </c>
      <c r="C46" t="s">
        <v>48</v>
      </c>
      <c r="D46" t="s">
        <v>124</v>
      </c>
      <c r="E46" t="s">
        <v>287</v>
      </c>
      <c r="F46" t="s">
        <v>548</v>
      </c>
    </row>
    <row r="47" spans="1:6" x14ac:dyDescent="0.25">
      <c r="A47" t="s">
        <v>1</v>
      </c>
      <c r="B47" t="s">
        <v>549</v>
      </c>
      <c r="C47" t="s">
        <v>49</v>
      </c>
      <c r="D47" t="s">
        <v>110</v>
      </c>
      <c r="E47" t="s">
        <v>288</v>
      </c>
      <c r="F47" t="s">
        <v>548</v>
      </c>
    </row>
    <row r="48" spans="1:6" x14ac:dyDescent="0.25">
      <c r="A48" t="s">
        <v>1</v>
      </c>
      <c r="B48" t="s">
        <v>549</v>
      </c>
      <c r="C48" t="s">
        <v>50</v>
      </c>
      <c r="D48" t="s">
        <v>111</v>
      </c>
      <c r="E48" t="s">
        <v>288</v>
      </c>
      <c r="F48" t="s">
        <v>548</v>
      </c>
    </row>
    <row r="49" spans="1:6" x14ac:dyDescent="0.25">
      <c r="A49" t="s">
        <v>1</v>
      </c>
      <c r="B49" t="s">
        <v>549</v>
      </c>
      <c r="C49" t="s">
        <v>51</v>
      </c>
      <c r="D49" t="s">
        <v>123</v>
      </c>
      <c r="E49" t="s">
        <v>288</v>
      </c>
      <c r="F49" t="s">
        <v>547</v>
      </c>
    </row>
    <row r="50" spans="1:6" x14ac:dyDescent="0.25">
      <c r="A50" t="s">
        <v>1</v>
      </c>
      <c r="B50" t="s">
        <v>549</v>
      </c>
      <c r="C50" t="s">
        <v>52</v>
      </c>
      <c r="D50" t="s">
        <v>121</v>
      </c>
      <c r="E50" t="s">
        <v>288</v>
      </c>
      <c r="F50" t="s">
        <v>547</v>
      </c>
    </row>
    <row r="51" spans="1:6" x14ac:dyDescent="0.25">
      <c r="A51" t="s">
        <v>1</v>
      </c>
      <c r="B51" t="s">
        <v>549</v>
      </c>
      <c r="C51" t="s">
        <v>53</v>
      </c>
      <c r="D51" t="s">
        <v>125</v>
      </c>
      <c r="E51" t="s">
        <v>293</v>
      </c>
      <c r="F51" t="s">
        <v>548</v>
      </c>
    </row>
    <row r="52" spans="1:6" x14ac:dyDescent="0.25">
      <c r="A52" t="s">
        <v>1</v>
      </c>
      <c r="B52" t="s">
        <v>549</v>
      </c>
      <c r="C52" t="s">
        <v>54</v>
      </c>
      <c r="D52" t="s">
        <v>126</v>
      </c>
      <c r="E52" t="s">
        <v>293</v>
      </c>
      <c r="F52" t="s">
        <v>548</v>
      </c>
    </row>
    <row r="53" spans="1:6" x14ac:dyDescent="0.25">
      <c r="A53" t="s">
        <v>1</v>
      </c>
      <c r="B53" t="s">
        <v>549</v>
      </c>
      <c r="C53" t="s">
        <v>55</v>
      </c>
      <c r="D53" t="s">
        <v>127</v>
      </c>
      <c r="E53" t="s">
        <v>293</v>
      </c>
      <c r="F53" t="s">
        <v>548</v>
      </c>
    </row>
    <row r="54" spans="1:6" x14ac:dyDescent="0.25">
      <c r="A54" t="s">
        <v>1</v>
      </c>
      <c r="B54" t="s">
        <v>549</v>
      </c>
      <c r="C54" t="s">
        <v>56</v>
      </c>
      <c r="D54" t="s">
        <v>128</v>
      </c>
      <c r="E54" t="s">
        <v>293</v>
      </c>
      <c r="F54" t="s">
        <v>548</v>
      </c>
    </row>
    <row r="55" spans="1:6" x14ac:dyDescent="0.25">
      <c r="A55" t="s">
        <v>1</v>
      </c>
      <c r="B55" t="s">
        <v>549</v>
      </c>
      <c r="C55" t="s">
        <v>57</v>
      </c>
      <c r="D55" t="s">
        <v>129</v>
      </c>
      <c r="E55" t="s">
        <v>293</v>
      </c>
      <c r="F55" t="s">
        <v>548</v>
      </c>
    </row>
    <row r="56" spans="1:6" x14ac:dyDescent="0.25">
      <c r="A56" t="s">
        <v>1</v>
      </c>
      <c r="B56" t="s">
        <v>549</v>
      </c>
      <c r="C56" t="s">
        <v>58</v>
      </c>
      <c r="D56" t="s">
        <v>130</v>
      </c>
      <c r="E56" t="s">
        <v>293</v>
      </c>
      <c r="F56" t="s">
        <v>547</v>
      </c>
    </row>
    <row r="57" spans="1:6" x14ac:dyDescent="0.25">
      <c r="A57" t="s">
        <v>1</v>
      </c>
      <c r="B57" t="s">
        <v>549</v>
      </c>
      <c r="C57" t="s">
        <v>59</v>
      </c>
      <c r="D57" t="s">
        <v>131</v>
      </c>
      <c r="E57" t="s">
        <v>293</v>
      </c>
      <c r="F57" t="s">
        <v>548</v>
      </c>
    </row>
    <row r="58" spans="1:6" x14ac:dyDescent="0.25">
      <c r="A58" t="s">
        <v>1</v>
      </c>
      <c r="B58" t="s">
        <v>1425</v>
      </c>
      <c r="C58" t="s">
        <v>60</v>
      </c>
      <c r="D58" t="s">
        <v>132</v>
      </c>
      <c r="E58" t="s">
        <v>294</v>
      </c>
      <c r="F58" t="s">
        <v>548</v>
      </c>
    </row>
    <row r="59" spans="1:6" x14ac:dyDescent="0.25">
      <c r="A59" t="s">
        <v>1</v>
      </c>
      <c r="B59" t="s">
        <v>1425</v>
      </c>
      <c r="C59" t="s">
        <v>60</v>
      </c>
      <c r="D59" t="s">
        <v>133</v>
      </c>
      <c r="E59" t="s">
        <v>295</v>
      </c>
      <c r="F59" t="s">
        <v>547</v>
      </c>
    </row>
    <row r="60" spans="1:6" x14ac:dyDescent="0.25">
      <c r="A60" t="s">
        <v>1</v>
      </c>
      <c r="B60" t="s">
        <v>1425</v>
      </c>
      <c r="C60" t="s">
        <v>60</v>
      </c>
      <c r="D60" t="s">
        <v>134</v>
      </c>
      <c r="E60" t="s">
        <v>296</v>
      </c>
      <c r="F60" t="s">
        <v>548</v>
      </c>
    </row>
    <row r="61" spans="1:6" x14ac:dyDescent="0.25">
      <c r="A61" t="s">
        <v>1</v>
      </c>
      <c r="B61" t="s">
        <v>1425</v>
      </c>
      <c r="C61" t="s">
        <v>60</v>
      </c>
      <c r="D61" t="s">
        <v>135</v>
      </c>
      <c r="E61" t="s">
        <v>297</v>
      </c>
      <c r="F61" t="s">
        <v>547</v>
      </c>
    </row>
    <row r="62" spans="1:6" x14ac:dyDescent="0.25">
      <c r="A62" t="s">
        <v>1</v>
      </c>
      <c r="B62" t="s">
        <v>1425</v>
      </c>
      <c r="C62" t="s">
        <v>60</v>
      </c>
      <c r="D62" t="s">
        <v>136</v>
      </c>
      <c r="E62" t="s">
        <v>298</v>
      </c>
      <c r="F62" t="s">
        <v>548</v>
      </c>
    </row>
    <row r="63" spans="1:6" x14ac:dyDescent="0.25">
      <c r="A63" t="s">
        <v>1</v>
      </c>
      <c r="B63" t="s">
        <v>1425</v>
      </c>
      <c r="C63" t="s">
        <v>60</v>
      </c>
      <c r="D63" t="s">
        <v>114</v>
      </c>
      <c r="E63" t="s">
        <v>299</v>
      </c>
      <c r="F63" t="s">
        <v>548</v>
      </c>
    </row>
    <row r="64" spans="1:6" x14ac:dyDescent="0.25">
      <c r="A64" t="s">
        <v>1</v>
      </c>
      <c r="B64" t="s">
        <v>1425</v>
      </c>
      <c r="C64" t="s">
        <v>60</v>
      </c>
      <c r="D64" t="s">
        <v>137</v>
      </c>
      <c r="E64" t="s">
        <v>300</v>
      </c>
      <c r="F64" t="s">
        <v>547</v>
      </c>
    </row>
    <row r="65" spans="1:6" x14ac:dyDescent="0.25">
      <c r="A65" t="s">
        <v>1</v>
      </c>
      <c r="B65" t="s">
        <v>1425</v>
      </c>
      <c r="C65" t="s">
        <v>61</v>
      </c>
      <c r="D65" t="s">
        <v>133</v>
      </c>
      <c r="E65" t="s">
        <v>301</v>
      </c>
      <c r="F65" t="s">
        <v>547</v>
      </c>
    </row>
    <row r="66" spans="1:6" x14ac:dyDescent="0.25">
      <c r="A66" t="s">
        <v>1</v>
      </c>
      <c r="B66" t="s">
        <v>1425</v>
      </c>
      <c r="C66" t="s">
        <v>61</v>
      </c>
      <c r="D66" t="s">
        <v>138</v>
      </c>
      <c r="E66" t="s">
        <v>302</v>
      </c>
      <c r="F66" t="s">
        <v>547</v>
      </c>
    </row>
    <row r="67" spans="1:6" x14ac:dyDescent="0.25">
      <c r="A67" t="s">
        <v>1</v>
      </c>
      <c r="B67" t="s">
        <v>1425</v>
      </c>
      <c r="C67" t="s">
        <v>61</v>
      </c>
      <c r="D67" t="s">
        <v>134</v>
      </c>
      <c r="E67" t="s">
        <v>303</v>
      </c>
      <c r="F67" t="s">
        <v>548</v>
      </c>
    </row>
    <row r="68" spans="1:6" x14ac:dyDescent="0.25">
      <c r="A68" t="s">
        <v>1</v>
      </c>
      <c r="B68" t="s">
        <v>1425</v>
      </c>
      <c r="C68" t="s">
        <v>61</v>
      </c>
      <c r="D68" t="s">
        <v>139</v>
      </c>
      <c r="E68" t="s">
        <v>304</v>
      </c>
      <c r="F68" t="s">
        <v>548</v>
      </c>
    </row>
    <row r="69" spans="1:6" x14ac:dyDescent="0.25">
      <c r="A69" t="s">
        <v>1</v>
      </c>
      <c r="B69" t="s">
        <v>1425</v>
      </c>
      <c r="C69" t="s">
        <v>61</v>
      </c>
      <c r="D69" t="s">
        <v>137</v>
      </c>
      <c r="E69" t="s">
        <v>305</v>
      </c>
      <c r="F69" t="s">
        <v>547</v>
      </c>
    </row>
    <row r="70" spans="1:6" x14ac:dyDescent="0.25">
      <c r="A70" t="s">
        <v>1</v>
      </c>
      <c r="B70" t="s">
        <v>1425</v>
      </c>
      <c r="C70" t="s">
        <v>61</v>
      </c>
      <c r="D70" t="s">
        <v>140</v>
      </c>
      <c r="E70" t="s">
        <v>306</v>
      </c>
      <c r="F70" t="s">
        <v>548</v>
      </c>
    </row>
    <row r="71" spans="1:6" x14ac:dyDescent="0.25">
      <c r="A71" t="s">
        <v>1</v>
      </c>
      <c r="B71" t="s">
        <v>1425</v>
      </c>
      <c r="C71" t="s">
        <v>62</v>
      </c>
      <c r="D71" t="s">
        <v>141</v>
      </c>
      <c r="E71" t="s">
        <v>307</v>
      </c>
      <c r="F71" t="s">
        <v>547</v>
      </c>
    </row>
    <row r="72" spans="1:6" x14ac:dyDescent="0.25">
      <c r="A72" t="s">
        <v>1</v>
      </c>
      <c r="B72" t="s">
        <v>1425</v>
      </c>
      <c r="C72" t="s">
        <v>62</v>
      </c>
      <c r="D72" t="s">
        <v>142</v>
      </c>
      <c r="E72" t="s">
        <v>308</v>
      </c>
      <c r="F72" t="s">
        <v>547</v>
      </c>
    </row>
    <row r="73" spans="1:6" x14ac:dyDescent="0.25">
      <c r="A73" t="s">
        <v>1</v>
      </c>
      <c r="B73" t="s">
        <v>1425</v>
      </c>
      <c r="C73" t="s">
        <v>62</v>
      </c>
      <c r="D73" t="s">
        <v>138</v>
      </c>
      <c r="E73" t="s">
        <v>309</v>
      </c>
      <c r="F73" t="s">
        <v>547</v>
      </c>
    </row>
    <row r="74" spans="1:6" x14ac:dyDescent="0.25">
      <c r="A74" t="s">
        <v>1</v>
      </c>
      <c r="B74" t="s">
        <v>1425</v>
      </c>
      <c r="C74" t="s">
        <v>62</v>
      </c>
      <c r="D74" t="s">
        <v>135</v>
      </c>
      <c r="E74" t="s">
        <v>310</v>
      </c>
      <c r="F74" t="s">
        <v>547</v>
      </c>
    </row>
    <row r="75" spans="1:6" x14ac:dyDescent="0.25">
      <c r="A75" t="s">
        <v>1</v>
      </c>
      <c r="B75" t="s">
        <v>1425</v>
      </c>
      <c r="C75" t="s">
        <v>62</v>
      </c>
      <c r="D75" t="s">
        <v>137</v>
      </c>
      <c r="E75" t="s">
        <v>311</v>
      </c>
      <c r="F75" t="s">
        <v>547</v>
      </c>
    </row>
    <row r="76" spans="1:6" x14ac:dyDescent="0.25">
      <c r="A76" t="s">
        <v>1</v>
      </c>
      <c r="B76" t="s">
        <v>1425</v>
      </c>
      <c r="C76" t="s">
        <v>62</v>
      </c>
      <c r="D76" t="s">
        <v>143</v>
      </c>
      <c r="E76" t="s">
        <v>312</v>
      </c>
      <c r="F76" t="s">
        <v>548</v>
      </c>
    </row>
    <row r="77" spans="1:6" x14ac:dyDescent="0.25">
      <c r="A77" t="s">
        <v>1</v>
      </c>
      <c r="B77" t="s">
        <v>1425</v>
      </c>
      <c r="C77" t="s">
        <v>63</v>
      </c>
      <c r="D77" t="s">
        <v>144</v>
      </c>
      <c r="E77" t="s">
        <v>313</v>
      </c>
      <c r="F77" t="s">
        <v>547</v>
      </c>
    </row>
    <row r="78" spans="1:6" x14ac:dyDescent="0.25">
      <c r="A78" t="s">
        <v>1</v>
      </c>
      <c r="B78" t="s">
        <v>1425</v>
      </c>
      <c r="C78" t="s">
        <v>63</v>
      </c>
      <c r="D78" t="s">
        <v>138</v>
      </c>
      <c r="E78" t="s">
        <v>314</v>
      </c>
      <c r="F78" t="s">
        <v>547</v>
      </c>
    </row>
    <row r="79" spans="1:6" x14ac:dyDescent="0.25">
      <c r="A79" t="s">
        <v>1</v>
      </c>
      <c r="B79" t="s">
        <v>1425</v>
      </c>
      <c r="C79" t="s">
        <v>63</v>
      </c>
      <c r="D79" t="s">
        <v>114</v>
      </c>
      <c r="E79" t="s">
        <v>315</v>
      </c>
      <c r="F79" t="s">
        <v>548</v>
      </c>
    </row>
    <row r="80" spans="1:6" x14ac:dyDescent="0.25">
      <c r="A80" t="s">
        <v>1</v>
      </c>
      <c r="B80" t="s">
        <v>1425</v>
      </c>
      <c r="C80" t="s">
        <v>63</v>
      </c>
      <c r="D80" t="s">
        <v>145</v>
      </c>
      <c r="E80" t="s">
        <v>316</v>
      </c>
      <c r="F80" t="s">
        <v>548</v>
      </c>
    </row>
    <row r="81" spans="1:6" x14ac:dyDescent="0.25">
      <c r="A81" t="s">
        <v>1</v>
      </c>
      <c r="B81" t="s">
        <v>1425</v>
      </c>
      <c r="C81" t="s">
        <v>63</v>
      </c>
      <c r="D81" t="s">
        <v>143</v>
      </c>
      <c r="E81" t="s">
        <v>317</v>
      </c>
      <c r="F81" t="s">
        <v>548</v>
      </c>
    </row>
    <row r="82" spans="1:6" x14ac:dyDescent="0.25">
      <c r="A82" t="s">
        <v>1</v>
      </c>
      <c r="B82" t="s">
        <v>1425</v>
      </c>
      <c r="C82" t="s">
        <v>63</v>
      </c>
      <c r="D82" t="s">
        <v>140</v>
      </c>
      <c r="E82" t="s">
        <v>318</v>
      </c>
      <c r="F82" t="s">
        <v>548</v>
      </c>
    </row>
    <row r="83" spans="1:6" x14ac:dyDescent="0.25">
      <c r="A83" t="s">
        <v>1</v>
      </c>
      <c r="B83" t="s">
        <v>1426</v>
      </c>
      <c r="C83" t="s">
        <v>64</v>
      </c>
      <c r="D83" t="s">
        <v>146</v>
      </c>
      <c r="E83" t="s">
        <v>319</v>
      </c>
      <c r="F83" t="s">
        <v>548</v>
      </c>
    </row>
    <row r="84" spans="1:6" x14ac:dyDescent="0.25">
      <c r="A84" t="s">
        <v>1</v>
      </c>
      <c r="B84" t="s">
        <v>1426</v>
      </c>
      <c r="C84" t="s">
        <v>64</v>
      </c>
      <c r="D84" t="s">
        <v>147</v>
      </c>
      <c r="E84" t="s">
        <v>320</v>
      </c>
      <c r="F84" t="s">
        <v>547</v>
      </c>
    </row>
    <row r="85" spans="1:6" x14ac:dyDescent="0.25">
      <c r="A85" t="s">
        <v>1</v>
      </c>
      <c r="B85" t="s">
        <v>1426</v>
      </c>
      <c r="C85" t="s">
        <v>64</v>
      </c>
      <c r="D85" t="s">
        <v>148</v>
      </c>
      <c r="E85" t="s">
        <v>321</v>
      </c>
      <c r="F85" t="s">
        <v>547</v>
      </c>
    </row>
    <row r="86" spans="1:6" x14ac:dyDescent="0.25">
      <c r="A86" t="s">
        <v>1</v>
      </c>
      <c r="B86" t="s">
        <v>1426</v>
      </c>
      <c r="C86" t="s">
        <v>64</v>
      </c>
      <c r="D86" t="s">
        <v>149</v>
      </c>
      <c r="E86" t="s">
        <v>322</v>
      </c>
      <c r="F86" t="s">
        <v>548</v>
      </c>
    </row>
    <row r="87" spans="1:6" x14ac:dyDescent="0.25">
      <c r="A87" t="s">
        <v>1</v>
      </c>
      <c r="B87" t="s">
        <v>1426</v>
      </c>
      <c r="C87" t="s">
        <v>64</v>
      </c>
      <c r="D87" t="s">
        <v>150</v>
      </c>
      <c r="E87" t="s">
        <v>323</v>
      </c>
      <c r="F87" t="s">
        <v>547</v>
      </c>
    </row>
    <row r="88" spans="1:6" x14ac:dyDescent="0.25">
      <c r="A88" t="s">
        <v>1</v>
      </c>
      <c r="B88" t="s">
        <v>1426</v>
      </c>
      <c r="C88" t="s">
        <v>64</v>
      </c>
      <c r="D88" t="s">
        <v>151</v>
      </c>
      <c r="E88" t="s">
        <v>324</v>
      </c>
      <c r="F88" t="s">
        <v>548</v>
      </c>
    </row>
    <row r="89" spans="1:6" x14ac:dyDescent="0.25">
      <c r="A89" t="s">
        <v>1</v>
      </c>
      <c r="B89" t="s">
        <v>1426</v>
      </c>
      <c r="C89" t="s">
        <v>64</v>
      </c>
      <c r="D89" t="s">
        <v>152</v>
      </c>
      <c r="E89" t="s">
        <v>325</v>
      </c>
      <c r="F89" t="s">
        <v>548</v>
      </c>
    </row>
    <row r="90" spans="1:6" x14ac:dyDescent="0.25">
      <c r="A90" t="s">
        <v>1</v>
      </c>
      <c r="B90" t="s">
        <v>1426</v>
      </c>
      <c r="C90" t="s">
        <v>64</v>
      </c>
      <c r="D90" t="s">
        <v>153</v>
      </c>
      <c r="E90" t="s">
        <v>326</v>
      </c>
      <c r="F90" t="s">
        <v>548</v>
      </c>
    </row>
    <row r="91" spans="1:6" x14ac:dyDescent="0.25">
      <c r="A91" t="s">
        <v>1</v>
      </c>
      <c r="B91" t="s">
        <v>1426</v>
      </c>
      <c r="C91" t="s">
        <v>65</v>
      </c>
      <c r="D91" t="s">
        <v>146</v>
      </c>
      <c r="E91" t="s">
        <v>327</v>
      </c>
      <c r="F91" t="s">
        <v>548</v>
      </c>
    </row>
    <row r="92" spans="1:6" x14ac:dyDescent="0.25">
      <c r="A92" t="s">
        <v>1</v>
      </c>
      <c r="B92" t="s">
        <v>1426</v>
      </c>
      <c r="C92" t="s">
        <v>65</v>
      </c>
      <c r="D92" t="s">
        <v>154</v>
      </c>
      <c r="E92" t="s">
        <v>328</v>
      </c>
      <c r="F92" t="s">
        <v>547</v>
      </c>
    </row>
    <row r="93" spans="1:6" x14ac:dyDescent="0.25">
      <c r="A93" t="s">
        <v>1</v>
      </c>
      <c r="B93" t="s">
        <v>1426</v>
      </c>
      <c r="C93" t="s">
        <v>65</v>
      </c>
      <c r="D93" t="s">
        <v>155</v>
      </c>
      <c r="E93" t="s">
        <v>329</v>
      </c>
      <c r="F93" t="s">
        <v>547</v>
      </c>
    </row>
    <row r="94" spans="1:6" x14ac:dyDescent="0.25">
      <c r="A94" t="s">
        <v>1</v>
      </c>
      <c r="B94" t="s">
        <v>1426</v>
      </c>
      <c r="C94" t="s">
        <v>65</v>
      </c>
      <c r="D94" t="s">
        <v>156</v>
      </c>
      <c r="E94" t="s">
        <v>330</v>
      </c>
      <c r="F94" t="s">
        <v>547</v>
      </c>
    </row>
    <row r="95" spans="1:6" x14ac:dyDescent="0.25">
      <c r="A95" t="s">
        <v>1</v>
      </c>
      <c r="B95" t="s">
        <v>1426</v>
      </c>
      <c r="C95" t="s">
        <v>65</v>
      </c>
      <c r="D95" t="s">
        <v>157</v>
      </c>
      <c r="E95" t="s">
        <v>331</v>
      </c>
      <c r="F95" t="s">
        <v>547</v>
      </c>
    </row>
    <row r="96" spans="1:6" x14ac:dyDescent="0.25">
      <c r="A96" t="s">
        <v>1</v>
      </c>
      <c r="B96" t="s">
        <v>1426</v>
      </c>
      <c r="C96" t="s">
        <v>65</v>
      </c>
      <c r="D96" t="s">
        <v>158</v>
      </c>
      <c r="E96" t="s">
        <v>332</v>
      </c>
      <c r="F96" t="s">
        <v>548</v>
      </c>
    </row>
    <row r="97" spans="1:6" x14ac:dyDescent="0.25">
      <c r="A97" t="s">
        <v>1</v>
      </c>
      <c r="B97" t="s">
        <v>1426</v>
      </c>
      <c r="C97" t="s">
        <v>65</v>
      </c>
      <c r="D97" t="s">
        <v>149</v>
      </c>
      <c r="E97" t="s">
        <v>333</v>
      </c>
      <c r="F97" t="s">
        <v>548</v>
      </c>
    </row>
    <row r="98" spans="1:6" x14ac:dyDescent="0.25">
      <c r="A98" t="s">
        <v>1</v>
      </c>
      <c r="B98" t="s">
        <v>1426</v>
      </c>
      <c r="C98" t="s">
        <v>65</v>
      </c>
      <c r="D98" t="s">
        <v>159</v>
      </c>
      <c r="E98" t="s">
        <v>334</v>
      </c>
      <c r="F98" t="s">
        <v>548</v>
      </c>
    </row>
    <row r="99" spans="1:6" x14ac:dyDescent="0.25">
      <c r="A99" t="s">
        <v>1</v>
      </c>
      <c r="B99" t="s">
        <v>1426</v>
      </c>
      <c r="C99" t="s">
        <v>66</v>
      </c>
      <c r="D99" t="s">
        <v>155</v>
      </c>
      <c r="E99" t="s">
        <v>335</v>
      </c>
      <c r="F99" t="s">
        <v>547</v>
      </c>
    </row>
    <row r="100" spans="1:6" x14ac:dyDescent="0.25">
      <c r="A100" t="s">
        <v>1</v>
      </c>
      <c r="B100" t="s">
        <v>1426</v>
      </c>
      <c r="C100" t="s">
        <v>66</v>
      </c>
      <c r="D100" t="s">
        <v>160</v>
      </c>
      <c r="E100" t="s">
        <v>336</v>
      </c>
      <c r="F100" t="s">
        <v>547</v>
      </c>
    </row>
    <row r="101" spans="1:6" x14ac:dyDescent="0.25">
      <c r="A101" t="s">
        <v>1</v>
      </c>
      <c r="B101" t="s">
        <v>1426</v>
      </c>
      <c r="C101" t="s">
        <v>66</v>
      </c>
      <c r="D101" t="s">
        <v>161</v>
      </c>
      <c r="E101" t="s">
        <v>337</v>
      </c>
      <c r="F101" t="s">
        <v>548</v>
      </c>
    </row>
    <row r="102" spans="1:6" x14ac:dyDescent="0.25">
      <c r="A102" t="s">
        <v>1</v>
      </c>
      <c r="B102" t="s">
        <v>1426</v>
      </c>
      <c r="C102" t="s">
        <v>66</v>
      </c>
      <c r="D102" t="s">
        <v>148</v>
      </c>
      <c r="E102" t="s">
        <v>338</v>
      </c>
      <c r="F102" t="s">
        <v>547</v>
      </c>
    </row>
    <row r="103" spans="1:6" x14ac:dyDescent="0.25">
      <c r="A103" t="s">
        <v>1</v>
      </c>
      <c r="B103" t="s">
        <v>1426</v>
      </c>
      <c r="C103" t="s">
        <v>66</v>
      </c>
      <c r="D103" t="s">
        <v>158</v>
      </c>
      <c r="E103" t="s">
        <v>339</v>
      </c>
      <c r="F103" t="s">
        <v>548</v>
      </c>
    </row>
    <row r="104" spans="1:6" x14ac:dyDescent="0.25">
      <c r="A104" t="s">
        <v>1</v>
      </c>
      <c r="B104" t="s">
        <v>1426</v>
      </c>
      <c r="C104" t="s">
        <v>66</v>
      </c>
      <c r="D104" t="s">
        <v>162</v>
      </c>
      <c r="E104" t="s">
        <v>340</v>
      </c>
      <c r="F104" t="s">
        <v>547</v>
      </c>
    </row>
    <row r="105" spans="1:6" x14ac:dyDescent="0.25">
      <c r="A105" t="s">
        <v>1</v>
      </c>
      <c r="B105" t="s">
        <v>1426</v>
      </c>
      <c r="C105" t="s">
        <v>67</v>
      </c>
      <c r="D105" t="s">
        <v>154</v>
      </c>
      <c r="E105" t="s">
        <v>341</v>
      </c>
      <c r="F105" t="s">
        <v>547</v>
      </c>
    </row>
    <row r="106" spans="1:6" x14ac:dyDescent="0.25">
      <c r="A106" t="s">
        <v>1</v>
      </c>
      <c r="B106" t="s">
        <v>1426</v>
      </c>
      <c r="C106" t="s">
        <v>67</v>
      </c>
      <c r="D106" t="s">
        <v>156</v>
      </c>
      <c r="E106" t="s">
        <v>342</v>
      </c>
      <c r="F106" t="s">
        <v>547</v>
      </c>
    </row>
    <row r="107" spans="1:6" x14ac:dyDescent="0.25">
      <c r="A107" t="s">
        <v>1</v>
      </c>
      <c r="B107" t="s">
        <v>1426</v>
      </c>
      <c r="C107" t="s">
        <v>67</v>
      </c>
      <c r="D107" t="s">
        <v>148</v>
      </c>
      <c r="E107" t="s">
        <v>343</v>
      </c>
      <c r="F107" t="s">
        <v>547</v>
      </c>
    </row>
    <row r="108" spans="1:6" x14ac:dyDescent="0.25">
      <c r="A108" t="s">
        <v>1</v>
      </c>
      <c r="B108" t="s">
        <v>1426</v>
      </c>
      <c r="C108" t="s">
        <v>67</v>
      </c>
      <c r="D108" t="s">
        <v>158</v>
      </c>
      <c r="E108" t="s">
        <v>344</v>
      </c>
      <c r="F108" t="s">
        <v>548</v>
      </c>
    </row>
    <row r="109" spans="1:6" x14ac:dyDescent="0.25">
      <c r="A109" t="s">
        <v>1</v>
      </c>
      <c r="B109" t="s">
        <v>1426</v>
      </c>
      <c r="C109" t="s">
        <v>67</v>
      </c>
      <c r="D109" t="s">
        <v>150</v>
      </c>
      <c r="E109" t="s">
        <v>345</v>
      </c>
      <c r="F109" t="s">
        <v>547</v>
      </c>
    </row>
    <row r="110" spans="1:6" x14ac:dyDescent="0.25">
      <c r="A110" t="s">
        <v>1</v>
      </c>
      <c r="B110" t="s">
        <v>1426</v>
      </c>
      <c r="C110" t="s">
        <v>67</v>
      </c>
      <c r="D110" t="s">
        <v>163</v>
      </c>
      <c r="E110" t="s">
        <v>346</v>
      </c>
      <c r="F110" t="s">
        <v>547</v>
      </c>
    </row>
    <row r="111" spans="1:6" x14ac:dyDescent="0.25">
      <c r="A111" t="s">
        <v>1</v>
      </c>
      <c r="B111" t="s">
        <v>1426</v>
      </c>
      <c r="C111" t="s">
        <v>67</v>
      </c>
      <c r="D111" t="s">
        <v>159</v>
      </c>
      <c r="E111" t="s">
        <v>347</v>
      </c>
      <c r="F111" t="s">
        <v>548</v>
      </c>
    </row>
    <row r="112" spans="1:6" x14ac:dyDescent="0.25">
      <c r="A112" t="s">
        <v>1</v>
      </c>
      <c r="B112" t="s">
        <v>1427</v>
      </c>
      <c r="C112" t="s">
        <v>68</v>
      </c>
      <c r="D112" t="s">
        <v>164</v>
      </c>
      <c r="E112" t="s">
        <v>348</v>
      </c>
      <c r="F112" t="s">
        <v>548</v>
      </c>
    </row>
    <row r="113" spans="1:6" x14ac:dyDescent="0.25">
      <c r="A113" t="s">
        <v>1</v>
      </c>
      <c r="B113" t="s">
        <v>1427</v>
      </c>
      <c r="C113" t="s">
        <v>68</v>
      </c>
      <c r="D113" t="s">
        <v>165</v>
      </c>
      <c r="E113" t="s">
        <v>349</v>
      </c>
      <c r="F113" t="s">
        <v>547</v>
      </c>
    </row>
    <row r="114" spans="1:6" x14ac:dyDescent="0.25">
      <c r="A114" t="s">
        <v>1</v>
      </c>
      <c r="B114" t="s">
        <v>1427</v>
      </c>
      <c r="C114" t="s">
        <v>68</v>
      </c>
      <c r="D114" t="s">
        <v>166</v>
      </c>
      <c r="E114" t="s">
        <v>350</v>
      </c>
      <c r="F114" t="s">
        <v>548</v>
      </c>
    </row>
    <row r="115" spans="1:6" x14ac:dyDescent="0.25">
      <c r="A115" t="s">
        <v>1</v>
      </c>
      <c r="B115" t="s">
        <v>1427</v>
      </c>
      <c r="C115" t="s">
        <v>68</v>
      </c>
      <c r="D115" t="s">
        <v>167</v>
      </c>
      <c r="E115" t="s">
        <v>351</v>
      </c>
      <c r="F115" t="s">
        <v>547</v>
      </c>
    </row>
    <row r="116" spans="1:6" x14ac:dyDescent="0.25">
      <c r="A116" t="s">
        <v>1</v>
      </c>
      <c r="B116" t="s">
        <v>1427</v>
      </c>
      <c r="C116" t="s">
        <v>68</v>
      </c>
      <c r="D116" t="s">
        <v>168</v>
      </c>
      <c r="E116" t="s">
        <v>352</v>
      </c>
      <c r="F116" t="s">
        <v>547</v>
      </c>
    </row>
    <row r="117" spans="1:6" x14ac:dyDescent="0.25">
      <c r="A117" t="s">
        <v>1</v>
      </c>
      <c r="B117" t="s">
        <v>1427</v>
      </c>
      <c r="C117" t="s">
        <v>68</v>
      </c>
      <c r="D117" t="s">
        <v>169</v>
      </c>
      <c r="E117" t="s">
        <v>353</v>
      </c>
      <c r="F117" t="s">
        <v>547</v>
      </c>
    </row>
    <row r="118" spans="1:6" x14ac:dyDescent="0.25">
      <c r="A118" t="s">
        <v>1</v>
      </c>
      <c r="B118" t="s">
        <v>1427</v>
      </c>
      <c r="C118" t="s">
        <v>68</v>
      </c>
      <c r="D118" t="s">
        <v>170</v>
      </c>
      <c r="E118" t="s">
        <v>354</v>
      </c>
      <c r="F118" t="s">
        <v>547</v>
      </c>
    </row>
    <row r="119" spans="1:6" x14ac:dyDescent="0.25">
      <c r="A119" t="s">
        <v>1</v>
      </c>
      <c r="B119" t="s">
        <v>1427</v>
      </c>
      <c r="C119" t="s">
        <v>69</v>
      </c>
      <c r="D119" t="s">
        <v>171</v>
      </c>
      <c r="E119" t="s">
        <v>355</v>
      </c>
      <c r="F119" t="s">
        <v>547</v>
      </c>
    </row>
    <row r="120" spans="1:6" x14ac:dyDescent="0.25">
      <c r="A120" t="s">
        <v>1</v>
      </c>
      <c r="B120" t="s">
        <v>1427</v>
      </c>
      <c r="C120" t="s">
        <v>69</v>
      </c>
      <c r="D120" t="s">
        <v>164</v>
      </c>
      <c r="E120" t="s">
        <v>356</v>
      </c>
      <c r="F120" t="s">
        <v>548</v>
      </c>
    </row>
    <row r="121" spans="1:6" x14ac:dyDescent="0.25">
      <c r="A121" t="s">
        <v>1</v>
      </c>
      <c r="B121" t="s">
        <v>1427</v>
      </c>
      <c r="C121" t="s">
        <v>69</v>
      </c>
      <c r="D121" t="s">
        <v>166</v>
      </c>
      <c r="E121" t="s">
        <v>357</v>
      </c>
      <c r="F121" t="s">
        <v>548</v>
      </c>
    </row>
    <row r="122" spans="1:6" x14ac:dyDescent="0.25">
      <c r="A122" t="s">
        <v>1</v>
      </c>
      <c r="B122" t="s">
        <v>1427</v>
      </c>
      <c r="C122" t="s">
        <v>69</v>
      </c>
      <c r="D122" t="s">
        <v>167</v>
      </c>
      <c r="E122" t="s">
        <v>358</v>
      </c>
      <c r="F122" t="s">
        <v>547</v>
      </c>
    </row>
    <row r="123" spans="1:6" x14ac:dyDescent="0.25">
      <c r="A123" t="s">
        <v>1</v>
      </c>
      <c r="B123" t="s">
        <v>1427</v>
      </c>
      <c r="C123" t="s">
        <v>69</v>
      </c>
      <c r="D123" t="s">
        <v>172</v>
      </c>
      <c r="E123" t="s">
        <v>359</v>
      </c>
      <c r="F123" t="s">
        <v>548</v>
      </c>
    </row>
    <row r="124" spans="1:6" x14ac:dyDescent="0.25">
      <c r="A124" t="s">
        <v>1</v>
      </c>
      <c r="B124" t="s">
        <v>1427</v>
      </c>
      <c r="C124" t="s">
        <v>69</v>
      </c>
      <c r="D124" t="s">
        <v>173</v>
      </c>
      <c r="E124" t="s">
        <v>360</v>
      </c>
      <c r="F124" t="s">
        <v>547</v>
      </c>
    </row>
    <row r="125" spans="1:6" x14ac:dyDescent="0.25">
      <c r="A125" t="s">
        <v>1</v>
      </c>
      <c r="B125" t="s">
        <v>1427</v>
      </c>
      <c r="C125" t="s">
        <v>69</v>
      </c>
      <c r="D125" t="s">
        <v>174</v>
      </c>
      <c r="E125" t="s">
        <v>361</v>
      </c>
      <c r="F125" t="s">
        <v>547</v>
      </c>
    </row>
    <row r="126" spans="1:6" x14ac:dyDescent="0.25">
      <c r="A126" t="s">
        <v>1</v>
      </c>
      <c r="B126" t="s">
        <v>1427</v>
      </c>
      <c r="C126" t="s">
        <v>70</v>
      </c>
      <c r="D126" t="s">
        <v>171</v>
      </c>
      <c r="E126" t="s">
        <v>362</v>
      </c>
      <c r="F126" t="s">
        <v>547</v>
      </c>
    </row>
    <row r="127" spans="1:6" x14ac:dyDescent="0.25">
      <c r="A127" t="s">
        <v>1</v>
      </c>
      <c r="B127" t="s">
        <v>1427</v>
      </c>
      <c r="C127" t="s">
        <v>70</v>
      </c>
      <c r="D127" t="s">
        <v>175</v>
      </c>
      <c r="E127" t="s">
        <v>363</v>
      </c>
      <c r="F127" t="s">
        <v>548</v>
      </c>
    </row>
    <row r="128" spans="1:6" x14ac:dyDescent="0.25">
      <c r="A128" t="s">
        <v>1</v>
      </c>
      <c r="B128" t="s">
        <v>1427</v>
      </c>
      <c r="C128" t="s">
        <v>70</v>
      </c>
      <c r="D128" t="s">
        <v>176</v>
      </c>
      <c r="E128" t="s">
        <v>364</v>
      </c>
      <c r="F128" t="s">
        <v>547</v>
      </c>
    </row>
    <row r="129" spans="1:6" x14ac:dyDescent="0.25">
      <c r="A129" t="s">
        <v>1</v>
      </c>
      <c r="B129" t="s">
        <v>1427</v>
      </c>
      <c r="C129" t="s">
        <v>70</v>
      </c>
      <c r="D129" t="s">
        <v>168</v>
      </c>
      <c r="E129" t="s">
        <v>365</v>
      </c>
      <c r="F129" t="s">
        <v>547</v>
      </c>
    </row>
    <row r="130" spans="1:6" x14ac:dyDescent="0.25">
      <c r="A130" t="s">
        <v>1</v>
      </c>
      <c r="B130" t="s">
        <v>1427</v>
      </c>
      <c r="C130" t="s">
        <v>70</v>
      </c>
      <c r="D130" t="s">
        <v>169</v>
      </c>
      <c r="E130" t="s">
        <v>366</v>
      </c>
      <c r="F130" t="s">
        <v>547</v>
      </c>
    </row>
    <row r="131" spans="1:6" x14ac:dyDescent="0.25">
      <c r="A131" t="s">
        <v>1</v>
      </c>
      <c r="B131" t="s">
        <v>1427</v>
      </c>
      <c r="C131" t="s">
        <v>70</v>
      </c>
      <c r="D131" t="s">
        <v>173</v>
      </c>
      <c r="E131" t="s">
        <v>367</v>
      </c>
      <c r="F131" t="s">
        <v>547</v>
      </c>
    </row>
    <row r="132" spans="1:6" x14ac:dyDescent="0.25">
      <c r="A132" t="s">
        <v>1</v>
      </c>
      <c r="B132" t="s">
        <v>1427</v>
      </c>
      <c r="C132" t="s">
        <v>70</v>
      </c>
      <c r="D132" t="s">
        <v>174</v>
      </c>
      <c r="E132" t="s">
        <v>368</v>
      </c>
      <c r="F132" t="s">
        <v>547</v>
      </c>
    </row>
    <row r="133" spans="1:6" x14ac:dyDescent="0.25">
      <c r="A133" t="s">
        <v>1</v>
      </c>
      <c r="B133" t="s">
        <v>1427</v>
      </c>
      <c r="C133" t="s">
        <v>71</v>
      </c>
      <c r="D133" t="s">
        <v>175</v>
      </c>
      <c r="E133" t="s">
        <v>369</v>
      </c>
      <c r="F133" t="s">
        <v>548</v>
      </c>
    </row>
    <row r="134" spans="1:6" x14ac:dyDescent="0.25">
      <c r="A134" t="s">
        <v>1</v>
      </c>
      <c r="B134" t="s">
        <v>1427</v>
      </c>
      <c r="C134" t="s">
        <v>71</v>
      </c>
      <c r="D134" t="s">
        <v>164</v>
      </c>
      <c r="E134" t="s">
        <v>370</v>
      </c>
      <c r="F134" t="s">
        <v>548</v>
      </c>
    </row>
    <row r="135" spans="1:6" x14ac:dyDescent="0.25">
      <c r="A135" t="s">
        <v>1</v>
      </c>
      <c r="B135" t="s">
        <v>1427</v>
      </c>
      <c r="C135" t="s">
        <v>71</v>
      </c>
      <c r="D135" t="s">
        <v>168</v>
      </c>
      <c r="E135" t="s">
        <v>313</v>
      </c>
      <c r="F135" t="s">
        <v>547</v>
      </c>
    </row>
    <row r="136" spans="1:6" x14ac:dyDescent="0.25">
      <c r="A136" t="s">
        <v>1</v>
      </c>
      <c r="B136" t="s">
        <v>1427</v>
      </c>
      <c r="C136" t="s">
        <v>71</v>
      </c>
      <c r="D136" t="s">
        <v>169</v>
      </c>
      <c r="E136" t="s">
        <v>371</v>
      </c>
      <c r="F136" t="s">
        <v>547</v>
      </c>
    </row>
    <row r="137" spans="1:6" x14ac:dyDescent="0.25">
      <c r="A137" t="s">
        <v>1</v>
      </c>
      <c r="B137" t="s">
        <v>1427</v>
      </c>
      <c r="C137" t="s">
        <v>71</v>
      </c>
      <c r="D137" t="s">
        <v>169</v>
      </c>
      <c r="E137" t="s">
        <v>372</v>
      </c>
      <c r="F137" t="s">
        <v>547</v>
      </c>
    </row>
    <row r="138" spans="1:6" x14ac:dyDescent="0.25">
      <c r="A138" t="s">
        <v>1</v>
      </c>
      <c r="B138" t="s">
        <v>1427</v>
      </c>
      <c r="C138" t="s">
        <v>71</v>
      </c>
      <c r="D138" t="s">
        <v>173</v>
      </c>
      <c r="E138" t="s">
        <v>373</v>
      </c>
      <c r="F138" t="s">
        <v>547</v>
      </c>
    </row>
    <row r="139" spans="1:6" x14ac:dyDescent="0.25">
      <c r="A139" t="s">
        <v>1</v>
      </c>
      <c r="B139" t="s">
        <v>1427</v>
      </c>
      <c r="C139" t="s">
        <v>71</v>
      </c>
      <c r="D139" t="s">
        <v>174</v>
      </c>
      <c r="E139" t="s">
        <v>374</v>
      </c>
      <c r="F139" t="s">
        <v>547</v>
      </c>
    </row>
    <row r="140" spans="1:6" x14ac:dyDescent="0.25">
      <c r="A140" t="s">
        <v>1</v>
      </c>
      <c r="B140" t="s">
        <v>1428</v>
      </c>
      <c r="C140" t="s">
        <v>72</v>
      </c>
      <c r="D140" t="s">
        <v>135</v>
      </c>
      <c r="E140" t="s">
        <v>375</v>
      </c>
      <c r="F140" t="s">
        <v>547</v>
      </c>
    </row>
    <row r="141" spans="1:6" x14ac:dyDescent="0.25">
      <c r="A141" t="s">
        <v>1</v>
      </c>
      <c r="B141" t="s">
        <v>1428</v>
      </c>
      <c r="C141" t="s">
        <v>72</v>
      </c>
      <c r="D141" t="s">
        <v>136</v>
      </c>
      <c r="E141" t="s">
        <v>376</v>
      </c>
      <c r="F141" t="s">
        <v>548</v>
      </c>
    </row>
    <row r="142" spans="1:6" x14ac:dyDescent="0.25">
      <c r="A142" t="s">
        <v>1</v>
      </c>
      <c r="B142" t="s">
        <v>1428</v>
      </c>
      <c r="C142" t="s">
        <v>72</v>
      </c>
      <c r="D142" t="s">
        <v>143</v>
      </c>
      <c r="E142" t="s">
        <v>312</v>
      </c>
      <c r="F142" t="s">
        <v>548</v>
      </c>
    </row>
    <row r="143" spans="1:6" x14ac:dyDescent="0.25">
      <c r="A143" t="s">
        <v>1</v>
      </c>
      <c r="B143" t="s">
        <v>1428</v>
      </c>
      <c r="C143" t="s">
        <v>72</v>
      </c>
      <c r="D143" t="s">
        <v>177</v>
      </c>
      <c r="E143" t="s">
        <v>377</v>
      </c>
      <c r="F143" t="s">
        <v>548</v>
      </c>
    </row>
    <row r="144" spans="1:6" x14ac:dyDescent="0.25">
      <c r="A144" t="s">
        <v>1</v>
      </c>
      <c r="B144" t="s">
        <v>1428</v>
      </c>
      <c r="C144" t="s">
        <v>72</v>
      </c>
      <c r="D144" t="s">
        <v>178</v>
      </c>
      <c r="E144" t="s">
        <v>378</v>
      </c>
      <c r="F144" t="s">
        <v>547</v>
      </c>
    </row>
    <row r="145" spans="1:6" x14ac:dyDescent="0.25">
      <c r="A145" t="s">
        <v>1</v>
      </c>
      <c r="B145" t="s">
        <v>1428</v>
      </c>
      <c r="C145" t="s">
        <v>73</v>
      </c>
      <c r="D145" t="s">
        <v>133</v>
      </c>
      <c r="E145" t="s">
        <v>379</v>
      </c>
      <c r="F145" t="s">
        <v>547</v>
      </c>
    </row>
    <row r="146" spans="1:6" x14ac:dyDescent="0.25">
      <c r="A146" t="s">
        <v>1</v>
      </c>
      <c r="B146" t="s">
        <v>1428</v>
      </c>
      <c r="C146" t="s">
        <v>73</v>
      </c>
      <c r="D146" t="s">
        <v>179</v>
      </c>
      <c r="E146" t="s">
        <v>380</v>
      </c>
      <c r="F146" t="s">
        <v>547</v>
      </c>
    </row>
    <row r="147" spans="1:6" x14ac:dyDescent="0.25">
      <c r="A147" t="s">
        <v>1</v>
      </c>
      <c r="B147" t="s">
        <v>1428</v>
      </c>
      <c r="C147" t="s">
        <v>73</v>
      </c>
      <c r="D147" t="s">
        <v>180</v>
      </c>
      <c r="E147" t="s">
        <v>381</v>
      </c>
      <c r="F147" t="s">
        <v>547</v>
      </c>
    </row>
    <row r="148" spans="1:6" x14ac:dyDescent="0.25">
      <c r="A148" t="s">
        <v>1</v>
      </c>
      <c r="B148" t="s">
        <v>1428</v>
      </c>
      <c r="C148" t="s">
        <v>73</v>
      </c>
      <c r="D148" t="s">
        <v>181</v>
      </c>
      <c r="E148" t="s">
        <v>382</v>
      </c>
      <c r="F148" t="s">
        <v>548</v>
      </c>
    </row>
    <row r="149" spans="1:6" x14ac:dyDescent="0.25">
      <c r="A149" t="s">
        <v>1</v>
      </c>
      <c r="B149" t="s">
        <v>1428</v>
      </c>
      <c r="C149" t="s">
        <v>73</v>
      </c>
      <c r="D149" t="s">
        <v>136</v>
      </c>
      <c r="E149" t="s">
        <v>383</v>
      </c>
      <c r="F149" t="s">
        <v>548</v>
      </c>
    </row>
    <row r="150" spans="1:6" x14ac:dyDescent="0.25">
      <c r="A150" t="s">
        <v>1</v>
      </c>
      <c r="B150" t="s">
        <v>1428</v>
      </c>
      <c r="C150" t="s">
        <v>73</v>
      </c>
      <c r="D150" t="s">
        <v>145</v>
      </c>
      <c r="E150" t="s">
        <v>384</v>
      </c>
      <c r="F150" t="s">
        <v>548</v>
      </c>
    </row>
    <row r="151" spans="1:6" x14ac:dyDescent="0.25">
      <c r="A151" t="s">
        <v>1</v>
      </c>
      <c r="B151" t="s">
        <v>1429</v>
      </c>
      <c r="C151" t="s">
        <v>74</v>
      </c>
      <c r="D151" t="s">
        <v>182</v>
      </c>
      <c r="E151" t="s">
        <v>385</v>
      </c>
      <c r="F151" t="s">
        <v>548</v>
      </c>
    </row>
    <row r="152" spans="1:6" x14ac:dyDescent="0.25">
      <c r="A152" t="s">
        <v>1</v>
      </c>
      <c r="B152" t="s">
        <v>1429</v>
      </c>
      <c r="C152" t="s">
        <v>74</v>
      </c>
      <c r="D152" t="s">
        <v>183</v>
      </c>
      <c r="E152" t="s">
        <v>386</v>
      </c>
      <c r="F152" t="s">
        <v>547</v>
      </c>
    </row>
    <row r="153" spans="1:6" x14ac:dyDescent="0.25">
      <c r="A153" t="s">
        <v>1</v>
      </c>
      <c r="B153" t="s">
        <v>1429</v>
      </c>
      <c r="C153" t="s">
        <v>74</v>
      </c>
      <c r="D153" t="s">
        <v>184</v>
      </c>
      <c r="E153" t="s">
        <v>387</v>
      </c>
      <c r="F153" t="s">
        <v>547</v>
      </c>
    </row>
    <row r="154" spans="1:6" x14ac:dyDescent="0.25">
      <c r="A154" t="s">
        <v>1</v>
      </c>
      <c r="B154" t="s">
        <v>1429</v>
      </c>
      <c r="C154" t="s">
        <v>74</v>
      </c>
      <c r="D154" t="s">
        <v>185</v>
      </c>
      <c r="E154" t="s">
        <v>388</v>
      </c>
      <c r="F154" t="s">
        <v>547</v>
      </c>
    </row>
    <row r="155" spans="1:6" x14ac:dyDescent="0.25">
      <c r="A155" t="s">
        <v>1</v>
      </c>
      <c r="B155" t="s">
        <v>1429</v>
      </c>
      <c r="C155" t="s">
        <v>74</v>
      </c>
      <c r="D155" t="s">
        <v>186</v>
      </c>
      <c r="E155" t="s">
        <v>389</v>
      </c>
      <c r="F155" t="s">
        <v>547</v>
      </c>
    </row>
    <row r="156" spans="1:6" x14ac:dyDescent="0.25">
      <c r="A156" t="s">
        <v>1</v>
      </c>
      <c r="B156" t="s">
        <v>1429</v>
      </c>
      <c r="C156" t="s">
        <v>74</v>
      </c>
      <c r="D156" t="s">
        <v>187</v>
      </c>
      <c r="E156" t="s">
        <v>390</v>
      </c>
      <c r="F156" t="s">
        <v>547</v>
      </c>
    </row>
    <row r="157" spans="1:6" x14ac:dyDescent="0.25">
      <c r="A157" t="s">
        <v>1</v>
      </c>
      <c r="B157" t="s">
        <v>1429</v>
      </c>
      <c r="C157" t="s">
        <v>74</v>
      </c>
      <c r="D157" t="s">
        <v>188</v>
      </c>
      <c r="E157" t="s">
        <v>391</v>
      </c>
      <c r="F157" t="s">
        <v>547</v>
      </c>
    </row>
    <row r="158" spans="1:6" x14ac:dyDescent="0.25">
      <c r="A158" t="s">
        <v>1</v>
      </c>
      <c r="B158" t="s">
        <v>1429</v>
      </c>
      <c r="C158" t="s">
        <v>75</v>
      </c>
      <c r="D158" t="s">
        <v>189</v>
      </c>
      <c r="E158" t="s">
        <v>392</v>
      </c>
      <c r="F158" t="s">
        <v>548</v>
      </c>
    </row>
    <row r="159" spans="1:6" x14ac:dyDescent="0.25">
      <c r="A159" t="s">
        <v>1</v>
      </c>
      <c r="B159" t="s">
        <v>1429</v>
      </c>
      <c r="C159" t="s">
        <v>75</v>
      </c>
      <c r="D159" t="s">
        <v>190</v>
      </c>
      <c r="E159" t="s">
        <v>393</v>
      </c>
      <c r="F159" t="s">
        <v>547</v>
      </c>
    </row>
    <row r="160" spans="1:6" x14ac:dyDescent="0.25">
      <c r="A160" t="s">
        <v>1</v>
      </c>
      <c r="B160" t="s">
        <v>1429</v>
      </c>
      <c r="C160" t="s">
        <v>75</v>
      </c>
      <c r="D160" t="s">
        <v>185</v>
      </c>
      <c r="E160" t="s">
        <v>394</v>
      </c>
      <c r="F160" t="s">
        <v>547</v>
      </c>
    </row>
    <row r="161" spans="1:6" x14ac:dyDescent="0.25">
      <c r="A161" t="s">
        <v>1</v>
      </c>
      <c r="B161" t="s">
        <v>1429</v>
      </c>
      <c r="C161" t="s">
        <v>75</v>
      </c>
      <c r="D161" t="s">
        <v>191</v>
      </c>
      <c r="E161" t="s">
        <v>395</v>
      </c>
      <c r="F161" t="s">
        <v>547</v>
      </c>
    </row>
    <row r="162" spans="1:6" x14ac:dyDescent="0.25">
      <c r="A162" t="s">
        <v>1</v>
      </c>
      <c r="B162" t="s">
        <v>1429</v>
      </c>
      <c r="C162" t="s">
        <v>75</v>
      </c>
      <c r="D162" t="s">
        <v>192</v>
      </c>
      <c r="E162" t="s">
        <v>396</v>
      </c>
      <c r="F162" t="s">
        <v>548</v>
      </c>
    </row>
    <row r="163" spans="1:6" x14ac:dyDescent="0.25">
      <c r="A163" t="s">
        <v>1</v>
      </c>
      <c r="B163" t="s">
        <v>1429</v>
      </c>
      <c r="C163" t="s">
        <v>75</v>
      </c>
      <c r="D163" t="s">
        <v>193</v>
      </c>
      <c r="E163" t="s">
        <v>397</v>
      </c>
      <c r="F163" t="s">
        <v>547</v>
      </c>
    </row>
    <row r="164" spans="1:6" x14ac:dyDescent="0.25">
      <c r="A164" t="s">
        <v>1</v>
      </c>
      <c r="B164" t="s">
        <v>1430</v>
      </c>
      <c r="C164" t="s">
        <v>76</v>
      </c>
      <c r="D164" t="s">
        <v>194</v>
      </c>
      <c r="E164" t="s">
        <v>398</v>
      </c>
      <c r="F164" t="s">
        <v>548</v>
      </c>
    </row>
    <row r="165" spans="1:6" x14ac:dyDescent="0.25">
      <c r="A165" t="s">
        <v>1</v>
      </c>
      <c r="B165" t="s">
        <v>1430</v>
      </c>
      <c r="C165" t="s">
        <v>76</v>
      </c>
      <c r="D165" t="s">
        <v>156</v>
      </c>
      <c r="E165" t="s">
        <v>399</v>
      </c>
      <c r="F165" t="s">
        <v>547</v>
      </c>
    </row>
    <row r="166" spans="1:6" x14ac:dyDescent="0.25">
      <c r="A166" t="s">
        <v>1</v>
      </c>
      <c r="B166" t="s">
        <v>1430</v>
      </c>
      <c r="C166" t="s">
        <v>76</v>
      </c>
      <c r="D166" t="s">
        <v>195</v>
      </c>
      <c r="E166" t="s">
        <v>400</v>
      </c>
      <c r="F166" t="s">
        <v>548</v>
      </c>
    </row>
    <row r="167" spans="1:6" x14ac:dyDescent="0.25">
      <c r="A167" t="s">
        <v>1</v>
      </c>
      <c r="B167" t="s">
        <v>1430</v>
      </c>
      <c r="C167" t="s">
        <v>76</v>
      </c>
      <c r="D167" t="s">
        <v>196</v>
      </c>
      <c r="E167" t="s">
        <v>326</v>
      </c>
      <c r="F167" t="s">
        <v>547</v>
      </c>
    </row>
    <row r="168" spans="1:6" x14ac:dyDescent="0.25">
      <c r="A168" t="s">
        <v>1</v>
      </c>
      <c r="B168" t="s">
        <v>1430</v>
      </c>
      <c r="C168" t="s">
        <v>76</v>
      </c>
      <c r="D168" t="s">
        <v>197</v>
      </c>
      <c r="E168" t="s">
        <v>401</v>
      </c>
      <c r="F168" t="s">
        <v>548</v>
      </c>
    </row>
    <row r="169" spans="1:6" x14ac:dyDescent="0.25">
      <c r="A169" t="s">
        <v>1</v>
      </c>
      <c r="B169" t="s">
        <v>1430</v>
      </c>
      <c r="C169" t="s">
        <v>76</v>
      </c>
      <c r="D169" t="s">
        <v>198</v>
      </c>
      <c r="E169" t="s">
        <v>402</v>
      </c>
      <c r="F169" t="s">
        <v>547</v>
      </c>
    </row>
    <row r="170" spans="1:6" x14ac:dyDescent="0.25">
      <c r="A170" t="s">
        <v>1</v>
      </c>
      <c r="B170" t="s">
        <v>1430</v>
      </c>
      <c r="C170" t="s">
        <v>77</v>
      </c>
      <c r="D170" t="s">
        <v>195</v>
      </c>
      <c r="E170" t="s">
        <v>403</v>
      </c>
      <c r="F170" t="s">
        <v>548</v>
      </c>
    </row>
    <row r="171" spans="1:6" x14ac:dyDescent="0.25">
      <c r="A171" t="s">
        <v>1</v>
      </c>
      <c r="B171" t="s">
        <v>1430</v>
      </c>
      <c r="C171" t="s">
        <v>77</v>
      </c>
      <c r="D171" t="s">
        <v>199</v>
      </c>
      <c r="E171" t="s">
        <v>404</v>
      </c>
      <c r="F171" t="s">
        <v>548</v>
      </c>
    </row>
    <row r="172" spans="1:6" x14ac:dyDescent="0.25">
      <c r="A172" t="s">
        <v>1</v>
      </c>
      <c r="B172" t="s">
        <v>1430</v>
      </c>
      <c r="C172" t="s">
        <v>77</v>
      </c>
      <c r="D172" t="s">
        <v>196</v>
      </c>
      <c r="E172" t="s">
        <v>405</v>
      </c>
      <c r="F172" t="s">
        <v>547</v>
      </c>
    </row>
    <row r="173" spans="1:6" x14ac:dyDescent="0.25">
      <c r="A173" t="s">
        <v>1</v>
      </c>
      <c r="B173" t="s">
        <v>1430</v>
      </c>
      <c r="C173" t="s">
        <v>77</v>
      </c>
      <c r="D173" t="s">
        <v>197</v>
      </c>
      <c r="E173" t="s">
        <v>406</v>
      </c>
      <c r="F173" t="s">
        <v>548</v>
      </c>
    </row>
    <row r="174" spans="1:6" x14ac:dyDescent="0.25">
      <c r="A174" t="s">
        <v>1</v>
      </c>
      <c r="B174" t="s">
        <v>1430</v>
      </c>
      <c r="C174" t="s">
        <v>77</v>
      </c>
      <c r="D174" t="s">
        <v>198</v>
      </c>
      <c r="E174" t="s">
        <v>407</v>
      </c>
      <c r="F174" t="s">
        <v>547</v>
      </c>
    </row>
    <row r="175" spans="1:6" x14ac:dyDescent="0.25">
      <c r="A175" t="s">
        <v>1</v>
      </c>
      <c r="B175" t="s">
        <v>1430</v>
      </c>
      <c r="C175" t="s">
        <v>78</v>
      </c>
      <c r="D175" t="s">
        <v>156</v>
      </c>
      <c r="E175" t="s">
        <v>313</v>
      </c>
      <c r="F175" t="s">
        <v>547</v>
      </c>
    </row>
    <row r="176" spans="1:6" x14ac:dyDescent="0.25">
      <c r="A176" t="s">
        <v>1</v>
      </c>
      <c r="B176" t="s">
        <v>1430</v>
      </c>
      <c r="C176" t="s">
        <v>78</v>
      </c>
      <c r="D176" t="s">
        <v>196</v>
      </c>
      <c r="E176" t="s">
        <v>408</v>
      </c>
      <c r="F176" t="s">
        <v>547</v>
      </c>
    </row>
    <row r="177" spans="1:6" x14ac:dyDescent="0.25">
      <c r="A177" t="s">
        <v>1</v>
      </c>
      <c r="B177" t="s">
        <v>1430</v>
      </c>
      <c r="C177" t="s">
        <v>78</v>
      </c>
      <c r="D177" t="s">
        <v>197</v>
      </c>
      <c r="E177" t="s">
        <v>409</v>
      </c>
      <c r="F177" t="s">
        <v>548</v>
      </c>
    </row>
    <row r="178" spans="1:6" x14ac:dyDescent="0.25">
      <c r="A178" t="s">
        <v>1</v>
      </c>
      <c r="B178" t="s">
        <v>1431</v>
      </c>
      <c r="C178" t="s">
        <v>79</v>
      </c>
      <c r="D178" t="s">
        <v>200</v>
      </c>
      <c r="E178" t="s">
        <v>410</v>
      </c>
      <c r="F178" t="s">
        <v>548</v>
      </c>
    </row>
    <row r="179" spans="1:6" x14ac:dyDescent="0.25">
      <c r="A179" t="s">
        <v>1</v>
      </c>
      <c r="B179" t="s">
        <v>1431</v>
      </c>
      <c r="C179" t="s">
        <v>79</v>
      </c>
      <c r="D179" t="s">
        <v>201</v>
      </c>
      <c r="E179" t="s">
        <v>411</v>
      </c>
      <c r="F179" t="s">
        <v>548</v>
      </c>
    </row>
    <row r="180" spans="1:6" x14ac:dyDescent="0.25">
      <c r="A180" t="s">
        <v>1</v>
      </c>
      <c r="B180" t="s">
        <v>1431</v>
      </c>
      <c r="C180" t="s">
        <v>79</v>
      </c>
      <c r="D180" t="s">
        <v>202</v>
      </c>
      <c r="E180" t="s">
        <v>412</v>
      </c>
      <c r="F180" t="s">
        <v>547</v>
      </c>
    </row>
    <row r="181" spans="1:6" x14ac:dyDescent="0.25">
      <c r="A181" t="s">
        <v>1</v>
      </c>
      <c r="B181" t="s">
        <v>1431</v>
      </c>
      <c r="C181" t="s">
        <v>79</v>
      </c>
      <c r="D181" t="s">
        <v>203</v>
      </c>
      <c r="E181" t="s">
        <v>413</v>
      </c>
      <c r="F181" t="s">
        <v>548</v>
      </c>
    </row>
    <row r="182" spans="1:6" x14ac:dyDescent="0.25">
      <c r="A182" t="s">
        <v>1</v>
      </c>
      <c r="B182" t="s">
        <v>1431</v>
      </c>
      <c r="C182" t="s">
        <v>79</v>
      </c>
      <c r="D182" t="s">
        <v>204</v>
      </c>
      <c r="E182" t="s">
        <v>352</v>
      </c>
      <c r="F182" t="s">
        <v>547</v>
      </c>
    </row>
    <row r="183" spans="1:6" x14ac:dyDescent="0.25">
      <c r="A183" t="s">
        <v>1</v>
      </c>
      <c r="B183" t="s">
        <v>1431</v>
      </c>
      <c r="C183" t="s">
        <v>79</v>
      </c>
      <c r="D183" t="s">
        <v>205</v>
      </c>
      <c r="E183" t="s">
        <v>414</v>
      </c>
      <c r="F183" t="s">
        <v>548</v>
      </c>
    </row>
    <row r="184" spans="1:6" x14ac:dyDescent="0.25">
      <c r="A184" t="s">
        <v>1</v>
      </c>
      <c r="B184" t="s">
        <v>1431</v>
      </c>
      <c r="C184" t="s">
        <v>80</v>
      </c>
      <c r="D184" t="s">
        <v>200</v>
      </c>
      <c r="E184" t="s">
        <v>410</v>
      </c>
      <c r="F184" t="s">
        <v>548</v>
      </c>
    </row>
    <row r="185" spans="1:6" x14ac:dyDescent="0.25">
      <c r="A185" t="s">
        <v>1</v>
      </c>
      <c r="B185" t="s">
        <v>1431</v>
      </c>
      <c r="C185" t="s">
        <v>80</v>
      </c>
      <c r="D185" t="s">
        <v>201</v>
      </c>
      <c r="E185" t="s">
        <v>411</v>
      </c>
      <c r="F185" t="s">
        <v>548</v>
      </c>
    </row>
    <row r="186" spans="1:6" x14ac:dyDescent="0.25">
      <c r="A186" t="s">
        <v>1</v>
      </c>
      <c r="B186" t="s">
        <v>1431</v>
      </c>
      <c r="C186" t="s">
        <v>80</v>
      </c>
      <c r="D186" t="s">
        <v>202</v>
      </c>
      <c r="E186" t="s">
        <v>412</v>
      </c>
      <c r="F186" t="s">
        <v>547</v>
      </c>
    </row>
    <row r="187" spans="1:6" x14ac:dyDescent="0.25">
      <c r="A187" t="s">
        <v>1</v>
      </c>
      <c r="B187" t="s">
        <v>1431</v>
      </c>
      <c r="C187" t="s">
        <v>80</v>
      </c>
      <c r="D187" t="s">
        <v>203</v>
      </c>
      <c r="E187" t="s">
        <v>413</v>
      </c>
      <c r="F187" t="s">
        <v>548</v>
      </c>
    </row>
    <row r="188" spans="1:6" x14ac:dyDescent="0.25">
      <c r="A188" t="s">
        <v>1</v>
      </c>
      <c r="B188" t="s">
        <v>1431</v>
      </c>
      <c r="C188" t="s">
        <v>80</v>
      </c>
      <c r="D188" t="s">
        <v>204</v>
      </c>
      <c r="E188" t="s">
        <v>352</v>
      </c>
      <c r="F188" t="s">
        <v>547</v>
      </c>
    </row>
    <row r="189" spans="1:6" x14ac:dyDescent="0.25">
      <c r="A189" t="s">
        <v>1</v>
      </c>
      <c r="B189" t="s">
        <v>1431</v>
      </c>
      <c r="C189" t="s">
        <v>80</v>
      </c>
      <c r="D189" t="s">
        <v>205</v>
      </c>
      <c r="E189" t="s">
        <v>414</v>
      </c>
      <c r="F189" t="s">
        <v>548</v>
      </c>
    </row>
    <row r="190" spans="1:6" x14ac:dyDescent="0.25">
      <c r="A190" t="s">
        <v>1</v>
      </c>
      <c r="B190" t="s">
        <v>1431</v>
      </c>
      <c r="C190" t="s">
        <v>81</v>
      </c>
      <c r="D190" t="s">
        <v>206</v>
      </c>
      <c r="E190" t="s">
        <v>415</v>
      </c>
      <c r="F190" t="s">
        <v>547</v>
      </c>
    </row>
    <row r="191" spans="1:6" x14ac:dyDescent="0.25">
      <c r="A191" t="s">
        <v>1</v>
      </c>
      <c r="B191" t="s">
        <v>1431</v>
      </c>
      <c r="C191" t="s">
        <v>81</v>
      </c>
      <c r="D191" t="s">
        <v>207</v>
      </c>
      <c r="E191" t="s">
        <v>416</v>
      </c>
      <c r="F191" t="s">
        <v>547</v>
      </c>
    </row>
    <row r="192" spans="1:6" x14ac:dyDescent="0.25">
      <c r="A192" t="s">
        <v>1</v>
      </c>
      <c r="B192" t="s">
        <v>1431</v>
      </c>
      <c r="C192" t="s">
        <v>81</v>
      </c>
      <c r="D192" t="s">
        <v>208</v>
      </c>
      <c r="E192" t="s">
        <v>417</v>
      </c>
      <c r="F192" t="s">
        <v>547</v>
      </c>
    </row>
    <row r="193" spans="1:6" x14ac:dyDescent="0.25">
      <c r="A193" t="s">
        <v>1</v>
      </c>
      <c r="B193" t="s">
        <v>1431</v>
      </c>
      <c r="C193" t="s">
        <v>81</v>
      </c>
      <c r="D193" t="s">
        <v>209</v>
      </c>
      <c r="E193" t="s">
        <v>418</v>
      </c>
      <c r="F193" t="s">
        <v>547</v>
      </c>
    </row>
    <row r="194" spans="1:6" x14ac:dyDescent="0.25">
      <c r="A194" t="s">
        <v>1</v>
      </c>
      <c r="B194" t="s">
        <v>1431</v>
      </c>
      <c r="C194" t="s">
        <v>81</v>
      </c>
      <c r="D194" t="s">
        <v>210</v>
      </c>
      <c r="E194" t="s">
        <v>419</v>
      </c>
      <c r="F194" t="s">
        <v>547</v>
      </c>
    </row>
    <row r="195" spans="1:6" x14ac:dyDescent="0.25">
      <c r="A195" t="s">
        <v>1</v>
      </c>
      <c r="B195" t="s">
        <v>1431</v>
      </c>
      <c r="C195" t="s">
        <v>81</v>
      </c>
      <c r="D195" t="s">
        <v>211</v>
      </c>
      <c r="E195" t="s">
        <v>420</v>
      </c>
      <c r="F195" t="s">
        <v>547</v>
      </c>
    </row>
    <row r="196" spans="1:6" x14ac:dyDescent="0.25">
      <c r="A196" t="s">
        <v>1</v>
      </c>
      <c r="B196" t="s">
        <v>1431</v>
      </c>
      <c r="C196" t="s">
        <v>81</v>
      </c>
      <c r="D196" t="s">
        <v>204</v>
      </c>
      <c r="E196" t="s">
        <v>421</v>
      </c>
      <c r="F196" t="s">
        <v>547</v>
      </c>
    </row>
    <row r="197" spans="1:6" x14ac:dyDescent="0.25">
      <c r="A197" t="s">
        <v>1</v>
      </c>
      <c r="B197" t="s">
        <v>1431</v>
      </c>
      <c r="C197" t="s">
        <v>82</v>
      </c>
      <c r="D197" t="s">
        <v>212</v>
      </c>
      <c r="E197" t="s">
        <v>422</v>
      </c>
      <c r="F197" t="s">
        <v>547</v>
      </c>
    </row>
    <row r="198" spans="1:6" x14ac:dyDescent="0.25">
      <c r="A198" t="s">
        <v>1</v>
      </c>
      <c r="B198" t="s">
        <v>1431</v>
      </c>
      <c r="C198" t="s">
        <v>82</v>
      </c>
      <c r="D198" t="s">
        <v>213</v>
      </c>
      <c r="E198" t="s">
        <v>423</v>
      </c>
      <c r="F198" t="s">
        <v>548</v>
      </c>
    </row>
    <row r="199" spans="1:6" x14ac:dyDescent="0.25">
      <c r="A199" t="s">
        <v>1</v>
      </c>
      <c r="B199" t="s">
        <v>1431</v>
      </c>
      <c r="C199" t="s">
        <v>82</v>
      </c>
      <c r="D199" t="s">
        <v>214</v>
      </c>
      <c r="E199" t="s">
        <v>424</v>
      </c>
      <c r="F199" t="s">
        <v>547</v>
      </c>
    </row>
    <row r="200" spans="1:6" x14ac:dyDescent="0.25">
      <c r="A200" t="s">
        <v>1</v>
      </c>
      <c r="B200" t="s">
        <v>1431</v>
      </c>
      <c r="C200" t="s">
        <v>82</v>
      </c>
      <c r="D200" t="s">
        <v>209</v>
      </c>
      <c r="E200" t="s">
        <v>425</v>
      </c>
      <c r="F200" t="s">
        <v>547</v>
      </c>
    </row>
    <row r="201" spans="1:6" x14ac:dyDescent="0.25">
      <c r="A201" t="s">
        <v>1</v>
      </c>
      <c r="B201" t="s">
        <v>1431</v>
      </c>
      <c r="C201" t="s">
        <v>82</v>
      </c>
      <c r="D201" t="s">
        <v>215</v>
      </c>
      <c r="E201" t="s">
        <v>426</v>
      </c>
      <c r="F201" t="s">
        <v>547</v>
      </c>
    </row>
    <row r="202" spans="1:6" x14ac:dyDescent="0.25">
      <c r="A202" t="s">
        <v>1</v>
      </c>
      <c r="B202" t="s">
        <v>1431</v>
      </c>
      <c r="C202" t="s">
        <v>82</v>
      </c>
      <c r="D202" t="s">
        <v>216</v>
      </c>
      <c r="E202" t="s">
        <v>427</v>
      </c>
      <c r="F202" t="s">
        <v>547</v>
      </c>
    </row>
    <row r="203" spans="1:6" x14ac:dyDescent="0.25">
      <c r="A203" t="s">
        <v>1</v>
      </c>
      <c r="B203" t="s">
        <v>1431</v>
      </c>
      <c r="C203" t="s">
        <v>83</v>
      </c>
      <c r="D203" t="s">
        <v>217</v>
      </c>
      <c r="E203" t="s">
        <v>428</v>
      </c>
      <c r="F203" t="s">
        <v>547</v>
      </c>
    </row>
    <row r="204" spans="1:6" x14ac:dyDescent="0.25">
      <c r="A204" t="s">
        <v>1</v>
      </c>
      <c r="B204" t="s">
        <v>1431</v>
      </c>
      <c r="C204" t="s">
        <v>83</v>
      </c>
      <c r="D204" t="s">
        <v>217</v>
      </c>
      <c r="E204" t="s">
        <v>429</v>
      </c>
      <c r="F204" t="s">
        <v>547</v>
      </c>
    </row>
    <row r="205" spans="1:6" x14ac:dyDescent="0.25">
      <c r="A205" t="s">
        <v>1</v>
      </c>
      <c r="B205" t="s">
        <v>1431</v>
      </c>
      <c r="C205" t="s">
        <v>83</v>
      </c>
      <c r="D205" t="s">
        <v>212</v>
      </c>
      <c r="E205" t="s">
        <v>430</v>
      </c>
      <c r="F205" t="s">
        <v>547</v>
      </c>
    </row>
    <row r="206" spans="1:6" x14ac:dyDescent="0.25">
      <c r="A206" t="s">
        <v>1</v>
      </c>
      <c r="B206" t="s">
        <v>1431</v>
      </c>
      <c r="C206" t="s">
        <v>83</v>
      </c>
      <c r="D206" t="s">
        <v>218</v>
      </c>
      <c r="E206" t="s">
        <v>431</v>
      </c>
      <c r="F206" t="s">
        <v>547</v>
      </c>
    </row>
    <row r="207" spans="1:6" x14ac:dyDescent="0.25">
      <c r="A207" t="s">
        <v>1</v>
      </c>
      <c r="B207" t="s">
        <v>1431</v>
      </c>
      <c r="C207" t="s">
        <v>83</v>
      </c>
      <c r="D207" t="s">
        <v>216</v>
      </c>
      <c r="E207" t="s">
        <v>432</v>
      </c>
      <c r="F207" t="s">
        <v>547</v>
      </c>
    </row>
    <row r="208" spans="1:6" x14ac:dyDescent="0.25">
      <c r="A208" t="s">
        <v>1</v>
      </c>
      <c r="B208" t="s">
        <v>1431</v>
      </c>
      <c r="C208" t="s">
        <v>84</v>
      </c>
      <c r="D208" t="s">
        <v>218</v>
      </c>
      <c r="E208" t="s">
        <v>433</v>
      </c>
      <c r="F208" t="s">
        <v>547</v>
      </c>
    </row>
    <row r="209" spans="1:6" x14ac:dyDescent="0.25">
      <c r="A209" t="s">
        <v>1</v>
      </c>
      <c r="B209" t="s">
        <v>1431</v>
      </c>
      <c r="C209" t="s">
        <v>84</v>
      </c>
      <c r="D209" t="s">
        <v>219</v>
      </c>
      <c r="E209" t="s">
        <v>434</v>
      </c>
      <c r="F209" t="s">
        <v>547</v>
      </c>
    </row>
    <row r="210" spans="1:6" x14ac:dyDescent="0.25">
      <c r="A210" t="s">
        <v>1</v>
      </c>
      <c r="B210" t="s">
        <v>1431</v>
      </c>
      <c r="C210" t="s">
        <v>84</v>
      </c>
      <c r="D210" t="s">
        <v>215</v>
      </c>
      <c r="E210" t="s">
        <v>435</v>
      </c>
      <c r="F210" t="s">
        <v>547</v>
      </c>
    </row>
    <row r="211" spans="1:6" x14ac:dyDescent="0.25">
      <c r="A211" t="s">
        <v>1</v>
      </c>
      <c r="B211" t="s">
        <v>1431</v>
      </c>
      <c r="C211" t="s">
        <v>84</v>
      </c>
      <c r="D211" t="s">
        <v>216</v>
      </c>
      <c r="E211" t="s">
        <v>436</v>
      </c>
      <c r="F211" t="s">
        <v>547</v>
      </c>
    </row>
    <row r="212" spans="1:6" x14ac:dyDescent="0.25">
      <c r="A212" t="s">
        <v>1</v>
      </c>
      <c r="B212" t="s">
        <v>1432</v>
      </c>
      <c r="C212" t="s">
        <v>85</v>
      </c>
      <c r="D212" t="s">
        <v>220</v>
      </c>
      <c r="E212" t="s">
        <v>437</v>
      </c>
      <c r="F212" t="s">
        <v>547</v>
      </c>
    </row>
    <row r="213" spans="1:6" x14ac:dyDescent="0.25">
      <c r="A213" t="s">
        <v>1</v>
      </c>
      <c r="B213" t="s">
        <v>1432</v>
      </c>
      <c r="C213" t="s">
        <v>85</v>
      </c>
      <c r="D213" t="s">
        <v>221</v>
      </c>
      <c r="E213" t="s">
        <v>438</v>
      </c>
      <c r="F213" t="s">
        <v>547</v>
      </c>
    </row>
    <row r="214" spans="1:6" x14ac:dyDescent="0.25">
      <c r="A214" t="s">
        <v>1</v>
      </c>
      <c r="B214" t="s">
        <v>1432</v>
      </c>
      <c r="C214" t="s">
        <v>85</v>
      </c>
      <c r="D214" t="s">
        <v>202</v>
      </c>
      <c r="E214" t="s">
        <v>439</v>
      </c>
      <c r="F214" t="s">
        <v>547</v>
      </c>
    </row>
    <row r="215" spans="1:6" x14ac:dyDescent="0.25">
      <c r="A215" t="s">
        <v>1</v>
      </c>
      <c r="B215" t="s">
        <v>1432</v>
      </c>
      <c r="C215" t="s">
        <v>85</v>
      </c>
      <c r="D215" t="s">
        <v>222</v>
      </c>
      <c r="E215" t="s">
        <v>440</v>
      </c>
      <c r="F215" t="s">
        <v>548</v>
      </c>
    </row>
    <row r="216" spans="1:6" x14ac:dyDescent="0.25">
      <c r="A216" t="s">
        <v>1</v>
      </c>
      <c r="B216" t="s">
        <v>1432</v>
      </c>
      <c r="C216" t="s">
        <v>85</v>
      </c>
      <c r="D216" t="s">
        <v>223</v>
      </c>
      <c r="E216" t="s">
        <v>441</v>
      </c>
      <c r="F216" t="s">
        <v>547</v>
      </c>
    </row>
    <row r="217" spans="1:6" x14ac:dyDescent="0.25">
      <c r="A217" t="s">
        <v>1</v>
      </c>
      <c r="B217" t="s">
        <v>1432</v>
      </c>
      <c r="C217" t="s">
        <v>85</v>
      </c>
      <c r="D217" t="s">
        <v>224</v>
      </c>
      <c r="E217" t="s">
        <v>442</v>
      </c>
      <c r="F217" t="s">
        <v>547</v>
      </c>
    </row>
    <row r="218" spans="1:6" x14ac:dyDescent="0.25">
      <c r="A218" t="s">
        <v>1</v>
      </c>
      <c r="B218" t="s">
        <v>1432</v>
      </c>
      <c r="C218" t="s">
        <v>86</v>
      </c>
      <c r="D218" t="s">
        <v>220</v>
      </c>
      <c r="E218" t="s">
        <v>437</v>
      </c>
      <c r="F218" t="s">
        <v>547</v>
      </c>
    </row>
    <row r="219" spans="1:6" x14ac:dyDescent="0.25">
      <c r="A219" t="s">
        <v>1</v>
      </c>
      <c r="B219" t="s">
        <v>1432</v>
      </c>
      <c r="C219" t="s">
        <v>86</v>
      </c>
      <c r="D219" t="s">
        <v>221</v>
      </c>
      <c r="E219" t="s">
        <v>438</v>
      </c>
      <c r="F219" t="s">
        <v>547</v>
      </c>
    </row>
    <row r="220" spans="1:6" x14ac:dyDescent="0.25">
      <c r="A220" t="s">
        <v>1</v>
      </c>
      <c r="B220" t="s">
        <v>1432</v>
      </c>
      <c r="C220" t="s">
        <v>86</v>
      </c>
      <c r="D220" t="s">
        <v>202</v>
      </c>
      <c r="E220" t="s">
        <v>439</v>
      </c>
      <c r="F220" t="s">
        <v>547</v>
      </c>
    </row>
    <row r="221" spans="1:6" x14ac:dyDescent="0.25">
      <c r="A221" t="s">
        <v>1</v>
      </c>
      <c r="B221" t="s">
        <v>1432</v>
      </c>
      <c r="C221" t="s">
        <v>86</v>
      </c>
      <c r="D221" t="s">
        <v>222</v>
      </c>
      <c r="E221" t="s">
        <v>440</v>
      </c>
      <c r="F221" t="s">
        <v>548</v>
      </c>
    </row>
    <row r="222" spans="1:6" x14ac:dyDescent="0.25">
      <c r="A222" t="s">
        <v>1</v>
      </c>
      <c r="B222" t="s">
        <v>1432</v>
      </c>
      <c r="C222" t="s">
        <v>86</v>
      </c>
      <c r="D222" t="s">
        <v>223</v>
      </c>
      <c r="E222" t="s">
        <v>441</v>
      </c>
      <c r="F222" t="s">
        <v>547</v>
      </c>
    </row>
    <row r="223" spans="1:6" x14ac:dyDescent="0.25">
      <c r="A223" t="s">
        <v>1</v>
      </c>
      <c r="B223" t="s">
        <v>1432</v>
      </c>
      <c r="C223" t="s">
        <v>86</v>
      </c>
      <c r="D223" t="s">
        <v>224</v>
      </c>
      <c r="E223" t="s">
        <v>442</v>
      </c>
      <c r="F223" t="s">
        <v>547</v>
      </c>
    </row>
    <row r="224" spans="1:6" x14ac:dyDescent="0.25">
      <c r="A224" t="s">
        <v>1</v>
      </c>
      <c r="B224" t="s">
        <v>1432</v>
      </c>
      <c r="C224" t="s">
        <v>87</v>
      </c>
      <c r="D224" t="s">
        <v>220</v>
      </c>
      <c r="E224" t="s">
        <v>443</v>
      </c>
      <c r="F224" t="s">
        <v>547</v>
      </c>
    </row>
    <row r="225" spans="1:6" x14ac:dyDescent="0.25">
      <c r="A225" t="s">
        <v>1</v>
      </c>
      <c r="B225" t="s">
        <v>1432</v>
      </c>
      <c r="C225" t="s">
        <v>87</v>
      </c>
      <c r="D225" t="s">
        <v>201</v>
      </c>
      <c r="E225" t="s">
        <v>444</v>
      </c>
      <c r="F225" t="s">
        <v>548</v>
      </c>
    </row>
    <row r="226" spans="1:6" x14ac:dyDescent="0.25">
      <c r="A226" t="s">
        <v>1</v>
      </c>
      <c r="B226" t="s">
        <v>1432</v>
      </c>
      <c r="C226" t="s">
        <v>87</v>
      </c>
      <c r="D226" t="s">
        <v>225</v>
      </c>
      <c r="E226" t="s">
        <v>445</v>
      </c>
      <c r="F226" t="s">
        <v>547</v>
      </c>
    </row>
    <row r="227" spans="1:6" x14ac:dyDescent="0.25">
      <c r="A227" t="s">
        <v>1</v>
      </c>
      <c r="B227" t="s">
        <v>1432</v>
      </c>
      <c r="C227" t="s">
        <v>87</v>
      </c>
      <c r="D227" t="s">
        <v>226</v>
      </c>
      <c r="E227" t="s">
        <v>446</v>
      </c>
      <c r="F227" t="s">
        <v>547</v>
      </c>
    </row>
    <row r="228" spans="1:6" x14ac:dyDescent="0.25">
      <c r="A228" t="s">
        <v>1</v>
      </c>
      <c r="B228" t="s">
        <v>1432</v>
      </c>
      <c r="C228" t="s">
        <v>87</v>
      </c>
      <c r="D228" t="s">
        <v>227</v>
      </c>
      <c r="E228" t="s">
        <v>447</v>
      </c>
      <c r="F228" t="s">
        <v>547</v>
      </c>
    </row>
    <row r="229" spans="1:6" x14ac:dyDescent="0.25">
      <c r="A229" t="s">
        <v>1</v>
      </c>
      <c r="B229" t="s">
        <v>1432</v>
      </c>
      <c r="C229" t="s">
        <v>87</v>
      </c>
      <c r="D229" t="s">
        <v>203</v>
      </c>
      <c r="E229" t="s">
        <v>448</v>
      </c>
      <c r="F229" t="s">
        <v>548</v>
      </c>
    </row>
    <row r="230" spans="1:6" x14ac:dyDescent="0.25">
      <c r="A230" t="s">
        <v>1</v>
      </c>
      <c r="B230" t="s">
        <v>1433</v>
      </c>
      <c r="C230" t="s">
        <v>88</v>
      </c>
      <c r="D230" t="s">
        <v>228</v>
      </c>
      <c r="E230" t="s">
        <v>449</v>
      </c>
      <c r="F230" t="s">
        <v>547</v>
      </c>
    </row>
    <row r="231" spans="1:6" x14ac:dyDescent="0.25">
      <c r="A231" t="s">
        <v>1</v>
      </c>
      <c r="B231" t="s">
        <v>1433</v>
      </c>
      <c r="C231" t="s">
        <v>88</v>
      </c>
      <c r="D231" t="s">
        <v>201</v>
      </c>
      <c r="E231" t="s">
        <v>450</v>
      </c>
      <c r="F231" t="s">
        <v>548</v>
      </c>
    </row>
    <row r="232" spans="1:6" x14ac:dyDescent="0.25">
      <c r="A232" t="s">
        <v>1</v>
      </c>
      <c r="B232" t="s">
        <v>1433</v>
      </c>
      <c r="C232" t="s">
        <v>88</v>
      </c>
      <c r="D232" t="s">
        <v>229</v>
      </c>
      <c r="E232" t="s">
        <v>451</v>
      </c>
      <c r="F232" t="s">
        <v>548</v>
      </c>
    </row>
    <row r="233" spans="1:6" x14ac:dyDescent="0.25">
      <c r="A233" t="s">
        <v>1</v>
      </c>
      <c r="B233" t="s">
        <v>1433</v>
      </c>
      <c r="C233" t="s">
        <v>88</v>
      </c>
      <c r="D233" t="s">
        <v>230</v>
      </c>
      <c r="E233" t="s">
        <v>452</v>
      </c>
      <c r="F233" t="s">
        <v>548</v>
      </c>
    </row>
    <row r="234" spans="1:6" x14ac:dyDescent="0.25">
      <c r="A234" t="s">
        <v>1</v>
      </c>
      <c r="B234" t="s">
        <v>1433</v>
      </c>
      <c r="C234" t="s">
        <v>88</v>
      </c>
      <c r="D234" t="s">
        <v>223</v>
      </c>
      <c r="E234" t="s">
        <v>453</v>
      </c>
      <c r="F234" t="s">
        <v>547</v>
      </c>
    </row>
    <row r="235" spans="1:6" x14ac:dyDescent="0.25">
      <c r="A235" t="s">
        <v>1</v>
      </c>
      <c r="B235" t="s">
        <v>1433</v>
      </c>
      <c r="C235" t="s">
        <v>88</v>
      </c>
      <c r="D235" t="s">
        <v>231</v>
      </c>
      <c r="E235" t="s">
        <v>417</v>
      </c>
      <c r="F235" t="s">
        <v>547</v>
      </c>
    </row>
    <row r="236" spans="1:6" x14ac:dyDescent="0.25">
      <c r="A236" t="s">
        <v>1</v>
      </c>
      <c r="B236" t="s">
        <v>1433</v>
      </c>
      <c r="C236" t="s">
        <v>88</v>
      </c>
      <c r="D236" t="s">
        <v>203</v>
      </c>
      <c r="E236" t="s">
        <v>454</v>
      </c>
      <c r="F236" t="s">
        <v>548</v>
      </c>
    </row>
    <row r="237" spans="1:6" x14ac:dyDescent="0.25">
      <c r="A237" t="s">
        <v>1</v>
      </c>
      <c r="B237" t="s">
        <v>1433</v>
      </c>
      <c r="C237" t="s">
        <v>89</v>
      </c>
      <c r="D237" t="s">
        <v>232</v>
      </c>
      <c r="E237" t="s">
        <v>455</v>
      </c>
      <c r="F237" t="s">
        <v>547</v>
      </c>
    </row>
    <row r="238" spans="1:6" x14ac:dyDescent="0.25">
      <c r="A238" t="s">
        <v>1</v>
      </c>
      <c r="B238" t="s">
        <v>1433</v>
      </c>
      <c r="C238" t="s">
        <v>89</v>
      </c>
      <c r="D238" t="s">
        <v>233</v>
      </c>
      <c r="E238" t="s">
        <v>456</v>
      </c>
      <c r="F238" t="s">
        <v>547</v>
      </c>
    </row>
    <row r="239" spans="1:6" x14ac:dyDescent="0.25">
      <c r="A239" t="s">
        <v>1</v>
      </c>
      <c r="B239" t="s">
        <v>1433</v>
      </c>
      <c r="C239" t="s">
        <v>89</v>
      </c>
      <c r="D239" t="s">
        <v>234</v>
      </c>
      <c r="E239" t="s">
        <v>457</v>
      </c>
      <c r="F239" t="s">
        <v>547</v>
      </c>
    </row>
    <row r="240" spans="1:6" x14ac:dyDescent="0.25">
      <c r="A240" t="s">
        <v>1</v>
      </c>
      <c r="B240" t="s">
        <v>1433</v>
      </c>
      <c r="C240" t="s">
        <v>89</v>
      </c>
      <c r="D240" t="s">
        <v>235</v>
      </c>
      <c r="E240" t="s">
        <v>458</v>
      </c>
      <c r="F240" t="s">
        <v>548</v>
      </c>
    </row>
    <row r="241" spans="1:6" x14ac:dyDescent="0.25">
      <c r="A241" t="s">
        <v>1</v>
      </c>
      <c r="B241" t="s">
        <v>1433</v>
      </c>
      <c r="C241" t="s">
        <v>89</v>
      </c>
      <c r="D241" t="s">
        <v>214</v>
      </c>
      <c r="E241" t="s">
        <v>459</v>
      </c>
      <c r="F241" t="s">
        <v>547</v>
      </c>
    </row>
    <row r="242" spans="1:6" x14ac:dyDescent="0.25">
      <c r="A242" t="s">
        <v>1</v>
      </c>
      <c r="B242" t="s">
        <v>1433</v>
      </c>
      <c r="C242" t="s">
        <v>90</v>
      </c>
      <c r="D242" t="s">
        <v>236</v>
      </c>
      <c r="E242" t="s">
        <v>460</v>
      </c>
      <c r="F242" t="s">
        <v>547</v>
      </c>
    </row>
    <row r="243" spans="1:6" x14ac:dyDescent="0.25">
      <c r="A243" t="s">
        <v>1</v>
      </c>
      <c r="B243" t="s">
        <v>1433</v>
      </c>
      <c r="C243" t="s">
        <v>90</v>
      </c>
      <c r="D243" t="s">
        <v>236</v>
      </c>
      <c r="E243" t="s">
        <v>461</v>
      </c>
      <c r="F243" t="s">
        <v>547</v>
      </c>
    </row>
    <row r="244" spans="1:6" x14ac:dyDescent="0.25">
      <c r="A244" t="s">
        <v>1</v>
      </c>
      <c r="B244" t="s">
        <v>1433</v>
      </c>
      <c r="C244" t="s">
        <v>90</v>
      </c>
      <c r="D244" t="s">
        <v>237</v>
      </c>
      <c r="E244" t="s">
        <v>462</v>
      </c>
      <c r="F244" t="s">
        <v>547</v>
      </c>
    </row>
    <row r="245" spans="1:6" x14ac:dyDescent="0.25">
      <c r="A245" t="s">
        <v>1</v>
      </c>
      <c r="B245" t="s">
        <v>1433</v>
      </c>
      <c r="C245" t="s">
        <v>90</v>
      </c>
      <c r="D245" t="s">
        <v>238</v>
      </c>
      <c r="E245" t="s">
        <v>463</v>
      </c>
      <c r="F245" t="s">
        <v>547</v>
      </c>
    </row>
    <row r="246" spans="1:6" x14ac:dyDescent="0.25">
      <c r="A246" t="s">
        <v>1</v>
      </c>
      <c r="B246" t="s">
        <v>1434</v>
      </c>
      <c r="C246" t="s">
        <v>91</v>
      </c>
      <c r="D246" t="s">
        <v>229</v>
      </c>
      <c r="E246" t="s">
        <v>464</v>
      </c>
      <c r="F246" t="s">
        <v>548</v>
      </c>
    </row>
    <row r="247" spans="1:6" x14ac:dyDescent="0.25">
      <c r="A247" t="s">
        <v>1</v>
      </c>
      <c r="B247" t="s">
        <v>1434</v>
      </c>
      <c r="C247" t="s">
        <v>91</v>
      </c>
      <c r="D247" t="s">
        <v>230</v>
      </c>
      <c r="E247" t="s">
        <v>465</v>
      </c>
      <c r="F247" t="s">
        <v>548</v>
      </c>
    </row>
    <row r="248" spans="1:6" x14ac:dyDescent="0.25">
      <c r="A248" t="s">
        <v>1</v>
      </c>
      <c r="B248" t="s">
        <v>1434</v>
      </c>
      <c r="C248" t="s">
        <v>91</v>
      </c>
      <c r="D248" t="s">
        <v>231</v>
      </c>
      <c r="E248" t="s">
        <v>466</v>
      </c>
      <c r="F248" t="s">
        <v>547</v>
      </c>
    </row>
    <row r="249" spans="1:6" x14ac:dyDescent="0.25">
      <c r="A249" t="s">
        <v>1</v>
      </c>
      <c r="B249" t="s">
        <v>1434</v>
      </c>
      <c r="C249" t="s">
        <v>91</v>
      </c>
      <c r="D249" t="s">
        <v>239</v>
      </c>
      <c r="E249" t="s">
        <v>467</v>
      </c>
      <c r="F249" t="s">
        <v>547</v>
      </c>
    </row>
    <row r="250" spans="1:6" x14ac:dyDescent="0.25">
      <c r="A250" t="s">
        <v>1</v>
      </c>
      <c r="B250" t="s">
        <v>1434</v>
      </c>
      <c r="C250" t="s">
        <v>91</v>
      </c>
      <c r="D250" t="s">
        <v>224</v>
      </c>
      <c r="E250" t="s">
        <v>468</v>
      </c>
      <c r="F250" t="s">
        <v>547</v>
      </c>
    </row>
    <row r="251" spans="1:6" x14ac:dyDescent="0.25">
      <c r="A251" t="s">
        <v>1</v>
      </c>
      <c r="B251" t="s">
        <v>1434</v>
      </c>
      <c r="C251" t="s">
        <v>91</v>
      </c>
      <c r="D251" t="s">
        <v>211</v>
      </c>
      <c r="E251" t="s">
        <v>469</v>
      </c>
      <c r="F251" t="s">
        <v>547</v>
      </c>
    </row>
    <row r="252" spans="1:6" x14ac:dyDescent="0.25">
      <c r="A252" t="s">
        <v>1</v>
      </c>
      <c r="B252" t="s">
        <v>1434</v>
      </c>
      <c r="C252" t="s">
        <v>92</v>
      </c>
      <c r="D252" t="s">
        <v>228</v>
      </c>
      <c r="E252" t="s">
        <v>470</v>
      </c>
      <c r="F252" t="s">
        <v>547</v>
      </c>
    </row>
    <row r="253" spans="1:6" x14ac:dyDescent="0.25">
      <c r="A253" t="s">
        <v>1</v>
      </c>
      <c r="B253" t="s">
        <v>1434</v>
      </c>
      <c r="C253" t="s">
        <v>92</v>
      </c>
      <c r="D253" t="s">
        <v>234</v>
      </c>
      <c r="E253" t="s">
        <v>471</v>
      </c>
      <c r="F253" t="s">
        <v>547</v>
      </c>
    </row>
    <row r="254" spans="1:6" x14ac:dyDescent="0.25">
      <c r="A254" t="s">
        <v>1</v>
      </c>
      <c r="B254" t="s">
        <v>1434</v>
      </c>
      <c r="C254" t="s">
        <v>92</v>
      </c>
      <c r="D254" t="s">
        <v>230</v>
      </c>
      <c r="E254" t="s">
        <v>472</v>
      </c>
      <c r="F254" t="s">
        <v>548</v>
      </c>
    </row>
    <row r="255" spans="1:6" x14ac:dyDescent="0.25">
      <c r="A255" t="s">
        <v>1</v>
      </c>
      <c r="B255" t="s">
        <v>1434</v>
      </c>
      <c r="C255" t="s">
        <v>92</v>
      </c>
      <c r="D255" t="s">
        <v>235</v>
      </c>
      <c r="E255" t="s">
        <v>473</v>
      </c>
      <c r="F255" t="s">
        <v>548</v>
      </c>
    </row>
    <row r="256" spans="1:6" x14ac:dyDescent="0.25">
      <c r="A256" t="s">
        <v>1</v>
      </c>
      <c r="B256" t="s">
        <v>1434</v>
      </c>
      <c r="C256" t="s">
        <v>92</v>
      </c>
      <c r="D256" t="s">
        <v>211</v>
      </c>
      <c r="E256" t="s">
        <v>474</v>
      </c>
      <c r="F256" t="s">
        <v>547</v>
      </c>
    </row>
    <row r="257" spans="1:6" x14ac:dyDescent="0.25">
      <c r="A257" t="s">
        <v>1</v>
      </c>
      <c r="B257" t="s">
        <v>1434</v>
      </c>
      <c r="C257" t="s">
        <v>92</v>
      </c>
      <c r="D257" t="s">
        <v>240</v>
      </c>
      <c r="E257" t="s">
        <v>475</v>
      </c>
      <c r="F257" t="s">
        <v>548</v>
      </c>
    </row>
    <row r="258" spans="1:6" x14ac:dyDescent="0.25">
      <c r="A258" t="s">
        <v>1</v>
      </c>
      <c r="B258" t="s">
        <v>1435</v>
      </c>
      <c r="C258" t="s">
        <v>93</v>
      </c>
      <c r="D258" t="s">
        <v>241</v>
      </c>
      <c r="E258" t="s">
        <v>476</v>
      </c>
      <c r="F258" t="s">
        <v>548</v>
      </c>
    </row>
    <row r="259" spans="1:6" x14ac:dyDescent="0.25">
      <c r="A259" t="s">
        <v>1</v>
      </c>
      <c r="B259" t="s">
        <v>1435</v>
      </c>
      <c r="C259" t="s">
        <v>93</v>
      </c>
      <c r="D259" t="s">
        <v>242</v>
      </c>
      <c r="E259" t="s">
        <v>477</v>
      </c>
      <c r="F259" t="s">
        <v>548</v>
      </c>
    </row>
    <row r="260" spans="1:6" x14ac:dyDescent="0.25">
      <c r="A260" t="s">
        <v>1</v>
      </c>
      <c r="B260" t="s">
        <v>1435</v>
      </c>
      <c r="C260" t="s">
        <v>93</v>
      </c>
      <c r="D260" t="s">
        <v>221</v>
      </c>
      <c r="E260" t="s">
        <v>478</v>
      </c>
      <c r="F260" t="s">
        <v>547</v>
      </c>
    </row>
    <row r="261" spans="1:6" x14ac:dyDescent="0.25">
      <c r="A261" t="s">
        <v>1</v>
      </c>
      <c r="B261" t="s">
        <v>1435</v>
      </c>
      <c r="C261" t="s">
        <v>93</v>
      </c>
      <c r="D261" t="s">
        <v>231</v>
      </c>
      <c r="E261" t="s">
        <v>479</v>
      </c>
      <c r="F261" t="s">
        <v>547</v>
      </c>
    </row>
    <row r="262" spans="1:6" x14ac:dyDescent="0.25">
      <c r="A262" t="s">
        <v>1</v>
      </c>
      <c r="B262" t="s">
        <v>1435</v>
      </c>
      <c r="C262" t="s">
        <v>93</v>
      </c>
      <c r="D262" t="s">
        <v>208</v>
      </c>
      <c r="E262" t="s">
        <v>480</v>
      </c>
      <c r="F262" t="s">
        <v>547</v>
      </c>
    </row>
    <row r="263" spans="1:6" x14ac:dyDescent="0.25">
      <c r="A263" t="s">
        <v>1</v>
      </c>
      <c r="B263" t="s">
        <v>1435</v>
      </c>
      <c r="C263" t="s">
        <v>93</v>
      </c>
      <c r="D263" t="s">
        <v>211</v>
      </c>
      <c r="E263" t="s">
        <v>481</v>
      </c>
      <c r="F263" t="s">
        <v>547</v>
      </c>
    </row>
    <row r="264" spans="1:6" x14ac:dyDescent="0.25">
      <c r="A264" t="s">
        <v>1</v>
      </c>
      <c r="B264" t="s">
        <v>1435</v>
      </c>
      <c r="C264" t="s">
        <v>93</v>
      </c>
      <c r="D264" t="s">
        <v>205</v>
      </c>
      <c r="E264" t="s">
        <v>415</v>
      </c>
      <c r="F264" t="s">
        <v>548</v>
      </c>
    </row>
    <row r="265" spans="1:6" x14ac:dyDescent="0.25">
      <c r="A265" t="s">
        <v>1</v>
      </c>
      <c r="B265" t="s">
        <v>1435</v>
      </c>
      <c r="C265" t="s">
        <v>94</v>
      </c>
      <c r="D265" t="s">
        <v>241</v>
      </c>
      <c r="E265" t="s">
        <v>482</v>
      </c>
      <c r="F265" t="s">
        <v>548</v>
      </c>
    </row>
    <row r="266" spans="1:6" x14ac:dyDescent="0.25">
      <c r="A266" t="s">
        <v>1</v>
      </c>
      <c r="B266" t="s">
        <v>1435</v>
      </c>
      <c r="C266" t="s">
        <v>94</v>
      </c>
      <c r="D266" t="s">
        <v>243</v>
      </c>
      <c r="E266" t="s">
        <v>483</v>
      </c>
      <c r="F266" t="s">
        <v>547</v>
      </c>
    </row>
    <row r="267" spans="1:6" x14ac:dyDescent="0.25">
      <c r="A267" t="s">
        <v>1</v>
      </c>
      <c r="B267" t="s">
        <v>1435</v>
      </c>
      <c r="C267" t="s">
        <v>94</v>
      </c>
      <c r="D267" t="s">
        <v>244</v>
      </c>
      <c r="E267" t="s">
        <v>484</v>
      </c>
      <c r="F267" t="s">
        <v>548</v>
      </c>
    </row>
    <row r="268" spans="1:6" x14ac:dyDescent="0.25">
      <c r="A268" t="s">
        <v>1</v>
      </c>
      <c r="B268" t="s">
        <v>1435</v>
      </c>
      <c r="C268" t="s">
        <v>94</v>
      </c>
      <c r="D268" t="s">
        <v>205</v>
      </c>
      <c r="E268" t="s">
        <v>485</v>
      </c>
      <c r="F268" t="s">
        <v>548</v>
      </c>
    </row>
    <row r="269" spans="1:6" x14ac:dyDescent="0.25">
      <c r="A269" t="s">
        <v>1</v>
      </c>
      <c r="B269" t="s">
        <v>1435</v>
      </c>
      <c r="C269" t="s">
        <v>94</v>
      </c>
      <c r="D269" t="s">
        <v>245</v>
      </c>
      <c r="E269" t="s">
        <v>307</v>
      </c>
      <c r="F269" t="s">
        <v>547</v>
      </c>
    </row>
    <row r="270" spans="1:6" x14ac:dyDescent="0.25">
      <c r="A270" t="s">
        <v>1</v>
      </c>
      <c r="B270" t="s">
        <v>1436</v>
      </c>
      <c r="C270" t="s">
        <v>95</v>
      </c>
      <c r="D270" t="s">
        <v>133</v>
      </c>
      <c r="E270" t="s">
        <v>486</v>
      </c>
      <c r="F270" t="s">
        <v>547</v>
      </c>
    </row>
    <row r="271" spans="1:6" x14ac:dyDescent="0.25">
      <c r="A271" t="s">
        <v>1</v>
      </c>
      <c r="B271" t="s">
        <v>1436</v>
      </c>
      <c r="C271" t="s">
        <v>95</v>
      </c>
      <c r="D271" t="s">
        <v>180</v>
      </c>
      <c r="E271" t="s">
        <v>487</v>
      </c>
      <c r="F271" t="s">
        <v>547</v>
      </c>
    </row>
    <row r="272" spans="1:6" x14ac:dyDescent="0.25">
      <c r="A272" t="s">
        <v>1</v>
      </c>
      <c r="B272" t="s">
        <v>1436</v>
      </c>
      <c r="C272" t="s">
        <v>95</v>
      </c>
      <c r="D272" t="s">
        <v>138</v>
      </c>
      <c r="E272" t="s">
        <v>488</v>
      </c>
      <c r="F272" t="s">
        <v>547</v>
      </c>
    </row>
    <row r="273" spans="1:6" x14ac:dyDescent="0.25">
      <c r="A273" t="s">
        <v>1</v>
      </c>
      <c r="B273" t="s">
        <v>1436</v>
      </c>
      <c r="C273" t="s">
        <v>95</v>
      </c>
      <c r="D273" t="s">
        <v>246</v>
      </c>
      <c r="E273" t="s">
        <v>489</v>
      </c>
      <c r="F273" t="s">
        <v>547</v>
      </c>
    </row>
    <row r="274" spans="1:6" x14ac:dyDescent="0.25">
      <c r="A274" t="s">
        <v>1</v>
      </c>
      <c r="B274" t="s">
        <v>1436</v>
      </c>
      <c r="C274" t="s">
        <v>95</v>
      </c>
      <c r="D274" t="s">
        <v>136</v>
      </c>
      <c r="E274" t="s">
        <v>490</v>
      </c>
      <c r="F274" t="s">
        <v>548</v>
      </c>
    </row>
    <row r="275" spans="1:6" x14ac:dyDescent="0.25">
      <c r="A275" t="s">
        <v>1</v>
      </c>
      <c r="B275" t="s">
        <v>1436</v>
      </c>
      <c r="C275" t="s">
        <v>95</v>
      </c>
      <c r="D275" t="s">
        <v>178</v>
      </c>
      <c r="E275" t="s">
        <v>491</v>
      </c>
      <c r="F275" t="s">
        <v>547</v>
      </c>
    </row>
    <row r="276" spans="1:6" x14ac:dyDescent="0.25">
      <c r="A276" t="s">
        <v>1</v>
      </c>
      <c r="B276" t="s">
        <v>1436</v>
      </c>
      <c r="C276" t="s">
        <v>96</v>
      </c>
      <c r="D276" t="s">
        <v>142</v>
      </c>
      <c r="E276" t="s">
        <v>492</v>
      </c>
      <c r="F276" t="s">
        <v>547</v>
      </c>
    </row>
    <row r="277" spans="1:6" x14ac:dyDescent="0.25">
      <c r="A277" t="s">
        <v>1</v>
      </c>
      <c r="B277" t="s">
        <v>1436</v>
      </c>
      <c r="C277" t="s">
        <v>96</v>
      </c>
      <c r="D277" t="s">
        <v>246</v>
      </c>
      <c r="E277" t="s">
        <v>493</v>
      </c>
      <c r="F277" t="s">
        <v>547</v>
      </c>
    </row>
    <row r="278" spans="1:6" x14ac:dyDescent="0.25">
      <c r="A278" t="s">
        <v>1</v>
      </c>
      <c r="B278" t="s">
        <v>1436</v>
      </c>
      <c r="C278" t="s">
        <v>96</v>
      </c>
      <c r="D278" t="s">
        <v>181</v>
      </c>
      <c r="E278" t="s">
        <v>494</v>
      </c>
      <c r="F278" t="s">
        <v>548</v>
      </c>
    </row>
    <row r="279" spans="1:6" x14ac:dyDescent="0.25">
      <c r="A279" t="s">
        <v>1</v>
      </c>
      <c r="B279" t="s">
        <v>1436</v>
      </c>
      <c r="C279" t="s">
        <v>96</v>
      </c>
      <c r="D279" t="s">
        <v>137</v>
      </c>
      <c r="E279" t="s">
        <v>495</v>
      </c>
      <c r="F279" t="s">
        <v>547</v>
      </c>
    </row>
    <row r="280" spans="1:6" x14ac:dyDescent="0.25">
      <c r="A280" t="s">
        <v>1</v>
      </c>
      <c r="B280" t="s">
        <v>1436</v>
      </c>
      <c r="C280" t="s">
        <v>96</v>
      </c>
      <c r="D280" t="s">
        <v>177</v>
      </c>
      <c r="E280" t="s">
        <v>496</v>
      </c>
      <c r="F280" t="s">
        <v>548</v>
      </c>
    </row>
    <row r="281" spans="1:6" x14ac:dyDescent="0.25">
      <c r="A281" t="s">
        <v>1</v>
      </c>
      <c r="B281" t="s">
        <v>1436</v>
      </c>
      <c r="C281" t="s">
        <v>96</v>
      </c>
      <c r="D281" t="s">
        <v>178</v>
      </c>
      <c r="E281" t="s">
        <v>497</v>
      </c>
      <c r="F281" t="s">
        <v>547</v>
      </c>
    </row>
    <row r="282" spans="1:6" x14ac:dyDescent="0.25">
      <c r="A282" t="s">
        <v>1</v>
      </c>
      <c r="B282" t="s">
        <v>1437</v>
      </c>
      <c r="C282" t="s">
        <v>97</v>
      </c>
      <c r="D282" t="s">
        <v>247</v>
      </c>
      <c r="E282" t="s">
        <v>498</v>
      </c>
      <c r="F282" t="s">
        <v>547</v>
      </c>
    </row>
    <row r="283" spans="1:6" x14ac:dyDescent="0.25">
      <c r="A283" t="s">
        <v>1</v>
      </c>
      <c r="B283" t="s">
        <v>1437</v>
      </c>
      <c r="C283" t="s">
        <v>97</v>
      </c>
      <c r="D283" t="s">
        <v>248</v>
      </c>
      <c r="E283" t="s">
        <v>499</v>
      </c>
      <c r="F283" t="s">
        <v>548</v>
      </c>
    </row>
    <row r="284" spans="1:6" x14ac:dyDescent="0.25">
      <c r="A284" t="s">
        <v>1</v>
      </c>
      <c r="B284" t="s">
        <v>1437</v>
      </c>
      <c r="C284" t="s">
        <v>97</v>
      </c>
      <c r="D284" t="s">
        <v>249</v>
      </c>
      <c r="E284" t="s">
        <v>500</v>
      </c>
      <c r="F284" t="s">
        <v>548</v>
      </c>
    </row>
    <row r="285" spans="1:6" x14ac:dyDescent="0.25">
      <c r="A285" t="s">
        <v>1</v>
      </c>
      <c r="B285" t="s">
        <v>1437</v>
      </c>
      <c r="C285" t="s">
        <v>97</v>
      </c>
      <c r="D285" t="s">
        <v>250</v>
      </c>
      <c r="E285" t="s">
        <v>501</v>
      </c>
      <c r="F285" t="s">
        <v>547</v>
      </c>
    </row>
    <row r="286" spans="1:6" x14ac:dyDescent="0.25">
      <c r="A286" t="s">
        <v>1</v>
      </c>
      <c r="B286" t="s">
        <v>1437</v>
      </c>
      <c r="C286" t="s">
        <v>97</v>
      </c>
      <c r="D286" t="s">
        <v>251</v>
      </c>
      <c r="E286" t="s">
        <v>502</v>
      </c>
      <c r="F286" t="s">
        <v>547</v>
      </c>
    </row>
    <row r="287" spans="1:6" x14ac:dyDescent="0.25">
      <c r="A287" t="s">
        <v>1</v>
      </c>
      <c r="B287" t="s">
        <v>1437</v>
      </c>
      <c r="C287" t="s">
        <v>97</v>
      </c>
      <c r="D287" t="s">
        <v>252</v>
      </c>
      <c r="E287" t="s">
        <v>503</v>
      </c>
      <c r="F287" t="s">
        <v>548</v>
      </c>
    </row>
    <row r="288" spans="1:6" x14ac:dyDescent="0.25">
      <c r="A288" t="s">
        <v>1</v>
      </c>
      <c r="B288" t="s">
        <v>1437</v>
      </c>
      <c r="C288" t="s">
        <v>98</v>
      </c>
      <c r="D288" t="s">
        <v>253</v>
      </c>
      <c r="E288" t="s">
        <v>504</v>
      </c>
      <c r="F288" t="s">
        <v>547</v>
      </c>
    </row>
    <row r="289" spans="1:6" x14ac:dyDescent="0.25">
      <c r="A289" t="s">
        <v>1</v>
      </c>
      <c r="B289" t="s">
        <v>1437</v>
      </c>
      <c r="C289" t="s">
        <v>98</v>
      </c>
      <c r="D289" t="s">
        <v>254</v>
      </c>
      <c r="E289" t="s">
        <v>505</v>
      </c>
      <c r="F289" t="s">
        <v>548</v>
      </c>
    </row>
    <row r="290" spans="1:6" x14ac:dyDescent="0.25">
      <c r="A290" t="s">
        <v>1</v>
      </c>
      <c r="B290" t="s">
        <v>1437</v>
      </c>
      <c r="C290" t="s">
        <v>98</v>
      </c>
      <c r="D290" t="s">
        <v>255</v>
      </c>
      <c r="E290" t="s">
        <v>506</v>
      </c>
      <c r="F290" t="s">
        <v>548</v>
      </c>
    </row>
    <row r="291" spans="1:6" x14ac:dyDescent="0.25">
      <c r="A291" t="s">
        <v>1</v>
      </c>
      <c r="B291" t="s">
        <v>1437</v>
      </c>
      <c r="C291" t="s">
        <v>98</v>
      </c>
      <c r="D291" t="s">
        <v>251</v>
      </c>
      <c r="E291" t="s">
        <v>507</v>
      </c>
      <c r="F291" t="s">
        <v>547</v>
      </c>
    </row>
    <row r="292" spans="1:6" x14ac:dyDescent="0.25">
      <c r="A292" t="s">
        <v>1</v>
      </c>
      <c r="B292" t="s">
        <v>1437</v>
      </c>
      <c r="C292" t="s">
        <v>98</v>
      </c>
      <c r="D292" t="s">
        <v>256</v>
      </c>
      <c r="E292" t="s">
        <v>508</v>
      </c>
      <c r="F292" t="s">
        <v>547</v>
      </c>
    </row>
    <row r="293" spans="1:6" x14ac:dyDescent="0.25">
      <c r="A293" t="s">
        <v>1</v>
      </c>
      <c r="B293" t="s">
        <v>1437</v>
      </c>
      <c r="C293" t="s">
        <v>98</v>
      </c>
      <c r="D293" t="s">
        <v>257</v>
      </c>
      <c r="E293" t="s">
        <v>509</v>
      </c>
      <c r="F293" t="s">
        <v>548</v>
      </c>
    </row>
    <row r="294" spans="1:6" x14ac:dyDescent="0.25">
      <c r="A294" t="s">
        <v>1</v>
      </c>
      <c r="B294" t="s">
        <v>1437</v>
      </c>
      <c r="C294" t="s">
        <v>98</v>
      </c>
      <c r="D294" t="s">
        <v>258</v>
      </c>
      <c r="E294" t="s">
        <v>510</v>
      </c>
      <c r="F294" t="s">
        <v>548</v>
      </c>
    </row>
    <row r="295" spans="1:6" x14ac:dyDescent="0.25">
      <c r="A295" t="s">
        <v>1</v>
      </c>
      <c r="B295" t="s">
        <v>1437</v>
      </c>
      <c r="C295" t="s">
        <v>99</v>
      </c>
      <c r="D295" t="s">
        <v>259</v>
      </c>
      <c r="E295" t="s">
        <v>511</v>
      </c>
      <c r="F295" t="s">
        <v>548</v>
      </c>
    </row>
    <row r="296" spans="1:6" x14ac:dyDescent="0.25">
      <c r="A296" t="s">
        <v>1</v>
      </c>
      <c r="B296" t="s">
        <v>1437</v>
      </c>
      <c r="C296" t="s">
        <v>99</v>
      </c>
      <c r="D296" t="s">
        <v>244</v>
      </c>
      <c r="E296" t="s">
        <v>512</v>
      </c>
      <c r="F296" t="s">
        <v>548</v>
      </c>
    </row>
    <row r="297" spans="1:6" x14ac:dyDescent="0.25">
      <c r="A297" t="s">
        <v>1</v>
      </c>
      <c r="B297" t="s">
        <v>1437</v>
      </c>
      <c r="C297" t="s">
        <v>99</v>
      </c>
      <c r="D297" t="s">
        <v>260</v>
      </c>
      <c r="E297" t="s">
        <v>513</v>
      </c>
      <c r="F297" t="s">
        <v>548</v>
      </c>
    </row>
    <row r="298" spans="1:6" x14ac:dyDescent="0.25">
      <c r="A298" t="s">
        <v>1</v>
      </c>
      <c r="B298" t="s">
        <v>1437</v>
      </c>
      <c r="C298" t="s">
        <v>99</v>
      </c>
      <c r="D298" t="s">
        <v>261</v>
      </c>
      <c r="E298" t="s">
        <v>514</v>
      </c>
      <c r="F298" t="s">
        <v>547</v>
      </c>
    </row>
    <row r="299" spans="1:6" x14ac:dyDescent="0.25">
      <c r="A299" t="s">
        <v>1</v>
      </c>
      <c r="B299" t="s">
        <v>1437</v>
      </c>
      <c r="C299" t="s">
        <v>99</v>
      </c>
      <c r="D299" t="s">
        <v>255</v>
      </c>
      <c r="E299" t="s">
        <v>515</v>
      </c>
      <c r="F299" t="s">
        <v>548</v>
      </c>
    </row>
    <row r="300" spans="1:6" x14ac:dyDescent="0.25">
      <c r="A300" t="s">
        <v>1</v>
      </c>
      <c r="B300" t="s">
        <v>1437</v>
      </c>
      <c r="C300" t="s">
        <v>99</v>
      </c>
      <c r="D300" t="s">
        <v>262</v>
      </c>
      <c r="E300" t="s">
        <v>516</v>
      </c>
      <c r="F300" t="s">
        <v>547</v>
      </c>
    </row>
    <row r="301" spans="1:6" x14ac:dyDescent="0.25">
      <c r="A301" t="s">
        <v>1</v>
      </c>
      <c r="B301" t="s">
        <v>1437</v>
      </c>
      <c r="C301" t="s">
        <v>100</v>
      </c>
      <c r="D301" t="s">
        <v>263</v>
      </c>
      <c r="E301" t="s">
        <v>517</v>
      </c>
      <c r="F301" t="s">
        <v>547</v>
      </c>
    </row>
    <row r="302" spans="1:6" x14ac:dyDescent="0.25">
      <c r="A302" t="s">
        <v>1</v>
      </c>
      <c r="B302" t="s">
        <v>1437</v>
      </c>
      <c r="C302" t="s">
        <v>100</v>
      </c>
      <c r="D302" t="s">
        <v>264</v>
      </c>
      <c r="E302" t="s">
        <v>518</v>
      </c>
      <c r="F302" t="s">
        <v>548</v>
      </c>
    </row>
    <row r="303" spans="1:6" x14ac:dyDescent="0.25">
      <c r="A303" t="s">
        <v>1</v>
      </c>
      <c r="B303" t="s">
        <v>1437</v>
      </c>
      <c r="C303" t="s">
        <v>100</v>
      </c>
      <c r="D303" t="s">
        <v>250</v>
      </c>
      <c r="E303" t="s">
        <v>519</v>
      </c>
      <c r="F303" t="s">
        <v>547</v>
      </c>
    </row>
    <row r="304" spans="1:6" x14ac:dyDescent="0.25">
      <c r="A304" t="s">
        <v>1</v>
      </c>
      <c r="B304" t="s">
        <v>1437</v>
      </c>
      <c r="C304" t="s">
        <v>100</v>
      </c>
      <c r="D304" t="s">
        <v>265</v>
      </c>
      <c r="E304" t="s">
        <v>520</v>
      </c>
      <c r="F304" t="s">
        <v>547</v>
      </c>
    </row>
    <row r="305" spans="1:6" x14ac:dyDescent="0.25">
      <c r="A305" t="s">
        <v>1</v>
      </c>
      <c r="B305" t="s">
        <v>1437</v>
      </c>
      <c r="C305" t="s">
        <v>100</v>
      </c>
      <c r="D305" t="s">
        <v>266</v>
      </c>
      <c r="E305" t="s">
        <v>521</v>
      </c>
      <c r="F305" t="s">
        <v>548</v>
      </c>
    </row>
    <row r="306" spans="1:6" x14ac:dyDescent="0.25">
      <c r="A306" t="s">
        <v>1</v>
      </c>
      <c r="B306" t="s">
        <v>1437</v>
      </c>
      <c r="C306" t="s">
        <v>100</v>
      </c>
      <c r="D306" t="s">
        <v>267</v>
      </c>
      <c r="E306" t="s">
        <v>522</v>
      </c>
      <c r="F306" t="s">
        <v>547</v>
      </c>
    </row>
    <row r="307" spans="1:6" x14ac:dyDescent="0.25">
      <c r="A307" t="s">
        <v>1</v>
      </c>
      <c r="B307" t="s">
        <v>1438</v>
      </c>
      <c r="C307" t="s">
        <v>101</v>
      </c>
      <c r="D307" t="s">
        <v>268</v>
      </c>
      <c r="E307" t="s">
        <v>523</v>
      </c>
      <c r="F307" t="s">
        <v>547</v>
      </c>
    </row>
    <row r="308" spans="1:6" x14ac:dyDescent="0.25">
      <c r="A308" t="s">
        <v>1</v>
      </c>
      <c r="B308" t="s">
        <v>1438</v>
      </c>
      <c r="C308" t="s">
        <v>101</v>
      </c>
      <c r="D308" t="s">
        <v>269</v>
      </c>
      <c r="E308" t="s">
        <v>524</v>
      </c>
      <c r="F308" t="s">
        <v>547</v>
      </c>
    </row>
    <row r="309" spans="1:6" x14ac:dyDescent="0.25">
      <c r="A309" t="s">
        <v>1</v>
      </c>
      <c r="B309" t="s">
        <v>1438</v>
      </c>
      <c r="C309" t="s">
        <v>101</v>
      </c>
      <c r="D309" t="s">
        <v>270</v>
      </c>
      <c r="E309" t="s">
        <v>525</v>
      </c>
      <c r="F309" t="s">
        <v>547</v>
      </c>
    </row>
    <row r="310" spans="1:6" x14ac:dyDescent="0.25">
      <c r="A310" t="s">
        <v>1</v>
      </c>
      <c r="B310" t="s">
        <v>1438</v>
      </c>
      <c r="C310" t="s">
        <v>101</v>
      </c>
      <c r="D310" t="s">
        <v>271</v>
      </c>
      <c r="E310" t="s">
        <v>526</v>
      </c>
      <c r="F310" t="s">
        <v>548</v>
      </c>
    </row>
    <row r="311" spans="1:6" x14ac:dyDescent="0.25">
      <c r="A311" t="s">
        <v>1</v>
      </c>
      <c r="B311" t="s">
        <v>1438</v>
      </c>
      <c r="C311" t="s">
        <v>101</v>
      </c>
      <c r="D311" t="s">
        <v>272</v>
      </c>
      <c r="E311" t="s">
        <v>527</v>
      </c>
      <c r="F311" t="s">
        <v>548</v>
      </c>
    </row>
    <row r="312" spans="1:6" x14ac:dyDescent="0.25">
      <c r="A312" t="s">
        <v>1</v>
      </c>
      <c r="B312" t="s">
        <v>1438</v>
      </c>
      <c r="C312" t="s">
        <v>101</v>
      </c>
      <c r="D312" t="s">
        <v>273</v>
      </c>
      <c r="E312" t="s">
        <v>528</v>
      </c>
      <c r="F312" t="s">
        <v>547</v>
      </c>
    </row>
    <row r="313" spans="1:6" x14ac:dyDescent="0.25">
      <c r="A313" t="s">
        <v>1</v>
      </c>
      <c r="B313" t="s">
        <v>1438</v>
      </c>
      <c r="C313" t="s">
        <v>102</v>
      </c>
      <c r="D313" t="s">
        <v>274</v>
      </c>
      <c r="E313" t="s">
        <v>529</v>
      </c>
      <c r="F313" t="s">
        <v>547</v>
      </c>
    </row>
    <row r="314" spans="1:6" x14ac:dyDescent="0.25">
      <c r="A314" t="s">
        <v>1</v>
      </c>
      <c r="B314" t="s">
        <v>1438</v>
      </c>
      <c r="C314" t="s">
        <v>102</v>
      </c>
      <c r="D314" t="s">
        <v>275</v>
      </c>
      <c r="E314" t="s">
        <v>530</v>
      </c>
      <c r="F314" t="s">
        <v>548</v>
      </c>
    </row>
    <row r="315" spans="1:6" x14ac:dyDescent="0.25">
      <c r="A315" t="s">
        <v>1</v>
      </c>
      <c r="B315" t="s">
        <v>1438</v>
      </c>
      <c r="C315" t="s">
        <v>102</v>
      </c>
      <c r="D315" t="s">
        <v>268</v>
      </c>
      <c r="E315" t="s">
        <v>531</v>
      </c>
      <c r="F315" t="s">
        <v>547</v>
      </c>
    </row>
    <row r="316" spans="1:6" x14ac:dyDescent="0.25">
      <c r="A316" t="s">
        <v>1</v>
      </c>
      <c r="B316" t="s">
        <v>1438</v>
      </c>
      <c r="C316" t="s">
        <v>102</v>
      </c>
      <c r="D316" t="s">
        <v>270</v>
      </c>
      <c r="E316" t="s">
        <v>532</v>
      </c>
      <c r="F316" t="s">
        <v>547</v>
      </c>
    </row>
    <row r="317" spans="1:6" x14ac:dyDescent="0.25">
      <c r="A317" t="s">
        <v>1</v>
      </c>
      <c r="B317" t="s">
        <v>1438</v>
      </c>
      <c r="C317" t="s">
        <v>102</v>
      </c>
      <c r="D317" t="s">
        <v>276</v>
      </c>
      <c r="E317" t="s">
        <v>533</v>
      </c>
      <c r="F317" t="s">
        <v>548</v>
      </c>
    </row>
    <row r="318" spans="1:6" x14ac:dyDescent="0.25">
      <c r="A318" t="s">
        <v>1</v>
      </c>
      <c r="B318" t="s">
        <v>1438</v>
      </c>
      <c r="C318" t="s">
        <v>102</v>
      </c>
      <c r="D318" t="s">
        <v>277</v>
      </c>
      <c r="E318" t="s">
        <v>534</v>
      </c>
      <c r="F318" t="s">
        <v>548</v>
      </c>
    </row>
    <row r="319" spans="1:6" x14ac:dyDescent="0.25">
      <c r="A319" t="s">
        <v>1</v>
      </c>
      <c r="B319" t="s">
        <v>1438</v>
      </c>
      <c r="C319" t="s">
        <v>103</v>
      </c>
      <c r="D319" t="s">
        <v>278</v>
      </c>
      <c r="E319" t="s">
        <v>535</v>
      </c>
      <c r="F319" t="s">
        <v>547</v>
      </c>
    </row>
    <row r="320" spans="1:6" x14ac:dyDescent="0.25">
      <c r="A320" t="s">
        <v>1</v>
      </c>
      <c r="B320" t="s">
        <v>1438</v>
      </c>
      <c r="C320" t="s">
        <v>103</v>
      </c>
      <c r="D320" t="s">
        <v>250</v>
      </c>
      <c r="E320" t="s">
        <v>536</v>
      </c>
      <c r="F320" t="s">
        <v>547</v>
      </c>
    </row>
    <row r="321" spans="1:6" x14ac:dyDescent="0.25">
      <c r="A321" t="s">
        <v>1</v>
      </c>
      <c r="B321" t="s">
        <v>1438</v>
      </c>
      <c r="C321" t="s">
        <v>103</v>
      </c>
      <c r="D321" t="s">
        <v>279</v>
      </c>
      <c r="E321" t="s">
        <v>537</v>
      </c>
      <c r="F321" t="s">
        <v>547</v>
      </c>
    </row>
    <row r="322" spans="1:6" x14ac:dyDescent="0.25">
      <c r="A322" t="s">
        <v>1</v>
      </c>
      <c r="B322" t="s">
        <v>1438</v>
      </c>
      <c r="C322" t="s">
        <v>103</v>
      </c>
      <c r="D322" t="s">
        <v>280</v>
      </c>
      <c r="E322" t="s">
        <v>538</v>
      </c>
      <c r="F322" t="s">
        <v>548</v>
      </c>
    </row>
    <row r="323" spans="1:6" x14ac:dyDescent="0.25">
      <c r="A323" t="s">
        <v>1</v>
      </c>
      <c r="B323" t="s">
        <v>1438</v>
      </c>
      <c r="C323" t="s">
        <v>103</v>
      </c>
      <c r="D323" t="s">
        <v>273</v>
      </c>
      <c r="E323" t="s">
        <v>539</v>
      </c>
      <c r="F323" t="s">
        <v>547</v>
      </c>
    </row>
    <row r="324" spans="1:6" x14ac:dyDescent="0.25">
      <c r="A324" t="s">
        <v>1</v>
      </c>
      <c r="B324" t="s">
        <v>1438</v>
      </c>
      <c r="C324" t="s">
        <v>104</v>
      </c>
      <c r="D324" t="s">
        <v>281</v>
      </c>
      <c r="E324" t="s">
        <v>540</v>
      </c>
      <c r="F324" t="s">
        <v>547</v>
      </c>
    </row>
    <row r="325" spans="1:6" x14ac:dyDescent="0.25">
      <c r="A325" t="s">
        <v>1</v>
      </c>
      <c r="B325" t="s">
        <v>1438</v>
      </c>
      <c r="C325" t="s">
        <v>104</v>
      </c>
      <c r="D325" t="s">
        <v>282</v>
      </c>
      <c r="E325" t="s">
        <v>541</v>
      </c>
      <c r="F325" t="s">
        <v>548</v>
      </c>
    </row>
    <row r="326" spans="1:6" x14ac:dyDescent="0.25">
      <c r="A326" t="s">
        <v>1</v>
      </c>
      <c r="B326" t="s">
        <v>1438</v>
      </c>
      <c r="C326" t="s">
        <v>104</v>
      </c>
      <c r="D326" t="s">
        <v>250</v>
      </c>
      <c r="E326" t="s">
        <v>542</v>
      </c>
      <c r="F326" t="s">
        <v>547</v>
      </c>
    </row>
    <row r="327" spans="1:6" x14ac:dyDescent="0.25">
      <c r="A327" t="s">
        <v>1</v>
      </c>
      <c r="B327" t="s">
        <v>1438</v>
      </c>
      <c r="C327" t="s">
        <v>104</v>
      </c>
      <c r="D327" t="s">
        <v>271</v>
      </c>
      <c r="E327" t="s">
        <v>543</v>
      </c>
      <c r="F327" t="s">
        <v>548</v>
      </c>
    </row>
    <row r="328" spans="1:6" x14ac:dyDescent="0.25">
      <c r="A328" t="s">
        <v>1</v>
      </c>
      <c r="B328" t="s">
        <v>1438</v>
      </c>
      <c r="C328" t="s">
        <v>104</v>
      </c>
      <c r="D328" t="s">
        <v>283</v>
      </c>
      <c r="E328" t="s">
        <v>544</v>
      </c>
      <c r="F328" t="s">
        <v>547</v>
      </c>
    </row>
    <row r="329" spans="1:6" x14ac:dyDescent="0.25">
      <c r="A329" t="s">
        <v>1</v>
      </c>
      <c r="B329" t="s">
        <v>1438</v>
      </c>
      <c r="C329" t="s">
        <v>104</v>
      </c>
      <c r="D329" t="s">
        <v>257</v>
      </c>
      <c r="E329" t="s">
        <v>545</v>
      </c>
      <c r="F329" t="s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72B2-7DAF-411E-8013-FEA0DF3FD02D}">
  <dimension ref="A1:L201"/>
  <sheetViews>
    <sheetView tabSelected="1" workbookViewId="0">
      <selection activeCell="F36" sqref="F36"/>
    </sheetView>
  </sheetViews>
  <sheetFormatPr baseColWidth="10" defaultRowHeight="15" x14ac:dyDescent="0.25"/>
  <cols>
    <col min="1" max="1" width="5" bestFit="1" customWidth="1"/>
    <col min="2" max="2" width="14.140625" customWidth="1"/>
    <col min="3" max="3" width="30.85546875" bestFit="1" customWidth="1"/>
    <col min="4" max="4" width="10" bestFit="1" customWidth="1"/>
    <col min="5" max="5" width="15.140625" bestFit="1" customWidth="1"/>
    <col min="6" max="6" width="40.28515625" bestFit="1" customWidth="1"/>
    <col min="7" max="7" width="11.5703125" bestFit="1" customWidth="1"/>
    <col min="8" max="8" width="5.85546875" bestFit="1" customWidth="1"/>
    <col min="9" max="9" width="11.28515625" bestFit="1" customWidth="1"/>
    <col min="10" max="10" width="8.5703125" bestFit="1" customWidth="1"/>
    <col min="11" max="11" width="157.7109375" bestFit="1" customWidth="1"/>
    <col min="12" max="12" width="255.7109375" bestFit="1" customWidth="1"/>
  </cols>
  <sheetData>
    <row r="1" spans="1:12" x14ac:dyDescent="0.25">
      <c r="A1" s="2" t="s">
        <v>1139</v>
      </c>
      <c r="B1" s="2" t="s">
        <v>556</v>
      </c>
      <c r="C1" s="2" t="s">
        <v>554</v>
      </c>
      <c r="D1" s="2" t="s">
        <v>557</v>
      </c>
      <c r="E1" s="2" t="s">
        <v>558</v>
      </c>
      <c r="F1" s="2" t="s">
        <v>105</v>
      </c>
      <c r="G1" s="2" t="s">
        <v>559</v>
      </c>
      <c r="H1" s="2" t="s">
        <v>560</v>
      </c>
      <c r="I1" s="2" t="s">
        <v>561</v>
      </c>
      <c r="J1" s="2" t="s">
        <v>562</v>
      </c>
      <c r="K1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1" t="s">
        <v>1140</v>
      </c>
    </row>
    <row r="2" spans="1:12" x14ac:dyDescent="0.25">
      <c r="A2">
        <v>2001</v>
      </c>
      <c r="B2" t="s">
        <v>563</v>
      </c>
      <c r="C2" t="str">
        <f>Hoja2!H2</f>
        <v>aidacitlali.hernandezmontaño</v>
      </c>
      <c r="D2" t="str">
        <f>Hoja2!E2</f>
        <v>HMA1841</v>
      </c>
      <c r="E2" s="3" t="s">
        <v>1141</v>
      </c>
      <c r="F2" t="str">
        <f>Hoja2!F2</f>
        <v>HERNANDEZ MONTAÑO AIDA CITLALI</v>
      </c>
      <c r="G2" s="1" t="s">
        <v>1142</v>
      </c>
      <c r="I2" t="str">
        <f>Hoja2!G2</f>
        <v>FEMENINO</v>
      </c>
      <c r="K2" t="str">
        <f t="shared" ref="K2" si="0">CONCATENATE(A2,",",B2,",'",C2,"','",D2,"','",E2,",'",F2,"','",G2,"','",H2,"','",UPPER(I2),"','",UPPER(J2),"','',0,0,'','PROFESOR'")</f>
        <v>2001,'LICENCIATURA','aidacitlali.hernandezmontaño','HMA1841','TOMAR DEL SND','HERNANDEZ MONTAÑO AIDA CITLALI','PROFESORES','','FEMENINO','','',0,0,'','PROFESOR'</v>
      </c>
      <c r="L2" t="str">
        <f>CONCATENATE($K$1,K2,");")</f>
        <v>INSERT INTO participantes (id,nivel,correo,matricula,clave,nombre,carrera,grado,sexo,situacion,evaluados,num_evaluados,total_evaluaciones,ultimo_acceso,nivel_acceso) VALUES (2001,'LICENCIATURA','aidacitlali.hernandezmontaño','HMA1841','TOMAR DEL SND','HERNANDEZ MONTAÑO AIDA CITLALI','PROFESORES','','FEMENINO','','',0,0,'','PROFESOR');</v>
      </c>
    </row>
    <row r="3" spans="1:12" x14ac:dyDescent="0.25">
      <c r="A3">
        <f>A2+1</f>
        <v>2002</v>
      </c>
      <c r="B3" t="s">
        <v>563</v>
      </c>
      <c r="C3" t="str">
        <f>Hoja2!H3</f>
        <v>alam.gomezcanales</v>
      </c>
      <c r="D3" t="str">
        <f>Hoja2!E3</f>
        <v>GCA1735</v>
      </c>
      <c r="E3" s="3" t="s">
        <v>1141</v>
      </c>
      <c r="F3" t="str">
        <f>Hoja2!F3</f>
        <v>GOMEZ CANALES ALAM</v>
      </c>
      <c r="G3" s="1" t="s">
        <v>1142</v>
      </c>
      <c r="I3" t="str">
        <f>Hoja2!G3</f>
        <v>MASCULINO</v>
      </c>
      <c r="K3" t="str">
        <f t="shared" ref="K3:K66" si="1">CONCATENATE(A3,",",B3,",'",C3,"','",D3,"','",E3,",'",F3,"','",G3,"','",H3,"','",UPPER(I3),"','",UPPER(J3),"','',0,0,'','PROFESOR'")</f>
        <v>2002,'LICENCIATURA','alam.gomezcanales','GCA1735','TOMAR DEL SND','GOMEZ CANALES ALAM','PROFESORES','','MASCULINO','','',0,0,'','PROFESOR'</v>
      </c>
      <c r="L3" t="str">
        <f t="shared" ref="L3:L65" si="2">CONCATENATE($K$1,K3,");")</f>
        <v>INSERT INTO participantes (id,nivel,correo,matricula,clave,nombre,carrera,grado,sexo,situacion,evaluados,num_evaluados,total_evaluaciones,ultimo_acceso,nivel_acceso) VALUES (2002,'LICENCIATURA','alam.gomezcanales','GCA1735','TOMAR DEL SND','GOMEZ CANALES ALAM','PROFESORES','','MASCULINO','','',0,0,'','PROFESOR');</v>
      </c>
    </row>
    <row r="4" spans="1:12" x14ac:dyDescent="0.25">
      <c r="A4">
        <f t="shared" ref="A4:A67" si="3">A3+1</f>
        <v>2003</v>
      </c>
      <c r="B4" t="s">
        <v>563</v>
      </c>
      <c r="C4" t="str">
        <f>Hoja2!H4</f>
        <v>aldoeverardo.gonzalezpulido</v>
      </c>
      <c r="D4" t="str">
        <f>Hoja2!E4</f>
        <v>GPA1916</v>
      </c>
      <c r="E4" s="3" t="s">
        <v>1141</v>
      </c>
      <c r="F4" t="str">
        <f>Hoja2!F4</f>
        <v>GONZALEZ PULIDO ALDO EVERARDO</v>
      </c>
      <c r="G4" s="1" t="s">
        <v>1142</v>
      </c>
      <c r="I4" t="str">
        <f>Hoja2!G4</f>
        <v>MASCULINO</v>
      </c>
      <c r="K4" t="str">
        <f t="shared" si="1"/>
        <v>2003,'LICENCIATURA','aldoeverardo.gonzalezpulido','GPA1916','TOMAR DEL SND','GONZALEZ PULIDO ALDO EVERARDO','PROFESORES','','MASCULINO','','',0,0,'','PROFESOR'</v>
      </c>
      <c r="L4" t="str">
        <f t="shared" si="2"/>
        <v>INSERT INTO participantes (id,nivel,correo,matricula,clave,nombre,carrera,grado,sexo,situacion,evaluados,num_evaluados,total_evaluaciones,ultimo_acceso,nivel_acceso) VALUES (2003,'LICENCIATURA','aldoeverardo.gonzalezpulido','GPA1916','TOMAR DEL SND','GONZALEZ PULIDO ALDO EVERARDO','PROFESORES','','MASCULINO','','',0,0,'','PROFESOR');</v>
      </c>
    </row>
    <row r="5" spans="1:12" x14ac:dyDescent="0.25">
      <c r="A5">
        <f t="shared" si="3"/>
        <v>2004</v>
      </c>
      <c r="B5" t="s">
        <v>563</v>
      </c>
      <c r="C5" t="str">
        <f>Hoja2!H5</f>
        <v>aldomaciel.ruizarevalo</v>
      </c>
      <c r="D5" t="str">
        <f>Hoja2!E5</f>
        <v>RAA1942</v>
      </c>
      <c r="E5" s="3" t="s">
        <v>1141</v>
      </c>
      <c r="F5" t="str">
        <f>Hoja2!F5</f>
        <v>RUIZ AREVALO ALDO MACIEL</v>
      </c>
      <c r="G5" s="1" t="s">
        <v>1142</v>
      </c>
      <c r="I5" t="str">
        <f>Hoja2!G5</f>
        <v>MASCULINO</v>
      </c>
      <c r="K5" t="str">
        <f t="shared" si="1"/>
        <v>2004,'LICENCIATURA','aldomaciel.ruizarevalo','RAA1942','TOMAR DEL SND','RUIZ AREVALO ALDO MACIEL','PROFESORES','','MASCULINO','','',0,0,'','PROFESOR'</v>
      </c>
      <c r="L5" t="str">
        <f t="shared" si="2"/>
        <v>INSERT INTO participantes (id,nivel,correo,matricula,clave,nombre,carrera,grado,sexo,situacion,evaluados,num_evaluados,total_evaluaciones,ultimo_acceso,nivel_acceso) VALUES (2004,'LICENCIATURA','aldomaciel.ruizarevalo','RAA1942','TOMAR DEL SND','RUIZ AREVALO ALDO MACIEL','PROFESORES','','MASCULINO','','',0,0,'','PROFESOR');</v>
      </c>
    </row>
    <row r="6" spans="1:12" x14ac:dyDescent="0.25">
      <c r="A6">
        <f t="shared" si="3"/>
        <v>2005</v>
      </c>
      <c r="B6" t="s">
        <v>563</v>
      </c>
      <c r="C6" t="str">
        <f>Hoja2!H6</f>
        <v>alejandra.chavezosorio</v>
      </c>
      <c r="D6" t="str">
        <f>Hoja2!E6</f>
        <v>COA1894</v>
      </c>
      <c r="E6" s="3" t="s">
        <v>1141</v>
      </c>
      <c r="F6" t="str">
        <f>Hoja2!F6</f>
        <v>CHAVEZ OSORIO ALEJANDRA</v>
      </c>
      <c r="G6" s="1" t="s">
        <v>1142</v>
      </c>
      <c r="I6" t="str">
        <f>Hoja2!G6</f>
        <v>FEMENINO</v>
      </c>
      <c r="K6" t="str">
        <f t="shared" si="1"/>
        <v>2005,'LICENCIATURA','alejandra.chavezosorio','COA1894','TOMAR DEL SND','CHAVEZ OSORIO ALEJANDRA','PROFESORES','','FEMENINO','','',0,0,'','PROFESOR'</v>
      </c>
      <c r="L6" t="str">
        <f t="shared" si="2"/>
        <v>INSERT INTO participantes (id,nivel,correo,matricula,clave,nombre,carrera,grado,sexo,situacion,evaluados,num_evaluados,total_evaluaciones,ultimo_acceso,nivel_acceso) VALUES (2005,'LICENCIATURA','alejandra.chavezosorio','COA1894','TOMAR DEL SND','CHAVEZ OSORIO ALEJANDRA','PROFESORES','','FEMENINO','','',0,0,'','PROFESOR');</v>
      </c>
    </row>
    <row r="7" spans="1:12" x14ac:dyDescent="0.25">
      <c r="A7">
        <f t="shared" si="3"/>
        <v>2006</v>
      </c>
      <c r="B7" t="s">
        <v>563</v>
      </c>
      <c r="C7" t="str">
        <f>Hoja2!H7</f>
        <v>alejandro.uribelopez</v>
      </c>
      <c r="D7" t="str">
        <f>Hoja2!E7</f>
        <v>ULA0927</v>
      </c>
      <c r="E7" s="3" t="s">
        <v>1141</v>
      </c>
      <c r="F7" t="str">
        <f>Hoja2!F7</f>
        <v>URIBE LOPEZ ALEJANDRO</v>
      </c>
      <c r="G7" s="1" t="s">
        <v>1142</v>
      </c>
      <c r="I7" t="str">
        <f>Hoja2!G7</f>
        <v>MASCULINO</v>
      </c>
      <c r="K7" t="str">
        <f t="shared" si="1"/>
        <v>2006,'LICENCIATURA','alejandro.uribelopez','ULA0927','TOMAR DEL SND','URIBE LOPEZ ALEJANDRO','PROFESORES','','MASCULINO','','',0,0,'','PROFESOR'</v>
      </c>
      <c r="L7" t="str">
        <f t="shared" si="2"/>
        <v>INSERT INTO participantes (id,nivel,correo,matricula,clave,nombre,carrera,grado,sexo,situacion,evaluados,num_evaluados,total_evaluaciones,ultimo_acceso,nivel_acceso) VALUES (2006,'LICENCIATURA','alejandro.uribelopez','ULA0927','TOMAR DEL SND','URIBE LOPEZ ALEJANDRO','PROFESORES','','MASCULINO','','',0,0,'','PROFESOR');</v>
      </c>
    </row>
    <row r="8" spans="1:12" x14ac:dyDescent="0.25">
      <c r="A8">
        <f t="shared" si="3"/>
        <v>2007</v>
      </c>
      <c r="B8" t="s">
        <v>563</v>
      </c>
      <c r="C8" t="str">
        <f>Hoja2!H8</f>
        <v>alfonso.ascenciorubio</v>
      </c>
      <c r="D8" t="str">
        <f>Hoja2!E8</f>
        <v>ARA0918</v>
      </c>
      <c r="E8" s="3" t="s">
        <v>1141</v>
      </c>
      <c r="F8" t="str">
        <f>Hoja2!F8</f>
        <v>ASCENCIO RUBIO ALFONSO</v>
      </c>
      <c r="G8" s="1" t="s">
        <v>1142</v>
      </c>
      <c r="I8" t="str">
        <f>Hoja2!G8</f>
        <v>MASCULINO</v>
      </c>
      <c r="K8" t="str">
        <f t="shared" si="1"/>
        <v>2007,'LICENCIATURA','alfonso.ascenciorubio','ARA0918','TOMAR DEL SND','ASCENCIO RUBIO ALFONSO','PROFESORES','','MASCULINO','','',0,0,'','PROFESOR'</v>
      </c>
      <c r="L8" t="str">
        <f t="shared" si="2"/>
        <v>INSERT INTO participantes (id,nivel,correo,matricula,clave,nombre,carrera,grado,sexo,situacion,evaluados,num_evaluados,total_evaluaciones,ultimo_acceso,nivel_acceso) VALUES (2007,'LICENCIATURA','alfonso.ascenciorubio','ARA0918','TOMAR DEL SND','ASCENCIO RUBIO ALFONSO','PROFESORES','','MASCULINO','','',0,0,'','PROFESOR');</v>
      </c>
    </row>
    <row r="9" spans="1:12" x14ac:dyDescent="0.25">
      <c r="A9">
        <f t="shared" si="3"/>
        <v>2008</v>
      </c>
      <c r="B9" t="s">
        <v>563</v>
      </c>
      <c r="C9" t="str">
        <f>Hoja2!H9</f>
        <v>alfredo.garciavalderrama</v>
      </c>
      <c r="D9" t="str">
        <f>Hoja2!E9</f>
        <v>GVA1919</v>
      </c>
      <c r="E9" s="3" t="s">
        <v>1141</v>
      </c>
      <c r="F9" t="str">
        <f>Hoja2!F9</f>
        <v>GARCIA VALDERRAMA ALFREDO</v>
      </c>
      <c r="G9" s="1" t="s">
        <v>1142</v>
      </c>
      <c r="I9" t="str">
        <f>Hoja2!G9</f>
        <v>MASCULINO</v>
      </c>
      <c r="K9" t="str">
        <f t="shared" si="1"/>
        <v>2008,'LICENCIATURA','alfredo.garciavalderrama','GVA1919','TOMAR DEL SND','GARCIA VALDERRAMA ALFREDO','PROFESORES','','MASCULINO','','',0,0,'','PROFESOR'</v>
      </c>
      <c r="L9" t="str">
        <f t="shared" si="2"/>
        <v>INSERT INTO participantes (id,nivel,correo,matricula,clave,nombre,carrera,grado,sexo,situacion,evaluados,num_evaluados,total_evaluaciones,ultimo_acceso,nivel_acceso) VALUES (2008,'LICENCIATURA','alfredo.garciavalderrama','GVA1919','TOMAR DEL SND','GARCIA VALDERRAMA ALFREDO','PROFESORES','','MASCULINO','','',0,0,'','PROFESOR');</v>
      </c>
    </row>
    <row r="10" spans="1:12" x14ac:dyDescent="0.25">
      <c r="A10">
        <f t="shared" si="3"/>
        <v>2009</v>
      </c>
      <c r="B10" t="s">
        <v>563</v>
      </c>
      <c r="C10" t="str">
        <f>Hoja2!H10</f>
        <v>alfredodejesus.velazquezsantos</v>
      </c>
      <c r="D10" t="str">
        <f>Hoja2!E10</f>
        <v>VSA1861</v>
      </c>
      <c r="E10" s="3" t="s">
        <v>1141</v>
      </c>
      <c r="F10" t="str">
        <f>Hoja2!F10</f>
        <v>VELAZQUEZ SANTOS ALFREDO DE JESUS</v>
      </c>
      <c r="G10" s="1" t="s">
        <v>1142</v>
      </c>
      <c r="I10" t="str">
        <f>Hoja2!G10</f>
        <v>MASCULINO</v>
      </c>
      <c r="K10" t="str">
        <f t="shared" si="1"/>
        <v>2009,'LICENCIATURA','alfredodejesus.velazquezsantos','VSA1861','TOMAR DEL SND','VELAZQUEZ SANTOS ALFREDO DE JESUS','PROFESORES','','MASCULINO','','',0,0,'','PROFESOR'</v>
      </c>
      <c r="L10" t="str">
        <f t="shared" si="2"/>
        <v>INSERT INTO participantes (id,nivel,correo,matricula,clave,nombre,carrera,grado,sexo,situacion,evaluados,num_evaluados,total_evaluaciones,ultimo_acceso,nivel_acceso) VALUES (2009,'LICENCIATURA','alfredodejesus.velazquezsantos','VSA1861','TOMAR DEL SND','VELAZQUEZ SANTOS ALFREDO DE JESUS','PROFESORES','','MASCULINO','','',0,0,'','PROFESOR');</v>
      </c>
    </row>
    <row r="11" spans="1:12" x14ac:dyDescent="0.25">
      <c r="A11">
        <f t="shared" si="3"/>
        <v>2010</v>
      </c>
      <c r="B11" t="s">
        <v>563</v>
      </c>
      <c r="C11" t="str">
        <f>Hoja2!H11</f>
        <v>almadaniela.velazqueznavarrete</v>
      </c>
      <c r="D11" t="str">
        <f>Hoja2!E11</f>
        <v>VNA1925</v>
      </c>
      <c r="E11" s="3" t="s">
        <v>1141</v>
      </c>
      <c r="F11" t="str">
        <f>Hoja2!F11</f>
        <v>VELAZQUEZ NAVARRETE ALMA DANIELA</v>
      </c>
      <c r="G11" s="1" t="s">
        <v>1142</v>
      </c>
      <c r="I11" t="str">
        <f>Hoja2!G11</f>
        <v>FEMENINO</v>
      </c>
      <c r="K11" t="str">
        <f t="shared" si="1"/>
        <v>2010,'LICENCIATURA','almadaniela.velazqueznavarrete','VNA1925','TOMAR DEL SND','VELAZQUEZ NAVARRETE ALMA DANIELA','PROFESORES','','FEMENINO','','',0,0,'','PROFESOR'</v>
      </c>
      <c r="L11" t="str">
        <f t="shared" si="2"/>
        <v>INSERT INTO participantes (id,nivel,correo,matricula,clave,nombre,carrera,grado,sexo,situacion,evaluados,num_evaluados,total_evaluaciones,ultimo_acceso,nivel_acceso) VALUES (2010,'LICENCIATURA','almadaniela.velazqueznavarrete','VNA1925','TOMAR DEL SND','VELAZQUEZ NAVARRETE ALMA DANIELA','PROFESORES','','FEMENINO','','',0,0,'','PROFESOR');</v>
      </c>
    </row>
    <row r="12" spans="1:12" x14ac:dyDescent="0.25">
      <c r="A12">
        <f t="shared" si="3"/>
        <v>2011</v>
      </c>
      <c r="B12" t="s">
        <v>563</v>
      </c>
      <c r="C12" t="str">
        <f>Hoja2!H12</f>
        <v>alvaro.morenocorral</v>
      </c>
      <c r="D12" t="str">
        <f>Hoja2!E12</f>
        <v>MCA1844</v>
      </c>
      <c r="E12" s="3" t="s">
        <v>1141</v>
      </c>
      <c r="F12" t="str">
        <f>Hoja2!F12</f>
        <v>MORENO CORRAL ALVARO</v>
      </c>
      <c r="G12" s="1" t="s">
        <v>1142</v>
      </c>
      <c r="I12" t="str">
        <f>Hoja2!G12</f>
        <v>MASCULINO</v>
      </c>
      <c r="K12" t="str">
        <f t="shared" si="1"/>
        <v>2011,'LICENCIATURA','alvaro.morenocorral','MCA1844','TOMAR DEL SND','MORENO CORRAL ALVARO','PROFESORES','','MASCULINO','','',0,0,'','PROFESOR'</v>
      </c>
      <c r="L12" t="str">
        <f t="shared" si="2"/>
        <v>INSERT INTO participantes (id,nivel,correo,matricula,clave,nombre,carrera,grado,sexo,situacion,evaluados,num_evaluados,total_evaluaciones,ultimo_acceso,nivel_acceso) VALUES (2011,'LICENCIATURA','alvaro.morenocorral','MCA1844','TOMAR DEL SND','MORENO CORRAL ALVARO','PROFESORES','','MASCULINO','','',0,0,'','PROFESOR');</v>
      </c>
    </row>
    <row r="13" spans="1:12" x14ac:dyDescent="0.25">
      <c r="A13">
        <f t="shared" si="3"/>
        <v>2012</v>
      </c>
      <c r="B13" t="s">
        <v>563</v>
      </c>
      <c r="C13" t="str">
        <f>Hoja2!H13</f>
        <v>alvaro.pujolbecerra</v>
      </c>
      <c r="D13" t="str">
        <f>Hoja2!E13</f>
        <v>PBA1849</v>
      </c>
      <c r="E13" s="3" t="s">
        <v>1141</v>
      </c>
      <c r="F13" t="str">
        <f>Hoja2!F13</f>
        <v>PUJOL BECERRA ALVARO</v>
      </c>
      <c r="G13" s="1" t="s">
        <v>1142</v>
      </c>
      <c r="I13" t="str">
        <f>Hoja2!G13</f>
        <v>MASCULINO</v>
      </c>
      <c r="K13" t="str">
        <f t="shared" si="1"/>
        <v>2012,'LICENCIATURA','alvaro.pujolbecerra','PBA1849','TOMAR DEL SND','PUJOL BECERRA ALVARO','PROFESORES','','MASCULINO','','',0,0,'','PROFESOR'</v>
      </c>
      <c r="L13" t="str">
        <f t="shared" si="2"/>
        <v>INSERT INTO participantes (id,nivel,correo,matricula,clave,nombre,carrera,grado,sexo,situacion,evaluados,num_evaluados,total_evaluaciones,ultimo_acceso,nivel_acceso) VALUES (2012,'LICENCIATURA','alvaro.pujolbecerra','PBA1849','TOMAR DEL SND','PUJOL BECERRA ALVARO','PROFESORES','','MASCULINO','','',0,0,'','PROFESOR');</v>
      </c>
    </row>
    <row r="14" spans="1:12" x14ac:dyDescent="0.25">
      <c r="A14">
        <f t="shared" si="3"/>
        <v>2013</v>
      </c>
      <c r="B14" t="s">
        <v>563</v>
      </c>
      <c r="C14" t="str">
        <f>Hoja2!H14</f>
        <v>amandajanette.renteriajimenez</v>
      </c>
      <c r="D14" t="str">
        <f>Hoja2!E14</f>
        <v>RJA1850</v>
      </c>
      <c r="E14" s="3" t="s">
        <v>1141</v>
      </c>
      <c r="F14" t="str">
        <f>Hoja2!F14</f>
        <v>RENTERIA JIMENEZ AMANDA JANETTE</v>
      </c>
      <c r="G14" s="1" t="s">
        <v>1142</v>
      </c>
      <c r="I14" t="str">
        <f>Hoja2!G14</f>
        <v>FEMENINO</v>
      </c>
      <c r="K14" t="str">
        <f t="shared" si="1"/>
        <v>2013,'LICENCIATURA','amandajanette.renteriajimenez','RJA1850','TOMAR DEL SND','RENTERIA JIMENEZ AMANDA JANETTE','PROFESORES','','FEMENINO','','',0,0,'','PROFESOR'</v>
      </c>
      <c r="L14" t="str">
        <f t="shared" si="2"/>
        <v>INSERT INTO participantes (id,nivel,correo,matricula,clave,nombre,carrera,grado,sexo,situacion,evaluados,num_evaluados,total_evaluaciones,ultimo_acceso,nivel_acceso) VALUES (2013,'LICENCIATURA','amandajanette.renteriajimenez','RJA1850','TOMAR DEL SND','RENTERIA JIMENEZ AMANDA JANETTE','PROFESORES','','FEMENINO','','',0,0,'','PROFESOR');</v>
      </c>
    </row>
    <row r="15" spans="1:12" x14ac:dyDescent="0.25">
      <c r="A15">
        <f t="shared" si="3"/>
        <v>2014</v>
      </c>
      <c r="B15" t="s">
        <v>563</v>
      </c>
      <c r="C15" t="str">
        <f>Hoja2!H15</f>
        <v>anakaren.barocioramirez</v>
      </c>
      <c r="D15" t="str">
        <f>Hoja2!E15</f>
        <v>BRA1605</v>
      </c>
      <c r="E15" s="3" t="s">
        <v>1141</v>
      </c>
      <c r="F15" t="str">
        <f>Hoja2!F15</f>
        <v>BAROCIO RAMIREZ ANA KAREN</v>
      </c>
      <c r="G15" s="1" t="s">
        <v>1142</v>
      </c>
      <c r="I15" t="str">
        <f>Hoja2!G15</f>
        <v>FEMENINO</v>
      </c>
      <c r="K15" t="str">
        <f t="shared" si="1"/>
        <v>2014,'LICENCIATURA','anakaren.barocioramirez','BRA1605','TOMAR DEL SND','BAROCIO RAMIREZ ANA KAREN','PROFESORES','','FEMENINO','','',0,0,'','PROFESOR'</v>
      </c>
      <c r="L15" t="str">
        <f t="shared" si="2"/>
        <v>INSERT INTO participantes (id,nivel,correo,matricula,clave,nombre,carrera,grado,sexo,situacion,evaluados,num_evaluados,total_evaluaciones,ultimo_acceso,nivel_acceso) VALUES (2014,'LICENCIATURA','anakaren.barocioramirez','BRA1605','TOMAR DEL SND','BAROCIO RAMIREZ ANA KAREN','PROFESORES','','FEMENINO','','',0,0,'','PROFESOR');</v>
      </c>
    </row>
    <row r="16" spans="1:12" x14ac:dyDescent="0.25">
      <c r="A16">
        <f t="shared" si="3"/>
        <v>2015</v>
      </c>
      <c r="B16" t="s">
        <v>563</v>
      </c>
      <c r="C16" t="str">
        <f>Hoja2!H16</f>
        <v>anamaria.nuñezvelazquez</v>
      </c>
      <c r="D16" t="str">
        <f>Hoja2!E16</f>
        <v>NVA1745</v>
      </c>
      <c r="E16" s="3" t="s">
        <v>1141</v>
      </c>
      <c r="F16" t="str">
        <f>Hoja2!F16</f>
        <v xml:space="preserve">NUÑEZ VELAZQUEZ ANA MARIA </v>
      </c>
      <c r="G16" s="1" t="s">
        <v>1142</v>
      </c>
      <c r="I16" t="str">
        <f>Hoja2!G16</f>
        <v>FEMENINO</v>
      </c>
      <c r="K16" t="str">
        <f t="shared" si="1"/>
        <v>2015,'LICENCIATURA','anamaria.nuñezvelazquez','NVA1745','TOMAR DEL SND','NUÑEZ VELAZQUEZ ANA MARIA ','PROFESORES','','FEMENINO','','',0,0,'','PROFESOR'</v>
      </c>
      <c r="L16" t="str">
        <f t="shared" si="2"/>
        <v>INSERT INTO participantes (id,nivel,correo,matricula,clave,nombre,carrera,grado,sexo,situacion,evaluados,num_evaluados,total_evaluaciones,ultimo_acceso,nivel_acceso) VALUES (2015,'LICENCIATURA','anamaria.nuñezvelazquez','NVA1745','TOMAR DEL SND','NUÑEZ VELAZQUEZ ANA MARIA ','PROFESORES','','FEMENINO','','',0,0,'','PROFESOR');</v>
      </c>
    </row>
    <row r="17" spans="1:12" x14ac:dyDescent="0.25">
      <c r="A17">
        <f t="shared" si="3"/>
        <v>2016</v>
      </c>
      <c r="B17" t="s">
        <v>563</v>
      </c>
      <c r="C17" t="str">
        <f>Hoja2!H17</f>
        <v>anataliaguadalupe.trujillorodriguez</v>
      </c>
      <c r="D17" t="str">
        <f>Hoja2!E17</f>
        <v>TRA1428</v>
      </c>
      <c r="E17" s="3" t="s">
        <v>1141</v>
      </c>
      <c r="F17" t="str">
        <f>Hoja2!F17</f>
        <v>TRUJILLO RODRIGUEZ ANATALIA GUADALUPE</v>
      </c>
      <c r="G17" s="1" t="s">
        <v>1142</v>
      </c>
      <c r="I17" t="str">
        <f>Hoja2!G17</f>
        <v>FEMENINO</v>
      </c>
      <c r="K17" t="str">
        <f t="shared" si="1"/>
        <v>2016,'LICENCIATURA','anataliaguadalupe.trujillorodriguez','TRA1428','TOMAR DEL SND','TRUJILLO RODRIGUEZ ANATALIA GUADALUPE','PROFESORES','','FEMENINO','','',0,0,'','PROFESOR'</v>
      </c>
      <c r="L17" t="str">
        <f t="shared" si="2"/>
        <v>INSERT INTO participantes (id,nivel,correo,matricula,clave,nombre,carrera,grado,sexo,situacion,evaluados,num_evaluados,total_evaluaciones,ultimo_acceso,nivel_acceso) VALUES (2016,'LICENCIATURA','anataliaguadalupe.trujillorodriguez','TRA1428','TOMAR DEL SND','TRUJILLO RODRIGUEZ ANATALIA GUADALUPE','PROFESORES','','FEMENINO','','',0,0,'','PROFESOR');</v>
      </c>
    </row>
    <row r="18" spans="1:12" x14ac:dyDescent="0.25">
      <c r="A18">
        <f t="shared" si="3"/>
        <v>2017</v>
      </c>
      <c r="B18" t="s">
        <v>563</v>
      </c>
      <c r="C18" t="str">
        <f>Hoja2!H18</f>
        <v>angelalejandro.avalostorres</v>
      </c>
      <c r="D18" t="str">
        <f>Hoja2!E18</f>
        <v>ATA1653</v>
      </c>
      <c r="E18" s="3" t="s">
        <v>1141</v>
      </c>
      <c r="F18" t="str">
        <f>Hoja2!F18</f>
        <v>AVALOS TORRES ANGEL ALEJANDRO</v>
      </c>
      <c r="G18" s="1" t="s">
        <v>1142</v>
      </c>
      <c r="I18" t="str">
        <f>Hoja2!G18</f>
        <v>MASCULINO</v>
      </c>
      <c r="K18" t="str">
        <f t="shared" si="1"/>
        <v>2017,'LICENCIATURA','angelalejandro.avalostorres','ATA1653','TOMAR DEL SND','AVALOS TORRES ANGEL ALEJANDRO','PROFESORES','','MASCULINO','','',0,0,'','PROFESOR'</v>
      </c>
      <c r="L18" t="str">
        <f t="shared" si="2"/>
        <v>INSERT INTO participantes (id,nivel,correo,matricula,clave,nombre,carrera,grado,sexo,situacion,evaluados,num_evaluados,total_evaluaciones,ultimo_acceso,nivel_acceso) VALUES (2017,'LICENCIATURA','angelalejandro.avalostorres','ATA1653','TOMAR DEL SND','AVALOS TORRES ANGEL ALEJANDRO','PROFESORES','','MASCULINO','','',0,0,'','PROFESOR');</v>
      </c>
    </row>
    <row r="19" spans="1:12" x14ac:dyDescent="0.25">
      <c r="A19">
        <f t="shared" si="3"/>
        <v>2018</v>
      </c>
      <c r="B19" t="s">
        <v>563</v>
      </c>
      <c r="C19" t="str">
        <f>Hoja2!H19</f>
        <v>antonio.garzamora</v>
      </c>
      <c r="D19" t="str">
        <f>Hoja2!E19</f>
        <v>GMA1936</v>
      </c>
      <c r="E19" s="3" t="s">
        <v>1141</v>
      </c>
      <c r="F19" t="str">
        <f>Hoja2!F19</f>
        <v>GARZA MORA ANTONIO</v>
      </c>
      <c r="G19" s="1" t="s">
        <v>1142</v>
      </c>
      <c r="I19" t="str">
        <f>Hoja2!G19</f>
        <v>MASCULINO</v>
      </c>
      <c r="K19" t="str">
        <f t="shared" si="1"/>
        <v>2018,'LICENCIATURA','antonio.garzamora','GMA1936','TOMAR DEL SND','GARZA MORA ANTONIO','PROFESORES','','MASCULINO','','',0,0,'','PROFESOR'</v>
      </c>
      <c r="L19" t="str">
        <f t="shared" si="2"/>
        <v>INSERT INTO participantes (id,nivel,correo,matricula,clave,nombre,carrera,grado,sexo,situacion,evaluados,num_evaluados,total_evaluaciones,ultimo_acceso,nivel_acceso) VALUES (2018,'LICENCIATURA','antonio.garzamora','GMA1936','TOMAR DEL SND','GARZA MORA ANTONIO','PROFESORES','','MASCULINO','','',0,0,'','PROFESOR');</v>
      </c>
    </row>
    <row r="20" spans="1:12" x14ac:dyDescent="0.25">
      <c r="A20">
        <f t="shared" si="3"/>
        <v>2019</v>
      </c>
      <c r="B20" t="s">
        <v>563</v>
      </c>
      <c r="C20" t="str">
        <f>Hoja2!H20</f>
        <v>araceli.floresgil</v>
      </c>
      <c r="D20" t="str">
        <f>Hoja2!E20</f>
        <v>FGA1042</v>
      </c>
      <c r="E20" s="3" t="s">
        <v>1141</v>
      </c>
      <c r="F20" t="str">
        <f>Hoja2!F20</f>
        <v>FLORES GIL ARACELI</v>
      </c>
      <c r="G20" s="1" t="s">
        <v>1142</v>
      </c>
      <c r="I20" t="str">
        <f>Hoja2!G20</f>
        <v>FEMENINO</v>
      </c>
      <c r="K20" t="str">
        <f t="shared" si="1"/>
        <v>2019,'LICENCIATURA','araceli.floresgil','FGA1042','TOMAR DEL SND','FLORES GIL ARACELI','PROFESORES','','FEMENINO','','',0,0,'','PROFESOR'</v>
      </c>
      <c r="L20" t="str">
        <f t="shared" si="2"/>
        <v>INSERT INTO participantes (id,nivel,correo,matricula,clave,nombre,carrera,grado,sexo,situacion,evaluados,num_evaluados,total_evaluaciones,ultimo_acceso,nivel_acceso) VALUES (2019,'LICENCIATURA','araceli.floresgil','FGA1042','TOMAR DEL SND','FLORES GIL ARACELI','PROFESORES','','FEMENINO','','',0,0,'','PROFESOR');</v>
      </c>
    </row>
    <row r="21" spans="1:12" x14ac:dyDescent="0.25">
      <c r="A21">
        <f t="shared" si="3"/>
        <v>2020</v>
      </c>
      <c r="B21" t="s">
        <v>563</v>
      </c>
      <c r="C21" t="str">
        <f>Hoja2!H21</f>
        <v>arturo.riverocarrera</v>
      </c>
      <c r="D21" t="str">
        <f>Hoja2!E21</f>
        <v>RCA1895</v>
      </c>
      <c r="E21" s="3" t="s">
        <v>1141</v>
      </c>
      <c r="F21" t="str">
        <f>Hoja2!F21</f>
        <v>RIVERO CARRERA ARTURO</v>
      </c>
      <c r="G21" s="1" t="s">
        <v>1142</v>
      </c>
      <c r="I21" t="str">
        <f>Hoja2!G21</f>
        <v>MASCULINO</v>
      </c>
      <c r="K21" t="str">
        <f t="shared" si="1"/>
        <v>2020,'LICENCIATURA','arturo.riverocarrera','RCA1895','TOMAR DEL SND','RIVERO CARRERA ARTURO','PROFESORES','','MASCULINO','','',0,0,'','PROFESOR'</v>
      </c>
      <c r="L21" t="str">
        <f t="shared" si="2"/>
        <v>INSERT INTO participantes (id,nivel,correo,matricula,clave,nombre,carrera,grado,sexo,situacion,evaluados,num_evaluados,total_evaluaciones,ultimo_acceso,nivel_acceso) VALUES (2020,'LICENCIATURA','arturo.riverocarrera','RCA1895','TOMAR DEL SND','RIVERO CARRERA ARTURO','PROFESORES','','MASCULINO','','',0,0,'','PROFESOR');</v>
      </c>
    </row>
    <row r="22" spans="1:12" x14ac:dyDescent="0.25">
      <c r="A22">
        <f t="shared" si="3"/>
        <v>2021</v>
      </c>
      <c r="B22" t="s">
        <v>563</v>
      </c>
      <c r="C22" t="str">
        <f>Hoja2!H22</f>
        <v>barbara.nuñezgonzalez</v>
      </c>
      <c r="D22" t="str">
        <f>Hoja2!E22</f>
        <v>NGB1914</v>
      </c>
      <c r="E22" s="3" t="s">
        <v>1141</v>
      </c>
      <c r="F22" t="str">
        <f>Hoja2!F22</f>
        <v>NUÑEZ GONZALEZ BARBARA</v>
      </c>
      <c r="G22" s="1" t="s">
        <v>1142</v>
      </c>
      <c r="I22" t="str">
        <f>Hoja2!G22</f>
        <v>FEMENINO</v>
      </c>
      <c r="K22" t="str">
        <f t="shared" si="1"/>
        <v>2021,'LICENCIATURA','barbara.nuñezgonzalez','NGB1914','TOMAR DEL SND','NUÑEZ GONZALEZ BARBARA','PROFESORES','','FEMENINO','','',0,0,'','PROFESOR'</v>
      </c>
      <c r="L22" t="str">
        <f t="shared" si="2"/>
        <v>INSERT INTO participantes (id,nivel,correo,matricula,clave,nombre,carrera,grado,sexo,situacion,evaluados,num_evaluados,total_evaluaciones,ultimo_acceso,nivel_acceso) VALUES (2021,'LICENCIATURA','barbara.nuñezgonzalez','NGB1914','TOMAR DEL SND','NUÑEZ GONZALEZ BARBARA','PROFESORES','','FEMENINO','','',0,0,'','PROFESOR');</v>
      </c>
    </row>
    <row r="23" spans="1:12" x14ac:dyDescent="0.25">
      <c r="A23">
        <f t="shared" si="3"/>
        <v>2022</v>
      </c>
      <c r="B23" t="s">
        <v>563</v>
      </c>
      <c r="C23" t="str">
        <f>Hoja2!H23</f>
        <v>beatrizirene.orozcodiaz</v>
      </c>
      <c r="D23" t="str">
        <f>Hoja2!E23</f>
        <v>ODB1845</v>
      </c>
      <c r="E23" s="3" t="s">
        <v>1141</v>
      </c>
      <c r="F23" t="str">
        <f>Hoja2!F23</f>
        <v>OROZCO DIAZ BEATRIZ IRENE</v>
      </c>
      <c r="G23" s="1" t="s">
        <v>1142</v>
      </c>
      <c r="I23" t="str">
        <f>Hoja2!G23</f>
        <v>FEMENINO</v>
      </c>
      <c r="K23" t="str">
        <f t="shared" si="1"/>
        <v>2022,'LICENCIATURA','beatrizirene.orozcodiaz','ODB1845','TOMAR DEL SND','OROZCO DIAZ BEATRIZ IRENE','PROFESORES','','FEMENINO','','',0,0,'','PROFESOR'</v>
      </c>
      <c r="L23" t="str">
        <f t="shared" si="2"/>
        <v>INSERT INTO participantes (id,nivel,correo,matricula,clave,nombre,carrera,grado,sexo,situacion,evaluados,num_evaluados,total_evaluaciones,ultimo_acceso,nivel_acceso) VALUES (2022,'LICENCIATURA','beatrizirene.orozcodiaz','ODB1845','TOMAR DEL SND','OROZCO DIAZ BEATRIZ IRENE','PROFESORES','','FEMENINO','','',0,0,'','PROFESOR');</v>
      </c>
    </row>
    <row r="24" spans="1:12" x14ac:dyDescent="0.25">
      <c r="A24">
        <f t="shared" si="3"/>
        <v>2023</v>
      </c>
      <c r="B24" t="s">
        <v>563</v>
      </c>
      <c r="C24" t="str">
        <f>Hoja2!H24</f>
        <v>berthalucrecia.ferrerlopez</v>
      </c>
      <c r="D24" t="str">
        <f>Hoja2!E24</f>
        <v>FLB0895</v>
      </c>
      <c r="E24" s="3" t="s">
        <v>1141</v>
      </c>
      <c r="F24" t="str">
        <f>Hoja2!F24</f>
        <v>FERRER LOPEZ BERTHA LUCRECIA</v>
      </c>
      <c r="G24" s="1" t="s">
        <v>1142</v>
      </c>
      <c r="I24" t="str">
        <f>Hoja2!G24</f>
        <v>FEMENINO</v>
      </c>
      <c r="K24" t="str">
        <f t="shared" si="1"/>
        <v>2023,'LICENCIATURA','berthalucrecia.ferrerlopez','FLB0895','TOMAR DEL SND','FERRER LOPEZ BERTHA LUCRECIA','PROFESORES','','FEMENINO','','',0,0,'','PROFESOR'</v>
      </c>
      <c r="L24" t="str">
        <f t="shared" si="2"/>
        <v>INSERT INTO participantes (id,nivel,correo,matricula,clave,nombre,carrera,grado,sexo,situacion,evaluados,num_evaluados,total_evaluaciones,ultimo_acceso,nivel_acceso) VALUES (2023,'LICENCIATURA','berthalucrecia.ferrerlopez','FLB0895','TOMAR DEL SND','FERRER LOPEZ BERTHA LUCRECIA','PROFESORES','','FEMENINO','','',0,0,'','PROFESOR');</v>
      </c>
    </row>
    <row r="25" spans="1:12" x14ac:dyDescent="0.25">
      <c r="A25">
        <f t="shared" si="3"/>
        <v>2024</v>
      </c>
      <c r="B25" t="s">
        <v>563</v>
      </c>
      <c r="C25" t="str">
        <f>Hoja2!H25</f>
        <v>brendaalejandra.lopezguzman</v>
      </c>
      <c r="D25" t="str">
        <f>Hoja2!E25</f>
        <v>LGB1604</v>
      </c>
      <c r="E25" s="3" t="s">
        <v>1141</v>
      </c>
      <c r="F25" t="str">
        <f>Hoja2!F25</f>
        <v>LOPEZ GUZMAN BRENDA ALEJANDRA</v>
      </c>
      <c r="G25" s="1" t="s">
        <v>1142</v>
      </c>
      <c r="I25" t="str">
        <f>Hoja2!G25</f>
        <v>FEMENINO</v>
      </c>
      <c r="K25" t="str">
        <f t="shared" si="1"/>
        <v>2024,'LICENCIATURA','brendaalejandra.lopezguzman','LGB1604','TOMAR DEL SND','LOPEZ GUZMAN BRENDA ALEJANDRA','PROFESORES','','FEMENINO','','',0,0,'','PROFESOR'</v>
      </c>
      <c r="L25" t="str">
        <f t="shared" si="2"/>
        <v>INSERT INTO participantes (id,nivel,correo,matricula,clave,nombre,carrera,grado,sexo,situacion,evaluados,num_evaluados,total_evaluaciones,ultimo_acceso,nivel_acceso) VALUES (2024,'LICENCIATURA','brendaalejandra.lopezguzman','LGB1604','TOMAR DEL SND','LOPEZ GUZMAN BRENDA ALEJANDRA','PROFESORES','','FEMENINO','','',0,0,'','PROFESOR');</v>
      </c>
    </row>
    <row r="26" spans="1:12" x14ac:dyDescent="0.25">
      <c r="A26">
        <f t="shared" si="3"/>
        <v>2025</v>
      </c>
      <c r="B26" t="s">
        <v>563</v>
      </c>
      <c r="C26" t="str">
        <f>Hoja2!H26</f>
        <v>brendajeannette.guerrarios</v>
      </c>
      <c r="D26" t="str">
        <f>Hoja2!E26</f>
        <v>GRB0956</v>
      </c>
      <c r="E26" s="3" t="s">
        <v>1141</v>
      </c>
      <c r="F26" t="str">
        <f>Hoja2!F26</f>
        <v>GUERRA RIOS BRENDA JEANNETTE</v>
      </c>
      <c r="G26" s="1" t="s">
        <v>1142</v>
      </c>
      <c r="I26" t="str">
        <f>Hoja2!G26</f>
        <v>FEMENINO</v>
      </c>
      <c r="K26" t="str">
        <f t="shared" si="1"/>
        <v>2025,'LICENCIATURA','brendajeannette.guerrarios','GRB0956','TOMAR DEL SND','GUERRA RIOS BRENDA JEANNETTE','PROFESORES','','FEMENINO','','',0,0,'','PROFESOR'</v>
      </c>
      <c r="L26" t="str">
        <f t="shared" si="2"/>
        <v>INSERT INTO participantes (id,nivel,correo,matricula,clave,nombre,carrera,grado,sexo,situacion,evaluados,num_evaluados,total_evaluaciones,ultimo_acceso,nivel_acceso) VALUES (2025,'LICENCIATURA','brendajeannette.guerrarios','GRB0956','TOMAR DEL SND','GUERRA RIOS BRENDA JEANNETTE','PROFESORES','','FEMENINO','','',0,0,'','PROFESOR');</v>
      </c>
    </row>
    <row r="27" spans="1:12" x14ac:dyDescent="0.25">
      <c r="A27">
        <f t="shared" si="3"/>
        <v>2026</v>
      </c>
      <c r="B27" t="s">
        <v>563</v>
      </c>
      <c r="C27" t="str">
        <f>Hoja2!H27</f>
        <v>carladaniela.morelosvelazquez</v>
      </c>
      <c r="D27" t="str">
        <f>Hoja2!E27</f>
        <v>MVC1563</v>
      </c>
      <c r="E27" s="3" t="s">
        <v>1141</v>
      </c>
      <c r="F27" t="str">
        <f>Hoja2!F27</f>
        <v>MORELOS VELAZQUEZ CARLA DANIELA</v>
      </c>
      <c r="G27" s="1" t="s">
        <v>1142</v>
      </c>
      <c r="I27" t="str">
        <f>Hoja2!G27</f>
        <v>FEMENINO</v>
      </c>
      <c r="K27" t="str">
        <f t="shared" si="1"/>
        <v>2026,'LICENCIATURA','carladaniela.morelosvelazquez','MVC1563','TOMAR DEL SND','MORELOS VELAZQUEZ CARLA DANIELA','PROFESORES','','FEMENINO','','',0,0,'','PROFESOR'</v>
      </c>
      <c r="L27" t="str">
        <f t="shared" si="2"/>
        <v>INSERT INTO participantes (id,nivel,correo,matricula,clave,nombre,carrera,grado,sexo,situacion,evaluados,num_evaluados,total_evaluaciones,ultimo_acceso,nivel_acceso) VALUES (2026,'LICENCIATURA','carladaniela.morelosvelazquez','MVC1563','TOMAR DEL SND','MORELOS VELAZQUEZ CARLA DANIELA','PROFESORES','','FEMENINO','','',0,0,'','PROFESOR');</v>
      </c>
    </row>
    <row r="28" spans="1:12" x14ac:dyDescent="0.25">
      <c r="A28">
        <f t="shared" si="3"/>
        <v>2027</v>
      </c>
      <c r="B28" t="s">
        <v>563</v>
      </c>
      <c r="C28" t="str">
        <f>Hoja2!H28</f>
        <v>carlamariana.aguilarceballos</v>
      </c>
      <c r="D28" t="str">
        <f>Hoja2!E28</f>
        <v>ACC1730</v>
      </c>
      <c r="E28" s="3" t="s">
        <v>1141</v>
      </c>
      <c r="F28" t="str">
        <f>Hoja2!F28</f>
        <v>AGUILAR CEBALLOS CARLA MARIANA</v>
      </c>
      <c r="G28" s="1" t="s">
        <v>1142</v>
      </c>
      <c r="I28" t="str">
        <f>Hoja2!G28</f>
        <v>FEMENINO</v>
      </c>
      <c r="K28" t="str">
        <f t="shared" si="1"/>
        <v>2027,'LICENCIATURA','carlamariana.aguilarceballos','ACC1730','TOMAR DEL SND','AGUILAR CEBALLOS CARLA MARIANA','PROFESORES','','FEMENINO','','',0,0,'','PROFESOR'</v>
      </c>
      <c r="L28" t="str">
        <f t="shared" si="2"/>
        <v>INSERT INTO participantes (id,nivel,correo,matricula,clave,nombre,carrera,grado,sexo,situacion,evaluados,num_evaluados,total_evaluaciones,ultimo_acceso,nivel_acceso) VALUES (2027,'LICENCIATURA','carlamariana.aguilarceballos','ACC1730','TOMAR DEL SND','AGUILAR CEBALLOS CARLA MARIANA','PROFESORES','','FEMENINO','','',0,0,'','PROFESOR');</v>
      </c>
    </row>
    <row r="29" spans="1:12" x14ac:dyDescent="0.25">
      <c r="A29">
        <f t="shared" si="3"/>
        <v>2028</v>
      </c>
      <c r="B29" t="s">
        <v>563</v>
      </c>
      <c r="C29" t="str">
        <f>Hoja2!H29</f>
        <v>carlapaulina.mestaslopez</v>
      </c>
      <c r="D29" t="str">
        <f>Hoja2!E29</f>
        <v>MLC1913</v>
      </c>
      <c r="E29" s="3" t="s">
        <v>1141</v>
      </c>
      <c r="F29" t="str">
        <f>Hoja2!F29</f>
        <v>MESTAS LOPEZ CARLA PAULINA</v>
      </c>
      <c r="G29" s="1" t="s">
        <v>1142</v>
      </c>
      <c r="I29" t="str">
        <f>Hoja2!G29</f>
        <v>FEMENINO</v>
      </c>
      <c r="K29" t="str">
        <f t="shared" si="1"/>
        <v>2028,'LICENCIATURA','carlapaulina.mestaslopez','MLC1913','TOMAR DEL SND','MESTAS LOPEZ CARLA PAULINA','PROFESORES','','FEMENINO','','',0,0,'','PROFESOR'</v>
      </c>
      <c r="L29" t="str">
        <f t="shared" si="2"/>
        <v>INSERT INTO participantes (id,nivel,correo,matricula,clave,nombre,carrera,grado,sexo,situacion,evaluados,num_evaluados,total_evaluaciones,ultimo_acceso,nivel_acceso) VALUES (2028,'LICENCIATURA','carlapaulina.mestaslopez','MLC1913','TOMAR DEL SND','MESTAS LOPEZ CARLA PAULINA','PROFESORES','','FEMENINO','','',0,0,'','PROFESOR');</v>
      </c>
    </row>
    <row r="30" spans="1:12" x14ac:dyDescent="0.25">
      <c r="A30">
        <f t="shared" si="3"/>
        <v>2029</v>
      </c>
      <c r="B30" t="s">
        <v>563</v>
      </c>
      <c r="C30" t="str">
        <f>Hoja2!H30</f>
        <v>carlosalfonso.rosariobecerra</v>
      </c>
      <c r="D30" t="str">
        <f>Hoja2!E30</f>
        <v>RBC1633</v>
      </c>
      <c r="E30" s="3" t="s">
        <v>1141</v>
      </c>
      <c r="F30" t="str">
        <f>Hoja2!F30</f>
        <v>ROSARIO BECERRA CARLOS ALFONSO</v>
      </c>
      <c r="G30" s="1" t="s">
        <v>1142</v>
      </c>
      <c r="I30" t="str">
        <f>Hoja2!G30</f>
        <v>MASCULINO</v>
      </c>
      <c r="K30" t="str">
        <f t="shared" si="1"/>
        <v>2029,'LICENCIATURA','carlosalfonso.rosariobecerra','RBC1633','TOMAR DEL SND','ROSARIO BECERRA CARLOS ALFONSO','PROFESORES','','MASCULINO','','',0,0,'','PROFESOR'</v>
      </c>
      <c r="L30" t="str">
        <f t="shared" si="2"/>
        <v>INSERT INTO participantes (id,nivel,correo,matricula,clave,nombre,carrera,grado,sexo,situacion,evaluados,num_evaluados,total_evaluaciones,ultimo_acceso,nivel_acceso) VALUES (2029,'LICENCIATURA','carlosalfonso.rosariobecerra','RBC1633','TOMAR DEL SND','ROSARIO BECERRA CARLOS ALFONSO','PROFESORES','','MASCULINO','','',0,0,'','PROFESOR');</v>
      </c>
    </row>
    <row r="31" spans="1:12" x14ac:dyDescent="0.25">
      <c r="A31">
        <f t="shared" si="3"/>
        <v>2030</v>
      </c>
      <c r="B31" t="s">
        <v>563</v>
      </c>
      <c r="C31" t="str">
        <f>Hoja2!H31</f>
        <v>ciro.zaratetomas</v>
      </c>
      <c r="D31" t="str">
        <f>Hoja2!E31</f>
        <v>ZTC1408</v>
      </c>
      <c r="E31" s="3" t="s">
        <v>1141</v>
      </c>
      <c r="F31" t="str">
        <f>Hoja2!F31</f>
        <v>ZARATE  TOMAS CIRO</v>
      </c>
      <c r="G31" s="1" t="s">
        <v>1142</v>
      </c>
      <c r="I31" t="str">
        <f>Hoja2!G31</f>
        <v>MASCULINO</v>
      </c>
      <c r="K31" t="str">
        <f t="shared" si="1"/>
        <v>2030,'LICENCIATURA','ciro.zaratetomas','ZTC1408','TOMAR DEL SND','ZARATE  TOMAS CIRO','PROFESORES','','MASCULINO','','',0,0,'','PROFESOR'</v>
      </c>
      <c r="L31" t="str">
        <f t="shared" si="2"/>
        <v>INSERT INTO participantes (id,nivel,correo,matricula,clave,nombre,carrera,grado,sexo,situacion,evaluados,num_evaluados,total_evaluaciones,ultimo_acceso,nivel_acceso) VALUES (2030,'LICENCIATURA','ciro.zaratetomas','ZTC1408','TOMAR DEL SND','ZARATE  TOMAS CIRO','PROFESORES','','MASCULINO','','',0,0,'','PROFESOR');</v>
      </c>
    </row>
    <row r="32" spans="1:12" x14ac:dyDescent="0.25">
      <c r="A32">
        <f t="shared" si="3"/>
        <v>2031</v>
      </c>
      <c r="B32" t="s">
        <v>563</v>
      </c>
      <c r="C32" t="str">
        <f>Hoja2!H32</f>
        <v>citlalin.vegaroman</v>
      </c>
      <c r="D32" t="str">
        <f>Hoja2!E32</f>
        <v>VRC1859</v>
      </c>
      <c r="E32" s="3" t="s">
        <v>1141</v>
      </c>
      <c r="F32" t="str">
        <f>Hoja2!F32</f>
        <v>VEGA ROMAN CITLALIN</v>
      </c>
      <c r="G32" s="1" t="s">
        <v>1142</v>
      </c>
      <c r="I32" t="str">
        <f>Hoja2!G32</f>
        <v>FEMENINO</v>
      </c>
      <c r="K32" t="str">
        <f t="shared" si="1"/>
        <v>2031,'LICENCIATURA','citlalin.vegaroman','VRC1859','TOMAR DEL SND','VEGA ROMAN CITLALIN','PROFESORES','','FEMENINO','','',0,0,'','PROFESOR'</v>
      </c>
      <c r="L32" t="str">
        <f t="shared" si="2"/>
        <v>INSERT INTO participantes (id,nivel,correo,matricula,clave,nombre,carrera,grado,sexo,situacion,evaluados,num_evaluados,total_evaluaciones,ultimo_acceso,nivel_acceso) VALUES (2031,'LICENCIATURA','citlalin.vegaroman','VRC1859','TOMAR DEL SND','VEGA ROMAN CITLALIN','PROFESORES','','FEMENINO','','',0,0,'','PROFESOR');</v>
      </c>
    </row>
    <row r="33" spans="1:12" x14ac:dyDescent="0.25">
      <c r="A33">
        <f t="shared" si="3"/>
        <v>2032</v>
      </c>
      <c r="B33" t="s">
        <v>563</v>
      </c>
      <c r="C33" t="str">
        <f>Hoja2!H33</f>
        <v>claudiacecilia.torresfernandez</v>
      </c>
      <c r="D33" t="str">
        <f>Hoja2!E33</f>
        <v>TFC1678</v>
      </c>
      <c r="E33" s="3" t="s">
        <v>1141</v>
      </c>
      <c r="F33" t="str">
        <f>Hoja2!F33</f>
        <v>TORRES FERNANDEZ CLAUDIA CECILIA</v>
      </c>
      <c r="G33" s="1" t="s">
        <v>1142</v>
      </c>
      <c r="I33" t="str">
        <f>Hoja2!G33</f>
        <v>FEMENINO</v>
      </c>
      <c r="K33" t="str">
        <f t="shared" si="1"/>
        <v>2032,'LICENCIATURA','claudiacecilia.torresfernandez','TFC1678','TOMAR DEL SND','TORRES FERNANDEZ CLAUDIA CECILIA','PROFESORES','','FEMENINO','','',0,0,'','PROFESOR'</v>
      </c>
      <c r="L33" t="str">
        <f t="shared" si="2"/>
        <v>INSERT INTO participantes (id,nivel,correo,matricula,clave,nombre,carrera,grado,sexo,situacion,evaluados,num_evaluados,total_evaluaciones,ultimo_acceso,nivel_acceso) VALUES (2032,'LICENCIATURA','claudiacecilia.torresfernandez','TFC1678','TOMAR DEL SND','TORRES FERNANDEZ CLAUDIA CECILIA','PROFESORES','','FEMENINO','','',0,0,'','PROFESOR');</v>
      </c>
    </row>
    <row r="34" spans="1:12" x14ac:dyDescent="0.25">
      <c r="A34">
        <f t="shared" si="3"/>
        <v>2033</v>
      </c>
      <c r="B34" t="s">
        <v>563</v>
      </c>
      <c r="C34" t="str">
        <f>Hoja2!H34</f>
        <v>claudialucia.bautistaparra</v>
      </c>
      <c r="D34" t="str">
        <f>Hoja2!E34</f>
        <v>BPC1920</v>
      </c>
      <c r="E34" s="3" t="s">
        <v>1141</v>
      </c>
      <c r="F34" t="str">
        <f>Hoja2!F34</f>
        <v>BAUTISTA PARRA CLAUDIA LUCIA</v>
      </c>
      <c r="G34" s="1" t="s">
        <v>1142</v>
      </c>
      <c r="I34" t="str">
        <f>Hoja2!G34</f>
        <v>FEMENINO</v>
      </c>
      <c r="K34" t="str">
        <f t="shared" si="1"/>
        <v>2033,'LICENCIATURA','claudialucia.bautistaparra','BPC1920','TOMAR DEL SND','BAUTISTA PARRA CLAUDIA LUCIA','PROFESORES','','FEMENINO','','',0,0,'','PROFESOR'</v>
      </c>
      <c r="L34" t="str">
        <f t="shared" si="2"/>
        <v>INSERT INTO participantes (id,nivel,correo,matricula,clave,nombre,carrera,grado,sexo,situacion,evaluados,num_evaluados,total_evaluaciones,ultimo_acceso,nivel_acceso) VALUES (2033,'LICENCIATURA','claudialucia.bautistaparra','BPC1920','TOMAR DEL SND','BAUTISTA PARRA CLAUDIA LUCIA','PROFESORES','','FEMENINO','','',0,0,'','PROFESOR');</v>
      </c>
    </row>
    <row r="35" spans="1:12" x14ac:dyDescent="0.25">
      <c r="A35">
        <f t="shared" si="3"/>
        <v>2034</v>
      </c>
      <c r="B35" t="s">
        <v>563</v>
      </c>
      <c r="C35" t="str">
        <f>Hoja2!H35</f>
        <v>claudiapaola.cortesvelasco</v>
      </c>
      <c r="D35" t="str">
        <f>Hoja2!E35</f>
        <v>CVC1898</v>
      </c>
      <c r="E35" s="3" t="s">
        <v>1141</v>
      </c>
      <c r="F35" t="str">
        <f>Hoja2!F35</f>
        <v>CORTES VELASCO CLAUDIA PAOLA</v>
      </c>
      <c r="G35" s="1" t="s">
        <v>1142</v>
      </c>
      <c r="I35" t="str">
        <f>Hoja2!G35</f>
        <v>FEMENINO</v>
      </c>
      <c r="K35" t="str">
        <f t="shared" si="1"/>
        <v>2034,'LICENCIATURA','claudiapaola.cortesvelasco','CVC1898','TOMAR DEL SND','CORTES VELASCO CLAUDIA PAOLA','PROFESORES','','FEMENINO','','',0,0,'','PROFESOR'</v>
      </c>
      <c r="L35" t="str">
        <f t="shared" si="2"/>
        <v>INSERT INTO participantes (id,nivel,correo,matricula,clave,nombre,carrera,grado,sexo,situacion,evaluados,num_evaluados,total_evaluaciones,ultimo_acceso,nivel_acceso) VALUES (2034,'LICENCIATURA','claudiapaola.cortesvelasco','CVC1898','TOMAR DEL SND','CORTES VELASCO CLAUDIA PAOLA','PROFESORES','','FEMENINO','','',0,0,'','PROFESOR');</v>
      </c>
    </row>
    <row r="36" spans="1:12" x14ac:dyDescent="0.25">
      <c r="A36">
        <f t="shared" si="3"/>
        <v>2035</v>
      </c>
      <c r="B36" t="s">
        <v>563</v>
      </c>
      <c r="C36" t="str">
        <f>Hoja2!H36</f>
        <v>daisuke.shindotaini</v>
      </c>
      <c r="D36" t="str">
        <f>Hoja2!E36</f>
        <v>SD0167</v>
      </c>
      <c r="E36" s="3" t="s">
        <v>1141</v>
      </c>
      <c r="F36" t="str">
        <f>Hoja2!F36</f>
        <v>SHINDO TAINI DAISUKE</v>
      </c>
      <c r="G36" s="1" t="s">
        <v>1142</v>
      </c>
      <c r="I36" t="str">
        <f>Hoja2!G36</f>
        <v>MASCULINO</v>
      </c>
      <c r="K36" t="str">
        <f t="shared" si="1"/>
        <v>2035,'LICENCIATURA','daisuke.shindotaini','SD0167','TOMAR DEL SND','SHINDO TAINI DAISUKE','PROFESORES','','MASCULINO','','',0,0,'','PROFESOR'</v>
      </c>
      <c r="L36" t="str">
        <f t="shared" si="2"/>
        <v>INSERT INTO participantes (id,nivel,correo,matricula,clave,nombre,carrera,grado,sexo,situacion,evaluados,num_evaluados,total_evaluaciones,ultimo_acceso,nivel_acceso) VALUES (2035,'LICENCIATURA','daisuke.shindotaini','SD0167','TOMAR DEL SND','SHINDO TAINI DAISUKE','PROFESORES','','MASCULINO','','',0,0,'','PROFESOR');</v>
      </c>
    </row>
    <row r="37" spans="1:12" x14ac:dyDescent="0.25">
      <c r="A37">
        <f t="shared" si="3"/>
        <v>2036</v>
      </c>
      <c r="B37" t="s">
        <v>563</v>
      </c>
      <c r="C37" t="str">
        <f>Hoja2!H37</f>
        <v>daniel.hernandezespinosa</v>
      </c>
      <c r="D37" t="str">
        <f>Hoja2!E37</f>
        <v>HED1374</v>
      </c>
      <c r="E37" s="3" t="s">
        <v>1141</v>
      </c>
      <c r="F37" t="str">
        <f>Hoja2!F37</f>
        <v>HERNANDEZ ESPINOSA DANIEL</v>
      </c>
      <c r="G37" s="1" t="s">
        <v>1142</v>
      </c>
      <c r="I37" t="str">
        <f>Hoja2!G37</f>
        <v>MASCULINO</v>
      </c>
      <c r="K37" t="str">
        <f t="shared" si="1"/>
        <v>2036,'LICENCIATURA','daniel.hernandezespinosa','HED1374','TOMAR DEL SND','HERNANDEZ ESPINOSA DANIEL','PROFESORES','','MASCULINO','','',0,0,'','PROFESOR'</v>
      </c>
      <c r="L37" t="str">
        <f t="shared" si="2"/>
        <v>INSERT INTO participantes (id,nivel,correo,matricula,clave,nombre,carrera,grado,sexo,situacion,evaluados,num_evaluados,total_evaluaciones,ultimo_acceso,nivel_acceso) VALUES (2036,'LICENCIATURA','daniel.hernandezespinosa','HED1374','TOMAR DEL SND','HERNANDEZ ESPINOSA DANIEL','PROFESORES','','MASCULINO','','',0,0,'','PROFESOR');</v>
      </c>
    </row>
    <row r="38" spans="1:12" x14ac:dyDescent="0.25">
      <c r="A38">
        <f t="shared" si="3"/>
        <v>2037</v>
      </c>
      <c r="B38" t="s">
        <v>563</v>
      </c>
      <c r="C38" t="str">
        <f>Hoja2!H38</f>
        <v>daniel.larafavela</v>
      </c>
      <c r="D38" t="str">
        <f>Hoja2!E38</f>
        <v>LFD1482</v>
      </c>
      <c r="E38" s="3" t="s">
        <v>1141</v>
      </c>
      <c r="F38" t="str">
        <f>Hoja2!F38</f>
        <v>LARA FAVELA DANIEL</v>
      </c>
      <c r="G38" s="1" t="s">
        <v>1142</v>
      </c>
      <c r="I38" t="str">
        <f>Hoja2!G38</f>
        <v>MASCULINO</v>
      </c>
      <c r="K38" t="str">
        <f t="shared" si="1"/>
        <v>2037,'LICENCIATURA','daniel.larafavela','LFD1482','TOMAR DEL SND','LARA FAVELA DANIEL','PROFESORES','','MASCULINO','','',0,0,'','PROFESOR'</v>
      </c>
      <c r="L38" t="str">
        <f t="shared" si="2"/>
        <v>INSERT INTO participantes (id,nivel,correo,matricula,clave,nombre,carrera,grado,sexo,situacion,evaluados,num_evaluados,total_evaluaciones,ultimo_acceso,nivel_acceso) VALUES (2037,'LICENCIATURA','daniel.larafavela','LFD1482','TOMAR DEL SND','LARA FAVELA DANIEL','PROFESORES','','MASCULINO','','',0,0,'','PROFESOR');</v>
      </c>
    </row>
    <row r="39" spans="1:12" x14ac:dyDescent="0.25">
      <c r="A39">
        <f t="shared" si="3"/>
        <v>2038</v>
      </c>
      <c r="B39" t="s">
        <v>563</v>
      </c>
      <c r="C39" t="str">
        <f>Hoja2!H39</f>
        <v>daniel.montelongoaguayo</v>
      </c>
      <c r="D39" t="str">
        <f>Hoja2!E39</f>
        <v>MAD0975</v>
      </c>
      <c r="E39" s="3" t="s">
        <v>1141</v>
      </c>
      <c r="F39" t="str">
        <f>Hoja2!F39</f>
        <v>MONTELONGO AGUAYO DANIEL</v>
      </c>
      <c r="G39" s="1" t="s">
        <v>1142</v>
      </c>
      <c r="I39" t="str">
        <f>Hoja2!G39</f>
        <v>MASCULINO</v>
      </c>
      <c r="K39" t="str">
        <f t="shared" si="1"/>
        <v>2038,'LICENCIATURA','daniel.montelongoaguayo','MAD0975','TOMAR DEL SND','MONTELONGO AGUAYO DANIEL','PROFESORES','','MASCULINO','','',0,0,'','PROFESOR'</v>
      </c>
      <c r="L39" t="str">
        <f t="shared" si="2"/>
        <v>INSERT INTO participantes (id,nivel,correo,matricula,clave,nombre,carrera,grado,sexo,situacion,evaluados,num_evaluados,total_evaluaciones,ultimo_acceso,nivel_acceso) VALUES (2038,'LICENCIATURA','daniel.montelongoaguayo','MAD0975','TOMAR DEL SND','MONTELONGO AGUAYO DANIEL','PROFESORES','','MASCULINO','','',0,0,'','PROFESOR');</v>
      </c>
    </row>
    <row r="40" spans="1:12" x14ac:dyDescent="0.25">
      <c r="A40">
        <f t="shared" si="3"/>
        <v>2039</v>
      </c>
      <c r="B40" t="s">
        <v>563</v>
      </c>
      <c r="C40" t="str">
        <f>Hoja2!H40</f>
        <v>daniela.fajerromo</v>
      </c>
      <c r="D40" t="str">
        <f>Hoja2!E40</f>
        <v>FRD1712</v>
      </c>
      <c r="E40" s="3" t="s">
        <v>1141</v>
      </c>
      <c r="F40" t="str">
        <f>Hoja2!F40</f>
        <v>FAJER ROMO DANIELA</v>
      </c>
      <c r="G40" s="1" t="s">
        <v>1142</v>
      </c>
      <c r="I40" t="str">
        <f>Hoja2!G40</f>
        <v>FEMENINO</v>
      </c>
      <c r="K40" t="str">
        <f t="shared" si="1"/>
        <v>2039,'LICENCIATURA','daniela.fajerromo','FRD1712','TOMAR DEL SND','FAJER ROMO DANIELA','PROFESORES','','FEMENINO','','',0,0,'','PROFESOR'</v>
      </c>
      <c r="L40" t="str">
        <f t="shared" si="2"/>
        <v>INSERT INTO participantes (id,nivel,correo,matricula,clave,nombre,carrera,grado,sexo,situacion,evaluados,num_evaluados,total_evaluaciones,ultimo_acceso,nivel_acceso) VALUES (2039,'LICENCIATURA','daniela.fajerromo','FRD1712','TOMAR DEL SND','FAJER ROMO DANIELA','PROFESORES','','FEMENINO','','',0,0,'','PROFESOR');</v>
      </c>
    </row>
    <row r="41" spans="1:12" x14ac:dyDescent="0.25">
      <c r="A41">
        <f t="shared" si="3"/>
        <v>2040</v>
      </c>
      <c r="B41" t="s">
        <v>563</v>
      </c>
      <c r="C41" t="str">
        <f>Hoja2!H41</f>
        <v>david.gonzalezchavez</v>
      </c>
      <c r="D41" t="str">
        <f>Hoja2!E41</f>
        <v>GCD0049</v>
      </c>
      <c r="E41" s="3" t="s">
        <v>1141</v>
      </c>
      <c r="F41" t="str">
        <f>Hoja2!F41</f>
        <v>GONZALEZ CHAVEZ DAVID</v>
      </c>
      <c r="G41" s="1" t="s">
        <v>1142</v>
      </c>
      <c r="I41" t="str">
        <f>Hoja2!G41</f>
        <v>MASCULINO</v>
      </c>
      <c r="K41" t="str">
        <f t="shared" si="1"/>
        <v>2040,'LICENCIATURA','david.gonzalezchavez','GCD0049','TOMAR DEL SND','GONZALEZ CHAVEZ DAVID','PROFESORES','','MASCULINO','','',0,0,'','PROFESOR'</v>
      </c>
      <c r="L41" t="str">
        <f t="shared" si="2"/>
        <v>INSERT INTO participantes (id,nivel,correo,matricula,clave,nombre,carrera,grado,sexo,situacion,evaluados,num_evaluados,total_evaluaciones,ultimo_acceso,nivel_acceso) VALUES (2040,'LICENCIATURA','david.gonzalezchavez','GCD0049','TOMAR DEL SND','GONZALEZ CHAVEZ DAVID','PROFESORES','','MASCULINO','','',0,0,'','PROFESOR');</v>
      </c>
    </row>
    <row r="42" spans="1:12" x14ac:dyDescent="0.25">
      <c r="A42">
        <f t="shared" si="3"/>
        <v>2041</v>
      </c>
      <c r="B42" t="s">
        <v>563</v>
      </c>
      <c r="C42" t="str">
        <f>Hoja2!H42</f>
        <v>david.herreraaragon</v>
      </c>
      <c r="D42" t="str">
        <f>Hoja2!E42</f>
        <v>HAD0939</v>
      </c>
      <c r="E42" s="3" t="s">
        <v>1141</v>
      </c>
      <c r="F42" t="str">
        <f>Hoja2!F42</f>
        <v>HERRERA ARAGON DAVID</v>
      </c>
      <c r="G42" s="1" t="s">
        <v>1142</v>
      </c>
      <c r="I42" t="str">
        <f>Hoja2!G42</f>
        <v>MASCULINO</v>
      </c>
      <c r="K42" t="str">
        <f t="shared" si="1"/>
        <v>2041,'LICENCIATURA','david.herreraaragon','HAD0939','TOMAR DEL SND','HERRERA ARAGON DAVID','PROFESORES','','MASCULINO','','',0,0,'','PROFESOR'</v>
      </c>
      <c r="L42" t="str">
        <f t="shared" si="2"/>
        <v>INSERT INTO participantes (id,nivel,correo,matricula,clave,nombre,carrera,grado,sexo,situacion,evaluados,num_evaluados,total_evaluaciones,ultimo_acceso,nivel_acceso) VALUES (2041,'LICENCIATURA','david.herreraaragon','HAD0939','TOMAR DEL SND','HERRERA ARAGON DAVID','PROFESORES','','MASCULINO','','',0,0,'','PROFESOR');</v>
      </c>
    </row>
    <row r="43" spans="1:12" x14ac:dyDescent="0.25">
      <c r="A43">
        <f t="shared" si="3"/>
        <v>2042</v>
      </c>
      <c r="B43" t="s">
        <v>563</v>
      </c>
      <c r="C43" t="str">
        <f>Hoja2!H43</f>
        <v>davideduardo.acevesreynaga</v>
      </c>
      <c r="D43" t="str">
        <f>Hoja2!E43</f>
        <v>ARD1864</v>
      </c>
      <c r="E43" s="3" t="s">
        <v>1141</v>
      </c>
      <c r="F43" t="str">
        <f>Hoja2!F43</f>
        <v>ACEVES REYNAGA DAVID EDUARDO</v>
      </c>
      <c r="G43" s="1" t="s">
        <v>1142</v>
      </c>
      <c r="I43" t="str">
        <f>Hoja2!G43</f>
        <v>MASCULINO</v>
      </c>
      <c r="K43" t="str">
        <f t="shared" si="1"/>
        <v>2042,'LICENCIATURA','davideduardo.acevesreynaga','ARD1864','TOMAR DEL SND','ACEVES REYNAGA DAVID EDUARDO','PROFESORES','','MASCULINO','','',0,0,'','PROFESOR'</v>
      </c>
      <c r="L43" t="str">
        <f t="shared" si="2"/>
        <v>INSERT INTO participantes (id,nivel,correo,matricula,clave,nombre,carrera,grado,sexo,situacion,evaluados,num_evaluados,total_evaluaciones,ultimo_acceso,nivel_acceso) VALUES (2042,'LICENCIATURA','davideduardo.acevesreynaga','ARD1864','TOMAR DEL SND','ACEVES REYNAGA DAVID EDUARDO','PROFESORES','','MASCULINO','','',0,0,'','PROFESOR');</v>
      </c>
    </row>
    <row r="44" spans="1:12" x14ac:dyDescent="0.25">
      <c r="A44">
        <f t="shared" si="3"/>
        <v>2043</v>
      </c>
      <c r="B44" t="s">
        <v>563</v>
      </c>
      <c r="C44" t="str">
        <f>Hoja2!H44</f>
        <v>davidubaldo.gomezperez</v>
      </c>
      <c r="D44" t="str">
        <f>Hoja2!E44</f>
        <v>GPD1665</v>
      </c>
      <c r="E44" s="3" t="s">
        <v>1141</v>
      </c>
      <c r="F44" t="str">
        <f>Hoja2!F44</f>
        <v>GOMEZ PEREZ DAVID UBALDO</v>
      </c>
      <c r="G44" s="1" t="s">
        <v>1142</v>
      </c>
      <c r="I44" t="str">
        <f>Hoja2!G44</f>
        <v>MASCULINO</v>
      </c>
      <c r="K44" t="str">
        <f t="shared" si="1"/>
        <v>2043,'LICENCIATURA','davidubaldo.gomezperez','GPD1665','TOMAR DEL SND','GOMEZ PEREZ DAVID UBALDO','PROFESORES','','MASCULINO','','',0,0,'','PROFESOR'</v>
      </c>
      <c r="L44" t="str">
        <f t="shared" si="2"/>
        <v>INSERT INTO participantes (id,nivel,correo,matricula,clave,nombre,carrera,grado,sexo,situacion,evaluados,num_evaluados,total_evaluaciones,ultimo_acceso,nivel_acceso) VALUES (2043,'LICENCIATURA','davidubaldo.gomezperez','GPD1665','TOMAR DEL SND','GOMEZ PEREZ DAVID UBALDO','PROFESORES','','MASCULINO','','',0,0,'','PROFESOR');</v>
      </c>
    </row>
    <row r="45" spans="1:12" x14ac:dyDescent="0.25">
      <c r="A45">
        <f t="shared" si="3"/>
        <v>2044</v>
      </c>
      <c r="B45" t="s">
        <v>563</v>
      </c>
      <c r="C45" t="str">
        <f>Hoja2!H45</f>
        <v>denispaul.rodriguezromero</v>
      </c>
      <c r="D45" t="str">
        <f>Hoja2!E45</f>
        <v>RRD1854</v>
      </c>
      <c r="E45" s="3" t="s">
        <v>1141</v>
      </c>
      <c r="F45" t="str">
        <f>Hoja2!F45</f>
        <v>RODRIGUEZ ROMERO DENIS PAUL</v>
      </c>
      <c r="G45" s="1" t="s">
        <v>1142</v>
      </c>
      <c r="I45" t="str">
        <f>Hoja2!G45</f>
        <v>MASCULINO</v>
      </c>
      <c r="K45" t="str">
        <f t="shared" si="1"/>
        <v>2044,'LICENCIATURA','denispaul.rodriguezromero','RRD1854','TOMAR DEL SND','RODRIGUEZ ROMERO DENIS PAUL','PROFESORES','','MASCULINO','','',0,0,'','PROFESOR'</v>
      </c>
      <c r="L45" t="str">
        <f t="shared" si="2"/>
        <v>INSERT INTO participantes (id,nivel,correo,matricula,clave,nombre,carrera,grado,sexo,situacion,evaluados,num_evaluados,total_evaluaciones,ultimo_acceso,nivel_acceso) VALUES (2044,'LICENCIATURA','denispaul.rodriguezromero','RRD1854','TOMAR DEL SND','RODRIGUEZ ROMERO DENIS PAUL','PROFESORES','','MASCULINO','','',0,0,'','PROFESOR');</v>
      </c>
    </row>
    <row r="46" spans="1:12" x14ac:dyDescent="0.25">
      <c r="A46">
        <f t="shared" si="3"/>
        <v>2045</v>
      </c>
      <c r="B46" t="s">
        <v>563</v>
      </c>
      <c r="C46" t="str">
        <f>Hoja2!H46</f>
        <v>dennis.camachobuenrostro</v>
      </c>
      <c r="D46" t="str">
        <f>Hoja2!E46</f>
        <v>CBD0795</v>
      </c>
      <c r="E46" s="3" t="s">
        <v>1141</v>
      </c>
      <c r="F46" t="str">
        <f>Hoja2!F46</f>
        <v>CAMACHO BUENROSTRO DENNIS</v>
      </c>
      <c r="G46" s="1" t="s">
        <v>1142</v>
      </c>
      <c r="I46" t="str">
        <f>Hoja2!G46</f>
        <v>FEMENINO</v>
      </c>
      <c r="K46" t="str">
        <f t="shared" si="1"/>
        <v>2045,'LICENCIATURA','dennis.camachobuenrostro','CBD0795','TOMAR DEL SND','CAMACHO BUENROSTRO DENNIS','PROFESORES','','FEMENINO','','',0,0,'','PROFESOR'</v>
      </c>
      <c r="L46" t="str">
        <f t="shared" si="2"/>
        <v>INSERT INTO participantes (id,nivel,correo,matricula,clave,nombre,carrera,grado,sexo,situacion,evaluados,num_evaluados,total_evaluaciones,ultimo_acceso,nivel_acceso) VALUES (2045,'LICENCIATURA','dennis.camachobuenrostro','CBD0795','TOMAR DEL SND','CAMACHO BUENROSTRO DENNIS','PROFESORES','','FEMENINO','','',0,0,'','PROFESOR');</v>
      </c>
    </row>
    <row r="47" spans="1:12" x14ac:dyDescent="0.25">
      <c r="A47">
        <f t="shared" si="3"/>
        <v>2046</v>
      </c>
      <c r="B47" t="s">
        <v>563</v>
      </c>
      <c r="C47" t="str">
        <f>Hoja2!H47</f>
        <v>edermanuel.rodriguezlopez</v>
      </c>
      <c r="D47" t="str">
        <f>Hoja2!E47</f>
        <v>RLE0945</v>
      </c>
      <c r="E47" s="3" t="s">
        <v>1141</v>
      </c>
      <c r="F47" t="str">
        <f>Hoja2!F47</f>
        <v>RODRIGUEZ LOPEZ EDER MANUEL</v>
      </c>
      <c r="G47" s="1" t="s">
        <v>1142</v>
      </c>
      <c r="I47" t="str">
        <f>Hoja2!G47</f>
        <v>MASCULINO</v>
      </c>
      <c r="K47" t="str">
        <f t="shared" si="1"/>
        <v>2046,'LICENCIATURA','edermanuel.rodriguezlopez','RLE0945','TOMAR DEL SND','RODRIGUEZ LOPEZ EDER MANUEL','PROFESORES','','MASCULINO','','',0,0,'','PROFESOR'</v>
      </c>
      <c r="L47" t="str">
        <f t="shared" si="2"/>
        <v>INSERT INTO participantes (id,nivel,correo,matricula,clave,nombre,carrera,grado,sexo,situacion,evaluados,num_evaluados,total_evaluaciones,ultimo_acceso,nivel_acceso) VALUES (2046,'LICENCIATURA','edermanuel.rodriguezlopez','RLE0945','TOMAR DEL SND','RODRIGUEZ LOPEZ EDER MANUEL','PROFESORES','','MASCULINO','','',0,0,'','PROFESOR');</v>
      </c>
    </row>
    <row r="48" spans="1:12" x14ac:dyDescent="0.25">
      <c r="A48">
        <f t="shared" si="3"/>
        <v>2047</v>
      </c>
      <c r="B48" t="s">
        <v>563</v>
      </c>
      <c r="C48" t="str">
        <f>Hoja2!H48</f>
        <v>eduardofrancisco.sanchezocampo</v>
      </c>
      <c r="D48" t="str">
        <f>Hoja2!E48</f>
        <v>SOE1855</v>
      </c>
      <c r="E48" s="3" t="s">
        <v>1141</v>
      </c>
      <c r="F48" t="str">
        <f>Hoja2!F48</f>
        <v>SANCHEZ OCAMPO EDUARDO FRANCISCO</v>
      </c>
      <c r="G48" s="1" t="s">
        <v>1142</v>
      </c>
      <c r="I48" t="str">
        <f>Hoja2!G48</f>
        <v>MASCULINO</v>
      </c>
      <c r="K48" t="str">
        <f t="shared" si="1"/>
        <v>2047,'LICENCIATURA','eduardofrancisco.sanchezocampo','SOE1855','TOMAR DEL SND','SANCHEZ OCAMPO EDUARDO FRANCISCO','PROFESORES','','MASCULINO','','',0,0,'','PROFESOR'</v>
      </c>
      <c r="L48" t="str">
        <f t="shared" si="2"/>
        <v>INSERT INTO participantes (id,nivel,correo,matricula,clave,nombre,carrera,grado,sexo,situacion,evaluados,num_evaluados,total_evaluaciones,ultimo_acceso,nivel_acceso) VALUES (2047,'LICENCIATURA','eduardofrancisco.sanchezocampo','SOE1855','TOMAR DEL SND','SANCHEZ OCAMPO EDUARDO FRANCISCO','PROFESORES','','MASCULINO','','',0,0,'','PROFESOR');</v>
      </c>
    </row>
    <row r="49" spans="1:12" x14ac:dyDescent="0.25">
      <c r="A49">
        <f t="shared" si="3"/>
        <v>2048</v>
      </c>
      <c r="B49" t="s">
        <v>563</v>
      </c>
      <c r="C49" t="str">
        <f>Hoja2!H49</f>
        <v>elisa.hobartgarcia</v>
      </c>
      <c r="D49" t="str">
        <f>Hoja2!E49</f>
        <v>HGE1078</v>
      </c>
      <c r="E49" s="3" t="s">
        <v>1141</v>
      </c>
      <c r="F49" t="str">
        <f>Hoja2!F49</f>
        <v>HOBART GARCIA ELISA</v>
      </c>
      <c r="G49" s="1" t="s">
        <v>1142</v>
      </c>
      <c r="I49" t="str">
        <f>Hoja2!G49</f>
        <v>FEMENINO</v>
      </c>
      <c r="K49" t="str">
        <f t="shared" si="1"/>
        <v>2048,'LICENCIATURA','elisa.hobartgarcia','HGE1078','TOMAR DEL SND','HOBART GARCIA ELISA','PROFESORES','','FEMENINO','','',0,0,'','PROFESOR'</v>
      </c>
      <c r="L49" t="str">
        <f t="shared" si="2"/>
        <v>INSERT INTO participantes (id,nivel,correo,matricula,clave,nombre,carrera,grado,sexo,situacion,evaluados,num_evaluados,total_evaluaciones,ultimo_acceso,nivel_acceso) VALUES (2048,'LICENCIATURA','elisa.hobartgarcia','HGE1078','TOMAR DEL SND','HOBART GARCIA ELISA','PROFESORES','','FEMENINO','','',0,0,'','PROFESOR');</v>
      </c>
    </row>
    <row r="50" spans="1:12" x14ac:dyDescent="0.25">
      <c r="A50">
        <f t="shared" si="3"/>
        <v>2049</v>
      </c>
      <c r="B50" t="s">
        <v>563</v>
      </c>
      <c r="C50" t="str">
        <f>Hoja2!H50</f>
        <v>elsageorgina.padillamartinez</v>
      </c>
      <c r="D50" t="str">
        <f>Hoja2!E50</f>
        <v>PME1742</v>
      </c>
      <c r="E50" s="3" t="s">
        <v>1141</v>
      </c>
      <c r="F50" t="str">
        <f>Hoja2!F50</f>
        <v>PADILLA MARTINEZ ELSA GEORGINA</v>
      </c>
      <c r="G50" s="1" t="s">
        <v>1142</v>
      </c>
      <c r="I50" t="str">
        <f>Hoja2!G50</f>
        <v>FEMENINO</v>
      </c>
      <c r="K50" t="str">
        <f t="shared" si="1"/>
        <v>2049,'LICENCIATURA','elsageorgina.padillamartinez','PME1742','TOMAR DEL SND','PADILLA MARTINEZ ELSA GEORGINA','PROFESORES','','FEMENINO','','',0,0,'','PROFESOR'</v>
      </c>
      <c r="L50" t="str">
        <f t="shared" si="2"/>
        <v>INSERT INTO participantes (id,nivel,correo,matricula,clave,nombre,carrera,grado,sexo,situacion,evaluados,num_evaluados,total_evaluaciones,ultimo_acceso,nivel_acceso) VALUES (2049,'LICENCIATURA','elsageorgina.padillamartinez','PME1742','TOMAR DEL SND','PADILLA MARTINEZ ELSA GEORGINA','PROFESORES','','FEMENINO','','',0,0,'','PROFESOR');</v>
      </c>
    </row>
    <row r="51" spans="1:12" x14ac:dyDescent="0.25">
      <c r="A51">
        <f t="shared" si="3"/>
        <v>2050</v>
      </c>
      <c r="B51" t="s">
        <v>563</v>
      </c>
      <c r="C51" t="str">
        <f>Hoja2!H51</f>
        <v>emmanuel.garibaycamacho</v>
      </c>
      <c r="D51" t="str">
        <f>Hoja2!E51</f>
        <v>GCE0971</v>
      </c>
      <c r="E51" s="3" t="s">
        <v>1141</v>
      </c>
      <c r="F51" t="str">
        <f>Hoja2!F51</f>
        <v>GARIBAY CAMACHO EMMANUEL</v>
      </c>
      <c r="G51" s="1" t="s">
        <v>1142</v>
      </c>
      <c r="I51" t="str">
        <f>Hoja2!G51</f>
        <v>MASCULINO</v>
      </c>
      <c r="K51" t="str">
        <f t="shared" si="1"/>
        <v>2050,'LICENCIATURA','emmanuel.garibaycamacho','GCE0971','TOMAR DEL SND','GARIBAY CAMACHO EMMANUEL','PROFESORES','','MASCULINO','','',0,0,'','PROFESOR'</v>
      </c>
      <c r="L51" t="str">
        <f t="shared" si="2"/>
        <v>INSERT INTO participantes (id,nivel,correo,matricula,clave,nombre,carrera,grado,sexo,situacion,evaluados,num_evaluados,total_evaluaciones,ultimo_acceso,nivel_acceso) VALUES (2050,'LICENCIATURA','emmanuel.garibaycamacho','GCE0971','TOMAR DEL SND','GARIBAY CAMACHO EMMANUEL','PROFESORES','','MASCULINO','','',0,0,'','PROFESOR');</v>
      </c>
    </row>
    <row r="52" spans="1:12" x14ac:dyDescent="0.25">
      <c r="A52">
        <f t="shared" si="3"/>
        <v>2051</v>
      </c>
      <c r="B52" t="s">
        <v>563</v>
      </c>
      <c r="C52" t="str">
        <f>Hoja2!H52</f>
        <v>emmanuel.padillagalindo</v>
      </c>
      <c r="D52" t="str">
        <f>Hoja2!E52</f>
        <v>PGE1527</v>
      </c>
      <c r="E52" s="3" t="s">
        <v>1141</v>
      </c>
      <c r="F52" t="str">
        <f>Hoja2!F52</f>
        <v>PADILLA GALINDO EMMANUEL</v>
      </c>
      <c r="G52" s="1" t="s">
        <v>1142</v>
      </c>
      <c r="I52" t="str">
        <f>Hoja2!G52</f>
        <v>MASCULINO</v>
      </c>
      <c r="K52" t="str">
        <f t="shared" si="1"/>
        <v>2051,'LICENCIATURA','emmanuel.padillagalindo','PGE1527','TOMAR DEL SND','PADILLA GALINDO EMMANUEL','PROFESORES','','MASCULINO','','',0,0,'','PROFESOR'</v>
      </c>
      <c r="L52" t="str">
        <f t="shared" si="2"/>
        <v>INSERT INTO participantes (id,nivel,correo,matricula,clave,nombre,carrera,grado,sexo,situacion,evaluados,num_evaluados,total_evaluaciones,ultimo_acceso,nivel_acceso) VALUES (2051,'LICENCIATURA','emmanuel.padillagalindo','PGE1527','TOMAR DEL SND','PADILLA GALINDO EMMANUEL','PROFESORES','','MASCULINO','','',0,0,'','PROFESOR');</v>
      </c>
    </row>
    <row r="53" spans="1:12" x14ac:dyDescent="0.25">
      <c r="A53">
        <f t="shared" si="3"/>
        <v>2052</v>
      </c>
      <c r="B53" t="s">
        <v>563</v>
      </c>
      <c r="C53" t="str">
        <f>Hoja2!H53</f>
        <v>emmanuel.saldivarorozco</v>
      </c>
      <c r="D53" t="str">
        <f>Hoja2!E53</f>
        <v>SE0523</v>
      </c>
      <c r="E53" s="3" t="s">
        <v>1141</v>
      </c>
      <c r="F53" t="str">
        <f>Hoja2!F53</f>
        <v>SALDIVAR OROZCO EMMANUEL</v>
      </c>
      <c r="G53" s="1" t="s">
        <v>1142</v>
      </c>
      <c r="I53" t="str">
        <f>Hoja2!G53</f>
        <v>MASCULINO</v>
      </c>
      <c r="K53" t="str">
        <f t="shared" si="1"/>
        <v>2052,'LICENCIATURA','emmanuel.saldivarorozco','SE0523','TOMAR DEL SND','SALDIVAR OROZCO EMMANUEL','PROFESORES','','MASCULINO','','',0,0,'','PROFESOR'</v>
      </c>
      <c r="L53" t="str">
        <f t="shared" si="2"/>
        <v>INSERT INTO participantes (id,nivel,correo,matricula,clave,nombre,carrera,grado,sexo,situacion,evaluados,num_evaluados,total_evaluaciones,ultimo_acceso,nivel_acceso) VALUES (2052,'LICENCIATURA','emmanuel.saldivarorozco','SE0523','TOMAR DEL SND','SALDIVAR OROZCO EMMANUEL','PROFESORES','','MASCULINO','','',0,0,'','PROFESOR');</v>
      </c>
    </row>
    <row r="54" spans="1:12" x14ac:dyDescent="0.25">
      <c r="A54">
        <f t="shared" si="3"/>
        <v>2053</v>
      </c>
      <c r="B54" t="s">
        <v>563</v>
      </c>
      <c r="C54" t="str">
        <f>Hoja2!H54</f>
        <v>enrique.gonzalezgonzalez</v>
      </c>
      <c r="D54" t="str">
        <f>Hoja2!E54</f>
        <v>GGE1133</v>
      </c>
      <c r="E54" s="3" t="s">
        <v>1141</v>
      </c>
      <c r="F54" t="str">
        <f>Hoja2!F54</f>
        <v>GONZALEZ GONZALEZ ENRIQUE</v>
      </c>
      <c r="G54" s="1" t="s">
        <v>1142</v>
      </c>
      <c r="I54" t="str">
        <f>Hoja2!G54</f>
        <v>MASCULINO</v>
      </c>
      <c r="K54" t="str">
        <f t="shared" si="1"/>
        <v>2053,'LICENCIATURA','enrique.gonzalezgonzalez','GGE1133','TOMAR DEL SND','GONZALEZ GONZALEZ ENRIQUE','PROFESORES','','MASCULINO','','',0,0,'','PROFESOR'</v>
      </c>
      <c r="L54" t="str">
        <f t="shared" si="2"/>
        <v>INSERT INTO participantes (id,nivel,correo,matricula,clave,nombre,carrera,grado,sexo,situacion,evaluados,num_evaluados,total_evaluaciones,ultimo_acceso,nivel_acceso) VALUES (2053,'LICENCIATURA','enrique.gonzalezgonzalez','GGE1133','TOMAR DEL SND','GONZALEZ GONZALEZ ENRIQUE','PROFESORES','','MASCULINO','','',0,0,'','PROFESOR');</v>
      </c>
    </row>
    <row r="55" spans="1:12" x14ac:dyDescent="0.25">
      <c r="A55">
        <f t="shared" si="3"/>
        <v>2054</v>
      </c>
      <c r="B55" t="s">
        <v>563</v>
      </c>
      <c r="C55" t="str">
        <f>Hoja2!H55</f>
        <v>enrique.jimenezandalon</v>
      </c>
      <c r="D55" t="str">
        <f>Hoja2!E55</f>
        <v>JAE1729</v>
      </c>
      <c r="E55" s="3" t="s">
        <v>1141</v>
      </c>
      <c r="F55" t="str">
        <f>Hoja2!F55</f>
        <v>JIMENEZ ANDALON ENRIQUE</v>
      </c>
      <c r="G55" s="1" t="s">
        <v>1142</v>
      </c>
      <c r="I55" t="str">
        <f>Hoja2!G55</f>
        <v>MASCULINO</v>
      </c>
      <c r="K55" t="str">
        <f t="shared" si="1"/>
        <v>2054,'LICENCIATURA','enrique.jimenezandalon','JAE1729','TOMAR DEL SND','JIMENEZ ANDALON ENRIQUE','PROFESORES','','MASCULINO','','',0,0,'','PROFESOR'</v>
      </c>
      <c r="L55" t="str">
        <f t="shared" si="2"/>
        <v>INSERT INTO participantes (id,nivel,correo,matricula,clave,nombre,carrera,grado,sexo,situacion,evaluados,num_evaluados,total_evaluaciones,ultimo_acceso,nivel_acceso) VALUES (2054,'LICENCIATURA','enrique.jimenezandalon','JAE1729','TOMAR DEL SND','JIMENEZ ANDALON ENRIQUE','PROFESORES','','MASCULINO','','',0,0,'','PROFESOR');</v>
      </c>
    </row>
    <row r="56" spans="1:12" x14ac:dyDescent="0.25">
      <c r="A56">
        <f t="shared" si="3"/>
        <v>2055</v>
      </c>
      <c r="B56" t="s">
        <v>563</v>
      </c>
      <c r="C56" t="str">
        <f>Hoja2!H56</f>
        <v>erika.espejoregalado</v>
      </c>
      <c r="D56" t="str">
        <f>Hoja2!E56</f>
        <v>ERE1767</v>
      </c>
      <c r="E56" s="3" t="s">
        <v>1141</v>
      </c>
      <c r="F56" t="str">
        <f>Hoja2!F56</f>
        <v>ESPEJO REGALADO ERIKA</v>
      </c>
      <c r="G56" s="1" t="s">
        <v>1142</v>
      </c>
      <c r="I56" t="str">
        <f>Hoja2!G56</f>
        <v>FEMENINO</v>
      </c>
      <c r="K56" t="str">
        <f t="shared" si="1"/>
        <v>2055,'LICENCIATURA','erika.espejoregalado','ERE1767','TOMAR DEL SND','ESPEJO REGALADO ERIKA','PROFESORES','','FEMENINO','','',0,0,'','PROFESOR'</v>
      </c>
      <c r="L56" t="str">
        <f t="shared" si="2"/>
        <v>INSERT INTO participantes (id,nivel,correo,matricula,clave,nombre,carrera,grado,sexo,situacion,evaluados,num_evaluados,total_evaluaciones,ultimo_acceso,nivel_acceso) VALUES (2055,'LICENCIATURA','erika.espejoregalado','ERE1767','TOMAR DEL SND','ESPEJO REGALADO ERIKA','PROFESORES','','FEMENINO','','',0,0,'','PROFESOR');</v>
      </c>
    </row>
    <row r="57" spans="1:12" x14ac:dyDescent="0.25">
      <c r="A57">
        <f t="shared" si="3"/>
        <v>2056</v>
      </c>
      <c r="B57" t="s">
        <v>563</v>
      </c>
      <c r="C57" t="str">
        <f>Hoja2!H57</f>
        <v>erikaivette.salcedorosales</v>
      </c>
      <c r="D57" t="str">
        <f>Hoja2!E57</f>
        <v>SRE1199</v>
      </c>
      <c r="E57" s="3" t="s">
        <v>1141</v>
      </c>
      <c r="F57" t="str">
        <f>Hoja2!F57</f>
        <v>SALCEDO ROSALES ERIKA IVETTE</v>
      </c>
      <c r="G57" s="1" t="s">
        <v>1142</v>
      </c>
      <c r="I57" t="str">
        <f>Hoja2!G57</f>
        <v>FEMENINO</v>
      </c>
      <c r="K57" t="str">
        <f t="shared" si="1"/>
        <v>2056,'LICENCIATURA','erikaivette.salcedorosales','SRE1199','TOMAR DEL SND','SALCEDO ROSALES ERIKA IVETTE','PROFESORES','','FEMENINO','','',0,0,'','PROFESOR'</v>
      </c>
      <c r="L57" t="str">
        <f t="shared" si="2"/>
        <v>INSERT INTO participantes (id,nivel,correo,matricula,clave,nombre,carrera,grado,sexo,situacion,evaluados,num_evaluados,total_evaluaciones,ultimo_acceso,nivel_acceso) VALUES (2056,'LICENCIATURA','erikaivette.salcedorosales','SRE1199','TOMAR DEL SND','SALCEDO ROSALES ERIKA IVETTE','PROFESORES','','FEMENINO','','',0,0,'','PROFESOR');</v>
      </c>
    </row>
    <row r="58" spans="1:12" x14ac:dyDescent="0.25">
      <c r="A58">
        <f t="shared" si="3"/>
        <v>2057</v>
      </c>
      <c r="B58" t="s">
        <v>563</v>
      </c>
      <c r="C58" t="str">
        <f>Hoja2!H58</f>
        <v>fabiola.tejedadavalos</v>
      </c>
      <c r="D58" t="str">
        <f>Hoja2!E58</f>
        <v>TDF1367</v>
      </c>
      <c r="E58" s="3" t="s">
        <v>1141</v>
      </c>
      <c r="F58" t="str">
        <f>Hoja2!F58</f>
        <v>TEJEDA DAVALOS FABIOLA</v>
      </c>
      <c r="G58" s="1" t="s">
        <v>1142</v>
      </c>
      <c r="I58" t="str">
        <f>Hoja2!G58</f>
        <v>FEMENINO</v>
      </c>
      <c r="K58" t="str">
        <f t="shared" si="1"/>
        <v>2057,'LICENCIATURA','fabiola.tejedadavalos','TDF1367','TOMAR DEL SND','TEJEDA DAVALOS FABIOLA','PROFESORES','','FEMENINO','','',0,0,'','PROFESOR'</v>
      </c>
      <c r="L58" t="str">
        <f t="shared" si="2"/>
        <v>INSERT INTO participantes (id,nivel,correo,matricula,clave,nombre,carrera,grado,sexo,situacion,evaluados,num_evaluados,total_evaluaciones,ultimo_acceso,nivel_acceso) VALUES (2057,'LICENCIATURA','fabiola.tejedadavalos','TDF1367','TOMAR DEL SND','TEJEDA DAVALOS FABIOLA','PROFESORES','','FEMENINO','','',0,0,'','PROFESOR');</v>
      </c>
    </row>
    <row r="59" spans="1:12" x14ac:dyDescent="0.25">
      <c r="A59">
        <f t="shared" si="3"/>
        <v>2058</v>
      </c>
      <c r="B59" t="s">
        <v>563</v>
      </c>
      <c r="C59" t="str">
        <f>Hoja2!H59</f>
        <v>fatimaalejandra.velatorres</v>
      </c>
      <c r="D59" t="str">
        <f>Hoja2!E59</f>
        <v>VTF1860</v>
      </c>
      <c r="E59" s="3" t="s">
        <v>1141</v>
      </c>
      <c r="F59" t="str">
        <f>Hoja2!F59</f>
        <v>VELA TORRES FATIMA ALEJANDRA</v>
      </c>
      <c r="G59" s="1" t="s">
        <v>1142</v>
      </c>
      <c r="I59" t="str">
        <f>Hoja2!G59</f>
        <v>FEMENINO</v>
      </c>
      <c r="K59" t="str">
        <f t="shared" si="1"/>
        <v>2058,'LICENCIATURA','fatimaalejandra.velatorres','VTF1860','TOMAR DEL SND','VELA TORRES FATIMA ALEJANDRA','PROFESORES','','FEMENINO','','',0,0,'','PROFESOR'</v>
      </c>
      <c r="L59" t="str">
        <f t="shared" si="2"/>
        <v>INSERT INTO participantes (id,nivel,correo,matricula,clave,nombre,carrera,grado,sexo,situacion,evaluados,num_evaluados,total_evaluaciones,ultimo_acceso,nivel_acceso) VALUES (2058,'LICENCIATURA','fatimaalejandra.velatorres','VTF1860','TOMAR DEL SND','VELA TORRES FATIMA ALEJANDRA','PROFESORES','','FEMENINO','','',0,0,'','PROFESOR');</v>
      </c>
    </row>
    <row r="60" spans="1:12" x14ac:dyDescent="0.25">
      <c r="A60">
        <f t="shared" si="3"/>
        <v>2059</v>
      </c>
      <c r="B60" t="s">
        <v>563</v>
      </c>
      <c r="C60" t="str">
        <f>Hoja2!H60</f>
        <v>fernando.sanchezlopez</v>
      </c>
      <c r="D60" t="str">
        <f>Hoja2!E60</f>
        <v>SLF1932</v>
      </c>
      <c r="E60" s="3" t="s">
        <v>1141</v>
      </c>
      <c r="F60" t="str">
        <f>Hoja2!F60</f>
        <v>SANCHEZ LOPEZ FERNANDO</v>
      </c>
      <c r="G60" s="1" t="s">
        <v>1142</v>
      </c>
      <c r="I60" t="str">
        <f>Hoja2!G60</f>
        <v>MASCULINO</v>
      </c>
      <c r="K60" t="str">
        <f t="shared" si="1"/>
        <v>2059,'LICENCIATURA','fernando.sanchezlopez','SLF1932','TOMAR DEL SND','SANCHEZ LOPEZ FERNANDO','PROFESORES','','MASCULINO','','',0,0,'','PROFESOR'</v>
      </c>
      <c r="L60" t="str">
        <f t="shared" si="2"/>
        <v>INSERT INTO participantes (id,nivel,correo,matricula,clave,nombre,carrera,grado,sexo,situacion,evaluados,num_evaluados,total_evaluaciones,ultimo_acceso,nivel_acceso) VALUES (2059,'LICENCIATURA','fernando.sanchezlopez','SLF1932','TOMAR DEL SND','SANCHEZ LOPEZ FERNANDO','PROFESORES','','MASCULINO','','',0,0,'','PROFESOR');</v>
      </c>
    </row>
    <row r="61" spans="1:12" x14ac:dyDescent="0.25">
      <c r="A61">
        <f t="shared" si="3"/>
        <v>2060</v>
      </c>
      <c r="B61" t="s">
        <v>563</v>
      </c>
      <c r="C61" t="str">
        <f>Hoja2!H61</f>
        <v>fernandoabif.lopezvidaurri</v>
      </c>
      <c r="D61" t="str">
        <f>Hoja2!E61</f>
        <v>LVF1601</v>
      </c>
      <c r="E61" s="3" t="s">
        <v>1141</v>
      </c>
      <c r="F61" t="str">
        <f>Hoja2!F61</f>
        <v>LOPEZ VIDAURRI FERNANDO ABIF</v>
      </c>
      <c r="G61" s="1" t="s">
        <v>1142</v>
      </c>
      <c r="I61" t="str">
        <f>Hoja2!G61</f>
        <v>MASCULINO</v>
      </c>
      <c r="K61" t="str">
        <f t="shared" si="1"/>
        <v>2060,'LICENCIATURA','fernandoabif.lopezvidaurri','LVF1601','TOMAR DEL SND','LOPEZ VIDAURRI FERNANDO ABIF','PROFESORES','','MASCULINO','','',0,0,'','PROFESOR'</v>
      </c>
      <c r="L61" t="str">
        <f t="shared" si="2"/>
        <v>INSERT INTO participantes (id,nivel,correo,matricula,clave,nombre,carrera,grado,sexo,situacion,evaluados,num_evaluados,total_evaluaciones,ultimo_acceso,nivel_acceso) VALUES (2060,'LICENCIATURA','fernandoabif.lopezvidaurri','LVF1601','TOMAR DEL SND','LOPEZ VIDAURRI FERNANDO ABIF','PROFESORES','','MASCULINO','','',0,0,'','PROFESOR');</v>
      </c>
    </row>
    <row r="62" spans="1:12" x14ac:dyDescent="0.25">
      <c r="A62">
        <f t="shared" si="3"/>
        <v>2061</v>
      </c>
      <c r="B62" t="s">
        <v>563</v>
      </c>
      <c r="C62" t="str">
        <f>Hoja2!H62</f>
        <v>francisco.tapiavelazquez</v>
      </c>
      <c r="D62" t="str">
        <f>Hoja2!E62</f>
        <v>TVF1344</v>
      </c>
      <c r="E62" s="3" t="s">
        <v>1141</v>
      </c>
      <c r="F62" t="str">
        <f>Hoja2!F62</f>
        <v>TAPIA VELAZQUEZ FRANCISCO</v>
      </c>
      <c r="G62" s="1" t="s">
        <v>1142</v>
      </c>
      <c r="I62" t="str">
        <f>Hoja2!G62</f>
        <v>MASCULINO</v>
      </c>
      <c r="K62" t="str">
        <f t="shared" si="1"/>
        <v>2061,'LICENCIATURA','francisco.tapiavelazquez','TVF1344','TOMAR DEL SND','TAPIA VELAZQUEZ FRANCISCO','PROFESORES','','MASCULINO','','',0,0,'','PROFESOR'</v>
      </c>
      <c r="L62" t="str">
        <f t="shared" si="2"/>
        <v>INSERT INTO participantes (id,nivel,correo,matricula,clave,nombre,carrera,grado,sexo,situacion,evaluados,num_evaluados,total_evaluaciones,ultimo_acceso,nivel_acceso) VALUES (2061,'LICENCIATURA','francisco.tapiavelazquez','TVF1344','TOMAR DEL SND','TAPIA VELAZQUEZ FRANCISCO','PROFESORES','','MASCULINO','','',0,0,'','PROFESOR');</v>
      </c>
    </row>
    <row r="63" spans="1:12" x14ac:dyDescent="0.25">
      <c r="A63">
        <f t="shared" si="3"/>
        <v>2062</v>
      </c>
      <c r="B63" t="s">
        <v>563</v>
      </c>
      <c r="C63" t="str">
        <f>Hoja2!H63</f>
        <v>franciscoalberto.marquezcorona</v>
      </c>
      <c r="D63" t="str">
        <f>Hoja2!E63</f>
        <v>MCF1923</v>
      </c>
      <c r="E63" s="3" t="s">
        <v>1141</v>
      </c>
      <c r="F63" t="str">
        <f>Hoja2!F63</f>
        <v>MARQUEZ CORONA FRANCISCO ALBERTO</v>
      </c>
      <c r="G63" s="1" t="s">
        <v>1142</v>
      </c>
      <c r="I63" t="str">
        <f>Hoja2!G63</f>
        <v>MASCULINO</v>
      </c>
      <c r="K63" t="str">
        <f t="shared" si="1"/>
        <v>2062,'LICENCIATURA','franciscoalberto.marquezcorona','MCF1923','TOMAR DEL SND','MARQUEZ CORONA FRANCISCO ALBERTO','PROFESORES','','MASCULINO','','',0,0,'','PROFESOR'</v>
      </c>
      <c r="L63" t="str">
        <f t="shared" si="2"/>
        <v>INSERT INTO participantes (id,nivel,correo,matricula,clave,nombre,carrera,grado,sexo,situacion,evaluados,num_evaluados,total_evaluaciones,ultimo_acceso,nivel_acceso) VALUES (2062,'LICENCIATURA','franciscoalberto.marquezcorona','MCF1923','TOMAR DEL SND','MARQUEZ CORONA FRANCISCO ALBERTO','PROFESORES','','MASCULINO','','',0,0,'','PROFESOR');</v>
      </c>
    </row>
    <row r="64" spans="1:12" x14ac:dyDescent="0.25">
      <c r="A64">
        <f t="shared" si="3"/>
        <v>2063</v>
      </c>
      <c r="B64" t="s">
        <v>563</v>
      </c>
      <c r="C64" t="str">
        <f>Hoja2!H64</f>
        <v>franciscojavier.ramirezornelas</v>
      </c>
      <c r="D64" t="str">
        <f>Hoja2!E64</f>
        <v>ROF1352</v>
      </c>
      <c r="E64" s="3" t="s">
        <v>1141</v>
      </c>
      <c r="F64" t="str">
        <f>Hoja2!F64</f>
        <v>RAMIREZ ORNELAS FRANCISCO JAVIER</v>
      </c>
      <c r="G64" s="1" t="s">
        <v>1142</v>
      </c>
      <c r="I64" t="str">
        <f>Hoja2!G64</f>
        <v>MASCULINO</v>
      </c>
      <c r="K64" t="str">
        <f t="shared" si="1"/>
        <v>2063,'LICENCIATURA','franciscojavier.ramirezornelas','ROF1352','TOMAR DEL SND','RAMIREZ ORNELAS FRANCISCO JAVIER','PROFESORES','','MASCULINO','','',0,0,'','PROFESOR'</v>
      </c>
      <c r="L64" t="str">
        <f t="shared" si="2"/>
        <v>INSERT INTO participantes (id,nivel,correo,matricula,clave,nombre,carrera,grado,sexo,situacion,evaluados,num_evaluados,total_evaluaciones,ultimo_acceso,nivel_acceso) VALUES (2063,'LICENCIATURA','franciscojavier.ramirezornelas','ROF1352','TOMAR DEL SND','RAMIREZ ORNELAS FRANCISCO JAVIER','PROFESORES','','MASCULINO','','',0,0,'','PROFESOR');</v>
      </c>
    </row>
    <row r="65" spans="1:12" x14ac:dyDescent="0.25">
      <c r="A65">
        <f t="shared" si="3"/>
        <v>2064</v>
      </c>
      <c r="B65" t="s">
        <v>563</v>
      </c>
      <c r="C65" t="str">
        <f>Hoja2!H65</f>
        <v>gabriel.benitezlozano</v>
      </c>
      <c r="D65" t="str">
        <f>Hoja2!E65</f>
        <v>BLG1791</v>
      </c>
      <c r="E65" s="3" t="s">
        <v>1141</v>
      </c>
      <c r="F65" t="str">
        <f>Hoja2!F65</f>
        <v>BENITEZ LOZANO GABRIEL</v>
      </c>
      <c r="G65" s="1" t="s">
        <v>1142</v>
      </c>
      <c r="I65" t="str">
        <f>Hoja2!G65</f>
        <v>MASCULINO</v>
      </c>
      <c r="K65" t="str">
        <f t="shared" si="1"/>
        <v>2064,'LICENCIATURA','gabriel.benitezlozano','BLG1791','TOMAR DEL SND','BENITEZ LOZANO GABRIEL','PROFESORES','','MASCULINO','','',0,0,'','PROFESOR'</v>
      </c>
      <c r="L65" t="str">
        <f t="shared" si="2"/>
        <v>INSERT INTO participantes (id,nivel,correo,matricula,clave,nombre,carrera,grado,sexo,situacion,evaluados,num_evaluados,total_evaluaciones,ultimo_acceso,nivel_acceso) VALUES (2064,'LICENCIATURA','gabriel.benitezlozano','BLG1791','TOMAR DEL SND','BENITEZ LOZANO GABRIEL','PROFESORES','','MASCULINO','','',0,0,'','PROFESOR');</v>
      </c>
    </row>
    <row r="66" spans="1:12" x14ac:dyDescent="0.25">
      <c r="A66">
        <f t="shared" si="3"/>
        <v>2065</v>
      </c>
      <c r="B66" t="s">
        <v>563</v>
      </c>
      <c r="C66" t="str">
        <f>Hoja2!H66</f>
        <v>gabriela.garibaygarcia</v>
      </c>
      <c r="D66" t="str">
        <f>Hoja2!E66</f>
        <v>GGG1774</v>
      </c>
      <c r="E66" s="3" t="s">
        <v>1141</v>
      </c>
      <c r="F66" t="str">
        <f>Hoja2!F66</f>
        <v>GARIBAY GARCIA GABRIELA</v>
      </c>
      <c r="G66" s="1" t="s">
        <v>1142</v>
      </c>
      <c r="I66" t="str">
        <f>Hoja2!G66</f>
        <v>FEMENINO</v>
      </c>
      <c r="K66" t="str">
        <f t="shared" si="1"/>
        <v>2065,'LICENCIATURA','gabriela.garibaygarcia','GGG1774','TOMAR DEL SND','GARIBAY GARCIA GABRIELA','PROFESORES','','FEMENINO','','',0,0,'','PROFESOR'</v>
      </c>
      <c r="L66" t="str">
        <f t="shared" ref="L66:L129" si="4">CONCATENATE($K$1,K66,");")</f>
        <v>INSERT INTO participantes (id,nivel,correo,matricula,clave,nombre,carrera,grado,sexo,situacion,evaluados,num_evaluados,total_evaluaciones,ultimo_acceso,nivel_acceso) VALUES (2065,'LICENCIATURA','gabriela.garibaygarcia','GGG1774','TOMAR DEL SND','GARIBAY GARCIA GABRIELA','PROFESORES','','FEMENINO','','',0,0,'','PROFESOR');</v>
      </c>
    </row>
    <row r="67" spans="1:12" x14ac:dyDescent="0.25">
      <c r="A67">
        <f t="shared" si="3"/>
        <v>2066</v>
      </c>
      <c r="B67" t="s">
        <v>563</v>
      </c>
      <c r="C67" t="str">
        <f>Hoja2!H67</f>
        <v>gastoneduardo.aguilarcallejas</v>
      </c>
      <c r="D67" t="str">
        <f>Hoja2!E67</f>
        <v>ACG1402</v>
      </c>
      <c r="E67" s="3" t="s">
        <v>1141</v>
      </c>
      <c r="F67" t="str">
        <f>Hoja2!F67</f>
        <v>AGUILAR CALLEJAS GASTON EDUARDO</v>
      </c>
      <c r="G67" s="1" t="s">
        <v>1142</v>
      </c>
      <c r="I67" t="str">
        <f>Hoja2!G67</f>
        <v>MASCULINO</v>
      </c>
      <c r="K67" t="str">
        <f t="shared" ref="K67:K130" si="5">CONCATENATE(A67,",",B67,",'",C67,"','",D67,"','",E67,",'",F67,"','",G67,"','",H67,"','",UPPER(I67),"','",UPPER(J67),"','',0,0,'','PROFESOR'")</f>
        <v>2066,'LICENCIATURA','gastoneduardo.aguilarcallejas','ACG1402','TOMAR DEL SND','AGUILAR CALLEJAS GASTON EDUARDO','PROFESORES','','MASCULINO','','',0,0,'','PROFESOR'</v>
      </c>
      <c r="L67" t="str">
        <f t="shared" si="4"/>
        <v>INSERT INTO participantes (id,nivel,correo,matricula,clave,nombre,carrera,grado,sexo,situacion,evaluados,num_evaluados,total_evaluaciones,ultimo_acceso,nivel_acceso) VALUES (2066,'LICENCIATURA','gastoneduardo.aguilarcallejas','ACG1402','TOMAR DEL SND','AGUILAR CALLEJAS GASTON EDUARDO','PROFESORES','','MASCULINO','','',0,0,'','PROFESOR');</v>
      </c>
    </row>
    <row r="68" spans="1:12" x14ac:dyDescent="0.25">
      <c r="A68">
        <f t="shared" ref="A68:A131" si="6">A67+1</f>
        <v>2067</v>
      </c>
      <c r="B68" t="s">
        <v>563</v>
      </c>
      <c r="C68" t="str">
        <f>Hoja2!H68</f>
        <v>giselle.andradehernandez</v>
      </c>
      <c r="D68" t="str">
        <f>Hoja2!E68</f>
        <v>AHG0679</v>
      </c>
      <c r="E68" s="3" t="s">
        <v>1141</v>
      </c>
      <c r="F68" t="str">
        <f>Hoja2!F68</f>
        <v>ANDRADE HERNANDEZ GISELLE</v>
      </c>
      <c r="G68" s="1" t="s">
        <v>1142</v>
      </c>
      <c r="I68" t="str">
        <f>Hoja2!G68</f>
        <v>FEMENINO</v>
      </c>
      <c r="K68" t="str">
        <f t="shared" si="5"/>
        <v>2067,'LICENCIATURA','giselle.andradehernandez','AHG0679','TOMAR DEL SND','ANDRADE HERNANDEZ GISELLE','PROFESORES','','FEMENINO','','',0,0,'','PROFESOR'</v>
      </c>
      <c r="L68" t="str">
        <f t="shared" si="4"/>
        <v>INSERT INTO participantes (id,nivel,correo,matricula,clave,nombre,carrera,grado,sexo,situacion,evaluados,num_evaluados,total_evaluaciones,ultimo_acceso,nivel_acceso) VALUES (2067,'LICENCIATURA','giselle.andradehernandez','AHG0679','TOMAR DEL SND','ANDRADE HERNANDEZ GISELLE','PROFESORES','','FEMENINO','','',0,0,'','PROFESOR');</v>
      </c>
    </row>
    <row r="69" spans="1:12" x14ac:dyDescent="0.25">
      <c r="A69">
        <f t="shared" si="6"/>
        <v>2068</v>
      </c>
      <c r="B69" t="s">
        <v>563</v>
      </c>
      <c r="C69" t="str">
        <f>Hoja2!H69</f>
        <v>gonzaloalberto.lozadaaguilera</v>
      </c>
      <c r="D69" t="str">
        <f>Hoja2!E69</f>
        <v>LAG0954</v>
      </c>
      <c r="E69" s="3" t="s">
        <v>1141</v>
      </c>
      <c r="F69" t="str">
        <f>Hoja2!F69</f>
        <v>LOZADA AGUILERA GONZALO ALBERTO</v>
      </c>
      <c r="G69" s="1" t="s">
        <v>1142</v>
      </c>
      <c r="I69" t="str">
        <f>Hoja2!G69</f>
        <v>MASCULINO</v>
      </c>
      <c r="K69" t="str">
        <f t="shared" si="5"/>
        <v>2068,'LICENCIATURA','gonzaloalberto.lozadaaguilera','LAG0954','TOMAR DEL SND','LOZADA AGUILERA GONZALO ALBERTO','PROFESORES','','MASCULINO','','',0,0,'','PROFESOR'</v>
      </c>
      <c r="L69" t="str">
        <f t="shared" si="4"/>
        <v>INSERT INTO participantes (id,nivel,correo,matricula,clave,nombre,carrera,grado,sexo,situacion,evaluados,num_evaluados,total_evaluaciones,ultimo_acceso,nivel_acceso) VALUES (2068,'LICENCIATURA','gonzaloalberto.lozadaaguilera','LAG0954','TOMAR DEL SND','LOZADA AGUILERA GONZALO ALBERTO','PROFESORES','','MASCULINO','','',0,0,'','PROFESOR');</v>
      </c>
    </row>
    <row r="70" spans="1:12" x14ac:dyDescent="0.25">
      <c r="A70">
        <f t="shared" si="6"/>
        <v>2069</v>
      </c>
      <c r="B70" t="s">
        <v>563</v>
      </c>
      <c r="C70" t="str">
        <f>Hoja2!H70</f>
        <v>griselda.madrigalrodriguez</v>
      </c>
      <c r="D70" t="str">
        <f>Hoja2!E70</f>
        <v>MRG1930</v>
      </c>
      <c r="E70" s="3" t="s">
        <v>1141</v>
      </c>
      <c r="F70" t="str">
        <f>Hoja2!F70</f>
        <v>MADRIGAL RODRIGUEZ GRISELDA</v>
      </c>
      <c r="G70" s="1" t="s">
        <v>1142</v>
      </c>
      <c r="I70" t="str">
        <f>Hoja2!G70</f>
        <v>FEMENINO</v>
      </c>
      <c r="K70" t="str">
        <f t="shared" si="5"/>
        <v>2069,'LICENCIATURA','griselda.madrigalrodriguez','MRG1930','TOMAR DEL SND','MADRIGAL RODRIGUEZ GRISELDA','PROFESORES','','FEMENINO','','',0,0,'','PROFESOR'</v>
      </c>
      <c r="L70" t="str">
        <f t="shared" si="4"/>
        <v>INSERT INTO participantes (id,nivel,correo,matricula,clave,nombre,carrera,grado,sexo,situacion,evaluados,num_evaluados,total_evaluaciones,ultimo_acceso,nivel_acceso) VALUES (2069,'LICENCIATURA','griselda.madrigalrodriguez','MRG1930','TOMAR DEL SND','MADRIGAL RODRIGUEZ GRISELDA','PROFESORES','','FEMENINO','','',0,0,'','PROFESOR');</v>
      </c>
    </row>
    <row r="71" spans="1:12" x14ac:dyDescent="0.25">
      <c r="A71">
        <f t="shared" si="6"/>
        <v>2070</v>
      </c>
      <c r="B71" t="s">
        <v>563</v>
      </c>
      <c r="C71" t="str">
        <f>Hoja2!H71</f>
        <v>hectoralfonso.floresguzman</v>
      </c>
      <c r="D71" t="str">
        <f>Hoja2!E71</f>
        <v>FGH1934</v>
      </c>
      <c r="E71" s="3" t="s">
        <v>1141</v>
      </c>
      <c r="F71" t="str">
        <f>Hoja2!F71</f>
        <v>FLORES GUZMAN HECTOR ALFONSO</v>
      </c>
      <c r="G71" s="1" t="s">
        <v>1142</v>
      </c>
      <c r="I71" t="str">
        <f>Hoja2!G71</f>
        <v>MASCULINO</v>
      </c>
      <c r="K71" t="str">
        <f t="shared" si="5"/>
        <v>2070,'LICENCIATURA','hectoralfonso.floresguzman','FGH1934','TOMAR DEL SND','FLORES GUZMAN HECTOR ALFONSO','PROFESORES','','MASCULINO','','',0,0,'','PROFESOR'</v>
      </c>
      <c r="L71" t="str">
        <f t="shared" si="4"/>
        <v>INSERT INTO participantes (id,nivel,correo,matricula,clave,nombre,carrera,grado,sexo,situacion,evaluados,num_evaluados,total_evaluaciones,ultimo_acceso,nivel_acceso) VALUES (2070,'LICENCIATURA','hectoralfonso.floresguzman','FGH1934','TOMAR DEL SND','FLORES GUZMAN HECTOR ALFONSO','PROFESORES','','MASCULINO','','',0,0,'','PROFESOR');</v>
      </c>
    </row>
    <row r="72" spans="1:12" x14ac:dyDescent="0.25">
      <c r="A72">
        <f t="shared" si="6"/>
        <v>2071</v>
      </c>
      <c r="B72" t="s">
        <v>563</v>
      </c>
      <c r="C72" t="str">
        <f>Hoja2!H72</f>
        <v>hectorraul.morenollamas</v>
      </c>
      <c r="D72" t="str">
        <f>Hoja2!E72</f>
        <v>MLH1052</v>
      </c>
      <c r="E72" s="3" t="s">
        <v>1141</v>
      </c>
      <c r="F72" t="str">
        <f>Hoja2!F72</f>
        <v>MORENO LLAMAS HECTOR RAUL</v>
      </c>
      <c r="G72" s="1" t="s">
        <v>1142</v>
      </c>
      <c r="I72" t="str">
        <f>Hoja2!G72</f>
        <v>MASCULINO</v>
      </c>
      <c r="K72" t="str">
        <f t="shared" si="5"/>
        <v>2071,'LICENCIATURA','hectorraul.morenollamas','MLH1052','TOMAR DEL SND','MORENO LLAMAS HECTOR RAUL','PROFESORES','','MASCULINO','','',0,0,'','PROFESOR'</v>
      </c>
      <c r="L72" t="str">
        <f t="shared" si="4"/>
        <v>INSERT INTO participantes (id,nivel,correo,matricula,clave,nombre,carrera,grado,sexo,situacion,evaluados,num_evaluados,total_evaluaciones,ultimo_acceso,nivel_acceso) VALUES (2071,'LICENCIATURA','hectorraul.morenollamas','MLH1052','TOMAR DEL SND','MORENO LLAMAS HECTOR RAUL','PROFESORES','','MASCULINO','','',0,0,'','PROFESOR');</v>
      </c>
    </row>
    <row r="73" spans="1:12" x14ac:dyDescent="0.25">
      <c r="A73">
        <f t="shared" si="6"/>
        <v>2072</v>
      </c>
      <c r="B73" t="s">
        <v>563</v>
      </c>
      <c r="C73" t="str">
        <f>Hoja2!H73</f>
        <v>hectorricardo.delrioazcona</v>
      </c>
      <c r="D73" t="str">
        <f>Hoja2!E73</f>
        <v>DAH0151</v>
      </c>
      <c r="E73" s="3" t="s">
        <v>1141</v>
      </c>
      <c r="F73" t="str">
        <f>Hoja2!F73</f>
        <v>DEL RIO AZCONA HECTOR RICARDO</v>
      </c>
      <c r="G73" s="1" t="s">
        <v>1142</v>
      </c>
      <c r="I73" t="str">
        <f>Hoja2!G73</f>
        <v>MASCULINO</v>
      </c>
      <c r="K73" t="str">
        <f t="shared" si="5"/>
        <v>2072,'LICENCIATURA','hectorricardo.delrioazcona','DAH0151','TOMAR DEL SND','DEL RIO AZCONA HECTOR RICARDO','PROFESORES','','MASCULINO','','',0,0,'','PROFESOR'</v>
      </c>
      <c r="L73" t="str">
        <f t="shared" si="4"/>
        <v>INSERT INTO participantes (id,nivel,correo,matricula,clave,nombre,carrera,grado,sexo,situacion,evaluados,num_evaluados,total_evaluaciones,ultimo_acceso,nivel_acceso) VALUES (2072,'LICENCIATURA','hectorricardo.delrioazcona','DAH0151','TOMAR DEL SND','DEL RIO AZCONA HECTOR RICARDO','PROFESORES','','MASCULINO','','',0,0,'','PROFESOR');</v>
      </c>
    </row>
    <row r="74" spans="1:12" x14ac:dyDescent="0.25">
      <c r="A74">
        <f t="shared" si="6"/>
        <v>2073</v>
      </c>
      <c r="B74" t="s">
        <v>563</v>
      </c>
      <c r="C74" t="str">
        <f>Hoja2!H74</f>
        <v>hermes.camposramirez</v>
      </c>
      <c r="D74" t="str">
        <f>Hoja2!E74</f>
        <v>CRH1264</v>
      </c>
      <c r="E74" s="3" t="s">
        <v>1141</v>
      </c>
      <c r="F74" t="str">
        <f>Hoja2!F74</f>
        <v>CAMPOS RAMIREZ HERMES</v>
      </c>
      <c r="G74" s="1" t="s">
        <v>1142</v>
      </c>
      <c r="I74" t="str">
        <f>Hoja2!G74</f>
        <v>MASCULINO</v>
      </c>
      <c r="K74" t="str">
        <f t="shared" si="5"/>
        <v>2073,'LICENCIATURA','hermes.camposramirez','CRH1264','TOMAR DEL SND','CAMPOS RAMIREZ HERMES','PROFESORES','','MASCULINO','','',0,0,'','PROFESOR'</v>
      </c>
      <c r="L74" t="str">
        <f t="shared" si="4"/>
        <v>INSERT INTO participantes (id,nivel,correo,matricula,clave,nombre,carrera,grado,sexo,situacion,evaluados,num_evaluados,total_evaluaciones,ultimo_acceso,nivel_acceso) VALUES (2073,'LICENCIATURA','hermes.camposramirez','CRH1264','TOMAR DEL SND','CAMPOS RAMIREZ HERMES','PROFESORES','','MASCULINO','','',0,0,'','PROFESOR');</v>
      </c>
    </row>
    <row r="75" spans="1:12" x14ac:dyDescent="0.25">
      <c r="A75">
        <f t="shared" si="6"/>
        <v>2074</v>
      </c>
      <c r="B75" t="s">
        <v>563</v>
      </c>
      <c r="C75" t="str">
        <f>Hoja2!H75</f>
        <v>hernanandres.cavallomazzitelli</v>
      </c>
      <c r="D75" t="str">
        <f>Hoja2!E75</f>
        <v>CMH1305</v>
      </c>
      <c r="E75" s="3" t="s">
        <v>1141</v>
      </c>
      <c r="F75" t="str">
        <f>Hoja2!F75</f>
        <v>CAVALLO  MAZZITELLI HERNAN ANDRES</v>
      </c>
      <c r="G75" s="1" t="s">
        <v>1142</v>
      </c>
      <c r="I75" t="str">
        <f>Hoja2!G75</f>
        <v>MASCULINO</v>
      </c>
      <c r="K75" t="str">
        <f t="shared" si="5"/>
        <v>2074,'LICENCIATURA','hernanandres.cavallomazzitelli','CMH1305','TOMAR DEL SND','CAVALLO  MAZZITELLI HERNAN ANDRES','PROFESORES','','MASCULINO','','',0,0,'','PROFESOR'</v>
      </c>
      <c r="L75" t="str">
        <f t="shared" si="4"/>
        <v>INSERT INTO participantes (id,nivel,correo,matricula,clave,nombre,carrera,grado,sexo,situacion,evaluados,num_evaluados,total_evaluaciones,ultimo_acceso,nivel_acceso) VALUES (2074,'LICENCIATURA','hernanandres.cavallomazzitelli','CMH1305','TOMAR DEL SND','CAVALLO  MAZZITELLI HERNAN ANDRES','PROFESORES','','MASCULINO','','',0,0,'','PROFESOR');</v>
      </c>
    </row>
    <row r="76" spans="1:12" x14ac:dyDescent="0.25">
      <c r="A76">
        <f t="shared" si="6"/>
        <v>2075</v>
      </c>
      <c r="B76" t="s">
        <v>563</v>
      </c>
      <c r="C76" t="str">
        <f>Hoja2!H76</f>
        <v>horacio.arteagacardona</v>
      </c>
      <c r="D76" t="str">
        <f>Hoja2!E76</f>
        <v>ACH1131</v>
      </c>
      <c r="E76" s="3" t="s">
        <v>1141</v>
      </c>
      <c r="F76" t="str">
        <f>Hoja2!F76</f>
        <v>ARTEAGA CARDONA HORACIO</v>
      </c>
      <c r="G76" s="1" t="s">
        <v>1142</v>
      </c>
      <c r="I76" t="str">
        <f>Hoja2!G76</f>
        <v>MASCULINO</v>
      </c>
      <c r="K76" t="str">
        <f t="shared" si="5"/>
        <v>2075,'LICENCIATURA','horacio.arteagacardona','ACH1131','TOMAR DEL SND','ARTEAGA CARDONA HORACIO','PROFESORES','','MASCULINO','','',0,0,'','PROFESOR'</v>
      </c>
      <c r="L76" t="str">
        <f t="shared" si="4"/>
        <v>INSERT INTO participantes (id,nivel,correo,matricula,clave,nombre,carrera,grado,sexo,situacion,evaluados,num_evaluados,total_evaluaciones,ultimo_acceso,nivel_acceso) VALUES (2075,'LICENCIATURA','horacio.arteagacardona','ACH1131','TOMAR DEL SND','ARTEAGA CARDONA HORACIO','PROFESORES','','MASCULINO','','',0,0,'','PROFESOR');</v>
      </c>
    </row>
    <row r="77" spans="1:12" x14ac:dyDescent="0.25">
      <c r="A77">
        <f t="shared" si="6"/>
        <v>2076</v>
      </c>
      <c r="B77" t="s">
        <v>563</v>
      </c>
      <c r="C77" t="str">
        <f>Hoja2!H77</f>
        <v>hugomiguel.segovianomartinez</v>
      </c>
      <c r="D77" t="str">
        <f>Hoja2!E77</f>
        <v>SMH1905</v>
      </c>
      <c r="E77" s="3" t="s">
        <v>1141</v>
      </c>
      <c r="F77" t="str">
        <f>Hoja2!F77</f>
        <v>SEGOVIANO MARTINEZ HUGO MIGUEL</v>
      </c>
      <c r="G77" s="1" t="s">
        <v>1142</v>
      </c>
      <c r="I77" t="str">
        <f>Hoja2!G77</f>
        <v>MASCULINO</v>
      </c>
      <c r="K77" t="str">
        <f t="shared" si="5"/>
        <v>2076,'LICENCIATURA','hugomiguel.segovianomartinez','SMH1905','TOMAR DEL SND','SEGOVIANO MARTINEZ HUGO MIGUEL','PROFESORES','','MASCULINO','','',0,0,'','PROFESOR'</v>
      </c>
      <c r="L77" t="str">
        <f t="shared" si="4"/>
        <v>INSERT INTO participantes (id,nivel,correo,matricula,clave,nombre,carrera,grado,sexo,situacion,evaluados,num_evaluados,total_evaluaciones,ultimo_acceso,nivel_acceso) VALUES (2076,'LICENCIATURA','hugomiguel.segovianomartinez','SMH1905','TOMAR DEL SND','SEGOVIANO MARTINEZ HUGO MIGUEL','PROFESORES','','MASCULINO','','',0,0,'','PROFESOR');</v>
      </c>
    </row>
    <row r="78" spans="1:12" x14ac:dyDescent="0.25">
      <c r="A78">
        <f t="shared" si="6"/>
        <v>2077</v>
      </c>
      <c r="B78" t="s">
        <v>563</v>
      </c>
      <c r="C78" t="str">
        <f>Hoja2!H78</f>
        <v>irmaaracely.toscanorenteria</v>
      </c>
      <c r="D78" t="str">
        <f>Hoja2!E78</f>
        <v>TRI1926</v>
      </c>
      <c r="E78" s="3" t="s">
        <v>1141</v>
      </c>
      <c r="F78" t="str">
        <f>Hoja2!F78</f>
        <v>TOSCANO RENTERIA IRMA ARACELY</v>
      </c>
      <c r="G78" s="1" t="s">
        <v>1142</v>
      </c>
      <c r="I78" t="str">
        <f>Hoja2!G78</f>
        <v>FEMENINO</v>
      </c>
      <c r="K78" t="str">
        <f t="shared" si="5"/>
        <v>2077,'LICENCIATURA','irmaaracely.toscanorenteria','TRI1926','TOMAR DEL SND','TOSCANO RENTERIA IRMA ARACELY','PROFESORES','','FEMENINO','','',0,0,'','PROFESOR'</v>
      </c>
      <c r="L78" t="str">
        <f t="shared" si="4"/>
        <v>INSERT INTO participantes (id,nivel,correo,matricula,clave,nombre,carrera,grado,sexo,situacion,evaluados,num_evaluados,total_evaluaciones,ultimo_acceso,nivel_acceso) VALUES (2077,'LICENCIATURA','irmaaracely.toscanorenteria','TRI1926','TOMAR DEL SND','TOSCANO RENTERIA IRMA ARACELY','PROFESORES','','FEMENINO','','',0,0,'','PROFESOR');</v>
      </c>
    </row>
    <row r="79" spans="1:12" x14ac:dyDescent="0.25">
      <c r="A79">
        <f t="shared" si="6"/>
        <v>2078</v>
      </c>
      <c r="B79" t="s">
        <v>563</v>
      </c>
      <c r="C79" t="str">
        <f>Hoja2!H79</f>
        <v>irmaelizabeth.castellanosmeza</v>
      </c>
      <c r="D79" t="str">
        <f>Hoja2!E79</f>
        <v>CMI1010</v>
      </c>
      <c r="E79" s="3" t="s">
        <v>1141</v>
      </c>
      <c r="F79" t="str">
        <f>Hoja2!F79</f>
        <v>CASTELLANOS MEZA IRMA ELIZABETH</v>
      </c>
      <c r="G79" s="1" t="s">
        <v>1142</v>
      </c>
      <c r="I79" t="str">
        <f>Hoja2!G79</f>
        <v>FEMENINO</v>
      </c>
      <c r="K79" t="str">
        <f t="shared" si="5"/>
        <v>2078,'LICENCIATURA','irmaelizabeth.castellanosmeza','CMI1010','TOMAR DEL SND','CASTELLANOS MEZA IRMA ELIZABETH','PROFESORES','','FEMENINO','','',0,0,'','PROFESOR'</v>
      </c>
      <c r="L79" t="str">
        <f t="shared" si="4"/>
        <v>INSERT INTO participantes (id,nivel,correo,matricula,clave,nombre,carrera,grado,sexo,situacion,evaluados,num_evaluados,total_evaluaciones,ultimo_acceso,nivel_acceso) VALUES (2078,'LICENCIATURA','irmaelizabeth.castellanosmeza','CMI1010','TOMAR DEL SND','CASTELLANOS MEZA IRMA ELIZABETH','PROFESORES','','FEMENINO','','',0,0,'','PROFESOR');</v>
      </c>
    </row>
    <row r="80" spans="1:12" x14ac:dyDescent="0.25">
      <c r="A80">
        <f t="shared" si="6"/>
        <v>2079</v>
      </c>
      <c r="B80" t="s">
        <v>563</v>
      </c>
      <c r="C80" t="str">
        <f>Hoja2!H80</f>
        <v>irvingtrinidad.rodriguezalonso</v>
      </c>
      <c r="D80" t="str">
        <f>Hoja2!E80</f>
        <v>RAI1236</v>
      </c>
      <c r="E80" s="3" t="s">
        <v>1141</v>
      </c>
      <c r="F80" t="str">
        <f>Hoja2!F80</f>
        <v>RODRIGUEZ ALONSO IRVING TRINIDAD</v>
      </c>
      <c r="G80" s="1" t="s">
        <v>1142</v>
      </c>
      <c r="I80" t="str">
        <f>Hoja2!G80</f>
        <v>MASCULINO</v>
      </c>
      <c r="K80" t="str">
        <f t="shared" si="5"/>
        <v>2079,'LICENCIATURA','irvingtrinidad.rodriguezalonso','RAI1236','TOMAR DEL SND','RODRIGUEZ ALONSO IRVING TRINIDAD','PROFESORES','','MASCULINO','','',0,0,'','PROFESOR'</v>
      </c>
      <c r="L80" t="str">
        <f t="shared" si="4"/>
        <v>INSERT INTO participantes (id,nivel,correo,matricula,clave,nombre,carrera,grado,sexo,situacion,evaluados,num_evaluados,total_evaluaciones,ultimo_acceso,nivel_acceso) VALUES (2079,'LICENCIATURA','irvingtrinidad.rodriguezalonso','RAI1236','TOMAR DEL SND','RODRIGUEZ ALONSO IRVING TRINIDAD','PROFESORES','','MASCULINO','','',0,0,'','PROFESOR');</v>
      </c>
    </row>
    <row r="81" spans="1:12" x14ac:dyDescent="0.25">
      <c r="A81">
        <f t="shared" si="6"/>
        <v>2080</v>
      </c>
      <c r="B81" t="s">
        <v>563</v>
      </c>
      <c r="C81" t="str">
        <f>Hoja2!H81</f>
        <v>isis.fariascastellanos</v>
      </c>
      <c r="D81" t="str">
        <f>Hoja2!E81</f>
        <v>FCI1701</v>
      </c>
      <c r="E81" s="3" t="s">
        <v>1141</v>
      </c>
      <c r="F81" t="str">
        <f>Hoja2!F81</f>
        <v>FARIAS CASTELLANOS ISIS</v>
      </c>
      <c r="G81" s="1" t="s">
        <v>1142</v>
      </c>
      <c r="I81" t="str">
        <f>Hoja2!G81</f>
        <v>FEMENINO</v>
      </c>
      <c r="K81" t="str">
        <f t="shared" si="5"/>
        <v>2080,'LICENCIATURA','isis.fariascastellanos','FCI1701','TOMAR DEL SND','FARIAS CASTELLANOS ISIS','PROFESORES','','FEMENINO','','',0,0,'','PROFESOR'</v>
      </c>
      <c r="L81" t="str">
        <f t="shared" si="4"/>
        <v>INSERT INTO participantes (id,nivel,correo,matricula,clave,nombre,carrera,grado,sexo,situacion,evaluados,num_evaluados,total_evaluaciones,ultimo_acceso,nivel_acceso) VALUES (2080,'LICENCIATURA','isis.fariascastellanos','FCI1701','TOMAR DEL SND','FARIAS CASTELLANOS ISIS','PROFESORES','','FEMENINO','','',0,0,'','PROFESOR');</v>
      </c>
    </row>
    <row r="82" spans="1:12" x14ac:dyDescent="0.25">
      <c r="A82">
        <f t="shared" si="6"/>
        <v>2081</v>
      </c>
      <c r="B82" t="s">
        <v>563</v>
      </c>
      <c r="C82" t="str">
        <f>Hoja2!H82</f>
        <v>itzelalabama.moncayotarin</v>
      </c>
      <c r="D82" t="str">
        <f>Hoja2!E82</f>
        <v>MTI1761</v>
      </c>
      <c r="E82" s="3" t="s">
        <v>1141</v>
      </c>
      <c r="F82" t="str">
        <f>Hoja2!F82</f>
        <v>MONCAYO TARIN ITZEL ALABAMA</v>
      </c>
      <c r="G82" s="1" t="s">
        <v>1142</v>
      </c>
      <c r="I82" t="str">
        <f>Hoja2!G82</f>
        <v>FEMENINO</v>
      </c>
      <c r="K82" t="str">
        <f t="shared" si="5"/>
        <v>2081,'LICENCIATURA','itzelalabama.moncayotarin','MTI1761','TOMAR DEL SND','MONCAYO TARIN ITZEL ALABAMA','PROFESORES','','FEMENINO','','',0,0,'','PROFESOR'</v>
      </c>
      <c r="L82" t="str">
        <f t="shared" si="4"/>
        <v>INSERT INTO participantes (id,nivel,correo,matricula,clave,nombre,carrera,grado,sexo,situacion,evaluados,num_evaluados,total_evaluaciones,ultimo_acceso,nivel_acceso) VALUES (2081,'LICENCIATURA','itzelalabama.moncayotarin','MTI1761','TOMAR DEL SND','MONCAYO TARIN ITZEL ALABAMA','PROFESORES','','FEMENINO','','',0,0,'','PROFESOR');</v>
      </c>
    </row>
    <row r="83" spans="1:12" x14ac:dyDescent="0.25">
      <c r="A83">
        <f t="shared" si="6"/>
        <v>2082</v>
      </c>
      <c r="B83" t="s">
        <v>563</v>
      </c>
      <c r="C83" t="str">
        <f>Hoja2!H83</f>
        <v>javiereduardo.salcedorondon</v>
      </c>
      <c r="D83" t="str">
        <f>Hoja2!E83</f>
        <v>SRJ1260</v>
      </c>
      <c r="E83" s="3" t="s">
        <v>1141</v>
      </c>
      <c r="F83" t="str">
        <f>Hoja2!F83</f>
        <v>SALCEDO RONDON JAVIER EDUARDO</v>
      </c>
      <c r="G83" s="1" t="s">
        <v>1142</v>
      </c>
      <c r="I83" t="str">
        <f>Hoja2!G83</f>
        <v>MASCULINO</v>
      </c>
      <c r="K83" t="str">
        <f t="shared" si="5"/>
        <v>2082,'LICENCIATURA','javiereduardo.salcedorondon','SRJ1260','TOMAR DEL SND','SALCEDO RONDON JAVIER EDUARDO','PROFESORES','','MASCULINO','','',0,0,'','PROFESOR'</v>
      </c>
      <c r="L83" t="str">
        <f t="shared" si="4"/>
        <v>INSERT INTO participantes (id,nivel,correo,matricula,clave,nombre,carrera,grado,sexo,situacion,evaluados,num_evaluados,total_evaluaciones,ultimo_acceso,nivel_acceso) VALUES (2082,'LICENCIATURA','javiereduardo.salcedorondon','SRJ1260','TOMAR DEL SND','SALCEDO RONDON JAVIER EDUARDO','PROFESORES','','MASCULINO','','',0,0,'','PROFESOR');</v>
      </c>
    </row>
    <row r="84" spans="1:12" x14ac:dyDescent="0.25">
      <c r="A84">
        <f t="shared" si="6"/>
        <v>2083</v>
      </c>
      <c r="B84" t="s">
        <v>563</v>
      </c>
      <c r="C84" t="str">
        <f>Hoja2!H84</f>
        <v>jazmin.hernandezmontes</v>
      </c>
      <c r="D84" t="str">
        <f>Hoja2!E84</f>
        <v>HMJ1870</v>
      </c>
      <c r="E84" s="3" t="s">
        <v>1141</v>
      </c>
      <c r="F84" t="str">
        <f>Hoja2!F84</f>
        <v>HERNANDEZ MONTES JAZMIN</v>
      </c>
      <c r="G84" s="1" t="s">
        <v>1142</v>
      </c>
      <c r="I84" t="str">
        <f>Hoja2!G84</f>
        <v>FEMENINO</v>
      </c>
      <c r="K84" t="str">
        <f t="shared" si="5"/>
        <v>2083,'LICENCIATURA','jazmin.hernandezmontes','HMJ1870','TOMAR DEL SND','HERNANDEZ MONTES JAZMIN','PROFESORES','','FEMENINO','','',0,0,'','PROFESOR'</v>
      </c>
      <c r="L84" t="str">
        <f t="shared" si="4"/>
        <v>INSERT INTO participantes (id,nivel,correo,matricula,clave,nombre,carrera,grado,sexo,situacion,evaluados,num_evaluados,total_evaluaciones,ultimo_acceso,nivel_acceso) VALUES (2083,'LICENCIATURA','jazmin.hernandezmontes','HMJ1870','TOMAR DEL SND','HERNANDEZ MONTES JAZMIN','PROFESORES','','FEMENINO','','',0,0,'','PROFESOR');</v>
      </c>
    </row>
    <row r="85" spans="1:12" x14ac:dyDescent="0.25">
      <c r="A85">
        <f t="shared" si="6"/>
        <v>2084</v>
      </c>
      <c r="B85" t="s">
        <v>563</v>
      </c>
      <c r="C85" t="str">
        <f>Hoja2!H85</f>
        <v>jesusalejandro.gomezledezma</v>
      </c>
      <c r="D85" t="str">
        <f>Hoja2!E85</f>
        <v>GLJ1802</v>
      </c>
      <c r="E85" s="3" t="s">
        <v>1141</v>
      </c>
      <c r="F85" t="str">
        <f>Hoja2!F85</f>
        <v>GOMEZ LEDEZMA JESUS ALEJANDRO</v>
      </c>
      <c r="G85" s="1" t="s">
        <v>1142</v>
      </c>
      <c r="I85" t="str">
        <f>Hoja2!G85</f>
        <v>MASCULINO</v>
      </c>
      <c r="K85" t="str">
        <f t="shared" si="5"/>
        <v>2084,'LICENCIATURA','jesusalejandro.gomezledezma','GLJ1802','TOMAR DEL SND','GOMEZ LEDEZMA JESUS ALEJANDRO','PROFESORES','','MASCULINO','','',0,0,'','PROFESOR'</v>
      </c>
      <c r="L85" t="str">
        <f t="shared" si="4"/>
        <v>INSERT INTO participantes (id,nivel,correo,matricula,clave,nombre,carrera,grado,sexo,situacion,evaluados,num_evaluados,total_evaluaciones,ultimo_acceso,nivel_acceso) VALUES (2084,'LICENCIATURA','jesusalejandro.gomezledezma','GLJ1802','TOMAR DEL SND','GOMEZ LEDEZMA JESUS ALEJANDRO','PROFESORES','','MASCULINO','','',0,0,'','PROFESOR');</v>
      </c>
    </row>
    <row r="86" spans="1:12" x14ac:dyDescent="0.25">
      <c r="A86">
        <f t="shared" si="6"/>
        <v>2085</v>
      </c>
      <c r="B86" t="s">
        <v>563</v>
      </c>
      <c r="C86" t="str">
        <f>Hoja2!H86</f>
        <v>jesusantonio.gudiñogonzalez</v>
      </c>
      <c r="D86" t="str">
        <f>Hoja2!E86</f>
        <v>GGJ1869</v>
      </c>
      <c r="E86" s="3" t="s">
        <v>1141</v>
      </c>
      <c r="F86" t="str">
        <f>Hoja2!F86</f>
        <v>GUDIÑO GONZALEZ JESUS ANTONIO</v>
      </c>
      <c r="G86" s="1" t="s">
        <v>1142</v>
      </c>
      <c r="I86" t="str">
        <f>Hoja2!G86</f>
        <v>MASCULINO</v>
      </c>
      <c r="K86" t="str">
        <f t="shared" si="5"/>
        <v>2085,'LICENCIATURA','jesusantonio.gudiñogonzalez','GGJ1869','TOMAR DEL SND','GUDIÑO GONZALEZ JESUS ANTONIO','PROFESORES','','MASCULINO','','',0,0,'','PROFESOR'</v>
      </c>
      <c r="L86" t="str">
        <f t="shared" si="4"/>
        <v>INSERT INTO participantes (id,nivel,correo,matricula,clave,nombre,carrera,grado,sexo,situacion,evaluados,num_evaluados,total_evaluaciones,ultimo_acceso,nivel_acceso) VALUES (2085,'LICENCIATURA','jesusantonio.gudiñogonzalez','GGJ1869','TOMAR DEL SND','GUDIÑO GONZALEZ JESUS ANTONIO','PROFESORES','','MASCULINO','','',0,0,'','PROFESOR');</v>
      </c>
    </row>
    <row r="87" spans="1:12" x14ac:dyDescent="0.25">
      <c r="A87">
        <f t="shared" si="6"/>
        <v>2086</v>
      </c>
      <c r="B87" t="s">
        <v>563</v>
      </c>
      <c r="C87" t="str">
        <f>Hoja2!H87</f>
        <v>jesushiram.beginescinco</v>
      </c>
      <c r="D87" t="str">
        <f>Hoja2!E87</f>
        <v>BCJ1210</v>
      </c>
      <c r="E87" s="3" t="s">
        <v>1141</v>
      </c>
      <c r="F87" t="str">
        <f>Hoja2!F87</f>
        <v>BEGINES CINCO JESUS HIRAM</v>
      </c>
      <c r="G87" s="1" t="s">
        <v>1142</v>
      </c>
      <c r="I87" t="str">
        <f>Hoja2!G87</f>
        <v>MASCULINO</v>
      </c>
      <c r="K87" t="str">
        <f t="shared" si="5"/>
        <v>2086,'LICENCIATURA','jesushiram.beginescinco','BCJ1210','TOMAR DEL SND','BEGINES CINCO JESUS HIRAM','PROFESORES','','MASCULINO','','',0,0,'','PROFESOR'</v>
      </c>
      <c r="L87" t="str">
        <f t="shared" si="4"/>
        <v>INSERT INTO participantes (id,nivel,correo,matricula,clave,nombre,carrera,grado,sexo,situacion,evaluados,num_evaluados,total_evaluaciones,ultimo_acceso,nivel_acceso) VALUES (2086,'LICENCIATURA','jesushiram.beginescinco','BCJ1210','TOMAR DEL SND','BEGINES CINCO JESUS HIRAM','PROFESORES','','MASCULINO','','',0,0,'','PROFESOR');</v>
      </c>
    </row>
    <row r="88" spans="1:12" x14ac:dyDescent="0.25">
      <c r="A88">
        <f t="shared" si="6"/>
        <v>2087</v>
      </c>
      <c r="B88" t="s">
        <v>563</v>
      </c>
      <c r="C88" t="str">
        <f>Hoja2!H88</f>
        <v>jonathanomega.escobedoalva</v>
      </c>
      <c r="D88" t="str">
        <f>Hoja2!E88</f>
        <v>EAJ1945</v>
      </c>
      <c r="E88" s="3" t="s">
        <v>1141</v>
      </c>
      <c r="F88" t="str">
        <f>Hoja2!F88</f>
        <v>ESCOBEDO ALVA JONATHAN OMEGA</v>
      </c>
      <c r="G88" s="1" t="s">
        <v>1142</v>
      </c>
      <c r="I88" t="str">
        <f>Hoja2!G88</f>
        <v>MASCULINO</v>
      </c>
      <c r="K88" t="str">
        <f t="shared" si="5"/>
        <v>2087,'LICENCIATURA','jonathanomega.escobedoalva','EAJ1945','TOMAR DEL SND','ESCOBEDO ALVA JONATHAN OMEGA','PROFESORES','','MASCULINO','','',0,0,'','PROFESOR'</v>
      </c>
      <c r="L88" t="str">
        <f t="shared" si="4"/>
        <v>INSERT INTO participantes (id,nivel,correo,matricula,clave,nombre,carrera,grado,sexo,situacion,evaluados,num_evaluados,total_evaluaciones,ultimo_acceso,nivel_acceso) VALUES (2087,'LICENCIATURA','jonathanomega.escobedoalva','EAJ1945','TOMAR DEL SND','ESCOBEDO ALVA JONATHAN OMEGA','PROFESORES','','MASCULINO','','',0,0,'','PROFESOR');</v>
      </c>
    </row>
    <row r="89" spans="1:12" x14ac:dyDescent="0.25">
      <c r="A89">
        <f t="shared" si="6"/>
        <v>2088</v>
      </c>
      <c r="B89" t="s">
        <v>563</v>
      </c>
      <c r="C89" t="str">
        <f>Hoja2!H89</f>
        <v>jorge.acostanuñez</v>
      </c>
      <c r="D89" t="str">
        <f>Hoja2!E89</f>
        <v>AMJ1423</v>
      </c>
      <c r="E89" s="3" t="s">
        <v>1141</v>
      </c>
      <c r="F89" t="str">
        <f>Hoja2!F89</f>
        <v>ACOSTA NUÑEZ JORGE</v>
      </c>
      <c r="G89" s="1" t="s">
        <v>1142</v>
      </c>
      <c r="I89" t="str">
        <f>Hoja2!G89</f>
        <v>MASCULINO</v>
      </c>
      <c r="K89" t="str">
        <f t="shared" si="5"/>
        <v>2088,'LICENCIATURA','jorge.acostanuñez','AMJ1423','TOMAR DEL SND','ACOSTA NUÑEZ JORGE','PROFESORES','','MASCULINO','','',0,0,'','PROFESOR'</v>
      </c>
      <c r="L89" t="str">
        <f t="shared" si="4"/>
        <v>INSERT INTO participantes (id,nivel,correo,matricula,clave,nombre,carrera,grado,sexo,situacion,evaluados,num_evaluados,total_evaluaciones,ultimo_acceso,nivel_acceso) VALUES (2088,'LICENCIATURA','jorge.acostanuñez','AMJ1423','TOMAR DEL SND','ACOSTA NUÑEZ JORGE','PROFESORES','','MASCULINO','','',0,0,'','PROFESOR');</v>
      </c>
    </row>
    <row r="90" spans="1:12" x14ac:dyDescent="0.25">
      <c r="A90">
        <f t="shared" si="6"/>
        <v>2089</v>
      </c>
      <c r="B90" t="s">
        <v>563</v>
      </c>
      <c r="C90" t="str">
        <f>Hoja2!H90</f>
        <v>jorge.avalosmartinez</v>
      </c>
      <c r="D90" t="str">
        <f>Hoja2!E90</f>
        <v>AMJ1866</v>
      </c>
      <c r="E90" s="3" t="s">
        <v>1141</v>
      </c>
      <c r="F90" t="str">
        <f>Hoja2!F90</f>
        <v>AVALOS MARTINEZ JORGE</v>
      </c>
      <c r="G90" s="1" t="s">
        <v>1142</v>
      </c>
      <c r="I90" t="str">
        <f>Hoja2!G90</f>
        <v>MASCULINO</v>
      </c>
      <c r="K90" t="str">
        <f t="shared" si="5"/>
        <v>2089,'LICENCIATURA','jorge.avalosmartinez','AMJ1866','TOMAR DEL SND','AVALOS MARTINEZ JORGE','PROFESORES','','MASCULINO','','',0,0,'','PROFESOR'</v>
      </c>
      <c r="L90" t="str">
        <f t="shared" si="4"/>
        <v>INSERT INTO participantes (id,nivel,correo,matricula,clave,nombre,carrera,grado,sexo,situacion,evaluados,num_evaluados,total_evaluaciones,ultimo_acceso,nivel_acceso) VALUES (2089,'LICENCIATURA','jorge.avalosmartinez','AMJ1866','TOMAR DEL SND','AVALOS MARTINEZ JORGE','PROFESORES','','MASCULINO','','',0,0,'','PROFESOR');</v>
      </c>
    </row>
    <row r="91" spans="1:12" x14ac:dyDescent="0.25">
      <c r="A91">
        <f t="shared" si="6"/>
        <v>2090</v>
      </c>
      <c r="B91" t="s">
        <v>563</v>
      </c>
      <c r="C91" t="str">
        <f>Hoja2!H91</f>
        <v>jorgeenrique.maciasgarza</v>
      </c>
      <c r="D91" t="str">
        <f>Hoja2!E91</f>
        <v>MGJ1410</v>
      </c>
      <c r="E91" s="3" t="s">
        <v>1141</v>
      </c>
      <c r="F91" t="str">
        <f>Hoja2!F91</f>
        <v>MACIAS GARZA JORGE ENRIQUE</v>
      </c>
      <c r="G91" s="1" t="s">
        <v>1142</v>
      </c>
      <c r="I91" t="str">
        <f>Hoja2!G91</f>
        <v>MASCULINO</v>
      </c>
      <c r="K91" t="str">
        <f t="shared" si="5"/>
        <v>2090,'LICENCIATURA','jorgeenrique.maciasgarza','MGJ1410','TOMAR DEL SND','MACIAS GARZA JORGE ENRIQUE','PROFESORES','','MASCULINO','','',0,0,'','PROFESOR'</v>
      </c>
      <c r="L91" t="str">
        <f t="shared" si="4"/>
        <v>INSERT INTO participantes (id,nivel,correo,matricula,clave,nombre,carrera,grado,sexo,situacion,evaluados,num_evaluados,total_evaluaciones,ultimo_acceso,nivel_acceso) VALUES (2090,'LICENCIATURA','jorgeenrique.maciasgarza','MGJ1410','TOMAR DEL SND','MACIAS GARZA JORGE ENRIQUE','PROFESORES','','MASCULINO','','',0,0,'','PROFESOR');</v>
      </c>
    </row>
    <row r="92" spans="1:12" x14ac:dyDescent="0.25">
      <c r="A92">
        <f t="shared" si="6"/>
        <v>2091</v>
      </c>
      <c r="B92" t="s">
        <v>563</v>
      </c>
      <c r="C92" t="str">
        <f>Hoja2!H92</f>
        <v>jorgehumberto.perezgutierrez</v>
      </c>
      <c r="D92" t="str">
        <f>Hoja2!E92</f>
        <v>PGJ1240</v>
      </c>
      <c r="E92" s="3" t="s">
        <v>1141</v>
      </c>
      <c r="F92" t="str">
        <f>Hoja2!F92</f>
        <v>PEREZ GUTIERREZ JORGE HUMBERTO</v>
      </c>
      <c r="G92" s="1" t="s">
        <v>1142</v>
      </c>
      <c r="I92" t="str">
        <f>Hoja2!G92</f>
        <v>MASCULINO</v>
      </c>
      <c r="K92" t="str">
        <f t="shared" si="5"/>
        <v>2091,'LICENCIATURA','jorgehumberto.perezgutierrez','PGJ1240','TOMAR DEL SND','PEREZ GUTIERREZ JORGE HUMBERTO','PROFESORES','','MASCULINO','','',0,0,'','PROFESOR'</v>
      </c>
      <c r="L92" t="str">
        <f t="shared" si="4"/>
        <v>INSERT INTO participantes (id,nivel,correo,matricula,clave,nombre,carrera,grado,sexo,situacion,evaluados,num_evaluados,total_evaluaciones,ultimo_acceso,nivel_acceso) VALUES (2091,'LICENCIATURA','jorgehumberto.perezgutierrez','PGJ1240','TOMAR DEL SND','PEREZ GUTIERREZ JORGE HUMBERTO','PROFESORES','','MASCULINO','','',0,0,'','PROFESOR');</v>
      </c>
    </row>
    <row r="93" spans="1:12" x14ac:dyDescent="0.25">
      <c r="A93">
        <f t="shared" si="6"/>
        <v>2092</v>
      </c>
      <c r="B93" t="s">
        <v>563</v>
      </c>
      <c r="C93" t="str">
        <f>Hoja2!H93</f>
        <v>josebenjamin.rodriguezmiranda</v>
      </c>
      <c r="D93" t="str">
        <f>Hoja2!E93</f>
        <v>RMJ1853</v>
      </c>
      <c r="E93" s="3" t="s">
        <v>1141</v>
      </c>
      <c r="F93" t="str">
        <f>Hoja2!F93</f>
        <v>RODRIGUEZ MIRANDA JOSE BENJAMIN</v>
      </c>
      <c r="G93" s="1" t="s">
        <v>1142</v>
      </c>
      <c r="I93" t="str">
        <f>Hoja2!G93</f>
        <v>MASCULINO</v>
      </c>
      <c r="K93" t="str">
        <f t="shared" si="5"/>
        <v>2092,'LICENCIATURA','josebenjamin.rodriguezmiranda','RMJ1853','TOMAR DEL SND','RODRIGUEZ MIRANDA JOSE BENJAMIN','PROFESORES','','MASCULINO','','',0,0,'','PROFESOR'</v>
      </c>
      <c r="L93" t="str">
        <f t="shared" si="4"/>
        <v>INSERT INTO participantes (id,nivel,correo,matricula,clave,nombre,carrera,grado,sexo,situacion,evaluados,num_evaluados,total_evaluaciones,ultimo_acceso,nivel_acceso) VALUES (2092,'LICENCIATURA','josebenjamin.rodriguezmiranda','RMJ1853','TOMAR DEL SND','RODRIGUEZ MIRANDA JOSE BENJAMIN','PROFESORES','','MASCULINO','','',0,0,'','PROFESOR');</v>
      </c>
    </row>
    <row r="94" spans="1:12" x14ac:dyDescent="0.25">
      <c r="A94">
        <f t="shared" si="6"/>
        <v>2093</v>
      </c>
      <c r="B94" t="s">
        <v>563</v>
      </c>
      <c r="C94" t="str">
        <f>Hoja2!H94</f>
        <v>josecarlos.lunaherrera</v>
      </c>
      <c r="D94" t="str">
        <f>Hoja2!E94</f>
        <v>LHJ1611</v>
      </c>
      <c r="E94" s="3" t="s">
        <v>1141</v>
      </c>
      <c r="F94" t="str">
        <f>Hoja2!F94</f>
        <v>LUNA HERRERA JOSE CARLOS</v>
      </c>
      <c r="G94" s="1" t="s">
        <v>1142</v>
      </c>
      <c r="I94" t="str">
        <f>Hoja2!G94</f>
        <v>MASCULINO</v>
      </c>
      <c r="K94" t="str">
        <f t="shared" si="5"/>
        <v>2093,'LICENCIATURA','josecarlos.lunaherrera','LHJ1611','TOMAR DEL SND','LUNA HERRERA JOSE CARLOS','PROFESORES','','MASCULINO','','',0,0,'','PROFESOR'</v>
      </c>
      <c r="L94" t="str">
        <f t="shared" si="4"/>
        <v>INSERT INTO participantes (id,nivel,correo,matricula,clave,nombre,carrera,grado,sexo,situacion,evaluados,num_evaluados,total_evaluaciones,ultimo_acceso,nivel_acceso) VALUES (2093,'LICENCIATURA','josecarlos.lunaherrera','LHJ1611','TOMAR DEL SND','LUNA HERRERA JOSE CARLOS','PROFESORES','','MASCULINO','','',0,0,'','PROFESOR');</v>
      </c>
    </row>
    <row r="95" spans="1:12" x14ac:dyDescent="0.25">
      <c r="A95">
        <f t="shared" si="6"/>
        <v>2094</v>
      </c>
      <c r="B95" t="s">
        <v>563</v>
      </c>
      <c r="C95" t="str">
        <f>Hoja2!H95</f>
        <v>josecosme.garciavazquez</v>
      </c>
      <c r="D95" t="str">
        <f>Hoja2!E95</f>
        <v>GVJ1876</v>
      </c>
      <c r="E95" s="3" t="s">
        <v>1141</v>
      </c>
      <c r="F95" t="str">
        <f>Hoja2!F95</f>
        <v>GARCIA VAZQUEZ JOSE COSME</v>
      </c>
      <c r="G95" s="1" t="s">
        <v>1142</v>
      </c>
      <c r="I95" t="str">
        <f>Hoja2!G95</f>
        <v>MASCULINO</v>
      </c>
      <c r="K95" t="str">
        <f t="shared" si="5"/>
        <v>2094,'LICENCIATURA','josecosme.garciavazquez','GVJ1876','TOMAR DEL SND','GARCIA VAZQUEZ JOSE COSME','PROFESORES','','MASCULINO','','',0,0,'','PROFESOR'</v>
      </c>
      <c r="L95" t="str">
        <f t="shared" si="4"/>
        <v>INSERT INTO participantes (id,nivel,correo,matricula,clave,nombre,carrera,grado,sexo,situacion,evaluados,num_evaluados,total_evaluaciones,ultimo_acceso,nivel_acceso) VALUES (2094,'LICENCIATURA','josecosme.garciavazquez','GVJ1876','TOMAR DEL SND','GARCIA VAZQUEZ JOSE COSME','PROFESORES','','MASCULINO','','',0,0,'','PROFESOR');</v>
      </c>
    </row>
    <row r="96" spans="1:12" x14ac:dyDescent="0.25">
      <c r="A96">
        <f t="shared" si="6"/>
        <v>2095</v>
      </c>
      <c r="B96" t="s">
        <v>563</v>
      </c>
      <c r="C96" t="str">
        <f>Hoja2!H96</f>
        <v>josedaniel.valenzuelachavira</v>
      </c>
      <c r="D96" t="str">
        <f>Hoja2!E96</f>
        <v>VCJ1927</v>
      </c>
      <c r="E96" s="3" t="s">
        <v>1141</v>
      </c>
      <c r="F96" t="str">
        <f>Hoja2!F96</f>
        <v>VALENZUELA CHAVIRA JOSE DANIEL</v>
      </c>
      <c r="G96" s="1" t="s">
        <v>1142</v>
      </c>
      <c r="I96" t="str">
        <f>Hoja2!G96</f>
        <v>MASCULINO</v>
      </c>
      <c r="K96" t="str">
        <f t="shared" si="5"/>
        <v>2095,'LICENCIATURA','josedaniel.valenzuelachavira','VCJ1927','TOMAR DEL SND','VALENZUELA CHAVIRA JOSE DANIEL','PROFESORES','','MASCULINO','','',0,0,'','PROFESOR'</v>
      </c>
      <c r="L96" t="str">
        <f t="shared" si="4"/>
        <v>INSERT INTO participantes (id,nivel,correo,matricula,clave,nombre,carrera,grado,sexo,situacion,evaluados,num_evaluados,total_evaluaciones,ultimo_acceso,nivel_acceso) VALUES (2095,'LICENCIATURA','josedaniel.valenzuelachavira','VCJ1927','TOMAR DEL SND','VALENZUELA CHAVIRA JOSE DANIEL','PROFESORES','','MASCULINO','','',0,0,'','PROFESOR');</v>
      </c>
    </row>
    <row r="97" spans="1:12" x14ac:dyDescent="0.25">
      <c r="A97">
        <f t="shared" si="6"/>
        <v>2096</v>
      </c>
      <c r="B97" t="s">
        <v>563</v>
      </c>
      <c r="C97" t="str">
        <f>Hoja2!H97</f>
        <v>josedejesus.delgadillobocanegra</v>
      </c>
      <c r="D97" t="str">
        <f>Hoja2!E97</f>
        <v>DBJ1893</v>
      </c>
      <c r="E97" s="3" t="s">
        <v>1141</v>
      </c>
      <c r="F97" t="str">
        <f>Hoja2!F97</f>
        <v>DELGADILLO BOCANEGRA JOSE DE JESUS</v>
      </c>
      <c r="G97" s="1" t="s">
        <v>1142</v>
      </c>
      <c r="I97" t="str">
        <f>Hoja2!G97</f>
        <v>MASCULINO</v>
      </c>
      <c r="K97" t="str">
        <f t="shared" si="5"/>
        <v>2096,'LICENCIATURA','josedejesus.delgadillobocanegra','DBJ1893','TOMAR DEL SND','DELGADILLO BOCANEGRA JOSE DE JESUS','PROFESORES','','MASCULINO','','',0,0,'','PROFESOR'</v>
      </c>
      <c r="L97" t="str">
        <f t="shared" si="4"/>
        <v>INSERT INTO participantes (id,nivel,correo,matricula,clave,nombre,carrera,grado,sexo,situacion,evaluados,num_evaluados,total_evaluaciones,ultimo_acceso,nivel_acceso) VALUES (2096,'LICENCIATURA','josedejesus.delgadillobocanegra','DBJ1893','TOMAR DEL SND','DELGADILLO BOCANEGRA JOSE DE JESUS','PROFESORES','','MASCULINO','','',0,0,'','PROFESOR');</v>
      </c>
    </row>
    <row r="98" spans="1:12" x14ac:dyDescent="0.25">
      <c r="A98">
        <f t="shared" si="6"/>
        <v>2097</v>
      </c>
      <c r="B98" t="s">
        <v>563</v>
      </c>
      <c r="C98" t="str">
        <f>Hoja2!H98</f>
        <v>josejavier.guillenlagunes</v>
      </c>
      <c r="D98" t="str">
        <f>Hoja2!E98</f>
        <v>GLJ1890</v>
      </c>
      <c r="E98" s="3" t="s">
        <v>1141</v>
      </c>
      <c r="F98" t="str">
        <f>Hoja2!F98</f>
        <v>GUILLEN LAGUNES JOSE JAVIER</v>
      </c>
      <c r="G98" s="1" t="s">
        <v>1142</v>
      </c>
      <c r="I98" t="str">
        <f>Hoja2!G98</f>
        <v>MASCULINO</v>
      </c>
      <c r="K98" t="str">
        <f t="shared" si="5"/>
        <v>2097,'LICENCIATURA','josejavier.guillenlagunes','GLJ1890','TOMAR DEL SND','GUILLEN LAGUNES JOSE JAVIER','PROFESORES','','MASCULINO','','',0,0,'','PROFESOR'</v>
      </c>
      <c r="L98" t="str">
        <f t="shared" si="4"/>
        <v>INSERT INTO participantes (id,nivel,correo,matricula,clave,nombre,carrera,grado,sexo,situacion,evaluados,num_evaluados,total_evaluaciones,ultimo_acceso,nivel_acceso) VALUES (2097,'LICENCIATURA','josejavier.guillenlagunes','GLJ1890','TOMAR DEL SND','GUILLEN LAGUNES JOSE JAVIER','PROFESORES','','MASCULINO','','',0,0,'','PROFESOR');</v>
      </c>
    </row>
    <row r="99" spans="1:12" x14ac:dyDescent="0.25">
      <c r="A99">
        <f t="shared" si="6"/>
        <v>2098</v>
      </c>
      <c r="B99" t="s">
        <v>563</v>
      </c>
      <c r="C99" t="str">
        <f>Hoja2!H99</f>
        <v>josejorge.sanchezmuñoz</v>
      </c>
      <c r="D99" t="str">
        <f>Hoja2!E99</f>
        <v>SMJ0539</v>
      </c>
      <c r="E99" s="3" t="s">
        <v>1141</v>
      </c>
      <c r="F99" t="str">
        <f>Hoja2!F99</f>
        <v>SANCHEZ MUÑOZ JOSE JORGE</v>
      </c>
      <c r="G99" s="1" t="s">
        <v>1142</v>
      </c>
      <c r="I99" t="str">
        <f>Hoja2!G99</f>
        <v>MASCULINO</v>
      </c>
      <c r="K99" t="str">
        <f t="shared" si="5"/>
        <v>2098,'LICENCIATURA','josejorge.sanchezmuñoz','SMJ0539','TOMAR DEL SND','SANCHEZ MUÑOZ JOSE JORGE','PROFESORES','','MASCULINO','','',0,0,'','PROFESOR'</v>
      </c>
      <c r="L99" t="str">
        <f t="shared" si="4"/>
        <v>INSERT INTO participantes (id,nivel,correo,matricula,clave,nombre,carrera,grado,sexo,situacion,evaluados,num_evaluados,total_evaluaciones,ultimo_acceso,nivel_acceso) VALUES (2098,'LICENCIATURA','josejorge.sanchezmuñoz','SMJ0539','TOMAR DEL SND','SANCHEZ MUÑOZ JOSE JORGE','PROFESORES','','MASCULINO','','',0,0,'','PROFESOR');</v>
      </c>
    </row>
    <row r="100" spans="1:12" x14ac:dyDescent="0.25">
      <c r="A100">
        <f t="shared" si="6"/>
        <v>2099</v>
      </c>
      <c r="B100" t="s">
        <v>563</v>
      </c>
      <c r="C100" t="str">
        <f>Hoja2!H100</f>
        <v>joseleonel.buenrostroolmos</v>
      </c>
      <c r="D100" t="str">
        <f>Hoja2!E100</f>
        <v>BOJ1778</v>
      </c>
      <c r="E100" s="3" t="s">
        <v>1141</v>
      </c>
      <c r="F100" t="str">
        <f>Hoja2!F100</f>
        <v>BUENROSTRO OLMOS JOSE LEONEL</v>
      </c>
      <c r="G100" s="1" t="s">
        <v>1142</v>
      </c>
      <c r="I100" t="str">
        <f>Hoja2!G100</f>
        <v>MASCULINO</v>
      </c>
      <c r="K100" t="str">
        <f t="shared" si="5"/>
        <v>2099,'LICENCIATURA','joseleonel.buenrostroolmos','BOJ1778','TOMAR DEL SND','BUENROSTRO OLMOS JOSE LEONEL','PROFESORES','','MASCULINO','','',0,0,'','PROFESOR'</v>
      </c>
      <c r="L100" t="str">
        <f t="shared" si="4"/>
        <v>INSERT INTO participantes (id,nivel,correo,matricula,clave,nombre,carrera,grado,sexo,situacion,evaluados,num_evaluados,total_evaluaciones,ultimo_acceso,nivel_acceso) VALUES (2099,'LICENCIATURA','joseleonel.buenrostroolmos','BOJ1778','TOMAR DEL SND','BUENROSTRO OLMOS JOSE LEONEL','PROFESORES','','MASCULINO','','',0,0,'','PROFESOR');</v>
      </c>
    </row>
    <row r="101" spans="1:12" x14ac:dyDescent="0.25">
      <c r="A101">
        <f t="shared" si="6"/>
        <v>2100</v>
      </c>
      <c r="B101" t="s">
        <v>563</v>
      </c>
      <c r="C101" t="str">
        <f>Hoja2!H101</f>
        <v>joseluis.blanquetchavoya</v>
      </c>
      <c r="D101" t="str">
        <f>Hoja2!E101</f>
        <v>BCJ1051</v>
      </c>
      <c r="E101" s="3" t="s">
        <v>1141</v>
      </c>
      <c r="F101" t="str">
        <f>Hoja2!F101</f>
        <v>BLANQUET CHAVOYA JOSE LUIS</v>
      </c>
      <c r="G101" s="1" t="s">
        <v>1142</v>
      </c>
      <c r="I101" t="str">
        <f>Hoja2!G101</f>
        <v>MASCULINO</v>
      </c>
      <c r="K101" t="str">
        <f t="shared" si="5"/>
        <v>2100,'LICENCIATURA','joseluis.blanquetchavoya','BCJ1051','TOMAR DEL SND','BLANQUET CHAVOYA JOSE LUIS','PROFESORES','','MASCULINO','','',0,0,'','PROFESOR'</v>
      </c>
      <c r="L101" t="str">
        <f t="shared" si="4"/>
        <v>INSERT INTO participantes (id,nivel,correo,matricula,clave,nombre,carrera,grado,sexo,situacion,evaluados,num_evaluados,total_evaluaciones,ultimo_acceso,nivel_acceso) VALUES (2100,'LICENCIATURA','joseluis.blanquetchavoya','BCJ1051','TOMAR DEL SND','BLANQUET CHAVOYA JOSE LUIS','PROFESORES','','MASCULINO','','',0,0,'','PROFESOR');</v>
      </c>
    </row>
    <row r="102" spans="1:12" x14ac:dyDescent="0.25">
      <c r="A102">
        <f t="shared" si="6"/>
        <v>2101</v>
      </c>
      <c r="B102" t="s">
        <v>563</v>
      </c>
      <c r="C102" t="str">
        <f>Hoja2!H102</f>
        <v>joseluis.garciaflores</v>
      </c>
      <c r="D102" t="str">
        <f>Hoja2!E102</f>
        <v>GFJ1530</v>
      </c>
      <c r="E102" s="3" t="s">
        <v>1141</v>
      </c>
      <c r="F102" t="str">
        <f>Hoja2!F102</f>
        <v>GARCIA FLORES JOSE LUIS</v>
      </c>
      <c r="G102" s="1" t="s">
        <v>1142</v>
      </c>
      <c r="I102" t="str">
        <f>Hoja2!G102</f>
        <v>MASCULINO</v>
      </c>
      <c r="K102" t="str">
        <f t="shared" si="5"/>
        <v>2101,'LICENCIATURA','joseluis.garciaflores','GFJ1530','TOMAR DEL SND','GARCIA FLORES JOSE LUIS','PROFESORES','','MASCULINO','','',0,0,'','PROFESOR'</v>
      </c>
      <c r="L102" t="str">
        <f t="shared" si="4"/>
        <v>INSERT INTO participantes (id,nivel,correo,matricula,clave,nombre,carrera,grado,sexo,situacion,evaluados,num_evaluados,total_evaluaciones,ultimo_acceso,nivel_acceso) VALUES (2101,'LICENCIATURA','joseluis.garciaflores','GFJ1530','TOMAR DEL SND','GARCIA FLORES JOSE LUIS','PROFESORES','','MASCULINO','','',0,0,'','PROFESOR');</v>
      </c>
    </row>
    <row r="103" spans="1:12" x14ac:dyDescent="0.25">
      <c r="A103">
        <f t="shared" si="6"/>
        <v>2102</v>
      </c>
      <c r="B103" t="s">
        <v>563</v>
      </c>
      <c r="C103" t="str">
        <f>Hoja2!H103</f>
        <v>juan.poncecuevas</v>
      </c>
      <c r="D103" t="str">
        <f>Hoja2!E103</f>
        <v>PCJ1177</v>
      </c>
      <c r="E103" s="3" t="s">
        <v>1141</v>
      </c>
      <c r="F103" t="str">
        <f>Hoja2!F103</f>
        <v>PONCE CUEVAS JUAN</v>
      </c>
      <c r="G103" s="1" t="s">
        <v>1142</v>
      </c>
      <c r="I103" t="str">
        <f>Hoja2!G103</f>
        <v>MASCULINO</v>
      </c>
      <c r="K103" t="str">
        <f t="shared" si="5"/>
        <v>2102,'LICENCIATURA','juan.poncecuevas','PCJ1177','TOMAR DEL SND','PONCE CUEVAS JUAN','PROFESORES','','MASCULINO','','',0,0,'','PROFESOR'</v>
      </c>
      <c r="L103" t="str">
        <f t="shared" si="4"/>
        <v>INSERT INTO participantes (id,nivel,correo,matricula,clave,nombre,carrera,grado,sexo,situacion,evaluados,num_evaluados,total_evaluaciones,ultimo_acceso,nivel_acceso) VALUES (2102,'LICENCIATURA','juan.poncecuevas','PCJ1177','TOMAR DEL SND','PONCE CUEVAS JUAN','PROFESORES','','MASCULINO','','',0,0,'','PROFESOR');</v>
      </c>
    </row>
    <row r="104" spans="1:12" x14ac:dyDescent="0.25">
      <c r="A104">
        <f t="shared" si="6"/>
        <v>2103</v>
      </c>
      <c r="B104" t="s">
        <v>563</v>
      </c>
      <c r="C104" t="str">
        <f>Hoja2!H104</f>
        <v>juan.rivasmiranda</v>
      </c>
      <c r="D104" t="str">
        <f>Hoja2!E104</f>
        <v>RMJ1448</v>
      </c>
      <c r="E104" s="3" t="s">
        <v>1141</v>
      </c>
      <c r="F104" t="str">
        <f>Hoja2!F104</f>
        <v>RIVAS MIRANDA JUAN</v>
      </c>
      <c r="G104" s="1" t="s">
        <v>1142</v>
      </c>
      <c r="I104" t="str">
        <f>Hoja2!G104</f>
        <v>MASCULINO</v>
      </c>
      <c r="K104" t="str">
        <f t="shared" si="5"/>
        <v>2103,'LICENCIATURA','juan.rivasmiranda','RMJ1448','TOMAR DEL SND','RIVAS MIRANDA JUAN','PROFESORES','','MASCULINO','','',0,0,'','PROFESOR'</v>
      </c>
      <c r="L104" t="str">
        <f t="shared" si="4"/>
        <v>INSERT INTO participantes (id,nivel,correo,matricula,clave,nombre,carrera,grado,sexo,situacion,evaluados,num_evaluados,total_evaluaciones,ultimo_acceso,nivel_acceso) VALUES (2103,'LICENCIATURA','juan.rivasmiranda','RMJ1448','TOMAR DEL SND','RIVAS MIRANDA JUAN','PROFESORES','','MASCULINO','','',0,0,'','PROFESOR');</v>
      </c>
    </row>
    <row r="105" spans="1:12" x14ac:dyDescent="0.25">
      <c r="A105">
        <f t="shared" si="6"/>
        <v>2104</v>
      </c>
      <c r="B105" t="s">
        <v>563</v>
      </c>
      <c r="C105" t="str">
        <f>Hoja2!H105</f>
        <v>juancarlos.martinezalvarado</v>
      </c>
      <c r="D105" t="str">
        <f>Hoja2!E105</f>
        <v>MJ0221</v>
      </c>
      <c r="E105" s="3" t="s">
        <v>1141</v>
      </c>
      <c r="F105" t="str">
        <f>Hoja2!F105</f>
        <v>MARTINEZ  ALVARADO JUAN CARLOS</v>
      </c>
      <c r="G105" s="1" t="s">
        <v>1142</v>
      </c>
      <c r="I105" t="str">
        <f>Hoja2!G105</f>
        <v>MASCULINO</v>
      </c>
      <c r="K105" t="str">
        <f t="shared" si="5"/>
        <v>2104,'LICENCIATURA','juancarlos.martinezalvarado','MJ0221','TOMAR DEL SND','MARTINEZ  ALVARADO JUAN CARLOS','PROFESORES','','MASCULINO','','',0,0,'','PROFESOR'</v>
      </c>
      <c r="L105" t="str">
        <f t="shared" si="4"/>
        <v>INSERT INTO participantes (id,nivel,correo,matricula,clave,nombre,carrera,grado,sexo,situacion,evaluados,num_evaluados,total_evaluaciones,ultimo_acceso,nivel_acceso) VALUES (2104,'LICENCIATURA','juancarlos.martinezalvarado','MJ0221','TOMAR DEL SND','MARTINEZ  ALVARADO JUAN CARLOS','PROFESORES','','MASCULINO','','',0,0,'','PROFESOR');</v>
      </c>
    </row>
    <row r="106" spans="1:12" x14ac:dyDescent="0.25">
      <c r="A106">
        <f t="shared" si="6"/>
        <v>2105</v>
      </c>
      <c r="B106" t="s">
        <v>563</v>
      </c>
      <c r="C106" t="str">
        <f>Hoja2!H106</f>
        <v>juancarlos.montañoalvizo</v>
      </c>
      <c r="D106" t="str">
        <f>Hoja2!E106</f>
        <v>MAJ1442</v>
      </c>
      <c r="E106" s="3" t="s">
        <v>1141</v>
      </c>
      <c r="F106" t="str">
        <f>Hoja2!F106</f>
        <v>MONTAÑO ALVIZO JUAN CARLOS</v>
      </c>
      <c r="G106" s="1" t="s">
        <v>1142</v>
      </c>
      <c r="I106" t="str">
        <f>Hoja2!G106</f>
        <v>MASCULINO</v>
      </c>
      <c r="K106" t="str">
        <f t="shared" si="5"/>
        <v>2105,'LICENCIATURA','juancarlos.montañoalvizo','MAJ1442','TOMAR DEL SND','MONTAÑO ALVIZO JUAN CARLOS','PROFESORES','','MASCULINO','','',0,0,'','PROFESOR'</v>
      </c>
      <c r="L106" t="str">
        <f t="shared" si="4"/>
        <v>INSERT INTO participantes (id,nivel,correo,matricula,clave,nombre,carrera,grado,sexo,situacion,evaluados,num_evaluados,total_evaluaciones,ultimo_acceso,nivel_acceso) VALUES (2105,'LICENCIATURA','juancarlos.montañoalvizo','MAJ1442','TOMAR DEL SND','MONTAÑO ALVIZO JUAN CARLOS','PROFESORES','','MASCULINO','','',0,0,'','PROFESOR');</v>
      </c>
    </row>
    <row r="107" spans="1:12" x14ac:dyDescent="0.25">
      <c r="A107">
        <f t="shared" si="6"/>
        <v>2106</v>
      </c>
      <c r="B107" t="s">
        <v>563</v>
      </c>
      <c r="C107" t="str">
        <f>Hoja2!H107</f>
        <v>juanjose.rodriguezcabrera</v>
      </c>
      <c r="D107" t="str">
        <f>Hoja2!E107</f>
        <v>RCJ1881</v>
      </c>
      <c r="E107" s="3" t="s">
        <v>1141</v>
      </c>
      <c r="F107" t="str">
        <f>Hoja2!F107</f>
        <v>RODRIGUEZ CABRERA JUAN JOSE</v>
      </c>
      <c r="G107" s="1" t="s">
        <v>1142</v>
      </c>
      <c r="I107" t="str">
        <f>Hoja2!G107</f>
        <v>MASCULINO</v>
      </c>
      <c r="K107" t="str">
        <f t="shared" si="5"/>
        <v>2106,'LICENCIATURA','juanjose.rodriguezcabrera','RCJ1881','TOMAR DEL SND','RODRIGUEZ CABRERA JUAN JOSE','PROFESORES','','MASCULINO','','',0,0,'','PROFESOR'</v>
      </c>
      <c r="L107" t="str">
        <f t="shared" si="4"/>
        <v>INSERT INTO participantes (id,nivel,correo,matricula,clave,nombre,carrera,grado,sexo,situacion,evaluados,num_evaluados,total_evaluaciones,ultimo_acceso,nivel_acceso) VALUES (2106,'LICENCIATURA','juanjose.rodriguezcabrera','RCJ1881','TOMAR DEL SND','RODRIGUEZ CABRERA JUAN JOSE','PROFESORES','','MASCULINO','','',0,0,'','PROFESOR');</v>
      </c>
    </row>
    <row r="108" spans="1:12" x14ac:dyDescent="0.25">
      <c r="A108">
        <f t="shared" si="6"/>
        <v>2107</v>
      </c>
      <c r="B108" t="s">
        <v>563</v>
      </c>
      <c r="C108" t="str">
        <f>Hoja2!H108</f>
        <v>juanpablo.quirozzepeda</v>
      </c>
      <c r="D108" t="str">
        <f>Hoja2!E108</f>
        <v>QZJ1436</v>
      </c>
      <c r="E108" s="3" t="s">
        <v>1141</v>
      </c>
      <c r="F108" t="str">
        <f>Hoja2!F108</f>
        <v>QUIROZ ZEPEDA JUAN PABLO</v>
      </c>
      <c r="G108" s="1" t="s">
        <v>1142</v>
      </c>
      <c r="I108" t="str">
        <f>Hoja2!G108</f>
        <v>MASCULINO</v>
      </c>
      <c r="K108" t="str">
        <f t="shared" si="5"/>
        <v>2107,'LICENCIATURA','juanpablo.quirozzepeda','QZJ1436','TOMAR DEL SND','QUIROZ ZEPEDA JUAN PABLO','PROFESORES','','MASCULINO','','',0,0,'','PROFESOR'</v>
      </c>
      <c r="L108" t="str">
        <f t="shared" si="4"/>
        <v>INSERT INTO participantes (id,nivel,correo,matricula,clave,nombre,carrera,grado,sexo,situacion,evaluados,num_evaluados,total_evaluaciones,ultimo_acceso,nivel_acceso) VALUES (2107,'LICENCIATURA','juanpablo.quirozzepeda','QZJ1436','TOMAR DEL SND','QUIROZ ZEPEDA JUAN PABLO','PROFESORES','','MASCULINO','','',0,0,'','PROFESOR');</v>
      </c>
    </row>
    <row r="109" spans="1:12" x14ac:dyDescent="0.25">
      <c r="A109">
        <f t="shared" si="6"/>
        <v>2108</v>
      </c>
      <c r="B109" t="s">
        <v>563</v>
      </c>
      <c r="C109" t="str">
        <f>Hoja2!H109</f>
        <v>julieta.dealbagonzalez</v>
      </c>
      <c r="D109" t="str">
        <f>Hoja2!E109</f>
        <v>DGJ1732</v>
      </c>
      <c r="E109" s="3" t="s">
        <v>1141</v>
      </c>
      <c r="F109" t="str">
        <f>Hoja2!F109</f>
        <v>DE ALBA GONZALEZ JULIETA</v>
      </c>
      <c r="G109" s="1" t="s">
        <v>1142</v>
      </c>
      <c r="I109" t="str">
        <f>Hoja2!G109</f>
        <v>FEMENINO</v>
      </c>
      <c r="K109" t="str">
        <f t="shared" si="5"/>
        <v>2108,'LICENCIATURA','julieta.dealbagonzalez','DGJ1732','TOMAR DEL SND','DE ALBA GONZALEZ JULIETA','PROFESORES','','FEMENINO','','',0,0,'','PROFESOR'</v>
      </c>
      <c r="L109" t="str">
        <f t="shared" si="4"/>
        <v>INSERT INTO participantes (id,nivel,correo,matricula,clave,nombre,carrera,grado,sexo,situacion,evaluados,num_evaluados,total_evaluaciones,ultimo_acceso,nivel_acceso) VALUES (2108,'LICENCIATURA','julieta.dealbagonzalez','DGJ1732','TOMAR DEL SND','DE ALBA GONZALEZ JULIETA','PROFESORES','','FEMENINO','','',0,0,'','PROFESOR');</v>
      </c>
    </row>
    <row r="110" spans="1:12" x14ac:dyDescent="0.25">
      <c r="A110">
        <f t="shared" si="6"/>
        <v>2109</v>
      </c>
      <c r="B110" t="s">
        <v>563</v>
      </c>
      <c r="C110" t="str">
        <f>Hoja2!H110</f>
        <v>juliocesar.pintopompa</v>
      </c>
      <c r="D110" t="str">
        <f>Hoja2!E110</f>
        <v>PPJ1884</v>
      </c>
      <c r="E110" s="3" t="s">
        <v>1141</v>
      </c>
      <c r="F110" t="str">
        <f>Hoja2!F110</f>
        <v>PINTO POMPA JULIO CESAR</v>
      </c>
      <c r="G110" s="1" t="s">
        <v>1142</v>
      </c>
      <c r="I110" t="str">
        <f>Hoja2!G110</f>
        <v>MASCULINO</v>
      </c>
      <c r="K110" t="str">
        <f t="shared" si="5"/>
        <v>2109,'LICENCIATURA','juliocesar.pintopompa','PPJ1884','TOMAR DEL SND','PINTO POMPA JULIO CESAR','PROFESORES','','MASCULINO','','',0,0,'','PROFESOR'</v>
      </c>
      <c r="L110" t="str">
        <f t="shared" si="4"/>
        <v>INSERT INTO participantes (id,nivel,correo,matricula,clave,nombre,carrera,grado,sexo,situacion,evaluados,num_evaluados,total_evaluaciones,ultimo_acceso,nivel_acceso) VALUES (2109,'LICENCIATURA','juliocesar.pintopompa','PPJ1884','TOMAR DEL SND','PINTO POMPA JULIO CESAR','PROFESORES','','MASCULINO','','',0,0,'','PROFESOR');</v>
      </c>
    </row>
    <row r="111" spans="1:12" x14ac:dyDescent="0.25">
      <c r="A111">
        <f t="shared" si="6"/>
        <v>2110</v>
      </c>
      <c r="B111" t="s">
        <v>563</v>
      </c>
      <c r="C111" t="str">
        <f>Hoja2!H111</f>
        <v>karlaberenice.lizarragalomeli</v>
      </c>
      <c r="D111" t="str">
        <f>Hoja2!E111</f>
        <v>LLK1291</v>
      </c>
      <c r="E111" s="3" t="s">
        <v>1141</v>
      </c>
      <c r="F111" t="str">
        <f>Hoja2!F111</f>
        <v>LIZARRAGA LOMELI KARLA BERENICE</v>
      </c>
      <c r="G111" s="1" t="s">
        <v>1142</v>
      </c>
      <c r="I111" t="str">
        <f>Hoja2!G111</f>
        <v>FEMENINO</v>
      </c>
      <c r="K111" t="str">
        <f t="shared" si="5"/>
        <v>2110,'LICENCIATURA','karlaberenice.lizarragalomeli','LLK1291','TOMAR DEL SND','LIZARRAGA LOMELI KARLA BERENICE','PROFESORES','','FEMENINO','','',0,0,'','PROFESOR'</v>
      </c>
      <c r="L111" t="str">
        <f t="shared" si="4"/>
        <v>INSERT INTO participantes (id,nivel,correo,matricula,clave,nombre,carrera,grado,sexo,situacion,evaluados,num_evaluados,total_evaluaciones,ultimo_acceso,nivel_acceso) VALUES (2110,'LICENCIATURA','karlaberenice.lizarragalomeli','LLK1291','TOMAR DEL SND','LIZARRAGA LOMELI KARLA BERENICE','PROFESORES','','FEMENINO','','',0,0,'','PROFESOR');</v>
      </c>
    </row>
    <row r="112" spans="1:12" x14ac:dyDescent="0.25">
      <c r="A112">
        <f t="shared" si="6"/>
        <v>2111</v>
      </c>
      <c r="B112" t="s">
        <v>563</v>
      </c>
      <c r="C112" t="str">
        <f>Hoja2!H112</f>
        <v>laura.rivasrodriguez</v>
      </c>
      <c r="D112" t="str">
        <f>Hoja2!E112</f>
        <v>RRL1304</v>
      </c>
      <c r="E112" s="3" t="s">
        <v>1141</v>
      </c>
      <c r="F112" t="str">
        <f>Hoja2!F112</f>
        <v>RIVAS RODRIGUEZ LAURA</v>
      </c>
      <c r="G112" s="1" t="s">
        <v>1142</v>
      </c>
      <c r="I112" t="str">
        <f>Hoja2!G112</f>
        <v>FEMENINO</v>
      </c>
      <c r="K112" t="str">
        <f t="shared" si="5"/>
        <v>2111,'LICENCIATURA','laura.rivasrodriguez','RRL1304','TOMAR DEL SND','RIVAS RODRIGUEZ LAURA','PROFESORES','','FEMENINO','','',0,0,'','PROFESOR'</v>
      </c>
      <c r="L112" t="str">
        <f t="shared" si="4"/>
        <v>INSERT INTO participantes (id,nivel,correo,matricula,clave,nombre,carrera,grado,sexo,situacion,evaluados,num_evaluados,total_evaluaciones,ultimo_acceso,nivel_acceso) VALUES (2111,'LICENCIATURA','laura.rivasrodriguez','RRL1304','TOMAR DEL SND','RIVAS RODRIGUEZ LAURA','PROFESORES','','FEMENINO','','',0,0,'','PROFESOR');</v>
      </c>
    </row>
    <row r="113" spans="1:12" x14ac:dyDescent="0.25">
      <c r="A113">
        <f t="shared" si="6"/>
        <v>2112</v>
      </c>
      <c r="B113" t="s">
        <v>563</v>
      </c>
      <c r="C113" t="str">
        <f>Hoja2!H113</f>
        <v>laurajezabel.gamagomez</v>
      </c>
      <c r="D113" t="str">
        <f>Hoja2!E113</f>
        <v>GGL1922</v>
      </c>
      <c r="E113" s="3" t="s">
        <v>1141</v>
      </c>
      <c r="F113" t="str">
        <f>Hoja2!F113</f>
        <v>GAMA GOMEZ LAURA JEZABEL</v>
      </c>
      <c r="G113" s="1" t="s">
        <v>1142</v>
      </c>
      <c r="I113" t="str">
        <f>Hoja2!G113</f>
        <v>FEMENINO</v>
      </c>
      <c r="K113" t="str">
        <f t="shared" si="5"/>
        <v>2112,'LICENCIATURA','laurajezabel.gamagomez','GGL1922','TOMAR DEL SND','GAMA GOMEZ LAURA JEZABEL','PROFESORES','','FEMENINO','','',0,0,'','PROFESOR'</v>
      </c>
      <c r="L113" t="str">
        <f t="shared" si="4"/>
        <v>INSERT INTO participantes (id,nivel,correo,matricula,clave,nombre,carrera,grado,sexo,situacion,evaluados,num_evaluados,total_evaluaciones,ultimo_acceso,nivel_acceso) VALUES (2112,'LICENCIATURA','laurajezabel.gamagomez','GGL1922','TOMAR DEL SND','GAMA GOMEZ LAURA JEZABEL','PROFESORES','','FEMENINO','','',0,0,'','PROFESOR');</v>
      </c>
    </row>
    <row r="114" spans="1:12" x14ac:dyDescent="0.25">
      <c r="A114">
        <f t="shared" si="6"/>
        <v>2113</v>
      </c>
      <c r="B114" t="s">
        <v>563</v>
      </c>
      <c r="C114" t="str">
        <f>Hoja2!H114</f>
        <v>lauralivier.michelsandoval</v>
      </c>
      <c r="D114" t="str">
        <f>Hoja2!E114</f>
        <v>MSL1607</v>
      </c>
      <c r="E114" s="3" t="s">
        <v>1141</v>
      </c>
      <c r="F114" t="str">
        <f>Hoja2!F114</f>
        <v>MICHEL SANDOVAL LAURA LIVIER</v>
      </c>
      <c r="G114" s="1" t="s">
        <v>1142</v>
      </c>
      <c r="I114" t="str">
        <f>Hoja2!G114</f>
        <v>FEMENINO</v>
      </c>
      <c r="K114" t="str">
        <f t="shared" si="5"/>
        <v>2113,'LICENCIATURA','lauralivier.michelsandoval','MSL1607','TOMAR DEL SND','MICHEL SANDOVAL LAURA LIVIER','PROFESORES','','FEMENINO','','',0,0,'','PROFESOR'</v>
      </c>
      <c r="L114" t="str">
        <f t="shared" si="4"/>
        <v>INSERT INTO participantes (id,nivel,correo,matricula,clave,nombre,carrera,grado,sexo,situacion,evaluados,num_evaluados,total_evaluaciones,ultimo_acceso,nivel_acceso) VALUES (2113,'LICENCIATURA','lauralivier.michelsandoval','MSL1607','TOMAR DEL SND','MICHEL SANDOVAL LAURA LIVIER','PROFESORES','','FEMENINO','','',0,0,'','PROFESOR');</v>
      </c>
    </row>
    <row r="115" spans="1:12" x14ac:dyDescent="0.25">
      <c r="A115">
        <f t="shared" si="6"/>
        <v>2114</v>
      </c>
      <c r="B115" t="s">
        <v>563</v>
      </c>
      <c r="C115" t="str">
        <f>Hoja2!H115</f>
        <v>leidycarolina.bermudezquiroga</v>
      </c>
      <c r="D115" t="str">
        <f>Hoja2!E115</f>
        <v>BQL1911</v>
      </c>
      <c r="E115" s="3" t="s">
        <v>1141</v>
      </c>
      <c r="F115" t="str">
        <f>Hoja2!F115</f>
        <v>BERMUDEZ QUIROGA LEIDY CAROLINA</v>
      </c>
      <c r="G115" s="1" t="s">
        <v>1142</v>
      </c>
      <c r="I115" t="str">
        <f>Hoja2!G115</f>
        <v>FEMENINO</v>
      </c>
      <c r="K115" t="str">
        <f t="shared" si="5"/>
        <v>2114,'LICENCIATURA','leidycarolina.bermudezquiroga','BQL1911','TOMAR DEL SND','BERMUDEZ QUIROGA LEIDY CAROLINA','PROFESORES','','FEMENINO','','',0,0,'','PROFESOR'</v>
      </c>
      <c r="L115" t="str">
        <f t="shared" si="4"/>
        <v>INSERT INTO participantes (id,nivel,correo,matricula,clave,nombre,carrera,grado,sexo,situacion,evaluados,num_evaluados,total_evaluaciones,ultimo_acceso,nivel_acceso) VALUES (2114,'LICENCIATURA','leidycarolina.bermudezquiroga','BQL1911','TOMAR DEL SND','BERMUDEZ QUIROGA LEIDY CAROLINA','PROFESORES','','FEMENINO','','',0,0,'','PROFESOR');</v>
      </c>
    </row>
    <row r="116" spans="1:12" x14ac:dyDescent="0.25">
      <c r="A116">
        <f t="shared" si="6"/>
        <v>2115</v>
      </c>
      <c r="B116" t="s">
        <v>563</v>
      </c>
      <c r="C116" t="str">
        <f>Hoja2!H116</f>
        <v>leonardo.florescosio</v>
      </c>
      <c r="D116" t="str">
        <f>Hoja2!E116</f>
        <v>FCL1178</v>
      </c>
      <c r="E116" s="3" t="s">
        <v>1141</v>
      </c>
      <c r="F116" t="str">
        <f>Hoja2!F116</f>
        <v>FLORES COSIO LEONARDO</v>
      </c>
      <c r="G116" s="1" t="s">
        <v>1142</v>
      </c>
      <c r="I116" t="str">
        <f>Hoja2!G116</f>
        <v>MASCULINO</v>
      </c>
      <c r="K116" t="str">
        <f t="shared" si="5"/>
        <v>2115,'LICENCIATURA','leonardo.florescosio','FCL1178','TOMAR DEL SND','FLORES COSIO LEONARDO','PROFESORES','','MASCULINO','','',0,0,'','PROFESOR'</v>
      </c>
      <c r="L116" t="str">
        <f t="shared" si="4"/>
        <v>INSERT INTO participantes (id,nivel,correo,matricula,clave,nombre,carrera,grado,sexo,situacion,evaluados,num_evaluados,total_evaluaciones,ultimo_acceso,nivel_acceso) VALUES (2115,'LICENCIATURA','leonardo.florescosio','FCL1178','TOMAR DEL SND','FLORES COSIO LEONARDO','PROFESORES','','MASCULINO','','',0,0,'','PROFESOR');</v>
      </c>
    </row>
    <row r="117" spans="1:12" x14ac:dyDescent="0.25">
      <c r="A117">
        <f t="shared" si="6"/>
        <v>2116</v>
      </c>
      <c r="B117" t="s">
        <v>563</v>
      </c>
      <c r="C117" t="str">
        <f>Hoja2!H117</f>
        <v>leonardo.francodejesus</v>
      </c>
      <c r="D117" t="str">
        <f>Hoja2!E117</f>
        <v>FDL1897</v>
      </c>
      <c r="E117" s="3" t="s">
        <v>1141</v>
      </c>
      <c r="F117" t="str">
        <f>Hoja2!F117</f>
        <v>FRANCO DE JESUS LEONARDO</v>
      </c>
      <c r="G117" s="1" t="s">
        <v>1142</v>
      </c>
      <c r="I117" t="str">
        <f>Hoja2!G117</f>
        <v>MASCULINO</v>
      </c>
      <c r="K117" t="str">
        <f t="shared" si="5"/>
        <v>2116,'LICENCIATURA','leonardo.francodejesus','FDL1897','TOMAR DEL SND','FRANCO DE JESUS LEONARDO','PROFESORES','','MASCULINO','','',0,0,'','PROFESOR'</v>
      </c>
      <c r="L117" t="str">
        <f t="shared" si="4"/>
        <v>INSERT INTO participantes (id,nivel,correo,matricula,clave,nombre,carrera,grado,sexo,situacion,evaluados,num_evaluados,total_evaluaciones,ultimo_acceso,nivel_acceso) VALUES (2116,'LICENCIATURA','leonardo.francodejesus','FDL1897','TOMAR DEL SND','FRANCO DE JESUS LEONARDO','PROFESORES','','MASCULINO','','',0,0,'','PROFESOR');</v>
      </c>
    </row>
    <row r="118" spans="1:12" x14ac:dyDescent="0.25">
      <c r="A118">
        <f t="shared" si="6"/>
        <v>2117</v>
      </c>
      <c r="B118" t="s">
        <v>563</v>
      </c>
      <c r="C118" t="str">
        <f>Hoja2!H118</f>
        <v>leticia.martinezgomez</v>
      </c>
      <c r="D118" t="str">
        <f>Hoja2!E118</f>
        <v>MGL0928</v>
      </c>
      <c r="E118" s="3" t="s">
        <v>1141</v>
      </c>
      <c r="F118" t="str">
        <f>Hoja2!F118</f>
        <v>MARTINEZ GOMEZ LETICIA</v>
      </c>
      <c r="G118" s="1" t="s">
        <v>1142</v>
      </c>
      <c r="I118" t="str">
        <f>Hoja2!G118</f>
        <v>FEMENINO</v>
      </c>
      <c r="K118" t="str">
        <f t="shared" si="5"/>
        <v>2117,'LICENCIATURA','leticia.martinezgomez','MGL0928','TOMAR DEL SND','MARTINEZ GOMEZ LETICIA','PROFESORES','','FEMENINO','','',0,0,'','PROFESOR'</v>
      </c>
      <c r="L118" t="str">
        <f t="shared" si="4"/>
        <v>INSERT INTO participantes (id,nivel,correo,matricula,clave,nombre,carrera,grado,sexo,situacion,evaluados,num_evaluados,total_evaluaciones,ultimo_acceso,nivel_acceso) VALUES (2117,'LICENCIATURA','leticia.martinezgomez','MGL0928','TOMAR DEL SND','MARTINEZ GOMEZ LETICIA','PROFESORES','','FEMENINO','','',0,0,'','PROFESOR');</v>
      </c>
    </row>
    <row r="119" spans="1:12" x14ac:dyDescent="0.25">
      <c r="A119">
        <f t="shared" si="6"/>
        <v>2118</v>
      </c>
      <c r="B119" t="s">
        <v>563</v>
      </c>
      <c r="C119" t="str">
        <f>Hoja2!H119</f>
        <v>lidiaselene.bustamanteramirez</v>
      </c>
      <c r="D119" t="str">
        <f>Hoja2!E119</f>
        <v>BRL1609</v>
      </c>
      <c r="E119" s="3" t="s">
        <v>1141</v>
      </c>
      <c r="F119" t="str">
        <f>Hoja2!F119</f>
        <v>BUSTAMANTE RAMIREZ LIDIA SELENE</v>
      </c>
      <c r="G119" s="1" t="s">
        <v>1142</v>
      </c>
      <c r="I119" t="str">
        <f>Hoja2!G119</f>
        <v>MASCULINO</v>
      </c>
      <c r="K119" t="str">
        <f t="shared" si="5"/>
        <v>2118,'LICENCIATURA','lidiaselene.bustamanteramirez','BRL1609','TOMAR DEL SND','BUSTAMANTE RAMIREZ LIDIA SELENE','PROFESORES','','MASCULINO','','',0,0,'','PROFESOR'</v>
      </c>
      <c r="L119" t="str">
        <f t="shared" si="4"/>
        <v>INSERT INTO participantes (id,nivel,correo,matricula,clave,nombre,carrera,grado,sexo,situacion,evaluados,num_evaluados,total_evaluaciones,ultimo_acceso,nivel_acceso) VALUES (2118,'LICENCIATURA','lidiaselene.bustamanteramirez','BRL1609','TOMAR DEL SND','BUSTAMANTE RAMIREZ LIDIA SELENE','PROFESORES','','MASCULINO','','',0,0,'','PROFESOR');</v>
      </c>
    </row>
    <row r="120" spans="1:12" x14ac:dyDescent="0.25">
      <c r="A120">
        <f t="shared" si="6"/>
        <v>2119</v>
      </c>
      <c r="B120" t="s">
        <v>563</v>
      </c>
      <c r="C120" t="str">
        <f>Hoja2!H120</f>
        <v>liliana.luaherrera</v>
      </c>
      <c r="D120" t="str">
        <f>Hoja2!E120</f>
        <v>LHL1004</v>
      </c>
      <c r="E120" s="3" t="s">
        <v>1141</v>
      </c>
      <c r="F120" t="str">
        <f>Hoja2!F120</f>
        <v>LUA HERRERA LILIANA</v>
      </c>
      <c r="G120" s="1" t="s">
        <v>1142</v>
      </c>
      <c r="I120" t="str">
        <f>Hoja2!G120</f>
        <v>FEMENINO</v>
      </c>
      <c r="K120" t="str">
        <f t="shared" si="5"/>
        <v>2119,'LICENCIATURA','liliana.luaherrera','LHL1004','TOMAR DEL SND','LUA HERRERA LILIANA','PROFESORES','','FEMENINO','','',0,0,'','PROFESOR'</v>
      </c>
      <c r="L120" t="str">
        <f t="shared" si="4"/>
        <v>INSERT INTO participantes (id,nivel,correo,matricula,clave,nombre,carrera,grado,sexo,situacion,evaluados,num_evaluados,total_evaluaciones,ultimo_acceso,nivel_acceso) VALUES (2119,'LICENCIATURA','liliana.luaherrera','LHL1004','TOMAR DEL SND','LUA HERRERA LILIANA','PROFESORES','','FEMENINO','','',0,0,'','PROFESOR');</v>
      </c>
    </row>
    <row r="121" spans="1:12" x14ac:dyDescent="0.25">
      <c r="A121">
        <f t="shared" si="6"/>
        <v>2120</v>
      </c>
      <c r="B121" t="s">
        <v>563</v>
      </c>
      <c r="C121" t="str">
        <f>Hoja2!H121</f>
        <v>liliana.martinezmedina</v>
      </c>
      <c r="D121" t="str">
        <f>Hoja2!E121</f>
        <v>MML1660</v>
      </c>
      <c r="E121" s="3" t="s">
        <v>1141</v>
      </c>
      <c r="F121" t="str">
        <f>Hoja2!F121</f>
        <v>MARTINEZ MEDINA LILIANA</v>
      </c>
      <c r="G121" s="1" t="s">
        <v>1142</v>
      </c>
      <c r="I121" t="str">
        <f>Hoja2!G121</f>
        <v>FEMENINO</v>
      </c>
      <c r="K121" t="str">
        <f t="shared" si="5"/>
        <v>2120,'LICENCIATURA','liliana.martinezmedina','MML1660','TOMAR DEL SND','MARTINEZ MEDINA LILIANA','PROFESORES','','FEMENINO','','',0,0,'','PROFESOR'</v>
      </c>
      <c r="L121" t="str">
        <f t="shared" si="4"/>
        <v>INSERT INTO participantes (id,nivel,correo,matricula,clave,nombre,carrera,grado,sexo,situacion,evaluados,num_evaluados,total_evaluaciones,ultimo_acceso,nivel_acceso) VALUES (2120,'LICENCIATURA','liliana.martinezmedina','MML1660','TOMAR DEL SND','MARTINEZ MEDINA LILIANA','PROFESORES','','FEMENINO','','',0,0,'','PROFESOR');</v>
      </c>
    </row>
    <row r="122" spans="1:12" x14ac:dyDescent="0.25">
      <c r="A122">
        <f t="shared" si="6"/>
        <v>2121</v>
      </c>
      <c r="B122" t="s">
        <v>563</v>
      </c>
      <c r="C122" t="str">
        <f>Hoja2!H122</f>
        <v>linaadith.jimenezrobles</v>
      </c>
      <c r="D122" t="str">
        <f>Hoja2!E122</f>
        <v>JRL1762</v>
      </c>
      <c r="E122" s="3" t="s">
        <v>1141</v>
      </c>
      <c r="F122" t="str">
        <f>Hoja2!F122</f>
        <v>JIMENEZ ROBLES LINA ADITH</v>
      </c>
      <c r="G122" s="1" t="s">
        <v>1142</v>
      </c>
      <c r="I122" t="str">
        <f>Hoja2!G122</f>
        <v>FEMENINO</v>
      </c>
      <c r="K122" t="str">
        <f t="shared" si="5"/>
        <v>2121,'LICENCIATURA','linaadith.jimenezrobles','JRL1762','TOMAR DEL SND','JIMENEZ ROBLES LINA ADITH','PROFESORES','','FEMENINO','','',0,0,'','PROFESOR'</v>
      </c>
      <c r="L122" t="str">
        <f t="shared" si="4"/>
        <v>INSERT INTO participantes (id,nivel,correo,matricula,clave,nombre,carrera,grado,sexo,situacion,evaluados,num_evaluados,total_evaluaciones,ultimo_acceso,nivel_acceso) VALUES (2121,'LICENCIATURA','linaadith.jimenezrobles','JRL1762','TOMAR DEL SND','JIMENEZ ROBLES LINA ADITH','PROFESORES','','FEMENINO','','',0,0,'','PROFESOR');</v>
      </c>
    </row>
    <row r="123" spans="1:12" x14ac:dyDescent="0.25">
      <c r="A123">
        <f t="shared" si="6"/>
        <v>2122</v>
      </c>
      <c r="B123" t="s">
        <v>563</v>
      </c>
      <c r="C123" t="str">
        <f>Hoja2!H123</f>
        <v>lizettesarai.morenoteran</v>
      </c>
      <c r="D123" t="str">
        <f>Hoja2!E123</f>
        <v>MTL1553</v>
      </c>
      <c r="E123" s="3" t="s">
        <v>1141</v>
      </c>
      <c r="F123" t="str">
        <f>Hoja2!F123</f>
        <v>MORENO TERAN LIZETTE SARAI</v>
      </c>
      <c r="G123" s="1" t="s">
        <v>1142</v>
      </c>
      <c r="I123" t="str">
        <f>Hoja2!G123</f>
        <v>FEMENINO</v>
      </c>
      <c r="K123" t="str">
        <f t="shared" si="5"/>
        <v>2122,'LICENCIATURA','lizettesarai.morenoteran','MTL1553','TOMAR DEL SND','MORENO TERAN LIZETTE SARAI','PROFESORES','','FEMENINO','','',0,0,'','PROFESOR'</v>
      </c>
      <c r="L123" t="str">
        <f t="shared" si="4"/>
        <v>INSERT INTO participantes (id,nivel,correo,matricula,clave,nombre,carrera,grado,sexo,situacion,evaluados,num_evaluados,total_evaluaciones,ultimo_acceso,nivel_acceso) VALUES (2122,'LICENCIATURA','lizettesarai.morenoteran','MTL1553','TOMAR DEL SND','MORENO TERAN LIZETTE SARAI','PROFESORES','','FEMENINO','','',0,0,'','PROFESOR');</v>
      </c>
    </row>
    <row r="124" spans="1:12" x14ac:dyDescent="0.25">
      <c r="A124">
        <f t="shared" si="6"/>
        <v>2123</v>
      </c>
      <c r="B124" t="s">
        <v>563</v>
      </c>
      <c r="C124" t="str">
        <f>Hoja2!H124</f>
        <v>lorena.gaytangodinez</v>
      </c>
      <c r="D124" t="str">
        <f>Hoja2!E124</f>
        <v>GGL1120</v>
      </c>
      <c r="E124" s="3" t="s">
        <v>1141</v>
      </c>
      <c r="F124" t="str">
        <f>Hoja2!F124</f>
        <v>GAYTAN GODINEZ LORENA</v>
      </c>
      <c r="G124" s="1" t="s">
        <v>1142</v>
      </c>
      <c r="I124" t="str">
        <f>Hoja2!G124</f>
        <v>FEMENINO</v>
      </c>
      <c r="K124" t="str">
        <f t="shared" si="5"/>
        <v>2123,'LICENCIATURA','lorena.gaytangodinez','GGL1120','TOMAR DEL SND','GAYTAN GODINEZ LORENA','PROFESORES','','FEMENINO','','',0,0,'','PROFESOR'</v>
      </c>
      <c r="L124" t="str">
        <f t="shared" si="4"/>
        <v>INSERT INTO participantes (id,nivel,correo,matricula,clave,nombre,carrera,grado,sexo,situacion,evaluados,num_evaluados,total_evaluaciones,ultimo_acceso,nivel_acceso) VALUES (2123,'LICENCIATURA','lorena.gaytangodinez','GGL1120','TOMAR DEL SND','GAYTAN GODINEZ LORENA','PROFESORES','','FEMENINO','','',0,0,'','PROFESOR');</v>
      </c>
    </row>
    <row r="125" spans="1:12" x14ac:dyDescent="0.25">
      <c r="A125">
        <f t="shared" si="6"/>
        <v>2124</v>
      </c>
      <c r="B125" t="s">
        <v>563</v>
      </c>
      <c r="C125" t="str">
        <f>Hoja2!H125</f>
        <v>lorenzadelaluz.romeromaciel</v>
      </c>
      <c r="D125" t="str">
        <f>Hoja2!E125</f>
        <v>RML0793</v>
      </c>
      <c r="E125" s="3" t="s">
        <v>1141</v>
      </c>
      <c r="F125" t="str">
        <f>Hoja2!F125</f>
        <v>ROMERO MACIEL LORENZA DE LA LUZ</v>
      </c>
      <c r="G125" s="1" t="s">
        <v>1142</v>
      </c>
      <c r="I125" t="str">
        <f>Hoja2!G125</f>
        <v>FEMENINO</v>
      </c>
      <c r="K125" t="str">
        <f t="shared" si="5"/>
        <v>2124,'LICENCIATURA','lorenzadelaluz.romeromaciel','RML0793','TOMAR DEL SND','ROMERO MACIEL LORENZA DE LA LUZ','PROFESORES','','FEMENINO','','',0,0,'','PROFESOR'</v>
      </c>
      <c r="L125" t="str">
        <f t="shared" si="4"/>
        <v>INSERT INTO participantes (id,nivel,correo,matricula,clave,nombre,carrera,grado,sexo,situacion,evaluados,num_evaluados,total_evaluaciones,ultimo_acceso,nivel_acceso) VALUES (2124,'LICENCIATURA','lorenzadelaluz.romeromaciel','RML0793','TOMAR DEL SND','ROMERO MACIEL LORENZA DE LA LUZ','PROFESORES','','FEMENINO','','',0,0,'','PROFESOR');</v>
      </c>
    </row>
    <row r="126" spans="1:12" x14ac:dyDescent="0.25">
      <c r="A126">
        <f t="shared" si="6"/>
        <v>2125</v>
      </c>
      <c r="B126" t="s">
        <v>563</v>
      </c>
      <c r="C126" t="str">
        <f>Hoja2!H126</f>
        <v>lucinasaray.rosalesvargas</v>
      </c>
      <c r="D126" t="str">
        <f>Hoja2!E126</f>
        <v>RVL1931</v>
      </c>
      <c r="E126" s="3" t="s">
        <v>1141</v>
      </c>
      <c r="F126" t="str">
        <f>Hoja2!F126</f>
        <v>ROSALES VARGAS LUCINA SARAY</v>
      </c>
      <c r="G126" s="1" t="s">
        <v>1142</v>
      </c>
      <c r="I126" t="str">
        <f>Hoja2!G126</f>
        <v>FEMENINO</v>
      </c>
      <c r="K126" t="str">
        <f t="shared" si="5"/>
        <v>2125,'LICENCIATURA','lucinasaray.rosalesvargas','RVL1931','TOMAR DEL SND','ROSALES VARGAS LUCINA SARAY','PROFESORES','','FEMENINO','','',0,0,'','PROFESOR'</v>
      </c>
      <c r="L126" t="str">
        <f t="shared" si="4"/>
        <v>INSERT INTO participantes (id,nivel,correo,matricula,clave,nombre,carrera,grado,sexo,situacion,evaluados,num_evaluados,total_evaluaciones,ultimo_acceso,nivel_acceso) VALUES (2125,'LICENCIATURA','lucinasaray.rosalesvargas','RVL1931','TOMAR DEL SND','ROSALES VARGAS LUCINA SARAY','PROFESORES','','FEMENINO','','',0,0,'','PROFESOR');</v>
      </c>
    </row>
    <row r="127" spans="1:12" x14ac:dyDescent="0.25">
      <c r="A127">
        <f t="shared" si="6"/>
        <v>2126</v>
      </c>
      <c r="B127" t="s">
        <v>563</v>
      </c>
      <c r="C127" t="str">
        <f>Hoja2!H127</f>
        <v>luis.rizodominguez</v>
      </c>
      <c r="D127" t="str">
        <f>Hoja2!E127</f>
        <v>RDL1814</v>
      </c>
      <c r="E127" s="3" t="s">
        <v>1141</v>
      </c>
      <c r="F127" t="str">
        <f>Hoja2!F127</f>
        <v>RIZO DOMINGUEZ LUIS</v>
      </c>
      <c r="G127" s="1" t="s">
        <v>1142</v>
      </c>
      <c r="I127" t="str">
        <f>Hoja2!G127</f>
        <v>MASCULINO</v>
      </c>
      <c r="K127" t="str">
        <f t="shared" si="5"/>
        <v>2126,'LICENCIATURA','luis.rizodominguez','RDL1814','TOMAR DEL SND','RIZO DOMINGUEZ LUIS','PROFESORES','','MASCULINO','','',0,0,'','PROFESOR'</v>
      </c>
      <c r="L127" t="str">
        <f t="shared" si="4"/>
        <v>INSERT INTO participantes (id,nivel,correo,matricula,clave,nombre,carrera,grado,sexo,situacion,evaluados,num_evaluados,total_evaluaciones,ultimo_acceso,nivel_acceso) VALUES (2126,'LICENCIATURA','luis.rizodominguez','RDL1814','TOMAR DEL SND','RIZO DOMINGUEZ LUIS','PROFESORES','','MASCULINO','','',0,0,'','PROFESOR');</v>
      </c>
    </row>
    <row r="128" spans="1:12" x14ac:dyDescent="0.25">
      <c r="A128">
        <f t="shared" si="6"/>
        <v>2127</v>
      </c>
      <c r="B128" t="s">
        <v>563</v>
      </c>
      <c r="C128" t="str">
        <f>Hoja2!H128</f>
        <v>luisalfonso.osornomontes</v>
      </c>
      <c r="D128" t="str">
        <f>Hoja2!E128</f>
        <v>OML1606</v>
      </c>
      <c r="E128" s="3" t="s">
        <v>1141</v>
      </c>
      <c r="F128" t="str">
        <f>Hoja2!F128</f>
        <v>OSORNO MONTES LUIS ALFONSO</v>
      </c>
      <c r="G128" s="1" t="s">
        <v>1142</v>
      </c>
      <c r="I128" t="str">
        <f>Hoja2!G128</f>
        <v>MASCULINO</v>
      </c>
      <c r="K128" t="str">
        <f t="shared" si="5"/>
        <v>2127,'LICENCIATURA','luisalfonso.osornomontes','OML1606','TOMAR DEL SND','OSORNO MONTES LUIS ALFONSO','PROFESORES','','MASCULINO','','',0,0,'','PROFESOR'</v>
      </c>
      <c r="L128" t="str">
        <f t="shared" si="4"/>
        <v>INSERT INTO participantes (id,nivel,correo,matricula,clave,nombre,carrera,grado,sexo,situacion,evaluados,num_evaluados,total_evaluaciones,ultimo_acceso,nivel_acceso) VALUES (2127,'LICENCIATURA','luisalfonso.osornomontes','OML1606','TOMAR DEL SND','OSORNO MONTES LUIS ALFONSO','PROFESORES','','MASCULINO','','',0,0,'','PROFESOR');</v>
      </c>
    </row>
    <row r="129" spans="1:12" x14ac:dyDescent="0.25">
      <c r="A129">
        <f t="shared" si="6"/>
        <v>2128</v>
      </c>
      <c r="B129" t="s">
        <v>563</v>
      </c>
      <c r="C129" t="str">
        <f>Hoja2!H129</f>
        <v>luisalonso.calzadasuarez</v>
      </c>
      <c r="D129" t="str">
        <f>Hoja2!E129</f>
        <v>CSL1915</v>
      </c>
      <c r="E129" s="3" t="s">
        <v>1141</v>
      </c>
      <c r="F129" t="str">
        <f>Hoja2!F129</f>
        <v>CALZADA SUAREZ LUIS ALONSO</v>
      </c>
      <c r="G129" s="1" t="s">
        <v>1142</v>
      </c>
      <c r="I129" t="str">
        <f>Hoja2!G129</f>
        <v>FEMENINO</v>
      </c>
      <c r="K129" t="str">
        <f t="shared" si="5"/>
        <v>2128,'LICENCIATURA','luisalonso.calzadasuarez','CSL1915','TOMAR DEL SND','CALZADA SUAREZ LUIS ALONSO','PROFESORES','','FEMENINO','','',0,0,'','PROFESOR'</v>
      </c>
      <c r="L129" t="str">
        <f t="shared" si="4"/>
        <v>INSERT INTO participantes (id,nivel,correo,matricula,clave,nombre,carrera,grado,sexo,situacion,evaluados,num_evaluados,total_evaluaciones,ultimo_acceso,nivel_acceso) VALUES (2128,'LICENCIATURA','luisalonso.calzadasuarez','CSL1915','TOMAR DEL SND','CALZADA SUAREZ LUIS ALONSO','PROFESORES','','FEMENINO','','',0,0,'','PROFESOR');</v>
      </c>
    </row>
    <row r="130" spans="1:12" x14ac:dyDescent="0.25">
      <c r="A130">
        <f t="shared" si="6"/>
        <v>2129</v>
      </c>
      <c r="B130" t="s">
        <v>563</v>
      </c>
      <c r="C130" t="str">
        <f>Hoja2!H130</f>
        <v>luisantonio.garciaraigosa</v>
      </c>
      <c r="D130" t="str">
        <f>Hoja2!E130</f>
        <v>GRL0684</v>
      </c>
      <c r="E130" s="3" t="s">
        <v>1141</v>
      </c>
      <c r="F130" t="str">
        <f>Hoja2!F130</f>
        <v>GARCIA RAIGOSA LUIS ANTONIO</v>
      </c>
      <c r="G130" s="1" t="s">
        <v>1142</v>
      </c>
      <c r="I130" t="str">
        <f>Hoja2!G130</f>
        <v>MASCULINO</v>
      </c>
      <c r="K130" t="str">
        <f t="shared" si="5"/>
        <v>2129,'LICENCIATURA','luisantonio.garciaraigosa','GRL0684','TOMAR DEL SND','GARCIA RAIGOSA LUIS ANTONIO','PROFESORES','','MASCULINO','','',0,0,'','PROFESOR'</v>
      </c>
      <c r="L130" t="str">
        <f t="shared" ref="L130:L179" si="7">CONCATENATE($K$1,K130,");")</f>
        <v>INSERT INTO participantes (id,nivel,correo,matricula,clave,nombre,carrera,grado,sexo,situacion,evaluados,num_evaluados,total_evaluaciones,ultimo_acceso,nivel_acceso) VALUES (2129,'LICENCIATURA','luisantonio.garciaraigosa','GRL0684','TOMAR DEL SND','GARCIA RAIGOSA LUIS ANTONIO','PROFESORES','','MASCULINO','','',0,0,'','PROFESOR');</v>
      </c>
    </row>
    <row r="131" spans="1:12" x14ac:dyDescent="0.25">
      <c r="A131">
        <f t="shared" si="6"/>
        <v>2130</v>
      </c>
      <c r="B131" t="s">
        <v>563</v>
      </c>
      <c r="C131" t="str">
        <f>Hoja2!H131</f>
        <v>luisarturo.romerocordova</v>
      </c>
      <c r="D131" t="str">
        <f>Hoja2!E131</f>
        <v>RCL1449</v>
      </c>
      <c r="E131" s="3" t="s">
        <v>1141</v>
      </c>
      <c r="F131" t="str">
        <f>Hoja2!F131</f>
        <v>ROMERO  CORDOVA LUIS ARTURO</v>
      </c>
      <c r="G131" s="1" t="s">
        <v>1142</v>
      </c>
      <c r="I131" t="str">
        <f>Hoja2!G131</f>
        <v>MASCULINO</v>
      </c>
      <c r="K131" t="str">
        <f t="shared" ref="K131:K179" si="8">CONCATENATE(A131,",",B131,",'",C131,"','",D131,"','",E131,",'",F131,"','",G131,"','",H131,"','",UPPER(I131),"','",UPPER(J131),"','',0,0,'','PROFESOR'")</f>
        <v>2130,'LICENCIATURA','luisarturo.romerocordova','RCL1449','TOMAR DEL SND','ROMERO  CORDOVA LUIS ARTURO','PROFESORES','','MASCULINO','','',0,0,'','PROFESOR'</v>
      </c>
      <c r="L131" t="str">
        <f t="shared" si="7"/>
        <v>INSERT INTO participantes (id,nivel,correo,matricula,clave,nombre,carrera,grado,sexo,situacion,evaluados,num_evaluados,total_evaluaciones,ultimo_acceso,nivel_acceso) VALUES (2130,'LICENCIATURA','luisarturo.romerocordova','RCL1449','TOMAR DEL SND','ROMERO  CORDOVA LUIS ARTURO','PROFESORES','','MASCULINO','','',0,0,'','PROFESOR');</v>
      </c>
    </row>
    <row r="132" spans="1:12" x14ac:dyDescent="0.25">
      <c r="A132">
        <f t="shared" ref="A132:A179" si="9">A131+1</f>
        <v>2131</v>
      </c>
      <c r="B132" t="s">
        <v>563</v>
      </c>
      <c r="C132" t="str">
        <f>Hoja2!H132</f>
        <v>luisaugusto.manzocastrejon</v>
      </c>
      <c r="D132" t="str">
        <f>Hoja2!E132</f>
        <v>MCL1917</v>
      </c>
      <c r="E132" s="3" t="s">
        <v>1141</v>
      </c>
      <c r="F132" t="str">
        <f>Hoja2!F132</f>
        <v>MANZO CASTREJON LUIS AUGUSTO</v>
      </c>
      <c r="G132" s="1" t="s">
        <v>1142</v>
      </c>
      <c r="I132" t="str">
        <f>Hoja2!G132</f>
        <v>MASCULINO</v>
      </c>
      <c r="K132" t="str">
        <f t="shared" si="8"/>
        <v>2131,'LICENCIATURA','luisaugusto.manzocastrejon','MCL1917','TOMAR DEL SND','MANZO CASTREJON LUIS AUGUSTO','PROFESORES','','MASCULINO','','',0,0,'','PROFESOR'</v>
      </c>
      <c r="L132" t="str">
        <f t="shared" si="7"/>
        <v>INSERT INTO participantes (id,nivel,correo,matricula,clave,nombre,carrera,grado,sexo,situacion,evaluados,num_evaluados,total_evaluaciones,ultimo_acceso,nivel_acceso) VALUES (2131,'LICENCIATURA','luisaugusto.manzocastrejon','MCL1917','TOMAR DEL SND','MANZO CASTREJON LUIS AUGUSTO','PROFESORES','','MASCULINO','','',0,0,'','PROFESOR');</v>
      </c>
    </row>
    <row r="133" spans="1:12" x14ac:dyDescent="0.25">
      <c r="A133">
        <f t="shared" si="9"/>
        <v>2132</v>
      </c>
      <c r="B133" t="s">
        <v>563</v>
      </c>
      <c r="C133" t="str">
        <f>Hoja2!H133</f>
        <v>luiseduardo.hernandezlomeli</v>
      </c>
      <c r="D133" t="str">
        <f>Hoja2!E133</f>
        <v>HLL1929</v>
      </c>
      <c r="E133" s="3" t="s">
        <v>1141</v>
      </c>
      <c r="F133" t="str">
        <f>Hoja2!F133</f>
        <v>HERNANDEZ LOMELI LUIS EDUARDO</v>
      </c>
      <c r="G133" s="1" t="s">
        <v>1142</v>
      </c>
      <c r="I133" t="str">
        <f>Hoja2!G133</f>
        <v>MASCULINO</v>
      </c>
      <c r="K133" t="str">
        <f t="shared" si="8"/>
        <v>2132,'LICENCIATURA','luiseduardo.hernandezlomeli','HLL1929','TOMAR DEL SND','HERNANDEZ LOMELI LUIS EDUARDO','PROFESORES','','MASCULINO','','',0,0,'','PROFESOR'</v>
      </c>
      <c r="L133" t="str">
        <f t="shared" si="7"/>
        <v>INSERT INTO participantes (id,nivel,correo,matricula,clave,nombre,carrera,grado,sexo,situacion,evaluados,num_evaluados,total_evaluaciones,ultimo_acceso,nivel_acceso) VALUES (2132,'LICENCIATURA','luiseduardo.hernandezlomeli','HLL1929','TOMAR DEL SND','HERNANDEZ LOMELI LUIS EDUARDO','PROFESORES','','MASCULINO','','',0,0,'','PROFESOR');</v>
      </c>
    </row>
    <row r="134" spans="1:12" x14ac:dyDescent="0.25">
      <c r="A134">
        <f t="shared" si="9"/>
        <v>2133</v>
      </c>
      <c r="B134" t="s">
        <v>563</v>
      </c>
      <c r="C134" t="str">
        <f>Hoja2!H134</f>
        <v>luisfernando.hernandezsaldivar</v>
      </c>
      <c r="D134" t="str">
        <f>Hoja2!E134</f>
        <v>HZL0661</v>
      </c>
      <c r="E134" s="3" t="s">
        <v>1141</v>
      </c>
      <c r="F134" t="str">
        <f>Hoja2!F134</f>
        <v>HERNANDEZ SALDIVAR LUIS FERNANDO</v>
      </c>
      <c r="G134" s="1" t="s">
        <v>1142</v>
      </c>
      <c r="I134" t="str">
        <f>Hoja2!G134</f>
        <v>MASCULINO</v>
      </c>
      <c r="K134" t="str">
        <f t="shared" si="8"/>
        <v>2133,'LICENCIATURA','luisfernando.hernandezsaldivar','HZL0661','TOMAR DEL SND','HERNANDEZ SALDIVAR LUIS FERNANDO','PROFESORES','','MASCULINO','','',0,0,'','PROFESOR'</v>
      </c>
      <c r="L134" t="str">
        <f t="shared" si="7"/>
        <v>INSERT INTO participantes (id,nivel,correo,matricula,clave,nombre,carrera,grado,sexo,situacion,evaluados,num_evaluados,total_evaluaciones,ultimo_acceso,nivel_acceso) VALUES (2133,'LICENCIATURA','luisfernando.hernandezsaldivar','HZL0661','TOMAR DEL SND','HERNANDEZ SALDIVAR LUIS FERNANDO','PROFESORES','','MASCULINO','','',0,0,'','PROFESOR');</v>
      </c>
    </row>
    <row r="135" spans="1:12" x14ac:dyDescent="0.25">
      <c r="A135">
        <f t="shared" si="9"/>
        <v>2134</v>
      </c>
      <c r="B135" t="s">
        <v>563</v>
      </c>
      <c r="C135" t="str">
        <f>Hoja2!H135</f>
        <v>luisrafael.garciacovarrubias</v>
      </c>
      <c r="D135" t="str">
        <f>Hoja2!E135</f>
        <v>GCL1128</v>
      </c>
      <c r="E135" s="3" t="s">
        <v>1141</v>
      </c>
      <c r="F135" t="str">
        <f>Hoja2!F135</f>
        <v>GARCIA COVARRUBIAS LUIS RAFAEL</v>
      </c>
      <c r="G135" s="1" t="s">
        <v>1142</v>
      </c>
      <c r="I135" t="str">
        <f>Hoja2!G135</f>
        <v>MASCULINO</v>
      </c>
      <c r="K135" t="str">
        <f t="shared" si="8"/>
        <v>2134,'LICENCIATURA','luisrafael.garciacovarrubias','GCL1128','TOMAR DEL SND','GARCIA COVARRUBIAS LUIS RAFAEL','PROFESORES','','MASCULINO','','',0,0,'','PROFESOR'</v>
      </c>
      <c r="L135" t="str">
        <f t="shared" si="7"/>
        <v>INSERT INTO participantes (id,nivel,correo,matricula,clave,nombre,carrera,grado,sexo,situacion,evaluados,num_evaluados,total_evaluaciones,ultimo_acceso,nivel_acceso) VALUES (2134,'LICENCIATURA','luisrafael.garciacovarrubias','GCL1128','TOMAR DEL SND','GARCIA COVARRUBIAS LUIS RAFAEL','PROFESORES','','MASCULINO','','',0,0,'','PROFESOR');</v>
      </c>
    </row>
    <row r="136" spans="1:12" x14ac:dyDescent="0.25">
      <c r="A136">
        <f t="shared" si="9"/>
        <v>2135</v>
      </c>
      <c r="B136" t="s">
        <v>563</v>
      </c>
      <c r="C136" t="str">
        <f>Hoja2!H136</f>
        <v>manuelgustavo.zepedagomez</v>
      </c>
      <c r="D136" t="str">
        <f>Hoja2!E136</f>
        <v>ZGM1566</v>
      </c>
      <c r="E136" s="3" t="s">
        <v>1141</v>
      </c>
      <c r="F136" t="str">
        <f>Hoja2!F136</f>
        <v>ZEPEDA  GOMEZ MANUEL GUSTAVO</v>
      </c>
      <c r="G136" s="1" t="s">
        <v>1142</v>
      </c>
      <c r="I136" t="str">
        <f>Hoja2!G136</f>
        <v>MASCULINO</v>
      </c>
      <c r="K136" t="str">
        <f t="shared" si="8"/>
        <v>2135,'LICENCIATURA','manuelgustavo.zepedagomez','ZGM1566','TOMAR DEL SND','ZEPEDA  GOMEZ MANUEL GUSTAVO','PROFESORES','','MASCULINO','','',0,0,'','PROFESOR'</v>
      </c>
      <c r="L136" t="str">
        <f t="shared" si="7"/>
        <v>INSERT INTO participantes (id,nivel,correo,matricula,clave,nombre,carrera,grado,sexo,situacion,evaluados,num_evaluados,total_evaluaciones,ultimo_acceso,nivel_acceso) VALUES (2135,'LICENCIATURA','manuelgustavo.zepedagomez','ZGM1566','TOMAR DEL SND','ZEPEDA  GOMEZ MANUEL GUSTAVO','PROFESORES','','MASCULINO','','',0,0,'','PROFESOR');</v>
      </c>
    </row>
    <row r="137" spans="1:12" x14ac:dyDescent="0.25">
      <c r="A137">
        <f t="shared" si="9"/>
        <v>2136</v>
      </c>
      <c r="B137" t="s">
        <v>563</v>
      </c>
      <c r="C137" t="str">
        <f>Hoja2!H137</f>
        <v>mariaalejandra.dominguezlopez</v>
      </c>
      <c r="D137" t="str">
        <f>Hoja2!E137</f>
        <v>DLM0970</v>
      </c>
      <c r="E137" s="3" t="s">
        <v>1141</v>
      </c>
      <c r="F137" t="str">
        <f>Hoja2!F137</f>
        <v>DOMINGUEZ LOPEZ MARIA ALEJANDRA</v>
      </c>
      <c r="G137" s="1" t="s">
        <v>1142</v>
      </c>
      <c r="I137" t="str">
        <f>Hoja2!G137</f>
        <v>FEMENINO</v>
      </c>
      <c r="K137" t="str">
        <f t="shared" si="8"/>
        <v>2136,'LICENCIATURA','mariaalejandra.dominguezlopez','DLM0970','TOMAR DEL SND','DOMINGUEZ LOPEZ MARIA ALEJANDRA','PROFESORES','','FEMENINO','','',0,0,'','PROFESOR'</v>
      </c>
      <c r="L137" t="str">
        <f t="shared" si="7"/>
        <v>INSERT INTO participantes (id,nivel,correo,matricula,clave,nombre,carrera,grado,sexo,situacion,evaluados,num_evaluados,total_evaluaciones,ultimo_acceso,nivel_acceso) VALUES (2136,'LICENCIATURA','mariaalejandra.dominguezlopez','DLM0970','TOMAR DEL SND','DOMINGUEZ LOPEZ MARIA ALEJANDRA','PROFESORES','','FEMENINO','','',0,0,'','PROFESOR');</v>
      </c>
    </row>
    <row r="138" spans="1:12" x14ac:dyDescent="0.25">
      <c r="A138">
        <f t="shared" si="9"/>
        <v>2137</v>
      </c>
      <c r="B138" t="s">
        <v>563</v>
      </c>
      <c r="C138" t="str">
        <f>Hoja2!H138</f>
        <v>mariadeguadalupe.antolinluna</v>
      </c>
      <c r="D138" t="str">
        <f>Hoja2!E138</f>
        <v>ALM1223</v>
      </c>
      <c r="E138" s="3" t="s">
        <v>1141</v>
      </c>
      <c r="F138" t="str">
        <f>Hoja2!F138</f>
        <v>ANTOLIN LUNA MARIA DE GUADALUPE</v>
      </c>
      <c r="G138" s="1" t="s">
        <v>1142</v>
      </c>
      <c r="I138" t="str">
        <f>Hoja2!G138</f>
        <v>FEMENINO</v>
      </c>
      <c r="K138" t="str">
        <f t="shared" si="8"/>
        <v>2137,'LICENCIATURA','mariadeguadalupe.antolinluna','ALM1223','TOMAR DEL SND','ANTOLIN LUNA MARIA DE GUADALUPE','PROFESORES','','FEMENINO','','',0,0,'','PROFESOR'</v>
      </c>
      <c r="L138" t="str">
        <f t="shared" si="7"/>
        <v>INSERT INTO participantes (id,nivel,correo,matricula,clave,nombre,carrera,grado,sexo,situacion,evaluados,num_evaluados,total_evaluaciones,ultimo_acceso,nivel_acceso) VALUES (2137,'LICENCIATURA','mariadeguadalupe.antolinluna','ALM1223','TOMAR DEL SND','ANTOLIN LUNA MARIA DE GUADALUPE','PROFESORES','','FEMENINO','','',0,0,'','PROFESOR');</v>
      </c>
    </row>
    <row r="139" spans="1:12" x14ac:dyDescent="0.25">
      <c r="A139">
        <f t="shared" si="9"/>
        <v>2138</v>
      </c>
      <c r="B139" t="s">
        <v>563</v>
      </c>
      <c r="C139" t="str">
        <f>Hoja2!H139</f>
        <v>mariadelasvirtudes.abascalcuellar</v>
      </c>
      <c r="D139" t="str">
        <f>Hoja2!E139</f>
        <v>ACM0473</v>
      </c>
      <c r="E139" s="3" t="s">
        <v>1141</v>
      </c>
      <c r="F139" t="str">
        <f>Hoja2!F139</f>
        <v>ABASCAL  CUELLAR MARIA DE LAS VIRTUDES</v>
      </c>
      <c r="G139" s="1" t="s">
        <v>1142</v>
      </c>
      <c r="I139" t="str">
        <f>Hoja2!G139</f>
        <v>FEMENINO</v>
      </c>
      <c r="K139" t="str">
        <f t="shared" si="8"/>
        <v>2138,'LICENCIATURA','mariadelasvirtudes.abascalcuellar','ACM0473','TOMAR DEL SND','ABASCAL  CUELLAR MARIA DE LAS VIRTUDES','PROFESORES','','FEMENINO','','',0,0,'','PROFESOR'</v>
      </c>
      <c r="L139" t="str">
        <f t="shared" si="7"/>
        <v>INSERT INTO participantes (id,nivel,correo,matricula,clave,nombre,carrera,grado,sexo,situacion,evaluados,num_evaluados,total_evaluaciones,ultimo_acceso,nivel_acceso) VALUES (2138,'LICENCIATURA','mariadelasvirtudes.abascalcuellar','ACM0473','TOMAR DEL SND','ABASCAL  CUELLAR MARIA DE LAS VIRTUDES','PROFESORES','','FEMENINO','','',0,0,'','PROFESOR');</v>
      </c>
    </row>
    <row r="140" spans="1:12" x14ac:dyDescent="0.25">
      <c r="A140">
        <f t="shared" si="9"/>
        <v>2139</v>
      </c>
      <c r="B140" t="s">
        <v>563</v>
      </c>
      <c r="C140" t="str">
        <f>Hoja2!H140</f>
        <v>mariadelcarmen.magallonramirez</v>
      </c>
      <c r="D140" t="str">
        <f>Hoja2!E140</f>
        <v>MRM1794</v>
      </c>
      <c r="E140" s="3" t="s">
        <v>1141</v>
      </c>
      <c r="F140" t="str">
        <f>Hoja2!F140</f>
        <v>MAGALLON RAMIREZ MARIA DEL CARMEN</v>
      </c>
      <c r="G140" s="1" t="s">
        <v>1142</v>
      </c>
      <c r="I140" t="str">
        <f>Hoja2!G140</f>
        <v>FEMENINO</v>
      </c>
      <c r="K140" t="str">
        <f t="shared" si="8"/>
        <v>2139,'LICENCIATURA','mariadelcarmen.magallonramirez','MRM1794','TOMAR DEL SND','MAGALLON RAMIREZ MARIA DEL CARMEN','PROFESORES','','FEMENINO','','',0,0,'','PROFESOR'</v>
      </c>
      <c r="L140" t="str">
        <f t="shared" si="7"/>
        <v>INSERT INTO participantes (id,nivel,correo,matricula,clave,nombre,carrera,grado,sexo,situacion,evaluados,num_evaluados,total_evaluaciones,ultimo_acceso,nivel_acceso) VALUES (2139,'LICENCIATURA','mariadelcarmen.magallonramirez','MRM1794','TOMAR DEL SND','MAGALLON RAMIREZ MARIA DEL CARMEN','PROFESORES','','FEMENINO','','',0,0,'','PROFESOR');</v>
      </c>
    </row>
    <row r="141" spans="1:12" x14ac:dyDescent="0.25">
      <c r="A141">
        <f t="shared" si="9"/>
        <v>2140</v>
      </c>
      <c r="B141" t="s">
        <v>563</v>
      </c>
      <c r="C141" t="str">
        <f>Hoja2!H141</f>
        <v>mariadolores.mirandamortera</v>
      </c>
      <c r="D141" t="str">
        <f>Hoja2!E141</f>
        <v>MMM1414</v>
      </c>
      <c r="E141" s="3" t="s">
        <v>1141</v>
      </c>
      <c r="F141" t="str">
        <f>Hoja2!F141</f>
        <v>MIRANDA MORTERA MARIA DOLORES</v>
      </c>
      <c r="G141" s="1" t="s">
        <v>1142</v>
      </c>
      <c r="I141" t="str">
        <f>Hoja2!G141</f>
        <v>FEMENINO</v>
      </c>
      <c r="K141" t="str">
        <f t="shared" si="8"/>
        <v>2140,'LICENCIATURA','mariadolores.mirandamortera','MMM1414','TOMAR DEL SND','MIRANDA MORTERA MARIA DOLORES','PROFESORES','','FEMENINO','','',0,0,'','PROFESOR'</v>
      </c>
      <c r="L141" t="str">
        <f t="shared" si="7"/>
        <v>INSERT INTO participantes (id,nivel,correo,matricula,clave,nombre,carrera,grado,sexo,situacion,evaluados,num_evaluados,total_evaluaciones,ultimo_acceso,nivel_acceso) VALUES (2140,'LICENCIATURA','mariadolores.mirandamortera','MMM1414','TOMAR DEL SND','MIRANDA MORTERA MARIA DOLORES','PROFESORES','','FEMENINO','','',0,0,'','PROFESOR');</v>
      </c>
    </row>
    <row r="142" spans="1:12" x14ac:dyDescent="0.25">
      <c r="A142">
        <f t="shared" si="9"/>
        <v>2141</v>
      </c>
      <c r="B142" t="s">
        <v>563</v>
      </c>
      <c r="C142" t="str">
        <f>Hoja2!H142</f>
        <v>mariaelena.channuñez</v>
      </c>
      <c r="D142" t="str">
        <f>Hoja2!E142</f>
        <v>CNM0034</v>
      </c>
      <c r="E142" s="3" t="s">
        <v>1141</v>
      </c>
      <c r="F142" t="str">
        <f>Hoja2!F142</f>
        <v>CHAN  NUÑEZ MARIA ELENA</v>
      </c>
      <c r="G142" s="1" t="s">
        <v>1142</v>
      </c>
      <c r="I142" t="str">
        <f>Hoja2!G142</f>
        <v>FEMENINO</v>
      </c>
      <c r="K142" t="str">
        <f t="shared" si="8"/>
        <v>2141,'LICENCIATURA','mariaelena.channuñez','CNM0034','TOMAR DEL SND','CHAN  NUÑEZ MARIA ELENA','PROFESORES','','FEMENINO','','',0,0,'','PROFESOR'</v>
      </c>
      <c r="L142" t="str">
        <f t="shared" si="7"/>
        <v>INSERT INTO participantes (id,nivel,correo,matricula,clave,nombre,carrera,grado,sexo,situacion,evaluados,num_evaluados,total_evaluaciones,ultimo_acceso,nivel_acceso) VALUES (2141,'LICENCIATURA','mariaelena.channuñez','CNM0034','TOMAR DEL SND','CHAN  NUÑEZ MARIA ELENA','PROFESORES','','FEMENINO','','',0,0,'','PROFESOR');</v>
      </c>
    </row>
    <row r="143" spans="1:12" x14ac:dyDescent="0.25">
      <c r="A143">
        <f t="shared" si="9"/>
        <v>2142</v>
      </c>
      <c r="B143" t="s">
        <v>563</v>
      </c>
      <c r="C143" t="str">
        <f>Hoja2!H143</f>
        <v>mariajose.martinezmartinez</v>
      </c>
      <c r="D143" t="str">
        <f>Hoja2!E143</f>
        <v>MMM1455</v>
      </c>
      <c r="E143" s="3" t="s">
        <v>1141</v>
      </c>
      <c r="F143" t="str">
        <f>Hoja2!F143</f>
        <v>MARTINEZ MARTINEZ MARIA JOSE</v>
      </c>
      <c r="G143" s="1" t="s">
        <v>1142</v>
      </c>
      <c r="I143" t="str">
        <f>Hoja2!G143</f>
        <v>FEMENINO</v>
      </c>
      <c r="K143" t="str">
        <f t="shared" si="8"/>
        <v>2142,'LICENCIATURA','mariajose.martinezmartinez','MMM1455','TOMAR DEL SND','MARTINEZ MARTINEZ MARIA JOSE','PROFESORES','','FEMENINO','','',0,0,'','PROFESOR'</v>
      </c>
      <c r="L143" t="str">
        <f t="shared" si="7"/>
        <v>INSERT INTO participantes (id,nivel,correo,matricula,clave,nombre,carrera,grado,sexo,situacion,evaluados,num_evaluados,total_evaluaciones,ultimo_acceso,nivel_acceso) VALUES (2142,'LICENCIATURA','mariajose.martinezmartinez','MMM1455','TOMAR DEL SND','MARTINEZ MARTINEZ MARIA JOSE','PROFESORES','','FEMENINO','','',0,0,'','PROFESOR');</v>
      </c>
    </row>
    <row r="144" spans="1:12" x14ac:dyDescent="0.25">
      <c r="A144">
        <f t="shared" si="9"/>
        <v>2143</v>
      </c>
      <c r="B144" t="s">
        <v>563</v>
      </c>
      <c r="C144" t="str">
        <f>Hoja2!H144</f>
        <v>marialuisa.garciasanchez</v>
      </c>
      <c r="D144" t="str">
        <f>Hoja2!E144</f>
        <v>GSM0224</v>
      </c>
      <c r="E144" s="3" t="s">
        <v>1141</v>
      </c>
      <c r="F144" t="str">
        <f>Hoja2!F144</f>
        <v xml:space="preserve">GARCIA  SANCHEZ  MARIA LUISA </v>
      </c>
      <c r="G144" s="1" t="s">
        <v>1142</v>
      </c>
      <c r="I144" t="str">
        <f>Hoja2!G144</f>
        <v>FEMENINO</v>
      </c>
      <c r="K144" t="str">
        <f t="shared" si="8"/>
        <v>2143,'LICENCIATURA','marialuisa.garciasanchez','GSM0224','TOMAR DEL SND','GARCIA  SANCHEZ  MARIA LUISA ','PROFESORES','','FEMENINO','','',0,0,'','PROFESOR'</v>
      </c>
      <c r="L144" t="str">
        <f t="shared" si="7"/>
        <v>INSERT INTO participantes (id,nivel,correo,matricula,clave,nombre,carrera,grado,sexo,situacion,evaluados,num_evaluados,total_evaluaciones,ultimo_acceso,nivel_acceso) VALUES (2143,'LICENCIATURA','marialuisa.garciasanchez','GSM0224','TOMAR DEL SND','GARCIA  SANCHEZ  MARIA LUISA ','PROFESORES','','FEMENINO','','',0,0,'','PROFESOR');</v>
      </c>
    </row>
    <row r="145" spans="1:12" x14ac:dyDescent="0.25">
      <c r="A145">
        <f t="shared" si="9"/>
        <v>2144</v>
      </c>
      <c r="B145" t="s">
        <v>563</v>
      </c>
      <c r="C145" t="str">
        <f>Hoja2!H145</f>
        <v>mariateresa.gonzalezalvarez</v>
      </c>
      <c r="D145" t="str">
        <f>Hoja2!E145</f>
        <v>GAM0556</v>
      </c>
      <c r="E145" s="3" t="s">
        <v>1141</v>
      </c>
      <c r="F145" t="str">
        <f>Hoja2!F145</f>
        <v>GONZALEZ ALVAREZ MARIA TERESA</v>
      </c>
      <c r="G145" s="1" t="s">
        <v>1142</v>
      </c>
      <c r="I145" t="str">
        <f>Hoja2!G145</f>
        <v>FEMENINO</v>
      </c>
      <c r="K145" t="str">
        <f t="shared" si="8"/>
        <v>2144,'LICENCIATURA','mariateresa.gonzalezalvarez','GAM0556','TOMAR DEL SND','GONZALEZ ALVAREZ MARIA TERESA','PROFESORES','','FEMENINO','','',0,0,'','PROFESOR'</v>
      </c>
      <c r="L145" t="str">
        <f t="shared" si="7"/>
        <v>INSERT INTO participantes (id,nivel,correo,matricula,clave,nombre,carrera,grado,sexo,situacion,evaluados,num_evaluados,total_evaluaciones,ultimo_acceso,nivel_acceso) VALUES (2144,'LICENCIATURA','mariateresa.gonzalezalvarez','GAM0556','TOMAR DEL SND','GONZALEZ ALVAREZ MARIA TERESA','PROFESORES','','FEMENINO','','',0,0,'','PROFESOR');</v>
      </c>
    </row>
    <row r="146" spans="1:12" x14ac:dyDescent="0.25">
      <c r="A146">
        <f t="shared" si="9"/>
        <v>2145</v>
      </c>
      <c r="B146" t="s">
        <v>563</v>
      </c>
      <c r="C146" t="str">
        <f>Hoja2!H146</f>
        <v>marlen.rivasmelano</v>
      </c>
      <c r="D146" t="str">
        <f>Hoja2!E146</f>
        <v>RMM1724</v>
      </c>
      <c r="E146" s="3" t="s">
        <v>1141</v>
      </c>
      <c r="F146" t="str">
        <f>Hoja2!F146</f>
        <v>RIVAS MELANO MARLEN</v>
      </c>
      <c r="G146" s="1" t="s">
        <v>1142</v>
      </c>
      <c r="I146" t="str">
        <f>Hoja2!G146</f>
        <v>FEMENINO</v>
      </c>
      <c r="K146" t="str">
        <f t="shared" si="8"/>
        <v>2145,'LICENCIATURA','marlen.rivasmelano','RMM1724','TOMAR DEL SND','RIVAS MELANO MARLEN','PROFESORES','','FEMENINO','','',0,0,'','PROFESOR'</v>
      </c>
      <c r="L146" t="str">
        <f t="shared" si="7"/>
        <v>INSERT INTO participantes (id,nivel,correo,matricula,clave,nombre,carrera,grado,sexo,situacion,evaluados,num_evaluados,total_evaluaciones,ultimo_acceso,nivel_acceso) VALUES (2145,'LICENCIATURA','marlen.rivasmelano','RMM1724','TOMAR DEL SND','RIVAS MELANO MARLEN','PROFESORES','','FEMENINO','','',0,0,'','PROFESOR');</v>
      </c>
    </row>
    <row r="147" spans="1:12" x14ac:dyDescent="0.25">
      <c r="A147">
        <f t="shared" si="9"/>
        <v>2146</v>
      </c>
      <c r="B147" t="s">
        <v>563</v>
      </c>
      <c r="C147" t="str">
        <f>Hoja2!H147</f>
        <v>marthaelia.montañoflores</v>
      </c>
      <c r="D147" t="str">
        <f>Hoja2!E147</f>
        <v>MFM0088</v>
      </c>
      <c r="E147" s="3" t="s">
        <v>1141</v>
      </c>
      <c r="F147" t="str">
        <f>Hoja2!F147</f>
        <v>MONTAÑO FLORES MARTHA ELIA</v>
      </c>
      <c r="G147" s="1" t="s">
        <v>1142</v>
      </c>
      <c r="I147" t="str">
        <f>Hoja2!G147</f>
        <v>FEMENINO</v>
      </c>
      <c r="K147" t="str">
        <f t="shared" si="8"/>
        <v>2146,'LICENCIATURA','marthaelia.montañoflores','MFM0088','TOMAR DEL SND','MONTAÑO FLORES MARTHA ELIA','PROFESORES','','FEMENINO','','',0,0,'','PROFESOR'</v>
      </c>
      <c r="L147" t="str">
        <f t="shared" si="7"/>
        <v>INSERT INTO participantes (id,nivel,correo,matricula,clave,nombre,carrera,grado,sexo,situacion,evaluados,num_evaluados,total_evaluaciones,ultimo_acceso,nivel_acceso) VALUES (2146,'LICENCIATURA','marthaelia.montañoflores','MFM0088','TOMAR DEL SND','MONTAÑO FLORES MARTHA ELIA','PROFESORES','','FEMENINO','','',0,0,'','PROFESOR');</v>
      </c>
    </row>
    <row r="148" spans="1:12" x14ac:dyDescent="0.25">
      <c r="A148">
        <f t="shared" si="9"/>
        <v>2147</v>
      </c>
      <c r="B148" t="s">
        <v>563</v>
      </c>
      <c r="C148" t="str">
        <f>Hoja2!H148</f>
        <v>martin.garciahernandez</v>
      </c>
      <c r="D148" t="str">
        <f>Hoja2!E148</f>
        <v>GHM1198</v>
      </c>
      <c r="E148" s="3" t="s">
        <v>1141</v>
      </c>
      <c r="F148" t="str">
        <f>Hoja2!F148</f>
        <v>GARCIA HERNANDEZ  MARTIN</v>
      </c>
      <c r="G148" s="1" t="s">
        <v>1142</v>
      </c>
      <c r="I148" t="str">
        <f>Hoja2!G148</f>
        <v>MASCULINO</v>
      </c>
      <c r="K148" t="str">
        <f t="shared" si="8"/>
        <v>2147,'LICENCIATURA','martin.garciahernandez','GHM1198','TOMAR DEL SND','GARCIA HERNANDEZ  MARTIN','PROFESORES','','MASCULINO','','',0,0,'','PROFESOR'</v>
      </c>
      <c r="L148" t="str">
        <f t="shared" si="7"/>
        <v>INSERT INTO participantes (id,nivel,correo,matricula,clave,nombre,carrera,grado,sexo,situacion,evaluados,num_evaluados,total_evaluaciones,ultimo_acceso,nivel_acceso) VALUES (2147,'LICENCIATURA','martin.garciahernandez','GHM1198','TOMAR DEL SND','GARCIA HERNANDEZ  MARTIN','PROFESORES','','MASCULINO','','',0,0,'','PROFESOR');</v>
      </c>
    </row>
    <row r="149" spans="1:12" x14ac:dyDescent="0.25">
      <c r="A149">
        <f t="shared" si="9"/>
        <v>2148</v>
      </c>
      <c r="B149" t="s">
        <v>563</v>
      </c>
      <c r="C149" t="str">
        <f>Hoja2!H149</f>
        <v>martindejesus.quinterolopez</v>
      </c>
      <c r="D149" t="str">
        <f>Hoja2!E149</f>
        <v>QLM0846</v>
      </c>
      <c r="E149" s="3" t="s">
        <v>1141</v>
      </c>
      <c r="F149" t="str">
        <f>Hoja2!F149</f>
        <v>QUINTERO LOPEZ MARTIN DE JESUS</v>
      </c>
      <c r="G149" s="1" t="s">
        <v>1142</v>
      </c>
      <c r="I149" t="str">
        <f>Hoja2!G149</f>
        <v>MASCULINO</v>
      </c>
      <c r="K149" t="str">
        <f t="shared" si="8"/>
        <v>2148,'LICENCIATURA','martindejesus.quinterolopez','QLM0846','TOMAR DEL SND','QUINTERO LOPEZ MARTIN DE JESUS','PROFESORES','','MASCULINO','','',0,0,'','PROFESOR'</v>
      </c>
      <c r="L149" t="str">
        <f t="shared" si="7"/>
        <v>INSERT INTO participantes (id,nivel,correo,matricula,clave,nombre,carrera,grado,sexo,situacion,evaluados,num_evaluados,total_evaluaciones,ultimo_acceso,nivel_acceso) VALUES (2148,'LICENCIATURA','martindejesus.quinterolopez','QLM0846','TOMAR DEL SND','QUINTERO LOPEZ MARTIN DE JESUS','PROFESORES','','MASCULINO','','',0,0,'','PROFESOR');</v>
      </c>
    </row>
    <row r="150" spans="1:12" x14ac:dyDescent="0.25">
      <c r="A150">
        <f t="shared" si="9"/>
        <v>2149</v>
      </c>
      <c r="B150" t="s">
        <v>563</v>
      </c>
      <c r="C150" t="str">
        <f>Hoja2!H150</f>
        <v>melissa.delarosaricario</v>
      </c>
      <c r="D150" t="str">
        <f>Hoja2!E150</f>
        <v>DRM1880</v>
      </c>
      <c r="E150" s="3" t="s">
        <v>1141</v>
      </c>
      <c r="F150" t="str">
        <f>Hoja2!F150</f>
        <v>DE LA ROSA RICARIO MELISSA</v>
      </c>
      <c r="G150" s="1" t="s">
        <v>1142</v>
      </c>
      <c r="I150" t="str">
        <f>Hoja2!G150</f>
        <v>FEMENINO</v>
      </c>
      <c r="K150" t="str">
        <f t="shared" si="8"/>
        <v>2149,'LICENCIATURA','melissa.delarosaricario','DRM1880','TOMAR DEL SND','DE LA ROSA RICARIO MELISSA','PROFESORES','','FEMENINO','','',0,0,'','PROFESOR'</v>
      </c>
      <c r="L150" t="str">
        <f t="shared" si="7"/>
        <v>INSERT INTO participantes (id,nivel,correo,matricula,clave,nombre,carrera,grado,sexo,situacion,evaluados,num_evaluados,total_evaluaciones,ultimo_acceso,nivel_acceso) VALUES (2149,'LICENCIATURA','melissa.delarosaricario','DRM1880','TOMAR DEL SND','DE LA ROSA RICARIO MELISSA','PROFESORES','','FEMENINO','','',0,0,'','PROFESOR');</v>
      </c>
    </row>
    <row r="151" spans="1:12" x14ac:dyDescent="0.25">
      <c r="A151">
        <f t="shared" si="9"/>
        <v>2150</v>
      </c>
      <c r="B151" t="s">
        <v>563</v>
      </c>
      <c r="C151" t="str">
        <f>Hoja2!H151</f>
        <v>mercedes.perezortiz</v>
      </c>
      <c r="D151" t="str">
        <f>Hoja2!E151</f>
        <v>POM0707</v>
      </c>
      <c r="E151" s="3" t="s">
        <v>1141</v>
      </c>
      <c r="F151" t="str">
        <f>Hoja2!F151</f>
        <v>PEREZ ORTIZ MERCEDES</v>
      </c>
      <c r="G151" s="1" t="s">
        <v>1142</v>
      </c>
      <c r="I151" t="str">
        <f>Hoja2!G151</f>
        <v>FEMENINO</v>
      </c>
      <c r="K151" t="str">
        <f t="shared" si="8"/>
        <v>2150,'LICENCIATURA','mercedes.perezortiz','POM0707','TOMAR DEL SND','PEREZ ORTIZ MERCEDES','PROFESORES','','FEMENINO','','',0,0,'','PROFESOR'</v>
      </c>
      <c r="L151" t="str">
        <f t="shared" si="7"/>
        <v>INSERT INTO participantes (id,nivel,correo,matricula,clave,nombre,carrera,grado,sexo,situacion,evaluados,num_evaluados,total_evaluaciones,ultimo_acceso,nivel_acceso) VALUES (2150,'LICENCIATURA','mercedes.perezortiz','POM0707','TOMAR DEL SND','PEREZ ORTIZ MERCEDES','PROFESORES','','FEMENINO','','',0,0,'','PROFESOR');</v>
      </c>
    </row>
    <row r="152" spans="1:12" x14ac:dyDescent="0.25">
      <c r="A152">
        <f t="shared" si="9"/>
        <v>2151</v>
      </c>
      <c r="B152" t="s">
        <v>563</v>
      </c>
      <c r="C152" t="str">
        <f>Hoja2!H152</f>
        <v>michel.kochtorresseptien</v>
      </c>
      <c r="D152" t="str">
        <f>Hoja2!E152</f>
        <v>KTM1805</v>
      </c>
      <c r="E152" s="3" t="s">
        <v>1141</v>
      </c>
      <c r="F152" t="str">
        <f>Hoja2!F152</f>
        <v>KOCH TORRES SEPTIEN MICHEL</v>
      </c>
      <c r="G152" s="1" t="s">
        <v>1142</v>
      </c>
      <c r="I152" t="str">
        <f>Hoja2!G152</f>
        <v>FEMENINO</v>
      </c>
      <c r="K152" t="str">
        <f t="shared" si="8"/>
        <v>2151,'LICENCIATURA','michel.kochtorresseptien','KTM1805','TOMAR DEL SND','KOCH TORRES SEPTIEN MICHEL','PROFESORES','','FEMENINO','','',0,0,'','PROFESOR'</v>
      </c>
      <c r="L152" t="str">
        <f t="shared" si="7"/>
        <v>INSERT INTO participantes (id,nivel,correo,matricula,clave,nombre,carrera,grado,sexo,situacion,evaluados,num_evaluados,total_evaluaciones,ultimo_acceso,nivel_acceso) VALUES (2151,'LICENCIATURA','michel.kochtorresseptien','KTM1805','TOMAR DEL SND','KOCH TORRES SEPTIEN MICHEL','PROFESORES','','FEMENINO','','',0,0,'','PROFESOR');</v>
      </c>
    </row>
    <row r="153" spans="1:12" x14ac:dyDescent="0.25">
      <c r="A153">
        <f t="shared" si="9"/>
        <v>2152</v>
      </c>
      <c r="B153" t="s">
        <v>563</v>
      </c>
      <c r="C153" t="str">
        <f>Hoja2!H153</f>
        <v>miguelangel.contrerasmontaño</v>
      </c>
      <c r="D153" t="str">
        <f>Hoja2!E153</f>
        <v>CMM1867</v>
      </c>
      <c r="E153" s="3" t="s">
        <v>1141</v>
      </c>
      <c r="F153" t="str">
        <f>Hoja2!F153</f>
        <v>CONTRERAS MONTAÑO MIGUEL ANGEL</v>
      </c>
      <c r="G153" s="1" t="s">
        <v>1142</v>
      </c>
      <c r="I153" t="str">
        <f>Hoja2!G153</f>
        <v>MASCULINO</v>
      </c>
      <c r="K153" t="str">
        <f t="shared" si="8"/>
        <v>2152,'LICENCIATURA','miguelangel.contrerasmontaño','CMM1867','TOMAR DEL SND','CONTRERAS MONTAÑO MIGUEL ANGEL','PROFESORES','','MASCULINO','','',0,0,'','PROFESOR'</v>
      </c>
      <c r="L153" t="str">
        <f t="shared" si="7"/>
        <v>INSERT INTO participantes (id,nivel,correo,matricula,clave,nombre,carrera,grado,sexo,situacion,evaluados,num_evaluados,total_evaluaciones,ultimo_acceso,nivel_acceso) VALUES (2152,'LICENCIATURA','miguelangel.contrerasmontaño','CMM1867','TOMAR DEL SND','CONTRERAS MONTAÑO MIGUEL ANGEL','PROFESORES','','MASCULINO','','',0,0,'','PROFESOR');</v>
      </c>
    </row>
    <row r="154" spans="1:12" x14ac:dyDescent="0.25">
      <c r="A154">
        <f t="shared" si="9"/>
        <v>2153</v>
      </c>
      <c r="B154" t="s">
        <v>563</v>
      </c>
      <c r="C154" t="str">
        <f>Hoja2!H154</f>
        <v>miguelangel.escarcegagarciadeleon</v>
      </c>
      <c r="D154" t="str">
        <f>Hoja2!E154</f>
        <v>EGM1892</v>
      </c>
      <c r="E154" s="3" t="s">
        <v>1141</v>
      </c>
      <c r="F154" t="str">
        <f>Hoja2!F154</f>
        <v>ESCARCEGA GARCIA DE LEON MIGUEL ANGEL</v>
      </c>
      <c r="G154" s="1" t="s">
        <v>1142</v>
      </c>
      <c r="I154" t="str">
        <f>Hoja2!G154</f>
        <v>MASCULINO</v>
      </c>
      <c r="K154" t="str">
        <f t="shared" si="8"/>
        <v>2153,'LICENCIATURA','miguelangel.escarcegagarciadeleon','EGM1892','TOMAR DEL SND','ESCARCEGA GARCIA DE LEON MIGUEL ANGEL','PROFESORES','','MASCULINO','','',0,0,'','PROFESOR'</v>
      </c>
      <c r="L154" t="str">
        <f t="shared" si="7"/>
        <v>INSERT INTO participantes (id,nivel,correo,matricula,clave,nombre,carrera,grado,sexo,situacion,evaluados,num_evaluados,total_evaluaciones,ultimo_acceso,nivel_acceso) VALUES (2153,'LICENCIATURA','miguelangel.escarcegagarciadeleon','EGM1892','TOMAR DEL SND','ESCARCEGA GARCIA DE LEON MIGUEL ANGEL','PROFESORES','','MASCULINO','','',0,0,'','PROFESOR');</v>
      </c>
    </row>
    <row r="155" spans="1:12" x14ac:dyDescent="0.25">
      <c r="A155">
        <f t="shared" si="9"/>
        <v>2154</v>
      </c>
      <c r="B155" t="s">
        <v>563</v>
      </c>
      <c r="C155" t="str">
        <f>Hoja2!H155</f>
        <v>monica.gilcastellano</v>
      </c>
      <c r="D155" t="str">
        <f>Hoja2!E155</f>
        <v>GCM1278</v>
      </c>
      <c r="E155" s="3" t="s">
        <v>1141</v>
      </c>
      <c r="F155" t="str">
        <f>Hoja2!F155</f>
        <v>GIL CASTELLANO MONICA</v>
      </c>
      <c r="G155" s="1" t="s">
        <v>1142</v>
      </c>
      <c r="I155" t="str">
        <f>Hoja2!G155</f>
        <v>FEMENINO</v>
      </c>
      <c r="K155" t="str">
        <f t="shared" si="8"/>
        <v>2154,'LICENCIATURA','monica.gilcastellano','GCM1278','TOMAR DEL SND','GIL CASTELLANO MONICA','PROFESORES','','FEMENINO','','',0,0,'','PROFESOR'</v>
      </c>
      <c r="L155" t="str">
        <f t="shared" si="7"/>
        <v>INSERT INTO participantes (id,nivel,correo,matricula,clave,nombre,carrera,grado,sexo,situacion,evaluados,num_evaluados,total_evaluaciones,ultimo_acceso,nivel_acceso) VALUES (2154,'LICENCIATURA','monica.gilcastellano','GCM1278','TOMAR DEL SND','GIL CASTELLANO MONICA','PROFESORES','','FEMENINO','','',0,0,'','PROFESOR');</v>
      </c>
    </row>
    <row r="156" spans="1:12" x14ac:dyDescent="0.25">
      <c r="A156">
        <f t="shared" si="9"/>
        <v>2155</v>
      </c>
      <c r="B156" t="s">
        <v>563</v>
      </c>
      <c r="C156" t="str">
        <f>Hoja2!H156</f>
        <v>monicadaniela.casillasmora</v>
      </c>
      <c r="D156" t="str">
        <f>Hoja2!E156</f>
        <v>CMM1873</v>
      </c>
      <c r="E156" s="3" t="s">
        <v>1141</v>
      </c>
      <c r="F156" t="str">
        <f>Hoja2!F156</f>
        <v>CASILLAS MORA MONICA DANIELA</v>
      </c>
      <c r="G156" s="1" t="s">
        <v>1142</v>
      </c>
      <c r="I156" t="str">
        <f>Hoja2!G156</f>
        <v>FEMENINO</v>
      </c>
      <c r="K156" t="str">
        <f t="shared" si="8"/>
        <v>2155,'LICENCIATURA','monicadaniela.casillasmora','CMM1873','TOMAR DEL SND','CASILLAS MORA MONICA DANIELA','PROFESORES','','FEMENINO','','',0,0,'','PROFESOR'</v>
      </c>
      <c r="L156" t="str">
        <f t="shared" si="7"/>
        <v>INSERT INTO participantes (id,nivel,correo,matricula,clave,nombre,carrera,grado,sexo,situacion,evaluados,num_evaluados,total_evaluaciones,ultimo_acceso,nivel_acceso) VALUES (2155,'LICENCIATURA','monicadaniela.casillasmora','CMM1873','TOMAR DEL SND','CASILLAS MORA MONICA DANIELA','PROFESORES','','FEMENINO','','',0,0,'','PROFESOR');</v>
      </c>
    </row>
    <row r="157" spans="1:12" x14ac:dyDescent="0.25">
      <c r="A157">
        <f t="shared" si="9"/>
        <v>2156</v>
      </c>
      <c r="B157" t="s">
        <v>563</v>
      </c>
      <c r="C157" t="str">
        <f>Hoja2!H157</f>
        <v>monserratmarlem.perezcamacho</v>
      </c>
      <c r="D157" t="str">
        <f>Hoja2!E157</f>
        <v>PCM1848</v>
      </c>
      <c r="E157" s="3" t="s">
        <v>1141</v>
      </c>
      <c r="F157" t="str">
        <f>Hoja2!F157</f>
        <v>PEREZ CAMACHO MONSERRAT MARLEM</v>
      </c>
      <c r="G157" s="1" t="s">
        <v>1142</v>
      </c>
      <c r="I157" t="str">
        <f>Hoja2!G157</f>
        <v>FEMENINO</v>
      </c>
      <c r="K157" t="str">
        <f t="shared" si="8"/>
        <v>2156,'LICENCIATURA','monserratmarlem.perezcamacho','PCM1848','TOMAR DEL SND','PEREZ CAMACHO MONSERRAT MARLEM','PROFESORES','','FEMENINO','','',0,0,'','PROFESOR'</v>
      </c>
      <c r="L157" t="str">
        <f t="shared" si="7"/>
        <v>INSERT INTO participantes (id,nivel,correo,matricula,clave,nombre,carrera,grado,sexo,situacion,evaluados,num_evaluados,total_evaluaciones,ultimo_acceso,nivel_acceso) VALUES (2156,'LICENCIATURA','monserratmarlem.perezcamacho','PCM1848','TOMAR DEL SND','PEREZ CAMACHO MONSERRAT MARLEM','PROFESORES','','FEMENINO','','',0,0,'','PROFESOR');</v>
      </c>
    </row>
    <row r="158" spans="1:12" x14ac:dyDescent="0.25">
      <c r="A158">
        <f t="shared" si="9"/>
        <v>2157</v>
      </c>
      <c r="B158" t="s">
        <v>563</v>
      </c>
      <c r="C158" t="str">
        <f>Hoja2!H158</f>
        <v>montserratfabiola.ramosrenteria</v>
      </c>
      <c r="D158" t="str">
        <f>Hoja2!E158</f>
        <v>RRM1422</v>
      </c>
      <c r="E158" s="3" t="s">
        <v>1141</v>
      </c>
      <c r="F158" t="str">
        <f>Hoja2!F158</f>
        <v>RAMOS RENTERIA MONTSERRAT FABIOLA</v>
      </c>
      <c r="G158" s="1" t="s">
        <v>1142</v>
      </c>
      <c r="I158" t="str">
        <f>Hoja2!G158</f>
        <v>FEMENINO</v>
      </c>
      <c r="K158" t="str">
        <f t="shared" si="8"/>
        <v>2157,'LICENCIATURA','montserratfabiola.ramosrenteria','RRM1422','TOMAR DEL SND','RAMOS RENTERIA MONTSERRAT FABIOLA','PROFESORES','','FEMENINO','','',0,0,'','PROFESOR'</v>
      </c>
      <c r="L158" t="str">
        <f t="shared" si="7"/>
        <v>INSERT INTO participantes (id,nivel,correo,matricula,clave,nombre,carrera,grado,sexo,situacion,evaluados,num_evaluados,total_evaluaciones,ultimo_acceso,nivel_acceso) VALUES (2157,'LICENCIATURA','montserratfabiola.ramosrenteria','RRM1422','TOMAR DEL SND','RAMOS RENTERIA MONTSERRAT FABIOLA','PROFESORES','','FEMENINO','','',0,0,'','PROFESOR');</v>
      </c>
    </row>
    <row r="159" spans="1:12" x14ac:dyDescent="0.25">
      <c r="A159">
        <f t="shared" si="9"/>
        <v>2158</v>
      </c>
      <c r="B159" t="s">
        <v>563</v>
      </c>
      <c r="C159" t="str">
        <f>Hoja2!H159</f>
        <v>myriamdelcarmen.ontiverosmurguia</v>
      </c>
      <c r="D159" t="str">
        <f>Hoja2!E159</f>
        <v>OMM1889</v>
      </c>
      <c r="E159" s="3" t="s">
        <v>1141</v>
      </c>
      <c r="F159" t="str">
        <f>Hoja2!F159</f>
        <v>ONTIVEROS MURGUIA MYRIAM DEL CARMEN</v>
      </c>
      <c r="G159" s="1" t="s">
        <v>1142</v>
      </c>
      <c r="I159" t="str">
        <f>Hoja2!G159</f>
        <v>FEMENINO</v>
      </c>
      <c r="K159" t="str">
        <f t="shared" si="8"/>
        <v>2158,'LICENCIATURA','myriamdelcarmen.ontiverosmurguia','OMM1889','TOMAR DEL SND','ONTIVEROS MURGUIA MYRIAM DEL CARMEN','PROFESORES','','FEMENINO','','',0,0,'','PROFESOR'</v>
      </c>
      <c r="L159" t="str">
        <f t="shared" si="7"/>
        <v>INSERT INTO participantes (id,nivel,correo,matricula,clave,nombre,carrera,grado,sexo,situacion,evaluados,num_evaluados,total_evaluaciones,ultimo_acceso,nivel_acceso) VALUES (2158,'LICENCIATURA','myriamdelcarmen.ontiverosmurguia','OMM1889','TOMAR DEL SND','ONTIVEROS MURGUIA MYRIAM DEL CARMEN','PROFESORES','','FEMENINO','','',0,0,'','PROFESOR');</v>
      </c>
    </row>
    <row r="160" spans="1:12" x14ac:dyDescent="0.25">
      <c r="A160">
        <f t="shared" si="9"/>
        <v>2159</v>
      </c>
      <c r="B160" t="s">
        <v>563</v>
      </c>
      <c r="C160" t="str">
        <f>Hoja2!H160</f>
        <v>nancy.medinavelazquez</v>
      </c>
      <c r="D160" t="str">
        <f>Hoja2!E160</f>
        <v>MVN1938</v>
      </c>
      <c r="E160" s="3" t="s">
        <v>1141</v>
      </c>
      <c r="F160" t="str">
        <f>Hoja2!F160</f>
        <v>MEDINA VELAZQUEZ NANCY</v>
      </c>
      <c r="G160" s="1" t="s">
        <v>1142</v>
      </c>
      <c r="I160" t="str">
        <f>Hoja2!G160</f>
        <v>FEMENINO</v>
      </c>
      <c r="K160" t="str">
        <f t="shared" si="8"/>
        <v>2159,'LICENCIATURA','nancy.medinavelazquez','MVN1938','TOMAR DEL SND','MEDINA VELAZQUEZ NANCY','PROFESORES','','FEMENINO','','',0,0,'','PROFESOR'</v>
      </c>
      <c r="L160" t="str">
        <f t="shared" si="7"/>
        <v>INSERT INTO participantes (id,nivel,correo,matricula,clave,nombre,carrera,grado,sexo,situacion,evaluados,num_evaluados,total_evaluaciones,ultimo_acceso,nivel_acceso) VALUES (2159,'LICENCIATURA','nancy.medinavelazquez','MVN1938','TOMAR DEL SND','MEDINA VELAZQUEZ NANCY','PROFESORES','','FEMENINO','','',0,0,'','PROFESOR');</v>
      </c>
    </row>
    <row r="161" spans="1:12" x14ac:dyDescent="0.25">
      <c r="A161">
        <f t="shared" si="9"/>
        <v>2160</v>
      </c>
      <c r="B161" t="s">
        <v>563</v>
      </c>
      <c r="C161" t="str">
        <f>Hoja2!H161</f>
        <v>nicole.hernandezgonzalezbarcena</v>
      </c>
      <c r="D161" t="str">
        <f>Hoja2!E161</f>
        <v>HBN1668</v>
      </c>
      <c r="E161" s="3" t="s">
        <v>1141</v>
      </c>
      <c r="F161" t="str">
        <f>Hoja2!F161</f>
        <v>HERNANDEZ GONZALEZ BARCENA NICOLE</v>
      </c>
      <c r="G161" s="1" t="s">
        <v>1142</v>
      </c>
      <c r="I161" t="str">
        <f>Hoja2!G161</f>
        <v>FEMENINO</v>
      </c>
      <c r="K161" t="str">
        <f t="shared" si="8"/>
        <v>2160,'LICENCIATURA','nicole.hernandezgonzalezbarcena','HBN1668','TOMAR DEL SND','HERNANDEZ GONZALEZ BARCENA NICOLE','PROFESORES','','FEMENINO','','',0,0,'','PROFESOR'</v>
      </c>
      <c r="L161" t="str">
        <f t="shared" si="7"/>
        <v>INSERT INTO participantes (id,nivel,correo,matricula,clave,nombre,carrera,grado,sexo,situacion,evaluados,num_evaluados,total_evaluaciones,ultimo_acceso,nivel_acceso) VALUES (2160,'LICENCIATURA','nicole.hernandezgonzalezbarcena','HBN1668','TOMAR DEL SND','HERNANDEZ GONZALEZ BARCENA NICOLE','PROFESORES','','FEMENINO','','',0,0,'','PROFESOR');</v>
      </c>
    </row>
    <row r="162" spans="1:12" x14ac:dyDescent="0.25">
      <c r="A162">
        <f t="shared" si="9"/>
        <v>2161</v>
      </c>
      <c r="B162" t="s">
        <v>563</v>
      </c>
      <c r="C162" t="str">
        <f>Hoja2!H162</f>
        <v>nydia.espinocampos</v>
      </c>
      <c r="D162" t="str">
        <f>Hoja2!E162</f>
        <v>ECN0993</v>
      </c>
      <c r="E162" s="3" t="s">
        <v>1141</v>
      </c>
      <c r="F162" t="str">
        <f>Hoja2!F162</f>
        <v>ESPINO CAMPOS NYDIA</v>
      </c>
      <c r="G162" s="1" t="s">
        <v>1142</v>
      </c>
      <c r="I162" t="str">
        <f>Hoja2!G162</f>
        <v>FEMENINO</v>
      </c>
      <c r="K162" t="str">
        <f t="shared" si="8"/>
        <v>2161,'LICENCIATURA','nydia.espinocampos','ECN0993','TOMAR DEL SND','ESPINO CAMPOS NYDIA','PROFESORES','','FEMENINO','','',0,0,'','PROFESOR'</v>
      </c>
      <c r="L162" t="str">
        <f t="shared" si="7"/>
        <v>INSERT INTO participantes (id,nivel,correo,matricula,clave,nombre,carrera,grado,sexo,situacion,evaluados,num_evaluados,total_evaluaciones,ultimo_acceso,nivel_acceso) VALUES (2161,'LICENCIATURA','nydia.espinocampos','ECN0993','TOMAR DEL SND','ESPINO CAMPOS NYDIA','PROFESORES','','FEMENINO','','',0,0,'','PROFESOR');</v>
      </c>
    </row>
    <row r="163" spans="1:12" x14ac:dyDescent="0.25">
      <c r="A163">
        <f t="shared" si="9"/>
        <v>2162</v>
      </c>
      <c r="B163" t="s">
        <v>563</v>
      </c>
      <c r="C163" t="str">
        <f>Hoja2!H163</f>
        <v>paulette.jaramillomartinez</v>
      </c>
      <c r="D163" t="str">
        <f>Hoja2!E163</f>
        <v>JMP1912</v>
      </c>
      <c r="E163" s="3" t="s">
        <v>1141</v>
      </c>
      <c r="F163" t="str">
        <f>Hoja2!F163</f>
        <v>JARAMILLO MARTINEZ PAULETTE</v>
      </c>
      <c r="G163" s="1" t="s">
        <v>1142</v>
      </c>
      <c r="I163" t="str">
        <f>Hoja2!G163</f>
        <v>FEMENINO</v>
      </c>
      <c r="K163" t="str">
        <f t="shared" si="8"/>
        <v>2162,'LICENCIATURA','paulette.jaramillomartinez','JMP1912','TOMAR DEL SND','JARAMILLO MARTINEZ PAULETTE','PROFESORES','','FEMENINO','','',0,0,'','PROFESOR'</v>
      </c>
      <c r="L163" t="str">
        <f t="shared" si="7"/>
        <v>INSERT INTO participantes (id,nivel,correo,matricula,clave,nombre,carrera,grado,sexo,situacion,evaluados,num_evaluados,total_evaluaciones,ultimo_acceso,nivel_acceso) VALUES (2162,'LICENCIATURA','paulette.jaramillomartinez','JMP1912','TOMAR DEL SND','JARAMILLO MARTINEZ PAULETTE','PROFESORES','','FEMENINO','','',0,0,'','PROFESOR');</v>
      </c>
    </row>
    <row r="164" spans="1:12" x14ac:dyDescent="0.25">
      <c r="A164">
        <f t="shared" si="9"/>
        <v>2163</v>
      </c>
      <c r="B164" t="s">
        <v>563</v>
      </c>
      <c r="C164" t="str">
        <f>Hoja2!H164</f>
        <v>pedroalberto.castillonuñez</v>
      </c>
      <c r="D164" t="str">
        <f>Hoja2!E164</f>
        <v>CNP1815</v>
      </c>
      <c r="E164" s="3" t="s">
        <v>1141</v>
      </c>
      <c r="F164" t="str">
        <f>Hoja2!F164</f>
        <v>CASTILLO NUÑEZ PEDRO ALBERTO</v>
      </c>
      <c r="G164" s="1" t="s">
        <v>1142</v>
      </c>
      <c r="I164" t="str">
        <f>Hoja2!G164</f>
        <v>MASCULINO</v>
      </c>
      <c r="K164" t="str">
        <f t="shared" si="8"/>
        <v>2163,'LICENCIATURA','pedroalberto.castillonuñez','CNP1815','TOMAR DEL SND','CASTILLO NUÑEZ PEDRO ALBERTO','PROFESORES','','MASCULINO','','',0,0,'','PROFESOR'</v>
      </c>
      <c r="L164" t="str">
        <f t="shared" si="7"/>
        <v>INSERT INTO participantes (id,nivel,correo,matricula,clave,nombre,carrera,grado,sexo,situacion,evaluados,num_evaluados,total_evaluaciones,ultimo_acceso,nivel_acceso) VALUES (2163,'LICENCIATURA','pedroalberto.castillonuñez','CNP1815','TOMAR DEL SND','CASTILLO NUÑEZ PEDRO ALBERTO','PROFESORES','','MASCULINO','','',0,0,'','PROFESOR');</v>
      </c>
    </row>
    <row r="165" spans="1:12" x14ac:dyDescent="0.25">
      <c r="A165">
        <f t="shared" si="9"/>
        <v>2164</v>
      </c>
      <c r="B165" t="s">
        <v>563</v>
      </c>
      <c r="C165" t="str">
        <f>Hoja2!H165</f>
        <v>pedroomar.melendezpiña</v>
      </c>
      <c r="D165" t="str">
        <f>Hoja2!E165</f>
        <v>MPP1935</v>
      </c>
      <c r="E165" s="3" t="s">
        <v>1141</v>
      </c>
      <c r="F165" t="str">
        <f>Hoja2!F165</f>
        <v>MELENDEZ PIÑA PEDRO OMAR</v>
      </c>
      <c r="G165" s="1" t="s">
        <v>1142</v>
      </c>
      <c r="I165" t="str">
        <f>Hoja2!G165</f>
        <v>MASCULINO</v>
      </c>
      <c r="K165" t="str">
        <f t="shared" si="8"/>
        <v>2164,'LICENCIATURA','pedroomar.melendezpiña','MPP1935','TOMAR DEL SND','MELENDEZ PIÑA PEDRO OMAR','PROFESORES','','MASCULINO','','',0,0,'','PROFESOR'</v>
      </c>
      <c r="L165" t="str">
        <f t="shared" si="7"/>
        <v>INSERT INTO participantes (id,nivel,correo,matricula,clave,nombre,carrera,grado,sexo,situacion,evaluados,num_evaluados,total_evaluaciones,ultimo_acceso,nivel_acceso) VALUES (2164,'LICENCIATURA','pedroomar.melendezpiña','MPP1935','TOMAR DEL SND','MELENDEZ PIÑA PEDRO OMAR','PROFESORES','','MASCULINO','','',0,0,'','PROFESOR');</v>
      </c>
    </row>
    <row r="166" spans="1:12" x14ac:dyDescent="0.25">
      <c r="A166">
        <f t="shared" si="9"/>
        <v>2165</v>
      </c>
      <c r="B166" t="s">
        <v>563</v>
      </c>
      <c r="C166" t="str">
        <f>Hoja2!H166</f>
        <v>rafaeldejesus.anguianosuarezdelreal</v>
      </c>
      <c r="D166" t="str">
        <f>Hoja2!E166</f>
        <v>ASR1799</v>
      </c>
      <c r="E166" s="3" t="s">
        <v>1141</v>
      </c>
      <c r="F166" t="str">
        <f>Hoja2!F166</f>
        <v>ANGUIANO SUAREZ DEL REAL RAFAEL DE JESUS</v>
      </c>
      <c r="G166" s="1" t="s">
        <v>1142</v>
      </c>
      <c r="I166" t="str">
        <f>Hoja2!G166</f>
        <v>MASCULINO</v>
      </c>
      <c r="K166" t="str">
        <f t="shared" si="8"/>
        <v>2165,'LICENCIATURA','rafaeldejesus.anguianosuarezdelreal','ASR1799','TOMAR DEL SND','ANGUIANO SUAREZ DEL REAL RAFAEL DE JESUS','PROFESORES','','MASCULINO','','',0,0,'','PROFESOR'</v>
      </c>
      <c r="L166" t="str">
        <f t="shared" si="7"/>
        <v>INSERT INTO participantes (id,nivel,correo,matricula,clave,nombre,carrera,grado,sexo,situacion,evaluados,num_evaluados,total_evaluaciones,ultimo_acceso,nivel_acceso) VALUES (2165,'LICENCIATURA','rafaeldejesus.anguianosuarezdelreal','ASR1799','TOMAR DEL SND','ANGUIANO SUAREZ DEL REAL RAFAEL DE JESUS','PROFESORES','','MASCULINO','','',0,0,'','PROFESOR');</v>
      </c>
    </row>
    <row r="167" spans="1:12" x14ac:dyDescent="0.25">
      <c r="A167">
        <f t="shared" si="9"/>
        <v>2166</v>
      </c>
      <c r="B167" t="s">
        <v>563</v>
      </c>
      <c r="C167" t="str">
        <f>Hoja2!H167</f>
        <v>raquelabigail.abreutejeda</v>
      </c>
      <c r="D167" t="str">
        <f>Hoja2!E167</f>
        <v>ATR1755</v>
      </c>
      <c r="E167" s="3" t="s">
        <v>1141</v>
      </c>
      <c r="F167" t="str">
        <f>Hoja2!F167</f>
        <v>ABREU TEJEDA RAQUEL ABIGAIL</v>
      </c>
      <c r="G167" s="1" t="s">
        <v>1142</v>
      </c>
      <c r="I167" t="str">
        <f>Hoja2!G167</f>
        <v>FEMENINO</v>
      </c>
      <c r="K167" t="str">
        <f t="shared" si="8"/>
        <v>2166,'LICENCIATURA','raquelabigail.abreutejeda','ATR1755','TOMAR DEL SND','ABREU TEJEDA RAQUEL ABIGAIL','PROFESORES','','FEMENINO','','',0,0,'','PROFESOR'</v>
      </c>
      <c r="L167" t="str">
        <f t="shared" si="7"/>
        <v>INSERT INTO participantes (id,nivel,correo,matricula,clave,nombre,carrera,grado,sexo,situacion,evaluados,num_evaluados,total_evaluaciones,ultimo_acceso,nivel_acceso) VALUES (2166,'LICENCIATURA','raquelabigail.abreutejeda','ATR1755','TOMAR DEL SND','ABREU TEJEDA RAQUEL ABIGAIL','PROFESORES','','FEMENINO','','',0,0,'','PROFESOR');</v>
      </c>
    </row>
    <row r="168" spans="1:12" x14ac:dyDescent="0.25">
      <c r="A168">
        <f t="shared" si="9"/>
        <v>2167</v>
      </c>
      <c r="B168" t="s">
        <v>563</v>
      </c>
      <c r="C168" t="str">
        <f>Hoja2!H168</f>
        <v>raulenrique.espejelvargas</v>
      </c>
      <c r="D168" t="str">
        <f>Hoja2!E168</f>
        <v>EVR1642</v>
      </c>
      <c r="E168" s="3" t="s">
        <v>1141</v>
      </c>
      <c r="F168" t="str">
        <f>Hoja2!F168</f>
        <v>ESPEJEL VARGAS RAUL ENRIQUE</v>
      </c>
      <c r="G168" s="1" t="s">
        <v>1142</v>
      </c>
      <c r="I168" t="str">
        <f>Hoja2!G168</f>
        <v>MASCULINO</v>
      </c>
      <c r="K168" t="str">
        <f t="shared" si="8"/>
        <v>2167,'LICENCIATURA','raulenrique.espejelvargas','EVR1642','TOMAR DEL SND','ESPEJEL VARGAS RAUL ENRIQUE','PROFESORES','','MASCULINO','','',0,0,'','PROFESOR'</v>
      </c>
      <c r="L168" t="str">
        <f t="shared" si="7"/>
        <v>INSERT INTO participantes (id,nivel,correo,matricula,clave,nombre,carrera,grado,sexo,situacion,evaluados,num_evaluados,total_evaluaciones,ultimo_acceso,nivel_acceso) VALUES (2167,'LICENCIATURA','raulenrique.espejelvargas','EVR1642','TOMAR DEL SND','ESPEJEL VARGAS RAUL ENRIQUE','PROFESORES','','MASCULINO','','',0,0,'','PROFESOR');</v>
      </c>
    </row>
    <row r="169" spans="1:12" x14ac:dyDescent="0.25">
      <c r="A169">
        <f t="shared" si="9"/>
        <v>2168</v>
      </c>
      <c r="B169" t="s">
        <v>563</v>
      </c>
      <c r="C169" t="str">
        <f>Hoja2!H169</f>
        <v>ricardoabraham.candelariomedina</v>
      </c>
      <c r="D169" t="str">
        <f>Hoja2!E169</f>
        <v>CMR1943</v>
      </c>
      <c r="E169" s="3" t="s">
        <v>1141</v>
      </c>
      <c r="F169" t="str">
        <f>Hoja2!F169</f>
        <v>CANDELARIO MEDINA RICARDO ABRAHAM</v>
      </c>
      <c r="G169" s="1" t="s">
        <v>1142</v>
      </c>
      <c r="I169" t="str">
        <f>Hoja2!G169</f>
        <v>MASCULINO</v>
      </c>
      <c r="K169" t="str">
        <f t="shared" si="8"/>
        <v>2168,'LICENCIATURA','ricardoabraham.candelariomedina','CMR1943','TOMAR DEL SND','CANDELARIO MEDINA RICARDO ABRAHAM','PROFESORES','','MASCULINO','','',0,0,'','PROFESOR'</v>
      </c>
      <c r="L169" t="str">
        <f t="shared" si="7"/>
        <v>INSERT INTO participantes (id,nivel,correo,matricula,clave,nombre,carrera,grado,sexo,situacion,evaluados,num_evaluados,total_evaluaciones,ultimo_acceso,nivel_acceso) VALUES (2168,'LICENCIATURA','ricardoabraham.candelariomedina','CMR1943','TOMAR DEL SND','CANDELARIO MEDINA RICARDO ABRAHAM','PROFESORES','','MASCULINO','','',0,0,'','PROFESOR');</v>
      </c>
    </row>
    <row r="170" spans="1:12" x14ac:dyDescent="0.25">
      <c r="A170">
        <f t="shared" si="9"/>
        <v>2169</v>
      </c>
      <c r="B170" t="s">
        <v>563</v>
      </c>
      <c r="C170" t="str">
        <f>Hoja2!H170</f>
        <v>ricardoignacio.baezamontiel</v>
      </c>
      <c r="D170" t="str">
        <f>Hoja2!E170</f>
        <v>BMR1221</v>
      </c>
      <c r="E170" s="3" t="s">
        <v>1141</v>
      </c>
      <c r="F170" t="str">
        <f>Hoja2!F170</f>
        <v>BAEZA MONTIEL RICARDO IGNACIO</v>
      </c>
      <c r="G170" s="1" t="s">
        <v>1142</v>
      </c>
      <c r="I170" t="str">
        <f>Hoja2!G170</f>
        <v>MASCULINO</v>
      </c>
      <c r="K170" t="str">
        <f t="shared" si="8"/>
        <v>2169,'LICENCIATURA','ricardoignacio.baezamontiel','BMR1221','TOMAR DEL SND','BAEZA MONTIEL RICARDO IGNACIO','PROFESORES','','MASCULINO','','',0,0,'','PROFESOR'</v>
      </c>
      <c r="L170" t="str">
        <f t="shared" si="7"/>
        <v>INSERT INTO participantes (id,nivel,correo,matricula,clave,nombre,carrera,grado,sexo,situacion,evaluados,num_evaluados,total_evaluaciones,ultimo_acceso,nivel_acceso) VALUES (2169,'LICENCIATURA','ricardoignacio.baezamontiel','BMR1221','TOMAR DEL SND','BAEZA MONTIEL RICARDO IGNACIO','PROFESORES','','MASCULINO','','',0,0,'','PROFESOR');</v>
      </c>
    </row>
    <row r="171" spans="1:12" x14ac:dyDescent="0.25">
      <c r="A171">
        <f t="shared" si="9"/>
        <v>2170</v>
      </c>
      <c r="B171" t="s">
        <v>563</v>
      </c>
      <c r="C171" t="str">
        <f>Hoja2!H171</f>
        <v>rodrigo.peñacamacho</v>
      </c>
      <c r="D171" t="str">
        <f>Hoja2!E171</f>
        <v>PCR0609</v>
      </c>
      <c r="E171" s="3" t="s">
        <v>1141</v>
      </c>
      <c r="F171" t="str">
        <f>Hoja2!F171</f>
        <v>PEÑA CAMACHO RODRIGO</v>
      </c>
      <c r="G171" s="1" t="s">
        <v>1142</v>
      </c>
      <c r="I171" t="str">
        <f>Hoja2!G171</f>
        <v>MASCULINO</v>
      </c>
      <c r="K171" t="str">
        <f t="shared" si="8"/>
        <v>2170,'LICENCIATURA','rodrigo.peñacamacho','PCR0609','TOMAR DEL SND','PEÑA CAMACHO RODRIGO','PROFESORES','','MASCULINO','','',0,0,'','PROFESOR'</v>
      </c>
      <c r="L171" t="str">
        <f t="shared" si="7"/>
        <v>INSERT INTO participantes (id,nivel,correo,matricula,clave,nombre,carrera,grado,sexo,situacion,evaluados,num_evaluados,total_evaluaciones,ultimo_acceso,nivel_acceso) VALUES (2170,'LICENCIATURA','rodrigo.peñacamacho','PCR0609','TOMAR DEL SND','PEÑA CAMACHO RODRIGO','PROFESORES','','MASCULINO','','',0,0,'','PROFESOR');</v>
      </c>
    </row>
    <row r="172" spans="1:12" x14ac:dyDescent="0.25">
      <c r="A172">
        <f t="shared" si="9"/>
        <v>2171</v>
      </c>
      <c r="B172" t="s">
        <v>563</v>
      </c>
      <c r="C172" t="str">
        <f>Hoja2!H172</f>
        <v>rosaesmeralda.floreshernandez</v>
      </c>
      <c r="D172" t="str">
        <f>Hoja2!E172</f>
        <v>FHR1421</v>
      </c>
      <c r="E172" s="3" t="s">
        <v>1141</v>
      </c>
      <c r="F172" t="str">
        <f>Hoja2!F172</f>
        <v>FLORES HERNANDEZ ROSA ESMERALDA</v>
      </c>
      <c r="G172" s="1" t="s">
        <v>1142</v>
      </c>
      <c r="I172" t="str">
        <f>Hoja2!G172</f>
        <v>FEMENINO</v>
      </c>
      <c r="K172" t="str">
        <f t="shared" si="8"/>
        <v>2171,'LICENCIATURA','rosaesmeralda.floreshernandez','FHR1421','TOMAR DEL SND','FLORES HERNANDEZ ROSA ESMERALDA','PROFESORES','','FEMENINO','','',0,0,'','PROFESOR'</v>
      </c>
      <c r="L172" t="str">
        <f t="shared" si="7"/>
        <v>INSERT INTO participantes (id,nivel,correo,matricula,clave,nombre,carrera,grado,sexo,situacion,evaluados,num_evaluados,total_evaluaciones,ultimo_acceso,nivel_acceso) VALUES (2171,'LICENCIATURA','rosaesmeralda.floreshernandez','FHR1421','TOMAR DEL SND','FLORES HERNANDEZ ROSA ESMERALDA','PROFESORES','','FEMENINO','','',0,0,'','PROFESOR');</v>
      </c>
    </row>
    <row r="173" spans="1:12" x14ac:dyDescent="0.25">
      <c r="A173">
        <f t="shared" si="9"/>
        <v>2172</v>
      </c>
      <c r="B173" t="s">
        <v>563</v>
      </c>
      <c r="C173" t="str">
        <f>Hoja2!H173</f>
        <v>ruth.delgadobejar</v>
      </c>
      <c r="D173" t="str">
        <f>Hoja2!E173</f>
        <v>DBR1921</v>
      </c>
      <c r="E173" s="3" t="s">
        <v>1141</v>
      </c>
      <c r="F173" t="str">
        <f>Hoja2!F173</f>
        <v>DELGADO BEJAR RUTH</v>
      </c>
      <c r="G173" s="1" t="s">
        <v>1142</v>
      </c>
      <c r="I173" t="str">
        <f>Hoja2!G173</f>
        <v>FEMENINO</v>
      </c>
      <c r="K173" t="str">
        <f t="shared" si="8"/>
        <v>2172,'LICENCIATURA','ruth.delgadobejar','DBR1921','TOMAR DEL SND','DELGADO BEJAR RUTH','PROFESORES','','FEMENINO','','',0,0,'','PROFESOR'</v>
      </c>
      <c r="L173" t="str">
        <f t="shared" si="7"/>
        <v>INSERT INTO participantes (id,nivel,correo,matricula,clave,nombre,carrera,grado,sexo,situacion,evaluados,num_evaluados,total_evaluaciones,ultimo_acceso,nivel_acceso) VALUES (2172,'LICENCIATURA','ruth.delgadobejar','DBR1921','TOMAR DEL SND','DELGADO BEJAR RUTH','PROFESORES','','FEMENINO','','',0,0,'','PROFESOR');</v>
      </c>
    </row>
    <row r="174" spans="1:12" x14ac:dyDescent="0.25">
      <c r="A174">
        <f t="shared" si="9"/>
        <v>2173</v>
      </c>
      <c r="B174" t="s">
        <v>563</v>
      </c>
      <c r="C174" t="str">
        <f>Hoja2!H174</f>
        <v>santiago.cardenascastillo</v>
      </c>
      <c r="D174" t="str">
        <f>Hoja2!E174</f>
        <v>CCS0709</v>
      </c>
      <c r="E174" s="3" t="s">
        <v>1141</v>
      </c>
      <c r="F174" t="str">
        <f>Hoja2!F174</f>
        <v>CARDENAS CASTILLO SANTIAGO</v>
      </c>
      <c r="G174" s="1" t="s">
        <v>1142</v>
      </c>
      <c r="I174" t="str">
        <f>Hoja2!G174</f>
        <v>MASCULINO</v>
      </c>
      <c r="K174" t="str">
        <f t="shared" si="8"/>
        <v>2173,'LICENCIATURA','santiago.cardenascastillo','CCS0709','TOMAR DEL SND','CARDENAS CASTILLO SANTIAGO','PROFESORES','','MASCULINO','','',0,0,'','PROFESOR'</v>
      </c>
      <c r="L174" t="str">
        <f t="shared" si="7"/>
        <v>INSERT INTO participantes (id,nivel,correo,matricula,clave,nombre,carrera,grado,sexo,situacion,evaluados,num_evaluados,total_evaluaciones,ultimo_acceso,nivel_acceso) VALUES (2173,'LICENCIATURA','santiago.cardenascastillo','CCS0709','TOMAR DEL SND','CARDENAS CASTILLO SANTIAGO','PROFESORES','','MASCULINO','','',0,0,'','PROFESOR');</v>
      </c>
    </row>
    <row r="175" spans="1:12" x14ac:dyDescent="0.25">
      <c r="A175">
        <f t="shared" si="9"/>
        <v>2174</v>
      </c>
      <c r="B175" t="s">
        <v>563</v>
      </c>
      <c r="C175" t="str">
        <f>Hoja2!H175</f>
        <v>saulemmanuel.floresmontaño</v>
      </c>
      <c r="D175" t="str">
        <f>Hoja2!E175</f>
        <v>FMS1800</v>
      </c>
      <c r="E175" s="3" t="s">
        <v>1141</v>
      </c>
      <c r="F175" t="str">
        <f>Hoja2!F175</f>
        <v>FLORES MONTAÑO SAUL EMMANUEL</v>
      </c>
      <c r="G175" s="1" t="s">
        <v>1142</v>
      </c>
      <c r="I175" t="str">
        <f>Hoja2!G175</f>
        <v>MASCULINO</v>
      </c>
      <c r="K175" t="str">
        <f t="shared" si="8"/>
        <v>2174,'LICENCIATURA','saulemmanuel.floresmontaño','FMS1800','TOMAR DEL SND','FLORES MONTAÑO SAUL EMMANUEL','PROFESORES','','MASCULINO','','',0,0,'','PROFESOR'</v>
      </c>
      <c r="L175" t="str">
        <f t="shared" si="7"/>
        <v>INSERT INTO participantes (id,nivel,correo,matricula,clave,nombre,carrera,grado,sexo,situacion,evaluados,num_evaluados,total_evaluaciones,ultimo_acceso,nivel_acceso) VALUES (2174,'LICENCIATURA','saulemmanuel.floresmontaño','FMS1800','TOMAR DEL SND','FLORES MONTAÑO SAUL EMMANUEL','PROFESORES','','MASCULINO','','',0,0,'','PROFESOR');</v>
      </c>
    </row>
    <row r="176" spans="1:12" x14ac:dyDescent="0.25">
      <c r="A176">
        <f t="shared" si="9"/>
        <v>2175</v>
      </c>
      <c r="B176" t="s">
        <v>563</v>
      </c>
      <c r="C176" t="str">
        <f>Hoja2!H176</f>
        <v>sergiorodolfo.chavezperez</v>
      </c>
      <c r="D176" t="str">
        <f>Hoja2!E176</f>
        <v>CPS0028</v>
      </c>
      <c r="E176" s="3" t="s">
        <v>1141</v>
      </c>
      <c r="F176" t="str">
        <f>Hoja2!F176</f>
        <v>CHAVEZ PEREZ SERGIO RODOLFO</v>
      </c>
      <c r="G176" s="1" t="s">
        <v>1142</v>
      </c>
      <c r="I176" t="str">
        <f>Hoja2!G176</f>
        <v>MASCULINO</v>
      </c>
      <c r="K176" t="str">
        <f t="shared" si="8"/>
        <v>2175,'LICENCIATURA','sergiorodolfo.chavezperez','CPS0028','TOMAR DEL SND','CHAVEZ PEREZ SERGIO RODOLFO','PROFESORES','','MASCULINO','','',0,0,'','PROFESOR'</v>
      </c>
      <c r="L176" t="str">
        <f t="shared" si="7"/>
        <v>INSERT INTO participantes (id,nivel,correo,matricula,clave,nombre,carrera,grado,sexo,situacion,evaluados,num_evaluados,total_evaluaciones,ultimo_acceso,nivel_acceso) VALUES (2175,'LICENCIATURA','sergiorodolfo.chavezperez','CPS0028','TOMAR DEL SND','CHAVEZ PEREZ SERGIO RODOLFO','PROFESORES','','MASCULINO','','',0,0,'','PROFESOR');</v>
      </c>
    </row>
    <row r="177" spans="1:12" x14ac:dyDescent="0.25">
      <c r="A177">
        <f t="shared" si="9"/>
        <v>2176</v>
      </c>
      <c r="B177" t="s">
        <v>563</v>
      </c>
      <c r="C177" t="str">
        <f>Hoja2!H177</f>
        <v>stephanyelizabeth.monterolopez</v>
      </c>
      <c r="D177" t="str">
        <f>Hoja2!E177</f>
        <v>MLS1918</v>
      </c>
      <c r="E177" s="3" t="s">
        <v>1141</v>
      </c>
      <c r="F177" t="str">
        <f>Hoja2!F177</f>
        <v>MONTERO LOPEZ STEPHANY ELIZABETH</v>
      </c>
      <c r="G177" s="1" t="s">
        <v>1142</v>
      </c>
      <c r="I177" t="str">
        <f>Hoja2!G177</f>
        <v>FEMENINO</v>
      </c>
      <c r="K177" t="str">
        <f t="shared" si="8"/>
        <v>2176,'LICENCIATURA','stephanyelizabeth.monterolopez','MLS1918','TOMAR DEL SND','MONTERO LOPEZ STEPHANY ELIZABETH','PROFESORES','','FEMENINO','','',0,0,'','PROFESOR'</v>
      </c>
      <c r="L177" t="str">
        <f t="shared" si="7"/>
        <v>INSERT INTO participantes (id,nivel,correo,matricula,clave,nombre,carrera,grado,sexo,situacion,evaluados,num_evaluados,total_evaluaciones,ultimo_acceso,nivel_acceso) VALUES (2176,'LICENCIATURA','stephanyelizabeth.monterolopez','MLS1918','TOMAR DEL SND','MONTERO LOPEZ STEPHANY ELIZABETH','PROFESORES','','FEMENINO','','',0,0,'','PROFESOR');</v>
      </c>
    </row>
    <row r="178" spans="1:12" x14ac:dyDescent="0.25">
      <c r="A178">
        <f t="shared" si="9"/>
        <v>2177</v>
      </c>
      <c r="B178" t="s">
        <v>563</v>
      </c>
      <c r="C178" t="str">
        <f>Hoja2!H178</f>
        <v>victormanuel.quezadanavarro</v>
      </c>
      <c r="D178" t="str">
        <f>Hoja2!E178</f>
        <v>QNV1347</v>
      </c>
      <c r="E178" s="3" t="s">
        <v>1141</v>
      </c>
      <c r="F178" t="str">
        <f>Hoja2!F178</f>
        <v>QUEZADA NAVARRO VICTOR MANUEL</v>
      </c>
      <c r="G178" s="1" t="s">
        <v>1142</v>
      </c>
      <c r="I178" t="str">
        <f>Hoja2!G178</f>
        <v>MASCULINO</v>
      </c>
      <c r="K178" t="str">
        <f t="shared" si="8"/>
        <v>2177,'LICENCIATURA','victormanuel.quezadanavarro','QNV1347','TOMAR DEL SND','QUEZADA NAVARRO VICTOR MANUEL','PROFESORES','','MASCULINO','','',0,0,'','PROFESOR'</v>
      </c>
      <c r="L178" t="str">
        <f t="shared" si="7"/>
        <v>INSERT INTO participantes (id,nivel,correo,matricula,clave,nombre,carrera,grado,sexo,situacion,evaluados,num_evaluados,total_evaluaciones,ultimo_acceso,nivel_acceso) VALUES (2177,'LICENCIATURA','victormanuel.quezadanavarro','QNV1347','TOMAR DEL SND','QUEZADA NAVARRO VICTOR MANUEL','PROFESORES','','MASCULINO','','',0,0,'','PROFESOR');</v>
      </c>
    </row>
    <row r="179" spans="1:12" x14ac:dyDescent="0.25">
      <c r="A179">
        <f t="shared" si="9"/>
        <v>2178</v>
      </c>
      <c r="B179" t="s">
        <v>563</v>
      </c>
      <c r="C179" t="str">
        <f>Hoja2!H179</f>
        <v>zairamarlene.zambranolopez</v>
      </c>
      <c r="D179" t="str">
        <f>Hoja2!E179</f>
        <v>ZLZ1862</v>
      </c>
      <c r="E179" s="3" t="s">
        <v>1141</v>
      </c>
      <c r="F179" t="str">
        <f>Hoja2!F179</f>
        <v>ZAMBRANO LOPEZ ZAIRA MARLENE</v>
      </c>
      <c r="G179" s="1" t="s">
        <v>1142</v>
      </c>
      <c r="I179" t="str">
        <f>Hoja2!G179</f>
        <v>FEMENINO</v>
      </c>
      <c r="K179" t="str">
        <f t="shared" si="8"/>
        <v>2178,'LICENCIATURA','zairamarlene.zambranolopez','ZLZ1862','TOMAR DEL SND','ZAMBRANO LOPEZ ZAIRA MARLENE','PROFESORES','','FEMENINO','','',0,0,'','PROFESOR'</v>
      </c>
      <c r="L179" t="str">
        <f t="shared" si="7"/>
        <v>INSERT INTO participantes (id,nivel,correo,matricula,clave,nombre,carrera,grado,sexo,situacion,evaluados,num_evaluados,total_evaluaciones,ultimo_acceso,nivel_acceso) VALUES (2178,'LICENCIATURA','zairamarlene.zambranolopez','ZLZ1862','TOMAR DEL SND','ZAMBRANO LOPEZ ZAIRA MARLENE','PROFESORES','','FEMENINO','','',0,0,'','PROFESOR');</v>
      </c>
    </row>
    <row r="180" spans="1:12" x14ac:dyDescent="0.25">
      <c r="E180" s="3"/>
      <c r="G180" s="1"/>
    </row>
    <row r="181" spans="1:12" x14ac:dyDescent="0.25">
      <c r="E181" s="3"/>
      <c r="G181" s="1"/>
    </row>
    <row r="182" spans="1:12" x14ac:dyDescent="0.25">
      <c r="E182" s="3"/>
      <c r="G182" s="1"/>
    </row>
    <row r="183" spans="1:12" x14ac:dyDescent="0.25">
      <c r="E183" s="3"/>
      <c r="G183" s="1"/>
    </row>
    <row r="184" spans="1:12" x14ac:dyDescent="0.25">
      <c r="E184" s="3"/>
      <c r="G184" s="1"/>
    </row>
    <row r="185" spans="1:12" x14ac:dyDescent="0.25">
      <c r="E185" s="3"/>
      <c r="G185" s="1"/>
    </row>
    <row r="186" spans="1:12" x14ac:dyDescent="0.25">
      <c r="E186" s="3"/>
      <c r="G186" s="1"/>
    </row>
    <row r="187" spans="1:12" x14ac:dyDescent="0.25">
      <c r="E187" s="3"/>
      <c r="G187" s="1"/>
    </row>
    <row r="188" spans="1:12" x14ac:dyDescent="0.25">
      <c r="E188" s="3"/>
      <c r="G188" s="1"/>
    </row>
    <row r="189" spans="1:12" x14ac:dyDescent="0.25">
      <c r="E189" s="3"/>
      <c r="G189" s="1"/>
    </row>
    <row r="190" spans="1:12" x14ac:dyDescent="0.25">
      <c r="E190" s="3"/>
      <c r="G190" s="1"/>
    </row>
    <row r="191" spans="1:12" x14ac:dyDescent="0.25">
      <c r="E191" s="3"/>
      <c r="G191" s="1"/>
    </row>
    <row r="192" spans="1:12" x14ac:dyDescent="0.25">
      <c r="E192" s="3"/>
      <c r="G192" s="1"/>
    </row>
    <row r="193" spans="5:7" x14ac:dyDescent="0.25">
      <c r="E193" s="3"/>
      <c r="G193" s="1"/>
    </row>
    <row r="194" spans="5:7" x14ac:dyDescent="0.25">
      <c r="E194" s="3"/>
      <c r="G194" s="1"/>
    </row>
    <row r="195" spans="5:7" x14ac:dyDescent="0.25">
      <c r="E195" s="3"/>
      <c r="G195" s="1"/>
    </row>
    <row r="196" spans="5:7" x14ac:dyDescent="0.25">
      <c r="E196" s="3"/>
      <c r="G196" s="1"/>
    </row>
    <row r="197" spans="5:7" x14ac:dyDescent="0.25">
      <c r="E197" s="3"/>
      <c r="G197" s="1"/>
    </row>
    <row r="198" spans="5:7" x14ac:dyDescent="0.25">
      <c r="E198" s="3"/>
      <c r="G198" s="1"/>
    </row>
    <row r="199" spans="5:7" x14ac:dyDescent="0.25">
      <c r="E199" s="3"/>
      <c r="G199" s="1"/>
    </row>
    <row r="200" spans="5:7" x14ac:dyDescent="0.25">
      <c r="E200" s="3"/>
      <c r="G200" s="1"/>
    </row>
    <row r="201" spans="5:7" x14ac:dyDescent="0.25">
      <c r="E201" s="3"/>
      <c r="G201" s="1"/>
    </row>
  </sheetData>
  <conditionalFormatting sqref="C1">
    <cfRule type="duplicateValues" dxfId="1" priority="1"/>
  </conditionalFormatting>
  <conditionalFormatting sqref="D1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EA44-8F28-426F-BCA3-E597F83E35BB}">
  <dimension ref="A1:J329"/>
  <sheetViews>
    <sheetView workbookViewId="0">
      <selection activeCell="C2" sqref="B2:C2"/>
    </sheetView>
  </sheetViews>
  <sheetFormatPr baseColWidth="10" defaultRowHeight="15" x14ac:dyDescent="0.25"/>
  <cols>
    <col min="1" max="1" width="5" bestFit="1" customWidth="1"/>
    <col min="2" max="2" width="13.28515625" bestFit="1" customWidth="1"/>
    <col min="3" max="3" width="24.7109375" customWidth="1"/>
    <col min="4" max="4" width="12.28515625" bestFit="1" customWidth="1"/>
    <col min="5" max="5" width="41.28515625" bestFit="1" customWidth="1"/>
    <col min="6" max="6" width="61.5703125" bestFit="1" customWidth="1"/>
    <col min="7" max="7" width="11.28515625" bestFit="1" customWidth="1"/>
    <col min="8" max="8" width="8.42578125" bestFit="1" customWidth="1"/>
  </cols>
  <sheetData>
    <row r="1" spans="1:10" x14ac:dyDescent="0.25">
      <c r="A1" s="1" t="s">
        <v>550</v>
      </c>
      <c r="B1" s="1" t="s">
        <v>1321</v>
      </c>
      <c r="C1" s="2" t="s">
        <v>2</v>
      </c>
      <c r="D1" s="2" t="s">
        <v>3</v>
      </c>
      <c r="E1" s="2" t="s">
        <v>105</v>
      </c>
      <c r="F1" s="4" t="s">
        <v>284</v>
      </c>
      <c r="G1" s="2" t="s">
        <v>546</v>
      </c>
      <c r="H1" s="2" t="s">
        <v>1322</v>
      </c>
      <c r="I1" s="1" t="s">
        <v>1323</v>
      </c>
    </row>
    <row r="2" spans="1:10" x14ac:dyDescent="0.25">
      <c r="A2">
        <v>1001</v>
      </c>
      <c r="B2" s="1" t="s">
        <v>1</v>
      </c>
      <c r="C2" t="str">
        <f>Hoja1!B2</f>
        <v>MATERIAS INSTITUCIONALES</v>
      </c>
      <c r="D2" s="5" t="s">
        <v>1324</v>
      </c>
      <c r="E2" t="str">
        <f>Hoja1!D2</f>
        <v>LUNA HERRERA JOSE CARLOS</v>
      </c>
      <c r="F2" t="str">
        <f>Hoja1!E2</f>
        <v>CIUDADANIA Y DESARROLLO PROFESIONAL</v>
      </c>
      <c r="G2" t="str">
        <f>Hoja1!F2</f>
        <v>MASCULINO</v>
      </c>
      <c r="H2">
        <f t="shared" ref="H2" si="0">IF(C2="MATERIAS INSTITUCIONALES",1,0)</f>
        <v>1</v>
      </c>
      <c r="I2" t="str">
        <f>CONCATENATE(A2,",'",B2,"','",C2,"','",D2,",'",E2,"','",F2,"','",G2,"',",H2)</f>
        <v>1001,'LICENCIATURA','MATERIAS INSTITUCIONALES','TC 0503 1','LUNA HERRERA JOSE CARLOS','CIUDADANIA Y DESARROLLO PROFESIONAL','MASCULINO',1</v>
      </c>
      <c r="J2" t="str">
        <f t="shared" ref="J2" si="1">CONCATENATE($I$1,I2,");")</f>
        <v>INSERT INTO profesores (id,nivel,carrera,grupo,nombre,materia,sexo,sello) VALUES (1001,'LICENCIATURA','MATERIAS INSTITUCIONALES','TC 0503 1','LUNA HERRERA JOSE CARLOS','CIUDADANIA Y DESARROLLO PROFESIONAL','MASCULINO',1);</v>
      </c>
    </row>
    <row r="3" spans="1:10" x14ac:dyDescent="0.25">
      <c r="A3">
        <f>A2+1</f>
        <v>1002</v>
      </c>
      <c r="B3" s="1" t="s">
        <v>1</v>
      </c>
      <c r="C3" t="str">
        <f>Hoja1!B3</f>
        <v>MATERIAS INSTITUCIONALES</v>
      </c>
      <c r="D3" s="5" t="s">
        <v>1325</v>
      </c>
      <c r="E3" t="str">
        <f>Hoja1!D3</f>
        <v>TAPIA VELAZQUEZ FRANCISCO</v>
      </c>
      <c r="F3" t="str">
        <f>Hoja1!E3</f>
        <v>CIUDADANIA Y DESARROLLO PROFESIONAL</v>
      </c>
      <c r="G3" t="str">
        <f>Hoja1!F3</f>
        <v>MASCULINO</v>
      </c>
      <c r="H3">
        <f t="shared" ref="H3:H66" si="2">IF(C3="MATERIAS INSTITUCIONALES",1,0)</f>
        <v>1</v>
      </c>
      <c r="I3" t="str">
        <f t="shared" ref="I3:I66" si="3">CONCATENATE(A3,",'",B3,"','",C3,"','",D3,",'",E3,"','",F3,"','",G3,"',",H3)</f>
        <v>1002,'LICENCIATURA','MATERIAS INSTITUCIONALES','TC 0503 2','TAPIA VELAZQUEZ FRANCISCO','CIUDADANIA Y DESARROLLO PROFESIONAL','MASCULINO',1</v>
      </c>
      <c r="J3" t="str">
        <f t="shared" ref="J3:J66" si="4">CONCATENATE($I$1,I3,");")</f>
        <v>INSERT INTO profesores (id,nivel,carrera,grupo,nombre,materia,sexo,sello) VALUES (1002,'LICENCIATURA','MATERIAS INSTITUCIONALES','TC 0503 2','TAPIA VELAZQUEZ FRANCISCO','CIUDADANIA Y DESARROLLO PROFESIONAL','MASCULINO',1);</v>
      </c>
    </row>
    <row r="4" spans="1:10" x14ac:dyDescent="0.25">
      <c r="A4">
        <f t="shared" ref="A4:A67" si="5">A3+1</f>
        <v>1003</v>
      </c>
      <c r="B4" s="1" t="s">
        <v>1</v>
      </c>
      <c r="C4" t="str">
        <f>Hoja1!B4</f>
        <v>MATERIAS INSTITUCIONALES</v>
      </c>
      <c r="D4" s="5" t="s">
        <v>1326</v>
      </c>
      <c r="E4" t="str">
        <f>Hoja1!D4</f>
        <v>CHAN  NUÑEZ MARIA ELENA</v>
      </c>
      <c r="F4" t="str">
        <f>Hoja1!E4</f>
        <v>ESCENARIO DE INTERVENCION SOCIAL I</v>
      </c>
      <c r="G4" t="str">
        <f>Hoja1!F4</f>
        <v>FEMENINO</v>
      </c>
      <c r="H4">
        <f t="shared" si="2"/>
        <v>1</v>
      </c>
      <c r="I4" t="str">
        <f t="shared" si="3"/>
        <v>1003,'LICENCIATURA','MATERIAS INSTITUCIONALES','TC 0601 1','CHAN  NUÑEZ MARIA ELENA','ESCENARIO DE INTERVENCION SOCIAL I','FEMENINO',1</v>
      </c>
      <c r="J4" t="str">
        <f t="shared" si="4"/>
        <v>INSERT INTO profesores (id,nivel,carrera,grupo,nombre,materia,sexo,sello) VALUES (1003,'LICENCIATURA','MATERIAS INSTITUCIONALES','TC 0601 1','CHAN  NUÑEZ MARIA ELENA','ESCENARIO DE INTERVENCION SOCIAL I','FEMENINO',1);</v>
      </c>
    </row>
    <row r="5" spans="1:10" x14ac:dyDescent="0.25">
      <c r="A5">
        <f t="shared" si="5"/>
        <v>1004</v>
      </c>
      <c r="B5" s="1" t="s">
        <v>1</v>
      </c>
      <c r="C5" t="str">
        <f>Hoja1!B5</f>
        <v>MATERIAS INSTITUCIONALES</v>
      </c>
      <c r="D5" s="5" t="s">
        <v>1327</v>
      </c>
      <c r="E5" t="str">
        <f>Hoja1!D5</f>
        <v>LUNA HERRERA JOSE CARLOS</v>
      </c>
      <c r="F5" t="str">
        <f>Hoja1!E5</f>
        <v>LIDERAZGO Y MANEJO DE GRUPOS</v>
      </c>
      <c r="G5" t="str">
        <f>Hoja1!F5</f>
        <v>MASCULINO</v>
      </c>
      <c r="H5">
        <f t="shared" si="2"/>
        <v>1</v>
      </c>
      <c r="I5" t="str">
        <f t="shared" si="3"/>
        <v>1004,'LICENCIATURA','MATERIAS INSTITUCIONALES','TC 0603 1','LUNA HERRERA JOSE CARLOS','LIDERAZGO Y MANEJO DE GRUPOS','MASCULINO',1</v>
      </c>
      <c r="J5" t="str">
        <f t="shared" si="4"/>
        <v>INSERT INTO profesores (id,nivel,carrera,grupo,nombre,materia,sexo,sello) VALUES (1004,'LICENCIATURA','MATERIAS INSTITUCIONALES','TC 0603 1','LUNA HERRERA JOSE CARLOS','LIDERAZGO Y MANEJO DE GRUPOS','MASCULINO',1);</v>
      </c>
    </row>
    <row r="6" spans="1:10" x14ac:dyDescent="0.25">
      <c r="A6">
        <f t="shared" si="5"/>
        <v>1005</v>
      </c>
      <c r="B6" s="1" t="s">
        <v>1</v>
      </c>
      <c r="C6" t="str">
        <f>Hoja1!B6</f>
        <v>MATERIAS INSTITUCIONALES</v>
      </c>
      <c r="D6" s="5" t="s">
        <v>1381</v>
      </c>
      <c r="E6" t="str">
        <f>Hoja1!D6</f>
        <v>CHAN  NUÑEZ MARIA ELENA</v>
      </c>
      <c r="F6" t="str">
        <f>Hoja1!E6</f>
        <v>ESCENARIO DE INTERVENCION III</v>
      </c>
      <c r="G6" t="str">
        <f>Hoja1!F6</f>
        <v>FEMENINO</v>
      </c>
      <c r="H6">
        <f t="shared" si="2"/>
        <v>1</v>
      </c>
      <c r="I6" t="str">
        <f t="shared" si="3"/>
        <v>1005,'LICENCIATURA','MATERIAS INSTITUCIONALES','TC 0801','CHAN  NUÑEZ MARIA ELENA','ESCENARIO DE INTERVENCION III','FEMENINO',1</v>
      </c>
      <c r="J6" t="str">
        <f t="shared" si="4"/>
        <v>INSERT INTO profesores (id,nivel,carrera,grupo,nombre,materia,sexo,sello) VALUES (1005,'LICENCIATURA','MATERIAS INSTITUCIONALES','TC 0801','CHAN  NUÑEZ MARIA ELENA','ESCENARIO DE INTERVENCION III','FEMENINO',1);</v>
      </c>
    </row>
    <row r="7" spans="1:10" x14ac:dyDescent="0.25">
      <c r="A7">
        <f t="shared" si="5"/>
        <v>1006</v>
      </c>
      <c r="B7" s="1" t="s">
        <v>1</v>
      </c>
      <c r="C7" t="str">
        <f>Hoja1!B7</f>
        <v>MATERIAS INSTITUCIONALES</v>
      </c>
      <c r="D7" s="5" t="s">
        <v>1332</v>
      </c>
      <c r="E7" t="str">
        <f>Hoja1!D7</f>
        <v>HERNANDEZ MONTAÑO AIDA CITLALI</v>
      </c>
      <c r="F7" t="str">
        <f>Hoja1!E7</f>
        <v>EXPERIENCIA DE ACCION SOCIAL</v>
      </c>
      <c r="G7" t="str">
        <f>Hoja1!F7</f>
        <v>FEMENINO</v>
      </c>
      <c r="H7">
        <f t="shared" si="2"/>
        <v>1</v>
      </c>
      <c r="I7" t="str">
        <f t="shared" si="3"/>
        <v>1006,'LICENCIATURA','MATERIAS INSTITUCIONALES','TC0201 1','HERNANDEZ MONTAÑO AIDA CITLALI','EXPERIENCIA DE ACCION SOCIAL','FEMENINO',1</v>
      </c>
      <c r="J7" t="str">
        <f t="shared" si="4"/>
        <v>INSERT INTO profesores (id,nivel,carrera,grupo,nombre,materia,sexo,sello) VALUES (1006,'LICENCIATURA','MATERIAS INSTITUCIONALES','TC0201 1','HERNANDEZ MONTAÑO AIDA CITLALI','EXPERIENCIA DE ACCION SOCIAL','FEMENINO',1);</v>
      </c>
    </row>
    <row r="8" spans="1:10" x14ac:dyDescent="0.25">
      <c r="A8">
        <f t="shared" si="5"/>
        <v>1007</v>
      </c>
      <c r="B8" s="1" t="s">
        <v>1</v>
      </c>
      <c r="C8" t="str">
        <f>Hoja1!B8</f>
        <v>MATERIAS INSTITUCIONALES</v>
      </c>
      <c r="D8" s="5" t="s">
        <v>1333</v>
      </c>
      <c r="E8" t="str">
        <f>Hoja1!D8</f>
        <v>AGUILAR CEBALLOS CARLA MARIANA</v>
      </c>
      <c r="F8" t="str">
        <f>Hoja1!E8</f>
        <v>EXPERIENCIA DE ACCION SOCIAL</v>
      </c>
      <c r="G8" t="str">
        <f>Hoja1!F8</f>
        <v>FEMENINO</v>
      </c>
      <c r="H8">
        <f t="shared" si="2"/>
        <v>1</v>
      </c>
      <c r="I8" t="str">
        <f t="shared" si="3"/>
        <v>1007,'LICENCIATURA','MATERIAS INSTITUCIONALES','TC0201 2','AGUILAR CEBALLOS CARLA MARIANA','EXPERIENCIA DE ACCION SOCIAL','FEMENINO',1</v>
      </c>
      <c r="J8" t="str">
        <f t="shared" si="4"/>
        <v>INSERT INTO profesores (id,nivel,carrera,grupo,nombre,materia,sexo,sello) VALUES (1007,'LICENCIATURA','MATERIAS INSTITUCIONALES','TC0201 2','AGUILAR CEBALLOS CARLA MARIANA','EXPERIENCIA DE ACCION SOCIAL','FEMENINO',1);</v>
      </c>
    </row>
    <row r="9" spans="1:10" x14ac:dyDescent="0.25">
      <c r="A9">
        <f t="shared" si="5"/>
        <v>1008</v>
      </c>
      <c r="B9" s="1" t="s">
        <v>1</v>
      </c>
      <c r="C9" t="str">
        <f>Hoja1!B9</f>
        <v>MATERIAS INSTITUCIONALES</v>
      </c>
      <c r="D9" s="5" t="s">
        <v>1334</v>
      </c>
      <c r="E9" t="str">
        <f>Hoja1!D9</f>
        <v>FARIAS CASTELLANOS ISIS</v>
      </c>
      <c r="F9" t="str">
        <f>Hoja1!E9</f>
        <v>EXPERIENCIA DE ACCION SOCIAL</v>
      </c>
      <c r="G9" t="str">
        <f>Hoja1!F9</f>
        <v>FEMENINO</v>
      </c>
      <c r="H9">
        <f t="shared" si="2"/>
        <v>1</v>
      </c>
      <c r="I9" t="str">
        <f t="shared" si="3"/>
        <v>1008,'LICENCIATURA','MATERIAS INSTITUCIONALES','TC0201 3','FARIAS CASTELLANOS ISIS','EXPERIENCIA DE ACCION SOCIAL','FEMENINO',1</v>
      </c>
      <c r="J9" t="str">
        <f t="shared" si="4"/>
        <v>INSERT INTO profesores (id,nivel,carrera,grupo,nombre,materia,sexo,sello) VALUES (1008,'LICENCIATURA','MATERIAS INSTITUCIONALES','TC0201 3','FARIAS CASTELLANOS ISIS','EXPERIENCIA DE ACCION SOCIAL','FEMENINO',1);</v>
      </c>
    </row>
    <row r="10" spans="1:10" x14ac:dyDescent="0.25">
      <c r="A10">
        <f t="shared" si="5"/>
        <v>1009</v>
      </c>
      <c r="B10" s="1" t="s">
        <v>1</v>
      </c>
      <c r="C10" t="str">
        <f>Hoja1!B10</f>
        <v>MATERIAS INSTITUCIONALES</v>
      </c>
      <c r="D10" s="5" t="s">
        <v>1335</v>
      </c>
      <c r="E10" t="str">
        <f>Hoja1!D10</f>
        <v>CASILLAS MORA MONICA DANIELA</v>
      </c>
      <c r="F10" t="str">
        <f>Hoja1!E10</f>
        <v>EXPERIENCIA DE ACCION SOCIAL</v>
      </c>
      <c r="G10" t="str">
        <f>Hoja1!F10</f>
        <v>FEMENINO</v>
      </c>
      <c r="H10">
        <f t="shared" si="2"/>
        <v>1</v>
      </c>
      <c r="I10" t="str">
        <f t="shared" si="3"/>
        <v>1009,'LICENCIATURA','MATERIAS INSTITUCIONALES','TC0201 4','CASILLAS MORA MONICA DANIELA','EXPERIENCIA DE ACCION SOCIAL','FEMENINO',1</v>
      </c>
      <c r="J10" t="str">
        <f t="shared" si="4"/>
        <v>INSERT INTO profesores (id,nivel,carrera,grupo,nombre,materia,sexo,sello) VALUES (1009,'LICENCIATURA','MATERIAS INSTITUCIONALES','TC0201 4','CASILLAS MORA MONICA DANIELA','EXPERIENCIA DE ACCION SOCIAL','FEMENINO',1);</v>
      </c>
    </row>
    <row r="11" spans="1:10" x14ac:dyDescent="0.25">
      <c r="A11">
        <f t="shared" si="5"/>
        <v>1010</v>
      </c>
      <c r="B11" s="1" t="s">
        <v>1</v>
      </c>
      <c r="C11" t="str">
        <f>Hoja1!B11</f>
        <v>MATERIAS INSTITUCIONALES</v>
      </c>
      <c r="D11" s="5" t="s">
        <v>1336</v>
      </c>
      <c r="E11" t="str">
        <f>Hoja1!D11</f>
        <v>HERNANDEZ MONTAÑO AIDA CITLALI</v>
      </c>
      <c r="F11" t="str">
        <f>Hoja1!E11</f>
        <v>EXPERIENCIA DE ACCION SOCIAL</v>
      </c>
      <c r="G11" t="str">
        <f>Hoja1!F11</f>
        <v>FEMENINO</v>
      </c>
      <c r="H11">
        <f t="shared" si="2"/>
        <v>1</v>
      </c>
      <c r="I11" t="str">
        <f t="shared" si="3"/>
        <v>1010,'LICENCIATURA','MATERIAS INSTITUCIONALES','TC0201 5','HERNANDEZ MONTAÑO AIDA CITLALI','EXPERIENCIA DE ACCION SOCIAL','FEMENINO',1</v>
      </c>
      <c r="J11" t="str">
        <f t="shared" si="4"/>
        <v>INSERT INTO profesores (id,nivel,carrera,grupo,nombre,materia,sexo,sello) VALUES (1010,'LICENCIATURA','MATERIAS INSTITUCIONALES','TC0201 5','HERNANDEZ MONTAÑO AIDA CITLALI','EXPERIENCIA DE ACCION SOCIAL','FEMENINO',1);</v>
      </c>
    </row>
    <row r="12" spans="1:10" x14ac:dyDescent="0.25">
      <c r="A12">
        <f t="shared" si="5"/>
        <v>1011</v>
      </c>
      <c r="B12" s="1" t="s">
        <v>1</v>
      </c>
      <c r="C12" t="str">
        <f>Hoja1!B12</f>
        <v>MATERIAS INSTITUCIONALES</v>
      </c>
      <c r="D12" s="5" t="s">
        <v>1337</v>
      </c>
      <c r="E12" t="str">
        <f>Hoja1!D12</f>
        <v>AGUILAR CEBALLOS CARLA MARIANA</v>
      </c>
      <c r="F12" t="str">
        <f>Hoja1!E12</f>
        <v>EXPERIENCIA DE ACCION SOCIAL</v>
      </c>
      <c r="G12" t="str">
        <f>Hoja1!F12</f>
        <v>FEMENINO</v>
      </c>
      <c r="H12">
        <f t="shared" si="2"/>
        <v>1</v>
      </c>
      <c r="I12" t="str">
        <f t="shared" si="3"/>
        <v>1011,'LICENCIATURA','MATERIAS INSTITUCIONALES','TC0201 6','AGUILAR CEBALLOS CARLA MARIANA','EXPERIENCIA DE ACCION SOCIAL','FEMENINO',1</v>
      </c>
      <c r="J12" t="str">
        <f t="shared" si="4"/>
        <v>INSERT INTO profesores (id,nivel,carrera,grupo,nombre,materia,sexo,sello) VALUES (1011,'LICENCIATURA','MATERIAS INSTITUCIONALES','TC0201 6','AGUILAR CEBALLOS CARLA MARIANA','EXPERIENCIA DE ACCION SOCIAL','FEMENINO',1);</v>
      </c>
    </row>
    <row r="13" spans="1:10" x14ac:dyDescent="0.25">
      <c r="A13">
        <f t="shared" si="5"/>
        <v>1012</v>
      </c>
      <c r="B13" s="1" t="s">
        <v>1</v>
      </c>
      <c r="C13" t="str">
        <f>Hoja1!B13</f>
        <v>MATERIAS INSTITUCIONALES</v>
      </c>
      <c r="D13" s="5" t="s">
        <v>1338</v>
      </c>
      <c r="E13" t="str">
        <f>Hoja1!D13</f>
        <v>FARIAS CASTELLANOS ISIS</v>
      </c>
      <c r="F13" t="str">
        <f>Hoja1!E13</f>
        <v>EXPERIENCIA DE ACCION SOCIAL</v>
      </c>
      <c r="G13" t="str">
        <f>Hoja1!F13</f>
        <v>FEMENINO</v>
      </c>
      <c r="H13">
        <f t="shared" si="2"/>
        <v>1</v>
      </c>
      <c r="I13" t="str">
        <f t="shared" si="3"/>
        <v>1012,'LICENCIATURA','MATERIAS INSTITUCIONALES','TC0201 7','FARIAS CASTELLANOS ISIS','EXPERIENCIA DE ACCION SOCIAL','FEMENINO',1</v>
      </c>
      <c r="J13" t="str">
        <f t="shared" si="4"/>
        <v>INSERT INTO profesores (id,nivel,carrera,grupo,nombre,materia,sexo,sello) VALUES (1012,'LICENCIATURA','MATERIAS INSTITUCIONALES','TC0201 7','FARIAS CASTELLANOS ISIS','EXPERIENCIA DE ACCION SOCIAL','FEMENINO',1);</v>
      </c>
    </row>
    <row r="14" spans="1:10" x14ac:dyDescent="0.25">
      <c r="A14">
        <f t="shared" si="5"/>
        <v>1013</v>
      </c>
      <c r="B14" s="1" t="s">
        <v>1</v>
      </c>
      <c r="C14" t="str">
        <f>Hoja1!B14</f>
        <v>MATERIAS INSTITUCIONALES</v>
      </c>
      <c r="D14" s="5" t="s">
        <v>1339</v>
      </c>
      <c r="E14" t="str">
        <f>Hoja1!D14</f>
        <v>CASILLAS MORA MONICA DANIELA</v>
      </c>
      <c r="F14" t="str">
        <f>Hoja1!E14</f>
        <v>EXPERIENCIA DE ACCION SOCIAL</v>
      </c>
      <c r="G14" t="str">
        <f>Hoja1!F14</f>
        <v>FEMENINO</v>
      </c>
      <c r="H14">
        <f t="shared" si="2"/>
        <v>1</v>
      </c>
      <c r="I14" t="str">
        <f t="shared" si="3"/>
        <v>1013,'LICENCIATURA','MATERIAS INSTITUCIONALES','TC0201 8','CASILLAS MORA MONICA DANIELA','EXPERIENCIA DE ACCION SOCIAL','FEMENINO',1</v>
      </c>
      <c r="J14" t="str">
        <f t="shared" si="4"/>
        <v>INSERT INTO profesores (id,nivel,carrera,grupo,nombre,materia,sexo,sello) VALUES (1013,'LICENCIATURA','MATERIAS INSTITUCIONALES','TC0201 8','CASILLAS MORA MONICA DANIELA','EXPERIENCIA DE ACCION SOCIAL','FEMENINO',1);</v>
      </c>
    </row>
    <row r="15" spans="1:10" x14ac:dyDescent="0.25">
      <c r="A15">
        <f t="shared" si="5"/>
        <v>1014</v>
      </c>
      <c r="B15" s="1" t="s">
        <v>1</v>
      </c>
      <c r="C15" t="str">
        <f>Hoja1!B15</f>
        <v>MATERIAS INSTITUCIONALES</v>
      </c>
      <c r="D15" s="5" t="s">
        <v>1340</v>
      </c>
      <c r="E15" t="str">
        <f>Hoja1!D15</f>
        <v>HERNANDEZ MONTAÑO AIDA CITLALI</v>
      </c>
      <c r="F15" t="str">
        <f>Hoja1!E15</f>
        <v>DERECHOS HUMANOS Y JUSTICIA SOCIAL</v>
      </c>
      <c r="G15" t="str">
        <f>Hoja1!F15</f>
        <v>FEMENINO</v>
      </c>
      <c r="H15">
        <f t="shared" si="2"/>
        <v>1</v>
      </c>
      <c r="I15" t="str">
        <f t="shared" si="3"/>
        <v>1014,'LICENCIATURA','MATERIAS INSTITUCIONALES','TC0202 1','HERNANDEZ MONTAÑO AIDA CITLALI','DERECHOS HUMANOS Y JUSTICIA SOCIAL','FEMENINO',1</v>
      </c>
      <c r="J15" t="str">
        <f t="shared" si="4"/>
        <v>INSERT INTO profesores (id,nivel,carrera,grupo,nombre,materia,sexo,sello) VALUES (1014,'LICENCIATURA','MATERIAS INSTITUCIONALES','TC0202 1','HERNANDEZ MONTAÑO AIDA CITLALI','DERECHOS HUMANOS Y JUSTICIA SOCIAL','FEMENINO',1);</v>
      </c>
    </row>
    <row r="16" spans="1:10" x14ac:dyDescent="0.25">
      <c r="A16">
        <f t="shared" si="5"/>
        <v>1015</v>
      </c>
      <c r="B16" s="1" t="s">
        <v>1</v>
      </c>
      <c r="C16" t="str">
        <f>Hoja1!B16</f>
        <v>MATERIAS INSTITUCIONALES</v>
      </c>
      <c r="D16" s="5" t="s">
        <v>1341</v>
      </c>
      <c r="E16" t="str">
        <f>Hoja1!D16</f>
        <v>AGUILAR CEBALLOS CARLA MARIANA</v>
      </c>
      <c r="F16" t="str">
        <f>Hoja1!E16</f>
        <v>DERECHOS HUMANOS Y JUSTICIA SOCIAL</v>
      </c>
      <c r="G16" t="str">
        <f>Hoja1!F16</f>
        <v>FEMENINO</v>
      </c>
      <c r="H16">
        <f t="shared" si="2"/>
        <v>1</v>
      </c>
      <c r="I16" t="str">
        <f t="shared" si="3"/>
        <v>1015,'LICENCIATURA','MATERIAS INSTITUCIONALES','TC0202 2','AGUILAR CEBALLOS CARLA MARIANA','DERECHOS HUMANOS Y JUSTICIA SOCIAL','FEMENINO',1</v>
      </c>
      <c r="J16" t="str">
        <f t="shared" si="4"/>
        <v>INSERT INTO profesores (id,nivel,carrera,grupo,nombre,materia,sexo,sello) VALUES (1015,'LICENCIATURA','MATERIAS INSTITUCIONALES','TC0202 2','AGUILAR CEBALLOS CARLA MARIANA','DERECHOS HUMANOS Y JUSTICIA SOCIAL','FEMENINO',1);</v>
      </c>
    </row>
    <row r="17" spans="1:10" x14ac:dyDescent="0.25">
      <c r="A17">
        <f t="shared" si="5"/>
        <v>1016</v>
      </c>
      <c r="B17" s="1" t="s">
        <v>1</v>
      </c>
      <c r="C17" t="str">
        <f>Hoja1!B17</f>
        <v>MATERIAS INSTITUCIONALES</v>
      </c>
      <c r="D17" s="5" t="s">
        <v>1342</v>
      </c>
      <c r="E17" t="str">
        <f>Hoja1!D17</f>
        <v>FARIAS CASTELLANOS ISIS</v>
      </c>
      <c r="F17" t="str">
        <f>Hoja1!E17</f>
        <v>DERECHOS HUMANOS Y JUSTICIA SOCIAL</v>
      </c>
      <c r="G17" t="str">
        <f>Hoja1!F17</f>
        <v>FEMENINO</v>
      </c>
      <c r="H17">
        <f t="shared" si="2"/>
        <v>1</v>
      </c>
      <c r="I17" t="str">
        <f t="shared" si="3"/>
        <v>1016,'LICENCIATURA','MATERIAS INSTITUCIONALES','TC0202 3','FARIAS CASTELLANOS ISIS','DERECHOS HUMANOS Y JUSTICIA SOCIAL','FEMENINO',1</v>
      </c>
      <c r="J17" t="str">
        <f t="shared" si="4"/>
        <v>INSERT INTO profesores (id,nivel,carrera,grupo,nombre,materia,sexo,sello) VALUES (1016,'LICENCIATURA','MATERIAS INSTITUCIONALES','TC0202 3','FARIAS CASTELLANOS ISIS','DERECHOS HUMANOS Y JUSTICIA SOCIAL','FEMENINO',1);</v>
      </c>
    </row>
    <row r="18" spans="1:10" x14ac:dyDescent="0.25">
      <c r="A18">
        <f t="shared" si="5"/>
        <v>1017</v>
      </c>
      <c r="B18" s="1" t="s">
        <v>1</v>
      </c>
      <c r="C18" t="str">
        <f>Hoja1!B18</f>
        <v>MATERIAS INSTITUCIONALES</v>
      </c>
      <c r="D18" s="5" t="s">
        <v>1343</v>
      </c>
      <c r="E18" t="str">
        <f>Hoja1!D18</f>
        <v>CASILLAS MORA MONICA DANIELA</v>
      </c>
      <c r="F18" t="str">
        <f>Hoja1!E18</f>
        <v>DERECHOS HUMANOS Y JUSTICIA SOCIAL</v>
      </c>
      <c r="G18" t="str">
        <f>Hoja1!F18</f>
        <v>FEMENINO</v>
      </c>
      <c r="H18">
        <f t="shared" si="2"/>
        <v>1</v>
      </c>
      <c r="I18" t="str">
        <f t="shared" si="3"/>
        <v>1017,'LICENCIATURA','MATERIAS INSTITUCIONALES','TC0202 4','CASILLAS MORA MONICA DANIELA','DERECHOS HUMANOS Y JUSTICIA SOCIAL','FEMENINO',1</v>
      </c>
      <c r="J18" t="str">
        <f t="shared" si="4"/>
        <v>INSERT INTO profesores (id,nivel,carrera,grupo,nombre,materia,sexo,sello) VALUES (1017,'LICENCIATURA','MATERIAS INSTITUCIONALES','TC0202 4','CASILLAS MORA MONICA DANIELA','DERECHOS HUMANOS Y JUSTICIA SOCIAL','FEMENINO',1);</v>
      </c>
    </row>
    <row r="19" spans="1:10" x14ac:dyDescent="0.25">
      <c r="A19">
        <f t="shared" si="5"/>
        <v>1018</v>
      </c>
      <c r="B19" s="1" t="s">
        <v>1</v>
      </c>
      <c r="C19" t="str">
        <f>Hoja1!B19</f>
        <v>MATERIAS INSTITUCIONALES</v>
      </c>
      <c r="D19" s="5" t="s">
        <v>1344</v>
      </c>
      <c r="E19" t="str">
        <f>Hoja1!D19</f>
        <v>HERNANDEZ MONTAÑO AIDA CITLALI</v>
      </c>
      <c r="F19" t="str">
        <f>Hoja1!E19</f>
        <v>DERECHOS HUMANOS Y JUSTICIA SOCIAL</v>
      </c>
      <c r="G19" t="str">
        <f>Hoja1!F19</f>
        <v>FEMENINO</v>
      </c>
      <c r="H19">
        <f t="shared" si="2"/>
        <v>1</v>
      </c>
      <c r="I19" t="str">
        <f t="shared" si="3"/>
        <v>1018,'LICENCIATURA','MATERIAS INSTITUCIONALES','TC0202 5','HERNANDEZ MONTAÑO AIDA CITLALI','DERECHOS HUMANOS Y JUSTICIA SOCIAL','FEMENINO',1</v>
      </c>
      <c r="J19" t="str">
        <f t="shared" si="4"/>
        <v>INSERT INTO profesores (id,nivel,carrera,grupo,nombre,materia,sexo,sello) VALUES (1018,'LICENCIATURA','MATERIAS INSTITUCIONALES','TC0202 5','HERNANDEZ MONTAÑO AIDA CITLALI','DERECHOS HUMANOS Y JUSTICIA SOCIAL','FEMENINO',1);</v>
      </c>
    </row>
    <row r="20" spans="1:10" x14ac:dyDescent="0.25">
      <c r="A20">
        <f t="shared" si="5"/>
        <v>1019</v>
      </c>
      <c r="B20" s="1" t="s">
        <v>1</v>
      </c>
      <c r="C20" t="str">
        <f>Hoja1!B20</f>
        <v>MATERIAS INSTITUCIONALES</v>
      </c>
      <c r="D20" s="5" t="s">
        <v>1345</v>
      </c>
      <c r="E20" t="str">
        <f>Hoja1!D20</f>
        <v>AGUILAR CEBALLOS CARLA MARIANA</v>
      </c>
      <c r="F20" t="str">
        <f>Hoja1!E20</f>
        <v>DERECHOS HUMANOS Y JUSTICIA SOCIAL</v>
      </c>
      <c r="G20" t="str">
        <f>Hoja1!F20</f>
        <v>FEMENINO</v>
      </c>
      <c r="H20">
        <f t="shared" si="2"/>
        <v>1</v>
      </c>
      <c r="I20" t="str">
        <f t="shared" si="3"/>
        <v>1019,'LICENCIATURA','MATERIAS INSTITUCIONALES','TC0202 6','AGUILAR CEBALLOS CARLA MARIANA','DERECHOS HUMANOS Y JUSTICIA SOCIAL','FEMENINO',1</v>
      </c>
      <c r="J20" t="str">
        <f t="shared" si="4"/>
        <v>INSERT INTO profesores (id,nivel,carrera,grupo,nombre,materia,sexo,sello) VALUES (1019,'LICENCIATURA','MATERIAS INSTITUCIONALES','TC0202 6','AGUILAR CEBALLOS CARLA MARIANA','DERECHOS HUMANOS Y JUSTICIA SOCIAL','FEMENINO',1);</v>
      </c>
    </row>
    <row r="21" spans="1:10" x14ac:dyDescent="0.25">
      <c r="A21">
        <f t="shared" si="5"/>
        <v>1020</v>
      </c>
      <c r="B21" s="1" t="s">
        <v>1</v>
      </c>
      <c r="C21" t="str">
        <f>Hoja1!B21</f>
        <v>MATERIAS INSTITUCIONALES</v>
      </c>
      <c r="D21" s="5" t="s">
        <v>1346</v>
      </c>
      <c r="E21" t="str">
        <f>Hoja1!D21</f>
        <v>FARIAS CASTELLANOS ISIS</v>
      </c>
      <c r="F21" t="str">
        <f>Hoja1!E21</f>
        <v>DERECHOS HUMANOS Y JUSTICIA SOCIAL</v>
      </c>
      <c r="G21" t="str">
        <f>Hoja1!F21</f>
        <v>FEMENINO</v>
      </c>
      <c r="H21">
        <f t="shared" si="2"/>
        <v>1</v>
      </c>
      <c r="I21" t="str">
        <f t="shared" si="3"/>
        <v>1020,'LICENCIATURA','MATERIAS INSTITUCIONALES','TC0202 7','FARIAS CASTELLANOS ISIS','DERECHOS HUMANOS Y JUSTICIA SOCIAL','FEMENINO',1</v>
      </c>
      <c r="J21" t="str">
        <f t="shared" si="4"/>
        <v>INSERT INTO profesores (id,nivel,carrera,grupo,nombre,materia,sexo,sello) VALUES (1020,'LICENCIATURA','MATERIAS INSTITUCIONALES','TC0202 7','FARIAS CASTELLANOS ISIS','DERECHOS HUMANOS Y JUSTICIA SOCIAL','FEMENINO',1);</v>
      </c>
    </row>
    <row r="22" spans="1:10" x14ac:dyDescent="0.25">
      <c r="A22">
        <f t="shared" si="5"/>
        <v>1021</v>
      </c>
      <c r="B22" s="1" t="s">
        <v>1</v>
      </c>
      <c r="C22" t="str">
        <f>Hoja1!B22</f>
        <v>MATERIAS INSTITUCIONALES</v>
      </c>
      <c r="D22" s="5" t="s">
        <v>1347</v>
      </c>
      <c r="E22" t="str">
        <f>Hoja1!D22</f>
        <v>CASILLAS MORA MONICA DANIELA</v>
      </c>
      <c r="F22" t="str">
        <f>Hoja1!E22</f>
        <v>DERECHOS HUMANOS Y JUSTICIA SOCIAL</v>
      </c>
      <c r="G22" t="str">
        <f>Hoja1!F22</f>
        <v>FEMENINO</v>
      </c>
      <c r="H22">
        <f t="shared" si="2"/>
        <v>1</v>
      </c>
      <c r="I22" t="str">
        <f t="shared" si="3"/>
        <v>1021,'LICENCIATURA','MATERIAS INSTITUCIONALES','TC0202 8','CASILLAS MORA MONICA DANIELA','DERECHOS HUMANOS Y JUSTICIA SOCIAL','FEMENINO',1</v>
      </c>
      <c r="J22" t="str">
        <f t="shared" si="4"/>
        <v>INSERT INTO profesores (id,nivel,carrera,grupo,nombre,materia,sexo,sello) VALUES (1021,'LICENCIATURA','MATERIAS INSTITUCIONALES','TC0202 8','CASILLAS MORA MONICA DANIELA','DERECHOS HUMANOS Y JUSTICIA SOCIAL','FEMENINO',1);</v>
      </c>
    </row>
    <row r="23" spans="1:10" x14ac:dyDescent="0.25">
      <c r="A23">
        <f t="shared" si="5"/>
        <v>1022</v>
      </c>
      <c r="B23" s="1" t="s">
        <v>1</v>
      </c>
      <c r="C23" t="str">
        <f>Hoja1!B23</f>
        <v>MATERIAS INSTITUCIONALES</v>
      </c>
      <c r="D23" s="5" t="s">
        <v>1348</v>
      </c>
      <c r="E23" t="str">
        <f>Hoja1!D23</f>
        <v>MARTINEZ MEDINA LILIANA</v>
      </c>
      <c r="F23" t="str">
        <f>Hoja1!E23</f>
        <v>EMPRENDIMIENTO E INNOVACIÓN</v>
      </c>
      <c r="G23" t="str">
        <f>Hoja1!F23</f>
        <v>FEMENINO</v>
      </c>
      <c r="H23">
        <f t="shared" si="2"/>
        <v>1</v>
      </c>
      <c r="I23" t="str">
        <f t="shared" si="3"/>
        <v>1022,'LICENCIATURA','MATERIAS INSTITUCIONALES','TC0401 1','MARTINEZ MEDINA LILIANA','EMPRENDIMIENTO E INNOVACIÓN','FEMENINO',1</v>
      </c>
      <c r="J23" t="str">
        <f t="shared" si="4"/>
        <v>INSERT INTO profesores (id,nivel,carrera,grupo,nombre,materia,sexo,sello) VALUES (1022,'LICENCIATURA','MATERIAS INSTITUCIONALES','TC0401 1','MARTINEZ MEDINA LILIANA','EMPRENDIMIENTO E INNOVACIÓN','FEMENINO',1);</v>
      </c>
    </row>
    <row r="24" spans="1:10" x14ac:dyDescent="0.25">
      <c r="A24">
        <f t="shared" si="5"/>
        <v>1023</v>
      </c>
      <c r="B24" s="1" t="s">
        <v>1</v>
      </c>
      <c r="C24" t="str">
        <f>Hoja1!B24</f>
        <v>MATERIAS INSTITUCIONALES</v>
      </c>
      <c r="D24" s="5" t="s">
        <v>1349</v>
      </c>
      <c r="E24" t="str">
        <f>Hoja1!D24</f>
        <v>PADILLA MARTINEZ ELSA GEORGINA</v>
      </c>
      <c r="F24" t="str">
        <f>Hoja1!E24</f>
        <v>EMPRENDIMIENTO E INNOVACIÓN</v>
      </c>
      <c r="G24" t="str">
        <f>Hoja1!F24</f>
        <v>FEMENINO</v>
      </c>
      <c r="H24">
        <f t="shared" si="2"/>
        <v>1</v>
      </c>
      <c r="I24" t="str">
        <f t="shared" si="3"/>
        <v>1023,'LICENCIATURA','MATERIAS INSTITUCIONALES','TC0401 2','PADILLA MARTINEZ ELSA GEORGINA','EMPRENDIMIENTO E INNOVACIÓN','FEMENINO',1</v>
      </c>
      <c r="J24" t="str">
        <f t="shared" si="4"/>
        <v>INSERT INTO profesores (id,nivel,carrera,grupo,nombre,materia,sexo,sello) VALUES (1023,'LICENCIATURA','MATERIAS INSTITUCIONALES','TC0401 2','PADILLA MARTINEZ ELSA GEORGINA','EMPRENDIMIENTO E INNOVACIÓN','FEMENINO',1);</v>
      </c>
    </row>
    <row r="25" spans="1:10" x14ac:dyDescent="0.25">
      <c r="A25">
        <f t="shared" si="5"/>
        <v>1024</v>
      </c>
      <c r="B25" s="1" t="s">
        <v>1</v>
      </c>
      <c r="C25" t="str">
        <f>Hoja1!B25</f>
        <v>MATERIAS INSTITUCIONALES</v>
      </c>
      <c r="D25" s="5" t="s">
        <v>1350</v>
      </c>
      <c r="E25" t="str">
        <f>Hoja1!D25</f>
        <v>GARCIA VAZQUEZ JOSE COSME</v>
      </c>
      <c r="F25" t="str">
        <f>Hoja1!E25</f>
        <v>EMPRENDIMIENTO E INNOVACIÓN</v>
      </c>
      <c r="G25" t="str">
        <f>Hoja1!F25</f>
        <v>MASCULINO</v>
      </c>
      <c r="H25">
        <f t="shared" si="2"/>
        <v>1</v>
      </c>
      <c r="I25" t="str">
        <f t="shared" si="3"/>
        <v>1024,'LICENCIATURA','MATERIAS INSTITUCIONALES','TC0401 3','GARCIA VAZQUEZ JOSE COSME','EMPRENDIMIENTO E INNOVACIÓN','MASCULINO',1</v>
      </c>
      <c r="J25" t="str">
        <f t="shared" si="4"/>
        <v>INSERT INTO profesores (id,nivel,carrera,grupo,nombre,materia,sexo,sello) VALUES (1024,'LICENCIATURA','MATERIAS INSTITUCIONALES','TC0401 3','GARCIA VAZQUEZ JOSE COSME','EMPRENDIMIENTO E INNOVACIÓN','MASCULINO',1);</v>
      </c>
    </row>
    <row r="26" spans="1:10" x14ac:dyDescent="0.25">
      <c r="A26">
        <f t="shared" si="5"/>
        <v>1025</v>
      </c>
      <c r="B26" s="1" t="s">
        <v>1</v>
      </c>
      <c r="C26" t="str">
        <f>Hoja1!B26</f>
        <v>MATERIAS INSTITUCIONALES</v>
      </c>
      <c r="D26" s="5" t="s">
        <v>1351</v>
      </c>
      <c r="E26" t="str">
        <f>Hoja1!D26</f>
        <v>TRUJILLO RODRIGUEZ ANATALIA GUADALUPE</v>
      </c>
      <c r="F26" t="str">
        <f>Hoja1!E26</f>
        <v>EMPRENDIMIENTO E INNOVACIÓN</v>
      </c>
      <c r="G26" t="str">
        <f>Hoja1!F26</f>
        <v>FEMENINO</v>
      </c>
      <c r="H26">
        <f t="shared" si="2"/>
        <v>1</v>
      </c>
      <c r="I26" t="str">
        <f t="shared" si="3"/>
        <v>1025,'LICENCIATURA','MATERIAS INSTITUCIONALES','TC0401 4','TRUJILLO RODRIGUEZ ANATALIA GUADALUPE','EMPRENDIMIENTO E INNOVACIÓN','FEMENINO',1</v>
      </c>
      <c r="J26" t="str">
        <f t="shared" si="4"/>
        <v>INSERT INTO profesores (id,nivel,carrera,grupo,nombre,materia,sexo,sello) VALUES (1025,'LICENCIATURA','MATERIAS INSTITUCIONALES','TC0401 4','TRUJILLO RODRIGUEZ ANATALIA GUADALUPE','EMPRENDIMIENTO E INNOVACIÓN','FEMENINO',1);</v>
      </c>
    </row>
    <row r="27" spans="1:10" x14ac:dyDescent="0.25">
      <c r="A27">
        <f t="shared" si="5"/>
        <v>1026</v>
      </c>
      <c r="B27" s="1" t="s">
        <v>1</v>
      </c>
      <c r="C27" t="str">
        <f>Hoja1!B27</f>
        <v>MATERIAS INSTITUCIONALES</v>
      </c>
      <c r="D27" s="5" t="s">
        <v>1352</v>
      </c>
      <c r="E27" t="str">
        <f>Hoja1!D27</f>
        <v>PADILLA MARTINEZ ELSA GEORGINA</v>
      </c>
      <c r="F27" t="str">
        <f>Hoja1!E27</f>
        <v>EMPRENDIMIENTO E INNOVACIÓN</v>
      </c>
      <c r="G27" t="str">
        <f>Hoja1!F27</f>
        <v>FEMENINO</v>
      </c>
      <c r="H27">
        <f t="shared" si="2"/>
        <v>1</v>
      </c>
      <c r="I27" t="str">
        <f t="shared" si="3"/>
        <v>1026,'LICENCIATURA','MATERIAS INSTITUCIONALES','TC0401 5','PADILLA MARTINEZ ELSA GEORGINA','EMPRENDIMIENTO E INNOVACIÓN','FEMENINO',1</v>
      </c>
      <c r="J27" t="str">
        <f t="shared" si="4"/>
        <v>INSERT INTO profesores (id,nivel,carrera,grupo,nombre,materia,sexo,sello) VALUES (1026,'LICENCIATURA','MATERIAS INSTITUCIONALES','TC0401 5','PADILLA MARTINEZ ELSA GEORGINA','EMPRENDIMIENTO E INNOVACIÓN','FEMENINO',1);</v>
      </c>
    </row>
    <row r="28" spans="1:10" x14ac:dyDescent="0.25">
      <c r="A28">
        <f t="shared" si="5"/>
        <v>1027</v>
      </c>
      <c r="B28" s="1" t="s">
        <v>1</v>
      </c>
      <c r="C28" t="str">
        <f>Hoja1!B28</f>
        <v>MATERIAS INSTITUCIONALES</v>
      </c>
      <c r="D28" s="5" t="s">
        <v>1353</v>
      </c>
      <c r="E28" t="str">
        <f>Hoja1!D28</f>
        <v>GARCIA VAZQUEZ JOSE COSME</v>
      </c>
      <c r="F28" t="str">
        <f>Hoja1!E28</f>
        <v>EMPRENDIMIENTO E INNOVACIÓN</v>
      </c>
      <c r="G28" t="str">
        <f>Hoja1!F28</f>
        <v>MASCULINO</v>
      </c>
      <c r="H28">
        <f t="shared" si="2"/>
        <v>1</v>
      </c>
      <c r="I28" t="str">
        <f t="shared" si="3"/>
        <v>1027,'LICENCIATURA','MATERIAS INSTITUCIONALES','TC0401 6','GARCIA VAZQUEZ JOSE COSME','EMPRENDIMIENTO E INNOVACIÓN','MASCULINO',1</v>
      </c>
      <c r="J28" t="str">
        <f t="shared" si="4"/>
        <v>INSERT INTO profesores (id,nivel,carrera,grupo,nombre,materia,sexo,sello) VALUES (1027,'LICENCIATURA','MATERIAS INSTITUCIONALES','TC0401 6','GARCIA VAZQUEZ JOSE COSME','EMPRENDIMIENTO E INNOVACIÓN','MASCULINO',1);</v>
      </c>
    </row>
    <row r="29" spans="1:10" x14ac:dyDescent="0.25">
      <c r="A29">
        <f t="shared" si="5"/>
        <v>1028</v>
      </c>
      <c r="B29" s="1" t="s">
        <v>1</v>
      </c>
      <c r="C29" t="str">
        <f>Hoja1!B29</f>
        <v>MATERIAS INSTITUCIONALES</v>
      </c>
      <c r="D29" s="5" t="s">
        <v>1354</v>
      </c>
      <c r="E29" t="str">
        <f>Hoja1!D29</f>
        <v>MARTINEZ MEDINA LILIANA</v>
      </c>
      <c r="F29" t="str">
        <f>Hoja1!E29</f>
        <v>EMPRENDIMIENTO E INNOVACIÓN</v>
      </c>
      <c r="G29" t="str">
        <f>Hoja1!F29</f>
        <v>FEMENINO</v>
      </c>
      <c r="H29">
        <f t="shared" si="2"/>
        <v>1</v>
      </c>
      <c r="I29" t="str">
        <f t="shared" si="3"/>
        <v>1028,'LICENCIATURA','MATERIAS INSTITUCIONALES','TC0401 7','MARTINEZ MEDINA LILIANA','EMPRENDIMIENTO E INNOVACIÓN','FEMENINO',1</v>
      </c>
      <c r="J29" t="str">
        <f t="shared" si="4"/>
        <v>INSERT INTO profesores (id,nivel,carrera,grupo,nombre,materia,sexo,sello) VALUES (1028,'LICENCIATURA','MATERIAS INSTITUCIONALES','TC0401 7','MARTINEZ MEDINA LILIANA','EMPRENDIMIENTO E INNOVACIÓN','FEMENINO',1);</v>
      </c>
    </row>
    <row r="30" spans="1:10" x14ac:dyDescent="0.25">
      <c r="A30">
        <f t="shared" si="5"/>
        <v>1029</v>
      </c>
      <c r="B30" s="1" t="s">
        <v>1</v>
      </c>
      <c r="C30" t="str">
        <f>Hoja1!B30</f>
        <v>MATERIAS INSTITUCIONALES</v>
      </c>
      <c r="D30" s="5" t="s">
        <v>1355</v>
      </c>
      <c r="E30" t="str">
        <f>Hoja1!D30</f>
        <v>FAJER ROMO DANIELA</v>
      </c>
      <c r="F30" t="str">
        <f>Hoja1!E30</f>
        <v>SUSTENTABILIDAD</v>
      </c>
      <c r="G30" t="str">
        <f>Hoja1!F30</f>
        <v>FEMENINO</v>
      </c>
      <c r="H30">
        <f t="shared" si="2"/>
        <v>1</v>
      </c>
      <c r="I30" t="str">
        <f t="shared" si="3"/>
        <v>1029,'LICENCIATURA','MATERIAS INSTITUCIONALES','TC0402 1','FAJER ROMO DANIELA','SUSTENTABILIDAD','FEMENINO',1</v>
      </c>
      <c r="J30" t="str">
        <f t="shared" si="4"/>
        <v>INSERT INTO profesores (id,nivel,carrera,grupo,nombre,materia,sexo,sello) VALUES (1029,'LICENCIATURA','MATERIAS INSTITUCIONALES','TC0402 1','FAJER ROMO DANIELA','SUSTENTABILIDAD','FEMENINO',1);</v>
      </c>
    </row>
    <row r="31" spans="1:10" x14ac:dyDescent="0.25">
      <c r="A31">
        <f t="shared" si="5"/>
        <v>1030</v>
      </c>
      <c r="B31" s="1" t="s">
        <v>1</v>
      </c>
      <c r="C31" t="str">
        <f>Hoja1!B31</f>
        <v>MATERIAS INSTITUCIONALES</v>
      </c>
      <c r="D31" s="5" t="s">
        <v>1356</v>
      </c>
      <c r="E31" t="str">
        <f>Hoja1!D31</f>
        <v>JARAMILLO MARTINEZ PAULETTE</v>
      </c>
      <c r="F31" t="str">
        <f>Hoja1!E31</f>
        <v>SUSTENTABILIDAD</v>
      </c>
      <c r="G31" t="str">
        <f>Hoja1!F31</f>
        <v>FEMENINO</v>
      </c>
      <c r="H31">
        <f t="shared" si="2"/>
        <v>1</v>
      </c>
      <c r="I31" t="str">
        <f t="shared" si="3"/>
        <v>1030,'LICENCIATURA','MATERIAS INSTITUCIONALES','TC0402 2','JARAMILLO MARTINEZ PAULETTE','SUSTENTABILIDAD','FEMENINO',1</v>
      </c>
      <c r="J31" t="str">
        <f t="shared" si="4"/>
        <v>INSERT INTO profesores (id,nivel,carrera,grupo,nombre,materia,sexo,sello) VALUES (1030,'LICENCIATURA','MATERIAS INSTITUCIONALES','TC0402 2','JARAMILLO MARTINEZ PAULETTE','SUSTENTABILIDAD','FEMENINO',1);</v>
      </c>
    </row>
    <row r="32" spans="1:10" x14ac:dyDescent="0.25">
      <c r="A32">
        <f t="shared" si="5"/>
        <v>1031</v>
      </c>
      <c r="B32" s="1" t="s">
        <v>1</v>
      </c>
      <c r="C32" t="str">
        <f>Hoja1!B32</f>
        <v>MATERIAS INSTITUCIONALES</v>
      </c>
      <c r="D32" s="5" t="s">
        <v>1357</v>
      </c>
      <c r="E32" t="str">
        <f>Hoja1!D32</f>
        <v>NUÑEZ GONZALEZ BARBARA</v>
      </c>
      <c r="F32" t="str">
        <f>Hoja1!E32</f>
        <v>SUSTENTABILIDAD</v>
      </c>
      <c r="G32" t="str">
        <f>Hoja1!F32</f>
        <v>FEMENINO</v>
      </c>
      <c r="H32">
        <f t="shared" si="2"/>
        <v>1</v>
      </c>
      <c r="I32" t="str">
        <f t="shared" si="3"/>
        <v>1031,'LICENCIATURA','MATERIAS INSTITUCIONALES','TC0402 3','NUÑEZ GONZALEZ BARBARA','SUSTENTABILIDAD','FEMENINO',1</v>
      </c>
      <c r="J32" t="str">
        <f t="shared" si="4"/>
        <v>INSERT INTO profesores (id,nivel,carrera,grupo,nombre,materia,sexo,sello) VALUES (1031,'LICENCIATURA','MATERIAS INSTITUCIONALES','TC0402 3','NUÑEZ GONZALEZ BARBARA','SUSTENTABILIDAD','FEMENINO',1);</v>
      </c>
    </row>
    <row r="33" spans="1:10" x14ac:dyDescent="0.25">
      <c r="A33">
        <f t="shared" si="5"/>
        <v>1032</v>
      </c>
      <c r="B33" s="1" t="s">
        <v>1</v>
      </c>
      <c r="C33" t="str">
        <f>Hoja1!B33</f>
        <v>MATERIAS INSTITUCIONALES</v>
      </c>
      <c r="D33" s="5" t="s">
        <v>1358</v>
      </c>
      <c r="E33" t="str">
        <f>Hoja1!D33</f>
        <v>BERMUDEZ QUIROGA LEIDY CAROLINA</v>
      </c>
      <c r="F33" t="str">
        <f>Hoja1!E33</f>
        <v>SUSTENTABILIDAD</v>
      </c>
      <c r="G33" t="str">
        <f>Hoja1!F33</f>
        <v>FEMENINO</v>
      </c>
      <c r="H33">
        <f t="shared" si="2"/>
        <v>1</v>
      </c>
      <c r="I33" t="str">
        <f t="shared" si="3"/>
        <v>1032,'LICENCIATURA','MATERIAS INSTITUCIONALES','TC0402 4','BERMUDEZ QUIROGA LEIDY CAROLINA','SUSTENTABILIDAD','FEMENINO',1</v>
      </c>
      <c r="J33" t="str">
        <f t="shared" si="4"/>
        <v>INSERT INTO profesores (id,nivel,carrera,grupo,nombre,materia,sexo,sello) VALUES (1032,'LICENCIATURA','MATERIAS INSTITUCIONALES','TC0402 4','BERMUDEZ QUIROGA LEIDY CAROLINA','SUSTENTABILIDAD','FEMENINO',1);</v>
      </c>
    </row>
    <row r="34" spans="1:10" x14ac:dyDescent="0.25">
      <c r="A34">
        <f t="shared" si="5"/>
        <v>1033</v>
      </c>
      <c r="B34" s="1" t="s">
        <v>1</v>
      </c>
      <c r="C34" t="str">
        <f>Hoja1!B34</f>
        <v>MATERIAS INSTITUCIONALES</v>
      </c>
      <c r="D34" s="5" t="s">
        <v>1359</v>
      </c>
      <c r="E34" t="str">
        <f>Hoja1!D34</f>
        <v>FAJER ROMO DANIELA</v>
      </c>
      <c r="F34" t="str">
        <f>Hoja1!E34</f>
        <v>SUSTENTABILIDAD</v>
      </c>
      <c r="G34" t="str">
        <f>Hoja1!F34</f>
        <v>FEMENINO</v>
      </c>
      <c r="H34">
        <f t="shared" si="2"/>
        <v>1</v>
      </c>
      <c r="I34" t="str">
        <f t="shared" si="3"/>
        <v>1033,'LICENCIATURA','MATERIAS INSTITUCIONALES','TC0402 5','FAJER ROMO DANIELA','SUSTENTABILIDAD','FEMENINO',1</v>
      </c>
      <c r="J34" t="str">
        <f t="shared" si="4"/>
        <v>INSERT INTO profesores (id,nivel,carrera,grupo,nombre,materia,sexo,sello) VALUES (1033,'LICENCIATURA','MATERIAS INSTITUCIONALES','TC0402 5','FAJER ROMO DANIELA','SUSTENTABILIDAD','FEMENINO',1);</v>
      </c>
    </row>
    <row r="35" spans="1:10" x14ac:dyDescent="0.25">
      <c r="A35">
        <f t="shared" si="5"/>
        <v>1034</v>
      </c>
      <c r="B35" s="1" t="s">
        <v>1</v>
      </c>
      <c r="C35" t="str">
        <f>Hoja1!B35</f>
        <v>MATERIAS INSTITUCIONALES</v>
      </c>
      <c r="D35" s="5" t="s">
        <v>1360</v>
      </c>
      <c r="E35" t="str">
        <f>Hoja1!D35</f>
        <v>JARAMILLO MARTINEZ PAULETTE</v>
      </c>
      <c r="F35" t="str">
        <f>Hoja1!E35</f>
        <v>SUSTENTABILIDAD</v>
      </c>
      <c r="G35" t="str">
        <f>Hoja1!F35</f>
        <v>FEMENINO</v>
      </c>
      <c r="H35">
        <f t="shared" si="2"/>
        <v>1</v>
      </c>
      <c r="I35" t="str">
        <f t="shared" si="3"/>
        <v>1034,'LICENCIATURA','MATERIAS INSTITUCIONALES','TC0402 6','JARAMILLO MARTINEZ PAULETTE','SUSTENTABILIDAD','FEMENINO',1</v>
      </c>
      <c r="J35" t="str">
        <f t="shared" si="4"/>
        <v>INSERT INTO profesores (id,nivel,carrera,grupo,nombre,materia,sexo,sello) VALUES (1034,'LICENCIATURA','MATERIAS INSTITUCIONALES','TC0402 6','JARAMILLO MARTINEZ PAULETTE','SUSTENTABILIDAD','FEMENINO',1);</v>
      </c>
    </row>
    <row r="36" spans="1:10" x14ac:dyDescent="0.25">
      <c r="A36">
        <f t="shared" si="5"/>
        <v>1035</v>
      </c>
      <c r="B36" s="1" t="s">
        <v>1</v>
      </c>
      <c r="C36" t="str">
        <f>Hoja1!B36</f>
        <v>MATERIAS INSTITUCIONALES</v>
      </c>
      <c r="D36" s="5" t="s">
        <v>1361</v>
      </c>
      <c r="E36" t="str">
        <f>Hoja1!D36</f>
        <v>NUÑEZ GONZALEZ BARBARA</v>
      </c>
      <c r="F36" t="str">
        <f>Hoja1!E36</f>
        <v>SUSTENTABILIDAD</v>
      </c>
      <c r="G36" t="str">
        <f>Hoja1!F36</f>
        <v>FEMENINO</v>
      </c>
      <c r="H36">
        <f t="shared" si="2"/>
        <v>1</v>
      </c>
      <c r="I36" t="str">
        <f t="shared" si="3"/>
        <v>1035,'LICENCIATURA','MATERIAS INSTITUCIONALES','TC0402 7','NUÑEZ GONZALEZ BARBARA','SUSTENTABILIDAD','FEMENINO',1</v>
      </c>
      <c r="J36" t="str">
        <f t="shared" si="4"/>
        <v>INSERT INTO profesores (id,nivel,carrera,grupo,nombre,materia,sexo,sello) VALUES (1035,'LICENCIATURA','MATERIAS INSTITUCIONALES','TC0402 7','NUÑEZ GONZALEZ BARBARA','SUSTENTABILIDAD','FEMENINO',1);</v>
      </c>
    </row>
    <row r="37" spans="1:10" x14ac:dyDescent="0.25">
      <c r="A37">
        <f t="shared" si="5"/>
        <v>1036</v>
      </c>
      <c r="B37" s="1" t="s">
        <v>1</v>
      </c>
      <c r="C37" t="str">
        <f>Hoja1!B37</f>
        <v>MATERIAS INSTITUCIONALES</v>
      </c>
      <c r="D37" s="5" t="s">
        <v>1362</v>
      </c>
      <c r="E37" t="str">
        <f>Hoja1!D37</f>
        <v>FARIAS CASTELLANOS ISIS</v>
      </c>
      <c r="F37" t="str">
        <f>Hoja1!E37</f>
        <v>ESCENARIO DE INTERVENCION SOCIAL I</v>
      </c>
      <c r="G37" t="str">
        <f>Hoja1!F37</f>
        <v>FEMENINO</v>
      </c>
      <c r="H37">
        <f t="shared" si="2"/>
        <v>1</v>
      </c>
      <c r="I37" t="str">
        <f t="shared" si="3"/>
        <v>1036,'LICENCIATURA','MATERIAS INSTITUCIONALES','TC0601 2','FARIAS CASTELLANOS ISIS','ESCENARIO DE INTERVENCION SOCIAL I','FEMENINO',1</v>
      </c>
      <c r="J37" t="str">
        <f t="shared" si="4"/>
        <v>INSERT INTO profesores (id,nivel,carrera,grupo,nombre,materia,sexo,sello) VALUES (1036,'LICENCIATURA','MATERIAS INSTITUCIONALES','TC0601 2','FARIAS CASTELLANOS ISIS','ESCENARIO DE INTERVENCION SOCIAL I','FEMENINO',1);</v>
      </c>
    </row>
    <row r="38" spans="1:10" x14ac:dyDescent="0.25">
      <c r="A38">
        <f t="shared" si="5"/>
        <v>1037</v>
      </c>
      <c r="B38" s="1" t="s">
        <v>1</v>
      </c>
      <c r="C38" t="str">
        <f>Hoja1!B38</f>
        <v>MATERIAS INSTITUCIONALES</v>
      </c>
      <c r="D38" s="5" t="s">
        <v>1363</v>
      </c>
      <c r="E38" t="str">
        <f>Hoja1!D38</f>
        <v>BUSTAMANTE RAMIREZ LIDIA SELENE</v>
      </c>
      <c r="F38" t="str">
        <f>Hoja1!E38</f>
        <v>ESCENARIO DE INTERVENCION SOCIAL I</v>
      </c>
      <c r="G38" t="str">
        <f>Hoja1!F38</f>
        <v>MASCULINO</v>
      </c>
      <c r="H38">
        <f t="shared" si="2"/>
        <v>1</v>
      </c>
      <c r="I38" t="str">
        <f t="shared" si="3"/>
        <v>1037,'LICENCIATURA','MATERIAS INSTITUCIONALES','TC0601 3','BUSTAMANTE RAMIREZ LIDIA SELENE','ESCENARIO DE INTERVENCION SOCIAL I','MASCULINO',1</v>
      </c>
      <c r="J38" t="str">
        <f t="shared" si="4"/>
        <v>INSERT INTO profesores (id,nivel,carrera,grupo,nombre,materia,sexo,sello) VALUES (1037,'LICENCIATURA','MATERIAS INSTITUCIONALES','TC0601 3','BUSTAMANTE RAMIREZ LIDIA SELENE','ESCENARIO DE INTERVENCION SOCIAL I','MASCULINO',1);</v>
      </c>
    </row>
    <row r="39" spans="1:10" x14ac:dyDescent="0.25">
      <c r="A39">
        <f t="shared" si="5"/>
        <v>1038</v>
      </c>
      <c r="B39" s="1" t="s">
        <v>1</v>
      </c>
      <c r="C39" t="str">
        <f>Hoja1!B39</f>
        <v>MATERIAS INSTITUCIONALES</v>
      </c>
      <c r="D39" s="5" t="s">
        <v>1364</v>
      </c>
      <c r="E39" t="str">
        <f>Hoja1!D39</f>
        <v>MESTAS LOPEZ CARLA PAULINA</v>
      </c>
      <c r="F39" t="str">
        <f>Hoja1!E39</f>
        <v>ESCENARIO DE INTERVENCION SOCIAL I</v>
      </c>
      <c r="G39" t="str">
        <f>Hoja1!F39</f>
        <v>FEMENINO</v>
      </c>
      <c r="H39">
        <f t="shared" si="2"/>
        <v>1</v>
      </c>
      <c r="I39" t="str">
        <f t="shared" si="3"/>
        <v>1038,'LICENCIATURA','MATERIAS INSTITUCIONALES','TC0601 4','MESTAS LOPEZ CARLA PAULINA','ESCENARIO DE INTERVENCION SOCIAL I','FEMENINO',1</v>
      </c>
      <c r="J39" t="str">
        <f t="shared" si="4"/>
        <v>INSERT INTO profesores (id,nivel,carrera,grupo,nombre,materia,sexo,sello) VALUES (1038,'LICENCIATURA','MATERIAS INSTITUCIONALES','TC0601 4','MESTAS LOPEZ CARLA PAULINA','ESCENARIO DE INTERVENCION SOCIAL I','FEMENINO',1);</v>
      </c>
    </row>
    <row r="40" spans="1:10" x14ac:dyDescent="0.25">
      <c r="A40">
        <f t="shared" si="5"/>
        <v>1039</v>
      </c>
      <c r="B40" s="1" t="s">
        <v>1</v>
      </c>
      <c r="C40" t="str">
        <f>Hoja1!B40</f>
        <v>MATERIAS INSTITUCIONALES</v>
      </c>
      <c r="D40" s="5" t="s">
        <v>1365</v>
      </c>
      <c r="E40" t="str">
        <f>Hoja1!D40</f>
        <v>URIBE LOPEZ ALEJANDRO</v>
      </c>
      <c r="F40" t="str">
        <f>Hoja1!E40</f>
        <v>ESCENARIO DE INTERVENCION SOCIAL I</v>
      </c>
      <c r="G40" t="str">
        <f>Hoja1!F40</f>
        <v>MASCULINO</v>
      </c>
      <c r="H40">
        <f t="shared" si="2"/>
        <v>1</v>
      </c>
      <c r="I40" t="str">
        <f t="shared" si="3"/>
        <v>1039,'LICENCIATURA','MATERIAS INSTITUCIONALES','TC0601 5','URIBE LOPEZ ALEJANDRO','ESCENARIO DE INTERVENCION SOCIAL I','MASCULINO',1</v>
      </c>
      <c r="J40" t="str">
        <f t="shared" si="4"/>
        <v>INSERT INTO profesores (id,nivel,carrera,grupo,nombre,materia,sexo,sello) VALUES (1039,'LICENCIATURA','MATERIAS INSTITUCIONALES','TC0601 5','URIBE LOPEZ ALEJANDRO','ESCENARIO DE INTERVENCION SOCIAL I','MASCULINO',1);</v>
      </c>
    </row>
    <row r="41" spans="1:10" x14ac:dyDescent="0.25">
      <c r="A41">
        <f t="shared" si="5"/>
        <v>1040</v>
      </c>
      <c r="B41" s="1" t="s">
        <v>1</v>
      </c>
      <c r="C41" t="str">
        <f>Hoja1!B41</f>
        <v>MATERIAS INSTITUCIONALES</v>
      </c>
      <c r="D41" s="5" t="s">
        <v>1366</v>
      </c>
      <c r="E41" t="str">
        <f>Hoja1!D41</f>
        <v>AGUILAR CEBALLOS CARLA MARIANA</v>
      </c>
      <c r="F41" t="str">
        <f>Hoja1!E41</f>
        <v>LIDERAZGO Y MANEJO DE GRUPOS</v>
      </c>
      <c r="G41" t="str">
        <f>Hoja1!F41</f>
        <v>FEMENINO</v>
      </c>
      <c r="H41">
        <f t="shared" si="2"/>
        <v>1</v>
      </c>
      <c r="I41" t="str">
        <f t="shared" si="3"/>
        <v>1040,'LICENCIATURA','MATERIAS INSTITUCIONALES','TC0603 1','AGUILAR CEBALLOS CARLA MARIANA','LIDERAZGO Y MANEJO DE GRUPOS','FEMENINO',1</v>
      </c>
      <c r="J41" t="str">
        <f t="shared" si="4"/>
        <v>INSERT INTO profesores (id,nivel,carrera,grupo,nombre,materia,sexo,sello) VALUES (1040,'LICENCIATURA','MATERIAS INSTITUCIONALES','TC0603 1','AGUILAR CEBALLOS CARLA MARIANA','LIDERAZGO Y MANEJO DE GRUPOS','FEMENINO',1);</v>
      </c>
    </row>
    <row r="42" spans="1:10" x14ac:dyDescent="0.25">
      <c r="A42">
        <f t="shared" si="5"/>
        <v>1041</v>
      </c>
      <c r="B42" s="1" t="s">
        <v>1</v>
      </c>
      <c r="C42" t="str">
        <f>Hoja1!B42</f>
        <v>MATERIAS INSTITUCIONALES</v>
      </c>
      <c r="D42" s="5" t="s">
        <v>1367</v>
      </c>
      <c r="E42" t="str">
        <f>Hoja1!D42</f>
        <v>LUNA HERRERA JOSE CARLOS</v>
      </c>
      <c r="F42" t="str">
        <f>Hoja1!E42</f>
        <v>LIDERAZGO Y MANEJO DE GRUPOS</v>
      </c>
      <c r="G42" t="str">
        <f>Hoja1!F42</f>
        <v>MASCULINO</v>
      </c>
      <c r="H42">
        <f t="shared" si="2"/>
        <v>1</v>
      </c>
      <c r="I42" t="str">
        <f t="shared" si="3"/>
        <v>1041,'LICENCIATURA','MATERIAS INSTITUCIONALES','TC0603 2','LUNA HERRERA JOSE CARLOS','LIDERAZGO Y MANEJO DE GRUPOS','MASCULINO',1</v>
      </c>
      <c r="J42" t="str">
        <f t="shared" si="4"/>
        <v>INSERT INTO profesores (id,nivel,carrera,grupo,nombre,materia,sexo,sello) VALUES (1041,'LICENCIATURA','MATERIAS INSTITUCIONALES','TC0603 2','LUNA HERRERA JOSE CARLOS','LIDERAZGO Y MANEJO DE GRUPOS','MASCULINO',1);</v>
      </c>
    </row>
    <row r="43" spans="1:10" x14ac:dyDescent="0.25">
      <c r="A43">
        <f t="shared" si="5"/>
        <v>1042</v>
      </c>
      <c r="B43" s="1" t="s">
        <v>1</v>
      </c>
      <c r="C43" t="str">
        <f>Hoja1!B43</f>
        <v>MATERIAS INSTITUCIONALES</v>
      </c>
      <c r="D43" s="5" t="s">
        <v>1368</v>
      </c>
      <c r="E43" t="str">
        <f>Hoja1!D43</f>
        <v>KOCH TORRES SEPTIEN MICHEL</v>
      </c>
      <c r="F43" t="str">
        <f>Hoja1!E43</f>
        <v>LIDERAZGO Y MANEJO DE GRUPOS</v>
      </c>
      <c r="G43" t="str">
        <f>Hoja1!F43</f>
        <v>FEMENINO</v>
      </c>
      <c r="H43">
        <f t="shared" si="2"/>
        <v>1</v>
      </c>
      <c r="I43" t="str">
        <f t="shared" si="3"/>
        <v>1042,'LICENCIATURA','MATERIAS INSTITUCIONALES','TC0603 3','KOCH TORRES SEPTIEN MICHEL','LIDERAZGO Y MANEJO DE GRUPOS','FEMENINO',1</v>
      </c>
      <c r="J43" t="str">
        <f t="shared" si="4"/>
        <v>INSERT INTO profesores (id,nivel,carrera,grupo,nombre,materia,sexo,sello) VALUES (1042,'LICENCIATURA','MATERIAS INSTITUCIONALES','TC0603 3','KOCH TORRES SEPTIEN MICHEL','LIDERAZGO Y MANEJO DE GRUPOS','FEMENINO',1);</v>
      </c>
    </row>
    <row r="44" spans="1:10" x14ac:dyDescent="0.25">
      <c r="A44">
        <f t="shared" si="5"/>
        <v>1043</v>
      </c>
      <c r="B44" s="1" t="s">
        <v>1</v>
      </c>
      <c r="C44" t="str">
        <f>Hoja1!B44</f>
        <v>MATERIAS INSTITUCIONALES</v>
      </c>
      <c r="D44" s="5" t="s">
        <v>1369</v>
      </c>
      <c r="E44" t="str">
        <f>Hoja1!D44</f>
        <v>AGUILAR CEBALLOS CARLA MARIANA</v>
      </c>
      <c r="F44" t="str">
        <f>Hoja1!E44</f>
        <v>LIDERAZGO Y MANEJO DE GRUPOS</v>
      </c>
      <c r="G44" t="str">
        <f>Hoja1!F44</f>
        <v>FEMENINO</v>
      </c>
      <c r="H44">
        <f t="shared" si="2"/>
        <v>1</v>
      </c>
      <c r="I44" t="str">
        <f t="shared" si="3"/>
        <v>1043,'LICENCIATURA','MATERIAS INSTITUCIONALES','TC0603 4','AGUILAR CEBALLOS CARLA MARIANA','LIDERAZGO Y MANEJO DE GRUPOS','FEMENINO',1</v>
      </c>
      <c r="J44" t="str">
        <f t="shared" si="4"/>
        <v>INSERT INTO profesores (id,nivel,carrera,grupo,nombre,materia,sexo,sello) VALUES (1043,'LICENCIATURA','MATERIAS INSTITUCIONALES','TC0603 4','AGUILAR CEBALLOS CARLA MARIANA','LIDERAZGO Y MANEJO DE GRUPOS','FEMENINO',1);</v>
      </c>
    </row>
    <row r="45" spans="1:10" x14ac:dyDescent="0.25">
      <c r="A45">
        <f t="shared" si="5"/>
        <v>1044</v>
      </c>
      <c r="B45" s="1" t="s">
        <v>1</v>
      </c>
      <c r="C45" t="str">
        <f>Hoja1!B45</f>
        <v>MATERIAS INSTITUCIONALES</v>
      </c>
      <c r="D45" s="5" t="s">
        <v>1370</v>
      </c>
      <c r="E45" t="str">
        <f>Hoja1!D45</f>
        <v>LUNA HERRERA JOSE CARLOS</v>
      </c>
      <c r="F45" t="str">
        <f>Hoja1!E45</f>
        <v>LIDERAZGO Y MANEJO DE GRUPOS</v>
      </c>
      <c r="G45" t="str">
        <f>Hoja1!F45</f>
        <v>MASCULINO</v>
      </c>
      <c r="H45">
        <f t="shared" si="2"/>
        <v>1</v>
      </c>
      <c r="I45" t="str">
        <f t="shared" si="3"/>
        <v>1044,'LICENCIATURA','MATERIAS INSTITUCIONALES','TC0603 5','LUNA HERRERA JOSE CARLOS','LIDERAZGO Y MANEJO DE GRUPOS','MASCULINO',1</v>
      </c>
      <c r="J45" t="str">
        <f t="shared" si="4"/>
        <v>INSERT INTO profesores (id,nivel,carrera,grupo,nombre,materia,sexo,sello) VALUES (1044,'LICENCIATURA','MATERIAS INSTITUCIONALES','TC0603 5','LUNA HERRERA JOSE CARLOS','LIDERAZGO Y MANEJO DE GRUPOS','MASCULINO',1);</v>
      </c>
    </row>
    <row r="46" spans="1:10" x14ac:dyDescent="0.25">
      <c r="A46">
        <f t="shared" si="5"/>
        <v>1045</v>
      </c>
      <c r="B46" s="1" t="s">
        <v>1</v>
      </c>
      <c r="C46" t="str">
        <f>Hoja1!B46</f>
        <v>MATERIAS INSTITUCIONALES</v>
      </c>
      <c r="D46" s="5" t="s">
        <v>1371</v>
      </c>
      <c r="E46" t="str">
        <f>Hoja1!D46</f>
        <v>KOCH TORRES SEPTIEN MICHEL</v>
      </c>
      <c r="F46" t="str">
        <f>Hoja1!E46</f>
        <v>LIDERAZGO Y MANEJO DE GRUPOS</v>
      </c>
      <c r="G46" t="str">
        <f>Hoja1!F46</f>
        <v>FEMENINO</v>
      </c>
      <c r="H46">
        <f t="shared" si="2"/>
        <v>1</v>
      </c>
      <c r="I46" t="str">
        <f t="shared" si="3"/>
        <v>1045,'LICENCIATURA','MATERIAS INSTITUCIONALES','TC0603 6','KOCH TORRES SEPTIEN MICHEL','LIDERAZGO Y MANEJO DE GRUPOS','FEMENINO',1</v>
      </c>
      <c r="J46" t="str">
        <f t="shared" si="4"/>
        <v>INSERT INTO profesores (id,nivel,carrera,grupo,nombre,materia,sexo,sello) VALUES (1045,'LICENCIATURA','MATERIAS INSTITUCIONALES','TC0603 6','KOCH TORRES SEPTIEN MICHEL','LIDERAZGO Y MANEJO DE GRUPOS','FEMENINO',1);</v>
      </c>
    </row>
    <row r="47" spans="1:10" x14ac:dyDescent="0.25">
      <c r="A47">
        <f t="shared" si="5"/>
        <v>1046</v>
      </c>
      <c r="B47" s="1" t="s">
        <v>1</v>
      </c>
      <c r="C47" t="str">
        <f>Hoja1!B47</f>
        <v>MATERIAS INSTITUCIONALES</v>
      </c>
      <c r="D47" s="5" t="s">
        <v>1372</v>
      </c>
      <c r="E47" t="str">
        <f>Hoja1!D47</f>
        <v>AGUILAR CEBALLOS CARLA MARIANA</v>
      </c>
      <c r="F47" t="str">
        <f>Hoja1!E47</f>
        <v>ESCENARIO DE INTERVENCION III</v>
      </c>
      <c r="G47" t="str">
        <f>Hoja1!F47</f>
        <v>FEMENINO</v>
      </c>
      <c r="H47">
        <f t="shared" si="2"/>
        <v>1</v>
      </c>
      <c r="I47" t="str">
        <f t="shared" si="3"/>
        <v>1046,'LICENCIATURA','MATERIAS INSTITUCIONALES','TC0801 2','AGUILAR CEBALLOS CARLA MARIANA','ESCENARIO DE INTERVENCION III','FEMENINO',1</v>
      </c>
      <c r="J47" t="str">
        <f t="shared" si="4"/>
        <v>INSERT INTO profesores (id,nivel,carrera,grupo,nombre,materia,sexo,sello) VALUES (1046,'LICENCIATURA','MATERIAS INSTITUCIONALES','TC0801 2','AGUILAR CEBALLOS CARLA MARIANA','ESCENARIO DE INTERVENCION III','FEMENINO',1);</v>
      </c>
    </row>
    <row r="48" spans="1:10" x14ac:dyDescent="0.25">
      <c r="A48">
        <f t="shared" si="5"/>
        <v>1047</v>
      </c>
      <c r="B48" s="1" t="s">
        <v>1</v>
      </c>
      <c r="C48" t="str">
        <f>Hoja1!B48</f>
        <v>MATERIAS INSTITUCIONALES</v>
      </c>
      <c r="D48" s="5" t="s">
        <v>1373</v>
      </c>
      <c r="E48" t="str">
        <f>Hoja1!D48</f>
        <v>FARIAS CASTELLANOS ISIS</v>
      </c>
      <c r="F48" t="str">
        <f>Hoja1!E48</f>
        <v>ESCENARIO DE INTERVENCION III</v>
      </c>
      <c r="G48" t="str">
        <f>Hoja1!F48</f>
        <v>FEMENINO</v>
      </c>
      <c r="H48">
        <f t="shared" si="2"/>
        <v>1</v>
      </c>
      <c r="I48" t="str">
        <f t="shared" si="3"/>
        <v>1047,'LICENCIATURA','MATERIAS INSTITUCIONALES','TC0801 3','FARIAS CASTELLANOS ISIS','ESCENARIO DE INTERVENCION III','FEMENINO',1</v>
      </c>
      <c r="J48" t="str">
        <f t="shared" si="4"/>
        <v>INSERT INTO profesores (id,nivel,carrera,grupo,nombre,materia,sexo,sello) VALUES (1047,'LICENCIATURA','MATERIAS INSTITUCIONALES','TC0801 3','FARIAS CASTELLANOS ISIS','ESCENARIO DE INTERVENCION III','FEMENINO',1);</v>
      </c>
    </row>
    <row r="49" spans="1:10" x14ac:dyDescent="0.25">
      <c r="A49">
        <f t="shared" si="5"/>
        <v>1048</v>
      </c>
      <c r="B49" s="1" t="s">
        <v>1</v>
      </c>
      <c r="C49" t="str">
        <f>Hoja1!B49</f>
        <v>MATERIAS INSTITUCIONALES</v>
      </c>
      <c r="D49" s="5" t="s">
        <v>1374</v>
      </c>
      <c r="E49" t="str">
        <f>Hoja1!D49</f>
        <v>URIBE LOPEZ ALEJANDRO</v>
      </c>
      <c r="F49" t="str">
        <f>Hoja1!E49</f>
        <v>ESCENARIO DE INTERVENCION III</v>
      </c>
      <c r="G49" t="str">
        <f>Hoja1!F49</f>
        <v>MASCULINO</v>
      </c>
      <c r="H49">
        <f t="shared" si="2"/>
        <v>1</v>
      </c>
      <c r="I49" t="str">
        <f t="shared" si="3"/>
        <v>1048,'LICENCIATURA','MATERIAS INSTITUCIONALES','TC0801 4','URIBE LOPEZ ALEJANDRO','ESCENARIO DE INTERVENCION III','MASCULINO',1</v>
      </c>
      <c r="J49" t="str">
        <f t="shared" si="4"/>
        <v>INSERT INTO profesores (id,nivel,carrera,grupo,nombre,materia,sexo,sello) VALUES (1048,'LICENCIATURA','MATERIAS INSTITUCIONALES','TC0801 4','URIBE LOPEZ ALEJANDRO','ESCENARIO DE INTERVENCION III','MASCULINO',1);</v>
      </c>
    </row>
    <row r="50" spans="1:10" x14ac:dyDescent="0.25">
      <c r="A50">
        <f t="shared" si="5"/>
        <v>1049</v>
      </c>
      <c r="B50" s="1" t="s">
        <v>1</v>
      </c>
      <c r="C50" t="str">
        <f>Hoja1!B50</f>
        <v>MATERIAS INSTITUCIONALES</v>
      </c>
      <c r="D50" s="5" t="s">
        <v>1375</v>
      </c>
      <c r="E50" t="str">
        <f>Hoja1!D50</f>
        <v>BUSTAMANTE RAMIREZ LIDIA SELENE</v>
      </c>
      <c r="F50" t="str">
        <f>Hoja1!E50</f>
        <v>ESCENARIO DE INTERVENCION III</v>
      </c>
      <c r="G50" t="str">
        <f>Hoja1!F50</f>
        <v>MASCULINO</v>
      </c>
      <c r="H50">
        <f t="shared" si="2"/>
        <v>1</v>
      </c>
      <c r="I50" t="str">
        <f t="shared" si="3"/>
        <v>1049,'LICENCIATURA','MATERIAS INSTITUCIONALES','TC0801 5','BUSTAMANTE RAMIREZ LIDIA SELENE','ESCENARIO DE INTERVENCION III','MASCULINO',1</v>
      </c>
      <c r="J50" t="str">
        <f t="shared" si="4"/>
        <v>INSERT INTO profesores (id,nivel,carrera,grupo,nombre,materia,sexo,sello) VALUES (1049,'LICENCIATURA','MATERIAS INSTITUCIONALES','TC0801 5','BUSTAMANTE RAMIREZ LIDIA SELENE','ESCENARIO DE INTERVENCION III','MASCULINO',1);</v>
      </c>
    </row>
    <row r="51" spans="1:10" x14ac:dyDescent="0.25">
      <c r="A51">
        <f t="shared" si="5"/>
        <v>1050</v>
      </c>
      <c r="B51" s="1" t="s">
        <v>1</v>
      </c>
      <c r="C51" t="s">
        <v>1424</v>
      </c>
      <c r="D51" s="5" t="s">
        <v>1439</v>
      </c>
      <c r="E51" t="str">
        <f>Hoja1!D51</f>
        <v>ESPEJO REGALADO ERIKA</v>
      </c>
      <c r="F51" t="str">
        <f>Hoja1!E51</f>
        <v>IDIOMAS 2</v>
      </c>
      <c r="G51" t="str">
        <f>Hoja1!F51</f>
        <v>FEMENINO</v>
      </c>
      <c r="H51">
        <v>1</v>
      </c>
      <c r="I51" t="str">
        <f t="shared" si="3"/>
        <v>1050,'LICENCIATURA','IDIOMAS','TIDIOMAS_1','ESPEJO REGALADO ERIKA','IDIOMAS 2','FEMENINO',1</v>
      </c>
      <c r="J51" t="str">
        <f t="shared" si="4"/>
        <v>INSERT INTO profesores (id,nivel,carrera,grupo,nombre,materia,sexo,sello) VALUES (1050,'LICENCIATURA','IDIOMAS','TIDIOMAS_1','ESPEJO REGALADO ERIKA','IDIOMAS 2','FEMENINO',1);</v>
      </c>
    </row>
    <row r="52" spans="1:10" x14ac:dyDescent="0.25">
      <c r="A52">
        <f t="shared" si="5"/>
        <v>1051</v>
      </c>
      <c r="B52" s="1" t="s">
        <v>1</v>
      </c>
      <c r="C52" t="s">
        <v>1424</v>
      </c>
      <c r="D52" s="5" t="s">
        <v>1440</v>
      </c>
      <c r="E52" t="str">
        <f>Hoja1!D52</f>
        <v>CORTES VELASCO CLAUDIA PAOLA</v>
      </c>
      <c r="F52" t="str">
        <f>Hoja1!E52</f>
        <v>IDIOMAS 2</v>
      </c>
      <c r="G52" t="str">
        <f>Hoja1!F52</f>
        <v>FEMENINO</v>
      </c>
      <c r="H52">
        <v>1</v>
      </c>
      <c r="I52" t="str">
        <f t="shared" si="3"/>
        <v>1051,'LICENCIATURA','IDIOMAS','TIDIOMAS_2','CORTES VELASCO CLAUDIA PAOLA','IDIOMAS 2','FEMENINO',1</v>
      </c>
      <c r="J52" t="str">
        <f t="shared" si="4"/>
        <v>INSERT INTO profesores (id,nivel,carrera,grupo,nombre,materia,sexo,sello) VALUES (1051,'LICENCIATURA','IDIOMAS','TIDIOMAS_2','CORTES VELASCO CLAUDIA PAOLA','IDIOMAS 2','FEMENINO',1);</v>
      </c>
    </row>
    <row r="53" spans="1:10" x14ac:dyDescent="0.25">
      <c r="A53">
        <f t="shared" si="5"/>
        <v>1052</v>
      </c>
      <c r="B53" s="1" t="s">
        <v>1</v>
      </c>
      <c r="C53" t="s">
        <v>1424</v>
      </c>
      <c r="D53" s="5" t="s">
        <v>1441</v>
      </c>
      <c r="E53" t="str">
        <f>Hoja1!D53</f>
        <v>GARIBAY GARCIA GABRIELA</v>
      </c>
      <c r="F53" t="str">
        <f>Hoja1!E53</f>
        <v>IDIOMAS 2</v>
      </c>
      <c r="G53" t="str">
        <f>Hoja1!F53</f>
        <v>FEMENINO</v>
      </c>
      <c r="H53">
        <v>1</v>
      </c>
      <c r="I53" t="str">
        <f t="shared" si="3"/>
        <v>1052,'LICENCIATURA','IDIOMAS','TIDIOMAS_3','GARIBAY GARCIA GABRIELA','IDIOMAS 2','FEMENINO',1</v>
      </c>
      <c r="J53" t="str">
        <f t="shared" si="4"/>
        <v>INSERT INTO profesores (id,nivel,carrera,grupo,nombre,materia,sexo,sello) VALUES (1052,'LICENCIATURA','IDIOMAS','TIDIOMAS_3','GARIBAY GARCIA GABRIELA','IDIOMAS 2','FEMENINO',1);</v>
      </c>
    </row>
    <row r="54" spans="1:10" x14ac:dyDescent="0.25">
      <c r="A54">
        <f t="shared" si="5"/>
        <v>1053</v>
      </c>
      <c r="B54" s="1" t="s">
        <v>1</v>
      </c>
      <c r="C54" t="s">
        <v>1424</v>
      </c>
      <c r="D54" s="5" t="s">
        <v>1442</v>
      </c>
      <c r="E54" t="str">
        <f>Hoja1!D54</f>
        <v>DE LA ROSA RICARIO MELISSA</v>
      </c>
      <c r="F54" t="str">
        <f>Hoja1!E54</f>
        <v>IDIOMAS 2</v>
      </c>
      <c r="G54" t="str">
        <f>Hoja1!F54</f>
        <v>FEMENINO</v>
      </c>
      <c r="H54">
        <v>1</v>
      </c>
      <c r="I54" t="str">
        <f t="shared" si="3"/>
        <v>1053,'LICENCIATURA','IDIOMAS','TIDIOMAS_4','DE LA ROSA RICARIO MELISSA','IDIOMAS 2','FEMENINO',1</v>
      </c>
      <c r="J54" t="str">
        <f t="shared" si="4"/>
        <v>INSERT INTO profesores (id,nivel,carrera,grupo,nombre,materia,sexo,sello) VALUES (1053,'LICENCIATURA','IDIOMAS','TIDIOMAS_4','DE LA ROSA RICARIO MELISSA','IDIOMAS 2','FEMENINO',1);</v>
      </c>
    </row>
    <row r="55" spans="1:10" x14ac:dyDescent="0.25">
      <c r="A55">
        <f t="shared" si="5"/>
        <v>1054</v>
      </c>
      <c r="B55" s="1" t="s">
        <v>1</v>
      </c>
      <c r="C55" t="s">
        <v>1424</v>
      </c>
      <c r="D55" s="5" t="s">
        <v>1443</v>
      </c>
      <c r="E55" t="str">
        <f>Hoja1!D55</f>
        <v>MONCAYO TARIN ITZEL ALABAMA</v>
      </c>
      <c r="F55" t="str">
        <f>Hoja1!E55</f>
        <v>IDIOMAS 2</v>
      </c>
      <c r="G55" t="str">
        <f>Hoja1!F55</f>
        <v>FEMENINO</v>
      </c>
      <c r="H55">
        <v>1</v>
      </c>
      <c r="I55" t="str">
        <f t="shared" si="3"/>
        <v>1054,'LICENCIATURA','IDIOMAS','TIDIOMAS_5','MONCAYO TARIN ITZEL ALABAMA','IDIOMAS 2','FEMENINO',1</v>
      </c>
      <c r="J55" t="str">
        <f t="shared" si="4"/>
        <v>INSERT INTO profesores (id,nivel,carrera,grupo,nombre,materia,sexo,sello) VALUES (1054,'LICENCIATURA','IDIOMAS','TIDIOMAS_5','MONCAYO TARIN ITZEL ALABAMA','IDIOMAS 2','FEMENINO',1);</v>
      </c>
    </row>
    <row r="56" spans="1:10" x14ac:dyDescent="0.25">
      <c r="A56">
        <f t="shared" si="5"/>
        <v>1055</v>
      </c>
      <c r="B56" s="1" t="s">
        <v>1</v>
      </c>
      <c r="C56" t="s">
        <v>1424</v>
      </c>
      <c r="D56" s="5" t="s">
        <v>1444</v>
      </c>
      <c r="E56" t="str">
        <f>Hoja1!D56</f>
        <v>QUIROZ ZEPEDA JUAN PABLO</v>
      </c>
      <c r="F56" t="str">
        <f>Hoja1!E56</f>
        <v>IDIOMAS 2</v>
      </c>
      <c r="G56" t="str">
        <f>Hoja1!F56</f>
        <v>MASCULINO</v>
      </c>
      <c r="H56">
        <v>1</v>
      </c>
      <c r="I56" t="str">
        <f t="shared" si="3"/>
        <v>1055,'LICENCIATURA','IDIOMAS','TIDIOMAS_6','QUIROZ ZEPEDA JUAN PABLO','IDIOMAS 2','MASCULINO',1</v>
      </c>
      <c r="J56" t="str">
        <f t="shared" si="4"/>
        <v>INSERT INTO profesores (id,nivel,carrera,grupo,nombre,materia,sexo,sello) VALUES (1055,'LICENCIATURA','IDIOMAS','TIDIOMAS_6','QUIROZ ZEPEDA JUAN PABLO','IDIOMAS 2','MASCULINO',1);</v>
      </c>
    </row>
    <row r="57" spans="1:10" x14ac:dyDescent="0.25">
      <c r="A57">
        <f t="shared" si="5"/>
        <v>1056</v>
      </c>
      <c r="B57" s="1" t="s">
        <v>1</v>
      </c>
      <c r="C57" t="s">
        <v>1424</v>
      </c>
      <c r="D57" s="5" t="s">
        <v>1445</v>
      </c>
      <c r="E57" t="str">
        <f>Hoja1!D57</f>
        <v>JIMENEZ ROBLES LINA ADITH</v>
      </c>
      <c r="F57" t="str">
        <f>Hoja1!E57</f>
        <v>IDIOMAS 2</v>
      </c>
      <c r="G57" t="str">
        <f>Hoja1!F57</f>
        <v>FEMENINO</v>
      </c>
      <c r="H57">
        <v>1</v>
      </c>
      <c r="I57" t="str">
        <f t="shared" si="3"/>
        <v>1056,'LICENCIATURA','IDIOMAS','TIDIOMAS_7','JIMENEZ ROBLES LINA ADITH','IDIOMAS 2','FEMENINO',1</v>
      </c>
      <c r="J57" t="str">
        <f t="shared" si="4"/>
        <v>INSERT INTO profesores (id,nivel,carrera,grupo,nombre,materia,sexo,sello) VALUES (1056,'LICENCIATURA','IDIOMAS','TIDIOMAS_7','JIMENEZ ROBLES LINA ADITH','IDIOMAS 2','FEMENINO',1);</v>
      </c>
    </row>
    <row r="58" spans="1:10" x14ac:dyDescent="0.25">
      <c r="A58">
        <f t="shared" si="5"/>
        <v>1057</v>
      </c>
      <c r="B58" s="1" t="s">
        <v>1</v>
      </c>
      <c r="C58" t="str">
        <f>Hoja1!B58</f>
        <v>ADMINISTRACION Y DIRECCION DE NEGOCIOS</v>
      </c>
      <c r="D58" s="5" t="s">
        <v>1376</v>
      </c>
      <c r="E58" t="str">
        <f>Hoja1!D58</f>
        <v>DELGADO BEJAR RUTH</v>
      </c>
      <c r="F58" t="str">
        <f>Hoja1!E58</f>
        <v>CONTABILIDAD BASICA</v>
      </c>
      <c r="G58" t="str">
        <f>Hoja1!F58</f>
        <v>FEMENINO</v>
      </c>
      <c r="H58">
        <f t="shared" si="2"/>
        <v>0</v>
      </c>
      <c r="I58" t="str">
        <f t="shared" si="3"/>
        <v>1057,'LICENCIATURA','ADMINISTRACION Y DIRECCION DE NEGOCIOS','ADMON 2°','DELGADO BEJAR RUTH','CONTABILIDAD BASICA','FEMENINO',0</v>
      </c>
      <c r="J58" t="str">
        <f t="shared" si="4"/>
        <v>INSERT INTO profesores (id,nivel,carrera,grupo,nombre,materia,sexo,sello) VALUES (1057,'LICENCIATURA','ADMINISTRACION Y DIRECCION DE NEGOCIOS','ADMON 2°','DELGADO BEJAR RUTH','CONTABILIDAD BASICA','FEMENINO',0);</v>
      </c>
    </row>
    <row r="59" spans="1:10" x14ac:dyDescent="0.25">
      <c r="A59">
        <f t="shared" si="5"/>
        <v>1058</v>
      </c>
      <c r="B59" s="1" t="s">
        <v>1</v>
      </c>
      <c r="C59" t="str">
        <f>Hoja1!B59</f>
        <v>ADMINISTRACION Y DIRECCION DE NEGOCIOS</v>
      </c>
      <c r="D59" s="5" t="s">
        <v>1376</v>
      </c>
      <c r="E59" t="str">
        <f>Hoja1!D59</f>
        <v>ESCARCEGA GARCIA DE LEON MIGUEL ANGEL</v>
      </c>
      <c r="F59" t="str">
        <f>Hoja1!E59</f>
        <v>ESTADISTICA I</v>
      </c>
      <c r="G59" t="str">
        <f>Hoja1!F59</f>
        <v>MASCULINO</v>
      </c>
      <c r="H59">
        <f t="shared" si="2"/>
        <v>0</v>
      </c>
      <c r="I59" t="str">
        <f t="shared" si="3"/>
        <v>1058,'LICENCIATURA','ADMINISTRACION Y DIRECCION DE NEGOCIOS','ADMON 2°','ESCARCEGA GARCIA DE LEON MIGUEL ANGEL','ESTADISTICA I','MASCULINO',0</v>
      </c>
      <c r="J59" t="str">
        <f t="shared" si="4"/>
        <v>INSERT INTO profesores (id,nivel,carrera,grupo,nombre,materia,sexo,sello) VALUES (1058,'LICENCIATURA','ADMINISTRACION Y DIRECCION DE NEGOCIOS','ADMON 2°','ESCARCEGA GARCIA DE LEON MIGUEL ANGEL','ESTADISTICA I','MASCULINO',0);</v>
      </c>
    </row>
    <row r="60" spans="1:10" x14ac:dyDescent="0.25">
      <c r="A60">
        <f t="shared" si="5"/>
        <v>1059</v>
      </c>
      <c r="B60" s="1" t="s">
        <v>1</v>
      </c>
      <c r="C60" t="str">
        <f>Hoja1!B60</f>
        <v>ADMINISTRACION Y DIRECCION DE NEGOCIOS</v>
      </c>
      <c r="D60" s="5" t="s">
        <v>1376</v>
      </c>
      <c r="E60" t="str">
        <f>Hoja1!D60</f>
        <v>LUA HERRERA LILIANA</v>
      </c>
      <c r="F60" t="str">
        <f>Hoja1!E60</f>
        <v>MATEMATICAS FINANCIERAS</v>
      </c>
      <c r="G60" t="str">
        <f>Hoja1!F60</f>
        <v>FEMENINO</v>
      </c>
      <c r="H60">
        <f t="shared" si="2"/>
        <v>0</v>
      </c>
      <c r="I60" t="str">
        <f t="shared" si="3"/>
        <v>1059,'LICENCIATURA','ADMINISTRACION Y DIRECCION DE NEGOCIOS','ADMON 2°','LUA HERRERA LILIANA','MATEMATICAS FINANCIERAS','FEMENINO',0</v>
      </c>
      <c r="J60" t="str">
        <f t="shared" si="4"/>
        <v>INSERT INTO profesores (id,nivel,carrera,grupo,nombre,materia,sexo,sello) VALUES (1059,'LICENCIATURA','ADMINISTRACION Y DIRECCION DE NEGOCIOS','ADMON 2°','LUA HERRERA LILIANA','MATEMATICAS FINANCIERAS','FEMENINO',0);</v>
      </c>
    </row>
    <row r="61" spans="1:10" x14ac:dyDescent="0.25">
      <c r="A61">
        <f t="shared" si="5"/>
        <v>1060</v>
      </c>
      <c r="B61" s="1" t="s">
        <v>1</v>
      </c>
      <c r="C61" t="str">
        <f>Hoja1!B61</f>
        <v>ADMINISTRACION Y DIRECCION DE NEGOCIOS</v>
      </c>
      <c r="D61" s="5" t="s">
        <v>1376</v>
      </c>
      <c r="E61" t="str">
        <f>Hoja1!D61</f>
        <v>MORENO CORRAL ALVARO</v>
      </c>
      <c r="F61" t="str">
        <f>Hoja1!E61</f>
        <v>PLANEACION ESTRATEGICA</v>
      </c>
      <c r="G61" t="str">
        <f>Hoja1!F61</f>
        <v>MASCULINO</v>
      </c>
      <c r="H61">
        <f t="shared" si="2"/>
        <v>0</v>
      </c>
      <c r="I61" t="str">
        <f t="shared" si="3"/>
        <v>1060,'LICENCIATURA','ADMINISTRACION Y DIRECCION DE NEGOCIOS','ADMON 2°','MORENO CORRAL ALVARO','PLANEACION ESTRATEGICA','MASCULINO',0</v>
      </c>
      <c r="J61" t="str">
        <f t="shared" si="4"/>
        <v>INSERT INTO profesores (id,nivel,carrera,grupo,nombre,materia,sexo,sello) VALUES (1060,'LICENCIATURA','ADMINISTRACION Y DIRECCION DE NEGOCIOS','ADMON 2°','MORENO CORRAL ALVARO','PLANEACION ESTRATEGICA','MASCULINO',0);</v>
      </c>
    </row>
    <row r="62" spans="1:10" x14ac:dyDescent="0.25">
      <c r="A62">
        <f t="shared" si="5"/>
        <v>1061</v>
      </c>
      <c r="B62" s="1" t="s">
        <v>1</v>
      </c>
      <c r="C62" t="str">
        <f>Hoja1!B62</f>
        <v>ADMINISTRACION Y DIRECCION DE NEGOCIOS</v>
      </c>
      <c r="D62" s="5" t="s">
        <v>1376</v>
      </c>
      <c r="E62" t="str">
        <f>Hoja1!D62</f>
        <v>OROZCO DIAZ BEATRIZ IRENE</v>
      </c>
      <c r="F62" t="str">
        <f>Hoja1!E62</f>
        <v>DERECHO MERCANTIL</v>
      </c>
      <c r="G62" t="str">
        <f>Hoja1!F62</f>
        <v>FEMENINO</v>
      </c>
      <c r="H62">
        <f t="shared" si="2"/>
        <v>0</v>
      </c>
      <c r="I62" t="str">
        <f t="shared" si="3"/>
        <v>1061,'LICENCIATURA','ADMINISTRACION Y DIRECCION DE NEGOCIOS','ADMON 2°','OROZCO DIAZ BEATRIZ IRENE','DERECHO MERCANTIL','FEMENINO',0</v>
      </c>
      <c r="J62" t="str">
        <f t="shared" si="4"/>
        <v>INSERT INTO profesores (id,nivel,carrera,grupo,nombre,materia,sexo,sello) VALUES (1061,'LICENCIATURA','ADMINISTRACION Y DIRECCION DE NEGOCIOS','ADMON 2°','OROZCO DIAZ BEATRIZ IRENE','DERECHO MERCANTIL','FEMENINO',0);</v>
      </c>
    </row>
    <row r="63" spans="1:10" x14ac:dyDescent="0.25">
      <c r="A63">
        <f t="shared" si="5"/>
        <v>1062</v>
      </c>
      <c r="B63" s="1" t="s">
        <v>1</v>
      </c>
      <c r="C63" t="str">
        <f>Hoja1!B63</f>
        <v>ADMINISTRACION Y DIRECCION DE NEGOCIOS</v>
      </c>
      <c r="D63" s="5" t="s">
        <v>1376</v>
      </c>
      <c r="E63" t="str">
        <f>Hoja1!D63</f>
        <v>PADILLA MARTINEZ ELSA GEORGINA</v>
      </c>
      <c r="F63" t="str">
        <f>Hoja1!E63</f>
        <v>DISEÑO DE ESTRUCTURAS Y SISTEMAS ADMINISTRATIVOS</v>
      </c>
      <c r="G63" t="str">
        <f>Hoja1!F63</f>
        <v>FEMENINO</v>
      </c>
      <c r="H63">
        <f t="shared" si="2"/>
        <v>0</v>
      </c>
      <c r="I63" t="str">
        <f t="shared" si="3"/>
        <v>1062,'LICENCIATURA','ADMINISTRACION Y DIRECCION DE NEGOCIOS','ADMON 2°','PADILLA MARTINEZ ELSA GEORGINA','DISEÑO DE ESTRUCTURAS Y SISTEMAS ADMINISTRATIVOS','FEMENINO',0</v>
      </c>
      <c r="J63" t="str">
        <f t="shared" si="4"/>
        <v>INSERT INTO profesores (id,nivel,carrera,grupo,nombre,materia,sexo,sello) VALUES (1062,'LICENCIATURA','ADMINISTRACION Y DIRECCION DE NEGOCIOS','ADMON 2°','PADILLA MARTINEZ ELSA GEORGINA','DISEÑO DE ESTRUCTURAS Y SISTEMAS ADMINISTRATIVOS','FEMENINO',0);</v>
      </c>
    </row>
    <row r="64" spans="1:10" x14ac:dyDescent="0.25">
      <c r="A64">
        <f t="shared" si="5"/>
        <v>1063</v>
      </c>
      <c r="B64" s="1" t="s">
        <v>1</v>
      </c>
      <c r="C64" t="str">
        <f>Hoja1!B64</f>
        <v>ADMINISTRACION Y DIRECCION DE NEGOCIOS</v>
      </c>
      <c r="D64" s="5" t="s">
        <v>1376</v>
      </c>
      <c r="E64" t="str">
        <f>Hoja1!D64</f>
        <v>RODRIGUEZ ROMERO DENIS PAUL</v>
      </c>
      <c r="F64" t="str">
        <f>Hoja1!E64</f>
        <v>ECONOMIA MEXICANA Y DESARROLLO</v>
      </c>
      <c r="G64" t="str">
        <f>Hoja1!F64</f>
        <v>MASCULINO</v>
      </c>
      <c r="H64">
        <f t="shared" si="2"/>
        <v>0</v>
      </c>
      <c r="I64" t="str">
        <f t="shared" si="3"/>
        <v>1063,'LICENCIATURA','ADMINISTRACION Y DIRECCION DE NEGOCIOS','ADMON 2°','RODRIGUEZ ROMERO DENIS PAUL','ECONOMIA MEXICANA Y DESARROLLO','MASCULINO',0</v>
      </c>
      <c r="J64" t="str">
        <f t="shared" si="4"/>
        <v>INSERT INTO profesores (id,nivel,carrera,grupo,nombre,materia,sexo,sello) VALUES (1063,'LICENCIATURA','ADMINISTRACION Y DIRECCION DE NEGOCIOS','ADMON 2°','RODRIGUEZ ROMERO DENIS PAUL','ECONOMIA MEXICANA Y DESARROLLO','MASCULINO',0);</v>
      </c>
    </row>
    <row r="65" spans="1:10" x14ac:dyDescent="0.25">
      <c r="A65">
        <f t="shared" si="5"/>
        <v>1064</v>
      </c>
      <c r="B65" s="1" t="s">
        <v>1</v>
      </c>
      <c r="C65" t="str">
        <f>Hoja1!B65</f>
        <v>ADMINISTRACION Y DIRECCION DE NEGOCIOS</v>
      </c>
      <c r="D65" s="5" t="s">
        <v>1377</v>
      </c>
      <c r="E65" t="str">
        <f>Hoja1!D65</f>
        <v>ESCARCEGA GARCIA DE LEON MIGUEL ANGEL</v>
      </c>
      <c r="F65" t="str">
        <f>Hoja1!E65</f>
        <v>FUNDAMENTOS DE MERCADOTECNIA</v>
      </c>
      <c r="G65" t="str">
        <f>Hoja1!F65</f>
        <v>MASCULINO</v>
      </c>
      <c r="H65">
        <f t="shared" si="2"/>
        <v>0</v>
      </c>
      <c r="I65" t="str">
        <f t="shared" si="3"/>
        <v>1064,'LICENCIATURA','ADMINISTRACION Y DIRECCION DE NEGOCIOS','ADMON 4°','ESCARCEGA GARCIA DE LEON MIGUEL ANGEL','FUNDAMENTOS DE MERCADOTECNIA','MASCULINO',0</v>
      </c>
      <c r="J65" t="str">
        <f t="shared" si="4"/>
        <v>INSERT INTO profesores (id,nivel,carrera,grupo,nombre,materia,sexo,sello) VALUES (1064,'LICENCIATURA','ADMINISTRACION Y DIRECCION DE NEGOCIOS','ADMON 4°','ESCARCEGA GARCIA DE LEON MIGUEL ANGEL','FUNDAMENTOS DE MERCADOTECNIA','MASCULINO',0);</v>
      </c>
    </row>
    <row r="66" spans="1:10" x14ac:dyDescent="0.25">
      <c r="A66">
        <f t="shared" si="5"/>
        <v>1065</v>
      </c>
      <c r="B66" s="1" t="s">
        <v>1</v>
      </c>
      <c r="C66" t="str">
        <f>Hoja1!B66</f>
        <v>ADMINISTRACION Y DIRECCION DE NEGOCIOS</v>
      </c>
      <c r="D66" s="5" t="s">
        <v>1377</v>
      </c>
      <c r="E66" t="str">
        <f>Hoja1!D66</f>
        <v>GUILLEN LAGUNES JOSE JAVIER</v>
      </c>
      <c r="F66" t="str">
        <f>Hoja1!E66</f>
        <v>DIAGNOSTICO Y DESARROLLO ORGANIZACIONAL</v>
      </c>
      <c r="G66" t="str">
        <f>Hoja1!F66</f>
        <v>MASCULINO</v>
      </c>
      <c r="H66">
        <f t="shared" si="2"/>
        <v>0</v>
      </c>
      <c r="I66" t="str">
        <f t="shared" si="3"/>
        <v>1065,'LICENCIATURA','ADMINISTRACION Y DIRECCION DE NEGOCIOS','ADMON 4°','GUILLEN LAGUNES JOSE JAVIER','DIAGNOSTICO Y DESARROLLO ORGANIZACIONAL','MASCULINO',0</v>
      </c>
      <c r="J66" t="str">
        <f t="shared" si="4"/>
        <v>INSERT INTO profesores (id,nivel,carrera,grupo,nombre,materia,sexo,sello) VALUES (1065,'LICENCIATURA','ADMINISTRACION Y DIRECCION DE NEGOCIOS','ADMON 4°','GUILLEN LAGUNES JOSE JAVIER','DIAGNOSTICO Y DESARROLLO ORGANIZACIONAL','MASCULINO',0);</v>
      </c>
    </row>
    <row r="67" spans="1:10" x14ac:dyDescent="0.25">
      <c r="A67">
        <f t="shared" si="5"/>
        <v>1066</v>
      </c>
      <c r="B67" s="1" t="s">
        <v>1</v>
      </c>
      <c r="C67" t="str">
        <f>Hoja1!B67</f>
        <v>ADMINISTRACION Y DIRECCION DE NEGOCIOS</v>
      </c>
      <c r="D67" s="5" t="s">
        <v>1377</v>
      </c>
      <c r="E67" t="str">
        <f>Hoja1!D67</f>
        <v>LUA HERRERA LILIANA</v>
      </c>
      <c r="F67" t="str">
        <f>Hoja1!E67</f>
        <v>DERECHO TRIBUTARIO</v>
      </c>
      <c r="G67" t="str">
        <f>Hoja1!F67</f>
        <v>FEMENINO</v>
      </c>
      <c r="H67">
        <f t="shared" ref="H67:H130" si="6">IF(C67="MATERIAS INSTITUCIONALES",1,0)</f>
        <v>0</v>
      </c>
      <c r="I67" t="str">
        <f t="shared" ref="I67:I130" si="7">CONCATENATE(A67,",'",B67,"','",C67,"','",D67,",'",E67,"','",F67,"','",G67,"',",H67)</f>
        <v>1066,'LICENCIATURA','ADMINISTRACION Y DIRECCION DE NEGOCIOS','ADMON 4°','LUA HERRERA LILIANA','DERECHO TRIBUTARIO','FEMENINO',0</v>
      </c>
      <c r="J67" t="str">
        <f t="shared" ref="J67:J130" si="8">CONCATENATE($I$1,I67,");")</f>
        <v>INSERT INTO profesores (id,nivel,carrera,grupo,nombre,materia,sexo,sello) VALUES (1066,'LICENCIATURA','ADMINISTRACION Y DIRECCION DE NEGOCIOS','ADMON 4°','LUA HERRERA LILIANA','DERECHO TRIBUTARIO','FEMENINO',0);</v>
      </c>
    </row>
    <row r="68" spans="1:10" x14ac:dyDescent="0.25">
      <c r="A68">
        <f t="shared" ref="A68:A131" si="9">A67+1</f>
        <v>1067</v>
      </c>
      <c r="B68" s="1" t="s">
        <v>1</v>
      </c>
      <c r="C68" t="str">
        <f>Hoja1!B68</f>
        <v>ADMINISTRACION Y DIRECCION DE NEGOCIOS</v>
      </c>
      <c r="D68" s="5" t="s">
        <v>1377</v>
      </c>
      <c r="E68" t="str">
        <f>Hoja1!D68</f>
        <v>MAGALLON RAMIREZ MARIA DEL CARMEN</v>
      </c>
      <c r="F68" t="str">
        <f>Hoja1!E68</f>
        <v>GESTIÓN FINANCIERA</v>
      </c>
      <c r="G68" t="str">
        <f>Hoja1!F68</f>
        <v>FEMENINO</v>
      </c>
      <c r="H68">
        <f t="shared" si="6"/>
        <v>0</v>
      </c>
      <c r="I68" t="str">
        <f t="shared" si="7"/>
        <v>1067,'LICENCIATURA','ADMINISTRACION Y DIRECCION DE NEGOCIOS','ADMON 4°','MAGALLON RAMIREZ MARIA DEL CARMEN','GESTIÓN FINANCIERA','FEMENINO',0</v>
      </c>
      <c r="J68" t="str">
        <f t="shared" si="8"/>
        <v>INSERT INTO profesores (id,nivel,carrera,grupo,nombre,materia,sexo,sello) VALUES (1067,'LICENCIATURA','ADMINISTRACION Y DIRECCION DE NEGOCIOS','ADMON 4°','MAGALLON RAMIREZ MARIA DEL CARMEN','GESTIÓN FINANCIERA','FEMENINO',0);</v>
      </c>
    </row>
    <row r="69" spans="1:10" x14ac:dyDescent="0.25">
      <c r="A69">
        <f t="shared" si="9"/>
        <v>1068</v>
      </c>
      <c r="B69" s="1" t="s">
        <v>1</v>
      </c>
      <c r="C69" t="str">
        <f>Hoja1!B69</f>
        <v>ADMINISTRACION Y DIRECCION DE NEGOCIOS</v>
      </c>
      <c r="D69" s="5" t="s">
        <v>1377</v>
      </c>
      <c r="E69" t="str">
        <f>Hoja1!D69</f>
        <v>RODRIGUEZ ROMERO DENIS PAUL</v>
      </c>
      <c r="F69" t="str">
        <f>Hoja1!E69</f>
        <v>PRESUPUESTOS</v>
      </c>
      <c r="G69" t="str">
        <f>Hoja1!F69</f>
        <v>MASCULINO</v>
      </c>
      <c r="H69">
        <f t="shared" si="6"/>
        <v>0</v>
      </c>
      <c r="I69" t="str">
        <f t="shared" si="7"/>
        <v>1068,'LICENCIATURA','ADMINISTRACION Y DIRECCION DE NEGOCIOS','ADMON 4°','RODRIGUEZ ROMERO DENIS PAUL','PRESUPUESTOS','MASCULINO',0</v>
      </c>
      <c r="J69" t="str">
        <f t="shared" si="8"/>
        <v>INSERT INTO profesores (id,nivel,carrera,grupo,nombre,materia,sexo,sello) VALUES (1068,'LICENCIATURA','ADMINISTRACION Y DIRECCION DE NEGOCIOS','ADMON 4°','RODRIGUEZ ROMERO DENIS PAUL','PRESUPUESTOS','MASCULINO',0);</v>
      </c>
    </row>
    <row r="70" spans="1:10" x14ac:dyDescent="0.25">
      <c r="A70">
        <f t="shared" si="9"/>
        <v>1069</v>
      </c>
      <c r="B70" s="1" t="s">
        <v>1</v>
      </c>
      <c r="C70" t="str">
        <f>Hoja1!B70</f>
        <v>ADMINISTRACION Y DIRECCION DE NEGOCIOS</v>
      </c>
      <c r="D70" s="5" t="s">
        <v>1377</v>
      </c>
      <c r="E70" t="str">
        <f>Hoja1!D70</f>
        <v>TORRES FERNANDEZ CLAUDIA CECILIA</v>
      </c>
      <c r="F70" t="str">
        <f>Hoja1!E70</f>
        <v>DIRECCIÓN DE NEGOCIOS ELECTRÓNICOS</v>
      </c>
      <c r="G70" t="str">
        <f>Hoja1!F70</f>
        <v>FEMENINO</v>
      </c>
      <c r="H70">
        <f t="shared" si="6"/>
        <v>0</v>
      </c>
      <c r="I70" t="str">
        <f t="shared" si="7"/>
        <v>1069,'LICENCIATURA','ADMINISTRACION Y DIRECCION DE NEGOCIOS','ADMON 4°','TORRES FERNANDEZ CLAUDIA CECILIA','DIRECCIÓN DE NEGOCIOS ELECTRÓNICOS','FEMENINO',0</v>
      </c>
      <c r="J70" t="str">
        <f t="shared" si="8"/>
        <v>INSERT INTO profesores (id,nivel,carrera,grupo,nombre,materia,sexo,sello) VALUES (1069,'LICENCIATURA','ADMINISTRACION Y DIRECCION DE NEGOCIOS','ADMON 4°','TORRES FERNANDEZ CLAUDIA CECILIA','DIRECCIÓN DE NEGOCIOS ELECTRÓNICOS','FEMENINO',0);</v>
      </c>
    </row>
    <row r="71" spans="1:10" x14ac:dyDescent="0.25">
      <c r="A71">
        <f t="shared" si="9"/>
        <v>1070</v>
      </c>
      <c r="B71" s="1" t="s">
        <v>1</v>
      </c>
      <c r="C71" t="str">
        <f>Hoja1!B71</f>
        <v>ADMINISTRACION Y DIRECCION DE NEGOCIOS</v>
      </c>
      <c r="D71" s="5" t="s">
        <v>1378</v>
      </c>
      <c r="E71" t="str">
        <f>Hoja1!D71</f>
        <v>BUENROSTRO OLMOS JOSE LEONEL</v>
      </c>
      <c r="F71" t="str">
        <f>Hoja1!E71</f>
        <v>MEGA DATOS Y ANALITICA</v>
      </c>
      <c r="G71" t="str">
        <f>Hoja1!F71</f>
        <v>MASCULINO</v>
      </c>
      <c r="H71">
        <f t="shared" si="6"/>
        <v>0</v>
      </c>
      <c r="I71" t="str">
        <f t="shared" si="7"/>
        <v>1070,'LICENCIATURA','ADMINISTRACION Y DIRECCION DE NEGOCIOS','ADMON 6°','BUENROSTRO OLMOS JOSE LEONEL','MEGA DATOS Y ANALITICA','MASCULINO',0</v>
      </c>
      <c r="J71" t="str">
        <f t="shared" si="8"/>
        <v>INSERT INTO profesores (id,nivel,carrera,grupo,nombre,materia,sexo,sello) VALUES (1070,'LICENCIATURA','ADMINISTRACION Y DIRECCION DE NEGOCIOS','ADMON 6°','BUENROSTRO OLMOS JOSE LEONEL','MEGA DATOS Y ANALITICA','MASCULINO',0);</v>
      </c>
    </row>
    <row r="72" spans="1:10" x14ac:dyDescent="0.25">
      <c r="A72">
        <f t="shared" si="9"/>
        <v>1071</v>
      </c>
      <c r="B72" s="1" t="s">
        <v>1</v>
      </c>
      <c r="C72" t="str">
        <f>Hoja1!B72</f>
        <v>ADMINISTRACION Y DIRECCION DE NEGOCIOS</v>
      </c>
      <c r="D72" s="5" t="s">
        <v>1378</v>
      </c>
      <c r="E72" t="str">
        <f>Hoja1!D72</f>
        <v>GOMEZ LEDEZMA JESUS ALEJANDRO</v>
      </c>
      <c r="F72" t="str">
        <f>Hoja1!E72</f>
        <v>ADMINISTRACION DE LA CALIDAD II</v>
      </c>
      <c r="G72" t="str">
        <f>Hoja1!F72</f>
        <v>MASCULINO</v>
      </c>
      <c r="H72">
        <f t="shared" si="6"/>
        <v>0</v>
      </c>
      <c r="I72" t="str">
        <f t="shared" si="7"/>
        <v>1071,'LICENCIATURA','ADMINISTRACION Y DIRECCION DE NEGOCIOS','ADMON 6°','GOMEZ LEDEZMA JESUS ALEJANDRO','ADMINISTRACION DE LA CALIDAD II','MASCULINO',0</v>
      </c>
      <c r="J72" t="str">
        <f t="shared" si="8"/>
        <v>INSERT INTO profesores (id,nivel,carrera,grupo,nombre,materia,sexo,sello) VALUES (1071,'LICENCIATURA','ADMINISTRACION Y DIRECCION DE NEGOCIOS','ADMON 6°','GOMEZ LEDEZMA JESUS ALEJANDRO','ADMINISTRACION DE LA CALIDAD II','MASCULINO',0);</v>
      </c>
    </row>
    <row r="73" spans="1:10" x14ac:dyDescent="0.25">
      <c r="A73">
        <f t="shared" si="9"/>
        <v>1072</v>
      </c>
      <c r="B73" s="1" t="s">
        <v>1</v>
      </c>
      <c r="C73" t="str">
        <f>Hoja1!B73</f>
        <v>ADMINISTRACION Y DIRECCION DE NEGOCIOS</v>
      </c>
      <c r="D73" s="5" t="s">
        <v>1378</v>
      </c>
      <c r="E73" t="str">
        <f>Hoja1!D73</f>
        <v>GUILLEN LAGUNES JOSE JAVIER</v>
      </c>
      <c r="F73" t="str">
        <f>Hoja1!E73</f>
        <v>DIRECCION DEL CAPITAL HUMANO II</v>
      </c>
      <c r="G73" t="str">
        <f>Hoja1!F73</f>
        <v>MASCULINO</v>
      </c>
      <c r="H73">
        <f t="shared" si="6"/>
        <v>0</v>
      </c>
      <c r="I73" t="str">
        <f t="shared" si="7"/>
        <v>1072,'LICENCIATURA','ADMINISTRACION Y DIRECCION DE NEGOCIOS','ADMON 6°','GUILLEN LAGUNES JOSE JAVIER','DIRECCION DEL CAPITAL HUMANO II','MASCULINO',0</v>
      </c>
      <c r="J73" t="str">
        <f t="shared" si="8"/>
        <v>INSERT INTO profesores (id,nivel,carrera,grupo,nombre,materia,sexo,sello) VALUES (1072,'LICENCIATURA','ADMINISTRACION Y DIRECCION DE NEGOCIOS','ADMON 6°','GUILLEN LAGUNES JOSE JAVIER','DIRECCION DEL CAPITAL HUMANO II','MASCULINO',0);</v>
      </c>
    </row>
    <row r="74" spans="1:10" x14ac:dyDescent="0.25">
      <c r="A74">
        <f t="shared" si="9"/>
        <v>1073</v>
      </c>
      <c r="B74" s="1" t="s">
        <v>1</v>
      </c>
      <c r="C74" t="str">
        <f>Hoja1!B74</f>
        <v>ADMINISTRACION Y DIRECCION DE NEGOCIOS</v>
      </c>
      <c r="D74" s="5" t="s">
        <v>1378</v>
      </c>
      <c r="E74" t="str">
        <f>Hoja1!D74</f>
        <v>MORENO CORRAL ALVARO</v>
      </c>
      <c r="F74" t="str">
        <f>Hoja1!E74</f>
        <v>PLANEACION DE LA PRODUCCION</v>
      </c>
      <c r="G74" t="str">
        <f>Hoja1!F74</f>
        <v>MASCULINO</v>
      </c>
      <c r="H74">
        <f t="shared" si="6"/>
        <v>0</v>
      </c>
      <c r="I74" t="str">
        <f t="shared" si="7"/>
        <v>1073,'LICENCIATURA','ADMINISTRACION Y DIRECCION DE NEGOCIOS','ADMON 6°','MORENO CORRAL ALVARO','PLANEACION DE LA PRODUCCION','MASCULINO',0</v>
      </c>
      <c r="J74" t="str">
        <f t="shared" si="8"/>
        <v>INSERT INTO profesores (id,nivel,carrera,grupo,nombre,materia,sexo,sello) VALUES (1073,'LICENCIATURA','ADMINISTRACION Y DIRECCION DE NEGOCIOS','ADMON 6°','MORENO CORRAL ALVARO','PLANEACION DE LA PRODUCCION','MASCULINO',0);</v>
      </c>
    </row>
    <row r="75" spans="1:10" x14ac:dyDescent="0.25">
      <c r="A75">
        <f t="shared" si="9"/>
        <v>1074</v>
      </c>
      <c r="B75" s="1" t="s">
        <v>1</v>
      </c>
      <c r="C75" t="str">
        <f>Hoja1!B75</f>
        <v>ADMINISTRACION Y DIRECCION DE NEGOCIOS</v>
      </c>
      <c r="D75" s="5" t="s">
        <v>1378</v>
      </c>
      <c r="E75" t="str">
        <f>Hoja1!D75</f>
        <v>RODRIGUEZ ROMERO DENIS PAUL</v>
      </c>
      <c r="F75" t="str">
        <f>Hoja1!E75</f>
        <v>MERCADOTECNIA DIGITAL</v>
      </c>
      <c r="G75" t="str">
        <f>Hoja1!F75</f>
        <v>MASCULINO</v>
      </c>
      <c r="H75">
        <f t="shared" si="6"/>
        <v>0</v>
      </c>
      <c r="I75" t="str">
        <f t="shared" si="7"/>
        <v>1074,'LICENCIATURA','ADMINISTRACION Y DIRECCION DE NEGOCIOS','ADMON 6°','RODRIGUEZ ROMERO DENIS PAUL','MERCADOTECNIA DIGITAL','MASCULINO',0</v>
      </c>
      <c r="J75" t="str">
        <f t="shared" si="8"/>
        <v>INSERT INTO profesores (id,nivel,carrera,grupo,nombre,materia,sexo,sello) VALUES (1074,'LICENCIATURA','ADMINISTRACION Y DIRECCION DE NEGOCIOS','ADMON 6°','RODRIGUEZ ROMERO DENIS PAUL','MERCADOTECNIA DIGITAL','MASCULINO',0);</v>
      </c>
    </row>
    <row r="76" spans="1:10" x14ac:dyDescent="0.25">
      <c r="A76">
        <f t="shared" si="9"/>
        <v>1075</v>
      </c>
      <c r="B76" s="1" t="s">
        <v>1</v>
      </c>
      <c r="C76" t="str">
        <f>Hoja1!B76</f>
        <v>ADMINISTRACION Y DIRECCION DE NEGOCIOS</v>
      </c>
      <c r="D76" s="5" t="s">
        <v>1378</v>
      </c>
      <c r="E76" t="str">
        <f>Hoja1!D76</f>
        <v>ROMERO MACIEL LORENZA DE LA LUZ</v>
      </c>
      <c r="F76" t="str">
        <f>Hoja1!E76</f>
        <v>FUNDAMENTOS DEL DERECHO ADUANERO</v>
      </c>
      <c r="G76" t="str">
        <f>Hoja1!F76</f>
        <v>FEMENINO</v>
      </c>
      <c r="H76">
        <f t="shared" si="6"/>
        <v>0</v>
      </c>
      <c r="I76" t="str">
        <f t="shared" si="7"/>
        <v>1075,'LICENCIATURA','ADMINISTRACION Y DIRECCION DE NEGOCIOS','ADMON 6°','ROMERO MACIEL LORENZA DE LA LUZ','FUNDAMENTOS DEL DERECHO ADUANERO','FEMENINO',0</v>
      </c>
      <c r="J76" t="str">
        <f t="shared" si="8"/>
        <v>INSERT INTO profesores (id,nivel,carrera,grupo,nombre,materia,sexo,sello) VALUES (1075,'LICENCIATURA','ADMINISTRACION Y DIRECCION DE NEGOCIOS','ADMON 6°','ROMERO MACIEL LORENZA DE LA LUZ','FUNDAMENTOS DEL DERECHO ADUANERO','FEMENINO',0);</v>
      </c>
    </row>
    <row r="77" spans="1:10" x14ac:dyDescent="0.25">
      <c r="A77">
        <f t="shared" si="9"/>
        <v>1076</v>
      </c>
      <c r="B77" s="1" t="s">
        <v>1</v>
      </c>
      <c r="C77" t="str">
        <f>Hoja1!B77</f>
        <v>ADMINISTRACION Y DIRECCION DE NEGOCIOS</v>
      </c>
      <c r="D77" s="5" t="s">
        <v>1379</v>
      </c>
      <c r="E77" t="str">
        <f>Hoja1!D77</f>
        <v>ACEVES REYNAGA DAVID EDUARDO</v>
      </c>
      <c r="F77" t="str">
        <f>Hoja1!E77</f>
        <v>TOPICOS DE ACTUALIDAD</v>
      </c>
      <c r="G77" t="str">
        <f>Hoja1!F77</f>
        <v>MASCULINO</v>
      </c>
      <c r="H77">
        <f t="shared" si="6"/>
        <v>0</v>
      </c>
      <c r="I77" t="str">
        <f t="shared" si="7"/>
        <v>1076,'LICENCIATURA','ADMINISTRACION Y DIRECCION DE NEGOCIOS','ADMON 8°','ACEVES REYNAGA DAVID EDUARDO','TOPICOS DE ACTUALIDAD','MASCULINO',0</v>
      </c>
      <c r="J77" t="str">
        <f t="shared" si="8"/>
        <v>INSERT INTO profesores (id,nivel,carrera,grupo,nombre,materia,sexo,sello) VALUES (1076,'LICENCIATURA','ADMINISTRACION Y DIRECCION DE NEGOCIOS','ADMON 8°','ACEVES REYNAGA DAVID EDUARDO','TOPICOS DE ACTUALIDAD','MASCULINO',0);</v>
      </c>
    </row>
    <row r="78" spans="1:10" x14ac:dyDescent="0.25">
      <c r="A78">
        <f t="shared" si="9"/>
        <v>1077</v>
      </c>
      <c r="B78" s="1" t="s">
        <v>1</v>
      </c>
      <c r="C78" t="str">
        <f>Hoja1!B78</f>
        <v>ADMINISTRACION Y DIRECCION DE NEGOCIOS</v>
      </c>
      <c r="D78" s="5" t="s">
        <v>1379</v>
      </c>
      <c r="E78" t="str">
        <f>Hoja1!D78</f>
        <v>GUILLEN LAGUNES JOSE JAVIER</v>
      </c>
      <c r="F78" t="str">
        <f>Hoja1!E78</f>
        <v>GOBIERNO CORPORATIVO</v>
      </c>
      <c r="G78" t="str">
        <f>Hoja1!F78</f>
        <v>MASCULINO</v>
      </c>
      <c r="H78">
        <f t="shared" si="6"/>
        <v>0</v>
      </c>
      <c r="I78" t="str">
        <f t="shared" si="7"/>
        <v>1077,'LICENCIATURA','ADMINISTRACION Y DIRECCION DE NEGOCIOS','ADMON 8°','GUILLEN LAGUNES JOSE JAVIER','GOBIERNO CORPORATIVO','MASCULINO',0</v>
      </c>
      <c r="J78" t="str">
        <f t="shared" si="8"/>
        <v>INSERT INTO profesores (id,nivel,carrera,grupo,nombre,materia,sexo,sello) VALUES (1077,'LICENCIATURA','ADMINISTRACION Y DIRECCION DE NEGOCIOS','ADMON 8°','GUILLEN LAGUNES JOSE JAVIER','GOBIERNO CORPORATIVO','MASCULINO',0);</v>
      </c>
    </row>
    <row r="79" spans="1:10" x14ac:dyDescent="0.25">
      <c r="A79">
        <f t="shared" si="9"/>
        <v>1078</v>
      </c>
      <c r="B79" s="1" t="s">
        <v>1</v>
      </c>
      <c r="C79" t="str">
        <f>Hoja1!B79</f>
        <v>ADMINISTRACION Y DIRECCION DE NEGOCIOS</v>
      </c>
      <c r="D79" s="5" t="s">
        <v>1379</v>
      </c>
      <c r="E79" t="str">
        <f>Hoja1!D79</f>
        <v>PADILLA MARTINEZ ELSA GEORGINA</v>
      </c>
      <c r="F79" t="str">
        <f>Hoja1!E79</f>
        <v>GESTION DE LA CONSULTORIA Y AUDITORIA</v>
      </c>
      <c r="G79" t="str">
        <f>Hoja1!F79</f>
        <v>FEMENINO</v>
      </c>
      <c r="H79">
        <f t="shared" si="6"/>
        <v>0</v>
      </c>
      <c r="I79" t="str">
        <f t="shared" si="7"/>
        <v>1078,'LICENCIATURA','ADMINISTRACION Y DIRECCION DE NEGOCIOS','ADMON 8°','PADILLA MARTINEZ ELSA GEORGINA','GESTION DE LA CONSULTORIA Y AUDITORIA','FEMENINO',0</v>
      </c>
      <c r="J79" t="str">
        <f t="shared" si="8"/>
        <v>INSERT INTO profesores (id,nivel,carrera,grupo,nombre,materia,sexo,sello) VALUES (1078,'LICENCIATURA','ADMINISTRACION Y DIRECCION DE NEGOCIOS','ADMON 8°','PADILLA MARTINEZ ELSA GEORGINA','GESTION DE LA CONSULTORIA Y AUDITORIA','FEMENINO',0);</v>
      </c>
    </row>
    <row r="80" spans="1:10" x14ac:dyDescent="0.25">
      <c r="A80">
        <f t="shared" si="9"/>
        <v>1079</v>
      </c>
      <c r="B80" s="1" t="s">
        <v>1</v>
      </c>
      <c r="C80" t="str">
        <f>Hoja1!B80</f>
        <v>ADMINISTRACION Y DIRECCION DE NEGOCIOS</v>
      </c>
      <c r="D80" s="5" t="s">
        <v>1379</v>
      </c>
      <c r="E80" t="str">
        <f>Hoja1!D80</f>
        <v>RENTERIA JIMENEZ AMANDA JANETTE</v>
      </c>
      <c r="F80" t="str">
        <f>Hoja1!E80</f>
        <v>DISEÑO DE ESTRATEGIAS DE LOGISTICA Y DISTRIBUCION</v>
      </c>
      <c r="G80" t="str">
        <f>Hoja1!F80</f>
        <v>FEMENINO</v>
      </c>
      <c r="H80">
        <f t="shared" si="6"/>
        <v>0</v>
      </c>
      <c r="I80" t="str">
        <f t="shared" si="7"/>
        <v>1079,'LICENCIATURA','ADMINISTRACION Y DIRECCION DE NEGOCIOS','ADMON 8°','RENTERIA JIMENEZ AMANDA JANETTE','DISEÑO DE ESTRATEGIAS DE LOGISTICA Y DISTRIBUCION','FEMENINO',0</v>
      </c>
      <c r="J80" t="str">
        <f t="shared" si="8"/>
        <v>INSERT INTO profesores (id,nivel,carrera,grupo,nombre,materia,sexo,sello) VALUES (1079,'LICENCIATURA','ADMINISTRACION Y DIRECCION DE NEGOCIOS','ADMON 8°','RENTERIA JIMENEZ AMANDA JANETTE','DISEÑO DE ESTRATEGIAS DE LOGISTICA Y DISTRIBUCION','FEMENINO',0);</v>
      </c>
    </row>
    <row r="81" spans="1:10" x14ac:dyDescent="0.25">
      <c r="A81">
        <f t="shared" si="9"/>
        <v>1080</v>
      </c>
      <c r="B81" s="1" t="s">
        <v>1</v>
      </c>
      <c r="C81" t="str">
        <f>Hoja1!B81</f>
        <v>ADMINISTRACION Y DIRECCION DE NEGOCIOS</v>
      </c>
      <c r="D81" s="5" t="s">
        <v>1379</v>
      </c>
      <c r="E81" t="str">
        <f>Hoja1!D81</f>
        <v>ROMERO MACIEL LORENZA DE LA LUZ</v>
      </c>
      <c r="F81" t="str">
        <f>Hoja1!E81</f>
        <v>DIRECCION DE NEGOCIOS INTERNACIONALES</v>
      </c>
      <c r="G81" t="str">
        <f>Hoja1!F81</f>
        <v>FEMENINO</v>
      </c>
      <c r="H81">
        <f t="shared" si="6"/>
        <v>0</v>
      </c>
      <c r="I81" t="str">
        <f t="shared" si="7"/>
        <v>1080,'LICENCIATURA','ADMINISTRACION Y DIRECCION DE NEGOCIOS','ADMON 8°','ROMERO MACIEL LORENZA DE LA LUZ','DIRECCION DE NEGOCIOS INTERNACIONALES','FEMENINO',0</v>
      </c>
      <c r="J81" t="str">
        <f t="shared" si="8"/>
        <v>INSERT INTO profesores (id,nivel,carrera,grupo,nombre,materia,sexo,sello) VALUES (1080,'LICENCIATURA','ADMINISTRACION Y DIRECCION DE NEGOCIOS','ADMON 8°','ROMERO MACIEL LORENZA DE LA LUZ','DIRECCION DE NEGOCIOS INTERNACIONALES','FEMENINO',0);</v>
      </c>
    </row>
    <row r="82" spans="1:10" x14ac:dyDescent="0.25">
      <c r="A82">
        <f t="shared" si="9"/>
        <v>1081</v>
      </c>
      <c r="B82" s="1" t="s">
        <v>1</v>
      </c>
      <c r="C82" t="str">
        <f>Hoja1!B82</f>
        <v>ADMINISTRACION Y DIRECCION DE NEGOCIOS</v>
      </c>
      <c r="D82" s="5" t="s">
        <v>1379</v>
      </c>
      <c r="E82" t="str">
        <f>Hoja1!D82</f>
        <v>TORRES FERNANDEZ CLAUDIA CECILIA</v>
      </c>
      <c r="F82" t="str">
        <f>Hoja1!E82</f>
        <v>GESTION DE INNOVACION Y TECNOLOGIA</v>
      </c>
      <c r="G82" t="str">
        <f>Hoja1!F82</f>
        <v>FEMENINO</v>
      </c>
      <c r="H82">
        <f t="shared" si="6"/>
        <v>0</v>
      </c>
      <c r="I82" t="str">
        <f t="shared" si="7"/>
        <v>1081,'LICENCIATURA','ADMINISTRACION Y DIRECCION DE NEGOCIOS','ADMON 8°','TORRES FERNANDEZ CLAUDIA CECILIA','GESTION DE INNOVACION Y TECNOLOGIA','FEMENINO',0</v>
      </c>
      <c r="J82" t="str">
        <f t="shared" si="8"/>
        <v>INSERT INTO profesores (id,nivel,carrera,grupo,nombre,materia,sexo,sello) VALUES (1081,'LICENCIATURA','ADMINISTRACION Y DIRECCION DE NEGOCIOS','ADMON 8°','TORRES FERNANDEZ CLAUDIA CECILIA','GESTION DE INNOVACION Y TECNOLOGIA','FEMENINO',0);</v>
      </c>
    </row>
    <row r="83" spans="1:10" x14ac:dyDescent="0.25">
      <c r="A83">
        <f t="shared" si="9"/>
        <v>1082</v>
      </c>
      <c r="B83" s="1" t="s">
        <v>1</v>
      </c>
      <c r="C83" t="str">
        <f>Hoja1!B83</f>
        <v>ANIMACION DIGITAL Y VIDEOJUEGOS</v>
      </c>
      <c r="D83" s="5" t="s">
        <v>1382</v>
      </c>
      <c r="E83" t="str">
        <f>Hoja1!D83</f>
        <v>ABREU TEJEDA RAQUEL ABIGAIL</v>
      </c>
      <c r="F83" t="str">
        <f>Hoja1!E83</f>
        <v>INTRODUCCION AL 3D</v>
      </c>
      <c r="G83" t="str">
        <f>Hoja1!F83</f>
        <v>FEMENINO</v>
      </c>
      <c r="H83">
        <f t="shared" si="6"/>
        <v>0</v>
      </c>
      <c r="I83" t="str">
        <f t="shared" si="7"/>
        <v>1082,'LICENCIATURA','ANIMACION DIGITAL Y VIDEOJUEGOS','ANIM 2°','ABREU TEJEDA RAQUEL ABIGAIL','INTRODUCCION AL 3D','FEMENINO',0</v>
      </c>
      <c r="J83" t="str">
        <f t="shared" si="8"/>
        <v>INSERT INTO profesores (id,nivel,carrera,grupo,nombre,materia,sexo,sello) VALUES (1082,'LICENCIATURA','ANIMACION DIGITAL Y VIDEOJUEGOS','ANIM 2°','ABREU TEJEDA RAQUEL ABIGAIL','INTRODUCCION AL 3D','FEMENINO',0);</v>
      </c>
    </row>
    <row r="84" spans="1:10" x14ac:dyDescent="0.25">
      <c r="A84">
        <f t="shared" si="9"/>
        <v>1083</v>
      </c>
      <c r="B84" s="1" t="s">
        <v>1</v>
      </c>
      <c r="C84" t="str">
        <f>Hoja1!B84</f>
        <v>ANIMACION DIGITAL Y VIDEOJUEGOS</v>
      </c>
      <c r="D84" s="5" t="s">
        <v>1382</v>
      </c>
      <c r="E84" t="str">
        <f>Hoja1!D84</f>
        <v>DEL RIO AZCONA HECTOR RICARDO</v>
      </c>
      <c r="F84" t="str">
        <f>Hoja1!E84</f>
        <v>GEOMETRIA Y TRIGONOMETRIA</v>
      </c>
      <c r="G84" t="str">
        <f>Hoja1!F84</f>
        <v>MASCULINO</v>
      </c>
      <c r="H84">
        <f t="shared" si="6"/>
        <v>0</v>
      </c>
      <c r="I84" t="str">
        <f t="shared" si="7"/>
        <v>1083,'LICENCIATURA','ANIMACION DIGITAL Y VIDEOJUEGOS','ANIM 2°','DEL RIO AZCONA HECTOR RICARDO','GEOMETRIA Y TRIGONOMETRIA','MASCULINO',0</v>
      </c>
      <c r="J84" t="str">
        <f t="shared" si="8"/>
        <v>INSERT INTO profesores (id,nivel,carrera,grupo,nombre,materia,sexo,sello) VALUES (1083,'LICENCIATURA','ANIMACION DIGITAL Y VIDEOJUEGOS','ANIM 2°','DEL RIO AZCONA HECTOR RICARDO','GEOMETRIA Y TRIGONOMETRIA','MASCULINO',0);</v>
      </c>
    </row>
    <row r="85" spans="1:10" x14ac:dyDescent="0.25">
      <c r="A85">
        <f t="shared" si="9"/>
        <v>1084</v>
      </c>
      <c r="B85" s="1" t="s">
        <v>1</v>
      </c>
      <c r="C85" t="str">
        <f>Hoja1!B85</f>
        <v>ANIMACION DIGITAL Y VIDEOJUEGOS</v>
      </c>
      <c r="D85" s="5" t="s">
        <v>1382</v>
      </c>
      <c r="E85" t="str">
        <f>Hoja1!D85</f>
        <v>FLORES MONTAÑO SAUL EMMANUEL</v>
      </c>
      <c r="F85" t="str">
        <f>Hoja1!E85</f>
        <v>FISICA</v>
      </c>
      <c r="G85" t="str">
        <f>Hoja1!F85</f>
        <v>MASCULINO</v>
      </c>
      <c r="H85">
        <f t="shared" si="6"/>
        <v>0</v>
      </c>
      <c r="I85" t="str">
        <f t="shared" si="7"/>
        <v>1084,'LICENCIATURA','ANIMACION DIGITAL Y VIDEOJUEGOS','ANIM 2°','FLORES MONTAÑO SAUL EMMANUEL','FISICA','MASCULINO',0</v>
      </c>
      <c r="J85" t="str">
        <f t="shared" si="8"/>
        <v>INSERT INTO profesores (id,nivel,carrera,grupo,nombre,materia,sexo,sello) VALUES (1084,'LICENCIATURA','ANIMACION DIGITAL Y VIDEOJUEGOS','ANIM 2°','FLORES MONTAÑO SAUL EMMANUEL','FISICA','MASCULINO',0);</v>
      </c>
    </row>
    <row r="86" spans="1:10" x14ac:dyDescent="0.25">
      <c r="A86">
        <f t="shared" si="9"/>
        <v>1085</v>
      </c>
      <c r="B86" s="1" t="s">
        <v>1</v>
      </c>
      <c r="C86" t="str">
        <f>Hoja1!B86</f>
        <v>ANIMACION DIGITAL Y VIDEOJUEGOS</v>
      </c>
      <c r="D86" s="5" t="s">
        <v>1382</v>
      </c>
      <c r="E86" t="str">
        <f>Hoja1!D86</f>
        <v>HOBART GARCIA ELISA</v>
      </c>
      <c r="F86" t="str">
        <f>Hoja1!E86</f>
        <v>ANIMACION 2D I</v>
      </c>
      <c r="G86" t="str">
        <f>Hoja1!F86</f>
        <v>FEMENINO</v>
      </c>
      <c r="H86">
        <f t="shared" si="6"/>
        <v>0</v>
      </c>
      <c r="I86" t="str">
        <f t="shared" si="7"/>
        <v>1085,'LICENCIATURA','ANIMACION DIGITAL Y VIDEOJUEGOS','ANIM 2°','HOBART GARCIA ELISA','ANIMACION 2D I','FEMENINO',0</v>
      </c>
      <c r="J86" t="str">
        <f t="shared" si="8"/>
        <v>INSERT INTO profesores (id,nivel,carrera,grupo,nombre,materia,sexo,sello) VALUES (1085,'LICENCIATURA','ANIMACION DIGITAL Y VIDEOJUEGOS','ANIM 2°','HOBART GARCIA ELISA','ANIMACION 2D I','FEMENINO',0);</v>
      </c>
    </row>
    <row r="87" spans="1:10" x14ac:dyDescent="0.25">
      <c r="A87">
        <f t="shared" si="9"/>
        <v>1086</v>
      </c>
      <c r="B87" s="1" t="s">
        <v>1</v>
      </c>
      <c r="C87" t="str">
        <f>Hoja1!B87</f>
        <v>ANIMACION DIGITAL Y VIDEOJUEGOS</v>
      </c>
      <c r="D87" s="5" t="s">
        <v>1382</v>
      </c>
      <c r="E87" t="str">
        <f>Hoja1!D87</f>
        <v>LOPEZ VIDAURRI FERNANDO ABIF</v>
      </c>
      <c r="F87" t="str">
        <f>Hoja1!E87</f>
        <v>TALLER DE STOPMOTION</v>
      </c>
      <c r="G87" t="str">
        <f>Hoja1!F87</f>
        <v>MASCULINO</v>
      </c>
      <c r="H87">
        <f t="shared" si="6"/>
        <v>0</v>
      </c>
      <c r="I87" t="str">
        <f t="shared" si="7"/>
        <v>1086,'LICENCIATURA','ANIMACION DIGITAL Y VIDEOJUEGOS','ANIM 2°','LOPEZ VIDAURRI FERNANDO ABIF','TALLER DE STOPMOTION','MASCULINO',0</v>
      </c>
      <c r="J87" t="str">
        <f t="shared" si="8"/>
        <v>INSERT INTO profesores (id,nivel,carrera,grupo,nombre,materia,sexo,sello) VALUES (1086,'LICENCIATURA','ANIMACION DIGITAL Y VIDEOJUEGOS','ANIM 2°','LOPEZ VIDAURRI FERNANDO ABIF','TALLER DE STOPMOTION','MASCULINO',0);</v>
      </c>
    </row>
    <row r="88" spans="1:10" x14ac:dyDescent="0.25">
      <c r="A88">
        <f t="shared" si="9"/>
        <v>1087</v>
      </c>
      <c r="B88" s="1" t="s">
        <v>1</v>
      </c>
      <c r="C88" t="str">
        <f>Hoja1!B88</f>
        <v>ANIMACION DIGITAL Y VIDEOJUEGOS</v>
      </c>
      <c r="D88" s="5" t="s">
        <v>1382</v>
      </c>
      <c r="E88" t="str">
        <f>Hoja1!D88</f>
        <v>MICHEL SANDOVAL LAURA LIVIER</v>
      </c>
      <c r="F88" t="str">
        <f>Hoja1!E88</f>
        <v>GUION LITERARIO Y TECNICO</v>
      </c>
      <c r="G88" t="str">
        <f>Hoja1!F88</f>
        <v>FEMENINO</v>
      </c>
      <c r="H88">
        <f t="shared" si="6"/>
        <v>0</v>
      </c>
      <c r="I88" t="str">
        <f t="shared" si="7"/>
        <v>1087,'LICENCIATURA','ANIMACION DIGITAL Y VIDEOJUEGOS','ANIM 2°','MICHEL SANDOVAL LAURA LIVIER','GUION LITERARIO Y TECNICO','FEMENINO',0</v>
      </c>
      <c r="J88" t="str">
        <f t="shared" si="8"/>
        <v>INSERT INTO profesores (id,nivel,carrera,grupo,nombre,materia,sexo,sello) VALUES (1087,'LICENCIATURA','ANIMACION DIGITAL Y VIDEOJUEGOS','ANIM 2°','MICHEL SANDOVAL LAURA LIVIER','GUION LITERARIO Y TECNICO','FEMENINO',0);</v>
      </c>
    </row>
    <row r="89" spans="1:10" x14ac:dyDescent="0.25">
      <c r="A89">
        <f t="shared" si="9"/>
        <v>1088</v>
      </c>
      <c r="B89" s="1" t="s">
        <v>1</v>
      </c>
      <c r="C89" t="str">
        <f>Hoja1!B89</f>
        <v>ANIMACION DIGITAL Y VIDEOJUEGOS</v>
      </c>
      <c r="D89" s="5" t="s">
        <v>1382</v>
      </c>
      <c r="E89" t="str">
        <f>Hoja1!D89</f>
        <v>MORELOS VELAZQUEZ CARLA DANIELA</v>
      </c>
      <c r="F89" t="str">
        <f>Hoja1!E89</f>
        <v>DIBUJO ARTISTICO</v>
      </c>
      <c r="G89" t="str">
        <f>Hoja1!F89</f>
        <v>FEMENINO</v>
      </c>
      <c r="H89">
        <f t="shared" si="6"/>
        <v>0</v>
      </c>
      <c r="I89" t="str">
        <f t="shared" si="7"/>
        <v>1088,'LICENCIATURA','ANIMACION DIGITAL Y VIDEOJUEGOS','ANIM 2°','MORELOS VELAZQUEZ CARLA DANIELA','DIBUJO ARTISTICO','FEMENINO',0</v>
      </c>
      <c r="J89" t="str">
        <f t="shared" si="8"/>
        <v>INSERT INTO profesores (id,nivel,carrera,grupo,nombre,materia,sexo,sello) VALUES (1088,'LICENCIATURA','ANIMACION DIGITAL Y VIDEOJUEGOS','ANIM 2°','MORELOS VELAZQUEZ CARLA DANIELA','DIBUJO ARTISTICO','FEMENINO',0);</v>
      </c>
    </row>
    <row r="90" spans="1:10" x14ac:dyDescent="0.25">
      <c r="A90">
        <f t="shared" si="9"/>
        <v>1089</v>
      </c>
      <c r="B90" s="1" t="s">
        <v>1</v>
      </c>
      <c r="C90" t="str">
        <f>Hoja1!B90</f>
        <v>ANIMACION DIGITAL Y VIDEOJUEGOS</v>
      </c>
      <c r="D90" s="5" t="s">
        <v>1382</v>
      </c>
      <c r="E90" t="str">
        <f>Hoja1!D90</f>
        <v>ROSALES VARGAS LUCINA SARAY</v>
      </c>
      <c r="F90" t="str">
        <f>Hoja1!E90</f>
        <v>ILUSTRACION DIGITAL</v>
      </c>
      <c r="G90" t="str">
        <f>Hoja1!F90</f>
        <v>FEMENINO</v>
      </c>
      <c r="H90">
        <f t="shared" si="6"/>
        <v>0</v>
      </c>
      <c r="I90" t="str">
        <f t="shared" si="7"/>
        <v>1089,'LICENCIATURA','ANIMACION DIGITAL Y VIDEOJUEGOS','ANIM 2°','ROSALES VARGAS LUCINA SARAY','ILUSTRACION DIGITAL','FEMENINO',0</v>
      </c>
      <c r="J90" t="str">
        <f t="shared" si="8"/>
        <v>INSERT INTO profesores (id,nivel,carrera,grupo,nombre,materia,sexo,sello) VALUES (1089,'LICENCIATURA','ANIMACION DIGITAL Y VIDEOJUEGOS','ANIM 2°','ROSALES VARGAS LUCINA SARAY','ILUSTRACION DIGITAL','FEMENINO',0);</v>
      </c>
    </row>
    <row r="91" spans="1:10" x14ac:dyDescent="0.25">
      <c r="A91">
        <f t="shared" si="9"/>
        <v>1090</v>
      </c>
      <c r="B91" s="1" t="s">
        <v>1</v>
      </c>
      <c r="C91" t="str">
        <f>Hoja1!B91</f>
        <v>ANIMACION DIGITAL Y VIDEOJUEGOS</v>
      </c>
      <c r="D91" s="5" t="s">
        <v>1383</v>
      </c>
      <c r="E91" t="str">
        <f>Hoja1!D91</f>
        <v>ABREU TEJEDA RAQUEL ABIGAIL</v>
      </c>
      <c r="F91" t="str">
        <f>Hoja1!E91</f>
        <v>MODELADO 3D ORGANICO</v>
      </c>
      <c r="G91" t="str">
        <f>Hoja1!F91</f>
        <v>FEMENINO</v>
      </c>
      <c r="H91">
        <f t="shared" si="6"/>
        <v>0</v>
      </c>
      <c r="I91" t="str">
        <f t="shared" si="7"/>
        <v>1090,'LICENCIATURA','ANIMACION DIGITAL Y VIDEOJUEGOS','ANIM 4°','ABREU TEJEDA RAQUEL ABIGAIL','MODELADO 3D ORGANICO','FEMENINO',0</v>
      </c>
      <c r="J91" t="str">
        <f t="shared" si="8"/>
        <v>INSERT INTO profesores (id,nivel,carrera,grupo,nombre,materia,sexo,sello) VALUES (1090,'LICENCIATURA','ANIMACION DIGITAL Y VIDEOJUEGOS','ANIM 4°','ABREU TEJEDA RAQUEL ABIGAIL','MODELADO 3D ORGANICO','FEMENINO',0);</v>
      </c>
    </row>
    <row r="92" spans="1:10" x14ac:dyDescent="0.25">
      <c r="A92">
        <f t="shared" si="9"/>
        <v>1091</v>
      </c>
      <c r="B92" s="1" t="s">
        <v>1</v>
      </c>
      <c r="C92" t="str">
        <f>Hoja1!B92</f>
        <v>ANIMACION DIGITAL Y VIDEOJUEGOS</v>
      </c>
      <c r="D92" s="5" t="s">
        <v>1383</v>
      </c>
      <c r="E92" t="str">
        <f>Hoja1!D92</f>
        <v>ACOSTA NUÑEZ JORGE</v>
      </c>
      <c r="F92" t="str">
        <f>Hoja1!E92</f>
        <v>DISEÑO DE PERSONAJES II</v>
      </c>
      <c r="G92" t="str">
        <f>Hoja1!F92</f>
        <v>MASCULINO</v>
      </c>
      <c r="H92">
        <f t="shared" si="6"/>
        <v>0</v>
      </c>
      <c r="I92" t="str">
        <f t="shared" si="7"/>
        <v>1091,'LICENCIATURA','ANIMACION DIGITAL Y VIDEOJUEGOS','ANIM 4°','ACOSTA NUÑEZ JORGE','DISEÑO DE PERSONAJES II','MASCULINO',0</v>
      </c>
      <c r="J92" t="str">
        <f t="shared" si="8"/>
        <v>INSERT INTO profesores (id,nivel,carrera,grupo,nombre,materia,sexo,sello) VALUES (1091,'LICENCIATURA','ANIMACION DIGITAL Y VIDEOJUEGOS','ANIM 4°','ACOSTA NUÑEZ JORGE','DISEÑO DE PERSONAJES II','MASCULINO',0);</v>
      </c>
    </row>
    <row r="93" spans="1:10" x14ac:dyDescent="0.25">
      <c r="A93">
        <f t="shared" si="9"/>
        <v>1092</v>
      </c>
      <c r="B93" s="1" t="s">
        <v>1</v>
      </c>
      <c r="C93" t="str">
        <f>Hoja1!B93</f>
        <v>ANIMACION DIGITAL Y VIDEOJUEGOS</v>
      </c>
      <c r="D93" s="5" t="s">
        <v>1383</v>
      </c>
      <c r="E93" t="str">
        <f>Hoja1!D93</f>
        <v>AGUILAR CALLEJAS GASTON EDUARDO</v>
      </c>
      <c r="F93" t="str">
        <f>Hoja1!E93</f>
        <v>PROCESOS DE PRODUCCION DE ANIMACION Y VIDEOJUEGOS</v>
      </c>
      <c r="G93" t="str">
        <f>Hoja1!F93</f>
        <v>MASCULINO</v>
      </c>
      <c r="H93">
        <f t="shared" si="6"/>
        <v>0</v>
      </c>
      <c r="I93" t="str">
        <f t="shared" si="7"/>
        <v>1092,'LICENCIATURA','ANIMACION DIGITAL Y VIDEOJUEGOS','ANIM 4°','AGUILAR CALLEJAS GASTON EDUARDO','PROCESOS DE PRODUCCION DE ANIMACION Y VIDEOJUEGOS','MASCULINO',0</v>
      </c>
      <c r="J93" t="str">
        <f t="shared" si="8"/>
        <v>INSERT INTO profesores (id,nivel,carrera,grupo,nombre,materia,sexo,sello) VALUES (1092,'LICENCIATURA','ANIMACION DIGITAL Y VIDEOJUEGOS','ANIM 4°','AGUILAR CALLEJAS GASTON EDUARDO','PROCESOS DE PRODUCCION DE ANIMACION Y VIDEOJUEGOS','MASCULINO',0);</v>
      </c>
    </row>
    <row r="94" spans="1:10" x14ac:dyDescent="0.25">
      <c r="A94">
        <f t="shared" si="9"/>
        <v>1093</v>
      </c>
      <c r="B94" s="1" t="s">
        <v>1</v>
      </c>
      <c r="C94" t="str">
        <f>Hoja1!B94</f>
        <v>ANIMACION DIGITAL Y VIDEOJUEGOS</v>
      </c>
      <c r="D94" s="5" t="s">
        <v>1383</v>
      </c>
      <c r="E94" t="str">
        <f>Hoja1!D94</f>
        <v>BLANQUET CHAVOYA JOSE LUIS</v>
      </c>
      <c r="F94" t="str">
        <f>Hoja1!E94</f>
        <v>AUDIO Y SONORIZACION</v>
      </c>
      <c r="G94" t="str">
        <f>Hoja1!F94</f>
        <v>MASCULINO</v>
      </c>
      <c r="H94">
        <f t="shared" si="6"/>
        <v>0</v>
      </c>
      <c r="I94" t="str">
        <f t="shared" si="7"/>
        <v>1093,'LICENCIATURA','ANIMACION DIGITAL Y VIDEOJUEGOS','ANIM 4°','BLANQUET CHAVOYA JOSE LUIS','AUDIO Y SONORIZACION','MASCULINO',0</v>
      </c>
      <c r="J94" t="str">
        <f t="shared" si="8"/>
        <v>INSERT INTO profesores (id,nivel,carrera,grupo,nombre,materia,sexo,sello) VALUES (1093,'LICENCIATURA','ANIMACION DIGITAL Y VIDEOJUEGOS','ANIM 4°','BLANQUET CHAVOYA JOSE LUIS','AUDIO Y SONORIZACION','MASCULINO',0);</v>
      </c>
    </row>
    <row r="95" spans="1:10" x14ac:dyDescent="0.25">
      <c r="A95">
        <f t="shared" si="9"/>
        <v>1094</v>
      </c>
      <c r="B95" s="1" t="s">
        <v>1</v>
      </c>
      <c r="C95" t="str">
        <f>Hoja1!B95</f>
        <v>ANIMACION DIGITAL Y VIDEOJUEGOS</v>
      </c>
      <c r="D95" s="5" t="s">
        <v>1383</v>
      </c>
      <c r="E95" t="str">
        <f>Hoja1!D95</f>
        <v>GOMEZ CANALES ALAM</v>
      </c>
      <c r="F95" t="str">
        <f>Hoja1!E95</f>
        <v>ANIMACION 2D COMPORTAMIENTO DE PERSONAJES</v>
      </c>
      <c r="G95" t="str">
        <f>Hoja1!F95</f>
        <v>MASCULINO</v>
      </c>
      <c r="H95">
        <f t="shared" si="6"/>
        <v>0</v>
      </c>
      <c r="I95" t="str">
        <f t="shared" si="7"/>
        <v>1094,'LICENCIATURA','ANIMACION DIGITAL Y VIDEOJUEGOS','ANIM 4°','GOMEZ CANALES ALAM','ANIMACION 2D COMPORTAMIENTO DE PERSONAJES','MASCULINO',0</v>
      </c>
      <c r="J95" t="str">
        <f t="shared" si="8"/>
        <v>INSERT INTO profesores (id,nivel,carrera,grupo,nombre,materia,sexo,sello) VALUES (1094,'LICENCIATURA','ANIMACION DIGITAL Y VIDEOJUEGOS','ANIM 4°','GOMEZ CANALES ALAM','ANIMACION 2D COMPORTAMIENTO DE PERSONAJES','MASCULINO',0);</v>
      </c>
    </row>
    <row r="96" spans="1:10" x14ac:dyDescent="0.25">
      <c r="A96">
        <f t="shared" si="9"/>
        <v>1095</v>
      </c>
      <c r="B96" s="1" t="s">
        <v>1</v>
      </c>
      <c r="C96" t="str">
        <f>Hoja1!B96</f>
        <v>ANIMACION DIGITAL Y VIDEOJUEGOS</v>
      </c>
      <c r="D96" s="5" t="s">
        <v>1383</v>
      </c>
      <c r="E96" t="str">
        <f>Hoja1!D96</f>
        <v>HERNANDEZ GONZALEZ BARCENA NICOLE</v>
      </c>
      <c r="F96" t="str">
        <f>Hoja1!E96</f>
        <v>MECANICAS DE JUEGO</v>
      </c>
      <c r="G96" t="str">
        <f>Hoja1!F96</f>
        <v>FEMENINO</v>
      </c>
      <c r="H96">
        <f t="shared" si="6"/>
        <v>0</v>
      </c>
      <c r="I96" t="str">
        <f t="shared" si="7"/>
        <v>1095,'LICENCIATURA','ANIMACION DIGITAL Y VIDEOJUEGOS','ANIM 4°','HERNANDEZ GONZALEZ BARCENA NICOLE','MECANICAS DE JUEGO','FEMENINO',0</v>
      </c>
      <c r="J96" t="str">
        <f t="shared" si="8"/>
        <v>INSERT INTO profesores (id,nivel,carrera,grupo,nombre,materia,sexo,sello) VALUES (1095,'LICENCIATURA','ANIMACION DIGITAL Y VIDEOJUEGOS','ANIM 4°','HERNANDEZ GONZALEZ BARCENA NICOLE','MECANICAS DE JUEGO','FEMENINO',0);</v>
      </c>
    </row>
    <row r="97" spans="1:10" x14ac:dyDescent="0.25">
      <c r="A97">
        <f t="shared" si="9"/>
        <v>1096</v>
      </c>
      <c r="B97" s="1" t="s">
        <v>1</v>
      </c>
      <c r="C97" t="str">
        <f>Hoja1!B97</f>
        <v>ANIMACION DIGITAL Y VIDEOJUEGOS</v>
      </c>
      <c r="D97" s="5" t="s">
        <v>1383</v>
      </c>
      <c r="E97" t="str">
        <f>Hoja1!D97</f>
        <v>HOBART GARCIA ELISA</v>
      </c>
      <c r="F97" t="str">
        <f>Hoja1!E97</f>
        <v>GUION GRAFICO Y ANIMATICO</v>
      </c>
      <c r="G97" t="str">
        <f>Hoja1!F97</f>
        <v>FEMENINO</v>
      </c>
      <c r="H97">
        <f t="shared" si="6"/>
        <v>0</v>
      </c>
      <c r="I97" t="str">
        <f t="shared" si="7"/>
        <v>1096,'LICENCIATURA','ANIMACION DIGITAL Y VIDEOJUEGOS','ANIM 4°','HOBART GARCIA ELISA','GUION GRAFICO Y ANIMATICO','FEMENINO',0</v>
      </c>
      <c r="J97" t="str">
        <f t="shared" si="8"/>
        <v>INSERT INTO profesores (id,nivel,carrera,grupo,nombre,materia,sexo,sello) VALUES (1096,'LICENCIATURA','ANIMACION DIGITAL Y VIDEOJUEGOS','ANIM 4°','HOBART GARCIA ELISA','GUION GRAFICO Y ANIMATICO','FEMENINO',0);</v>
      </c>
    </row>
    <row r="98" spans="1:10" x14ac:dyDescent="0.25">
      <c r="A98">
        <f t="shared" si="9"/>
        <v>1097</v>
      </c>
      <c r="B98" s="1" t="s">
        <v>1</v>
      </c>
      <c r="C98" t="str">
        <f>Hoja1!B98</f>
        <v>ANIMACION DIGITAL Y VIDEOJUEGOS</v>
      </c>
      <c r="D98" s="5" t="s">
        <v>1383</v>
      </c>
      <c r="E98" t="str">
        <f>Hoja1!D98</f>
        <v>ZAMBRANO LOPEZ ZAIRA MARLENE</v>
      </c>
      <c r="F98" t="str">
        <f>Hoja1!E98</f>
        <v>TALLER DE ANIMACION II</v>
      </c>
      <c r="G98" t="str">
        <f>Hoja1!F98</f>
        <v>FEMENINO</v>
      </c>
      <c r="H98">
        <f t="shared" si="6"/>
        <v>0</v>
      </c>
      <c r="I98" t="str">
        <f t="shared" si="7"/>
        <v>1097,'LICENCIATURA','ANIMACION DIGITAL Y VIDEOJUEGOS','ANIM 4°','ZAMBRANO LOPEZ ZAIRA MARLENE','TALLER DE ANIMACION II','FEMENINO',0</v>
      </c>
      <c r="J98" t="str">
        <f t="shared" si="8"/>
        <v>INSERT INTO profesores (id,nivel,carrera,grupo,nombre,materia,sexo,sello) VALUES (1097,'LICENCIATURA','ANIMACION DIGITAL Y VIDEOJUEGOS','ANIM 4°','ZAMBRANO LOPEZ ZAIRA MARLENE','TALLER DE ANIMACION II','FEMENINO',0);</v>
      </c>
    </row>
    <row r="99" spans="1:10" x14ac:dyDescent="0.25">
      <c r="A99">
        <f t="shared" si="9"/>
        <v>1098</v>
      </c>
      <c r="B99" s="1" t="s">
        <v>1</v>
      </c>
      <c r="C99" t="str">
        <f>Hoja1!B99</f>
        <v>ANIMACION DIGITAL Y VIDEOJUEGOS</v>
      </c>
      <c r="D99" s="5" t="s">
        <v>1384</v>
      </c>
      <c r="E99" t="str">
        <f>Hoja1!D99</f>
        <v>AGUILAR CALLEJAS GASTON EDUARDO</v>
      </c>
      <c r="F99" t="str">
        <f>Hoja1!E99</f>
        <v>RENDER E ILUMINACION</v>
      </c>
      <c r="G99" t="str">
        <f>Hoja1!F99</f>
        <v>MASCULINO</v>
      </c>
      <c r="H99">
        <f t="shared" si="6"/>
        <v>0</v>
      </c>
      <c r="I99" t="str">
        <f t="shared" si="7"/>
        <v>1098,'LICENCIATURA','ANIMACION DIGITAL Y VIDEOJUEGOS','ANIM 6°','AGUILAR CALLEJAS GASTON EDUARDO','RENDER E ILUMINACION','MASCULINO',0</v>
      </c>
      <c r="J99" t="str">
        <f t="shared" si="8"/>
        <v>INSERT INTO profesores (id,nivel,carrera,grupo,nombre,materia,sexo,sello) VALUES (1098,'LICENCIATURA','ANIMACION DIGITAL Y VIDEOJUEGOS','ANIM 6°','AGUILAR CALLEJAS GASTON EDUARDO','RENDER E ILUMINACION','MASCULINO',0);</v>
      </c>
    </row>
    <row r="100" spans="1:10" x14ac:dyDescent="0.25">
      <c r="A100">
        <f t="shared" si="9"/>
        <v>1099</v>
      </c>
      <c r="B100" s="1" t="s">
        <v>1</v>
      </c>
      <c r="C100" t="str">
        <f>Hoja1!B100</f>
        <v>ANIMACION DIGITAL Y VIDEOJUEGOS</v>
      </c>
      <c r="D100" s="5" t="s">
        <v>1384</v>
      </c>
      <c r="E100" t="str">
        <f>Hoja1!D100</f>
        <v>BENITEZ LOZANO GABRIEL</v>
      </c>
      <c r="F100" t="str">
        <f>Hoja1!E100</f>
        <v>MERCADOTECNIA</v>
      </c>
      <c r="G100" t="str">
        <f>Hoja1!F100</f>
        <v>MASCULINO</v>
      </c>
      <c r="H100">
        <f t="shared" si="6"/>
        <v>0</v>
      </c>
      <c r="I100" t="str">
        <f t="shared" si="7"/>
        <v>1099,'LICENCIATURA','ANIMACION DIGITAL Y VIDEOJUEGOS','ANIM 6°','BENITEZ LOZANO GABRIEL','MERCADOTECNIA','MASCULINO',0</v>
      </c>
      <c r="J100" t="str">
        <f t="shared" si="8"/>
        <v>INSERT INTO profesores (id,nivel,carrera,grupo,nombre,materia,sexo,sello) VALUES (1099,'LICENCIATURA','ANIMACION DIGITAL Y VIDEOJUEGOS','ANIM 6°','BENITEZ LOZANO GABRIEL','MERCADOTECNIA','MASCULINO',0);</v>
      </c>
    </row>
    <row r="101" spans="1:10" x14ac:dyDescent="0.25">
      <c r="A101">
        <f t="shared" si="9"/>
        <v>1100</v>
      </c>
      <c r="B101" s="1" t="s">
        <v>1</v>
      </c>
      <c r="C101" t="str">
        <f>Hoja1!B101</f>
        <v>ANIMACION DIGITAL Y VIDEOJUEGOS</v>
      </c>
      <c r="D101" s="5" t="s">
        <v>1384</v>
      </c>
      <c r="E101" t="str">
        <f>Hoja1!D101</f>
        <v>FLORES HERNANDEZ ROSA ESMERALDA</v>
      </c>
      <c r="F101" t="str">
        <f>Hoja1!E101</f>
        <v>ANIMACION 3D I</v>
      </c>
      <c r="G101" t="str">
        <f>Hoja1!F101</f>
        <v>FEMENINO</v>
      </c>
      <c r="H101">
        <f t="shared" si="6"/>
        <v>0</v>
      </c>
      <c r="I101" t="str">
        <f t="shared" si="7"/>
        <v>1100,'LICENCIATURA','ANIMACION DIGITAL Y VIDEOJUEGOS','ANIM 6°','FLORES HERNANDEZ ROSA ESMERALDA','ANIMACION 3D I','FEMENINO',0</v>
      </c>
      <c r="J101" t="str">
        <f t="shared" si="8"/>
        <v>INSERT INTO profesores (id,nivel,carrera,grupo,nombre,materia,sexo,sello) VALUES (1100,'LICENCIATURA','ANIMACION DIGITAL Y VIDEOJUEGOS','ANIM 6°','FLORES HERNANDEZ ROSA ESMERALDA','ANIMACION 3D I','FEMENINO',0);</v>
      </c>
    </row>
    <row r="102" spans="1:10" x14ac:dyDescent="0.25">
      <c r="A102">
        <f t="shared" si="9"/>
        <v>1101</v>
      </c>
      <c r="B102" s="1" t="s">
        <v>1</v>
      </c>
      <c r="C102" t="str">
        <f>Hoja1!B102</f>
        <v>ANIMACION DIGITAL Y VIDEOJUEGOS</v>
      </c>
      <c r="D102" s="5" t="s">
        <v>1384</v>
      </c>
      <c r="E102" t="str">
        <f>Hoja1!D102</f>
        <v>FLORES MONTAÑO SAUL EMMANUEL</v>
      </c>
      <c r="F102" t="str">
        <f>Hoja1!E102</f>
        <v>FUNDAMENTOS DE PROGRAMACION</v>
      </c>
      <c r="G102" t="str">
        <f>Hoja1!F102</f>
        <v>MASCULINO</v>
      </c>
      <c r="H102">
        <f t="shared" si="6"/>
        <v>0</v>
      </c>
      <c r="I102" t="str">
        <f t="shared" si="7"/>
        <v>1101,'LICENCIATURA','ANIMACION DIGITAL Y VIDEOJUEGOS','ANIM 6°','FLORES MONTAÑO SAUL EMMANUEL','FUNDAMENTOS DE PROGRAMACION','MASCULINO',0</v>
      </c>
      <c r="J102" t="str">
        <f t="shared" si="8"/>
        <v>INSERT INTO profesores (id,nivel,carrera,grupo,nombre,materia,sexo,sello) VALUES (1101,'LICENCIATURA','ANIMACION DIGITAL Y VIDEOJUEGOS','ANIM 6°','FLORES MONTAÑO SAUL EMMANUEL','FUNDAMENTOS DE PROGRAMACION','MASCULINO',0);</v>
      </c>
    </row>
    <row r="103" spans="1:10" x14ac:dyDescent="0.25">
      <c r="A103">
        <f t="shared" si="9"/>
        <v>1102</v>
      </c>
      <c r="B103" s="1" t="s">
        <v>1</v>
      </c>
      <c r="C103" t="str">
        <f>Hoja1!B103</f>
        <v>ANIMACION DIGITAL Y VIDEOJUEGOS</v>
      </c>
      <c r="D103" s="5" t="s">
        <v>1384</v>
      </c>
      <c r="E103" t="str">
        <f>Hoja1!D103</f>
        <v>HERNANDEZ GONZALEZ BARCENA NICOLE</v>
      </c>
      <c r="F103" t="str">
        <f>Hoja1!E103</f>
        <v>DISEÑO DE NIVELES DE JUEGO</v>
      </c>
      <c r="G103" t="str">
        <f>Hoja1!F103</f>
        <v>FEMENINO</v>
      </c>
      <c r="H103">
        <f t="shared" si="6"/>
        <v>0</v>
      </c>
      <c r="I103" t="str">
        <f t="shared" si="7"/>
        <v>1102,'LICENCIATURA','ANIMACION DIGITAL Y VIDEOJUEGOS','ANIM 6°','HERNANDEZ GONZALEZ BARCENA NICOLE','DISEÑO DE NIVELES DE JUEGO','FEMENINO',0</v>
      </c>
      <c r="J103" t="str">
        <f t="shared" si="8"/>
        <v>INSERT INTO profesores (id,nivel,carrera,grupo,nombre,materia,sexo,sello) VALUES (1102,'LICENCIATURA','ANIMACION DIGITAL Y VIDEOJUEGOS','ANIM 6°','HERNANDEZ GONZALEZ BARCENA NICOLE','DISEÑO DE NIVELES DE JUEGO','FEMENINO',0);</v>
      </c>
    </row>
    <row r="104" spans="1:10" x14ac:dyDescent="0.25">
      <c r="A104">
        <f t="shared" si="9"/>
        <v>1103</v>
      </c>
      <c r="B104" s="1" t="s">
        <v>1</v>
      </c>
      <c r="C104" t="str">
        <f>Hoja1!B104</f>
        <v>ANIMACION DIGITAL Y VIDEOJUEGOS</v>
      </c>
      <c r="D104" s="5" t="s">
        <v>1384</v>
      </c>
      <c r="E104" t="str">
        <f>Hoja1!D104</f>
        <v>SALCEDO RONDON JAVIER EDUARDO</v>
      </c>
      <c r="F104" t="str">
        <f>Hoja1!E104</f>
        <v>TEXTURIZADOS Y SHADERS</v>
      </c>
      <c r="G104" t="str">
        <f>Hoja1!F104</f>
        <v>MASCULINO</v>
      </c>
      <c r="H104">
        <f t="shared" si="6"/>
        <v>0</v>
      </c>
      <c r="I104" t="str">
        <f t="shared" si="7"/>
        <v>1103,'LICENCIATURA','ANIMACION DIGITAL Y VIDEOJUEGOS','ANIM 6°','SALCEDO RONDON JAVIER EDUARDO','TEXTURIZADOS Y SHADERS','MASCULINO',0</v>
      </c>
      <c r="J104" t="str">
        <f t="shared" si="8"/>
        <v>INSERT INTO profesores (id,nivel,carrera,grupo,nombre,materia,sexo,sello) VALUES (1103,'LICENCIATURA','ANIMACION DIGITAL Y VIDEOJUEGOS','ANIM 6°','SALCEDO RONDON JAVIER EDUARDO','TEXTURIZADOS Y SHADERS','MASCULINO',0);</v>
      </c>
    </row>
    <row r="105" spans="1:10" x14ac:dyDescent="0.25">
      <c r="A105">
        <f t="shared" si="9"/>
        <v>1104</v>
      </c>
      <c r="B105" s="1" t="s">
        <v>1</v>
      </c>
      <c r="C105" t="str">
        <f>Hoja1!B105</f>
        <v>ANIMACION DIGITAL Y VIDEOJUEGOS</v>
      </c>
      <c r="D105" s="5" t="s">
        <v>1385</v>
      </c>
      <c r="E105" t="str">
        <f>Hoja1!D105</f>
        <v>ACOSTA NUÑEZ JORGE</v>
      </c>
      <c r="F105" t="str">
        <f>Hoja1!E105</f>
        <v>EFECTOS ESPECIALES</v>
      </c>
      <c r="G105" t="str">
        <f>Hoja1!F105</f>
        <v>MASCULINO</v>
      </c>
      <c r="H105">
        <f t="shared" si="6"/>
        <v>0</v>
      </c>
      <c r="I105" t="str">
        <f t="shared" si="7"/>
        <v>1104,'LICENCIATURA','ANIMACION DIGITAL Y VIDEOJUEGOS','ANIM 8°','ACOSTA NUÑEZ JORGE','EFECTOS ESPECIALES','MASCULINO',0</v>
      </c>
      <c r="J105" t="str">
        <f t="shared" si="8"/>
        <v>INSERT INTO profesores (id,nivel,carrera,grupo,nombre,materia,sexo,sello) VALUES (1104,'LICENCIATURA','ANIMACION DIGITAL Y VIDEOJUEGOS','ANIM 8°','ACOSTA NUÑEZ JORGE','EFECTOS ESPECIALES','MASCULINO',0);</v>
      </c>
    </row>
    <row r="106" spans="1:10" x14ac:dyDescent="0.25">
      <c r="A106">
        <f t="shared" si="9"/>
        <v>1105</v>
      </c>
      <c r="B106" s="1" t="s">
        <v>1</v>
      </c>
      <c r="C106" t="str">
        <f>Hoja1!B106</f>
        <v>ANIMACION DIGITAL Y VIDEOJUEGOS</v>
      </c>
      <c r="D106" s="5" t="s">
        <v>1385</v>
      </c>
      <c r="E106" t="str">
        <f>Hoja1!D106</f>
        <v>BLANQUET CHAVOYA JOSE LUIS</v>
      </c>
      <c r="F106" t="str">
        <f>Hoja1!E106</f>
        <v>TEMAS SELECTOS DE ANIMACION</v>
      </c>
      <c r="G106" t="str">
        <f>Hoja1!F106</f>
        <v>MASCULINO</v>
      </c>
      <c r="H106">
        <f t="shared" si="6"/>
        <v>0</v>
      </c>
      <c r="I106" t="str">
        <f t="shared" si="7"/>
        <v>1105,'LICENCIATURA','ANIMACION DIGITAL Y VIDEOJUEGOS','ANIM 8°','BLANQUET CHAVOYA JOSE LUIS','TEMAS SELECTOS DE ANIMACION','MASCULINO',0</v>
      </c>
      <c r="J106" t="str">
        <f t="shared" si="8"/>
        <v>INSERT INTO profesores (id,nivel,carrera,grupo,nombre,materia,sexo,sello) VALUES (1105,'LICENCIATURA','ANIMACION DIGITAL Y VIDEOJUEGOS','ANIM 8°','BLANQUET CHAVOYA JOSE LUIS','TEMAS SELECTOS DE ANIMACION','MASCULINO',0);</v>
      </c>
    </row>
    <row r="107" spans="1:10" x14ac:dyDescent="0.25">
      <c r="A107">
        <f t="shared" si="9"/>
        <v>1106</v>
      </c>
      <c r="B107" s="1" t="s">
        <v>1</v>
      </c>
      <c r="C107" t="str">
        <f>Hoja1!B107</f>
        <v>ANIMACION DIGITAL Y VIDEOJUEGOS</v>
      </c>
      <c r="D107" s="5" t="s">
        <v>1385</v>
      </c>
      <c r="E107" t="str">
        <f>Hoja1!D107</f>
        <v>FLORES MONTAÑO SAUL EMMANUEL</v>
      </c>
      <c r="F107" t="str">
        <f>Hoja1!E107</f>
        <v>MOTORES PARA VIDEOJUEGOS II</v>
      </c>
      <c r="G107" t="str">
        <f>Hoja1!F107</f>
        <v>MASCULINO</v>
      </c>
      <c r="H107">
        <f t="shared" si="6"/>
        <v>0</v>
      </c>
      <c r="I107" t="str">
        <f t="shared" si="7"/>
        <v>1106,'LICENCIATURA','ANIMACION DIGITAL Y VIDEOJUEGOS','ANIM 8°','FLORES MONTAÑO SAUL EMMANUEL','MOTORES PARA VIDEOJUEGOS II','MASCULINO',0</v>
      </c>
      <c r="J107" t="str">
        <f t="shared" si="8"/>
        <v>INSERT INTO profesores (id,nivel,carrera,grupo,nombre,materia,sexo,sello) VALUES (1106,'LICENCIATURA','ANIMACION DIGITAL Y VIDEOJUEGOS','ANIM 8°','FLORES MONTAÑO SAUL EMMANUEL','MOTORES PARA VIDEOJUEGOS II','MASCULINO',0);</v>
      </c>
    </row>
    <row r="108" spans="1:10" x14ac:dyDescent="0.25">
      <c r="A108">
        <f t="shared" si="9"/>
        <v>1107</v>
      </c>
      <c r="B108" s="1" t="s">
        <v>1</v>
      </c>
      <c r="C108" t="str">
        <f>Hoja1!B108</f>
        <v>ANIMACION DIGITAL Y VIDEOJUEGOS</v>
      </c>
      <c r="D108" s="5" t="s">
        <v>1385</v>
      </c>
      <c r="E108" t="str">
        <f>Hoja1!D108</f>
        <v>HERNANDEZ GONZALEZ BARCENA NICOLE</v>
      </c>
      <c r="F108" t="str">
        <f>Hoja1!E108</f>
        <v>PUBLICACION Y DISTRIBUCION</v>
      </c>
      <c r="G108" t="str">
        <f>Hoja1!F108</f>
        <v>FEMENINO</v>
      </c>
      <c r="H108">
        <f t="shared" si="6"/>
        <v>0</v>
      </c>
      <c r="I108" t="str">
        <f t="shared" si="7"/>
        <v>1107,'LICENCIATURA','ANIMACION DIGITAL Y VIDEOJUEGOS','ANIM 8°','HERNANDEZ GONZALEZ BARCENA NICOLE','PUBLICACION Y DISTRIBUCION','FEMENINO',0</v>
      </c>
      <c r="J108" t="str">
        <f t="shared" si="8"/>
        <v>INSERT INTO profesores (id,nivel,carrera,grupo,nombre,materia,sexo,sello) VALUES (1107,'LICENCIATURA','ANIMACION DIGITAL Y VIDEOJUEGOS','ANIM 8°','HERNANDEZ GONZALEZ BARCENA NICOLE','PUBLICACION Y DISTRIBUCION','FEMENINO',0);</v>
      </c>
    </row>
    <row r="109" spans="1:10" x14ac:dyDescent="0.25">
      <c r="A109">
        <f t="shared" si="9"/>
        <v>1108</v>
      </c>
      <c r="B109" s="1" t="s">
        <v>1</v>
      </c>
      <c r="C109" t="str">
        <f>Hoja1!B109</f>
        <v>ANIMACION DIGITAL Y VIDEOJUEGOS</v>
      </c>
      <c r="D109" s="5" t="s">
        <v>1385</v>
      </c>
      <c r="E109" t="str">
        <f>Hoja1!D109</f>
        <v>LOPEZ VIDAURRI FERNANDO ABIF</v>
      </c>
      <c r="F109" t="str">
        <f>Hoja1!E109</f>
        <v>ANIMACION 3D II</v>
      </c>
      <c r="G109" t="str">
        <f>Hoja1!F109</f>
        <v>MASCULINO</v>
      </c>
      <c r="H109">
        <f t="shared" si="6"/>
        <v>0</v>
      </c>
      <c r="I109" t="str">
        <f t="shared" si="7"/>
        <v>1108,'LICENCIATURA','ANIMACION DIGITAL Y VIDEOJUEGOS','ANIM 8°','LOPEZ VIDAURRI FERNANDO ABIF','ANIMACION 3D II','MASCULINO',0</v>
      </c>
      <c r="J109" t="str">
        <f t="shared" si="8"/>
        <v>INSERT INTO profesores (id,nivel,carrera,grupo,nombre,materia,sexo,sello) VALUES (1108,'LICENCIATURA','ANIMACION DIGITAL Y VIDEOJUEGOS','ANIM 8°','LOPEZ VIDAURRI FERNANDO ABIF','ANIMACION 3D II','MASCULINO',0);</v>
      </c>
    </row>
    <row r="110" spans="1:10" x14ac:dyDescent="0.25">
      <c r="A110">
        <f t="shared" si="9"/>
        <v>1109</v>
      </c>
      <c r="B110" s="1" t="s">
        <v>1</v>
      </c>
      <c r="C110" t="str">
        <f>Hoja1!B110</f>
        <v>ANIMACION DIGITAL Y VIDEOJUEGOS</v>
      </c>
      <c r="D110" s="5" t="s">
        <v>1385</v>
      </c>
      <c r="E110" t="str">
        <f>Hoja1!D110</f>
        <v>RAMIREZ ORNELAS FRANCISCO JAVIER</v>
      </c>
      <c r="F110" t="str">
        <f>Hoja1!E110</f>
        <v>POSTPRODUCCION Y COMPOSICION II</v>
      </c>
      <c r="G110" t="str">
        <f>Hoja1!F110</f>
        <v>MASCULINO</v>
      </c>
      <c r="H110">
        <f t="shared" si="6"/>
        <v>0</v>
      </c>
      <c r="I110" t="str">
        <f t="shared" si="7"/>
        <v>1109,'LICENCIATURA','ANIMACION DIGITAL Y VIDEOJUEGOS','ANIM 8°','RAMIREZ ORNELAS FRANCISCO JAVIER','POSTPRODUCCION Y COMPOSICION II','MASCULINO',0</v>
      </c>
      <c r="J110" t="str">
        <f t="shared" si="8"/>
        <v>INSERT INTO profesores (id,nivel,carrera,grupo,nombre,materia,sexo,sello) VALUES (1109,'LICENCIATURA','ANIMACION DIGITAL Y VIDEOJUEGOS','ANIM 8°','RAMIREZ ORNELAS FRANCISCO JAVIER','POSTPRODUCCION Y COMPOSICION II','MASCULINO',0);</v>
      </c>
    </row>
    <row r="111" spans="1:10" x14ac:dyDescent="0.25">
      <c r="A111">
        <f t="shared" si="9"/>
        <v>1110</v>
      </c>
      <c r="B111" s="1" t="s">
        <v>1</v>
      </c>
      <c r="C111" t="str">
        <f>Hoja1!B111</f>
        <v>ANIMACION DIGITAL Y VIDEOJUEGOS</v>
      </c>
      <c r="D111" s="5" t="s">
        <v>1385</v>
      </c>
      <c r="E111" t="str">
        <f>Hoja1!D111</f>
        <v>ZAMBRANO LOPEZ ZAIRA MARLENE</v>
      </c>
      <c r="F111" t="str">
        <f>Hoja1!E111</f>
        <v>SEMINARIO DE INTEGRACION</v>
      </c>
      <c r="G111" t="str">
        <f>Hoja1!F111</f>
        <v>FEMENINO</v>
      </c>
      <c r="H111">
        <f t="shared" si="6"/>
        <v>0</v>
      </c>
      <c r="I111" t="str">
        <f t="shared" si="7"/>
        <v>1110,'LICENCIATURA','ANIMACION DIGITAL Y VIDEOJUEGOS','ANIM 8°','ZAMBRANO LOPEZ ZAIRA MARLENE','SEMINARIO DE INTEGRACION','FEMENINO',0</v>
      </c>
      <c r="J111" t="str">
        <f t="shared" si="8"/>
        <v>INSERT INTO profesores (id,nivel,carrera,grupo,nombre,materia,sexo,sello) VALUES (1110,'LICENCIATURA','ANIMACION DIGITAL Y VIDEOJUEGOS','ANIM 8°','ZAMBRANO LOPEZ ZAIRA MARLENE','SEMINARIO DE INTEGRACION','FEMENINO',0);</v>
      </c>
    </row>
    <row r="112" spans="1:10" x14ac:dyDescent="0.25">
      <c r="A112">
        <f t="shared" si="9"/>
        <v>1111</v>
      </c>
      <c r="B112" s="1" t="s">
        <v>1</v>
      </c>
      <c r="C112" t="str">
        <f>Hoja1!B112</f>
        <v>ARQUITECTURA</v>
      </c>
      <c r="D112" s="5" t="s">
        <v>1390</v>
      </c>
      <c r="E112" t="str">
        <f>Hoja1!D112</f>
        <v>ESPINO CAMPOS NYDIA</v>
      </c>
      <c r="F112" t="str">
        <f>Hoja1!E112</f>
        <v>GEOMETRIA APLICADA A LA ARQUITECTURA</v>
      </c>
      <c r="G112" t="str">
        <f>Hoja1!F112</f>
        <v>FEMENINO</v>
      </c>
      <c r="H112">
        <f t="shared" si="6"/>
        <v>0</v>
      </c>
      <c r="I112" t="str">
        <f t="shared" si="7"/>
        <v>1111,'LICENCIATURA','ARQUITECTURA','ARQ 2°','ESPINO CAMPOS NYDIA','GEOMETRIA APLICADA A LA ARQUITECTURA','FEMENINO',0</v>
      </c>
      <c r="J112" t="str">
        <f t="shared" si="8"/>
        <v>INSERT INTO profesores (id,nivel,carrera,grupo,nombre,materia,sexo,sello) VALUES (1111,'LICENCIATURA','ARQUITECTURA','ARQ 2°','ESPINO CAMPOS NYDIA','GEOMETRIA APLICADA A LA ARQUITECTURA','FEMENINO',0);</v>
      </c>
    </row>
    <row r="113" spans="1:10" x14ac:dyDescent="0.25">
      <c r="A113">
        <f t="shared" si="9"/>
        <v>1112</v>
      </c>
      <c r="B113" s="1" t="s">
        <v>1</v>
      </c>
      <c r="C113" t="str">
        <f>Hoja1!B113</f>
        <v>ARQUITECTURA</v>
      </c>
      <c r="D113" s="5" t="s">
        <v>1390</v>
      </c>
      <c r="E113" t="str">
        <f>Hoja1!D113</f>
        <v>GUDIÑO GONZALEZ JESUS ANTONIO</v>
      </c>
      <c r="F113" t="str">
        <f>Hoja1!E113</f>
        <v>HISTORIA CRITICA DE LA ARQUITECTURA Y URBANISMO BASICA</v>
      </c>
      <c r="G113" t="str">
        <f>Hoja1!F113</f>
        <v>MASCULINO</v>
      </c>
      <c r="H113">
        <f t="shared" si="6"/>
        <v>0</v>
      </c>
      <c r="I113" t="str">
        <f t="shared" si="7"/>
        <v>1112,'LICENCIATURA','ARQUITECTURA','ARQ 2°','GUDIÑO GONZALEZ JESUS ANTONIO','HISTORIA CRITICA DE LA ARQUITECTURA Y URBANISMO BASICA','MASCULINO',0</v>
      </c>
      <c r="J113" t="str">
        <f t="shared" si="8"/>
        <v>INSERT INTO profesores (id,nivel,carrera,grupo,nombre,materia,sexo,sello) VALUES (1112,'LICENCIATURA','ARQUITECTURA','ARQ 2°','GUDIÑO GONZALEZ JESUS ANTONIO','HISTORIA CRITICA DE LA ARQUITECTURA Y URBANISMO BASICA','MASCULINO',0);</v>
      </c>
    </row>
    <row r="114" spans="1:10" x14ac:dyDescent="0.25">
      <c r="A114">
        <f t="shared" si="9"/>
        <v>1113</v>
      </c>
      <c r="B114" s="1" t="s">
        <v>1</v>
      </c>
      <c r="C114" t="str">
        <f>Hoja1!B114</f>
        <v>ARQUITECTURA</v>
      </c>
      <c r="D114" s="5" t="s">
        <v>1390</v>
      </c>
      <c r="E114" t="str">
        <f>Hoja1!D114</f>
        <v>MARTINEZ GOMEZ LETICIA</v>
      </c>
      <c r="F114" t="str">
        <f>Hoja1!E114</f>
        <v>DISEÑO DEL ESPACIO HABITACIONAL UNIFAMILIAR</v>
      </c>
      <c r="G114" t="str">
        <f>Hoja1!F114</f>
        <v>FEMENINO</v>
      </c>
      <c r="H114">
        <f t="shared" si="6"/>
        <v>0</v>
      </c>
      <c r="I114" t="str">
        <f t="shared" si="7"/>
        <v>1113,'LICENCIATURA','ARQUITECTURA','ARQ 2°','MARTINEZ GOMEZ LETICIA','DISEÑO DEL ESPACIO HABITACIONAL UNIFAMILIAR','FEMENINO',0</v>
      </c>
      <c r="J114" t="str">
        <f t="shared" si="8"/>
        <v>INSERT INTO profesores (id,nivel,carrera,grupo,nombre,materia,sexo,sello) VALUES (1113,'LICENCIATURA','ARQUITECTURA','ARQ 2°','MARTINEZ GOMEZ LETICIA','DISEÑO DEL ESPACIO HABITACIONAL UNIFAMILIAR','FEMENINO',0);</v>
      </c>
    </row>
    <row r="115" spans="1:10" x14ac:dyDescent="0.25">
      <c r="A115">
        <f t="shared" si="9"/>
        <v>1114</v>
      </c>
      <c r="B115" s="1" t="s">
        <v>1</v>
      </c>
      <c r="C115" t="str">
        <f>Hoja1!B115</f>
        <v>ARQUITECTURA</v>
      </c>
      <c r="D115" s="5" t="s">
        <v>1390</v>
      </c>
      <c r="E115" t="str">
        <f>Hoja1!D115</f>
        <v>MONTELONGO AGUAYO DANIEL</v>
      </c>
      <c r="F115" t="str">
        <f>Hoja1!E115</f>
        <v>MATERIALES DE CONSTRUCCION</v>
      </c>
      <c r="G115" t="str">
        <f>Hoja1!F115</f>
        <v>MASCULINO</v>
      </c>
      <c r="H115">
        <f t="shared" si="6"/>
        <v>0</v>
      </c>
      <c r="I115" t="str">
        <f t="shared" si="7"/>
        <v>1114,'LICENCIATURA','ARQUITECTURA','ARQ 2°','MONTELONGO AGUAYO DANIEL','MATERIALES DE CONSTRUCCION','MASCULINO',0</v>
      </c>
      <c r="J115" t="str">
        <f t="shared" si="8"/>
        <v>INSERT INTO profesores (id,nivel,carrera,grupo,nombre,materia,sexo,sello) VALUES (1114,'LICENCIATURA','ARQUITECTURA','ARQ 2°','MONTELONGO AGUAYO DANIEL','MATERIALES DE CONSTRUCCION','MASCULINO',0);</v>
      </c>
    </row>
    <row r="116" spans="1:10" x14ac:dyDescent="0.25">
      <c r="A116">
        <f t="shared" si="9"/>
        <v>1115</v>
      </c>
      <c r="B116" s="1" t="s">
        <v>1</v>
      </c>
      <c r="C116" t="str">
        <f>Hoja1!B116</f>
        <v>ARQUITECTURA</v>
      </c>
      <c r="D116" s="5" t="s">
        <v>1390</v>
      </c>
      <c r="E116" t="str">
        <f>Hoja1!D116</f>
        <v>PEREZ GUTIERREZ JORGE HUMBERTO</v>
      </c>
      <c r="F116" t="str">
        <f>Hoja1!E116</f>
        <v>ESTATICA</v>
      </c>
      <c r="G116" t="str">
        <f>Hoja1!F116</f>
        <v>MASCULINO</v>
      </c>
      <c r="H116">
        <f t="shared" si="6"/>
        <v>0</v>
      </c>
      <c r="I116" t="str">
        <f t="shared" si="7"/>
        <v>1115,'LICENCIATURA','ARQUITECTURA','ARQ 2°','PEREZ GUTIERREZ JORGE HUMBERTO','ESTATICA','MASCULINO',0</v>
      </c>
      <c r="J116" t="str">
        <f t="shared" si="8"/>
        <v>INSERT INTO profesores (id,nivel,carrera,grupo,nombre,materia,sexo,sello) VALUES (1115,'LICENCIATURA','ARQUITECTURA','ARQ 2°','PEREZ GUTIERREZ JORGE HUMBERTO','ESTATICA','MASCULINO',0);</v>
      </c>
    </row>
    <row r="117" spans="1:10" x14ac:dyDescent="0.25">
      <c r="A117">
        <f t="shared" si="9"/>
        <v>1116</v>
      </c>
      <c r="B117" s="1" t="s">
        <v>1</v>
      </c>
      <c r="C117" t="str">
        <f>Hoja1!B117</f>
        <v>ARQUITECTURA</v>
      </c>
      <c r="D117" s="5" t="s">
        <v>1390</v>
      </c>
      <c r="E117" t="str">
        <f>Hoja1!D117</f>
        <v>PONCE CUEVAS JUAN</v>
      </c>
      <c r="F117" t="str">
        <f>Hoja1!E117</f>
        <v>MAQUETAS</v>
      </c>
      <c r="G117" t="str">
        <f>Hoja1!F117</f>
        <v>MASCULINO</v>
      </c>
      <c r="H117">
        <f t="shared" si="6"/>
        <v>0</v>
      </c>
      <c r="I117" t="str">
        <f t="shared" si="7"/>
        <v>1116,'LICENCIATURA','ARQUITECTURA','ARQ 2°','PONCE CUEVAS JUAN','MAQUETAS','MASCULINO',0</v>
      </c>
      <c r="J117" t="str">
        <f t="shared" si="8"/>
        <v>INSERT INTO profesores (id,nivel,carrera,grupo,nombre,materia,sexo,sello) VALUES (1116,'LICENCIATURA','ARQUITECTURA','ARQ 2°','PONCE CUEVAS JUAN','MAQUETAS','MASCULINO',0);</v>
      </c>
    </row>
    <row r="118" spans="1:10" x14ac:dyDescent="0.25">
      <c r="A118">
        <f t="shared" si="9"/>
        <v>1117</v>
      </c>
      <c r="B118" s="1" t="s">
        <v>1</v>
      </c>
      <c r="C118" t="str">
        <f>Hoja1!B118</f>
        <v>ARQUITECTURA</v>
      </c>
      <c r="D118" s="5" t="s">
        <v>1390</v>
      </c>
      <c r="E118" t="str">
        <f>Hoja1!D118</f>
        <v>PUJOL BECERRA ALVARO</v>
      </c>
      <c r="F118" t="str">
        <f>Hoja1!E118</f>
        <v>DIBUJO ASISTIDO POR COMPUTADORA</v>
      </c>
      <c r="G118" t="str">
        <f>Hoja1!F118</f>
        <v>MASCULINO</v>
      </c>
      <c r="H118">
        <f t="shared" si="6"/>
        <v>0</v>
      </c>
      <c r="I118" t="str">
        <f t="shared" si="7"/>
        <v>1117,'LICENCIATURA','ARQUITECTURA','ARQ 2°','PUJOL BECERRA ALVARO','DIBUJO ASISTIDO POR COMPUTADORA','MASCULINO',0</v>
      </c>
      <c r="J118" t="str">
        <f t="shared" si="8"/>
        <v>INSERT INTO profesores (id,nivel,carrera,grupo,nombre,materia,sexo,sello) VALUES (1117,'LICENCIATURA','ARQUITECTURA','ARQ 2°','PUJOL BECERRA ALVARO','DIBUJO ASISTIDO POR COMPUTADORA','MASCULINO',0);</v>
      </c>
    </row>
    <row r="119" spans="1:10" x14ac:dyDescent="0.25">
      <c r="A119">
        <f t="shared" si="9"/>
        <v>1118</v>
      </c>
      <c r="B119" s="1" t="s">
        <v>1</v>
      </c>
      <c r="C119" t="str">
        <f>Hoja1!B119</f>
        <v>ARQUITECTURA</v>
      </c>
      <c r="D119" s="5" t="s">
        <v>1391</v>
      </c>
      <c r="E119" t="s">
        <v>1418</v>
      </c>
      <c r="F119" t="str">
        <f>Hoja1!E119</f>
        <v>HISTORIA DE LA ARQUITECTURA MEXICANA</v>
      </c>
      <c r="G119" t="str">
        <f>Hoja1!F119</f>
        <v>MASCULINO</v>
      </c>
      <c r="H119">
        <f t="shared" si="6"/>
        <v>0</v>
      </c>
      <c r="I119" t="str">
        <f t="shared" si="7"/>
        <v>1118,'LICENCIATURA','ARQUITECTURA','ARQ 4°','CUESTA SÁNCHEZ EDUARDO','HISTORIA DE LA ARQUITECTURA MEXICANA','MASCULINO',0</v>
      </c>
      <c r="J119" t="str">
        <f t="shared" si="8"/>
        <v>INSERT INTO profesores (id,nivel,carrera,grupo,nombre,materia,sexo,sello) VALUES (1118,'LICENCIATURA','ARQUITECTURA','ARQ 4°','CUESTA SÁNCHEZ EDUARDO','HISTORIA DE LA ARQUITECTURA MEXICANA','MASCULINO',0);</v>
      </c>
    </row>
    <row r="120" spans="1:10" x14ac:dyDescent="0.25">
      <c r="A120">
        <f t="shared" si="9"/>
        <v>1119</v>
      </c>
      <c r="B120" s="1" t="s">
        <v>1</v>
      </c>
      <c r="C120" t="str">
        <f>Hoja1!B120</f>
        <v>ARQUITECTURA</v>
      </c>
      <c r="D120" s="5" t="s">
        <v>1391</v>
      </c>
      <c r="E120" t="str">
        <f>Hoja1!D120</f>
        <v>ESPINO CAMPOS NYDIA</v>
      </c>
      <c r="F120" t="str">
        <f>Hoja1!E120</f>
        <v>DISEÑO DEL ESPACIO RELIGIOSO Y EDUCATIVO</v>
      </c>
      <c r="G120" t="str">
        <f>Hoja1!F120</f>
        <v>FEMENINO</v>
      </c>
      <c r="H120">
        <f t="shared" si="6"/>
        <v>0</v>
      </c>
      <c r="I120" t="str">
        <f t="shared" si="7"/>
        <v>1119,'LICENCIATURA','ARQUITECTURA','ARQ 4°','ESPINO CAMPOS NYDIA','DISEÑO DEL ESPACIO RELIGIOSO Y EDUCATIVO','FEMENINO',0</v>
      </c>
      <c r="J120" t="str">
        <f t="shared" si="8"/>
        <v>INSERT INTO profesores (id,nivel,carrera,grupo,nombre,materia,sexo,sello) VALUES (1119,'LICENCIATURA','ARQUITECTURA','ARQ 4°','ESPINO CAMPOS NYDIA','DISEÑO DEL ESPACIO RELIGIOSO Y EDUCATIVO','FEMENINO',0);</v>
      </c>
    </row>
    <row r="121" spans="1:10" x14ac:dyDescent="0.25">
      <c r="A121">
        <f t="shared" si="9"/>
        <v>1120</v>
      </c>
      <c r="B121" s="1" t="s">
        <v>1</v>
      </c>
      <c r="C121" t="str">
        <f>Hoja1!B121</f>
        <v>ARQUITECTURA</v>
      </c>
      <c r="D121" s="5" t="s">
        <v>1391</v>
      </c>
      <c r="E121" t="str">
        <f>Hoja1!D121</f>
        <v>MARTINEZ GOMEZ LETICIA</v>
      </c>
      <c r="F121" t="str">
        <f>Hoja1!E121</f>
        <v>ARQUITECTURA DEL PAISAJISMO</v>
      </c>
      <c r="G121" t="str">
        <f>Hoja1!F121</f>
        <v>FEMENINO</v>
      </c>
      <c r="H121">
        <f t="shared" si="6"/>
        <v>0</v>
      </c>
      <c r="I121" t="str">
        <f t="shared" si="7"/>
        <v>1120,'LICENCIATURA','ARQUITECTURA','ARQ 4°','MARTINEZ GOMEZ LETICIA','ARQUITECTURA DEL PAISAJISMO','FEMENINO',0</v>
      </c>
      <c r="J121" t="str">
        <f t="shared" si="8"/>
        <v>INSERT INTO profesores (id,nivel,carrera,grupo,nombre,materia,sexo,sello) VALUES (1120,'LICENCIATURA','ARQUITECTURA','ARQ 4°','MARTINEZ GOMEZ LETICIA','ARQUITECTURA DEL PAISAJISMO','FEMENINO',0);</v>
      </c>
    </row>
    <row r="122" spans="1:10" x14ac:dyDescent="0.25">
      <c r="A122">
        <f t="shared" si="9"/>
        <v>1121</v>
      </c>
      <c r="B122" s="1" t="s">
        <v>1</v>
      </c>
      <c r="C122" t="str">
        <f>Hoja1!B122</f>
        <v>ARQUITECTURA</v>
      </c>
      <c r="D122" s="5" t="s">
        <v>1391</v>
      </c>
      <c r="E122" t="str">
        <f>Hoja1!D122</f>
        <v>MONTELONGO AGUAYO DANIEL</v>
      </c>
      <c r="F122" t="str">
        <f>Hoja1!E122</f>
        <v>DISEÑO DE INSTALACIONES HIDRAULICAS SANITARIAS</v>
      </c>
      <c r="G122" t="str">
        <f>Hoja1!F122</f>
        <v>MASCULINO</v>
      </c>
      <c r="H122">
        <f t="shared" si="6"/>
        <v>0</v>
      </c>
      <c r="I122" t="str">
        <f t="shared" si="7"/>
        <v>1121,'LICENCIATURA','ARQUITECTURA','ARQ 4°','MONTELONGO AGUAYO DANIEL','DISEÑO DE INSTALACIONES HIDRAULICAS SANITARIAS','MASCULINO',0</v>
      </c>
      <c r="J122" t="str">
        <f t="shared" si="8"/>
        <v>INSERT INTO profesores (id,nivel,carrera,grupo,nombre,materia,sexo,sello) VALUES (1121,'LICENCIATURA','ARQUITECTURA','ARQ 4°','MONTELONGO AGUAYO DANIEL','DISEÑO DE INSTALACIONES HIDRAULICAS SANITARIAS','MASCULINO',0);</v>
      </c>
    </row>
    <row r="123" spans="1:10" x14ac:dyDescent="0.25">
      <c r="A123">
        <f t="shared" si="9"/>
        <v>1122</v>
      </c>
      <c r="B123" s="1" t="s">
        <v>1</v>
      </c>
      <c r="C123" t="str">
        <f>Hoja1!B123</f>
        <v>ARQUITECTURA</v>
      </c>
      <c r="D123" s="5" t="s">
        <v>1391</v>
      </c>
      <c r="E123" t="str">
        <f>Hoja1!D123</f>
        <v>RAMOS RENTERIA MONTSERRAT FABIOLA</v>
      </c>
      <c r="F123" t="str">
        <f>Hoja1!E123</f>
        <v>FOTOGRAFIA</v>
      </c>
      <c r="G123" t="str">
        <f>Hoja1!F123</f>
        <v>FEMENINO</v>
      </c>
      <c r="H123">
        <f t="shared" si="6"/>
        <v>0</v>
      </c>
      <c r="I123" t="str">
        <f t="shared" si="7"/>
        <v>1122,'LICENCIATURA','ARQUITECTURA','ARQ 4°','RAMOS RENTERIA MONTSERRAT FABIOLA','FOTOGRAFIA','FEMENINO',0</v>
      </c>
      <c r="J123" t="str">
        <f t="shared" si="8"/>
        <v>INSERT INTO profesores (id,nivel,carrera,grupo,nombre,materia,sexo,sello) VALUES (1122,'LICENCIATURA','ARQUITECTURA','ARQ 4°','RAMOS RENTERIA MONTSERRAT FABIOLA','FOTOGRAFIA','FEMENINO',0);</v>
      </c>
    </row>
    <row r="124" spans="1:10" x14ac:dyDescent="0.25">
      <c r="A124">
        <f t="shared" si="9"/>
        <v>1123</v>
      </c>
      <c r="B124" s="1" t="s">
        <v>1</v>
      </c>
      <c r="C124" t="str">
        <f>Hoja1!B124</f>
        <v>ARQUITECTURA</v>
      </c>
      <c r="D124" s="5" t="s">
        <v>1391</v>
      </c>
      <c r="E124" t="str">
        <f>Hoja1!D124</f>
        <v>SANCHEZ MUÑOZ JOSE JORGE</v>
      </c>
      <c r="F124" t="str">
        <f>Hoja1!E124</f>
        <v>HISTORIA CRITICA DEL URBANISMO</v>
      </c>
      <c r="G124" t="str">
        <f>Hoja1!F124</f>
        <v>MASCULINO</v>
      </c>
      <c r="H124">
        <f t="shared" si="6"/>
        <v>0</v>
      </c>
      <c r="I124" t="str">
        <f t="shared" si="7"/>
        <v>1123,'LICENCIATURA','ARQUITECTURA','ARQ 4°','SANCHEZ MUÑOZ JOSE JORGE','HISTORIA CRITICA DEL URBANISMO','MASCULINO',0</v>
      </c>
      <c r="J124" t="str">
        <f t="shared" si="8"/>
        <v>INSERT INTO profesores (id,nivel,carrera,grupo,nombre,materia,sexo,sello) VALUES (1123,'LICENCIATURA','ARQUITECTURA','ARQ 4°','SANCHEZ MUÑOZ JOSE JORGE','HISTORIA CRITICA DEL URBANISMO','MASCULINO',0);</v>
      </c>
    </row>
    <row r="125" spans="1:10" x14ac:dyDescent="0.25">
      <c r="A125">
        <f t="shared" si="9"/>
        <v>1124</v>
      </c>
      <c r="B125" s="1" t="s">
        <v>1</v>
      </c>
      <c r="C125" t="str">
        <f>Hoja1!B125</f>
        <v>ARQUITECTURA</v>
      </c>
      <c r="D125" s="5" t="s">
        <v>1391</v>
      </c>
      <c r="E125" t="str">
        <f>Hoja1!D125</f>
        <v>SEGOVIANO MARTINEZ HUGO MIGUEL</v>
      </c>
      <c r="F125" t="str">
        <f>Hoja1!E125</f>
        <v>DISEÑO DE ESTRUCTURAS DE ACERO</v>
      </c>
      <c r="G125" t="str">
        <f>Hoja1!F125</f>
        <v>MASCULINO</v>
      </c>
      <c r="H125">
        <f t="shared" si="6"/>
        <v>0</v>
      </c>
      <c r="I125" t="str">
        <f t="shared" si="7"/>
        <v>1124,'LICENCIATURA','ARQUITECTURA','ARQ 4°','SEGOVIANO MARTINEZ HUGO MIGUEL','DISEÑO DE ESTRUCTURAS DE ACERO','MASCULINO',0</v>
      </c>
      <c r="J125" t="str">
        <f t="shared" si="8"/>
        <v>INSERT INTO profesores (id,nivel,carrera,grupo,nombre,materia,sexo,sello) VALUES (1124,'LICENCIATURA','ARQUITECTURA','ARQ 4°','SEGOVIANO MARTINEZ HUGO MIGUEL','DISEÑO DE ESTRUCTURAS DE ACERO','MASCULINO',0);</v>
      </c>
    </row>
    <row r="126" spans="1:10" x14ac:dyDescent="0.25">
      <c r="A126">
        <f t="shared" si="9"/>
        <v>1125</v>
      </c>
      <c r="B126" s="1" t="s">
        <v>1</v>
      </c>
      <c r="C126" t="str">
        <f>Hoja1!B126</f>
        <v>ARQUITECTURA</v>
      </c>
      <c r="D126" s="5" t="s">
        <v>1392</v>
      </c>
      <c r="E126" t="s">
        <v>1419</v>
      </c>
      <c r="F126" t="str">
        <f>Hoja1!E126</f>
        <v>CONSERVACION DEL PATRIMONIO CULTURAL</v>
      </c>
      <c r="G126" t="str">
        <f>Hoja1!F126</f>
        <v>MASCULINO</v>
      </c>
      <c r="H126">
        <f t="shared" si="6"/>
        <v>0</v>
      </c>
      <c r="I126" t="str">
        <f t="shared" si="7"/>
        <v>1125,'LICENCIATURA','ARQUITECTURA','ARQ 6°','CALDERON CHAVARRIN NOEMI MONTSERRAT','CONSERVACION DEL PATRIMONIO CULTURAL','MASCULINO',0</v>
      </c>
      <c r="J126" t="str">
        <f t="shared" si="8"/>
        <v>INSERT INTO profesores (id,nivel,carrera,grupo,nombre,materia,sexo,sello) VALUES (1125,'LICENCIATURA','ARQUITECTURA','ARQ 6°','CALDERON CHAVARRIN NOEMI MONTSERRAT','CONSERVACION DEL PATRIMONIO CULTURAL','MASCULINO',0);</v>
      </c>
    </row>
    <row r="127" spans="1:10" x14ac:dyDescent="0.25">
      <c r="A127">
        <f t="shared" si="9"/>
        <v>1126</v>
      </c>
      <c r="B127" s="1" t="s">
        <v>1</v>
      </c>
      <c r="C127" t="str">
        <f>Hoja1!B127</f>
        <v>ARQUITECTURA</v>
      </c>
      <c r="D127" s="5" t="s">
        <v>1392</v>
      </c>
      <c r="E127" t="str">
        <f>Hoja1!D127</f>
        <v>CASTELLANOS MEZA IRMA ELIZABETH</v>
      </c>
      <c r="F127" t="str">
        <f>Hoja1!E127</f>
        <v>ARQUITECTURA INTELIGENTE</v>
      </c>
      <c r="G127" t="str">
        <f>Hoja1!F127</f>
        <v>FEMENINO</v>
      </c>
      <c r="H127">
        <f t="shared" si="6"/>
        <v>0</v>
      </c>
      <c r="I127" t="str">
        <f t="shared" si="7"/>
        <v>1126,'LICENCIATURA','ARQUITECTURA','ARQ 6°','CASTELLANOS MEZA IRMA ELIZABETH','ARQUITECTURA INTELIGENTE','FEMENINO',0</v>
      </c>
      <c r="J127" t="str">
        <f t="shared" si="8"/>
        <v>INSERT INTO profesores (id,nivel,carrera,grupo,nombre,materia,sexo,sello) VALUES (1126,'LICENCIATURA','ARQUITECTURA','ARQ 6°','CASTELLANOS MEZA IRMA ELIZABETH','ARQUITECTURA INTELIGENTE','FEMENINO',0);</v>
      </c>
    </row>
    <row r="128" spans="1:10" x14ac:dyDescent="0.25">
      <c r="A128">
        <f t="shared" si="9"/>
        <v>1127</v>
      </c>
      <c r="B128" s="1" t="s">
        <v>1</v>
      </c>
      <c r="C128" t="str">
        <f>Hoja1!B128</f>
        <v>ARQUITECTURA</v>
      </c>
      <c r="D128" s="5" t="s">
        <v>1392</v>
      </c>
      <c r="E128" t="str">
        <f>Hoja1!D128</f>
        <v>FLORES COSIO LEONARDO</v>
      </c>
      <c r="F128" t="str">
        <f>Hoja1!E128</f>
        <v>DISEÑO ASISTIDO POR COMPUTADORA AVANZADO</v>
      </c>
      <c r="G128" t="str">
        <f>Hoja1!F128</f>
        <v>MASCULINO</v>
      </c>
      <c r="H128">
        <f t="shared" si="6"/>
        <v>0</v>
      </c>
      <c r="I128" t="str">
        <f t="shared" si="7"/>
        <v>1127,'LICENCIATURA','ARQUITECTURA','ARQ 6°','FLORES COSIO LEONARDO','DISEÑO ASISTIDO POR COMPUTADORA AVANZADO','MASCULINO',0</v>
      </c>
      <c r="J128" t="str">
        <f t="shared" si="8"/>
        <v>INSERT INTO profesores (id,nivel,carrera,grupo,nombre,materia,sexo,sello) VALUES (1127,'LICENCIATURA','ARQUITECTURA','ARQ 6°','FLORES COSIO LEONARDO','DISEÑO ASISTIDO POR COMPUTADORA AVANZADO','MASCULINO',0);</v>
      </c>
    </row>
    <row r="129" spans="1:10" x14ac:dyDescent="0.25">
      <c r="A129">
        <f t="shared" si="9"/>
        <v>1128</v>
      </c>
      <c r="B129" s="1" t="s">
        <v>1</v>
      </c>
      <c r="C129" t="str">
        <f>Hoja1!B129</f>
        <v>ARQUITECTURA</v>
      </c>
      <c r="D129" s="5" t="s">
        <v>1392</v>
      </c>
      <c r="E129" t="str">
        <f>Hoja1!D129</f>
        <v>PEREZ GUTIERREZ JORGE HUMBERTO</v>
      </c>
      <c r="F129" t="str">
        <f>Hoja1!E129</f>
        <v>RESCATE DE ZONAS URBANAS</v>
      </c>
      <c r="G129" t="str">
        <f>Hoja1!F129</f>
        <v>MASCULINO</v>
      </c>
      <c r="H129">
        <f t="shared" si="6"/>
        <v>0</v>
      </c>
      <c r="I129" t="str">
        <f t="shared" si="7"/>
        <v>1128,'LICENCIATURA','ARQUITECTURA','ARQ 6°','PEREZ GUTIERREZ JORGE HUMBERTO','RESCATE DE ZONAS URBANAS','MASCULINO',0</v>
      </c>
      <c r="J129" t="str">
        <f t="shared" si="8"/>
        <v>INSERT INTO profesores (id,nivel,carrera,grupo,nombre,materia,sexo,sello) VALUES (1128,'LICENCIATURA','ARQUITECTURA','ARQ 6°','PEREZ GUTIERREZ JORGE HUMBERTO','RESCATE DE ZONAS URBANAS','MASCULINO',0);</v>
      </c>
    </row>
    <row r="130" spans="1:10" x14ac:dyDescent="0.25">
      <c r="A130">
        <f t="shared" si="9"/>
        <v>1129</v>
      </c>
      <c r="B130" s="1" t="s">
        <v>1</v>
      </c>
      <c r="C130" t="str">
        <f>Hoja1!B130</f>
        <v>ARQUITECTURA</v>
      </c>
      <c r="D130" s="5" t="s">
        <v>1392</v>
      </c>
      <c r="E130" t="str">
        <f>Hoja1!D130</f>
        <v>PONCE CUEVAS JUAN</v>
      </c>
      <c r="F130" t="str">
        <f>Hoja1!E130</f>
        <v>COSTOS Y PRESUPUESTOS DE LA EDIFICACION</v>
      </c>
      <c r="G130" t="str">
        <f>Hoja1!F130</f>
        <v>MASCULINO</v>
      </c>
      <c r="H130">
        <f t="shared" si="6"/>
        <v>0</v>
      </c>
      <c r="I130" t="str">
        <f t="shared" si="7"/>
        <v>1129,'LICENCIATURA','ARQUITECTURA','ARQ 6°','PONCE CUEVAS JUAN','COSTOS Y PRESUPUESTOS DE LA EDIFICACION','MASCULINO',0</v>
      </c>
      <c r="J130" t="str">
        <f t="shared" si="8"/>
        <v>INSERT INTO profesores (id,nivel,carrera,grupo,nombre,materia,sexo,sello) VALUES (1129,'LICENCIATURA','ARQUITECTURA','ARQ 6°','PONCE CUEVAS JUAN','COSTOS Y PRESUPUESTOS DE LA EDIFICACION','MASCULINO',0);</v>
      </c>
    </row>
    <row r="131" spans="1:10" x14ac:dyDescent="0.25">
      <c r="A131">
        <f t="shared" si="9"/>
        <v>1130</v>
      </c>
      <c r="B131" s="1" t="s">
        <v>1</v>
      </c>
      <c r="C131" t="str">
        <f>Hoja1!B131</f>
        <v>ARQUITECTURA</v>
      </c>
      <c r="D131" s="5" t="s">
        <v>1392</v>
      </c>
      <c r="E131" t="str">
        <f>Hoja1!D131</f>
        <v>SANCHEZ MUÑOZ JOSE JORGE</v>
      </c>
      <c r="F131" t="str">
        <f>Hoja1!E131</f>
        <v>DISEÑO DEL ESPACIO CULTURAL Y RECREATIVO</v>
      </c>
      <c r="G131" t="str">
        <f>Hoja1!F131</f>
        <v>MASCULINO</v>
      </c>
      <c r="H131">
        <f t="shared" ref="H131:H194" si="10">IF(C131="MATERIAS INSTITUCIONALES",1,0)</f>
        <v>0</v>
      </c>
      <c r="I131" t="str">
        <f t="shared" ref="I131:I194" si="11">CONCATENATE(A131,",'",B131,"','",C131,"','",D131,",'",E131,"','",F131,"','",G131,"',",H131)</f>
        <v>1130,'LICENCIATURA','ARQUITECTURA','ARQ 6°','SANCHEZ MUÑOZ JOSE JORGE','DISEÑO DEL ESPACIO CULTURAL Y RECREATIVO','MASCULINO',0</v>
      </c>
      <c r="J131" t="str">
        <f t="shared" ref="J131:J194" si="12">CONCATENATE($I$1,I131,");")</f>
        <v>INSERT INTO profesores (id,nivel,carrera,grupo,nombre,materia,sexo,sello) VALUES (1130,'LICENCIATURA','ARQUITECTURA','ARQ 6°','SANCHEZ MUÑOZ JOSE JORGE','DISEÑO DEL ESPACIO CULTURAL Y RECREATIVO','MASCULINO',0);</v>
      </c>
    </row>
    <row r="132" spans="1:10" x14ac:dyDescent="0.25">
      <c r="A132">
        <f t="shared" ref="A132:A195" si="13">A131+1</f>
        <v>1131</v>
      </c>
      <c r="B132" s="1" t="s">
        <v>1</v>
      </c>
      <c r="C132" t="str">
        <f>Hoja1!B132</f>
        <v>ARQUITECTURA</v>
      </c>
      <c r="D132" s="5" t="s">
        <v>1392</v>
      </c>
      <c r="E132" t="str">
        <f>Hoja1!D132</f>
        <v>SEGOVIANO MARTINEZ HUGO MIGUEL</v>
      </c>
      <c r="F132" t="str">
        <f>Hoja1!E132</f>
        <v>CIMENTACIONES Y TIPOS DE FALLAS</v>
      </c>
      <c r="G132" t="str">
        <f>Hoja1!F132</f>
        <v>MASCULINO</v>
      </c>
      <c r="H132">
        <f t="shared" si="10"/>
        <v>0</v>
      </c>
      <c r="I132" t="str">
        <f t="shared" si="11"/>
        <v>1131,'LICENCIATURA','ARQUITECTURA','ARQ 6°','SEGOVIANO MARTINEZ HUGO MIGUEL','CIMENTACIONES Y TIPOS DE FALLAS','MASCULINO',0</v>
      </c>
      <c r="J132" t="str">
        <f t="shared" si="12"/>
        <v>INSERT INTO profesores (id,nivel,carrera,grupo,nombre,materia,sexo,sello) VALUES (1131,'LICENCIATURA','ARQUITECTURA','ARQ 6°','SEGOVIANO MARTINEZ HUGO MIGUEL','CIMENTACIONES Y TIPOS DE FALLAS','MASCULINO',0);</v>
      </c>
    </row>
    <row r="133" spans="1:10" x14ac:dyDescent="0.25">
      <c r="A133">
        <f t="shared" si="13"/>
        <v>1132</v>
      </c>
      <c r="B133" s="1" t="s">
        <v>1</v>
      </c>
      <c r="C133" t="str">
        <f>Hoja1!B133</f>
        <v>ARQUITECTURA</v>
      </c>
      <c r="D133" s="5" t="s">
        <v>1393</v>
      </c>
      <c r="E133" t="str">
        <f>Hoja1!D133</f>
        <v>CASTELLANOS MEZA IRMA ELIZABETH</v>
      </c>
      <c r="F133" t="str">
        <f>Hoja1!E133</f>
        <v>DISEÑO ARQUITECTONICO SUSTENTABLE</v>
      </c>
      <c r="G133" t="str">
        <f>Hoja1!F133</f>
        <v>FEMENINO</v>
      </c>
      <c r="H133">
        <f t="shared" si="10"/>
        <v>0</v>
      </c>
      <c r="I133" t="str">
        <f t="shared" si="11"/>
        <v>1132,'LICENCIATURA','ARQUITECTURA','ARQ 8°','CASTELLANOS MEZA IRMA ELIZABETH','DISEÑO ARQUITECTONICO SUSTENTABLE','FEMENINO',0</v>
      </c>
      <c r="J133" t="str">
        <f t="shared" si="12"/>
        <v>INSERT INTO profesores (id,nivel,carrera,grupo,nombre,materia,sexo,sello) VALUES (1132,'LICENCIATURA','ARQUITECTURA','ARQ 8°','CASTELLANOS MEZA IRMA ELIZABETH','DISEÑO ARQUITECTONICO SUSTENTABLE','FEMENINO',0);</v>
      </c>
    </row>
    <row r="134" spans="1:10" x14ac:dyDescent="0.25">
      <c r="A134">
        <f t="shared" si="13"/>
        <v>1133</v>
      </c>
      <c r="B134" s="1" t="s">
        <v>1</v>
      </c>
      <c r="C134" t="str">
        <f>Hoja1!B134</f>
        <v>ARQUITECTURA</v>
      </c>
      <c r="D134" s="5" t="s">
        <v>1393</v>
      </c>
      <c r="E134" t="str">
        <f>Hoja1!D134</f>
        <v>ESPINO CAMPOS NYDIA</v>
      </c>
      <c r="F134" t="str">
        <f>Hoja1!E134</f>
        <v>DESARROLLO DE PROYECTOS URBANISTICOS</v>
      </c>
      <c r="G134" t="str">
        <f>Hoja1!F134</f>
        <v>FEMENINO</v>
      </c>
      <c r="H134">
        <f t="shared" si="10"/>
        <v>0</v>
      </c>
      <c r="I134" t="str">
        <f t="shared" si="11"/>
        <v>1133,'LICENCIATURA','ARQUITECTURA','ARQ 8°','ESPINO CAMPOS NYDIA','DESARROLLO DE PROYECTOS URBANISTICOS','FEMENINO',0</v>
      </c>
      <c r="J134" t="str">
        <f t="shared" si="12"/>
        <v>INSERT INTO profesores (id,nivel,carrera,grupo,nombre,materia,sexo,sello) VALUES (1133,'LICENCIATURA','ARQUITECTURA','ARQ 8°','ESPINO CAMPOS NYDIA','DESARROLLO DE PROYECTOS URBANISTICOS','FEMENINO',0);</v>
      </c>
    </row>
    <row r="135" spans="1:10" x14ac:dyDescent="0.25">
      <c r="A135">
        <f t="shared" si="13"/>
        <v>1134</v>
      </c>
      <c r="B135" s="1" t="s">
        <v>1</v>
      </c>
      <c r="C135" t="str">
        <f>Hoja1!B135</f>
        <v>ARQUITECTURA</v>
      </c>
      <c r="D135" s="5" t="s">
        <v>1393</v>
      </c>
      <c r="E135" t="str">
        <f>Hoja1!D135</f>
        <v>PEREZ GUTIERREZ JORGE HUMBERTO</v>
      </c>
      <c r="F135" t="str">
        <f>Hoja1!E135</f>
        <v>TOPICOS DE ACTUALIDAD</v>
      </c>
      <c r="G135" t="str">
        <f>Hoja1!F135</f>
        <v>MASCULINO</v>
      </c>
      <c r="H135">
        <f t="shared" si="10"/>
        <v>0</v>
      </c>
      <c r="I135" t="str">
        <f t="shared" si="11"/>
        <v>1134,'LICENCIATURA','ARQUITECTURA','ARQ 8°','PEREZ GUTIERREZ JORGE HUMBERTO','TOPICOS DE ACTUALIDAD','MASCULINO',0</v>
      </c>
      <c r="J135" t="str">
        <f t="shared" si="12"/>
        <v>INSERT INTO profesores (id,nivel,carrera,grupo,nombre,materia,sexo,sello) VALUES (1134,'LICENCIATURA','ARQUITECTURA','ARQ 8°','PEREZ GUTIERREZ JORGE HUMBERTO','TOPICOS DE ACTUALIDAD','MASCULINO',0);</v>
      </c>
    </row>
    <row r="136" spans="1:10" x14ac:dyDescent="0.25">
      <c r="A136">
        <f t="shared" si="13"/>
        <v>1135</v>
      </c>
      <c r="B136" s="1" t="s">
        <v>1</v>
      </c>
      <c r="C136" t="str">
        <f>Hoja1!B136</f>
        <v>ARQUITECTURA</v>
      </c>
      <c r="D136" s="5" t="s">
        <v>1393</v>
      </c>
      <c r="E136" t="str">
        <f>Hoja1!D136</f>
        <v>PONCE CUEVAS JUAN</v>
      </c>
      <c r="F136" t="str">
        <f>Hoja1!E136</f>
        <v>DISEÑO DEL ESPACIO PARA LA SALUD</v>
      </c>
      <c r="G136" t="str">
        <f>Hoja1!F136</f>
        <v>MASCULINO</v>
      </c>
      <c r="H136">
        <f t="shared" si="10"/>
        <v>0</v>
      </c>
      <c r="I136" t="str">
        <f t="shared" si="11"/>
        <v>1135,'LICENCIATURA','ARQUITECTURA','ARQ 8°','PONCE CUEVAS JUAN','DISEÑO DEL ESPACIO PARA LA SALUD','MASCULINO',0</v>
      </c>
      <c r="J136" t="str">
        <f t="shared" si="12"/>
        <v>INSERT INTO profesores (id,nivel,carrera,grupo,nombre,materia,sexo,sello) VALUES (1135,'LICENCIATURA','ARQUITECTURA','ARQ 8°','PONCE CUEVAS JUAN','DISEÑO DEL ESPACIO PARA LA SALUD','MASCULINO',0);</v>
      </c>
    </row>
    <row r="137" spans="1:10" x14ac:dyDescent="0.25">
      <c r="A137">
        <f t="shared" si="13"/>
        <v>1136</v>
      </c>
      <c r="B137" s="1" t="s">
        <v>1</v>
      </c>
      <c r="C137" t="str">
        <f>Hoja1!B137</f>
        <v>ARQUITECTURA</v>
      </c>
      <c r="D137" s="5" t="s">
        <v>1393</v>
      </c>
      <c r="E137" t="str">
        <f>Hoja1!D137</f>
        <v>PONCE CUEVAS JUAN</v>
      </c>
      <c r="F137" t="str">
        <f>Hoja1!E137</f>
        <v>GESTION Y ORGANIZACION DE OBRAS</v>
      </c>
      <c r="G137" t="str">
        <f>Hoja1!F137</f>
        <v>MASCULINO</v>
      </c>
      <c r="H137">
        <f t="shared" si="10"/>
        <v>0</v>
      </c>
      <c r="I137" t="str">
        <f t="shared" si="11"/>
        <v>1136,'LICENCIATURA','ARQUITECTURA','ARQ 8°','PONCE CUEVAS JUAN','GESTION Y ORGANIZACION DE OBRAS','MASCULINO',0</v>
      </c>
      <c r="J137" t="str">
        <f t="shared" si="12"/>
        <v>INSERT INTO profesores (id,nivel,carrera,grupo,nombre,materia,sexo,sello) VALUES (1136,'LICENCIATURA','ARQUITECTURA','ARQ 8°','PONCE CUEVAS JUAN','GESTION Y ORGANIZACION DE OBRAS','MASCULINO',0);</v>
      </c>
    </row>
    <row r="138" spans="1:10" x14ac:dyDescent="0.25">
      <c r="A138">
        <f t="shared" si="13"/>
        <v>1137</v>
      </c>
      <c r="B138" s="1" t="s">
        <v>1</v>
      </c>
      <c r="C138" t="str">
        <f>Hoja1!B138</f>
        <v>ARQUITECTURA</v>
      </c>
      <c r="D138" s="5" t="s">
        <v>1393</v>
      </c>
      <c r="E138" t="str">
        <f>Hoja1!D138</f>
        <v>SANCHEZ MUÑOZ JOSE JORGE</v>
      </c>
      <c r="F138" t="str">
        <f>Hoja1!E138</f>
        <v xml:space="preserve">INVESTIGACION Y APLICADA  </v>
      </c>
      <c r="G138" t="str">
        <f>Hoja1!F138</f>
        <v>MASCULINO</v>
      </c>
      <c r="H138">
        <f t="shared" si="10"/>
        <v>0</v>
      </c>
      <c r="I138" t="str">
        <f t="shared" si="11"/>
        <v>1137,'LICENCIATURA','ARQUITECTURA','ARQ 8°','SANCHEZ MUÑOZ JOSE JORGE','INVESTIGACION Y APLICADA  ','MASCULINO',0</v>
      </c>
      <c r="J138" t="str">
        <f t="shared" si="12"/>
        <v>INSERT INTO profesores (id,nivel,carrera,grupo,nombre,materia,sexo,sello) VALUES (1137,'LICENCIATURA','ARQUITECTURA','ARQ 8°','SANCHEZ MUÑOZ JOSE JORGE','INVESTIGACION Y APLICADA  ','MASCULINO',0);</v>
      </c>
    </row>
    <row r="139" spans="1:10" x14ac:dyDescent="0.25">
      <c r="A139">
        <f t="shared" si="13"/>
        <v>1138</v>
      </c>
      <c r="B139" s="1" t="s">
        <v>1</v>
      </c>
      <c r="C139" t="str">
        <f>Hoja1!B139</f>
        <v>ARQUITECTURA</v>
      </c>
      <c r="D139" s="5" t="s">
        <v>1393</v>
      </c>
      <c r="E139" t="str">
        <f>Hoja1!D139</f>
        <v>SEGOVIANO MARTINEZ HUGO MIGUEL</v>
      </c>
      <c r="F139" t="str">
        <f>Hoja1!E139</f>
        <v>LICITACION DE OBRAS</v>
      </c>
      <c r="G139" t="str">
        <f>Hoja1!F139</f>
        <v>MASCULINO</v>
      </c>
      <c r="H139">
        <f t="shared" si="10"/>
        <v>0</v>
      </c>
      <c r="I139" t="str">
        <f t="shared" si="11"/>
        <v>1138,'LICENCIATURA','ARQUITECTURA','ARQ 8°','SEGOVIANO MARTINEZ HUGO MIGUEL','LICITACION DE OBRAS','MASCULINO',0</v>
      </c>
      <c r="J139" t="str">
        <f t="shared" si="12"/>
        <v>INSERT INTO profesores (id,nivel,carrera,grupo,nombre,materia,sexo,sello) VALUES (1138,'LICENCIATURA','ARQUITECTURA','ARQ 8°','SEGOVIANO MARTINEZ HUGO MIGUEL','LICITACION DE OBRAS','MASCULINO',0);</v>
      </c>
    </row>
    <row r="140" spans="1:10" x14ac:dyDescent="0.25">
      <c r="A140">
        <f t="shared" si="13"/>
        <v>1139</v>
      </c>
      <c r="B140" s="1" t="s">
        <v>1</v>
      </c>
      <c r="C140" t="str">
        <f>Hoja1!B140</f>
        <v>COMERCIO INTERNACIONAL</v>
      </c>
      <c r="D140" s="5" t="s">
        <v>1394</v>
      </c>
      <c r="E140" t="str">
        <f>Hoja1!D140</f>
        <v>MORENO CORRAL ALVARO</v>
      </c>
      <c r="F140" t="str">
        <f>Hoja1!E140</f>
        <v>COMERCIALIZACION</v>
      </c>
      <c r="G140" t="str">
        <f>Hoja1!F140</f>
        <v>MASCULINO</v>
      </c>
      <c r="H140">
        <f t="shared" si="10"/>
        <v>0</v>
      </c>
      <c r="I140" t="str">
        <f t="shared" si="11"/>
        <v>1139,'LICENCIATURA','COMERCIO INTERNACIONAL','COM 6°','MORENO CORRAL ALVARO','COMERCIALIZACION','MASCULINO',0</v>
      </c>
      <c r="J140" t="str">
        <f t="shared" si="12"/>
        <v>INSERT INTO profesores (id,nivel,carrera,grupo,nombre,materia,sexo,sello) VALUES (1139,'LICENCIATURA','COMERCIO INTERNACIONAL','COM 6°','MORENO CORRAL ALVARO','COMERCIALIZACION','MASCULINO',0);</v>
      </c>
    </row>
    <row r="141" spans="1:10" x14ac:dyDescent="0.25">
      <c r="A141">
        <f t="shared" si="13"/>
        <v>1140</v>
      </c>
      <c r="B141" s="1" t="s">
        <v>1</v>
      </c>
      <c r="C141" t="str">
        <f>Hoja1!B141</f>
        <v>COMERCIO INTERNACIONAL</v>
      </c>
      <c r="D141" s="5" t="s">
        <v>1394</v>
      </c>
      <c r="E141" t="str">
        <f>Hoja1!D141</f>
        <v>OROZCO DIAZ BEATRIZ IRENE</v>
      </c>
      <c r="F141" t="str">
        <f>Hoja1!E141</f>
        <v>OPERACIONES Y SERVICIOS PORTUARIOS</v>
      </c>
      <c r="G141" t="str">
        <f>Hoja1!F141</f>
        <v>FEMENINO</v>
      </c>
      <c r="H141">
        <f t="shared" si="10"/>
        <v>0</v>
      </c>
      <c r="I141" t="str">
        <f t="shared" si="11"/>
        <v>1140,'LICENCIATURA','COMERCIO INTERNACIONAL','COM 6°','OROZCO DIAZ BEATRIZ IRENE','OPERACIONES Y SERVICIOS PORTUARIOS','FEMENINO',0</v>
      </c>
      <c r="J141" t="str">
        <f t="shared" si="12"/>
        <v>INSERT INTO profesores (id,nivel,carrera,grupo,nombre,materia,sexo,sello) VALUES (1140,'LICENCIATURA','COMERCIO INTERNACIONAL','COM 6°','OROZCO DIAZ BEATRIZ IRENE','OPERACIONES Y SERVICIOS PORTUARIOS','FEMENINO',0);</v>
      </c>
    </row>
    <row r="142" spans="1:10" x14ac:dyDescent="0.25">
      <c r="A142">
        <f t="shared" si="13"/>
        <v>1141</v>
      </c>
      <c r="B142" s="1" t="s">
        <v>1</v>
      </c>
      <c r="C142" t="str">
        <f>Hoja1!B142</f>
        <v>COMERCIO INTERNACIONAL</v>
      </c>
      <c r="D142" s="5" t="s">
        <v>1394</v>
      </c>
      <c r="E142" t="str">
        <f>Hoja1!D142</f>
        <v>ROMERO MACIEL LORENZA DE LA LUZ</v>
      </c>
      <c r="F142" t="str">
        <f>Hoja1!E142</f>
        <v>FUNDAMENTOS DEL DERECHO ADUANERO</v>
      </c>
      <c r="G142" t="str">
        <f>Hoja1!F142</f>
        <v>FEMENINO</v>
      </c>
      <c r="H142">
        <f t="shared" si="10"/>
        <v>0</v>
      </c>
      <c r="I142" t="str">
        <f t="shared" si="11"/>
        <v>1141,'LICENCIATURA','COMERCIO INTERNACIONAL','COM 6°','ROMERO MACIEL LORENZA DE LA LUZ','FUNDAMENTOS DEL DERECHO ADUANERO','FEMENINO',0</v>
      </c>
      <c r="J142" t="str">
        <f t="shared" si="12"/>
        <v>INSERT INTO profesores (id,nivel,carrera,grupo,nombre,materia,sexo,sello) VALUES (1141,'LICENCIATURA','COMERCIO INTERNACIONAL','COM 6°','ROMERO MACIEL LORENZA DE LA LUZ','FUNDAMENTOS DEL DERECHO ADUANERO','FEMENINO',0);</v>
      </c>
    </row>
    <row r="143" spans="1:10" x14ac:dyDescent="0.25">
      <c r="A143">
        <f t="shared" si="13"/>
        <v>1142</v>
      </c>
      <c r="B143" s="1" t="s">
        <v>1</v>
      </c>
      <c r="C143" t="str">
        <f>Hoja1!B143</f>
        <v>COMERCIO INTERNACIONAL</v>
      </c>
      <c r="D143" s="5" t="s">
        <v>1394</v>
      </c>
      <c r="E143" t="str">
        <f>Hoja1!D143</f>
        <v>TOSCANO RENTERIA IRMA ARACELY</v>
      </c>
      <c r="F143" t="str">
        <f>Hoja1!E143</f>
        <v>PROYECTO DE IMPORTACION Y EXPORTACION I</v>
      </c>
      <c r="G143" t="str">
        <f>Hoja1!F143</f>
        <v>FEMENINO</v>
      </c>
      <c r="H143">
        <f t="shared" si="10"/>
        <v>0</v>
      </c>
      <c r="I143" t="str">
        <f t="shared" si="11"/>
        <v>1142,'LICENCIATURA','COMERCIO INTERNACIONAL','COM 6°','TOSCANO RENTERIA IRMA ARACELY','PROYECTO DE IMPORTACION Y EXPORTACION I','FEMENINO',0</v>
      </c>
      <c r="J143" t="str">
        <f t="shared" si="12"/>
        <v>INSERT INTO profesores (id,nivel,carrera,grupo,nombre,materia,sexo,sello) VALUES (1142,'LICENCIATURA','COMERCIO INTERNACIONAL','COM 6°','TOSCANO RENTERIA IRMA ARACELY','PROYECTO DE IMPORTACION Y EXPORTACION I','FEMENINO',0);</v>
      </c>
    </row>
    <row r="144" spans="1:10" x14ac:dyDescent="0.25">
      <c r="A144">
        <f t="shared" si="13"/>
        <v>1143</v>
      </c>
      <c r="B144" s="1" t="s">
        <v>1</v>
      </c>
      <c r="C144" t="str">
        <f>Hoja1!B144</f>
        <v>COMERCIO INTERNACIONAL</v>
      </c>
      <c r="D144" s="5" t="s">
        <v>1394</v>
      </c>
      <c r="E144" t="str">
        <f>Hoja1!D144</f>
        <v>VALENZUELA CHAVIRA JOSE DANIEL</v>
      </c>
      <c r="F144" t="str">
        <f>Hoja1!E144</f>
        <v>DESARROLLO DE NUEVOS PRODUCTOS</v>
      </c>
      <c r="G144" t="str">
        <f>Hoja1!F144</f>
        <v>MASCULINO</v>
      </c>
      <c r="H144">
        <f t="shared" si="10"/>
        <v>0</v>
      </c>
      <c r="I144" t="str">
        <f t="shared" si="11"/>
        <v>1143,'LICENCIATURA','COMERCIO INTERNACIONAL','COM 6°','VALENZUELA CHAVIRA JOSE DANIEL','DESARROLLO DE NUEVOS PRODUCTOS','MASCULINO',0</v>
      </c>
      <c r="J144" t="str">
        <f t="shared" si="12"/>
        <v>INSERT INTO profesores (id,nivel,carrera,grupo,nombre,materia,sexo,sello) VALUES (1143,'LICENCIATURA','COMERCIO INTERNACIONAL','COM 6°','VALENZUELA CHAVIRA JOSE DANIEL','DESARROLLO DE NUEVOS PRODUCTOS','MASCULINO',0);</v>
      </c>
    </row>
    <row r="145" spans="1:10" x14ac:dyDescent="0.25">
      <c r="A145">
        <f t="shared" si="13"/>
        <v>1144</v>
      </c>
      <c r="B145" s="1" t="s">
        <v>1</v>
      </c>
      <c r="C145" t="str">
        <f>Hoja1!B145</f>
        <v>COMERCIO INTERNACIONAL</v>
      </c>
      <c r="D145" s="5" t="s">
        <v>1395</v>
      </c>
      <c r="E145" t="str">
        <f>Hoja1!D145</f>
        <v>ESCARCEGA GARCIA DE LEON MIGUEL ANGEL</v>
      </c>
      <c r="F145" t="str">
        <f>Hoja1!E145</f>
        <v>AUDITORIA CON BASE EN RIESGOS</v>
      </c>
      <c r="G145" t="str">
        <f>Hoja1!F145</f>
        <v>MASCULINO</v>
      </c>
      <c r="H145">
        <f t="shared" si="10"/>
        <v>0</v>
      </c>
      <c r="I145" t="str">
        <f t="shared" si="11"/>
        <v>1144,'LICENCIATURA','COMERCIO INTERNACIONAL','COM 8°','ESCARCEGA GARCIA DE LEON MIGUEL ANGEL','AUDITORIA CON BASE EN RIESGOS','MASCULINO',0</v>
      </c>
      <c r="J145" t="str">
        <f t="shared" si="12"/>
        <v>INSERT INTO profesores (id,nivel,carrera,grupo,nombre,materia,sexo,sello) VALUES (1144,'LICENCIATURA','COMERCIO INTERNACIONAL','COM 8°','ESCARCEGA GARCIA DE LEON MIGUEL ANGEL','AUDITORIA CON BASE EN RIESGOS','MASCULINO',0);</v>
      </c>
    </row>
    <row r="146" spans="1:10" x14ac:dyDescent="0.25">
      <c r="A146">
        <f t="shared" si="13"/>
        <v>1145</v>
      </c>
      <c r="B146" s="1" t="s">
        <v>1</v>
      </c>
      <c r="C146" t="str">
        <f>Hoja1!B146</f>
        <v>COMERCIO INTERNACIONAL</v>
      </c>
      <c r="D146" s="5" t="s">
        <v>1395</v>
      </c>
      <c r="E146" t="str">
        <f>Hoja1!D146</f>
        <v>ESPEJEL VARGAS RAUL ENRIQUE</v>
      </c>
      <c r="F146" t="str">
        <f>Hoja1!E146</f>
        <v>TOPICOS DE ACTUALIDAD DE COMERCIO INTERNACIONAL</v>
      </c>
      <c r="G146" t="str">
        <f>Hoja1!F146</f>
        <v>MASCULINO</v>
      </c>
      <c r="H146">
        <f t="shared" si="10"/>
        <v>0</v>
      </c>
      <c r="I146" t="str">
        <f t="shared" si="11"/>
        <v>1145,'LICENCIATURA','COMERCIO INTERNACIONAL','COM 8°','ESPEJEL VARGAS RAUL ENRIQUE','TOPICOS DE ACTUALIDAD DE COMERCIO INTERNACIONAL','MASCULINO',0</v>
      </c>
      <c r="J146" t="str">
        <f t="shared" si="12"/>
        <v>INSERT INTO profesores (id,nivel,carrera,grupo,nombre,materia,sexo,sello) VALUES (1145,'LICENCIATURA','COMERCIO INTERNACIONAL','COM 8°','ESPEJEL VARGAS RAUL ENRIQUE','TOPICOS DE ACTUALIDAD DE COMERCIO INTERNACIONAL','MASCULINO',0);</v>
      </c>
    </row>
    <row r="147" spans="1:10" x14ac:dyDescent="0.25">
      <c r="A147">
        <f t="shared" si="13"/>
        <v>1146</v>
      </c>
      <c r="B147" s="1" t="s">
        <v>1</v>
      </c>
      <c r="C147" t="str">
        <f>Hoja1!B147</f>
        <v>COMERCIO INTERNACIONAL</v>
      </c>
      <c r="D147" s="5" t="s">
        <v>1395</v>
      </c>
      <c r="E147" t="str">
        <f>Hoja1!D147</f>
        <v>GARCIA RAIGOSA LUIS ANTONIO</v>
      </c>
      <c r="F147" t="str">
        <f>Hoja1!E147</f>
        <v>COMERCIO DE SERVICIOS</v>
      </c>
      <c r="G147" t="str">
        <f>Hoja1!F147</f>
        <v>MASCULINO</v>
      </c>
      <c r="H147">
        <f t="shared" si="10"/>
        <v>0</v>
      </c>
      <c r="I147" t="str">
        <f t="shared" si="11"/>
        <v>1146,'LICENCIATURA','COMERCIO INTERNACIONAL','COM 8°','GARCIA RAIGOSA LUIS ANTONIO','COMERCIO DE SERVICIOS','MASCULINO',0</v>
      </c>
      <c r="J147" t="str">
        <f t="shared" si="12"/>
        <v>INSERT INTO profesores (id,nivel,carrera,grupo,nombre,materia,sexo,sello) VALUES (1146,'LICENCIATURA','COMERCIO INTERNACIONAL','COM 8°','GARCIA RAIGOSA LUIS ANTONIO','COMERCIO DE SERVICIOS','MASCULINO',0);</v>
      </c>
    </row>
    <row r="148" spans="1:10" x14ac:dyDescent="0.25">
      <c r="A148">
        <f t="shared" si="13"/>
        <v>1147</v>
      </c>
      <c r="B148" s="1" t="s">
        <v>1</v>
      </c>
      <c r="C148" t="str">
        <f>Hoja1!B148</f>
        <v>COMERCIO INTERNACIONAL</v>
      </c>
      <c r="D148" s="5" t="s">
        <v>1395</v>
      </c>
      <c r="E148" t="str">
        <f>Hoja1!D148</f>
        <v>ONTIVEROS MURGUIA MYRIAM DEL CARMEN</v>
      </c>
      <c r="F148" t="str">
        <f>Hoja1!E148</f>
        <v>ETICA</v>
      </c>
      <c r="G148" t="str">
        <f>Hoja1!F148</f>
        <v>FEMENINO</v>
      </c>
      <c r="H148">
        <f t="shared" si="10"/>
        <v>0</v>
      </c>
      <c r="I148" t="str">
        <f t="shared" si="11"/>
        <v>1147,'LICENCIATURA','COMERCIO INTERNACIONAL','COM 8°','ONTIVEROS MURGUIA MYRIAM DEL CARMEN','ETICA','FEMENINO',0</v>
      </c>
      <c r="J148" t="str">
        <f t="shared" si="12"/>
        <v>INSERT INTO profesores (id,nivel,carrera,grupo,nombre,materia,sexo,sello) VALUES (1147,'LICENCIATURA','COMERCIO INTERNACIONAL','COM 8°','ONTIVEROS MURGUIA MYRIAM DEL CARMEN','ETICA','FEMENINO',0);</v>
      </c>
    </row>
    <row r="149" spans="1:10" x14ac:dyDescent="0.25">
      <c r="A149">
        <f t="shared" si="13"/>
        <v>1148</v>
      </c>
      <c r="B149" s="1" t="s">
        <v>1</v>
      </c>
      <c r="C149" t="str">
        <f>Hoja1!B149</f>
        <v>COMERCIO INTERNACIONAL</v>
      </c>
      <c r="D149" s="5" t="s">
        <v>1395</v>
      </c>
      <c r="E149" t="str">
        <f>Hoja1!D149</f>
        <v>OROZCO DIAZ BEATRIZ IRENE</v>
      </c>
      <c r="F149" t="str">
        <f>Hoja1!E149</f>
        <v>LEGISLACION ADUANERA II</v>
      </c>
      <c r="G149" t="str">
        <f>Hoja1!F149</f>
        <v>FEMENINO</v>
      </c>
      <c r="H149">
        <f t="shared" si="10"/>
        <v>0</v>
      </c>
      <c r="I149" t="str">
        <f t="shared" si="11"/>
        <v>1148,'LICENCIATURA','COMERCIO INTERNACIONAL','COM 8°','OROZCO DIAZ BEATRIZ IRENE','LEGISLACION ADUANERA II','FEMENINO',0</v>
      </c>
      <c r="J149" t="str">
        <f t="shared" si="12"/>
        <v>INSERT INTO profesores (id,nivel,carrera,grupo,nombre,materia,sexo,sello) VALUES (1148,'LICENCIATURA','COMERCIO INTERNACIONAL','COM 8°','OROZCO DIAZ BEATRIZ IRENE','LEGISLACION ADUANERA II','FEMENINO',0);</v>
      </c>
    </row>
    <row r="150" spans="1:10" x14ac:dyDescent="0.25">
      <c r="A150">
        <f t="shared" si="13"/>
        <v>1149</v>
      </c>
      <c r="B150" s="1" t="s">
        <v>1</v>
      </c>
      <c r="C150" t="str">
        <f>Hoja1!B150</f>
        <v>COMERCIO INTERNACIONAL</v>
      </c>
      <c r="D150" s="5" t="s">
        <v>1395</v>
      </c>
      <c r="E150" t="str">
        <f>Hoja1!D150</f>
        <v>RENTERIA JIMENEZ AMANDA JANETTE</v>
      </c>
      <c r="F150" t="str">
        <f>Hoja1!E150</f>
        <v>PROGRAMAS DE FOMENTO AL COMERCIO EXTERIOR</v>
      </c>
      <c r="G150" t="str">
        <f>Hoja1!F150</f>
        <v>FEMENINO</v>
      </c>
      <c r="H150">
        <f t="shared" si="10"/>
        <v>0</v>
      </c>
      <c r="I150" t="str">
        <f t="shared" si="11"/>
        <v>1149,'LICENCIATURA','COMERCIO INTERNACIONAL','COM 8°','RENTERIA JIMENEZ AMANDA JANETTE','PROGRAMAS DE FOMENTO AL COMERCIO EXTERIOR','FEMENINO',0</v>
      </c>
      <c r="J150" t="str">
        <f t="shared" si="12"/>
        <v>INSERT INTO profesores (id,nivel,carrera,grupo,nombre,materia,sexo,sello) VALUES (1149,'LICENCIATURA','COMERCIO INTERNACIONAL','COM 8°','RENTERIA JIMENEZ AMANDA JANETTE','PROGRAMAS DE FOMENTO AL COMERCIO EXTERIOR','FEMENINO',0);</v>
      </c>
    </row>
    <row r="151" spans="1:10" x14ac:dyDescent="0.25">
      <c r="A151">
        <f t="shared" si="13"/>
        <v>1150</v>
      </c>
      <c r="B151" s="1" t="s">
        <v>1</v>
      </c>
      <c r="C151" t="str">
        <f>Hoja1!B151</f>
        <v>DERECHO</v>
      </c>
      <c r="D151" s="5" t="s">
        <v>1396</v>
      </c>
      <c r="E151" t="str">
        <f>Hoja1!D151</f>
        <v>ANTOLIN LUNA MARIA DE GUADALUPE</v>
      </c>
      <c r="F151" t="str">
        <f>Hoja1!E151</f>
        <v>DERECHO AMBIENTAL</v>
      </c>
      <c r="G151" t="str">
        <f>Hoja1!F151</f>
        <v>FEMENINO</v>
      </c>
      <c r="H151">
        <f t="shared" si="10"/>
        <v>0</v>
      </c>
      <c r="I151" t="str">
        <f t="shared" si="11"/>
        <v>1150,'LICENCIATURA','DERECHO','DER 6°','ANTOLIN LUNA MARIA DE GUADALUPE','DERECHO AMBIENTAL','FEMENINO',0</v>
      </c>
      <c r="J151" t="str">
        <f t="shared" si="12"/>
        <v>INSERT INTO profesores (id,nivel,carrera,grupo,nombre,materia,sexo,sello) VALUES (1150,'LICENCIATURA','DERECHO','DER 6°','ANTOLIN LUNA MARIA DE GUADALUPE','DERECHO AMBIENTAL','FEMENINO',0);</v>
      </c>
    </row>
    <row r="152" spans="1:10" x14ac:dyDescent="0.25">
      <c r="A152">
        <f t="shared" si="13"/>
        <v>1151</v>
      </c>
      <c r="B152" s="1" t="s">
        <v>1</v>
      </c>
      <c r="C152" t="str">
        <f>Hoja1!B152</f>
        <v>DERECHO</v>
      </c>
      <c r="D152" s="5" t="s">
        <v>1396</v>
      </c>
      <c r="E152" t="str">
        <f>Hoja1!D152</f>
        <v>CASTILLO NUÑEZ PEDRO ALBERTO</v>
      </c>
      <c r="F152" t="str">
        <f>Hoja1!E152</f>
        <v>DERECHOS HUMANOS</v>
      </c>
      <c r="G152" t="str">
        <f>Hoja1!F152</f>
        <v>MASCULINO</v>
      </c>
      <c r="H152">
        <f t="shared" si="10"/>
        <v>0</v>
      </c>
      <c r="I152" t="str">
        <f t="shared" si="11"/>
        <v>1151,'LICENCIATURA','DERECHO','DER 6°','CASTILLO NUÑEZ PEDRO ALBERTO','DERECHOS HUMANOS','MASCULINO',0</v>
      </c>
      <c r="J152" t="str">
        <f t="shared" si="12"/>
        <v>INSERT INTO profesores (id,nivel,carrera,grupo,nombre,materia,sexo,sello) VALUES (1151,'LICENCIATURA','DERECHO','DER 6°','CASTILLO NUÑEZ PEDRO ALBERTO','DERECHOS HUMANOS','MASCULINO',0);</v>
      </c>
    </row>
    <row r="153" spans="1:10" x14ac:dyDescent="0.25">
      <c r="A153">
        <f t="shared" si="13"/>
        <v>1152</v>
      </c>
      <c r="B153" s="1" t="s">
        <v>1</v>
      </c>
      <c r="C153" t="str">
        <f>Hoja1!B153</f>
        <v>DERECHO</v>
      </c>
      <c r="D153" s="5" t="s">
        <v>1396</v>
      </c>
      <c r="E153" t="str">
        <f>Hoja1!D153</f>
        <v>CHAVEZ PEREZ SERGIO RODOLFO</v>
      </c>
      <c r="F153" t="str">
        <f>Hoja1!E153</f>
        <v>FILOSOFIA DEL DERECHO</v>
      </c>
      <c r="G153" t="str">
        <f>Hoja1!F153</f>
        <v>MASCULINO</v>
      </c>
      <c r="H153">
        <f t="shared" si="10"/>
        <v>0</v>
      </c>
      <c r="I153" t="str">
        <f t="shared" si="11"/>
        <v>1152,'LICENCIATURA','DERECHO','DER 6°','CHAVEZ PEREZ SERGIO RODOLFO','FILOSOFIA DEL DERECHO','MASCULINO',0</v>
      </c>
      <c r="J153" t="str">
        <f t="shared" si="12"/>
        <v>INSERT INTO profesores (id,nivel,carrera,grupo,nombre,materia,sexo,sello) VALUES (1152,'LICENCIATURA','DERECHO','DER 6°','CHAVEZ PEREZ SERGIO RODOLFO','FILOSOFIA DEL DERECHO','MASCULINO',0);</v>
      </c>
    </row>
    <row r="154" spans="1:10" x14ac:dyDescent="0.25">
      <c r="A154">
        <f t="shared" si="13"/>
        <v>1153</v>
      </c>
      <c r="B154" s="1" t="s">
        <v>1</v>
      </c>
      <c r="C154" t="str">
        <f>Hoja1!B154</f>
        <v>DERECHO</v>
      </c>
      <c r="D154" s="5" t="s">
        <v>1396</v>
      </c>
      <c r="E154" t="str">
        <f>Hoja1!D154</f>
        <v>GARCIA COVARRUBIAS LUIS RAFAEL</v>
      </c>
      <c r="F154" t="str">
        <f>Hoja1!E154</f>
        <v>DERECHO FISCAL</v>
      </c>
      <c r="G154" t="str">
        <f>Hoja1!F154</f>
        <v>MASCULINO</v>
      </c>
      <c r="H154">
        <f t="shared" si="10"/>
        <v>0</v>
      </c>
      <c r="I154" t="str">
        <f t="shared" si="11"/>
        <v>1153,'LICENCIATURA','DERECHO','DER 6°','GARCIA COVARRUBIAS LUIS RAFAEL','DERECHO FISCAL','MASCULINO',0</v>
      </c>
      <c r="J154" t="str">
        <f t="shared" si="12"/>
        <v>INSERT INTO profesores (id,nivel,carrera,grupo,nombre,materia,sexo,sello) VALUES (1153,'LICENCIATURA','DERECHO','DER 6°','GARCIA COVARRUBIAS LUIS RAFAEL','DERECHO FISCAL','MASCULINO',0);</v>
      </c>
    </row>
    <row r="155" spans="1:10" x14ac:dyDescent="0.25">
      <c r="A155">
        <f t="shared" si="13"/>
        <v>1154</v>
      </c>
      <c r="B155" s="1" t="s">
        <v>1</v>
      </c>
      <c r="C155" t="str">
        <f>Hoja1!B155</f>
        <v>DERECHO</v>
      </c>
      <c r="D155" s="5" t="s">
        <v>1396</v>
      </c>
      <c r="E155" t="str">
        <f>Hoja1!D155</f>
        <v>GONZALEZ PULIDO ALDO EVERARDO</v>
      </c>
      <c r="F155" t="str">
        <f>Hoja1!E155</f>
        <v>DERECHO INFORMATICO</v>
      </c>
      <c r="G155" t="str">
        <f>Hoja1!F155</f>
        <v>MASCULINO</v>
      </c>
      <c r="H155">
        <f t="shared" si="10"/>
        <v>0</v>
      </c>
      <c r="I155" t="str">
        <f t="shared" si="11"/>
        <v>1154,'LICENCIATURA','DERECHO','DER 6°','GONZALEZ PULIDO ALDO EVERARDO','DERECHO INFORMATICO','MASCULINO',0</v>
      </c>
      <c r="J155" t="str">
        <f t="shared" si="12"/>
        <v>INSERT INTO profesores (id,nivel,carrera,grupo,nombre,materia,sexo,sello) VALUES (1154,'LICENCIATURA','DERECHO','DER 6°','GONZALEZ PULIDO ALDO EVERARDO','DERECHO INFORMATICO','MASCULINO',0);</v>
      </c>
    </row>
    <row r="156" spans="1:10" x14ac:dyDescent="0.25">
      <c r="A156">
        <f t="shared" si="13"/>
        <v>1155</v>
      </c>
      <c r="B156" s="1" t="s">
        <v>1</v>
      </c>
      <c r="C156" t="str">
        <f>Hoja1!B156</f>
        <v>DERECHO</v>
      </c>
      <c r="D156" s="5" t="s">
        <v>1396</v>
      </c>
      <c r="E156" t="str">
        <f>Hoja1!D156</f>
        <v>PADILLA GALINDO EMMANUEL</v>
      </c>
      <c r="F156" t="str">
        <f>Hoja1!E156</f>
        <v>METODOS ALTERNATIVOS DE SOLUCION DE CONFLICTOS</v>
      </c>
      <c r="G156" t="str">
        <f>Hoja1!F156</f>
        <v>MASCULINO</v>
      </c>
      <c r="H156">
        <f t="shared" si="10"/>
        <v>0</v>
      </c>
      <c r="I156" t="str">
        <f t="shared" si="11"/>
        <v>1155,'LICENCIATURA','DERECHO','DER 6°','PADILLA GALINDO EMMANUEL','METODOS ALTERNATIVOS DE SOLUCION DE CONFLICTOS','MASCULINO',0</v>
      </c>
      <c r="J156" t="str">
        <f t="shared" si="12"/>
        <v>INSERT INTO profesores (id,nivel,carrera,grupo,nombre,materia,sexo,sello) VALUES (1155,'LICENCIATURA','DERECHO','DER 6°','PADILLA GALINDO EMMANUEL','METODOS ALTERNATIVOS DE SOLUCION DE CONFLICTOS','MASCULINO',0);</v>
      </c>
    </row>
    <row r="157" spans="1:10" x14ac:dyDescent="0.25">
      <c r="A157">
        <f t="shared" si="13"/>
        <v>1156</v>
      </c>
      <c r="B157" s="1" t="s">
        <v>1</v>
      </c>
      <c r="C157" t="str">
        <f>Hoja1!B157</f>
        <v>DERECHO</v>
      </c>
      <c r="D157" s="5" t="s">
        <v>1396</v>
      </c>
      <c r="E157" t="str">
        <f>Hoja1!D157</f>
        <v>PINTO POMPA JULIO CESAR</v>
      </c>
      <c r="F157" t="str">
        <f>Hoja1!E157</f>
        <v>DERECHO AGRARIO</v>
      </c>
      <c r="G157" t="str">
        <f>Hoja1!F157</f>
        <v>MASCULINO</v>
      </c>
      <c r="H157">
        <f t="shared" si="10"/>
        <v>0</v>
      </c>
      <c r="I157" t="str">
        <f t="shared" si="11"/>
        <v>1156,'LICENCIATURA','DERECHO','DER 6°','PINTO POMPA JULIO CESAR','DERECHO AGRARIO','MASCULINO',0</v>
      </c>
      <c r="J157" t="str">
        <f t="shared" si="12"/>
        <v>INSERT INTO profesores (id,nivel,carrera,grupo,nombre,materia,sexo,sello) VALUES (1156,'LICENCIATURA','DERECHO','DER 6°','PINTO POMPA JULIO CESAR','DERECHO AGRARIO','MASCULINO',0);</v>
      </c>
    </row>
    <row r="158" spans="1:10" x14ac:dyDescent="0.25">
      <c r="A158">
        <f t="shared" si="13"/>
        <v>1157</v>
      </c>
      <c r="B158" s="1" t="s">
        <v>1</v>
      </c>
      <c r="C158" t="str">
        <f>Hoja1!B158</f>
        <v>DERECHO</v>
      </c>
      <c r="D158" s="5" t="s">
        <v>1397</v>
      </c>
      <c r="E158" t="str">
        <f>Hoja1!D158</f>
        <v>ABASCAL  CUELLAR MARIA DE LAS VIRTUDES</v>
      </c>
      <c r="F158" t="str">
        <f>Hoja1!E158</f>
        <v>COMERCIO EXTERIOR</v>
      </c>
      <c r="G158" t="str">
        <f>Hoja1!F158</f>
        <v>FEMENINO</v>
      </c>
      <c r="H158">
        <f t="shared" si="10"/>
        <v>0</v>
      </c>
      <c r="I158" t="str">
        <f t="shared" si="11"/>
        <v>1157,'LICENCIATURA','DERECHO','DER 8°','ABASCAL  CUELLAR MARIA DE LAS VIRTUDES','COMERCIO EXTERIOR','FEMENINO',0</v>
      </c>
      <c r="J158" t="str">
        <f t="shared" si="12"/>
        <v>INSERT INTO profesores (id,nivel,carrera,grupo,nombre,materia,sexo,sello) VALUES (1157,'LICENCIATURA','DERECHO','DER 8°','ABASCAL  CUELLAR MARIA DE LAS VIRTUDES','COMERCIO EXTERIOR','FEMENINO',0);</v>
      </c>
    </row>
    <row r="159" spans="1:10" x14ac:dyDescent="0.25">
      <c r="A159">
        <f t="shared" si="13"/>
        <v>1158</v>
      </c>
      <c r="B159" s="1" t="s">
        <v>1</v>
      </c>
      <c r="C159" t="str">
        <f>Hoja1!B159</f>
        <v>DERECHO</v>
      </c>
      <c r="D159" s="5" t="s">
        <v>1397</v>
      </c>
      <c r="E159" t="str">
        <f>Hoja1!D159</f>
        <v>CAMPOS RAMIREZ HERMES</v>
      </c>
      <c r="F159" t="str">
        <f>Hoja1!E159</f>
        <v>DERECHO INTERNACIONAL PUBLICO</v>
      </c>
      <c r="G159" t="str">
        <f>Hoja1!F159</f>
        <v>MASCULINO</v>
      </c>
      <c r="H159">
        <f t="shared" si="10"/>
        <v>0</v>
      </c>
      <c r="I159" t="str">
        <f t="shared" si="11"/>
        <v>1158,'LICENCIATURA','DERECHO','DER 8°','CAMPOS RAMIREZ HERMES','DERECHO INTERNACIONAL PUBLICO','MASCULINO',0</v>
      </c>
      <c r="J159" t="str">
        <f t="shared" si="12"/>
        <v>INSERT INTO profesores (id,nivel,carrera,grupo,nombre,materia,sexo,sello) VALUES (1158,'LICENCIATURA','DERECHO','DER 8°','CAMPOS RAMIREZ HERMES','DERECHO INTERNACIONAL PUBLICO','MASCULINO',0);</v>
      </c>
    </row>
    <row r="160" spans="1:10" x14ac:dyDescent="0.25">
      <c r="A160">
        <f t="shared" si="13"/>
        <v>1159</v>
      </c>
      <c r="B160" s="1" t="s">
        <v>1</v>
      </c>
      <c r="C160" t="str">
        <f>Hoja1!B160</f>
        <v>DERECHO</v>
      </c>
      <c r="D160" s="5" t="s">
        <v>1397</v>
      </c>
      <c r="E160" t="str">
        <f>Hoja1!D160</f>
        <v>GARCIA COVARRUBIAS LUIS RAFAEL</v>
      </c>
      <c r="F160" t="str">
        <f>Hoja1!E160</f>
        <v>DERECHO ELECTORAL</v>
      </c>
      <c r="G160" t="str">
        <f>Hoja1!F160</f>
        <v>MASCULINO</v>
      </c>
      <c r="H160">
        <f t="shared" si="10"/>
        <v>0</v>
      </c>
      <c r="I160" t="str">
        <f t="shared" si="11"/>
        <v>1159,'LICENCIATURA','DERECHO','DER 8°','GARCIA COVARRUBIAS LUIS RAFAEL','DERECHO ELECTORAL','MASCULINO',0</v>
      </c>
      <c r="J160" t="str">
        <f t="shared" si="12"/>
        <v>INSERT INTO profesores (id,nivel,carrera,grupo,nombre,materia,sexo,sello) VALUES (1159,'LICENCIATURA','DERECHO','DER 8°','GARCIA COVARRUBIAS LUIS RAFAEL','DERECHO ELECTORAL','MASCULINO',0);</v>
      </c>
    </row>
    <row r="161" spans="1:10" x14ac:dyDescent="0.25">
      <c r="A161">
        <f t="shared" si="13"/>
        <v>1160</v>
      </c>
      <c r="B161" s="1" t="s">
        <v>1</v>
      </c>
      <c r="C161" t="str">
        <f>Hoja1!B161</f>
        <v>DERECHO</v>
      </c>
      <c r="D161" s="5" t="s">
        <v>1397</v>
      </c>
      <c r="E161" t="str">
        <f>Hoja1!D161</f>
        <v>MANZO CASTREJON LUIS AUGUSTO</v>
      </c>
      <c r="F161" t="str">
        <f>Hoja1!E161</f>
        <v>DERECHO BANCARIO</v>
      </c>
      <c r="G161" t="str">
        <f>Hoja1!F161</f>
        <v>MASCULINO</v>
      </c>
      <c r="H161">
        <f t="shared" si="10"/>
        <v>0</v>
      </c>
      <c r="I161" t="str">
        <f t="shared" si="11"/>
        <v>1160,'LICENCIATURA','DERECHO','DER 8°','MANZO CASTREJON LUIS AUGUSTO','DERECHO BANCARIO','MASCULINO',0</v>
      </c>
      <c r="J161" t="str">
        <f t="shared" si="12"/>
        <v>INSERT INTO profesores (id,nivel,carrera,grupo,nombre,materia,sexo,sello) VALUES (1160,'LICENCIATURA','DERECHO','DER 8°','MANZO CASTREJON LUIS AUGUSTO','DERECHO BANCARIO','MASCULINO',0);</v>
      </c>
    </row>
    <row r="162" spans="1:10" x14ac:dyDescent="0.25">
      <c r="A162">
        <f t="shared" si="13"/>
        <v>1161</v>
      </c>
      <c r="B162" s="1" t="s">
        <v>1</v>
      </c>
      <c r="C162" t="str">
        <f>Hoja1!B162</f>
        <v>DERECHO</v>
      </c>
      <c r="D162" s="5" t="s">
        <v>1397</v>
      </c>
      <c r="E162" t="str">
        <f>Hoja1!D162</f>
        <v>MONTERO LOPEZ STEPHANY ELIZABETH</v>
      </c>
      <c r="F162" t="str">
        <f>Hoja1!E162</f>
        <v>ETICA PROFESIONAL</v>
      </c>
      <c r="G162" t="str">
        <f>Hoja1!F162</f>
        <v>FEMENINO</v>
      </c>
      <c r="H162">
        <f t="shared" si="10"/>
        <v>0</v>
      </c>
      <c r="I162" t="str">
        <f t="shared" si="11"/>
        <v>1161,'LICENCIATURA','DERECHO','DER 8°','MONTERO LOPEZ STEPHANY ELIZABETH','ETICA PROFESIONAL','FEMENINO',0</v>
      </c>
      <c r="J162" t="str">
        <f t="shared" si="12"/>
        <v>INSERT INTO profesores (id,nivel,carrera,grupo,nombre,materia,sexo,sello) VALUES (1161,'LICENCIATURA','DERECHO','DER 8°','MONTERO LOPEZ STEPHANY ELIZABETH','ETICA PROFESIONAL','FEMENINO',0);</v>
      </c>
    </row>
    <row r="163" spans="1:10" x14ac:dyDescent="0.25">
      <c r="A163">
        <f t="shared" si="13"/>
        <v>1162</v>
      </c>
      <c r="B163" s="1" t="s">
        <v>1</v>
      </c>
      <c r="C163" t="str">
        <f>Hoja1!B163</f>
        <v>DERECHO</v>
      </c>
      <c r="D163" s="5" t="s">
        <v>1397</v>
      </c>
      <c r="E163" t="str">
        <f>Hoja1!D163</f>
        <v>RIVERO CARRERA ARTURO</v>
      </c>
      <c r="F163" t="str">
        <f>Hoja1!E163</f>
        <v>CLINICA DE JUICIO DE AMPARO</v>
      </c>
      <c r="G163" t="str">
        <f>Hoja1!F163</f>
        <v>MASCULINO</v>
      </c>
      <c r="H163">
        <f t="shared" si="10"/>
        <v>0</v>
      </c>
      <c r="I163" t="str">
        <f t="shared" si="11"/>
        <v>1162,'LICENCIATURA','DERECHO','DER 8°','RIVERO CARRERA ARTURO','CLINICA DE JUICIO DE AMPARO','MASCULINO',0</v>
      </c>
      <c r="J163" t="str">
        <f t="shared" si="12"/>
        <v>INSERT INTO profesores (id,nivel,carrera,grupo,nombre,materia,sexo,sello) VALUES (1162,'LICENCIATURA','DERECHO','DER 8°','RIVERO CARRERA ARTURO','CLINICA DE JUICIO DE AMPARO','MASCULINO',0);</v>
      </c>
    </row>
    <row r="164" spans="1:10" x14ac:dyDescent="0.25">
      <c r="A164">
        <f t="shared" si="13"/>
        <v>1163</v>
      </c>
      <c r="B164" s="1" t="s">
        <v>1</v>
      </c>
      <c r="C164" t="str">
        <f>Hoja1!B164</f>
        <v>DISEÑO GRAFICO Y DIGITAL</v>
      </c>
      <c r="D164" s="5" t="s">
        <v>1398</v>
      </c>
      <c r="E164" t="str">
        <f>Hoja1!D164</f>
        <v>BAUTISTA PARRA CLAUDIA LUCIA</v>
      </c>
      <c r="F164" t="str">
        <f>Hoja1!E164</f>
        <v>ENVASE Y EMBALAJE</v>
      </c>
      <c r="G164" t="str">
        <f>Hoja1!F164</f>
        <v>FEMENINO</v>
      </c>
      <c r="H164">
        <f t="shared" si="10"/>
        <v>0</v>
      </c>
      <c r="I164" t="str">
        <f t="shared" si="11"/>
        <v>1163,'LICENCIATURA','DISEÑO GRAFICO Y DIGITAL','DGD 4°','BAUTISTA PARRA CLAUDIA LUCIA','ENVASE Y EMBALAJE','FEMENINO',0</v>
      </c>
      <c r="J164" t="str">
        <f t="shared" si="12"/>
        <v>INSERT INTO profesores (id,nivel,carrera,grupo,nombre,materia,sexo,sello) VALUES (1163,'LICENCIATURA','DISEÑO GRAFICO Y DIGITAL','DGD 4°','BAUTISTA PARRA CLAUDIA LUCIA','ENVASE Y EMBALAJE','FEMENINO',0);</v>
      </c>
    </row>
    <row r="165" spans="1:10" x14ac:dyDescent="0.25">
      <c r="A165">
        <f t="shared" si="13"/>
        <v>1164</v>
      </c>
      <c r="B165" s="1" t="s">
        <v>1</v>
      </c>
      <c r="C165" t="str">
        <f>Hoja1!B165</f>
        <v>DISEÑO GRAFICO Y DIGITAL</v>
      </c>
      <c r="D165" s="5" t="s">
        <v>1398</v>
      </c>
      <c r="E165" t="str">
        <f>Hoja1!D165</f>
        <v>BLANQUET CHAVOYA JOSE LUIS</v>
      </c>
      <c r="F165" t="str">
        <f>Hoja1!E165</f>
        <v>DISEÑO DE INTERFACES</v>
      </c>
      <c r="G165" t="str">
        <f>Hoja1!F165</f>
        <v>MASCULINO</v>
      </c>
      <c r="H165">
        <f t="shared" si="10"/>
        <v>0</v>
      </c>
      <c r="I165" t="str">
        <f t="shared" si="11"/>
        <v>1164,'LICENCIATURA','DISEÑO GRAFICO Y DIGITAL','DGD 4°','BLANQUET CHAVOYA JOSE LUIS','DISEÑO DE INTERFACES','MASCULINO',0</v>
      </c>
      <c r="J165" t="str">
        <f t="shared" si="12"/>
        <v>INSERT INTO profesores (id,nivel,carrera,grupo,nombre,materia,sexo,sello) VALUES (1164,'LICENCIATURA','DISEÑO GRAFICO Y DIGITAL','DGD 4°','BLANQUET CHAVOYA JOSE LUIS','DISEÑO DE INTERFACES','MASCULINO',0);</v>
      </c>
    </row>
    <row r="166" spans="1:10" x14ac:dyDescent="0.25">
      <c r="A166">
        <f t="shared" si="13"/>
        <v>1165</v>
      </c>
      <c r="B166" s="1" t="s">
        <v>1</v>
      </c>
      <c r="C166" t="str">
        <f>Hoja1!B166</f>
        <v>DISEÑO GRAFICO Y DIGITAL</v>
      </c>
      <c r="D166" s="5" t="s">
        <v>1398</v>
      </c>
      <c r="E166" t="str">
        <f>Hoja1!D166</f>
        <v>FLORES GIL ARACELI</v>
      </c>
      <c r="F166" t="str">
        <f>Hoja1!E166</f>
        <v>TIPOGRAFIA DIGITAL</v>
      </c>
      <c r="G166" t="str">
        <f>Hoja1!F166</f>
        <v>FEMENINO</v>
      </c>
      <c r="H166">
        <f t="shared" si="10"/>
        <v>0</v>
      </c>
      <c r="I166" t="str">
        <f t="shared" si="11"/>
        <v>1165,'LICENCIATURA','DISEÑO GRAFICO Y DIGITAL','DGD 4°','FLORES GIL ARACELI','TIPOGRAFIA DIGITAL','FEMENINO',0</v>
      </c>
      <c r="J166" t="str">
        <f t="shared" si="12"/>
        <v>INSERT INTO profesores (id,nivel,carrera,grupo,nombre,materia,sexo,sello) VALUES (1165,'LICENCIATURA','DISEÑO GRAFICO Y DIGITAL','DGD 4°','FLORES GIL ARACELI','TIPOGRAFIA DIGITAL','FEMENINO',0);</v>
      </c>
    </row>
    <row r="167" spans="1:10" x14ac:dyDescent="0.25">
      <c r="A167">
        <f t="shared" si="13"/>
        <v>1166</v>
      </c>
      <c r="B167" s="1" t="s">
        <v>1</v>
      </c>
      <c r="C167" t="str">
        <f>Hoja1!B167</f>
        <v>DISEÑO GRAFICO Y DIGITAL</v>
      </c>
      <c r="D167" s="5" t="s">
        <v>1398</v>
      </c>
      <c r="E167" t="str">
        <f>Hoja1!D167</f>
        <v>MORENO LLAMAS HECTOR RAUL</v>
      </c>
      <c r="F167" t="str">
        <f>Hoja1!E167</f>
        <v>ILUSTRACION DIGITAL</v>
      </c>
      <c r="G167" t="str">
        <f>Hoja1!F167</f>
        <v>MASCULINO</v>
      </c>
      <c r="H167">
        <f t="shared" si="10"/>
        <v>0</v>
      </c>
      <c r="I167" t="str">
        <f t="shared" si="11"/>
        <v>1166,'LICENCIATURA','DISEÑO GRAFICO Y DIGITAL','DGD 4°','MORENO LLAMAS HECTOR RAUL','ILUSTRACION DIGITAL','MASCULINO',0</v>
      </c>
      <c r="J167" t="str">
        <f t="shared" si="12"/>
        <v>INSERT INTO profesores (id,nivel,carrera,grupo,nombre,materia,sexo,sello) VALUES (1166,'LICENCIATURA','DISEÑO GRAFICO Y DIGITAL','DGD 4°','MORENO LLAMAS HECTOR RAUL','ILUSTRACION DIGITAL','MASCULINO',0);</v>
      </c>
    </row>
    <row r="168" spans="1:10" x14ac:dyDescent="0.25">
      <c r="A168">
        <f t="shared" si="13"/>
        <v>1167</v>
      </c>
      <c r="B168" s="1" t="s">
        <v>1</v>
      </c>
      <c r="C168" t="str">
        <f>Hoja1!B168</f>
        <v>DISEÑO GRAFICO Y DIGITAL</v>
      </c>
      <c r="D168" s="5" t="s">
        <v>1398</v>
      </c>
      <c r="E168" t="str">
        <f>Hoja1!D168</f>
        <v>PEREZ ORTIZ MERCEDES</v>
      </c>
      <c r="F168" t="str">
        <f>Hoja1!E168</f>
        <v>SEÑALETICA</v>
      </c>
      <c r="G168" t="str">
        <f>Hoja1!F168</f>
        <v>FEMENINO</v>
      </c>
      <c r="H168">
        <f t="shared" si="10"/>
        <v>0</v>
      </c>
      <c r="I168" t="str">
        <f t="shared" si="11"/>
        <v>1167,'LICENCIATURA','DISEÑO GRAFICO Y DIGITAL','DGD 4°','PEREZ ORTIZ MERCEDES','SEÑALETICA','FEMENINO',0</v>
      </c>
      <c r="J168" t="str">
        <f t="shared" si="12"/>
        <v>INSERT INTO profesores (id,nivel,carrera,grupo,nombre,materia,sexo,sello) VALUES (1167,'LICENCIATURA','DISEÑO GRAFICO Y DIGITAL','DGD 4°','PEREZ ORTIZ MERCEDES','SEÑALETICA','FEMENINO',0);</v>
      </c>
    </row>
    <row r="169" spans="1:10" x14ac:dyDescent="0.25">
      <c r="A169">
        <f t="shared" si="13"/>
        <v>1168</v>
      </c>
      <c r="B169" s="1" t="s">
        <v>1</v>
      </c>
      <c r="C169" t="str">
        <f>Hoja1!B169</f>
        <v>DISEÑO GRAFICO Y DIGITAL</v>
      </c>
      <c r="D169" s="5" t="s">
        <v>1398</v>
      </c>
      <c r="E169" t="str">
        <f>Hoja1!D169</f>
        <v>QUINTERO LOPEZ MARTIN DE JESUS</v>
      </c>
      <c r="F169" t="str">
        <f>Hoja1!E169</f>
        <v>DISEÑO DE IDENTIDAD CORPORATIVA</v>
      </c>
      <c r="G169" t="str">
        <f>Hoja1!F169</f>
        <v>MASCULINO</v>
      </c>
      <c r="H169">
        <f t="shared" si="10"/>
        <v>0</v>
      </c>
      <c r="I169" t="str">
        <f t="shared" si="11"/>
        <v>1168,'LICENCIATURA','DISEÑO GRAFICO Y DIGITAL','DGD 4°','QUINTERO LOPEZ MARTIN DE JESUS','DISEÑO DE IDENTIDAD CORPORATIVA','MASCULINO',0</v>
      </c>
      <c r="J169" t="str">
        <f t="shared" si="12"/>
        <v>INSERT INTO profesores (id,nivel,carrera,grupo,nombre,materia,sexo,sello) VALUES (1168,'LICENCIATURA','DISEÑO GRAFICO Y DIGITAL','DGD 4°','QUINTERO LOPEZ MARTIN DE JESUS','DISEÑO DE IDENTIDAD CORPORATIVA','MASCULINO',0);</v>
      </c>
    </row>
    <row r="170" spans="1:10" x14ac:dyDescent="0.25">
      <c r="A170">
        <f t="shared" si="13"/>
        <v>1169</v>
      </c>
      <c r="B170" s="1" t="s">
        <v>1</v>
      </c>
      <c r="C170" t="str">
        <f>Hoja1!B170</f>
        <v>DISEÑO GRAFICO Y DIGITAL</v>
      </c>
      <c r="D170" s="5" t="s">
        <v>1399</v>
      </c>
      <c r="E170" t="str">
        <f>Hoja1!D170</f>
        <v>FLORES GIL ARACELI</v>
      </c>
      <c r="F170" t="str">
        <f>Hoja1!E170</f>
        <v>DISEÑO TRIDIMENSIONAL Y ESCAPARATISMO</v>
      </c>
      <c r="G170" t="str">
        <f>Hoja1!F170</f>
        <v>FEMENINO</v>
      </c>
      <c r="H170">
        <f t="shared" si="10"/>
        <v>0</v>
      </c>
      <c r="I170" t="str">
        <f t="shared" si="11"/>
        <v>1169,'LICENCIATURA','DISEÑO GRAFICO Y DIGITAL','DGD 6°','FLORES GIL ARACELI','DISEÑO TRIDIMENSIONAL Y ESCAPARATISMO','FEMENINO',0</v>
      </c>
      <c r="J170" t="str">
        <f t="shared" si="12"/>
        <v>INSERT INTO profesores (id,nivel,carrera,grupo,nombre,materia,sexo,sello) VALUES (1169,'LICENCIATURA','DISEÑO GRAFICO Y DIGITAL','DGD 6°','FLORES GIL ARACELI','DISEÑO TRIDIMENSIONAL Y ESCAPARATISMO','FEMENINO',0);</v>
      </c>
    </row>
    <row r="171" spans="1:10" x14ac:dyDescent="0.25">
      <c r="A171">
        <f t="shared" si="13"/>
        <v>1170</v>
      </c>
      <c r="B171" s="1" t="s">
        <v>1</v>
      </c>
      <c r="C171" t="str">
        <f>Hoja1!B171</f>
        <v>DISEÑO GRAFICO Y DIGITAL</v>
      </c>
      <c r="D171" s="5" t="s">
        <v>1399</v>
      </c>
      <c r="E171" t="str">
        <f>Hoja1!D171</f>
        <v>MARTINEZ MARTINEZ MARIA JOSE</v>
      </c>
      <c r="F171" t="str">
        <f>Hoja1!E171</f>
        <v>ANIMACION TRIDIMENSIONAL</v>
      </c>
      <c r="G171" t="str">
        <f>Hoja1!F171</f>
        <v>FEMENINO</v>
      </c>
      <c r="H171">
        <f t="shared" si="10"/>
        <v>0</v>
      </c>
      <c r="I171" t="str">
        <f t="shared" si="11"/>
        <v>1170,'LICENCIATURA','DISEÑO GRAFICO Y DIGITAL','DGD 6°','MARTINEZ MARTINEZ MARIA JOSE','ANIMACION TRIDIMENSIONAL','FEMENINO',0</v>
      </c>
      <c r="J171" t="str">
        <f t="shared" si="12"/>
        <v>INSERT INTO profesores (id,nivel,carrera,grupo,nombre,materia,sexo,sello) VALUES (1170,'LICENCIATURA','DISEÑO GRAFICO Y DIGITAL','DGD 6°','MARTINEZ MARTINEZ MARIA JOSE','ANIMACION TRIDIMENSIONAL','FEMENINO',0);</v>
      </c>
    </row>
    <row r="172" spans="1:10" x14ac:dyDescent="0.25">
      <c r="A172">
        <f t="shared" si="13"/>
        <v>1171</v>
      </c>
      <c r="B172" s="1" t="s">
        <v>1</v>
      </c>
      <c r="C172" t="str">
        <f>Hoja1!B172</f>
        <v>DISEÑO GRAFICO Y DIGITAL</v>
      </c>
      <c r="D172" s="5" t="s">
        <v>1399</v>
      </c>
      <c r="E172" t="str">
        <f>Hoja1!D172</f>
        <v>MORENO LLAMAS HECTOR RAUL</v>
      </c>
      <c r="F172" t="str">
        <f>Hoja1!E172</f>
        <v>LENGUAJE DE MAQUETACION</v>
      </c>
      <c r="G172" t="str">
        <f>Hoja1!F172</f>
        <v>MASCULINO</v>
      </c>
      <c r="H172">
        <f t="shared" si="10"/>
        <v>0</v>
      </c>
      <c r="I172" t="str">
        <f t="shared" si="11"/>
        <v>1171,'LICENCIATURA','DISEÑO GRAFICO Y DIGITAL','DGD 6°','MORENO LLAMAS HECTOR RAUL','LENGUAJE DE MAQUETACION','MASCULINO',0</v>
      </c>
      <c r="J172" t="str">
        <f t="shared" si="12"/>
        <v>INSERT INTO profesores (id,nivel,carrera,grupo,nombre,materia,sexo,sello) VALUES (1171,'LICENCIATURA','DISEÑO GRAFICO Y DIGITAL','DGD 6°','MORENO LLAMAS HECTOR RAUL','LENGUAJE DE MAQUETACION','MASCULINO',0);</v>
      </c>
    </row>
    <row r="173" spans="1:10" x14ac:dyDescent="0.25">
      <c r="A173">
        <f t="shared" si="13"/>
        <v>1172</v>
      </c>
      <c r="B173" s="1" t="s">
        <v>1</v>
      </c>
      <c r="C173" t="str">
        <f>Hoja1!B173</f>
        <v>DISEÑO GRAFICO Y DIGITAL</v>
      </c>
      <c r="D173" s="5" t="s">
        <v>1399</v>
      </c>
      <c r="E173" t="str">
        <f>Hoja1!D173</f>
        <v>PEREZ ORTIZ MERCEDES</v>
      </c>
      <c r="F173" t="str">
        <f>Hoja1!E173</f>
        <v>DISEÑO DE INCLUSION SOCIAL</v>
      </c>
      <c r="G173" t="str">
        <f>Hoja1!F173</f>
        <v>FEMENINO</v>
      </c>
      <c r="H173">
        <f t="shared" si="10"/>
        <v>0</v>
      </c>
      <c r="I173" t="str">
        <f t="shared" si="11"/>
        <v>1172,'LICENCIATURA','DISEÑO GRAFICO Y DIGITAL','DGD 6°','PEREZ ORTIZ MERCEDES','DISEÑO DE INCLUSION SOCIAL','FEMENINO',0</v>
      </c>
      <c r="J173" t="str">
        <f t="shared" si="12"/>
        <v>INSERT INTO profesores (id,nivel,carrera,grupo,nombre,materia,sexo,sello) VALUES (1172,'LICENCIATURA','DISEÑO GRAFICO Y DIGITAL','DGD 6°','PEREZ ORTIZ MERCEDES','DISEÑO DE INCLUSION SOCIAL','FEMENINO',0);</v>
      </c>
    </row>
    <row r="174" spans="1:10" x14ac:dyDescent="0.25">
      <c r="A174">
        <f t="shared" si="13"/>
        <v>1173</v>
      </c>
      <c r="B174" s="1" t="s">
        <v>1</v>
      </c>
      <c r="C174" t="str">
        <f>Hoja1!B174</f>
        <v>DISEÑO GRAFICO Y DIGITAL</v>
      </c>
      <c r="D174" s="5" t="s">
        <v>1399</v>
      </c>
      <c r="E174" t="str">
        <f>Hoja1!D174</f>
        <v>QUINTERO LOPEZ MARTIN DE JESUS</v>
      </c>
      <c r="F174" t="str">
        <f>Hoja1!E174</f>
        <v>DISEÑO EDITORIAL BASICO</v>
      </c>
      <c r="G174" t="str">
        <f>Hoja1!F174</f>
        <v>MASCULINO</v>
      </c>
      <c r="H174">
        <f t="shared" si="10"/>
        <v>0</v>
      </c>
      <c r="I174" t="str">
        <f t="shared" si="11"/>
        <v>1173,'LICENCIATURA','DISEÑO GRAFICO Y DIGITAL','DGD 6°','QUINTERO LOPEZ MARTIN DE JESUS','DISEÑO EDITORIAL BASICO','MASCULINO',0</v>
      </c>
      <c r="J174" t="str">
        <f t="shared" si="12"/>
        <v>INSERT INTO profesores (id,nivel,carrera,grupo,nombre,materia,sexo,sello) VALUES (1173,'LICENCIATURA','DISEÑO GRAFICO Y DIGITAL','DGD 6°','QUINTERO LOPEZ MARTIN DE JESUS','DISEÑO EDITORIAL BASICO','MASCULINO',0);</v>
      </c>
    </row>
    <row r="175" spans="1:10" x14ac:dyDescent="0.25">
      <c r="A175">
        <f t="shared" si="13"/>
        <v>1174</v>
      </c>
      <c r="B175" s="1" t="s">
        <v>1</v>
      </c>
      <c r="C175" t="str">
        <f>Hoja1!B175</f>
        <v>DISEÑO GRAFICO Y DIGITAL</v>
      </c>
      <c r="D175" s="5" t="s">
        <v>1400</v>
      </c>
      <c r="E175" t="str">
        <f>Hoja1!D175</f>
        <v>BLANQUET CHAVOYA JOSE LUIS</v>
      </c>
      <c r="F175" t="str">
        <f>Hoja1!E175</f>
        <v>TOPICOS DE ACTUALIDAD</v>
      </c>
      <c r="G175" t="str">
        <f>Hoja1!F175</f>
        <v>MASCULINO</v>
      </c>
      <c r="H175">
        <f t="shared" si="10"/>
        <v>0</v>
      </c>
      <c r="I175" t="str">
        <f t="shared" si="11"/>
        <v>1174,'LICENCIATURA','DISEÑO GRAFICO Y DIGITAL','DGD 8°','BLANQUET CHAVOYA JOSE LUIS','TOPICOS DE ACTUALIDAD','MASCULINO',0</v>
      </c>
      <c r="J175" t="str">
        <f t="shared" si="12"/>
        <v>INSERT INTO profesores (id,nivel,carrera,grupo,nombre,materia,sexo,sello) VALUES (1174,'LICENCIATURA','DISEÑO GRAFICO Y DIGITAL','DGD 8°','BLANQUET CHAVOYA JOSE LUIS','TOPICOS DE ACTUALIDAD','MASCULINO',0);</v>
      </c>
    </row>
    <row r="176" spans="1:10" x14ac:dyDescent="0.25">
      <c r="A176">
        <f t="shared" si="13"/>
        <v>1175</v>
      </c>
      <c r="B176" s="1" t="s">
        <v>1</v>
      </c>
      <c r="C176" t="str">
        <f>Hoja1!B176</f>
        <v>DISEÑO GRAFICO Y DIGITAL</v>
      </c>
      <c r="D176" s="5" t="s">
        <v>1400</v>
      </c>
      <c r="E176" t="str">
        <f>Hoja1!D176</f>
        <v>MORENO LLAMAS HECTOR RAUL</v>
      </c>
      <c r="F176" t="str">
        <f>Hoja1!E176</f>
        <v>DISEÑO DE APLICACIONES</v>
      </c>
      <c r="G176" t="str">
        <f>Hoja1!F176</f>
        <v>MASCULINO</v>
      </c>
      <c r="H176">
        <f t="shared" si="10"/>
        <v>0</v>
      </c>
      <c r="I176" t="str">
        <f t="shared" si="11"/>
        <v>1175,'LICENCIATURA','DISEÑO GRAFICO Y DIGITAL','DGD 8°','MORENO LLAMAS HECTOR RAUL','DISEÑO DE APLICACIONES','MASCULINO',0</v>
      </c>
      <c r="J176" t="str">
        <f t="shared" si="12"/>
        <v>INSERT INTO profesores (id,nivel,carrera,grupo,nombre,materia,sexo,sello) VALUES (1175,'LICENCIATURA','DISEÑO GRAFICO Y DIGITAL','DGD 8°','MORENO LLAMAS HECTOR RAUL','DISEÑO DE APLICACIONES','MASCULINO',0);</v>
      </c>
    </row>
    <row r="177" spans="1:10" x14ac:dyDescent="0.25">
      <c r="A177">
        <f t="shared" si="13"/>
        <v>1176</v>
      </c>
      <c r="B177" s="1" t="s">
        <v>1</v>
      </c>
      <c r="C177" t="str">
        <f>Hoja1!B177</f>
        <v>DISEÑO GRAFICO Y DIGITAL</v>
      </c>
      <c r="D177" s="5" t="s">
        <v>1400</v>
      </c>
      <c r="E177" t="str">
        <f>Hoja1!D177</f>
        <v>PEREZ ORTIZ MERCEDES</v>
      </c>
      <c r="F177" t="str">
        <f>Hoja1!E177</f>
        <v>SEMINARIO DE INTEGRACION DE LA CARRERA</v>
      </c>
      <c r="G177" t="str">
        <f>Hoja1!F177</f>
        <v>FEMENINO</v>
      </c>
      <c r="H177">
        <f t="shared" si="10"/>
        <v>0</v>
      </c>
      <c r="I177" t="str">
        <f t="shared" si="11"/>
        <v>1176,'LICENCIATURA','DISEÑO GRAFICO Y DIGITAL','DGD 8°','PEREZ ORTIZ MERCEDES','SEMINARIO DE INTEGRACION DE LA CARRERA','FEMENINO',0</v>
      </c>
      <c r="J177" t="str">
        <f t="shared" si="12"/>
        <v>INSERT INTO profesores (id,nivel,carrera,grupo,nombre,materia,sexo,sello) VALUES (1176,'LICENCIATURA','DISEÑO GRAFICO Y DIGITAL','DGD 8°','PEREZ ORTIZ MERCEDES','SEMINARIO DE INTEGRACION DE LA CARRERA','FEMENINO',0);</v>
      </c>
    </row>
    <row r="178" spans="1:10" x14ac:dyDescent="0.25">
      <c r="A178">
        <f t="shared" si="13"/>
        <v>1177</v>
      </c>
      <c r="B178" s="1" t="s">
        <v>1</v>
      </c>
      <c r="C178" t="str">
        <f>Hoja1!B178</f>
        <v>INGENIERIA AEROESPACIAL</v>
      </c>
      <c r="D178" s="5" t="s">
        <v>1328</v>
      </c>
      <c r="E178" t="str">
        <f>Hoja1!D178</f>
        <v>ANDRADE HERNANDEZ GISELLE</v>
      </c>
      <c r="F178" t="str">
        <f>Hoja1!E178</f>
        <v>CALCULO INTEGRAL</v>
      </c>
      <c r="G178" t="str">
        <f>Hoja1!F178</f>
        <v>FEMENINO</v>
      </c>
      <c r="H178">
        <f t="shared" si="10"/>
        <v>0</v>
      </c>
      <c r="I178" t="str">
        <f t="shared" si="11"/>
        <v>1177,'LICENCIATURA','INGENIERIA AEROESPACIAL','AERO 2° A','ANDRADE HERNANDEZ GISELLE','CALCULO INTEGRAL','FEMENINO',0</v>
      </c>
      <c r="J178" t="str">
        <f t="shared" si="12"/>
        <v>INSERT INTO profesores (id,nivel,carrera,grupo,nombre,materia,sexo,sello) VALUES (1177,'LICENCIATURA','INGENIERIA AEROESPACIAL','AERO 2° A','ANDRADE HERNANDEZ GISELLE','CALCULO INTEGRAL','FEMENINO',0);</v>
      </c>
    </row>
    <row r="179" spans="1:10" x14ac:dyDescent="0.25">
      <c r="A179">
        <f t="shared" si="13"/>
        <v>1178</v>
      </c>
      <c r="B179" s="1" t="s">
        <v>1</v>
      </c>
      <c r="C179" t="str">
        <f>Hoja1!B179</f>
        <v>INGENIERIA AEROESPACIAL</v>
      </c>
      <c r="D179" s="5" t="s">
        <v>1328</v>
      </c>
      <c r="E179" t="str">
        <f>Hoja1!D179</f>
        <v>FERRER LOPEZ BERTHA LUCRECIA</v>
      </c>
      <c r="F179" t="str">
        <f>Hoja1!E179</f>
        <v>GEOMETRIA DESCRIPTIVA</v>
      </c>
      <c r="G179" t="str">
        <f>Hoja1!F179</f>
        <v>FEMENINO</v>
      </c>
      <c r="H179">
        <f t="shared" si="10"/>
        <v>0</v>
      </c>
      <c r="I179" t="str">
        <f t="shared" si="11"/>
        <v>1178,'LICENCIATURA','INGENIERIA AEROESPACIAL','AERO 2° A','FERRER LOPEZ BERTHA LUCRECIA','GEOMETRIA DESCRIPTIVA','FEMENINO',0</v>
      </c>
      <c r="J179" t="str">
        <f t="shared" si="12"/>
        <v>INSERT INTO profesores (id,nivel,carrera,grupo,nombre,materia,sexo,sello) VALUES (1178,'LICENCIATURA','INGENIERIA AEROESPACIAL','AERO 2° A','FERRER LOPEZ BERTHA LUCRECIA','GEOMETRIA DESCRIPTIVA','FEMENINO',0);</v>
      </c>
    </row>
    <row r="180" spans="1:10" x14ac:dyDescent="0.25">
      <c r="A180">
        <f t="shared" si="13"/>
        <v>1179</v>
      </c>
      <c r="B180" s="1" t="s">
        <v>1</v>
      </c>
      <c r="C180" t="str">
        <f>Hoja1!B180</f>
        <v>INGENIERIA AEROESPACIAL</v>
      </c>
      <c r="D180" s="5" t="s">
        <v>1328</v>
      </c>
      <c r="E180" t="str">
        <f>Hoja1!D180</f>
        <v>HERNANDEZ ESPINOSA DANIEL</v>
      </c>
      <c r="F180" t="str">
        <f>Hoja1!E180</f>
        <v>CIENCIA Y TECNOLOGIA DE MATERIALES AEROESPACIALES</v>
      </c>
      <c r="G180" t="str">
        <f>Hoja1!F180</f>
        <v>MASCULINO</v>
      </c>
      <c r="H180">
        <f t="shared" si="10"/>
        <v>0</v>
      </c>
      <c r="I180" t="str">
        <f t="shared" si="11"/>
        <v>1179,'LICENCIATURA','INGENIERIA AEROESPACIAL','AERO 2° A','HERNANDEZ ESPINOSA DANIEL','CIENCIA Y TECNOLOGIA DE MATERIALES AEROESPACIALES','MASCULINO',0</v>
      </c>
      <c r="J180" t="str">
        <f t="shared" si="12"/>
        <v>INSERT INTO profesores (id,nivel,carrera,grupo,nombre,materia,sexo,sello) VALUES (1179,'LICENCIATURA','INGENIERIA AEROESPACIAL','AERO 2° A','HERNANDEZ ESPINOSA DANIEL','CIENCIA Y TECNOLOGIA DE MATERIALES AEROESPACIALES','MASCULINO',0);</v>
      </c>
    </row>
    <row r="181" spans="1:10" x14ac:dyDescent="0.25">
      <c r="A181">
        <f t="shared" si="13"/>
        <v>1180</v>
      </c>
      <c r="B181" s="1" t="s">
        <v>1</v>
      </c>
      <c r="C181" t="str">
        <f>Hoja1!B181</f>
        <v>INGENIERIA AEROESPACIAL</v>
      </c>
      <c r="D181" s="5" t="s">
        <v>1328</v>
      </c>
      <c r="E181" t="str">
        <f>Hoja1!D181</f>
        <v xml:space="preserve">NUÑEZ VELAZQUEZ ANA MARIA </v>
      </c>
      <c r="F181" t="str">
        <f>Hoja1!E181</f>
        <v>CIRCUITOS ELECTRICOS</v>
      </c>
      <c r="G181" t="str">
        <f>Hoja1!F181</f>
        <v>FEMENINO</v>
      </c>
      <c r="H181">
        <f t="shared" si="10"/>
        <v>0</v>
      </c>
      <c r="I181" t="str">
        <f t="shared" si="11"/>
        <v>1180,'LICENCIATURA','INGENIERIA AEROESPACIAL','AERO 2° A','NUÑEZ VELAZQUEZ ANA MARIA ','CIRCUITOS ELECTRICOS','FEMENINO',0</v>
      </c>
      <c r="J181" t="str">
        <f t="shared" si="12"/>
        <v>INSERT INTO profesores (id,nivel,carrera,grupo,nombre,materia,sexo,sello) VALUES (1180,'LICENCIATURA','INGENIERIA AEROESPACIAL','AERO 2° A','NUÑEZ VELAZQUEZ ANA MARIA ','CIRCUITOS ELECTRICOS','FEMENINO',0);</v>
      </c>
    </row>
    <row r="182" spans="1:10" x14ac:dyDescent="0.25">
      <c r="A182">
        <f t="shared" si="13"/>
        <v>1181</v>
      </c>
      <c r="B182" s="1" t="s">
        <v>1</v>
      </c>
      <c r="C182" t="str">
        <f>Hoja1!B182</f>
        <v>INGENIERIA AEROESPACIAL</v>
      </c>
      <c r="D182" s="5" t="s">
        <v>1328</v>
      </c>
      <c r="E182" t="str">
        <f>Hoja1!D182</f>
        <v>SHINDO TAINI DAISUKE</v>
      </c>
      <c r="F182" t="str">
        <f>Hoja1!E182</f>
        <v>ESTATICA</v>
      </c>
      <c r="G182" t="str">
        <f>Hoja1!F182</f>
        <v>MASCULINO</v>
      </c>
      <c r="H182">
        <f t="shared" si="10"/>
        <v>0</v>
      </c>
      <c r="I182" t="str">
        <f t="shared" si="11"/>
        <v>1181,'LICENCIATURA','INGENIERIA AEROESPACIAL','AERO 2° A','SHINDO TAINI DAISUKE','ESTATICA','MASCULINO',0</v>
      </c>
      <c r="J182" t="str">
        <f t="shared" si="12"/>
        <v>INSERT INTO profesores (id,nivel,carrera,grupo,nombre,materia,sexo,sello) VALUES (1181,'LICENCIATURA','INGENIERIA AEROESPACIAL','AERO 2° A','SHINDO TAINI DAISUKE','ESTATICA','MASCULINO',0);</v>
      </c>
    </row>
    <row r="183" spans="1:10" x14ac:dyDescent="0.25">
      <c r="A183">
        <f t="shared" si="13"/>
        <v>1182</v>
      </c>
      <c r="B183" s="1" t="s">
        <v>1</v>
      </c>
      <c r="C183" t="str">
        <f>Hoja1!B183</f>
        <v>INGENIERIA AEROESPACIAL</v>
      </c>
      <c r="D183" s="5" t="s">
        <v>1328</v>
      </c>
      <c r="E183" t="str">
        <f>Hoja1!D183</f>
        <v>VELA TORRES FATIMA ALEJANDRA</v>
      </c>
      <c r="F183" t="str">
        <f>Hoja1!E183</f>
        <v>INTRODUCCION A LA PROGRAMACION</v>
      </c>
      <c r="G183" t="str">
        <f>Hoja1!F183</f>
        <v>FEMENINO</v>
      </c>
      <c r="H183">
        <f t="shared" si="10"/>
        <v>0</v>
      </c>
      <c r="I183" t="str">
        <f t="shared" si="11"/>
        <v>1182,'LICENCIATURA','INGENIERIA AEROESPACIAL','AERO 2° A','VELA TORRES FATIMA ALEJANDRA','INTRODUCCION A LA PROGRAMACION','FEMENINO',0</v>
      </c>
      <c r="J183" t="str">
        <f t="shared" si="12"/>
        <v>INSERT INTO profesores (id,nivel,carrera,grupo,nombre,materia,sexo,sello) VALUES (1182,'LICENCIATURA','INGENIERIA AEROESPACIAL','AERO 2° A','VELA TORRES FATIMA ALEJANDRA','INTRODUCCION A LA PROGRAMACION','FEMENINO',0);</v>
      </c>
    </row>
    <row r="184" spans="1:10" x14ac:dyDescent="0.25">
      <c r="A184">
        <f t="shared" si="13"/>
        <v>1183</v>
      </c>
      <c r="B184" s="1" t="s">
        <v>1</v>
      </c>
      <c r="C184" t="str">
        <f>Hoja1!B184</f>
        <v>INGENIERIA AEROESPACIAL</v>
      </c>
      <c r="D184" s="5" t="s">
        <v>1329</v>
      </c>
      <c r="E184" t="str">
        <f>Hoja1!D184</f>
        <v>ANDRADE HERNANDEZ GISELLE</v>
      </c>
      <c r="F184" t="str">
        <f>Hoja1!E184</f>
        <v>CALCULO INTEGRAL</v>
      </c>
      <c r="G184" t="str">
        <f>Hoja1!F184</f>
        <v>FEMENINO</v>
      </c>
      <c r="H184">
        <f t="shared" si="10"/>
        <v>0</v>
      </c>
      <c r="I184" t="str">
        <f t="shared" si="11"/>
        <v>1183,'LICENCIATURA','INGENIERIA AEROESPACIAL','AERO 2° B','ANDRADE HERNANDEZ GISELLE','CALCULO INTEGRAL','FEMENINO',0</v>
      </c>
      <c r="J184" t="str">
        <f t="shared" si="12"/>
        <v>INSERT INTO profesores (id,nivel,carrera,grupo,nombre,materia,sexo,sello) VALUES (1183,'LICENCIATURA','INGENIERIA AEROESPACIAL','AERO 2° B','ANDRADE HERNANDEZ GISELLE','CALCULO INTEGRAL','FEMENINO',0);</v>
      </c>
    </row>
    <row r="185" spans="1:10" x14ac:dyDescent="0.25">
      <c r="A185">
        <f t="shared" si="13"/>
        <v>1184</v>
      </c>
      <c r="B185" s="1" t="s">
        <v>1</v>
      </c>
      <c r="C185" t="str">
        <f>Hoja1!B185</f>
        <v>INGENIERIA AEROESPACIAL</v>
      </c>
      <c r="D185" s="5" t="s">
        <v>1329</v>
      </c>
      <c r="E185" t="str">
        <f>Hoja1!D185</f>
        <v>FERRER LOPEZ BERTHA LUCRECIA</v>
      </c>
      <c r="F185" t="str">
        <f>Hoja1!E185</f>
        <v>GEOMETRIA DESCRIPTIVA</v>
      </c>
      <c r="G185" t="str">
        <f>Hoja1!F185</f>
        <v>FEMENINO</v>
      </c>
      <c r="H185">
        <f t="shared" si="10"/>
        <v>0</v>
      </c>
      <c r="I185" t="str">
        <f t="shared" si="11"/>
        <v>1184,'LICENCIATURA','INGENIERIA AEROESPACIAL','AERO 2° B','FERRER LOPEZ BERTHA LUCRECIA','GEOMETRIA DESCRIPTIVA','FEMENINO',0</v>
      </c>
      <c r="J185" t="str">
        <f t="shared" si="12"/>
        <v>INSERT INTO profesores (id,nivel,carrera,grupo,nombre,materia,sexo,sello) VALUES (1184,'LICENCIATURA','INGENIERIA AEROESPACIAL','AERO 2° B','FERRER LOPEZ BERTHA LUCRECIA','GEOMETRIA DESCRIPTIVA','FEMENINO',0);</v>
      </c>
    </row>
    <row r="186" spans="1:10" x14ac:dyDescent="0.25">
      <c r="A186">
        <f t="shared" si="13"/>
        <v>1185</v>
      </c>
      <c r="B186" s="1" t="s">
        <v>1</v>
      </c>
      <c r="C186" t="str">
        <f>Hoja1!B186</f>
        <v>INGENIERIA AEROESPACIAL</v>
      </c>
      <c r="D186" s="5" t="s">
        <v>1329</v>
      </c>
      <c r="E186" t="str">
        <f>Hoja1!D186</f>
        <v>HERNANDEZ ESPINOSA DANIEL</v>
      </c>
      <c r="F186" t="str">
        <f>Hoja1!E186</f>
        <v>CIENCIA Y TECNOLOGIA DE MATERIALES AEROESPACIALES</v>
      </c>
      <c r="G186" t="str">
        <f>Hoja1!F186</f>
        <v>MASCULINO</v>
      </c>
      <c r="H186">
        <f t="shared" si="10"/>
        <v>0</v>
      </c>
      <c r="I186" t="str">
        <f t="shared" si="11"/>
        <v>1185,'LICENCIATURA','INGENIERIA AEROESPACIAL','AERO 2° B','HERNANDEZ ESPINOSA DANIEL','CIENCIA Y TECNOLOGIA DE MATERIALES AEROESPACIALES','MASCULINO',0</v>
      </c>
      <c r="J186" t="str">
        <f t="shared" si="12"/>
        <v>INSERT INTO profesores (id,nivel,carrera,grupo,nombre,materia,sexo,sello) VALUES (1185,'LICENCIATURA','INGENIERIA AEROESPACIAL','AERO 2° B','HERNANDEZ ESPINOSA DANIEL','CIENCIA Y TECNOLOGIA DE MATERIALES AEROESPACIALES','MASCULINO',0);</v>
      </c>
    </row>
    <row r="187" spans="1:10" x14ac:dyDescent="0.25">
      <c r="A187">
        <f t="shared" si="13"/>
        <v>1186</v>
      </c>
      <c r="B187" s="1" t="s">
        <v>1</v>
      </c>
      <c r="C187" t="str">
        <f>Hoja1!B187</f>
        <v>INGENIERIA AEROESPACIAL</v>
      </c>
      <c r="D187" s="5" t="s">
        <v>1329</v>
      </c>
      <c r="E187" t="str">
        <f>Hoja1!D187</f>
        <v xml:space="preserve">NUÑEZ VELAZQUEZ ANA MARIA </v>
      </c>
      <c r="F187" t="str">
        <f>Hoja1!E187</f>
        <v>CIRCUITOS ELECTRICOS</v>
      </c>
      <c r="G187" t="str">
        <f>Hoja1!F187</f>
        <v>FEMENINO</v>
      </c>
      <c r="H187">
        <f t="shared" si="10"/>
        <v>0</v>
      </c>
      <c r="I187" t="str">
        <f t="shared" si="11"/>
        <v>1186,'LICENCIATURA','INGENIERIA AEROESPACIAL','AERO 2° B','NUÑEZ VELAZQUEZ ANA MARIA ','CIRCUITOS ELECTRICOS','FEMENINO',0</v>
      </c>
      <c r="J187" t="str">
        <f t="shared" si="12"/>
        <v>INSERT INTO profesores (id,nivel,carrera,grupo,nombre,materia,sexo,sello) VALUES (1186,'LICENCIATURA','INGENIERIA AEROESPACIAL','AERO 2° B','NUÑEZ VELAZQUEZ ANA MARIA ','CIRCUITOS ELECTRICOS','FEMENINO',0);</v>
      </c>
    </row>
    <row r="188" spans="1:10" x14ac:dyDescent="0.25">
      <c r="A188">
        <f t="shared" si="13"/>
        <v>1187</v>
      </c>
      <c r="B188" s="1" t="s">
        <v>1</v>
      </c>
      <c r="C188" t="str">
        <f>Hoja1!B188</f>
        <v>INGENIERIA AEROESPACIAL</v>
      </c>
      <c r="D188" s="5" t="s">
        <v>1329</v>
      </c>
      <c r="E188" t="str">
        <f>Hoja1!D188</f>
        <v>SHINDO TAINI DAISUKE</v>
      </c>
      <c r="F188" t="str">
        <f>Hoja1!E188</f>
        <v>ESTATICA</v>
      </c>
      <c r="G188" t="str">
        <f>Hoja1!F188</f>
        <v>MASCULINO</v>
      </c>
      <c r="H188">
        <f t="shared" si="10"/>
        <v>0</v>
      </c>
      <c r="I188" t="str">
        <f t="shared" si="11"/>
        <v>1187,'LICENCIATURA','INGENIERIA AEROESPACIAL','AERO 2° B','SHINDO TAINI DAISUKE','ESTATICA','MASCULINO',0</v>
      </c>
      <c r="J188" t="str">
        <f t="shared" si="12"/>
        <v>INSERT INTO profesores (id,nivel,carrera,grupo,nombre,materia,sexo,sello) VALUES (1187,'LICENCIATURA','INGENIERIA AEROESPACIAL','AERO 2° B','SHINDO TAINI DAISUKE','ESTATICA','MASCULINO',0);</v>
      </c>
    </row>
    <row r="189" spans="1:10" x14ac:dyDescent="0.25">
      <c r="A189">
        <f t="shared" si="13"/>
        <v>1188</v>
      </c>
      <c r="B189" s="1" t="s">
        <v>1</v>
      </c>
      <c r="C189" t="str">
        <f>Hoja1!B189</f>
        <v>INGENIERIA AEROESPACIAL</v>
      </c>
      <c r="D189" s="5" t="s">
        <v>1329</v>
      </c>
      <c r="E189" t="str">
        <f>Hoja1!D189</f>
        <v>VELA TORRES FATIMA ALEJANDRA</v>
      </c>
      <c r="F189" t="str">
        <f>Hoja1!E189</f>
        <v>INTRODUCCION A LA PROGRAMACION</v>
      </c>
      <c r="G189" t="str">
        <f>Hoja1!F189</f>
        <v>FEMENINO</v>
      </c>
      <c r="H189">
        <f t="shared" si="10"/>
        <v>0</v>
      </c>
      <c r="I189" t="str">
        <f t="shared" si="11"/>
        <v>1188,'LICENCIATURA','INGENIERIA AEROESPACIAL','AERO 2° B','VELA TORRES FATIMA ALEJANDRA','INTRODUCCION A LA PROGRAMACION','FEMENINO',0</v>
      </c>
      <c r="J189" t="str">
        <f t="shared" si="12"/>
        <v>INSERT INTO profesores (id,nivel,carrera,grupo,nombre,materia,sexo,sello) VALUES (1188,'LICENCIATURA','INGENIERIA AEROESPACIAL','AERO 2° B','VELA TORRES FATIMA ALEJANDRA','INTRODUCCION A LA PROGRAMACION','FEMENINO',0);</v>
      </c>
    </row>
    <row r="190" spans="1:10" x14ac:dyDescent="0.25">
      <c r="A190">
        <f t="shared" si="13"/>
        <v>1189</v>
      </c>
      <c r="B190" s="1" t="s">
        <v>1</v>
      </c>
      <c r="C190" t="str">
        <f>Hoja1!B190</f>
        <v>INGENIERIA AEROESPACIAL</v>
      </c>
      <c r="D190" s="5" t="s">
        <v>1386</v>
      </c>
      <c r="E190" t="s">
        <v>1420</v>
      </c>
      <c r="F190" t="str">
        <f>Hoja1!E190</f>
        <v>TERMODINAMICA</v>
      </c>
      <c r="G190" t="str">
        <f>Hoja1!F190</f>
        <v>MASCULINO</v>
      </c>
      <c r="H190">
        <f t="shared" si="10"/>
        <v>0</v>
      </c>
      <c r="I190" t="str">
        <f t="shared" si="11"/>
        <v>1189,'LICENCIATURA','INGENIERIA AEROESPACIAL','AERO 4°','NAVA CANALES CARLOS ARMANDO','TERMODINAMICA','MASCULINO',0</v>
      </c>
      <c r="J190" t="str">
        <f t="shared" si="12"/>
        <v>INSERT INTO profesores (id,nivel,carrera,grupo,nombre,materia,sexo,sello) VALUES (1189,'LICENCIATURA','INGENIERIA AEROESPACIAL','AERO 4°','NAVA CANALES CARLOS ARMANDO','TERMODINAMICA','MASCULINO',0);</v>
      </c>
    </row>
    <row r="191" spans="1:10" x14ac:dyDescent="0.25">
      <c r="A191">
        <f t="shared" si="13"/>
        <v>1190</v>
      </c>
      <c r="B191" s="1" t="s">
        <v>1</v>
      </c>
      <c r="C191" t="str">
        <f>Hoja1!B191</f>
        <v>INGENIERIA AEROESPACIAL</v>
      </c>
      <c r="D191" s="5" t="s">
        <v>1386</v>
      </c>
      <c r="E191" t="str">
        <f>Hoja1!D191</f>
        <v>JIMENEZ ANDALON ENRIQUE</v>
      </c>
      <c r="F191" t="str">
        <f>Hoja1!E191</f>
        <v>NORMATIVA AERONAUTICA I</v>
      </c>
      <c r="G191" t="str">
        <f>Hoja1!F191</f>
        <v>MASCULINO</v>
      </c>
      <c r="H191">
        <f t="shared" si="10"/>
        <v>0</v>
      </c>
      <c r="I191" t="str">
        <f t="shared" si="11"/>
        <v>1190,'LICENCIATURA','INGENIERIA AEROESPACIAL','AERO 4°','JIMENEZ ANDALON ENRIQUE','NORMATIVA AERONAUTICA I','MASCULINO',0</v>
      </c>
      <c r="J191" t="str">
        <f t="shared" si="12"/>
        <v>INSERT INTO profesores (id,nivel,carrera,grupo,nombre,materia,sexo,sello) VALUES (1190,'LICENCIATURA','INGENIERIA AEROESPACIAL','AERO 4°','JIMENEZ ANDALON ENRIQUE','NORMATIVA AERONAUTICA I','MASCULINO',0);</v>
      </c>
    </row>
    <row r="192" spans="1:10" x14ac:dyDescent="0.25">
      <c r="A192">
        <f t="shared" si="13"/>
        <v>1191</v>
      </c>
      <c r="B192" s="1" t="s">
        <v>1</v>
      </c>
      <c r="C192" t="str">
        <f>Hoja1!B192</f>
        <v>INGENIERIA AEROESPACIAL</v>
      </c>
      <c r="D192" s="5" t="s">
        <v>1386</v>
      </c>
      <c r="E192" t="str">
        <f>Hoja1!D192</f>
        <v>QUEZADA NAVARRO VICTOR MANUEL</v>
      </c>
      <c r="F192" t="str">
        <f>Hoja1!E192</f>
        <v>METODOS NUMERICOS</v>
      </c>
      <c r="G192" t="str">
        <f>Hoja1!F192</f>
        <v>MASCULINO</v>
      </c>
      <c r="H192">
        <f t="shared" si="10"/>
        <v>0</v>
      </c>
      <c r="I192" t="str">
        <f t="shared" si="11"/>
        <v>1191,'LICENCIATURA','INGENIERIA AEROESPACIAL','AERO 4°','QUEZADA NAVARRO VICTOR MANUEL','METODOS NUMERICOS','MASCULINO',0</v>
      </c>
      <c r="J192" t="str">
        <f t="shared" si="12"/>
        <v>INSERT INTO profesores (id,nivel,carrera,grupo,nombre,materia,sexo,sello) VALUES (1191,'LICENCIATURA','INGENIERIA AEROESPACIAL','AERO 4°','QUEZADA NAVARRO VICTOR MANUEL','METODOS NUMERICOS','MASCULINO',0);</v>
      </c>
    </row>
    <row r="193" spans="1:10" x14ac:dyDescent="0.25">
      <c r="A193">
        <f t="shared" si="13"/>
        <v>1192</v>
      </c>
      <c r="B193" s="1" t="s">
        <v>1</v>
      </c>
      <c r="C193" t="str">
        <f>Hoja1!B193</f>
        <v>INGENIERIA AEROESPACIAL</v>
      </c>
      <c r="D193" s="5" t="s">
        <v>1386</v>
      </c>
      <c r="E193" t="str">
        <f>Hoja1!D193</f>
        <v>RODRIGUEZ CABRERA JUAN JOSE</v>
      </c>
      <c r="F193" t="str">
        <f>Hoja1!E193</f>
        <v>PLANIFICACION Y DISEÑO DE AEROPUERTOS</v>
      </c>
      <c r="G193" t="str">
        <f>Hoja1!F193</f>
        <v>MASCULINO</v>
      </c>
      <c r="H193">
        <f t="shared" si="10"/>
        <v>0</v>
      </c>
      <c r="I193" t="str">
        <f t="shared" si="11"/>
        <v>1192,'LICENCIATURA','INGENIERIA AEROESPACIAL','AERO 4°','RODRIGUEZ CABRERA JUAN JOSE','PLANIFICACION Y DISEÑO DE AEROPUERTOS','MASCULINO',0</v>
      </c>
      <c r="J193" t="str">
        <f t="shared" si="12"/>
        <v>INSERT INTO profesores (id,nivel,carrera,grupo,nombre,materia,sexo,sello) VALUES (1192,'LICENCIATURA','INGENIERIA AEROESPACIAL','AERO 4°','RODRIGUEZ CABRERA JUAN JOSE','PLANIFICACION Y DISEÑO DE AEROPUERTOS','MASCULINO',0);</v>
      </c>
    </row>
    <row r="194" spans="1:10" x14ac:dyDescent="0.25">
      <c r="A194">
        <f t="shared" si="13"/>
        <v>1193</v>
      </c>
      <c r="B194" s="1" t="s">
        <v>1</v>
      </c>
      <c r="C194" t="str">
        <f>Hoja1!B194</f>
        <v>INGENIERIA AEROESPACIAL</v>
      </c>
      <c r="D194" s="5" t="s">
        <v>1386</v>
      </c>
      <c r="E194" t="str">
        <f>Hoja1!D194</f>
        <v>SANCHEZ LOPEZ FERNANDO</v>
      </c>
      <c r="F194" t="str">
        <f>Hoja1!E194</f>
        <v>DISEÑO Y FABRICACION ASISTIDO POR COMPUTADORA</v>
      </c>
      <c r="G194" t="str">
        <f>Hoja1!F194</f>
        <v>MASCULINO</v>
      </c>
      <c r="H194">
        <f t="shared" si="10"/>
        <v>0</v>
      </c>
      <c r="I194" t="str">
        <f t="shared" si="11"/>
        <v>1193,'LICENCIATURA','INGENIERIA AEROESPACIAL','AERO 4°','SANCHEZ LOPEZ FERNANDO','DISEÑO Y FABRICACION ASISTIDO POR COMPUTADORA','MASCULINO',0</v>
      </c>
      <c r="J194" t="str">
        <f t="shared" si="12"/>
        <v>INSERT INTO profesores (id,nivel,carrera,grupo,nombre,materia,sexo,sello) VALUES (1193,'LICENCIATURA','INGENIERIA AEROESPACIAL','AERO 4°','SANCHEZ LOPEZ FERNANDO','DISEÑO Y FABRICACION ASISTIDO POR COMPUTADORA','MASCULINO',0);</v>
      </c>
    </row>
    <row r="195" spans="1:10" x14ac:dyDescent="0.25">
      <c r="A195">
        <f t="shared" si="13"/>
        <v>1194</v>
      </c>
      <c r="B195" s="1" t="s">
        <v>1</v>
      </c>
      <c r="C195" t="str">
        <f>Hoja1!B195</f>
        <v>INGENIERIA AEROESPACIAL</v>
      </c>
      <c r="D195" s="5" t="s">
        <v>1386</v>
      </c>
      <c r="E195" t="str">
        <f>Hoja1!D195</f>
        <v>SANCHEZ OCAMPO EDUARDO FRANCISCO</v>
      </c>
      <c r="F195" t="str">
        <f>Hoja1!E195</f>
        <v>MICROCONTROLADORES</v>
      </c>
      <c r="G195" t="str">
        <f>Hoja1!F195</f>
        <v>MASCULINO</v>
      </c>
      <c r="H195">
        <f t="shared" ref="H195:H258" si="14">IF(C195="MATERIAS INSTITUCIONALES",1,0)</f>
        <v>0</v>
      </c>
      <c r="I195" t="str">
        <f t="shared" ref="I195:I258" si="15">CONCATENATE(A195,",'",B195,"','",C195,"','",D195,",'",E195,"','",F195,"','",G195,"',",H195)</f>
        <v>1194,'LICENCIATURA','INGENIERIA AEROESPACIAL','AERO 4°','SANCHEZ OCAMPO EDUARDO FRANCISCO','MICROCONTROLADORES','MASCULINO',0</v>
      </c>
      <c r="J195" t="str">
        <f t="shared" ref="J195:J258" si="16">CONCATENATE($I$1,I195,");")</f>
        <v>INSERT INTO profesores (id,nivel,carrera,grupo,nombre,materia,sexo,sello) VALUES (1194,'LICENCIATURA','INGENIERIA AEROESPACIAL','AERO 4°','SANCHEZ OCAMPO EDUARDO FRANCISCO','MICROCONTROLADORES','MASCULINO',0);</v>
      </c>
    </row>
    <row r="196" spans="1:10" x14ac:dyDescent="0.25">
      <c r="A196">
        <f t="shared" ref="A196:A259" si="17">A195+1</f>
        <v>1195</v>
      </c>
      <c r="B196" s="1" t="s">
        <v>1</v>
      </c>
      <c r="C196" t="str">
        <f>Hoja1!B196</f>
        <v>INGENIERIA AEROESPACIAL</v>
      </c>
      <c r="D196" s="5" t="s">
        <v>1386</v>
      </c>
      <c r="E196" t="str">
        <f>Hoja1!D196</f>
        <v>SHINDO TAINI DAISUKE</v>
      </c>
      <c r="F196" t="str">
        <f>Hoja1!E196</f>
        <v>MECANICA DE FLUIDOS</v>
      </c>
      <c r="G196" t="str">
        <f>Hoja1!F196</f>
        <v>MASCULINO</v>
      </c>
      <c r="H196">
        <f t="shared" si="14"/>
        <v>0</v>
      </c>
      <c r="I196" t="str">
        <f t="shared" si="15"/>
        <v>1195,'LICENCIATURA','INGENIERIA AEROESPACIAL','AERO 4°','SHINDO TAINI DAISUKE','MECANICA DE FLUIDOS','MASCULINO',0</v>
      </c>
      <c r="J196" t="str">
        <f t="shared" si="16"/>
        <v>INSERT INTO profesores (id,nivel,carrera,grupo,nombre,materia,sexo,sello) VALUES (1195,'LICENCIATURA','INGENIERIA AEROESPACIAL','AERO 4°','SHINDO TAINI DAISUKE','MECANICA DE FLUIDOS','MASCULINO',0);</v>
      </c>
    </row>
    <row r="197" spans="1:10" x14ac:dyDescent="0.25">
      <c r="A197">
        <f t="shared" si="17"/>
        <v>1196</v>
      </c>
      <c r="B197" s="1" t="s">
        <v>1</v>
      </c>
      <c r="C197" t="str">
        <f>Hoja1!B197</f>
        <v>INGENIERIA AEROESPACIAL</v>
      </c>
      <c r="D197" s="5" t="s">
        <v>1387</v>
      </c>
      <c r="E197" t="str">
        <f>Hoja1!D197</f>
        <v>GARCIA FLORES JOSE LUIS</v>
      </c>
      <c r="F197" t="str">
        <f>Hoja1!E197</f>
        <v>GESTION Y EXPLOTACION DE AEROPUERTOS</v>
      </c>
      <c r="G197" t="str">
        <f>Hoja1!F197</f>
        <v>MASCULINO</v>
      </c>
      <c r="H197">
        <f t="shared" si="14"/>
        <v>0</v>
      </c>
      <c r="I197" t="str">
        <f t="shared" si="15"/>
        <v>1196,'LICENCIATURA','INGENIERIA AEROESPACIAL','AERO 6°','GARCIA FLORES JOSE LUIS','GESTION Y EXPLOTACION DE AEROPUERTOS','MASCULINO',0</v>
      </c>
      <c r="J197" t="str">
        <f t="shared" si="16"/>
        <v>INSERT INTO profesores (id,nivel,carrera,grupo,nombre,materia,sexo,sello) VALUES (1196,'LICENCIATURA','INGENIERIA AEROESPACIAL','AERO 6°','GARCIA FLORES JOSE LUIS','GESTION Y EXPLOTACION DE AEROPUERTOS','MASCULINO',0);</v>
      </c>
    </row>
    <row r="198" spans="1:10" x14ac:dyDescent="0.25">
      <c r="A198">
        <f t="shared" si="17"/>
        <v>1197</v>
      </c>
      <c r="B198" s="1" t="s">
        <v>1</v>
      </c>
      <c r="C198" t="str">
        <f>Hoja1!B198</f>
        <v>INGENIERIA AEROESPACIAL</v>
      </c>
      <c r="D198" s="5" t="s">
        <v>1387</v>
      </c>
      <c r="E198" t="str">
        <f>Hoja1!D198</f>
        <v>MEDINA VELAZQUEZ NANCY</v>
      </c>
      <c r="F198" t="str">
        <f>Hoja1!E198</f>
        <v>TRAFICO AEREO</v>
      </c>
      <c r="G198" t="str">
        <f>Hoja1!F198</f>
        <v>FEMENINO</v>
      </c>
      <c r="H198">
        <f t="shared" si="14"/>
        <v>0</v>
      </c>
      <c r="I198" t="str">
        <f t="shared" si="15"/>
        <v>1197,'LICENCIATURA','INGENIERIA AEROESPACIAL','AERO 6°','MEDINA VELAZQUEZ NANCY','TRAFICO AEREO','FEMENINO',0</v>
      </c>
      <c r="J198" t="str">
        <f t="shared" si="16"/>
        <v>INSERT INTO profesores (id,nivel,carrera,grupo,nombre,materia,sexo,sello) VALUES (1197,'LICENCIATURA','INGENIERIA AEROESPACIAL','AERO 6°','MEDINA VELAZQUEZ NANCY','TRAFICO AEREO','FEMENINO',0);</v>
      </c>
    </row>
    <row r="199" spans="1:10" x14ac:dyDescent="0.25">
      <c r="A199">
        <f t="shared" si="17"/>
        <v>1198</v>
      </c>
      <c r="B199" s="1" t="s">
        <v>1</v>
      </c>
      <c r="C199" t="str">
        <f>Hoja1!B199</f>
        <v>INGENIERIA AEROESPACIAL</v>
      </c>
      <c r="D199" s="5" t="s">
        <v>1387</v>
      </c>
      <c r="E199" t="str">
        <f>Hoja1!D199</f>
        <v>MONTAÑO ALVIZO JUAN CARLOS</v>
      </c>
      <c r="F199" t="str">
        <f>Hoja1!E199</f>
        <v>SEÑALES Y SISTEMAS DE RADIOFRECUENCIAS</v>
      </c>
      <c r="G199" t="str">
        <f>Hoja1!F199</f>
        <v>MASCULINO</v>
      </c>
      <c r="H199">
        <f t="shared" si="14"/>
        <v>0</v>
      </c>
      <c r="I199" t="str">
        <f t="shared" si="15"/>
        <v>1198,'LICENCIATURA','INGENIERIA AEROESPACIAL','AERO 6°','MONTAÑO ALVIZO JUAN CARLOS','SEÑALES Y SISTEMAS DE RADIOFRECUENCIAS','MASCULINO',0</v>
      </c>
      <c r="J199" t="str">
        <f t="shared" si="16"/>
        <v>INSERT INTO profesores (id,nivel,carrera,grupo,nombre,materia,sexo,sello) VALUES (1198,'LICENCIATURA','INGENIERIA AEROESPACIAL','AERO 6°','MONTAÑO ALVIZO JUAN CARLOS','SEÑALES Y SISTEMAS DE RADIOFRECUENCIAS','MASCULINO',0);</v>
      </c>
    </row>
    <row r="200" spans="1:10" x14ac:dyDescent="0.25">
      <c r="A200">
        <f t="shared" si="17"/>
        <v>1199</v>
      </c>
      <c r="B200" s="1" t="s">
        <v>1</v>
      </c>
      <c r="C200" t="str">
        <f>Hoja1!B200</f>
        <v>INGENIERIA AEROESPACIAL</v>
      </c>
      <c r="D200" s="5" t="s">
        <v>1387</v>
      </c>
      <c r="E200" t="str">
        <f>Hoja1!D200</f>
        <v>RODRIGUEZ CABRERA JUAN JOSE</v>
      </c>
      <c r="F200" t="str">
        <f>Hoja1!E200</f>
        <v>SISTEMAS DE AERONAVES I</v>
      </c>
      <c r="G200" t="str">
        <f>Hoja1!F200</f>
        <v>MASCULINO</v>
      </c>
      <c r="H200">
        <f t="shared" si="14"/>
        <v>0</v>
      </c>
      <c r="I200" t="str">
        <f t="shared" si="15"/>
        <v>1199,'LICENCIATURA','INGENIERIA AEROESPACIAL','AERO 6°','RODRIGUEZ CABRERA JUAN JOSE','SISTEMAS DE AERONAVES I','MASCULINO',0</v>
      </c>
      <c r="J200" t="str">
        <f t="shared" si="16"/>
        <v>INSERT INTO profesores (id,nivel,carrera,grupo,nombre,materia,sexo,sello) VALUES (1199,'LICENCIATURA','INGENIERIA AEROESPACIAL','AERO 6°','RODRIGUEZ CABRERA JUAN JOSE','SISTEMAS DE AERONAVES I','MASCULINO',0);</v>
      </c>
    </row>
    <row r="201" spans="1:10" x14ac:dyDescent="0.25">
      <c r="A201">
        <f t="shared" si="17"/>
        <v>1200</v>
      </c>
      <c r="B201" s="1" t="s">
        <v>1</v>
      </c>
      <c r="C201" t="str">
        <f>Hoja1!B201</f>
        <v>INGENIERIA AEROESPACIAL</v>
      </c>
      <c r="D201" s="5" t="s">
        <v>1387</v>
      </c>
      <c r="E201" t="str">
        <f>Hoja1!D201</f>
        <v>RODRIGUEZ MIRANDA JOSE BENJAMIN</v>
      </c>
      <c r="F201" t="str">
        <f>Hoja1!E201</f>
        <v>MOTORES RECIPROCOS Y SUS SISTEMAS</v>
      </c>
      <c r="G201" t="str">
        <f>Hoja1!F201</f>
        <v>MASCULINO</v>
      </c>
      <c r="H201">
        <f t="shared" si="14"/>
        <v>0</v>
      </c>
      <c r="I201" t="str">
        <f t="shared" si="15"/>
        <v>1200,'LICENCIATURA','INGENIERIA AEROESPACIAL','AERO 6°','RODRIGUEZ MIRANDA JOSE BENJAMIN','MOTORES RECIPROCOS Y SUS SISTEMAS','MASCULINO',0</v>
      </c>
      <c r="J201" t="str">
        <f t="shared" si="16"/>
        <v>INSERT INTO profesores (id,nivel,carrera,grupo,nombre,materia,sexo,sello) VALUES (1200,'LICENCIATURA','INGENIERIA AEROESPACIAL','AERO 6°','RODRIGUEZ MIRANDA JOSE BENJAMIN','MOTORES RECIPROCOS Y SUS SISTEMAS','MASCULINO',0);</v>
      </c>
    </row>
    <row r="202" spans="1:10" x14ac:dyDescent="0.25">
      <c r="A202">
        <f t="shared" si="17"/>
        <v>1201</v>
      </c>
      <c r="B202" s="1" t="s">
        <v>1</v>
      </c>
      <c r="C202" t="str">
        <f>Hoja1!B202</f>
        <v>INGENIERIA AEROESPACIAL</v>
      </c>
      <c r="D202" s="5" t="s">
        <v>1387</v>
      </c>
      <c r="E202" t="str">
        <f>Hoja1!D202</f>
        <v>ZARATE  TOMAS CIRO</v>
      </c>
      <c r="F202" t="str">
        <f>Hoja1!E202</f>
        <v>MECANICA DE VUELOS</v>
      </c>
      <c r="G202" t="str">
        <f>Hoja1!F202</f>
        <v>MASCULINO</v>
      </c>
      <c r="H202">
        <f t="shared" si="14"/>
        <v>0</v>
      </c>
      <c r="I202" t="str">
        <f t="shared" si="15"/>
        <v>1201,'LICENCIATURA','INGENIERIA AEROESPACIAL','AERO 6°','ZARATE  TOMAS CIRO','MECANICA DE VUELOS','MASCULINO',0</v>
      </c>
      <c r="J202" t="str">
        <f t="shared" si="16"/>
        <v>INSERT INTO profesores (id,nivel,carrera,grupo,nombre,materia,sexo,sello) VALUES (1201,'LICENCIATURA','INGENIERIA AEROESPACIAL','AERO 6°','ZARATE  TOMAS CIRO','MECANICA DE VUELOS','MASCULINO',0);</v>
      </c>
    </row>
    <row r="203" spans="1:10" x14ac:dyDescent="0.25">
      <c r="A203">
        <f t="shared" si="17"/>
        <v>1202</v>
      </c>
      <c r="B203" s="1" t="s">
        <v>1</v>
      </c>
      <c r="C203" t="str">
        <f>Hoja1!B203</f>
        <v>INGENIERIA AEROESPACIAL</v>
      </c>
      <c r="D203" s="5" t="s">
        <v>1388</v>
      </c>
      <c r="E203" t="str">
        <f>Hoja1!D203</f>
        <v>ESCOBEDO ALVA JONATHAN OMEGA</v>
      </c>
      <c r="F203" t="str">
        <f>Hoja1!E203</f>
        <v>CALCULO DE AVIONES</v>
      </c>
      <c r="G203" t="str">
        <f>Hoja1!F203</f>
        <v>MASCULINO</v>
      </c>
      <c r="H203">
        <f t="shared" si="14"/>
        <v>0</v>
      </c>
      <c r="I203" t="str">
        <f t="shared" si="15"/>
        <v>1202,'LICENCIATURA','INGENIERIA AEROESPACIAL','AERO 8°','ESCOBEDO ALVA JONATHAN OMEGA','CALCULO DE AVIONES','MASCULINO',0</v>
      </c>
      <c r="J203" t="str">
        <f t="shared" si="16"/>
        <v>INSERT INTO profesores (id,nivel,carrera,grupo,nombre,materia,sexo,sello) VALUES (1202,'LICENCIATURA','INGENIERIA AEROESPACIAL','AERO 8°','ESCOBEDO ALVA JONATHAN OMEGA','CALCULO DE AVIONES','MASCULINO',0);</v>
      </c>
    </row>
    <row r="204" spans="1:10" x14ac:dyDescent="0.25">
      <c r="A204">
        <f t="shared" si="17"/>
        <v>1203</v>
      </c>
      <c r="B204" s="1" t="s">
        <v>1</v>
      </c>
      <c r="C204" t="str">
        <f>Hoja1!B204</f>
        <v>INGENIERIA AEROESPACIAL</v>
      </c>
      <c r="D204" s="5" t="s">
        <v>1388</v>
      </c>
      <c r="E204" t="str">
        <f>Hoja1!D204</f>
        <v>ESCOBEDO ALVA JONATHAN OMEGA</v>
      </c>
      <c r="F204" t="str">
        <f>Hoja1!E204</f>
        <v>MECANICA DE VUELO AVANZADA</v>
      </c>
      <c r="G204" t="str">
        <f>Hoja1!F204</f>
        <v>MASCULINO</v>
      </c>
      <c r="H204">
        <f t="shared" si="14"/>
        <v>0</v>
      </c>
      <c r="I204" t="str">
        <f t="shared" si="15"/>
        <v>1203,'LICENCIATURA','INGENIERIA AEROESPACIAL','AERO 8°','ESCOBEDO ALVA JONATHAN OMEGA','MECANICA DE VUELO AVANZADA','MASCULINO',0</v>
      </c>
      <c r="J204" t="str">
        <f t="shared" si="16"/>
        <v>INSERT INTO profesores (id,nivel,carrera,grupo,nombre,materia,sexo,sello) VALUES (1203,'LICENCIATURA','INGENIERIA AEROESPACIAL','AERO 8°','ESCOBEDO ALVA JONATHAN OMEGA','MECANICA DE VUELO AVANZADA','MASCULINO',0);</v>
      </c>
    </row>
    <row r="205" spans="1:10" x14ac:dyDescent="0.25">
      <c r="A205">
        <f t="shared" si="17"/>
        <v>1204</v>
      </c>
      <c r="B205" s="1" t="s">
        <v>1</v>
      </c>
      <c r="C205" t="str">
        <f>Hoja1!B205</f>
        <v>INGENIERIA AEROESPACIAL</v>
      </c>
      <c r="D205" s="5" t="s">
        <v>1388</v>
      </c>
      <c r="E205" t="str">
        <f>Hoja1!D205</f>
        <v>GARCIA FLORES JOSE LUIS</v>
      </c>
      <c r="F205" t="str">
        <f>Hoja1!E205</f>
        <v>AERONAVES DE ALA ROTATIVA</v>
      </c>
      <c r="G205" t="str">
        <f>Hoja1!F205</f>
        <v>MASCULINO</v>
      </c>
      <c r="H205">
        <f t="shared" si="14"/>
        <v>0</v>
      </c>
      <c r="I205" t="str">
        <f t="shared" si="15"/>
        <v>1204,'LICENCIATURA','INGENIERIA AEROESPACIAL','AERO 8°','GARCIA FLORES JOSE LUIS','AERONAVES DE ALA ROTATIVA','MASCULINO',0</v>
      </c>
      <c r="J205" t="str">
        <f t="shared" si="16"/>
        <v>INSERT INTO profesores (id,nivel,carrera,grupo,nombre,materia,sexo,sello) VALUES (1204,'LICENCIATURA','INGENIERIA AEROESPACIAL','AERO 8°','GARCIA FLORES JOSE LUIS','AERONAVES DE ALA ROTATIVA','MASCULINO',0);</v>
      </c>
    </row>
    <row r="206" spans="1:10" x14ac:dyDescent="0.25">
      <c r="A206">
        <f t="shared" si="17"/>
        <v>1205</v>
      </c>
      <c r="B206" s="1" t="s">
        <v>1</v>
      </c>
      <c r="C206" t="str">
        <f>Hoja1!B206</f>
        <v>INGENIERIA AEROESPACIAL</v>
      </c>
      <c r="D206" s="5" t="s">
        <v>1388</v>
      </c>
      <c r="E206" t="str">
        <f>Hoja1!D206</f>
        <v>LARA FAVELA DANIEL</v>
      </c>
      <c r="F206" t="str">
        <f>Hoja1!E206</f>
        <v>OPERACION DE VEHICULOS ESPACIALES NO TRIPULADOS</v>
      </c>
      <c r="G206" t="str">
        <f>Hoja1!F206</f>
        <v>MASCULINO</v>
      </c>
      <c r="H206">
        <f t="shared" si="14"/>
        <v>0</v>
      </c>
      <c r="I206" t="str">
        <f t="shared" si="15"/>
        <v>1205,'LICENCIATURA','INGENIERIA AEROESPACIAL','AERO 8°','LARA FAVELA DANIEL','OPERACION DE VEHICULOS ESPACIALES NO TRIPULADOS','MASCULINO',0</v>
      </c>
      <c r="J206" t="str">
        <f t="shared" si="16"/>
        <v>INSERT INTO profesores (id,nivel,carrera,grupo,nombre,materia,sexo,sello) VALUES (1205,'LICENCIATURA','INGENIERIA AEROESPACIAL','AERO 8°','LARA FAVELA DANIEL','OPERACION DE VEHICULOS ESPACIALES NO TRIPULADOS','MASCULINO',0);</v>
      </c>
    </row>
    <row r="207" spans="1:10" x14ac:dyDescent="0.25">
      <c r="A207">
        <f t="shared" si="17"/>
        <v>1206</v>
      </c>
      <c r="B207" s="1" t="s">
        <v>1</v>
      </c>
      <c r="C207" t="str">
        <f>Hoja1!B207</f>
        <v>INGENIERIA AEROESPACIAL</v>
      </c>
      <c r="D207" s="5" t="s">
        <v>1388</v>
      </c>
      <c r="E207" t="str">
        <f>Hoja1!D207</f>
        <v>ZARATE  TOMAS CIRO</v>
      </c>
      <c r="F207" t="str">
        <f>Hoja1!E207</f>
        <v>FABRICACION DE AERONAVES Y SISTEMAS DE GESTION DE CALIDAD</v>
      </c>
      <c r="G207" t="str">
        <f>Hoja1!F207</f>
        <v>MASCULINO</v>
      </c>
      <c r="H207">
        <f t="shared" si="14"/>
        <v>0</v>
      </c>
      <c r="I207" t="str">
        <f t="shared" si="15"/>
        <v>1206,'LICENCIATURA','INGENIERIA AEROESPACIAL','AERO 8°','ZARATE  TOMAS CIRO','FABRICACION DE AERONAVES Y SISTEMAS DE GESTION DE CALIDAD','MASCULINO',0</v>
      </c>
      <c r="J207" t="str">
        <f t="shared" si="16"/>
        <v>INSERT INTO profesores (id,nivel,carrera,grupo,nombre,materia,sexo,sello) VALUES (1206,'LICENCIATURA','INGENIERIA AEROESPACIAL','AERO 8°','ZARATE  TOMAS CIRO','FABRICACION DE AERONAVES Y SISTEMAS DE GESTION DE CALIDAD','MASCULINO',0);</v>
      </c>
    </row>
    <row r="208" spans="1:10" x14ac:dyDescent="0.25">
      <c r="A208">
        <f t="shared" si="17"/>
        <v>1207</v>
      </c>
      <c r="B208" s="1" t="s">
        <v>1</v>
      </c>
      <c r="C208" t="str">
        <f>Hoja1!B208</f>
        <v>INGENIERIA AEROESPACIAL</v>
      </c>
      <c r="D208" s="5" t="s">
        <v>1380</v>
      </c>
      <c r="E208" t="str">
        <f>Hoja1!D208</f>
        <v>LARA FAVELA DANIEL</v>
      </c>
      <c r="F208" t="str">
        <f>Hoja1!E208</f>
        <v>DISEÑO PRELIMINAR DE NAVES ESPACIALES</v>
      </c>
      <c r="G208" t="str">
        <f>Hoja1!F208</f>
        <v>MASCULINO</v>
      </c>
      <c r="H208">
        <f t="shared" si="14"/>
        <v>0</v>
      </c>
      <c r="I208" t="str">
        <f t="shared" si="15"/>
        <v>1207,'LICENCIATURA','INGENIERIA AEROESPACIAL','AERO_10°','LARA FAVELA DANIEL','DISEÑO PRELIMINAR DE NAVES ESPACIALES','MASCULINO',0</v>
      </c>
      <c r="J208" t="str">
        <f t="shared" si="16"/>
        <v>INSERT INTO profesores (id,nivel,carrera,grupo,nombre,materia,sexo,sello) VALUES (1207,'LICENCIATURA','INGENIERIA AEROESPACIAL','AERO_10°','LARA FAVELA DANIEL','DISEÑO PRELIMINAR DE NAVES ESPACIALES','MASCULINO',0);</v>
      </c>
    </row>
    <row r="209" spans="1:10" x14ac:dyDescent="0.25">
      <c r="A209">
        <f t="shared" si="17"/>
        <v>1208</v>
      </c>
      <c r="B209" s="1" t="s">
        <v>1</v>
      </c>
      <c r="C209" t="str">
        <f>Hoja1!B209</f>
        <v>INGENIERIA AEROESPACIAL</v>
      </c>
      <c r="D209" s="5" t="s">
        <v>1380</v>
      </c>
      <c r="E209" t="s">
        <v>1421</v>
      </c>
      <c r="F209" t="str">
        <f>Hoja1!E209</f>
        <v>AUTOMATIZACION DE LA FABRIACACION</v>
      </c>
      <c r="G209" t="str">
        <f>Hoja1!F209</f>
        <v>MASCULINO</v>
      </c>
      <c r="H209">
        <f t="shared" si="14"/>
        <v>0</v>
      </c>
      <c r="I209" t="str">
        <f t="shared" si="15"/>
        <v>1208,'LICENCIATURA','INGENIERIA AEROESPACIAL','AERO_10°','MÉNDEZ JIMÉNEZ ALBERTO','AUTOMATIZACION DE LA FABRIACACION','MASCULINO',0</v>
      </c>
      <c r="J209" t="str">
        <f t="shared" si="16"/>
        <v>INSERT INTO profesores (id,nivel,carrera,grupo,nombre,materia,sexo,sello) VALUES (1208,'LICENCIATURA','INGENIERIA AEROESPACIAL','AERO_10°','MÉNDEZ JIMÉNEZ ALBERTO','AUTOMATIZACION DE LA FABRIACACION','MASCULINO',0);</v>
      </c>
    </row>
    <row r="210" spans="1:10" x14ac:dyDescent="0.25">
      <c r="A210">
        <f t="shared" si="17"/>
        <v>1209</v>
      </c>
      <c r="B210" s="1" t="s">
        <v>1</v>
      </c>
      <c r="C210" t="str">
        <f>Hoja1!B210</f>
        <v>INGENIERIA AEROESPACIAL</v>
      </c>
      <c r="D210" s="5" t="s">
        <v>1380</v>
      </c>
      <c r="E210" t="str">
        <f>Hoja1!D210</f>
        <v>RODRIGUEZ MIRANDA JOSE BENJAMIN</v>
      </c>
      <c r="F210" t="str">
        <f>Hoja1!E210</f>
        <v>TOPICOS DE ACTUALIDAD EN INGENIERIA AEROESPACIAL</v>
      </c>
      <c r="G210" t="str">
        <f>Hoja1!F210</f>
        <v>MASCULINO</v>
      </c>
      <c r="H210">
        <f t="shared" si="14"/>
        <v>0</v>
      </c>
      <c r="I210" t="str">
        <f t="shared" si="15"/>
        <v>1209,'LICENCIATURA','INGENIERIA AEROESPACIAL','AERO_10°','RODRIGUEZ MIRANDA JOSE BENJAMIN','TOPICOS DE ACTUALIDAD EN INGENIERIA AEROESPACIAL','MASCULINO',0</v>
      </c>
      <c r="J210" t="str">
        <f t="shared" si="16"/>
        <v>INSERT INTO profesores (id,nivel,carrera,grupo,nombre,materia,sexo,sello) VALUES (1209,'LICENCIATURA','INGENIERIA AEROESPACIAL','AERO_10°','RODRIGUEZ MIRANDA JOSE BENJAMIN','TOPICOS DE ACTUALIDAD EN INGENIERIA AEROESPACIAL','MASCULINO',0);</v>
      </c>
    </row>
    <row r="211" spans="1:10" x14ac:dyDescent="0.25">
      <c r="A211">
        <f t="shared" si="17"/>
        <v>1210</v>
      </c>
      <c r="B211" s="1" t="s">
        <v>1</v>
      </c>
      <c r="C211" t="str">
        <f>Hoja1!B211</f>
        <v>INGENIERIA AEROESPACIAL</v>
      </c>
      <c r="D211" s="5" t="s">
        <v>1380</v>
      </c>
      <c r="E211" t="str">
        <f>Hoja1!D211</f>
        <v>ZARATE  TOMAS CIRO</v>
      </c>
      <c r="F211" t="str">
        <f>Hoja1!E211</f>
        <v>ESTRUCTURAS ESPACIALES</v>
      </c>
      <c r="G211" t="str">
        <f>Hoja1!F211</f>
        <v>MASCULINO</v>
      </c>
      <c r="H211">
        <f t="shared" si="14"/>
        <v>0</v>
      </c>
      <c r="I211" t="str">
        <f t="shared" si="15"/>
        <v>1210,'LICENCIATURA','INGENIERIA AEROESPACIAL','AERO_10°','ZARATE  TOMAS CIRO','ESTRUCTURAS ESPACIALES','MASCULINO',0</v>
      </c>
      <c r="J211" t="str">
        <f t="shared" si="16"/>
        <v>INSERT INTO profesores (id,nivel,carrera,grupo,nombre,materia,sexo,sello) VALUES (1210,'LICENCIATURA','INGENIERIA AEROESPACIAL','AERO_10°','ZARATE  TOMAS CIRO','ESTRUCTURAS ESPACIALES','MASCULINO',0);</v>
      </c>
    </row>
    <row r="212" spans="1:10" x14ac:dyDescent="0.25">
      <c r="A212">
        <f t="shared" si="17"/>
        <v>1211</v>
      </c>
      <c r="B212" s="1" t="s">
        <v>1</v>
      </c>
      <c r="C212" t="str">
        <f>Hoja1!B212</f>
        <v>INGENIERÍA AUTOMOTRIZ</v>
      </c>
      <c r="D212" s="5" t="s">
        <v>1330</v>
      </c>
      <c r="E212" t="str">
        <f>Hoja1!D212</f>
        <v>CARDENAS CASTILLO SANTIAGO</v>
      </c>
      <c r="F212" t="str">
        <f>Hoja1!E212</f>
        <v>METROLOGIA</v>
      </c>
      <c r="G212" t="str">
        <f>Hoja1!F212</f>
        <v>MASCULINO</v>
      </c>
      <c r="H212">
        <f t="shared" si="14"/>
        <v>0</v>
      </c>
      <c r="I212" t="str">
        <f t="shared" si="15"/>
        <v>1211,'LICENCIATURA','INGENIERÍA AUTOMOTRIZ','AUTO 2° A','CARDENAS CASTILLO SANTIAGO','METROLOGIA','MASCULINO',0</v>
      </c>
      <c r="J212" t="str">
        <f t="shared" si="16"/>
        <v>INSERT INTO profesores (id,nivel,carrera,grupo,nombre,materia,sexo,sello) VALUES (1211,'LICENCIATURA','INGENIERÍA AUTOMOTRIZ','AUTO 2° A','CARDENAS CASTILLO SANTIAGO','METROLOGIA','MASCULINO',0);</v>
      </c>
    </row>
    <row r="213" spans="1:10" x14ac:dyDescent="0.25">
      <c r="A213">
        <f t="shared" si="17"/>
        <v>1212</v>
      </c>
      <c r="B213" s="1" t="s">
        <v>1</v>
      </c>
      <c r="C213" t="str">
        <f>Hoja1!B213</f>
        <v>INGENIERÍA AUTOMOTRIZ</v>
      </c>
      <c r="D213" s="5" t="s">
        <v>1330</v>
      </c>
      <c r="E213" t="str">
        <f>Hoja1!D213</f>
        <v>FRANCO DE JESUS LEONARDO</v>
      </c>
      <c r="F213" t="str">
        <f>Hoja1!E213</f>
        <v xml:space="preserve">MAQUINAS Y HERRAMIENTAS </v>
      </c>
      <c r="G213" t="str">
        <f>Hoja1!F213</f>
        <v>MASCULINO</v>
      </c>
      <c r="H213">
        <f t="shared" si="14"/>
        <v>0</v>
      </c>
      <c r="I213" t="str">
        <f t="shared" si="15"/>
        <v>1212,'LICENCIATURA','INGENIERÍA AUTOMOTRIZ','AUTO 2° A','FRANCO DE JESUS LEONARDO','MAQUINAS Y HERRAMIENTAS ','MASCULINO',0</v>
      </c>
      <c r="J213" t="str">
        <f t="shared" si="16"/>
        <v>INSERT INTO profesores (id,nivel,carrera,grupo,nombre,materia,sexo,sello) VALUES (1212,'LICENCIATURA','INGENIERÍA AUTOMOTRIZ','AUTO 2° A','FRANCO DE JESUS LEONARDO','MAQUINAS Y HERRAMIENTAS ','MASCULINO',0);</v>
      </c>
    </row>
    <row r="214" spans="1:10" x14ac:dyDescent="0.25">
      <c r="A214">
        <f t="shared" si="17"/>
        <v>1213</v>
      </c>
      <c r="B214" s="1" t="s">
        <v>1</v>
      </c>
      <c r="C214" t="str">
        <f>Hoja1!B214</f>
        <v>INGENIERÍA AUTOMOTRIZ</v>
      </c>
      <c r="D214" s="5" t="s">
        <v>1330</v>
      </c>
      <c r="E214" t="str">
        <f>Hoja1!D214</f>
        <v>HERNANDEZ ESPINOSA DANIEL</v>
      </c>
      <c r="F214" t="str">
        <f>Hoja1!E214</f>
        <v>DIBUJO ASISTIDO POR COMPUTADORA I</v>
      </c>
      <c r="G214" t="str">
        <f>Hoja1!F214</f>
        <v>MASCULINO</v>
      </c>
      <c r="H214">
        <f t="shared" si="14"/>
        <v>0</v>
      </c>
      <c r="I214" t="str">
        <f t="shared" si="15"/>
        <v>1213,'LICENCIATURA','INGENIERÍA AUTOMOTRIZ','AUTO 2° A','HERNANDEZ ESPINOSA DANIEL','DIBUJO ASISTIDO POR COMPUTADORA I','MASCULINO',0</v>
      </c>
      <c r="J214" t="str">
        <f t="shared" si="16"/>
        <v>INSERT INTO profesores (id,nivel,carrera,grupo,nombre,materia,sexo,sello) VALUES (1213,'LICENCIATURA','INGENIERÍA AUTOMOTRIZ','AUTO 2° A','HERNANDEZ ESPINOSA DANIEL','DIBUJO ASISTIDO POR COMPUTADORA I','MASCULINO',0);</v>
      </c>
    </row>
    <row r="215" spans="1:10" x14ac:dyDescent="0.25">
      <c r="A215">
        <f t="shared" si="17"/>
        <v>1214</v>
      </c>
      <c r="B215" s="1" t="s">
        <v>1</v>
      </c>
      <c r="C215" t="str">
        <f>Hoja1!B215</f>
        <v>INGENIERÍA AUTOMOTRIZ</v>
      </c>
      <c r="D215" s="5" t="s">
        <v>1330</v>
      </c>
      <c r="E215" t="str">
        <f>Hoja1!D215</f>
        <v>HERNANDEZ MONTES JAZMIN</v>
      </c>
      <c r="F215" t="str">
        <f>Hoja1!E215</f>
        <v xml:space="preserve">ALGEBRA LINEAL </v>
      </c>
      <c r="G215" t="str">
        <f>Hoja1!F215</f>
        <v>FEMENINO</v>
      </c>
      <c r="H215">
        <f t="shared" si="14"/>
        <v>0</v>
      </c>
      <c r="I215" t="str">
        <f t="shared" si="15"/>
        <v>1214,'LICENCIATURA','INGENIERÍA AUTOMOTRIZ','AUTO 2° A','HERNANDEZ MONTES JAZMIN','ALGEBRA LINEAL ','FEMENINO',0</v>
      </c>
      <c r="J215" t="str">
        <f t="shared" si="16"/>
        <v>INSERT INTO profesores (id,nivel,carrera,grupo,nombre,materia,sexo,sello) VALUES (1214,'LICENCIATURA','INGENIERÍA AUTOMOTRIZ','AUTO 2° A','HERNANDEZ MONTES JAZMIN','ALGEBRA LINEAL ','FEMENINO',0);</v>
      </c>
    </row>
    <row r="216" spans="1:10" x14ac:dyDescent="0.25">
      <c r="A216">
        <f t="shared" si="17"/>
        <v>1215</v>
      </c>
      <c r="B216" s="1" t="s">
        <v>1</v>
      </c>
      <c r="C216" t="str">
        <f>Hoja1!B216</f>
        <v>INGENIERÍA AUTOMOTRIZ</v>
      </c>
      <c r="D216" s="5" t="s">
        <v>1330</v>
      </c>
      <c r="E216" t="str">
        <f>Hoja1!D216</f>
        <v>MACIAS GARZA JORGE ENRIQUE</v>
      </c>
      <c r="F216" t="str">
        <f>Hoja1!E216</f>
        <v xml:space="preserve">CIRCUITOS LOGICOS </v>
      </c>
      <c r="G216" t="str">
        <f>Hoja1!F216</f>
        <v>MASCULINO</v>
      </c>
      <c r="H216">
        <f t="shared" si="14"/>
        <v>0</v>
      </c>
      <c r="I216" t="str">
        <f t="shared" si="15"/>
        <v>1215,'LICENCIATURA','INGENIERÍA AUTOMOTRIZ','AUTO 2° A','MACIAS GARZA JORGE ENRIQUE','CIRCUITOS LOGICOS ','MASCULINO',0</v>
      </c>
      <c r="J216" t="str">
        <f t="shared" si="16"/>
        <v>INSERT INTO profesores (id,nivel,carrera,grupo,nombre,materia,sexo,sello) VALUES (1215,'LICENCIATURA','INGENIERÍA AUTOMOTRIZ','AUTO 2° A','MACIAS GARZA JORGE ENRIQUE','CIRCUITOS LOGICOS ','MASCULINO',0);</v>
      </c>
    </row>
    <row r="217" spans="1:10" x14ac:dyDescent="0.25">
      <c r="A217">
        <f t="shared" si="17"/>
        <v>1216</v>
      </c>
      <c r="B217" s="1" t="s">
        <v>1</v>
      </c>
      <c r="C217" t="str">
        <f>Hoja1!B217</f>
        <v>INGENIERÍA AUTOMOTRIZ</v>
      </c>
      <c r="D217" s="5" t="s">
        <v>1330</v>
      </c>
      <c r="E217" t="str">
        <f>Hoja1!D217</f>
        <v>SALDIVAR OROZCO EMMANUEL</v>
      </c>
      <c r="F217" t="str">
        <f>Hoja1!E217</f>
        <v xml:space="preserve">DINAMICA </v>
      </c>
      <c r="G217" t="str">
        <f>Hoja1!F217</f>
        <v>MASCULINO</v>
      </c>
      <c r="H217">
        <f t="shared" si="14"/>
        <v>0</v>
      </c>
      <c r="I217" t="str">
        <f t="shared" si="15"/>
        <v>1216,'LICENCIATURA','INGENIERÍA AUTOMOTRIZ','AUTO 2° A','SALDIVAR OROZCO EMMANUEL','DINAMICA ','MASCULINO',0</v>
      </c>
      <c r="J217" t="str">
        <f t="shared" si="16"/>
        <v>INSERT INTO profesores (id,nivel,carrera,grupo,nombre,materia,sexo,sello) VALUES (1216,'LICENCIATURA','INGENIERÍA AUTOMOTRIZ','AUTO 2° A','SALDIVAR OROZCO EMMANUEL','DINAMICA ','MASCULINO',0);</v>
      </c>
    </row>
    <row r="218" spans="1:10" x14ac:dyDescent="0.25">
      <c r="A218">
        <f t="shared" si="17"/>
        <v>1217</v>
      </c>
      <c r="B218" s="1" t="s">
        <v>1</v>
      </c>
      <c r="C218" t="str">
        <f>Hoja1!B218</f>
        <v>INGENIERÍA AUTOMOTRIZ</v>
      </c>
      <c r="D218" s="5" t="s">
        <v>1331</v>
      </c>
      <c r="E218" t="str">
        <f>Hoja1!D218</f>
        <v>CARDENAS CASTILLO SANTIAGO</v>
      </c>
      <c r="F218" t="str">
        <f>Hoja1!E218</f>
        <v>METROLOGIA</v>
      </c>
      <c r="G218" t="str">
        <f>Hoja1!F218</f>
        <v>MASCULINO</v>
      </c>
      <c r="H218">
        <f t="shared" si="14"/>
        <v>0</v>
      </c>
      <c r="I218" t="str">
        <f t="shared" si="15"/>
        <v>1217,'LICENCIATURA','INGENIERÍA AUTOMOTRIZ','AUTO 2° B','CARDENAS CASTILLO SANTIAGO','METROLOGIA','MASCULINO',0</v>
      </c>
      <c r="J218" t="str">
        <f t="shared" si="16"/>
        <v>INSERT INTO profesores (id,nivel,carrera,grupo,nombre,materia,sexo,sello) VALUES (1217,'LICENCIATURA','INGENIERÍA AUTOMOTRIZ','AUTO 2° B','CARDENAS CASTILLO SANTIAGO','METROLOGIA','MASCULINO',0);</v>
      </c>
    </row>
    <row r="219" spans="1:10" x14ac:dyDescent="0.25">
      <c r="A219">
        <f t="shared" si="17"/>
        <v>1218</v>
      </c>
      <c r="B219" s="1" t="s">
        <v>1</v>
      </c>
      <c r="C219" t="str">
        <f>Hoja1!B219</f>
        <v>INGENIERÍA AUTOMOTRIZ</v>
      </c>
      <c r="D219" s="5" t="s">
        <v>1331</v>
      </c>
      <c r="E219" t="str">
        <f>Hoja1!D219</f>
        <v>FRANCO DE JESUS LEONARDO</v>
      </c>
      <c r="F219" t="str">
        <f>Hoja1!E219</f>
        <v xml:space="preserve">MAQUINAS Y HERRAMIENTAS </v>
      </c>
      <c r="G219" t="str">
        <f>Hoja1!F219</f>
        <v>MASCULINO</v>
      </c>
      <c r="H219">
        <f t="shared" si="14"/>
        <v>0</v>
      </c>
      <c r="I219" t="str">
        <f t="shared" si="15"/>
        <v>1218,'LICENCIATURA','INGENIERÍA AUTOMOTRIZ','AUTO 2° B','FRANCO DE JESUS LEONARDO','MAQUINAS Y HERRAMIENTAS ','MASCULINO',0</v>
      </c>
      <c r="J219" t="str">
        <f t="shared" si="16"/>
        <v>INSERT INTO profesores (id,nivel,carrera,grupo,nombre,materia,sexo,sello) VALUES (1218,'LICENCIATURA','INGENIERÍA AUTOMOTRIZ','AUTO 2° B','FRANCO DE JESUS LEONARDO','MAQUINAS Y HERRAMIENTAS ','MASCULINO',0);</v>
      </c>
    </row>
    <row r="220" spans="1:10" x14ac:dyDescent="0.25">
      <c r="A220">
        <f t="shared" si="17"/>
        <v>1219</v>
      </c>
      <c r="B220" s="1" t="s">
        <v>1</v>
      </c>
      <c r="C220" t="str">
        <f>Hoja1!B220</f>
        <v>INGENIERÍA AUTOMOTRIZ</v>
      </c>
      <c r="D220" s="5" t="s">
        <v>1331</v>
      </c>
      <c r="E220" t="str">
        <f>Hoja1!D220</f>
        <v>HERNANDEZ ESPINOSA DANIEL</v>
      </c>
      <c r="F220" t="str">
        <f>Hoja1!E220</f>
        <v>DIBUJO ASISTIDO POR COMPUTADORA I</v>
      </c>
      <c r="G220" t="str">
        <f>Hoja1!F220</f>
        <v>MASCULINO</v>
      </c>
      <c r="H220">
        <f t="shared" si="14"/>
        <v>0</v>
      </c>
      <c r="I220" t="str">
        <f t="shared" si="15"/>
        <v>1219,'LICENCIATURA','INGENIERÍA AUTOMOTRIZ','AUTO 2° B','HERNANDEZ ESPINOSA DANIEL','DIBUJO ASISTIDO POR COMPUTADORA I','MASCULINO',0</v>
      </c>
      <c r="J220" t="str">
        <f t="shared" si="16"/>
        <v>INSERT INTO profesores (id,nivel,carrera,grupo,nombre,materia,sexo,sello) VALUES (1219,'LICENCIATURA','INGENIERÍA AUTOMOTRIZ','AUTO 2° B','HERNANDEZ ESPINOSA DANIEL','DIBUJO ASISTIDO POR COMPUTADORA I','MASCULINO',0);</v>
      </c>
    </row>
    <row r="221" spans="1:10" x14ac:dyDescent="0.25">
      <c r="A221">
        <f t="shared" si="17"/>
        <v>1220</v>
      </c>
      <c r="B221" s="1" t="s">
        <v>1</v>
      </c>
      <c r="C221" t="str">
        <f>Hoja1!B221</f>
        <v>INGENIERÍA AUTOMOTRIZ</v>
      </c>
      <c r="D221" s="5" t="s">
        <v>1331</v>
      </c>
      <c r="E221" t="str">
        <f>Hoja1!D221</f>
        <v>HERNANDEZ MONTES JAZMIN</v>
      </c>
      <c r="F221" t="str">
        <f>Hoja1!E221</f>
        <v xml:space="preserve">ALGEBRA LINEAL </v>
      </c>
      <c r="G221" t="str">
        <f>Hoja1!F221</f>
        <v>FEMENINO</v>
      </c>
      <c r="H221">
        <f t="shared" si="14"/>
        <v>0</v>
      </c>
      <c r="I221" t="str">
        <f t="shared" si="15"/>
        <v>1220,'LICENCIATURA','INGENIERÍA AUTOMOTRIZ','AUTO 2° B','HERNANDEZ MONTES JAZMIN','ALGEBRA LINEAL ','FEMENINO',0</v>
      </c>
      <c r="J221" t="str">
        <f t="shared" si="16"/>
        <v>INSERT INTO profesores (id,nivel,carrera,grupo,nombre,materia,sexo,sello) VALUES (1220,'LICENCIATURA','INGENIERÍA AUTOMOTRIZ','AUTO 2° B','HERNANDEZ MONTES JAZMIN','ALGEBRA LINEAL ','FEMENINO',0);</v>
      </c>
    </row>
    <row r="222" spans="1:10" x14ac:dyDescent="0.25">
      <c r="A222">
        <f t="shared" si="17"/>
        <v>1221</v>
      </c>
      <c r="B222" s="1" t="s">
        <v>1</v>
      </c>
      <c r="C222" t="str">
        <f>Hoja1!B222</f>
        <v>INGENIERÍA AUTOMOTRIZ</v>
      </c>
      <c r="D222" s="5" t="s">
        <v>1331</v>
      </c>
      <c r="E222" t="str">
        <f>Hoja1!D222</f>
        <v>MACIAS GARZA JORGE ENRIQUE</v>
      </c>
      <c r="F222" t="str">
        <f>Hoja1!E222</f>
        <v xml:space="preserve">CIRCUITOS LOGICOS </v>
      </c>
      <c r="G222" t="str">
        <f>Hoja1!F222</f>
        <v>MASCULINO</v>
      </c>
      <c r="H222">
        <f t="shared" si="14"/>
        <v>0</v>
      </c>
      <c r="I222" t="str">
        <f t="shared" si="15"/>
        <v>1221,'LICENCIATURA','INGENIERÍA AUTOMOTRIZ','AUTO 2° B','MACIAS GARZA JORGE ENRIQUE','CIRCUITOS LOGICOS ','MASCULINO',0</v>
      </c>
      <c r="J222" t="str">
        <f t="shared" si="16"/>
        <v>INSERT INTO profesores (id,nivel,carrera,grupo,nombre,materia,sexo,sello) VALUES (1221,'LICENCIATURA','INGENIERÍA AUTOMOTRIZ','AUTO 2° B','MACIAS GARZA JORGE ENRIQUE','CIRCUITOS LOGICOS ','MASCULINO',0);</v>
      </c>
    </row>
    <row r="223" spans="1:10" x14ac:dyDescent="0.25">
      <c r="A223">
        <f t="shared" si="17"/>
        <v>1222</v>
      </c>
      <c r="B223" s="1" t="s">
        <v>1</v>
      </c>
      <c r="C223" t="str">
        <f>Hoja1!B223</f>
        <v>INGENIERÍA AUTOMOTRIZ</v>
      </c>
      <c r="D223" s="5" t="s">
        <v>1331</v>
      </c>
      <c r="E223" t="str">
        <f>Hoja1!D223</f>
        <v>SALDIVAR OROZCO EMMANUEL</v>
      </c>
      <c r="F223" t="str">
        <f>Hoja1!E223</f>
        <v xml:space="preserve">DINAMICA </v>
      </c>
      <c r="G223" t="str">
        <f>Hoja1!F223</f>
        <v>MASCULINO</v>
      </c>
      <c r="H223">
        <f t="shared" si="14"/>
        <v>0</v>
      </c>
      <c r="I223" t="str">
        <f t="shared" si="15"/>
        <v>1222,'LICENCIATURA','INGENIERÍA AUTOMOTRIZ','AUTO 2° B','SALDIVAR OROZCO EMMANUEL','DINAMICA ','MASCULINO',0</v>
      </c>
      <c r="J223" t="str">
        <f t="shared" si="16"/>
        <v>INSERT INTO profesores (id,nivel,carrera,grupo,nombre,materia,sexo,sello) VALUES (1222,'LICENCIATURA','INGENIERÍA AUTOMOTRIZ','AUTO 2° B','SALDIVAR OROZCO EMMANUEL','DINAMICA ','MASCULINO',0);</v>
      </c>
    </row>
    <row r="224" spans="1:10" x14ac:dyDescent="0.25">
      <c r="A224">
        <f t="shared" si="17"/>
        <v>1223</v>
      </c>
      <c r="B224" s="1" t="s">
        <v>1</v>
      </c>
      <c r="C224" t="str">
        <f>Hoja1!B224</f>
        <v>INGENIERÍA AUTOMOTRIZ</v>
      </c>
      <c r="D224" s="5" t="s">
        <v>1389</v>
      </c>
      <c r="E224" t="str">
        <f>Hoja1!D224</f>
        <v>CARDENAS CASTILLO SANTIAGO</v>
      </c>
      <c r="F224" t="str">
        <f>Hoja1!E224</f>
        <v xml:space="preserve">CIENCIA DE LOS MATERIALES </v>
      </c>
      <c r="G224" t="str">
        <f>Hoja1!F224</f>
        <v>MASCULINO</v>
      </c>
      <c r="H224">
        <f t="shared" si="14"/>
        <v>0</v>
      </c>
      <c r="I224" t="str">
        <f t="shared" si="15"/>
        <v>1223,'LICENCIATURA','INGENIERÍA AUTOMOTRIZ','AUTO 4°','CARDENAS CASTILLO SANTIAGO','CIENCIA DE LOS MATERIALES ','MASCULINO',0</v>
      </c>
      <c r="J224" t="str">
        <f t="shared" si="16"/>
        <v>INSERT INTO profesores (id,nivel,carrera,grupo,nombre,materia,sexo,sello) VALUES (1223,'LICENCIATURA','INGENIERÍA AUTOMOTRIZ','AUTO 4°','CARDENAS CASTILLO SANTIAGO','CIENCIA DE LOS MATERIALES ','MASCULINO',0);</v>
      </c>
    </row>
    <row r="225" spans="1:10" x14ac:dyDescent="0.25">
      <c r="A225">
        <f t="shared" si="17"/>
        <v>1224</v>
      </c>
      <c r="B225" s="1" t="s">
        <v>1</v>
      </c>
      <c r="C225" t="str">
        <f>Hoja1!B225</f>
        <v>INGENIERÍA AUTOMOTRIZ</v>
      </c>
      <c r="D225" s="5" t="s">
        <v>1389</v>
      </c>
      <c r="E225" t="str">
        <f>Hoja1!D225</f>
        <v>FERRER LOPEZ BERTHA LUCRECIA</v>
      </c>
      <c r="F225" t="str">
        <f>Hoja1!E225</f>
        <v>MECANICA VECTORIAL</v>
      </c>
      <c r="G225" t="str">
        <f>Hoja1!F225</f>
        <v>FEMENINO</v>
      </c>
      <c r="H225">
        <f t="shared" si="14"/>
        <v>0</v>
      </c>
      <c r="I225" t="str">
        <f t="shared" si="15"/>
        <v>1224,'LICENCIATURA','INGENIERÍA AUTOMOTRIZ','AUTO 4°','FERRER LOPEZ BERTHA LUCRECIA','MECANICA VECTORIAL','FEMENINO',0</v>
      </c>
      <c r="J225" t="str">
        <f t="shared" si="16"/>
        <v>INSERT INTO profesores (id,nivel,carrera,grupo,nombre,materia,sexo,sello) VALUES (1224,'LICENCIATURA','INGENIERÍA AUTOMOTRIZ','AUTO 4°','FERRER LOPEZ BERTHA LUCRECIA','MECANICA VECTORIAL','FEMENINO',0);</v>
      </c>
    </row>
    <row r="226" spans="1:10" x14ac:dyDescent="0.25">
      <c r="A226">
        <f t="shared" si="17"/>
        <v>1225</v>
      </c>
      <c r="B226" s="1" t="s">
        <v>1</v>
      </c>
      <c r="C226" t="str">
        <f>Hoja1!B226</f>
        <v>INGENIERÍA AUTOMOTRIZ</v>
      </c>
      <c r="D226" s="5" t="s">
        <v>1389</v>
      </c>
      <c r="E226" t="str">
        <f>Hoja1!D226</f>
        <v>GONZALEZ CHAVEZ DAVID</v>
      </c>
      <c r="F226" t="str">
        <f>Hoja1!E226</f>
        <v>ECUACIONES DIFERENCIALES</v>
      </c>
      <c r="G226" t="str">
        <f>Hoja1!F226</f>
        <v>MASCULINO</v>
      </c>
      <c r="H226">
        <f t="shared" si="14"/>
        <v>0</v>
      </c>
      <c r="I226" t="str">
        <f t="shared" si="15"/>
        <v>1225,'LICENCIATURA','INGENIERÍA AUTOMOTRIZ','AUTO 4°','GONZALEZ CHAVEZ DAVID','ECUACIONES DIFERENCIALES','MASCULINO',0</v>
      </c>
      <c r="J226" t="str">
        <f t="shared" si="16"/>
        <v>INSERT INTO profesores (id,nivel,carrera,grupo,nombre,materia,sexo,sello) VALUES (1225,'LICENCIATURA','INGENIERÍA AUTOMOTRIZ','AUTO 4°','GONZALEZ CHAVEZ DAVID','ECUACIONES DIFERENCIALES','MASCULINO',0);</v>
      </c>
    </row>
    <row r="227" spans="1:10" x14ac:dyDescent="0.25">
      <c r="A227">
        <f t="shared" si="17"/>
        <v>1226</v>
      </c>
      <c r="B227" s="1" t="s">
        <v>1</v>
      </c>
      <c r="C227" t="str">
        <f>Hoja1!B227</f>
        <v>INGENIERÍA AUTOMOTRIZ</v>
      </c>
      <c r="D227" s="5" t="s">
        <v>1389</v>
      </c>
      <c r="E227" t="str">
        <f>Hoja1!D227</f>
        <v>HERNANDEZ LOMELI LUIS EDUARDO</v>
      </c>
      <c r="F227" t="str">
        <f>Hoja1!E227</f>
        <v>SUSPENSION, DIRECCION Y FRENOS</v>
      </c>
      <c r="G227" t="str">
        <f>Hoja1!F227</f>
        <v>MASCULINO</v>
      </c>
      <c r="H227">
        <f t="shared" si="14"/>
        <v>0</v>
      </c>
      <c r="I227" t="str">
        <f t="shared" si="15"/>
        <v>1226,'LICENCIATURA','INGENIERÍA AUTOMOTRIZ','AUTO 4°','HERNANDEZ LOMELI LUIS EDUARDO','SUSPENSION, DIRECCION Y FRENOS','MASCULINO',0</v>
      </c>
      <c r="J227" t="str">
        <f t="shared" si="16"/>
        <v>INSERT INTO profesores (id,nivel,carrera,grupo,nombre,materia,sexo,sello) VALUES (1226,'LICENCIATURA','INGENIERÍA AUTOMOTRIZ','AUTO 4°','HERNANDEZ LOMELI LUIS EDUARDO','SUSPENSION, DIRECCION Y FRENOS','MASCULINO',0);</v>
      </c>
    </row>
    <row r="228" spans="1:10" x14ac:dyDescent="0.25">
      <c r="A228">
        <f t="shared" si="17"/>
        <v>1227</v>
      </c>
      <c r="B228" s="1" t="s">
        <v>1</v>
      </c>
      <c r="C228" t="str">
        <f>Hoja1!B228</f>
        <v>INGENIERÍA AUTOMOTRIZ</v>
      </c>
      <c r="D228" s="5" t="s">
        <v>1389</v>
      </c>
      <c r="E228" t="str">
        <f>Hoja1!D228</f>
        <v>MELENDEZ PIÑA PEDRO OMAR</v>
      </c>
      <c r="F228" t="str">
        <f>Hoja1!E228</f>
        <v>DIBUJO ASISTIDO POR COMPUTADORA III</v>
      </c>
      <c r="G228" t="str">
        <f>Hoja1!F228</f>
        <v>MASCULINO</v>
      </c>
      <c r="H228">
        <f t="shared" si="14"/>
        <v>0</v>
      </c>
      <c r="I228" t="str">
        <f t="shared" si="15"/>
        <v>1227,'LICENCIATURA','INGENIERÍA AUTOMOTRIZ','AUTO 4°','MELENDEZ PIÑA PEDRO OMAR','DIBUJO ASISTIDO POR COMPUTADORA III','MASCULINO',0</v>
      </c>
      <c r="J228" t="str">
        <f t="shared" si="16"/>
        <v>INSERT INTO profesores (id,nivel,carrera,grupo,nombre,materia,sexo,sello) VALUES (1227,'LICENCIATURA','INGENIERÍA AUTOMOTRIZ','AUTO 4°','MELENDEZ PIÑA PEDRO OMAR','DIBUJO ASISTIDO POR COMPUTADORA III','MASCULINO',0);</v>
      </c>
    </row>
    <row r="229" spans="1:10" x14ac:dyDescent="0.25">
      <c r="A229">
        <f t="shared" si="17"/>
        <v>1228</v>
      </c>
      <c r="B229" s="1" t="s">
        <v>1</v>
      </c>
      <c r="C229" t="str">
        <f>Hoja1!B229</f>
        <v>INGENIERÍA AUTOMOTRIZ</v>
      </c>
      <c r="D229" s="5" t="s">
        <v>1389</v>
      </c>
      <c r="E229" t="str">
        <f>Hoja1!D229</f>
        <v xml:space="preserve">NUÑEZ VELAZQUEZ ANA MARIA </v>
      </c>
      <c r="F229" t="str">
        <f>Hoja1!E229</f>
        <v xml:space="preserve">DISEÑO DE SISTEMAS DIGITALES </v>
      </c>
      <c r="G229" t="str">
        <f>Hoja1!F229</f>
        <v>FEMENINO</v>
      </c>
      <c r="H229">
        <f t="shared" si="14"/>
        <v>0</v>
      </c>
      <c r="I229" t="str">
        <f t="shared" si="15"/>
        <v>1228,'LICENCIATURA','INGENIERÍA AUTOMOTRIZ','AUTO 4°','NUÑEZ VELAZQUEZ ANA MARIA ','DISEÑO DE SISTEMAS DIGITALES ','FEMENINO',0</v>
      </c>
      <c r="J229" t="str">
        <f t="shared" si="16"/>
        <v>INSERT INTO profesores (id,nivel,carrera,grupo,nombre,materia,sexo,sello) VALUES (1228,'LICENCIATURA','INGENIERÍA AUTOMOTRIZ','AUTO 4°','NUÑEZ VELAZQUEZ ANA MARIA ','DISEÑO DE SISTEMAS DIGITALES ','FEMENINO',0);</v>
      </c>
    </row>
    <row r="230" spans="1:10" x14ac:dyDescent="0.25">
      <c r="A230">
        <f t="shared" si="17"/>
        <v>1229</v>
      </c>
      <c r="B230" s="1" t="s">
        <v>1</v>
      </c>
      <c r="C230" t="str">
        <f>Hoja1!B230</f>
        <v>INGENIERIA CIBERNETICA Y EN SISTEMAS COMPUTACIONALES</v>
      </c>
      <c r="D230" s="5" t="s">
        <v>1401</v>
      </c>
      <c r="E230" t="str">
        <f>Hoja1!D230</f>
        <v>ANGUIANO SUAREZ DEL REAL RAFAEL DE JESUS</v>
      </c>
      <c r="F230" t="str">
        <f>Hoja1!E230</f>
        <v>PROGRAMACION AVANZADA</v>
      </c>
      <c r="G230" t="str">
        <f>Hoja1!F230</f>
        <v>MASCULINO</v>
      </c>
      <c r="H230">
        <f t="shared" si="14"/>
        <v>0</v>
      </c>
      <c r="I230" t="str">
        <f t="shared" si="15"/>
        <v>1229,'LICENCIATURA','INGENIERIA CIBERNETICA Y EN SISTEMAS COMPUTACIONALES','CIB 4°','ANGUIANO SUAREZ DEL REAL RAFAEL DE JESUS','PROGRAMACION AVANZADA','MASCULINO',0</v>
      </c>
      <c r="J230" t="str">
        <f t="shared" si="16"/>
        <v>INSERT INTO profesores (id,nivel,carrera,grupo,nombre,materia,sexo,sello) VALUES (1229,'LICENCIATURA','INGENIERIA CIBERNETICA Y EN SISTEMAS COMPUTACIONALES','CIB 4°','ANGUIANO SUAREZ DEL REAL RAFAEL DE JESUS','PROGRAMACION AVANZADA','MASCULINO',0);</v>
      </c>
    </row>
    <row r="231" spans="1:10" x14ac:dyDescent="0.25">
      <c r="A231">
        <f t="shared" si="17"/>
        <v>1230</v>
      </c>
      <c r="B231" s="1" t="s">
        <v>1</v>
      </c>
      <c r="C231" t="str">
        <f>Hoja1!B231</f>
        <v>INGENIERIA CIBERNETICA Y EN SISTEMAS COMPUTACIONALES</v>
      </c>
      <c r="D231" s="5" t="s">
        <v>1401</v>
      </c>
      <c r="E231" t="str">
        <f>Hoja1!D231</f>
        <v>FERRER LOPEZ BERTHA LUCRECIA</v>
      </c>
      <c r="F231" t="str">
        <f>Hoja1!E231</f>
        <v>ESTADISTICA</v>
      </c>
      <c r="G231" t="str">
        <f>Hoja1!F231</f>
        <v>FEMENINO</v>
      </c>
      <c r="H231">
        <f t="shared" si="14"/>
        <v>0</v>
      </c>
      <c r="I231" t="str">
        <f t="shared" si="15"/>
        <v>1230,'LICENCIATURA','INGENIERIA CIBERNETICA Y EN SISTEMAS COMPUTACIONALES','CIB 4°','FERRER LOPEZ BERTHA LUCRECIA','ESTADISTICA','FEMENINO',0</v>
      </c>
      <c r="J231" t="str">
        <f t="shared" si="16"/>
        <v>INSERT INTO profesores (id,nivel,carrera,grupo,nombre,materia,sexo,sello) VALUES (1230,'LICENCIATURA','INGENIERIA CIBERNETICA Y EN SISTEMAS COMPUTACIONALES','CIB 4°','FERRER LOPEZ BERTHA LUCRECIA','ESTADISTICA','FEMENINO',0);</v>
      </c>
    </row>
    <row r="232" spans="1:10" x14ac:dyDescent="0.25">
      <c r="A232">
        <f t="shared" si="17"/>
        <v>1231</v>
      </c>
      <c r="B232" s="1" t="s">
        <v>1</v>
      </c>
      <c r="C232" t="str">
        <f>Hoja1!B232</f>
        <v>INGENIERIA CIBERNETICA Y EN SISTEMAS COMPUTACIONALES</v>
      </c>
      <c r="D232" s="5" t="s">
        <v>1401</v>
      </c>
      <c r="E232" t="str">
        <f>Hoja1!D232</f>
        <v xml:space="preserve">GARCIA  SANCHEZ  MARIA LUISA </v>
      </c>
      <c r="F232" t="str">
        <f>Hoja1!E232</f>
        <v>SISTEMAS OPERATIVOS</v>
      </c>
      <c r="G232" t="str">
        <f>Hoja1!F232</f>
        <v>FEMENINO</v>
      </c>
      <c r="H232">
        <f t="shared" si="14"/>
        <v>0</v>
      </c>
      <c r="I232" t="str">
        <f t="shared" si="15"/>
        <v>1231,'LICENCIATURA','INGENIERIA CIBERNETICA Y EN SISTEMAS COMPUTACIONALES','CIB 4°','GARCIA  SANCHEZ  MARIA LUISA ','SISTEMAS OPERATIVOS','FEMENINO',0</v>
      </c>
      <c r="J232" t="str">
        <f t="shared" si="16"/>
        <v>INSERT INTO profesores (id,nivel,carrera,grupo,nombre,materia,sexo,sello) VALUES (1231,'LICENCIATURA','INGENIERIA CIBERNETICA Y EN SISTEMAS COMPUTACIONALES','CIB 4°','GARCIA  SANCHEZ  MARIA LUISA ','SISTEMAS OPERATIVOS','FEMENINO',0);</v>
      </c>
    </row>
    <row r="233" spans="1:10" x14ac:dyDescent="0.25">
      <c r="A233">
        <f t="shared" si="17"/>
        <v>1232</v>
      </c>
      <c r="B233" s="1" t="s">
        <v>1</v>
      </c>
      <c r="C233" t="str">
        <f>Hoja1!B233</f>
        <v>INGENIERIA CIBERNETICA Y EN SISTEMAS COMPUTACIONALES</v>
      </c>
      <c r="D233" s="5" t="s">
        <v>1401</v>
      </c>
      <c r="E233" t="str">
        <f>Hoja1!D233</f>
        <v>GAYTAN GODINEZ LORENA</v>
      </c>
      <c r="F233" t="str">
        <f>Hoja1!E233</f>
        <v>ESTRUCTURA DE DATOS</v>
      </c>
      <c r="G233" t="str">
        <f>Hoja1!F233</f>
        <v>FEMENINO</v>
      </c>
      <c r="H233">
        <f t="shared" si="14"/>
        <v>0</v>
      </c>
      <c r="I233" t="str">
        <f t="shared" si="15"/>
        <v>1232,'LICENCIATURA','INGENIERIA CIBERNETICA Y EN SISTEMAS COMPUTACIONALES','CIB 4°','GAYTAN GODINEZ LORENA','ESTRUCTURA DE DATOS','FEMENINO',0</v>
      </c>
      <c r="J233" t="str">
        <f t="shared" si="16"/>
        <v>INSERT INTO profesores (id,nivel,carrera,grupo,nombre,materia,sexo,sello) VALUES (1232,'LICENCIATURA','INGENIERIA CIBERNETICA Y EN SISTEMAS COMPUTACIONALES','CIB 4°','GAYTAN GODINEZ LORENA','ESTRUCTURA DE DATOS','FEMENINO',0);</v>
      </c>
    </row>
    <row r="234" spans="1:10" x14ac:dyDescent="0.25">
      <c r="A234">
        <f t="shared" si="17"/>
        <v>1233</v>
      </c>
      <c r="B234" s="1" t="s">
        <v>1</v>
      </c>
      <c r="C234" t="str">
        <f>Hoja1!B234</f>
        <v>INGENIERIA CIBERNETICA Y EN SISTEMAS COMPUTACIONALES</v>
      </c>
      <c r="D234" s="5" t="s">
        <v>1401</v>
      </c>
      <c r="E234" t="str">
        <f>Hoja1!D234</f>
        <v>MACIAS GARZA JORGE ENRIQUE</v>
      </c>
      <c r="F234" t="str">
        <f>Hoja1!E234</f>
        <v>CONTROL DIGITAL</v>
      </c>
      <c r="G234" t="str">
        <f>Hoja1!F234</f>
        <v>MASCULINO</v>
      </c>
      <c r="H234">
        <f t="shared" si="14"/>
        <v>0</v>
      </c>
      <c r="I234" t="str">
        <f t="shared" si="15"/>
        <v>1233,'LICENCIATURA','INGENIERIA CIBERNETICA Y EN SISTEMAS COMPUTACIONALES','CIB 4°','MACIAS GARZA JORGE ENRIQUE','CONTROL DIGITAL','MASCULINO',0</v>
      </c>
      <c r="J234" t="str">
        <f t="shared" si="16"/>
        <v>INSERT INTO profesores (id,nivel,carrera,grupo,nombre,materia,sexo,sello) VALUES (1233,'LICENCIATURA','INGENIERIA CIBERNETICA Y EN SISTEMAS COMPUTACIONALES','CIB 4°','MACIAS GARZA JORGE ENRIQUE','CONTROL DIGITAL','MASCULINO',0);</v>
      </c>
    </row>
    <row r="235" spans="1:10" x14ac:dyDescent="0.25">
      <c r="A235">
        <f t="shared" si="17"/>
        <v>1234</v>
      </c>
      <c r="B235" s="1" t="s">
        <v>1</v>
      </c>
      <c r="C235" t="str">
        <f>Hoja1!B235</f>
        <v>INGENIERIA CIBERNETICA Y EN SISTEMAS COMPUTACIONALES</v>
      </c>
      <c r="D235" s="5" t="s">
        <v>1401</v>
      </c>
      <c r="E235" t="str">
        <f>Hoja1!D235</f>
        <v>MARTINEZ  ALVARADO JUAN CARLOS</v>
      </c>
      <c r="F235" t="str">
        <f>Hoja1!E235</f>
        <v>METODOS NUMERICOS</v>
      </c>
      <c r="G235" t="str">
        <f>Hoja1!F235</f>
        <v>MASCULINO</v>
      </c>
      <c r="H235">
        <f t="shared" si="14"/>
        <v>0</v>
      </c>
      <c r="I235" t="str">
        <f t="shared" si="15"/>
        <v>1234,'LICENCIATURA','INGENIERIA CIBERNETICA Y EN SISTEMAS COMPUTACIONALES','CIB 4°','MARTINEZ  ALVARADO JUAN CARLOS','METODOS NUMERICOS','MASCULINO',0</v>
      </c>
      <c r="J235" t="str">
        <f t="shared" si="16"/>
        <v>INSERT INTO profesores (id,nivel,carrera,grupo,nombre,materia,sexo,sello) VALUES (1234,'LICENCIATURA','INGENIERIA CIBERNETICA Y EN SISTEMAS COMPUTACIONALES','CIB 4°','MARTINEZ  ALVARADO JUAN CARLOS','METODOS NUMERICOS','MASCULINO',0);</v>
      </c>
    </row>
    <row r="236" spans="1:10" x14ac:dyDescent="0.25">
      <c r="A236">
        <f t="shared" si="17"/>
        <v>1235</v>
      </c>
      <c r="B236" s="1" t="s">
        <v>1</v>
      </c>
      <c r="C236" t="str">
        <f>Hoja1!B236</f>
        <v>INGENIERIA CIBERNETICA Y EN SISTEMAS COMPUTACIONALES</v>
      </c>
      <c r="D236" s="5" t="s">
        <v>1401</v>
      </c>
      <c r="E236" t="str">
        <f>Hoja1!D236</f>
        <v xml:space="preserve">NUÑEZ VELAZQUEZ ANA MARIA </v>
      </c>
      <c r="F236" t="str">
        <f>Hoja1!E236</f>
        <v>ELECTRONICA AVANZADA</v>
      </c>
      <c r="G236" t="str">
        <f>Hoja1!F236</f>
        <v>FEMENINO</v>
      </c>
      <c r="H236">
        <f t="shared" si="14"/>
        <v>0</v>
      </c>
      <c r="I236" t="str">
        <f t="shared" si="15"/>
        <v>1235,'LICENCIATURA','INGENIERIA CIBERNETICA Y EN SISTEMAS COMPUTACIONALES','CIB 4°','NUÑEZ VELAZQUEZ ANA MARIA ','ELECTRONICA AVANZADA','FEMENINO',0</v>
      </c>
      <c r="J236" t="str">
        <f t="shared" si="16"/>
        <v>INSERT INTO profesores (id,nivel,carrera,grupo,nombre,materia,sexo,sello) VALUES (1235,'LICENCIATURA','INGENIERIA CIBERNETICA Y EN SISTEMAS COMPUTACIONALES','CIB 4°','NUÑEZ VELAZQUEZ ANA MARIA ','ELECTRONICA AVANZADA','FEMENINO',0);</v>
      </c>
    </row>
    <row r="237" spans="1:10" x14ac:dyDescent="0.25">
      <c r="A237">
        <f t="shared" si="17"/>
        <v>1236</v>
      </c>
      <c r="B237" s="1" t="s">
        <v>1</v>
      </c>
      <c r="C237" t="str">
        <f>Hoja1!B237</f>
        <v>INGENIERIA CIBERNETICA Y EN SISTEMAS COMPUTACIONALES</v>
      </c>
      <c r="D237" s="5" t="s">
        <v>1402</v>
      </c>
      <c r="E237" t="s">
        <v>1422</v>
      </c>
      <c r="F237" t="str">
        <f>Hoja1!E237</f>
        <v>BASE DE DATOS NO RELACIONALES</v>
      </c>
      <c r="G237" t="str">
        <f>Hoja1!F237</f>
        <v>MASCULINO</v>
      </c>
      <c r="H237">
        <f t="shared" si="14"/>
        <v>0</v>
      </c>
      <c r="I237" t="str">
        <f t="shared" si="15"/>
        <v>1236,'LICENCIATURA','INGENIERIA CIBERNETICA Y EN SISTEMAS COMPUTACIONALES','CIB 6°','DE LEÓN SÁNCHEZ JOSÉ ISRAEL','BASE DE DATOS NO RELACIONALES','MASCULINO',0</v>
      </c>
      <c r="J237" t="str">
        <f t="shared" si="16"/>
        <v>INSERT INTO profesores (id,nivel,carrera,grupo,nombre,materia,sexo,sello) VALUES (1236,'LICENCIATURA','INGENIERIA CIBERNETICA Y EN SISTEMAS COMPUTACIONALES','CIB 6°','DE LEÓN SÁNCHEZ JOSÉ ISRAEL','BASE DE DATOS NO RELACIONALES','MASCULINO',0);</v>
      </c>
    </row>
    <row r="238" spans="1:10" x14ac:dyDescent="0.25">
      <c r="A238">
        <f t="shared" si="17"/>
        <v>1237</v>
      </c>
      <c r="B238" s="1" t="s">
        <v>1</v>
      </c>
      <c r="C238" t="str">
        <f>Hoja1!B238</f>
        <v>INGENIERIA CIBERNETICA Y EN SISTEMAS COMPUTACIONALES</v>
      </c>
      <c r="D238" s="5" t="s">
        <v>1402</v>
      </c>
      <c r="E238" t="str">
        <f>Hoja1!D238</f>
        <v>DELGADILLO BOCANEGRA JOSE DE JESUS</v>
      </c>
      <c r="F238" t="str">
        <f>Hoja1!E238</f>
        <v>ROBOTICA</v>
      </c>
      <c r="G238" t="str">
        <f>Hoja1!F238</f>
        <v>MASCULINO</v>
      </c>
      <c r="H238">
        <f t="shared" si="14"/>
        <v>0</v>
      </c>
      <c r="I238" t="str">
        <f t="shared" si="15"/>
        <v>1237,'LICENCIATURA','INGENIERIA CIBERNETICA Y EN SISTEMAS COMPUTACIONALES','CIB 6°','DELGADILLO BOCANEGRA JOSE DE JESUS','ROBOTICA','MASCULINO',0</v>
      </c>
      <c r="J238" t="str">
        <f t="shared" si="16"/>
        <v>INSERT INTO profesores (id,nivel,carrera,grupo,nombre,materia,sexo,sello) VALUES (1237,'LICENCIATURA','INGENIERIA CIBERNETICA Y EN SISTEMAS COMPUTACIONALES','CIB 6°','DELGADILLO BOCANEGRA JOSE DE JESUS','ROBOTICA','MASCULINO',0);</v>
      </c>
    </row>
    <row r="239" spans="1:10" x14ac:dyDescent="0.25">
      <c r="A239">
        <f t="shared" si="17"/>
        <v>1238</v>
      </c>
      <c r="B239" s="1" t="s">
        <v>1</v>
      </c>
      <c r="C239" t="str">
        <f>Hoja1!B239</f>
        <v>INGENIERIA CIBERNETICA Y EN SISTEMAS COMPUTACIONALES</v>
      </c>
      <c r="D239" s="5" t="s">
        <v>1402</v>
      </c>
      <c r="E239" t="str">
        <f>Hoja1!D239</f>
        <v>GARCIA HERNANDEZ  MARTIN</v>
      </c>
      <c r="F239" t="str">
        <f>Hoja1!E239</f>
        <v>TEORIA DE AUTOMATAS Y LENGUAJES FORMALES</v>
      </c>
      <c r="G239" t="str">
        <f>Hoja1!F239</f>
        <v>MASCULINO</v>
      </c>
      <c r="H239">
        <f t="shared" si="14"/>
        <v>0</v>
      </c>
      <c r="I239" t="str">
        <f t="shared" si="15"/>
        <v>1238,'LICENCIATURA','INGENIERIA CIBERNETICA Y EN SISTEMAS COMPUTACIONALES','CIB 6°','GARCIA HERNANDEZ  MARTIN','TEORIA DE AUTOMATAS Y LENGUAJES FORMALES','MASCULINO',0</v>
      </c>
      <c r="J239" t="str">
        <f t="shared" si="16"/>
        <v>INSERT INTO profesores (id,nivel,carrera,grupo,nombre,materia,sexo,sello) VALUES (1238,'LICENCIATURA','INGENIERIA CIBERNETICA Y EN SISTEMAS COMPUTACIONALES','CIB 6°','GARCIA HERNANDEZ  MARTIN','TEORIA DE AUTOMATAS Y LENGUAJES FORMALES','MASCULINO',0);</v>
      </c>
    </row>
    <row r="240" spans="1:10" x14ac:dyDescent="0.25">
      <c r="A240">
        <f t="shared" si="17"/>
        <v>1239</v>
      </c>
      <c r="B240" s="1" t="s">
        <v>1</v>
      </c>
      <c r="C240" t="str">
        <f>Hoja1!B240</f>
        <v>INGENIERIA CIBERNETICA Y EN SISTEMAS COMPUTACIONALES</v>
      </c>
      <c r="D240" s="5" t="s">
        <v>1402</v>
      </c>
      <c r="E240" t="str">
        <f>Hoja1!D240</f>
        <v>MADRIGAL RODRIGUEZ GRISELDA</v>
      </c>
      <c r="F240" t="str">
        <f>Hoja1!E240</f>
        <v>METRICAS DE SOFTWARE Y PRUEBAS UNITARIAS</v>
      </c>
      <c r="G240" t="str">
        <f>Hoja1!F240</f>
        <v>FEMENINO</v>
      </c>
      <c r="H240">
        <f t="shared" si="14"/>
        <v>0</v>
      </c>
      <c r="I240" t="str">
        <f t="shared" si="15"/>
        <v>1239,'LICENCIATURA','INGENIERIA CIBERNETICA Y EN SISTEMAS COMPUTACIONALES','CIB 6°','MADRIGAL RODRIGUEZ GRISELDA','METRICAS DE SOFTWARE Y PRUEBAS UNITARIAS','FEMENINO',0</v>
      </c>
      <c r="J240" t="str">
        <f t="shared" si="16"/>
        <v>INSERT INTO profesores (id,nivel,carrera,grupo,nombre,materia,sexo,sello) VALUES (1239,'LICENCIATURA','INGENIERIA CIBERNETICA Y EN SISTEMAS COMPUTACIONALES','CIB 6°','MADRIGAL RODRIGUEZ GRISELDA','METRICAS DE SOFTWARE Y PRUEBAS UNITARIAS','FEMENINO',0);</v>
      </c>
    </row>
    <row r="241" spans="1:10" x14ac:dyDescent="0.25">
      <c r="A241">
        <f t="shared" si="17"/>
        <v>1240</v>
      </c>
      <c r="B241" s="1" t="s">
        <v>1</v>
      </c>
      <c r="C241" t="str">
        <f>Hoja1!B241</f>
        <v>INGENIERIA CIBERNETICA Y EN SISTEMAS COMPUTACIONALES</v>
      </c>
      <c r="D241" s="5" t="s">
        <v>1402</v>
      </c>
      <c r="E241" t="str">
        <f>Hoja1!D241</f>
        <v>MONTAÑO ALVIZO JUAN CARLOS</v>
      </c>
      <c r="F241" t="str">
        <f>Hoja1!E241</f>
        <v>SISTEMAS EMBEBIDOS</v>
      </c>
      <c r="G241" t="str">
        <f>Hoja1!F241</f>
        <v>MASCULINO</v>
      </c>
      <c r="H241">
        <f t="shared" si="14"/>
        <v>0</v>
      </c>
      <c r="I241" t="str">
        <f t="shared" si="15"/>
        <v>1240,'LICENCIATURA','INGENIERIA CIBERNETICA Y EN SISTEMAS COMPUTACIONALES','CIB 6°','MONTAÑO ALVIZO JUAN CARLOS','SISTEMAS EMBEBIDOS','MASCULINO',0</v>
      </c>
      <c r="J241" t="str">
        <f t="shared" si="16"/>
        <v>INSERT INTO profesores (id,nivel,carrera,grupo,nombre,materia,sexo,sello) VALUES (1240,'LICENCIATURA','INGENIERIA CIBERNETICA Y EN SISTEMAS COMPUTACIONALES','CIB 6°','MONTAÑO ALVIZO JUAN CARLOS','SISTEMAS EMBEBIDOS','MASCULINO',0);</v>
      </c>
    </row>
    <row r="242" spans="1:10" x14ac:dyDescent="0.25">
      <c r="A242">
        <f t="shared" si="17"/>
        <v>1241</v>
      </c>
      <c r="B242" s="1" t="s">
        <v>1</v>
      </c>
      <c r="C242" t="str">
        <f>Hoja1!B242</f>
        <v>INGENIERIA CIBERNETICA Y EN SISTEMAS COMPUTACIONALES</v>
      </c>
      <c r="D242" s="5" t="s">
        <v>1403</v>
      </c>
      <c r="E242" t="str">
        <f>Hoja1!D242</f>
        <v>BAEZA MONTIEL RICARDO IGNACIO</v>
      </c>
      <c r="F242" t="str">
        <f>Hoja1!E242</f>
        <v>COMPILADORES</v>
      </c>
      <c r="G242" t="str">
        <f>Hoja1!F242</f>
        <v>MASCULINO</v>
      </c>
      <c r="H242">
        <f t="shared" si="14"/>
        <v>0</v>
      </c>
      <c r="I242" t="str">
        <f t="shared" si="15"/>
        <v>1241,'LICENCIATURA','INGENIERIA CIBERNETICA Y EN SISTEMAS COMPUTACIONALES','CIB 8°','BAEZA MONTIEL RICARDO IGNACIO','COMPILADORES','MASCULINO',0</v>
      </c>
      <c r="J242" t="str">
        <f t="shared" si="16"/>
        <v>INSERT INTO profesores (id,nivel,carrera,grupo,nombre,materia,sexo,sello) VALUES (1241,'LICENCIATURA','INGENIERIA CIBERNETICA Y EN SISTEMAS COMPUTACIONALES','CIB 8°','BAEZA MONTIEL RICARDO IGNACIO','COMPILADORES','MASCULINO',0);</v>
      </c>
    </row>
    <row r="243" spans="1:10" x14ac:dyDescent="0.25">
      <c r="A243">
        <f t="shared" si="17"/>
        <v>1242</v>
      </c>
      <c r="B243" s="1" t="s">
        <v>1</v>
      </c>
      <c r="C243" t="str">
        <f>Hoja1!B243</f>
        <v>INGENIERIA CIBERNETICA Y EN SISTEMAS COMPUTACIONALES</v>
      </c>
      <c r="D243" s="5" t="s">
        <v>1403</v>
      </c>
      <c r="E243" t="str">
        <f>Hoja1!D243</f>
        <v>BAEZA MONTIEL RICARDO IGNACIO</v>
      </c>
      <c r="F243" t="str">
        <f>Hoja1!E243</f>
        <v>SEGURIDAD Y AUDITORIA INFORMATICA</v>
      </c>
      <c r="G243" t="str">
        <f>Hoja1!F243</f>
        <v>MASCULINO</v>
      </c>
      <c r="H243">
        <f t="shared" si="14"/>
        <v>0</v>
      </c>
      <c r="I243" t="str">
        <f t="shared" si="15"/>
        <v>1242,'LICENCIATURA','INGENIERIA CIBERNETICA Y EN SISTEMAS COMPUTACIONALES','CIB 8°','BAEZA MONTIEL RICARDO IGNACIO','SEGURIDAD Y AUDITORIA INFORMATICA','MASCULINO',0</v>
      </c>
      <c r="J243" t="str">
        <f t="shared" si="16"/>
        <v>INSERT INTO profesores (id,nivel,carrera,grupo,nombre,materia,sexo,sello) VALUES (1242,'LICENCIATURA','INGENIERIA CIBERNETICA Y EN SISTEMAS COMPUTACIONALES','CIB 8°','BAEZA MONTIEL RICARDO IGNACIO','SEGURIDAD Y AUDITORIA INFORMATICA','MASCULINO',0);</v>
      </c>
    </row>
    <row r="244" spans="1:10" x14ac:dyDescent="0.25">
      <c r="A244">
        <f t="shared" si="17"/>
        <v>1243</v>
      </c>
      <c r="B244" s="1" t="s">
        <v>1</v>
      </c>
      <c r="C244" t="str">
        <f>Hoja1!B244</f>
        <v>INGENIERIA CIBERNETICA Y EN SISTEMAS COMPUTACIONALES</v>
      </c>
      <c r="D244" s="5" t="s">
        <v>1403</v>
      </c>
      <c r="E244" t="s">
        <v>1422</v>
      </c>
      <c r="F244" t="s">
        <v>1423</v>
      </c>
      <c r="G244" t="str">
        <f>Hoja1!F244</f>
        <v>MASCULINO</v>
      </c>
      <c r="H244">
        <f t="shared" si="14"/>
        <v>0</v>
      </c>
      <c r="I244" t="str">
        <f t="shared" si="15"/>
        <v>1243,'LICENCIATURA','INGENIERIA CIBERNETICA Y EN SISTEMAS COMPUTACIONALES','CIB 8°','DE LEÓN SÁNCHEZ JOSÉ ISRAEL','COMPLEJIDAD DE ALGORITMOS','MASCULINO',0</v>
      </c>
      <c r="J244" t="str">
        <f t="shared" si="16"/>
        <v>INSERT INTO profesores (id,nivel,carrera,grupo,nombre,materia,sexo,sello) VALUES (1243,'LICENCIATURA','INGENIERIA CIBERNETICA Y EN SISTEMAS COMPUTACIONALES','CIB 8°','DE LEÓN SÁNCHEZ JOSÉ ISRAEL','COMPLEJIDAD DE ALGORITMOS','MASCULINO',0);</v>
      </c>
    </row>
    <row r="245" spans="1:10" x14ac:dyDescent="0.25">
      <c r="A245">
        <f t="shared" si="17"/>
        <v>1244</v>
      </c>
      <c r="B245" s="1" t="s">
        <v>1</v>
      </c>
      <c r="C245" t="str">
        <f>Hoja1!B245</f>
        <v>INGENIERIA CIBERNETICA Y EN SISTEMAS COMPUTACIONALES</v>
      </c>
      <c r="D245" s="5" t="s">
        <v>1403</v>
      </c>
      <c r="E245" t="str">
        <f>Hoja1!D245</f>
        <v>RUIZ AREVALO ALDO MACIEL</v>
      </c>
      <c r="F245" t="str">
        <f>Hoja1!E245</f>
        <v>MINERIA DE DATOS</v>
      </c>
      <c r="G245" t="str">
        <f>Hoja1!F245</f>
        <v>MASCULINO</v>
      </c>
      <c r="H245">
        <f t="shared" si="14"/>
        <v>0</v>
      </c>
      <c r="I245" t="str">
        <f t="shared" si="15"/>
        <v>1244,'LICENCIATURA','INGENIERIA CIBERNETICA Y EN SISTEMAS COMPUTACIONALES','CIB 8°','RUIZ AREVALO ALDO MACIEL','MINERIA DE DATOS','MASCULINO',0</v>
      </c>
      <c r="J245" t="str">
        <f t="shared" si="16"/>
        <v>INSERT INTO profesores (id,nivel,carrera,grupo,nombre,materia,sexo,sello) VALUES (1244,'LICENCIATURA','INGENIERIA CIBERNETICA Y EN SISTEMAS COMPUTACIONALES','CIB 8°','RUIZ AREVALO ALDO MACIEL','MINERIA DE DATOS','MASCULINO',0);</v>
      </c>
    </row>
    <row r="246" spans="1:10" x14ac:dyDescent="0.25">
      <c r="A246">
        <f t="shared" si="17"/>
        <v>1245</v>
      </c>
      <c r="B246" s="1" t="s">
        <v>1</v>
      </c>
      <c r="C246" t="str">
        <f>Hoja1!B246</f>
        <v>INGENIERÍA EN INTELIGENCIA ARTIFICIAL</v>
      </c>
      <c r="D246" s="5" t="s">
        <v>1416</v>
      </c>
      <c r="E246" t="str">
        <f>Hoja1!D246</f>
        <v xml:space="preserve">GARCIA  SANCHEZ  MARIA LUISA </v>
      </c>
      <c r="F246" t="str">
        <f>Hoja1!E246</f>
        <v xml:space="preserve">SISTEMAS OPERATIVOS </v>
      </c>
      <c r="G246" t="str">
        <f>Hoja1!F246</f>
        <v>FEMENINO</v>
      </c>
      <c r="H246">
        <f t="shared" si="14"/>
        <v>0</v>
      </c>
      <c r="I246" t="str">
        <f t="shared" si="15"/>
        <v>1245,'LICENCIATURA','INGENIERÍA EN INTELIGENCIA ARTIFICIAL','IA 2°','GARCIA  SANCHEZ  MARIA LUISA ','SISTEMAS OPERATIVOS ','FEMENINO',0</v>
      </c>
      <c r="J246" t="str">
        <f t="shared" si="16"/>
        <v>INSERT INTO profesores (id,nivel,carrera,grupo,nombre,materia,sexo,sello) VALUES (1245,'LICENCIATURA','INGENIERÍA EN INTELIGENCIA ARTIFICIAL','IA 2°','GARCIA  SANCHEZ  MARIA LUISA ','SISTEMAS OPERATIVOS ','FEMENINO',0);</v>
      </c>
    </row>
    <row r="247" spans="1:10" x14ac:dyDescent="0.25">
      <c r="A247">
        <f t="shared" si="17"/>
        <v>1246</v>
      </c>
      <c r="B247" s="1" t="s">
        <v>1</v>
      </c>
      <c r="C247" t="str">
        <f>Hoja1!B247</f>
        <v>INGENIERÍA EN INTELIGENCIA ARTIFICIAL</v>
      </c>
      <c r="D247" s="5" t="s">
        <v>1416</v>
      </c>
      <c r="E247" t="str">
        <f>Hoja1!D247</f>
        <v>GAYTAN GODINEZ LORENA</v>
      </c>
      <c r="F247" t="str">
        <f>Hoja1!E247</f>
        <v xml:space="preserve">PROGRAMACIÓN ORIENTADA A OBJETOS </v>
      </c>
      <c r="G247" t="str">
        <f>Hoja1!F247</f>
        <v>FEMENINO</v>
      </c>
      <c r="H247">
        <f t="shared" si="14"/>
        <v>0</v>
      </c>
      <c r="I247" t="str">
        <f t="shared" si="15"/>
        <v>1246,'LICENCIATURA','INGENIERÍA EN INTELIGENCIA ARTIFICIAL','IA 2°','GAYTAN GODINEZ LORENA','PROGRAMACIÓN ORIENTADA A OBJETOS ','FEMENINO',0</v>
      </c>
      <c r="J247" t="str">
        <f t="shared" si="16"/>
        <v>INSERT INTO profesores (id,nivel,carrera,grupo,nombre,materia,sexo,sello) VALUES (1246,'LICENCIATURA','INGENIERÍA EN INTELIGENCIA ARTIFICIAL','IA 2°','GAYTAN GODINEZ LORENA','PROGRAMACIÓN ORIENTADA A OBJETOS ','FEMENINO',0);</v>
      </c>
    </row>
    <row r="248" spans="1:10" x14ac:dyDescent="0.25">
      <c r="A248">
        <f t="shared" si="17"/>
        <v>1247</v>
      </c>
      <c r="B248" s="1" t="s">
        <v>1</v>
      </c>
      <c r="C248" t="str">
        <f>Hoja1!B248</f>
        <v>INGENIERÍA EN INTELIGENCIA ARTIFICIAL</v>
      </c>
      <c r="D248" s="5" t="s">
        <v>1416</v>
      </c>
      <c r="E248" t="str">
        <f>Hoja1!D248</f>
        <v>MARTINEZ  ALVARADO JUAN CARLOS</v>
      </c>
      <c r="F248" t="str">
        <f>Hoja1!E248</f>
        <v>CÁLCULO MULTIVARIABLE</v>
      </c>
      <c r="G248" t="str">
        <f>Hoja1!F248</f>
        <v>MASCULINO</v>
      </c>
      <c r="H248">
        <f t="shared" si="14"/>
        <v>0</v>
      </c>
      <c r="I248" t="str">
        <f t="shared" si="15"/>
        <v>1247,'LICENCIATURA','INGENIERÍA EN INTELIGENCIA ARTIFICIAL','IA 2°','MARTINEZ  ALVARADO JUAN CARLOS','CÁLCULO MULTIVARIABLE','MASCULINO',0</v>
      </c>
      <c r="J248" t="str">
        <f t="shared" si="16"/>
        <v>INSERT INTO profesores (id,nivel,carrera,grupo,nombre,materia,sexo,sello) VALUES (1247,'LICENCIATURA','INGENIERÍA EN INTELIGENCIA ARTIFICIAL','IA 2°','MARTINEZ  ALVARADO JUAN CARLOS','CÁLCULO MULTIVARIABLE','MASCULINO',0);</v>
      </c>
    </row>
    <row r="249" spans="1:10" x14ac:dyDescent="0.25">
      <c r="A249">
        <f t="shared" si="17"/>
        <v>1248</v>
      </c>
      <c r="B249" s="1" t="s">
        <v>1</v>
      </c>
      <c r="C249" t="str">
        <f>Hoja1!B249</f>
        <v>INGENIERÍA EN INTELIGENCIA ARTIFICIAL</v>
      </c>
      <c r="D249" s="5" t="s">
        <v>1416</v>
      </c>
      <c r="E249" t="str">
        <f>Hoja1!D249</f>
        <v>RIZO DOMINGUEZ LUIS</v>
      </c>
      <c r="F249" t="str">
        <f>Hoja1!E249</f>
        <v xml:space="preserve">REPRESENTACION DEL CONOCIMIENTO </v>
      </c>
      <c r="G249" t="str">
        <f>Hoja1!F249</f>
        <v>MASCULINO</v>
      </c>
      <c r="H249">
        <f t="shared" si="14"/>
        <v>0</v>
      </c>
      <c r="I249" t="str">
        <f t="shared" si="15"/>
        <v>1248,'LICENCIATURA','INGENIERÍA EN INTELIGENCIA ARTIFICIAL','IA 2°','RIZO DOMINGUEZ LUIS','REPRESENTACION DEL CONOCIMIENTO ','MASCULINO',0</v>
      </c>
      <c r="J249" t="str">
        <f t="shared" si="16"/>
        <v>INSERT INTO profesores (id,nivel,carrera,grupo,nombre,materia,sexo,sello) VALUES (1248,'LICENCIATURA','INGENIERÍA EN INTELIGENCIA ARTIFICIAL','IA 2°','RIZO DOMINGUEZ LUIS','REPRESENTACION DEL CONOCIMIENTO ','MASCULINO',0);</v>
      </c>
    </row>
    <row r="250" spans="1:10" x14ac:dyDescent="0.25">
      <c r="A250">
        <f t="shared" si="17"/>
        <v>1249</v>
      </c>
      <c r="B250" s="1" t="s">
        <v>1</v>
      </c>
      <c r="C250" t="str">
        <f>Hoja1!B250</f>
        <v>INGENIERÍA EN INTELIGENCIA ARTIFICIAL</v>
      </c>
      <c r="D250" s="5" t="s">
        <v>1416</v>
      </c>
      <c r="E250" t="str">
        <f>Hoja1!D250</f>
        <v>SALDIVAR OROZCO EMMANUEL</v>
      </c>
      <c r="F250" t="str">
        <f>Hoja1!E250</f>
        <v xml:space="preserve">PROBABILIDAD Y ESTADISTICA APLICADA </v>
      </c>
      <c r="G250" t="str">
        <f>Hoja1!F250</f>
        <v>MASCULINO</v>
      </c>
      <c r="H250">
        <f t="shared" si="14"/>
        <v>0</v>
      </c>
      <c r="I250" t="str">
        <f t="shared" si="15"/>
        <v>1249,'LICENCIATURA','INGENIERÍA EN INTELIGENCIA ARTIFICIAL','IA 2°','SALDIVAR OROZCO EMMANUEL','PROBABILIDAD Y ESTADISTICA APLICADA ','MASCULINO',0</v>
      </c>
      <c r="J250" t="str">
        <f t="shared" si="16"/>
        <v>INSERT INTO profesores (id,nivel,carrera,grupo,nombre,materia,sexo,sello) VALUES (1249,'LICENCIATURA','INGENIERÍA EN INTELIGENCIA ARTIFICIAL','IA 2°','SALDIVAR OROZCO EMMANUEL','PROBABILIDAD Y ESTADISTICA APLICADA ','MASCULINO',0);</v>
      </c>
    </row>
    <row r="251" spans="1:10" x14ac:dyDescent="0.25">
      <c r="A251">
        <f t="shared" si="17"/>
        <v>1250</v>
      </c>
      <c r="B251" s="1" t="s">
        <v>1</v>
      </c>
      <c r="C251" t="str">
        <f>Hoja1!B251</f>
        <v>INGENIERÍA EN INTELIGENCIA ARTIFICIAL</v>
      </c>
      <c r="D251" s="5" t="s">
        <v>1416</v>
      </c>
      <c r="E251" t="str">
        <f>Hoja1!D251</f>
        <v>SANCHEZ OCAMPO EDUARDO FRANCISCO</v>
      </c>
      <c r="F251" t="str">
        <f>Hoja1!E251</f>
        <v xml:space="preserve">ELECTRÓNICA </v>
      </c>
      <c r="G251" t="str">
        <f>Hoja1!F251</f>
        <v>MASCULINO</v>
      </c>
      <c r="H251">
        <f t="shared" si="14"/>
        <v>0</v>
      </c>
      <c r="I251" t="str">
        <f t="shared" si="15"/>
        <v>1250,'LICENCIATURA','INGENIERÍA EN INTELIGENCIA ARTIFICIAL','IA 2°','SANCHEZ OCAMPO EDUARDO FRANCISCO','ELECTRÓNICA ','MASCULINO',0</v>
      </c>
      <c r="J251" t="str">
        <f t="shared" si="16"/>
        <v>INSERT INTO profesores (id,nivel,carrera,grupo,nombre,materia,sexo,sello) VALUES (1250,'LICENCIATURA','INGENIERÍA EN INTELIGENCIA ARTIFICIAL','IA 2°','SANCHEZ OCAMPO EDUARDO FRANCISCO','ELECTRÓNICA ','MASCULINO',0);</v>
      </c>
    </row>
    <row r="252" spans="1:10" x14ac:dyDescent="0.25">
      <c r="A252">
        <f t="shared" si="17"/>
        <v>1251</v>
      </c>
      <c r="B252" s="1" t="s">
        <v>1</v>
      </c>
      <c r="C252" t="str">
        <f>Hoja1!B252</f>
        <v>INGENIERÍA EN INTELIGENCIA ARTIFICIAL</v>
      </c>
      <c r="D252" s="5" t="s">
        <v>1417</v>
      </c>
      <c r="E252" t="str">
        <f>Hoja1!D252</f>
        <v>ANGUIANO SUAREZ DEL REAL RAFAEL DE JESUS</v>
      </c>
      <c r="F252" t="str">
        <f>Hoja1!E252</f>
        <v xml:space="preserve">PROGRAMACIÓN PARA ENTORNOS VIRTUALES </v>
      </c>
      <c r="G252" t="str">
        <f>Hoja1!F252</f>
        <v>MASCULINO</v>
      </c>
      <c r="H252">
        <f t="shared" si="14"/>
        <v>0</v>
      </c>
      <c r="I252" t="str">
        <f t="shared" si="15"/>
        <v>1251,'LICENCIATURA','INGENIERÍA EN INTELIGENCIA ARTIFICIAL','IA 4°','ANGUIANO SUAREZ DEL REAL RAFAEL DE JESUS','PROGRAMACIÓN PARA ENTORNOS VIRTUALES ','MASCULINO',0</v>
      </c>
      <c r="J252" t="str">
        <f t="shared" si="16"/>
        <v>INSERT INTO profesores (id,nivel,carrera,grupo,nombre,materia,sexo,sello) VALUES (1251,'LICENCIATURA','INGENIERÍA EN INTELIGENCIA ARTIFICIAL','IA 4°','ANGUIANO SUAREZ DEL REAL RAFAEL DE JESUS','PROGRAMACIÓN PARA ENTORNOS VIRTUALES ','MASCULINO',0);</v>
      </c>
    </row>
    <row r="253" spans="1:10" x14ac:dyDescent="0.25">
      <c r="A253">
        <f t="shared" si="17"/>
        <v>1252</v>
      </c>
      <c r="B253" s="1" t="s">
        <v>1</v>
      </c>
      <c r="C253" t="str">
        <f>Hoja1!B253</f>
        <v>INGENIERÍA EN INTELIGENCIA ARTIFICIAL</v>
      </c>
      <c r="D253" s="5" t="s">
        <v>1417</v>
      </c>
      <c r="E253" t="str">
        <f>Hoja1!D253</f>
        <v>GARCIA HERNANDEZ  MARTIN</v>
      </c>
      <c r="F253" t="str">
        <f>Hoja1!E253</f>
        <v xml:space="preserve">ALGORITMOS INTELIGENTES </v>
      </c>
      <c r="G253" t="str">
        <f>Hoja1!F253</f>
        <v>MASCULINO</v>
      </c>
      <c r="H253">
        <f t="shared" si="14"/>
        <v>0</v>
      </c>
      <c r="I253" t="str">
        <f t="shared" si="15"/>
        <v>1252,'LICENCIATURA','INGENIERÍA EN INTELIGENCIA ARTIFICIAL','IA 4°','GARCIA HERNANDEZ  MARTIN','ALGORITMOS INTELIGENTES ','MASCULINO',0</v>
      </c>
      <c r="J253" t="str">
        <f t="shared" si="16"/>
        <v>INSERT INTO profesores (id,nivel,carrera,grupo,nombre,materia,sexo,sello) VALUES (1252,'LICENCIATURA','INGENIERÍA EN INTELIGENCIA ARTIFICIAL','IA 4°','GARCIA HERNANDEZ  MARTIN','ALGORITMOS INTELIGENTES ','MASCULINO',0);</v>
      </c>
    </row>
    <row r="254" spans="1:10" x14ac:dyDescent="0.25">
      <c r="A254">
        <f t="shared" si="17"/>
        <v>1253</v>
      </c>
      <c r="B254" s="1" t="s">
        <v>1</v>
      </c>
      <c r="C254" t="str">
        <f>Hoja1!B254</f>
        <v>INGENIERÍA EN INTELIGENCIA ARTIFICIAL</v>
      </c>
      <c r="D254" s="5" t="s">
        <v>1417</v>
      </c>
      <c r="E254" t="str">
        <f>Hoja1!D254</f>
        <v>GAYTAN GODINEZ LORENA</v>
      </c>
      <c r="F254" t="str">
        <f>Hoja1!E254</f>
        <v xml:space="preserve">ESTRUCTURA DE DATOS </v>
      </c>
      <c r="G254" t="str">
        <f>Hoja1!F254</f>
        <v>FEMENINO</v>
      </c>
      <c r="H254">
        <f t="shared" si="14"/>
        <v>0</v>
      </c>
      <c r="I254" t="str">
        <f t="shared" si="15"/>
        <v>1253,'LICENCIATURA','INGENIERÍA EN INTELIGENCIA ARTIFICIAL','IA 4°','GAYTAN GODINEZ LORENA','ESTRUCTURA DE DATOS ','FEMENINO',0</v>
      </c>
      <c r="J254" t="str">
        <f t="shared" si="16"/>
        <v>INSERT INTO profesores (id,nivel,carrera,grupo,nombre,materia,sexo,sello) VALUES (1253,'LICENCIATURA','INGENIERÍA EN INTELIGENCIA ARTIFICIAL','IA 4°','GAYTAN GODINEZ LORENA','ESTRUCTURA DE DATOS ','FEMENINO',0);</v>
      </c>
    </row>
    <row r="255" spans="1:10" x14ac:dyDescent="0.25">
      <c r="A255">
        <f t="shared" si="17"/>
        <v>1254</v>
      </c>
      <c r="B255" s="1" t="s">
        <v>1</v>
      </c>
      <c r="C255" t="str">
        <f>Hoja1!B255</f>
        <v>INGENIERÍA EN INTELIGENCIA ARTIFICIAL</v>
      </c>
      <c r="D255" s="5" t="s">
        <v>1417</v>
      </c>
      <c r="E255" t="str">
        <f>Hoja1!D255</f>
        <v>MADRIGAL RODRIGUEZ GRISELDA</v>
      </c>
      <c r="F255" t="str">
        <f>Hoja1!E255</f>
        <v xml:space="preserve">BASES DE DATOS NO RELACIONALES </v>
      </c>
      <c r="G255" t="str">
        <f>Hoja1!F255</f>
        <v>FEMENINO</v>
      </c>
      <c r="H255">
        <f t="shared" si="14"/>
        <v>0</v>
      </c>
      <c r="I255" t="str">
        <f t="shared" si="15"/>
        <v>1254,'LICENCIATURA','INGENIERÍA EN INTELIGENCIA ARTIFICIAL','IA 4°','MADRIGAL RODRIGUEZ GRISELDA','BASES DE DATOS NO RELACIONALES ','FEMENINO',0</v>
      </c>
      <c r="J255" t="str">
        <f t="shared" si="16"/>
        <v>INSERT INTO profesores (id,nivel,carrera,grupo,nombre,materia,sexo,sello) VALUES (1254,'LICENCIATURA','INGENIERÍA EN INTELIGENCIA ARTIFICIAL','IA 4°','MADRIGAL RODRIGUEZ GRISELDA','BASES DE DATOS NO RELACIONALES ','FEMENINO',0);</v>
      </c>
    </row>
    <row r="256" spans="1:10" x14ac:dyDescent="0.25">
      <c r="A256">
        <f t="shared" si="17"/>
        <v>1255</v>
      </c>
      <c r="B256" s="1" t="s">
        <v>1</v>
      </c>
      <c r="C256" t="str">
        <f>Hoja1!B256</f>
        <v>INGENIERÍA EN INTELIGENCIA ARTIFICIAL</v>
      </c>
      <c r="D256" s="5" t="s">
        <v>1417</v>
      </c>
      <c r="E256" t="str">
        <f>Hoja1!D256</f>
        <v>SANCHEZ OCAMPO EDUARDO FRANCISCO</v>
      </c>
      <c r="F256" t="str">
        <f>Hoja1!E256</f>
        <v>ANÁLISIS DE FOURIER</v>
      </c>
      <c r="G256" t="str">
        <f>Hoja1!F256</f>
        <v>MASCULINO</v>
      </c>
      <c r="H256">
        <f t="shared" si="14"/>
        <v>0</v>
      </c>
      <c r="I256" t="str">
        <f t="shared" si="15"/>
        <v>1255,'LICENCIATURA','INGENIERÍA EN INTELIGENCIA ARTIFICIAL','IA 4°','SANCHEZ OCAMPO EDUARDO FRANCISCO','ANÁLISIS DE FOURIER','MASCULINO',0</v>
      </c>
      <c r="J256" t="str">
        <f t="shared" si="16"/>
        <v>INSERT INTO profesores (id,nivel,carrera,grupo,nombre,materia,sexo,sello) VALUES (1255,'LICENCIATURA','INGENIERÍA EN INTELIGENCIA ARTIFICIAL','IA 4°','SANCHEZ OCAMPO EDUARDO FRANCISCO','ANÁLISIS DE FOURIER','MASCULINO',0);</v>
      </c>
    </row>
    <row r="257" spans="1:10" x14ac:dyDescent="0.25">
      <c r="A257">
        <f t="shared" si="17"/>
        <v>1256</v>
      </c>
      <c r="B257" s="1" t="s">
        <v>1</v>
      </c>
      <c r="C257" t="str">
        <f>Hoja1!B257</f>
        <v>INGENIERÍA EN INTELIGENCIA ARTIFICIAL</v>
      </c>
      <c r="D257" s="5" t="s">
        <v>1417</v>
      </c>
      <c r="E257" t="str">
        <f>Hoja1!D257</f>
        <v>TEJEDA DAVALOS FABIOLA</v>
      </c>
      <c r="F257" t="str">
        <f>Hoja1!E257</f>
        <v xml:space="preserve">ANÁLISIS Y DISEÑO DE SISTEMAS </v>
      </c>
      <c r="G257" t="str">
        <f>Hoja1!F257</f>
        <v>FEMENINO</v>
      </c>
      <c r="H257">
        <f t="shared" si="14"/>
        <v>0</v>
      </c>
      <c r="I257" t="str">
        <f t="shared" si="15"/>
        <v>1256,'LICENCIATURA','INGENIERÍA EN INTELIGENCIA ARTIFICIAL','IA 4°','TEJEDA DAVALOS FABIOLA','ANÁLISIS Y DISEÑO DE SISTEMAS ','FEMENINO',0</v>
      </c>
      <c r="J257" t="str">
        <f t="shared" si="16"/>
        <v>INSERT INTO profesores (id,nivel,carrera,grupo,nombre,materia,sexo,sello) VALUES (1256,'LICENCIATURA','INGENIERÍA EN INTELIGENCIA ARTIFICIAL','IA 4°','TEJEDA DAVALOS FABIOLA','ANÁLISIS Y DISEÑO DE SISTEMAS ','FEMENINO',0);</v>
      </c>
    </row>
    <row r="258" spans="1:10" x14ac:dyDescent="0.25">
      <c r="A258">
        <f t="shared" si="17"/>
        <v>1257</v>
      </c>
      <c r="B258" s="1" t="s">
        <v>1</v>
      </c>
      <c r="C258" t="str">
        <f>Hoja1!B258</f>
        <v>INGENIERIA INDUSTRIAL Y EN SISTEMAS ORGANIZACIONALES</v>
      </c>
      <c r="D258" s="5" t="s">
        <v>1404</v>
      </c>
      <c r="E258" t="str">
        <f>Hoja1!D258</f>
        <v>CALZADA SUAREZ LUIS ALONSO</v>
      </c>
      <c r="F258" t="str">
        <f>Hoja1!E258</f>
        <v>TEORIA DE SISTEMAS</v>
      </c>
      <c r="G258" t="str">
        <f>Hoja1!F258</f>
        <v>FEMENINO</v>
      </c>
      <c r="H258">
        <f t="shared" si="14"/>
        <v>0</v>
      </c>
      <c r="I258" t="str">
        <f t="shared" si="15"/>
        <v>1257,'LICENCIATURA','INGENIERIA INDUSTRIAL Y EN SISTEMAS ORGANIZACIONALES','IND 4°','CALZADA SUAREZ LUIS ALONSO','TEORIA DE SISTEMAS','FEMENINO',0</v>
      </c>
      <c r="J258" t="str">
        <f t="shared" si="16"/>
        <v>INSERT INTO profesores (id,nivel,carrera,grupo,nombre,materia,sexo,sello) VALUES (1257,'LICENCIATURA','INGENIERIA INDUSTRIAL Y EN SISTEMAS ORGANIZACIONALES','IND 4°','CALZADA SUAREZ LUIS ALONSO','TEORIA DE SISTEMAS','FEMENINO',0);</v>
      </c>
    </row>
    <row r="259" spans="1:10" x14ac:dyDescent="0.25">
      <c r="A259">
        <f t="shared" si="17"/>
        <v>1258</v>
      </c>
      <c r="B259" s="1" t="s">
        <v>1</v>
      </c>
      <c r="C259" t="str">
        <f>Hoja1!B259</f>
        <v>INGENIERIA INDUSTRIAL Y EN SISTEMAS ORGANIZACIONALES</v>
      </c>
      <c r="D259" s="5" t="s">
        <v>1404</v>
      </c>
      <c r="E259" t="str">
        <f>Hoja1!D259</f>
        <v>DE ALBA GONZALEZ JULIETA</v>
      </c>
      <c r="F259" t="str">
        <f>Hoja1!E259</f>
        <v>INGENIERIA ECONOMICA Y FINANZAS</v>
      </c>
      <c r="G259" t="str">
        <f>Hoja1!F259</f>
        <v>FEMENINO</v>
      </c>
      <c r="H259">
        <f t="shared" ref="H259:H322" si="18">IF(C259="MATERIAS INSTITUCIONALES",1,0)</f>
        <v>0</v>
      </c>
      <c r="I259" t="str">
        <f t="shared" ref="I259:I322" si="19">CONCATENATE(A259,",'",B259,"','",C259,"','",D259,",'",E259,"','",F259,"','",G259,"',",H259)</f>
        <v>1258,'LICENCIATURA','INGENIERIA INDUSTRIAL Y EN SISTEMAS ORGANIZACIONALES','IND 4°','DE ALBA GONZALEZ JULIETA','INGENIERIA ECONOMICA Y FINANZAS','FEMENINO',0</v>
      </c>
      <c r="J259" t="str">
        <f t="shared" ref="J259:J322" si="20">CONCATENATE($I$1,I259,");")</f>
        <v>INSERT INTO profesores (id,nivel,carrera,grupo,nombre,materia,sexo,sello) VALUES (1258,'LICENCIATURA','INGENIERIA INDUSTRIAL Y EN SISTEMAS ORGANIZACIONALES','IND 4°','DE ALBA GONZALEZ JULIETA','INGENIERIA ECONOMICA Y FINANZAS','FEMENINO',0);</v>
      </c>
    </row>
    <row r="260" spans="1:10" x14ac:dyDescent="0.25">
      <c r="A260">
        <f t="shared" ref="A260:A323" si="21">A259+1</f>
        <v>1259</v>
      </c>
      <c r="B260" s="1" t="s">
        <v>1</v>
      </c>
      <c r="C260" t="str">
        <f>Hoja1!B260</f>
        <v>INGENIERIA INDUSTRIAL Y EN SISTEMAS ORGANIZACIONALES</v>
      </c>
      <c r="D260" s="5" t="s">
        <v>1404</v>
      </c>
      <c r="E260" t="str">
        <f>Hoja1!D260</f>
        <v>FRANCO DE JESUS LEONARDO</v>
      </c>
      <c r="F260" t="str">
        <f>Hoja1!E260</f>
        <v>MAQUINAS Y HERRAMIENTAS</v>
      </c>
      <c r="G260" t="str">
        <f>Hoja1!F260</f>
        <v>MASCULINO</v>
      </c>
      <c r="H260">
        <f t="shared" si="18"/>
        <v>0</v>
      </c>
      <c r="I260" t="str">
        <f t="shared" si="19"/>
        <v>1259,'LICENCIATURA','INGENIERIA INDUSTRIAL Y EN SISTEMAS ORGANIZACIONALES','IND 4°','FRANCO DE JESUS LEONARDO','MAQUINAS Y HERRAMIENTAS','MASCULINO',0</v>
      </c>
      <c r="J260" t="str">
        <f t="shared" si="20"/>
        <v>INSERT INTO profesores (id,nivel,carrera,grupo,nombre,materia,sexo,sello) VALUES (1259,'LICENCIATURA','INGENIERIA INDUSTRIAL Y EN SISTEMAS ORGANIZACIONALES','IND 4°','FRANCO DE JESUS LEONARDO','MAQUINAS Y HERRAMIENTAS','MASCULINO',0);</v>
      </c>
    </row>
    <row r="261" spans="1:10" x14ac:dyDescent="0.25">
      <c r="A261">
        <f t="shared" si="21"/>
        <v>1260</v>
      </c>
      <c r="B261" s="1" t="s">
        <v>1</v>
      </c>
      <c r="C261" t="str">
        <f>Hoja1!B261</f>
        <v>INGENIERIA INDUSTRIAL Y EN SISTEMAS ORGANIZACIONALES</v>
      </c>
      <c r="D261" s="5" t="s">
        <v>1404</v>
      </c>
      <c r="E261" t="str">
        <f>Hoja1!D261</f>
        <v>MARTINEZ  ALVARADO JUAN CARLOS</v>
      </c>
      <c r="F261" t="str">
        <f>Hoja1!E261</f>
        <v>CALCULO MULTIVARIABLE</v>
      </c>
      <c r="G261" t="str">
        <f>Hoja1!F261</f>
        <v>MASCULINO</v>
      </c>
      <c r="H261">
        <f t="shared" si="18"/>
        <v>0</v>
      </c>
      <c r="I261" t="str">
        <f t="shared" si="19"/>
        <v>1260,'LICENCIATURA','INGENIERIA INDUSTRIAL Y EN SISTEMAS ORGANIZACIONALES','IND 4°','MARTINEZ  ALVARADO JUAN CARLOS','CALCULO MULTIVARIABLE','MASCULINO',0</v>
      </c>
      <c r="J261" t="str">
        <f t="shared" si="20"/>
        <v>INSERT INTO profesores (id,nivel,carrera,grupo,nombre,materia,sexo,sello) VALUES (1260,'LICENCIATURA','INGENIERIA INDUSTRIAL Y EN SISTEMAS ORGANIZACIONALES','IND 4°','MARTINEZ  ALVARADO JUAN CARLOS','CALCULO MULTIVARIABLE','MASCULINO',0);</v>
      </c>
    </row>
    <row r="262" spans="1:10" x14ac:dyDescent="0.25">
      <c r="A262">
        <f t="shared" si="21"/>
        <v>1261</v>
      </c>
      <c r="B262" s="1" t="s">
        <v>1</v>
      </c>
      <c r="C262" t="str">
        <f>Hoja1!B262</f>
        <v>INGENIERIA INDUSTRIAL Y EN SISTEMAS ORGANIZACIONALES</v>
      </c>
      <c r="D262" s="5" t="s">
        <v>1404</v>
      </c>
      <c r="E262" t="str">
        <f>Hoja1!D262</f>
        <v>QUEZADA NAVARRO VICTOR MANUEL</v>
      </c>
      <c r="F262" t="str">
        <f>Hoja1!E262</f>
        <v>ECOLOGIA INDUSTRIAL</v>
      </c>
      <c r="G262" t="str">
        <f>Hoja1!F262</f>
        <v>MASCULINO</v>
      </c>
      <c r="H262">
        <f t="shared" si="18"/>
        <v>0</v>
      </c>
      <c r="I262" t="str">
        <f t="shared" si="19"/>
        <v>1261,'LICENCIATURA','INGENIERIA INDUSTRIAL Y EN SISTEMAS ORGANIZACIONALES','IND 4°','QUEZADA NAVARRO VICTOR MANUEL','ECOLOGIA INDUSTRIAL','MASCULINO',0</v>
      </c>
      <c r="J262" t="str">
        <f t="shared" si="20"/>
        <v>INSERT INTO profesores (id,nivel,carrera,grupo,nombre,materia,sexo,sello) VALUES (1261,'LICENCIATURA','INGENIERIA INDUSTRIAL Y EN SISTEMAS ORGANIZACIONALES','IND 4°','QUEZADA NAVARRO VICTOR MANUEL','ECOLOGIA INDUSTRIAL','MASCULINO',0);</v>
      </c>
    </row>
    <row r="263" spans="1:10" x14ac:dyDescent="0.25">
      <c r="A263">
        <f t="shared" si="21"/>
        <v>1262</v>
      </c>
      <c r="B263" s="1" t="s">
        <v>1</v>
      </c>
      <c r="C263" t="str">
        <f>Hoja1!B263</f>
        <v>INGENIERIA INDUSTRIAL Y EN SISTEMAS ORGANIZACIONALES</v>
      </c>
      <c r="D263" s="5" t="s">
        <v>1404</v>
      </c>
      <c r="E263" t="str">
        <f>Hoja1!D263</f>
        <v>SANCHEZ OCAMPO EDUARDO FRANCISCO</v>
      </c>
      <c r="F263" t="str">
        <f>Hoja1!E263</f>
        <v>ELECTRONICA BASICA</v>
      </c>
      <c r="G263" t="str">
        <f>Hoja1!F263</f>
        <v>MASCULINO</v>
      </c>
      <c r="H263">
        <f t="shared" si="18"/>
        <v>0</v>
      </c>
      <c r="I263" t="str">
        <f t="shared" si="19"/>
        <v>1262,'LICENCIATURA','INGENIERIA INDUSTRIAL Y EN SISTEMAS ORGANIZACIONALES','IND 4°','SANCHEZ OCAMPO EDUARDO FRANCISCO','ELECTRONICA BASICA','MASCULINO',0</v>
      </c>
      <c r="J263" t="str">
        <f t="shared" si="20"/>
        <v>INSERT INTO profesores (id,nivel,carrera,grupo,nombre,materia,sexo,sello) VALUES (1262,'LICENCIATURA','INGENIERIA INDUSTRIAL Y EN SISTEMAS ORGANIZACIONALES','IND 4°','SANCHEZ OCAMPO EDUARDO FRANCISCO','ELECTRONICA BASICA','MASCULINO',0);</v>
      </c>
    </row>
    <row r="264" spans="1:10" x14ac:dyDescent="0.25">
      <c r="A264">
        <f t="shared" si="21"/>
        <v>1263</v>
      </c>
      <c r="B264" s="1" t="s">
        <v>1</v>
      </c>
      <c r="C264" t="str">
        <f>Hoja1!B264</f>
        <v>INGENIERIA INDUSTRIAL Y EN SISTEMAS ORGANIZACIONALES</v>
      </c>
      <c r="D264" s="5" t="s">
        <v>1404</v>
      </c>
      <c r="E264" t="str">
        <f>Hoja1!D264</f>
        <v>VELA TORRES FATIMA ALEJANDRA</v>
      </c>
      <c r="F264" t="str">
        <f>Hoja1!E264</f>
        <v>TERMODINAMICA</v>
      </c>
      <c r="G264" t="str">
        <f>Hoja1!F264</f>
        <v>FEMENINO</v>
      </c>
      <c r="H264">
        <f t="shared" si="18"/>
        <v>0</v>
      </c>
      <c r="I264" t="str">
        <f t="shared" si="19"/>
        <v>1263,'LICENCIATURA','INGENIERIA INDUSTRIAL Y EN SISTEMAS ORGANIZACIONALES','IND 4°','VELA TORRES FATIMA ALEJANDRA','TERMODINAMICA','FEMENINO',0</v>
      </c>
      <c r="J264" t="str">
        <f t="shared" si="20"/>
        <v>INSERT INTO profesores (id,nivel,carrera,grupo,nombre,materia,sexo,sello) VALUES (1263,'LICENCIATURA','INGENIERIA INDUSTRIAL Y EN SISTEMAS ORGANIZACIONALES','IND 4°','VELA TORRES FATIMA ALEJANDRA','TERMODINAMICA','FEMENINO',0);</v>
      </c>
    </row>
    <row r="265" spans="1:10" x14ac:dyDescent="0.25">
      <c r="A265">
        <f t="shared" si="21"/>
        <v>1264</v>
      </c>
      <c r="B265" s="1" t="s">
        <v>1</v>
      </c>
      <c r="C265" t="str">
        <f>Hoja1!B265</f>
        <v>INGENIERIA INDUSTRIAL Y EN SISTEMAS ORGANIZACIONALES</v>
      </c>
      <c r="D265" s="5" t="s">
        <v>1405</v>
      </c>
      <c r="E265" t="str">
        <f>Hoja1!D265</f>
        <v>CALZADA SUAREZ LUIS ALONSO</v>
      </c>
      <c r="F265" t="str">
        <f>Hoja1!E265</f>
        <v>TOPICOS DE ACTUALIDAD DE INGENIERIA INDUSTRIAL</v>
      </c>
      <c r="G265" t="str">
        <f>Hoja1!F265</f>
        <v>FEMENINO</v>
      </c>
      <c r="H265">
        <f t="shared" si="18"/>
        <v>0</v>
      </c>
      <c r="I265" t="str">
        <f t="shared" si="19"/>
        <v>1264,'LICENCIATURA','INGENIERIA INDUSTRIAL Y EN SISTEMAS ORGANIZACIONALES','IND 8°','CALZADA SUAREZ LUIS ALONSO','TOPICOS DE ACTUALIDAD DE INGENIERIA INDUSTRIAL','FEMENINO',0</v>
      </c>
      <c r="J265" t="str">
        <f t="shared" si="20"/>
        <v>INSERT INTO profesores (id,nivel,carrera,grupo,nombre,materia,sexo,sello) VALUES (1264,'LICENCIATURA','INGENIERIA INDUSTRIAL Y EN SISTEMAS ORGANIZACIONALES','IND 8°','CALZADA SUAREZ LUIS ALONSO','TOPICOS DE ACTUALIDAD DE INGENIERIA INDUSTRIAL','FEMENINO',0);</v>
      </c>
    </row>
    <row r="266" spans="1:10" x14ac:dyDescent="0.25">
      <c r="A266">
        <f t="shared" si="21"/>
        <v>1265</v>
      </c>
      <c r="B266" s="1" t="s">
        <v>1</v>
      </c>
      <c r="C266" t="str">
        <f>Hoja1!B266</f>
        <v>INGENIERIA INDUSTRIAL Y EN SISTEMAS ORGANIZACIONALES</v>
      </c>
      <c r="D266" s="5" t="s">
        <v>1405</v>
      </c>
      <c r="E266" t="str">
        <f>Hoja1!D266</f>
        <v>HERNANDEZ SALDIVAR LUIS FERNANDO</v>
      </c>
      <c r="F266" t="str">
        <f>Hoja1!E266</f>
        <v>ADMINISTRACION DE PLANTAS INDUSTRIALES</v>
      </c>
      <c r="G266" t="str">
        <f>Hoja1!F266</f>
        <v>MASCULINO</v>
      </c>
      <c r="H266">
        <f t="shared" si="18"/>
        <v>0</v>
      </c>
      <c r="I266" t="str">
        <f t="shared" si="19"/>
        <v>1265,'LICENCIATURA','INGENIERIA INDUSTRIAL Y EN SISTEMAS ORGANIZACIONALES','IND 8°','HERNANDEZ SALDIVAR LUIS FERNANDO','ADMINISTRACION DE PLANTAS INDUSTRIALES','MASCULINO',0</v>
      </c>
      <c r="J266" t="str">
        <f t="shared" si="20"/>
        <v>INSERT INTO profesores (id,nivel,carrera,grupo,nombre,materia,sexo,sello) VALUES (1265,'LICENCIATURA','INGENIERIA INDUSTRIAL Y EN SISTEMAS ORGANIZACIONALES','IND 8°','HERNANDEZ SALDIVAR LUIS FERNANDO','ADMINISTRACION DE PLANTAS INDUSTRIALES','MASCULINO',0);</v>
      </c>
    </row>
    <row r="267" spans="1:10" x14ac:dyDescent="0.25">
      <c r="A267">
        <f t="shared" si="21"/>
        <v>1266</v>
      </c>
      <c r="B267" s="1" t="s">
        <v>1</v>
      </c>
      <c r="C267" t="str">
        <f>Hoja1!B267</f>
        <v>INGENIERIA INDUSTRIAL Y EN SISTEMAS ORGANIZACIONALES</v>
      </c>
      <c r="D267" s="5" t="s">
        <v>1405</v>
      </c>
      <c r="E267" t="str">
        <f>Hoja1!D267</f>
        <v>MIRANDA MORTERA MARIA DOLORES</v>
      </c>
      <c r="F267" t="str">
        <f>Hoja1!E267</f>
        <v>EVALUACION DE PROYECTOS</v>
      </c>
      <c r="G267" t="str">
        <f>Hoja1!F267</f>
        <v>FEMENINO</v>
      </c>
      <c r="H267">
        <f t="shared" si="18"/>
        <v>0</v>
      </c>
      <c r="I267" t="str">
        <f t="shared" si="19"/>
        <v>1266,'LICENCIATURA','INGENIERIA INDUSTRIAL Y EN SISTEMAS ORGANIZACIONALES','IND 8°','MIRANDA MORTERA MARIA DOLORES','EVALUACION DE PROYECTOS','FEMENINO',0</v>
      </c>
      <c r="J267" t="str">
        <f t="shared" si="20"/>
        <v>INSERT INTO profesores (id,nivel,carrera,grupo,nombre,materia,sexo,sello) VALUES (1266,'LICENCIATURA','INGENIERIA INDUSTRIAL Y EN SISTEMAS ORGANIZACIONALES','IND 8°','MIRANDA MORTERA MARIA DOLORES','EVALUACION DE PROYECTOS','FEMENINO',0);</v>
      </c>
    </row>
    <row r="268" spans="1:10" x14ac:dyDescent="0.25">
      <c r="A268">
        <f t="shared" si="21"/>
        <v>1267</v>
      </c>
      <c r="B268" s="1" t="s">
        <v>1</v>
      </c>
      <c r="C268" t="str">
        <f>Hoja1!B268</f>
        <v>INGENIERIA INDUSTRIAL Y EN SISTEMAS ORGANIZACIONALES</v>
      </c>
      <c r="D268" s="5" t="s">
        <v>1405</v>
      </c>
      <c r="E268" t="str">
        <f>Hoja1!D268</f>
        <v>VELA TORRES FATIMA ALEJANDRA</v>
      </c>
      <c r="F268" t="str">
        <f>Hoja1!E268</f>
        <v>MANUFACTURA ESBELTA</v>
      </c>
      <c r="G268" t="str">
        <f>Hoja1!F268</f>
        <v>FEMENINO</v>
      </c>
      <c r="H268">
        <f t="shared" si="18"/>
        <v>0</v>
      </c>
      <c r="I268" t="str">
        <f t="shared" si="19"/>
        <v>1267,'LICENCIATURA','INGENIERIA INDUSTRIAL Y EN SISTEMAS ORGANIZACIONALES','IND 8°','VELA TORRES FATIMA ALEJANDRA','MANUFACTURA ESBELTA','FEMENINO',0</v>
      </c>
      <c r="J268" t="str">
        <f t="shared" si="20"/>
        <v>INSERT INTO profesores (id,nivel,carrera,grupo,nombre,materia,sexo,sello) VALUES (1267,'LICENCIATURA','INGENIERIA INDUSTRIAL Y EN SISTEMAS ORGANIZACIONALES','IND 8°','VELA TORRES FATIMA ALEJANDRA','MANUFACTURA ESBELTA','FEMENINO',0);</v>
      </c>
    </row>
    <row r="269" spans="1:10" x14ac:dyDescent="0.25">
      <c r="A269">
        <f t="shared" si="21"/>
        <v>1268</v>
      </c>
      <c r="B269" s="1" t="s">
        <v>1</v>
      </c>
      <c r="C269" t="str">
        <f>Hoja1!B269</f>
        <v>INGENIERIA INDUSTRIAL Y EN SISTEMAS ORGANIZACIONALES</v>
      </c>
      <c r="D269" s="5" t="s">
        <v>1405</v>
      </c>
      <c r="E269" t="str">
        <f>Hoja1!D269</f>
        <v>VELAZQUEZ SANTOS ALFREDO DE JESUS</v>
      </c>
      <c r="F269" t="str">
        <f>Hoja1!E269</f>
        <v>MEGA DATOS Y ANALITICA</v>
      </c>
      <c r="G269" t="str">
        <f>Hoja1!F269</f>
        <v>MASCULINO</v>
      </c>
      <c r="H269">
        <f t="shared" si="18"/>
        <v>0</v>
      </c>
      <c r="I269" t="str">
        <f t="shared" si="19"/>
        <v>1268,'LICENCIATURA','INGENIERIA INDUSTRIAL Y EN SISTEMAS ORGANIZACIONALES','IND 8°','VELAZQUEZ SANTOS ALFREDO DE JESUS','MEGA DATOS Y ANALITICA','MASCULINO',0</v>
      </c>
      <c r="J269" t="str">
        <f t="shared" si="20"/>
        <v>INSERT INTO profesores (id,nivel,carrera,grupo,nombre,materia,sexo,sello) VALUES (1268,'LICENCIATURA','INGENIERIA INDUSTRIAL Y EN SISTEMAS ORGANIZACIONALES','IND 8°','VELAZQUEZ SANTOS ALFREDO DE JESUS','MEGA DATOS Y ANALITICA','MASCULINO',0);</v>
      </c>
    </row>
    <row r="270" spans="1:10" x14ac:dyDescent="0.25">
      <c r="A270">
        <f t="shared" si="21"/>
        <v>1269</v>
      </c>
      <c r="B270" s="1" t="s">
        <v>1</v>
      </c>
      <c r="C270" t="str">
        <f>Hoja1!B270</f>
        <v>MERCADOTECNIA Y PUBLICIDAD</v>
      </c>
      <c r="D270" s="5" t="s">
        <v>1406</v>
      </c>
      <c r="E270" t="str">
        <f>Hoja1!D270</f>
        <v>ESCARCEGA GARCIA DE LEON MIGUEL ANGEL</v>
      </c>
      <c r="F270" t="str">
        <f>Hoja1!E270</f>
        <v>PLAN DE MARKETING</v>
      </c>
      <c r="G270" t="str">
        <f>Hoja1!F270</f>
        <v>MASCULINO</v>
      </c>
      <c r="H270">
        <f t="shared" si="18"/>
        <v>0</v>
      </c>
      <c r="I270" t="str">
        <f t="shared" si="19"/>
        <v>1269,'LICENCIATURA','MERCADOTECNIA Y PUBLICIDAD','MKT 6°','ESCARCEGA GARCIA DE LEON MIGUEL ANGEL','PLAN DE MARKETING','MASCULINO',0</v>
      </c>
      <c r="J270" t="str">
        <f t="shared" si="20"/>
        <v>INSERT INTO profesores (id,nivel,carrera,grupo,nombre,materia,sexo,sello) VALUES (1269,'LICENCIATURA','MERCADOTECNIA Y PUBLICIDAD','MKT 6°','ESCARCEGA GARCIA DE LEON MIGUEL ANGEL','PLAN DE MARKETING','MASCULINO',0);</v>
      </c>
    </row>
    <row r="271" spans="1:10" x14ac:dyDescent="0.25">
      <c r="A271">
        <f t="shared" si="21"/>
        <v>1270</v>
      </c>
      <c r="B271" s="1" t="s">
        <v>1</v>
      </c>
      <c r="C271" t="str">
        <f>Hoja1!B271</f>
        <v>MERCADOTECNIA Y PUBLICIDAD</v>
      </c>
      <c r="D271" s="5" t="s">
        <v>1406</v>
      </c>
      <c r="E271" t="str">
        <f>Hoja1!D271</f>
        <v>GARCIA RAIGOSA LUIS ANTONIO</v>
      </c>
      <c r="F271" t="str">
        <f>Hoja1!E271</f>
        <v>SEGUIMIENTO DE PROYECTO Y CUADRO DE MANDO INTEGRAL</v>
      </c>
      <c r="G271" t="str">
        <f>Hoja1!F271</f>
        <v>MASCULINO</v>
      </c>
      <c r="H271">
        <f t="shared" si="18"/>
        <v>0</v>
      </c>
      <c r="I271" t="str">
        <f t="shared" si="19"/>
        <v>1270,'LICENCIATURA','MERCADOTECNIA Y PUBLICIDAD','MKT 6°','GARCIA RAIGOSA LUIS ANTONIO','SEGUIMIENTO DE PROYECTO Y CUADRO DE MANDO INTEGRAL','MASCULINO',0</v>
      </c>
      <c r="J271" t="str">
        <f t="shared" si="20"/>
        <v>INSERT INTO profesores (id,nivel,carrera,grupo,nombre,materia,sexo,sello) VALUES (1270,'LICENCIATURA','MERCADOTECNIA Y PUBLICIDAD','MKT 6°','GARCIA RAIGOSA LUIS ANTONIO','SEGUIMIENTO DE PROYECTO Y CUADRO DE MANDO INTEGRAL','MASCULINO',0);</v>
      </c>
    </row>
    <row r="272" spans="1:10" x14ac:dyDescent="0.25">
      <c r="A272">
        <f t="shared" si="21"/>
        <v>1271</v>
      </c>
      <c r="B272" s="1" t="s">
        <v>1</v>
      </c>
      <c r="C272" t="str">
        <f>Hoja1!B272</f>
        <v>MERCADOTECNIA Y PUBLICIDAD</v>
      </c>
      <c r="D272" s="5" t="s">
        <v>1406</v>
      </c>
      <c r="E272" t="str">
        <f>Hoja1!D272</f>
        <v>GUILLEN LAGUNES JOSE JAVIER</v>
      </c>
      <c r="F272" t="str">
        <f>Hoja1!E272</f>
        <v>ESTRATEGIAS DE PRODUCTO Y PRECIO</v>
      </c>
      <c r="G272" t="str">
        <f>Hoja1!F272</f>
        <v>MASCULINO</v>
      </c>
      <c r="H272">
        <f t="shared" si="18"/>
        <v>0</v>
      </c>
      <c r="I272" t="str">
        <f t="shared" si="19"/>
        <v>1271,'LICENCIATURA','MERCADOTECNIA Y PUBLICIDAD','MKT 6°','GUILLEN LAGUNES JOSE JAVIER','ESTRATEGIAS DE PRODUCTO Y PRECIO','MASCULINO',0</v>
      </c>
      <c r="J272" t="str">
        <f t="shared" si="20"/>
        <v>INSERT INTO profesores (id,nivel,carrera,grupo,nombre,materia,sexo,sello) VALUES (1271,'LICENCIATURA','MERCADOTECNIA Y PUBLICIDAD','MKT 6°','GUILLEN LAGUNES JOSE JAVIER','ESTRATEGIAS DE PRODUCTO Y PRECIO','MASCULINO',0);</v>
      </c>
    </row>
    <row r="273" spans="1:10" x14ac:dyDescent="0.25">
      <c r="A273">
        <f t="shared" si="21"/>
        <v>1272</v>
      </c>
      <c r="B273" s="1" t="s">
        <v>1</v>
      </c>
      <c r="C273" t="str">
        <f>Hoja1!B273</f>
        <v>MERCADOTECNIA Y PUBLICIDAD</v>
      </c>
      <c r="D273" s="5" t="s">
        <v>1406</v>
      </c>
      <c r="E273" t="str">
        <f>Hoja1!D273</f>
        <v>LOZADA AGUILERA GONZALO ALBERTO</v>
      </c>
      <c r="F273" t="str">
        <f>Hoja1!E273</f>
        <v>MARKETING EXPERIENCIAL</v>
      </c>
      <c r="G273" t="str">
        <f>Hoja1!F273</f>
        <v>MASCULINO</v>
      </c>
      <c r="H273">
        <f t="shared" si="18"/>
        <v>0</v>
      </c>
      <c r="I273" t="str">
        <f t="shared" si="19"/>
        <v>1272,'LICENCIATURA','MERCADOTECNIA Y PUBLICIDAD','MKT 6°','LOZADA AGUILERA GONZALO ALBERTO','MARKETING EXPERIENCIAL','MASCULINO',0</v>
      </c>
      <c r="J273" t="str">
        <f t="shared" si="20"/>
        <v>INSERT INTO profesores (id,nivel,carrera,grupo,nombre,materia,sexo,sello) VALUES (1272,'LICENCIATURA','MERCADOTECNIA Y PUBLICIDAD','MKT 6°','LOZADA AGUILERA GONZALO ALBERTO','MARKETING EXPERIENCIAL','MASCULINO',0);</v>
      </c>
    </row>
    <row r="274" spans="1:10" x14ac:dyDescent="0.25">
      <c r="A274">
        <f t="shared" si="21"/>
        <v>1273</v>
      </c>
      <c r="B274" s="1" t="s">
        <v>1</v>
      </c>
      <c r="C274" t="str">
        <f>Hoja1!B274</f>
        <v>MERCADOTECNIA Y PUBLICIDAD</v>
      </c>
      <c r="D274" s="5" t="s">
        <v>1406</v>
      </c>
      <c r="E274" t="str">
        <f>Hoja1!D274</f>
        <v>OROZCO DIAZ BEATRIZ IRENE</v>
      </c>
      <c r="F274" t="str">
        <f>Hoja1!E274</f>
        <v>COMERCIO ELECTRONICO</v>
      </c>
      <c r="G274" t="str">
        <f>Hoja1!F274</f>
        <v>FEMENINO</v>
      </c>
      <c r="H274">
        <f t="shared" si="18"/>
        <v>0</v>
      </c>
      <c r="I274" t="str">
        <f t="shared" si="19"/>
        <v>1273,'LICENCIATURA','MERCADOTECNIA Y PUBLICIDAD','MKT 6°','OROZCO DIAZ BEATRIZ IRENE','COMERCIO ELECTRONICO','FEMENINO',0</v>
      </c>
      <c r="J274" t="str">
        <f t="shared" si="20"/>
        <v>INSERT INTO profesores (id,nivel,carrera,grupo,nombre,materia,sexo,sello) VALUES (1273,'LICENCIATURA','MERCADOTECNIA Y PUBLICIDAD','MKT 6°','OROZCO DIAZ BEATRIZ IRENE','COMERCIO ELECTRONICO','FEMENINO',0);</v>
      </c>
    </row>
    <row r="275" spans="1:10" x14ac:dyDescent="0.25">
      <c r="A275">
        <f t="shared" si="21"/>
        <v>1274</v>
      </c>
      <c r="B275" s="1" t="s">
        <v>1</v>
      </c>
      <c r="C275" t="str">
        <f>Hoja1!B275</f>
        <v>MERCADOTECNIA Y PUBLICIDAD</v>
      </c>
      <c r="D275" s="5" t="s">
        <v>1406</v>
      </c>
      <c r="E275" t="str">
        <f>Hoja1!D275</f>
        <v>VALENZUELA CHAVIRA JOSE DANIEL</v>
      </c>
      <c r="F275" t="str">
        <f>Hoja1!E275</f>
        <v>MERCADOTECNIA Y FINANZAS</v>
      </c>
      <c r="G275" t="str">
        <f>Hoja1!F275</f>
        <v>MASCULINO</v>
      </c>
      <c r="H275">
        <f t="shared" si="18"/>
        <v>0</v>
      </c>
      <c r="I275" t="str">
        <f t="shared" si="19"/>
        <v>1274,'LICENCIATURA','MERCADOTECNIA Y PUBLICIDAD','MKT 6°','VALENZUELA CHAVIRA JOSE DANIEL','MERCADOTECNIA Y FINANZAS','MASCULINO',0</v>
      </c>
      <c r="J275" t="str">
        <f t="shared" si="20"/>
        <v>INSERT INTO profesores (id,nivel,carrera,grupo,nombre,materia,sexo,sello) VALUES (1274,'LICENCIATURA','MERCADOTECNIA Y PUBLICIDAD','MKT 6°','VALENZUELA CHAVIRA JOSE DANIEL','MERCADOTECNIA Y FINANZAS','MASCULINO',0);</v>
      </c>
    </row>
    <row r="276" spans="1:10" x14ac:dyDescent="0.25">
      <c r="A276">
        <f t="shared" si="21"/>
        <v>1275</v>
      </c>
      <c r="B276" s="1" t="s">
        <v>1</v>
      </c>
      <c r="C276" t="str">
        <f>Hoja1!B276</f>
        <v>MERCADOTECNIA Y PUBLICIDAD</v>
      </c>
      <c r="D276" s="5" t="s">
        <v>1407</v>
      </c>
      <c r="E276" t="str">
        <f>Hoja1!D276</f>
        <v>GOMEZ LEDEZMA JESUS ALEJANDRO</v>
      </c>
      <c r="F276" t="str">
        <f>Hoja1!E276</f>
        <v>TALLER DE INNOVACION PUBLICITARIA</v>
      </c>
      <c r="G276" t="str">
        <f>Hoja1!F276</f>
        <v>MASCULINO</v>
      </c>
      <c r="H276">
        <f t="shared" si="18"/>
        <v>0</v>
      </c>
      <c r="I276" t="str">
        <f t="shared" si="19"/>
        <v>1275,'LICENCIATURA','MERCADOTECNIA Y PUBLICIDAD','MKT 8°','GOMEZ LEDEZMA JESUS ALEJANDRO','TALLER DE INNOVACION PUBLICITARIA','MASCULINO',0</v>
      </c>
      <c r="J276" t="str">
        <f t="shared" si="20"/>
        <v>INSERT INTO profesores (id,nivel,carrera,grupo,nombre,materia,sexo,sello) VALUES (1275,'LICENCIATURA','MERCADOTECNIA Y PUBLICIDAD','MKT 8°','GOMEZ LEDEZMA JESUS ALEJANDRO','TALLER DE INNOVACION PUBLICITARIA','MASCULINO',0);</v>
      </c>
    </row>
    <row r="277" spans="1:10" x14ac:dyDescent="0.25">
      <c r="A277">
        <f t="shared" si="21"/>
        <v>1276</v>
      </c>
      <c r="B277" s="1" t="s">
        <v>1</v>
      </c>
      <c r="C277" t="str">
        <f>Hoja1!B277</f>
        <v>MERCADOTECNIA Y PUBLICIDAD</v>
      </c>
      <c r="D277" s="5" t="s">
        <v>1407</v>
      </c>
      <c r="E277" t="str">
        <f>Hoja1!D277</f>
        <v>LOZADA AGUILERA GONZALO ALBERTO</v>
      </c>
      <c r="F277" t="str">
        <f>Hoja1!E277</f>
        <v>MARKETING SOCIAL Y POLITICO</v>
      </c>
      <c r="G277" t="str">
        <f>Hoja1!F277</f>
        <v>MASCULINO</v>
      </c>
      <c r="H277">
        <f t="shared" si="18"/>
        <v>0</v>
      </c>
      <c r="I277" t="str">
        <f t="shared" si="19"/>
        <v>1276,'LICENCIATURA','MERCADOTECNIA Y PUBLICIDAD','MKT 8°','LOZADA AGUILERA GONZALO ALBERTO','MARKETING SOCIAL Y POLITICO','MASCULINO',0</v>
      </c>
      <c r="J277" t="str">
        <f t="shared" si="20"/>
        <v>INSERT INTO profesores (id,nivel,carrera,grupo,nombre,materia,sexo,sello) VALUES (1276,'LICENCIATURA','MERCADOTECNIA Y PUBLICIDAD','MKT 8°','LOZADA AGUILERA GONZALO ALBERTO','MARKETING SOCIAL Y POLITICO','MASCULINO',0);</v>
      </c>
    </row>
    <row r="278" spans="1:10" x14ac:dyDescent="0.25">
      <c r="A278">
        <f t="shared" si="21"/>
        <v>1277</v>
      </c>
      <c r="B278" s="1" t="s">
        <v>1</v>
      </c>
      <c r="C278" t="str">
        <f>Hoja1!B278</f>
        <v>MERCADOTECNIA Y PUBLICIDAD</v>
      </c>
      <c r="D278" s="5" t="s">
        <v>1407</v>
      </c>
      <c r="E278" t="str">
        <f>Hoja1!D278</f>
        <v>ONTIVEROS MURGUIA MYRIAM DEL CARMEN</v>
      </c>
      <c r="F278" t="str">
        <f>Hoja1!E278</f>
        <v>NUEVAS TENDENCIAS EN LA MERCADOTECNIA</v>
      </c>
      <c r="G278" t="str">
        <f>Hoja1!F278</f>
        <v>FEMENINO</v>
      </c>
      <c r="H278">
        <f t="shared" si="18"/>
        <v>0</v>
      </c>
      <c r="I278" t="str">
        <f t="shared" si="19"/>
        <v>1277,'LICENCIATURA','MERCADOTECNIA Y PUBLICIDAD','MKT 8°','ONTIVEROS MURGUIA MYRIAM DEL CARMEN','NUEVAS TENDENCIAS EN LA MERCADOTECNIA','FEMENINO',0</v>
      </c>
      <c r="J278" t="str">
        <f t="shared" si="20"/>
        <v>INSERT INTO profesores (id,nivel,carrera,grupo,nombre,materia,sexo,sello) VALUES (1277,'LICENCIATURA','MERCADOTECNIA Y PUBLICIDAD','MKT 8°','ONTIVEROS MURGUIA MYRIAM DEL CARMEN','NUEVAS TENDENCIAS EN LA MERCADOTECNIA','FEMENINO',0);</v>
      </c>
    </row>
    <row r="279" spans="1:10" x14ac:dyDescent="0.25">
      <c r="A279">
        <f t="shared" si="21"/>
        <v>1278</v>
      </c>
      <c r="B279" s="1" t="s">
        <v>1</v>
      </c>
      <c r="C279" t="str">
        <f>Hoja1!B279</f>
        <v>MERCADOTECNIA Y PUBLICIDAD</v>
      </c>
      <c r="D279" s="5" t="s">
        <v>1407</v>
      </c>
      <c r="E279" t="str">
        <f>Hoja1!D279</f>
        <v>RODRIGUEZ ROMERO DENIS PAUL</v>
      </c>
      <c r="F279" t="str">
        <f>Hoja1!E279</f>
        <v>TALLER DE PRODUCCION DE CONTENIDOS</v>
      </c>
      <c r="G279" t="str">
        <f>Hoja1!F279</f>
        <v>MASCULINO</v>
      </c>
      <c r="H279">
        <f t="shared" si="18"/>
        <v>0</v>
      </c>
      <c r="I279" t="str">
        <f t="shared" si="19"/>
        <v>1278,'LICENCIATURA','MERCADOTECNIA Y PUBLICIDAD','MKT 8°','RODRIGUEZ ROMERO DENIS PAUL','TALLER DE PRODUCCION DE CONTENIDOS','MASCULINO',0</v>
      </c>
      <c r="J279" t="str">
        <f t="shared" si="20"/>
        <v>INSERT INTO profesores (id,nivel,carrera,grupo,nombre,materia,sexo,sello) VALUES (1278,'LICENCIATURA','MERCADOTECNIA Y PUBLICIDAD','MKT 8°','RODRIGUEZ ROMERO DENIS PAUL','TALLER DE PRODUCCION DE CONTENIDOS','MASCULINO',0);</v>
      </c>
    </row>
    <row r="280" spans="1:10" x14ac:dyDescent="0.25">
      <c r="A280">
        <f t="shared" si="21"/>
        <v>1279</v>
      </c>
      <c r="B280" s="1" t="s">
        <v>1</v>
      </c>
      <c r="C280" t="str">
        <f>Hoja1!B280</f>
        <v>MERCADOTECNIA Y PUBLICIDAD</v>
      </c>
      <c r="D280" s="5" t="s">
        <v>1407</v>
      </c>
      <c r="E280" t="str">
        <f>Hoja1!D280</f>
        <v>TOSCANO RENTERIA IRMA ARACELY</v>
      </c>
      <c r="F280" t="str">
        <f>Hoja1!E280</f>
        <v>ESTRATEGIAS DE MERCADOTECNIA INDUSTRIAL</v>
      </c>
      <c r="G280" t="str">
        <f>Hoja1!F280</f>
        <v>FEMENINO</v>
      </c>
      <c r="H280">
        <f t="shared" si="18"/>
        <v>0</v>
      </c>
      <c r="I280" t="str">
        <f t="shared" si="19"/>
        <v>1279,'LICENCIATURA','MERCADOTECNIA Y PUBLICIDAD','MKT 8°','TOSCANO RENTERIA IRMA ARACELY','ESTRATEGIAS DE MERCADOTECNIA INDUSTRIAL','FEMENINO',0</v>
      </c>
      <c r="J280" t="str">
        <f t="shared" si="20"/>
        <v>INSERT INTO profesores (id,nivel,carrera,grupo,nombre,materia,sexo,sello) VALUES (1279,'LICENCIATURA','MERCADOTECNIA Y PUBLICIDAD','MKT 8°','TOSCANO RENTERIA IRMA ARACELY','ESTRATEGIAS DE MERCADOTECNIA INDUSTRIAL','FEMENINO',0);</v>
      </c>
    </row>
    <row r="281" spans="1:10" x14ac:dyDescent="0.25">
      <c r="A281">
        <f t="shared" si="21"/>
        <v>1280</v>
      </c>
      <c r="B281" s="1" t="s">
        <v>1</v>
      </c>
      <c r="C281" t="str">
        <f>Hoja1!B281</f>
        <v>MERCADOTECNIA Y PUBLICIDAD</v>
      </c>
      <c r="D281" s="5" t="s">
        <v>1407</v>
      </c>
      <c r="E281" t="str">
        <f>Hoja1!D281</f>
        <v>VALENZUELA CHAVIRA JOSE DANIEL</v>
      </c>
      <c r="F281" t="str">
        <f>Hoja1!E281</f>
        <v>AUDITORIA EN MARKETING</v>
      </c>
      <c r="G281" t="str">
        <f>Hoja1!F281</f>
        <v>MASCULINO</v>
      </c>
      <c r="H281">
        <f t="shared" si="18"/>
        <v>0</v>
      </c>
      <c r="I281" t="str">
        <f t="shared" si="19"/>
        <v>1280,'LICENCIATURA','MERCADOTECNIA Y PUBLICIDAD','MKT 8°','VALENZUELA CHAVIRA JOSE DANIEL','AUDITORIA EN MARKETING','MASCULINO',0</v>
      </c>
      <c r="J281" t="str">
        <f t="shared" si="20"/>
        <v>INSERT INTO profesores (id,nivel,carrera,grupo,nombre,materia,sexo,sello) VALUES (1280,'LICENCIATURA','MERCADOTECNIA Y PUBLICIDAD','MKT 8°','VALENZUELA CHAVIRA JOSE DANIEL','AUDITORIA EN MARKETING','MASCULINO',0);</v>
      </c>
    </row>
    <row r="282" spans="1:10" x14ac:dyDescent="0.25">
      <c r="A282">
        <f t="shared" si="21"/>
        <v>1281</v>
      </c>
      <c r="B282" s="1" t="s">
        <v>1</v>
      </c>
      <c r="C282" t="str">
        <f>Hoja1!B282</f>
        <v>NUTRICION Y GASTRONOMIA</v>
      </c>
      <c r="D282" s="5" t="s">
        <v>1408</v>
      </c>
      <c r="E282" t="str">
        <f>Hoja1!D282</f>
        <v>ARTEAGA CARDONA HORACIO</v>
      </c>
      <c r="F282" t="str">
        <f>Hoja1!E282</f>
        <v>PANADERIA BASICA</v>
      </c>
      <c r="G282" t="str">
        <f>Hoja1!F282</f>
        <v>MASCULINO</v>
      </c>
      <c r="H282">
        <f t="shared" si="18"/>
        <v>0</v>
      </c>
      <c r="I282" t="str">
        <f t="shared" si="19"/>
        <v>1281,'LICENCIATURA','NUTRICION Y GASTRONOMIA','NUT 2°','ARTEAGA CARDONA HORACIO','PANADERIA BASICA','MASCULINO',0</v>
      </c>
      <c r="J282" t="str">
        <f t="shared" si="20"/>
        <v>INSERT INTO profesores (id,nivel,carrera,grupo,nombre,materia,sexo,sello) VALUES (1281,'LICENCIATURA','NUTRICION Y GASTRONOMIA','NUT 2°','ARTEAGA CARDONA HORACIO','PANADERIA BASICA','MASCULINO',0);</v>
      </c>
    </row>
    <row r="283" spans="1:10" x14ac:dyDescent="0.25">
      <c r="A283">
        <f t="shared" si="21"/>
        <v>1282</v>
      </c>
      <c r="B283" s="1" t="s">
        <v>1</v>
      </c>
      <c r="C283" t="str">
        <f>Hoja1!B283</f>
        <v>NUTRICION Y GASTRONOMIA</v>
      </c>
      <c r="D283" s="5" t="s">
        <v>1408</v>
      </c>
      <c r="E283" t="str">
        <f>Hoja1!D283</f>
        <v>BAROCIO RAMIREZ ANA KAREN</v>
      </c>
      <c r="F283" t="str">
        <f>Hoja1!E283</f>
        <v>EPIDEMIOLOGIA Y SALUD PUBLICA</v>
      </c>
      <c r="G283" t="str">
        <f>Hoja1!F283</f>
        <v>FEMENINO</v>
      </c>
      <c r="H283">
        <f t="shared" si="18"/>
        <v>0</v>
      </c>
      <c r="I283" t="str">
        <f t="shared" si="19"/>
        <v>1282,'LICENCIATURA','NUTRICION Y GASTRONOMIA','NUT 2°','BAROCIO RAMIREZ ANA KAREN','EPIDEMIOLOGIA Y SALUD PUBLICA','FEMENINO',0</v>
      </c>
      <c r="J283" t="str">
        <f t="shared" si="20"/>
        <v>INSERT INTO profesores (id,nivel,carrera,grupo,nombre,materia,sexo,sello) VALUES (1282,'LICENCIATURA','NUTRICION Y GASTRONOMIA','NUT 2°','BAROCIO RAMIREZ ANA KAREN','EPIDEMIOLOGIA Y SALUD PUBLICA','FEMENINO',0);</v>
      </c>
    </row>
    <row r="284" spans="1:10" x14ac:dyDescent="0.25">
      <c r="A284">
        <f t="shared" si="21"/>
        <v>1283</v>
      </c>
      <c r="B284" s="1" t="s">
        <v>1</v>
      </c>
      <c r="C284" t="str">
        <f>Hoja1!B284</f>
        <v>NUTRICION Y GASTRONOMIA</v>
      </c>
      <c r="D284" s="5" t="s">
        <v>1408</v>
      </c>
      <c r="E284" t="str">
        <f>Hoja1!D284</f>
        <v>DOMINGUEZ LOPEZ MARIA ALEJANDRA</v>
      </c>
      <c r="F284" t="str">
        <f>Hoja1!E284</f>
        <v>MICROBIOLOGIA</v>
      </c>
      <c r="G284" t="str">
        <f>Hoja1!F284</f>
        <v>FEMENINO</v>
      </c>
      <c r="H284">
        <f t="shared" si="18"/>
        <v>0</v>
      </c>
      <c r="I284" t="str">
        <f t="shared" si="19"/>
        <v>1283,'LICENCIATURA','NUTRICION Y GASTRONOMIA','NUT 2°','DOMINGUEZ LOPEZ MARIA ALEJANDRA','MICROBIOLOGIA','FEMENINO',0</v>
      </c>
      <c r="J284" t="str">
        <f t="shared" si="20"/>
        <v>INSERT INTO profesores (id,nivel,carrera,grupo,nombre,materia,sexo,sello) VALUES (1283,'LICENCIATURA','NUTRICION Y GASTRONOMIA','NUT 2°','DOMINGUEZ LOPEZ MARIA ALEJANDRA','MICROBIOLOGIA','FEMENINO',0);</v>
      </c>
    </row>
    <row r="285" spans="1:10" x14ac:dyDescent="0.25">
      <c r="A285">
        <f t="shared" si="21"/>
        <v>1284</v>
      </c>
      <c r="B285" s="1" t="s">
        <v>1</v>
      </c>
      <c r="C285" t="str">
        <f>Hoja1!B285</f>
        <v>NUTRICION Y GASTRONOMIA</v>
      </c>
      <c r="D285" s="5" t="s">
        <v>1408</v>
      </c>
      <c r="E285" t="str">
        <f>Hoja1!D285</f>
        <v>GONZALEZ GONZALEZ ENRIQUE</v>
      </c>
      <c r="F285" t="str">
        <f>Hoja1!E285</f>
        <v>ANATOMIA Y FISIOLOGIA II</v>
      </c>
      <c r="G285" t="str">
        <f>Hoja1!F285</f>
        <v>MASCULINO</v>
      </c>
      <c r="H285">
        <f t="shared" si="18"/>
        <v>0</v>
      </c>
      <c r="I285" t="str">
        <f t="shared" si="19"/>
        <v>1284,'LICENCIATURA','NUTRICION Y GASTRONOMIA','NUT 2°','GONZALEZ GONZALEZ ENRIQUE','ANATOMIA Y FISIOLOGIA II','MASCULINO',0</v>
      </c>
      <c r="J285" t="str">
        <f t="shared" si="20"/>
        <v>INSERT INTO profesores (id,nivel,carrera,grupo,nombre,materia,sexo,sello) VALUES (1284,'LICENCIATURA','NUTRICION Y GASTRONOMIA','NUT 2°','GONZALEZ GONZALEZ ENRIQUE','ANATOMIA Y FISIOLOGIA II','MASCULINO',0);</v>
      </c>
    </row>
    <row r="286" spans="1:10" x14ac:dyDescent="0.25">
      <c r="A286">
        <f t="shared" si="21"/>
        <v>1285</v>
      </c>
      <c r="B286" s="1" t="s">
        <v>1</v>
      </c>
      <c r="C286" t="str">
        <f>Hoja1!B286</f>
        <v>NUTRICION Y GASTRONOMIA</v>
      </c>
      <c r="D286" s="5" t="s">
        <v>1408</v>
      </c>
      <c r="E286" t="str">
        <f>Hoja1!D286</f>
        <v>RIVAS MIRANDA JUAN</v>
      </c>
      <c r="F286" t="str">
        <f>Hoja1!E286</f>
        <v>QUIMICA DE LOS ALIMENTOS</v>
      </c>
      <c r="G286" t="str">
        <f>Hoja1!F286</f>
        <v>MASCULINO</v>
      </c>
      <c r="H286">
        <f t="shared" si="18"/>
        <v>0</v>
      </c>
      <c r="I286" t="str">
        <f t="shared" si="19"/>
        <v>1285,'LICENCIATURA','NUTRICION Y GASTRONOMIA','NUT 2°','RIVAS MIRANDA JUAN','QUIMICA DE LOS ALIMENTOS','MASCULINO',0</v>
      </c>
      <c r="J286" t="str">
        <f t="shared" si="20"/>
        <v>INSERT INTO profesores (id,nivel,carrera,grupo,nombre,materia,sexo,sello) VALUES (1285,'LICENCIATURA','NUTRICION Y GASTRONOMIA','NUT 2°','RIVAS MIRANDA JUAN','QUIMICA DE LOS ALIMENTOS','MASCULINO',0);</v>
      </c>
    </row>
    <row r="287" spans="1:10" x14ac:dyDescent="0.25">
      <c r="A287">
        <f t="shared" si="21"/>
        <v>1286</v>
      </c>
      <c r="B287" s="1" t="s">
        <v>1</v>
      </c>
      <c r="C287" t="str">
        <f>Hoja1!B287</f>
        <v>NUTRICION Y GASTRONOMIA</v>
      </c>
      <c r="D287" s="5" t="s">
        <v>1408</v>
      </c>
      <c r="E287" t="str">
        <f>Hoja1!D287</f>
        <v>VELAZQUEZ NAVARRETE ALMA DANIELA</v>
      </c>
      <c r="F287" t="str">
        <f>Hoja1!E287</f>
        <v>MANEJO DE CARNES</v>
      </c>
      <c r="G287" t="str">
        <f>Hoja1!F287</f>
        <v>FEMENINO</v>
      </c>
      <c r="H287">
        <f t="shared" si="18"/>
        <v>0</v>
      </c>
      <c r="I287" t="str">
        <f t="shared" si="19"/>
        <v>1286,'LICENCIATURA','NUTRICION Y GASTRONOMIA','NUT 2°','VELAZQUEZ NAVARRETE ALMA DANIELA','MANEJO DE CARNES','FEMENINO',0</v>
      </c>
      <c r="J287" t="str">
        <f t="shared" si="20"/>
        <v>INSERT INTO profesores (id,nivel,carrera,grupo,nombre,materia,sexo,sello) VALUES (1286,'LICENCIATURA','NUTRICION Y GASTRONOMIA','NUT 2°','VELAZQUEZ NAVARRETE ALMA DANIELA','MANEJO DE CARNES','FEMENINO',0);</v>
      </c>
    </row>
    <row r="288" spans="1:10" x14ac:dyDescent="0.25">
      <c r="A288">
        <f t="shared" si="21"/>
        <v>1287</v>
      </c>
      <c r="B288" s="1" t="s">
        <v>1</v>
      </c>
      <c r="C288" t="str">
        <f>Hoja1!B288</f>
        <v>NUTRICION Y GASTRONOMIA</v>
      </c>
      <c r="D288" s="5" t="s">
        <v>1409</v>
      </c>
      <c r="E288" t="str">
        <f>Hoja1!D288</f>
        <v>CAVALLO  MAZZITELLI HERNAN ANDRES</v>
      </c>
      <c r="F288" t="str">
        <f>Hoja1!E288</f>
        <v>CHARCUTERIA</v>
      </c>
      <c r="G288" t="str">
        <f>Hoja1!F288</f>
        <v>MASCULINO</v>
      </c>
      <c r="H288">
        <f t="shared" si="18"/>
        <v>0</v>
      </c>
      <c r="I288" t="str">
        <f t="shared" si="19"/>
        <v>1287,'LICENCIATURA','NUTRICION Y GASTRONOMIA','NUT 4°','CAVALLO  MAZZITELLI HERNAN ANDRES','CHARCUTERIA','MASCULINO',0</v>
      </c>
      <c r="J288" t="str">
        <f t="shared" si="20"/>
        <v>INSERT INTO profesores (id,nivel,carrera,grupo,nombre,materia,sexo,sello) VALUES (1287,'LICENCIATURA','NUTRICION Y GASTRONOMIA','NUT 4°','CAVALLO  MAZZITELLI HERNAN ANDRES','CHARCUTERIA','MASCULINO',0);</v>
      </c>
    </row>
    <row r="289" spans="1:10" x14ac:dyDescent="0.25">
      <c r="A289">
        <f t="shared" si="21"/>
        <v>1288</v>
      </c>
      <c r="B289" s="1" t="s">
        <v>1</v>
      </c>
      <c r="C289" t="str">
        <f>Hoja1!B289</f>
        <v>NUTRICION Y GASTRONOMIA</v>
      </c>
      <c r="D289" s="5" t="s">
        <v>1409</v>
      </c>
      <c r="E289" t="str">
        <f>Hoja1!D289</f>
        <v>GONZALEZ ALVAREZ MARIA TERESA</v>
      </c>
      <c r="F289" t="str">
        <f>Hoja1!E289</f>
        <v>EVALUACION DEL ESTADO NUTRICIO</v>
      </c>
      <c r="G289" t="str">
        <f>Hoja1!F289</f>
        <v>FEMENINO</v>
      </c>
      <c r="H289">
        <f t="shared" si="18"/>
        <v>0</v>
      </c>
      <c r="I289" t="str">
        <f t="shared" si="19"/>
        <v>1288,'LICENCIATURA','NUTRICION Y GASTRONOMIA','NUT 4°','GONZALEZ ALVAREZ MARIA TERESA','EVALUACION DEL ESTADO NUTRICIO','FEMENINO',0</v>
      </c>
      <c r="J289" t="str">
        <f t="shared" si="20"/>
        <v>INSERT INTO profesores (id,nivel,carrera,grupo,nombre,materia,sexo,sello) VALUES (1288,'LICENCIATURA','NUTRICION Y GASTRONOMIA','NUT 4°','GONZALEZ ALVAREZ MARIA TERESA','EVALUACION DEL ESTADO NUTRICIO','FEMENINO',0);</v>
      </c>
    </row>
    <row r="290" spans="1:10" x14ac:dyDescent="0.25">
      <c r="A290">
        <f t="shared" si="21"/>
        <v>1289</v>
      </c>
      <c r="B290" s="1" t="s">
        <v>1</v>
      </c>
      <c r="C290" t="str">
        <f>Hoja1!B290</f>
        <v>NUTRICION Y GASTRONOMIA</v>
      </c>
      <c r="D290" s="5" t="s">
        <v>1409</v>
      </c>
      <c r="E290" t="str">
        <f>Hoja1!D290</f>
        <v>RIVAS MELANO MARLEN</v>
      </c>
      <c r="F290" t="str">
        <f>Hoja1!E290</f>
        <v>COCINA MEDITERRANEA I</v>
      </c>
      <c r="G290" t="str">
        <f>Hoja1!F290</f>
        <v>FEMENINO</v>
      </c>
      <c r="H290">
        <f t="shared" si="18"/>
        <v>0</v>
      </c>
      <c r="I290" t="str">
        <f t="shared" si="19"/>
        <v>1289,'LICENCIATURA','NUTRICION Y GASTRONOMIA','NUT 4°','RIVAS MELANO MARLEN','COCINA MEDITERRANEA I','FEMENINO',0</v>
      </c>
      <c r="J290" t="str">
        <f t="shared" si="20"/>
        <v>INSERT INTO profesores (id,nivel,carrera,grupo,nombre,materia,sexo,sello) VALUES (1289,'LICENCIATURA','NUTRICION Y GASTRONOMIA','NUT 4°','RIVAS MELANO MARLEN','COCINA MEDITERRANEA I','FEMENINO',0);</v>
      </c>
    </row>
    <row r="291" spans="1:10" x14ac:dyDescent="0.25">
      <c r="A291">
        <f t="shared" si="21"/>
        <v>1290</v>
      </c>
      <c r="B291" s="1" t="s">
        <v>1</v>
      </c>
      <c r="C291" t="str">
        <f>Hoja1!B291</f>
        <v>NUTRICION Y GASTRONOMIA</v>
      </c>
      <c r="D291" s="5" t="s">
        <v>1409</v>
      </c>
      <c r="E291" t="str">
        <f>Hoja1!D291</f>
        <v>RIVAS MIRANDA JUAN</v>
      </c>
      <c r="F291" t="str">
        <f>Hoja1!E291</f>
        <v>LACTEOS</v>
      </c>
      <c r="G291" t="str">
        <f>Hoja1!F291</f>
        <v>MASCULINO</v>
      </c>
      <c r="H291">
        <f t="shared" si="18"/>
        <v>0</v>
      </c>
      <c r="I291" t="str">
        <f t="shared" si="19"/>
        <v>1290,'LICENCIATURA','NUTRICION Y GASTRONOMIA','NUT 4°','RIVAS MIRANDA JUAN','LACTEOS','MASCULINO',0</v>
      </c>
      <c r="J291" t="str">
        <f t="shared" si="20"/>
        <v>INSERT INTO profesores (id,nivel,carrera,grupo,nombre,materia,sexo,sello) VALUES (1290,'LICENCIATURA','NUTRICION Y GASTRONOMIA','NUT 4°','RIVAS MIRANDA JUAN','LACTEOS','MASCULINO',0);</v>
      </c>
    </row>
    <row r="292" spans="1:10" x14ac:dyDescent="0.25">
      <c r="A292">
        <f t="shared" si="21"/>
        <v>1291</v>
      </c>
      <c r="B292" s="1" t="s">
        <v>1</v>
      </c>
      <c r="C292" t="str">
        <f>Hoja1!B292</f>
        <v>NUTRICION Y GASTRONOMIA</v>
      </c>
      <c r="D292" s="5" t="s">
        <v>1409</v>
      </c>
      <c r="E292" t="str">
        <f>Hoja1!D292</f>
        <v>RODRIGUEZ LOPEZ EDER MANUEL</v>
      </c>
      <c r="F292" t="str">
        <f>Hoja1!E292</f>
        <v>ENDOCRINOLOGIA</v>
      </c>
      <c r="G292" t="str">
        <f>Hoja1!F292</f>
        <v>MASCULINO</v>
      </c>
      <c r="H292">
        <f t="shared" si="18"/>
        <v>0</v>
      </c>
      <c r="I292" t="str">
        <f t="shared" si="19"/>
        <v>1291,'LICENCIATURA','NUTRICION Y GASTRONOMIA','NUT 4°','RODRIGUEZ LOPEZ EDER MANUEL','ENDOCRINOLOGIA','MASCULINO',0</v>
      </c>
      <c r="J292" t="str">
        <f t="shared" si="20"/>
        <v>INSERT INTO profesores (id,nivel,carrera,grupo,nombre,materia,sexo,sello) VALUES (1291,'LICENCIATURA','NUTRICION Y GASTRONOMIA','NUT 4°','RODRIGUEZ LOPEZ EDER MANUEL','ENDOCRINOLOGIA','MASCULINO',0);</v>
      </c>
    </row>
    <row r="293" spans="1:10" x14ac:dyDescent="0.25">
      <c r="A293">
        <f t="shared" si="21"/>
        <v>1292</v>
      </c>
      <c r="B293" s="1" t="s">
        <v>1</v>
      </c>
      <c r="C293" t="str">
        <f>Hoja1!B293</f>
        <v>NUTRICION Y GASTRONOMIA</v>
      </c>
      <c r="D293" s="5" t="s">
        <v>1409</v>
      </c>
      <c r="E293" t="str">
        <f>Hoja1!D293</f>
        <v>SALCEDO ROSALES ERIKA IVETTE</v>
      </c>
      <c r="F293" t="str">
        <f>Hoja1!E293</f>
        <v>PSICOLOGIA EN NUTRICION</v>
      </c>
      <c r="G293" t="str">
        <f>Hoja1!F293</f>
        <v>FEMENINO</v>
      </c>
      <c r="H293">
        <f t="shared" si="18"/>
        <v>0</v>
      </c>
      <c r="I293" t="str">
        <f t="shared" si="19"/>
        <v>1292,'LICENCIATURA','NUTRICION Y GASTRONOMIA','NUT 4°','SALCEDO ROSALES ERIKA IVETTE','PSICOLOGIA EN NUTRICION','FEMENINO',0</v>
      </c>
      <c r="J293" t="str">
        <f t="shared" si="20"/>
        <v>INSERT INTO profesores (id,nivel,carrera,grupo,nombre,materia,sexo,sello) VALUES (1292,'LICENCIATURA','NUTRICION Y GASTRONOMIA','NUT 4°','SALCEDO ROSALES ERIKA IVETTE','PSICOLOGIA EN NUTRICION','FEMENINO',0);</v>
      </c>
    </row>
    <row r="294" spans="1:10" x14ac:dyDescent="0.25">
      <c r="A294">
        <f t="shared" si="21"/>
        <v>1293</v>
      </c>
      <c r="B294" s="1" t="s">
        <v>1</v>
      </c>
      <c r="C294" t="str">
        <f>Hoja1!B294</f>
        <v>NUTRICION Y GASTRONOMIA</v>
      </c>
      <c r="D294" s="5" t="s">
        <v>1409</v>
      </c>
      <c r="E294" t="str">
        <f>Hoja1!D294</f>
        <v>VEGA ROMAN CITLALIN</v>
      </c>
      <c r="F294" t="str">
        <f>Hoja1!E294</f>
        <v>FARMACOLOGIA</v>
      </c>
      <c r="G294" t="str">
        <f>Hoja1!F294</f>
        <v>FEMENINO</v>
      </c>
      <c r="H294">
        <f t="shared" si="18"/>
        <v>0</v>
      </c>
      <c r="I294" t="str">
        <f t="shared" si="19"/>
        <v>1293,'LICENCIATURA','NUTRICION Y GASTRONOMIA','NUT 4°','VEGA ROMAN CITLALIN','FARMACOLOGIA','FEMENINO',0</v>
      </c>
      <c r="J294" t="str">
        <f t="shared" si="20"/>
        <v>INSERT INTO profesores (id,nivel,carrera,grupo,nombre,materia,sexo,sello) VALUES (1293,'LICENCIATURA','NUTRICION Y GASTRONOMIA','NUT 4°','VEGA ROMAN CITLALIN','FARMACOLOGIA','FEMENINO',0);</v>
      </c>
    </row>
    <row r="295" spans="1:10" x14ac:dyDescent="0.25">
      <c r="A295">
        <f t="shared" si="21"/>
        <v>1294</v>
      </c>
      <c r="B295" s="1" t="s">
        <v>1</v>
      </c>
      <c r="C295" t="str">
        <f>Hoja1!B295</f>
        <v>NUTRICION Y GASTRONOMIA</v>
      </c>
      <c r="D295" s="5" t="s">
        <v>1410</v>
      </c>
      <c r="E295" t="str">
        <f>Hoja1!D295</f>
        <v>CAMACHO BUENROSTRO DENNIS</v>
      </c>
      <c r="F295" t="str">
        <f>Hoja1!E295</f>
        <v>NUTRICION EN GINECOLOGIA Y PEDIATRIA</v>
      </c>
      <c r="G295" t="str">
        <f>Hoja1!F295</f>
        <v>FEMENINO</v>
      </c>
      <c r="H295">
        <f t="shared" si="18"/>
        <v>0</v>
      </c>
      <c r="I295" t="str">
        <f t="shared" si="19"/>
        <v>1294,'LICENCIATURA','NUTRICION Y GASTRONOMIA','NUT 6°','CAMACHO BUENROSTRO DENNIS','NUTRICION EN GINECOLOGIA Y PEDIATRIA','FEMENINO',0</v>
      </c>
      <c r="J295" t="str">
        <f t="shared" si="20"/>
        <v>INSERT INTO profesores (id,nivel,carrera,grupo,nombre,materia,sexo,sello) VALUES (1294,'LICENCIATURA','NUTRICION Y GASTRONOMIA','NUT 6°','CAMACHO BUENROSTRO DENNIS','NUTRICION EN GINECOLOGIA Y PEDIATRIA','FEMENINO',0);</v>
      </c>
    </row>
    <row r="296" spans="1:10" x14ac:dyDescent="0.25">
      <c r="A296">
        <f t="shared" si="21"/>
        <v>1295</v>
      </c>
      <c r="B296" s="1" t="s">
        <v>1</v>
      </c>
      <c r="C296" t="str">
        <f>Hoja1!B296</f>
        <v>NUTRICION Y GASTRONOMIA</v>
      </c>
      <c r="D296" s="5" t="s">
        <v>1410</v>
      </c>
      <c r="E296" t="str">
        <f>Hoja1!D296</f>
        <v>MIRANDA MORTERA MARIA DOLORES</v>
      </c>
      <c r="F296" t="str">
        <f>Hoja1!E296</f>
        <v>ADMINISTRACION DE SERVICIOS ALIMENTICIOS</v>
      </c>
      <c r="G296" t="str">
        <f>Hoja1!F296</f>
        <v>FEMENINO</v>
      </c>
      <c r="H296">
        <f t="shared" si="18"/>
        <v>0</v>
      </c>
      <c r="I296" t="str">
        <f t="shared" si="19"/>
        <v>1295,'LICENCIATURA','NUTRICION Y GASTRONOMIA','NUT 6°','MIRANDA MORTERA MARIA DOLORES','ADMINISTRACION DE SERVICIOS ALIMENTICIOS','FEMENINO',0</v>
      </c>
      <c r="J296" t="str">
        <f t="shared" si="20"/>
        <v>INSERT INTO profesores (id,nivel,carrera,grupo,nombre,materia,sexo,sello) VALUES (1295,'LICENCIATURA','NUTRICION Y GASTRONOMIA','NUT 6°','MIRANDA MORTERA MARIA DOLORES','ADMINISTRACION DE SERVICIOS ALIMENTICIOS','FEMENINO',0);</v>
      </c>
    </row>
    <row r="297" spans="1:10" x14ac:dyDescent="0.25">
      <c r="A297">
        <f t="shared" si="21"/>
        <v>1296</v>
      </c>
      <c r="B297" s="1" t="s">
        <v>1</v>
      </c>
      <c r="C297" t="str">
        <f>Hoja1!B297</f>
        <v>NUTRICION Y GASTRONOMIA</v>
      </c>
      <c r="D297" s="5" t="s">
        <v>1410</v>
      </c>
      <c r="E297" t="str">
        <f>Hoja1!D297</f>
        <v>MORENO TERAN LIZETTE SARAI</v>
      </c>
      <c r="F297" t="str">
        <f>Hoja1!E297</f>
        <v>TALLER DE ORIENTACION ALIMENTARIA</v>
      </c>
      <c r="G297" t="str">
        <f>Hoja1!F297</f>
        <v>FEMENINO</v>
      </c>
      <c r="H297">
        <f t="shared" si="18"/>
        <v>0</v>
      </c>
      <c r="I297" t="str">
        <f t="shared" si="19"/>
        <v>1296,'LICENCIATURA','NUTRICION Y GASTRONOMIA','NUT 6°','MORENO TERAN LIZETTE SARAI','TALLER DE ORIENTACION ALIMENTARIA','FEMENINO',0</v>
      </c>
      <c r="J297" t="str">
        <f t="shared" si="20"/>
        <v>INSERT INTO profesores (id,nivel,carrera,grupo,nombre,materia,sexo,sello) VALUES (1296,'LICENCIATURA','NUTRICION Y GASTRONOMIA','NUT 6°','MORENO TERAN LIZETTE SARAI','TALLER DE ORIENTACION ALIMENTARIA','FEMENINO',0);</v>
      </c>
    </row>
    <row r="298" spans="1:10" x14ac:dyDescent="0.25">
      <c r="A298">
        <f t="shared" si="21"/>
        <v>1297</v>
      </c>
      <c r="B298" s="1" t="s">
        <v>1</v>
      </c>
      <c r="C298" t="str">
        <f>Hoja1!B298</f>
        <v>NUTRICION Y GASTRONOMIA</v>
      </c>
      <c r="D298" s="5" t="s">
        <v>1410</v>
      </c>
      <c r="E298" t="str">
        <f>Hoja1!D298</f>
        <v>PEÑA CAMACHO RODRIGO</v>
      </c>
      <c r="F298" t="str">
        <f>Hoja1!E298</f>
        <v>NUTRICION CLINICA I</v>
      </c>
      <c r="G298" t="str">
        <f>Hoja1!F298</f>
        <v>MASCULINO</v>
      </c>
      <c r="H298">
        <f t="shared" si="18"/>
        <v>0</v>
      </c>
      <c r="I298" t="str">
        <f t="shared" si="19"/>
        <v>1297,'LICENCIATURA','NUTRICION Y GASTRONOMIA','NUT 6°','PEÑA CAMACHO RODRIGO','NUTRICION CLINICA I','MASCULINO',0</v>
      </c>
      <c r="J298" t="str">
        <f t="shared" si="20"/>
        <v>INSERT INTO profesores (id,nivel,carrera,grupo,nombre,materia,sexo,sello) VALUES (1297,'LICENCIATURA','NUTRICION Y GASTRONOMIA','NUT 6°','PEÑA CAMACHO RODRIGO','NUTRICION CLINICA I','MASCULINO',0);</v>
      </c>
    </row>
    <row r="299" spans="1:10" x14ac:dyDescent="0.25">
      <c r="A299">
        <f t="shared" si="21"/>
        <v>1298</v>
      </c>
      <c r="B299" s="1" t="s">
        <v>1</v>
      </c>
      <c r="C299" t="str">
        <f>Hoja1!B299</f>
        <v>NUTRICION Y GASTRONOMIA</v>
      </c>
      <c r="D299" s="5" t="s">
        <v>1410</v>
      </c>
      <c r="E299" t="str">
        <f>Hoja1!D299</f>
        <v>RIVAS MELANO MARLEN</v>
      </c>
      <c r="F299" t="str">
        <f>Hoja1!E299</f>
        <v>REPOSTERIA BASICA</v>
      </c>
      <c r="G299" t="str">
        <f>Hoja1!F299</f>
        <v>FEMENINO</v>
      </c>
      <c r="H299">
        <f t="shared" si="18"/>
        <v>0</v>
      </c>
      <c r="I299" t="str">
        <f t="shared" si="19"/>
        <v>1298,'LICENCIATURA','NUTRICION Y GASTRONOMIA','NUT 6°','RIVAS MELANO MARLEN','REPOSTERIA BASICA','FEMENINO',0</v>
      </c>
      <c r="J299" t="str">
        <f t="shared" si="20"/>
        <v>INSERT INTO profesores (id,nivel,carrera,grupo,nombre,materia,sexo,sello) VALUES (1298,'LICENCIATURA','NUTRICION Y GASTRONOMIA','NUT 6°','RIVAS MELANO MARLEN','REPOSTERIA BASICA','FEMENINO',0);</v>
      </c>
    </row>
    <row r="300" spans="1:10" x14ac:dyDescent="0.25">
      <c r="A300">
        <f t="shared" si="21"/>
        <v>1299</v>
      </c>
      <c r="B300" s="1" t="s">
        <v>1</v>
      </c>
      <c r="C300" t="str">
        <f>Hoja1!B300</f>
        <v>NUTRICION Y GASTRONOMIA</v>
      </c>
      <c r="D300" s="5" t="s">
        <v>1410</v>
      </c>
      <c r="E300" t="str">
        <f>Hoja1!D300</f>
        <v>ROMERO  CORDOVA LUIS ARTURO</v>
      </c>
      <c r="F300" t="str">
        <f>Hoja1!E300</f>
        <v>BEBIDAS AVANZADAS</v>
      </c>
      <c r="G300" t="str">
        <f>Hoja1!F300</f>
        <v>MASCULINO</v>
      </c>
      <c r="H300">
        <f t="shared" si="18"/>
        <v>0</v>
      </c>
      <c r="I300" t="str">
        <f t="shared" si="19"/>
        <v>1299,'LICENCIATURA','NUTRICION Y GASTRONOMIA','NUT 6°','ROMERO  CORDOVA LUIS ARTURO','BEBIDAS AVANZADAS','MASCULINO',0</v>
      </c>
      <c r="J300" t="str">
        <f t="shared" si="20"/>
        <v>INSERT INTO profesores (id,nivel,carrera,grupo,nombre,materia,sexo,sello) VALUES (1299,'LICENCIATURA','NUTRICION Y GASTRONOMIA','NUT 6°','ROMERO  CORDOVA LUIS ARTURO','BEBIDAS AVANZADAS','MASCULINO',0);</v>
      </c>
    </row>
    <row r="301" spans="1:10" x14ac:dyDescent="0.25">
      <c r="A301">
        <f t="shared" si="21"/>
        <v>1300</v>
      </c>
      <c r="B301" s="1" t="s">
        <v>1</v>
      </c>
      <c r="C301" t="str">
        <f>Hoja1!B301</f>
        <v>NUTRICION Y GASTRONOMIA</v>
      </c>
      <c r="D301" s="5" t="s">
        <v>1411</v>
      </c>
      <c r="E301" t="str">
        <f>Hoja1!D301</f>
        <v>BEGINES CINCO JESUS HIRAM</v>
      </c>
      <c r="F301" t="str">
        <f>Hoja1!E301</f>
        <v>MUKIMONO</v>
      </c>
      <c r="G301" t="str">
        <f>Hoja1!F301</f>
        <v>MASCULINO</v>
      </c>
      <c r="H301">
        <f t="shared" si="18"/>
        <v>0</v>
      </c>
      <c r="I301" t="str">
        <f t="shared" si="19"/>
        <v>1300,'LICENCIATURA','NUTRICION Y GASTRONOMIA','NUT 8°','BEGINES CINCO JESUS HIRAM','MUKIMONO','MASCULINO',0</v>
      </c>
      <c r="J301" t="str">
        <f t="shared" si="20"/>
        <v>INSERT INTO profesores (id,nivel,carrera,grupo,nombre,materia,sexo,sello) VALUES (1300,'LICENCIATURA','NUTRICION Y GASTRONOMIA','NUT 8°','BEGINES CINCO JESUS HIRAM','MUKIMONO','MASCULINO',0);</v>
      </c>
    </row>
    <row r="302" spans="1:10" x14ac:dyDescent="0.25">
      <c r="A302">
        <f t="shared" si="21"/>
        <v>1301</v>
      </c>
      <c r="B302" s="1" t="s">
        <v>1</v>
      </c>
      <c r="C302" t="str">
        <f>Hoja1!B302</f>
        <v>NUTRICION Y GASTRONOMIA</v>
      </c>
      <c r="D302" s="5" t="s">
        <v>1411</v>
      </c>
      <c r="E302" t="str">
        <f>Hoja1!D302</f>
        <v>GAMA GOMEZ LAURA JEZABEL</v>
      </c>
      <c r="F302" t="str">
        <f>Hoja1!E302</f>
        <v>MERCADOTECNIA EN ALIMENTOS</v>
      </c>
      <c r="G302" t="str">
        <f>Hoja1!F302</f>
        <v>FEMENINO</v>
      </c>
      <c r="H302">
        <f t="shared" si="18"/>
        <v>0</v>
      </c>
      <c r="I302" t="str">
        <f t="shared" si="19"/>
        <v>1301,'LICENCIATURA','NUTRICION Y GASTRONOMIA','NUT 8°','GAMA GOMEZ LAURA JEZABEL','MERCADOTECNIA EN ALIMENTOS','FEMENINO',0</v>
      </c>
      <c r="J302" t="str">
        <f t="shared" si="20"/>
        <v>INSERT INTO profesores (id,nivel,carrera,grupo,nombre,materia,sexo,sello) VALUES (1301,'LICENCIATURA','NUTRICION Y GASTRONOMIA','NUT 8°','GAMA GOMEZ LAURA JEZABEL','MERCADOTECNIA EN ALIMENTOS','FEMENINO',0);</v>
      </c>
    </row>
    <row r="303" spans="1:10" x14ac:dyDescent="0.25">
      <c r="A303">
        <f t="shared" si="21"/>
        <v>1302</v>
      </c>
      <c r="B303" s="1" t="s">
        <v>1</v>
      </c>
      <c r="C303" t="str">
        <f>Hoja1!B303</f>
        <v>NUTRICION Y GASTRONOMIA</v>
      </c>
      <c r="D303" s="5" t="s">
        <v>1411</v>
      </c>
      <c r="E303" t="str">
        <f>Hoja1!D303</f>
        <v>GONZALEZ GONZALEZ ENRIQUE</v>
      </c>
      <c r="F303" t="str">
        <f>Hoja1!E303</f>
        <v>BIOETICA</v>
      </c>
      <c r="G303" t="str">
        <f>Hoja1!F303</f>
        <v>MASCULINO</v>
      </c>
      <c r="H303">
        <f t="shared" si="18"/>
        <v>0</v>
      </c>
      <c r="I303" t="str">
        <f t="shared" si="19"/>
        <v>1302,'LICENCIATURA','NUTRICION Y GASTRONOMIA','NUT 8°','GONZALEZ GONZALEZ ENRIQUE','BIOETICA','MASCULINO',0</v>
      </c>
      <c r="J303" t="str">
        <f t="shared" si="20"/>
        <v>INSERT INTO profesores (id,nivel,carrera,grupo,nombre,materia,sexo,sello) VALUES (1302,'LICENCIATURA','NUTRICION Y GASTRONOMIA','NUT 8°','GONZALEZ GONZALEZ ENRIQUE','BIOETICA','MASCULINO',0);</v>
      </c>
    </row>
    <row r="304" spans="1:10" x14ac:dyDescent="0.25">
      <c r="A304">
        <f t="shared" si="21"/>
        <v>1303</v>
      </c>
      <c r="B304" s="1" t="s">
        <v>1</v>
      </c>
      <c r="C304" t="str">
        <f>Hoja1!B304</f>
        <v>NUTRICION Y GASTRONOMIA</v>
      </c>
      <c r="D304" s="5" t="s">
        <v>1411</v>
      </c>
      <c r="E304" t="str">
        <f>Hoja1!D304</f>
        <v>MARQUEZ CORONA FRANCISCO ALBERTO</v>
      </c>
      <c r="F304" t="str">
        <f>Hoja1!E304</f>
        <v>NUTRICION EN GERIATRIA</v>
      </c>
      <c r="G304" t="str">
        <f>Hoja1!F304</f>
        <v>MASCULINO</v>
      </c>
      <c r="H304">
        <f t="shared" si="18"/>
        <v>0</v>
      </c>
      <c r="I304" t="str">
        <f t="shared" si="19"/>
        <v>1303,'LICENCIATURA','NUTRICION Y GASTRONOMIA','NUT 8°','MARQUEZ CORONA FRANCISCO ALBERTO','NUTRICION EN GERIATRIA','MASCULINO',0</v>
      </c>
      <c r="J304" t="str">
        <f t="shared" si="20"/>
        <v>INSERT INTO profesores (id,nivel,carrera,grupo,nombre,materia,sexo,sello) VALUES (1303,'LICENCIATURA','NUTRICION Y GASTRONOMIA','NUT 8°','MARQUEZ CORONA FRANCISCO ALBERTO','NUTRICION EN GERIATRIA','MASCULINO',0);</v>
      </c>
    </row>
    <row r="305" spans="1:10" x14ac:dyDescent="0.25">
      <c r="A305">
        <f t="shared" si="21"/>
        <v>1304</v>
      </c>
      <c r="B305" s="1" t="s">
        <v>1</v>
      </c>
      <c r="C305" t="str">
        <f>Hoja1!B305</f>
        <v>NUTRICION Y GASTRONOMIA</v>
      </c>
      <c r="D305" s="5" t="s">
        <v>1411</v>
      </c>
      <c r="E305" t="str">
        <f>Hoja1!D305</f>
        <v>RIVAS RODRIGUEZ LAURA</v>
      </c>
      <c r="F305" t="str">
        <f>Hoja1!E305</f>
        <v>COCINA VEGETARIANA Y VEGANA</v>
      </c>
      <c r="G305" t="str">
        <f>Hoja1!F305</f>
        <v>FEMENINO</v>
      </c>
      <c r="H305">
        <f t="shared" si="18"/>
        <v>0</v>
      </c>
      <c r="I305" t="str">
        <f t="shared" si="19"/>
        <v>1304,'LICENCIATURA','NUTRICION Y GASTRONOMIA','NUT 8°','RIVAS RODRIGUEZ LAURA','COCINA VEGETARIANA Y VEGANA','FEMENINO',0</v>
      </c>
      <c r="J305" t="str">
        <f t="shared" si="20"/>
        <v>INSERT INTO profesores (id,nivel,carrera,grupo,nombre,materia,sexo,sello) VALUES (1304,'LICENCIATURA','NUTRICION Y GASTRONOMIA','NUT 8°','RIVAS RODRIGUEZ LAURA','COCINA VEGETARIANA Y VEGANA','FEMENINO',0);</v>
      </c>
    </row>
    <row r="306" spans="1:10" x14ac:dyDescent="0.25">
      <c r="A306">
        <f t="shared" si="21"/>
        <v>1305</v>
      </c>
      <c r="B306" s="1" t="s">
        <v>1</v>
      </c>
      <c r="C306" t="str">
        <f>Hoja1!B306</f>
        <v>NUTRICION Y GASTRONOMIA</v>
      </c>
      <c r="D306" s="5" t="s">
        <v>1411</v>
      </c>
      <c r="E306" t="str">
        <f>Hoja1!D306</f>
        <v>RODRIGUEZ ALONSO IRVING TRINIDAD</v>
      </c>
      <c r="F306" t="str">
        <f>Hoja1!E306</f>
        <v>NUTRICION EN LA ACTIVIDAD FISICA Y DEPORTE</v>
      </c>
      <c r="G306" t="str">
        <f>Hoja1!F306</f>
        <v>MASCULINO</v>
      </c>
      <c r="H306">
        <f t="shared" si="18"/>
        <v>0</v>
      </c>
      <c r="I306" t="str">
        <f t="shared" si="19"/>
        <v>1305,'LICENCIATURA','NUTRICION Y GASTRONOMIA','NUT 8°','RODRIGUEZ ALONSO IRVING TRINIDAD','NUTRICION EN LA ACTIVIDAD FISICA Y DEPORTE','MASCULINO',0</v>
      </c>
      <c r="J306" t="str">
        <f t="shared" si="20"/>
        <v>INSERT INTO profesores (id,nivel,carrera,grupo,nombre,materia,sexo,sello) VALUES (1305,'LICENCIATURA','NUTRICION Y GASTRONOMIA','NUT 8°','RODRIGUEZ ALONSO IRVING TRINIDAD','NUTRICION EN LA ACTIVIDAD FISICA Y DEPORTE','MASCULINO',0);</v>
      </c>
    </row>
    <row r="307" spans="1:10" x14ac:dyDescent="0.25">
      <c r="A307">
        <f t="shared" si="21"/>
        <v>1306</v>
      </c>
      <c r="B307" s="1" t="s">
        <v>1</v>
      </c>
      <c r="C307" t="str">
        <f>Hoja1!B307</f>
        <v>PSICOLOGIA</v>
      </c>
      <c r="D307" s="5" t="s">
        <v>1412</v>
      </c>
      <c r="E307" t="str">
        <f>Hoja1!D307</f>
        <v>FLORES GUZMAN HECTOR ALFONSO</v>
      </c>
      <c r="F307" t="str">
        <f>Hoja1!E307</f>
        <v>PROMOCION COMUNITARIA Y PSICOLOGIA DE LA SALUD</v>
      </c>
      <c r="G307" t="str">
        <f>Hoja1!F307</f>
        <v>MASCULINO</v>
      </c>
      <c r="H307">
        <f t="shared" si="18"/>
        <v>0</v>
      </c>
      <c r="I307" t="str">
        <f t="shared" si="19"/>
        <v>1306,'LICENCIATURA','PSICOLOGIA','PSI 2°','FLORES GUZMAN HECTOR ALFONSO','PROMOCION COMUNITARIA Y PSICOLOGIA DE LA SALUD','MASCULINO',0</v>
      </c>
      <c r="J307" t="str">
        <f t="shared" si="20"/>
        <v>INSERT INTO profesores (id,nivel,carrera,grupo,nombre,materia,sexo,sello) VALUES (1306,'LICENCIATURA','PSICOLOGIA','PSI 2°','FLORES GUZMAN HECTOR ALFONSO','PROMOCION COMUNITARIA Y PSICOLOGIA DE LA SALUD','MASCULINO',0);</v>
      </c>
    </row>
    <row r="308" spans="1:10" x14ac:dyDescent="0.25">
      <c r="A308">
        <f t="shared" si="21"/>
        <v>1307</v>
      </c>
      <c r="B308" s="1" t="s">
        <v>1</v>
      </c>
      <c r="C308" t="str">
        <f>Hoja1!B308</f>
        <v>PSICOLOGIA</v>
      </c>
      <c r="D308" s="5" t="s">
        <v>1412</v>
      </c>
      <c r="E308" t="str">
        <f>Hoja1!D308</f>
        <v>GARCIA VALDERRAMA ALFREDO</v>
      </c>
      <c r="F308" t="str">
        <f>Hoja1!E308</f>
        <v>PSICOLOGIA DE LA INFANCIA Y ADOLESCENCIA</v>
      </c>
      <c r="G308" t="str">
        <f>Hoja1!F308</f>
        <v>MASCULINO</v>
      </c>
      <c r="H308">
        <f t="shared" si="18"/>
        <v>0</v>
      </c>
      <c r="I308" t="str">
        <f t="shared" si="19"/>
        <v>1307,'LICENCIATURA','PSICOLOGIA','PSI 2°','GARCIA VALDERRAMA ALFREDO','PSICOLOGIA DE LA INFANCIA Y ADOLESCENCIA','MASCULINO',0</v>
      </c>
      <c r="J308" t="str">
        <f t="shared" si="20"/>
        <v>INSERT INTO profesores (id,nivel,carrera,grupo,nombre,materia,sexo,sello) VALUES (1307,'LICENCIATURA','PSICOLOGIA','PSI 2°','GARCIA VALDERRAMA ALFREDO','PSICOLOGIA DE LA INFANCIA Y ADOLESCENCIA','MASCULINO',0);</v>
      </c>
    </row>
    <row r="309" spans="1:10" x14ac:dyDescent="0.25">
      <c r="A309">
        <f t="shared" si="21"/>
        <v>1308</v>
      </c>
      <c r="B309" s="1" t="s">
        <v>1</v>
      </c>
      <c r="C309" t="str">
        <f>Hoja1!B309</f>
        <v>PSICOLOGIA</v>
      </c>
      <c r="D309" s="5" t="s">
        <v>1412</v>
      </c>
      <c r="E309" t="str">
        <f>Hoja1!D309</f>
        <v>GOMEZ PEREZ DAVID UBALDO</v>
      </c>
      <c r="F309" t="str">
        <f>Hoja1!E309</f>
        <v>TEORIAS DE LA PERSONALIDAD I</v>
      </c>
      <c r="G309" t="str">
        <f>Hoja1!F309</f>
        <v>MASCULINO</v>
      </c>
      <c r="H309">
        <f t="shared" si="18"/>
        <v>0</v>
      </c>
      <c r="I309" t="str">
        <f t="shared" si="19"/>
        <v>1308,'LICENCIATURA','PSICOLOGIA','PSI 2°','GOMEZ PEREZ DAVID UBALDO','TEORIAS DE LA PERSONALIDAD I','MASCULINO',0</v>
      </c>
      <c r="J309" t="str">
        <f t="shared" si="20"/>
        <v>INSERT INTO profesores (id,nivel,carrera,grupo,nombre,materia,sexo,sello) VALUES (1308,'LICENCIATURA','PSICOLOGIA','PSI 2°','GOMEZ PEREZ DAVID UBALDO','TEORIAS DE LA PERSONALIDAD I','MASCULINO',0);</v>
      </c>
    </row>
    <row r="310" spans="1:10" x14ac:dyDescent="0.25">
      <c r="A310">
        <f t="shared" si="21"/>
        <v>1309</v>
      </c>
      <c r="B310" s="1" t="s">
        <v>1</v>
      </c>
      <c r="C310" t="str">
        <f>Hoja1!B310</f>
        <v>PSICOLOGIA</v>
      </c>
      <c r="D310" s="5" t="s">
        <v>1412</v>
      </c>
      <c r="E310" t="str">
        <f>Hoja1!D310</f>
        <v>GUERRA RIOS BRENDA JEANNETTE</v>
      </c>
      <c r="F310" t="str">
        <f>Hoja1!E310</f>
        <v>MANEJO DE GRUPO</v>
      </c>
      <c r="G310" t="str">
        <f>Hoja1!F310</f>
        <v>FEMENINO</v>
      </c>
      <c r="H310">
        <f t="shared" si="18"/>
        <v>0</v>
      </c>
      <c r="I310" t="str">
        <f t="shared" si="19"/>
        <v>1309,'LICENCIATURA','PSICOLOGIA','PSI 2°','GUERRA RIOS BRENDA JEANNETTE','MANEJO DE GRUPO','FEMENINO',0</v>
      </c>
      <c r="J310" t="str">
        <f t="shared" si="20"/>
        <v>INSERT INTO profesores (id,nivel,carrera,grupo,nombre,materia,sexo,sello) VALUES (1309,'LICENCIATURA','PSICOLOGIA','PSI 2°','GUERRA RIOS BRENDA JEANNETTE','MANEJO DE GRUPO','FEMENINO',0);</v>
      </c>
    </row>
    <row r="311" spans="1:10" x14ac:dyDescent="0.25">
      <c r="A311">
        <f t="shared" si="21"/>
        <v>1310</v>
      </c>
      <c r="B311" s="1" t="s">
        <v>1</v>
      </c>
      <c r="C311" t="str">
        <f>Hoja1!B311</f>
        <v>PSICOLOGIA</v>
      </c>
      <c r="D311" s="5" t="s">
        <v>1412</v>
      </c>
      <c r="E311" t="str">
        <f>Hoja1!D311</f>
        <v>PEREZ CAMACHO MONSERRAT MARLEM</v>
      </c>
      <c r="F311" t="str">
        <f>Hoja1!E311</f>
        <v>BASES DE LA NEUROCIENCIA</v>
      </c>
      <c r="G311" t="str">
        <f>Hoja1!F311</f>
        <v>FEMENINO</v>
      </c>
      <c r="H311">
        <f t="shared" si="18"/>
        <v>0</v>
      </c>
      <c r="I311" t="str">
        <f t="shared" si="19"/>
        <v>1310,'LICENCIATURA','PSICOLOGIA','PSI 2°','PEREZ CAMACHO MONSERRAT MARLEM','BASES DE LA NEUROCIENCIA','FEMENINO',0</v>
      </c>
      <c r="J311" t="str">
        <f t="shared" si="20"/>
        <v>INSERT INTO profesores (id,nivel,carrera,grupo,nombre,materia,sexo,sello) VALUES (1310,'LICENCIATURA','PSICOLOGIA','PSI 2°','PEREZ CAMACHO MONSERRAT MARLEM','BASES DE LA NEUROCIENCIA','FEMENINO',0);</v>
      </c>
    </row>
    <row r="312" spans="1:10" x14ac:dyDescent="0.25">
      <c r="A312">
        <f t="shared" si="21"/>
        <v>1311</v>
      </c>
      <c r="B312" s="1" t="s">
        <v>1</v>
      </c>
      <c r="C312" t="str">
        <f>Hoja1!B312</f>
        <v>PSICOLOGIA</v>
      </c>
      <c r="D312" s="5" t="s">
        <v>1412</v>
      </c>
      <c r="E312" t="str">
        <f>Hoja1!D312</f>
        <v>ZEPEDA  GOMEZ MANUEL GUSTAVO</v>
      </c>
      <c r="F312" t="str">
        <f>Hoja1!E312</f>
        <v>ENFOQUE DE LA ENSEÑANZA APRENDIZAJE</v>
      </c>
      <c r="G312" t="str">
        <f>Hoja1!F312</f>
        <v>MASCULINO</v>
      </c>
      <c r="H312">
        <f t="shared" si="18"/>
        <v>0</v>
      </c>
      <c r="I312" t="str">
        <f t="shared" si="19"/>
        <v>1311,'LICENCIATURA','PSICOLOGIA','PSI 2°','ZEPEDA  GOMEZ MANUEL GUSTAVO','ENFOQUE DE LA ENSEÑANZA APRENDIZAJE','MASCULINO',0</v>
      </c>
      <c r="J312" t="str">
        <f t="shared" si="20"/>
        <v>INSERT INTO profesores (id,nivel,carrera,grupo,nombre,materia,sexo,sello) VALUES (1311,'LICENCIATURA','PSICOLOGIA','PSI 2°','ZEPEDA  GOMEZ MANUEL GUSTAVO','ENFOQUE DE LA ENSEÑANZA APRENDIZAJE','MASCULINO',0);</v>
      </c>
    </row>
    <row r="313" spans="1:10" x14ac:dyDescent="0.25">
      <c r="A313">
        <f t="shared" si="21"/>
        <v>1312</v>
      </c>
      <c r="B313" s="1" t="s">
        <v>1</v>
      </c>
      <c r="C313" t="str">
        <f>Hoja1!B313</f>
        <v>PSICOLOGIA</v>
      </c>
      <c r="D313" s="5" t="s">
        <v>1413</v>
      </c>
      <c r="E313" t="str">
        <f>Hoja1!D313</f>
        <v>AVALOS TORRES ANGEL ALEJANDRO</v>
      </c>
      <c r="F313" t="str">
        <f>Hoja1!E313</f>
        <v>PSICOLOGIA SOCIAL</v>
      </c>
      <c r="G313" t="str">
        <f>Hoja1!F313</f>
        <v>MASCULINO</v>
      </c>
      <c r="H313">
        <f t="shared" si="18"/>
        <v>0</v>
      </c>
      <c r="I313" t="str">
        <f t="shared" si="19"/>
        <v>1312,'LICENCIATURA','PSICOLOGIA','PSI 4°','AVALOS TORRES ANGEL ALEJANDRO','PSICOLOGIA SOCIAL','MASCULINO',0</v>
      </c>
      <c r="J313" t="str">
        <f t="shared" si="20"/>
        <v>INSERT INTO profesores (id,nivel,carrera,grupo,nombre,materia,sexo,sello) VALUES (1312,'LICENCIATURA','PSICOLOGIA','PSI 4°','AVALOS TORRES ANGEL ALEJANDRO','PSICOLOGIA SOCIAL','MASCULINO',0);</v>
      </c>
    </row>
    <row r="314" spans="1:10" x14ac:dyDescent="0.25">
      <c r="A314">
        <f t="shared" si="21"/>
        <v>1313</v>
      </c>
      <c r="B314" s="1" t="s">
        <v>1</v>
      </c>
      <c r="C314" t="str">
        <f>Hoja1!B314</f>
        <v>PSICOLOGIA</v>
      </c>
      <c r="D314" s="5" t="s">
        <v>1413</v>
      </c>
      <c r="E314" t="str">
        <f>Hoja1!D314</f>
        <v>CHAVEZ OSORIO ALEJANDRA</v>
      </c>
      <c r="F314" t="str">
        <f>Hoja1!E314</f>
        <v>PSICOGERONTOLOGIA</v>
      </c>
      <c r="G314" t="str">
        <f>Hoja1!F314</f>
        <v>FEMENINO</v>
      </c>
      <c r="H314">
        <f t="shared" si="18"/>
        <v>0</v>
      </c>
      <c r="I314" t="str">
        <f t="shared" si="19"/>
        <v>1313,'LICENCIATURA','PSICOLOGIA','PSI 4°','CHAVEZ OSORIO ALEJANDRA','PSICOGERONTOLOGIA','FEMENINO',0</v>
      </c>
      <c r="J314" t="str">
        <f t="shared" si="20"/>
        <v>INSERT INTO profesores (id,nivel,carrera,grupo,nombre,materia,sexo,sello) VALUES (1313,'LICENCIATURA','PSICOLOGIA','PSI 4°','CHAVEZ OSORIO ALEJANDRA','PSICOGERONTOLOGIA','FEMENINO',0);</v>
      </c>
    </row>
    <row r="315" spans="1:10" x14ac:dyDescent="0.25">
      <c r="A315">
        <f t="shared" si="21"/>
        <v>1314</v>
      </c>
      <c r="B315" s="1" t="s">
        <v>1</v>
      </c>
      <c r="C315" t="str">
        <f>Hoja1!B315</f>
        <v>PSICOLOGIA</v>
      </c>
      <c r="D315" s="5" t="s">
        <v>1413</v>
      </c>
      <c r="E315" t="str">
        <f>Hoja1!D315</f>
        <v>FLORES GUZMAN HECTOR ALFONSO</v>
      </c>
      <c r="F315" t="str">
        <f>Hoja1!E315</f>
        <v>DISEÑO DE PROGRAMAS PSICOEDUCATIVOS</v>
      </c>
      <c r="G315" t="str">
        <f>Hoja1!F315</f>
        <v>MASCULINO</v>
      </c>
      <c r="H315">
        <f t="shared" si="18"/>
        <v>0</v>
      </c>
      <c r="I315" t="str">
        <f t="shared" si="19"/>
        <v>1314,'LICENCIATURA','PSICOLOGIA','PSI 4°','FLORES GUZMAN HECTOR ALFONSO','DISEÑO DE PROGRAMAS PSICOEDUCATIVOS','MASCULINO',0</v>
      </c>
      <c r="J315" t="str">
        <f t="shared" si="20"/>
        <v>INSERT INTO profesores (id,nivel,carrera,grupo,nombre,materia,sexo,sello) VALUES (1314,'LICENCIATURA','PSICOLOGIA','PSI 4°','FLORES GUZMAN HECTOR ALFONSO','DISEÑO DE PROGRAMAS PSICOEDUCATIVOS','MASCULINO',0);</v>
      </c>
    </row>
    <row r="316" spans="1:10" x14ac:dyDescent="0.25">
      <c r="A316">
        <f t="shared" si="21"/>
        <v>1315</v>
      </c>
      <c r="B316" s="1" t="s">
        <v>1</v>
      </c>
      <c r="C316" t="str">
        <f>Hoja1!B316</f>
        <v>PSICOLOGIA</v>
      </c>
      <c r="D316" s="5" t="s">
        <v>1413</v>
      </c>
      <c r="E316" t="str">
        <f>Hoja1!D316</f>
        <v>GOMEZ PEREZ DAVID UBALDO</v>
      </c>
      <c r="F316" t="str">
        <f>Hoja1!E316</f>
        <v>METODOS DE DIAGNOSTICO</v>
      </c>
      <c r="G316" t="str">
        <f>Hoja1!F316</f>
        <v>MASCULINO</v>
      </c>
      <c r="H316">
        <f t="shared" si="18"/>
        <v>0</v>
      </c>
      <c r="I316" t="str">
        <f t="shared" si="19"/>
        <v>1315,'LICENCIATURA','PSICOLOGIA','PSI 4°','GOMEZ PEREZ DAVID UBALDO','METODOS DE DIAGNOSTICO','MASCULINO',0</v>
      </c>
      <c r="J316" t="str">
        <f t="shared" si="20"/>
        <v>INSERT INTO profesores (id,nivel,carrera,grupo,nombre,materia,sexo,sello) VALUES (1315,'LICENCIATURA','PSICOLOGIA','PSI 4°','GOMEZ PEREZ DAVID UBALDO','METODOS DE DIAGNOSTICO','MASCULINO',0);</v>
      </c>
    </row>
    <row r="317" spans="1:10" x14ac:dyDescent="0.25">
      <c r="A317">
        <f t="shared" si="21"/>
        <v>1316</v>
      </c>
      <c r="B317" s="1" t="s">
        <v>1</v>
      </c>
      <c r="C317" t="str">
        <f>Hoja1!B317</f>
        <v>PSICOLOGIA</v>
      </c>
      <c r="D317" s="5" t="s">
        <v>1413</v>
      </c>
      <c r="E317" t="str">
        <f>Hoja1!D317</f>
        <v>LOPEZ GUZMAN BRENDA ALEJANDRA</v>
      </c>
      <c r="F317" t="str">
        <f>Hoja1!E317</f>
        <v>SEXUALIDAD HUMANA</v>
      </c>
      <c r="G317" t="str">
        <f>Hoja1!F317</f>
        <v>FEMENINO</v>
      </c>
      <c r="H317">
        <f t="shared" si="18"/>
        <v>0</v>
      </c>
      <c r="I317" t="str">
        <f t="shared" si="19"/>
        <v>1316,'LICENCIATURA','PSICOLOGIA','PSI 4°','LOPEZ GUZMAN BRENDA ALEJANDRA','SEXUALIDAD HUMANA','FEMENINO',0</v>
      </c>
      <c r="J317" t="str">
        <f t="shared" si="20"/>
        <v>INSERT INTO profesores (id,nivel,carrera,grupo,nombre,materia,sexo,sello) VALUES (1316,'LICENCIATURA','PSICOLOGIA','PSI 4°','LOPEZ GUZMAN BRENDA ALEJANDRA','SEXUALIDAD HUMANA','FEMENINO',0);</v>
      </c>
    </row>
    <row r="318" spans="1:10" x14ac:dyDescent="0.25">
      <c r="A318">
        <f t="shared" si="21"/>
        <v>1317</v>
      </c>
      <c r="B318" s="1" t="s">
        <v>1</v>
      </c>
      <c r="C318" t="str">
        <f>Hoja1!B318</f>
        <v>PSICOLOGIA</v>
      </c>
      <c r="D318" s="5" t="s">
        <v>1413</v>
      </c>
      <c r="E318" t="str">
        <f>Hoja1!D318</f>
        <v>MONTAÑO FLORES MARTHA ELIA</v>
      </c>
      <c r="F318" t="str">
        <f>Hoja1!E318</f>
        <v>PSICOPATOLOGIA</v>
      </c>
      <c r="G318" t="str">
        <f>Hoja1!F318</f>
        <v>FEMENINO</v>
      </c>
      <c r="H318">
        <f t="shared" si="18"/>
        <v>0</v>
      </c>
      <c r="I318" t="str">
        <f t="shared" si="19"/>
        <v>1317,'LICENCIATURA','PSICOLOGIA','PSI 4°','MONTAÑO FLORES MARTHA ELIA','PSICOPATOLOGIA','FEMENINO',0</v>
      </c>
      <c r="J318" t="str">
        <f t="shared" si="20"/>
        <v>INSERT INTO profesores (id,nivel,carrera,grupo,nombre,materia,sexo,sello) VALUES (1317,'LICENCIATURA','PSICOLOGIA','PSI 4°','MONTAÑO FLORES MARTHA ELIA','PSICOPATOLOGIA','FEMENINO',0);</v>
      </c>
    </row>
    <row r="319" spans="1:10" x14ac:dyDescent="0.25">
      <c r="A319">
        <f t="shared" si="21"/>
        <v>1318</v>
      </c>
      <c r="B319" s="1" t="s">
        <v>1</v>
      </c>
      <c r="C319" t="str">
        <f>Hoja1!B319</f>
        <v>PSICOLOGIA</v>
      </c>
      <c r="D319" s="5" t="s">
        <v>1414</v>
      </c>
      <c r="E319" t="str">
        <f>Hoja1!D319</f>
        <v>GARZA MORA ANTONIO</v>
      </c>
      <c r="F319" t="str">
        <f>Hoja1!E319</f>
        <v xml:space="preserve">ADMINISTRACION DE RECURSOS HUMANOS </v>
      </c>
      <c r="G319" t="str">
        <f>Hoja1!F319</f>
        <v>MASCULINO</v>
      </c>
      <c r="H319">
        <f t="shared" si="18"/>
        <v>0</v>
      </c>
      <c r="I319" t="str">
        <f t="shared" si="19"/>
        <v>1318,'LICENCIATURA','PSICOLOGIA','PSI 6°','GARZA MORA ANTONIO','ADMINISTRACION DE RECURSOS HUMANOS ','MASCULINO',0</v>
      </c>
      <c r="J319" t="str">
        <f t="shared" si="20"/>
        <v>INSERT INTO profesores (id,nivel,carrera,grupo,nombre,materia,sexo,sello) VALUES (1318,'LICENCIATURA','PSICOLOGIA','PSI 6°','GARZA MORA ANTONIO','ADMINISTRACION DE RECURSOS HUMANOS ','MASCULINO',0);</v>
      </c>
    </row>
    <row r="320" spans="1:10" x14ac:dyDescent="0.25">
      <c r="A320">
        <f t="shared" si="21"/>
        <v>1319</v>
      </c>
      <c r="B320" s="1" t="s">
        <v>1</v>
      </c>
      <c r="C320" t="str">
        <f>Hoja1!B320</f>
        <v>PSICOLOGIA</v>
      </c>
      <c r="D320" s="5" t="s">
        <v>1414</v>
      </c>
      <c r="E320" t="str">
        <f>Hoja1!D320</f>
        <v>GONZALEZ GONZALEZ ENRIQUE</v>
      </c>
      <c r="F320" t="str">
        <f>Hoja1!E320</f>
        <v>PSICOFARMACOLOGIA</v>
      </c>
      <c r="G320" t="str">
        <f>Hoja1!F320</f>
        <v>MASCULINO</v>
      </c>
      <c r="H320">
        <f t="shared" si="18"/>
        <v>0</v>
      </c>
      <c r="I320" t="str">
        <f t="shared" si="19"/>
        <v>1319,'LICENCIATURA','PSICOLOGIA','PSI 6°','GONZALEZ GONZALEZ ENRIQUE','PSICOFARMACOLOGIA','MASCULINO',0</v>
      </c>
      <c r="J320" t="str">
        <f t="shared" si="20"/>
        <v>INSERT INTO profesores (id,nivel,carrera,grupo,nombre,materia,sexo,sello) VALUES (1319,'LICENCIATURA','PSICOLOGIA','PSI 6°','GONZALEZ GONZALEZ ENRIQUE','PSICOFARMACOLOGIA','MASCULINO',0);</v>
      </c>
    </row>
    <row r="321" spans="1:10" x14ac:dyDescent="0.25">
      <c r="A321">
        <f t="shared" si="21"/>
        <v>1320</v>
      </c>
      <c r="B321" s="1" t="s">
        <v>1</v>
      </c>
      <c r="C321" t="str">
        <f>Hoja1!B321</f>
        <v>PSICOLOGIA</v>
      </c>
      <c r="D321" s="5" t="s">
        <v>1414</v>
      </c>
      <c r="E321" t="str">
        <f>Hoja1!D321</f>
        <v>HERRERA ARAGON DAVID</v>
      </c>
      <c r="F321" t="str">
        <f>Hoja1!E321</f>
        <v>PROYECTO DE INVESTIGACION EN PSICOLOGIA</v>
      </c>
      <c r="G321" t="str">
        <f>Hoja1!F321</f>
        <v>MASCULINO</v>
      </c>
      <c r="H321">
        <f t="shared" si="18"/>
        <v>0</v>
      </c>
      <c r="I321" t="str">
        <f t="shared" si="19"/>
        <v>1320,'LICENCIATURA','PSICOLOGIA','PSI 6°','HERRERA ARAGON DAVID','PROYECTO DE INVESTIGACION EN PSICOLOGIA','MASCULINO',0</v>
      </c>
      <c r="J321" t="str">
        <f t="shared" si="20"/>
        <v>INSERT INTO profesores (id,nivel,carrera,grupo,nombre,materia,sexo,sello) VALUES (1320,'LICENCIATURA','PSICOLOGIA','PSI 6°','HERRERA ARAGON DAVID','PROYECTO DE INVESTIGACION EN PSICOLOGIA','MASCULINO',0);</v>
      </c>
    </row>
    <row r="322" spans="1:10" x14ac:dyDescent="0.25">
      <c r="A322">
        <f t="shared" si="21"/>
        <v>1321</v>
      </c>
      <c r="B322" s="1" t="s">
        <v>1</v>
      </c>
      <c r="C322" t="str">
        <f>Hoja1!B322</f>
        <v>PSICOLOGIA</v>
      </c>
      <c r="D322" s="5" t="s">
        <v>1414</v>
      </c>
      <c r="E322" t="str">
        <f>Hoja1!D322</f>
        <v>LIZARRAGA LOMELI KARLA BERENICE</v>
      </c>
      <c r="F322" t="str">
        <f>Hoja1!E322</f>
        <v>MODELOS PSICOLOGICOS DE INTERVENCION II</v>
      </c>
      <c r="G322" t="str">
        <f>Hoja1!F322</f>
        <v>FEMENINO</v>
      </c>
      <c r="H322">
        <f t="shared" si="18"/>
        <v>0</v>
      </c>
      <c r="I322" t="str">
        <f t="shared" si="19"/>
        <v>1321,'LICENCIATURA','PSICOLOGIA','PSI 6°','LIZARRAGA LOMELI KARLA BERENICE','MODELOS PSICOLOGICOS DE INTERVENCION II','FEMENINO',0</v>
      </c>
      <c r="J322" t="str">
        <f t="shared" si="20"/>
        <v>INSERT INTO profesores (id,nivel,carrera,grupo,nombre,materia,sexo,sello) VALUES (1321,'LICENCIATURA','PSICOLOGIA','PSI 6°','LIZARRAGA LOMELI KARLA BERENICE','MODELOS PSICOLOGICOS DE INTERVENCION II','FEMENINO',0);</v>
      </c>
    </row>
    <row r="323" spans="1:10" x14ac:dyDescent="0.25">
      <c r="A323">
        <f t="shared" si="21"/>
        <v>1322</v>
      </c>
      <c r="B323" s="1" t="s">
        <v>1</v>
      </c>
      <c r="C323" t="str">
        <f>Hoja1!B323</f>
        <v>PSICOLOGIA</v>
      </c>
      <c r="D323" s="5" t="s">
        <v>1414</v>
      </c>
      <c r="E323" t="str">
        <f>Hoja1!D323</f>
        <v>ZEPEDA  GOMEZ MANUEL GUSTAVO</v>
      </c>
      <c r="F323" t="str">
        <f>Hoja1!E323</f>
        <v>INTERVENCION PSICOLOGICA DESDE LA GESTALT Y EL HUMANISMO</v>
      </c>
      <c r="G323" t="str">
        <f>Hoja1!F323</f>
        <v>MASCULINO</v>
      </c>
      <c r="H323">
        <f t="shared" ref="H323:H329" si="22">IF(C323="MATERIAS INSTITUCIONALES",1,0)</f>
        <v>0</v>
      </c>
      <c r="I323" t="str">
        <f t="shared" ref="I323:I329" si="23">CONCATENATE(A323,",'",B323,"','",C323,"','",D323,",'",E323,"','",F323,"','",G323,"',",H323)</f>
        <v>1322,'LICENCIATURA','PSICOLOGIA','PSI 6°','ZEPEDA  GOMEZ MANUEL GUSTAVO','INTERVENCION PSICOLOGICA DESDE LA GESTALT Y EL HUMANISMO','MASCULINO',0</v>
      </c>
      <c r="J323" t="str">
        <f t="shared" ref="J323:J329" si="24">CONCATENATE($I$1,I323,");")</f>
        <v>INSERT INTO profesores (id,nivel,carrera,grupo,nombre,materia,sexo,sello) VALUES (1322,'LICENCIATURA','PSICOLOGIA','PSI 6°','ZEPEDA  GOMEZ MANUEL GUSTAVO','INTERVENCION PSICOLOGICA DESDE LA GESTALT Y EL HUMANISMO','MASCULINO',0);</v>
      </c>
    </row>
    <row r="324" spans="1:10" x14ac:dyDescent="0.25">
      <c r="A324">
        <f t="shared" ref="A324:A329" si="25">A323+1</f>
        <v>1323</v>
      </c>
      <c r="B324" s="1" t="s">
        <v>1</v>
      </c>
      <c r="C324" t="str">
        <f>Hoja1!B324</f>
        <v>PSICOLOGIA</v>
      </c>
      <c r="D324" s="5" t="s">
        <v>1415</v>
      </c>
      <c r="E324" t="str">
        <f>Hoja1!D324</f>
        <v>GARIBAY CAMACHO EMMANUEL</v>
      </c>
      <c r="F324" t="str">
        <f>Hoja1!E324</f>
        <v>INTERVENCION PSICOLOGICA DESDE EL MODELO SISTEMICO FAMILIAR</v>
      </c>
      <c r="G324" t="str">
        <f>Hoja1!F324</f>
        <v>MASCULINO</v>
      </c>
      <c r="H324">
        <f t="shared" si="22"/>
        <v>0</v>
      </c>
      <c r="I324" t="str">
        <f t="shared" si="23"/>
        <v>1323,'LICENCIATURA','PSICOLOGIA','PSI 8°','GARIBAY CAMACHO EMMANUEL','INTERVENCION PSICOLOGICA DESDE EL MODELO SISTEMICO FAMILIAR','MASCULINO',0</v>
      </c>
      <c r="J324" t="str">
        <f t="shared" si="24"/>
        <v>INSERT INTO profesores (id,nivel,carrera,grupo,nombre,materia,sexo,sello) VALUES (1323,'LICENCIATURA','PSICOLOGIA','PSI 8°','GARIBAY CAMACHO EMMANUEL','INTERVENCION PSICOLOGICA DESDE EL MODELO SISTEMICO FAMILIAR','MASCULINO',0);</v>
      </c>
    </row>
    <row r="325" spans="1:10" x14ac:dyDescent="0.25">
      <c r="A325">
        <f t="shared" si="25"/>
        <v>1324</v>
      </c>
      <c r="B325" s="1" t="s">
        <v>1</v>
      </c>
      <c r="C325" t="str">
        <f>Hoja1!B325</f>
        <v>PSICOLOGIA</v>
      </c>
      <c r="D325" s="5" t="s">
        <v>1415</v>
      </c>
      <c r="E325" t="str">
        <f>Hoja1!D325</f>
        <v>GIL CASTELLANO MONICA</v>
      </c>
      <c r="F325" t="str">
        <f>Hoja1!E325</f>
        <v>MODELOS PSICOLOGICOS DE INTERVENCION IV</v>
      </c>
      <c r="G325" t="str">
        <f>Hoja1!F325</f>
        <v>FEMENINO</v>
      </c>
      <c r="H325">
        <f t="shared" si="22"/>
        <v>0</v>
      </c>
      <c r="I325" t="str">
        <f t="shared" si="23"/>
        <v>1324,'LICENCIATURA','PSICOLOGIA','PSI 8°','GIL CASTELLANO MONICA','MODELOS PSICOLOGICOS DE INTERVENCION IV','FEMENINO',0</v>
      </c>
      <c r="J325" t="str">
        <f t="shared" si="24"/>
        <v>INSERT INTO profesores (id,nivel,carrera,grupo,nombre,materia,sexo,sello) VALUES (1324,'LICENCIATURA','PSICOLOGIA','PSI 8°','GIL CASTELLANO MONICA','MODELOS PSICOLOGICOS DE INTERVENCION IV','FEMENINO',0);</v>
      </c>
    </row>
    <row r="326" spans="1:10" x14ac:dyDescent="0.25">
      <c r="A326">
        <f t="shared" si="25"/>
        <v>1325</v>
      </c>
      <c r="B326" s="1" t="s">
        <v>1</v>
      </c>
      <c r="C326" t="str">
        <f>Hoja1!B326</f>
        <v>PSICOLOGIA</v>
      </c>
      <c r="D326" s="5" t="s">
        <v>1415</v>
      </c>
      <c r="E326" t="str">
        <f>Hoja1!D326</f>
        <v>GONZALEZ GONZALEZ ENRIQUE</v>
      </c>
      <c r="F326" t="str">
        <f>Hoja1!E326</f>
        <v>TANATOLOGIA</v>
      </c>
      <c r="G326" t="str">
        <f>Hoja1!F326</f>
        <v>MASCULINO</v>
      </c>
      <c r="H326">
        <f t="shared" si="22"/>
        <v>0</v>
      </c>
      <c r="I326" t="str">
        <f t="shared" si="23"/>
        <v>1325,'LICENCIATURA','PSICOLOGIA','PSI 8°','GONZALEZ GONZALEZ ENRIQUE','TANATOLOGIA','MASCULINO',0</v>
      </c>
      <c r="J326" t="str">
        <f t="shared" si="24"/>
        <v>INSERT INTO profesores (id,nivel,carrera,grupo,nombre,materia,sexo,sello) VALUES (1325,'LICENCIATURA','PSICOLOGIA','PSI 8°','GONZALEZ GONZALEZ ENRIQUE','TANATOLOGIA','MASCULINO',0);</v>
      </c>
    </row>
    <row r="327" spans="1:10" x14ac:dyDescent="0.25">
      <c r="A327">
        <f t="shared" si="25"/>
        <v>1326</v>
      </c>
      <c r="B327" s="1" t="s">
        <v>1</v>
      </c>
      <c r="C327" t="str">
        <f>Hoja1!B327</f>
        <v>PSICOLOGIA</v>
      </c>
      <c r="D327" s="5" t="s">
        <v>1415</v>
      </c>
      <c r="E327" t="str">
        <f>Hoja1!D327</f>
        <v>GUERRA RIOS BRENDA JEANNETTE</v>
      </c>
      <c r="F327" t="str">
        <f>Hoja1!E327</f>
        <v>MODELOS PSICOLOGICOS DE INTERVENCION EMERGENTE</v>
      </c>
      <c r="G327" t="str">
        <f>Hoja1!F327</f>
        <v>FEMENINO</v>
      </c>
      <c r="H327">
        <f t="shared" si="22"/>
        <v>0</v>
      </c>
      <c r="I327" t="str">
        <f t="shared" si="23"/>
        <v>1326,'LICENCIATURA','PSICOLOGIA','PSI 8°','GUERRA RIOS BRENDA JEANNETTE','MODELOS PSICOLOGICOS DE INTERVENCION EMERGENTE','FEMENINO',0</v>
      </c>
      <c r="J327" t="str">
        <f t="shared" si="24"/>
        <v>INSERT INTO profesores (id,nivel,carrera,grupo,nombre,materia,sexo,sello) VALUES (1326,'LICENCIATURA','PSICOLOGIA','PSI 8°','GUERRA RIOS BRENDA JEANNETTE','MODELOS PSICOLOGICOS DE INTERVENCION EMERGENTE','FEMENINO',0);</v>
      </c>
    </row>
    <row r="328" spans="1:10" x14ac:dyDescent="0.25">
      <c r="A328">
        <f t="shared" si="25"/>
        <v>1327</v>
      </c>
      <c r="B328" s="1" t="s">
        <v>1</v>
      </c>
      <c r="C328" t="str">
        <f>Hoja1!B328</f>
        <v>PSICOLOGIA</v>
      </c>
      <c r="D328" s="5" t="s">
        <v>1415</v>
      </c>
      <c r="E328" t="str">
        <f>Hoja1!D328</f>
        <v>ROSARIO BECERRA CARLOS ALFONSO</v>
      </c>
      <c r="F328" t="str">
        <f>Hoja1!E328</f>
        <v>PSICOLOGIA DE LO VIRTUAL</v>
      </c>
      <c r="G328" t="str">
        <f>Hoja1!F328</f>
        <v>MASCULINO</v>
      </c>
      <c r="H328">
        <f t="shared" si="22"/>
        <v>0</v>
      </c>
      <c r="I328" t="str">
        <f t="shared" si="23"/>
        <v>1327,'LICENCIATURA','PSICOLOGIA','PSI 8°','ROSARIO BECERRA CARLOS ALFONSO','PSICOLOGIA DE LO VIRTUAL','MASCULINO',0</v>
      </c>
      <c r="J328" t="str">
        <f t="shared" si="24"/>
        <v>INSERT INTO profesores (id,nivel,carrera,grupo,nombre,materia,sexo,sello) VALUES (1327,'LICENCIATURA','PSICOLOGIA','PSI 8°','ROSARIO BECERRA CARLOS ALFONSO','PSICOLOGIA DE LO VIRTUAL','MASCULINO',0);</v>
      </c>
    </row>
    <row r="329" spans="1:10" x14ac:dyDescent="0.25">
      <c r="A329">
        <f t="shared" si="25"/>
        <v>1328</v>
      </c>
      <c r="B329" s="1" t="s">
        <v>1</v>
      </c>
      <c r="C329" t="str">
        <f>Hoja1!B329</f>
        <v>PSICOLOGIA</v>
      </c>
      <c r="D329" s="5" t="s">
        <v>1415</v>
      </c>
      <c r="E329" t="str">
        <f>Hoja1!D329</f>
        <v>SALCEDO ROSALES ERIKA IVETTE</v>
      </c>
      <c r="F329" t="str">
        <f>Hoja1!E329</f>
        <v>TENDENCIAS CONTEMPORANEAS DE LA PSICOLOGIA</v>
      </c>
      <c r="G329" t="str">
        <f>Hoja1!F329</f>
        <v>FEMENINO</v>
      </c>
      <c r="H329">
        <f t="shared" si="22"/>
        <v>0</v>
      </c>
      <c r="I329" t="str">
        <f t="shared" si="23"/>
        <v>1328,'LICENCIATURA','PSICOLOGIA','PSI 8°','SALCEDO ROSALES ERIKA IVETTE','TENDENCIAS CONTEMPORANEAS DE LA PSICOLOGIA','FEMENINO',0</v>
      </c>
      <c r="J329" t="str">
        <f t="shared" si="24"/>
        <v>INSERT INTO profesores (id,nivel,carrera,grupo,nombre,materia,sexo,sello) VALUES (1328,'LICENCIATURA','PSICOLOGIA','PSI 8°','SALCEDO ROSALES ERIKA IVETTE','TENDENCIAS CONTEMPORANEAS DE LA PSICOLOGIA','FEMENINO',0);</v>
      </c>
    </row>
  </sheetData>
  <autoFilter ref="A1:J329" xr:uid="{A2ACEA44-8F28-426F-BCA3-E597F83E35B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PARTICIPANTES</vt:lpstr>
      <vt:lpstr>Materias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2026-03-23T05:21:54Z</dcterms:modified>
</cp:coreProperties>
</file>