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GE6\OneDrive\Documentos\MEGA\test.evaluaciones.umg.edu.mx\eva2026ii\Documentos\Docs anteriores\Informacion\Licenciaturas\"/>
    </mc:Choice>
  </mc:AlternateContent>
  <xr:revisionPtr revIDLastSave="0" documentId="13_ncr:1_{04C9B950-3AC0-4C61-814D-3C9FF24A2C7B}" xr6:coauthVersionLast="47" xr6:coauthVersionMax="47" xr10:uidLastSave="{00000000-0000-0000-0000-000000000000}"/>
  <bookViews>
    <workbookView xWindow="22944" yWindow="0" windowWidth="11712" windowHeight="12336" activeTab="1" xr2:uid="{00000000-000D-0000-FFFF-FFFF00000000}"/>
  </bookViews>
  <sheets>
    <sheet name="ALUMNOS" sheetId="2" r:id="rId1"/>
    <sheet name="PARTICIPANTES" sheetId="3" r:id="rId2"/>
  </sheets>
  <definedNames>
    <definedName name="_xlnm._FilterDatabase" localSheetId="0" hidden="1">ALUMNOS!$A$1:$M$620</definedName>
    <definedName name="_xlnm._FilterDatabase" localSheetId="1" hidden="1">PARTICIPANTES!$A$1:$L$615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C4" i="3"/>
  <c r="M4" i="3" s="1"/>
  <c r="C5" i="3"/>
  <c r="M5" i="3" s="1"/>
  <c r="C6" i="3"/>
  <c r="M6" i="3" s="1"/>
  <c r="C7" i="3"/>
  <c r="M7" i="3" s="1"/>
  <c r="C8" i="3"/>
  <c r="M8" i="3" s="1"/>
  <c r="C9" i="3"/>
  <c r="M9" i="3" s="1"/>
  <c r="C10" i="3"/>
  <c r="M10" i="3" s="1"/>
  <c r="C11" i="3"/>
  <c r="M11" i="3" s="1"/>
  <c r="C12" i="3"/>
  <c r="M12" i="3" s="1"/>
  <c r="C13" i="3"/>
  <c r="M13" i="3" s="1"/>
  <c r="C14" i="3"/>
  <c r="C15" i="3"/>
  <c r="M15" i="3" s="1"/>
  <c r="C16" i="3"/>
  <c r="M16" i="3" s="1"/>
  <c r="C17" i="3"/>
  <c r="M17" i="3" s="1"/>
  <c r="C18" i="3"/>
  <c r="M18" i="3" s="1"/>
  <c r="C19" i="3"/>
  <c r="M19" i="3" s="1"/>
  <c r="C20" i="3"/>
  <c r="M20" i="3" s="1"/>
  <c r="C21" i="3"/>
  <c r="M21" i="3" s="1"/>
  <c r="C22" i="3"/>
  <c r="M22" i="3" s="1"/>
  <c r="C23" i="3"/>
  <c r="M23" i="3" s="1"/>
  <c r="C24" i="3"/>
  <c r="M24" i="3" s="1"/>
  <c r="C25" i="3"/>
  <c r="M25" i="3" s="1"/>
  <c r="C26" i="3"/>
  <c r="C27" i="3"/>
  <c r="M27" i="3" s="1"/>
  <c r="C28" i="3"/>
  <c r="M28" i="3" s="1"/>
  <c r="C29" i="3"/>
  <c r="M29" i="3" s="1"/>
  <c r="C30" i="3"/>
  <c r="M30" i="3" s="1"/>
  <c r="C31" i="3"/>
  <c r="M31" i="3" s="1"/>
  <c r="C32" i="3"/>
  <c r="M32" i="3" s="1"/>
  <c r="C33" i="3"/>
  <c r="M33" i="3" s="1"/>
  <c r="C34" i="3"/>
  <c r="M34" i="3" s="1"/>
  <c r="C35" i="3"/>
  <c r="M35" i="3" s="1"/>
  <c r="C36" i="3"/>
  <c r="M36" i="3" s="1"/>
  <c r="C37" i="3"/>
  <c r="M37" i="3" s="1"/>
  <c r="C38" i="3"/>
  <c r="C39" i="3"/>
  <c r="M39" i="3" s="1"/>
  <c r="C40" i="3"/>
  <c r="M40" i="3" s="1"/>
  <c r="C41" i="3"/>
  <c r="M41" i="3" s="1"/>
  <c r="C42" i="3"/>
  <c r="M42" i="3" s="1"/>
  <c r="C43" i="3"/>
  <c r="M43" i="3" s="1"/>
  <c r="C44" i="3"/>
  <c r="M44" i="3" s="1"/>
  <c r="C45" i="3"/>
  <c r="M45" i="3" s="1"/>
  <c r="C46" i="3"/>
  <c r="M46" i="3" s="1"/>
  <c r="C47" i="3"/>
  <c r="M47" i="3" s="1"/>
  <c r="C48" i="3"/>
  <c r="M48" i="3" s="1"/>
  <c r="C49" i="3"/>
  <c r="M49" i="3" s="1"/>
  <c r="C50" i="3"/>
  <c r="C51" i="3"/>
  <c r="M51" i="3" s="1"/>
  <c r="C52" i="3"/>
  <c r="M52" i="3" s="1"/>
  <c r="C53" i="3"/>
  <c r="M53" i="3" s="1"/>
  <c r="C54" i="3"/>
  <c r="M54" i="3" s="1"/>
  <c r="C55" i="3"/>
  <c r="M55" i="3" s="1"/>
  <c r="C56" i="3"/>
  <c r="M56" i="3" s="1"/>
  <c r="C57" i="3"/>
  <c r="M57" i="3" s="1"/>
  <c r="C58" i="3"/>
  <c r="M58" i="3" s="1"/>
  <c r="C59" i="3"/>
  <c r="M59" i="3" s="1"/>
  <c r="C60" i="3"/>
  <c r="M60" i="3" s="1"/>
  <c r="C61" i="3"/>
  <c r="M61" i="3" s="1"/>
  <c r="C62" i="3"/>
  <c r="C63" i="3"/>
  <c r="M63" i="3" s="1"/>
  <c r="C64" i="3"/>
  <c r="M64" i="3" s="1"/>
  <c r="C65" i="3"/>
  <c r="M65" i="3" s="1"/>
  <c r="C66" i="3"/>
  <c r="M66" i="3" s="1"/>
  <c r="C67" i="3"/>
  <c r="M67" i="3" s="1"/>
  <c r="C68" i="3"/>
  <c r="M68" i="3" s="1"/>
  <c r="C69" i="3"/>
  <c r="M69" i="3" s="1"/>
  <c r="C70" i="3"/>
  <c r="M70" i="3" s="1"/>
  <c r="C71" i="3"/>
  <c r="M71" i="3" s="1"/>
  <c r="C72" i="3"/>
  <c r="M72" i="3" s="1"/>
  <c r="C73" i="3"/>
  <c r="M73" i="3" s="1"/>
  <c r="C74" i="3"/>
  <c r="C75" i="3"/>
  <c r="M75" i="3" s="1"/>
  <c r="C76" i="3"/>
  <c r="M76" i="3" s="1"/>
  <c r="C77" i="3"/>
  <c r="M77" i="3" s="1"/>
  <c r="C78" i="3"/>
  <c r="M78" i="3" s="1"/>
  <c r="C79" i="3"/>
  <c r="M79" i="3" s="1"/>
  <c r="C80" i="3"/>
  <c r="M80" i="3" s="1"/>
  <c r="C81" i="3"/>
  <c r="M81" i="3" s="1"/>
  <c r="C82" i="3"/>
  <c r="M82" i="3" s="1"/>
  <c r="C83" i="3"/>
  <c r="M83" i="3" s="1"/>
  <c r="C84" i="3"/>
  <c r="M84" i="3" s="1"/>
  <c r="C85" i="3"/>
  <c r="M85" i="3" s="1"/>
  <c r="C86" i="3"/>
  <c r="C87" i="3"/>
  <c r="M87" i="3" s="1"/>
  <c r="C88" i="3"/>
  <c r="M88" i="3" s="1"/>
  <c r="C89" i="3"/>
  <c r="M89" i="3" s="1"/>
  <c r="C90" i="3"/>
  <c r="M90" i="3" s="1"/>
  <c r="C91" i="3"/>
  <c r="M91" i="3" s="1"/>
  <c r="C92" i="3"/>
  <c r="M92" i="3" s="1"/>
  <c r="C93" i="3"/>
  <c r="M93" i="3" s="1"/>
  <c r="C94" i="3"/>
  <c r="M94" i="3" s="1"/>
  <c r="C95" i="3"/>
  <c r="M95" i="3" s="1"/>
  <c r="C96" i="3"/>
  <c r="M96" i="3" s="1"/>
  <c r="C97" i="3"/>
  <c r="M97" i="3" s="1"/>
  <c r="C98" i="3"/>
  <c r="C99" i="3"/>
  <c r="M99" i="3" s="1"/>
  <c r="C100" i="3"/>
  <c r="M100" i="3" s="1"/>
  <c r="C101" i="3"/>
  <c r="M101" i="3" s="1"/>
  <c r="C102" i="3"/>
  <c r="M102" i="3" s="1"/>
  <c r="C103" i="3"/>
  <c r="M103" i="3" s="1"/>
  <c r="C104" i="3"/>
  <c r="M104" i="3" s="1"/>
  <c r="C105" i="3"/>
  <c r="M105" i="3" s="1"/>
  <c r="C106" i="3"/>
  <c r="M106" i="3" s="1"/>
  <c r="C107" i="3"/>
  <c r="M107" i="3" s="1"/>
  <c r="C108" i="3"/>
  <c r="M108" i="3" s="1"/>
  <c r="C109" i="3"/>
  <c r="M109" i="3" s="1"/>
  <c r="C110" i="3"/>
  <c r="C111" i="3"/>
  <c r="M111" i="3" s="1"/>
  <c r="C112" i="3"/>
  <c r="M112" i="3" s="1"/>
  <c r="C113" i="3"/>
  <c r="M113" i="3" s="1"/>
  <c r="C114" i="3"/>
  <c r="M114" i="3" s="1"/>
  <c r="C115" i="3"/>
  <c r="M115" i="3" s="1"/>
  <c r="C116" i="3"/>
  <c r="M116" i="3" s="1"/>
  <c r="C117" i="3"/>
  <c r="M117" i="3" s="1"/>
  <c r="C118" i="3"/>
  <c r="M118" i="3" s="1"/>
  <c r="C119" i="3"/>
  <c r="M119" i="3" s="1"/>
  <c r="C120" i="3"/>
  <c r="M120" i="3" s="1"/>
  <c r="C121" i="3"/>
  <c r="M121" i="3" s="1"/>
  <c r="C122" i="3"/>
  <c r="C123" i="3"/>
  <c r="M123" i="3" s="1"/>
  <c r="C124" i="3"/>
  <c r="M124" i="3" s="1"/>
  <c r="C125" i="3"/>
  <c r="M125" i="3" s="1"/>
  <c r="C126" i="3"/>
  <c r="M126" i="3" s="1"/>
  <c r="C127" i="3"/>
  <c r="M127" i="3" s="1"/>
  <c r="C128" i="3"/>
  <c r="M128" i="3" s="1"/>
  <c r="C129" i="3"/>
  <c r="M129" i="3" s="1"/>
  <c r="C130" i="3"/>
  <c r="M130" i="3" s="1"/>
  <c r="C131" i="3"/>
  <c r="M131" i="3" s="1"/>
  <c r="C132" i="3"/>
  <c r="M132" i="3" s="1"/>
  <c r="C133" i="3"/>
  <c r="M133" i="3" s="1"/>
  <c r="C134" i="3"/>
  <c r="C135" i="3"/>
  <c r="M135" i="3" s="1"/>
  <c r="C136" i="3"/>
  <c r="M136" i="3" s="1"/>
  <c r="C137" i="3"/>
  <c r="M137" i="3" s="1"/>
  <c r="C138" i="3"/>
  <c r="M138" i="3" s="1"/>
  <c r="C139" i="3"/>
  <c r="M139" i="3" s="1"/>
  <c r="C140" i="3"/>
  <c r="M140" i="3" s="1"/>
  <c r="C141" i="3"/>
  <c r="M141" i="3" s="1"/>
  <c r="C142" i="3"/>
  <c r="M142" i="3" s="1"/>
  <c r="C143" i="3"/>
  <c r="M143" i="3" s="1"/>
  <c r="C144" i="3"/>
  <c r="M144" i="3" s="1"/>
  <c r="C145" i="3"/>
  <c r="M145" i="3" s="1"/>
  <c r="C146" i="3"/>
  <c r="C147" i="3"/>
  <c r="M147" i="3" s="1"/>
  <c r="C148" i="3"/>
  <c r="M148" i="3" s="1"/>
  <c r="C149" i="3"/>
  <c r="M149" i="3" s="1"/>
  <c r="C150" i="3"/>
  <c r="M150" i="3" s="1"/>
  <c r="C151" i="3"/>
  <c r="M151" i="3" s="1"/>
  <c r="C152" i="3"/>
  <c r="M152" i="3" s="1"/>
  <c r="C153" i="3"/>
  <c r="M153" i="3" s="1"/>
  <c r="C154" i="3"/>
  <c r="M154" i="3" s="1"/>
  <c r="C155" i="3"/>
  <c r="M155" i="3" s="1"/>
  <c r="C156" i="3"/>
  <c r="M156" i="3" s="1"/>
  <c r="C157" i="3"/>
  <c r="M157" i="3" s="1"/>
  <c r="C158" i="3"/>
  <c r="C159" i="3"/>
  <c r="M159" i="3" s="1"/>
  <c r="C160" i="3"/>
  <c r="M160" i="3" s="1"/>
  <c r="C161" i="3"/>
  <c r="M161" i="3" s="1"/>
  <c r="C162" i="3"/>
  <c r="M162" i="3" s="1"/>
  <c r="C163" i="3"/>
  <c r="M163" i="3" s="1"/>
  <c r="C164" i="3"/>
  <c r="M164" i="3" s="1"/>
  <c r="C165" i="3"/>
  <c r="M165" i="3" s="1"/>
  <c r="C166" i="3"/>
  <c r="M166" i="3" s="1"/>
  <c r="C167" i="3"/>
  <c r="M167" i="3" s="1"/>
  <c r="C168" i="3"/>
  <c r="M168" i="3" s="1"/>
  <c r="C169" i="3"/>
  <c r="M169" i="3" s="1"/>
  <c r="C170" i="3"/>
  <c r="C171" i="3"/>
  <c r="M171" i="3" s="1"/>
  <c r="C172" i="3"/>
  <c r="M172" i="3" s="1"/>
  <c r="C173" i="3"/>
  <c r="M173" i="3" s="1"/>
  <c r="C174" i="3"/>
  <c r="M174" i="3" s="1"/>
  <c r="C175" i="3"/>
  <c r="M175" i="3" s="1"/>
  <c r="C176" i="3"/>
  <c r="M176" i="3" s="1"/>
  <c r="C177" i="3"/>
  <c r="M177" i="3" s="1"/>
  <c r="C178" i="3"/>
  <c r="M178" i="3" s="1"/>
  <c r="C179" i="3"/>
  <c r="M179" i="3" s="1"/>
  <c r="C180" i="3"/>
  <c r="M180" i="3" s="1"/>
  <c r="C181" i="3"/>
  <c r="M181" i="3" s="1"/>
  <c r="C182" i="3"/>
  <c r="C183" i="3"/>
  <c r="M183" i="3" s="1"/>
  <c r="C184" i="3"/>
  <c r="M184" i="3" s="1"/>
  <c r="C185" i="3"/>
  <c r="M185" i="3" s="1"/>
  <c r="C186" i="3"/>
  <c r="M186" i="3" s="1"/>
  <c r="C187" i="3"/>
  <c r="M187" i="3" s="1"/>
  <c r="C188" i="3"/>
  <c r="M188" i="3" s="1"/>
  <c r="C189" i="3"/>
  <c r="M189" i="3" s="1"/>
  <c r="C190" i="3"/>
  <c r="M190" i="3" s="1"/>
  <c r="C191" i="3"/>
  <c r="M191" i="3" s="1"/>
  <c r="C192" i="3"/>
  <c r="M192" i="3" s="1"/>
  <c r="C193" i="3"/>
  <c r="M193" i="3" s="1"/>
  <c r="C194" i="3"/>
  <c r="C195" i="3"/>
  <c r="M195" i="3" s="1"/>
  <c r="C196" i="3"/>
  <c r="M196" i="3" s="1"/>
  <c r="C197" i="3"/>
  <c r="M197" i="3" s="1"/>
  <c r="C198" i="3"/>
  <c r="M198" i="3" s="1"/>
  <c r="C199" i="3"/>
  <c r="M199" i="3" s="1"/>
  <c r="C200" i="3"/>
  <c r="M200" i="3" s="1"/>
  <c r="C201" i="3"/>
  <c r="M201" i="3" s="1"/>
  <c r="C202" i="3"/>
  <c r="M202" i="3" s="1"/>
  <c r="C203" i="3"/>
  <c r="M203" i="3" s="1"/>
  <c r="C204" i="3"/>
  <c r="M204" i="3" s="1"/>
  <c r="C205" i="3"/>
  <c r="M205" i="3" s="1"/>
  <c r="C206" i="3"/>
  <c r="C207" i="3"/>
  <c r="M207" i="3" s="1"/>
  <c r="C208" i="3"/>
  <c r="M208" i="3" s="1"/>
  <c r="C209" i="3"/>
  <c r="M209" i="3" s="1"/>
  <c r="C210" i="3"/>
  <c r="M210" i="3" s="1"/>
  <c r="C211" i="3"/>
  <c r="M211" i="3" s="1"/>
  <c r="C212" i="3"/>
  <c r="M212" i="3" s="1"/>
  <c r="C213" i="3"/>
  <c r="M213" i="3" s="1"/>
  <c r="C214" i="3"/>
  <c r="M214" i="3" s="1"/>
  <c r="C215" i="3"/>
  <c r="M215" i="3" s="1"/>
  <c r="C216" i="3"/>
  <c r="M216" i="3" s="1"/>
  <c r="C217" i="3"/>
  <c r="M217" i="3" s="1"/>
  <c r="C218" i="3"/>
  <c r="C219" i="3"/>
  <c r="M219" i="3" s="1"/>
  <c r="C220" i="3"/>
  <c r="M220" i="3" s="1"/>
  <c r="C221" i="3"/>
  <c r="M221" i="3" s="1"/>
  <c r="C222" i="3"/>
  <c r="M222" i="3" s="1"/>
  <c r="C223" i="3"/>
  <c r="M223" i="3" s="1"/>
  <c r="C224" i="3"/>
  <c r="M224" i="3" s="1"/>
  <c r="C225" i="3"/>
  <c r="M225" i="3" s="1"/>
  <c r="C226" i="3"/>
  <c r="M226" i="3" s="1"/>
  <c r="C227" i="3"/>
  <c r="M227" i="3" s="1"/>
  <c r="C228" i="3"/>
  <c r="M228" i="3" s="1"/>
  <c r="C229" i="3"/>
  <c r="M229" i="3" s="1"/>
  <c r="C230" i="3"/>
  <c r="C231" i="3"/>
  <c r="M231" i="3" s="1"/>
  <c r="C232" i="3"/>
  <c r="M232" i="3" s="1"/>
  <c r="C233" i="3"/>
  <c r="M233" i="3" s="1"/>
  <c r="C234" i="3"/>
  <c r="M234" i="3" s="1"/>
  <c r="C235" i="3"/>
  <c r="M235" i="3" s="1"/>
  <c r="C236" i="3"/>
  <c r="M236" i="3" s="1"/>
  <c r="C237" i="3"/>
  <c r="M237" i="3" s="1"/>
  <c r="C238" i="3"/>
  <c r="M238" i="3" s="1"/>
  <c r="C239" i="3"/>
  <c r="M239" i="3" s="1"/>
  <c r="C240" i="3"/>
  <c r="M240" i="3" s="1"/>
  <c r="C241" i="3"/>
  <c r="M241" i="3" s="1"/>
  <c r="C242" i="3"/>
  <c r="C243" i="3"/>
  <c r="M243" i="3" s="1"/>
  <c r="C244" i="3"/>
  <c r="M244" i="3" s="1"/>
  <c r="C245" i="3"/>
  <c r="M245" i="3" s="1"/>
  <c r="C246" i="3"/>
  <c r="M246" i="3" s="1"/>
  <c r="C247" i="3"/>
  <c r="M247" i="3" s="1"/>
  <c r="C248" i="3"/>
  <c r="M248" i="3" s="1"/>
  <c r="C249" i="3"/>
  <c r="M249" i="3" s="1"/>
  <c r="C250" i="3"/>
  <c r="M250" i="3" s="1"/>
  <c r="C251" i="3"/>
  <c r="M251" i="3" s="1"/>
  <c r="C252" i="3"/>
  <c r="M252" i="3" s="1"/>
  <c r="C253" i="3"/>
  <c r="M253" i="3" s="1"/>
  <c r="C254" i="3"/>
  <c r="C255" i="3"/>
  <c r="M255" i="3" s="1"/>
  <c r="C256" i="3"/>
  <c r="M256" i="3" s="1"/>
  <c r="C257" i="3"/>
  <c r="M257" i="3" s="1"/>
  <c r="C258" i="3"/>
  <c r="M258" i="3" s="1"/>
  <c r="C259" i="3"/>
  <c r="M259" i="3" s="1"/>
  <c r="C260" i="3"/>
  <c r="M260" i="3" s="1"/>
  <c r="C261" i="3"/>
  <c r="M261" i="3" s="1"/>
  <c r="C262" i="3"/>
  <c r="M262" i="3" s="1"/>
  <c r="C263" i="3"/>
  <c r="M263" i="3" s="1"/>
  <c r="C264" i="3"/>
  <c r="M264" i="3" s="1"/>
  <c r="C265" i="3"/>
  <c r="M265" i="3" s="1"/>
  <c r="C266" i="3"/>
  <c r="C267" i="3"/>
  <c r="M267" i="3" s="1"/>
  <c r="C268" i="3"/>
  <c r="M268" i="3" s="1"/>
  <c r="C269" i="3"/>
  <c r="M269" i="3" s="1"/>
  <c r="C270" i="3"/>
  <c r="M270" i="3" s="1"/>
  <c r="C271" i="3"/>
  <c r="M271" i="3" s="1"/>
  <c r="C272" i="3"/>
  <c r="M272" i="3" s="1"/>
  <c r="C273" i="3"/>
  <c r="M273" i="3" s="1"/>
  <c r="C274" i="3"/>
  <c r="M274" i="3" s="1"/>
  <c r="C275" i="3"/>
  <c r="M275" i="3" s="1"/>
  <c r="C276" i="3"/>
  <c r="M276" i="3" s="1"/>
  <c r="C277" i="3"/>
  <c r="M277" i="3" s="1"/>
  <c r="C278" i="3"/>
  <c r="C279" i="3"/>
  <c r="M279" i="3" s="1"/>
  <c r="C280" i="3"/>
  <c r="M280" i="3" s="1"/>
  <c r="C281" i="3"/>
  <c r="M281" i="3" s="1"/>
  <c r="C282" i="3"/>
  <c r="M282" i="3" s="1"/>
  <c r="C283" i="3"/>
  <c r="M283" i="3" s="1"/>
  <c r="C284" i="3"/>
  <c r="M284" i="3" s="1"/>
  <c r="C285" i="3"/>
  <c r="M285" i="3" s="1"/>
  <c r="C286" i="3"/>
  <c r="M286" i="3" s="1"/>
  <c r="C287" i="3"/>
  <c r="M287" i="3" s="1"/>
  <c r="C288" i="3"/>
  <c r="M288" i="3" s="1"/>
  <c r="C289" i="3"/>
  <c r="M289" i="3" s="1"/>
  <c r="C290" i="3"/>
  <c r="C291" i="3"/>
  <c r="M291" i="3" s="1"/>
  <c r="C292" i="3"/>
  <c r="M292" i="3" s="1"/>
  <c r="C293" i="3"/>
  <c r="M293" i="3" s="1"/>
  <c r="C294" i="3"/>
  <c r="M294" i="3" s="1"/>
  <c r="C295" i="3"/>
  <c r="M295" i="3" s="1"/>
  <c r="C296" i="3"/>
  <c r="M296" i="3" s="1"/>
  <c r="C297" i="3"/>
  <c r="M297" i="3" s="1"/>
  <c r="C298" i="3"/>
  <c r="M298" i="3" s="1"/>
  <c r="C299" i="3"/>
  <c r="M299" i="3" s="1"/>
  <c r="C300" i="3"/>
  <c r="M300" i="3" s="1"/>
  <c r="C301" i="3"/>
  <c r="M301" i="3" s="1"/>
  <c r="C302" i="3"/>
  <c r="C303" i="3"/>
  <c r="M303" i="3" s="1"/>
  <c r="C304" i="3"/>
  <c r="M304" i="3" s="1"/>
  <c r="C305" i="3"/>
  <c r="M305" i="3" s="1"/>
  <c r="C306" i="3"/>
  <c r="M306" i="3" s="1"/>
  <c r="C307" i="3"/>
  <c r="M307" i="3" s="1"/>
  <c r="C308" i="3"/>
  <c r="M308" i="3" s="1"/>
  <c r="C309" i="3"/>
  <c r="M309" i="3" s="1"/>
  <c r="C310" i="3"/>
  <c r="M310" i="3" s="1"/>
  <c r="C311" i="3"/>
  <c r="M311" i="3" s="1"/>
  <c r="C312" i="3"/>
  <c r="M312" i="3" s="1"/>
  <c r="C313" i="3"/>
  <c r="M313" i="3" s="1"/>
  <c r="C314" i="3"/>
  <c r="C315" i="3"/>
  <c r="M315" i="3" s="1"/>
  <c r="C316" i="3"/>
  <c r="M316" i="3" s="1"/>
  <c r="C317" i="3"/>
  <c r="M317" i="3" s="1"/>
  <c r="C318" i="3"/>
  <c r="M318" i="3" s="1"/>
  <c r="C319" i="3"/>
  <c r="M319" i="3" s="1"/>
  <c r="C320" i="3"/>
  <c r="M320" i="3" s="1"/>
  <c r="C321" i="3"/>
  <c r="M321" i="3" s="1"/>
  <c r="C322" i="3"/>
  <c r="M322" i="3" s="1"/>
  <c r="C323" i="3"/>
  <c r="M323" i="3" s="1"/>
  <c r="C324" i="3"/>
  <c r="M324" i="3" s="1"/>
  <c r="C325" i="3"/>
  <c r="M325" i="3" s="1"/>
  <c r="C326" i="3"/>
  <c r="C327" i="3"/>
  <c r="M327" i="3" s="1"/>
  <c r="C328" i="3"/>
  <c r="M328" i="3" s="1"/>
  <c r="C329" i="3"/>
  <c r="M329" i="3" s="1"/>
  <c r="C330" i="3"/>
  <c r="M330" i="3" s="1"/>
  <c r="C331" i="3"/>
  <c r="M331" i="3" s="1"/>
  <c r="C332" i="3"/>
  <c r="M332" i="3" s="1"/>
  <c r="C333" i="3"/>
  <c r="M333" i="3" s="1"/>
  <c r="C334" i="3"/>
  <c r="M334" i="3" s="1"/>
  <c r="C335" i="3"/>
  <c r="M335" i="3" s="1"/>
  <c r="C336" i="3"/>
  <c r="M336" i="3" s="1"/>
  <c r="C337" i="3"/>
  <c r="M337" i="3" s="1"/>
  <c r="C338" i="3"/>
  <c r="C339" i="3"/>
  <c r="M339" i="3" s="1"/>
  <c r="C340" i="3"/>
  <c r="M340" i="3" s="1"/>
  <c r="C341" i="3"/>
  <c r="M341" i="3" s="1"/>
  <c r="C342" i="3"/>
  <c r="M342" i="3" s="1"/>
  <c r="C343" i="3"/>
  <c r="M343" i="3" s="1"/>
  <c r="C344" i="3"/>
  <c r="M344" i="3" s="1"/>
  <c r="C345" i="3"/>
  <c r="M345" i="3" s="1"/>
  <c r="C346" i="3"/>
  <c r="M346" i="3" s="1"/>
  <c r="C347" i="3"/>
  <c r="M347" i="3" s="1"/>
  <c r="C348" i="3"/>
  <c r="M348" i="3" s="1"/>
  <c r="C349" i="3"/>
  <c r="M349" i="3" s="1"/>
  <c r="C350" i="3"/>
  <c r="C351" i="3"/>
  <c r="M351" i="3" s="1"/>
  <c r="C352" i="3"/>
  <c r="M352" i="3" s="1"/>
  <c r="C353" i="3"/>
  <c r="M353" i="3" s="1"/>
  <c r="C354" i="3"/>
  <c r="M354" i="3" s="1"/>
  <c r="C355" i="3"/>
  <c r="M355" i="3" s="1"/>
  <c r="C356" i="3"/>
  <c r="M356" i="3" s="1"/>
  <c r="C357" i="3"/>
  <c r="M357" i="3" s="1"/>
  <c r="C358" i="3"/>
  <c r="M358" i="3" s="1"/>
  <c r="C359" i="3"/>
  <c r="M359" i="3" s="1"/>
  <c r="C360" i="3"/>
  <c r="M360" i="3" s="1"/>
  <c r="C361" i="3"/>
  <c r="M361" i="3" s="1"/>
  <c r="C362" i="3"/>
  <c r="C363" i="3"/>
  <c r="M363" i="3" s="1"/>
  <c r="C364" i="3"/>
  <c r="M364" i="3" s="1"/>
  <c r="C365" i="3"/>
  <c r="M365" i="3" s="1"/>
  <c r="C366" i="3"/>
  <c r="M366" i="3" s="1"/>
  <c r="C367" i="3"/>
  <c r="M367" i="3" s="1"/>
  <c r="C368" i="3"/>
  <c r="M368" i="3" s="1"/>
  <c r="C369" i="3"/>
  <c r="M369" i="3" s="1"/>
  <c r="C370" i="3"/>
  <c r="M370" i="3" s="1"/>
  <c r="C371" i="3"/>
  <c r="M371" i="3" s="1"/>
  <c r="C372" i="3"/>
  <c r="M372" i="3" s="1"/>
  <c r="C373" i="3"/>
  <c r="M373" i="3" s="1"/>
  <c r="C374" i="3"/>
  <c r="C375" i="3"/>
  <c r="M375" i="3" s="1"/>
  <c r="C376" i="3"/>
  <c r="M376" i="3" s="1"/>
  <c r="C377" i="3"/>
  <c r="M377" i="3" s="1"/>
  <c r="C378" i="3"/>
  <c r="M378" i="3" s="1"/>
  <c r="C379" i="3"/>
  <c r="M379" i="3" s="1"/>
  <c r="C380" i="3"/>
  <c r="M380" i="3" s="1"/>
  <c r="C381" i="3"/>
  <c r="M381" i="3" s="1"/>
  <c r="C382" i="3"/>
  <c r="M382" i="3" s="1"/>
  <c r="C383" i="3"/>
  <c r="M383" i="3" s="1"/>
  <c r="C384" i="3"/>
  <c r="M384" i="3" s="1"/>
  <c r="C385" i="3"/>
  <c r="M385" i="3" s="1"/>
  <c r="C386" i="3"/>
  <c r="C387" i="3"/>
  <c r="M387" i="3" s="1"/>
  <c r="C388" i="3"/>
  <c r="M388" i="3" s="1"/>
  <c r="C389" i="3"/>
  <c r="M389" i="3" s="1"/>
  <c r="C390" i="3"/>
  <c r="M390" i="3" s="1"/>
  <c r="C391" i="3"/>
  <c r="M391" i="3" s="1"/>
  <c r="C392" i="3"/>
  <c r="M392" i="3" s="1"/>
  <c r="C393" i="3"/>
  <c r="M393" i="3" s="1"/>
  <c r="C394" i="3"/>
  <c r="M394" i="3" s="1"/>
  <c r="C395" i="3"/>
  <c r="M395" i="3" s="1"/>
  <c r="C396" i="3"/>
  <c r="M396" i="3" s="1"/>
  <c r="C397" i="3"/>
  <c r="M397" i="3" s="1"/>
  <c r="C398" i="3"/>
  <c r="C399" i="3"/>
  <c r="M399" i="3" s="1"/>
  <c r="C400" i="3"/>
  <c r="M400" i="3" s="1"/>
  <c r="C401" i="3"/>
  <c r="M401" i="3" s="1"/>
  <c r="C402" i="3"/>
  <c r="M402" i="3" s="1"/>
  <c r="C403" i="3"/>
  <c r="M403" i="3" s="1"/>
  <c r="C404" i="3"/>
  <c r="M404" i="3" s="1"/>
  <c r="C405" i="3"/>
  <c r="M405" i="3" s="1"/>
  <c r="C406" i="3"/>
  <c r="M406" i="3" s="1"/>
  <c r="C407" i="3"/>
  <c r="M407" i="3" s="1"/>
  <c r="C408" i="3"/>
  <c r="M408" i="3" s="1"/>
  <c r="C409" i="3"/>
  <c r="M409" i="3" s="1"/>
  <c r="C410" i="3"/>
  <c r="C411" i="3"/>
  <c r="M411" i="3" s="1"/>
  <c r="C412" i="3"/>
  <c r="M412" i="3" s="1"/>
  <c r="C413" i="3"/>
  <c r="M413" i="3" s="1"/>
  <c r="C414" i="3"/>
  <c r="M414" i="3" s="1"/>
  <c r="C415" i="3"/>
  <c r="M415" i="3" s="1"/>
  <c r="C416" i="3"/>
  <c r="M416" i="3" s="1"/>
  <c r="C417" i="3"/>
  <c r="M417" i="3" s="1"/>
  <c r="C418" i="3"/>
  <c r="M418" i="3" s="1"/>
  <c r="C419" i="3"/>
  <c r="M419" i="3" s="1"/>
  <c r="C420" i="3"/>
  <c r="M420" i="3" s="1"/>
  <c r="C421" i="3"/>
  <c r="M421" i="3" s="1"/>
  <c r="C422" i="3"/>
  <c r="C423" i="3"/>
  <c r="M423" i="3" s="1"/>
  <c r="C424" i="3"/>
  <c r="M424" i="3" s="1"/>
  <c r="C425" i="3"/>
  <c r="M425" i="3" s="1"/>
  <c r="C426" i="3"/>
  <c r="M426" i="3" s="1"/>
  <c r="C427" i="3"/>
  <c r="M427" i="3" s="1"/>
  <c r="C428" i="3"/>
  <c r="M428" i="3" s="1"/>
  <c r="C429" i="3"/>
  <c r="M429" i="3" s="1"/>
  <c r="C430" i="3"/>
  <c r="M430" i="3" s="1"/>
  <c r="C431" i="3"/>
  <c r="M431" i="3" s="1"/>
  <c r="C432" i="3"/>
  <c r="M432" i="3" s="1"/>
  <c r="C433" i="3"/>
  <c r="M433" i="3" s="1"/>
  <c r="C434" i="3"/>
  <c r="C435" i="3"/>
  <c r="M435" i="3" s="1"/>
  <c r="C436" i="3"/>
  <c r="M436" i="3" s="1"/>
  <c r="C437" i="3"/>
  <c r="M437" i="3" s="1"/>
  <c r="C438" i="3"/>
  <c r="M438" i="3" s="1"/>
  <c r="C439" i="3"/>
  <c r="M439" i="3" s="1"/>
  <c r="C440" i="3"/>
  <c r="M440" i="3" s="1"/>
  <c r="C441" i="3"/>
  <c r="M441" i="3" s="1"/>
  <c r="C442" i="3"/>
  <c r="M442" i="3" s="1"/>
  <c r="C443" i="3"/>
  <c r="M443" i="3" s="1"/>
  <c r="C444" i="3"/>
  <c r="M444" i="3" s="1"/>
  <c r="C445" i="3"/>
  <c r="M445" i="3" s="1"/>
  <c r="C446" i="3"/>
  <c r="C447" i="3"/>
  <c r="M447" i="3" s="1"/>
  <c r="C448" i="3"/>
  <c r="M448" i="3" s="1"/>
  <c r="C449" i="3"/>
  <c r="M449" i="3" s="1"/>
  <c r="C450" i="3"/>
  <c r="M450" i="3" s="1"/>
  <c r="C451" i="3"/>
  <c r="M451" i="3" s="1"/>
  <c r="C452" i="3"/>
  <c r="M452" i="3" s="1"/>
  <c r="C453" i="3"/>
  <c r="M453" i="3" s="1"/>
  <c r="C454" i="3"/>
  <c r="M454" i="3" s="1"/>
  <c r="C455" i="3"/>
  <c r="M455" i="3" s="1"/>
  <c r="C456" i="3"/>
  <c r="M456" i="3" s="1"/>
  <c r="C457" i="3"/>
  <c r="M457" i="3" s="1"/>
  <c r="C458" i="3"/>
  <c r="C459" i="3"/>
  <c r="M459" i="3" s="1"/>
  <c r="C460" i="3"/>
  <c r="M460" i="3" s="1"/>
  <c r="C461" i="3"/>
  <c r="M461" i="3" s="1"/>
  <c r="C462" i="3"/>
  <c r="M462" i="3" s="1"/>
  <c r="C463" i="3"/>
  <c r="M463" i="3" s="1"/>
  <c r="C464" i="3"/>
  <c r="M464" i="3" s="1"/>
  <c r="C465" i="3"/>
  <c r="M465" i="3" s="1"/>
  <c r="C466" i="3"/>
  <c r="M466" i="3" s="1"/>
  <c r="C467" i="3"/>
  <c r="M467" i="3" s="1"/>
  <c r="C468" i="3"/>
  <c r="M468" i="3" s="1"/>
  <c r="C469" i="3"/>
  <c r="M469" i="3" s="1"/>
  <c r="C470" i="3"/>
  <c r="C471" i="3"/>
  <c r="M471" i="3" s="1"/>
  <c r="C472" i="3"/>
  <c r="M472" i="3" s="1"/>
  <c r="C473" i="3"/>
  <c r="M473" i="3" s="1"/>
  <c r="C474" i="3"/>
  <c r="M474" i="3" s="1"/>
  <c r="C475" i="3"/>
  <c r="M475" i="3" s="1"/>
  <c r="C476" i="3"/>
  <c r="M476" i="3" s="1"/>
  <c r="C477" i="3"/>
  <c r="M477" i="3" s="1"/>
  <c r="C478" i="3"/>
  <c r="M478" i="3" s="1"/>
  <c r="C479" i="3"/>
  <c r="M479" i="3" s="1"/>
  <c r="C480" i="3"/>
  <c r="M480" i="3" s="1"/>
  <c r="C481" i="3"/>
  <c r="M481" i="3" s="1"/>
  <c r="C482" i="3"/>
  <c r="C483" i="3"/>
  <c r="M483" i="3" s="1"/>
  <c r="C484" i="3"/>
  <c r="M484" i="3" s="1"/>
  <c r="C485" i="3"/>
  <c r="M485" i="3" s="1"/>
  <c r="C486" i="3"/>
  <c r="M486" i="3" s="1"/>
  <c r="C487" i="3"/>
  <c r="M487" i="3" s="1"/>
  <c r="C488" i="3"/>
  <c r="M488" i="3" s="1"/>
  <c r="C489" i="3"/>
  <c r="M489" i="3" s="1"/>
  <c r="C490" i="3"/>
  <c r="M490" i="3" s="1"/>
  <c r="C491" i="3"/>
  <c r="M491" i="3" s="1"/>
  <c r="C492" i="3"/>
  <c r="M492" i="3" s="1"/>
  <c r="C493" i="3"/>
  <c r="M493" i="3" s="1"/>
  <c r="C494" i="3"/>
  <c r="C495" i="3"/>
  <c r="M495" i="3" s="1"/>
  <c r="C496" i="3"/>
  <c r="M496" i="3" s="1"/>
  <c r="C497" i="3"/>
  <c r="M497" i="3" s="1"/>
  <c r="C498" i="3"/>
  <c r="M498" i="3" s="1"/>
  <c r="C499" i="3"/>
  <c r="M499" i="3" s="1"/>
  <c r="C500" i="3"/>
  <c r="M500" i="3" s="1"/>
  <c r="C501" i="3"/>
  <c r="M501" i="3" s="1"/>
  <c r="C502" i="3"/>
  <c r="M502" i="3" s="1"/>
  <c r="C503" i="3"/>
  <c r="M503" i="3" s="1"/>
  <c r="C504" i="3"/>
  <c r="M504" i="3" s="1"/>
  <c r="C505" i="3"/>
  <c r="M505" i="3" s="1"/>
  <c r="C506" i="3"/>
  <c r="C507" i="3"/>
  <c r="M507" i="3" s="1"/>
  <c r="C508" i="3"/>
  <c r="M508" i="3" s="1"/>
  <c r="C509" i="3"/>
  <c r="M509" i="3" s="1"/>
  <c r="C510" i="3"/>
  <c r="M510" i="3" s="1"/>
  <c r="C511" i="3"/>
  <c r="M511" i="3" s="1"/>
  <c r="C512" i="3"/>
  <c r="M512" i="3" s="1"/>
  <c r="C513" i="3"/>
  <c r="M513" i="3" s="1"/>
  <c r="C514" i="3"/>
  <c r="M514" i="3" s="1"/>
  <c r="C515" i="3"/>
  <c r="M515" i="3" s="1"/>
  <c r="C516" i="3"/>
  <c r="M516" i="3" s="1"/>
  <c r="C517" i="3"/>
  <c r="M517" i="3" s="1"/>
  <c r="C518" i="3"/>
  <c r="C519" i="3"/>
  <c r="M519" i="3" s="1"/>
  <c r="C520" i="3"/>
  <c r="M520" i="3" s="1"/>
  <c r="C521" i="3"/>
  <c r="M521" i="3" s="1"/>
  <c r="C522" i="3"/>
  <c r="M522" i="3" s="1"/>
  <c r="C523" i="3"/>
  <c r="M523" i="3" s="1"/>
  <c r="C524" i="3"/>
  <c r="M524" i="3" s="1"/>
  <c r="C525" i="3"/>
  <c r="M525" i="3" s="1"/>
  <c r="C526" i="3"/>
  <c r="M526" i="3" s="1"/>
  <c r="C527" i="3"/>
  <c r="M527" i="3" s="1"/>
  <c r="C528" i="3"/>
  <c r="M528" i="3" s="1"/>
  <c r="C529" i="3"/>
  <c r="M529" i="3" s="1"/>
  <c r="C530" i="3"/>
  <c r="C531" i="3"/>
  <c r="M531" i="3" s="1"/>
  <c r="C532" i="3"/>
  <c r="M532" i="3" s="1"/>
  <c r="C533" i="3"/>
  <c r="M533" i="3" s="1"/>
  <c r="C534" i="3"/>
  <c r="M534" i="3" s="1"/>
  <c r="C535" i="3"/>
  <c r="M535" i="3" s="1"/>
  <c r="C536" i="3"/>
  <c r="M536" i="3" s="1"/>
  <c r="C537" i="3"/>
  <c r="M537" i="3" s="1"/>
  <c r="C538" i="3"/>
  <c r="M538" i="3" s="1"/>
  <c r="C539" i="3"/>
  <c r="M539" i="3" s="1"/>
  <c r="C540" i="3"/>
  <c r="M540" i="3" s="1"/>
  <c r="C541" i="3"/>
  <c r="M541" i="3" s="1"/>
  <c r="C542" i="3"/>
  <c r="C543" i="3"/>
  <c r="M543" i="3" s="1"/>
  <c r="C544" i="3"/>
  <c r="M544" i="3" s="1"/>
  <c r="C545" i="3"/>
  <c r="M545" i="3" s="1"/>
  <c r="C546" i="3"/>
  <c r="M546" i="3" s="1"/>
  <c r="C547" i="3"/>
  <c r="M547" i="3" s="1"/>
  <c r="C548" i="3"/>
  <c r="M548" i="3" s="1"/>
  <c r="C549" i="3"/>
  <c r="M549" i="3" s="1"/>
  <c r="C550" i="3"/>
  <c r="M550" i="3" s="1"/>
  <c r="C551" i="3"/>
  <c r="M551" i="3" s="1"/>
  <c r="C552" i="3"/>
  <c r="M552" i="3" s="1"/>
  <c r="C553" i="3"/>
  <c r="M553" i="3" s="1"/>
  <c r="C554" i="3"/>
  <c r="C555" i="3"/>
  <c r="M555" i="3" s="1"/>
  <c r="C556" i="3"/>
  <c r="M556" i="3" s="1"/>
  <c r="C557" i="3"/>
  <c r="M557" i="3" s="1"/>
  <c r="C558" i="3"/>
  <c r="M558" i="3" s="1"/>
  <c r="C559" i="3"/>
  <c r="M559" i="3" s="1"/>
  <c r="C560" i="3"/>
  <c r="M560" i="3" s="1"/>
  <c r="C561" i="3"/>
  <c r="M561" i="3" s="1"/>
  <c r="C562" i="3"/>
  <c r="M562" i="3" s="1"/>
  <c r="C563" i="3"/>
  <c r="M563" i="3" s="1"/>
  <c r="C564" i="3"/>
  <c r="M564" i="3" s="1"/>
  <c r="C565" i="3"/>
  <c r="M565" i="3" s="1"/>
  <c r="C566" i="3"/>
  <c r="C567" i="3"/>
  <c r="M567" i="3" s="1"/>
  <c r="C568" i="3"/>
  <c r="M568" i="3" s="1"/>
  <c r="C569" i="3"/>
  <c r="M569" i="3" s="1"/>
  <c r="C570" i="3"/>
  <c r="M570" i="3" s="1"/>
  <c r="C571" i="3"/>
  <c r="M571" i="3" s="1"/>
  <c r="C572" i="3"/>
  <c r="M572" i="3" s="1"/>
  <c r="C573" i="3"/>
  <c r="M573" i="3" s="1"/>
  <c r="C574" i="3"/>
  <c r="M574" i="3" s="1"/>
  <c r="C575" i="3"/>
  <c r="M575" i="3" s="1"/>
  <c r="C576" i="3"/>
  <c r="M576" i="3" s="1"/>
  <c r="C577" i="3"/>
  <c r="M577" i="3" s="1"/>
  <c r="C578" i="3"/>
  <c r="C579" i="3"/>
  <c r="M579" i="3" s="1"/>
  <c r="C580" i="3"/>
  <c r="M580" i="3" s="1"/>
  <c r="C581" i="3"/>
  <c r="M581" i="3" s="1"/>
  <c r="C582" i="3"/>
  <c r="M582" i="3" s="1"/>
  <c r="C583" i="3"/>
  <c r="M583" i="3" s="1"/>
  <c r="C584" i="3"/>
  <c r="M584" i="3" s="1"/>
  <c r="C585" i="3"/>
  <c r="M585" i="3" s="1"/>
  <c r="C586" i="3"/>
  <c r="M586" i="3" s="1"/>
  <c r="C587" i="3"/>
  <c r="M587" i="3" s="1"/>
  <c r="C588" i="3"/>
  <c r="M588" i="3" s="1"/>
  <c r="C589" i="3"/>
  <c r="M589" i="3" s="1"/>
  <c r="C590" i="3"/>
  <c r="C591" i="3"/>
  <c r="M591" i="3" s="1"/>
  <c r="C592" i="3"/>
  <c r="M592" i="3" s="1"/>
  <c r="C593" i="3"/>
  <c r="M593" i="3" s="1"/>
  <c r="C594" i="3"/>
  <c r="M594" i="3" s="1"/>
  <c r="C595" i="3"/>
  <c r="M595" i="3" s="1"/>
  <c r="C596" i="3"/>
  <c r="M596" i="3" s="1"/>
  <c r="C597" i="3"/>
  <c r="M597" i="3" s="1"/>
  <c r="C598" i="3"/>
  <c r="M598" i="3" s="1"/>
  <c r="C599" i="3"/>
  <c r="M599" i="3" s="1"/>
  <c r="C600" i="3"/>
  <c r="M600" i="3" s="1"/>
  <c r="C601" i="3"/>
  <c r="M601" i="3" s="1"/>
  <c r="C602" i="3"/>
  <c r="C603" i="3"/>
  <c r="M603" i="3" s="1"/>
  <c r="C604" i="3"/>
  <c r="M604" i="3" s="1"/>
  <c r="C605" i="3"/>
  <c r="M605" i="3" s="1"/>
  <c r="C606" i="3"/>
  <c r="M606" i="3" s="1"/>
  <c r="C607" i="3"/>
  <c r="M607" i="3" s="1"/>
  <c r="C608" i="3"/>
  <c r="M608" i="3" s="1"/>
  <c r="C609" i="3"/>
  <c r="M609" i="3" s="1"/>
  <c r="C610" i="3"/>
  <c r="M610" i="3" s="1"/>
  <c r="C611" i="3"/>
  <c r="M611" i="3" s="1"/>
  <c r="C612" i="3"/>
  <c r="M612" i="3" s="1"/>
  <c r="C613" i="3"/>
  <c r="M613" i="3" s="1"/>
  <c r="C614" i="3"/>
  <c r="C615" i="3"/>
  <c r="M615" i="3" s="1"/>
  <c r="C3" i="3"/>
  <c r="M3" i="3" s="1"/>
  <c r="A3" i="3"/>
  <c r="K1" i="3"/>
  <c r="G2" i="3"/>
  <c r="H2" i="3"/>
  <c r="I2" i="3"/>
  <c r="J2" i="3"/>
  <c r="F2" i="3"/>
  <c r="D2" i="3"/>
  <c r="C2" i="3"/>
  <c r="M2" i="3" s="1"/>
  <c r="K608" i="3" l="1"/>
  <c r="K596" i="3"/>
  <c r="K584" i="3"/>
  <c r="K572" i="3"/>
  <c r="K560" i="3"/>
  <c r="K548" i="3"/>
  <c r="K536" i="3"/>
  <c r="K524" i="3"/>
  <c r="K512" i="3"/>
  <c r="K500" i="3"/>
  <c r="K488" i="3"/>
  <c r="K476" i="3"/>
  <c r="K464" i="3"/>
  <c r="K452" i="3"/>
  <c r="K440" i="3"/>
  <c r="K428" i="3"/>
  <c r="K416" i="3"/>
  <c r="K404" i="3"/>
  <c r="K392" i="3"/>
  <c r="K380" i="3"/>
  <c r="K368" i="3"/>
  <c r="K356" i="3"/>
  <c r="K344" i="3"/>
  <c r="K332" i="3"/>
  <c r="K320" i="3"/>
  <c r="K308" i="3"/>
  <c r="K296" i="3"/>
  <c r="K284" i="3"/>
  <c r="K272" i="3"/>
  <c r="K260" i="3"/>
  <c r="K248" i="3"/>
  <c r="K236" i="3"/>
  <c r="K224" i="3"/>
  <c r="K212" i="3"/>
  <c r="K200" i="3"/>
  <c r="K188" i="3"/>
  <c r="K176" i="3"/>
  <c r="K164" i="3"/>
  <c r="K152" i="3"/>
  <c r="K140" i="3"/>
  <c r="K128" i="3"/>
  <c r="K116" i="3"/>
  <c r="K104" i="3"/>
  <c r="K92" i="3"/>
  <c r="K80" i="3"/>
  <c r="K68" i="3"/>
  <c r="K56" i="3"/>
  <c r="K44" i="3"/>
  <c r="K32" i="3"/>
  <c r="K20" i="3"/>
  <c r="K8" i="3"/>
  <c r="K614" i="3"/>
  <c r="M614" i="3"/>
  <c r="K602" i="3"/>
  <c r="M602" i="3"/>
  <c r="K590" i="3"/>
  <c r="M590" i="3"/>
  <c r="K578" i="3"/>
  <c r="M578" i="3"/>
  <c r="K566" i="3"/>
  <c r="M566" i="3"/>
  <c r="K554" i="3"/>
  <c r="M554" i="3"/>
  <c r="K542" i="3"/>
  <c r="M542" i="3"/>
  <c r="K530" i="3"/>
  <c r="M530" i="3"/>
  <c r="K518" i="3"/>
  <c r="M518" i="3"/>
  <c r="K506" i="3"/>
  <c r="M506" i="3"/>
  <c r="K494" i="3"/>
  <c r="M494" i="3"/>
  <c r="K482" i="3"/>
  <c r="M482" i="3"/>
  <c r="K470" i="3"/>
  <c r="M470" i="3"/>
  <c r="K458" i="3"/>
  <c r="M458" i="3"/>
  <c r="K446" i="3"/>
  <c r="M446" i="3"/>
  <c r="K434" i="3"/>
  <c r="M434" i="3"/>
  <c r="K422" i="3"/>
  <c r="M422" i="3"/>
  <c r="K410" i="3"/>
  <c r="M410" i="3"/>
  <c r="K398" i="3"/>
  <c r="M398" i="3"/>
  <c r="K386" i="3"/>
  <c r="M386" i="3"/>
  <c r="K374" i="3"/>
  <c r="M374" i="3"/>
  <c r="K362" i="3"/>
  <c r="M362" i="3"/>
  <c r="K350" i="3"/>
  <c r="M350" i="3"/>
  <c r="K338" i="3"/>
  <c r="M338" i="3"/>
  <c r="K326" i="3"/>
  <c r="M326" i="3"/>
  <c r="K314" i="3"/>
  <c r="M314" i="3"/>
  <c r="K302" i="3"/>
  <c r="M302" i="3"/>
  <c r="K290" i="3"/>
  <c r="M290" i="3"/>
  <c r="K278" i="3"/>
  <c r="M278" i="3"/>
  <c r="K266" i="3"/>
  <c r="M266" i="3"/>
  <c r="K254" i="3"/>
  <c r="M254" i="3"/>
  <c r="K242" i="3"/>
  <c r="M242" i="3"/>
  <c r="K230" i="3"/>
  <c r="M230" i="3"/>
  <c r="K218" i="3"/>
  <c r="M218" i="3"/>
  <c r="K206" i="3"/>
  <c r="M206" i="3"/>
  <c r="K194" i="3"/>
  <c r="M194" i="3"/>
  <c r="K182" i="3"/>
  <c r="M182" i="3"/>
  <c r="K170" i="3"/>
  <c r="M170" i="3"/>
  <c r="K158" i="3"/>
  <c r="M158" i="3"/>
  <c r="K146" i="3"/>
  <c r="M146" i="3"/>
  <c r="K134" i="3"/>
  <c r="M134" i="3"/>
  <c r="K122" i="3"/>
  <c r="M122" i="3"/>
  <c r="K110" i="3"/>
  <c r="M110" i="3"/>
  <c r="K98" i="3"/>
  <c r="M98" i="3"/>
  <c r="K86" i="3"/>
  <c r="M86" i="3"/>
  <c r="K74" i="3"/>
  <c r="M74" i="3"/>
  <c r="K62" i="3"/>
  <c r="M62" i="3"/>
  <c r="K50" i="3"/>
  <c r="M50" i="3"/>
  <c r="K38" i="3"/>
  <c r="M38" i="3"/>
  <c r="K26" i="3"/>
  <c r="M26" i="3"/>
  <c r="K14" i="3"/>
  <c r="M14" i="3"/>
  <c r="K604" i="3"/>
  <c r="K592" i="3"/>
  <c r="K580" i="3"/>
  <c r="K568" i="3"/>
  <c r="K556" i="3"/>
  <c r="K544" i="3"/>
  <c r="K532" i="3"/>
  <c r="K520" i="3"/>
  <c r="K508" i="3"/>
  <c r="K496" i="3"/>
  <c r="K484" i="3"/>
  <c r="K472" i="3"/>
  <c r="K460" i="3"/>
  <c r="K448" i="3"/>
  <c r="K436" i="3"/>
  <c r="K424" i="3"/>
  <c r="K412" i="3"/>
  <c r="K400" i="3"/>
  <c r="K388" i="3"/>
  <c r="K376" i="3"/>
  <c r="K364" i="3"/>
  <c r="K352" i="3"/>
  <c r="K340" i="3"/>
  <c r="K328" i="3"/>
  <c r="K316" i="3"/>
  <c r="K304" i="3"/>
  <c r="K292" i="3"/>
  <c r="K280" i="3"/>
  <c r="K268" i="3"/>
  <c r="K256" i="3"/>
  <c r="K244" i="3"/>
  <c r="K232" i="3"/>
  <c r="K220" i="3"/>
  <c r="K208" i="3"/>
  <c r="K196" i="3"/>
  <c r="K184" i="3"/>
  <c r="K172" i="3"/>
  <c r="K160" i="3"/>
  <c r="K148" i="3"/>
  <c r="K136" i="3"/>
  <c r="K124" i="3"/>
  <c r="K112" i="3"/>
  <c r="K100" i="3"/>
  <c r="K88" i="3"/>
  <c r="K76" i="3"/>
  <c r="K64" i="3"/>
  <c r="K52" i="3"/>
  <c r="K40" i="3"/>
  <c r="K28" i="3"/>
  <c r="K16" i="3"/>
  <c r="K4" i="3"/>
  <c r="K612" i="3"/>
  <c r="K600" i="3"/>
  <c r="K588" i="3"/>
  <c r="K576" i="3"/>
  <c r="K564" i="3"/>
  <c r="K552" i="3"/>
  <c r="K540" i="3"/>
  <c r="K528" i="3"/>
  <c r="K516" i="3"/>
  <c r="K504" i="3"/>
  <c r="K492" i="3"/>
  <c r="K480" i="3"/>
  <c r="K468" i="3"/>
  <c r="K456" i="3"/>
  <c r="K444" i="3"/>
  <c r="K432" i="3"/>
  <c r="K420" i="3"/>
  <c r="K408" i="3"/>
  <c r="K396" i="3"/>
  <c r="K384" i="3"/>
  <c r="K372" i="3"/>
  <c r="K360" i="3"/>
  <c r="K348" i="3"/>
  <c r="K336" i="3"/>
  <c r="K324" i="3"/>
  <c r="K312" i="3"/>
  <c r="K300" i="3"/>
  <c r="K288" i="3"/>
  <c r="K276" i="3"/>
  <c r="K264" i="3"/>
  <c r="K252" i="3"/>
  <c r="K240" i="3"/>
  <c r="K228" i="3"/>
  <c r="K216" i="3"/>
  <c r="K204" i="3"/>
  <c r="K192" i="3"/>
  <c r="K180" i="3"/>
  <c r="K168" i="3"/>
  <c r="K156" i="3"/>
  <c r="K144" i="3"/>
  <c r="K132" i="3"/>
  <c r="K120" i="3"/>
  <c r="K108" i="3"/>
  <c r="K96" i="3"/>
  <c r="K84" i="3"/>
  <c r="K72" i="3"/>
  <c r="K60" i="3"/>
  <c r="K48" i="3"/>
  <c r="K36" i="3"/>
  <c r="K24" i="3"/>
  <c r="K12" i="3"/>
  <c r="K613" i="3"/>
  <c r="K589" i="3"/>
  <c r="K541" i="3"/>
  <c r="K517" i="3"/>
  <c r="K445" i="3"/>
  <c r="K397" i="3"/>
  <c r="K373" i="3"/>
  <c r="K361" i="3"/>
  <c r="K289" i="3"/>
  <c r="K277" i="3"/>
  <c r="K241" i="3"/>
  <c r="K229" i="3"/>
  <c r="K205" i="3"/>
  <c r="K193" i="3"/>
  <c r="K121" i="3"/>
  <c r="K61" i="3"/>
  <c r="K49" i="3"/>
  <c r="K37" i="3"/>
  <c r="K615" i="3"/>
  <c r="K607" i="3"/>
  <c r="K599" i="3"/>
  <c r="K591" i="3"/>
  <c r="K583" i="3"/>
  <c r="K575" i="3"/>
  <c r="K567" i="3"/>
  <c r="K551" i="3"/>
  <c r="K275" i="3"/>
  <c r="K601" i="3"/>
  <c r="K577" i="3"/>
  <c r="K565" i="3"/>
  <c r="K553" i="3"/>
  <c r="K529" i="3"/>
  <c r="K505" i="3"/>
  <c r="K493" i="3"/>
  <c r="K481" i="3"/>
  <c r="K469" i="3"/>
  <c r="K457" i="3"/>
  <c r="K433" i="3"/>
  <c r="K421" i="3"/>
  <c r="K409" i="3"/>
  <c r="K385" i="3"/>
  <c r="K349" i="3"/>
  <c r="K337" i="3"/>
  <c r="K325" i="3"/>
  <c r="K313" i="3"/>
  <c r="K301" i="3"/>
  <c r="K265" i="3"/>
  <c r="K253" i="3"/>
  <c r="K217" i="3"/>
  <c r="K181" i="3"/>
  <c r="K169" i="3"/>
  <c r="K157" i="3"/>
  <c r="K145" i="3"/>
  <c r="K133" i="3"/>
  <c r="K109" i="3"/>
  <c r="K97" i="3"/>
  <c r="K85" i="3"/>
  <c r="K73" i="3"/>
  <c r="K25" i="3"/>
  <c r="K13" i="3"/>
  <c r="K611" i="3"/>
  <c r="K603" i="3"/>
  <c r="K595" i="3"/>
  <c r="K587" i="3"/>
  <c r="K579" i="3"/>
  <c r="K571" i="3"/>
  <c r="K563" i="3"/>
  <c r="K559" i="3"/>
  <c r="K555" i="3"/>
  <c r="K547" i="3"/>
  <c r="K543" i="3"/>
  <c r="K539" i="3"/>
  <c r="K535" i="3"/>
  <c r="K531" i="3"/>
  <c r="K527" i="3"/>
  <c r="K523" i="3"/>
  <c r="K519" i="3"/>
  <c r="K515" i="3"/>
  <c r="K511" i="3"/>
  <c r="K507" i="3"/>
  <c r="K503" i="3"/>
  <c r="K499" i="3"/>
  <c r="K495" i="3"/>
  <c r="K491" i="3"/>
  <c r="K487" i="3"/>
  <c r="K483" i="3"/>
  <c r="K479" i="3"/>
  <c r="K475" i="3"/>
  <c r="K471" i="3"/>
  <c r="K467" i="3"/>
  <c r="K463" i="3"/>
  <c r="K459" i="3"/>
  <c r="K455" i="3"/>
  <c r="K451" i="3"/>
  <c r="K447" i="3"/>
  <c r="K443" i="3"/>
  <c r="K439" i="3"/>
  <c r="K435" i="3"/>
  <c r="K431" i="3"/>
  <c r="K427" i="3"/>
  <c r="K423" i="3"/>
  <c r="K419" i="3"/>
  <c r="K415" i="3"/>
  <c r="K411" i="3"/>
  <c r="K407" i="3"/>
  <c r="K403" i="3"/>
  <c r="K399" i="3"/>
  <c r="K395" i="3"/>
  <c r="K391" i="3"/>
  <c r="K387" i="3"/>
  <c r="K383" i="3"/>
  <c r="K379" i="3"/>
  <c r="K375" i="3"/>
  <c r="K371" i="3"/>
  <c r="K367" i="3"/>
  <c r="K363" i="3"/>
  <c r="K359" i="3"/>
  <c r="K355" i="3"/>
  <c r="K351" i="3"/>
  <c r="K347" i="3"/>
  <c r="K343" i="3"/>
  <c r="K339" i="3"/>
  <c r="K335" i="3"/>
  <c r="K331" i="3"/>
  <c r="K327" i="3"/>
  <c r="K323" i="3"/>
  <c r="K319" i="3"/>
  <c r="K315" i="3"/>
  <c r="K311" i="3"/>
  <c r="K307" i="3"/>
  <c r="K303" i="3"/>
  <c r="K299" i="3"/>
  <c r="K295" i="3"/>
  <c r="K291" i="3"/>
  <c r="K287" i="3"/>
  <c r="K283" i="3"/>
  <c r="K279" i="3"/>
  <c r="K271" i="3"/>
  <c r="K2" i="3"/>
  <c r="L2" i="3" s="1"/>
  <c r="K267" i="3"/>
  <c r="K263" i="3"/>
  <c r="K259" i="3"/>
  <c r="K255" i="3"/>
  <c r="K251" i="3"/>
  <c r="K247" i="3"/>
  <c r="K243" i="3"/>
  <c r="K610" i="3"/>
  <c r="K606" i="3"/>
  <c r="K598" i="3"/>
  <c r="K594" i="3"/>
  <c r="K586" i="3"/>
  <c r="K582" i="3"/>
  <c r="K574" i="3"/>
  <c r="K570" i="3"/>
  <c r="K562" i="3"/>
  <c r="K558" i="3"/>
  <c r="K550" i="3"/>
  <c r="K546" i="3"/>
  <c r="K538" i="3"/>
  <c r="K534" i="3"/>
  <c r="K526" i="3"/>
  <c r="K522" i="3"/>
  <c r="K514" i="3"/>
  <c r="K510" i="3"/>
  <c r="K502" i="3"/>
  <c r="K498" i="3"/>
  <c r="K490" i="3"/>
  <c r="K486" i="3"/>
  <c r="K478" i="3"/>
  <c r="K474" i="3"/>
  <c r="K466" i="3"/>
  <c r="K462" i="3"/>
  <c r="K454" i="3"/>
  <c r="K450" i="3"/>
  <c r="K442" i="3"/>
  <c r="K438" i="3"/>
  <c r="K430" i="3"/>
  <c r="K426" i="3"/>
  <c r="K418" i="3"/>
  <c r="K414" i="3"/>
  <c r="K406" i="3"/>
  <c r="K402" i="3"/>
  <c r="K394" i="3"/>
  <c r="K390" i="3"/>
  <c r="K382" i="3"/>
  <c r="K378" i="3"/>
  <c r="K370" i="3"/>
  <c r="K366" i="3"/>
  <c r="K358" i="3"/>
  <c r="K354" i="3"/>
  <c r="K346" i="3"/>
  <c r="K342" i="3"/>
  <c r="K334" i="3"/>
  <c r="K330" i="3"/>
  <c r="K322" i="3"/>
  <c r="K318" i="3"/>
  <c r="K310" i="3"/>
  <c r="K306" i="3"/>
  <c r="K298" i="3"/>
  <c r="K294" i="3"/>
  <c r="K286" i="3"/>
  <c r="K282" i="3"/>
  <c r="K274" i="3"/>
  <c r="K270" i="3"/>
  <c r="K262" i="3"/>
  <c r="K258" i="3"/>
  <c r="K250" i="3"/>
  <c r="K246" i="3"/>
  <c r="K238" i="3"/>
  <c r="K234" i="3"/>
  <c r="K226" i="3"/>
  <c r="K222" i="3"/>
  <c r="K214" i="3"/>
  <c r="K210" i="3"/>
  <c r="K202" i="3"/>
  <c r="K198" i="3"/>
  <c r="K190" i="3"/>
  <c r="K186" i="3"/>
  <c r="K178" i="3"/>
  <c r="K174" i="3"/>
  <c r="K166" i="3"/>
  <c r="K162" i="3"/>
  <c r="K154" i="3"/>
  <c r="K150" i="3"/>
  <c r="K609" i="3"/>
  <c r="K605" i="3"/>
  <c r="K597" i="3"/>
  <c r="K593" i="3"/>
  <c r="K585" i="3"/>
  <c r="K581" i="3"/>
  <c r="K573" i="3"/>
  <c r="K569" i="3"/>
  <c r="K561" i="3"/>
  <c r="K557" i="3"/>
  <c r="K549" i="3"/>
  <c r="K545" i="3"/>
  <c r="K537" i="3"/>
  <c r="K533" i="3"/>
  <c r="K525" i="3"/>
  <c r="K521" i="3"/>
  <c r="K513" i="3"/>
  <c r="K509" i="3"/>
  <c r="K501" i="3"/>
  <c r="K497" i="3"/>
  <c r="K489" i="3"/>
  <c r="K485" i="3"/>
  <c r="K477" i="3"/>
  <c r="K473" i="3"/>
  <c r="K465" i="3"/>
  <c r="K461" i="3"/>
  <c r="K453" i="3"/>
  <c r="K449" i="3"/>
  <c r="K441" i="3"/>
  <c r="K437" i="3"/>
  <c r="K429" i="3"/>
  <c r="K425" i="3"/>
  <c r="K417" i="3"/>
  <c r="K413" i="3"/>
  <c r="K405" i="3"/>
  <c r="K401" i="3"/>
  <c r="K393" i="3"/>
  <c r="K389" i="3"/>
  <c r="K381" i="3"/>
  <c r="K377" i="3"/>
  <c r="K369" i="3"/>
  <c r="K365" i="3"/>
  <c r="K357" i="3"/>
  <c r="K353" i="3"/>
  <c r="K345" i="3"/>
  <c r="K341" i="3"/>
  <c r="K333" i="3"/>
  <c r="K329" i="3"/>
  <c r="K321" i="3"/>
  <c r="K317" i="3"/>
  <c r="K309" i="3"/>
  <c r="K305" i="3"/>
  <c r="K297" i="3"/>
  <c r="K293" i="3"/>
  <c r="K285" i="3"/>
  <c r="K281" i="3"/>
  <c r="K273" i="3"/>
  <c r="K269" i="3"/>
  <c r="K261" i="3"/>
  <c r="K257" i="3"/>
  <c r="K249" i="3"/>
  <c r="K245" i="3"/>
  <c r="K237" i="3"/>
  <c r="K233" i="3"/>
  <c r="K225" i="3"/>
  <c r="K221" i="3"/>
  <c r="K213" i="3"/>
  <c r="K209" i="3"/>
  <c r="K201" i="3"/>
  <c r="K197" i="3"/>
  <c r="K189" i="3"/>
  <c r="K185" i="3"/>
  <c r="K177" i="3"/>
  <c r="K173" i="3"/>
  <c r="K165" i="3"/>
  <c r="K161" i="3"/>
  <c r="K153" i="3"/>
  <c r="K149" i="3"/>
  <c r="K141" i="3"/>
  <c r="K137" i="3"/>
  <c r="K129" i="3"/>
  <c r="K125" i="3"/>
  <c r="K117" i="3"/>
  <c r="K113" i="3"/>
  <c r="K105" i="3"/>
  <c r="K101" i="3"/>
  <c r="K93" i="3"/>
  <c r="K89" i="3"/>
  <c r="K81" i="3"/>
  <c r="K77" i="3"/>
  <c r="K69" i="3"/>
  <c r="K65" i="3"/>
  <c r="K57" i="3"/>
  <c r="K53" i="3"/>
  <c r="K45" i="3"/>
  <c r="K41" i="3"/>
  <c r="K33" i="3"/>
  <c r="K29" i="3"/>
  <c r="K21" i="3"/>
  <c r="K17" i="3"/>
  <c r="K9" i="3"/>
  <c r="K5" i="3"/>
  <c r="K142" i="3"/>
  <c r="K138" i="3"/>
  <c r="K130" i="3"/>
  <c r="K126" i="3"/>
  <c r="K118" i="3"/>
  <c r="K114" i="3"/>
  <c r="K106" i="3"/>
  <c r="K102" i="3"/>
  <c r="K94" i="3"/>
  <c r="K90" i="3"/>
  <c r="K82" i="3"/>
  <c r="K78" i="3"/>
  <c r="K70" i="3"/>
  <c r="K66" i="3"/>
  <c r="K58" i="3"/>
  <c r="K54" i="3"/>
  <c r="K46" i="3"/>
  <c r="K42" i="3"/>
  <c r="K34" i="3"/>
  <c r="K30" i="3"/>
  <c r="K22" i="3"/>
  <c r="K18" i="3"/>
  <c r="K10" i="3"/>
  <c r="K6" i="3"/>
  <c r="K239" i="3"/>
  <c r="K235" i="3"/>
  <c r="K231" i="3"/>
  <c r="K227" i="3"/>
  <c r="K223" i="3"/>
  <c r="K219" i="3"/>
  <c r="K215" i="3"/>
  <c r="K211" i="3"/>
  <c r="K207" i="3"/>
  <c r="K203" i="3"/>
  <c r="K199" i="3"/>
  <c r="K195" i="3"/>
  <c r="K191" i="3"/>
  <c r="K187" i="3"/>
  <c r="K183" i="3"/>
  <c r="K179" i="3"/>
  <c r="K175" i="3"/>
  <c r="K171" i="3"/>
  <c r="K167" i="3"/>
  <c r="K163" i="3"/>
  <c r="K159" i="3"/>
  <c r="K155" i="3"/>
  <c r="K151" i="3"/>
  <c r="K147" i="3"/>
  <c r="K143" i="3"/>
  <c r="K139" i="3"/>
  <c r="K135" i="3"/>
  <c r="K131" i="3"/>
  <c r="K127" i="3"/>
  <c r="K123" i="3"/>
  <c r="K119" i="3"/>
  <c r="K115" i="3"/>
  <c r="K111" i="3"/>
  <c r="K107" i="3"/>
  <c r="K103" i="3"/>
  <c r="K99" i="3"/>
  <c r="K95" i="3"/>
  <c r="K91" i="3"/>
  <c r="K87" i="3"/>
  <c r="K83" i="3"/>
  <c r="K79" i="3"/>
  <c r="K75" i="3"/>
  <c r="K71" i="3"/>
  <c r="K67" i="3"/>
  <c r="K63" i="3"/>
  <c r="K59" i="3"/>
  <c r="K55" i="3"/>
  <c r="K51" i="3"/>
  <c r="K47" i="3"/>
  <c r="K43" i="3"/>
  <c r="K39" i="3"/>
  <c r="K35" i="3"/>
  <c r="K31" i="3"/>
  <c r="K27" i="3"/>
  <c r="K23" i="3"/>
  <c r="K19" i="3"/>
  <c r="K15" i="3"/>
  <c r="K11" i="3"/>
  <c r="K7" i="3"/>
  <c r="K3" i="3"/>
  <c r="L3" i="3" s="1"/>
  <c r="L6" i="3"/>
  <c r="L7" i="3"/>
  <c r="L5" i="3"/>
  <c r="L4" i="3"/>
  <c r="L9" i="3" l="1"/>
  <c r="L8" i="3"/>
  <c r="L10" i="3"/>
  <c r="L11" i="3" l="1"/>
  <c r="L12" i="3" l="1"/>
  <c r="L13" i="3" l="1"/>
  <c r="L14" i="3" l="1"/>
  <c r="L15" i="3" l="1"/>
  <c r="L16" i="3" l="1"/>
  <c r="L17" i="3" l="1"/>
  <c r="L18" i="3" l="1"/>
  <c r="L19" i="3" l="1"/>
  <c r="L20" i="3" l="1"/>
  <c r="L21" i="3" l="1"/>
  <c r="L22" i="3" l="1"/>
  <c r="L23" i="3" l="1"/>
  <c r="L24" i="3" l="1"/>
  <c r="L25" i="3" l="1"/>
  <c r="L26" i="3" l="1"/>
  <c r="L27" i="3" l="1"/>
  <c r="L28" i="3" l="1"/>
  <c r="L45" i="3" l="1"/>
  <c r="L298" i="3" l="1"/>
  <c r="L520" i="3" l="1"/>
  <c r="L29" i="3" l="1"/>
  <c r="L579" i="3"/>
  <c r="L46" i="3" l="1"/>
  <c r="L299" i="3" l="1"/>
  <c r="L521" i="3" l="1"/>
  <c r="L580" i="3" l="1"/>
  <c r="L30" i="3" l="1"/>
  <c r="L47" i="3" l="1"/>
  <c r="L300" i="3" l="1"/>
  <c r="L522" i="3" l="1"/>
  <c r="L581" i="3" l="1"/>
  <c r="L31" i="3" l="1"/>
  <c r="L48" i="3" l="1"/>
  <c r="L301" i="3" l="1"/>
  <c r="L523" i="3" l="1"/>
  <c r="L582" i="3" l="1"/>
  <c r="L32" i="3" l="1"/>
  <c r="L49" i="3" l="1"/>
  <c r="L302" i="3" l="1"/>
  <c r="L524" i="3" l="1"/>
  <c r="L583" i="3" l="1"/>
  <c r="L33" i="3" l="1"/>
  <c r="L50" i="3" l="1"/>
  <c r="L303" i="3" l="1"/>
  <c r="L525" i="3" l="1"/>
  <c r="L584" i="3" l="1"/>
  <c r="L34" i="3" l="1"/>
  <c r="L51" i="3" l="1"/>
  <c r="L304" i="3" l="1"/>
  <c r="L526" i="3" l="1"/>
  <c r="L585" i="3" l="1"/>
  <c r="L35" i="3" l="1"/>
  <c r="L52" i="3" l="1"/>
  <c r="L305" i="3" l="1"/>
  <c r="L527" i="3" l="1"/>
  <c r="L586" i="3" l="1"/>
  <c r="L36" i="3" l="1"/>
  <c r="L53" i="3" l="1"/>
  <c r="L306" i="3" l="1"/>
  <c r="L528" i="3" l="1"/>
  <c r="L587" i="3" l="1"/>
  <c r="L37" i="3" l="1"/>
  <c r="L54" i="3" l="1"/>
  <c r="L307" i="3" l="1"/>
  <c r="L529" i="3" l="1"/>
  <c r="L588" i="3" l="1"/>
  <c r="L38" i="3" l="1"/>
  <c r="L55" i="3" l="1"/>
  <c r="L308" i="3" l="1"/>
  <c r="L530" i="3" l="1"/>
  <c r="L589" i="3" l="1"/>
  <c r="L39" i="3" l="1"/>
  <c r="L56" i="3" l="1"/>
  <c r="L309" i="3" l="1"/>
  <c r="L531" i="3" l="1"/>
  <c r="L590" i="3" l="1"/>
  <c r="L40" i="3" l="1"/>
  <c r="L57" i="3" l="1"/>
  <c r="L310" i="3" l="1"/>
  <c r="L532" i="3" l="1"/>
  <c r="L591" i="3" l="1"/>
  <c r="L41" i="3" l="1"/>
  <c r="L58" i="3" l="1"/>
  <c r="L311" i="3" l="1"/>
  <c r="L533" i="3" l="1"/>
  <c r="L592" i="3" l="1"/>
  <c r="L42" i="3" l="1"/>
  <c r="L59" i="3" l="1"/>
  <c r="L312" i="3" l="1"/>
  <c r="L534" i="3" l="1"/>
  <c r="L593" i="3" l="1"/>
  <c r="L43" i="3" l="1"/>
  <c r="L60" i="3" l="1"/>
  <c r="L313" i="3" l="1"/>
  <c r="L535" i="3" l="1"/>
  <c r="L594" i="3" l="1"/>
  <c r="L44" i="3" l="1"/>
  <c r="L61" i="3" l="1"/>
  <c r="L314" i="3" l="1"/>
  <c r="L536" i="3" l="1"/>
  <c r="L595" i="3" l="1"/>
  <c r="L62" i="3" l="1"/>
  <c r="L315" i="3" l="1"/>
  <c r="L537" i="3" l="1"/>
  <c r="L596" i="3" l="1"/>
  <c r="L63" i="3" l="1"/>
  <c r="L316" i="3" l="1"/>
  <c r="L538" i="3" l="1"/>
  <c r="L597" i="3" l="1"/>
  <c r="L64" i="3" l="1"/>
  <c r="L317" i="3" l="1"/>
  <c r="L539" i="3" l="1"/>
  <c r="L598" i="3" l="1"/>
  <c r="L65" i="3" l="1"/>
  <c r="L318" i="3" l="1"/>
  <c r="L540" i="3" l="1"/>
  <c r="L599" i="3" l="1"/>
  <c r="L66" i="3" l="1"/>
  <c r="L319" i="3" l="1"/>
  <c r="L541" i="3" l="1"/>
  <c r="L600" i="3" l="1"/>
  <c r="L67" i="3" l="1"/>
  <c r="L320" i="3" l="1"/>
  <c r="L542" i="3" l="1"/>
  <c r="L601" i="3" l="1"/>
  <c r="L68" i="3" l="1"/>
  <c r="L321" i="3" l="1"/>
  <c r="L543" i="3" l="1"/>
  <c r="L602" i="3" l="1"/>
  <c r="L69" i="3" l="1"/>
  <c r="L322" i="3" l="1"/>
  <c r="L544" i="3" l="1"/>
  <c r="L603" i="3" l="1"/>
  <c r="L70" i="3" l="1"/>
  <c r="L323" i="3" l="1"/>
  <c r="L545" i="3" l="1"/>
  <c r="L604" i="3" l="1"/>
  <c r="L71" i="3" l="1"/>
  <c r="L324" i="3" l="1"/>
  <c r="L546" i="3" l="1"/>
  <c r="L605" i="3" l="1"/>
  <c r="L72" i="3" l="1"/>
  <c r="L325" i="3" l="1"/>
  <c r="L547" i="3" l="1"/>
  <c r="L606" i="3" l="1"/>
  <c r="L73" i="3" l="1"/>
  <c r="L326" i="3" l="1"/>
  <c r="L548" i="3" l="1"/>
  <c r="L607" i="3" l="1"/>
  <c r="L74" i="3" l="1"/>
  <c r="L327" i="3" l="1"/>
  <c r="L549" i="3" l="1"/>
  <c r="L608" i="3" l="1"/>
  <c r="L75" i="3" l="1"/>
  <c r="L328" i="3" l="1"/>
  <c r="L550" i="3" l="1"/>
  <c r="L609" i="3" l="1"/>
  <c r="L76" i="3" l="1"/>
  <c r="L329" i="3" l="1"/>
  <c r="L551" i="3" l="1"/>
  <c r="L610" i="3" l="1"/>
  <c r="L77" i="3" l="1"/>
  <c r="L330" i="3" l="1"/>
  <c r="L552" i="3" l="1"/>
  <c r="L611" i="3" l="1"/>
  <c r="L78" i="3" l="1"/>
  <c r="L331" i="3" l="1"/>
  <c r="L553" i="3" l="1"/>
  <c r="L612" i="3" l="1"/>
  <c r="L79" i="3" l="1"/>
  <c r="L332" i="3" l="1"/>
  <c r="L554" i="3" l="1"/>
  <c r="L613" i="3" l="1"/>
  <c r="L80" i="3" l="1"/>
  <c r="L333" i="3" l="1"/>
  <c r="L555" i="3" l="1"/>
  <c r="L614" i="3" l="1"/>
  <c r="L81" i="3" l="1"/>
  <c r="L334" i="3" l="1"/>
  <c r="L556" i="3" l="1"/>
  <c r="L615" i="3" l="1"/>
  <c r="L82" i="3" l="1"/>
  <c r="L335" i="3" l="1"/>
  <c r="L557" i="3" l="1"/>
  <c r="L83" i="3" l="1"/>
  <c r="L336" i="3" l="1"/>
  <c r="L558" i="3" l="1"/>
  <c r="L84" i="3" l="1"/>
  <c r="L337" i="3" l="1"/>
  <c r="L559" i="3" l="1"/>
  <c r="L85" i="3" l="1"/>
  <c r="L338" i="3" l="1"/>
  <c r="L560" i="3" l="1"/>
  <c r="L86" i="3" l="1"/>
  <c r="L339" i="3" l="1"/>
  <c r="L561" i="3" l="1"/>
  <c r="L87" i="3" l="1"/>
  <c r="L340" i="3" l="1"/>
  <c r="L562" i="3" l="1"/>
  <c r="L88" i="3" l="1"/>
  <c r="L341" i="3" l="1"/>
  <c r="L563" i="3" l="1"/>
  <c r="L89" i="3" l="1"/>
  <c r="L342" i="3" l="1"/>
  <c r="L564" i="3" l="1"/>
  <c r="L90" i="3" l="1"/>
  <c r="L343" i="3" l="1"/>
  <c r="L565" i="3" l="1"/>
  <c r="L91" i="3" l="1"/>
  <c r="L344" i="3" l="1"/>
  <c r="L566" i="3" l="1"/>
  <c r="L92" i="3" l="1"/>
  <c r="L345" i="3" l="1"/>
  <c r="L567" i="3" l="1"/>
  <c r="L93" i="3" l="1"/>
  <c r="L346" i="3" l="1"/>
  <c r="L568" i="3" l="1"/>
  <c r="L94" i="3" l="1"/>
  <c r="L347" i="3" l="1"/>
  <c r="L569" i="3" l="1"/>
  <c r="L95" i="3" l="1"/>
  <c r="L348" i="3" l="1"/>
  <c r="L570" i="3" l="1"/>
  <c r="L96" i="3" l="1"/>
  <c r="L349" i="3" l="1"/>
  <c r="L571" i="3" l="1"/>
  <c r="L97" i="3" l="1"/>
  <c r="L350" i="3" l="1"/>
  <c r="L572" i="3" l="1"/>
  <c r="L98" i="3" l="1"/>
  <c r="L351" i="3" l="1"/>
  <c r="L573" i="3" l="1"/>
  <c r="L99" i="3" l="1"/>
  <c r="L352" i="3" l="1"/>
  <c r="L574" i="3" l="1"/>
  <c r="L100" i="3" l="1"/>
  <c r="L353" i="3" l="1"/>
  <c r="L575" i="3" l="1"/>
  <c r="L101" i="3" l="1"/>
  <c r="L354" i="3" l="1"/>
  <c r="L576" i="3" l="1"/>
  <c r="L102" i="3" l="1"/>
  <c r="L355" i="3" l="1"/>
  <c r="L577" i="3" l="1"/>
  <c r="L103" i="3" l="1"/>
  <c r="L356" i="3" l="1"/>
  <c r="L578" i="3" l="1"/>
  <c r="L104" i="3" l="1"/>
  <c r="L357" i="3" l="1"/>
  <c r="L105" i="3" l="1"/>
  <c r="L358" i="3" l="1"/>
  <c r="L106" i="3" l="1"/>
  <c r="L359" i="3" l="1"/>
  <c r="L107" i="3" l="1"/>
  <c r="L360" i="3" l="1"/>
  <c r="L108" i="3" l="1"/>
  <c r="L361" i="3" l="1"/>
  <c r="L109" i="3" l="1"/>
  <c r="L362" i="3" l="1"/>
  <c r="L110" i="3" l="1"/>
  <c r="L363" i="3" l="1"/>
  <c r="L111" i="3" l="1"/>
  <c r="L364" i="3" l="1"/>
  <c r="L112" i="3" l="1"/>
  <c r="L365" i="3" l="1"/>
  <c r="L113" i="3" l="1"/>
  <c r="L366" i="3" l="1"/>
  <c r="L114" i="3" l="1"/>
  <c r="L367" i="3" l="1"/>
  <c r="L115" i="3" l="1"/>
  <c r="L368" i="3" l="1"/>
  <c r="L116" i="3" l="1"/>
  <c r="L369" i="3" l="1"/>
  <c r="L117" i="3" l="1"/>
  <c r="L370" i="3" l="1"/>
  <c r="L118" i="3" l="1"/>
  <c r="L371" i="3" l="1"/>
  <c r="L119" i="3" l="1"/>
  <c r="L372" i="3" l="1"/>
  <c r="L120" i="3" l="1"/>
  <c r="L373" i="3" l="1"/>
  <c r="L121" i="3" l="1"/>
  <c r="L374" i="3" l="1"/>
  <c r="L122" i="3" l="1"/>
  <c r="L375" i="3" l="1"/>
  <c r="L123" i="3" l="1"/>
  <c r="L376" i="3" l="1"/>
  <c r="L124" i="3" l="1"/>
  <c r="L377" i="3" l="1"/>
  <c r="L125" i="3" l="1"/>
  <c r="L378" i="3" l="1"/>
  <c r="L126" i="3" l="1"/>
  <c r="L379" i="3" l="1"/>
  <c r="L127" i="3" l="1"/>
  <c r="L380" i="3" l="1"/>
  <c r="L128" i="3" l="1"/>
  <c r="L381" i="3" l="1"/>
  <c r="L129" i="3" l="1"/>
  <c r="L382" i="3" l="1"/>
  <c r="L130" i="3" l="1"/>
  <c r="L383" i="3" l="1"/>
  <c r="L131" i="3" l="1"/>
  <c r="L384" i="3" l="1"/>
  <c r="L132" i="3" l="1"/>
  <c r="L385" i="3" l="1"/>
  <c r="L133" i="3" l="1"/>
  <c r="L386" i="3" l="1"/>
  <c r="L134" i="3" l="1"/>
  <c r="L387" i="3" l="1"/>
  <c r="L135" i="3" l="1"/>
  <c r="L388" i="3" l="1"/>
  <c r="L136" i="3" l="1"/>
  <c r="L389" i="3" l="1"/>
  <c r="L137" i="3" l="1"/>
  <c r="L390" i="3" l="1"/>
  <c r="L138" i="3" l="1"/>
  <c r="L391" i="3" l="1"/>
  <c r="L139" i="3" l="1"/>
  <c r="L392" i="3" l="1"/>
  <c r="L140" i="3" l="1"/>
  <c r="L393" i="3" l="1"/>
  <c r="L141" i="3" l="1"/>
  <c r="L394" i="3" l="1"/>
  <c r="L142" i="3" l="1"/>
  <c r="L395" i="3" l="1"/>
  <c r="L143" i="3" l="1"/>
  <c r="L396" i="3" l="1"/>
  <c r="L144" i="3" l="1"/>
  <c r="L397" i="3" l="1"/>
  <c r="L145" i="3" l="1"/>
  <c r="L398" i="3" l="1"/>
  <c r="L146" i="3" l="1"/>
  <c r="L399" i="3" l="1"/>
  <c r="L147" i="3" l="1"/>
  <c r="L400" i="3" l="1"/>
  <c r="L148" i="3" l="1"/>
  <c r="L401" i="3" l="1"/>
  <c r="L149" i="3" l="1"/>
  <c r="L402" i="3" l="1"/>
  <c r="L150" i="3" l="1"/>
  <c r="L403" i="3" l="1"/>
  <c r="L151" i="3" l="1"/>
  <c r="L404" i="3" l="1"/>
  <c r="L152" i="3" l="1"/>
  <c r="L405" i="3" l="1"/>
  <c r="L153" i="3" l="1"/>
  <c r="L406" i="3" l="1"/>
  <c r="L154" i="3" l="1"/>
  <c r="L407" i="3" l="1"/>
  <c r="L155" i="3" l="1"/>
  <c r="L408" i="3" l="1"/>
  <c r="L156" i="3" l="1"/>
  <c r="L409" i="3" l="1"/>
  <c r="L157" i="3" l="1"/>
  <c r="L410" i="3" l="1"/>
  <c r="L158" i="3" l="1"/>
  <c r="L411" i="3" l="1"/>
  <c r="L159" i="3" l="1"/>
  <c r="L412" i="3" l="1"/>
  <c r="L160" i="3" l="1"/>
  <c r="L413" i="3" l="1"/>
  <c r="L161" i="3" l="1"/>
  <c r="L414" i="3" l="1"/>
  <c r="L162" i="3" l="1"/>
  <c r="L415" i="3" l="1"/>
  <c r="L163" i="3" l="1"/>
  <c r="L416" i="3" l="1"/>
  <c r="L164" i="3" l="1"/>
  <c r="L417" i="3" l="1"/>
  <c r="L165" i="3" l="1"/>
  <c r="L418" i="3" l="1"/>
  <c r="L166" i="3" l="1"/>
  <c r="L419" i="3" l="1"/>
  <c r="L167" i="3" l="1"/>
  <c r="L420" i="3" l="1"/>
  <c r="L168" i="3" l="1"/>
  <c r="L421" i="3" l="1"/>
  <c r="L169" i="3" l="1"/>
  <c r="L422" i="3" l="1"/>
  <c r="L170" i="3" l="1"/>
  <c r="L423" i="3" l="1"/>
  <c r="L171" i="3" l="1"/>
  <c r="L424" i="3" l="1"/>
  <c r="L172" i="3" l="1"/>
  <c r="L425" i="3" l="1"/>
  <c r="L173" i="3" l="1"/>
  <c r="L426" i="3" l="1"/>
  <c r="L174" i="3" l="1"/>
  <c r="L427" i="3" l="1"/>
  <c r="L175" i="3" l="1"/>
  <c r="L428" i="3" l="1"/>
  <c r="L176" i="3" l="1"/>
  <c r="L429" i="3" l="1"/>
  <c r="L177" i="3" l="1"/>
  <c r="L430" i="3" l="1"/>
  <c r="L178" i="3" l="1"/>
  <c r="L431" i="3" l="1"/>
  <c r="L179" i="3" l="1"/>
  <c r="L432" i="3" l="1"/>
  <c r="L180" i="3" l="1"/>
  <c r="L433" i="3" l="1"/>
  <c r="L181" i="3" l="1"/>
  <c r="L434" i="3" l="1"/>
  <c r="L182" i="3" l="1"/>
  <c r="L435" i="3" l="1"/>
  <c r="L183" i="3" l="1"/>
  <c r="L436" i="3" l="1"/>
  <c r="L184" i="3" l="1"/>
  <c r="L437" i="3" l="1"/>
  <c r="L185" i="3" l="1"/>
  <c r="L438" i="3" l="1"/>
  <c r="L186" i="3" l="1"/>
  <c r="L439" i="3" l="1"/>
  <c r="L187" i="3" l="1"/>
  <c r="L440" i="3" l="1"/>
  <c r="L188" i="3" l="1"/>
  <c r="L441" i="3" l="1"/>
  <c r="L189" i="3" l="1"/>
  <c r="L442" i="3" l="1"/>
  <c r="L190" i="3" l="1"/>
  <c r="L443" i="3" l="1"/>
  <c r="L191" i="3" l="1"/>
  <c r="L444" i="3" l="1"/>
  <c r="L192" i="3" l="1"/>
  <c r="L445" i="3" l="1"/>
  <c r="L193" i="3" l="1"/>
  <c r="L446" i="3" l="1"/>
  <c r="L194" i="3" l="1"/>
  <c r="L447" i="3" l="1"/>
  <c r="L195" i="3" l="1"/>
  <c r="L448" i="3" l="1"/>
  <c r="L196" i="3" l="1"/>
  <c r="L449" i="3" l="1"/>
  <c r="L197" i="3" l="1"/>
  <c r="L450" i="3" l="1"/>
  <c r="L198" i="3" l="1"/>
  <c r="L451" i="3" l="1"/>
  <c r="L199" i="3" l="1"/>
  <c r="L452" i="3" l="1"/>
  <c r="L200" i="3" l="1"/>
  <c r="L453" i="3" l="1"/>
  <c r="L201" i="3" l="1"/>
  <c r="L454" i="3" l="1"/>
  <c r="L202" i="3" l="1"/>
  <c r="L455" i="3" l="1"/>
  <c r="L203" i="3" l="1"/>
  <c r="L456" i="3" l="1"/>
  <c r="L204" i="3" l="1"/>
  <c r="L457" i="3" l="1"/>
  <c r="L205" i="3" l="1"/>
  <c r="L458" i="3" l="1"/>
  <c r="L206" i="3" l="1"/>
  <c r="L459" i="3" l="1"/>
  <c r="L207" i="3" l="1"/>
  <c r="L460" i="3" l="1"/>
  <c r="L208" i="3" l="1"/>
  <c r="L461" i="3" l="1"/>
  <c r="L209" i="3" l="1"/>
  <c r="L462" i="3" l="1"/>
  <c r="L210" i="3" l="1"/>
  <c r="L463" i="3" l="1"/>
  <c r="L211" i="3" l="1"/>
  <c r="L464" i="3" l="1"/>
  <c r="L212" i="3" l="1"/>
  <c r="L465" i="3" l="1"/>
  <c r="L213" i="3" l="1"/>
  <c r="L466" i="3" l="1"/>
  <c r="L214" i="3" l="1"/>
  <c r="L467" i="3" l="1"/>
  <c r="L215" i="3" l="1"/>
  <c r="L468" i="3" l="1"/>
  <c r="L216" i="3" l="1"/>
  <c r="L469" i="3" l="1"/>
  <c r="L217" i="3" l="1"/>
  <c r="L470" i="3" l="1"/>
  <c r="L218" i="3" l="1"/>
  <c r="L471" i="3" l="1"/>
  <c r="L219" i="3" l="1"/>
  <c r="L472" i="3" l="1"/>
  <c r="L220" i="3" l="1"/>
  <c r="L473" i="3" l="1"/>
  <c r="L221" i="3" l="1"/>
  <c r="L474" i="3" l="1"/>
  <c r="L222" i="3" l="1"/>
  <c r="L475" i="3" l="1"/>
  <c r="L223" i="3" l="1"/>
  <c r="L476" i="3" l="1"/>
  <c r="L224" i="3" l="1"/>
  <c r="L477" i="3" l="1"/>
  <c r="L225" i="3" l="1"/>
  <c r="L478" i="3" l="1"/>
  <c r="L226" i="3" l="1"/>
  <c r="L479" i="3" l="1"/>
  <c r="L227" i="3" l="1"/>
  <c r="L480" i="3" l="1"/>
  <c r="L228" i="3" l="1"/>
  <c r="L481" i="3" l="1"/>
  <c r="L229" i="3" l="1"/>
  <c r="L482" i="3" l="1"/>
  <c r="L230" i="3" l="1"/>
  <c r="L483" i="3" l="1"/>
  <c r="L231" i="3" l="1"/>
  <c r="L484" i="3" l="1"/>
  <c r="L232" i="3" l="1"/>
  <c r="L485" i="3" l="1"/>
  <c r="L233" i="3" l="1"/>
  <c r="L486" i="3" l="1"/>
  <c r="L234" i="3" l="1"/>
  <c r="L487" i="3" l="1"/>
  <c r="L235" i="3" l="1"/>
  <c r="L488" i="3" l="1"/>
  <c r="L236" i="3" l="1"/>
  <c r="L489" i="3" l="1"/>
  <c r="L237" i="3" l="1"/>
  <c r="L490" i="3" l="1"/>
  <c r="L238" i="3" l="1"/>
  <c r="L491" i="3" l="1"/>
  <c r="L239" i="3" l="1"/>
  <c r="L492" i="3" l="1"/>
  <c r="L240" i="3" l="1"/>
  <c r="L493" i="3" l="1"/>
  <c r="L241" i="3" l="1"/>
  <c r="L494" i="3" l="1"/>
  <c r="L242" i="3" l="1"/>
  <c r="L495" i="3" l="1"/>
  <c r="L243" i="3" l="1"/>
  <c r="L496" i="3" l="1"/>
  <c r="L244" i="3" l="1"/>
  <c r="L497" i="3" l="1"/>
  <c r="L245" i="3" l="1"/>
  <c r="L498" i="3" l="1"/>
  <c r="L246" i="3" l="1"/>
  <c r="L499" i="3" l="1"/>
  <c r="L247" i="3" l="1"/>
  <c r="L500" i="3" l="1"/>
  <c r="L248" i="3" l="1"/>
  <c r="L501" i="3" l="1"/>
  <c r="L249" i="3" l="1"/>
  <c r="L502" i="3" l="1"/>
  <c r="L250" i="3" l="1"/>
  <c r="L503" i="3" l="1"/>
  <c r="L251" i="3" l="1"/>
  <c r="L504" i="3" l="1"/>
  <c r="L252" i="3" l="1"/>
  <c r="L505" i="3" l="1"/>
  <c r="L253" i="3" l="1"/>
  <c r="L506" i="3" l="1"/>
  <c r="L254" i="3" l="1"/>
  <c r="L507" i="3" l="1"/>
  <c r="L255" i="3" l="1"/>
  <c r="L508" i="3" l="1"/>
  <c r="L256" i="3" l="1"/>
  <c r="L509" i="3" l="1"/>
  <c r="L257" i="3" l="1"/>
  <c r="L510" i="3" l="1"/>
  <c r="L258" i="3" l="1"/>
  <c r="L511" i="3" l="1"/>
  <c r="L259" i="3" l="1"/>
  <c r="L512" i="3" l="1"/>
  <c r="L260" i="3" l="1"/>
  <c r="L513" i="3" l="1"/>
  <c r="L261" i="3" l="1"/>
  <c r="L514" i="3" l="1"/>
  <c r="L262" i="3" l="1"/>
  <c r="L515" i="3" l="1"/>
  <c r="L263" i="3" l="1"/>
  <c r="L516" i="3" l="1"/>
  <c r="L264" i="3" l="1"/>
  <c r="L517" i="3" l="1"/>
  <c r="L265" i="3" l="1"/>
  <c r="L518" i="3" l="1"/>
  <c r="L266" i="3" l="1"/>
  <c r="L519" i="3" l="1"/>
  <c r="L267" i="3" l="1"/>
  <c r="L268" i="3" l="1"/>
  <c r="L269" i="3" l="1"/>
  <c r="L270" i="3" l="1"/>
  <c r="L271" i="3" l="1"/>
  <c r="L272" i="3" l="1"/>
  <c r="L273" i="3" l="1"/>
  <c r="L274" i="3" l="1"/>
  <c r="L275" i="3" l="1"/>
  <c r="L276" i="3" l="1"/>
  <c r="L277" i="3" l="1"/>
  <c r="L278" i="3" l="1"/>
  <c r="L279" i="3" l="1"/>
  <c r="L280" i="3" l="1"/>
  <c r="L281" i="3" l="1"/>
  <c r="L282" i="3" l="1"/>
  <c r="L283" i="3" l="1"/>
  <c r="L284" i="3" l="1"/>
  <c r="L285" i="3" l="1"/>
  <c r="L286" i="3" l="1"/>
  <c r="L287" i="3" l="1"/>
  <c r="L288" i="3" l="1"/>
  <c r="L289" i="3" l="1"/>
  <c r="L290" i="3" l="1"/>
  <c r="L291" i="3" l="1"/>
  <c r="L292" i="3" l="1"/>
  <c r="L293" i="3" l="1"/>
  <c r="L294" i="3" l="1"/>
  <c r="L295" i="3" l="1"/>
  <c r="L296" i="3" l="1"/>
  <c r="L297" i="3"/>
</calcChain>
</file>

<file path=xl/sharedStrings.xml><?xml version="1.0" encoding="utf-8"?>
<sst xmlns="http://schemas.openxmlformats.org/spreadsheetml/2006/main" count="9118" uniqueCount="2919">
  <si>
    <t>Nivel</t>
  </si>
  <si>
    <t>LICENCIATURA</t>
  </si>
  <si>
    <t>Nombre Alumno</t>
  </si>
  <si>
    <t>ABBY DESSIRE</t>
  </si>
  <si>
    <t>ABRIL ISABELLA</t>
  </si>
  <si>
    <t>ADAN OSWALDO</t>
  </si>
  <si>
    <t>ADIB KALEB</t>
  </si>
  <si>
    <t>ADRIAN</t>
  </si>
  <si>
    <t>ADRIAN ASSIS</t>
  </si>
  <si>
    <t>ADRIAN BRYANT</t>
  </si>
  <si>
    <t>ADRIAN FERNANDO</t>
  </si>
  <si>
    <t>ADRIANA</t>
  </si>
  <si>
    <t>ADRIANA GUADALUPE</t>
  </si>
  <si>
    <t>ADRIANA PAOLA</t>
  </si>
  <si>
    <t>AIRAM VICTORIA</t>
  </si>
  <si>
    <t>AKARI ANDREA</t>
  </si>
  <si>
    <t>ALAN DANIEL</t>
  </si>
  <si>
    <t>ALAN OSWALDO</t>
  </si>
  <si>
    <t>ALAN YAEL</t>
  </si>
  <si>
    <t>ALBERTO</t>
  </si>
  <si>
    <t>ALBERTO JAVIER</t>
  </si>
  <si>
    <t>ALEJANDRA</t>
  </si>
  <si>
    <t>ALEJANDRO</t>
  </si>
  <si>
    <t>ALEXA</t>
  </si>
  <si>
    <t>ALEXA VIANEY</t>
  </si>
  <si>
    <t>ALFONSO</t>
  </si>
  <si>
    <t>ALFREDO</t>
  </si>
  <si>
    <t>ALMA DANIELA</t>
  </si>
  <si>
    <t>ALONDRA</t>
  </si>
  <si>
    <t>ALONDRA ARHEMI</t>
  </si>
  <si>
    <t>ALONDRA JAMILETH</t>
  </si>
  <si>
    <t>ALONDRA MARISOL</t>
  </si>
  <si>
    <t>ALONDRA SOFIA</t>
  </si>
  <si>
    <t>ALVARO</t>
  </si>
  <si>
    <t>AMANDA CARMIÑA</t>
  </si>
  <si>
    <t>AMERICA</t>
  </si>
  <si>
    <t>ANA BELEN</t>
  </si>
  <si>
    <t>ANA CAMILA</t>
  </si>
  <si>
    <t>ANA CECILIA</t>
  </si>
  <si>
    <t>ANA CRISTINA</t>
  </si>
  <si>
    <t>ANA ISABEL</t>
  </si>
  <si>
    <t>ANA KAROL</t>
  </si>
  <si>
    <t>ANA LORENA</t>
  </si>
  <si>
    <t>ANA LUCIA</t>
  </si>
  <si>
    <t>ANA PAULA</t>
  </si>
  <si>
    <t>ANA SOFIA</t>
  </si>
  <si>
    <t>ANA VALERIA</t>
  </si>
  <si>
    <t>ANA VICTORIA</t>
  </si>
  <si>
    <t>ANAILY GUADALUPE</t>
  </si>
  <si>
    <t>ANDRE</t>
  </si>
  <si>
    <t>ANDRE SEBASTIAN</t>
  </si>
  <si>
    <t>ANDREA</t>
  </si>
  <si>
    <t>ANDREA GUADALUPE</t>
  </si>
  <si>
    <t>ANDREA LIZETH</t>
  </si>
  <si>
    <t>ANDREA NAOMI</t>
  </si>
  <si>
    <t>ANDREA PAOLA</t>
  </si>
  <si>
    <t>ANDREA PATRICIA</t>
  </si>
  <si>
    <t>ANDREA RENATA</t>
  </si>
  <si>
    <t>ANDRES</t>
  </si>
  <si>
    <t>ANDRES EZEQUIEL</t>
  </si>
  <si>
    <t>ANDY</t>
  </si>
  <si>
    <t>ANGEL</t>
  </si>
  <si>
    <t>ANGEL AIOROS</t>
  </si>
  <si>
    <t>ANGEL ALEXANDER</t>
  </si>
  <si>
    <t>ANGEL ANDRES</t>
  </si>
  <si>
    <t>ANGEL DAVID</t>
  </si>
  <si>
    <t>ANGEL EMANUEL</t>
  </si>
  <si>
    <t>ANGEL FABIAN</t>
  </si>
  <si>
    <t>ANGEL FERNANDO</t>
  </si>
  <si>
    <t>ANGEL GUILLERMO</t>
  </si>
  <si>
    <t>ANGEL MARTIN</t>
  </si>
  <si>
    <t>ANGELA PAULINA</t>
  </si>
  <si>
    <t>ANGELICA</t>
  </si>
  <si>
    <t>ANTONIO</t>
  </si>
  <si>
    <t>AOLANI XAXBE</t>
  </si>
  <si>
    <t>ARACELI ESMERALDA</t>
  </si>
  <si>
    <t>ARANZA SINHAI</t>
  </si>
  <si>
    <t>ARELIA PAULINA</t>
  </si>
  <si>
    <t>ARTURO EMMANUEL</t>
  </si>
  <si>
    <t>ASTRID AVRIL</t>
  </si>
  <si>
    <t>ATZIRI ELIZABETH</t>
  </si>
  <si>
    <t>AUREA EMILY</t>
  </si>
  <si>
    <t>AURORA SARAHI</t>
  </si>
  <si>
    <t>AXEL GUILLERMO</t>
  </si>
  <si>
    <t>BERNARDA</t>
  </si>
  <si>
    <t>BERTHA ERICA</t>
  </si>
  <si>
    <t>BETHEL CITLALI</t>
  </si>
  <si>
    <t>BLANCA LETICIA</t>
  </si>
  <si>
    <t>BLAS</t>
  </si>
  <si>
    <t>BOGAR GERARDO</t>
  </si>
  <si>
    <t>BRAULIO AARON</t>
  </si>
  <si>
    <t>BRAULIO ISAIAS</t>
  </si>
  <si>
    <t>BRAYAN JOSE</t>
  </si>
  <si>
    <t>BRENDA GUADALUPE</t>
  </si>
  <si>
    <t>BRENDA MELISSA</t>
  </si>
  <si>
    <t>BRENDA SUSANA</t>
  </si>
  <si>
    <t>BRENDA XIADANI</t>
  </si>
  <si>
    <t>BRIAN ESAU</t>
  </si>
  <si>
    <t>BRUNO JOEL</t>
  </si>
  <si>
    <t>CARLA</t>
  </si>
  <si>
    <t>CARLOS EDUARDO</t>
  </si>
  <si>
    <t>CARLOS FERNANDO</t>
  </si>
  <si>
    <t>CARLOS IVAN</t>
  </si>
  <si>
    <t>CARLOS ROBERTO</t>
  </si>
  <si>
    <t>CARLOS SANTIAGO</t>
  </si>
  <si>
    <t>CAROL MARIAN</t>
  </si>
  <si>
    <t>CAROL NOEMI</t>
  </si>
  <si>
    <t>CAROLINA</t>
  </si>
  <si>
    <t>CAROLINA ALEXANDRA</t>
  </si>
  <si>
    <t>CESAR</t>
  </si>
  <si>
    <t>CESAR EDUARDO</t>
  </si>
  <si>
    <t>CHRISTIAN ALEJANDRO</t>
  </si>
  <si>
    <t>CLAUDIA BERENICE</t>
  </si>
  <si>
    <t>CLAUDIA DANIELA</t>
  </si>
  <si>
    <t>CLAUDIA FERNANDA</t>
  </si>
  <si>
    <t>CLAUDIA MARIAN</t>
  </si>
  <si>
    <t>CLAUDIA PATRICIA</t>
  </si>
  <si>
    <t>CLAUDIO</t>
  </si>
  <si>
    <t>CRISTHIAN HAZAEL</t>
  </si>
  <si>
    <t>CRISTIAN</t>
  </si>
  <si>
    <t>CRISTIAN FABIAN</t>
  </si>
  <si>
    <t>CRISTO TEODORO</t>
  </si>
  <si>
    <t>CRISTOPHER ADRIAN</t>
  </si>
  <si>
    <t>DAFNE GALILEA</t>
  </si>
  <si>
    <t>DAFNE MONTSERRAT</t>
  </si>
  <si>
    <t>DAHYANA PAULINA</t>
  </si>
  <si>
    <t>DAMARIS AIXA</t>
  </si>
  <si>
    <t>DAMIAN</t>
  </si>
  <si>
    <t>DANA ELENA</t>
  </si>
  <si>
    <t>DANA JOANELLE</t>
  </si>
  <si>
    <t>DANA PAULINA</t>
  </si>
  <si>
    <t>DANIEL</t>
  </si>
  <si>
    <t>DANIEL ALEJANDRO</t>
  </si>
  <si>
    <t>DANIEL EDUARDO</t>
  </si>
  <si>
    <t>DANIEL IGNACIO</t>
  </si>
  <si>
    <t>DANIELA</t>
  </si>
  <si>
    <t>DANIELA GISEL</t>
  </si>
  <si>
    <t>DANIELA RENEE</t>
  </si>
  <si>
    <t>DANILA RAQUEL</t>
  </si>
  <si>
    <t>DANNA</t>
  </si>
  <si>
    <t>DANTE YAEL</t>
  </si>
  <si>
    <t>DARIO</t>
  </si>
  <si>
    <t>DARSHAN GAEL</t>
  </si>
  <si>
    <t>DAVID</t>
  </si>
  <si>
    <t>DAVID ALEJANDRO</t>
  </si>
  <si>
    <t>DAVID ISRAEL</t>
  </si>
  <si>
    <t>DAVID IVAN</t>
  </si>
  <si>
    <t>DAVID JOSUE</t>
  </si>
  <si>
    <t>DAYRA MICHELLE</t>
  </si>
  <si>
    <t>DIANA</t>
  </si>
  <si>
    <t>DIANA JACQUELINE</t>
  </si>
  <si>
    <t>DIANA LETICIA</t>
  </si>
  <si>
    <t>DIANA LISSETE</t>
  </si>
  <si>
    <t>DIANA LYSETH</t>
  </si>
  <si>
    <t>DIANA PAOLA</t>
  </si>
  <si>
    <t>DIANA PAULA</t>
  </si>
  <si>
    <t>DIANA SARAHI</t>
  </si>
  <si>
    <t>DIEGGO</t>
  </si>
  <si>
    <t>DIEGO</t>
  </si>
  <si>
    <t>DIEGO ALFONSO</t>
  </si>
  <si>
    <t>DIEGO ALONSO</t>
  </si>
  <si>
    <t>DIEGO ANDRES</t>
  </si>
  <si>
    <t>DIEGO ARTURO</t>
  </si>
  <si>
    <t>DIEGO CRISTAN</t>
  </si>
  <si>
    <t>DIEGO FRANCISCO</t>
  </si>
  <si>
    <t>DIEGO ISMAEL</t>
  </si>
  <si>
    <t>DIEGO MARTIN</t>
  </si>
  <si>
    <t>DIEGO MISAEL</t>
  </si>
  <si>
    <t>DIEGO NICOLAS</t>
  </si>
  <si>
    <t>DIEGO SANJIVH</t>
  </si>
  <si>
    <t>DIEGO SEBASTIAN</t>
  </si>
  <si>
    <t>DONOVAN DAMIAN</t>
  </si>
  <si>
    <t>DYLAN ADRIAN</t>
  </si>
  <si>
    <t>EDGAR</t>
  </si>
  <si>
    <t>EDGAR ALEJANDRO</t>
  </si>
  <si>
    <t>EDUARDO</t>
  </si>
  <si>
    <t>EDUARDO YOSHIAKI</t>
  </si>
  <si>
    <t>EDWIN FERNANDO</t>
  </si>
  <si>
    <t>ELCYRA DAYANA</t>
  </si>
  <si>
    <t>ELIAS</t>
  </si>
  <si>
    <t>ELISEO</t>
  </si>
  <si>
    <t>ELIZABETH</t>
  </si>
  <si>
    <t>EMILIANO</t>
  </si>
  <si>
    <t>EMILIO</t>
  </si>
  <si>
    <t>EMILIO ANDRES</t>
  </si>
  <si>
    <t>EMMANUEL</t>
  </si>
  <si>
    <t>EMMANUEL SEBASTIAN</t>
  </si>
  <si>
    <t>ENRIQUE</t>
  </si>
  <si>
    <t>ENRIQUE JESUS</t>
  </si>
  <si>
    <t>ENRIQUE RENE</t>
  </si>
  <si>
    <t>ERICK GERMAIN</t>
  </si>
  <si>
    <t>ERNESTO</t>
  </si>
  <si>
    <t>ESAU ALFREDO</t>
  </si>
  <si>
    <t>ESMERALDA GABRIELA</t>
  </si>
  <si>
    <t>ESTEBAN ENRIQUE</t>
  </si>
  <si>
    <t>ESTEFANI NICOLE</t>
  </si>
  <si>
    <t>ESTEPHANY</t>
  </si>
  <si>
    <t>ETIANE ANTONIO</t>
  </si>
  <si>
    <t>EVA REGINA</t>
  </si>
  <si>
    <t>FABIAN</t>
  </si>
  <si>
    <t>FARAH ISABELLA</t>
  </si>
  <si>
    <t>FATIMA DENNISE</t>
  </si>
  <si>
    <t>FATIMA JULIANA</t>
  </si>
  <si>
    <t>FERNAN</t>
  </si>
  <si>
    <t>FERNANDA ARACELI</t>
  </si>
  <si>
    <t>FERNANDA DANAE</t>
  </si>
  <si>
    <t>FERNANDO</t>
  </si>
  <si>
    <t>FLOR MONSERRAT</t>
  </si>
  <si>
    <t>FRANCISCA JAQUELINE</t>
  </si>
  <si>
    <t>FRANIA ALEJANDRA</t>
  </si>
  <si>
    <t>FRANKLIN RAMON</t>
  </si>
  <si>
    <t>FRIDA SOPHIA</t>
  </si>
  <si>
    <t>GABRIEL EDUARDO</t>
  </si>
  <si>
    <t>GABRIELA</t>
  </si>
  <si>
    <t>GABRIELA ALEJANDRA</t>
  </si>
  <si>
    <t>GABRIELA MONSERRAT</t>
  </si>
  <si>
    <t>GALIA PAOLA</t>
  </si>
  <si>
    <t>GEMA</t>
  </si>
  <si>
    <t>GEORGINA ESPERANZA</t>
  </si>
  <si>
    <t>GILBERTO</t>
  </si>
  <si>
    <t>GILBERTO ALEJANDRO</t>
  </si>
  <si>
    <t>GIOVANNA</t>
  </si>
  <si>
    <t>GIOVANNI</t>
  </si>
  <si>
    <t>GLORIA MIRANDA</t>
  </si>
  <si>
    <t>GUILLERMO JOSE</t>
  </si>
  <si>
    <t>GUILLERMO KALEB</t>
  </si>
  <si>
    <t>GUSTAVO JESUS</t>
  </si>
  <si>
    <t>HANNAH CITLALI</t>
  </si>
  <si>
    <t>HANNIA</t>
  </si>
  <si>
    <t>HECTOR</t>
  </si>
  <si>
    <t>HECTOR BERNARDO</t>
  </si>
  <si>
    <t>HECTOR ENRIQUE</t>
  </si>
  <si>
    <t>HECTOR FABIAN</t>
  </si>
  <si>
    <t>HECTOR ORLANDO</t>
  </si>
  <si>
    <t>HELI</t>
  </si>
  <si>
    <t>HERIBERTO SAMUEL</t>
  </si>
  <si>
    <t>HERMELINDA</t>
  </si>
  <si>
    <t>HUGO ALBERTO</t>
  </si>
  <si>
    <t>IAN FERNANDO</t>
  </si>
  <si>
    <t>ILICH LENIN</t>
  </si>
  <si>
    <t>IRVING ALEJANDRO</t>
  </si>
  <si>
    <t>ISAAC</t>
  </si>
  <si>
    <t>ISAAC EMILIANO</t>
  </si>
  <si>
    <t>ISAAC EMMANUEL</t>
  </si>
  <si>
    <t>ISABEL HIROMI</t>
  </si>
  <si>
    <t>ISABELLA</t>
  </si>
  <si>
    <t>ISABELLA DE LOS ANGELES</t>
  </si>
  <si>
    <t>ISABELY</t>
  </si>
  <si>
    <t>ISIS CITLALI</t>
  </si>
  <si>
    <t>ISMAEL TADEO</t>
  </si>
  <si>
    <t>ITZEL ALEJANDRA</t>
  </si>
  <si>
    <t>ITZEL MONTSERRAT</t>
  </si>
  <si>
    <t>IVAN</t>
  </si>
  <si>
    <t>IVAN ALBERTO</t>
  </si>
  <si>
    <t>IVANA</t>
  </si>
  <si>
    <t>JAAZIEL ALEJANDRO</t>
  </si>
  <si>
    <t>JACKELINE</t>
  </si>
  <si>
    <t>JADYN</t>
  </si>
  <si>
    <t>JAIME EMMANUEL</t>
  </si>
  <si>
    <t>JAIME GABRIEL</t>
  </si>
  <si>
    <t>JANETH</t>
  </si>
  <si>
    <t>JAVIER</t>
  </si>
  <si>
    <t>JAVIER ANDRES</t>
  </si>
  <si>
    <t>JAVIER ANTONIO</t>
  </si>
  <si>
    <t>JAVIER EDUARDO</t>
  </si>
  <si>
    <t>JAZMIN</t>
  </si>
  <si>
    <t>JENNIFER</t>
  </si>
  <si>
    <t>JENNIFER IVETTE</t>
  </si>
  <si>
    <t>JESSICA ELIZABETH</t>
  </si>
  <si>
    <t>JESUS ABRAHAM</t>
  </si>
  <si>
    <t>JESUS ALBERTO</t>
  </si>
  <si>
    <t>JESUS ANDRES</t>
  </si>
  <si>
    <t>JESUS ANTONIO</t>
  </si>
  <si>
    <t>JESUS BENJAMIN</t>
  </si>
  <si>
    <t>JESUS EDUARDO</t>
  </si>
  <si>
    <t>JESUS ISSAHI</t>
  </si>
  <si>
    <t>JIMENA</t>
  </si>
  <si>
    <t>JOAQUIN</t>
  </si>
  <si>
    <t>JOAQUIN ALEJANDRO</t>
  </si>
  <si>
    <t>JOAQUIN IVAN</t>
  </si>
  <si>
    <t>JOCELYN MONTSERRAT</t>
  </si>
  <si>
    <t>JOHAN GIOVANNI</t>
  </si>
  <si>
    <t>JONATHAN ALEJANDRO</t>
  </si>
  <si>
    <t>JONATHAN OSWALDO</t>
  </si>
  <si>
    <t>JONATHAN ULISES</t>
  </si>
  <si>
    <t>JORGE ALEJANDRO</t>
  </si>
  <si>
    <t>JORGE ARMANDO</t>
  </si>
  <si>
    <t>JORGE CARLOS</t>
  </si>
  <si>
    <t>JORGE EDUARDO</t>
  </si>
  <si>
    <t>JORGE JULIAN</t>
  </si>
  <si>
    <t>JORGE LUIS</t>
  </si>
  <si>
    <t>JORSHUA DANIEL</t>
  </si>
  <si>
    <t>JOSE ALBERTO</t>
  </si>
  <si>
    <t>JOSE ALEJANDRO</t>
  </si>
  <si>
    <t>JOSE ANGEL</t>
  </si>
  <si>
    <t>JOSE ANTONIO</t>
  </si>
  <si>
    <t>JOSE CARLOS</t>
  </si>
  <si>
    <t>JOSE DANIEL</t>
  </si>
  <si>
    <t>JOSE DAVID</t>
  </si>
  <si>
    <t>JOSE DE JESUS</t>
  </si>
  <si>
    <t>JOSE EMMANUEL</t>
  </si>
  <si>
    <t>JOSE HUMBERTO</t>
  </si>
  <si>
    <t>JOSE ISAAC</t>
  </si>
  <si>
    <t>JOSE LUIS</t>
  </si>
  <si>
    <t>JOSE MANUEL</t>
  </si>
  <si>
    <t>JOSE MARIA</t>
  </si>
  <si>
    <t>JOSE MAURICIO</t>
  </si>
  <si>
    <t>JOSE MIGUEL</t>
  </si>
  <si>
    <t>JOSE RAMON</t>
  </si>
  <si>
    <t>JOSHUA ALEJANDRO</t>
  </si>
  <si>
    <t>JOSUE JAVIER</t>
  </si>
  <si>
    <t>JOSUE SEBASTIAN EMILIANO</t>
  </si>
  <si>
    <t>JUAN ARMANDO</t>
  </si>
  <si>
    <t>JUAN CARLOS</t>
  </si>
  <si>
    <t>JUAN JESUS</t>
  </si>
  <si>
    <t>JUAN JOSE</t>
  </si>
  <si>
    <t>JUAN LUIS</t>
  </si>
  <si>
    <t>JUAN MANUEL</t>
  </si>
  <si>
    <t>JUAN PABLO</t>
  </si>
  <si>
    <t>JUAN PATRICIO</t>
  </si>
  <si>
    <t>JULIETA</t>
  </si>
  <si>
    <t>JULIETA RENATA</t>
  </si>
  <si>
    <t>JULIO CESAR</t>
  </si>
  <si>
    <t>KAHLEB ALEJANDRO</t>
  </si>
  <si>
    <t>KAREN ITZEL</t>
  </si>
  <si>
    <t>KAREN JANETTE</t>
  </si>
  <si>
    <t>KAREN MICHELLE</t>
  </si>
  <si>
    <t>KAREN MONSERRAT</t>
  </si>
  <si>
    <t>KARIM DANIEL</t>
  </si>
  <si>
    <t>KARINA</t>
  </si>
  <si>
    <t>KARINA ITZELL</t>
  </si>
  <si>
    <t>KARLA ALEXIA</t>
  </si>
  <si>
    <t>KARLA DANIELA</t>
  </si>
  <si>
    <t>KARLA GABRIELA</t>
  </si>
  <si>
    <t>KARLA GUADALUPE</t>
  </si>
  <si>
    <t>KARLA MICHELLE</t>
  </si>
  <si>
    <t>KARLA VALERIA</t>
  </si>
  <si>
    <t>KAROL YANELY</t>
  </si>
  <si>
    <t>KATIA</t>
  </si>
  <si>
    <t>KENNIA GUADALUPE</t>
  </si>
  <si>
    <t>KEVIN</t>
  </si>
  <si>
    <t>KEVIN CARLOS</t>
  </si>
  <si>
    <t>KEVIN EMMANUEL</t>
  </si>
  <si>
    <t>KEVIN JOSUE</t>
  </si>
  <si>
    <t>KEVIN RAMON</t>
  </si>
  <si>
    <t>KEVIN RODRIGO PASCAL</t>
  </si>
  <si>
    <t>KIARA MAUREEN</t>
  </si>
  <si>
    <t>KITZYA ANGELINA</t>
  </si>
  <si>
    <t>LAURA JOSSELIN</t>
  </si>
  <si>
    <t>LAURA MARIA</t>
  </si>
  <si>
    <t>LAURA SUSANA</t>
  </si>
  <si>
    <t>LAVINIA ZARINA</t>
  </si>
  <si>
    <t>LAYSSA</t>
  </si>
  <si>
    <t>LEONARDO</t>
  </si>
  <si>
    <t>LEONARDO AUGUSTO</t>
  </si>
  <si>
    <t>LEONEL MAXIMILIANO</t>
  </si>
  <si>
    <t>LEONEL RICARDO</t>
  </si>
  <si>
    <t>LESLY DANIELA</t>
  </si>
  <si>
    <t>LIA VALENTINA</t>
  </si>
  <si>
    <t>LIAN</t>
  </si>
  <si>
    <t>LILIAN</t>
  </si>
  <si>
    <t>LILLIAN REBECA</t>
  </si>
  <si>
    <t>LISA MARIE</t>
  </si>
  <si>
    <t>LISSET</t>
  </si>
  <si>
    <t>LORENA</t>
  </si>
  <si>
    <t>LUIS ALEJANDRO</t>
  </si>
  <si>
    <t>LUIS ALONSO</t>
  </si>
  <si>
    <t>LUIS ANTONIO</t>
  </si>
  <si>
    <t>LUIS ERNESTO JAKOB</t>
  </si>
  <si>
    <t>LUIS FERNANDO</t>
  </si>
  <si>
    <t>LUIS GUILLERMO</t>
  </si>
  <si>
    <t>LUIS JAVIER</t>
  </si>
  <si>
    <t>LUIS MANUEL</t>
  </si>
  <si>
    <t>LUIS RODRIGO</t>
  </si>
  <si>
    <t>LUIS RONALDO</t>
  </si>
  <si>
    <t>LUIS SERGIO</t>
  </si>
  <si>
    <t>LUNA DALAI</t>
  </si>
  <si>
    <t>LUNIA MARGARITA</t>
  </si>
  <si>
    <t>LUZ ANGELICA NAOMI</t>
  </si>
  <si>
    <t>LYA ABIGAIL</t>
  </si>
  <si>
    <t>MARCELIANO</t>
  </si>
  <si>
    <t>MARCO ANTONIO</t>
  </si>
  <si>
    <t>MARCO ARTURO</t>
  </si>
  <si>
    <t>MARCO GABRIEL</t>
  </si>
  <si>
    <t>MARIA ANTONIA</t>
  </si>
  <si>
    <t>MARIA DE LOS ANGELES</t>
  </si>
  <si>
    <t>MARIA FERNANDA</t>
  </si>
  <si>
    <t>MARIA INES</t>
  </si>
  <si>
    <t>MARIA PAULA</t>
  </si>
  <si>
    <t>MARIA SOFIA</t>
  </si>
  <si>
    <t>MARIAN ISABELLA</t>
  </si>
  <si>
    <t>MARIANA</t>
  </si>
  <si>
    <t>MARIANA ALEJANDRA</t>
  </si>
  <si>
    <t>MARIANA ITZEL</t>
  </si>
  <si>
    <t>MARIANA JOSELYNE</t>
  </si>
  <si>
    <t>MARIANGEL</t>
  </si>
  <si>
    <t>MARIANNE</t>
  </si>
  <si>
    <t>MARIANO</t>
  </si>
  <si>
    <t>MARIEL CAROLINA</t>
  </si>
  <si>
    <t>MARIFER</t>
  </si>
  <si>
    <t>MARIO ARTURO</t>
  </si>
  <si>
    <t>MARIO ISAIAS</t>
  </si>
  <si>
    <t>MARIO JESUS</t>
  </si>
  <si>
    <t>MARISOL</t>
  </si>
  <si>
    <t>MARITZA ELIZABETH</t>
  </si>
  <si>
    <t>MARTIN ALEXANDER</t>
  </si>
  <si>
    <t>MAURICIO</t>
  </si>
  <si>
    <t>MAURICIO JAVIER</t>
  </si>
  <si>
    <t>MAYRA JESUS DE BELEN</t>
  </si>
  <si>
    <t>MELANI RACHEL</t>
  </si>
  <si>
    <t>MELANY DENISSE</t>
  </si>
  <si>
    <t>MELISSA ITZEL</t>
  </si>
  <si>
    <t>MICHELE ANNEL</t>
  </si>
  <si>
    <t>MICHELLE</t>
  </si>
  <si>
    <t>MICHELLE ANAHI</t>
  </si>
  <si>
    <t>MICHELLE CAROLINA</t>
  </si>
  <si>
    <t>MICHELLE DANIELA</t>
  </si>
  <si>
    <t>MIGUEL</t>
  </si>
  <si>
    <t>MIRANDA CAROLINA</t>
  </si>
  <si>
    <t>MIRIAM ALEJANDRA</t>
  </si>
  <si>
    <t>MONICA ALEJANDRA</t>
  </si>
  <si>
    <t>MONTSERRAT</t>
  </si>
  <si>
    <t>MYRIAM SOFIA</t>
  </si>
  <si>
    <t>NAOMI JIMENA</t>
  </si>
  <si>
    <t>NATALIA</t>
  </si>
  <si>
    <t>NATALIA GUADALUPE</t>
  </si>
  <si>
    <t>NAYELI ELIZABETH</t>
  </si>
  <si>
    <t>NEIZER JESUS</t>
  </si>
  <si>
    <t>NELLY</t>
  </si>
  <si>
    <t>NICOL GUADALUPE</t>
  </si>
  <si>
    <t>NICOLAS</t>
  </si>
  <si>
    <t>NICOLE</t>
  </si>
  <si>
    <t>NOEMI JOCELYN</t>
  </si>
  <si>
    <t>OLIVER</t>
  </si>
  <si>
    <t>OMAR ALEJANDRO</t>
  </si>
  <si>
    <t>ORLANDO BARU</t>
  </si>
  <si>
    <t>OSCAR</t>
  </si>
  <si>
    <t>OSCAR ANDREI</t>
  </si>
  <si>
    <t>OSCAR DANIEL</t>
  </si>
  <si>
    <t>OSCAR DIEGO</t>
  </si>
  <si>
    <t>OSCAR EMILIO</t>
  </si>
  <si>
    <t>OSCAR NASSEM</t>
  </si>
  <si>
    <t>OSCAR OSVALDO</t>
  </si>
  <si>
    <t>OSCAR ROBERTO</t>
  </si>
  <si>
    <t>OSMAR ANDREY</t>
  </si>
  <si>
    <t>PABLO</t>
  </si>
  <si>
    <t>PABLO DOMINGO</t>
  </si>
  <si>
    <t>PABLO JARED</t>
  </si>
  <si>
    <t>PABLO LEONARDO</t>
  </si>
  <si>
    <t>PABLO MANUEL</t>
  </si>
  <si>
    <t>PABLO MARIA</t>
  </si>
  <si>
    <t>PABLO OSCAR</t>
  </si>
  <si>
    <t>PABLO SAMUEL</t>
  </si>
  <si>
    <t>PALOMA</t>
  </si>
  <si>
    <t>PALOMA MICHELLE</t>
  </si>
  <si>
    <t>PAOLA</t>
  </si>
  <si>
    <t>PAOLA BRIDGET</t>
  </si>
  <si>
    <t>PAOLA DENICE</t>
  </si>
  <si>
    <t>PATRICIA</t>
  </si>
  <si>
    <t>PAULA ALEJANDRA</t>
  </si>
  <si>
    <t>PAULA VICTORIA</t>
  </si>
  <si>
    <t>PAULINA</t>
  </si>
  <si>
    <t>PAULINA NATALY</t>
  </si>
  <si>
    <t>PAULINA PATRICIA</t>
  </si>
  <si>
    <t>PAULO</t>
  </si>
  <si>
    <t>PEDRO EMILIANO</t>
  </si>
  <si>
    <t>PEDRO IKER</t>
  </si>
  <si>
    <t>PERLA BEATRIZ</t>
  </si>
  <si>
    <t>QUILTZIN TANYA</t>
  </si>
  <si>
    <t>REGINA</t>
  </si>
  <si>
    <t>REGINA MARGARITA</t>
  </si>
  <si>
    <t>RENATA</t>
  </si>
  <si>
    <t>RICARDO</t>
  </si>
  <si>
    <t>RICARDO ALBERTO</t>
  </si>
  <si>
    <t>ROBERTO</t>
  </si>
  <si>
    <t>RODRIGO</t>
  </si>
  <si>
    <t>RODRIGO SAUL</t>
  </si>
  <si>
    <t>RODRIGO SEBASTIAN</t>
  </si>
  <si>
    <t>ROMINA</t>
  </si>
  <si>
    <t>ROSARIO</t>
  </si>
  <si>
    <t>RUTH EMILIA</t>
  </si>
  <si>
    <t>RUTH PAOLA</t>
  </si>
  <si>
    <t>SALVADOR NICOLAS</t>
  </si>
  <si>
    <t>SAMUEL ALEJANDRO</t>
  </si>
  <si>
    <t>SAMUEL RICARDO</t>
  </si>
  <si>
    <t>SANDRA</t>
  </si>
  <si>
    <t>SANDRA BEATRIZ</t>
  </si>
  <si>
    <t>SANTIAGO</t>
  </si>
  <si>
    <t>SANTIAGO ALEJANDRO</t>
  </si>
  <si>
    <t>SANTIAGO RENE</t>
  </si>
  <si>
    <t>SARA AGALI</t>
  </si>
  <si>
    <t>SARAHI</t>
  </si>
  <si>
    <t>SAUL DE JESUS</t>
  </si>
  <si>
    <t>SAUL FERNANDO</t>
  </si>
  <si>
    <t>SEBASTIAN</t>
  </si>
  <si>
    <t>SEBASTIAN EMILIANO</t>
  </si>
  <si>
    <t>SERGIO</t>
  </si>
  <si>
    <t>SERGIO JOSE</t>
  </si>
  <si>
    <t>SHARON SOFIA</t>
  </si>
  <si>
    <t>SOFIA</t>
  </si>
  <si>
    <t>SOFIA MICHELLE</t>
  </si>
  <si>
    <t>SONIA XIMENA</t>
  </si>
  <si>
    <t>STEVEN</t>
  </si>
  <si>
    <t>TANIA DE LOS ANGELES</t>
  </si>
  <si>
    <t>TATIANA</t>
  </si>
  <si>
    <t>ULISES JOSELL</t>
  </si>
  <si>
    <t>VALENTINA</t>
  </si>
  <si>
    <t>VALENTINO</t>
  </si>
  <si>
    <t>VALERIA</t>
  </si>
  <si>
    <t>VALERIA ALEJANDRA</t>
  </si>
  <si>
    <t>VALERIA ESTEFANIA</t>
  </si>
  <si>
    <t>VALERIA FERNANDA</t>
  </si>
  <si>
    <t>VALERIA SOFIA</t>
  </si>
  <si>
    <t>VERONICA VIANNEY</t>
  </si>
  <si>
    <t>VICTOR HUGO</t>
  </si>
  <si>
    <t>VICTOR MANUEL</t>
  </si>
  <si>
    <t>VICTORIA</t>
  </si>
  <si>
    <t>WILHELM</t>
  </si>
  <si>
    <t>XIMENA</t>
  </si>
  <si>
    <t>XIMENA MONSERRATH</t>
  </si>
  <si>
    <t>YAEL ALEJANDRO</t>
  </si>
  <si>
    <t>YAEL DE JESUS</t>
  </si>
  <si>
    <t>YAMIL ALEJANDRO</t>
  </si>
  <si>
    <t>YAZMIN GABRIELA</t>
  </si>
  <si>
    <t>YERIK ROBERTO</t>
  </si>
  <si>
    <t>YESICA JANETH</t>
  </si>
  <si>
    <t>ZAHID LIEVICH</t>
  </si>
  <si>
    <t>ZAHIRA PAULETTE</t>
  </si>
  <si>
    <t>ZARA SOFIA</t>
  </si>
  <si>
    <t>A. Paterno Alumno</t>
  </si>
  <si>
    <t>PELAYO</t>
  </si>
  <si>
    <t>GODOY</t>
  </si>
  <si>
    <t>SANDOVAL</t>
  </si>
  <si>
    <t>GONZALEZ</t>
  </si>
  <si>
    <t>ESQUEDA</t>
  </si>
  <si>
    <t>JAIME</t>
  </si>
  <si>
    <t>PERFECTO</t>
  </si>
  <si>
    <t>TAPIA</t>
  </si>
  <si>
    <t>VEGA</t>
  </si>
  <si>
    <t>OROZCO</t>
  </si>
  <si>
    <t>AMARO</t>
  </si>
  <si>
    <t>MARTINEZ</t>
  </si>
  <si>
    <t>RODRIGUEZ</t>
  </si>
  <si>
    <t>MIRANDA</t>
  </si>
  <si>
    <t>YAMAGUCHI</t>
  </si>
  <si>
    <t>ALCALA</t>
  </si>
  <si>
    <t>HERNANDEZ</t>
  </si>
  <si>
    <t>VAZQUEZ</t>
  </si>
  <si>
    <t>LARIOS</t>
  </si>
  <si>
    <t>OJEDA</t>
  </si>
  <si>
    <t>NERI</t>
  </si>
  <si>
    <t>PEREZ</t>
  </si>
  <si>
    <t>BARAJAS</t>
  </si>
  <si>
    <t>DOMINGUEZ</t>
  </si>
  <si>
    <t>PALACIOS</t>
  </si>
  <si>
    <t>SOLIS</t>
  </si>
  <si>
    <t>MOYA</t>
  </si>
  <si>
    <t>TRUJILLO</t>
  </si>
  <si>
    <t>ROSALES</t>
  </si>
  <si>
    <t>CORTES</t>
  </si>
  <si>
    <t>SANTOYO</t>
  </si>
  <si>
    <t>ARREDONDO</t>
  </si>
  <si>
    <t>RAMOS</t>
  </si>
  <si>
    <t>VELAZQUEZ</t>
  </si>
  <si>
    <t>ORNELAS</t>
  </si>
  <si>
    <t>DE LA PEÑA</t>
  </si>
  <si>
    <t>GUZMAN</t>
  </si>
  <si>
    <t>MENDEZ</t>
  </si>
  <si>
    <t>OCEGUEDA</t>
  </si>
  <si>
    <t>ESPIRITU</t>
  </si>
  <si>
    <t>JUAREZ</t>
  </si>
  <si>
    <t>GUERRERO</t>
  </si>
  <si>
    <t>OCHOA</t>
  </si>
  <si>
    <t>JIMENEZ</t>
  </si>
  <si>
    <t>CAMACHO</t>
  </si>
  <si>
    <t>FONG</t>
  </si>
  <si>
    <t>RUELAS</t>
  </si>
  <si>
    <t>CARRION</t>
  </si>
  <si>
    <t>FIERROS</t>
  </si>
  <si>
    <t>SANCHEZ</t>
  </si>
  <si>
    <t>GODINEZ</t>
  </si>
  <si>
    <t>CHAVEZ</t>
  </si>
  <si>
    <t>DIAZ</t>
  </si>
  <si>
    <t>VILLAGRANA</t>
  </si>
  <si>
    <t>NAVARRO</t>
  </si>
  <si>
    <t>TORRES</t>
  </si>
  <si>
    <t>BRUGUERA</t>
  </si>
  <si>
    <t>REBOLLAR</t>
  </si>
  <si>
    <t>CABRERA</t>
  </si>
  <si>
    <t>NUÑEZ</t>
  </si>
  <si>
    <t>ESCALONA</t>
  </si>
  <si>
    <t>MONDRAGON</t>
  </si>
  <si>
    <t>DAVALOS</t>
  </si>
  <si>
    <t>GARCIA</t>
  </si>
  <si>
    <t>VIRGEN</t>
  </si>
  <si>
    <t>CUETO</t>
  </si>
  <si>
    <t>ABRAHAM</t>
  </si>
  <si>
    <t>MORENO</t>
  </si>
  <si>
    <t>CECEÑA</t>
  </si>
  <si>
    <t>VERDUZCO</t>
  </si>
  <si>
    <t>NEGRETE</t>
  </si>
  <si>
    <t>LIÑAN</t>
  </si>
  <si>
    <t>ALVARADO</t>
  </si>
  <si>
    <t>PATIÑO</t>
  </si>
  <si>
    <t>CASTAÑEDA</t>
  </si>
  <si>
    <t>BERNAL</t>
  </si>
  <si>
    <t>OSORNIO</t>
  </si>
  <si>
    <t>ARROYO</t>
  </si>
  <si>
    <t>BAUTISTA</t>
  </si>
  <si>
    <t>SOSA</t>
  </si>
  <si>
    <t>IÑIGUEZ</t>
  </si>
  <si>
    <t>PADRON</t>
  </si>
  <si>
    <t>GALLEGOS</t>
  </si>
  <si>
    <t>GATICA</t>
  </si>
  <si>
    <t>RIVERA</t>
  </si>
  <si>
    <t>BOJADO</t>
  </si>
  <si>
    <t>PADILLA</t>
  </si>
  <si>
    <t>MACIAS</t>
  </si>
  <si>
    <t>LOZANO</t>
  </si>
  <si>
    <t>CARPINTERO</t>
  </si>
  <si>
    <t>YERENA</t>
  </si>
  <si>
    <t>SERRANO</t>
  </si>
  <si>
    <t>FLORES</t>
  </si>
  <si>
    <t>RAMIREZ</t>
  </si>
  <si>
    <t>MARISCAL</t>
  </si>
  <si>
    <t>CASTILLO</t>
  </si>
  <si>
    <t>HURTADO</t>
  </si>
  <si>
    <t>BURGOS</t>
  </si>
  <si>
    <t>OBLEDO</t>
  </si>
  <si>
    <t>VALENCIA</t>
  </si>
  <si>
    <t>DE ALBA</t>
  </si>
  <si>
    <t>ALFARO</t>
  </si>
  <si>
    <t>FIGUEROA</t>
  </si>
  <si>
    <t>REGALADO</t>
  </si>
  <si>
    <t>MICHEL</t>
  </si>
  <si>
    <t>VILLARRUEL</t>
  </si>
  <si>
    <t>ZAMUDIO</t>
  </si>
  <si>
    <t>SAUCEDO</t>
  </si>
  <si>
    <t>RUVALCABA</t>
  </si>
  <si>
    <t>RENDON</t>
  </si>
  <si>
    <t>MERCADO</t>
  </si>
  <si>
    <t>AYALA</t>
  </si>
  <si>
    <t>CASTELLANOS</t>
  </si>
  <si>
    <t>LEMUS</t>
  </si>
  <si>
    <t>SALCIDO</t>
  </si>
  <si>
    <t>MOSCOSO</t>
  </si>
  <si>
    <t>ROJAS</t>
  </si>
  <si>
    <t>ROJO</t>
  </si>
  <si>
    <t>MURILLO</t>
  </si>
  <si>
    <t>CONTRERAS</t>
  </si>
  <si>
    <t>VALLADARES</t>
  </si>
  <si>
    <t>AGUILAR</t>
  </si>
  <si>
    <t>ORTIZ</t>
  </si>
  <si>
    <t>ARECHEDERRA</t>
  </si>
  <si>
    <t>WILSON</t>
  </si>
  <si>
    <t>RICO</t>
  </si>
  <si>
    <t>ALVAREZ</t>
  </si>
  <si>
    <t>CARRANZA</t>
  </si>
  <si>
    <t>ZUÑIGA</t>
  </si>
  <si>
    <t>GALLO</t>
  </si>
  <si>
    <t>QUIÑONES</t>
  </si>
  <si>
    <t>ALDRETE</t>
  </si>
  <si>
    <t>CORONADO</t>
  </si>
  <si>
    <t>DE ALVA</t>
  </si>
  <si>
    <t>ZEPEDA</t>
  </si>
  <si>
    <t>VILLASEÑOR</t>
  </si>
  <si>
    <t>TORIZ</t>
  </si>
  <si>
    <t>LIZARRAGA</t>
  </si>
  <si>
    <t>BONAL</t>
  </si>
  <si>
    <t>TZUC</t>
  </si>
  <si>
    <t>PRECIADO</t>
  </si>
  <si>
    <t>SUAREZ</t>
  </si>
  <si>
    <t>ZAVALA</t>
  </si>
  <si>
    <t>GOMEZ</t>
  </si>
  <si>
    <t>LOPEZ</t>
  </si>
  <si>
    <t>VON HAUSKE</t>
  </si>
  <si>
    <t>CUEVAS</t>
  </si>
  <si>
    <t>CERVANTES</t>
  </si>
  <si>
    <t>LUNA</t>
  </si>
  <si>
    <t>DE LA CRUZ</t>
  </si>
  <si>
    <t>FRANCO</t>
  </si>
  <si>
    <t>GRACIANO</t>
  </si>
  <si>
    <t>NAVA</t>
  </si>
  <si>
    <t>ANAYA</t>
  </si>
  <si>
    <t>TADEO</t>
  </si>
  <si>
    <t>ACEVES</t>
  </si>
  <si>
    <t>CASTRO</t>
  </si>
  <si>
    <t>VILLANUEVA</t>
  </si>
  <si>
    <t>TOLEDO</t>
  </si>
  <si>
    <t>ISIDORO</t>
  </si>
  <si>
    <t>CARDENAS</t>
  </si>
  <si>
    <t>COLDIVAR</t>
  </si>
  <si>
    <t>AMEZCUA</t>
  </si>
  <si>
    <t>ARCE</t>
  </si>
  <si>
    <t>ZAMORA</t>
  </si>
  <si>
    <t>ROMERO</t>
  </si>
  <si>
    <t>GUITRON</t>
  </si>
  <si>
    <t>RICOY</t>
  </si>
  <si>
    <t>PEÑUELAS</t>
  </si>
  <si>
    <t>ALENCASTRO</t>
  </si>
  <si>
    <t>COLOME</t>
  </si>
  <si>
    <t>PARTIDA</t>
  </si>
  <si>
    <t>COVARRUBIAS</t>
  </si>
  <si>
    <t>MADRIGAL</t>
  </si>
  <si>
    <t>GUERRA</t>
  </si>
  <si>
    <t>SANTILLAN</t>
  </si>
  <si>
    <t>SOSA Y AVILA</t>
  </si>
  <si>
    <t>ARAUJO</t>
  </si>
  <si>
    <t>CAMPOS</t>
  </si>
  <si>
    <t>VALDIVIA</t>
  </si>
  <si>
    <t>IBARRA</t>
  </si>
  <si>
    <t>BARRAGAN</t>
  </si>
  <si>
    <t>DE JESUS</t>
  </si>
  <si>
    <t>ARTEAGA</t>
  </si>
  <si>
    <t>INUKAI</t>
  </si>
  <si>
    <t>GORIBAR</t>
  </si>
  <si>
    <t>MONTIEL</t>
  </si>
  <si>
    <t>ALVES</t>
  </si>
  <si>
    <t>RIOS</t>
  </si>
  <si>
    <t>CORNEJO</t>
  </si>
  <si>
    <t>RUIZ</t>
  </si>
  <si>
    <t>OBREGON</t>
  </si>
  <si>
    <t>GRAJALES</t>
  </si>
  <si>
    <t>MEZA</t>
  </si>
  <si>
    <t>GUTIERREZ</t>
  </si>
  <si>
    <t>MUÑOZ</t>
  </si>
  <si>
    <t>QUESNEY</t>
  </si>
  <si>
    <t>ARIAS</t>
  </si>
  <si>
    <t>FOSSATI</t>
  </si>
  <si>
    <t>NAVARRETE</t>
  </si>
  <si>
    <t>MATA</t>
  </si>
  <si>
    <t>MORALES</t>
  </si>
  <si>
    <t>ROMO</t>
  </si>
  <si>
    <t>ARGANDA</t>
  </si>
  <si>
    <t>MEDINA</t>
  </si>
  <si>
    <t>ARIZMENDI</t>
  </si>
  <si>
    <t>PICHARDO</t>
  </si>
  <si>
    <t>ZEA</t>
  </si>
  <si>
    <t>VALDENEBRO</t>
  </si>
  <si>
    <t>FUENTES</t>
  </si>
  <si>
    <t>DURAN</t>
  </si>
  <si>
    <t>LLAMAS</t>
  </si>
  <si>
    <t>ROBLES</t>
  </si>
  <si>
    <t>RUBALCAVA</t>
  </si>
  <si>
    <t>URSIEL</t>
  </si>
  <si>
    <t>JAUREGUI</t>
  </si>
  <si>
    <t>CRUZ</t>
  </si>
  <si>
    <t>AGUIRRE</t>
  </si>
  <si>
    <t>BECERRIL</t>
  </si>
  <si>
    <t>DIAZ DE LEON</t>
  </si>
  <si>
    <t>CISNEROS</t>
  </si>
  <si>
    <t>HORTA</t>
  </si>
  <si>
    <t>HUITRON</t>
  </si>
  <si>
    <t>TERRAZAS</t>
  </si>
  <si>
    <t>GASCA</t>
  </si>
  <si>
    <t>BAÑUELOS</t>
  </si>
  <si>
    <t>CASTILLERO</t>
  </si>
  <si>
    <t>MENDOZA</t>
  </si>
  <si>
    <t>ZACARIAS</t>
  </si>
  <si>
    <t>TREJO</t>
  </si>
  <si>
    <t>VACA</t>
  </si>
  <si>
    <t>VENANCIO</t>
  </si>
  <si>
    <t>MARTIN</t>
  </si>
  <si>
    <t>TEJEDA</t>
  </si>
  <si>
    <t>CORDOVA</t>
  </si>
  <si>
    <t>CARRETERO</t>
  </si>
  <si>
    <t>ESTRADA</t>
  </si>
  <si>
    <t>VILLEGAS</t>
  </si>
  <si>
    <t>PICENO</t>
  </si>
  <si>
    <t>REYES</t>
  </si>
  <si>
    <t>ZAYAS</t>
  </si>
  <si>
    <t>PALMA</t>
  </si>
  <si>
    <t>VILLALOBOS</t>
  </si>
  <si>
    <t>MORA</t>
  </si>
  <si>
    <t>SOLORZANO</t>
  </si>
  <si>
    <t>CEJA</t>
  </si>
  <si>
    <t>VILLAVICENCIO</t>
  </si>
  <si>
    <t>ORTA</t>
  </si>
  <si>
    <t>BARRIOS</t>
  </si>
  <si>
    <t>ROBLEDO</t>
  </si>
  <si>
    <t>KIM</t>
  </si>
  <si>
    <t>ESPARZA</t>
  </si>
  <si>
    <t>OLMOS</t>
  </si>
  <si>
    <t>SANTANA</t>
  </si>
  <si>
    <t>SALAZAR</t>
  </si>
  <si>
    <t>LAMAS</t>
  </si>
  <si>
    <t>ALMONTE</t>
  </si>
  <si>
    <t>ROSAS</t>
  </si>
  <si>
    <t>SILVA</t>
  </si>
  <si>
    <t>HUERTA</t>
  </si>
  <si>
    <t>BELLO</t>
  </si>
  <si>
    <t>PREZA</t>
  </si>
  <si>
    <t>AVILA</t>
  </si>
  <si>
    <t>YAÑEZ</t>
  </si>
  <si>
    <t>QUINTERO</t>
  </si>
  <si>
    <t>BUENO</t>
  </si>
  <si>
    <t>HERRERA</t>
  </si>
  <si>
    <t>MARQUEZ</t>
  </si>
  <si>
    <t>PANDURO</t>
  </si>
  <si>
    <t>AGUAYO</t>
  </si>
  <si>
    <t>RUBIO</t>
  </si>
  <si>
    <t>ARELLANO</t>
  </si>
  <si>
    <t>MEDRANO</t>
  </si>
  <si>
    <t>MONTES</t>
  </si>
  <si>
    <t>MEJIA</t>
  </si>
  <si>
    <t>ORTEGA</t>
  </si>
  <si>
    <t>CASILLAS</t>
  </si>
  <si>
    <t>GALVAN</t>
  </si>
  <si>
    <t>RENTERIA</t>
  </si>
  <si>
    <t>A. Materno Alumno</t>
  </si>
  <si>
    <t>TOSCANO</t>
  </si>
  <si>
    <t>CORRIPIO</t>
  </si>
  <si>
    <t>RIVAS</t>
  </si>
  <si>
    <t>BALTIERRA</t>
  </si>
  <si>
    <t>ARAMBULA</t>
  </si>
  <si>
    <t>RAZO</t>
  </si>
  <si>
    <t>LIMON</t>
  </si>
  <si>
    <t>HERVERT</t>
  </si>
  <si>
    <t>ARRIOLA</t>
  </si>
  <si>
    <t>NAPOLES</t>
  </si>
  <si>
    <t>VARGAS</t>
  </si>
  <si>
    <t>AÑORVE</t>
  </si>
  <si>
    <t>AVALOS</t>
  </si>
  <si>
    <t>ALTAMIRANO</t>
  </si>
  <si>
    <t>CANCELADA</t>
  </si>
  <si>
    <t>GIL</t>
  </si>
  <si>
    <t>BRACAMONTES</t>
  </si>
  <si>
    <t>SOLTERO</t>
  </si>
  <si>
    <t>SAMANO</t>
  </si>
  <si>
    <t>URQUIDY</t>
  </si>
  <si>
    <t>QUIÑONEZ</t>
  </si>
  <si>
    <t>ARREOLA</t>
  </si>
  <si>
    <t>ARRIERO</t>
  </si>
  <si>
    <t>CAMARENA</t>
  </si>
  <si>
    <t>CHAVIRA</t>
  </si>
  <si>
    <t>MAGAÑA</t>
  </si>
  <si>
    <t>LAZARO</t>
  </si>
  <si>
    <t>PARRA</t>
  </si>
  <si>
    <t>CHERRINGTON</t>
  </si>
  <si>
    <t>ZUMAYA</t>
  </si>
  <si>
    <t>PONCE</t>
  </si>
  <si>
    <t>BERTRAND</t>
  </si>
  <si>
    <t>VAZQUEZ ALDANA</t>
  </si>
  <si>
    <t>MONTAÑEZ</t>
  </si>
  <si>
    <t>APARICIO</t>
  </si>
  <si>
    <t>OSEGUERA</t>
  </si>
  <si>
    <t>ARCINIEGA</t>
  </si>
  <si>
    <t>CANO</t>
  </si>
  <si>
    <t>ACOSTA</t>
  </si>
  <si>
    <t>DEL REAL</t>
  </si>
  <si>
    <t>CERPA</t>
  </si>
  <si>
    <t>VIDALES</t>
  </si>
  <si>
    <t>MERINO</t>
  </si>
  <si>
    <t>AMADOR</t>
  </si>
  <si>
    <t>DIEZ</t>
  </si>
  <si>
    <t>MUNGUIA</t>
  </si>
  <si>
    <t>BERUMEN</t>
  </si>
  <si>
    <t>REYNOSO</t>
  </si>
  <si>
    <t>QUEVEDO</t>
  </si>
  <si>
    <t>LUPERCIO</t>
  </si>
  <si>
    <t>URZUA</t>
  </si>
  <si>
    <t>DEL RIO</t>
  </si>
  <si>
    <t>MAGALLON</t>
  </si>
  <si>
    <t>RAYA</t>
  </si>
  <si>
    <t>VENDRAMINI</t>
  </si>
  <si>
    <t>IPARRAGUIRRE</t>
  </si>
  <si>
    <t>ARIZA</t>
  </si>
  <si>
    <t>BARBA</t>
  </si>
  <si>
    <t>GRANADOS</t>
  </si>
  <si>
    <t>TIRADO</t>
  </si>
  <si>
    <t>TABAREZ</t>
  </si>
  <si>
    <t>TELLES</t>
  </si>
  <si>
    <t>CLAUDIN</t>
  </si>
  <si>
    <t>PECH</t>
  </si>
  <si>
    <t>LARA</t>
  </si>
  <si>
    <t>CUELLAR</t>
  </si>
  <si>
    <t>DELLA SERA</t>
  </si>
  <si>
    <t>BARRIENTOS</t>
  </si>
  <si>
    <t>BRAMBILA</t>
  </si>
  <si>
    <t>VELASCO</t>
  </si>
  <si>
    <t>SEGOVIA</t>
  </si>
  <si>
    <t>GAONA</t>
  </si>
  <si>
    <t>PERAZA</t>
  </si>
  <si>
    <t>VERDIN</t>
  </si>
  <si>
    <t>ESPINO</t>
  </si>
  <si>
    <t>ASCENCIO</t>
  </si>
  <si>
    <t>VALLE</t>
  </si>
  <si>
    <t>DE HARO</t>
  </si>
  <si>
    <t>NUÑO</t>
  </si>
  <si>
    <t>ORBE</t>
  </si>
  <si>
    <t>BEJAR</t>
  </si>
  <si>
    <t>TOVAR</t>
  </si>
  <si>
    <t>PULIDO</t>
  </si>
  <si>
    <t>DE LOZA</t>
  </si>
  <si>
    <t>ANGUIANO</t>
  </si>
  <si>
    <t>LAGOS</t>
  </si>
  <si>
    <t>PRADO</t>
  </si>
  <si>
    <t>CARDONA</t>
  </si>
  <si>
    <t>SAAVEDRA</t>
  </si>
  <si>
    <t>LOZA</t>
  </si>
  <si>
    <t>RANGEL</t>
  </si>
  <si>
    <t>BIZARRO</t>
  </si>
  <si>
    <t>SAINZ</t>
  </si>
  <si>
    <t>ESCOBAR</t>
  </si>
  <si>
    <t>LUGO</t>
  </si>
  <si>
    <t>LEPE</t>
  </si>
  <si>
    <t>MAYA</t>
  </si>
  <si>
    <t>BRIONES</t>
  </si>
  <si>
    <t>TERRONES</t>
  </si>
  <si>
    <t>TALAVERA</t>
  </si>
  <si>
    <t>FELIX</t>
  </si>
  <si>
    <t>DE ANDA</t>
  </si>
  <si>
    <t>SEVILLA</t>
  </si>
  <si>
    <t>TELLEZ</t>
  </si>
  <si>
    <t>PACHECO</t>
  </si>
  <si>
    <t>DE LA MORA</t>
  </si>
  <si>
    <t>SOLANO</t>
  </si>
  <si>
    <t>ANZOATEGUI</t>
  </si>
  <si>
    <t>ARMAS</t>
  </si>
  <si>
    <t>PEÑA</t>
  </si>
  <si>
    <t>AGUILERA</t>
  </si>
  <si>
    <t>MASINI</t>
  </si>
  <si>
    <t>ONTIVEROS</t>
  </si>
  <si>
    <t>LOMELI</t>
  </si>
  <si>
    <t>CALLEJAS</t>
  </si>
  <si>
    <t>QUEZADA</t>
  </si>
  <si>
    <t>SALINAS</t>
  </si>
  <si>
    <t>GUEVARA</t>
  </si>
  <si>
    <t>RUAN</t>
  </si>
  <si>
    <t>OCEGUERA</t>
  </si>
  <si>
    <t>FARARONI</t>
  </si>
  <si>
    <t>MAGDALENO</t>
  </si>
  <si>
    <t>VALENZUELA</t>
  </si>
  <si>
    <t>DEL TORO</t>
  </si>
  <si>
    <t>FONSECA</t>
  </si>
  <si>
    <t>ENCISO</t>
  </si>
  <si>
    <t>GAXIOLA</t>
  </si>
  <si>
    <t>DE LA O</t>
  </si>
  <si>
    <t>RIVERON</t>
  </si>
  <si>
    <t>OSORIO</t>
  </si>
  <si>
    <t>LUVIAN</t>
  </si>
  <si>
    <t>NIEBLAS</t>
  </si>
  <si>
    <t>PETTERSEN</t>
  </si>
  <si>
    <t>ESPINOSA</t>
  </si>
  <si>
    <t>BUENROSTRO</t>
  </si>
  <si>
    <t>MURGUIA</t>
  </si>
  <si>
    <t>ZAPATA</t>
  </si>
  <si>
    <t>GAMEZ</t>
  </si>
  <si>
    <t>BLANCO</t>
  </si>
  <si>
    <t>DUEÑAS</t>
  </si>
  <si>
    <t>ENCARNACION</t>
  </si>
  <si>
    <t>QUINTANILLA</t>
  </si>
  <si>
    <t>PAZ</t>
  </si>
  <si>
    <t>MEXIA</t>
  </si>
  <si>
    <t>MC LANE</t>
  </si>
  <si>
    <t>SANTIZ</t>
  </si>
  <si>
    <t>BRIZUELA</t>
  </si>
  <si>
    <t>ASTORGA</t>
  </si>
  <si>
    <t>NARANJO</t>
  </si>
  <si>
    <t>BRETADO</t>
  </si>
  <si>
    <t>SALDAÑA</t>
  </si>
  <si>
    <t>CAZARES</t>
  </si>
  <si>
    <t>ARICEAGA</t>
  </si>
  <si>
    <t>ALFEREZ</t>
  </si>
  <si>
    <t>ROMAN</t>
  </si>
  <si>
    <t>CARO</t>
  </si>
  <si>
    <t>SALDATE</t>
  </si>
  <si>
    <t>DE LA ROSA</t>
  </si>
  <si>
    <t>GRIMALDO</t>
  </si>
  <si>
    <t>EINUNG</t>
  </si>
  <si>
    <t>CARRILLO</t>
  </si>
  <si>
    <t>PAVIA</t>
  </si>
  <si>
    <t>MONTEVERDE</t>
  </si>
  <si>
    <t>FARIAS</t>
  </si>
  <si>
    <t>FRANZ</t>
  </si>
  <si>
    <t>OSUNA</t>
  </si>
  <si>
    <t>AMBROCIO</t>
  </si>
  <si>
    <t>Matrícula</t>
  </si>
  <si>
    <t>Nombre</t>
  </si>
  <si>
    <t>PELAYO DIAZ ABBY DESSIRE</t>
  </si>
  <si>
    <t>GODOY FLORES ABRIL ISABELLA</t>
  </si>
  <si>
    <t>SANDOVAL CARDENAS ADAN OSWALDO</t>
  </si>
  <si>
    <t>GONZALEZ TOSCANO ADIB KALEB</t>
  </si>
  <si>
    <t>ESQUEDA MACIAS ADRIAN</t>
  </si>
  <si>
    <t>JAIME OJEDA ADRIAN</t>
  </si>
  <si>
    <t>PERFECTO ARELLANO ADRIAN</t>
  </si>
  <si>
    <t>TAPIA CORRIPIO ADRIAN ASSIS</t>
  </si>
  <si>
    <t>VEGA CASTAÑEDA ADRIAN BRYANT</t>
  </si>
  <si>
    <t>OROZCO RIVAS ADRIAN FERNANDO</t>
  </si>
  <si>
    <t>AMARO BALTIERRA ADRIANA</t>
  </si>
  <si>
    <t>MARTINEZ ARAMBULA ADRIANA GUADALUPE</t>
  </si>
  <si>
    <t>RODRIGUEZ MARTINEZ ADRIANA PAOLA</t>
  </si>
  <si>
    <t>MIRANDA GUERRA AIRAM VICTORIA</t>
  </si>
  <si>
    <t>YAMAGUCHI RAZO AKARI ANDREA</t>
  </si>
  <si>
    <t>ALCALA MEDRANO ALAN DANIEL</t>
  </si>
  <si>
    <t>HERNANDEZ CASTILLO ALAN OSWALDO</t>
  </si>
  <si>
    <t>VAZQUEZ OCHOA ALAN YAEL</t>
  </si>
  <si>
    <t>LARIOS IÑIGUEZ ALBERTO</t>
  </si>
  <si>
    <t>OJEDA GUTIERREZ ALBERTO JAVIER</t>
  </si>
  <si>
    <t>NERI FLORES ALEJANDRA</t>
  </si>
  <si>
    <t>PEREZ LIMON ALEJANDRA</t>
  </si>
  <si>
    <t>BARAJAS ARIAS ALEJANDRO</t>
  </si>
  <si>
    <t>DOMINGUEZ HERVERT ALEJANDRO</t>
  </si>
  <si>
    <t>PALACIOS REYES ALEJANDRO</t>
  </si>
  <si>
    <t>SOLIS ARRIOLA ALEJANDRO</t>
  </si>
  <si>
    <t>MOYA ROBLES ALEXA</t>
  </si>
  <si>
    <t>TRUJILLO NAPOLES ALEXA VIANEY</t>
  </si>
  <si>
    <t>ROSALES VARGAS ALFONSO</t>
  </si>
  <si>
    <t>CORTES AÑORVE ALFREDO</t>
  </si>
  <si>
    <t>SANTOYO GARCIA ALMA DANIELA</t>
  </si>
  <si>
    <t>ARREDONDO BAUTISTA ALONDRA</t>
  </si>
  <si>
    <t>RAMOS AVALOS ALONDRA</t>
  </si>
  <si>
    <t>GONZALEZ OROZCO ALONDRA ARHEMI</t>
  </si>
  <si>
    <t>VELAZQUEZ CASTRO ALONDRA JAMILETH</t>
  </si>
  <si>
    <t>RAMOS ARIAS ALONDRA MARISOL</t>
  </si>
  <si>
    <t>ORNELAS ALTAMIRANO ALONDRA SOFIA</t>
  </si>
  <si>
    <t>DE LA PEÑA PEREZ ALVARO</t>
  </si>
  <si>
    <t>GUZMAN ARIAS AMANDA CARMIÑA</t>
  </si>
  <si>
    <t>MENDEZ CANCELADA AMERICA</t>
  </si>
  <si>
    <t>OCEGUEDA GIL ANA BELEN</t>
  </si>
  <si>
    <t>ESPIRITU BRACAMONTES ANA CAMILA</t>
  </si>
  <si>
    <t>JUAREZ CASTAÑEDA ANA CECILIA</t>
  </si>
  <si>
    <t>GUERRERO SOLTERO ANA CRISTINA</t>
  </si>
  <si>
    <t>OCHOA SAMANO ANA ISABEL</t>
  </si>
  <si>
    <t>JIMENEZ MARTINEZ ANA KAROL</t>
  </si>
  <si>
    <t>CAMACHO HERRERA ANA LORENA</t>
  </si>
  <si>
    <t>FONG URQUIDY ANA LUCIA</t>
  </si>
  <si>
    <t>RODRIGUEZ LOZANO ANA PAULA</t>
  </si>
  <si>
    <t>RUELAS NAVARRO ANA PAULA</t>
  </si>
  <si>
    <t>CARRION LOPEZ ANA SOFIA</t>
  </si>
  <si>
    <t>FIERROS LUNA ANA SOFIA</t>
  </si>
  <si>
    <t>SANCHEZ ESQUEDA ANA SOFIA</t>
  </si>
  <si>
    <t>GODINEZ SANCHEZ ANA VALERIA</t>
  </si>
  <si>
    <t>OROZCO QUIÑONEZ ANA VICTORIA</t>
  </si>
  <si>
    <t>CHAVEZ ORTIZ ANAILY GUADALUPE</t>
  </si>
  <si>
    <t>DIAZ MARQUEZ ANDRE</t>
  </si>
  <si>
    <t>VILLAGRANA RODRIGUEZ ANDRE SEBASTIAN</t>
  </si>
  <si>
    <t>NAVARRO PADILLA ANDREA</t>
  </si>
  <si>
    <t>TORRES GONZALEZ ANDREA</t>
  </si>
  <si>
    <t>VAZQUEZ CORTES ANDREA</t>
  </si>
  <si>
    <t>RODRIGUEZ ARREOLA ANDREA GUADALUPE</t>
  </si>
  <si>
    <t>BRUGUERA RODRIGUEZ ANDREA LIZETH</t>
  </si>
  <si>
    <t>REBOLLAR ARRIERO ANDREA NAOMI</t>
  </si>
  <si>
    <t>RODRIGUEZ VEGA ANDREA PAOLA</t>
  </si>
  <si>
    <t>GONZALEZ CAMACHO ANDREA PATRICIA</t>
  </si>
  <si>
    <t>GONZALEZ CAMARENA ANDREA RENATA</t>
  </si>
  <si>
    <t>CABRERA CHAVIRA ANDRES</t>
  </si>
  <si>
    <t>HERNANDEZ MAGAÑA ANDRES</t>
  </si>
  <si>
    <t>NUÑEZ RAMOS ANDRES EZEQUIEL</t>
  </si>
  <si>
    <t>RODRIGUEZ LAZARO ANDY</t>
  </si>
  <si>
    <t>ESCALONA BUENO ANGEL</t>
  </si>
  <si>
    <t>GONZALEZ PARRA ANGEL</t>
  </si>
  <si>
    <t>MONDRAGON HERNANDEZ ANGEL</t>
  </si>
  <si>
    <t>DAVALOS GARCIA ANGEL AIOROS</t>
  </si>
  <si>
    <t>GARCIA MORA ANGEL ALEXANDER</t>
  </si>
  <si>
    <t>VIRGEN SERRANO ANGEL ALEXANDER</t>
  </si>
  <si>
    <t>GARCIA CHERRINGTON ANGEL ANDRES</t>
  </si>
  <si>
    <t>SANCHEZ LOPEZ ANGEL DAVID</t>
  </si>
  <si>
    <t>CUETO RAMOS ANGEL EMANUEL</t>
  </si>
  <si>
    <t>ABRAHAM JUAREZ ANGEL FABIAN</t>
  </si>
  <si>
    <t>MORENO ZUMAYA ANGEL FERNANDO</t>
  </si>
  <si>
    <t>VEGA RODRIGUEZ ANGEL GUILLERMO</t>
  </si>
  <si>
    <t>CECEÑA PONCE ANGEL MARTIN</t>
  </si>
  <si>
    <t>VAZQUEZ BERTRAND ANGELA PAULINA</t>
  </si>
  <si>
    <t>TORRES GUTIERREZ ANGELICA</t>
  </si>
  <si>
    <t>VERDUZCO VAZQUEZ ALDANA ANTONIO</t>
  </si>
  <si>
    <t>NEGRETE CASTRO AOLANI XAXBE</t>
  </si>
  <si>
    <t>LIÑAN FLORES ARACELI ESMERALDA</t>
  </si>
  <si>
    <t>ALVARADO MORENO ARANZA SINHAI</t>
  </si>
  <si>
    <t>PATIÑO GONZALEZ ARELIA PAULINA</t>
  </si>
  <si>
    <t>CASTAÑEDA HERNANDEZ ARTURO EMMANUEL</t>
  </si>
  <si>
    <t>BERNAL MONTAÑEZ ASTRID AVRIL</t>
  </si>
  <si>
    <t>PEREZ CONTRERAS ATZIRI ELIZABETH</t>
  </si>
  <si>
    <t>OSORNIO CONTRERAS AUREA EMILY</t>
  </si>
  <si>
    <t>ARROYO CAMPOS AURORA SARAHI</t>
  </si>
  <si>
    <t>MARTINEZ RUIZ AXEL GUILLERMO</t>
  </si>
  <si>
    <t>BAUTISTA MARIANO BERNARDA</t>
  </si>
  <si>
    <t>GUZMAN APARICIO BERTHA ERICA</t>
  </si>
  <si>
    <t>SOSA TORRES BETHEL CITLALI</t>
  </si>
  <si>
    <t>IÑIGUEZ OSEGUERA BLANCA LETICIA</t>
  </si>
  <si>
    <t>PADRON VAZQUEZ BLAS</t>
  </si>
  <si>
    <t>GALLEGOS ARCINIEGA BOGAR GERARDO</t>
  </si>
  <si>
    <t>GATICA CANO BRAULIO AARON</t>
  </si>
  <si>
    <t>PEREZ ALVAREZ BRAULIO ISAIAS</t>
  </si>
  <si>
    <t>RIVERA ACOSTA BRAYAN JOSE</t>
  </si>
  <si>
    <t>BOJADO DEL REAL BRENDA GUADALUPE</t>
  </si>
  <si>
    <t>SOLIS CERPA BRENDA MELISSA</t>
  </si>
  <si>
    <t>PADILLA VIDALES BRENDA SUSANA</t>
  </si>
  <si>
    <t>MACIAS AYALA BRENDA XIADANI</t>
  </si>
  <si>
    <t>LOZANO VELAZQUEZ BRIAN ESAU</t>
  </si>
  <si>
    <t>ALVARADO CHAVEZ BRUNO JOEL</t>
  </si>
  <si>
    <t>CARPINTERO MERINO CARLA</t>
  </si>
  <si>
    <t>YERENA NAVARRO CARLOS EDUARDO</t>
  </si>
  <si>
    <t>SERRANO AMADOR CARLOS FERNANDO</t>
  </si>
  <si>
    <t>FLORES GUTIERREZ CARLOS IVAN</t>
  </si>
  <si>
    <t>RAMIREZ GARCIA CARLOS ROBERTO</t>
  </si>
  <si>
    <t>MARISCAL GUTIERREZ CARLOS SANTIAGO</t>
  </si>
  <si>
    <t>PEREZ DIEZ CARLOS SANTIAGO</t>
  </si>
  <si>
    <t>CASTILLO MUNGUIA CAROL MARIAN</t>
  </si>
  <si>
    <t>HURTADO MACIAS CAROL NOEMI</t>
  </si>
  <si>
    <t>BURGOS GOMEZ CAROLINA</t>
  </si>
  <si>
    <t>SANDOVAL BERUMEN CAROLINA ALEXANDRA</t>
  </si>
  <si>
    <t>OBLEDO MARTINEZ CESAR</t>
  </si>
  <si>
    <t>VALENCIA CASTILLO CESAR EDUARDO</t>
  </si>
  <si>
    <t>DE ALBA GUTIERREZ CHRISTIAN ALEJANDRO</t>
  </si>
  <si>
    <t>ALFARO RUIZ CLAUDIA BERENICE</t>
  </si>
  <si>
    <t>FIGUEROA RODRIGUEZ CLAUDIA DANIELA</t>
  </si>
  <si>
    <t>RAMIREZ ARREOLA CLAUDIA FERNANDA</t>
  </si>
  <si>
    <t>REGALADO ANAYA CLAUDIA MARIAN</t>
  </si>
  <si>
    <t>MARTINEZ REYNOSO CLAUDIA PATRICIA</t>
  </si>
  <si>
    <t>GARCIA NAVARRO CLAUDIO</t>
  </si>
  <si>
    <t>MICHEL QUEVEDO CRISTHIAN HAZAEL</t>
  </si>
  <si>
    <t>VILLARRUEL SANDOVAL CRISTIAN</t>
  </si>
  <si>
    <t>ZAMUDIO VAZQUEZ CRISTIAN FABIAN</t>
  </si>
  <si>
    <t>FLORES ZAVALA CRISTO TEODORO</t>
  </si>
  <si>
    <t>SAUCEDO LUPERCIO CRISTOPHER ADRIAN</t>
  </si>
  <si>
    <t>LEONARDO RIVERA DAFNE GALILEA</t>
  </si>
  <si>
    <t>JUAREZ JIMENEZ DAFNE MONTSERRAT</t>
  </si>
  <si>
    <t>SANCHEZ URZUA DAHYANA PAULINA</t>
  </si>
  <si>
    <t>RUVALCABA GONZALEZ DAMARIS AIXA</t>
  </si>
  <si>
    <t>MARTINEZ ALVARADO DAMIAN</t>
  </si>
  <si>
    <t>RENDON DEL RIO DANA ELENA</t>
  </si>
  <si>
    <t>MERCADO TORRES DANA JOANELLE</t>
  </si>
  <si>
    <t>AYALA MAGALLON DANA PAULINA</t>
  </si>
  <si>
    <t>FLORES RAYA DANIEL</t>
  </si>
  <si>
    <t>CASTELLANOS RAMIREZ DANIEL ALEJANDRO</t>
  </si>
  <si>
    <t>LEMUS ARIAS DANIEL EDUARDO</t>
  </si>
  <si>
    <t>SALCIDO RAMOS DANIEL IGNACIO</t>
  </si>
  <si>
    <t>HERNANDEZ VENDRAMINI DANIELA</t>
  </si>
  <si>
    <t>MORENO VAZQUEZ DANIELA</t>
  </si>
  <si>
    <t>MOSCOSO AMEZCUA DANIELA</t>
  </si>
  <si>
    <t>ROJAS LOPEZ DANIELA</t>
  </si>
  <si>
    <t>ROJO GARCIA DANIELA</t>
  </si>
  <si>
    <t>TORRES PONCE DANIELA GISEL</t>
  </si>
  <si>
    <t>MIRANDA SANCHEZ DANIELA RENEE</t>
  </si>
  <si>
    <t>MURILLO IPARRAGUIRRE DANILA RAQUEL</t>
  </si>
  <si>
    <t>CONTRERAS GONZALEZ DANNA</t>
  </si>
  <si>
    <t>VALLADARES LOPEZ DANTE YAEL</t>
  </si>
  <si>
    <t>AGUILAR  DARIO</t>
  </si>
  <si>
    <t>ORTIZ ARIZA DARSHAN GAEL</t>
  </si>
  <si>
    <t>ARECHEDERRA TREJO DAVID</t>
  </si>
  <si>
    <t>WILSON TORRES DAVID</t>
  </si>
  <si>
    <t>RICO ESPARZA DAVID ALEJANDRO</t>
  </si>
  <si>
    <t>ALVAREZ JIMENEZ DAVID ISRAEL</t>
  </si>
  <si>
    <t>CARRANZA BARBA DAVID IVAN</t>
  </si>
  <si>
    <t>SANCHEZ PALACIOS DAVID JOSUE</t>
  </si>
  <si>
    <t>ZUÑIGA HERNANDEZ DAYRA MICHELLE</t>
  </si>
  <si>
    <t>GALLO ACEVES DIANA</t>
  </si>
  <si>
    <t>MORENO GRANADOS DIANA JACQUELINE</t>
  </si>
  <si>
    <t>QUIÑONES GARCIA DIANA LETICIA</t>
  </si>
  <si>
    <t>ALDRETE ORNELAS DIANA LISSETE</t>
  </si>
  <si>
    <t>VAZQUEZ YAÑEZ DIANA LYSETH</t>
  </si>
  <si>
    <t>CORONADO TIRADO DIANA PAOLA</t>
  </si>
  <si>
    <t>DE ALVA COVARRUBIAS DIANA PAULA</t>
  </si>
  <si>
    <t>RAMIREZ TABAREZ DIANA SARAHI</t>
  </si>
  <si>
    <t>ZEPEDA LOPEZ DIEGGO</t>
  </si>
  <si>
    <t>CHAVEZ CONTRERAS DIEGO</t>
  </si>
  <si>
    <t>GONZALEZ TELLES DIEGO</t>
  </si>
  <si>
    <t>GUERRERO GARCIA DIEGO</t>
  </si>
  <si>
    <t>VILLASEÑOR CLAUDIN DIEGO</t>
  </si>
  <si>
    <t>TORIZ MARTINEZ DIEGO ALFONSO</t>
  </si>
  <si>
    <t>LIZARRAGA RUIZ DIEGO ALONSO</t>
  </si>
  <si>
    <t>BONAL MEDINA DIEGO ANDRES</t>
  </si>
  <si>
    <t>TZUC PECH DIEGO ARTURO</t>
  </si>
  <si>
    <t>SANCHEZ VAZQUEZ DIEGO CRISTAN</t>
  </si>
  <si>
    <t>PRECIADO LARA DIEGO FRANCISCO</t>
  </si>
  <si>
    <t>SUAREZ MARQUEZ DIEGO ISMAEL</t>
  </si>
  <si>
    <t>ZAVALA CUELLAR DIEGO MARTIN</t>
  </si>
  <si>
    <t>PATIÑO MEJIA DIEGO MISAEL</t>
  </si>
  <si>
    <t>GOMEZ SILVA DIEGO NICOLAS</t>
  </si>
  <si>
    <t>LOPEZ CASILLAS DIEGO SANJIVH</t>
  </si>
  <si>
    <t>VON HAUSKE DELLA SERA DIEGO SEBASTIAN</t>
  </si>
  <si>
    <t>CUEVAS MEJIA DONOVAN DAMIAN</t>
  </si>
  <si>
    <t>CASTILLO GOMEZ DYLAN ADRIAN</t>
  </si>
  <si>
    <t>HERNANDEZ SANDOVAL EDGAR</t>
  </si>
  <si>
    <t>ORTIZ VEGA EDGAR ALEJANDRO</t>
  </si>
  <si>
    <t>CERVANTES RAMIREZ EDUARDO</t>
  </si>
  <si>
    <t>VAZQUEZ GUERRERO EDUARDO</t>
  </si>
  <si>
    <t>DOMINGUEZ INUKAI EDUARDO YOSHIAKI</t>
  </si>
  <si>
    <t>LUNA BARRIENTOS EDWIN FERNANDO</t>
  </si>
  <si>
    <t>RAMIREZ GOMEZ ELCYRA DAYANA</t>
  </si>
  <si>
    <t>LEONARDO RIVERA ELIAS</t>
  </si>
  <si>
    <t>SOSA PELAYO ELISEO</t>
  </si>
  <si>
    <t>DE LA CRUZ BRAMBILA ELIZABETH</t>
  </si>
  <si>
    <t>FRANCO OROZCO EMILIANO</t>
  </si>
  <si>
    <t>GOMEZ HERNANDEZ EMILIANO</t>
  </si>
  <si>
    <t>GRACIANO VARGAS EMILIANO</t>
  </si>
  <si>
    <t>NAVA VELASCO EMILIANO</t>
  </si>
  <si>
    <t>RODRIGUEZ GUZMAN EMILIANO</t>
  </si>
  <si>
    <t>ANAYA RODRIGUEZ EMILIO</t>
  </si>
  <si>
    <t>TADEO ALVAREZ EMILIO</t>
  </si>
  <si>
    <t>ACEVES ROMERO EMILIO ANDRES</t>
  </si>
  <si>
    <t>LOZANO ESPARZA EMMANUEL</t>
  </si>
  <si>
    <t>CASTRO GARCIA EMMANUEL SEBASTIAN</t>
  </si>
  <si>
    <t>JUAREZ CASTAÑEDA ENRIQUE</t>
  </si>
  <si>
    <t>VILLANUEVA FRANCO ENRIQUE</t>
  </si>
  <si>
    <t>CABRERA LIZARRAGA ENRIQUE JESUS</t>
  </si>
  <si>
    <t>TOLEDO SEGOVIA ENRIQUE RENE</t>
  </si>
  <si>
    <t>ISIDORO QUIÑONES ERICK GERMAIN</t>
  </si>
  <si>
    <t>ROJAS RODRIGUEZ ERNESTO</t>
  </si>
  <si>
    <t>CARDENAS MEDINA ESAU ALFREDO</t>
  </si>
  <si>
    <t>GOMEZ GAONA ESMERALDA GABRIELA</t>
  </si>
  <si>
    <t>PADILLA PERAZA ESTEBAN ENRIQUE</t>
  </si>
  <si>
    <t>OROZCO RIVAS ESTEFANI NICOLE</t>
  </si>
  <si>
    <t>COLDIVAR FLORES ESTEPHANY</t>
  </si>
  <si>
    <t>SANDOVAL CABRERA ETIANE ANTONIO</t>
  </si>
  <si>
    <t>GUZMAN VILLASEÑOR EVA REGINA</t>
  </si>
  <si>
    <t>AMEZCUA CASTELLANOS FABIAN</t>
  </si>
  <si>
    <t>HERNANDEZ VERDIN FABIAN</t>
  </si>
  <si>
    <t>FLORES TAPIA FARAH ISABELLA</t>
  </si>
  <si>
    <t>ARCE ESPINO FATIMA DENNISE</t>
  </si>
  <si>
    <t>ZAMORA MICHEL FATIMA JULIANA</t>
  </si>
  <si>
    <t>ZEPEDA LOPEZ FERNAN</t>
  </si>
  <si>
    <t>ROMERO GARCIA FERNANDA ARACELI</t>
  </si>
  <si>
    <t>BARAJAS MICHEL FERNANDA DANAE</t>
  </si>
  <si>
    <t>GUITRON CERVANTES FERNANDO</t>
  </si>
  <si>
    <t>ALVARADO AÑORVE FLOR MONSERRAT</t>
  </si>
  <si>
    <t>PEREZ ASCENCIO FRANCISCA JAQUELINE</t>
  </si>
  <si>
    <t>RICOY GONZALEZ FRANIA ALEJANDRA</t>
  </si>
  <si>
    <t>PEÑUELAS VALLE FRANKLIN RAMON</t>
  </si>
  <si>
    <t>ALENCASTRO ROJO FRIDA SOPHIA</t>
  </si>
  <si>
    <t>COLOME CAMPOS GABRIEL EDUARDO</t>
  </si>
  <si>
    <t>CARDENAS DE HARO GABRIELA</t>
  </si>
  <si>
    <t>PARTIDA GALVAN GABRIELA ALEJANDRA</t>
  </si>
  <si>
    <t>COVARRUBIAS LIMON GABRIELA MONSERRAT</t>
  </si>
  <si>
    <t>MADRIGAL NUÑO GABRIELA MONSERRAT</t>
  </si>
  <si>
    <t>VAZQUEZ LOPEZ GALIA PAOLA</t>
  </si>
  <si>
    <t>MARTINEZ ORBE GEMA</t>
  </si>
  <si>
    <t>GUERRA BEJAR GEORGINA ESPERANZA</t>
  </si>
  <si>
    <t>NUÑEZ CONTRERAS GILBERTO</t>
  </si>
  <si>
    <t>ROJAS GUTIERREZ GILBERTO ALEJANDRO</t>
  </si>
  <si>
    <t>SANTILLAN BARRAGAN GIOVANNA</t>
  </si>
  <si>
    <t>DE ALBA TOVAR GIOVANNI</t>
  </si>
  <si>
    <t>HERNANDEZ VARGAS GLORIA MIRANDA</t>
  </si>
  <si>
    <t>SOSA Y AVILA GONZALEZ GUILLERMO JOSE</t>
  </si>
  <si>
    <t>ARAUJO VARGAS GUILLERMO KALEB</t>
  </si>
  <si>
    <t>DIAZ ESTRADA GUSTAVO JESUS</t>
  </si>
  <si>
    <t>DE LA CRUZ CASTILLO HANNAH CITLALI</t>
  </si>
  <si>
    <t>HERNANDEZ MEJIA HANNIA</t>
  </si>
  <si>
    <t>CAMPOS CARDENAS HECTOR</t>
  </si>
  <si>
    <t>IÑIGUEZ PULIDO HECTOR BERNARDO</t>
  </si>
  <si>
    <t>MARISCAL SANCHEZ HECTOR ENRIQUE</t>
  </si>
  <si>
    <t>GONZALEZ DE LOZA HECTOR FABIAN</t>
  </si>
  <si>
    <t>VALDIVIA ANGUIANO HECTOR ORLANDO</t>
  </si>
  <si>
    <t>SERRANO GONZALEZ HELI</t>
  </si>
  <si>
    <t>IBARRA SALAZAR HERIBERTO SAMUEL</t>
  </si>
  <si>
    <t>HERNANDEZ HERNANDEZ HERMELINDA</t>
  </si>
  <si>
    <t>VELAZQUEZ VEGA HUGO ALBERTO</t>
  </si>
  <si>
    <t>BARRAGAN LAGOS IAN FERNANDO</t>
  </si>
  <si>
    <t>DE JESUS PRADO ILICH LENIN</t>
  </si>
  <si>
    <t>RODRIGUEZ MARTINEZ IRVING ALEJANDRO</t>
  </si>
  <si>
    <t>VAZQUEZ CARDONA ISAAC</t>
  </si>
  <si>
    <t>CHAVEZ SAAVEDRA ISAAC EMILIANO</t>
  </si>
  <si>
    <t>ARTEAGA SANDOVAL ISAAC EMMANUEL</t>
  </si>
  <si>
    <t>INUKAI MORALES ISABEL HIROMI</t>
  </si>
  <si>
    <t>GORIBAR LOZA ISABELLA</t>
  </si>
  <si>
    <t>MONTIEL VARGAS ISABELLA DE LOS ANGELES</t>
  </si>
  <si>
    <t>ALVES CORNEJO ISABELY</t>
  </si>
  <si>
    <t>OROZCO RANGEL ISIS CITLALI</t>
  </si>
  <si>
    <t>RIOS FLORES ISMAEL TADEO</t>
  </si>
  <si>
    <t>CORNEJO BIZARRO ITZEL ALEJANDRA</t>
  </si>
  <si>
    <t>LUNA SANCHEZ ITZEL MONTSERRAT</t>
  </si>
  <si>
    <t>RUIZ FUENTES IVAN</t>
  </si>
  <si>
    <t>OBREGON FUENTES IVAN ALBERTO</t>
  </si>
  <si>
    <t>GRAJALES SAINZ IVANA</t>
  </si>
  <si>
    <t>MORENO TOSCANO JAAZIEL ALEJANDRO</t>
  </si>
  <si>
    <t>HERNANDEZ  JACKELINE</t>
  </si>
  <si>
    <t>MEZA CORTES JADYN</t>
  </si>
  <si>
    <t>GUTIERREZ AVILA JAIME EMMANUEL</t>
  </si>
  <si>
    <t>MUÑOZ SANDOVAL JAIME GABRIEL</t>
  </si>
  <si>
    <t>QUESNEY CABRERA JANETH</t>
  </si>
  <si>
    <t>AYALA ESPARZA JAVIER</t>
  </si>
  <si>
    <t>HERNANDEZ RENDON JAVIER</t>
  </si>
  <si>
    <t>ARIAS ESCOBAR JAVIER ANDRES</t>
  </si>
  <si>
    <t>MARISCAL REYES JAVIER ANTONIO</t>
  </si>
  <si>
    <t>AGUILAR LUGO JAVIER EDUARDO</t>
  </si>
  <si>
    <t>FOSSATI GARCIA JAZMIN</t>
  </si>
  <si>
    <t>MORENO LEPE JENNIFER</t>
  </si>
  <si>
    <t>ORTIZ MAYA JENNIFER IVETTE</t>
  </si>
  <si>
    <t>HERNANDEZ BRIONES JESSICA ELIZABETH</t>
  </si>
  <si>
    <t>NAVARRETE TERRONES JESUS ABRAHAM</t>
  </si>
  <si>
    <t>MATA CASTILLO JESUS ALBERTO</t>
  </si>
  <si>
    <t>MORALES REYES JESUS ANDRES</t>
  </si>
  <si>
    <t>ROMO LARA JESUS ANTONIO</t>
  </si>
  <si>
    <t>ARGANDA RUBIO JESUS BENJAMIN</t>
  </si>
  <si>
    <t>MEDINA GUERRERO JESUS BENJAMIN</t>
  </si>
  <si>
    <t>NAVARRO  JESUS EDUARDO</t>
  </si>
  <si>
    <t>RAMOS CONTRERAS JESUS EDUARDO</t>
  </si>
  <si>
    <t>ARIZMENDI MENDOZA JESUS ISSAHI</t>
  </si>
  <si>
    <t>NAVARRO LOPEZ JIMENA</t>
  </si>
  <si>
    <t>PICHARDO JAIME JIMENA</t>
  </si>
  <si>
    <t>ZEA GOMEZ JOAQUIN</t>
  </si>
  <si>
    <t>VALDENEBRO MARTINEZ JOAQUIN ALEJANDRO</t>
  </si>
  <si>
    <t>PEREZ ROMO JOAQUIN IVAN</t>
  </si>
  <si>
    <t>FUENTES TALAVERA JOCELYN MONTSERRAT</t>
  </si>
  <si>
    <t>SANCHEZ REYES JOHAN GIOVANNI</t>
  </si>
  <si>
    <t>OJEDA MENDOZA JONATHAN ALEJANDRO</t>
  </si>
  <si>
    <t>DURAN RUVALCABA JONATHAN OSWALDO</t>
  </si>
  <si>
    <t>FIGUEROA BAÑUELOS JONATHAN ULISES</t>
  </si>
  <si>
    <t>ARIAS MORALES JORGE ALEJANDRO</t>
  </si>
  <si>
    <t>DIAZ ESPARZA JORGE ARMANDO</t>
  </si>
  <si>
    <t>VALENCIA FELIX JORGE CARLOS</t>
  </si>
  <si>
    <t>LLAMAS DE ANDA JORGE EDUARDO</t>
  </si>
  <si>
    <t>ORTIZ RODRIGUEZ JORGE JULIAN</t>
  </si>
  <si>
    <t>ROBLES LOPEZ JORGE LUIS</t>
  </si>
  <si>
    <t>PEREZ CAMACHO JORSHUA DANIEL</t>
  </si>
  <si>
    <t>RUBALCAVA MERCADO JOSE ALBERTO</t>
  </si>
  <si>
    <t>URSIEL ORTEGA JOSE ALEJANDRO</t>
  </si>
  <si>
    <t>PEREZ CONTRERAS JOSE ANGEL</t>
  </si>
  <si>
    <t>MUÑOZ SEVILLA JOSE ANTONIO</t>
  </si>
  <si>
    <t>JAUREGUI FLORES JOSE CARLOS</t>
  </si>
  <si>
    <t>RODRIGUEZ MARTINEZ JOSE DANIEL</t>
  </si>
  <si>
    <t>CRUZ TELLEZ JOSE DAVID</t>
  </si>
  <si>
    <t>MENDEZ MEDINA JOSE DAVID</t>
  </si>
  <si>
    <t>AGUIRRE DIAZ JOSE DE JESUS</t>
  </si>
  <si>
    <t>BECERRIL GARCIA JOSE EMMANUEL</t>
  </si>
  <si>
    <t>DIAZ DE LEON GARCIA JOSE HUMBERTO</t>
  </si>
  <si>
    <t>CISNEROS CORTES JOSE ISAAC</t>
  </si>
  <si>
    <t>HORTA SOLTERO JOSE LUIS</t>
  </si>
  <si>
    <t>RODRIGUEZ AGUAYO JOSE MANUEL</t>
  </si>
  <si>
    <t>CORONADO CABRERA JOSE MARIA</t>
  </si>
  <si>
    <t>HUITRON SANCHEZ JOSE MAURICIO</t>
  </si>
  <si>
    <t>TERRAZAS FIGUEROA JOSE MIGUEL</t>
  </si>
  <si>
    <t>VEGA PACHECO JOSE RAMON</t>
  </si>
  <si>
    <t>GASCA TELLEZ JOSHUA ALEJANDRO</t>
  </si>
  <si>
    <t>PEREZ LOPEZ JOSUE JAVIER</t>
  </si>
  <si>
    <t>MATA DE LA MORA JOSUE SEBASTIAN EMILIANO</t>
  </si>
  <si>
    <t>FLORES FLORES JUAN ARMANDO</t>
  </si>
  <si>
    <t>BAÑUELOS PEREZ JUAN CARLOS</t>
  </si>
  <si>
    <t>CASTILLERO SOLANO JUAN CARLOS</t>
  </si>
  <si>
    <t>CASTRO ANZOATEGUI JUAN CARLOS</t>
  </si>
  <si>
    <t>MENDOZA ARMAS JUAN CARLOS</t>
  </si>
  <si>
    <t>ZACARIAS AGUILAR JUAN JESUS</t>
  </si>
  <si>
    <t>MACIAS SANTOYO JUAN JOSE</t>
  </si>
  <si>
    <t>PRECIADO VALLE JUAN LUIS</t>
  </si>
  <si>
    <t>DAVALOS HERNANDEZ JUAN MANUEL</t>
  </si>
  <si>
    <t>FIGUEROA RODRIGUEZ JUAN PABLO</t>
  </si>
  <si>
    <t>RUIZ GARCIA JUAN PABLO</t>
  </si>
  <si>
    <t>TREJO YAÑEZ JUAN PABLO</t>
  </si>
  <si>
    <t>VACA HERNANDEZ JUAN PABLO</t>
  </si>
  <si>
    <t>VENANCIO CONTRERAS JUAN PABLO</t>
  </si>
  <si>
    <t>MARTIN PEÑA JUAN PATRICIO</t>
  </si>
  <si>
    <t>TEJEDA DAVALOS JULIETA</t>
  </si>
  <si>
    <t>CORDOVA RODRIGUEZ JULIETA RENATA</t>
  </si>
  <si>
    <t>GOMEZ VELAZQUEZ JULIO CESAR</t>
  </si>
  <si>
    <t>RAMIREZ ROBLES KAHLEB ALEJANDRO</t>
  </si>
  <si>
    <t>CARRETERO AGUILERA KAREN ITZEL</t>
  </si>
  <si>
    <t>GONZALEZ JIMENEZ KAREN JANETTE</t>
  </si>
  <si>
    <t>COVARRUBIAS RENTERIA KAREN MICHELLE</t>
  </si>
  <si>
    <t>ESTRADA MUÑOZ KAREN MONSERRAT</t>
  </si>
  <si>
    <t>CISNEROS GARCIA KARIM DANIEL</t>
  </si>
  <si>
    <t>VILLEGAS ANGEL KARINA</t>
  </si>
  <si>
    <t>PICENO CASTELLANOS KARINA ITZELL</t>
  </si>
  <si>
    <t>REYES PALACIOS KARLA ALEXIA</t>
  </si>
  <si>
    <t>ZAYAS VILLALOBOS KARLA DANIELA</t>
  </si>
  <si>
    <t>JAIME GONZALEZ KARLA GABRIELA</t>
  </si>
  <si>
    <t>GRAJALES MASINI KARLA GUADALUPE</t>
  </si>
  <si>
    <t>MACIAS ONTIVEROS KARLA MICHELLE</t>
  </si>
  <si>
    <t>BAUTISTA HERNANDEZ KARLA VALERIA</t>
  </si>
  <si>
    <t>CASTILLO LOMELI KAROL YANELY</t>
  </si>
  <si>
    <t>PALMA LOPEZ KATIA</t>
  </si>
  <si>
    <t>AGUILAR CALLEJAS KENNIA GUADALUPE</t>
  </si>
  <si>
    <t>VILLALOBOS MENDOZA KEVIN</t>
  </si>
  <si>
    <t>SANCHEZ REYES KEVIN CARLOS</t>
  </si>
  <si>
    <t>HERNANDEZ QUEZADA KEVIN EMMANUEL</t>
  </si>
  <si>
    <t>MORA ZEPEDA KEVIN JOSUE</t>
  </si>
  <si>
    <t>COLDIVAR FLORES KEVIN RAMON</t>
  </si>
  <si>
    <t>ESTRADA BAUTISTA KEVIN RODRIGO PASCAL</t>
  </si>
  <si>
    <t>SOLORZANO GARCIA KIARA MAUREEN</t>
  </si>
  <si>
    <t>PADILLA SALINAS KITZYA ANGELINA</t>
  </si>
  <si>
    <t>CONTRERAS VEGA LAURA JOSSELIN</t>
  </si>
  <si>
    <t>IÑIGUEZ OSEGUERA LAURA MARIA</t>
  </si>
  <si>
    <t>CEJA PEREZ LAURA SUSANA</t>
  </si>
  <si>
    <t>TORRES GUEVARA LAVINIA ZARINA</t>
  </si>
  <si>
    <t>GONZALEZ GUERRA LAYSSA</t>
  </si>
  <si>
    <t>MARTINEZ RUAN LEONARDO</t>
  </si>
  <si>
    <t>VILLAVICENCIO OCEGUERA LEONARDO</t>
  </si>
  <si>
    <t>VAZQUEZ CASTELLANOS LEONARDO AUGUSTO</t>
  </si>
  <si>
    <t>ORTA CRUZ LEONEL MAXIMILIANO</t>
  </si>
  <si>
    <t>BARRIOS SANDOVAL LEONEL RICARDO</t>
  </si>
  <si>
    <t>ROBLEDO RODRIGUEZ LESLY DANIELA</t>
  </si>
  <si>
    <t>FUENTES FARARONI LIA VALENTINA</t>
  </si>
  <si>
    <t>KIM ZEPEDA LIAN</t>
  </si>
  <si>
    <t>VALENCIA BARAJAS LILIAN</t>
  </si>
  <si>
    <t>BARRIOS SANDOVAL LILLIAN REBECA</t>
  </si>
  <si>
    <t>RIOS MAGDALENO LISA MARIE</t>
  </si>
  <si>
    <t>SANDOVAL VALENZUELA LISSET</t>
  </si>
  <si>
    <t>GODOY SANCHEZ LORENA</t>
  </si>
  <si>
    <t>ESPARZA SANCHEZ LUIS ALEJANDRO</t>
  </si>
  <si>
    <t>GARCIA GARCIA LUIS ALONSO</t>
  </si>
  <si>
    <t>OLMOS GOMEZ LUIS ANTONIO</t>
  </si>
  <si>
    <t>SANTANA AGUILAR LUIS ANTONIO</t>
  </si>
  <si>
    <t>SALCIDO GUEVARA LUIS ERNESTO JAKOB</t>
  </si>
  <si>
    <t>LOPEZ OROZCO LUIS FERNANDO</t>
  </si>
  <si>
    <t>MORA DEL TORO LUIS FERNANDO</t>
  </si>
  <si>
    <t>OCHOA FONSECA LUIS FERNANDO</t>
  </si>
  <si>
    <t>PEREZ ENCISO LUIS FERNANDO</t>
  </si>
  <si>
    <t>SALAZAR TORRES LUIS FERNANDO</t>
  </si>
  <si>
    <t>ARROYO CEJA LUIS GUILLERMO</t>
  </si>
  <si>
    <t>LAMAS RIVAS LUIS GUILLERMO</t>
  </si>
  <si>
    <t>ALMONTE MEJIA LUIS JAVIER</t>
  </si>
  <si>
    <t>DAVALOS RODRIGUEZ LUIS MANUEL</t>
  </si>
  <si>
    <t>ROSAS HERNANDEZ LUIS RODRIGO</t>
  </si>
  <si>
    <t>SILVA TORRES LUIS RONALDO</t>
  </si>
  <si>
    <t>ROJO GAXIOLA LUIS SERGIO</t>
  </si>
  <si>
    <t>LOZANO DE LA O LUNA DALAI</t>
  </si>
  <si>
    <t>AMARO RIVERON LUNIA MARGARITA</t>
  </si>
  <si>
    <t>GOMEZ OSORIO LUZ ANGELICA NAOMI</t>
  </si>
  <si>
    <t>HUERTA LOPEZ LYA ABIGAIL</t>
  </si>
  <si>
    <t>BELLO ARIAS MARCELIANO</t>
  </si>
  <si>
    <t>LOPEZ LUVIAN MARCO ANTONIO</t>
  </si>
  <si>
    <t>ORTA CRUZ MARCO ARTURO</t>
  </si>
  <si>
    <t>PREZA RUVALCABA MARCO GABRIEL</t>
  </si>
  <si>
    <t>HERNANDEZ HERNANDEZ MARIA ANTONIA</t>
  </si>
  <si>
    <t>SANTOYO GARCIA MARIA DE LOS ANGELES</t>
  </si>
  <si>
    <t>AGUILAR MONTES MARIA FERNANDA</t>
  </si>
  <si>
    <t>ALVAREZ LOPEZ MARIA FERNANDA</t>
  </si>
  <si>
    <t>ALVAREZ OCHOA MARIA FERNANDA</t>
  </si>
  <si>
    <t>CASTILLO GONZALEZ MARIA FERNANDA</t>
  </si>
  <si>
    <t>DOMINGUEZ NIEBLAS MARIA FERNANDA</t>
  </si>
  <si>
    <t>MARTINEZ MENDEZ MARIA FERNANDA</t>
  </si>
  <si>
    <t>RUIZ SANCHEZ MARIA FERNANDA</t>
  </si>
  <si>
    <t>SANDOVAL RODRIGUEZ MARIA FERNANDA</t>
  </si>
  <si>
    <t>RUIZ LOPEZ MARIA INES</t>
  </si>
  <si>
    <t>SANDOVAL PETTERSEN MARIA PAULA</t>
  </si>
  <si>
    <t>ESPARZA CONTRERAS MARIA SOFIA</t>
  </si>
  <si>
    <t>RUIZ MARTIN MARIAN ISABELLA</t>
  </si>
  <si>
    <t>AVILA ESTRADA MARIANA</t>
  </si>
  <si>
    <t>CASTRO ANZOATEGUI MARIANA</t>
  </si>
  <si>
    <t>GARCIA VILLANUEVA MARIANA</t>
  </si>
  <si>
    <t>TORRES CAMACHO MARIANA</t>
  </si>
  <si>
    <t>GAYTAN OROZCO MARIANA ALEJANDRA</t>
  </si>
  <si>
    <t>FLORES RAMIREZ MARIANA ITZEL</t>
  </si>
  <si>
    <t>JASSO ESPINOSA MARIANA JOSELYNE</t>
  </si>
  <si>
    <t>FLORES AGUILAR MARIANGEL</t>
  </si>
  <si>
    <t>OLMEDO CASILLAS MARIANNE</t>
  </si>
  <si>
    <t>MARTINEZ BUENROSTRO MARIANO</t>
  </si>
  <si>
    <t>GONZALEZ CAMPOS MARIEL CAROLINA</t>
  </si>
  <si>
    <t>GOMEZ MURGUIA MARIFER</t>
  </si>
  <si>
    <t>GAYTAN OROZCO MARIO ARTURO</t>
  </si>
  <si>
    <t>GOMEZ RAMOS MARIO ISAIAS</t>
  </si>
  <si>
    <t>RAMIREZ MORALES MARIO JESUS</t>
  </si>
  <si>
    <t>ALVA GONZALEZ MARISOL</t>
  </si>
  <si>
    <t>GUZMAN MORENO MARISOL</t>
  </si>
  <si>
    <t>SANCHEZ GIL DOMINGUEZ MARISOL</t>
  </si>
  <si>
    <t>HERNANDEZ GARCIA MARITZA ELIZABETH</t>
  </si>
  <si>
    <t>SANDOVAL SANDOVAL MARTIN ALEXANDER</t>
  </si>
  <si>
    <t>YAÑEZ RIVERA MAURICIO</t>
  </si>
  <si>
    <t>QUINTERO URZUA MAURICIO JAVIER</t>
  </si>
  <si>
    <t>ROSALES HERRERA MAYRA JESUS DE BELEN</t>
  </si>
  <si>
    <t>BUENO GUTIERREZ MELANI RACHEL</t>
  </si>
  <si>
    <t>AVILA ESTRADA MELANY DENISSE</t>
  </si>
  <si>
    <t>ALATORRE GOMEZ MELISSA ITZEL</t>
  </si>
  <si>
    <t>SILVA MARTINEZ MELISSA ITZEL</t>
  </si>
  <si>
    <t>NIETO LOPEZ MICHELE ANNEL</t>
  </si>
  <si>
    <t>RUIZ VALENZUELA MICHELLE</t>
  </si>
  <si>
    <t>NAVARRO ZAPATA MICHELLE ANAHI</t>
  </si>
  <si>
    <t>OCHOA GONZALEZ MICHELLE CAROLINA</t>
  </si>
  <si>
    <t>PEREDO GAMEZ MICHELLE DANIELA</t>
  </si>
  <si>
    <t>DELGADO  MIGUEL</t>
  </si>
  <si>
    <t>LOPEZ VARGAS MIRANDA CAROLINA</t>
  </si>
  <si>
    <t>RODRIGUEZ MARTINEZ MIRIAM ALEJANDRA</t>
  </si>
  <si>
    <t>GONZALEZ BLANCO MONICA ALEJANDRA</t>
  </si>
  <si>
    <t>G VALDIVIA MARTIN MONTSERRAT</t>
  </si>
  <si>
    <t>HERRERA DUEÑAS MONTSERRAT</t>
  </si>
  <si>
    <t>MIRANDA DIAZ MONTSERRAT</t>
  </si>
  <si>
    <t>ESQUIVEL ENCARNACION MYRIAM SOFIA</t>
  </si>
  <si>
    <t>HERNANDEZ GARCIA NAOMI JIMENA</t>
  </si>
  <si>
    <t>ESQUER QUINTANILLA NATALIA</t>
  </si>
  <si>
    <t>IZQUIERDO MARTINEZ NATALIA</t>
  </si>
  <si>
    <t>ORTIZ LOPEZ NATALIA</t>
  </si>
  <si>
    <t>ALCAZAR OLMOS NATALIA GUADALUPE</t>
  </si>
  <si>
    <t>NAVARRO ZAPATA NAYELI ELIZABETH</t>
  </si>
  <si>
    <t>MARTINEZ ORTEGA NEIZER JESUS</t>
  </si>
  <si>
    <t>BARROSO PAZ NELLY</t>
  </si>
  <si>
    <t>HERMOSILLO MEXIA NICOL GUADALUPE</t>
  </si>
  <si>
    <t>FLORES AVILA NICOLAS</t>
  </si>
  <si>
    <t>JIMENEZ MC LANE NICOLE</t>
  </si>
  <si>
    <t>GONZALEZ AGUIRRE NOEMI JOCELYN</t>
  </si>
  <si>
    <t>ROCHA GARCIA OLIVER</t>
  </si>
  <si>
    <t>MARIN HERNANDEZ OMAR ALEJANDRO</t>
  </si>
  <si>
    <t>MUÑOZ RODRIGUEZ ORLANDO BARU</t>
  </si>
  <si>
    <t>GOMEZ GONZALEZ OSCAR</t>
  </si>
  <si>
    <t>VALERIO GONZALEZ OSCAR ANDREI</t>
  </si>
  <si>
    <t>TIBURCIO FABIAN OSCAR DANIEL</t>
  </si>
  <si>
    <t>TINOCO AVILA OSCAR DANIEL</t>
  </si>
  <si>
    <t>VELAZQUEZ REYES OSCAR DIEGO</t>
  </si>
  <si>
    <t>CAYO DIAZ OSCAR EMILIO</t>
  </si>
  <si>
    <t>ARIAS GOMEZ OSCAR NASSEM</t>
  </si>
  <si>
    <t>BALLESTEROS GALVAN OSCAR OSVALDO</t>
  </si>
  <si>
    <t>GONZALEZ CAMPOS OSCAR ROBERTO</t>
  </si>
  <si>
    <t>FIGUEROA NUÑO OSMAR ANDREY</t>
  </si>
  <si>
    <t>MARQUEZ GONZALEZ PABLO</t>
  </si>
  <si>
    <t>ENCINOS SANTIZ PABLO DOMINGO</t>
  </si>
  <si>
    <t>OROZCO BRIZUELA PABLO JARED</t>
  </si>
  <si>
    <t>AGUIRRE ASTORGA PABLO LEONARDO</t>
  </si>
  <si>
    <t>RUIZ GOMEZ PABLO MANUEL</t>
  </si>
  <si>
    <t>BECCARIS JIMENEZ PABLO MARIA</t>
  </si>
  <si>
    <t>SALCIDO RAMOS PABLO OSCAR</t>
  </si>
  <si>
    <t>FLORES MORA PABLO SAMUEL</t>
  </si>
  <si>
    <t>CERVANTES CAMACHO PALOMA</t>
  </si>
  <si>
    <t>COSIO LOPEZ PALOMA MICHELLE</t>
  </si>
  <si>
    <t>GUTIERREZ RENTERIA PAOLA</t>
  </si>
  <si>
    <t>GODINA VALDIVIA PAOLA BRIDGET</t>
  </si>
  <si>
    <t>PANDURO SOLIS PAOLA DENICE</t>
  </si>
  <si>
    <t>PEREZ TORRES PATRICIA</t>
  </si>
  <si>
    <t>CASTRO GOMEZ PAULA ALEJANDRA</t>
  </si>
  <si>
    <t>BRIZUELA AMADOR NARANJO PAULA VICTORIA</t>
  </si>
  <si>
    <t>AGUAYO CAMACHO PAULINA</t>
  </si>
  <si>
    <t>VALADEZ RIVERA PAULINA NATALY</t>
  </si>
  <si>
    <t>GARCIA MACIAS PAULINA PATRICIA</t>
  </si>
  <si>
    <t>GARCIA NAVARRO PAULO</t>
  </si>
  <si>
    <t>RUBIO ORTIZ PEDRO EMILIANO</t>
  </si>
  <si>
    <t>SOLAEGUI HERNANDEZ PEDRO IKER</t>
  </si>
  <si>
    <t>AVILES BRETADO PERLA BEATRIZ</t>
  </si>
  <si>
    <t>HERNANDEZ RAMIREZ QUILTZIN TANYA</t>
  </si>
  <si>
    <t>LOPEZ ALVAREZ REGINA</t>
  </si>
  <si>
    <t>ARELLANO BAÑUELOS REGINA MARGARITA</t>
  </si>
  <si>
    <t>PICHARDO JAIME RENATA</t>
  </si>
  <si>
    <t>FERNANDEZ SALDAÑA RICARDO</t>
  </si>
  <si>
    <t>LOPEZ SILVA RICARDO</t>
  </si>
  <si>
    <t>GARCIA CAZARES RICARDO ALBERTO</t>
  </si>
  <si>
    <t>TINOCO ARICEAGA ROBERTO</t>
  </si>
  <si>
    <t>ALVAREZ ESPINOSA RODRIGO</t>
  </si>
  <si>
    <t>DAVALOS BLANCO RODRIGO</t>
  </si>
  <si>
    <t>MARTINEZ CASTELLANOS RODRIGO</t>
  </si>
  <si>
    <t>MARTINEZ MARTINEZ RODRIGO</t>
  </si>
  <si>
    <t>MEDRANO ORTA RODRIGO</t>
  </si>
  <si>
    <t>RIVERA VILLASEÑOR RODRIGO</t>
  </si>
  <si>
    <t>SALCEDO ROMERO RODRIGO</t>
  </si>
  <si>
    <t>LOPEZ ALFEREZ RODRIGO SAUL</t>
  </si>
  <si>
    <t>PEREZ RAMOS RODRIGO SEBASTIAN</t>
  </si>
  <si>
    <t>LOPEZ MAGAÑA ROMINA</t>
  </si>
  <si>
    <t>ROSAS PEREZ ROSARIO</t>
  </si>
  <si>
    <t>GARCIA VILLANUEVA RUTH EMILIA</t>
  </si>
  <si>
    <t>HERNANDEZ ROMAN RUTH PAOLA</t>
  </si>
  <si>
    <t>PIÑON CARO SALVADOR NICOLAS</t>
  </si>
  <si>
    <t>MONTES SALDATE SAMUEL ALEJANDRO</t>
  </si>
  <si>
    <t>VERA DE LA ROSA SAMUEL RICARDO</t>
  </si>
  <si>
    <t>MARTINEZ NAVARRO SANDRA</t>
  </si>
  <si>
    <t>GUERRERO GRIMALDO SANDRA BEATRIZ</t>
  </si>
  <si>
    <t>PELAYO ESPINOSA SANTIAGO</t>
  </si>
  <si>
    <t>RUVALCABA NAVARRO SANTIAGO ALEJANDRO</t>
  </si>
  <si>
    <t>MEJIA DE LA ROSA SANTIAGO RENE</t>
  </si>
  <si>
    <t>CAJERO EINUNG SARA AGALI</t>
  </si>
  <si>
    <t>BAJO PEREZ SARAHI</t>
  </si>
  <si>
    <t>VILLALOBOS CARRILLO SAUL DE JESUS</t>
  </si>
  <si>
    <t>MANZO CUEVAS SAUL FERNANDO</t>
  </si>
  <si>
    <t>GARCIA MEJIA SEBASTIAN</t>
  </si>
  <si>
    <t>MARTIN CAMPOS SEBASTIAN</t>
  </si>
  <si>
    <t>ROCHA LOZANO SEBASTIAN</t>
  </si>
  <si>
    <t>APONTE NAVARRO SEBASTIAN EMILIANO</t>
  </si>
  <si>
    <t>MARTINEZ CASTILLO SERGIO</t>
  </si>
  <si>
    <t>GALLEGOS RAMOS SERGIO JOSE</t>
  </si>
  <si>
    <t>VAZQUEZ RODRIGUEZ SHARON SOFIA</t>
  </si>
  <si>
    <t>MANCILLA PAVIA SOFIA</t>
  </si>
  <si>
    <t>PARTIDA BARBA SOFIA</t>
  </si>
  <si>
    <t>SOLAEGUI HERNANDEZ SOFIA</t>
  </si>
  <si>
    <t>NARES GUTIERREZ SOFIA MICHELLE</t>
  </si>
  <si>
    <t>MARMOLEJO RODRIGUEZ SONIA XIMENA</t>
  </si>
  <si>
    <t>RODRIGUEZ VEGA STEVEN</t>
  </si>
  <si>
    <t>CONTRERAS SANCHEZ TANIA DE LOS ANGELES</t>
  </si>
  <si>
    <t>GALLI MARTINEZ TATIANA</t>
  </si>
  <si>
    <t>GONZALEZ LOPEZ ULISES JOSELL</t>
  </si>
  <si>
    <t>ESCALANTE RAMIREZ VALENTINA</t>
  </si>
  <si>
    <t>ELIZALDE QUINTERO VALENTINO</t>
  </si>
  <si>
    <t>ALEJO GONZALEZ VALERIA</t>
  </si>
  <si>
    <t>BAÑUELOS MONTEVERDE VALERIA</t>
  </si>
  <si>
    <t>BUITRON VALENCIA VALERIA</t>
  </si>
  <si>
    <t>CASTILLO LOPEZ VALERIA</t>
  </si>
  <si>
    <t>GALLO ACEVES VALERIA</t>
  </si>
  <si>
    <t>GALVEZ DIAZ VALERIA</t>
  </si>
  <si>
    <t>ORTEGA CANO VALERIA</t>
  </si>
  <si>
    <t>TORRES FARIAS VALERIA</t>
  </si>
  <si>
    <t>ESTRADA GIL VALERIA ALEJANDRA</t>
  </si>
  <si>
    <t>VELEZ RAMIREZ VALERIA ESTEFANIA</t>
  </si>
  <si>
    <t>CASILLAS CASTELLANOS VALERIA FERNANDA</t>
  </si>
  <si>
    <t>OCHOA REYES VALERIA SOFIA</t>
  </si>
  <si>
    <t>GALVAN SANCHEZ VERONICA VIANNEY</t>
  </si>
  <si>
    <t>FRANCO MENDEZ VICTOR HUGO</t>
  </si>
  <si>
    <t>CERVANTES PANDURO VICTOR MANUEL</t>
  </si>
  <si>
    <t>MARTINEZ VAZQUEZ VICTOR MANUEL</t>
  </si>
  <si>
    <t>GUERRERO FLORES VICTORIA</t>
  </si>
  <si>
    <t>ROMERO GOMEZ VICTORIA</t>
  </si>
  <si>
    <t>STOBSCHINSKI FRANZ WILHELM</t>
  </si>
  <si>
    <t>CARDENAS GARCIA XIMENA</t>
  </si>
  <si>
    <t>COVARRUBIAS LIMON XIMENA</t>
  </si>
  <si>
    <t>PADILLA VAZQUEZ XIMENA MONSERRATH</t>
  </si>
  <si>
    <t>HERNANDEZ GONZALEZ YAEL ALEJANDRO</t>
  </si>
  <si>
    <t>LUNA SANCHEZ YAEL DE JESUS</t>
  </si>
  <si>
    <t>MEDINA RODRIGUEZ YAEL DE JESUS</t>
  </si>
  <si>
    <t>GARCIA IBARRA YAMIL ALEJANDRO</t>
  </si>
  <si>
    <t>GARCIA IBARRA YAZMIN GABRIELA</t>
  </si>
  <si>
    <t>RENTERIA LOZANO YERIK ROBERTO</t>
  </si>
  <si>
    <t>MARIA OSUNA YESICA JANETH</t>
  </si>
  <si>
    <t>GUILLEN HERNANDEZ ZAHID LIEVICH</t>
  </si>
  <si>
    <t>ENRIQUEZ SANCHEZ ZAHIRA PAULETTE</t>
  </si>
  <si>
    <t>MONTAÑO AMBROCIO ZARA SOFIA</t>
  </si>
  <si>
    <t>Carrera</t>
  </si>
  <si>
    <t>Grado</t>
  </si>
  <si>
    <t>2do</t>
  </si>
  <si>
    <t>4to</t>
  </si>
  <si>
    <t>6to</t>
  </si>
  <si>
    <t>8vo</t>
  </si>
  <si>
    <t>10mo</t>
  </si>
  <si>
    <t>5to</t>
  </si>
  <si>
    <t>Sexo</t>
  </si>
  <si>
    <t>Femenino</t>
  </si>
  <si>
    <t>Masculino</t>
  </si>
  <si>
    <t>Situación</t>
  </si>
  <si>
    <t>Activo</t>
  </si>
  <si>
    <t>Bloqueado</t>
  </si>
  <si>
    <t>Reingreso</t>
  </si>
  <si>
    <t>Grupo</t>
  </si>
  <si>
    <t xml:space="preserve">NUT 2°    </t>
  </si>
  <si>
    <t xml:space="preserve">CIB 4°    </t>
  </si>
  <si>
    <t xml:space="preserve">AERO 4°   </t>
  </si>
  <si>
    <t xml:space="preserve">AERO 6°   </t>
  </si>
  <si>
    <t xml:space="preserve">AERO 8°   </t>
  </si>
  <si>
    <t xml:space="preserve">AUTO 2° B </t>
  </si>
  <si>
    <t xml:space="preserve">AERO_10°  </t>
  </si>
  <si>
    <t xml:space="preserve">PSI 2°    </t>
  </si>
  <si>
    <t xml:space="preserve">ARQ 8°    </t>
  </si>
  <si>
    <t xml:space="preserve">ARQ 4°    </t>
  </si>
  <si>
    <t xml:space="preserve">ANIM 4°   </t>
  </si>
  <si>
    <t xml:space="preserve">AERO 2° A </t>
  </si>
  <si>
    <t xml:space="preserve">ANIM 6°   </t>
  </si>
  <si>
    <t xml:space="preserve">CIB 8°    </t>
  </si>
  <si>
    <t xml:space="preserve">ADMON 6°  </t>
  </si>
  <si>
    <t xml:space="preserve">AUTO 4°   </t>
  </si>
  <si>
    <t xml:space="preserve">NUT 4°    </t>
  </si>
  <si>
    <t xml:space="preserve">ARQ 2°    </t>
  </si>
  <si>
    <t xml:space="preserve">AERO 2° B </t>
  </si>
  <si>
    <t xml:space="preserve">ADMON 2°  </t>
  </si>
  <si>
    <t xml:space="preserve">PSI 4°    </t>
  </si>
  <si>
    <t xml:space="preserve">PSI 6°    </t>
  </si>
  <si>
    <t xml:space="preserve">NUT 6°    </t>
  </si>
  <si>
    <t xml:space="preserve">COM 8°    </t>
  </si>
  <si>
    <t xml:space="preserve">ARQ 6°    </t>
  </si>
  <si>
    <t xml:space="preserve">DGD 8°    </t>
  </si>
  <si>
    <t xml:space="preserve">MKT 6°    </t>
  </si>
  <si>
    <t xml:space="preserve">PSI 8°    </t>
  </si>
  <si>
    <t xml:space="preserve">ANIM 2°   </t>
  </si>
  <si>
    <t xml:space="preserve">NUT 8°    </t>
  </si>
  <si>
    <t xml:space="preserve">ADMON 8°  </t>
  </si>
  <si>
    <t xml:space="preserve">ADMON 4°  </t>
  </si>
  <si>
    <t xml:space="preserve">DER 6°    </t>
  </si>
  <si>
    <t xml:space="preserve">DER 8°    </t>
  </si>
  <si>
    <t xml:space="preserve">CIB 6°    </t>
  </si>
  <si>
    <t xml:space="preserve">IA 4°     </t>
  </si>
  <si>
    <t xml:space="preserve">MKT 8°    </t>
  </si>
  <si>
    <t xml:space="preserve">DGD 6°    </t>
  </si>
  <si>
    <t xml:space="preserve">IND 8°    </t>
  </si>
  <si>
    <t xml:space="preserve">IND 4°    </t>
  </si>
  <si>
    <t xml:space="preserve">AUTO 2° A </t>
  </si>
  <si>
    <t xml:space="preserve">DGD 4°    </t>
  </si>
  <si>
    <t xml:space="preserve">COM 6°    </t>
  </si>
  <si>
    <t xml:space="preserve">ANIM 8°   </t>
  </si>
  <si>
    <t xml:space="preserve">IA 2°     </t>
  </si>
  <si>
    <t>Correo</t>
  </si>
  <si>
    <t>adrian.esquedamacias</t>
  </si>
  <si>
    <t>adrian.jaimeojeda</t>
  </si>
  <si>
    <t>adrian.perfectoarellano</t>
  </si>
  <si>
    <t>adriana.amarobaltierra</t>
  </si>
  <si>
    <t>alberto.lariosiñiguez</t>
  </si>
  <si>
    <t>alejandra.neriflores</t>
  </si>
  <si>
    <t>alejandra.perezlimon</t>
  </si>
  <si>
    <t>alejandro.barajasarias</t>
  </si>
  <si>
    <t>alejandro.dominguezhervert</t>
  </si>
  <si>
    <t>alejandro.palaciosreyes</t>
  </si>
  <si>
    <t>alejandro.solisarriola</t>
  </si>
  <si>
    <t>alexa.moyarobles</t>
  </si>
  <si>
    <t>alfonso.rosalesvargas</t>
  </si>
  <si>
    <t>alfredo.cortesañorve</t>
  </si>
  <si>
    <t>alondra.arredondobautista</t>
  </si>
  <si>
    <t>alondra.ramosavalos</t>
  </si>
  <si>
    <t>america.mendezcancelada</t>
  </si>
  <si>
    <t>andre.diazmarquez</t>
  </si>
  <si>
    <t>andrea.navarropadilla</t>
  </si>
  <si>
    <t>andrea.torresgonzalez</t>
  </si>
  <si>
    <t>andrea.vazquezcortes</t>
  </si>
  <si>
    <t>andres.cabrerachavira</t>
  </si>
  <si>
    <t>andres.hernandezmagaña</t>
  </si>
  <si>
    <t>andy.rodriguezlazaro</t>
  </si>
  <si>
    <t>angel.escalonabueno</t>
  </si>
  <si>
    <t>angel.gonzalezparra</t>
  </si>
  <si>
    <t>angel.mondragonhernandez</t>
  </si>
  <si>
    <t>angelica.torresgutierrez</t>
  </si>
  <si>
    <t>bernarda.bautistamariano</t>
  </si>
  <si>
    <t>blas.padronvazquez</t>
  </si>
  <si>
    <t>carla.carpinteromerino</t>
  </si>
  <si>
    <t>carolina.burgosgomez</t>
  </si>
  <si>
    <t>cesar.obledomartinez</t>
  </si>
  <si>
    <t>claudio.garcianavarro</t>
  </si>
  <si>
    <t>cristian.villarruelsandoval</t>
  </si>
  <si>
    <t>damian.martinezalvarado</t>
  </si>
  <si>
    <t>daniel.floresraya</t>
  </si>
  <si>
    <t>daniela.hernandezvendramini</t>
  </si>
  <si>
    <t>daniela.morenovazquez</t>
  </si>
  <si>
    <t>daniela.moscosoamezcua</t>
  </si>
  <si>
    <t>daniela.rojaslopez</t>
  </si>
  <si>
    <t>daniela.rojogarcia</t>
  </si>
  <si>
    <t>danna.contrerasgonzalez</t>
  </si>
  <si>
    <t>dario.aguilarlopez</t>
  </si>
  <si>
    <t>david.arechederratrejo</t>
  </si>
  <si>
    <t>david.wilsontorres</t>
  </si>
  <si>
    <t>diana.galloaceves</t>
  </si>
  <si>
    <t>dieggo.zepedalopez</t>
  </si>
  <si>
    <t>diego.chavezcontreras</t>
  </si>
  <si>
    <t>diego.gonzaleztelles</t>
  </si>
  <si>
    <t>diego.guerrerogarcia</t>
  </si>
  <si>
    <t>diego.villaseñorclaudin</t>
  </si>
  <si>
    <t>edgar.hernandezsandoval</t>
  </si>
  <si>
    <t>eduardo.cervantesramirez</t>
  </si>
  <si>
    <t>eduardo.vazquezguerrero</t>
  </si>
  <si>
    <t>elias.leonardorivera</t>
  </si>
  <si>
    <t>eliseo.sosapelayo</t>
  </si>
  <si>
    <t>emiliano.francoorozco</t>
  </si>
  <si>
    <t>emiliano.gomezhernandez</t>
  </si>
  <si>
    <t>emiliano.gracianovargas</t>
  </si>
  <si>
    <t>emiliano.navavelasco</t>
  </si>
  <si>
    <t>emiliano.rodriguezguzman</t>
  </si>
  <si>
    <t>emilio.anayarodriguez</t>
  </si>
  <si>
    <t>emilio.tadeoalvarez</t>
  </si>
  <si>
    <t>emmanuel.lozanoesparza</t>
  </si>
  <si>
    <t>enrique.juarezcastañeda</t>
  </si>
  <si>
    <t>enrique.villanuevafranco</t>
  </si>
  <si>
    <t>ernesto.rojasrodriguez</t>
  </si>
  <si>
    <t>estephany.coldivarflores</t>
  </si>
  <si>
    <t>fabian.amezcuacastellanos</t>
  </si>
  <si>
    <t>fabian.hernandezverdin</t>
  </si>
  <si>
    <t>fernan.zepedalopez</t>
  </si>
  <si>
    <t>fernando.guitroncervantes</t>
  </si>
  <si>
    <t>gema.martinezorbe</t>
  </si>
  <si>
    <t>gilberto.nuñezcontreras</t>
  </si>
  <si>
    <t>giovanna.santillanbarragan</t>
  </si>
  <si>
    <t>hannia.hernandezmejia</t>
  </si>
  <si>
    <t>hector.camposcardenas</t>
  </si>
  <si>
    <t>heli.serranogonzalez</t>
  </si>
  <si>
    <t>hermelinda.hernandezhernandez</t>
  </si>
  <si>
    <t>isaac.vazquezcardona</t>
  </si>
  <si>
    <t>isabella.goribarloza</t>
  </si>
  <si>
    <t>isabely.alvescornejo</t>
  </si>
  <si>
    <t>ivan.ruizfuentes</t>
  </si>
  <si>
    <t>ivana.grajalessainz</t>
  </si>
  <si>
    <t>jackeline.hernandeztoscano</t>
  </si>
  <si>
    <t>jadyn.mezacortes</t>
  </si>
  <si>
    <t>janeth.quesneycabrera</t>
  </si>
  <si>
    <t>javier.ayalaesparza</t>
  </si>
  <si>
    <t>javier.hernandezrendon</t>
  </si>
  <si>
    <t>jazmin.fossatigarcia</t>
  </si>
  <si>
    <t>jennifer.morenolepe</t>
  </si>
  <si>
    <t>jimena.navarrolopez</t>
  </si>
  <si>
    <t>jimena.pichardojaime</t>
  </si>
  <si>
    <t>joaquin.zeagomez</t>
  </si>
  <si>
    <t>julieta.tejedadavalos</t>
  </si>
  <si>
    <t>karina.villegasangel</t>
  </si>
  <si>
    <t>katia.palmalopez</t>
  </si>
  <si>
    <t>kevin.villalobosmendoza</t>
  </si>
  <si>
    <t>layssa.gonzalezguerra</t>
  </si>
  <si>
    <t>leonardo.martinezruan</t>
  </si>
  <si>
    <t>leonardo.villavicenciooceguera</t>
  </si>
  <si>
    <t>lian.kimzepeda</t>
  </si>
  <si>
    <t>lilian.valenciabarajas</t>
  </si>
  <si>
    <t>lisset.sandovalvalenzuela</t>
  </si>
  <si>
    <t>lorena.godoysanchez</t>
  </si>
  <si>
    <t>marceliano.belloarias</t>
  </si>
  <si>
    <t>abbydessire.pelayodiaz</t>
  </si>
  <si>
    <t>abrilisabella.godoyflores</t>
  </si>
  <si>
    <t>adanoswaldo.sandovalcardenas</t>
  </si>
  <si>
    <t>adibkaleb.gonzaleztoscano</t>
  </si>
  <si>
    <t>adrianassis.tapiacorripio</t>
  </si>
  <si>
    <t>adrianbryant.vegacastañeda</t>
  </si>
  <si>
    <t>adrianfernando.orozcorivas</t>
  </si>
  <si>
    <t>adrianaguadalupe.martinezarambula</t>
  </si>
  <si>
    <t>adrianapaola.rodriguezmartinez</t>
  </si>
  <si>
    <t>airamvictoria.mirandaguerra</t>
  </si>
  <si>
    <t>akariandrea.yamaguchirazo</t>
  </si>
  <si>
    <t>alandaniel.alcalamedrano</t>
  </si>
  <si>
    <t>alanoswaldo.hernandezcastillo</t>
  </si>
  <si>
    <t>alanyael.vazquezochoa</t>
  </si>
  <si>
    <t>albertojavier.ojedagutierrez</t>
  </si>
  <si>
    <t>alexavianey.trujillonapoles</t>
  </si>
  <si>
    <t>almadaniela.santoyogarcia</t>
  </si>
  <si>
    <t>alondraarhemi.gonzalezorozco</t>
  </si>
  <si>
    <t>alondrajamileth.velazquezcastro</t>
  </si>
  <si>
    <t>alondramarisol.ramosarias</t>
  </si>
  <si>
    <t>alondrasofia.ornelasaltamirano</t>
  </si>
  <si>
    <t>alvaro.delapeñaperez</t>
  </si>
  <si>
    <t>amandacarmiña.guzmanarias</t>
  </si>
  <si>
    <t>anabelen.oceguedagil</t>
  </si>
  <si>
    <t>anacamila.espiritubracamontes</t>
  </si>
  <si>
    <t>anacecilia.juarezcastañeda</t>
  </si>
  <si>
    <t>anacristina.guerrerosoltero</t>
  </si>
  <si>
    <t>anaisabel.ochoasamano</t>
  </si>
  <si>
    <t>anakarol.jimenezmartinez</t>
  </si>
  <si>
    <t>analorena.camachoherrera</t>
  </si>
  <si>
    <t>analucia.fongurquidy</t>
  </si>
  <si>
    <t>anapaula.rodriguezlozano</t>
  </si>
  <si>
    <t>anapaula.ruelasnavarro</t>
  </si>
  <si>
    <t>anasofia.carrionlopez</t>
  </si>
  <si>
    <t>anasofia.fierrosluna</t>
  </si>
  <si>
    <t>anasofia.sanchezesqueda</t>
  </si>
  <si>
    <t>anavaleria.godinezsanchez</t>
  </si>
  <si>
    <t>anavictoria.orozcoquiñonez</t>
  </si>
  <si>
    <t>anailyguadalupe.chavezortiz</t>
  </si>
  <si>
    <t>andresebastian.villagranarodriguez</t>
  </si>
  <si>
    <t>andreaguadalupe.rodriguezarreola</t>
  </si>
  <si>
    <t>andrealizeth.bruguerarodriguez</t>
  </si>
  <si>
    <t>andreanaomi.rebollararriero</t>
  </si>
  <si>
    <t>andreapaola.rodriguezvega</t>
  </si>
  <si>
    <t>andreapatricia.gonzalezcamacho</t>
  </si>
  <si>
    <t>andrearenata.gonzalezcamarena</t>
  </si>
  <si>
    <t>andresezequiel.nuñezramos</t>
  </si>
  <si>
    <t>angelaioros.davalosgarcia</t>
  </si>
  <si>
    <t>angelalexander.garciamora</t>
  </si>
  <si>
    <t>angelalexander.virgenserrano</t>
  </si>
  <si>
    <t>angelandres.garciacherrington</t>
  </si>
  <si>
    <t>angeldavid.sanchezlopez</t>
  </si>
  <si>
    <t>angelemanuel.cuetoramos</t>
  </si>
  <si>
    <t>angelfabian.abrahamjuarez</t>
  </si>
  <si>
    <t>angelfernando.morenozumaya</t>
  </si>
  <si>
    <t>angelguillermo.vegarodriguez</t>
  </si>
  <si>
    <t>angelmartin.ceceñaponce</t>
  </si>
  <si>
    <t>angelapaulina.vazquezbertrand</t>
  </si>
  <si>
    <t>antonio.verduzcovazquezaldana</t>
  </si>
  <si>
    <t>aolanixaxbe.negretecastro</t>
  </si>
  <si>
    <t>araceliesmeralda.liñanflores</t>
  </si>
  <si>
    <t>aranzasinhai.alvaradomoreno</t>
  </si>
  <si>
    <t>areliapaulina.patiñogonzalez</t>
  </si>
  <si>
    <t>arturoemmanuel.castañedahernandez</t>
  </si>
  <si>
    <t>astridavril.bernalmontañez</t>
  </si>
  <si>
    <t>atzirielizabeth.perezcontreras</t>
  </si>
  <si>
    <t>aureaemily.osorniocontreras</t>
  </si>
  <si>
    <t>aurorasarahi.arroyocampos</t>
  </si>
  <si>
    <t>axelguillermo.martinezruiz</t>
  </si>
  <si>
    <t>berthaerica.guzmanaparicio</t>
  </si>
  <si>
    <t>bethelcitlali.sosatorres</t>
  </si>
  <si>
    <t>blancaleticia.iñiguezoseguera</t>
  </si>
  <si>
    <t>bogargerardo.gallegosarciniega</t>
  </si>
  <si>
    <t>braulioaaron.gaticacano</t>
  </si>
  <si>
    <t>braulioisaias.perezalvarez</t>
  </si>
  <si>
    <t>brayanjose.riveraacosta</t>
  </si>
  <si>
    <t>brendaguadalupe.bojadodelreal</t>
  </si>
  <si>
    <t>brendamelissa.soliscerpa</t>
  </si>
  <si>
    <t>brendasusana.padillavidales</t>
  </si>
  <si>
    <t>brendaxiadani.maciasayala</t>
  </si>
  <si>
    <t>brianesau.lozanovelazquez</t>
  </si>
  <si>
    <t>brunojoel.alvaradochavez</t>
  </si>
  <si>
    <t>carloseduardo.yerenanavarro</t>
  </si>
  <si>
    <t>carlosfernando.serranoamador</t>
  </si>
  <si>
    <t>carlosivan.floresgutierrez</t>
  </si>
  <si>
    <t>carlosroberto.ramirezgarcia</t>
  </si>
  <si>
    <t>carlossantiago.mariscalgutierrez</t>
  </si>
  <si>
    <t>carlossantiago.perezdiez</t>
  </si>
  <si>
    <t>carolmarian.castillomunguia</t>
  </si>
  <si>
    <t>carolnoemi.hurtadomacias</t>
  </si>
  <si>
    <t>carolinaalexandra.sandovalberumen</t>
  </si>
  <si>
    <t>cesareduardo.valenciacastillo</t>
  </si>
  <si>
    <t>christianalejandro.dealbagutierrez</t>
  </si>
  <si>
    <t>claudiaberenice.alfaroruiz</t>
  </si>
  <si>
    <t>claudiadaniela.figueroarodriguez</t>
  </si>
  <si>
    <t>claudiafernanda.ramirezarreola</t>
  </si>
  <si>
    <t>claudiamarian.regaladoanaya</t>
  </si>
  <si>
    <t>claudiapatricia.martinezreynoso</t>
  </si>
  <si>
    <t>cristhianhazael.michelquevedo</t>
  </si>
  <si>
    <t>cristianfabian.zamudiovazquez</t>
  </si>
  <si>
    <t>cristoteodoro.floreszavala</t>
  </si>
  <si>
    <t>cristopheradrian.saucedolupercio</t>
  </si>
  <si>
    <t>dafnegalilea.leonardorivera</t>
  </si>
  <si>
    <t>dafnemontserrat.juarezjimenez</t>
  </si>
  <si>
    <t>dahyanapaulina.sanchezurzua</t>
  </si>
  <si>
    <t>damarisaixa.ruvalcabagonzalez</t>
  </si>
  <si>
    <t>danaelena.rendondelrio</t>
  </si>
  <si>
    <t>danajoanelle.mercadotorres</t>
  </si>
  <si>
    <t>danapaulina.ayalamagallon</t>
  </si>
  <si>
    <t>danielalejandro.castellanosramirez</t>
  </si>
  <si>
    <t>danieleduardo.lemusarias</t>
  </si>
  <si>
    <t>danielignacio.salcidoramos</t>
  </si>
  <si>
    <t>danielagisel.torresponce</t>
  </si>
  <si>
    <t>danielarenee.mirandasanchez</t>
  </si>
  <si>
    <t>danilaraquel.murilloiparraguirre</t>
  </si>
  <si>
    <t>danteyael.valladareslopez</t>
  </si>
  <si>
    <t>darshangael.ortizariza</t>
  </si>
  <si>
    <t>davidalejandro.ricoesparza</t>
  </si>
  <si>
    <t>davidisrael.alvarezjimenez</t>
  </si>
  <si>
    <t>davidivan.carranzabarba</t>
  </si>
  <si>
    <t>davidjosue.sanchezpalacios</t>
  </si>
  <si>
    <t>dayramichelle.zuñigahernandez</t>
  </si>
  <si>
    <t>dianajacqueline.morenogranados</t>
  </si>
  <si>
    <t>dianaleticia.quiñonesgarcia</t>
  </si>
  <si>
    <t>dianalissete.aldreteornelas</t>
  </si>
  <si>
    <t>dianalyseth.vazquezyañez</t>
  </si>
  <si>
    <t>dianapaola.coronadotirado</t>
  </si>
  <si>
    <t>dianapaula.dealvacovarrubias</t>
  </si>
  <si>
    <t>dianasarahi.ramireztabarez</t>
  </si>
  <si>
    <t>diegoalfonso.torizmartinez</t>
  </si>
  <si>
    <t>diegoalonso.lizarragaruiz</t>
  </si>
  <si>
    <t>diegoandres.bonalmedina</t>
  </si>
  <si>
    <t>diegoarturo.tzucpech</t>
  </si>
  <si>
    <t>diegocristan.sanchezvazquez</t>
  </si>
  <si>
    <t>diegofrancisco.preciadolara</t>
  </si>
  <si>
    <t>diegoismael.suarezmarquez</t>
  </si>
  <si>
    <t>diegomartin.zavalacuellar</t>
  </si>
  <si>
    <t>diegomisael.patiñomejia</t>
  </si>
  <si>
    <t>diegonicolas.gomezsilva</t>
  </si>
  <si>
    <t>diegosanjivh.lopezcasillas</t>
  </si>
  <si>
    <t>diegosebastian.vonhauskedellasera</t>
  </si>
  <si>
    <t>donovandamian.cuevasmejia</t>
  </si>
  <si>
    <t>dylanadrian.castillogomez</t>
  </si>
  <si>
    <t>edgaralejandro.ortizvega</t>
  </si>
  <si>
    <t>eduardoyoshiaki.dominguezinukai</t>
  </si>
  <si>
    <t>edwinfernando.lunabarrientos</t>
  </si>
  <si>
    <t>elcyradayana.ramirezgomez</t>
  </si>
  <si>
    <t>elizabeth.delacruzbrambila</t>
  </si>
  <si>
    <t>emilioandres.acevesromero</t>
  </si>
  <si>
    <t>emmanuelsebastian.castrogarcia</t>
  </si>
  <si>
    <t>enriquejesus.cabreralizarraga</t>
  </si>
  <si>
    <t>enriquerene.toledosegovia</t>
  </si>
  <si>
    <t>erickgermain.isidoroquiñones</t>
  </si>
  <si>
    <t>esaualfredo.cardenasmedina</t>
  </si>
  <si>
    <t>esmeraldagabriela.gomezgaona</t>
  </si>
  <si>
    <t>estebanenrique.padillaperaza</t>
  </si>
  <si>
    <t>estefaninicole.orozcorivas</t>
  </si>
  <si>
    <t>etianeantonio.sandovalcabrera</t>
  </si>
  <si>
    <t>evaregina.guzmanvillaseñor</t>
  </si>
  <si>
    <t>farahisabella.florestapia</t>
  </si>
  <si>
    <t>fatimadennise.arceespino</t>
  </si>
  <si>
    <t>fatimajuliana.zamoramichel</t>
  </si>
  <si>
    <t>fernandaaraceli.romerogarcia</t>
  </si>
  <si>
    <t>fernandadanae.barajasmichel</t>
  </si>
  <si>
    <t>flormonserrat.alvaradoañorve</t>
  </si>
  <si>
    <t>franciscajaqueline.perezascencio</t>
  </si>
  <si>
    <t>franiaalejandra.ricoygonzalez</t>
  </si>
  <si>
    <t>franklinramon.peñuelasvalle</t>
  </si>
  <si>
    <t>fridasophia.alencastrorojo</t>
  </si>
  <si>
    <t>gabrieleduardo.colomecampos</t>
  </si>
  <si>
    <t>gabriela.cardenasdeharo</t>
  </si>
  <si>
    <t>gabrielaalejandra.partidagalvan</t>
  </si>
  <si>
    <t>gabrielamonserrat.covarrubiaslimon</t>
  </si>
  <si>
    <t>gabrielamonserrat.madrigalnuño</t>
  </si>
  <si>
    <t>galiapaola.vazquezlopez</t>
  </si>
  <si>
    <t>georginaesperanza.guerrabejar</t>
  </si>
  <si>
    <t>gilbertoalejandro.rojasgutierrez</t>
  </si>
  <si>
    <t>giovanni.dealbatovar</t>
  </si>
  <si>
    <t>gloriamiranda.hernandezvargas</t>
  </si>
  <si>
    <t>guillermojose.sosayavilagonzalez</t>
  </si>
  <si>
    <t>guillermokaleb.araujovargas</t>
  </si>
  <si>
    <t>gustavojesus.diazestrada</t>
  </si>
  <si>
    <t>hannahcitlali.delacruzcastillo</t>
  </si>
  <si>
    <t>hectorbernardo.iñiguezpulido</t>
  </si>
  <si>
    <t>hectorenrique.mariscalsanchez</t>
  </si>
  <si>
    <t>hectorfabian.gonzalezdeloza</t>
  </si>
  <si>
    <t>hectororlando.valdiviaanguiano</t>
  </si>
  <si>
    <t>heribertosamuel.ibarrasalazar</t>
  </si>
  <si>
    <t>hugoalberto.velazquezvega</t>
  </si>
  <si>
    <t>ianfernando.barraganlagos</t>
  </si>
  <si>
    <t>ilichlenin.dejesusprado</t>
  </si>
  <si>
    <t>irvingalejandro.rodriguezmartinez</t>
  </si>
  <si>
    <t>isaacemiliano.chavezsaavedra</t>
  </si>
  <si>
    <t>isaacemmanuel.arteagasandoval</t>
  </si>
  <si>
    <t>isabelhiromi.inukaimorales</t>
  </si>
  <si>
    <t>isabelladelosangeles.montielvargas</t>
  </si>
  <si>
    <t>isiscitlali.orozcorangel</t>
  </si>
  <si>
    <t>ismaeltadeo.riosflores</t>
  </si>
  <si>
    <t>itzelalejandra.cornejobizarro</t>
  </si>
  <si>
    <t>itzelmontserrat.lunasanchez</t>
  </si>
  <si>
    <t>ivanalberto.obregonfuentes</t>
  </si>
  <si>
    <t>jaazielalejandro.morenotoscano</t>
  </si>
  <si>
    <t>jaimeemmanuel.gutierrezavila</t>
  </si>
  <si>
    <t>jaimegabriel.muñozsandoval</t>
  </si>
  <si>
    <t>javierandres.ariasescobar</t>
  </si>
  <si>
    <t>javierantonio.mariscalreyes</t>
  </si>
  <si>
    <t>javiereduardo.aguilarlugo</t>
  </si>
  <si>
    <t>jenniferivette.ortizmaya</t>
  </si>
  <si>
    <t>jessicaelizabeth.hernandezbriones</t>
  </si>
  <si>
    <t>jesusabraham.navarreteterrones</t>
  </si>
  <si>
    <t>jesusalberto.matacastillo</t>
  </si>
  <si>
    <t>jesusandres.moralesreyes</t>
  </si>
  <si>
    <t>jesusantonio.romolara</t>
  </si>
  <si>
    <t>jesusbenjamin.argandarubio</t>
  </si>
  <si>
    <t>jesusbenjamin.medinaguerrero</t>
  </si>
  <si>
    <t>jesuseduardo.navarroguerrero</t>
  </si>
  <si>
    <t>jesuseduardo.ramoscontreras</t>
  </si>
  <si>
    <t>jesusissahi.arizmendimendoza</t>
  </si>
  <si>
    <t>joaquinalejandro.valdenebromartinez</t>
  </si>
  <si>
    <t>joaquinivan.perezromo</t>
  </si>
  <si>
    <t>jocelynmontserrat.fuentestalavera</t>
  </si>
  <si>
    <t>johangiovanni.sanchezreyes</t>
  </si>
  <si>
    <t>jonathanalejandro.ojedamendoza</t>
  </si>
  <si>
    <t>jonathanoswaldo.duranruvalcaba</t>
  </si>
  <si>
    <t>jonathanulises.figueroabañuelos</t>
  </si>
  <si>
    <t>jorgealejandro.ariasmorales</t>
  </si>
  <si>
    <t>jorgearmando.diazesparza</t>
  </si>
  <si>
    <t>jorgecarlos.valenciafelix</t>
  </si>
  <si>
    <t>jorgeeduardo.llamasdeanda</t>
  </si>
  <si>
    <t>jorgejulian.ortizrodriguez</t>
  </si>
  <si>
    <t>jorgeluis.robleslopez</t>
  </si>
  <si>
    <t>jorshuadaniel.perezcamacho</t>
  </si>
  <si>
    <t>josealberto.rubalcavamercado</t>
  </si>
  <si>
    <t>josealejandro.ursielortega</t>
  </si>
  <si>
    <t>joseangel.perezcontreras</t>
  </si>
  <si>
    <t>joseantonio.muñozsevilla</t>
  </si>
  <si>
    <t>josecarlos.jaureguiflores</t>
  </si>
  <si>
    <t>josedaniel.rodriguezmartinez</t>
  </si>
  <si>
    <t>josedavid.cruztellez</t>
  </si>
  <si>
    <t>josedavid.mendezmedina</t>
  </si>
  <si>
    <t>josedejesus.aguirrediaz</t>
  </si>
  <si>
    <t>joseemmanuel.becerrilgarcia</t>
  </si>
  <si>
    <t>josehumberto.diazdeleongarcia</t>
  </si>
  <si>
    <t>joseisaac.cisneroscortes</t>
  </si>
  <si>
    <t>joseluis.hortasoltero</t>
  </si>
  <si>
    <t>josemanuel.rodriguezaguayo</t>
  </si>
  <si>
    <t>josemaria.coronadocabrera</t>
  </si>
  <si>
    <t>josemauricio.huitronsanchez</t>
  </si>
  <si>
    <t>josemiguel.terrazasfigueroa</t>
  </si>
  <si>
    <t>joseramon.vegapacheco</t>
  </si>
  <si>
    <t>joshuaalejandro.gascatellez</t>
  </si>
  <si>
    <t>josuejavier.perezlopez</t>
  </si>
  <si>
    <t>josuesebastianemiliano.matadelamora</t>
  </si>
  <si>
    <t>juanarmando.floresflores</t>
  </si>
  <si>
    <t>juancarlos.bañuelosperez</t>
  </si>
  <si>
    <t>juancarlos.castillerosolano</t>
  </si>
  <si>
    <t>juancarlos.castroanzoategui</t>
  </si>
  <si>
    <t>juancarlos.mendozaarmas</t>
  </si>
  <si>
    <t>juanjesus.zacariasaguilar</t>
  </si>
  <si>
    <t>juanjose.maciassantoyo</t>
  </si>
  <si>
    <t>juanluis.preciadovalle</t>
  </si>
  <si>
    <t>juanmanuel.davaloshernandez</t>
  </si>
  <si>
    <t>juanpablo.figueroarodriguez</t>
  </si>
  <si>
    <t>juanpablo.ruizgarcia</t>
  </si>
  <si>
    <t>juanpablo.trejoyañez</t>
  </si>
  <si>
    <t>juanpablo.vacahernandez</t>
  </si>
  <si>
    <t>juanpablo.venanciocontreras</t>
  </si>
  <si>
    <t>juanpatricio.martinpeña</t>
  </si>
  <si>
    <t>julietarenata.cordovarodriguez</t>
  </si>
  <si>
    <t>juliocesar.gomezvelazquez</t>
  </si>
  <si>
    <t>kahlebalejandro.ramirezrobles</t>
  </si>
  <si>
    <t>karenitzel.carreteroaguilera</t>
  </si>
  <si>
    <t>karenjanette.gonzalezjimenez</t>
  </si>
  <si>
    <t>karenmichelle.covarrubiasrenteria</t>
  </si>
  <si>
    <t>karenmonserrat.estradamuñoz</t>
  </si>
  <si>
    <t>karimdaniel.cisnerosgarcia</t>
  </si>
  <si>
    <t>karinaitzell.picenocastellanos</t>
  </si>
  <si>
    <t>karlaalexia.reyespalacios</t>
  </si>
  <si>
    <t>karladaniela.zayasvillalobos</t>
  </si>
  <si>
    <t>karlagabriela.jaimegonzalez</t>
  </si>
  <si>
    <t>karlaguadalupe.grajalesmasini</t>
  </si>
  <si>
    <t>karlamichelle.maciasontiveros</t>
  </si>
  <si>
    <t>karlavaleria.bautistahernandez</t>
  </si>
  <si>
    <t>karolyanely.castillolomeli</t>
  </si>
  <si>
    <t>kenniaguadalupe.aguilarcallejas</t>
  </si>
  <si>
    <t>kevincarlos.sanchezreyes</t>
  </si>
  <si>
    <t>kevinemmanuel.hernandezquezada</t>
  </si>
  <si>
    <t>kevinjosue.morazepeda</t>
  </si>
  <si>
    <t>kevinramon.coldivarflores</t>
  </si>
  <si>
    <t>kevinrodrigopascal.estradabautista</t>
  </si>
  <si>
    <t>kiaramaureen.solorzanogarcia</t>
  </si>
  <si>
    <t>kitzyaangelina.padillasalinas</t>
  </si>
  <si>
    <t>laurajosselin.contrerasvega</t>
  </si>
  <si>
    <t>lauramaria.iñiguezoseguera</t>
  </si>
  <si>
    <t>laurasusana.cejaperez</t>
  </si>
  <si>
    <t>laviniazarina.torresguevara</t>
  </si>
  <si>
    <t>leonardoaugusto.vazquezcastellanos</t>
  </si>
  <si>
    <t>leonelmaximiliano.ortacruz</t>
  </si>
  <si>
    <t>leonelricardo.barriossandoval</t>
  </si>
  <si>
    <t>leslydaniela.robledorodriguez</t>
  </si>
  <si>
    <t>liavalentina.fuentesfararoni</t>
  </si>
  <si>
    <t>lillianrebeca.barriossandoval</t>
  </si>
  <si>
    <t>lisamarie.riosmagdaleno</t>
  </si>
  <si>
    <t>luisalejandro.esparzasanchez</t>
  </si>
  <si>
    <t>luisalonso.garciagarcia</t>
  </si>
  <si>
    <t>luisantonio.olmosgomez</t>
  </si>
  <si>
    <t>luisantonio.santanaaguilar</t>
  </si>
  <si>
    <t>luisernestojakob.salcidoguevara</t>
  </si>
  <si>
    <t>luisfernando.lopezorozco</t>
  </si>
  <si>
    <t>luisfernando.moradeltoro</t>
  </si>
  <si>
    <t>luisfernando.ochoafonseca</t>
  </si>
  <si>
    <t>luisfernando.perezenciso</t>
  </si>
  <si>
    <t>luisfernando.salazartorres</t>
  </si>
  <si>
    <t>luisguillermo.arroyoceja</t>
  </si>
  <si>
    <t>luisguillermo.lamasrivas</t>
  </si>
  <si>
    <t>luisjavier.almontemejia</t>
  </si>
  <si>
    <t>luismanuel.davalosrodriguez</t>
  </si>
  <si>
    <t>luisrodrigo.rosashernandez</t>
  </si>
  <si>
    <t>luisronaldo.silvatorres</t>
  </si>
  <si>
    <t>luissergio.rojogaxiola</t>
  </si>
  <si>
    <t>lunadalai.lozanodelao</t>
  </si>
  <si>
    <t>luniamargarita.amaroriveron</t>
  </si>
  <si>
    <t>luzangelicanaomi.gomezosorio</t>
  </si>
  <si>
    <t>lyaabigail.huertalopez</t>
  </si>
  <si>
    <t>marcoantonio.lopezluvian</t>
  </si>
  <si>
    <t>marcoarturo.ortacruz</t>
  </si>
  <si>
    <t>marcogabriel.prezaruvalcaba</t>
  </si>
  <si>
    <t>mariaantonia.hernandezhernandez</t>
  </si>
  <si>
    <t>mariadelosangeles.santoyogarcia</t>
  </si>
  <si>
    <t>mariafernanda.aguilarmontes</t>
  </si>
  <si>
    <t>mariafernanda.alvarezlopez</t>
  </si>
  <si>
    <t>clave</t>
  </si>
  <si>
    <t xml:space="preserve">TOMAR DEL SND </t>
  </si>
  <si>
    <t>ID</t>
  </si>
  <si>
    <t>Clave</t>
  </si>
  <si>
    <t>id,nivel,correo,matricula,clave,nombre,carrera,grado,sexo,situacion,evaluados,num_evaluados,total_evaluaciones,ultimo_acceso,nivel_acceso</t>
  </si>
  <si>
    <t>'LICENCIATURA'</t>
  </si>
  <si>
    <t>'111772</t>
  </si>
  <si>
    <t>'111103</t>
  </si>
  <si>
    <t>'111031</t>
  </si>
  <si>
    <t>'110517</t>
  </si>
  <si>
    <t>'109814</t>
  </si>
  <si>
    <t>'111784</t>
  </si>
  <si>
    <t>'109337</t>
  </si>
  <si>
    <t>'109374</t>
  </si>
  <si>
    <t>'111793</t>
  </si>
  <si>
    <t>'109829</t>
  </si>
  <si>
    <t>'111068</t>
  </si>
  <si>
    <t>'110460</t>
  </si>
  <si>
    <t>'111179</t>
  </si>
  <si>
    <t>'111763</t>
  </si>
  <si>
    <t>'110549</t>
  </si>
  <si>
    <t>'006766</t>
  </si>
  <si>
    <t>'110421</t>
  </si>
  <si>
    <t>'111193</t>
  </si>
  <si>
    <t>'111159</t>
  </si>
  <si>
    <t>'109997</t>
  </si>
  <si>
    <t>'111618</t>
  </si>
  <si>
    <t>'111819</t>
  </si>
  <si>
    <t>'109839</t>
  </si>
  <si>
    <t>'111687</t>
  </si>
  <si>
    <t>'111677</t>
  </si>
  <si>
    <t>'111827</t>
  </si>
  <si>
    <t>'111082</t>
  </si>
  <si>
    <t>'110525</t>
  </si>
  <si>
    <t>'110596</t>
  </si>
  <si>
    <t>'110038</t>
  </si>
  <si>
    <t>'111758</t>
  </si>
  <si>
    <t>'109846</t>
  </si>
  <si>
    <t>'111091</t>
  </si>
  <si>
    <t>'109856</t>
  </si>
  <si>
    <t>'111113</t>
  </si>
  <si>
    <t>'111074</t>
  </si>
  <si>
    <t>'006767</t>
  </si>
  <si>
    <t>'111100</t>
  </si>
  <si>
    <t>'109882</t>
  </si>
  <si>
    <t>'110666</t>
  </si>
  <si>
    <t>'111204</t>
  </si>
  <si>
    <t>'109872</t>
  </si>
  <si>
    <t>'111188</t>
  </si>
  <si>
    <t>'110475</t>
  </si>
  <si>
    <t>'110500</t>
  </si>
  <si>
    <t>'111765</t>
  </si>
  <si>
    <t>'109343</t>
  </si>
  <si>
    <t>'111097</t>
  </si>
  <si>
    <t>'109961</t>
  </si>
  <si>
    <t>'111152</t>
  </si>
  <si>
    <t>'111799</t>
  </si>
  <si>
    <t>'111625</t>
  </si>
  <si>
    <t>'109811</t>
  </si>
  <si>
    <t>'111604</t>
  </si>
  <si>
    <t>'110613</t>
  </si>
  <si>
    <t>'111181</t>
  </si>
  <si>
    <t>'111675</t>
  </si>
  <si>
    <t>'109808</t>
  </si>
  <si>
    <t>'007159</t>
  </si>
  <si>
    <t>'109881</t>
  </si>
  <si>
    <t>'110501</t>
  </si>
  <si>
    <t>'109366</t>
  </si>
  <si>
    <t>'109324</t>
  </si>
  <si>
    <t>'111742</t>
  </si>
  <si>
    <t>'111276</t>
  </si>
  <si>
    <t>'109972</t>
  </si>
  <si>
    <t>'110017</t>
  </si>
  <si>
    <t>'111077</t>
  </si>
  <si>
    <t>'109977</t>
  </si>
  <si>
    <t>'111728</t>
  </si>
  <si>
    <t>'111202</t>
  </si>
  <si>
    <t>'007113</t>
  </si>
  <si>
    <t>'110730</t>
  </si>
  <si>
    <t>'110449</t>
  </si>
  <si>
    <t>'111670</t>
  </si>
  <si>
    <t>'110420</t>
  </si>
  <si>
    <t>'111839</t>
  </si>
  <si>
    <t>'111750</t>
  </si>
  <si>
    <t>'111802</t>
  </si>
  <si>
    <t>'111723</t>
  </si>
  <si>
    <t>'109824</t>
  </si>
  <si>
    <t>'110444</t>
  </si>
  <si>
    <t>'111237</t>
  </si>
  <si>
    <t>'111668</t>
  </si>
  <si>
    <t>'109888</t>
  </si>
  <si>
    <t>'110486</t>
  </si>
  <si>
    <t>'111609</t>
  </si>
  <si>
    <t>'111182</t>
  </si>
  <si>
    <t>'111087</t>
  </si>
  <si>
    <t>'007290</t>
  </si>
  <si>
    <t>'109968</t>
  </si>
  <si>
    <t>'111656</t>
  </si>
  <si>
    <t>'007948</t>
  </si>
  <si>
    <t>'109809</t>
  </si>
  <si>
    <t>'111054</t>
  </si>
  <si>
    <t>'109988</t>
  </si>
  <si>
    <t>'007047</t>
  </si>
  <si>
    <t>'112016</t>
  </si>
  <si>
    <t>'111791</t>
  </si>
  <si>
    <t>'110565</t>
  </si>
  <si>
    <t>'111636</t>
  </si>
  <si>
    <t>'111738</t>
  </si>
  <si>
    <t>'110531</t>
  </si>
  <si>
    <t>'111130</t>
  </si>
  <si>
    <t>'111072</t>
  </si>
  <si>
    <t>'111627</t>
  </si>
  <si>
    <t>'111798</t>
  </si>
  <si>
    <t>'111815</t>
  </si>
  <si>
    <t>'111119</t>
  </si>
  <si>
    <t>'110467</t>
  </si>
  <si>
    <t>'109981</t>
  </si>
  <si>
    <t>'109852</t>
  </si>
  <si>
    <t>'110478</t>
  </si>
  <si>
    <t>'007404</t>
  </si>
  <si>
    <t>'111208</t>
  </si>
  <si>
    <t>'110559</t>
  </si>
  <si>
    <t>'110498</t>
  </si>
  <si>
    <t>'007235</t>
  </si>
  <si>
    <t>'111663</t>
  </si>
  <si>
    <t>'109970</t>
  </si>
  <si>
    <t>'110423</t>
  </si>
  <si>
    <t>'007430</t>
  </si>
  <si>
    <t>'111155</t>
  </si>
  <si>
    <t>'110455</t>
  </si>
  <si>
    <t>'109810</t>
  </si>
  <si>
    <t>'109813</t>
  </si>
  <si>
    <t>'111768</t>
  </si>
  <si>
    <t>'110598</t>
  </si>
  <si>
    <t>'111206</t>
  </si>
  <si>
    <t>'110672</t>
  </si>
  <si>
    <t>'111805</t>
  </si>
  <si>
    <t>'109995</t>
  </si>
  <si>
    <t>'109975</t>
  </si>
  <si>
    <t>'111773</t>
  </si>
  <si>
    <t>'111210</t>
  </si>
  <si>
    <t>'110535</t>
  </si>
  <si>
    <t>'111757</t>
  </si>
  <si>
    <t>'007663</t>
  </si>
  <si>
    <t>'111647</t>
  </si>
  <si>
    <t>'111794</t>
  </si>
  <si>
    <t>'109885</t>
  </si>
  <si>
    <t>'111854</t>
  </si>
  <si>
    <t>'111608</t>
  </si>
  <si>
    <t>'111123</t>
  </si>
  <si>
    <t>'110661</t>
  </si>
  <si>
    <t>'111133</t>
  </si>
  <si>
    <t>'108892</t>
  </si>
  <si>
    <t>'007339</t>
  </si>
  <si>
    <t>'110652</t>
  </si>
  <si>
    <t>'111034</t>
  </si>
  <si>
    <t>'110219</t>
  </si>
  <si>
    <t>'109915</t>
  </si>
  <si>
    <t>'111169</t>
  </si>
  <si>
    <t>'111684</t>
  </si>
  <si>
    <t>'110571</t>
  </si>
  <si>
    <t>'110711</t>
  </si>
  <si>
    <t>'111164</t>
  </si>
  <si>
    <t>'110468</t>
  </si>
  <si>
    <t>'110523</t>
  </si>
  <si>
    <t>'111170</t>
  </si>
  <si>
    <t>'110477</t>
  </si>
  <si>
    <t>'006890</t>
  </si>
  <si>
    <t>'110508</t>
  </si>
  <si>
    <t>'109847</t>
  </si>
  <si>
    <t>'108218</t>
  </si>
  <si>
    <t>'110464</t>
  </si>
  <si>
    <t>'108932</t>
  </si>
  <si>
    <t>'111764</t>
  </si>
  <si>
    <t>'109886</t>
  </si>
  <si>
    <t>'111387</t>
  </si>
  <si>
    <t>'110041</t>
  </si>
  <si>
    <t>'110484</t>
  </si>
  <si>
    <t>'109818</t>
  </si>
  <si>
    <t>'111201</t>
  </si>
  <si>
    <t>'110430</t>
  </si>
  <si>
    <t>'111053</t>
  </si>
  <si>
    <t>'111086</t>
  </si>
  <si>
    <t>'110510</t>
  </si>
  <si>
    <t>'110518</t>
  </si>
  <si>
    <t>'111781</t>
  </si>
  <si>
    <t>'111108</t>
  </si>
  <si>
    <t>'110628</t>
  </si>
  <si>
    <t>'109353</t>
  </si>
  <si>
    <t>'109348</t>
  </si>
  <si>
    <t>'109880</t>
  </si>
  <si>
    <t>'111646</t>
  </si>
  <si>
    <t>'111699</t>
  </si>
  <si>
    <t>'109898</t>
  </si>
  <si>
    <t>'111727</t>
  </si>
  <si>
    <t>'111753</t>
  </si>
  <si>
    <t>'109871</t>
  </si>
  <si>
    <t>'111662</t>
  </si>
  <si>
    <t>'110803</t>
  </si>
  <si>
    <t>'111754</t>
  </si>
  <si>
    <t>'111214</t>
  </si>
  <si>
    <t>'111614</t>
  </si>
  <si>
    <t>'110505</t>
  </si>
  <si>
    <t>'007407</t>
  </si>
  <si>
    <t>'111083</t>
  </si>
  <si>
    <t>'109815</t>
  </si>
  <si>
    <t>'111703</t>
  </si>
  <si>
    <t>'110214</t>
  </si>
  <si>
    <t>'007424</t>
  </si>
  <si>
    <t>'109826</t>
  </si>
  <si>
    <t>'110703</t>
  </si>
  <si>
    <t>'111118</t>
  </si>
  <si>
    <t>'110543</t>
  </si>
  <si>
    <t>'111044</t>
  </si>
  <si>
    <t>'111682</t>
  </si>
  <si>
    <t>'111737</t>
  </si>
  <si>
    <t>'111128</t>
  </si>
  <si>
    <t>'111676</t>
  </si>
  <si>
    <t>'109904</t>
  </si>
  <si>
    <t>'111070</t>
  </si>
  <si>
    <t>'111607</t>
  </si>
  <si>
    <t>'109984</t>
  </si>
  <si>
    <t>'108986</t>
  </si>
  <si>
    <t>'111740</t>
  </si>
  <si>
    <t>'111115</t>
  </si>
  <si>
    <t>'111624</t>
  </si>
  <si>
    <t>'110550</t>
  </si>
  <si>
    <t>'006335</t>
  </si>
  <si>
    <t>'111035</t>
  </si>
  <si>
    <t>'111724</t>
  </si>
  <si>
    <t>'110763</t>
  </si>
  <si>
    <t>'111605</t>
  </si>
  <si>
    <t>'109820</t>
  </si>
  <si>
    <t>'110553</t>
  </si>
  <si>
    <t>'111626</t>
  </si>
  <si>
    <t>'111064</t>
  </si>
  <si>
    <t>'111761</t>
  </si>
  <si>
    <t>'111163</t>
  </si>
  <si>
    <t>'110472</t>
  </si>
  <si>
    <t>'110536</t>
  </si>
  <si>
    <t>'111806</t>
  </si>
  <si>
    <t>'111655</t>
  </si>
  <si>
    <t>'111818</t>
  </si>
  <si>
    <t>'110485</t>
  </si>
  <si>
    <t>'109341</t>
  </si>
  <si>
    <t>'111640</t>
  </si>
  <si>
    <t>'107143</t>
  </si>
  <si>
    <t>'111845</t>
  </si>
  <si>
    <t>'110456</t>
  </si>
  <si>
    <t>'110481</t>
  </si>
  <si>
    <t>'109843</t>
  </si>
  <si>
    <t>'111174</t>
  </si>
  <si>
    <t>'110487</t>
  </si>
  <si>
    <t>'109971</t>
  </si>
  <si>
    <t>'110786</t>
  </si>
  <si>
    <t>'006918</t>
  </si>
  <si>
    <t>'109865</t>
  </si>
  <si>
    <t>'110465</t>
  </si>
  <si>
    <t>'111095</t>
  </si>
  <si>
    <t>'111812</t>
  </si>
  <si>
    <t>'111105</t>
  </si>
  <si>
    <t>'111774</t>
  </si>
  <si>
    <t>'007486</t>
  </si>
  <si>
    <t>'109963</t>
  </si>
  <si>
    <t>'110489</t>
  </si>
  <si>
    <t>'111612</t>
  </si>
  <si>
    <t>'111787</t>
  </si>
  <si>
    <t>'110520</t>
  </si>
  <si>
    <t>'111154</t>
  </si>
  <si>
    <t>'111809</t>
  </si>
  <si>
    <t>'111326</t>
  </si>
  <si>
    <t>'111686</t>
  </si>
  <si>
    <t>'109475</t>
  </si>
  <si>
    <t>'110617</t>
  </si>
  <si>
    <t>'109996</t>
  </si>
  <si>
    <t>'111671</t>
  </si>
  <si>
    <t>'111756</t>
  </si>
  <si>
    <t>'006990</t>
  </si>
  <si>
    <t>'111673</t>
  </si>
  <si>
    <t>'111800</t>
  </si>
  <si>
    <t>'111736</t>
  </si>
  <si>
    <t>'111766</t>
  </si>
  <si>
    <t>'111654</t>
  </si>
  <si>
    <t>'110488</t>
  </si>
  <si>
    <t>'110714</t>
  </si>
  <si>
    <t>'110218</t>
  </si>
  <si>
    <t>'111167</t>
  </si>
  <si>
    <t>'109827</t>
  </si>
  <si>
    <t>'109476</t>
  </si>
  <si>
    <t>'110620</t>
  </si>
  <si>
    <t>'110193</t>
  </si>
  <si>
    <t>'109976</t>
  </si>
  <si>
    <t>'110570</t>
  </si>
  <si>
    <t>'111213</t>
  </si>
  <si>
    <t>'110425</t>
  </si>
  <si>
    <t>'109993</t>
  </si>
  <si>
    <t>'111762</t>
  </si>
  <si>
    <t>'111731</t>
  </si>
  <si>
    <t>'111171</t>
  </si>
  <si>
    <t>'110442</t>
  </si>
  <si>
    <t>'111330</t>
  </si>
  <si>
    <t>'111613</t>
  </si>
  <si>
    <t>'109958</t>
  </si>
  <si>
    <t>'109896</t>
  </si>
  <si>
    <t>'110533</t>
  </si>
  <si>
    <t>'109352</t>
  </si>
  <si>
    <t>'109983</t>
  </si>
  <si>
    <t>'111749</t>
  </si>
  <si>
    <t>'111062</t>
  </si>
  <si>
    <t>'111820</t>
  </si>
  <si>
    <t>'109838</t>
  </si>
  <si>
    <t>'111055</t>
  </si>
  <si>
    <t>'109999</t>
  </si>
  <si>
    <t>'109930</t>
  </si>
  <si>
    <t>'110459</t>
  </si>
  <si>
    <t>'109899</t>
  </si>
  <si>
    <t>'110470</t>
  </si>
  <si>
    <t>'109903</t>
  </si>
  <si>
    <t>'111084</t>
  </si>
  <si>
    <t>'111638</t>
  </si>
  <si>
    <t>'007169</t>
  </si>
  <si>
    <t>'110534</t>
  </si>
  <si>
    <t>'111659</t>
  </si>
  <si>
    <t>'108921</t>
  </si>
  <si>
    <t>'111726</t>
  </si>
  <si>
    <t>'111748</t>
  </si>
  <si>
    <t>'109901</t>
  </si>
  <si>
    <t>'111120</t>
  </si>
  <si>
    <t>'007200</t>
  </si>
  <si>
    <t>'007341</t>
  </si>
  <si>
    <t>'111672</t>
  </si>
  <si>
    <t>'110497</t>
  </si>
  <si>
    <t>'111641</t>
  </si>
  <si>
    <t>'110673</t>
  </si>
  <si>
    <t>'110451</t>
  </si>
  <si>
    <t>'111771</t>
  </si>
  <si>
    <t>'111751</t>
  </si>
  <si>
    <t>'108909</t>
  </si>
  <si>
    <t>'110480</t>
  </si>
  <si>
    <t>'110614</t>
  </si>
  <si>
    <t>'109890</t>
  </si>
  <si>
    <t>'109376</t>
  </si>
  <si>
    <t>'111616</t>
  </si>
  <si>
    <t>'111735</t>
  </si>
  <si>
    <t>'111051</t>
  </si>
  <si>
    <t>'111783</t>
  </si>
  <si>
    <t>'111042</t>
  </si>
  <si>
    <t>'110664</t>
  </si>
  <si>
    <t>'110594</t>
  </si>
  <si>
    <t>'111629</t>
  </si>
  <si>
    <t>'111126</t>
  </si>
  <si>
    <t>'111747</t>
  </si>
  <si>
    <t>'111770</t>
  </si>
  <si>
    <t>'111172</t>
  </si>
  <si>
    <t>'111650</t>
  </si>
  <si>
    <t>'111796</t>
  </si>
  <si>
    <t>'111722</t>
  </si>
  <si>
    <t>'111645</t>
  </si>
  <si>
    <t>'110503</t>
  </si>
  <si>
    <t>'111752</t>
  </si>
  <si>
    <t>'110000</t>
  </si>
  <si>
    <t>'111830</t>
  </si>
  <si>
    <t>'109906</t>
  </si>
  <si>
    <t>'111125</t>
  </si>
  <si>
    <t>'110604</t>
  </si>
  <si>
    <t>'110506</t>
  </si>
  <si>
    <t>'110653</t>
  </si>
  <si>
    <t>'109495</t>
  </si>
  <si>
    <t>'007058</t>
  </si>
  <si>
    <t>'007760</t>
  </si>
  <si>
    <t>'110429</t>
  </si>
  <si>
    <t>'109860</t>
  </si>
  <si>
    <t>'111666</t>
  </si>
  <si>
    <t>'110428</t>
  </si>
  <si>
    <t>'111124</t>
  </si>
  <si>
    <t>'110474</t>
  </si>
  <si>
    <t>'109900</t>
  </si>
  <si>
    <t>'111674</t>
  </si>
  <si>
    <t>'111678</t>
  </si>
  <si>
    <t>'111741</t>
  </si>
  <si>
    <t>'111162</t>
  </si>
  <si>
    <t>'109955</t>
  </si>
  <si>
    <t>'110491</t>
  </si>
  <si>
    <t>'111085</t>
  </si>
  <si>
    <t>'110644</t>
  </si>
  <si>
    <t>'007449</t>
  </si>
  <si>
    <t>'109960</t>
  </si>
  <si>
    <t>'111744</t>
  </si>
  <si>
    <t>'111129</t>
  </si>
  <si>
    <t>'111797</t>
  </si>
  <si>
    <t>'111658</t>
  </si>
  <si>
    <t>'111615</t>
  </si>
  <si>
    <t>'111842</t>
  </si>
  <si>
    <t>'110422</t>
  </si>
  <si>
    <t>'110452</t>
  </si>
  <si>
    <t>'111622</t>
  </si>
  <si>
    <t>'111043</t>
  </si>
  <si>
    <t>'109863</t>
  </si>
  <si>
    <t>'111117</t>
  </si>
  <si>
    <t>'111153</t>
  </si>
  <si>
    <t>'110694</t>
  </si>
  <si>
    <t>'111190</t>
  </si>
  <si>
    <t>'111739</t>
  </si>
  <si>
    <t>'007767</t>
  </si>
  <si>
    <t>'111792</t>
  </si>
  <si>
    <t>'110557</t>
  </si>
  <si>
    <t>'007095</t>
  </si>
  <si>
    <t>'110665</t>
  </si>
  <si>
    <t>'109830</t>
  </si>
  <si>
    <t>'109842</t>
  </si>
  <si>
    <t>'110524</t>
  </si>
  <si>
    <t>'007079</t>
  </si>
  <si>
    <t>'110215</t>
  </si>
  <si>
    <t>'110605</t>
  </si>
  <si>
    <t>'109973</t>
  </si>
  <si>
    <t>'111642</t>
  </si>
  <si>
    <t>'111817</t>
  </si>
  <si>
    <t>'111665</t>
  </si>
  <si>
    <t>'111112</t>
  </si>
  <si>
    <t>'111813</t>
  </si>
  <si>
    <t>'111157</t>
  </si>
  <si>
    <t>'110434</t>
  </si>
  <si>
    <t>'007359</t>
  </si>
  <si>
    <t>'111838</t>
  </si>
  <si>
    <t>'111076</t>
  </si>
  <si>
    <t>'006891</t>
  </si>
  <si>
    <t>'108384</t>
  </si>
  <si>
    <t>'110433</t>
  </si>
  <si>
    <t>'110471</t>
  </si>
  <si>
    <t>'111780</t>
  </si>
  <si>
    <t>'110493</t>
  </si>
  <si>
    <t>'007026</t>
  </si>
  <si>
    <t>'110623</t>
  </si>
  <si>
    <t>'110554</t>
  </si>
  <si>
    <t>'111795</t>
  </si>
  <si>
    <t>'111114</t>
  </si>
  <si>
    <t>'110558</t>
  </si>
  <si>
    <t>'111069</t>
  </si>
  <si>
    <t>'110556</t>
  </si>
  <si>
    <t>'111755</t>
  </si>
  <si>
    <t>'110616</t>
  </si>
  <si>
    <t>'110445</t>
  </si>
  <si>
    <t>'111050</t>
  </si>
  <si>
    <t>'111111</t>
  </si>
  <si>
    <t>'110544</t>
  </si>
  <si>
    <t>'111197</t>
  </si>
  <si>
    <t>'007514</t>
  </si>
  <si>
    <t>'110490</t>
  </si>
  <si>
    <t>'111635</t>
  </si>
  <si>
    <t>'007756</t>
  </si>
  <si>
    <t>'110435</t>
  </si>
  <si>
    <t>'111621</t>
  </si>
  <si>
    <t>'111110</t>
  </si>
  <si>
    <t>'111669</t>
  </si>
  <si>
    <t>'111116</t>
  </si>
  <si>
    <t>'111648</t>
  </si>
  <si>
    <t>'111052</t>
  </si>
  <si>
    <t>'111098</t>
  </si>
  <si>
    <t>'109317</t>
  </si>
  <si>
    <t>'007521</t>
  </si>
  <si>
    <t>'111632</t>
  </si>
  <si>
    <t>'111065</t>
  </si>
  <si>
    <t>'110532</t>
  </si>
  <si>
    <t>'111037</t>
  </si>
  <si>
    <t>'111823</t>
  </si>
  <si>
    <t>'111078</t>
  </si>
  <si>
    <t>'110561</t>
  </si>
  <si>
    <t>'111032</t>
  </si>
  <si>
    <t>'109816</t>
  </si>
  <si>
    <t>'109989</t>
  </si>
  <si>
    <t>'111251</t>
  </si>
  <si>
    <t>'111036</t>
  </si>
  <si>
    <t>'110461</t>
  </si>
  <si>
    <t>'111651</t>
  </si>
  <si>
    <t>'109992</t>
  </si>
  <si>
    <t>'111759</t>
  </si>
  <si>
    <t>'110492</t>
  </si>
  <si>
    <t>'111644</t>
  </si>
  <si>
    <t>'111150</t>
  </si>
  <si>
    <t>'111223</t>
  </si>
  <si>
    <t>'111225</t>
  </si>
  <si>
    <t>'109889</t>
  </si>
  <si>
    <t>'111228</t>
  </si>
  <si>
    <t>'111779</t>
  </si>
  <si>
    <t>'111189</t>
  </si>
  <si>
    <t>'111109</t>
  </si>
  <si>
    <t>'111610</t>
  </si>
  <si>
    <t>'111746</t>
  </si>
  <si>
    <t>'111824</t>
  </si>
  <si>
    <t>'007662</t>
  </si>
  <si>
    <t>'109854</t>
  </si>
  <si>
    <t>'110443</t>
  </si>
  <si>
    <t>'110426</t>
  </si>
  <si>
    <t>'111028</t>
  </si>
  <si>
    <t>'110645</t>
  </si>
  <si>
    <t>'111122</t>
  </si>
  <si>
    <t>'111063</t>
  </si>
  <si>
    <t>'111777</t>
  </si>
  <si>
    <t>'109817</t>
  </si>
  <si>
    <t>'109418</t>
  </si>
  <si>
    <t>'111092</t>
  </si>
  <si>
    <t>'110466</t>
  </si>
  <si>
    <t>'109849</t>
  </si>
  <si>
    <t>'007240</t>
  </si>
  <si>
    <t>'111186</t>
  </si>
  <si>
    <t>'110463</t>
  </si>
  <si>
    <t>'111788</t>
  </si>
  <si>
    <t>'110016</t>
  </si>
  <si>
    <t>'111168</t>
  </si>
  <si>
    <t>'109834</t>
  </si>
  <si>
    <t>'109822</t>
  </si>
  <si>
    <t>'110482</t>
  </si>
  <si>
    <t>'110450</t>
  </si>
  <si>
    <t>'110432</t>
  </si>
  <si>
    <t>'111049</t>
  </si>
  <si>
    <t>'109327</t>
  </si>
  <si>
    <t>'007492</t>
  </si>
  <si>
    <t>'111822</t>
  </si>
  <si>
    <t>'111191</t>
  </si>
  <si>
    <t>'111176</t>
  </si>
  <si>
    <t>'109982</t>
  </si>
  <si>
    <t>'110530</t>
  </si>
  <si>
    <t>'109851</t>
  </si>
  <si>
    <t>'111619</t>
  </si>
  <si>
    <t>'110473</t>
  </si>
  <si>
    <t>'111853</t>
  </si>
  <si>
    <t>'111040</t>
  </si>
  <si>
    <t>'109845</t>
  </si>
  <si>
    <t>'110495</t>
  </si>
  <si>
    <t>'110529</t>
  </si>
  <si>
    <t>'109844</t>
  </si>
  <si>
    <t>'110695</t>
  </si>
  <si>
    <t>'007595</t>
  </si>
  <si>
    <t>'109850</t>
  </si>
  <si>
    <t>'109893</t>
  </si>
  <si>
    <t>'109861</t>
  </si>
  <si>
    <t>'111203</t>
  </si>
  <si>
    <t>'109974</t>
  </si>
  <si>
    <t>'110025</t>
  </si>
  <si>
    <t>'111743</t>
  </si>
  <si>
    <t>'007758</t>
  </si>
  <si>
    <t>'111760</t>
  </si>
  <si>
    <t>'006861</t>
  </si>
  <si>
    <t>'111767</t>
  </si>
  <si>
    <t>'111336</t>
  </si>
  <si>
    <t>'109902</t>
  </si>
  <si>
    <t>'109962</t>
  </si>
  <si>
    <t>'110496</t>
  </si>
  <si>
    <t>'111733</t>
  </si>
  <si>
    <t>'111661</t>
  </si>
  <si>
    <t>'111094</t>
  </si>
  <si>
    <t>'109828</t>
  </si>
  <si>
    <t>'110526</t>
  </si>
  <si>
    <t>'110674</t>
  </si>
  <si>
    <t>'110527</t>
  </si>
  <si>
    <t>'110564</t>
  </si>
  <si>
    <t>'111775</t>
  </si>
  <si>
    <t>'111102</t>
  </si>
  <si>
    <t>'111831</t>
  </si>
  <si>
    <t>'110494</t>
  </si>
  <si>
    <t>'110612</t>
  </si>
  <si>
    <t>'109823</t>
  </si>
  <si>
    <t>'110437</t>
  </si>
  <si>
    <t>'110643</t>
  </si>
  <si>
    <t>'109891</t>
  </si>
  <si>
    <t>'111729</t>
  </si>
  <si>
    <t>'111688</t>
  </si>
  <si>
    <t>'111690</t>
  </si>
  <si>
    <t>'111121</t>
  </si>
  <si>
    <t>'109979</t>
  </si>
  <si>
    <t>'111236</t>
  </si>
  <si>
    <t>'111366</t>
  </si>
  <si>
    <t>'111250</t>
  </si>
  <si>
    <t>'111532</t>
  </si>
  <si>
    <t>'109514</t>
  </si>
  <si>
    <t>'111093</t>
  </si>
  <si>
    <t>'109812</t>
  </si>
  <si>
    <t>'111127</t>
  </si>
  <si>
    <t>'111226</t>
  </si>
  <si>
    <t>'109990</t>
  </si>
  <si>
    <t>'109836</t>
  </si>
  <si>
    <t>'111183</t>
  </si>
  <si>
    <t>'007080</t>
  </si>
  <si>
    <t>'110504</t>
  </si>
  <si>
    <t>'110569</t>
  </si>
  <si>
    <t>'109862</t>
  </si>
  <si>
    <t>'111088</t>
  </si>
  <si>
    <t>'111175</t>
  </si>
  <si>
    <t>'111075</t>
  </si>
  <si>
    <t>'111165</t>
  </si>
  <si>
    <t>'110667</t>
  </si>
  <si>
    <t>'111664</t>
  </si>
  <si>
    <t>'111808</t>
  </si>
  <si>
    <t>'111238</t>
  </si>
  <si>
    <t>'007093</t>
  </si>
  <si>
    <t>'111386</t>
  </si>
  <si>
    <t>'111816</t>
  </si>
  <si>
    <t>'110630</t>
  </si>
  <si>
    <t>'110458</t>
  </si>
  <si>
    <t>'110624</t>
  </si>
  <si>
    <t>'111785</t>
  </si>
  <si>
    <t>'111778</t>
  </si>
  <si>
    <t>'111683</t>
  </si>
  <si>
    <t>'109873</t>
  </si>
  <si>
    <t>'111680</t>
  </si>
  <si>
    <t>'109687</t>
  </si>
  <si>
    <t>'111030</t>
  </si>
  <si>
    <t>'111166</t>
  </si>
  <si>
    <t>'111071</t>
  </si>
  <si>
    <t>'111221</t>
  </si>
  <si>
    <t>'111807</t>
  </si>
  <si>
    <t>'007076</t>
  </si>
  <si>
    <t>'110662</t>
  </si>
  <si>
    <t>'111178</t>
  </si>
  <si>
    <t>'007165</t>
  </si>
  <si>
    <t>'110483</t>
  </si>
  <si>
    <t>'111679</t>
  </si>
  <si>
    <t>'110448</t>
  </si>
  <si>
    <t>'007782</t>
  </si>
  <si>
    <t>'110610</t>
  </si>
  <si>
    <t>'109883</t>
  </si>
  <si>
    <t>'109965</t>
  </si>
  <si>
    <t>'111667</t>
  </si>
  <si>
    <t>'111811</t>
  </si>
  <si>
    <t>'111628</t>
  </si>
  <si>
    <t>TOMAR DEL SND'</t>
  </si>
  <si>
    <t>NUTRICION Y GASTRONOMIA</t>
  </si>
  <si>
    <t>INGENIERIA CIBERNETICA Y EN SISTEMAS COMPUTACIONALES</t>
  </si>
  <si>
    <t>INGENIERIA AEROESPACIAL</t>
  </si>
  <si>
    <t>INGENIERÍA AUTOMOTRIZ</t>
  </si>
  <si>
    <t>PSICOLOGIA</t>
  </si>
  <si>
    <t>ARQUITECTURA</t>
  </si>
  <si>
    <t>ANIMACION DIGITAL Y VIDEOJUEGOS</t>
  </si>
  <si>
    <t>ADMINISTRACION Y DIRECCION DE NEGOCIOS</t>
  </si>
  <si>
    <t>COMERCIO INTERNACIONAL</t>
  </si>
  <si>
    <t>DISEÑO GRAFICO Y DIGITAL</t>
  </si>
  <si>
    <t>MERCADOTECNIA Y PUBLICIDAD</t>
  </si>
  <si>
    <t>DERECHO</t>
  </si>
  <si>
    <t>INGENIERÍA EN INTELIGENCIA ARTIFICIAL</t>
  </si>
  <si>
    <t>INGENIERIA INDUSTRIAL Y EN SISTEMAS ORGANIZACIONALES</t>
  </si>
  <si>
    <t>mariafernanda.alvarezochoa</t>
  </si>
  <si>
    <t>mariafernanda.castillogonzalez</t>
  </si>
  <si>
    <t>mariafernanda.domingueznieblas</t>
  </si>
  <si>
    <t>mariafernanda.martinezmendez</t>
  </si>
  <si>
    <t>mariafernanda.ruizsanchez</t>
  </si>
  <si>
    <t>mariafernanda.sandovalrodriguez</t>
  </si>
  <si>
    <t>mariaines.ruizlopez</t>
  </si>
  <si>
    <t>mariapaula.sandovalpettersen</t>
  </si>
  <si>
    <t>mariasofia.esparzacontreras</t>
  </si>
  <si>
    <t>marianisabella.ruizmartin</t>
  </si>
  <si>
    <t>mariana.avilaestrada</t>
  </si>
  <si>
    <t>mariana.castroanzoategui</t>
  </si>
  <si>
    <t>mariana.garciavillanueva</t>
  </si>
  <si>
    <t>mariana.torrescamacho</t>
  </si>
  <si>
    <t>marianaalejandra.gaytanorozco</t>
  </si>
  <si>
    <t>marianaitzel.floresramirez</t>
  </si>
  <si>
    <t>marianajoselyne.jassoespinosa</t>
  </si>
  <si>
    <t>mariangel.floresaguilar</t>
  </si>
  <si>
    <t>marianne.olmedocasillas</t>
  </si>
  <si>
    <t>mariano.martinezbuenrostro</t>
  </si>
  <si>
    <t>marielcarolina.gonzalezcampos</t>
  </si>
  <si>
    <t>marifer.gomezmurguia</t>
  </si>
  <si>
    <t>marioarturo.gaytanorozco</t>
  </si>
  <si>
    <t>marioisaias.gomezramos</t>
  </si>
  <si>
    <t>mariojesus.ramirezmorales</t>
  </si>
  <si>
    <t>marisol.alvagonzalez</t>
  </si>
  <si>
    <t>marisol.guzmanmoreno</t>
  </si>
  <si>
    <t>dominguezmarisol.sanchezgil</t>
  </si>
  <si>
    <t>maritzaelizabeth.hernandezgarcia</t>
  </si>
  <si>
    <t>martinalexander.sandovalsandoval</t>
  </si>
  <si>
    <t>mauricio.yañezrivera</t>
  </si>
  <si>
    <t>mauriciojavier.quinterourzua</t>
  </si>
  <si>
    <t>mayrajesusdebelen.rosalesherrera</t>
  </si>
  <si>
    <t>melanirachel.buenogutierrez</t>
  </si>
  <si>
    <t>melanydenisse.avilaestrada</t>
  </si>
  <si>
    <t>melissaitzel.alatorregomez</t>
  </si>
  <si>
    <t>melissaitzel.silvamartinez</t>
  </si>
  <si>
    <t>micheleannel.nietolopez</t>
  </si>
  <si>
    <t>michelle.ruizvalenzuela</t>
  </si>
  <si>
    <t>michelleanahi.navarrozapata</t>
  </si>
  <si>
    <t>michellecarolina.ochoagonzalez</t>
  </si>
  <si>
    <t>michelledaniela.peredogamez</t>
  </si>
  <si>
    <t>miguel.delgado</t>
  </si>
  <si>
    <t>mirandacarolina.lopezvargas</t>
  </si>
  <si>
    <t>miriamalejandra.rodriguezmartinez</t>
  </si>
  <si>
    <t>monicaalejandra.gonzalezblanco</t>
  </si>
  <si>
    <t>martinmontserrat.gvaldivia</t>
  </si>
  <si>
    <t>montserrat.herreradueñas</t>
  </si>
  <si>
    <t>montserrat.mirandadiaz</t>
  </si>
  <si>
    <t>myriamsofia.esquivelencarnacion</t>
  </si>
  <si>
    <t>naomijimena.hernandezgarcia</t>
  </si>
  <si>
    <t>natalia.esquerquintanilla</t>
  </si>
  <si>
    <t>natalia.izquierdomartinez</t>
  </si>
  <si>
    <t>natalia.ortizlopez</t>
  </si>
  <si>
    <t>nataliaguadalupe.alcazarolmos</t>
  </si>
  <si>
    <t>nayelielizabeth.navarrozapata</t>
  </si>
  <si>
    <t>neizerjesus.martinezortega</t>
  </si>
  <si>
    <t>nelly.barrosopaz</t>
  </si>
  <si>
    <t>nicolguadalupe.hermosillomexia</t>
  </si>
  <si>
    <t>nicolas.floresavila</t>
  </si>
  <si>
    <t>lanenicole.jimenezmc</t>
  </si>
  <si>
    <t>noemijocelyn.gonzalezaguirre</t>
  </si>
  <si>
    <t>oliver.rochagarcia</t>
  </si>
  <si>
    <t>omaralejandro.marinhernandez</t>
  </si>
  <si>
    <t>orlandobaru.muñozrodriguez</t>
  </si>
  <si>
    <t>oscar.gomezgonzalez</t>
  </si>
  <si>
    <t>oscarandrei.valeriogonzalez</t>
  </si>
  <si>
    <t>oscardaniel.tiburciofabian</t>
  </si>
  <si>
    <t>oscardaniel.tinocoavila</t>
  </si>
  <si>
    <t>oscardiego.velazquezreyes</t>
  </si>
  <si>
    <t>oscaremilio.cayodiaz</t>
  </si>
  <si>
    <t>oscarnassem.ariasgomez</t>
  </si>
  <si>
    <t>oscarosvaldo.ballesterosgalvan</t>
  </si>
  <si>
    <t>oscarroberto.gonzalezcampos</t>
  </si>
  <si>
    <t>osmarandrey.figueroanuño</t>
  </si>
  <si>
    <t>pablo.marquezgonzalez</t>
  </si>
  <si>
    <t>pablodomingo.encinossantiz</t>
  </si>
  <si>
    <t>pablojared.orozcobrizuela</t>
  </si>
  <si>
    <t>pabloleonardo.aguirreastorga</t>
  </si>
  <si>
    <t>pablomanuel.ruizgomez</t>
  </si>
  <si>
    <t>pablomaria.beccarisjimenez</t>
  </si>
  <si>
    <t>pablooscar.salcidoramos</t>
  </si>
  <si>
    <t>pablosamuel.floresmora</t>
  </si>
  <si>
    <t>paloma.cervantescamacho</t>
  </si>
  <si>
    <t>palomamichelle.cosiolopez</t>
  </si>
  <si>
    <t>paola.gutierrezrenteria</t>
  </si>
  <si>
    <t>paolabridget.godinavaldivia</t>
  </si>
  <si>
    <t>paoladenice.pandurosolis</t>
  </si>
  <si>
    <t>patricia.pereztorres</t>
  </si>
  <si>
    <t>paulaalejandra.castrogomez</t>
  </si>
  <si>
    <t>naranjopaulavictoria.brizuelaamador</t>
  </si>
  <si>
    <t>paulina.aguayocamacho</t>
  </si>
  <si>
    <t>paulinanataly.valadezrivera</t>
  </si>
  <si>
    <t>paulinapatricia.garciamacias</t>
  </si>
  <si>
    <t>paulo.garcianavarro</t>
  </si>
  <si>
    <t>pedroemiliano.rubioortiz</t>
  </si>
  <si>
    <t>pedroiker.solaeguihernandez</t>
  </si>
  <si>
    <t>perlabeatriz.avilesbretado</t>
  </si>
  <si>
    <t>quiltzintanya.hernandezramirez</t>
  </si>
  <si>
    <t>regina.lopezalvarez</t>
  </si>
  <si>
    <t>reginamargarita.arellanobañuelos</t>
  </si>
  <si>
    <t>renata.pichardojaime</t>
  </si>
  <si>
    <t>ricardo.fernandezsaldaña</t>
  </si>
  <si>
    <t>ricardo.lopezsilva</t>
  </si>
  <si>
    <t>ricardoalberto.garciacazares</t>
  </si>
  <si>
    <t>roberto.tinocoariceaga</t>
  </si>
  <si>
    <t>rodrigo.alvarezespinosa</t>
  </si>
  <si>
    <t>rodrigo.davalosblanco</t>
  </si>
  <si>
    <t>rodrigo.martinezcastellanos</t>
  </si>
  <si>
    <t>rodrigo.martinezmartinez</t>
  </si>
  <si>
    <t>rodrigo.medranoorta</t>
  </si>
  <si>
    <t>rodrigo.riveravillaseñor</t>
  </si>
  <si>
    <t>rodrigo.salcedoromero</t>
  </si>
  <si>
    <t>rodrigosaul.lopezalferez</t>
  </si>
  <si>
    <t>rodrigosebastian.perezramos</t>
  </si>
  <si>
    <t>romina.lopezmagaña</t>
  </si>
  <si>
    <t>rosario.rosasperez</t>
  </si>
  <si>
    <t>ruthemilia.garciavillanueva</t>
  </si>
  <si>
    <t>ruthpaola.hernandezroman</t>
  </si>
  <si>
    <t>salvadornicolas.piñoncaro</t>
  </si>
  <si>
    <t>samuelalejandro.montessaldate</t>
  </si>
  <si>
    <t>larosasamuelricardo.verade</t>
  </si>
  <si>
    <t>sandra.martineznavarro</t>
  </si>
  <si>
    <t>sandrabeatriz.guerrerogrimaldo</t>
  </si>
  <si>
    <t>santiago.pelayoespinosa</t>
  </si>
  <si>
    <t>santiagoalejandro.ruvalcabanavarro</t>
  </si>
  <si>
    <t>larosasantiagorene.mejiade</t>
  </si>
  <si>
    <t>saraagali.cajeroeinung</t>
  </si>
  <si>
    <t>sarahi.bajoperez</t>
  </si>
  <si>
    <t>sauldejesus.villaloboscarrillo</t>
  </si>
  <si>
    <t>saulfernando.manzocuevas</t>
  </si>
  <si>
    <t>sebastian.garciamejia</t>
  </si>
  <si>
    <t>sebastian.martincampos</t>
  </si>
  <si>
    <t>sebastian.rochalozano</t>
  </si>
  <si>
    <t>sebastianemiliano.apontenavarro</t>
  </si>
  <si>
    <t>sergio.martinezcastillo</t>
  </si>
  <si>
    <t>sergiojose.gallegosramos</t>
  </si>
  <si>
    <t>sharonsofia.vazquezrodriguez</t>
  </si>
  <si>
    <t>sofia.mancillapavia</t>
  </si>
  <si>
    <t>sofia.partidabarba</t>
  </si>
  <si>
    <t>sofia.solaeguihernandez</t>
  </si>
  <si>
    <t>sofiamichelle.naresgutierrez</t>
  </si>
  <si>
    <t>soniaximena.marmolejorodriguez</t>
  </si>
  <si>
    <t>steven.rodriguezvega</t>
  </si>
  <si>
    <t>taniadelosangeles.contrerassanchez</t>
  </si>
  <si>
    <t>tatiana.gallimartinez</t>
  </si>
  <si>
    <t>ulisesjosell.gonzalezlopez</t>
  </si>
  <si>
    <t>valentina.escalanteramirez</t>
  </si>
  <si>
    <t>valentino.elizaldequintero</t>
  </si>
  <si>
    <t>valeria.alejogonzalez</t>
  </si>
  <si>
    <t>valeria.bañuelosmonteverde</t>
  </si>
  <si>
    <t>valeria.buitronvalencia</t>
  </si>
  <si>
    <t>valeria.castillolopez</t>
  </si>
  <si>
    <t>valeria.galloaceves</t>
  </si>
  <si>
    <t>valeria.galvezdiaz</t>
  </si>
  <si>
    <t>valeria.ortegacano</t>
  </si>
  <si>
    <t>valeria.torresfarias</t>
  </si>
  <si>
    <t>valeriaalejandra.estradagil</t>
  </si>
  <si>
    <t>valeriaestefania.velezramirez</t>
  </si>
  <si>
    <t>valeriafernanda.casillascastellanos</t>
  </si>
  <si>
    <t>valeriasofia.ochoareyes</t>
  </si>
  <si>
    <t>veronicavianney.galvansanchez</t>
  </si>
  <si>
    <t>victorhugo.francomendez</t>
  </si>
  <si>
    <t>victormanuel.cervantespanduro</t>
  </si>
  <si>
    <t>victormanuel.martinezvazquez</t>
  </si>
  <si>
    <t>victoria.guerreroflores</t>
  </si>
  <si>
    <t>victoria.romerogomez</t>
  </si>
  <si>
    <t>wilhelm.stobschinskifranz</t>
  </si>
  <si>
    <t>ximena.cardenasgarcia</t>
  </si>
  <si>
    <t>ximena.covarrubiaslimon</t>
  </si>
  <si>
    <t>ximenamonserrath.padillavazquez</t>
  </si>
  <si>
    <t>yaelalejandro.hernandezgonzalez</t>
  </si>
  <si>
    <t>yaeldejesus.lunasanchez</t>
  </si>
  <si>
    <t>yaeldejesus.medinarodriguez</t>
  </si>
  <si>
    <t>yamilalejandro.garciaibarra</t>
  </si>
  <si>
    <t>yazmingabriela.garciaibarra</t>
  </si>
  <si>
    <t>yerikroberto.renterialozano</t>
  </si>
  <si>
    <t>yesicajaneth.mariaosuna</t>
  </si>
  <si>
    <t>zahidlievich.guillenhernandez</t>
  </si>
  <si>
    <t>zahirapaulette.enriquezsanchez</t>
  </si>
  <si>
    <t>zarasofia.montañoambrocio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</si>
</sst>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5467-5DC5-461F-9E24-EBD618CF7BE1}">
  <dimension ref="A1:M620"/>
  <sheetViews>
    <sheetView topLeftCell="H1" workbookViewId="0">
      <selection activeCell="G2" sqref="G2"/>
    </sheetView>
  </sheetViews>
  <sheetFormatPr baseColWidth="10" defaultRowHeight="15" x14ac:dyDescent="0.25"/>
  <cols>
    <col min="1" max="1" width="13.28515625" bestFit="1" customWidth="1"/>
    <col min="2" max="2" width="25.42578125" bestFit="1" customWidth="1"/>
    <col min="3" max="3" width="17.28515625" bestFit="1" customWidth="1"/>
    <col min="4" max="4" width="17.85546875" bestFit="1" customWidth="1"/>
    <col min="5" max="5" width="35.140625" bestFit="1" customWidth="1"/>
    <col min="6" max="6" width="8.85546875" bestFit="1" customWidth="1"/>
    <col min="7" max="7" width="15.28515625" bestFit="1" customWidth="1"/>
    <col min="8" max="8" width="42.42578125" bestFit="1" customWidth="1"/>
    <col min="9" max="9" width="75.7109375" bestFit="1" customWidth="1"/>
    <col min="10" max="10" width="6.140625" bestFit="1" customWidth="1"/>
    <col min="11" max="11" width="9.7109375" bestFit="1" customWidth="1"/>
    <col min="12" max="12" width="10.2851562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2</v>
      </c>
      <c r="C1" s="1" t="s">
        <v>529</v>
      </c>
      <c r="D1" s="1" t="s">
        <v>809</v>
      </c>
      <c r="E1" s="1" t="s">
        <v>1659</v>
      </c>
      <c r="F1" s="1" t="s">
        <v>977</v>
      </c>
      <c r="G1" s="1" t="s">
        <v>2098</v>
      </c>
      <c r="H1" s="1" t="s">
        <v>978</v>
      </c>
      <c r="I1" s="1" t="s">
        <v>1598</v>
      </c>
      <c r="J1" s="1" t="s">
        <v>1599</v>
      </c>
      <c r="K1" s="1" t="s">
        <v>1606</v>
      </c>
      <c r="L1" s="1" t="s">
        <v>1609</v>
      </c>
      <c r="M1" s="1" t="s">
        <v>1613</v>
      </c>
    </row>
    <row r="2" spans="1:13" x14ac:dyDescent="0.25">
      <c r="A2" t="s">
        <v>1</v>
      </c>
      <c r="B2" t="s">
        <v>3</v>
      </c>
      <c r="C2" t="s">
        <v>530</v>
      </c>
      <c r="D2" t="s">
        <v>582</v>
      </c>
      <c r="E2" t="s">
        <v>1767</v>
      </c>
      <c r="F2" t="s">
        <v>2104</v>
      </c>
      <c r="G2" t="s">
        <v>2099</v>
      </c>
      <c r="H2" t="s">
        <v>979</v>
      </c>
      <c r="I2" t="s">
        <v>2724</v>
      </c>
      <c r="J2" t="s">
        <v>1600</v>
      </c>
      <c r="K2" t="s">
        <v>1607</v>
      </c>
      <c r="L2" t="s">
        <v>1610</v>
      </c>
      <c r="M2" t="s">
        <v>1614</v>
      </c>
    </row>
    <row r="3" spans="1:13" x14ac:dyDescent="0.25">
      <c r="A3" t="s">
        <v>1</v>
      </c>
      <c r="B3" t="s">
        <v>4</v>
      </c>
      <c r="C3" t="s">
        <v>531</v>
      </c>
      <c r="D3" t="s">
        <v>622</v>
      </c>
      <c r="E3" t="s">
        <v>1768</v>
      </c>
      <c r="F3" t="s">
        <v>2105</v>
      </c>
      <c r="G3" t="s">
        <v>2099</v>
      </c>
      <c r="H3" t="s">
        <v>980</v>
      </c>
      <c r="I3" t="s">
        <v>2725</v>
      </c>
      <c r="J3" t="s">
        <v>1601</v>
      </c>
      <c r="K3" t="s">
        <v>1607</v>
      </c>
      <c r="L3" t="s">
        <v>1610</v>
      </c>
      <c r="M3" t="s">
        <v>1615</v>
      </c>
    </row>
    <row r="4" spans="1:13" x14ac:dyDescent="0.25">
      <c r="A4" t="s">
        <v>1</v>
      </c>
      <c r="B4" s="2" t="s">
        <v>5</v>
      </c>
      <c r="C4" t="s">
        <v>532</v>
      </c>
      <c r="D4" t="s">
        <v>690</v>
      </c>
      <c r="E4" t="s">
        <v>1769</v>
      </c>
      <c r="F4" t="s">
        <v>2106</v>
      </c>
      <c r="G4" t="s">
        <v>2099</v>
      </c>
      <c r="H4" t="s">
        <v>981</v>
      </c>
      <c r="I4" t="s">
        <v>2726</v>
      </c>
      <c r="J4" t="s">
        <v>1601</v>
      </c>
      <c r="K4" t="s">
        <v>1608</v>
      </c>
      <c r="L4" t="s">
        <v>1610</v>
      </c>
      <c r="M4" t="s">
        <v>1616</v>
      </c>
    </row>
    <row r="5" spans="1:13" x14ac:dyDescent="0.25">
      <c r="A5" t="s">
        <v>1</v>
      </c>
      <c r="B5" t="s">
        <v>6</v>
      </c>
      <c r="C5" t="s">
        <v>533</v>
      </c>
      <c r="D5" t="s">
        <v>810</v>
      </c>
      <c r="E5" t="s">
        <v>1770</v>
      </c>
      <c r="F5" t="s">
        <v>2107</v>
      </c>
      <c r="G5" t="s">
        <v>2099</v>
      </c>
      <c r="H5" t="s">
        <v>982</v>
      </c>
      <c r="I5" t="s">
        <v>2726</v>
      </c>
      <c r="J5" t="s">
        <v>1602</v>
      </c>
      <c r="K5" t="s">
        <v>1608</v>
      </c>
      <c r="L5" t="s">
        <v>1610</v>
      </c>
      <c r="M5" t="s">
        <v>1617</v>
      </c>
    </row>
    <row r="6" spans="1:13" x14ac:dyDescent="0.25">
      <c r="A6" t="s">
        <v>1</v>
      </c>
      <c r="B6" t="s">
        <v>7</v>
      </c>
      <c r="C6" t="s">
        <v>534</v>
      </c>
      <c r="D6" t="s">
        <v>617</v>
      </c>
      <c r="E6" t="s">
        <v>1660</v>
      </c>
      <c r="F6" t="s">
        <v>2108</v>
      </c>
      <c r="G6" t="s">
        <v>2099</v>
      </c>
      <c r="H6" t="s">
        <v>983</v>
      </c>
      <c r="I6" t="s">
        <v>2726</v>
      </c>
      <c r="J6" t="s">
        <v>1603</v>
      </c>
      <c r="K6" t="s">
        <v>1608</v>
      </c>
      <c r="L6" t="s">
        <v>1610</v>
      </c>
      <c r="M6" t="s">
        <v>1618</v>
      </c>
    </row>
    <row r="7" spans="1:13" x14ac:dyDescent="0.25">
      <c r="A7" t="s">
        <v>1</v>
      </c>
      <c r="B7" t="s">
        <v>7</v>
      </c>
      <c r="C7" t="s">
        <v>535</v>
      </c>
      <c r="D7" t="s">
        <v>549</v>
      </c>
      <c r="E7" t="s">
        <v>1661</v>
      </c>
      <c r="F7" t="s">
        <v>2109</v>
      </c>
      <c r="G7" t="s">
        <v>2099</v>
      </c>
      <c r="H7" t="s">
        <v>984</v>
      </c>
      <c r="I7" t="s">
        <v>2727</v>
      </c>
      <c r="J7" t="s">
        <v>1600</v>
      </c>
      <c r="K7" t="s">
        <v>1608</v>
      </c>
      <c r="L7" t="s">
        <v>1610</v>
      </c>
      <c r="M7" t="s">
        <v>1619</v>
      </c>
    </row>
    <row r="8" spans="1:13" x14ac:dyDescent="0.25">
      <c r="A8" t="s">
        <v>1</v>
      </c>
      <c r="B8" t="s">
        <v>7</v>
      </c>
      <c r="C8" t="s">
        <v>536</v>
      </c>
      <c r="D8" t="s">
        <v>801</v>
      </c>
      <c r="E8" t="s">
        <v>1662</v>
      </c>
      <c r="F8" t="s">
        <v>2110</v>
      </c>
      <c r="G8" t="s">
        <v>2099</v>
      </c>
      <c r="H8" t="s">
        <v>985</v>
      </c>
      <c r="I8" t="s">
        <v>2726</v>
      </c>
      <c r="J8" t="s">
        <v>1604</v>
      </c>
      <c r="K8" t="s">
        <v>1608</v>
      </c>
      <c r="L8" t="s">
        <v>1610</v>
      </c>
      <c r="M8" t="s">
        <v>1620</v>
      </c>
    </row>
    <row r="9" spans="1:13" x14ac:dyDescent="0.25">
      <c r="A9" t="s">
        <v>1</v>
      </c>
      <c r="B9" t="s">
        <v>8</v>
      </c>
      <c r="C9" t="s">
        <v>537</v>
      </c>
      <c r="D9" t="s">
        <v>811</v>
      </c>
      <c r="E9" t="s">
        <v>1771</v>
      </c>
      <c r="F9" t="s">
        <v>2111</v>
      </c>
      <c r="G9" t="s">
        <v>2099</v>
      </c>
      <c r="H9" t="s">
        <v>986</v>
      </c>
      <c r="I9" t="s">
        <v>2726</v>
      </c>
      <c r="J9" t="s">
        <v>1601</v>
      </c>
      <c r="K9" t="s">
        <v>1608</v>
      </c>
      <c r="L9" t="s">
        <v>1610</v>
      </c>
      <c r="M9" t="s">
        <v>1616</v>
      </c>
    </row>
    <row r="10" spans="1:13" x14ac:dyDescent="0.25">
      <c r="A10" t="s">
        <v>1</v>
      </c>
      <c r="B10" t="s">
        <v>9</v>
      </c>
      <c r="C10" t="s">
        <v>538</v>
      </c>
      <c r="D10" t="s">
        <v>604</v>
      </c>
      <c r="E10" t="s">
        <v>1772</v>
      </c>
      <c r="F10" t="s">
        <v>2112</v>
      </c>
      <c r="G10" t="s">
        <v>2099</v>
      </c>
      <c r="H10" t="s">
        <v>987</v>
      </c>
      <c r="I10" t="s">
        <v>2728</v>
      </c>
      <c r="J10" t="s">
        <v>1600</v>
      </c>
      <c r="K10" t="s">
        <v>1608</v>
      </c>
      <c r="L10" t="s">
        <v>1610</v>
      </c>
      <c r="M10" t="s">
        <v>1621</v>
      </c>
    </row>
    <row r="11" spans="1:13" x14ac:dyDescent="0.25">
      <c r="A11" t="s">
        <v>1</v>
      </c>
      <c r="B11" t="s">
        <v>10</v>
      </c>
      <c r="C11" t="s">
        <v>539</v>
      </c>
      <c r="D11" t="s">
        <v>812</v>
      </c>
      <c r="E11" t="s">
        <v>1773</v>
      </c>
      <c r="F11" t="s">
        <v>2113</v>
      </c>
      <c r="G11" t="s">
        <v>2099</v>
      </c>
      <c r="H11" t="s">
        <v>988</v>
      </c>
      <c r="I11" t="s">
        <v>2729</v>
      </c>
      <c r="J11" t="s">
        <v>1603</v>
      </c>
      <c r="K11" t="s">
        <v>1608</v>
      </c>
      <c r="L11" t="s">
        <v>1610</v>
      </c>
      <c r="M11" t="s">
        <v>1622</v>
      </c>
    </row>
    <row r="12" spans="1:13" x14ac:dyDescent="0.25">
      <c r="A12" t="s">
        <v>1</v>
      </c>
      <c r="B12" t="s">
        <v>11</v>
      </c>
      <c r="C12" t="s">
        <v>540</v>
      </c>
      <c r="D12" t="s">
        <v>813</v>
      </c>
      <c r="E12" t="s">
        <v>1663</v>
      </c>
      <c r="F12" t="s">
        <v>2114</v>
      </c>
      <c r="G12" t="s">
        <v>2099</v>
      </c>
      <c r="H12" t="s">
        <v>989</v>
      </c>
      <c r="I12" t="s">
        <v>2726</v>
      </c>
      <c r="J12" t="s">
        <v>1601</v>
      </c>
      <c r="K12" t="s">
        <v>1607</v>
      </c>
      <c r="L12" t="s">
        <v>1610</v>
      </c>
      <c r="M12" t="s">
        <v>1616</v>
      </c>
    </row>
    <row r="13" spans="1:13" x14ac:dyDescent="0.25">
      <c r="A13" t="s">
        <v>1</v>
      </c>
      <c r="B13" t="s">
        <v>12</v>
      </c>
      <c r="C13" t="s">
        <v>541</v>
      </c>
      <c r="D13" t="s">
        <v>814</v>
      </c>
      <c r="E13" t="s">
        <v>1774</v>
      </c>
      <c r="F13" t="s">
        <v>2115</v>
      </c>
      <c r="G13" t="s">
        <v>2099</v>
      </c>
      <c r="H13" t="s">
        <v>990</v>
      </c>
      <c r="I13" t="s">
        <v>2729</v>
      </c>
      <c r="J13" t="s">
        <v>1601</v>
      </c>
      <c r="K13" t="s">
        <v>1607</v>
      </c>
      <c r="L13" t="s">
        <v>1610</v>
      </c>
      <c r="M13" t="s">
        <v>1623</v>
      </c>
    </row>
    <row r="14" spans="1:13" x14ac:dyDescent="0.25">
      <c r="A14" t="s">
        <v>1</v>
      </c>
      <c r="B14" t="s">
        <v>13</v>
      </c>
      <c r="C14" t="s">
        <v>542</v>
      </c>
      <c r="D14" t="s">
        <v>541</v>
      </c>
      <c r="E14" t="s">
        <v>1775</v>
      </c>
      <c r="F14" t="s">
        <v>2116</v>
      </c>
      <c r="G14" t="s">
        <v>2099</v>
      </c>
      <c r="H14" t="s">
        <v>991</v>
      </c>
      <c r="I14" t="s">
        <v>2730</v>
      </c>
      <c r="J14" t="s">
        <v>1601</v>
      </c>
      <c r="K14" t="s">
        <v>1607</v>
      </c>
      <c r="L14" t="s">
        <v>1610</v>
      </c>
      <c r="M14" t="s">
        <v>1624</v>
      </c>
    </row>
    <row r="15" spans="1:13" x14ac:dyDescent="0.25">
      <c r="A15" t="s">
        <v>1</v>
      </c>
      <c r="B15" t="s">
        <v>14</v>
      </c>
      <c r="C15" t="s">
        <v>543</v>
      </c>
      <c r="D15" t="s">
        <v>704</v>
      </c>
      <c r="E15" t="s">
        <v>1776</v>
      </c>
      <c r="F15" t="s">
        <v>2117</v>
      </c>
      <c r="G15" t="s">
        <v>2099</v>
      </c>
      <c r="H15" t="s">
        <v>992</v>
      </c>
      <c r="I15" t="s">
        <v>2726</v>
      </c>
      <c r="J15" t="s">
        <v>1600</v>
      </c>
      <c r="K15" t="s">
        <v>1607</v>
      </c>
      <c r="L15" t="s">
        <v>1610</v>
      </c>
      <c r="M15" t="s">
        <v>1625</v>
      </c>
    </row>
    <row r="16" spans="1:13" x14ac:dyDescent="0.25">
      <c r="A16" t="s">
        <v>1</v>
      </c>
      <c r="B16" t="s">
        <v>15</v>
      </c>
      <c r="C16" t="s">
        <v>544</v>
      </c>
      <c r="D16" t="s">
        <v>815</v>
      </c>
      <c r="E16" t="s">
        <v>1777</v>
      </c>
      <c r="F16" t="s">
        <v>2118</v>
      </c>
      <c r="G16" t="s">
        <v>2099</v>
      </c>
      <c r="H16" t="s">
        <v>993</v>
      </c>
      <c r="I16" t="s">
        <v>2730</v>
      </c>
      <c r="J16" t="s">
        <v>1602</v>
      </c>
      <c r="K16" t="s">
        <v>1607</v>
      </c>
      <c r="L16" t="s">
        <v>1610</v>
      </c>
      <c r="M16" t="s">
        <v>1626</v>
      </c>
    </row>
    <row r="17" spans="1:13" x14ac:dyDescent="0.25">
      <c r="A17" t="s">
        <v>1</v>
      </c>
      <c r="B17" t="s">
        <v>16</v>
      </c>
      <c r="C17" t="s">
        <v>545</v>
      </c>
      <c r="D17" t="s">
        <v>802</v>
      </c>
      <c r="E17" t="s">
        <v>1778</v>
      </c>
      <c r="F17" t="s">
        <v>2119</v>
      </c>
      <c r="G17" t="s">
        <v>2099</v>
      </c>
      <c r="H17" t="s">
        <v>994</v>
      </c>
      <c r="I17" t="s">
        <v>2725</v>
      </c>
      <c r="J17" t="s">
        <v>1603</v>
      </c>
      <c r="K17" t="s">
        <v>1608</v>
      </c>
      <c r="L17" t="s">
        <v>1610</v>
      </c>
      <c r="M17" t="s">
        <v>1627</v>
      </c>
    </row>
    <row r="18" spans="1:13" x14ac:dyDescent="0.25">
      <c r="A18" t="s">
        <v>1</v>
      </c>
      <c r="B18" t="s">
        <v>17</v>
      </c>
      <c r="C18" t="s">
        <v>546</v>
      </c>
      <c r="D18" t="s">
        <v>625</v>
      </c>
      <c r="E18" t="s">
        <v>1779</v>
      </c>
      <c r="F18" t="s">
        <v>2120</v>
      </c>
      <c r="G18" t="s">
        <v>2099</v>
      </c>
      <c r="H18" t="s">
        <v>995</v>
      </c>
      <c r="I18" t="s">
        <v>2731</v>
      </c>
      <c r="J18" t="s">
        <v>1602</v>
      </c>
      <c r="K18" t="s">
        <v>1608</v>
      </c>
      <c r="L18" t="s">
        <v>1610</v>
      </c>
      <c r="M18" t="s">
        <v>1628</v>
      </c>
    </row>
    <row r="19" spans="1:13" x14ac:dyDescent="0.25">
      <c r="A19" t="s">
        <v>1</v>
      </c>
      <c r="B19" t="s">
        <v>18</v>
      </c>
      <c r="C19" t="s">
        <v>547</v>
      </c>
      <c r="D19" t="s">
        <v>572</v>
      </c>
      <c r="E19" t="s">
        <v>1780</v>
      </c>
      <c r="F19" t="s">
        <v>2121</v>
      </c>
      <c r="G19" t="s">
        <v>2099</v>
      </c>
      <c r="H19" t="s">
        <v>996</v>
      </c>
      <c r="I19" t="s">
        <v>2727</v>
      </c>
      <c r="J19" t="s">
        <v>1601</v>
      </c>
      <c r="K19" t="s">
        <v>1608</v>
      </c>
      <c r="L19" t="s">
        <v>1610</v>
      </c>
      <c r="M19" t="s">
        <v>1629</v>
      </c>
    </row>
    <row r="20" spans="1:13" x14ac:dyDescent="0.25">
      <c r="A20" t="s">
        <v>1</v>
      </c>
      <c r="B20" t="s">
        <v>19</v>
      </c>
      <c r="C20" t="s">
        <v>548</v>
      </c>
      <c r="D20" t="s">
        <v>610</v>
      </c>
      <c r="E20" t="s">
        <v>1664</v>
      </c>
      <c r="F20" t="s">
        <v>2122</v>
      </c>
      <c r="G20" t="s">
        <v>2099</v>
      </c>
      <c r="H20" t="s">
        <v>997</v>
      </c>
      <c r="I20" t="s">
        <v>2724</v>
      </c>
      <c r="J20" t="s">
        <v>1601</v>
      </c>
      <c r="K20" t="s">
        <v>1608</v>
      </c>
      <c r="L20" t="s">
        <v>1610</v>
      </c>
      <c r="M20" t="s">
        <v>1630</v>
      </c>
    </row>
    <row r="21" spans="1:13" x14ac:dyDescent="0.25">
      <c r="A21" t="s">
        <v>1</v>
      </c>
      <c r="B21" t="s">
        <v>20</v>
      </c>
      <c r="C21" t="s">
        <v>549</v>
      </c>
      <c r="D21" t="s">
        <v>724</v>
      </c>
      <c r="E21" t="s">
        <v>1781</v>
      </c>
      <c r="F21" t="s">
        <v>2123</v>
      </c>
      <c r="G21" t="s">
        <v>2099</v>
      </c>
      <c r="H21" t="s">
        <v>998</v>
      </c>
      <c r="I21" t="s">
        <v>2726</v>
      </c>
      <c r="J21" t="s">
        <v>1603</v>
      </c>
      <c r="K21" t="s">
        <v>1608</v>
      </c>
      <c r="L21" t="s">
        <v>1610</v>
      </c>
      <c r="M21" t="s">
        <v>1618</v>
      </c>
    </row>
    <row r="22" spans="1:13" x14ac:dyDescent="0.25">
      <c r="A22" t="s">
        <v>1</v>
      </c>
      <c r="B22" t="s">
        <v>21</v>
      </c>
      <c r="C22" t="s">
        <v>550</v>
      </c>
      <c r="D22" t="s">
        <v>622</v>
      </c>
      <c r="E22" t="s">
        <v>1665</v>
      </c>
      <c r="F22" t="s">
        <v>2124</v>
      </c>
      <c r="G22" t="s">
        <v>2099</v>
      </c>
      <c r="H22" t="s">
        <v>999</v>
      </c>
      <c r="I22" t="s">
        <v>2729</v>
      </c>
      <c r="J22" t="s">
        <v>1600</v>
      </c>
      <c r="K22" t="s">
        <v>1607</v>
      </c>
      <c r="L22" t="s">
        <v>1610</v>
      </c>
      <c r="M22" t="s">
        <v>1631</v>
      </c>
    </row>
    <row r="23" spans="1:13" x14ac:dyDescent="0.25">
      <c r="A23" t="s">
        <v>1</v>
      </c>
      <c r="B23" t="s">
        <v>21</v>
      </c>
      <c r="C23" t="s">
        <v>551</v>
      </c>
      <c r="D23" t="s">
        <v>816</v>
      </c>
      <c r="E23" t="s">
        <v>1666</v>
      </c>
      <c r="F23" t="s">
        <v>2125</v>
      </c>
      <c r="G23" t="s">
        <v>2099</v>
      </c>
      <c r="H23" t="s">
        <v>1000</v>
      </c>
      <c r="I23" t="s">
        <v>2728</v>
      </c>
      <c r="J23" t="s">
        <v>1600</v>
      </c>
      <c r="K23" t="s">
        <v>1607</v>
      </c>
      <c r="L23" t="s">
        <v>1610</v>
      </c>
      <c r="M23" t="s">
        <v>1621</v>
      </c>
    </row>
    <row r="24" spans="1:13" x14ac:dyDescent="0.25">
      <c r="A24" t="s">
        <v>1</v>
      </c>
      <c r="B24" t="s">
        <v>22</v>
      </c>
      <c r="C24" t="s">
        <v>552</v>
      </c>
      <c r="D24" t="s">
        <v>727</v>
      </c>
      <c r="E24" t="s">
        <v>1667</v>
      </c>
      <c r="F24" t="s">
        <v>2126</v>
      </c>
      <c r="G24" t="s">
        <v>2099</v>
      </c>
      <c r="H24" t="s">
        <v>1001</v>
      </c>
      <c r="I24" t="s">
        <v>2726</v>
      </c>
      <c r="J24" t="s">
        <v>1603</v>
      </c>
      <c r="K24" t="s">
        <v>1608</v>
      </c>
      <c r="L24" t="s">
        <v>1610</v>
      </c>
      <c r="M24" t="s">
        <v>1618</v>
      </c>
    </row>
    <row r="25" spans="1:13" x14ac:dyDescent="0.25">
      <c r="A25" t="s">
        <v>1</v>
      </c>
      <c r="B25" t="s">
        <v>22</v>
      </c>
      <c r="C25" t="s">
        <v>553</v>
      </c>
      <c r="D25" t="s">
        <v>817</v>
      </c>
      <c r="E25" t="s">
        <v>1668</v>
      </c>
      <c r="F25" t="s">
        <v>2127</v>
      </c>
      <c r="G25" t="s">
        <v>2099</v>
      </c>
      <c r="H25" t="s">
        <v>1002</v>
      </c>
      <c r="I25" t="s">
        <v>2726</v>
      </c>
      <c r="J25" t="s">
        <v>1600</v>
      </c>
      <c r="K25" t="s">
        <v>1608</v>
      </c>
      <c r="L25" t="s">
        <v>1610</v>
      </c>
      <c r="M25" t="s">
        <v>1625</v>
      </c>
    </row>
    <row r="26" spans="1:13" x14ac:dyDescent="0.25">
      <c r="A26" t="s">
        <v>1</v>
      </c>
      <c r="B26" t="s">
        <v>22</v>
      </c>
      <c r="C26" t="s">
        <v>554</v>
      </c>
      <c r="D26" t="s">
        <v>769</v>
      </c>
      <c r="E26" t="s">
        <v>1669</v>
      </c>
      <c r="F26" t="s">
        <v>2128</v>
      </c>
      <c r="G26" t="s">
        <v>2099</v>
      </c>
      <c r="H26" t="s">
        <v>1003</v>
      </c>
      <c r="I26" t="s">
        <v>2726</v>
      </c>
      <c r="J26" t="s">
        <v>1600</v>
      </c>
      <c r="K26" t="s">
        <v>1608</v>
      </c>
      <c r="L26" t="s">
        <v>1610</v>
      </c>
      <c r="M26" t="s">
        <v>1632</v>
      </c>
    </row>
    <row r="27" spans="1:13" x14ac:dyDescent="0.25">
      <c r="A27" t="s">
        <v>1</v>
      </c>
      <c r="B27" t="s">
        <v>22</v>
      </c>
      <c r="C27" t="s">
        <v>555</v>
      </c>
      <c r="D27" t="s">
        <v>818</v>
      </c>
      <c r="E27" t="s">
        <v>1670</v>
      </c>
      <c r="F27" t="s">
        <v>2129</v>
      </c>
      <c r="G27" t="s">
        <v>2099</v>
      </c>
      <c r="H27" t="s">
        <v>1004</v>
      </c>
      <c r="I27" t="s">
        <v>2731</v>
      </c>
      <c r="J27" t="s">
        <v>1600</v>
      </c>
      <c r="K27" t="s">
        <v>1608</v>
      </c>
      <c r="L27" t="s">
        <v>1610</v>
      </c>
      <c r="M27" t="s">
        <v>1633</v>
      </c>
    </row>
    <row r="28" spans="1:13" x14ac:dyDescent="0.25">
      <c r="A28" t="s">
        <v>1</v>
      </c>
      <c r="B28" t="s">
        <v>23</v>
      </c>
      <c r="C28" t="s">
        <v>556</v>
      </c>
      <c r="D28" t="s">
        <v>742</v>
      </c>
      <c r="E28" t="s">
        <v>1671</v>
      </c>
      <c r="F28" t="s">
        <v>2130</v>
      </c>
      <c r="G28" t="s">
        <v>2099</v>
      </c>
      <c r="H28" t="s">
        <v>1005</v>
      </c>
      <c r="I28" t="s">
        <v>2728</v>
      </c>
      <c r="J28" t="s">
        <v>1601</v>
      </c>
      <c r="K28" t="s">
        <v>1607</v>
      </c>
      <c r="L28" t="s">
        <v>1610</v>
      </c>
      <c r="M28" t="s">
        <v>1634</v>
      </c>
    </row>
    <row r="29" spans="1:13" x14ac:dyDescent="0.25">
      <c r="A29" t="s">
        <v>1</v>
      </c>
      <c r="B29" t="s">
        <v>24</v>
      </c>
      <c r="C29" t="s">
        <v>557</v>
      </c>
      <c r="D29" t="s">
        <v>819</v>
      </c>
      <c r="E29" t="s">
        <v>1782</v>
      </c>
      <c r="F29" t="s">
        <v>2131</v>
      </c>
      <c r="G29" t="s">
        <v>2099</v>
      </c>
      <c r="H29" t="s">
        <v>1006</v>
      </c>
      <c r="I29" t="s">
        <v>2728</v>
      </c>
      <c r="J29" t="s">
        <v>1602</v>
      </c>
      <c r="K29" t="s">
        <v>1607</v>
      </c>
      <c r="L29" t="s">
        <v>1610</v>
      </c>
      <c r="M29" t="s">
        <v>1635</v>
      </c>
    </row>
    <row r="30" spans="1:13" x14ac:dyDescent="0.25">
      <c r="A30" t="s">
        <v>1</v>
      </c>
      <c r="B30" t="s">
        <v>25</v>
      </c>
      <c r="C30" t="s">
        <v>558</v>
      </c>
      <c r="D30" t="s">
        <v>820</v>
      </c>
      <c r="E30" t="s">
        <v>1672</v>
      </c>
      <c r="F30" t="s">
        <v>2132</v>
      </c>
      <c r="G30" t="s">
        <v>2099</v>
      </c>
      <c r="H30" t="s">
        <v>1007</v>
      </c>
      <c r="I30" t="s">
        <v>2724</v>
      </c>
      <c r="J30" t="s">
        <v>1602</v>
      </c>
      <c r="K30" t="s">
        <v>1608</v>
      </c>
      <c r="L30" t="s">
        <v>1610</v>
      </c>
      <c r="M30" t="s">
        <v>1636</v>
      </c>
    </row>
    <row r="31" spans="1:13" x14ac:dyDescent="0.25">
      <c r="A31" t="s">
        <v>1</v>
      </c>
      <c r="B31" t="s">
        <v>26</v>
      </c>
      <c r="C31" t="s">
        <v>559</v>
      </c>
      <c r="D31" t="s">
        <v>821</v>
      </c>
      <c r="E31" t="s">
        <v>1673</v>
      </c>
      <c r="F31" t="s">
        <v>2133</v>
      </c>
      <c r="G31" t="s">
        <v>2099</v>
      </c>
      <c r="H31" t="s">
        <v>1008</v>
      </c>
      <c r="I31" t="s">
        <v>2732</v>
      </c>
      <c r="J31" t="s">
        <v>1603</v>
      </c>
      <c r="K31" t="s">
        <v>1608</v>
      </c>
      <c r="L31" t="s">
        <v>1610</v>
      </c>
      <c r="M31" t="s">
        <v>1637</v>
      </c>
    </row>
    <row r="32" spans="1:13" x14ac:dyDescent="0.25">
      <c r="A32" t="s">
        <v>1</v>
      </c>
      <c r="B32" t="s">
        <v>27</v>
      </c>
      <c r="C32" t="s">
        <v>560</v>
      </c>
      <c r="D32" t="s">
        <v>593</v>
      </c>
      <c r="E32" t="s">
        <v>1783</v>
      </c>
      <c r="F32" t="s">
        <v>2134</v>
      </c>
      <c r="G32" t="s">
        <v>2099</v>
      </c>
      <c r="H32" t="s">
        <v>1009</v>
      </c>
      <c r="I32" t="s">
        <v>2724</v>
      </c>
      <c r="J32" t="s">
        <v>1600</v>
      </c>
      <c r="K32" t="s">
        <v>1607</v>
      </c>
      <c r="L32" t="s">
        <v>1610</v>
      </c>
      <c r="M32" t="s">
        <v>1614</v>
      </c>
    </row>
    <row r="33" spans="1:13" x14ac:dyDescent="0.25">
      <c r="A33" t="s">
        <v>1</v>
      </c>
      <c r="B33" t="s">
        <v>28</v>
      </c>
      <c r="C33" t="s">
        <v>561</v>
      </c>
      <c r="D33" t="s">
        <v>608</v>
      </c>
      <c r="E33" t="s">
        <v>1674</v>
      </c>
      <c r="F33" t="s">
        <v>2135</v>
      </c>
      <c r="G33" t="s">
        <v>2099</v>
      </c>
      <c r="H33" t="s">
        <v>1010</v>
      </c>
      <c r="I33" t="s">
        <v>2726</v>
      </c>
      <c r="J33" t="s">
        <v>1603</v>
      </c>
      <c r="K33" t="s">
        <v>1607</v>
      </c>
      <c r="L33" t="s">
        <v>1610</v>
      </c>
      <c r="M33" t="s">
        <v>1618</v>
      </c>
    </row>
    <row r="34" spans="1:13" x14ac:dyDescent="0.25">
      <c r="A34" t="s">
        <v>1</v>
      </c>
      <c r="B34" t="s">
        <v>28</v>
      </c>
      <c r="C34" t="s">
        <v>562</v>
      </c>
      <c r="D34" t="s">
        <v>822</v>
      </c>
      <c r="E34" t="s">
        <v>1675</v>
      </c>
      <c r="F34" t="s">
        <v>2136</v>
      </c>
      <c r="G34" t="s">
        <v>2099</v>
      </c>
      <c r="H34" t="s">
        <v>1011</v>
      </c>
      <c r="I34" t="s">
        <v>2730</v>
      </c>
      <c r="J34" t="s">
        <v>1601</v>
      </c>
      <c r="K34" t="s">
        <v>1607</v>
      </c>
      <c r="L34" t="s">
        <v>1610</v>
      </c>
      <c r="M34" t="s">
        <v>1624</v>
      </c>
    </row>
    <row r="35" spans="1:13" x14ac:dyDescent="0.25">
      <c r="A35" t="s">
        <v>1</v>
      </c>
      <c r="B35" t="s">
        <v>29</v>
      </c>
      <c r="C35" t="s">
        <v>533</v>
      </c>
      <c r="D35" t="s">
        <v>539</v>
      </c>
      <c r="E35" t="s">
        <v>1784</v>
      </c>
      <c r="F35" t="s">
        <v>2137</v>
      </c>
      <c r="G35" t="s">
        <v>2099</v>
      </c>
      <c r="H35" t="s">
        <v>1012</v>
      </c>
      <c r="I35" t="s">
        <v>2726</v>
      </c>
      <c r="J35" t="s">
        <v>1603</v>
      </c>
      <c r="K35" t="s">
        <v>1607</v>
      </c>
      <c r="L35" t="s">
        <v>1610</v>
      </c>
      <c r="M35" t="s">
        <v>1618</v>
      </c>
    </row>
    <row r="36" spans="1:13" x14ac:dyDescent="0.25">
      <c r="A36" t="s">
        <v>1</v>
      </c>
      <c r="B36" t="s">
        <v>30</v>
      </c>
      <c r="C36" t="s">
        <v>563</v>
      </c>
      <c r="D36" t="s">
        <v>686</v>
      </c>
      <c r="E36" t="s">
        <v>1785</v>
      </c>
      <c r="F36" t="s">
        <v>2138</v>
      </c>
      <c r="G36" t="s">
        <v>2099</v>
      </c>
      <c r="H36" t="s">
        <v>1013</v>
      </c>
      <c r="I36" t="s">
        <v>2726</v>
      </c>
      <c r="J36" t="s">
        <v>1601</v>
      </c>
      <c r="K36" t="s">
        <v>1607</v>
      </c>
      <c r="L36" t="s">
        <v>1610</v>
      </c>
      <c r="M36" t="s">
        <v>1616</v>
      </c>
    </row>
    <row r="37" spans="1:13" x14ac:dyDescent="0.25">
      <c r="A37" t="s">
        <v>1</v>
      </c>
      <c r="B37" t="s">
        <v>31</v>
      </c>
      <c r="C37" t="s">
        <v>562</v>
      </c>
      <c r="D37" t="s">
        <v>727</v>
      </c>
      <c r="E37" t="s">
        <v>1786</v>
      </c>
      <c r="F37" t="s">
        <v>2139</v>
      </c>
      <c r="G37" t="s">
        <v>2099</v>
      </c>
      <c r="H37" t="s">
        <v>1014</v>
      </c>
      <c r="I37" t="s">
        <v>2729</v>
      </c>
      <c r="J37" t="s">
        <v>1601</v>
      </c>
      <c r="K37" t="s">
        <v>1607</v>
      </c>
      <c r="L37" t="s">
        <v>1610</v>
      </c>
      <c r="M37" t="s">
        <v>1623</v>
      </c>
    </row>
    <row r="38" spans="1:13" x14ac:dyDescent="0.25">
      <c r="A38" t="s">
        <v>1</v>
      </c>
      <c r="B38" t="s">
        <v>32</v>
      </c>
      <c r="C38" t="s">
        <v>564</v>
      </c>
      <c r="D38" t="s">
        <v>823</v>
      </c>
      <c r="E38" t="s">
        <v>1787</v>
      </c>
      <c r="F38" t="s">
        <v>2140</v>
      </c>
      <c r="G38" t="s">
        <v>2099</v>
      </c>
      <c r="H38" t="s">
        <v>1015</v>
      </c>
      <c r="I38" t="s">
        <v>2729</v>
      </c>
      <c r="J38" t="s">
        <v>1603</v>
      </c>
      <c r="K38" t="s">
        <v>1607</v>
      </c>
      <c r="L38" t="s">
        <v>1610</v>
      </c>
      <c r="M38" t="s">
        <v>1622</v>
      </c>
    </row>
    <row r="39" spans="1:13" x14ac:dyDescent="0.25">
      <c r="A39" t="s">
        <v>1</v>
      </c>
      <c r="B39" t="s">
        <v>33</v>
      </c>
      <c r="C39" t="s">
        <v>565</v>
      </c>
      <c r="D39" t="s">
        <v>551</v>
      </c>
      <c r="E39" t="s">
        <v>1788</v>
      </c>
      <c r="F39" t="s">
        <v>2141</v>
      </c>
      <c r="G39" t="s">
        <v>2099</v>
      </c>
      <c r="H39" t="s">
        <v>1016</v>
      </c>
      <c r="I39" t="s">
        <v>2726</v>
      </c>
      <c r="J39" t="s">
        <v>1601</v>
      </c>
      <c r="K39" t="s">
        <v>1608</v>
      </c>
      <c r="L39" t="s">
        <v>1610</v>
      </c>
      <c r="M39" t="s">
        <v>1616</v>
      </c>
    </row>
    <row r="40" spans="1:13" x14ac:dyDescent="0.25">
      <c r="A40" t="s">
        <v>1</v>
      </c>
      <c r="B40" t="s">
        <v>34</v>
      </c>
      <c r="C40" t="s">
        <v>566</v>
      </c>
      <c r="D40" t="s">
        <v>727</v>
      </c>
      <c r="E40" t="s">
        <v>1789</v>
      </c>
      <c r="F40" t="s">
        <v>2142</v>
      </c>
      <c r="G40" t="s">
        <v>2099</v>
      </c>
      <c r="H40" t="s">
        <v>1017</v>
      </c>
      <c r="I40" t="s">
        <v>2726</v>
      </c>
      <c r="J40" t="s">
        <v>1603</v>
      </c>
      <c r="K40" t="s">
        <v>1607</v>
      </c>
      <c r="L40" t="s">
        <v>1610</v>
      </c>
      <c r="M40" t="s">
        <v>1618</v>
      </c>
    </row>
    <row r="41" spans="1:13" x14ac:dyDescent="0.25">
      <c r="A41" t="s">
        <v>1</v>
      </c>
      <c r="B41" t="s">
        <v>35</v>
      </c>
      <c r="C41" t="s">
        <v>567</v>
      </c>
      <c r="D41" t="s">
        <v>824</v>
      </c>
      <c r="E41" t="s">
        <v>1676</v>
      </c>
      <c r="F41" t="s">
        <v>2143</v>
      </c>
      <c r="G41" t="s">
        <v>2099</v>
      </c>
      <c r="H41" t="s">
        <v>1018</v>
      </c>
      <c r="I41" t="s">
        <v>2729</v>
      </c>
      <c r="J41" t="s">
        <v>1602</v>
      </c>
      <c r="K41" t="s">
        <v>1607</v>
      </c>
      <c r="L41" t="s">
        <v>1610</v>
      </c>
      <c r="M41" t="s">
        <v>1638</v>
      </c>
    </row>
    <row r="42" spans="1:13" x14ac:dyDescent="0.25">
      <c r="A42" t="s">
        <v>1</v>
      </c>
      <c r="B42" t="s">
        <v>36</v>
      </c>
      <c r="C42" t="s">
        <v>568</v>
      </c>
      <c r="D42" t="s">
        <v>825</v>
      </c>
      <c r="E42" t="s">
        <v>1790</v>
      </c>
      <c r="F42" t="s">
        <v>2144</v>
      </c>
      <c r="G42" t="s">
        <v>2099</v>
      </c>
      <c r="H42" t="s">
        <v>1019</v>
      </c>
      <c r="I42" t="s">
        <v>2728</v>
      </c>
      <c r="J42" t="s">
        <v>1601</v>
      </c>
      <c r="K42" t="s">
        <v>1607</v>
      </c>
      <c r="L42" t="s">
        <v>1610</v>
      </c>
      <c r="M42" t="s">
        <v>1634</v>
      </c>
    </row>
    <row r="43" spans="1:13" x14ac:dyDescent="0.25">
      <c r="A43" t="s">
        <v>1</v>
      </c>
      <c r="B43" t="s">
        <v>37</v>
      </c>
      <c r="C43" t="s">
        <v>569</v>
      </c>
      <c r="D43" t="s">
        <v>826</v>
      </c>
      <c r="E43" t="s">
        <v>1791</v>
      </c>
      <c r="F43" t="s">
        <v>2145</v>
      </c>
      <c r="G43" t="s">
        <v>2099</v>
      </c>
      <c r="H43" t="s">
        <v>1020</v>
      </c>
      <c r="I43" t="s">
        <v>2733</v>
      </c>
      <c r="J43" t="s">
        <v>1603</v>
      </c>
      <c r="K43" t="s">
        <v>1607</v>
      </c>
      <c r="L43" t="s">
        <v>1610</v>
      </c>
      <c r="M43" t="s">
        <v>1639</v>
      </c>
    </row>
    <row r="44" spans="1:13" x14ac:dyDescent="0.25">
      <c r="A44" t="s">
        <v>1</v>
      </c>
      <c r="B44" t="s">
        <v>38</v>
      </c>
      <c r="C44" t="s">
        <v>570</v>
      </c>
      <c r="D44" t="s">
        <v>604</v>
      </c>
      <c r="E44" t="s">
        <v>1792</v>
      </c>
      <c r="F44" t="s">
        <v>2146</v>
      </c>
      <c r="G44" t="s">
        <v>2099</v>
      </c>
      <c r="H44" t="s">
        <v>1021</v>
      </c>
      <c r="I44" t="s">
        <v>2729</v>
      </c>
      <c r="J44" t="s">
        <v>1601</v>
      </c>
      <c r="K44" t="s">
        <v>1607</v>
      </c>
      <c r="L44" t="s">
        <v>1610</v>
      </c>
      <c r="M44" t="s">
        <v>1623</v>
      </c>
    </row>
    <row r="45" spans="1:13" x14ac:dyDescent="0.25">
      <c r="A45" t="s">
        <v>1</v>
      </c>
      <c r="B45" t="s">
        <v>39</v>
      </c>
      <c r="C45" t="s">
        <v>571</v>
      </c>
      <c r="D45" t="s">
        <v>827</v>
      </c>
      <c r="E45" t="s">
        <v>1793</v>
      </c>
      <c r="F45" t="s">
        <v>2147</v>
      </c>
      <c r="G45" t="s">
        <v>2099</v>
      </c>
      <c r="H45" t="s">
        <v>1022</v>
      </c>
      <c r="I45" t="s">
        <v>2724</v>
      </c>
      <c r="J45" t="s">
        <v>1602</v>
      </c>
      <c r="K45" t="s">
        <v>1607</v>
      </c>
      <c r="L45" t="s">
        <v>1610</v>
      </c>
      <c r="M45" t="s">
        <v>1636</v>
      </c>
    </row>
    <row r="46" spans="1:13" x14ac:dyDescent="0.25">
      <c r="A46" t="s">
        <v>1</v>
      </c>
      <c r="B46" t="s">
        <v>40</v>
      </c>
      <c r="C46" t="s">
        <v>572</v>
      </c>
      <c r="D46" t="s">
        <v>828</v>
      </c>
      <c r="E46" t="s">
        <v>1794</v>
      </c>
      <c r="F46" t="s">
        <v>2148</v>
      </c>
      <c r="G46" t="s">
        <v>2099</v>
      </c>
      <c r="H46" t="s">
        <v>1023</v>
      </c>
      <c r="I46" t="s">
        <v>2734</v>
      </c>
      <c r="J46" t="s">
        <v>1602</v>
      </c>
      <c r="K46" t="s">
        <v>1607</v>
      </c>
      <c r="L46" t="s">
        <v>1610</v>
      </c>
      <c r="M46" t="s">
        <v>1640</v>
      </c>
    </row>
    <row r="47" spans="1:13" x14ac:dyDescent="0.25">
      <c r="A47" t="s">
        <v>1</v>
      </c>
      <c r="B47" t="s">
        <v>41</v>
      </c>
      <c r="C47" t="s">
        <v>573</v>
      </c>
      <c r="D47" t="s">
        <v>541</v>
      </c>
      <c r="E47" t="s">
        <v>1795</v>
      </c>
      <c r="F47" t="s">
        <v>2149</v>
      </c>
      <c r="G47" t="s">
        <v>2099</v>
      </c>
      <c r="H47" t="s">
        <v>1024</v>
      </c>
      <c r="I47" t="s">
        <v>2724</v>
      </c>
      <c r="J47" t="s">
        <v>1600</v>
      </c>
      <c r="K47" t="s">
        <v>1607</v>
      </c>
      <c r="L47" t="s">
        <v>1610</v>
      </c>
      <c r="M47" t="s">
        <v>1614</v>
      </c>
    </row>
    <row r="48" spans="1:13" x14ac:dyDescent="0.25">
      <c r="A48" t="s">
        <v>1</v>
      </c>
      <c r="B48" t="s">
        <v>42</v>
      </c>
      <c r="C48" t="s">
        <v>574</v>
      </c>
      <c r="D48" t="s">
        <v>796</v>
      </c>
      <c r="E48" t="s">
        <v>1796</v>
      </c>
      <c r="F48" t="s">
        <v>2150</v>
      </c>
      <c r="G48" t="s">
        <v>2099</v>
      </c>
      <c r="H48" t="s">
        <v>1025</v>
      </c>
      <c r="I48" t="s">
        <v>2726</v>
      </c>
      <c r="J48" t="s">
        <v>1604</v>
      </c>
      <c r="K48" t="s">
        <v>1607</v>
      </c>
      <c r="L48" t="s">
        <v>1610</v>
      </c>
      <c r="M48" t="s">
        <v>1620</v>
      </c>
    </row>
    <row r="49" spans="1:13" x14ac:dyDescent="0.25">
      <c r="A49" t="s">
        <v>1</v>
      </c>
      <c r="B49" t="s">
        <v>43</v>
      </c>
      <c r="C49" t="s">
        <v>575</v>
      </c>
      <c r="D49" t="s">
        <v>829</v>
      </c>
      <c r="E49" t="s">
        <v>1797</v>
      </c>
      <c r="F49" t="s">
        <v>2151</v>
      </c>
      <c r="G49" t="s">
        <v>2099</v>
      </c>
      <c r="H49" t="s">
        <v>1026</v>
      </c>
      <c r="I49" t="s">
        <v>2729</v>
      </c>
      <c r="J49" t="s">
        <v>1601</v>
      </c>
      <c r="K49" t="s">
        <v>1607</v>
      </c>
      <c r="L49" t="s">
        <v>1610</v>
      </c>
      <c r="M49" t="s">
        <v>1623</v>
      </c>
    </row>
    <row r="50" spans="1:13" x14ac:dyDescent="0.25">
      <c r="A50" t="s">
        <v>1</v>
      </c>
      <c r="B50" t="s">
        <v>44</v>
      </c>
      <c r="C50" t="s">
        <v>542</v>
      </c>
      <c r="D50" t="s">
        <v>618</v>
      </c>
      <c r="E50" t="s">
        <v>1798</v>
      </c>
      <c r="F50" t="s">
        <v>2152</v>
      </c>
      <c r="G50" t="s">
        <v>2099</v>
      </c>
      <c r="H50" t="s">
        <v>1027</v>
      </c>
      <c r="I50" t="s">
        <v>2728</v>
      </c>
      <c r="J50" t="s">
        <v>1603</v>
      </c>
      <c r="K50" t="s">
        <v>1607</v>
      </c>
      <c r="L50" t="s">
        <v>1610</v>
      </c>
      <c r="M50" t="s">
        <v>1641</v>
      </c>
    </row>
    <row r="51" spans="1:13" x14ac:dyDescent="0.25">
      <c r="A51" t="s">
        <v>1</v>
      </c>
      <c r="B51" t="s">
        <v>44</v>
      </c>
      <c r="C51" t="s">
        <v>576</v>
      </c>
      <c r="D51" t="s">
        <v>584</v>
      </c>
      <c r="E51" t="s">
        <v>1799</v>
      </c>
      <c r="F51" t="s">
        <v>2153</v>
      </c>
      <c r="G51" t="s">
        <v>2099</v>
      </c>
      <c r="H51" t="s">
        <v>1028</v>
      </c>
      <c r="I51" t="s">
        <v>2728</v>
      </c>
      <c r="J51" t="s">
        <v>1601</v>
      </c>
      <c r="K51" t="s">
        <v>1607</v>
      </c>
      <c r="L51" t="s">
        <v>1610</v>
      </c>
      <c r="M51" t="s">
        <v>1634</v>
      </c>
    </row>
    <row r="52" spans="1:13" x14ac:dyDescent="0.25">
      <c r="A52" t="s">
        <v>1</v>
      </c>
      <c r="B52" t="s">
        <v>45</v>
      </c>
      <c r="C52" t="s">
        <v>577</v>
      </c>
      <c r="D52" t="s">
        <v>674</v>
      </c>
      <c r="E52" t="s">
        <v>1800</v>
      </c>
      <c r="F52" t="s">
        <v>2154</v>
      </c>
      <c r="G52" t="s">
        <v>2099</v>
      </c>
      <c r="H52" t="s">
        <v>1029</v>
      </c>
      <c r="I52" t="s">
        <v>2730</v>
      </c>
      <c r="J52" t="s">
        <v>1600</v>
      </c>
      <c r="K52" t="s">
        <v>1607</v>
      </c>
      <c r="L52" t="s">
        <v>1610</v>
      </c>
      <c r="M52" t="s">
        <v>1642</v>
      </c>
    </row>
    <row r="53" spans="1:13" x14ac:dyDescent="0.25">
      <c r="A53" t="s">
        <v>1</v>
      </c>
      <c r="B53" t="s">
        <v>45</v>
      </c>
      <c r="C53" t="s">
        <v>578</v>
      </c>
      <c r="D53" t="s">
        <v>678</v>
      </c>
      <c r="E53" t="s">
        <v>1801</v>
      </c>
      <c r="F53" t="s">
        <v>2155</v>
      </c>
      <c r="G53" t="s">
        <v>2099</v>
      </c>
      <c r="H53" t="s">
        <v>1030</v>
      </c>
      <c r="I53" t="s">
        <v>2727</v>
      </c>
      <c r="J53" t="s">
        <v>1600</v>
      </c>
      <c r="K53" t="s">
        <v>1607</v>
      </c>
      <c r="L53" t="s">
        <v>1610</v>
      </c>
      <c r="M53" t="s">
        <v>1619</v>
      </c>
    </row>
    <row r="54" spans="1:13" x14ac:dyDescent="0.25">
      <c r="A54" t="s">
        <v>1</v>
      </c>
      <c r="B54" t="s">
        <v>45</v>
      </c>
      <c r="C54" t="s">
        <v>579</v>
      </c>
      <c r="D54" t="s">
        <v>534</v>
      </c>
      <c r="E54" t="s">
        <v>1802</v>
      </c>
      <c r="F54" t="s">
        <v>2156</v>
      </c>
      <c r="G54" t="s">
        <v>2099</v>
      </c>
      <c r="H54" t="s">
        <v>1031</v>
      </c>
      <c r="I54" t="s">
        <v>2724</v>
      </c>
      <c r="J54" t="s">
        <v>1603</v>
      </c>
      <c r="K54" t="s">
        <v>1607</v>
      </c>
      <c r="L54" t="s">
        <v>1610</v>
      </c>
      <c r="M54" t="s">
        <v>1643</v>
      </c>
    </row>
    <row r="55" spans="1:13" x14ac:dyDescent="0.25">
      <c r="A55" t="s">
        <v>1</v>
      </c>
      <c r="B55" t="s">
        <v>46</v>
      </c>
      <c r="C55" t="s">
        <v>580</v>
      </c>
      <c r="D55" t="s">
        <v>579</v>
      </c>
      <c r="E55" t="s">
        <v>1803</v>
      </c>
      <c r="F55" t="s">
        <v>2157</v>
      </c>
      <c r="G55" t="s">
        <v>2099</v>
      </c>
      <c r="H55" t="s">
        <v>1032</v>
      </c>
      <c r="I55" t="s">
        <v>2728</v>
      </c>
      <c r="J55" t="s">
        <v>1600</v>
      </c>
      <c r="K55" t="s">
        <v>1607</v>
      </c>
      <c r="L55" t="s">
        <v>1610</v>
      </c>
      <c r="M55" t="s">
        <v>1621</v>
      </c>
    </row>
    <row r="56" spans="1:13" x14ac:dyDescent="0.25">
      <c r="A56" t="s">
        <v>1</v>
      </c>
      <c r="B56" t="s">
        <v>47</v>
      </c>
      <c r="C56" t="s">
        <v>539</v>
      </c>
      <c r="D56" t="s">
        <v>830</v>
      </c>
      <c r="E56" t="s">
        <v>1804</v>
      </c>
      <c r="F56" t="s">
        <v>2158</v>
      </c>
      <c r="G56" t="s">
        <v>2099</v>
      </c>
      <c r="H56" t="s">
        <v>1033</v>
      </c>
      <c r="I56" t="s">
        <v>2729</v>
      </c>
      <c r="J56" t="s">
        <v>1602</v>
      </c>
      <c r="K56" t="s">
        <v>1607</v>
      </c>
      <c r="L56" t="s">
        <v>1610</v>
      </c>
      <c r="M56" t="s">
        <v>1638</v>
      </c>
    </row>
    <row r="57" spans="1:13" x14ac:dyDescent="0.25">
      <c r="A57" t="s">
        <v>1</v>
      </c>
      <c r="B57" t="s">
        <v>48</v>
      </c>
      <c r="C57" t="s">
        <v>581</v>
      </c>
      <c r="D57" t="s">
        <v>652</v>
      </c>
      <c r="E57" t="s">
        <v>1805</v>
      </c>
      <c r="F57" t="s">
        <v>2159</v>
      </c>
      <c r="G57" t="s">
        <v>2099</v>
      </c>
      <c r="H57" t="s">
        <v>1034</v>
      </c>
      <c r="I57" t="s">
        <v>2729</v>
      </c>
      <c r="J57" t="s">
        <v>1601</v>
      </c>
      <c r="K57" t="s">
        <v>1607</v>
      </c>
      <c r="L57" t="s">
        <v>1610</v>
      </c>
      <c r="M57" t="s">
        <v>1623</v>
      </c>
    </row>
    <row r="58" spans="1:13" x14ac:dyDescent="0.25">
      <c r="A58" t="s">
        <v>1</v>
      </c>
      <c r="B58" t="s">
        <v>49</v>
      </c>
      <c r="C58" t="s">
        <v>582</v>
      </c>
      <c r="D58" t="s">
        <v>797</v>
      </c>
      <c r="E58" t="s">
        <v>1677</v>
      </c>
      <c r="F58" t="s">
        <v>2160</v>
      </c>
      <c r="G58" t="s">
        <v>2099</v>
      </c>
      <c r="H58" t="s">
        <v>1035</v>
      </c>
      <c r="I58" t="s">
        <v>2727</v>
      </c>
      <c r="J58" t="s">
        <v>1600</v>
      </c>
      <c r="K58" t="s">
        <v>1608</v>
      </c>
      <c r="L58" t="s">
        <v>1610</v>
      </c>
      <c r="M58" t="s">
        <v>1619</v>
      </c>
    </row>
    <row r="59" spans="1:13" x14ac:dyDescent="0.25">
      <c r="A59" t="s">
        <v>1</v>
      </c>
      <c r="B59" t="s">
        <v>50</v>
      </c>
      <c r="C59" t="s">
        <v>583</v>
      </c>
      <c r="D59" t="s">
        <v>542</v>
      </c>
      <c r="E59" t="s">
        <v>1806</v>
      </c>
      <c r="F59" t="s">
        <v>2161</v>
      </c>
      <c r="G59" t="s">
        <v>2099</v>
      </c>
      <c r="H59" t="s">
        <v>1036</v>
      </c>
      <c r="I59" t="s">
        <v>2726</v>
      </c>
      <c r="J59" t="s">
        <v>1603</v>
      </c>
      <c r="K59" t="s">
        <v>1608</v>
      </c>
      <c r="L59" t="s">
        <v>1610</v>
      </c>
      <c r="M59" t="s">
        <v>1618</v>
      </c>
    </row>
    <row r="60" spans="1:13" x14ac:dyDescent="0.25">
      <c r="A60" t="s">
        <v>1</v>
      </c>
      <c r="B60" t="s">
        <v>51</v>
      </c>
      <c r="C60" t="s">
        <v>584</v>
      </c>
      <c r="D60" t="s">
        <v>616</v>
      </c>
      <c r="E60" t="s">
        <v>1678</v>
      </c>
      <c r="F60" t="s">
        <v>2162</v>
      </c>
      <c r="G60" t="s">
        <v>2099</v>
      </c>
      <c r="H60" t="s">
        <v>1037</v>
      </c>
      <c r="I60" t="s">
        <v>2731</v>
      </c>
      <c r="J60" t="s">
        <v>1603</v>
      </c>
      <c r="K60" t="s">
        <v>1607</v>
      </c>
      <c r="L60" t="s">
        <v>1610</v>
      </c>
      <c r="M60" t="s">
        <v>1644</v>
      </c>
    </row>
    <row r="61" spans="1:13" x14ac:dyDescent="0.25">
      <c r="A61" t="s">
        <v>1</v>
      </c>
      <c r="B61" t="s">
        <v>51</v>
      </c>
      <c r="C61" t="s">
        <v>585</v>
      </c>
      <c r="D61" t="s">
        <v>533</v>
      </c>
      <c r="E61" t="s">
        <v>1679</v>
      </c>
      <c r="F61" t="s">
        <v>2163</v>
      </c>
      <c r="G61" t="s">
        <v>2099</v>
      </c>
      <c r="H61" t="s">
        <v>1038</v>
      </c>
      <c r="I61" t="s">
        <v>2728</v>
      </c>
      <c r="J61" t="s">
        <v>1603</v>
      </c>
      <c r="K61" t="s">
        <v>1607</v>
      </c>
      <c r="L61" t="s">
        <v>1610</v>
      </c>
      <c r="M61" t="s">
        <v>1641</v>
      </c>
    </row>
    <row r="62" spans="1:13" x14ac:dyDescent="0.25">
      <c r="A62" t="s">
        <v>1</v>
      </c>
      <c r="B62" t="s">
        <v>51</v>
      </c>
      <c r="C62" t="s">
        <v>547</v>
      </c>
      <c r="D62" t="s">
        <v>559</v>
      </c>
      <c r="E62" t="s">
        <v>1680</v>
      </c>
      <c r="F62" t="s">
        <v>2164</v>
      </c>
      <c r="G62" t="s">
        <v>2099</v>
      </c>
      <c r="H62" t="s">
        <v>1039</v>
      </c>
      <c r="I62" t="s">
        <v>2724</v>
      </c>
      <c r="J62" t="s">
        <v>1602</v>
      </c>
      <c r="K62" t="s">
        <v>1607</v>
      </c>
      <c r="L62" t="s">
        <v>1610</v>
      </c>
      <c r="M62" t="s">
        <v>1636</v>
      </c>
    </row>
    <row r="63" spans="1:13" x14ac:dyDescent="0.25">
      <c r="A63" t="s">
        <v>1</v>
      </c>
      <c r="B63" t="s">
        <v>52</v>
      </c>
      <c r="C63" t="s">
        <v>542</v>
      </c>
      <c r="D63" t="s">
        <v>831</v>
      </c>
      <c r="E63" t="s">
        <v>1807</v>
      </c>
      <c r="F63" t="s">
        <v>2165</v>
      </c>
      <c r="G63" t="s">
        <v>2099</v>
      </c>
      <c r="H63" t="s">
        <v>1040</v>
      </c>
      <c r="I63" t="s">
        <v>2726</v>
      </c>
      <c r="J63" t="s">
        <v>1604</v>
      </c>
      <c r="K63" t="s">
        <v>1607</v>
      </c>
      <c r="L63" t="s">
        <v>1610</v>
      </c>
      <c r="M63" t="s">
        <v>1620</v>
      </c>
    </row>
    <row r="64" spans="1:13" x14ac:dyDescent="0.25">
      <c r="A64" t="s">
        <v>1</v>
      </c>
      <c r="B64" t="s">
        <v>53</v>
      </c>
      <c r="C64" t="s">
        <v>586</v>
      </c>
      <c r="D64" t="s">
        <v>542</v>
      </c>
      <c r="E64" t="s">
        <v>1808</v>
      </c>
      <c r="F64" t="s">
        <v>2166</v>
      </c>
      <c r="G64" t="s">
        <v>2099</v>
      </c>
      <c r="H64" t="s">
        <v>1041</v>
      </c>
      <c r="I64" t="s">
        <v>2726</v>
      </c>
      <c r="J64" t="s">
        <v>1604</v>
      </c>
      <c r="K64" t="s">
        <v>1607</v>
      </c>
      <c r="L64" t="s">
        <v>1610</v>
      </c>
      <c r="M64" t="s">
        <v>1620</v>
      </c>
    </row>
    <row r="65" spans="1:13" x14ac:dyDescent="0.25">
      <c r="A65" t="s">
        <v>1</v>
      </c>
      <c r="B65" t="s">
        <v>54</v>
      </c>
      <c r="C65" t="s">
        <v>587</v>
      </c>
      <c r="D65" t="s">
        <v>832</v>
      </c>
      <c r="E65" t="s">
        <v>1809</v>
      </c>
      <c r="F65" t="s">
        <v>2167</v>
      </c>
      <c r="G65" t="s">
        <v>2099</v>
      </c>
      <c r="H65" t="s">
        <v>1042</v>
      </c>
      <c r="I65" t="s">
        <v>2724</v>
      </c>
      <c r="J65" t="s">
        <v>1600</v>
      </c>
      <c r="K65" t="s">
        <v>1607</v>
      </c>
      <c r="L65" t="s">
        <v>1610</v>
      </c>
      <c r="M65" t="s">
        <v>1614</v>
      </c>
    </row>
    <row r="66" spans="1:13" x14ac:dyDescent="0.25">
      <c r="A66" t="s">
        <v>1</v>
      </c>
      <c r="B66" t="s">
        <v>55</v>
      </c>
      <c r="C66" t="s">
        <v>542</v>
      </c>
      <c r="D66" t="s">
        <v>538</v>
      </c>
      <c r="E66" t="s">
        <v>1810</v>
      </c>
      <c r="F66" t="s">
        <v>2168</v>
      </c>
      <c r="G66" t="s">
        <v>2099</v>
      </c>
      <c r="H66" t="s">
        <v>1043</v>
      </c>
      <c r="I66" t="s">
        <v>2724</v>
      </c>
      <c r="J66" t="s">
        <v>1601</v>
      </c>
      <c r="K66" t="s">
        <v>1607</v>
      </c>
      <c r="L66" t="s">
        <v>1610</v>
      </c>
      <c r="M66" t="s">
        <v>1630</v>
      </c>
    </row>
    <row r="67" spans="1:13" x14ac:dyDescent="0.25">
      <c r="A67" t="s">
        <v>1</v>
      </c>
      <c r="B67" t="s">
        <v>56</v>
      </c>
      <c r="C67" t="s">
        <v>533</v>
      </c>
      <c r="D67" t="s">
        <v>574</v>
      </c>
      <c r="E67" t="s">
        <v>1811</v>
      </c>
      <c r="F67" t="s">
        <v>2169</v>
      </c>
      <c r="G67" t="s">
        <v>2099</v>
      </c>
      <c r="H67" t="s">
        <v>1044</v>
      </c>
      <c r="I67" t="s">
        <v>2728</v>
      </c>
      <c r="J67" t="s">
        <v>1603</v>
      </c>
      <c r="K67" t="s">
        <v>1607</v>
      </c>
      <c r="L67" t="s">
        <v>1610</v>
      </c>
      <c r="M67" t="s">
        <v>1641</v>
      </c>
    </row>
    <row r="68" spans="1:13" x14ac:dyDescent="0.25">
      <c r="A68" t="s">
        <v>1</v>
      </c>
      <c r="B68" t="s">
        <v>57</v>
      </c>
      <c r="C68" t="s">
        <v>533</v>
      </c>
      <c r="D68" t="s">
        <v>833</v>
      </c>
      <c r="E68" t="s">
        <v>1812</v>
      </c>
      <c r="F68" t="s">
        <v>2170</v>
      </c>
      <c r="G68" t="s">
        <v>2099</v>
      </c>
      <c r="H68" t="s">
        <v>1045</v>
      </c>
      <c r="I68" t="s">
        <v>2728</v>
      </c>
      <c r="J68" t="s">
        <v>1603</v>
      </c>
      <c r="K68" t="s">
        <v>1607</v>
      </c>
      <c r="L68" t="s">
        <v>1610</v>
      </c>
      <c r="M68" t="s">
        <v>1641</v>
      </c>
    </row>
    <row r="69" spans="1:13" x14ac:dyDescent="0.25">
      <c r="A69" t="s">
        <v>1</v>
      </c>
      <c r="B69" t="s">
        <v>58</v>
      </c>
      <c r="C69" t="s">
        <v>588</v>
      </c>
      <c r="D69" t="s">
        <v>834</v>
      </c>
      <c r="E69" t="s">
        <v>1681</v>
      </c>
      <c r="F69" t="s">
        <v>2171</v>
      </c>
      <c r="G69" t="s">
        <v>2099</v>
      </c>
      <c r="H69" t="s">
        <v>1046</v>
      </c>
      <c r="I69" t="s">
        <v>2726</v>
      </c>
      <c r="J69" t="s">
        <v>1601</v>
      </c>
      <c r="K69" t="s">
        <v>1608</v>
      </c>
      <c r="L69" t="s">
        <v>1610</v>
      </c>
      <c r="M69" t="s">
        <v>1616</v>
      </c>
    </row>
    <row r="70" spans="1:13" x14ac:dyDescent="0.25">
      <c r="A70" t="s">
        <v>1</v>
      </c>
      <c r="B70" t="s">
        <v>58</v>
      </c>
      <c r="C70" t="s">
        <v>546</v>
      </c>
      <c r="D70" t="s">
        <v>835</v>
      </c>
      <c r="E70" t="s">
        <v>1682</v>
      </c>
      <c r="F70" t="s">
        <v>2172</v>
      </c>
      <c r="G70" t="s">
        <v>2099</v>
      </c>
      <c r="H70" t="s">
        <v>1047</v>
      </c>
      <c r="I70" t="s">
        <v>2725</v>
      </c>
      <c r="J70" t="s">
        <v>1603</v>
      </c>
      <c r="K70" t="s">
        <v>1608</v>
      </c>
      <c r="L70" t="s">
        <v>1610</v>
      </c>
      <c r="M70" t="s">
        <v>1627</v>
      </c>
    </row>
    <row r="71" spans="1:13" x14ac:dyDescent="0.25">
      <c r="A71" t="s">
        <v>1</v>
      </c>
      <c r="B71" t="s">
        <v>59</v>
      </c>
      <c r="C71" t="s">
        <v>589</v>
      </c>
      <c r="D71" t="s">
        <v>562</v>
      </c>
      <c r="E71" t="s">
        <v>1813</v>
      </c>
      <c r="F71" t="s">
        <v>2173</v>
      </c>
      <c r="G71" t="s">
        <v>2099</v>
      </c>
      <c r="H71" t="s">
        <v>1048</v>
      </c>
      <c r="I71" t="s">
        <v>2726</v>
      </c>
      <c r="J71" t="s">
        <v>1600</v>
      </c>
      <c r="K71" t="s">
        <v>1608</v>
      </c>
      <c r="L71" t="s">
        <v>1610</v>
      </c>
      <c r="M71" t="s">
        <v>1625</v>
      </c>
    </row>
    <row r="72" spans="1:13" x14ac:dyDescent="0.25">
      <c r="A72" t="s">
        <v>1</v>
      </c>
      <c r="B72" t="s">
        <v>60</v>
      </c>
      <c r="C72" t="s">
        <v>542</v>
      </c>
      <c r="D72" t="s">
        <v>836</v>
      </c>
      <c r="E72" t="s">
        <v>1683</v>
      </c>
      <c r="F72" t="s">
        <v>2174</v>
      </c>
      <c r="G72" t="s">
        <v>2099</v>
      </c>
      <c r="H72" t="s">
        <v>1049</v>
      </c>
      <c r="I72" t="s">
        <v>2731</v>
      </c>
      <c r="J72" t="s">
        <v>1601</v>
      </c>
      <c r="K72" t="s">
        <v>1608</v>
      </c>
      <c r="L72" t="s">
        <v>1610</v>
      </c>
      <c r="M72" t="s">
        <v>1645</v>
      </c>
    </row>
    <row r="73" spans="1:13" x14ac:dyDescent="0.25">
      <c r="A73" t="s">
        <v>1</v>
      </c>
      <c r="B73" t="s">
        <v>61</v>
      </c>
      <c r="C73" t="s">
        <v>590</v>
      </c>
      <c r="D73" t="s">
        <v>795</v>
      </c>
      <c r="E73" t="s">
        <v>1684</v>
      </c>
      <c r="F73" t="s">
        <v>2175</v>
      </c>
      <c r="G73" t="s">
        <v>2099</v>
      </c>
      <c r="H73" t="s">
        <v>1050</v>
      </c>
      <c r="I73" t="s">
        <v>2726</v>
      </c>
      <c r="J73" t="s">
        <v>1602</v>
      </c>
      <c r="K73" t="s">
        <v>1608</v>
      </c>
      <c r="L73" t="s">
        <v>1610</v>
      </c>
      <c r="M73" t="s">
        <v>1617</v>
      </c>
    </row>
    <row r="74" spans="1:13" x14ac:dyDescent="0.25">
      <c r="A74" t="s">
        <v>1</v>
      </c>
      <c r="B74" t="s">
        <v>61</v>
      </c>
      <c r="C74" t="s">
        <v>533</v>
      </c>
      <c r="D74" t="s">
        <v>837</v>
      </c>
      <c r="E74" t="s">
        <v>1685</v>
      </c>
      <c r="F74" t="s">
        <v>2176</v>
      </c>
      <c r="G74" t="s">
        <v>2099</v>
      </c>
      <c r="H74" t="s">
        <v>1051</v>
      </c>
      <c r="I74" t="s">
        <v>2735</v>
      </c>
      <c r="J74" t="s">
        <v>1602</v>
      </c>
      <c r="K74" t="s">
        <v>1608</v>
      </c>
      <c r="L74" t="s">
        <v>1610</v>
      </c>
      <c r="M74" t="s">
        <v>1646</v>
      </c>
    </row>
    <row r="75" spans="1:13" x14ac:dyDescent="0.25">
      <c r="A75" t="s">
        <v>1</v>
      </c>
      <c r="B75" t="s">
        <v>61</v>
      </c>
      <c r="C75" t="s">
        <v>591</v>
      </c>
      <c r="D75" t="s">
        <v>546</v>
      </c>
      <c r="E75" t="s">
        <v>1686</v>
      </c>
      <c r="F75" t="s">
        <v>2177</v>
      </c>
      <c r="G75" t="s">
        <v>2099</v>
      </c>
      <c r="H75" t="s">
        <v>1052</v>
      </c>
      <c r="I75" t="s">
        <v>2726</v>
      </c>
      <c r="J75" t="s">
        <v>1602</v>
      </c>
      <c r="K75" t="s">
        <v>1608</v>
      </c>
      <c r="L75" t="s">
        <v>1610</v>
      </c>
      <c r="M75" t="s">
        <v>1617</v>
      </c>
    </row>
    <row r="76" spans="1:13" x14ac:dyDescent="0.25">
      <c r="A76" t="s">
        <v>1</v>
      </c>
      <c r="B76" t="s">
        <v>62</v>
      </c>
      <c r="C76" t="s">
        <v>592</v>
      </c>
      <c r="D76" t="s">
        <v>593</v>
      </c>
      <c r="E76" t="s">
        <v>1814</v>
      </c>
      <c r="F76" t="s">
        <v>2178</v>
      </c>
      <c r="G76" t="s">
        <v>2099</v>
      </c>
      <c r="H76" t="s">
        <v>1053</v>
      </c>
      <c r="I76" t="s">
        <v>2726</v>
      </c>
      <c r="J76" t="s">
        <v>1600</v>
      </c>
      <c r="K76" t="s">
        <v>1608</v>
      </c>
      <c r="L76" t="s">
        <v>1610</v>
      </c>
      <c r="M76" t="s">
        <v>1632</v>
      </c>
    </row>
    <row r="77" spans="1:13" x14ac:dyDescent="0.25">
      <c r="A77" t="s">
        <v>1</v>
      </c>
      <c r="B77" t="s">
        <v>63</v>
      </c>
      <c r="C77" t="s">
        <v>593</v>
      </c>
      <c r="D77" t="s">
        <v>773</v>
      </c>
      <c r="E77" t="s">
        <v>1815</v>
      </c>
      <c r="F77" t="s">
        <v>2179</v>
      </c>
      <c r="G77" t="s">
        <v>2099</v>
      </c>
      <c r="H77" t="s">
        <v>1054</v>
      </c>
      <c r="I77" t="s">
        <v>2731</v>
      </c>
      <c r="J77" t="s">
        <v>1602</v>
      </c>
      <c r="K77" t="s">
        <v>1608</v>
      </c>
      <c r="L77" t="s">
        <v>1610</v>
      </c>
      <c r="M77" t="s">
        <v>1628</v>
      </c>
    </row>
    <row r="78" spans="1:13" x14ac:dyDescent="0.25">
      <c r="A78" t="s">
        <v>1</v>
      </c>
      <c r="B78" t="s">
        <v>63</v>
      </c>
      <c r="C78" t="s">
        <v>594</v>
      </c>
      <c r="D78" t="s">
        <v>621</v>
      </c>
      <c r="E78" t="s">
        <v>1816</v>
      </c>
      <c r="F78" t="s">
        <v>2180</v>
      </c>
      <c r="G78" t="s">
        <v>2099</v>
      </c>
      <c r="H78" t="s">
        <v>1055</v>
      </c>
      <c r="I78" t="s">
        <v>2726</v>
      </c>
      <c r="J78" t="s">
        <v>1600</v>
      </c>
      <c r="K78" t="s">
        <v>1608</v>
      </c>
      <c r="L78" t="s">
        <v>1610</v>
      </c>
      <c r="M78" t="s">
        <v>1625</v>
      </c>
    </row>
    <row r="79" spans="1:13" x14ac:dyDescent="0.25">
      <c r="A79" t="s">
        <v>1</v>
      </c>
      <c r="B79" t="s">
        <v>64</v>
      </c>
      <c r="C79" t="s">
        <v>593</v>
      </c>
      <c r="D79" t="s">
        <v>838</v>
      </c>
      <c r="E79" t="s">
        <v>1817</v>
      </c>
      <c r="F79" t="s">
        <v>2181</v>
      </c>
      <c r="G79" t="s">
        <v>2099</v>
      </c>
      <c r="H79" t="s">
        <v>1056</v>
      </c>
      <c r="I79" t="s">
        <v>2726</v>
      </c>
      <c r="J79" t="s">
        <v>1600</v>
      </c>
      <c r="K79" t="s">
        <v>1608</v>
      </c>
      <c r="L79" t="s">
        <v>1610</v>
      </c>
      <c r="M79" t="s">
        <v>1625</v>
      </c>
    </row>
    <row r="80" spans="1:13" x14ac:dyDescent="0.25">
      <c r="A80" t="s">
        <v>1</v>
      </c>
      <c r="B80" t="s">
        <v>65</v>
      </c>
      <c r="C80" t="s">
        <v>579</v>
      </c>
      <c r="D80" t="s">
        <v>674</v>
      </c>
      <c r="E80" t="s">
        <v>1818</v>
      </c>
      <c r="F80" t="s">
        <v>2182</v>
      </c>
      <c r="G80" t="s">
        <v>2099</v>
      </c>
      <c r="H80" t="s">
        <v>1057</v>
      </c>
      <c r="I80" t="s">
        <v>2727</v>
      </c>
      <c r="J80" t="s">
        <v>1600</v>
      </c>
      <c r="K80" t="s">
        <v>1608</v>
      </c>
      <c r="L80" t="s">
        <v>1610</v>
      </c>
      <c r="M80" t="s">
        <v>1619</v>
      </c>
    </row>
    <row r="81" spans="1:13" x14ac:dyDescent="0.25">
      <c r="A81" t="s">
        <v>1</v>
      </c>
      <c r="B81" t="s">
        <v>66</v>
      </c>
      <c r="C81" t="s">
        <v>595</v>
      </c>
      <c r="D81" t="s">
        <v>562</v>
      </c>
      <c r="E81" t="s">
        <v>1819</v>
      </c>
      <c r="F81" t="s">
        <v>2183</v>
      </c>
      <c r="G81" t="s">
        <v>2099</v>
      </c>
      <c r="H81" t="s">
        <v>1058</v>
      </c>
      <c r="I81" t="s">
        <v>2727</v>
      </c>
      <c r="J81" t="s">
        <v>1600</v>
      </c>
      <c r="K81" t="s">
        <v>1608</v>
      </c>
      <c r="L81" t="s">
        <v>1610</v>
      </c>
      <c r="M81" t="s">
        <v>1619</v>
      </c>
    </row>
    <row r="82" spans="1:13" x14ac:dyDescent="0.25">
      <c r="A82" t="s">
        <v>1</v>
      </c>
      <c r="B82" t="s">
        <v>67</v>
      </c>
      <c r="C82" t="s">
        <v>596</v>
      </c>
      <c r="D82" t="s">
        <v>570</v>
      </c>
      <c r="E82" t="s">
        <v>1820</v>
      </c>
      <c r="F82" t="s">
        <v>2184</v>
      </c>
      <c r="G82" t="s">
        <v>2099</v>
      </c>
      <c r="H82" t="s">
        <v>1059</v>
      </c>
      <c r="I82" t="s">
        <v>2726</v>
      </c>
      <c r="J82" t="s">
        <v>1603</v>
      </c>
      <c r="K82" t="s">
        <v>1608</v>
      </c>
      <c r="L82" t="s">
        <v>1610</v>
      </c>
      <c r="M82" t="s">
        <v>1618</v>
      </c>
    </row>
    <row r="83" spans="1:13" x14ac:dyDescent="0.25">
      <c r="A83" t="s">
        <v>1</v>
      </c>
      <c r="B83" t="s">
        <v>68</v>
      </c>
      <c r="C83" t="s">
        <v>597</v>
      </c>
      <c r="D83" t="s">
        <v>839</v>
      </c>
      <c r="E83" t="s">
        <v>1821</v>
      </c>
      <c r="F83" t="s">
        <v>2185</v>
      </c>
      <c r="G83" t="s">
        <v>2099</v>
      </c>
      <c r="H83" t="s">
        <v>1060</v>
      </c>
      <c r="I83" t="s">
        <v>2728</v>
      </c>
      <c r="J83" t="s">
        <v>1602</v>
      </c>
      <c r="K83" t="s">
        <v>1608</v>
      </c>
      <c r="L83" t="s">
        <v>1610</v>
      </c>
      <c r="M83" t="s">
        <v>1635</v>
      </c>
    </row>
    <row r="84" spans="1:13" x14ac:dyDescent="0.25">
      <c r="A84" t="s">
        <v>1</v>
      </c>
      <c r="B84" t="s">
        <v>69</v>
      </c>
      <c r="C84" t="s">
        <v>538</v>
      </c>
      <c r="D84" t="s">
        <v>542</v>
      </c>
      <c r="E84" t="s">
        <v>1822</v>
      </c>
      <c r="F84" t="s">
        <v>2186</v>
      </c>
      <c r="G84" t="s">
        <v>2099</v>
      </c>
      <c r="H84" t="s">
        <v>1061</v>
      </c>
      <c r="I84" t="s">
        <v>2729</v>
      </c>
      <c r="J84" t="s">
        <v>1601</v>
      </c>
      <c r="K84" t="s">
        <v>1608</v>
      </c>
      <c r="L84" t="s">
        <v>1610</v>
      </c>
      <c r="M84" t="s">
        <v>1623</v>
      </c>
    </row>
    <row r="85" spans="1:13" x14ac:dyDescent="0.25">
      <c r="A85" t="s">
        <v>1</v>
      </c>
      <c r="B85" t="s">
        <v>70</v>
      </c>
      <c r="C85" t="s">
        <v>598</v>
      </c>
      <c r="D85" t="s">
        <v>840</v>
      </c>
      <c r="E85" t="s">
        <v>1823</v>
      </c>
      <c r="F85" t="s">
        <v>2187</v>
      </c>
      <c r="G85" t="s">
        <v>2099</v>
      </c>
      <c r="H85" t="s">
        <v>1062</v>
      </c>
      <c r="I85" t="s">
        <v>2726</v>
      </c>
      <c r="J85" t="s">
        <v>1600</v>
      </c>
      <c r="K85" t="s">
        <v>1608</v>
      </c>
      <c r="L85" t="s">
        <v>1610</v>
      </c>
      <c r="M85" t="s">
        <v>1632</v>
      </c>
    </row>
    <row r="86" spans="1:13" x14ac:dyDescent="0.25">
      <c r="A86" t="s">
        <v>1</v>
      </c>
      <c r="B86" t="s">
        <v>71</v>
      </c>
      <c r="C86" t="s">
        <v>547</v>
      </c>
      <c r="D86" t="s">
        <v>841</v>
      </c>
      <c r="E86" t="s">
        <v>1824</v>
      </c>
      <c r="F86" t="s">
        <v>2188</v>
      </c>
      <c r="G86" t="s">
        <v>2099</v>
      </c>
      <c r="H86" t="s">
        <v>1063</v>
      </c>
      <c r="I86" t="s">
        <v>2733</v>
      </c>
      <c r="J86" t="s">
        <v>1603</v>
      </c>
      <c r="K86" t="s">
        <v>1608</v>
      </c>
      <c r="L86" t="s">
        <v>1610</v>
      </c>
      <c r="M86" t="s">
        <v>1639</v>
      </c>
    </row>
    <row r="87" spans="1:13" x14ac:dyDescent="0.25">
      <c r="A87" t="s">
        <v>1</v>
      </c>
      <c r="B87" t="s">
        <v>72</v>
      </c>
      <c r="C87" t="s">
        <v>585</v>
      </c>
      <c r="D87" t="s">
        <v>724</v>
      </c>
      <c r="E87" t="s">
        <v>1687</v>
      </c>
      <c r="F87" t="s">
        <v>2189</v>
      </c>
      <c r="G87" t="s">
        <v>2099</v>
      </c>
      <c r="H87" t="s">
        <v>1064</v>
      </c>
      <c r="I87" t="s">
        <v>2728</v>
      </c>
      <c r="J87" t="s">
        <v>1602</v>
      </c>
      <c r="K87" t="s">
        <v>1607</v>
      </c>
      <c r="L87" t="s">
        <v>1610</v>
      </c>
      <c r="M87" t="s">
        <v>1635</v>
      </c>
    </row>
    <row r="88" spans="1:13" x14ac:dyDescent="0.25">
      <c r="A88" t="s">
        <v>1</v>
      </c>
      <c r="B88" t="s">
        <v>73</v>
      </c>
      <c r="C88" t="s">
        <v>599</v>
      </c>
      <c r="D88" t="s">
        <v>842</v>
      </c>
      <c r="E88" t="s">
        <v>1825</v>
      </c>
      <c r="F88" t="s">
        <v>2190</v>
      </c>
      <c r="G88" t="s">
        <v>2099</v>
      </c>
      <c r="H88" t="s">
        <v>1065</v>
      </c>
      <c r="I88" t="s">
        <v>2731</v>
      </c>
      <c r="J88" t="s">
        <v>1600</v>
      </c>
      <c r="K88" t="s">
        <v>1608</v>
      </c>
      <c r="L88" t="s">
        <v>1610</v>
      </c>
      <c r="M88" t="s">
        <v>1633</v>
      </c>
    </row>
    <row r="89" spans="1:13" x14ac:dyDescent="0.25">
      <c r="A89" t="s">
        <v>1</v>
      </c>
      <c r="B89" t="s">
        <v>74</v>
      </c>
      <c r="C89" t="s">
        <v>600</v>
      </c>
      <c r="D89" t="s">
        <v>686</v>
      </c>
      <c r="E89" t="s">
        <v>1826</v>
      </c>
      <c r="F89" t="s">
        <v>2191</v>
      </c>
      <c r="G89" t="s">
        <v>2099</v>
      </c>
      <c r="H89" t="s">
        <v>1066</v>
      </c>
      <c r="I89" t="s">
        <v>2730</v>
      </c>
      <c r="J89" t="s">
        <v>1601</v>
      </c>
      <c r="K89" t="s">
        <v>1607</v>
      </c>
      <c r="L89" t="s">
        <v>1610</v>
      </c>
      <c r="M89" t="s">
        <v>1624</v>
      </c>
    </row>
    <row r="90" spans="1:13" x14ac:dyDescent="0.25">
      <c r="A90" t="s">
        <v>1</v>
      </c>
      <c r="B90" t="s">
        <v>75</v>
      </c>
      <c r="C90" t="s">
        <v>601</v>
      </c>
      <c r="D90" t="s">
        <v>622</v>
      </c>
      <c r="E90" t="s">
        <v>1827</v>
      </c>
      <c r="F90" t="s">
        <v>2192</v>
      </c>
      <c r="G90" t="s">
        <v>2099</v>
      </c>
      <c r="H90" t="s">
        <v>1067</v>
      </c>
      <c r="I90" t="s">
        <v>2726</v>
      </c>
      <c r="J90" t="s">
        <v>1601</v>
      </c>
      <c r="K90" t="s">
        <v>1607</v>
      </c>
      <c r="L90" t="s">
        <v>1610</v>
      </c>
      <c r="M90" t="s">
        <v>1616</v>
      </c>
    </row>
    <row r="91" spans="1:13" x14ac:dyDescent="0.25">
      <c r="A91" t="s">
        <v>1</v>
      </c>
      <c r="B91" t="s">
        <v>76</v>
      </c>
      <c r="C91" t="s">
        <v>602</v>
      </c>
      <c r="D91" t="s">
        <v>597</v>
      </c>
      <c r="E91" t="s">
        <v>1828</v>
      </c>
      <c r="F91" t="s">
        <v>2193</v>
      </c>
      <c r="G91" t="s">
        <v>2099</v>
      </c>
      <c r="H91" t="s">
        <v>1068</v>
      </c>
      <c r="I91" t="s">
        <v>2728</v>
      </c>
      <c r="J91" t="s">
        <v>1600</v>
      </c>
      <c r="K91" t="s">
        <v>1607</v>
      </c>
      <c r="L91" t="s">
        <v>1610</v>
      </c>
      <c r="M91" t="s">
        <v>1621</v>
      </c>
    </row>
    <row r="92" spans="1:13" x14ac:dyDescent="0.25">
      <c r="A92" t="s">
        <v>1</v>
      </c>
      <c r="B92" t="s">
        <v>77</v>
      </c>
      <c r="C92" t="s">
        <v>603</v>
      </c>
      <c r="D92" t="s">
        <v>533</v>
      </c>
      <c r="E92" t="s">
        <v>1829</v>
      </c>
      <c r="F92" t="s">
        <v>2194</v>
      </c>
      <c r="G92" t="s">
        <v>2099</v>
      </c>
      <c r="H92" t="s">
        <v>1069</v>
      </c>
      <c r="I92" t="s">
        <v>2735</v>
      </c>
      <c r="J92" t="s">
        <v>1603</v>
      </c>
      <c r="K92" t="s">
        <v>1607</v>
      </c>
      <c r="L92" t="s">
        <v>1610</v>
      </c>
      <c r="M92" t="s">
        <v>1647</v>
      </c>
    </row>
    <row r="93" spans="1:13" x14ac:dyDescent="0.25">
      <c r="A93" t="s">
        <v>1</v>
      </c>
      <c r="B93" t="s">
        <v>78</v>
      </c>
      <c r="C93" t="s">
        <v>604</v>
      </c>
      <c r="D93" t="s">
        <v>546</v>
      </c>
      <c r="E93" t="s">
        <v>1830</v>
      </c>
      <c r="F93" t="s">
        <v>2195</v>
      </c>
      <c r="G93" t="s">
        <v>2099</v>
      </c>
      <c r="H93" t="s">
        <v>1070</v>
      </c>
      <c r="I93" t="s">
        <v>2726</v>
      </c>
      <c r="J93" t="s">
        <v>1600</v>
      </c>
      <c r="K93" t="s">
        <v>1608</v>
      </c>
      <c r="L93" t="s">
        <v>1610</v>
      </c>
      <c r="M93" t="s">
        <v>1632</v>
      </c>
    </row>
    <row r="94" spans="1:13" x14ac:dyDescent="0.25">
      <c r="A94" t="s">
        <v>1</v>
      </c>
      <c r="B94" t="s">
        <v>79</v>
      </c>
      <c r="C94" t="s">
        <v>605</v>
      </c>
      <c r="D94" t="s">
        <v>843</v>
      </c>
      <c r="E94" t="s">
        <v>1831</v>
      </c>
      <c r="F94" t="s">
        <v>2196</v>
      </c>
      <c r="G94" t="s">
        <v>2099</v>
      </c>
      <c r="H94" t="s">
        <v>1071</v>
      </c>
      <c r="I94" t="s">
        <v>2728</v>
      </c>
      <c r="J94" t="s">
        <v>1600</v>
      </c>
      <c r="K94" t="s">
        <v>1607</v>
      </c>
      <c r="L94" t="s">
        <v>1610</v>
      </c>
      <c r="M94" t="s">
        <v>1621</v>
      </c>
    </row>
    <row r="95" spans="1:13" x14ac:dyDescent="0.25">
      <c r="A95" t="s">
        <v>1</v>
      </c>
      <c r="B95" t="s">
        <v>80</v>
      </c>
      <c r="C95" t="s">
        <v>551</v>
      </c>
      <c r="D95" t="s">
        <v>649</v>
      </c>
      <c r="E95" t="s">
        <v>1832</v>
      </c>
      <c r="F95" t="s">
        <v>2197</v>
      </c>
      <c r="G95" t="s">
        <v>2099</v>
      </c>
      <c r="H95" t="s">
        <v>1072</v>
      </c>
      <c r="I95" t="s">
        <v>2733</v>
      </c>
      <c r="J95" t="s">
        <v>1603</v>
      </c>
      <c r="K95" t="s">
        <v>1607</v>
      </c>
      <c r="L95" t="s">
        <v>1610</v>
      </c>
      <c r="M95" t="s">
        <v>1639</v>
      </c>
    </row>
    <row r="96" spans="1:13" x14ac:dyDescent="0.25">
      <c r="A96" t="s">
        <v>1</v>
      </c>
      <c r="B96" t="s">
        <v>81</v>
      </c>
      <c r="C96" t="s">
        <v>606</v>
      </c>
      <c r="D96" t="s">
        <v>649</v>
      </c>
      <c r="E96" t="s">
        <v>1833</v>
      </c>
      <c r="F96" t="s">
        <v>2198</v>
      </c>
      <c r="G96" t="s">
        <v>2099</v>
      </c>
      <c r="H96" t="s">
        <v>1073</v>
      </c>
      <c r="I96" t="s">
        <v>2728</v>
      </c>
      <c r="J96" t="s">
        <v>1601</v>
      </c>
      <c r="K96" t="s">
        <v>1607</v>
      </c>
      <c r="L96" t="s">
        <v>1610</v>
      </c>
      <c r="M96" t="s">
        <v>1634</v>
      </c>
    </row>
    <row r="97" spans="1:13" x14ac:dyDescent="0.25">
      <c r="A97" t="s">
        <v>1</v>
      </c>
      <c r="B97" t="s">
        <v>82</v>
      </c>
      <c r="C97" t="s">
        <v>607</v>
      </c>
      <c r="D97" t="s">
        <v>708</v>
      </c>
      <c r="E97" t="s">
        <v>1834</v>
      </c>
      <c r="F97" t="s">
        <v>2199</v>
      </c>
      <c r="G97" t="s">
        <v>2099</v>
      </c>
      <c r="H97" t="s">
        <v>1074</v>
      </c>
      <c r="I97" t="s">
        <v>2728</v>
      </c>
      <c r="J97" t="s">
        <v>1603</v>
      </c>
      <c r="K97" t="s">
        <v>1607</v>
      </c>
      <c r="L97" t="s">
        <v>1610</v>
      </c>
      <c r="M97" t="s">
        <v>1641</v>
      </c>
    </row>
    <row r="98" spans="1:13" x14ac:dyDescent="0.25">
      <c r="A98" t="s">
        <v>1</v>
      </c>
      <c r="B98" t="s">
        <v>83</v>
      </c>
      <c r="C98" t="s">
        <v>541</v>
      </c>
      <c r="D98" t="s">
        <v>720</v>
      </c>
      <c r="E98" t="s">
        <v>1835</v>
      </c>
      <c r="F98" t="s">
        <v>2200</v>
      </c>
      <c r="G98" t="s">
        <v>2099</v>
      </c>
      <c r="H98" t="s">
        <v>1075</v>
      </c>
      <c r="I98" t="s">
        <v>2726</v>
      </c>
      <c r="J98" t="s">
        <v>1604</v>
      </c>
      <c r="K98" t="s">
        <v>1608</v>
      </c>
      <c r="L98" t="s">
        <v>1610</v>
      </c>
      <c r="M98" t="s">
        <v>1620</v>
      </c>
    </row>
    <row r="99" spans="1:13" x14ac:dyDescent="0.25">
      <c r="A99" t="s">
        <v>1</v>
      </c>
      <c r="B99" t="s">
        <v>84</v>
      </c>
      <c r="C99" t="s">
        <v>608</v>
      </c>
      <c r="D99" t="s">
        <v>397</v>
      </c>
      <c r="E99" t="s">
        <v>1688</v>
      </c>
      <c r="F99" t="s">
        <v>2201</v>
      </c>
      <c r="G99" t="s">
        <v>2099</v>
      </c>
      <c r="H99" t="s">
        <v>1076</v>
      </c>
      <c r="I99" t="s">
        <v>2728</v>
      </c>
      <c r="J99" t="s">
        <v>1600</v>
      </c>
      <c r="K99" t="s">
        <v>1607</v>
      </c>
      <c r="L99" t="s">
        <v>1610</v>
      </c>
      <c r="M99" t="s">
        <v>1621</v>
      </c>
    </row>
    <row r="100" spans="1:13" x14ac:dyDescent="0.25">
      <c r="A100" t="s">
        <v>1</v>
      </c>
      <c r="B100" t="s">
        <v>85</v>
      </c>
      <c r="C100" t="s">
        <v>566</v>
      </c>
      <c r="D100" t="s">
        <v>844</v>
      </c>
      <c r="E100" t="s">
        <v>1836</v>
      </c>
      <c r="F100" t="s">
        <v>2202</v>
      </c>
      <c r="G100" t="s">
        <v>2099</v>
      </c>
      <c r="H100" t="s">
        <v>1077</v>
      </c>
      <c r="I100" t="s">
        <v>2730</v>
      </c>
      <c r="J100" t="s">
        <v>1600</v>
      </c>
      <c r="K100" t="s">
        <v>1607</v>
      </c>
      <c r="L100" t="s">
        <v>1610</v>
      </c>
      <c r="M100" t="s">
        <v>1642</v>
      </c>
    </row>
    <row r="101" spans="1:13" x14ac:dyDescent="0.25">
      <c r="A101" t="s">
        <v>1</v>
      </c>
      <c r="B101" t="s">
        <v>86</v>
      </c>
      <c r="C101" t="s">
        <v>609</v>
      </c>
      <c r="D101" t="s">
        <v>585</v>
      </c>
      <c r="E101" t="s">
        <v>1837</v>
      </c>
      <c r="F101" t="s">
        <v>2203</v>
      </c>
      <c r="G101" t="s">
        <v>2099</v>
      </c>
      <c r="H101" t="s">
        <v>1078</v>
      </c>
      <c r="I101" t="s">
        <v>2730</v>
      </c>
      <c r="J101" t="s">
        <v>1602</v>
      </c>
      <c r="K101" t="s">
        <v>1607</v>
      </c>
      <c r="L101" t="s">
        <v>1610</v>
      </c>
      <c r="M101" t="s">
        <v>1626</v>
      </c>
    </row>
    <row r="102" spans="1:13" x14ac:dyDescent="0.25">
      <c r="A102" t="s">
        <v>1</v>
      </c>
      <c r="B102" t="s">
        <v>87</v>
      </c>
      <c r="C102" t="s">
        <v>610</v>
      </c>
      <c r="D102" t="s">
        <v>845</v>
      </c>
      <c r="E102" t="s">
        <v>1838</v>
      </c>
      <c r="F102" t="s">
        <v>2204</v>
      </c>
      <c r="G102" t="s">
        <v>2099</v>
      </c>
      <c r="H102" t="s">
        <v>1079</v>
      </c>
      <c r="I102" t="s">
        <v>2728</v>
      </c>
      <c r="J102" t="s">
        <v>1600</v>
      </c>
      <c r="K102" t="s">
        <v>1607</v>
      </c>
      <c r="L102" t="s">
        <v>1610</v>
      </c>
      <c r="M102" t="s">
        <v>1621</v>
      </c>
    </row>
    <row r="103" spans="1:13" x14ac:dyDescent="0.25">
      <c r="A103" t="s">
        <v>1</v>
      </c>
      <c r="B103" t="s">
        <v>88</v>
      </c>
      <c r="C103" t="s">
        <v>611</v>
      </c>
      <c r="D103" t="s">
        <v>547</v>
      </c>
      <c r="E103" t="s">
        <v>1689</v>
      </c>
      <c r="F103" t="s">
        <v>2205</v>
      </c>
      <c r="G103" t="s">
        <v>2099</v>
      </c>
      <c r="H103" t="s">
        <v>1080</v>
      </c>
      <c r="I103" t="s">
        <v>2726</v>
      </c>
      <c r="J103" t="s">
        <v>1600</v>
      </c>
      <c r="K103" t="s">
        <v>1608</v>
      </c>
      <c r="L103" t="s">
        <v>1610</v>
      </c>
      <c r="M103" t="s">
        <v>1632</v>
      </c>
    </row>
    <row r="104" spans="1:13" x14ac:dyDescent="0.25">
      <c r="A104" t="s">
        <v>1</v>
      </c>
      <c r="B104" t="s">
        <v>89</v>
      </c>
      <c r="C104" t="s">
        <v>612</v>
      </c>
      <c r="D104" t="s">
        <v>846</v>
      </c>
      <c r="E104" t="s">
        <v>1839</v>
      </c>
      <c r="F104" t="s">
        <v>2206</v>
      </c>
      <c r="G104" t="s">
        <v>2099</v>
      </c>
      <c r="H104" t="s">
        <v>1081</v>
      </c>
      <c r="I104" t="s">
        <v>2726</v>
      </c>
      <c r="J104" t="s">
        <v>1602</v>
      </c>
      <c r="K104" t="s">
        <v>1608</v>
      </c>
      <c r="L104" t="s">
        <v>1610</v>
      </c>
      <c r="M104" t="s">
        <v>1617</v>
      </c>
    </row>
    <row r="105" spans="1:13" x14ac:dyDescent="0.25">
      <c r="A105" t="s">
        <v>1</v>
      </c>
      <c r="B105" t="s">
        <v>90</v>
      </c>
      <c r="C105" t="s">
        <v>613</v>
      </c>
      <c r="D105" t="s">
        <v>847</v>
      </c>
      <c r="E105" t="s">
        <v>1840</v>
      </c>
      <c r="F105" t="s">
        <v>2207</v>
      </c>
      <c r="G105" t="s">
        <v>2099</v>
      </c>
      <c r="H105" t="s">
        <v>1082</v>
      </c>
      <c r="I105" t="s">
        <v>2726</v>
      </c>
      <c r="J105" t="s">
        <v>1601</v>
      </c>
      <c r="K105" t="s">
        <v>1608</v>
      </c>
      <c r="L105" t="s">
        <v>1610</v>
      </c>
      <c r="M105" t="s">
        <v>1616</v>
      </c>
    </row>
    <row r="106" spans="1:13" x14ac:dyDescent="0.25">
      <c r="A106" t="s">
        <v>1</v>
      </c>
      <c r="B106" t="s">
        <v>91</v>
      </c>
      <c r="C106" t="s">
        <v>551</v>
      </c>
      <c r="D106" t="s">
        <v>656</v>
      </c>
      <c r="E106" t="s">
        <v>1841</v>
      </c>
      <c r="F106" t="s">
        <v>2208</v>
      </c>
      <c r="G106" t="s">
        <v>2099</v>
      </c>
      <c r="H106" t="s">
        <v>1083</v>
      </c>
      <c r="I106" t="s">
        <v>2730</v>
      </c>
      <c r="J106" t="s">
        <v>1601</v>
      </c>
      <c r="K106" t="s">
        <v>1608</v>
      </c>
      <c r="L106" t="s">
        <v>1610</v>
      </c>
      <c r="M106" t="s">
        <v>1624</v>
      </c>
    </row>
    <row r="107" spans="1:13" x14ac:dyDescent="0.25">
      <c r="A107" t="s">
        <v>1</v>
      </c>
      <c r="B107" t="s">
        <v>92</v>
      </c>
      <c r="C107" t="s">
        <v>614</v>
      </c>
      <c r="D107" t="s">
        <v>848</v>
      </c>
      <c r="E107" t="s">
        <v>1842</v>
      </c>
      <c r="F107" t="s">
        <v>2209</v>
      </c>
      <c r="G107" t="s">
        <v>2099</v>
      </c>
      <c r="H107" t="s">
        <v>1084</v>
      </c>
      <c r="I107" t="s">
        <v>2727</v>
      </c>
      <c r="J107" t="s">
        <v>1600</v>
      </c>
      <c r="K107" t="s">
        <v>1608</v>
      </c>
      <c r="L107" t="s">
        <v>1610</v>
      </c>
      <c r="M107" t="s">
        <v>1619</v>
      </c>
    </row>
    <row r="108" spans="1:13" x14ac:dyDescent="0.25">
      <c r="A108" t="s">
        <v>1</v>
      </c>
      <c r="B108" t="s">
        <v>93</v>
      </c>
      <c r="C108" t="s">
        <v>615</v>
      </c>
      <c r="D108" t="s">
        <v>849</v>
      </c>
      <c r="E108" t="s">
        <v>1843</v>
      </c>
      <c r="F108" t="s">
        <v>2210</v>
      </c>
      <c r="G108" t="s">
        <v>2099</v>
      </c>
      <c r="H108" t="s">
        <v>1085</v>
      </c>
      <c r="I108" t="s">
        <v>2729</v>
      </c>
      <c r="J108" t="s">
        <v>1600</v>
      </c>
      <c r="K108" t="s">
        <v>1607</v>
      </c>
      <c r="L108" t="s">
        <v>1610</v>
      </c>
      <c r="M108" t="s">
        <v>1631</v>
      </c>
    </row>
    <row r="109" spans="1:13" x14ac:dyDescent="0.25">
      <c r="A109" t="s">
        <v>1</v>
      </c>
      <c r="B109" t="s">
        <v>94</v>
      </c>
      <c r="C109" t="s">
        <v>555</v>
      </c>
      <c r="D109" t="s">
        <v>850</v>
      </c>
      <c r="E109" t="s">
        <v>1844</v>
      </c>
      <c r="F109" t="s">
        <v>2211</v>
      </c>
      <c r="G109" t="s">
        <v>2099</v>
      </c>
      <c r="H109" t="s">
        <v>1086</v>
      </c>
      <c r="I109" t="s">
        <v>2728</v>
      </c>
      <c r="J109" t="s">
        <v>1600</v>
      </c>
      <c r="K109" t="s">
        <v>1607</v>
      </c>
      <c r="L109" t="s">
        <v>1610</v>
      </c>
      <c r="M109" t="s">
        <v>1621</v>
      </c>
    </row>
    <row r="110" spans="1:13" x14ac:dyDescent="0.25">
      <c r="A110" t="s">
        <v>1</v>
      </c>
      <c r="B110" t="s">
        <v>95</v>
      </c>
      <c r="C110" t="s">
        <v>616</v>
      </c>
      <c r="D110" t="s">
        <v>851</v>
      </c>
      <c r="E110" t="s">
        <v>1845</v>
      </c>
      <c r="F110" t="s">
        <v>2212</v>
      </c>
      <c r="G110" t="s">
        <v>2099</v>
      </c>
      <c r="H110" t="s">
        <v>1087</v>
      </c>
      <c r="I110" t="s">
        <v>2728</v>
      </c>
      <c r="J110" t="s">
        <v>1601</v>
      </c>
      <c r="K110" t="s">
        <v>1607</v>
      </c>
      <c r="L110" t="s">
        <v>1610</v>
      </c>
      <c r="M110" t="s">
        <v>1634</v>
      </c>
    </row>
    <row r="111" spans="1:13" x14ac:dyDescent="0.25">
      <c r="A111" t="s">
        <v>1</v>
      </c>
      <c r="B111" t="s">
        <v>96</v>
      </c>
      <c r="C111" t="s">
        <v>617</v>
      </c>
      <c r="D111" t="s">
        <v>641</v>
      </c>
      <c r="E111" t="s">
        <v>1846</v>
      </c>
      <c r="F111" t="s">
        <v>2213</v>
      </c>
      <c r="G111" t="s">
        <v>2099</v>
      </c>
      <c r="H111" t="s">
        <v>1088</v>
      </c>
      <c r="I111" t="s">
        <v>2726</v>
      </c>
      <c r="J111" t="s">
        <v>1602</v>
      </c>
      <c r="K111" t="s">
        <v>1607</v>
      </c>
      <c r="L111" t="s">
        <v>1610</v>
      </c>
      <c r="M111" t="s">
        <v>1617</v>
      </c>
    </row>
    <row r="112" spans="1:13" x14ac:dyDescent="0.25">
      <c r="A112" t="s">
        <v>1</v>
      </c>
      <c r="B112" t="s">
        <v>97</v>
      </c>
      <c r="C112" t="s">
        <v>618</v>
      </c>
      <c r="D112" t="s">
        <v>563</v>
      </c>
      <c r="E112" t="s">
        <v>1847</v>
      </c>
      <c r="F112" t="s">
        <v>2214</v>
      </c>
      <c r="G112" t="s">
        <v>2099</v>
      </c>
      <c r="H112" t="s">
        <v>1089</v>
      </c>
      <c r="I112" t="s">
        <v>2725</v>
      </c>
      <c r="J112" t="s">
        <v>1603</v>
      </c>
      <c r="K112" t="s">
        <v>1608</v>
      </c>
      <c r="L112" t="s">
        <v>1610</v>
      </c>
      <c r="M112" t="s">
        <v>1627</v>
      </c>
    </row>
    <row r="113" spans="1:13" x14ac:dyDescent="0.25">
      <c r="A113" t="s">
        <v>1</v>
      </c>
      <c r="B113" t="s">
        <v>98</v>
      </c>
      <c r="C113" t="s">
        <v>602</v>
      </c>
      <c r="D113" t="s">
        <v>581</v>
      </c>
      <c r="E113" t="s">
        <v>1848</v>
      </c>
      <c r="F113" t="s">
        <v>2215</v>
      </c>
      <c r="G113" t="s">
        <v>2099</v>
      </c>
      <c r="H113" t="s">
        <v>1090</v>
      </c>
      <c r="I113" t="s">
        <v>2726</v>
      </c>
      <c r="J113" t="s">
        <v>1603</v>
      </c>
      <c r="K113" t="s">
        <v>1608</v>
      </c>
      <c r="L113" t="s">
        <v>1610</v>
      </c>
      <c r="M113" t="s">
        <v>1618</v>
      </c>
    </row>
    <row r="114" spans="1:13" x14ac:dyDescent="0.25">
      <c r="A114" t="s">
        <v>1</v>
      </c>
      <c r="B114" t="s">
        <v>99</v>
      </c>
      <c r="C114" t="s">
        <v>619</v>
      </c>
      <c r="D114" t="s">
        <v>852</v>
      </c>
      <c r="E114" t="s">
        <v>1690</v>
      </c>
      <c r="F114" t="s">
        <v>2216</v>
      </c>
      <c r="G114" t="s">
        <v>2099</v>
      </c>
      <c r="H114" t="s">
        <v>1091</v>
      </c>
      <c r="I114" t="s">
        <v>2725</v>
      </c>
      <c r="J114" t="s">
        <v>1602</v>
      </c>
      <c r="K114" t="s">
        <v>1607</v>
      </c>
      <c r="L114" t="s">
        <v>1610</v>
      </c>
      <c r="M114" t="s">
        <v>1648</v>
      </c>
    </row>
    <row r="115" spans="1:13" x14ac:dyDescent="0.25">
      <c r="A115" t="s">
        <v>1</v>
      </c>
      <c r="B115" t="s">
        <v>100</v>
      </c>
      <c r="C115" t="s">
        <v>620</v>
      </c>
      <c r="D115" t="s">
        <v>584</v>
      </c>
      <c r="E115" t="s">
        <v>1849</v>
      </c>
      <c r="F115" t="s">
        <v>2217</v>
      </c>
      <c r="G115" t="s">
        <v>2099</v>
      </c>
      <c r="H115" t="s">
        <v>1092</v>
      </c>
      <c r="I115" t="s">
        <v>2728</v>
      </c>
      <c r="J115" t="s">
        <v>1602</v>
      </c>
      <c r="K115" t="s">
        <v>1608</v>
      </c>
      <c r="L115" t="s">
        <v>1610</v>
      </c>
      <c r="M115" t="s">
        <v>1635</v>
      </c>
    </row>
    <row r="116" spans="1:13" x14ac:dyDescent="0.25">
      <c r="A116" t="s">
        <v>1</v>
      </c>
      <c r="B116" t="s">
        <v>101</v>
      </c>
      <c r="C116" t="s">
        <v>621</v>
      </c>
      <c r="D116" t="s">
        <v>853</v>
      </c>
      <c r="E116" t="s">
        <v>1850</v>
      </c>
      <c r="F116" t="s">
        <v>2218</v>
      </c>
      <c r="G116" t="s">
        <v>2099</v>
      </c>
      <c r="H116" t="s">
        <v>1093</v>
      </c>
      <c r="I116" t="s">
        <v>2736</v>
      </c>
      <c r="J116" t="s">
        <v>1601</v>
      </c>
      <c r="K116" t="s">
        <v>1608</v>
      </c>
      <c r="L116" t="s">
        <v>1610</v>
      </c>
      <c r="M116" t="s">
        <v>1649</v>
      </c>
    </row>
    <row r="117" spans="1:13" x14ac:dyDescent="0.25">
      <c r="A117" t="s">
        <v>1</v>
      </c>
      <c r="B117" t="s">
        <v>102</v>
      </c>
      <c r="C117" t="s">
        <v>622</v>
      </c>
      <c r="D117" t="s">
        <v>724</v>
      </c>
      <c r="E117" t="s">
        <v>1851</v>
      </c>
      <c r="F117" t="s">
        <v>2219</v>
      </c>
      <c r="G117" t="s">
        <v>2099</v>
      </c>
      <c r="H117" t="s">
        <v>1094</v>
      </c>
      <c r="I117" t="s">
        <v>2730</v>
      </c>
      <c r="J117" t="s">
        <v>1602</v>
      </c>
      <c r="K117" t="s">
        <v>1608</v>
      </c>
      <c r="L117" t="s">
        <v>1610</v>
      </c>
      <c r="M117" t="s">
        <v>1626</v>
      </c>
    </row>
    <row r="118" spans="1:13" x14ac:dyDescent="0.25">
      <c r="A118" t="s">
        <v>1</v>
      </c>
      <c r="B118" t="s">
        <v>103</v>
      </c>
      <c r="C118" t="s">
        <v>623</v>
      </c>
      <c r="D118" t="s">
        <v>593</v>
      </c>
      <c r="E118" t="s">
        <v>1852</v>
      </c>
      <c r="F118" t="s">
        <v>2220</v>
      </c>
      <c r="G118" t="s">
        <v>2099</v>
      </c>
      <c r="H118" t="s">
        <v>1095</v>
      </c>
      <c r="I118" t="s">
        <v>2730</v>
      </c>
      <c r="J118" t="s">
        <v>1602</v>
      </c>
      <c r="K118" t="s">
        <v>1608</v>
      </c>
      <c r="L118" t="s">
        <v>1610</v>
      </c>
      <c r="M118" t="s">
        <v>1626</v>
      </c>
    </row>
    <row r="119" spans="1:13" x14ac:dyDescent="0.25">
      <c r="A119" t="s">
        <v>1</v>
      </c>
      <c r="B119" t="s">
        <v>104</v>
      </c>
      <c r="C119" t="s">
        <v>624</v>
      </c>
      <c r="D119" t="s">
        <v>724</v>
      </c>
      <c r="E119" t="s">
        <v>1853</v>
      </c>
      <c r="F119" t="s">
        <v>2221</v>
      </c>
      <c r="G119" t="s">
        <v>2099</v>
      </c>
      <c r="H119" t="s">
        <v>1096</v>
      </c>
      <c r="I119" t="s">
        <v>2724</v>
      </c>
      <c r="J119" t="s">
        <v>1601</v>
      </c>
      <c r="K119" t="s">
        <v>1608</v>
      </c>
      <c r="L119" t="s">
        <v>1610</v>
      </c>
      <c r="M119" t="s">
        <v>1630</v>
      </c>
    </row>
    <row r="120" spans="1:13" x14ac:dyDescent="0.25">
      <c r="A120" t="s">
        <v>1</v>
      </c>
      <c r="B120" t="s">
        <v>104</v>
      </c>
      <c r="C120" t="s">
        <v>551</v>
      </c>
      <c r="D120" t="s">
        <v>854</v>
      </c>
      <c r="E120" t="s">
        <v>1854</v>
      </c>
      <c r="F120" t="s">
        <v>2222</v>
      </c>
      <c r="G120" t="s">
        <v>2099</v>
      </c>
      <c r="H120" t="s">
        <v>1097</v>
      </c>
      <c r="I120" t="s">
        <v>2726</v>
      </c>
      <c r="J120" t="s">
        <v>1600</v>
      </c>
      <c r="K120" t="s">
        <v>1608</v>
      </c>
      <c r="L120" t="s">
        <v>1610</v>
      </c>
      <c r="M120" t="s">
        <v>1632</v>
      </c>
    </row>
    <row r="121" spans="1:13" x14ac:dyDescent="0.25">
      <c r="A121" t="s">
        <v>1</v>
      </c>
      <c r="B121" t="s">
        <v>105</v>
      </c>
      <c r="C121" t="s">
        <v>625</v>
      </c>
      <c r="D121" t="s">
        <v>855</v>
      </c>
      <c r="E121" t="s">
        <v>1855</v>
      </c>
      <c r="F121" t="s">
        <v>2223</v>
      </c>
      <c r="G121" t="s">
        <v>2099</v>
      </c>
      <c r="H121" t="s">
        <v>1098</v>
      </c>
      <c r="I121" t="s">
        <v>2726</v>
      </c>
      <c r="J121" t="s">
        <v>1603</v>
      </c>
      <c r="K121" t="s">
        <v>1607</v>
      </c>
      <c r="L121" t="s">
        <v>1610</v>
      </c>
      <c r="M121" t="s">
        <v>1618</v>
      </c>
    </row>
    <row r="122" spans="1:13" x14ac:dyDescent="0.25">
      <c r="A122" t="s">
        <v>1</v>
      </c>
      <c r="B122" t="s">
        <v>106</v>
      </c>
      <c r="C122" t="s">
        <v>626</v>
      </c>
      <c r="D122" t="s">
        <v>617</v>
      </c>
      <c r="E122" t="s">
        <v>1856</v>
      </c>
      <c r="F122" t="s">
        <v>2224</v>
      </c>
      <c r="G122" t="s">
        <v>2099</v>
      </c>
      <c r="H122" t="s">
        <v>1099</v>
      </c>
      <c r="I122" t="s">
        <v>2730</v>
      </c>
      <c r="J122" t="s">
        <v>1602</v>
      </c>
      <c r="K122" t="s">
        <v>1607</v>
      </c>
      <c r="L122" t="s">
        <v>1610</v>
      </c>
      <c r="M122" t="s">
        <v>1626</v>
      </c>
    </row>
    <row r="123" spans="1:13" x14ac:dyDescent="0.25">
      <c r="A123" t="s">
        <v>1</v>
      </c>
      <c r="B123" t="s">
        <v>107</v>
      </c>
      <c r="C123" t="s">
        <v>627</v>
      </c>
      <c r="D123" t="s">
        <v>673</v>
      </c>
      <c r="E123" t="s">
        <v>1691</v>
      </c>
      <c r="F123" t="s">
        <v>2225</v>
      </c>
      <c r="G123" t="s">
        <v>2099</v>
      </c>
      <c r="H123" t="s">
        <v>1100</v>
      </c>
      <c r="I123" t="s">
        <v>2734</v>
      </c>
      <c r="J123" t="s">
        <v>1603</v>
      </c>
      <c r="K123" t="s">
        <v>1607</v>
      </c>
      <c r="L123" t="s">
        <v>1610</v>
      </c>
      <c r="M123" t="s">
        <v>1650</v>
      </c>
    </row>
    <row r="124" spans="1:13" x14ac:dyDescent="0.25">
      <c r="A124" t="s">
        <v>1</v>
      </c>
      <c r="B124" t="s">
        <v>108</v>
      </c>
      <c r="C124" t="s">
        <v>532</v>
      </c>
      <c r="D124" t="s">
        <v>856</v>
      </c>
      <c r="E124" t="s">
        <v>1857</v>
      </c>
      <c r="F124" t="s">
        <v>2226</v>
      </c>
      <c r="G124" t="s">
        <v>2099</v>
      </c>
      <c r="H124" t="s">
        <v>1101</v>
      </c>
      <c r="I124" t="s">
        <v>2728</v>
      </c>
      <c r="J124" t="s">
        <v>1601</v>
      </c>
      <c r="K124" t="s">
        <v>1607</v>
      </c>
      <c r="L124" t="s">
        <v>1610</v>
      </c>
      <c r="M124" t="s">
        <v>1634</v>
      </c>
    </row>
    <row r="125" spans="1:13" x14ac:dyDescent="0.25">
      <c r="A125" t="s">
        <v>1</v>
      </c>
      <c r="B125" t="s">
        <v>109</v>
      </c>
      <c r="C125" t="s">
        <v>628</v>
      </c>
      <c r="D125" t="s">
        <v>541</v>
      </c>
      <c r="E125" t="s">
        <v>1692</v>
      </c>
      <c r="F125" t="s">
        <v>2227</v>
      </c>
      <c r="G125" t="s">
        <v>2099</v>
      </c>
      <c r="H125" t="s">
        <v>1102</v>
      </c>
      <c r="I125" t="s">
        <v>2729</v>
      </c>
      <c r="J125" t="s">
        <v>1602</v>
      </c>
      <c r="K125" t="s">
        <v>1608</v>
      </c>
      <c r="L125" t="s">
        <v>1610</v>
      </c>
      <c r="M125" t="s">
        <v>1638</v>
      </c>
    </row>
    <row r="126" spans="1:13" x14ac:dyDescent="0.25">
      <c r="A126" t="s">
        <v>1</v>
      </c>
      <c r="B126" t="s">
        <v>110</v>
      </c>
      <c r="C126" t="s">
        <v>629</v>
      </c>
      <c r="D126" t="s">
        <v>625</v>
      </c>
      <c r="E126" t="s">
        <v>1858</v>
      </c>
      <c r="F126" t="s">
        <v>2228</v>
      </c>
      <c r="G126" t="s">
        <v>2099</v>
      </c>
      <c r="H126" t="s">
        <v>1103</v>
      </c>
      <c r="I126" t="s">
        <v>2726</v>
      </c>
      <c r="J126" t="s">
        <v>1603</v>
      </c>
      <c r="K126" t="s">
        <v>1608</v>
      </c>
      <c r="L126" t="s">
        <v>1610</v>
      </c>
      <c r="M126" t="s">
        <v>1618</v>
      </c>
    </row>
    <row r="127" spans="1:13" x14ac:dyDescent="0.25">
      <c r="A127" t="s">
        <v>1</v>
      </c>
      <c r="B127" t="s">
        <v>111</v>
      </c>
      <c r="C127" t="s">
        <v>630</v>
      </c>
      <c r="D127" t="s">
        <v>724</v>
      </c>
      <c r="E127" t="s">
        <v>1859</v>
      </c>
      <c r="F127" t="s">
        <v>2229</v>
      </c>
      <c r="G127" t="s">
        <v>2099</v>
      </c>
      <c r="H127" t="s">
        <v>1104</v>
      </c>
      <c r="I127" t="s">
        <v>2726</v>
      </c>
      <c r="J127" t="s">
        <v>1603</v>
      </c>
      <c r="K127" t="s">
        <v>1608</v>
      </c>
      <c r="L127" t="s">
        <v>1610</v>
      </c>
      <c r="M127" t="s">
        <v>1618</v>
      </c>
    </row>
    <row r="128" spans="1:13" x14ac:dyDescent="0.25">
      <c r="A128" t="s">
        <v>1</v>
      </c>
      <c r="B128" t="s">
        <v>112</v>
      </c>
      <c r="C128" t="s">
        <v>631</v>
      </c>
      <c r="D128" t="s">
        <v>720</v>
      </c>
      <c r="E128" t="s">
        <v>1860</v>
      </c>
      <c r="F128" t="s">
        <v>2230</v>
      </c>
      <c r="G128" t="s">
        <v>2099</v>
      </c>
      <c r="H128" t="s">
        <v>1105</v>
      </c>
      <c r="I128" t="s">
        <v>2726</v>
      </c>
      <c r="J128" t="s">
        <v>1600</v>
      </c>
      <c r="K128" t="s">
        <v>1607</v>
      </c>
      <c r="L128" t="s">
        <v>1610</v>
      </c>
      <c r="M128" t="s">
        <v>1625</v>
      </c>
    </row>
    <row r="129" spans="1:13" x14ac:dyDescent="0.25">
      <c r="A129" t="s">
        <v>1</v>
      </c>
      <c r="B129" t="s">
        <v>113</v>
      </c>
      <c r="C129" t="s">
        <v>632</v>
      </c>
      <c r="D129" t="s">
        <v>542</v>
      </c>
      <c r="E129" t="s">
        <v>1861</v>
      </c>
      <c r="F129" t="s">
        <v>2231</v>
      </c>
      <c r="G129" t="s">
        <v>2099</v>
      </c>
      <c r="H129" t="s">
        <v>1106</v>
      </c>
      <c r="I129" t="s">
        <v>2731</v>
      </c>
      <c r="J129" t="s">
        <v>1602</v>
      </c>
      <c r="K129" t="s">
        <v>1607</v>
      </c>
      <c r="L129" t="s">
        <v>1610</v>
      </c>
      <c r="M129" t="s">
        <v>1628</v>
      </c>
    </row>
    <row r="130" spans="1:13" x14ac:dyDescent="0.25">
      <c r="A130" t="s">
        <v>1</v>
      </c>
      <c r="B130" t="s">
        <v>114</v>
      </c>
      <c r="C130" t="s">
        <v>623</v>
      </c>
      <c r="D130" t="s">
        <v>831</v>
      </c>
      <c r="E130" t="s">
        <v>1862</v>
      </c>
      <c r="F130" t="s">
        <v>2232</v>
      </c>
      <c r="G130" t="s">
        <v>2099</v>
      </c>
      <c r="H130" t="s">
        <v>1107</v>
      </c>
      <c r="I130" t="s">
        <v>2730</v>
      </c>
      <c r="J130" t="s">
        <v>1601</v>
      </c>
      <c r="K130" t="s">
        <v>1607</v>
      </c>
      <c r="L130" t="s">
        <v>1610</v>
      </c>
      <c r="M130" t="s">
        <v>1624</v>
      </c>
    </row>
    <row r="131" spans="1:13" x14ac:dyDescent="0.25">
      <c r="A131" t="s">
        <v>1</v>
      </c>
      <c r="B131" t="s">
        <v>115</v>
      </c>
      <c r="C131" t="s">
        <v>633</v>
      </c>
      <c r="D131" t="s">
        <v>683</v>
      </c>
      <c r="E131" t="s">
        <v>1863</v>
      </c>
      <c r="F131" t="s">
        <v>2233</v>
      </c>
      <c r="G131" t="s">
        <v>2099</v>
      </c>
      <c r="H131" t="s">
        <v>1108</v>
      </c>
      <c r="I131" t="s">
        <v>2733</v>
      </c>
      <c r="J131" t="s">
        <v>1602</v>
      </c>
      <c r="K131" t="s">
        <v>1607</v>
      </c>
      <c r="L131" t="s">
        <v>1610</v>
      </c>
      <c r="M131" t="s">
        <v>1651</v>
      </c>
    </row>
    <row r="132" spans="1:13" x14ac:dyDescent="0.25">
      <c r="A132" t="s">
        <v>1</v>
      </c>
      <c r="B132" t="s">
        <v>116</v>
      </c>
      <c r="C132" t="s">
        <v>541</v>
      </c>
      <c r="D132" t="s">
        <v>857</v>
      </c>
      <c r="E132" t="s">
        <v>1864</v>
      </c>
      <c r="F132" t="s">
        <v>2234</v>
      </c>
      <c r="G132" t="s">
        <v>2099</v>
      </c>
      <c r="H132" t="s">
        <v>1109</v>
      </c>
      <c r="I132" t="s">
        <v>2728</v>
      </c>
      <c r="J132" t="s">
        <v>1600</v>
      </c>
      <c r="K132" t="s">
        <v>1607</v>
      </c>
      <c r="L132" t="s">
        <v>1610</v>
      </c>
      <c r="M132" t="s">
        <v>1621</v>
      </c>
    </row>
    <row r="133" spans="1:13" x14ac:dyDescent="0.25">
      <c r="A133" t="s">
        <v>1</v>
      </c>
      <c r="B133" t="s">
        <v>117</v>
      </c>
      <c r="C133" t="s">
        <v>593</v>
      </c>
      <c r="D133" t="s">
        <v>584</v>
      </c>
      <c r="E133" t="s">
        <v>1693</v>
      </c>
      <c r="F133" t="s">
        <v>2235</v>
      </c>
      <c r="G133" t="s">
        <v>2099</v>
      </c>
      <c r="H133" t="s">
        <v>1110</v>
      </c>
      <c r="I133" t="s">
        <v>2729</v>
      </c>
      <c r="J133" t="s">
        <v>1603</v>
      </c>
      <c r="K133" t="s">
        <v>1608</v>
      </c>
      <c r="L133" t="s">
        <v>1610</v>
      </c>
      <c r="M133" t="s">
        <v>1622</v>
      </c>
    </row>
    <row r="134" spans="1:13" x14ac:dyDescent="0.25">
      <c r="A134" t="s">
        <v>1</v>
      </c>
      <c r="B134" t="s">
        <v>118</v>
      </c>
      <c r="C134" t="s">
        <v>634</v>
      </c>
      <c r="D134" t="s">
        <v>858</v>
      </c>
      <c r="E134" t="s">
        <v>1865</v>
      </c>
      <c r="F134" t="s">
        <v>2236</v>
      </c>
      <c r="G134" t="s">
        <v>2099</v>
      </c>
      <c r="H134" t="s">
        <v>1111</v>
      </c>
      <c r="I134" t="s">
        <v>2737</v>
      </c>
      <c r="J134" t="s">
        <v>1603</v>
      </c>
      <c r="K134" t="s">
        <v>1608</v>
      </c>
      <c r="L134" t="s">
        <v>1610</v>
      </c>
      <c r="M134" t="s">
        <v>1652</v>
      </c>
    </row>
    <row r="135" spans="1:13" x14ac:dyDescent="0.25">
      <c r="A135" t="s">
        <v>1</v>
      </c>
      <c r="B135" t="s">
        <v>119</v>
      </c>
      <c r="C135" t="s">
        <v>635</v>
      </c>
      <c r="D135" t="s">
        <v>532</v>
      </c>
      <c r="E135" t="s">
        <v>1694</v>
      </c>
      <c r="F135" t="s">
        <v>2237</v>
      </c>
      <c r="G135" t="s">
        <v>2099</v>
      </c>
      <c r="H135" t="s">
        <v>1112</v>
      </c>
      <c r="I135" t="s">
        <v>2731</v>
      </c>
      <c r="J135" t="s">
        <v>1600</v>
      </c>
      <c r="K135" t="s">
        <v>1608</v>
      </c>
      <c r="L135" t="s">
        <v>1610</v>
      </c>
      <c r="M135" t="s">
        <v>1633</v>
      </c>
    </row>
    <row r="136" spans="1:13" x14ac:dyDescent="0.25">
      <c r="A136" t="s">
        <v>1</v>
      </c>
      <c r="B136" t="s">
        <v>120</v>
      </c>
      <c r="C136" t="s">
        <v>636</v>
      </c>
      <c r="D136" t="s">
        <v>547</v>
      </c>
      <c r="E136" t="s">
        <v>1866</v>
      </c>
      <c r="F136" t="s">
        <v>2238</v>
      </c>
      <c r="G136" t="s">
        <v>2099</v>
      </c>
      <c r="H136" t="s">
        <v>1113</v>
      </c>
      <c r="I136" t="s">
        <v>2729</v>
      </c>
      <c r="J136" t="s">
        <v>1601</v>
      </c>
      <c r="K136" t="s">
        <v>1608</v>
      </c>
      <c r="L136" t="s">
        <v>1610</v>
      </c>
      <c r="M136" t="s">
        <v>1623</v>
      </c>
    </row>
    <row r="137" spans="1:13" x14ac:dyDescent="0.25">
      <c r="A137" t="s">
        <v>1</v>
      </c>
      <c r="B137" t="s">
        <v>121</v>
      </c>
      <c r="C137" t="s">
        <v>622</v>
      </c>
      <c r="D137" t="s">
        <v>672</v>
      </c>
      <c r="E137" t="s">
        <v>1867</v>
      </c>
      <c r="F137" t="s">
        <v>2239</v>
      </c>
      <c r="G137" t="s">
        <v>2099</v>
      </c>
      <c r="H137" t="s">
        <v>1114</v>
      </c>
      <c r="I137" t="s">
        <v>2729</v>
      </c>
      <c r="J137" t="s">
        <v>1602</v>
      </c>
      <c r="K137" t="s">
        <v>1608</v>
      </c>
      <c r="L137" t="s">
        <v>1610</v>
      </c>
      <c r="M137" t="s">
        <v>1638</v>
      </c>
    </row>
    <row r="138" spans="1:13" x14ac:dyDescent="0.25">
      <c r="A138" t="s">
        <v>1</v>
      </c>
      <c r="B138" t="s">
        <v>122</v>
      </c>
      <c r="C138" t="s">
        <v>637</v>
      </c>
      <c r="D138" t="s">
        <v>859</v>
      </c>
      <c r="E138" t="s">
        <v>1868</v>
      </c>
      <c r="F138" t="s">
        <v>2240</v>
      </c>
      <c r="G138" t="s">
        <v>2099</v>
      </c>
      <c r="H138" t="s">
        <v>1115</v>
      </c>
      <c r="I138" t="s">
        <v>2726</v>
      </c>
      <c r="J138" t="s">
        <v>1600</v>
      </c>
      <c r="K138" t="s">
        <v>1608</v>
      </c>
      <c r="L138" t="s">
        <v>1610</v>
      </c>
      <c r="M138" t="s">
        <v>1632</v>
      </c>
    </row>
    <row r="139" spans="1:13" x14ac:dyDescent="0.25">
      <c r="A139" t="s">
        <v>1</v>
      </c>
      <c r="B139" t="s">
        <v>123</v>
      </c>
      <c r="C139" t="s">
        <v>353</v>
      </c>
      <c r="D139" t="s">
        <v>614</v>
      </c>
      <c r="E139" t="s">
        <v>1869</v>
      </c>
      <c r="F139" t="s">
        <v>2241</v>
      </c>
      <c r="G139" t="s">
        <v>2099</v>
      </c>
      <c r="H139" t="s">
        <v>1116</v>
      </c>
      <c r="I139" t="s">
        <v>2737</v>
      </c>
      <c r="J139" t="s">
        <v>1601</v>
      </c>
      <c r="K139" t="s">
        <v>1607</v>
      </c>
      <c r="L139" t="s">
        <v>1610</v>
      </c>
      <c r="M139" t="s">
        <v>1653</v>
      </c>
    </row>
    <row r="140" spans="1:13" x14ac:dyDescent="0.25">
      <c r="A140" t="s">
        <v>1</v>
      </c>
      <c r="B140" t="s">
        <v>124</v>
      </c>
      <c r="C140" t="s">
        <v>570</v>
      </c>
      <c r="D140" t="s">
        <v>573</v>
      </c>
      <c r="E140" t="s">
        <v>1870</v>
      </c>
      <c r="F140" t="s">
        <v>2242</v>
      </c>
      <c r="G140" t="s">
        <v>2099</v>
      </c>
      <c r="H140" t="s">
        <v>1117</v>
      </c>
      <c r="I140" t="s">
        <v>2727</v>
      </c>
      <c r="J140" t="s">
        <v>1600</v>
      </c>
      <c r="K140" t="s">
        <v>1607</v>
      </c>
      <c r="L140" t="s">
        <v>1610</v>
      </c>
      <c r="M140" t="s">
        <v>1654</v>
      </c>
    </row>
    <row r="141" spans="1:13" x14ac:dyDescent="0.25">
      <c r="A141" t="s">
        <v>1</v>
      </c>
      <c r="B141" t="s">
        <v>125</v>
      </c>
      <c r="C141" t="s">
        <v>579</v>
      </c>
      <c r="D141" t="s">
        <v>860</v>
      </c>
      <c r="E141" t="s">
        <v>1871</v>
      </c>
      <c r="F141" t="s">
        <v>2243</v>
      </c>
      <c r="G141" t="s">
        <v>2099</v>
      </c>
      <c r="H141" t="s">
        <v>1118</v>
      </c>
      <c r="I141" t="s">
        <v>2726</v>
      </c>
      <c r="J141" t="s">
        <v>1600</v>
      </c>
      <c r="K141" t="s">
        <v>1607</v>
      </c>
      <c r="L141" t="s">
        <v>1610</v>
      </c>
      <c r="M141" t="s">
        <v>1625</v>
      </c>
    </row>
    <row r="142" spans="1:13" x14ac:dyDescent="0.25">
      <c r="A142" t="s">
        <v>1</v>
      </c>
      <c r="B142" t="s">
        <v>126</v>
      </c>
      <c r="C142" t="s">
        <v>638</v>
      </c>
      <c r="D142" t="s">
        <v>533</v>
      </c>
      <c r="E142" t="s">
        <v>1872</v>
      </c>
      <c r="F142" t="s">
        <v>2244</v>
      </c>
      <c r="G142" t="s">
        <v>2099</v>
      </c>
      <c r="H142" t="s">
        <v>1119</v>
      </c>
      <c r="I142" t="s">
        <v>2729</v>
      </c>
      <c r="J142" t="s">
        <v>1603</v>
      </c>
      <c r="K142" t="s">
        <v>1607</v>
      </c>
      <c r="L142" t="s">
        <v>1610</v>
      </c>
      <c r="M142" t="s">
        <v>1622</v>
      </c>
    </row>
    <row r="143" spans="1:13" x14ac:dyDescent="0.25">
      <c r="A143" t="s">
        <v>1</v>
      </c>
      <c r="B143" t="s">
        <v>127</v>
      </c>
      <c r="C143" t="s">
        <v>541</v>
      </c>
      <c r="D143" t="s">
        <v>602</v>
      </c>
      <c r="E143" t="s">
        <v>1695</v>
      </c>
      <c r="F143" t="s">
        <v>2245</v>
      </c>
      <c r="G143" t="s">
        <v>2099</v>
      </c>
      <c r="H143" t="s">
        <v>1120</v>
      </c>
      <c r="I143" t="s">
        <v>2730</v>
      </c>
      <c r="J143" t="s">
        <v>1600</v>
      </c>
      <c r="K143" t="s">
        <v>1608</v>
      </c>
      <c r="L143" t="s">
        <v>1610</v>
      </c>
      <c r="M143" t="s">
        <v>1642</v>
      </c>
    </row>
    <row r="144" spans="1:13" x14ac:dyDescent="0.25">
      <c r="A144" t="s">
        <v>1</v>
      </c>
      <c r="B144" t="s">
        <v>128</v>
      </c>
      <c r="C144" t="s">
        <v>639</v>
      </c>
      <c r="D144" t="s">
        <v>861</v>
      </c>
      <c r="E144" t="s">
        <v>1873</v>
      </c>
      <c r="F144" t="s">
        <v>2246</v>
      </c>
      <c r="G144" t="s">
        <v>2099</v>
      </c>
      <c r="H144" t="s">
        <v>1121</v>
      </c>
      <c r="I144" t="s">
        <v>2731</v>
      </c>
      <c r="J144" t="s">
        <v>1600</v>
      </c>
      <c r="K144" t="s">
        <v>1607</v>
      </c>
      <c r="L144" t="s">
        <v>1610</v>
      </c>
      <c r="M144" t="s">
        <v>1633</v>
      </c>
    </row>
    <row r="145" spans="1:13" x14ac:dyDescent="0.25">
      <c r="A145" t="s">
        <v>1</v>
      </c>
      <c r="B145" t="s">
        <v>129</v>
      </c>
      <c r="C145" t="s">
        <v>640</v>
      </c>
      <c r="D145" t="s">
        <v>585</v>
      </c>
      <c r="E145" t="s">
        <v>1874</v>
      </c>
      <c r="F145" t="s">
        <v>2247</v>
      </c>
      <c r="G145" t="s">
        <v>2099</v>
      </c>
      <c r="H145" t="s">
        <v>1122</v>
      </c>
      <c r="I145" t="s">
        <v>2733</v>
      </c>
      <c r="J145" t="s">
        <v>1601</v>
      </c>
      <c r="K145" t="s">
        <v>1607</v>
      </c>
      <c r="L145" t="s">
        <v>1610</v>
      </c>
      <c r="M145" t="s">
        <v>1655</v>
      </c>
    </row>
    <row r="146" spans="1:13" x14ac:dyDescent="0.25">
      <c r="A146" t="s">
        <v>1</v>
      </c>
      <c r="B146" t="s">
        <v>130</v>
      </c>
      <c r="C146" t="s">
        <v>641</v>
      </c>
      <c r="D146" t="s">
        <v>862</v>
      </c>
      <c r="E146" t="s">
        <v>1875</v>
      </c>
      <c r="F146" t="s">
        <v>2248</v>
      </c>
      <c r="G146" t="s">
        <v>2099</v>
      </c>
      <c r="H146" t="s">
        <v>1123</v>
      </c>
      <c r="I146" t="s">
        <v>2729</v>
      </c>
      <c r="J146" t="s">
        <v>1602</v>
      </c>
      <c r="K146" t="s">
        <v>1607</v>
      </c>
      <c r="L146" t="s">
        <v>1610</v>
      </c>
      <c r="M146" t="s">
        <v>1638</v>
      </c>
    </row>
    <row r="147" spans="1:13" x14ac:dyDescent="0.25">
      <c r="A147" t="s">
        <v>1</v>
      </c>
      <c r="B147" t="s">
        <v>131</v>
      </c>
      <c r="C147" t="s">
        <v>622</v>
      </c>
      <c r="D147" t="s">
        <v>863</v>
      </c>
      <c r="E147" t="s">
        <v>1696</v>
      </c>
      <c r="F147" t="s">
        <v>2249</v>
      </c>
      <c r="G147" t="s">
        <v>2099</v>
      </c>
      <c r="H147" t="s">
        <v>1124</v>
      </c>
      <c r="I147" t="s">
        <v>2724</v>
      </c>
      <c r="J147" t="s">
        <v>1601</v>
      </c>
      <c r="K147" t="s">
        <v>1608</v>
      </c>
      <c r="L147" t="s">
        <v>1610</v>
      </c>
      <c r="M147" t="s">
        <v>1630</v>
      </c>
    </row>
    <row r="148" spans="1:13" x14ac:dyDescent="0.25">
      <c r="A148" t="s">
        <v>1</v>
      </c>
      <c r="B148" t="s">
        <v>132</v>
      </c>
      <c r="C148" t="s">
        <v>642</v>
      </c>
      <c r="D148" t="s">
        <v>623</v>
      </c>
      <c r="E148" t="s">
        <v>1876</v>
      </c>
      <c r="F148" t="s">
        <v>2250</v>
      </c>
      <c r="G148" t="s">
        <v>2099</v>
      </c>
      <c r="H148" t="s">
        <v>1125</v>
      </c>
      <c r="I148" t="s">
        <v>2731</v>
      </c>
      <c r="J148" t="s">
        <v>1602</v>
      </c>
      <c r="K148" t="s">
        <v>1608</v>
      </c>
      <c r="L148" t="s">
        <v>1610</v>
      </c>
      <c r="M148" t="s">
        <v>1628</v>
      </c>
    </row>
    <row r="149" spans="1:13" x14ac:dyDescent="0.25">
      <c r="A149" t="s">
        <v>1</v>
      </c>
      <c r="B149" t="s">
        <v>133</v>
      </c>
      <c r="C149" t="s">
        <v>643</v>
      </c>
      <c r="D149" t="s">
        <v>727</v>
      </c>
      <c r="E149" t="s">
        <v>1877</v>
      </c>
      <c r="F149" t="s">
        <v>2251</v>
      </c>
      <c r="G149" t="s">
        <v>2099</v>
      </c>
      <c r="H149" t="s">
        <v>1126</v>
      </c>
      <c r="I149" t="s">
        <v>2731</v>
      </c>
      <c r="J149" t="s">
        <v>1602</v>
      </c>
      <c r="K149" t="s">
        <v>1608</v>
      </c>
      <c r="L149" t="s">
        <v>1610</v>
      </c>
      <c r="M149" t="s">
        <v>1628</v>
      </c>
    </row>
    <row r="150" spans="1:13" x14ac:dyDescent="0.25">
      <c r="A150" t="s">
        <v>1</v>
      </c>
      <c r="B150" t="s">
        <v>134</v>
      </c>
      <c r="C150" t="s">
        <v>644</v>
      </c>
      <c r="D150" t="s">
        <v>562</v>
      </c>
      <c r="E150" t="s">
        <v>1878</v>
      </c>
      <c r="F150" t="s">
        <v>2252</v>
      </c>
      <c r="G150" t="s">
        <v>2099</v>
      </c>
      <c r="H150" t="s">
        <v>1127</v>
      </c>
      <c r="I150" t="s">
        <v>2732</v>
      </c>
      <c r="J150" t="s">
        <v>1602</v>
      </c>
      <c r="K150" t="s">
        <v>1608</v>
      </c>
      <c r="L150" t="s">
        <v>1610</v>
      </c>
      <c r="M150" t="s">
        <v>1656</v>
      </c>
    </row>
    <row r="151" spans="1:13" x14ac:dyDescent="0.25">
      <c r="A151" t="s">
        <v>1</v>
      </c>
      <c r="B151" t="s">
        <v>135</v>
      </c>
      <c r="C151" t="s">
        <v>546</v>
      </c>
      <c r="D151" t="s">
        <v>864</v>
      </c>
      <c r="E151" t="s">
        <v>1697</v>
      </c>
      <c r="F151" t="s">
        <v>2253</v>
      </c>
      <c r="G151" t="s">
        <v>2099</v>
      </c>
      <c r="H151" t="s">
        <v>1128</v>
      </c>
      <c r="I151" t="s">
        <v>2733</v>
      </c>
      <c r="J151" t="s">
        <v>1601</v>
      </c>
      <c r="K151" t="s">
        <v>1607</v>
      </c>
      <c r="L151" t="s">
        <v>1610</v>
      </c>
      <c r="M151" t="s">
        <v>1655</v>
      </c>
    </row>
    <row r="152" spans="1:13" x14ac:dyDescent="0.25">
      <c r="A152" t="s">
        <v>1</v>
      </c>
      <c r="B152" t="s">
        <v>135</v>
      </c>
      <c r="C152" t="s">
        <v>597</v>
      </c>
      <c r="D152" t="s">
        <v>547</v>
      </c>
      <c r="E152" t="s">
        <v>1698</v>
      </c>
      <c r="F152" t="s">
        <v>2254</v>
      </c>
      <c r="G152" t="s">
        <v>2099</v>
      </c>
      <c r="H152" t="s">
        <v>1129</v>
      </c>
      <c r="I152" t="s">
        <v>2724</v>
      </c>
      <c r="J152" t="s">
        <v>1603</v>
      </c>
      <c r="K152" t="s">
        <v>1607</v>
      </c>
      <c r="L152" t="s">
        <v>1610</v>
      </c>
      <c r="M152" t="s">
        <v>1643</v>
      </c>
    </row>
    <row r="153" spans="1:13" x14ac:dyDescent="0.25">
      <c r="A153" t="s">
        <v>1</v>
      </c>
      <c r="B153" t="s">
        <v>135</v>
      </c>
      <c r="C153" t="s">
        <v>645</v>
      </c>
      <c r="D153" t="s">
        <v>692</v>
      </c>
      <c r="E153" t="s">
        <v>1699</v>
      </c>
      <c r="F153" t="s">
        <v>2255</v>
      </c>
      <c r="G153" t="s">
        <v>2099</v>
      </c>
      <c r="H153" t="s">
        <v>1130</v>
      </c>
      <c r="I153" t="s">
        <v>2729</v>
      </c>
      <c r="J153" t="s">
        <v>1603</v>
      </c>
      <c r="K153" t="s">
        <v>1607</v>
      </c>
      <c r="L153" t="s">
        <v>1610</v>
      </c>
      <c r="M153" t="s">
        <v>1622</v>
      </c>
    </row>
    <row r="154" spans="1:13" x14ac:dyDescent="0.25">
      <c r="A154" t="s">
        <v>1</v>
      </c>
      <c r="B154" t="s">
        <v>135</v>
      </c>
      <c r="C154" t="s">
        <v>646</v>
      </c>
      <c r="D154" t="s">
        <v>674</v>
      </c>
      <c r="E154" t="s">
        <v>1700</v>
      </c>
      <c r="F154" t="s">
        <v>2256</v>
      </c>
      <c r="G154" t="s">
        <v>2099</v>
      </c>
      <c r="H154" t="s">
        <v>1131</v>
      </c>
      <c r="I154" t="s">
        <v>2737</v>
      </c>
      <c r="J154" t="s">
        <v>1601</v>
      </c>
      <c r="K154" t="s">
        <v>1607</v>
      </c>
      <c r="L154" t="s">
        <v>1610</v>
      </c>
      <c r="M154" t="s">
        <v>1653</v>
      </c>
    </row>
    <row r="155" spans="1:13" x14ac:dyDescent="0.25">
      <c r="A155" t="s">
        <v>1</v>
      </c>
      <c r="B155" t="s">
        <v>135</v>
      </c>
      <c r="C155" t="s">
        <v>647</v>
      </c>
      <c r="D155" t="s">
        <v>593</v>
      </c>
      <c r="E155" t="s">
        <v>1701</v>
      </c>
      <c r="F155" t="s">
        <v>2257</v>
      </c>
      <c r="G155" t="s">
        <v>2099</v>
      </c>
      <c r="H155" t="s">
        <v>1132</v>
      </c>
      <c r="I155" t="s">
        <v>2731</v>
      </c>
      <c r="J155" t="s">
        <v>1600</v>
      </c>
      <c r="K155" t="s">
        <v>1607</v>
      </c>
      <c r="L155" t="s">
        <v>1610</v>
      </c>
      <c r="M155" t="s">
        <v>1633</v>
      </c>
    </row>
    <row r="156" spans="1:13" x14ac:dyDescent="0.25">
      <c r="A156" t="s">
        <v>1</v>
      </c>
      <c r="B156" t="s">
        <v>136</v>
      </c>
      <c r="C156" t="s">
        <v>585</v>
      </c>
      <c r="D156" t="s">
        <v>840</v>
      </c>
      <c r="E156" t="s">
        <v>1879</v>
      </c>
      <c r="F156" t="s">
        <v>2258</v>
      </c>
      <c r="G156" t="s">
        <v>2099</v>
      </c>
      <c r="H156" t="s">
        <v>1133</v>
      </c>
      <c r="I156" t="s">
        <v>2730</v>
      </c>
      <c r="J156" t="s">
        <v>1602</v>
      </c>
      <c r="K156" t="s">
        <v>1607</v>
      </c>
      <c r="L156" t="s">
        <v>1610</v>
      </c>
      <c r="M156" t="s">
        <v>1626</v>
      </c>
    </row>
    <row r="157" spans="1:13" x14ac:dyDescent="0.25">
      <c r="A157" t="s">
        <v>1</v>
      </c>
      <c r="B157" t="s">
        <v>137</v>
      </c>
      <c r="C157" t="s">
        <v>543</v>
      </c>
      <c r="D157" t="s">
        <v>579</v>
      </c>
      <c r="E157" t="s">
        <v>1880</v>
      </c>
      <c r="F157" t="s">
        <v>2259</v>
      </c>
      <c r="G157" t="s">
        <v>2099</v>
      </c>
      <c r="H157" t="s">
        <v>1134</v>
      </c>
      <c r="I157" t="s">
        <v>2733</v>
      </c>
      <c r="J157" t="s">
        <v>1602</v>
      </c>
      <c r="K157" t="s">
        <v>1607</v>
      </c>
      <c r="L157" t="s">
        <v>1610</v>
      </c>
      <c r="M157" t="s">
        <v>1651</v>
      </c>
    </row>
    <row r="158" spans="1:13" x14ac:dyDescent="0.25">
      <c r="A158" t="s">
        <v>1</v>
      </c>
      <c r="B158" t="s">
        <v>138</v>
      </c>
      <c r="C158" t="s">
        <v>648</v>
      </c>
      <c r="D158" t="s">
        <v>865</v>
      </c>
      <c r="E158" t="s">
        <v>1881</v>
      </c>
      <c r="F158" t="s">
        <v>2260</v>
      </c>
      <c r="G158" t="s">
        <v>2099</v>
      </c>
      <c r="H158" t="s">
        <v>1135</v>
      </c>
      <c r="I158" t="s">
        <v>2728</v>
      </c>
      <c r="J158" t="s">
        <v>1602</v>
      </c>
      <c r="K158" t="s">
        <v>1607</v>
      </c>
      <c r="L158" t="s">
        <v>1610</v>
      </c>
      <c r="M158" t="s">
        <v>1635</v>
      </c>
    </row>
    <row r="159" spans="1:13" x14ac:dyDescent="0.25">
      <c r="A159" t="s">
        <v>1</v>
      </c>
      <c r="B159" t="s">
        <v>139</v>
      </c>
      <c r="C159" t="s">
        <v>649</v>
      </c>
      <c r="D159" t="s">
        <v>533</v>
      </c>
      <c r="E159" t="s">
        <v>1702</v>
      </c>
      <c r="F159" t="s">
        <v>2261</v>
      </c>
      <c r="G159" t="s">
        <v>2099</v>
      </c>
      <c r="H159" t="s">
        <v>1136</v>
      </c>
      <c r="I159" t="s">
        <v>2728</v>
      </c>
      <c r="J159" t="s">
        <v>1602</v>
      </c>
      <c r="K159" t="s">
        <v>1607</v>
      </c>
      <c r="L159" t="s">
        <v>1610</v>
      </c>
      <c r="M159" t="s">
        <v>1635</v>
      </c>
    </row>
    <row r="160" spans="1:13" x14ac:dyDescent="0.25">
      <c r="A160" t="s">
        <v>1</v>
      </c>
      <c r="B160" t="s">
        <v>140</v>
      </c>
      <c r="C160" t="s">
        <v>650</v>
      </c>
      <c r="D160" t="s">
        <v>674</v>
      </c>
      <c r="E160" t="s">
        <v>1882</v>
      </c>
      <c r="F160" t="s">
        <v>2262</v>
      </c>
      <c r="G160" t="s">
        <v>2099</v>
      </c>
      <c r="H160" t="s">
        <v>1137</v>
      </c>
      <c r="I160" t="s">
        <v>2724</v>
      </c>
      <c r="J160" t="s">
        <v>1602</v>
      </c>
      <c r="K160" t="s">
        <v>1608</v>
      </c>
      <c r="L160" t="s">
        <v>1610</v>
      </c>
      <c r="M160" t="s">
        <v>1636</v>
      </c>
    </row>
    <row r="161" spans="1:13" x14ac:dyDescent="0.25">
      <c r="A161" t="s">
        <v>1</v>
      </c>
      <c r="B161" t="s">
        <v>141</v>
      </c>
      <c r="C161" t="s">
        <v>651</v>
      </c>
      <c r="D161" t="s">
        <v>674</v>
      </c>
      <c r="E161" t="s">
        <v>1703</v>
      </c>
      <c r="F161" t="s">
        <v>2263</v>
      </c>
      <c r="G161" t="s">
        <v>2099</v>
      </c>
      <c r="H161" t="s">
        <v>1138</v>
      </c>
      <c r="I161" t="s">
        <v>2727</v>
      </c>
      <c r="J161" t="s">
        <v>1601</v>
      </c>
      <c r="K161" t="s">
        <v>1608</v>
      </c>
      <c r="L161" t="s">
        <v>1610</v>
      </c>
      <c r="M161" t="s">
        <v>1629</v>
      </c>
    </row>
    <row r="162" spans="1:13" x14ac:dyDescent="0.25">
      <c r="A162" t="s">
        <v>1</v>
      </c>
      <c r="B162" t="s">
        <v>142</v>
      </c>
      <c r="C162" t="s">
        <v>652</v>
      </c>
      <c r="D162" t="s">
        <v>866</v>
      </c>
      <c r="E162" t="s">
        <v>1883</v>
      </c>
      <c r="F162" t="s">
        <v>2264</v>
      </c>
      <c r="G162" t="s">
        <v>2099</v>
      </c>
      <c r="H162" t="s">
        <v>1139</v>
      </c>
      <c r="I162" t="s">
        <v>2724</v>
      </c>
      <c r="J162" t="s">
        <v>1602</v>
      </c>
      <c r="K162" t="s">
        <v>1608</v>
      </c>
      <c r="L162" t="s">
        <v>1610</v>
      </c>
      <c r="M162" t="s">
        <v>1636</v>
      </c>
    </row>
    <row r="163" spans="1:13" x14ac:dyDescent="0.25">
      <c r="A163" t="s">
        <v>1</v>
      </c>
      <c r="B163" t="s">
        <v>143</v>
      </c>
      <c r="C163" t="s">
        <v>653</v>
      </c>
      <c r="D163" t="s">
        <v>759</v>
      </c>
      <c r="E163" t="s">
        <v>1704</v>
      </c>
      <c r="F163" t="s">
        <v>2265</v>
      </c>
      <c r="G163" t="s">
        <v>2099</v>
      </c>
      <c r="H163" t="s">
        <v>1140</v>
      </c>
      <c r="I163" t="s">
        <v>2725</v>
      </c>
      <c r="J163" t="s">
        <v>1602</v>
      </c>
      <c r="K163" t="s">
        <v>1608</v>
      </c>
      <c r="L163" t="s">
        <v>1610</v>
      </c>
      <c r="M163" t="s">
        <v>1648</v>
      </c>
    </row>
    <row r="164" spans="1:13" x14ac:dyDescent="0.25">
      <c r="A164" t="s">
        <v>1</v>
      </c>
      <c r="B164" t="s">
        <v>143</v>
      </c>
      <c r="C164" t="s">
        <v>654</v>
      </c>
      <c r="D164" t="s">
        <v>585</v>
      </c>
      <c r="E164" t="s">
        <v>1705</v>
      </c>
      <c r="F164" t="s">
        <v>2266</v>
      </c>
      <c r="G164" t="s">
        <v>2099</v>
      </c>
      <c r="H164" t="s">
        <v>1141</v>
      </c>
      <c r="I164" t="s">
        <v>2726</v>
      </c>
      <c r="J164" t="s">
        <v>1602</v>
      </c>
      <c r="K164" t="s">
        <v>1608</v>
      </c>
      <c r="L164" t="s">
        <v>1610</v>
      </c>
      <c r="M164" t="s">
        <v>1617</v>
      </c>
    </row>
    <row r="165" spans="1:13" x14ac:dyDescent="0.25">
      <c r="A165" t="s">
        <v>1</v>
      </c>
      <c r="B165" t="s">
        <v>144</v>
      </c>
      <c r="C165" t="s">
        <v>655</v>
      </c>
      <c r="D165" t="s">
        <v>781</v>
      </c>
      <c r="E165" t="s">
        <v>1884</v>
      </c>
      <c r="F165" t="s">
        <v>2267</v>
      </c>
      <c r="G165" t="s">
        <v>2099</v>
      </c>
      <c r="H165" t="s">
        <v>1142</v>
      </c>
      <c r="I165" t="s">
        <v>2737</v>
      </c>
      <c r="J165" t="s">
        <v>1603</v>
      </c>
      <c r="K165" t="s">
        <v>1608</v>
      </c>
      <c r="L165" t="s">
        <v>1610</v>
      </c>
      <c r="M165" t="s">
        <v>1652</v>
      </c>
    </row>
    <row r="166" spans="1:13" x14ac:dyDescent="0.25">
      <c r="A166" t="s">
        <v>1</v>
      </c>
      <c r="B166" t="s">
        <v>145</v>
      </c>
      <c r="C166" t="s">
        <v>656</v>
      </c>
      <c r="D166" t="s">
        <v>573</v>
      </c>
      <c r="E166" t="s">
        <v>1885</v>
      </c>
      <c r="F166" t="s">
        <v>2268</v>
      </c>
      <c r="G166" t="s">
        <v>2099</v>
      </c>
      <c r="H166" t="s">
        <v>1143</v>
      </c>
      <c r="I166" t="s">
        <v>2726</v>
      </c>
      <c r="J166" t="s">
        <v>1602</v>
      </c>
      <c r="K166" t="s">
        <v>1608</v>
      </c>
      <c r="L166" t="s">
        <v>1610</v>
      </c>
      <c r="M166" t="s">
        <v>1617</v>
      </c>
    </row>
    <row r="167" spans="1:13" x14ac:dyDescent="0.25">
      <c r="A167" t="s">
        <v>1</v>
      </c>
      <c r="B167" t="s">
        <v>146</v>
      </c>
      <c r="C167" t="s">
        <v>657</v>
      </c>
      <c r="D167" t="s">
        <v>867</v>
      </c>
      <c r="E167" t="s">
        <v>1886</v>
      </c>
      <c r="F167" t="s">
        <v>2269</v>
      </c>
      <c r="G167" t="s">
        <v>2099</v>
      </c>
      <c r="H167" t="s">
        <v>1144</v>
      </c>
      <c r="I167" t="s">
        <v>2729</v>
      </c>
      <c r="J167" t="s">
        <v>1602</v>
      </c>
      <c r="K167" t="s">
        <v>1608</v>
      </c>
      <c r="L167" t="s">
        <v>1610</v>
      </c>
      <c r="M167" t="s">
        <v>1638</v>
      </c>
    </row>
    <row r="168" spans="1:13" x14ac:dyDescent="0.25">
      <c r="A168" t="s">
        <v>1</v>
      </c>
      <c r="B168" t="s">
        <v>147</v>
      </c>
      <c r="C168" t="s">
        <v>579</v>
      </c>
      <c r="D168" t="s">
        <v>554</v>
      </c>
      <c r="E168" t="s">
        <v>1887</v>
      </c>
      <c r="F168" t="s">
        <v>2270</v>
      </c>
      <c r="G168" t="s">
        <v>2099</v>
      </c>
      <c r="H168" t="s">
        <v>1145</v>
      </c>
      <c r="I168" t="s">
        <v>2730</v>
      </c>
      <c r="J168" t="s">
        <v>1603</v>
      </c>
      <c r="K168" t="s">
        <v>1608</v>
      </c>
      <c r="L168" t="s">
        <v>1610</v>
      </c>
      <c r="M168" t="s">
        <v>1657</v>
      </c>
    </row>
    <row r="169" spans="1:13" x14ac:dyDescent="0.25">
      <c r="A169" t="s">
        <v>1</v>
      </c>
      <c r="B169" t="s">
        <v>148</v>
      </c>
      <c r="C169" t="s">
        <v>658</v>
      </c>
      <c r="D169" t="s">
        <v>546</v>
      </c>
      <c r="E169" t="s">
        <v>1888</v>
      </c>
      <c r="F169" t="s">
        <v>2271</v>
      </c>
      <c r="G169" t="s">
        <v>2099</v>
      </c>
      <c r="H169" t="s">
        <v>1146</v>
      </c>
      <c r="I169" t="s">
        <v>2731</v>
      </c>
      <c r="J169" t="s">
        <v>1600</v>
      </c>
      <c r="K169" t="s">
        <v>1607</v>
      </c>
      <c r="L169" t="s">
        <v>1610</v>
      </c>
      <c r="M169" t="s">
        <v>1633</v>
      </c>
    </row>
    <row r="170" spans="1:13" x14ac:dyDescent="0.25">
      <c r="A170" t="s">
        <v>1</v>
      </c>
      <c r="B170" t="s">
        <v>149</v>
      </c>
      <c r="C170" t="s">
        <v>659</v>
      </c>
      <c r="D170" t="s">
        <v>685</v>
      </c>
      <c r="E170" t="s">
        <v>1706</v>
      </c>
      <c r="F170" t="s">
        <v>2272</v>
      </c>
      <c r="G170" t="s">
        <v>2099</v>
      </c>
      <c r="H170" t="s">
        <v>1147</v>
      </c>
      <c r="I170" t="s">
        <v>2728</v>
      </c>
      <c r="J170" t="s">
        <v>1603</v>
      </c>
      <c r="K170" t="s">
        <v>1607</v>
      </c>
      <c r="L170" t="s">
        <v>1610</v>
      </c>
      <c r="M170" t="s">
        <v>1641</v>
      </c>
    </row>
    <row r="171" spans="1:13" x14ac:dyDescent="0.25">
      <c r="A171" t="s">
        <v>1</v>
      </c>
      <c r="B171" t="s">
        <v>150</v>
      </c>
      <c r="C171" t="s">
        <v>597</v>
      </c>
      <c r="D171" t="s">
        <v>868</v>
      </c>
      <c r="E171" t="s">
        <v>1889</v>
      </c>
      <c r="F171" t="s">
        <v>2273</v>
      </c>
      <c r="G171" t="s">
        <v>2099</v>
      </c>
      <c r="H171" t="s">
        <v>1148</v>
      </c>
      <c r="I171" t="s">
        <v>2724</v>
      </c>
      <c r="J171" t="s">
        <v>1601</v>
      </c>
      <c r="K171" t="s">
        <v>1607</v>
      </c>
      <c r="L171" t="s">
        <v>1610</v>
      </c>
      <c r="M171" t="s">
        <v>1630</v>
      </c>
    </row>
    <row r="172" spans="1:13" x14ac:dyDescent="0.25">
      <c r="A172" t="s">
        <v>1</v>
      </c>
      <c r="B172" t="s">
        <v>151</v>
      </c>
      <c r="C172" t="s">
        <v>660</v>
      </c>
      <c r="D172" t="s">
        <v>593</v>
      </c>
      <c r="E172" t="s">
        <v>1890</v>
      </c>
      <c r="F172" t="s">
        <v>2274</v>
      </c>
      <c r="G172" t="s">
        <v>2099</v>
      </c>
      <c r="H172" t="s">
        <v>1149</v>
      </c>
      <c r="I172" t="s">
        <v>2733</v>
      </c>
      <c r="J172" t="s">
        <v>1603</v>
      </c>
      <c r="K172" t="s">
        <v>1607</v>
      </c>
      <c r="L172" t="s">
        <v>1610</v>
      </c>
      <c r="M172" t="s">
        <v>1639</v>
      </c>
    </row>
    <row r="173" spans="1:13" x14ac:dyDescent="0.25">
      <c r="A173" t="s">
        <v>1</v>
      </c>
      <c r="B173" t="s">
        <v>152</v>
      </c>
      <c r="C173" t="s">
        <v>661</v>
      </c>
      <c r="D173" t="s">
        <v>564</v>
      </c>
      <c r="E173" t="s">
        <v>1891</v>
      </c>
      <c r="F173" t="s">
        <v>2275</v>
      </c>
      <c r="G173" t="s">
        <v>2099</v>
      </c>
      <c r="H173" t="s">
        <v>1150</v>
      </c>
      <c r="I173" t="s">
        <v>2734</v>
      </c>
      <c r="J173" t="s">
        <v>1602</v>
      </c>
      <c r="K173" t="s">
        <v>1607</v>
      </c>
      <c r="L173" t="s">
        <v>1610</v>
      </c>
      <c r="M173" t="s">
        <v>1640</v>
      </c>
    </row>
    <row r="174" spans="1:13" x14ac:dyDescent="0.25">
      <c r="A174" t="s">
        <v>1</v>
      </c>
      <c r="B174" t="s">
        <v>153</v>
      </c>
      <c r="C174" t="s">
        <v>547</v>
      </c>
      <c r="D174" t="s">
        <v>793</v>
      </c>
      <c r="E174" t="s">
        <v>1892</v>
      </c>
      <c r="F174" t="s">
        <v>2276</v>
      </c>
      <c r="G174" t="s">
        <v>2099</v>
      </c>
      <c r="H174" t="s">
        <v>1151</v>
      </c>
      <c r="I174" t="s">
        <v>2730</v>
      </c>
      <c r="J174" t="s">
        <v>1603</v>
      </c>
      <c r="K174" t="s">
        <v>1607</v>
      </c>
      <c r="L174" t="s">
        <v>1610</v>
      </c>
      <c r="M174" t="s">
        <v>1657</v>
      </c>
    </row>
    <row r="175" spans="1:13" x14ac:dyDescent="0.25">
      <c r="A175" t="s">
        <v>1</v>
      </c>
      <c r="B175" t="s">
        <v>154</v>
      </c>
      <c r="C175" t="s">
        <v>662</v>
      </c>
      <c r="D175" t="s">
        <v>869</v>
      </c>
      <c r="E175" t="s">
        <v>1893</v>
      </c>
      <c r="F175" t="s">
        <v>2277</v>
      </c>
      <c r="G175" t="s">
        <v>2099</v>
      </c>
      <c r="H175" t="s">
        <v>1152</v>
      </c>
      <c r="I175" t="s">
        <v>2736</v>
      </c>
      <c r="J175" t="s">
        <v>1601</v>
      </c>
      <c r="K175" t="s">
        <v>1607</v>
      </c>
      <c r="L175" t="s">
        <v>1610</v>
      </c>
      <c r="M175" t="s">
        <v>1649</v>
      </c>
    </row>
    <row r="176" spans="1:13" x14ac:dyDescent="0.25">
      <c r="A176" t="s">
        <v>1</v>
      </c>
      <c r="B176" t="s">
        <v>155</v>
      </c>
      <c r="C176" t="s">
        <v>663</v>
      </c>
      <c r="D176" t="s">
        <v>702</v>
      </c>
      <c r="E176" t="s">
        <v>1894</v>
      </c>
      <c r="F176" t="s">
        <v>2278</v>
      </c>
      <c r="G176" t="s">
        <v>2099</v>
      </c>
      <c r="H176" t="s">
        <v>1153</v>
      </c>
      <c r="I176" t="s">
        <v>2729</v>
      </c>
      <c r="J176" t="s">
        <v>1602</v>
      </c>
      <c r="K176" t="s">
        <v>1607</v>
      </c>
      <c r="L176" t="s">
        <v>1610</v>
      </c>
      <c r="M176" t="s">
        <v>1638</v>
      </c>
    </row>
    <row r="177" spans="1:13" x14ac:dyDescent="0.25">
      <c r="A177" t="s">
        <v>1</v>
      </c>
      <c r="B177" t="s">
        <v>156</v>
      </c>
      <c r="C177" t="s">
        <v>623</v>
      </c>
      <c r="D177" t="s">
        <v>870</v>
      </c>
      <c r="E177" t="s">
        <v>1895</v>
      </c>
      <c r="F177" t="s">
        <v>2279</v>
      </c>
      <c r="G177" t="s">
        <v>2099</v>
      </c>
      <c r="H177" t="s">
        <v>1154</v>
      </c>
      <c r="I177" t="s">
        <v>2728</v>
      </c>
      <c r="J177" t="s">
        <v>1601</v>
      </c>
      <c r="K177" t="s">
        <v>1607</v>
      </c>
      <c r="L177" t="s">
        <v>1610</v>
      </c>
      <c r="M177" t="s">
        <v>1634</v>
      </c>
    </row>
    <row r="178" spans="1:13" x14ac:dyDescent="0.25">
      <c r="A178" t="s">
        <v>1</v>
      </c>
      <c r="B178" t="s">
        <v>157</v>
      </c>
      <c r="C178" t="s">
        <v>664</v>
      </c>
      <c r="D178" t="s">
        <v>674</v>
      </c>
      <c r="E178" t="s">
        <v>1707</v>
      </c>
      <c r="F178" t="s">
        <v>2280</v>
      </c>
      <c r="G178" t="s">
        <v>2099</v>
      </c>
      <c r="H178" t="s">
        <v>1155</v>
      </c>
      <c r="I178" t="s">
        <v>2726</v>
      </c>
      <c r="J178" t="s">
        <v>1601</v>
      </c>
      <c r="K178" t="s">
        <v>1608</v>
      </c>
      <c r="L178" t="s">
        <v>1610</v>
      </c>
      <c r="M178" t="s">
        <v>1616</v>
      </c>
    </row>
    <row r="179" spans="1:13" x14ac:dyDescent="0.25">
      <c r="A179" t="s">
        <v>1</v>
      </c>
      <c r="B179" t="s">
        <v>158</v>
      </c>
      <c r="C179" t="s">
        <v>581</v>
      </c>
      <c r="D179" t="s">
        <v>649</v>
      </c>
      <c r="E179" t="s">
        <v>1708</v>
      </c>
      <c r="F179" t="s">
        <v>2281</v>
      </c>
      <c r="G179" t="s">
        <v>2099</v>
      </c>
      <c r="H179" t="s">
        <v>1156</v>
      </c>
      <c r="I179" t="s">
        <v>2726</v>
      </c>
      <c r="J179" t="s">
        <v>1602</v>
      </c>
      <c r="K179" t="s">
        <v>1608</v>
      </c>
      <c r="L179" t="s">
        <v>1610</v>
      </c>
      <c r="M179" t="s">
        <v>1617</v>
      </c>
    </row>
    <row r="180" spans="1:13" x14ac:dyDescent="0.25">
      <c r="A180" t="s">
        <v>1</v>
      </c>
      <c r="B180" t="s">
        <v>158</v>
      </c>
      <c r="C180" t="s">
        <v>533</v>
      </c>
      <c r="D180" t="s">
        <v>871</v>
      </c>
      <c r="E180" t="s">
        <v>1709</v>
      </c>
      <c r="F180" t="s">
        <v>2282</v>
      </c>
      <c r="G180" t="s">
        <v>2099</v>
      </c>
      <c r="H180" t="s">
        <v>1157</v>
      </c>
      <c r="I180" t="s">
        <v>2735</v>
      </c>
      <c r="J180" t="s">
        <v>1602</v>
      </c>
      <c r="K180" t="s">
        <v>1608</v>
      </c>
      <c r="L180" t="s">
        <v>1610</v>
      </c>
      <c r="M180" t="s">
        <v>1646</v>
      </c>
    </row>
    <row r="181" spans="1:13" x14ac:dyDescent="0.25">
      <c r="A181" t="s">
        <v>1</v>
      </c>
      <c r="B181" t="s">
        <v>158</v>
      </c>
      <c r="C181" t="s">
        <v>571</v>
      </c>
      <c r="D181" t="s">
        <v>593</v>
      </c>
      <c r="E181" t="s">
        <v>1710</v>
      </c>
      <c r="F181" t="s">
        <v>2283</v>
      </c>
      <c r="G181" t="s">
        <v>2099</v>
      </c>
      <c r="H181" t="s">
        <v>1158</v>
      </c>
      <c r="I181" t="s">
        <v>2730</v>
      </c>
      <c r="J181" t="s">
        <v>1603</v>
      </c>
      <c r="K181" t="s">
        <v>1608</v>
      </c>
      <c r="L181" t="s">
        <v>1610</v>
      </c>
      <c r="M181" t="s">
        <v>1657</v>
      </c>
    </row>
    <row r="182" spans="1:13" x14ac:dyDescent="0.25">
      <c r="A182" t="s">
        <v>1</v>
      </c>
      <c r="B182" t="s">
        <v>158</v>
      </c>
      <c r="C182" t="s">
        <v>665</v>
      </c>
      <c r="D182" t="s">
        <v>872</v>
      </c>
      <c r="E182" t="s">
        <v>1711</v>
      </c>
      <c r="F182" t="s">
        <v>2284</v>
      </c>
      <c r="G182" t="s">
        <v>2099</v>
      </c>
      <c r="H182" t="s">
        <v>1159</v>
      </c>
      <c r="I182" t="s">
        <v>2726</v>
      </c>
      <c r="J182" t="s">
        <v>1601</v>
      </c>
      <c r="K182" t="s">
        <v>1608</v>
      </c>
      <c r="L182" t="s">
        <v>1610</v>
      </c>
      <c r="M182" t="s">
        <v>1616</v>
      </c>
    </row>
    <row r="183" spans="1:13" x14ac:dyDescent="0.25">
      <c r="A183" t="s">
        <v>1</v>
      </c>
      <c r="B183" t="s">
        <v>159</v>
      </c>
      <c r="C183" t="s">
        <v>666</v>
      </c>
      <c r="D183" t="s">
        <v>541</v>
      </c>
      <c r="E183" t="s">
        <v>1896</v>
      </c>
      <c r="F183" t="s">
        <v>2285</v>
      </c>
      <c r="G183" t="s">
        <v>2099</v>
      </c>
      <c r="H183" t="s">
        <v>1160</v>
      </c>
      <c r="I183" t="s">
        <v>2725</v>
      </c>
      <c r="J183" t="s">
        <v>1602</v>
      </c>
      <c r="K183" t="s">
        <v>1608</v>
      </c>
      <c r="L183" t="s">
        <v>1610</v>
      </c>
      <c r="M183" t="s">
        <v>1648</v>
      </c>
    </row>
    <row r="184" spans="1:13" x14ac:dyDescent="0.25">
      <c r="A184" t="s">
        <v>1</v>
      </c>
      <c r="B184" t="s">
        <v>160</v>
      </c>
      <c r="C184" t="s">
        <v>667</v>
      </c>
      <c r="D184" t="s">
        <v>720</v>
      </c>
      <c r="E184" t="s">
        <v>1897</v>
      </c>
      <c r="F184" t="s">
        <v>2286</v>
      </c>
      <c r="G184" t="s">
        <v>2099</v>
      </c>
      <c r="H184" t="s">
        <v>1161</v>
      </c>
      <c r="I184" t="s">
        <v>2726</v>
      </c>
      <c r="J184" t="s">
        <v>1604</v>
      </c>
      <c r="K184" t="s">
        <v>1608</v>
      </c>
      <c r="L184" t="s">
        <v>1610</v>
      </c>
      <c r="M184" t="s">
        <v>1620</v>
      </c>
    </row>
    <row r="185" spans="1:13" x14ac:dyDescent="0.25">
      <c r="A185" t="s">
        <v>1</v>
      </c>
      <c r="B185" t="s">
        <v>161</v>
      </c>
      <c r="C185" t="s">
        <v>668</v>
      </c>
      <c r="D185" t="s">
        <v>734</v>
      </c>
      <c r="E185" t="s">
        <v>1898</v>
      </c>
      <c r="F185" t="s">
        <v>2287</v>
      </c>
      <c r="G185" t="s">
        <v>2099</v>
      </c>
      <c r="H185" t="s">
        <v>1162</v>
      </c>
      <c r="I185" t="s">
        <v>2726</v>
      </c>
      <c r="J185" t="s">
        <v>1604</v>
      </c>
      <c r="K185" t="s">
        <v>1608</v>
      </c>
      <c r="L185" t="s">
        <v>1610</v>
      </c>
      <c r="M185" t="s">
        <v>1620</v>
      </c>
    </row>
    <row r="186" spans="1:13" x14ac:dyDescent="0.25">
      <c r="A186" t="s">
        <v>1</v>
      </c>
      <c r="B186" t="s">
        <v>162</v>
      </c>
      <c r="C186" t="s">
        <v>669</v>
      </c>
      <c r="D186" t="s">
        <v>873</v>
      </c>
      <c r="E186" t="s">
        <v>1899</v>
      </c>
      <c r="F186" t="s">
        <v>2288</v>
      </c>
      <c r="G186" t="s">
        <v>2099</v>
      </c>
      <c r="H186" t="s">
        <v>1163</v>
      </c>
      <c r="I186" t="s">
        <v>2724</v>
      </c>
      <c r="J186" t="s">
        <v>1603</v>
      </c>
      <c r="K186" t="s">
        <v>1608</v>
      </c>
      <c r="L186" t="s">
        <v>1610</v>
      </c>
      <c r="M186" t="s">
        <v>1643</v>
      </c>
    </row>
    <row r="187" spans="1:13" x14ac:dyDescent="0.25">
      <c r="A187" t="s">
        <v>1</v>
      </c>
      <c r="B187" t="s">
        <v>163</v>
      </c>
      <c r="C187" t="s">
        <v>579</v>
      </c>
      <c r="D187" t="s">
        <v>547</v>
      </c>
      <c r="E187" t="s">
        <v>1900</v>
      </c>
      <c r="F187" t="s">
        <v>2289</v>
      </c>
      <c r="G187" t="s">
        <v>2099</v>
      </c>
      <c r="H187" t="s">
        <v>1164</v>
      </c>
      <c r="I187" t="s">
        <v>2736</v>
      </c>
      <c r="J187" t="s">
        <v>1600</v>
      </c>
      <c r="K187" t="s">
        <v>1608</v>
      </c>
      <c r="L187" t="s">
        <v>1610</v>
      </c>
      <c r="M187" t="s">
        <v>1658</v>
      </c>
    </row>
    <row r="188" spans="1:13" x14ac:dyDescent="0.25">
      <c r="A188" t="s">
        <v>1</v>
      </c>
      <c r="B188" t="s">
        <v>164</v>
      </c>
      <c r="C188" t="s">
        <v>670</v>
      </c>
      <c r="D188" t="s">
        <v>874</v>
      </c>
      <c r="E188" t="s">
        <v>1901</v>
      </c>
      <c r="F188" t="s">
        <v>2290</v>
      </c>
      <c r="G188" t="s">
        <v>2099</v>
      </c>
      <c r="H188" t="s">
        <v>1165</v>
      </c>
      <c r="I188" t="s">
        <v>2727</v>
      </c>
      <c r="J188" t="s">
        <v>1600</v>
      </c>
      <c r="K188" t="s">
        <v>1608</v>
      </c>
      <c r="L188" t="s">
        <v>1610</v>
      </c>
      <c r="M188" t="s">
        <v>1654</v>
      </c>
    </row>
    <row r="189" spans="1:13" x14ac:dyDescent="0.25">
      <c r="A189" t="s">
        <v>1</v>
      </c>
      <c r="B189" t="s">
        <v>165</v>
      </c>
      <c r="C189" t="s">
        <v>671</v>
      </c>
      <c r="D189" t="s">
        <v>797</v>
      </c>
      <c r="E189" t="s">
        <v>1902</v>
      </c>
      <c r="F189" t="s">
        <v>2291</v>
      </c>
      <c r="G189" t="s">
        <v>2099</v>
      </c>
      <c r="H189" t="s">
        <v>1166</v>
      </c>
      <c r="I189" t="s">
        <v>2729</v>
      </c>
      <c r="J189" t="s">
        <v>1603</v>
      </c>
      <c r="K189" t="s">
        <v>1608</v>
      </c>
      <c r="L189" t="s">
        <v>1610</v>
      </c>
      <c r="M189" t="s">
        <v>1622</v>
      </c>
    </row>
    <row r="190" spans="1:13" x14ac:dyDescent="0.25">
      <c r="A190" t="s">
        <v>1</v>
      </c>
      <c r="B190" t="s">
        <v>166</v>
      </c>
      <c r="C190" t="s">
        <v>672</v>
      </c>
      <c r="D190" t="s">
        <v>875</v>
      </c>
      <c r="E190" t="s">
        <v>1903</v>
      </c>
      <c r="F190" t="s">
        <v>2292</v>
      </c>
      <c r="G190" t="s">
        <v>2099</v>
      </c>
      <c r="H190" t="s">
        <v>1167</v>
      </c>
      <c r="I190" t="s">
        <v>2726</v>
      </c>
      <c r="J190" t="s">
        <v>1600</v>
      </c>
      <c r="K190" t="s">
        <v>1608</v>
      </c>
      <c r="L190" t="s">
        <v>1610</v>
      </c>
      <c r="M190" t="s">
        <v>1632</v>
      </c>
    </row>
    <row r="191" spans="1:13" x14ac:dyDescent="0.25">
      <c r="A191" t="s">
        <v>1</v>
      </c>
      <c r="B191" t="s">
        <v>167</v>
      </c>
      <c r="C191" t="s">
        <v>603</v>
      </c>
      <c r="D191" t="s">
        <v>804</v>
      </c>
      <c r="E191" t="s">
        <v>1904</v>
      </c>
      <c r="F191" t="s">
        <v>2293</v>
      </c>
      <c r="G191" t="s">
        <v>2099</v>
      </c>
      <c r="H191" t="s">
        <v>1168</v>
      </c>
      <c r="I191" t="s">
        <v>2726</v>
      </c>
      <c r="J191" t="s">
        <v>1600</v>
      </c>
      <c r="K191" t="s">
        <v>1608</v>
      </c>
      <c r="L191" t="s">
        <v>1610</v>
      </c>
      <c r="M191" t="s">
        <v>1625</v>
      </c>
    </row>
    <row r="192" spans="1:13" x14ac:dyDescent="0.25">
      <c r="A192" t="s">
        <v>1</v>
      </c>
      <c r="B192" t="s">
        <v>168</v>
      </c>
      <c r="C192" t="s">
        <v>673</v>
      </c>
      <c r="D192" t="s">
        <v>788</v>
      </c>
      <c r="E192" t="s">
        <v>1905</v>
      </c>
      <c r="F192" t="s">
        <v>2294</v>
      </c>
      <c r="G192" t="s">
        <v>2099</v>
      </c>
      <c r="H192" t="s">
        <v>1169</v>
      </c>
      <c r="I192" t="s">
        <v>2737</v>
      </c>
      <c r="J192" t="s">
        <v>1603</v>
      </c>
      <c r="K192" t="s">
        <v>1608</v>
      </c>
      <c r="L192" t="s">
        <v>1610</v>
      </c>
      <c r="M192" t="s">
        <v>1652</v>
      </c>
    </row>
    <row r="193" spans="1:13" x14ac:dyDescent="0.25">
      <c r="A193" t="s">
        <v>1</v>
      </c>
      <c r="B193" t="s">
        <v>169</v>
      </c>
      <c r="C193" t="s">
        <v>674</v>
      </c>
      <c r="D193" t="s">
        <v>806</v>
      </c>
      <c r="E193" t="s">
        <v>1906</v>
      </c>
      <c r="F193" t="s">
        <v>2295</v>
      </c>
      <c r="G193" t="s">
        <v>2099</v>
      </c>
      <c r="H193" t="s">
        <v>1170</v>
      </c>
      <c r="I193" t="s">
        <v>2736</v>
      </c>
      <c r="J193" t="s">
        <v>1600</v>
      </c>
      <c r="K193" t="s">
        <v>1608</v>
      </c>
      <c r="L193" t="s">
        <v>1610</v>
      </c>
      <c r="M193" t="s">
        <v>1658</v>
      </c>
    </row>
    <row r="194" spans="1:13" x14ac:dyDescent="0.25">
      <c r="A194" t="s">
        <v>1</v>
      </c>
      <c r="B194" t="s">
        <v>170</v>
      </c>
      <c r="C194" t="s">
        <v>675</v>
      </c>
      <c r="D194" t="s">
        <v>876</v>
      </c>
      <c r="E194" t="s">
        <v>1907</v>
      </c>
      <c r="F194" t="s">
        <v>2296</v>
      </c>
      <c r="G194" t="s">
        <v>2099</v>
      </c>
      <c r="H194" t="s">
        <v>1171</v>
      </c>
      <c r="I194" t="s">
        <v>2733</v>
      </c>
      <c r="J194" t="s">
        <v>1602</v>
      </c>
      <c r="K194" t="s">
        <v>1608</v>
      </c>
      <c r="L194" t="s">
        <v>1610</v>
      </c>
      <c r="M194" t="s">
        <v>1651</v>
      </c>
    </row>
    <row r="195" spans="1:13" x14ac:dyDescent="0.25">
      <c r="A195" t="s">
        <v>1</v>
      </c>
      <c r="B195" t="s">
        <v>171</v>
      </c>
      <c r="C195" t="s">
        <v>676</v>
      </c>
      <c r="D195" t="s">
        <v>804</v>
      </c>
      <c r="E195" t="s">
        <v>1908</v>
      </c>
      <c r="F195" t="s">
        <v>2297</v>
      </c>
      <c r="G195" t="s">
        <v>2099</v>
      </c>
      <c r="H195" t="s">
        <v>1172</v>
      </c>
      <c r="I195" t="s">
        <v>2726</v>
      </c>
      <c r="J195" t="s">
        <v>1600</v>
      </c>
      <c r="K195" t="s">
        <v>1608</v>
      </c>
      <c r="L195" t="s">
        <v>1610</v>
      </c>
      <c r="M195" t="s">
        <v>1632</v>
      </c>
    </row>
    <row r="196" spans="1:13" x14ac:dyDescent="0.25">
      <c r="A196" t="s">
        <v>1</v>
      </c>
      <c r="B196" t="s">
        <v>172</v>
      </c>
      <c r="C196" t="s">
        <v>625</v>
      </c>
      <c r="D196" t="s">
        <v>673</v>
      </c>
      <c r="E196" t="s">
        <v>1909</v>
      </c>
      <c r="F196" t="s">
        <v>2298</v>
      </c>
      <c r="G196" t="s">
        <v>2099</v>
      </c>
      <c r="H196" t="s">
        <v>1173</v>
      </c>
      <c r="I196" t="s">
        <v>2727</v>
      </c>
      <c r="J196" t="s">
        <v>1601</v>
      </c>
      <c r="K196" t="s">
        <v>1608</v>
      </c>
      <c r="L196" t="s">
        <v>1610</v>
      </c>
      <c r="M196" t="s">
        <v>1629</v>
      </c>
    </row>
    <row r="197" spans="1:13" x14ac:dyDescent="0.25">
      <c r="A197" t="s">
        <v>1</v>
      </c>
      <c r="B197" t="s">
        <v>173</v>
      </c>
      <c r="C197" t="s">
        <v>546</v>
      </c>
      <c r="D197" t="s">
        <v>532</v>
      </c>
      <c r="E197" t="s">
        <v>1712</v>
      </c>
      <c r="F197" t="s">
        <v>2299</v>
      </c>
      <c r="G197" t="s">
        <v>2099</v>
      </c>
      <c r="H197" t="s">
        <v>1174</v>
      </c>
      <c r="I197" t="s">
        <v>2726</v>
      </c>
      <c r="J197" t="s">
        <v>1600</v>
      </c>
      <c r="K197" t="s">
        <v>1608</v>
      </c>
      <c r="L197" t="s">
        <v>1610</v>
      </c>
      <c r="M197" t="s">
        <v>1625</v>
      </c>
    </row>
    <row r="198" spans="1:13" x14ac:dyDescent="0.25">
      <c r="A198" t="s">
        <v>1</v>
      </c>
      <c r="B198" t="s">
        <v>174</v>
      </c>
      <c r="C198" t="s">
        <v>652</v>
      </c>
      <c r="D198" t="s">
        <v>538</v>
      </c>
      <c r="E198" t="s">
        <v>1910</v>
      </c>
      <c r="F198" t="s">
        <v>2300</v>
      </c>
      <c r="G198" t="s">
        <v>2099</v>
      </c>
      <c r="H198" t="s">
        <v>1175</v>
      </c>
      <c r="I198" t="s">
        <v>2726</v>
      </c>
      <c r="J198" t="s">
        <v>1602</v>
      </c>
      <c r="K198" t="s">
        <v>1608</v>
      </c>
      <c r="L198" t="s">
        <v>1610</v>
      </c>
      <c r="M198" t="s">
        <v>1617</v>
      </c>
    </row>
    <row r="199" spans="1:13" x14ac:dyDescent="0.25">
      <c r="A199" t="s">
        <v>1</v>
      </c>
      <c r="B199" t="s">
        <v>175</v>
      </c>
      <c r="C199" t="s">
        <v>677</v>
      </c>
      <c r="D199" t="s">
        <v>623</v>
      </c>
      <c r="E199" t="s">
        <v>1713</v>
      </c>
      <c r="F199" t="s">
        <v>2301</v>
      </c>
      <c r="G199" t="s">
        <v>2099</v>
      </c>
      <c r="H199" t="s">
        <v>1176</v>
      </c>
      <c r="I199" t="s">
        <v>2729</v>
      </c>
      <c r="J199" t="s">
        <v>1601</v>
      </c>
      <c r="K199" t="s">
        <v>1608</v>
      </c>
      <c r="L199" t="s">
        <v>1610</v>
      </c>
      <c r="M199" t="s">
        <v>1623</v>
      </c>
    </row>
    <row r="200" spans="1:13" x14ac:dyDescent="0.25">
      <c r="A200" t="s">
        <v>1</v>
      </c>
      <c r="B200" t="s">
        <v>175</v>
      </c>
      <c r="C200" t="s">
        <v>547</v>
      </c>
      <c r="D200" t="s">
        <v>571</v>
      </c>
      <c r="E200" t="s">
        <v>1714</v>
      </c>
      <c r="F200" t="s">
        <v>2302</v>
      </c>
      <c r="G200" t="s">
        <v>2099</v>
      </c>
      <c r="H200" t="s">
        <v>1177</v>
      </c>
      <c r="I200" t="s">
        <v>2726</v>
      </c>
      <c r="J200" t="s">
        <v>1601</v>
      </c>
      <c r="K200" t="s">
        <v>1608</v>
      </c>
      <c r="L200" t="s">
        <v>1610</v>
      </c>
      <c r="M200" t="s">
        <v>1616</v>
      </c>
    </row>
    <row r="201" spans="1:13" x14ac:dyDescent="0.25">
      <c r="A201" t="s">
        <v>1</v>
      </c>
      <c r="B201" t="s">
        <v>176</v>
      </c>
      <c r="C201" t="s">
        <v>553</v>
      </c>
      <c r="D201" t="s">
        <v>714</v>
      </c>
      <c r="E201" t="s">
        <v>1911</v>
      </c>
      <c r="F201" t="s">
        <v>2303</v>
      </c>
      <c r="G201" t="s">
        <v>2099</v>
      </c>
      <c r="H201" t="s">
        <v>1178</v>
      </c>
      <c r="I201" t="s">
        <v>2737</v>
      </c>
      <c r="J201" t="s">
        <v>1603</v>
      </c>
      <c r="K201" t="s">
        <v>1608</v>
      </c>
      <c r="L201" t="s">
        <v>1610</v>
      </c>
      <c r="M201" t="s">
        <v>1652</v>
      </c>
    </row>
    <row r="202" spans="1:13" x14ac:dyDescent="0.25">
      <c r="A202" t="s">
        <v>1</v>
      </c>
      <c r="B202" t="s">
        <v>177</v>
      </c>
      <c r="C202" t="s">
        <v>678</v>
      </c>
      <c r="D202" t="s">
        <v>877</v>
      </c>
      <c r="E202" t="s">
        <v>1912</v>
      </c>
      <c r="F202" t="s">
        <v>2304</v>
      </c>
      <c r="G202" t="s">
        <v>2099</v>
      </c>
      <c r="H202" t="s">
        <v>1179</v>
      </c>
      <c r="I202" t="s">
        <v>2727</v>
      </c>
      <c r="J202" t="s">
        <v>1600</v>
      </c>
      <c r="K202" t="s">
        <v>1608</v>
      </c>
      <c r="L202" t="s">
        <v>1610</v>
      </c>
      <c r="M202" t="s">
        <v>1619</v>
      </c>
    </row>
    <row r="203" spans="1:13" x14ac:dyDescent="0.25">
      <c r="A203" t="s">
        <v>1</v>
      </c>
      <c r="B203" t="s">
        <v>178</v>
      </c>
      <c r="C203" t="s">
        <v>623</v>
      </c>
      <c r="D203" t="s">
        <v>673</v>
      </c>
      <c r="E203" t="s">
        <v>1913</v>
      </c>
      <c r="F203" t="s">
        <v>2305</v>
      </c>
      <c r="G203" t="s">
        <v>2099</v>
      </c>
      <c r="H203" t="s">
        <v>1180</v>
      </c>
      <c r="I203" t="s">
        <v>2724</v>
      </c>
      <c r="J203" t="s">
        <v>1603</v>
      </c>
      <c r="K203" t="s">
        <v>1607</v>
      </c>
      <c r="L203" t="s">
        <v>1610</v>
      </c>
      <c r="M203" t="s">
        <v>1643</v>
      </c>
    </row>
    <row r="204" spans="1:13" x14ac:dyDescent="0.25">
      <c r="A204" t="s">
        <v>1</v>
      </c>
      <c r="B204" t="s">
        <v>179</v>
      </c>
      <c r="C204" t="s">
        <v>353</v>
      </c>
      <c r="D204" t="s">
        <v>614</v>
      </c>
      <c r="E204" t="s">
        <v>1715</v>
      </c>
      <c r="F204" t="s">
        <v>2306</v>
      </c>
      <c r="G204" t="s">
        <v>2099</v>
      </c>
      <c r="H204" t="s">
        <v>1181</v>
      </c>
      <c r="I204" t="s">
        <v>2725</v>
      </c>
      <c r="J204" t="s">
        <v>1602</v>
      </c>
      <c r="K204" t="s">
        <v>1608</v>
      </c>
      <c r="L204" t="s">
        <v>1610</v>
      </c>
      <c r="M204" t="s">
        <v>1648</v>
      </c>
    </row>
    <row r="205" spans="1:13" x14ac:dyDescent="0.25">
      <c r="A205" t="s">
        <v>1</v>
      </c>
      <c r="B205" t="s">
        <v>180</v>
      </c>
      <c r="C205" t="s">
        <v>609</v>
      </c>
      <c r="D205" t="s">
        <v>530</v>
      </c>
      <c r="E205" t="s">
        <v>1716</v>
      </c>
      <c r="F205" t="s">
        <v>2307</v>
      </c>
      <c r="G205" t="s">
        <v>2099</v>
      </c>
      <c r="H205" t="s">
        <v>1182</v>
      </c>
      <c r="I205" t="s">
        <v>2725</v>
      </c>
      <c r="J205" t="s">
        <v>1603</v>
      </c>
      <c r="K205" t="s">
        <v>1608</v>
      </c>
      <c r="L205" t="s">
        <v>1610</v>
      </c>
      <c r="M205" t="s">
        <v>1627</v>
      </c>
    </row>
    <row r="206" spans="1:13" x14ac:dyDescent="0.25">
      <c r="A206" t="s">
        <v>1</v>
      </c>
      <c r="B206" t="s">
        <v>181</v>
      </c>
      <c r="C206" t="s">
        <v>679</v>
      </c>
      <c r="D206" t="s">
        <v>878</v>
      </c>
      <c r="E206" t="s">
        <v>1914</v>
      </c>
      <c r="F206" t="s">
        <v>2308</v>
      </c>
      <c r="G206" t="s">
        <v>2099</v>
      </c>
      <c r="H206" t="s">
        <v>1183</v>
      </c>
      <c r="I206" t="s">
        <v>2729</v>
      </c>
      <c r="J206" t="s">
        <v>1602</v>
      </c>
      <c r="K206" t="s">
        <v>1607</v>
      </c>
      <c r="L206" t="s">
        <v>1610</v>
      </c>
      <c r="M206" t="s">
        <v>1638</v>
      </c>
    </row>
    <row r="207" spans="1:13" x14ac:dyDescent="0.25">
      <c r="A207" t="s">
        <v>1</v>
      </c>
      <c r="B207" t="s">
        <v>182</v>
      </c>
      <c r="C207" t="s">
        <v>680</v>
      </c>
      <c r="D207" t="s">
        <v>539</v>
      </c>
      <c r="E207" t="s">
        <v>1717</v>
      </c>
      <c r="F207" t="s">
        <v>2309</v>
      </c>
      <c r="G207" t="s">
        <v>2099</v>
      </c>
      <c r="H207" t="s">
        <v>1184</v>
      </c>
      <c r="I207" t="s">
        <v>2725</v>
      </c>
      <c r="J207" t="s">
        <v>1601</v>
      </c>
      <c r="K207" t="s">
        <v>1608</v>
      </c>
      <c r="L207" t="s">
        <v>1610</v>
      </c>
      <c r="M207" t="s">
        <v>1615</v>
      </c>
    </row>
    <row r="208" spans="1:13" x14ac:dyDescent="0.25">
      <c r="A208" t="s">
        <v>1</v>
      </c>
      <c r="B208" t="s">
        <v>182</v>
      </c>
      <c r="C208" t="s">
        <v>673</v>
      </c>
      <c r="D208" t="s">
        <v>546</v>
      </c>
      <c r="E208" t="s">
        <v>1718</v>
      </c>
      <c r="F208" t="s">
        <v>2310</v>
      </c>
      <c r="G208" t="s">
        <v>2099</v>
      </c>
      <c r="H208" t="s">
        <v>1185</v>
      </c>
      <c r="I208" t="s">
        <v>2730</v>
      </c>
      <c r="J208" t="s">
        <v>1602</v>
      </c>
      <c r="K208" t="s">
        <v>1608</v>
      </c>
      <c r="L208" t="s">
        <v>1610</v>
      </c>
      <c r="M208" t="s">
        <v>1626</v>
      </c>
    </row>
    <row r="209" spans="1:13" x14ac:dyDescent="0.25">
      <c r="A209" t="s">
        <v>1</v>
      </c>
      <c r="B209" t="s">
        <v>182</v>
      </c>
      <c r="C209" t="s">
        <v>681</v>
      </c>
      <c r="D209" t="s">
        <v>820</v>
      </c>
      <c r="E209" t="s">
        <v>1719</v>
      </c>
      <c r="F209" t="s">
        <v>2311</v>
      </c>
      <c r="G209" t="s">
        <v>2099</v>
      </c>
      <c r="H209" t="s">
        <v>1186</v>
      </c>
      <c r="I209" t="s">
        <v>2731</v>
      </c>
      <c r="J209" t="s">
        <v>1601</v>
      </c>
      <c r="K209" t="s">
        <v>1608</v>
      </c>
      <c r="L209" t="s">
        <v>1610</v>
      </c>
      <c r="M209" t="s">
        <v>1645</v>
      </c>
    </row>
    <row r="210" spans="1:13" x14ac:dyDescent="0.25">
      <c r="A210" t="s">
        <v>1</v>
      </c>
      <c r="B210" t="s">
        <v>182</v>
      </c>
      <c r="C210" t="s">
        <v>682</v>
      </c>
      <c r="D210" t="s">
        <v>879</v>
      </c>
      <c r="E210" t="s">
        <v>1720</v>
      </c>
      <c r="F210" t="s">
        <v>2312</v>
      </c>
      <c r="G210" t="s">
        <v>2099</v>
      </c>
      <c r="H210" t="s">
        <v>1187</v>
      </c>
      <c r="I210" t="s">
        <v>2726</v>
      </c>
      <c r="J210" t="s">
        <v>1600</v>
      </c>
      <c r="K210" t="s">
        <v>1608</v>
      </c>
      <c r="L210" t="s">
        <v>1610</v>
      </c>
      <c r="M210" t="s">
        <v>1632</v>
      </c>
    </row>
    <row r="211" spans="1:13" x14ac:dyDescent="0.25">
      <c r="A211" t="s">
        <v>1</v>
      </c>
      <c r="B211" t="s">
        <v>182</v>
      </c>
      <c r="C211" t="s">
        <v>542</v>
      </c>
      <c r="D211" t="s">
        <v>566</v>
      </c>
      <c r="E211" t="s">
        <v>1721</v>
      </c>
      <c r="F211" t="s">
        <v>2313</v>
      </c>
      <c r="G211" t="s">
        <v>2099</v>
      </c>
      <c r="H211" t="s">
        <v>1188</v>
      </c>
      <c r="I211" t="s">
        <v>2730</v>
      </c>
      <c r="J211" t="s">
        <v>1600</v>
      </c>
      <c r="K211" t="s">
        <v>1608</v>
      </c>
      <c r="L211" t="s">
        <v>1610</v>
      </c>
      <c r="M211" t="s">
        <v>1642</v>
      </c>
    </row>
    <row r="212" spans="1:13" x14ac:dyDescent="0.25">
      <c r="A212" t="s">
        <v>1</v>
      </c>
      <c r="B212" t="s">
        <v>183</v>
      </c>
      <c r="C212" t="s">
        <v>683</v>
      </c>
      <c r="D212" t="s">
        <v>542</v>
      </c>
      <c r="E212" t="s">
        <v>1722</v>
      </c>
      <c r="F212" t="s">
        <v>2314</v>
      </c>
      <c r="G212" t="s">
        <v>2099</v>
      </c>
      <c r="H212" t="s">
        <v>1189</v>
      </c>
      <c r="I212" t="s">
        <v>2724</v>
      </c>
      <c r="J212" t="s">
        <v>1601</v>
      </c>
      <c r="K212" t="s">
        <v>1608</v>
      </c>
      <c r="L212" t="s">
        <v>1610</v>
      </c>
      <c r="M212" t="s">
        <v>1630</v>
      </c>
    </row>
    <row r="213" spans="1:13" x14ac:dyDescent="0.25">
      <c r="A213" t="s">
        <v>1</v>
      </c>
      <c r="B213" t="s">
        <v>183</v>
      </c>
      <c r="C213" t="s">
        <v>684</v>
      </c>
      <c r="D213" t="s">
        <v>656</v>
      </c>
      <c r="E213" t="s">
        <v>1723</v>
      </c>
      <c r="F213" t="s">
        <v>2315</v>
      </c>
      <c r="G213" t="s">
        <v>2099</v>
      </c>
      <c r="H213" t="s">
        <v>1190</v>
      </c>
      <c r="I213" t="s">
        <v>2727</v>
      </c>
      <c r="J213" t="s">
        <v>1600</v>
      </c>
      <c r="K213" t="s">
        <v>1608</v>
      </c>
      <c r="L213" t="s">
        <v>1610</v>
      </c>
      <c r="M213" t="s">
        <v>1654</v>
      </c>
    </row>
    <row r="214" spans="1:13" x14ac:dyDescent="0.25">
      <c r="A214" t="s">
        <v>1</v>
      </c>
      <c r="B214" t="s">
        <v>184</v>
      </c>
      <c r="C214" t="s">
        <v>685</v>
      </c>
      <c r="D214" t="s">
        <v>695</v>
      </c>
      <c r="E214" t="s">
        <v>1915</v>
      </c>
      <c r="F214" t="s">
        <v>2316</v>
      </c>
      <c r="G214" t="s">
        <v>2099</v>
      </c>
      <c r="H214" t="s">
        <v>1191</v>
      </c>
      <c r="I214" t="s">
        <v>2726</v>
      </c>
      <c r="J214" t="s">
        <v>1604</v>
      </c>
      <c r="K214" t="s">
        <v>1608</v>
      </c>
      <c r="L214" t="s">
        <v>1611</v>
      </c>
      <c r="M214" t="s">
        <v>1620</v>
      </c>
    </row>
    <row r="215" spans="1:13" x14ac:dyDescent="0.25">
      <c r="A215" t="s">
        <v>1</v>
      </c>
      <c r="B215" t="s">
        <v>185</v>
      </c>
      <c r="C215" t="s">
        <v>618</v>
      </c>
      <c r="D215" t="s">
        <v>781</v>
      </c>
      <c r="E215" t="s">
        <v>1724</v>
      </c>
      <c r="F215" t="s">
        <v>2317</v>
      </c>
      <c r="G215" t="s">
        <v>2099</v>
      </c>
      <c r="H215" t="s">
        <v>1192</v>
      </c>
      <c r="I215" t="s">
        <v>2726</v>
      </c>
      <c r="J215" t="s">
        <v>1601</v>
      </c>
      <c r="K215" t="s">
        <v>1608</v>
      </c>
      <c r="L215" t="s">
        <v>1610</v>
      </c>
      <c r="M215" t="s">
        <v>1616</v>
      </c>
    </row>
    <row r="216" spans="1:13" x14ac:dyDescent="0.25">
      <c r="A216" t="s">
        <v>1</v>
      </c>
      <c r="B216" t="s">
        <v>186</v>
      </c>
      <c r="C216" t="s">
        <v>686</v>
      </c>
      <c r="D216" t="s">
        <v>593</v>
      </c>
      <c r="E216" t="s">
        <v>1916</v>
      </c>
      <c r="F216" t="s">
        <v>2318</v>
      </c>
      <c r="G216" t="s">
        <v>2099</v>
      </c>
      <c r="H216" t="s">
        <v>1193</v>
      </c>
      <c r="I216" t="s">
        <v>2731</v>
      </c>
      <c r="J216" t="s">
        <v>1600</v>
      </c>
      <c r="K216" t="s">
        <v>1608</v>
      </c>
      <c r="L216" t="s">
        <v>1610</v>
      </c>
      <c r="M216" t="s">
        <v>1633</v>
      </c>
    </row>
    <row r="217" spans="1:13" x14ac:dyDescent="0.25">
      <c r="A217" t="s">
        <v>1</v>
      </c>
      <c r="B217" t="s">
        <v>187</v>
      </c>
      <c r="C217" t="s">
        <v>570</v>
      </c>
      <c r="D217" t="s">
        <v>604</v>
      </c>
      <c r="E217" t="s">
        <v>1725</v>
      </c>
      <c r="F217" t="s">
        <v>2319</v>
      </c>
      <c r="G217" t="s">
        <v>2099</v>
      </c>
      <c r="H217" t="s">
        <v>1194</v>
      </c>
      <c r="I217" t="s">
        <v>2727</v>
      </c>
      <c r="J217" t="s">
        <v>1601</v>
      </c>
      <c r="K217" t="s">
        <v>1608</v>
      </c>
      <c r="L217" t="s">
        <v>1610</v>
      </c>
      <c r="M217" t="s">
        <v>1629</v>
      </c>
    </row>
    <row r="218" spans="1:13" x14ac:dyDescent="0.25">
      <c r="A218" t="s">
        <v>1</v>
      </c>
      <c r="B218" t="s">
        <v>187</v>
      </c>
      <c r="C218" t="s">
        <v>687</v>
      </c>
      <c r="D218" t="s">
        <v>680</v>
      </c>
      <c r="E218" t="s">
        <v>1726</v>
      </c>
      <c r="F218" t="s">
        <v>2320</v>
      </c>
      <c r="G218" t="s">
        <v>2099</v>
      </c>
      <c r="H218" t="s">
        <v>1195</v>
      </c>
      <c r="I218" t="s">
        <v>2724</v>
      </c>
      <c r="J218" t="s">
        <v>1603</v>
      </c>
      <c r="K218" t="s">
        <v>1608</v>
      </c>
      <c r="L218" t="s">
        <v>1610</v>
      </c>
      <c r="M218" t="s">
        <v>1643</v>
      </c>
    </row>
    <row r="219" spans="1:13" x14ac:dyDescent="0.25">
      <c r="A219" t="s">
        <v>1</v>
      </c>
      <c r="B219" t="s">
        <v>188</v>
      </c>
      <c r="C219" t="s">
        <v>588</v>
      </c>
      <c r="D219" t="s">
        <v>667</v>
      </c>
      <c r="E219" t="s">
        <v>1917</v>
      </c>
      <c r="F219" t="s">
        <v>2321</v>
      </c>
      <c r="G219" t="s">
        <v>2099</v>
      </c>
      <c r="H219" t="s">
        <v>1196</v>
      </c>
      <c r="I219" t="s">
        <v>2726</v>
      </c>
      <c r="J219" t="s">
        <v>1600</v>
      </c>
      <c r="K219" t="s">
        <v>1608</v>
      </c>
      <c r="L219" t="s">
        <v>1610</v>
      </c>
      <c r="M219" t="s">
        <v>1632</v>
      </c>
    </row>
    <row r="220" spans="1:13" x14ac:dyDescent="0.25">
      <c r="A220" t="s">
        <v>1</v>
      </c>
      <c r="B220" t="s">
        <v>189</v>
      </c>
      <c r="C220" t="s">
        <v>688</v>
      </c>
      <c r="D220" t="s">
        <v>880</v>
      </c>
      <c r="E220" t="s">
        <v>1918</v>
      </c>
      <c r="F220" t="s">
        <v>2322</v>
      </c>
      <c r="G220" t="s">
        <v>2099</v>
      </c>
      <c r="H220" t="s">
        <v>1197</v>
      </c>
      <c r="I220" t="s">
        <v>2728</v>
      </c>
      <c r="J220" t="s">
        <v>1601</v>
      </c>
      <c r="K220" t="s">
        <v>1608</v>
      </c>
      <c r="L220" t="s">
        <v>1610</v>
      </c>
      <c r="M220" t="s">
        <v>1634</v>
      </c>
    </row>
    <row r="221" spans="1:13" x14ac:dyDescent="0.25">
      <c r="A221" t="s">
        <v>1</v>
      </c>
      <c r="B221" t="s">
        <v>190</v>
      </c>
      <c r="C221" t="s">
        <v>689</v>
      </c>
      <c r="D221" t="s">
        <v>660</v>
      </c>
      <c r="E221" t="s">
        <v>1919</v>
      </c>
      <c r="F221" t="s">
        <v>2323</v>
      </c>
      <c r="G221" t="s">
        <v>2099</v>
      </c>
      <c r="H221" t="s">
        <v>1198</v>
      </c>
      <c r="I221" t="s">
        <v>2727</v>
      </c>
      <c r="J221" t="s">
        <v>1600</v>
      </c>
      <c r="K221" t="s">
        <v>1608</v>
      </c>
      <c r="L221" t="s">
        <v>1610</v>
      </c>
      <c r="M221" t="s">
        <v>1654</v>
      </c>
    </row>
    <row r="222" spans="1:13" x14ac:dyDescent="0.25">
      <c r="A222" t="s">
        <v>1</v>
      </c>
      <c r="B222" t="s">
        <v>191</v>
      </c>
      <c r="C222" t="s">
        <v>646</v>
      </c>
      <c r="D222" t="s">
        <v>542</v>
      </c>
      <c r="E222" t="s">
        <v>1727</v>
      </c>
      <c r="F222" t="s">
        <v>2324</v>
      </c>
      <c r="G222" t="s">
        <v>2099</v>
      </c>
      <c r="H222" t="s">
        <v>1199</v>
      </c>
      <c r="I222" t="s">
        <v>2726</v>
      </c>
      <c r="J222" t="s">
        <v>1602</v>
      </c>
      <c r="K222" t="s">
        <v>1608</v>
      </c>
      <c r="L222" t="s">
        <v>1610</v>
      </c>
      <c r="M222" t="s">
        <v>1617</v>
      </c>
    </row>
    <row r="223" spans="1:13" x14ac:dyDescent="0.25">
      <c r="A223" t="s">
        <v>1</v>
      </c>
      <c r="B223" t="s">
        <v>192</v>
      </c>
      <c r="C223" t="s">
        <v>690</v>
      </c>
      <c r="D223" t="s">
        <v>734</v>
      </c>
      <c r="E223" t="s">
        <v>1920</v>
      </c>
      <c r="F223" t="s">
        <v>2325</v>
      </c>
      <c r="G223" t="s">
        <v>2099</v>
      </c>
      <c r="H223" t="s">
        <v>1200</v>
      </c>
      <c r="I223" t="s">
        <v>2725</v>
      </c>
      <c r="J223" t="s">
        <v>1603</v>
      </c>
      <c r="K223" t="s">
        <v>1608</v>
      </c>
      <c r="L223" t="s">
        <v>1610</v>
      </c>
      <c r="M223" t="s">
        <v>1627</v>
      </c>
    </row>
    <row r="224" spans="1:13" x14ac:dyDescent="0.25">
      <c r="A224" t="s">
        <v>1</v>
      </c>
      <c r="B224" t="s">
        <v>193</v>
      </c>
      <c r="C224" t="s">
        <v>673</v>
      </c>
      <c r="D224" t="s">
        <v>881</v>
      </c>
      <c r="E224" t="s">
        <v>1921</v>
      </c>
      <c r="F224" t="s">
        <v>2326</v>
      </c>
      <c r="G224" t="s">
        <v>2099</v>
      </c>
      <c r="H224" t="s">
        <v>1201</v>
      </c>
      <c r="I224" t="s">
        <v>2728</v>
      </c>
      <c r="J224" t="s">
        <v>1601</v>
      </c>
      <c r="K224" t="s">
        <v>1607</v>
      </c>
      <c r="L224" t="s">
        <v>1610</v>
      </c>
      <c r="M224" t="s">
        <v>1634</v>
      </c>
    </row>
    <row r="225" spans="1:13" x14ac:dyDescent="0.25">
      <c r="A225" t="s">
        <v>1</v>
      </c>
      <c r="B225" t="s">
        <v>194</v>
      </c>
      <c r="C225" t="s">
        <v>616</v>
      </c>
      <c r="D225" t="s">
        <v>882</v>
      </c>
      <c r="E225" t="s">
        <v>1922</v>
      </c>
      <c r="F225" t="s">
        <v>2327</v>
      </c>
      <c r="G225" t="s">
        <v>2099</v>
      </c>
      <c r="H225" t="s">
        <v>1202</v>
      </c>
      <c r="I225" t="s">
        <v>2727</v>
      </c>
      <c r="J225" t="s">
        <v>1600</v>
      </c>
      <c r="K225" t="s">
        <v>1608</v>
      </c>
      <c r="L225" t="s">
        <v>1610</v>
      </c>
      <c r="M225" t="s">
        <v>1654</v>
      </c>
    </row>
    <row r="226" spans="1:13" x14ac:dyDescent="0.25">
      <c r="A226" t="s">
        <v>1</v>
      </c>
      <c r="B226" t="s">
        <v>195</v>
      </c>
      <c r="C226" t="s">
        <v>539</v>
      </c>
      <c r="D226" t="s">
        <v>812</v>
      </c>
      <c r="E226" t="s">
        <v>1923</v>
      </c>
      <c r="F226" t="s">
        <v>2328</v>
      </c>
      <c r="G226" t="s">
        <v>2099</v>
      </c>
      <c r="H226" t="s">
        <v>1203</v>
      </c>
      <c r="I226" t="s">
        <v>2735</v>
      </c>
      <c r="J226" t="s">
        <v>1602</v>
      </c>
      <c r="K226" t="s">
        <v>1607</v>
      </c>
      <c r="L226" t="s">
        <v>1610</v>
      </c>
      <c r="M226" t="s">
        <v>1646</v>
      </c>
    </row>
    <row r="227" spans="1:13" x14ac:dyDescent="0.25">
      <c r="A227" t="s">
        <v>1</v>
      </c>
      <c r="B227" t="s">
        <v>196</v>
      </c>
      <c r="C227" t="s">
        <v>691</v>
      </c>
      <c r="D227" t="s">
        <v>622</v>
      </c>
      <c r="E227" t="s">
        <v>1728</v>
      </c>
      <c r="F227" t="s">
        <v>2329</v>
      </c>
      <c r="G227" t="s">
        <v>2099</v>
      </c>
      <c r="H227" t="s">
        <v>1204</v>
      </c>
      <c r="I227" t="s">
        <v>2730</v>
      </c>
      <c r="J227" t="s">
        <v>1600</v>
      </c>
      <c r="K227" t="s">
        <v>1607</v>
      </c>
      <c r="L227" t="s">
        <v>1610</v>
      </c>
      <c r="M227" t="s">
        <v>1642</v>
      </c>
    </row>
    <row r="228" spans="1:13" x14ac:dyDescent="0.25">
      <c r="A228" t="s">
        <v>1</v>
      </c>
      <c r="B228" t="s">
        <v>197</v>
      </c>
      <c r="C228" t="s">
        <v>532</v>
      </c>
      <c r="D228" t="s">
        <v>588</v>
      </c>
      <c r="E228" t="s">
        <v>1924</v>
      </c>
      <c r="F228" t="s">
        <v>2330</v>
      </c>
      <c r="G228" t="s">
        <v>2099</v>
      </c>
      <c r="H228" t="s">
        <v>1205</v>
      </c>
      <c r="I228" t="s">
        <v>2732</v>
      </c>
      <c r="J228" t="s">
        <v>1603</v>
      </c>
      <c r="K228" t="s">
        <v>1608</v>
      </c>
      <c r="L228" t="s">
        <v>1610</v>
      </c>
      <c r="M228" t="s">
        <v>1637</v>
      </c>
    </row>
    <row r="229" spans="1:13" x14ac:dyDescent="0.25">
      <c r="A229" t="s">
        <v>1</v>
      </c>
      <c r="B229" t="s">
        <v>198</v>
      </c>
      <c r="C229" t="s">
        <v>566</v>
      </c>
      <c r="D229" t="s">
        <v>665</v>
      </c>
      <c r="E229" t="s">
        <v>1925</v>
      </c>
      <c r="F229" t="s">
        <v>2331</v>
      </c>
      <c r="G229" t="s">
        <v>2099</v>
      </c>
      <c r="H229" t="s">
        <v>1206</v>
      </c>
      <c r="I229" t="s">
        <v>2724</v>
      </c>
      <c r="J229" t="s">
        <v>1602</v>
      </c>
      <c r="K229" t="s">
        <v>1607</v>
      </c>
      <c r="L229" t="s">
        <v>1610</v>
      </c>
      <c r="M229" t="s">
        <v>1636</v>
      </c>
    </row>
    <row r="230" spans="1:13" x14ac:dyDescent="0.25">
      <c r="A230" t="s">
        <v>1</v>
      </c>
      <c r="B230" t="s">
        <v>199</v>
      </c>
      <c r="C230" t="s">
        <v>692</v>
      </c>
      <c r="D230" t="s">
        <v>642</v>
      </c>
      <c r="E230" t="s">
        <v>1729</v>
      </c>
      <c r="F230" t="s">
        <v>2332</v>
      </c>
      <c r="G230" t="s">
        <v>2099</v>
      </c>
      <c r="H230" t="s">
        <v>1207</v>
      </c>
      <c r="I230" t="s">
        <v>2727</v>
      </c>
      <c r="J230" t="s">
        <v>1600</v>
      </c>
      <c r="K230" t="s">
        <v>1608</v>
      </c>
      <c r="L230" t="s">
        <v>1610</v>
      </c>
      <c r="M230" t="s">
        <v>1619</v>
      </c>
    </row>
    <row r="231" spans="1:13" x14ac:dyDescent="0.25">
      <c r="A231" t="s">
        <v>1</v>
      </c>
      <c r="B231" t="s">
        <v>199</v>
      </c>
      <c r="C231" t="s">
        <v>546</v>
      </c>
      <c r="D231" t="s">
        <v>883</v>
      </c>
      <c r="E231" t="s">
        <v>1730</v>
      </c>
      <c r="F231" t="s">
        <v>2333</v>
      </c>
      <c r="G231" t="s">
        <v>2099</v>
      </c>
      <c r="H231" t="s">
        <v>1208</v>
      </c>
      <c r="I231" t="s">
        <v>2727</v>
      </c>
      <c r="J231" t="s">
        <v>1601</v>
      </c>
      <c r="K231" t="s">
        <v>1608</v>
      </c>
      <c r="L231" t="s">
        <v>1610</v>
      </c>
      <c r="M231" t="s">
        <v>1629</v>
      </c>
    </row>
    <row r="232" spans="1:13" x14ac:dyDescent="0.25">
      <c r="A232" t="s">
        <v>1</v>
      </c>
      <c r="B232" t="s">
        <v>200</v>
      </c>
      <c r="C232" t="s">
        <v>622</v>
      </c>
      <c r="D232" t="s">
        <v>537</v>
      </c>
      <c r="E232" t="s">
        <v>1926</v>
      </c>
      <c r="F232" t="s">
        <v>2334</v>
      </c>
      <c r="G232" t="s">
        <v>2099</v>
      </c>
      <c r="H232" t="s">
        <v>1209</v>
      </c>
      <c r="I232" t="s">
        <v>2728</v>
      </c>
      <c r="J232" t="s">
        <v>1600</v>
      </c>
      <c r="K232" t="s">
        <v>1607</v>
      </c>
      <c r="L232" t="s">
        <v>1610</v>
      </c>
      <c r="M232" t="s">
        <v>1621</v>
      </c>
    </row>
    <row r="233" spans="1:13" x14ac:dyDescent="0.25">
      <c r="A233" t="s">
        <v>1</v>
      </c>
      <c r="B233" t="s">
        <v>201</v>
      </c>
      <c r="C233" t="s">
        <v>693</v>
      </c>
      <c r="D233" t="s">
        <v>884</v>
      </c>
      <c r="E233" t="s">
        <v>1927</v>
      </c>
      <c r="F233" t="s">
        <v>2335</v>
      </c>
      <c r="G233" t="s">
        <v>2099</v>
      </c>
      <c r="H233" t="s">
        <v>1210</v>
      </c>
      <c r="I233" t="s">
        <v>2728</v>
      </c>
      <c r="J233" t="s">
        <v>1601</v>
      </c>
      <c r="K233" t="s">
        <v>1607</v>
      </c>
      <c r="L233" t="s">
        <v>1610</v>
      </c>
      <c r="M233" t="s">
        <v>1634</v>
      </c>
    </row>
    <row r="234" spans="1:13" x14ac:dyDescent="0.25">
      <c r="A234" t="s">
        <v>1</v>
      </c>
      <c r="B234" t="s">
        <v>202</v>
      </c>
      <c r="C234" t="s">
        <v>694</v>
      </c>
      <c r="D234" t="s">
        <v>634</v>
      </c>
      <c r="E234" t="s">
        <v>1928</v>
      </c>
      <c r="F234" t="s">
        <v>2336</v>
      </c>
      <c r="G234" t="s">
        <v>2099</v>
      </c>
      <c r="H234" t="s">
        <v>1211</v>
      </c>
      <c r="I234" t="s">
        <v>2725</v>
      </c>
      <c r="J234" t="s">
        <v>1602</v>
      </c>
      <c r="K234" t="s">
        <v>1607</v>
      </c>
      <c r="L234" t="s">
        <v>1610</v>
      </c>
      <c r="M234" t="s">
        <v>1648</v>
      </c>
    </row>
    <row r="235" spans="1:13" x14ac:dyDescent="0.25">
      <c r="A235" t="s">
        <v>1</v>
      </c>
      <c r="B235" t="s">
        <v>203</v>
      </c>
      <c r="C235" t="s">
        <v>664</v>
      </c>
      <c r="D235" t="s">
        <v>674</v>
      </c>
      <c r="E235" t="s">
        <v>1731</v>
      </c>
      <c r="F235" t="s">
        <v>2337</v>
      </c>
      <c r="G235" t="s">
        <v>2099</v>
      </c>
      <c r="H235" t="s">
        <v>1212</v>
      </c>
      <c r="I235" t="s">
        <v>2730</v>
      </c>
      <c r="J235" t="s">
        <v>1602</v>
      </c>
      <c r="K235" t="s">
        <v>1608</v>
      </c>
      <c r="L235" t="s">
        <v>1610</v>
      </c>
      <c r="M235" t="s">
        <v>1626</v>
      </c>
    </row>
    <row r="236" spans="1:13" x14ac:dyDescent="0.25">
      <c r="A236" t="s">
        <v>1</v>
      </c>
      <c r="B236" t="s">
        <v>204</v>
      </c>
      <c r="C236" t="s">
        <v>695</v>
      </c>
      <c r="D236" t="s">
        <v>593</v>
      </c>
      <c r="E236" t="s">
        <v>1929</v>
      </c>
      <c r="F236" t="s">
        <v>2338</v>
      </c>
      <c r="G236" t="s">
        <v>2099</v>
      </c>
      <c r="H236" t="s">
        <v>1213</v>
      </c>
      <c r="I236" t="s">
        <v>2729</v>
      </c>
      <c r="J236" t="s">
        <v>1600</v>
      </c>
      <c r="K236" t="s">
        <v>1607</v>
      </c>
      <c r="L236" t="s">
        <v>1610</v>
      </c>
      <c r="M236" t="s">
        <v>1631</v>
      </c>
    </row>
    <row r="237" spans="1:13" x14ac:dyDescent="0.25">
      <c r="A237" t="s">
        <v>1</v>
      </c>
      <c r="B237" t="s">
        <v>205</v>
      </c>
      <c r="C237" t="s">
        <v>552</v>
      </c>
      <c r="D237" t="s">
        <v>634</v>
      </c>
      <c r="E237" t="s">
        <v>1930</v>
      </c>
      <c r="F237" t="s">
        <v>2339</v>
      </c>
      <c r="G237" t="s">
        <v>2099</v>
      </c>
      <c r="H237" t="s">
        <v>1214</v>
      </c>
      <c r="I237" t="s">
        <v>2724</v>
      </c>
      <c r="J237" t="s">
        <v>1600</v>
      </c>
      <c r="K237" t="s">
        <v>1608</v>
      </c>
      <c r="L237" t="s">
        <v>1610</v>
      </c>
      <c r="M237" t="s">
        <v>1614</v>
      </c>
    </row>
    <row r="238" spans="1:13" x14ac:dyDescent="0.25">
      <c r="A238" t="s">
        <v>1</v>
      </c>
      <c r="B238" t="s">
        <v>206</v>
      </c>
      <c r="C238" t="s">
        <v>696</v>
      </c>
      <c r="D238" t="s">
        <v>677</v>
      </c>
      <c r="E238" t="s">
        <v>1732</v>
      </c>
      <c r="F238" t="s">
        <v>2340</v>
      </c>
      <c r="G238" t="s">
        <v>2099</v>
      </c>
      <c r="H238" t="s">
        <v>1215</v>
      </c>
      <c r="I238" t="s">
        <v>2728</v>
      </c>
      <c r="J238" t="s">
        <v>1600</v>
      </c>
      <c r="K238" t="s">
        <v>1608</v>
      </c>
      <c r="L238" t="s">
        <v>1610</v>
      </c>
      <c r="M238" t="s">
        <v>1621</v>
      </c>
    </row>
    <row r="239" spans="1:13" x14ac:dyDescent="0.25">
      <c r="A239" t="s">
        <v>1</v>
      </c>
      <c r="B239" t="s">
        <v>207</v>
      </c>
      <c r="C239" t="s">
        <v>602</v>
      </c>
      <c r="D239" t="s">
        <v>821</v>
      </c>
      <c r="E239" t="s">
        <v>1931</v>
      </c>
      <c r="F239" t="s">
        <v>2341</v>
      </c>
      <c r="G239" t="s">
        <v>2099</v>
      </c>
      <c r="H239" t="s">
        <v>1216</v>
      </c>
      <c r="I239" t="s">
        <v>2726</v>
      </c>
      <c r="J239" t="s">
        <v>1602</v>
      </c>
      <c r="K239" t="s">
        <v>1607</v>
      </c>
      <c r="L239" t="s">
        <v>1610</v>
      </c>
      <c r="M239" t="s">
        <v>1617</v>
      </c>
    </row>
    <row r="240" spans="1:13" x14ac:dyDescent="0.25">
      <c r="A240" t="s">
        <v>1</v>
      </c>
      <c r="B240" t="s">
        <v>208</v>
      </c>
      <c r="C240" t="s">
        <v>551</v>
      </c>
      <c r="D240" t="s">
        <v>885</v>
      </c>
      <c r="E240" t="s">
        <v>1932</v>
      </c>
      <c r="F240" t="s">
        <v>2342</v>
      </c>
      <c r="G240" t="s">
        <v>2099</v>
      </c>
      <c r="H240" t="s">
        <v>1217</v>
      </c>
      <c r="I240" t="s">
        <v>2726</v>
      </c>
      <c r="J240" t="s">
        <v>1604</v>
      </c>
      <c r="K240" t="s">
        <v>1607</v>
      </c>
      <c r="L240" t="s">
        <v>1610</v>
      </c>
      <c r="M240" t="s">
        <v>1620</v>
      </c>
    </row>
    <row r="241" spans="1:13" x14ac:dyDescent="0.25">
      <c r="A241" t="s">
        <v>1</v>
      </c>
      <c r="B241" t="s">
        <v>209</v>
      </c>
      <c r="C241" t="s">
        <v>697</v>
      </c>
      <c r="D241" t="s">
        <v>533</v>
      </c>
      <c r="E241" t="s">
        <v>1933</v>
      </c>
      <c r="F241" t="s">
        <v>2343</v>
      </c>
      <c r="G241" t="s">
        <v>2099</v>
      </c>
      <c r="H241" t="s">
        <v>1218</v>
      </c>
      <c r="I241" t="s">
        <v>2731</v>
      </c>
      <c r="J241" t="s">
        <v>1600</v>
      </c>
      <c r="K241" t="s">
        <v>1607</v>
      </c>
      <c r="L241" t="s">
        <v>1610</v>
      </c>
      <c r="M241" t="s">
        <v>1633</v>
      </c>
    </row>
    <row r="242" spans="1:13" x14ac:dyDescent="0.25">
      <c r="A242" t="s">
        <v>1</v>
      </c>
      <c r="B242" t="s">
        <v>210</v>
      </c>
      <c r="C242" t="s">
        <v>698</v>
      </c>
      <c r="D242" t="s">
        <v>886</v>
      </c>
      <c r="E242" t="s">
        <v>1934</v>
      </c>
      <c r="F242" t="s">
        <v>2344</v>
      </c>
      <c r="G242" t="s">
        <v>2099</v>
      </c>
      <c r="H242" t="s">
        <v>1219</v>
      </c>
      <c r="I242" t="s">
        <v>2725</v>
      </c>
      <c r="J242" t="s">
        <v>1603</v>
      </c>
      <c r="K242" t="s">
        <v>1608</v>
      </c>
      <c r="L242" t="s">
        <v>1610</v>
      </c>
      <c r="M242" t="s">
        <v>1627</v>
      </c>
    </row>
    <row r="243" spans="1:13" x14ac:dyDescent="0.25">
      <c r="A243" t="s">
        <v>1</v>
      </c>
      <c r="B243" t="s">
        <v>211</v>
      </c>
      <c r="C243" t="s">
        <v>699</v>
      </c>
      <c r="D243" t="s">
        <v>647</v>
      </c>
      <c r="E243" t="s">
        <v>1935</v>
      </c>
      <c r="F243" t="s">
        <v>2345</v>
      </c>
      <c r="G243" t="s">
        <v>2099</v>
      </c>
      <c r="H243" t="s">
        <v>1220</v>
      </c>
      <c r="I243" t="s">
        <v>2731</v>
      </c>
      <c r="J243" t="s">
        <v>1600</v>
      </c>
      <c r="K243" t="s">
        <v>1607</v>
      </c>
      <c r="L243" t="s">
        <v>1610</v>
      </c>
      <c r="M243" t="s">
        <v>1633</v>
      </c>
    </row>
    <row r="244" spans="1:13" x14ac:dyDescent="0.25">
      <c r="A244" t="s">
        <v>1</v>
      </c>
      <c r="B244" t="s">
        <v>212</v>
      </c>
      <c r="C244" t="s">
        <v>700</v>
      </c>
      <c r="D244" t="s">
        <v>708</v>
      </c>
      <c r="E244" t="s">
        <v>1936</v>
      </c>
      <c r="F244" t="s">
        <v>2346</v>
      </c>
      <c r="G244" t="s">
        <v>2099</v>
      </c>
      <c r="H244" t="s">
        <v>1221</v>
      </c>
      <c r="I244" t="s">
        <v>2726</v>
      </c>
      <c r="J244" t="s">
        <v>1602</v>
      </c>
      <c r="K244" t="s">
        <v>1608</v>
      </c>
      <c r="L244" t="s">
        <v>1610</v>
      </c>
      <c r="M244" t="s">
        <v>1617</v>
      </c>
    </row>
    <row r="245" spans="1:13" x14ac:dyDescent="0.25">
      <c r="A245" t="s">
        <v>1</v>
      </c>
      <c r="B245" t="s">
        <v>213</v>
      </c>
      <c r="C245" t="s">
        <v>690</v>
      </c>
      <c r="D245" t="s">
        <v>887</v>
      </c>
      <c r="E245" t="s">
        <v>1937</v>
      </c>
      <c r="F245" t="s">
        <v>2347</v>
      </c>
      <c r="G245" t="s">
        <v>2099</v>
      </c>
      <c r="H245" t="s">
        <v>1222</v>
      </c>
      <c r="I245" t="s">
        <v>2735</v>
      </c>
      <c r="J245" t="s">
        <v>1602</v>
      </c>
      <c r="K245" t="s">
        <v>1607</v>
      </c>
      <c r="L245" t="s">
        <v>1610</v>
      </c>
      <c r="M245" t="s">
        <v>1646</v>
      </c>
    </row>
    <row r="246" spans="1:13" x14ac:dyDescent="0.25">
      <c r="A246" t="s">
        <v>1</v>
      </c>
      <c r="B246" t="s">
        <v>214</v>
      </c>
      <c r="C246" t="s">
        <v>701</v>
      </c>
      <c r="D246" t="s">
        <v>807</v>
      </c>
      <c r="E246" t="s">
        <v>1938</v>
      </c>
      <c r="F246" t="s">
        <v>2348</v>
      </c>
      <c r="G246" t="s">
        <v>2099</v>
      </c>
      <c r="H246" t="s">
        <v>1223</v>
      </c>
      <c r="I246" t="s">
        <v>2724</v>
      </c>
      <c r="J246" t="s">
        <v>1603</v>
      </c>
      <c r="K246" t="s">
        <v>1607</v>
      </c>
      <c r="L246" t="s">
        <v>1610</v>
      </c>
      <c r="M246" t="s">
        <v>1643</v>
      </c>
    </row>
    <row r="247" spans="1:13" x14ac:dyDescent="0.25">
      <c r="A247" t="s">
        <v>1</v>
      </c>
      <c r="B247" t="s">
        <v>215</v>
      </c>
      <c r="C247" t="s">
        <v>702</v>
      </c>
      <c r="D247" t="s">
        <v>816</v>
      </c>
      <c r="E247" t="s">
        <v>1939</v>
      </c>
      <c r="F247" t="s">
        <v>2349</v>
      </c>
      <c r="G247" t="s">
        <v>2099</v>
      </c>
      <c r="H247" t="s">
        <v>1224</v>
      </c>
      <c r="I247" t="s">
        <v>2731</v>
      </c>
      <c r="J247" t="s">
        <v>1601</v>
      </c>
      <c r="K247" t="s">
        <v>1607</v>
      </c>
      <c r="L247" t="s">
        <v>1610</v>
      </c>
      <c r="M247" t="s">
        <v>1645</v>
      </c>
    </row>
    <row r="248" spans="1:13" x14ac:dyDescent="0.25">
      <c r="A248" t="s">
        <v>1</v>
      </c>
      <c r="B248" t="s">
        <v>215</v>
      </c>
      <c r="C248" t="s">
        <v>703</v>
      </c>
      <c r="D248" t="s">
        <v>888</v>
      </c>
      <c r="E248" t="s">
        <v>1940</v>
      </c>
      <c r="F248" t="s">
        <v>2350</v>
      </c>
      <c r="G248" t="s">
        <v>2099</v>
      </c>
      <c r="H248" t="s">
        <v>1225</v>
      </c>
      <c r="I248" t="s">
        <v>2729</v>
      </c>
      <c r="J248" t="s">
        <v>1602</v>
      </c>
      <c r="K248" t="s">
        <v>1607</v>
      </c>
      <c r="L248" t="s">
        <v>1610</v>
      </c>
      <c r="M248" t="s">
        <v>1638</v>
      </c>
    </row>
    <row r="249" spans="1:13" x14ac:dyDescent="0.25">
      <c r="A249" t="s">
        <v>1</v>
      </c>
      <c r="B249" t="s">
        <v>216</v>
      </c>
      <c r="C249" t="s">
        <v>547</v>
      </c>
      <c r="D249" t="s">
        <v>674</v>
      </c>
      <c r="E249" t="s">
        <v>1941</v>
      </c>
      <c r="F249" t="s">
        <v>2351</v>
      </c>
      <c r="G249" t="s">
        <v>2099</v>
      </c>
      <c r="H249" t="s">
        <v>1226</v>
      </c>
      <c r="I249" t="s">
        <v>2731</v>
      </c>
      <c r="J249" t="s">
        <v>1603</v>
      </c>
      <c r="K249" t="s">
        <v>1607</v>
      </c>
      <c r="L249" t="s">
        <v>1610</v>
      </c>
      <c r="M249" t="s">
        <v>1644</v>
      </c>
    </row>
    <row r="250" spans="1:13" x14ac:dyDescent="0.25">
      <c r="A250" t="s">
        <v>1</v>
      </c>
      <c r="B250" t="s">
        <v>217</v>
      </c>
      <c r="C250" t="s">
        <v>541</v>
      </c>
      <c r="D250" t="s">
        <v>889</v>
      </c>
      <c r="E250" t="s">
        <v>1733</v>
      </c>
      <c r="F250" t="s">
        <v>2352</v>
      </c>
      <c r="G250" t="s">
        <v>2099</v>
      </c>
      <c r="H250" t="s">
        <v>1227</v>
      </c>
      <c r="I250" t="s">
        <v>2728</v>
      </c>
      <c r="J250" t="s">
        <v>1602</v>
      </c>
      <c r="K250" t="s">
        <v>1607</v>
      </c>
      <c r="L250" t="s">
        <v>1610</v>
      </c>
      <c r="M250" t="s">
        <v>1635</v>
      </c>
    </row>
    <row r="251" spans="1:13" x14ac:dyDescent="0.25">
      <c r="A251" t="s">
        <v>1</v>
      </c>
      <c r="B251" t="s">
        <v>218</v>
      </c>
      <c r="C251" t="s">
        <v>704</v>
      </c>
      <c r="D251" t="s">
        <v>890</v>
      </c>
      <c r="E251" t="s">
        <v>1942</v>
      </c>
      <c r="F251" t="s">
        <v>2353</v>
      </c>
      <c r="G251" t="s">
        <v>2099</v>
      </c>
      <c r="H251" t="s">
        <v>1228</v>
      </c>
      <c r="I251" t="s">
        <v>2731</v>
      </c>
      <c r="J251" t="s">
        <v>1603</v>
      </c>
      <c r="K251" t="s">
        <v>1607</v>
      </c>
      <c r="L251" t="s">
        <v>1610</v>
      </c>
      <c r="M251" t="s">
        <v>1644</v>
      </c>
    </row>
    <row r="252" spans="1:13" x14ac:dyDescent="0.25">
      <c r="A252" t="s">
        <v>1</v>
      </c>
      <c r="B252" t="s">
        <v>219</v>
      </c>
      <c r="C252" t="s">
        <v>589</v>
      </c>
      <c r="D252" t="s">
        <v>649</v>
      </c>
      <c r="E252" t="s">
        <v>1734</v>
      </c>
      <c r="F252" t="s">
        <v>2354</v>
      </c>
      <c r="G252" t="s">
        <v>2099</v>
      </c>
      <c r="H252" t="s">
        <v>1229</v>
      </c>
      <c r="I252" t="s">
        <v>2726</v>
      </c>
      <c r="J252" t="s">
        <v>1603</v>
      </c>
      <c r="K252" t="s">
        <v>1608</v>
      </c>
      <c r="L252" t="s">
        <v>1610</v>
      </c>
      <c r="M252" t="s">
        <v>1618</v>
      </c>
    </row>
    <row r="253" spans="1:13" x14ac:dyDescent="0.25">
      <c r="A253" t="s">
        <v>1</v>
      </c>
      <c r="B253" t="s">
        <v>220</v>
      </c>
      <c r="C253" t="s">
        <v>646</v>
      </c>
      <c r="D253" t="s">
        <v>724</v>
      </c>
      <c r="E253" t="s">
        <v>1943</v>
      </c>
      <c r="F253" t="s">
        <v>2355</v>
      </c>
      <c r="G253" t="s">
        <v>2099</v>
      </c>
      <c r="H253" t="s">
        <v>1230</v>
      </c>
      <c r="I253" t="s">
        <v>2729</v>
      </c>
      <c r="J253" t="s">
        <v>1602</v>
      </c>
      <c r="K253" t="s">
        <v>1608</v>
      </c>
      <c r="L253" t="s">
        <v>1610</v>
      </c>
      <c r="M253" t="s">
        <v>1638</v>
      </c>
    </row>
    <row r="254" spans="1:13" x14ac:dyDescent="0.25">
      <c r="A254" t="s">
        <v>1</v>
      </c>
      <c r="B254" t="s">
        <v>221</v>
      </c>
      <c r="C254" t="s">
        <v>705</v>
      </c>
      <c r="D254" t="s">
        <v>711</v>
      </c>
      <c r="E254" t="s">
        <v>1735</v>
      </c>
      <c r="F254" t="s">
        <v>2356</v>
      </c>
      <c r="G254" t="s">
        <v>2099</v>
      </c>
      <c r="H254" t="s">
        <v>1231</v>
      </c>
      <c r="I254" t="s">
        <v>2733</v>
      </c>
      <c r="J254" t="s">
        <v>1601</v>
      </c>
      <c r="K254" t="s">
        <v>1607</v>
      </c>
      <c r="L254" t="s">
        <v>1610</v>
      </c>
      <c r="M254" t="s">
        <v>1655</v>
      </c>
    </row>
    <row r="255" spans="1:13" x14ac:dyDescent="0.25">
      <c r="A255" t="s">
        <v>1</v>
      </c>
      <c r="B255" t="s">
        <v>222</v>
      </c>
      <c r="C255" t="s">
        <v>630</v>
      </c>
      <c r="D255" t="s">
        <v>891</v>
      </c>
      <c r="E255" t="s">
        <v>1944</v>
      </c>
      <c r="F255" t="s">
        <v>2357</v>
      </c>
      <c r="G255" t="s">
        <v>2099</v>
      </c>
      <c r="H255" t="s">
        <v>1232</v>
      </c>
      <c r="I255" t="s">
        <v>2727</v>
      </c>
      <c r="J255" t="s">
        <v>1600</v>
      </c>
      <c r="K255" t="s">
        <v>1608</v>
      </c>
      <c r="L255" t="s">
        <v>1610</v>
      </c>
      <c r="M255" t="s">
        <v>1619</v>
      </c>
    </row>
    <row r="256" spans="1:13" x14ac:dyDescent="0.25">
      <c r="A256" t="s">
        <v>1</v>
      </c>
      <c r="B256" t="s">
        <v>223</v>
      </c>
      <c r="C256" t="s">
        <v>546</v>
      </c>
      <c r="D256" t="s">
        <v>820</v>
      </c>
      <c r="E256" t="s">
        <v>1945</v>
      </c>
      <c r="F256" t="s">
        <v>2358</v>
      </c>
      <c r="G256" t="s">
        <v>2099</v>
      </c>
      <c r="H256" t="s">
        <v>1233</v>
      </c>
      <c r="I256" t="s">
        <v>2730</v>
      </c>
      <c r="J256" t="s">
        <v>1601</v>
      </c>
      <c r="K256" t="s">
        <v>1607</v>
      </c>
      <c r="L256" t="s">
        <v>1610</v>
      </c>
      <c r="M256" t="s">
        <v>1624</v>
      </c>
    </row>
    <row r="257" spans="1:13" x14ac:dyDescent="0.25">
      <c r="A257" t="s">
        <v>1</v>
      </c>
      <c r="B257" t="s">
        <v>224</v>
      </c>
      <c r="C257" t="s">
        <v>706</v>
      </c>
      <c r="D257" t="s">
        <v>533</v>
      </c>
      <c r="E257" t="s">
        <v>1946</v>
      </c>
      <c r="F257" t="s">
        <v>2359</v>
      </c>
      <c r="G257" t="s">
        <v>2099</v>
      </c>
      <c r="H257" t="s">
        <v>1234</v>
      </c>
      <c r="I257" t="s">
        <v>2726</v>
      </c>
      <c r="J257" t="s">
        <v>1600</v>
      </c>
      <c r="K257" t="s">
        <v>1608</v>
      </c>
      <c r="L257" t="s">
        <v>1610</v>
      </c>
      <c r="M257" t="s">
        <v>1632</v>
      </c>
    </row>
    <row r="258" spans="1:13" x14ac:dyDescent="0.25">
      <c r="A258" t="s">
        <v>1</v>
      </c>
      <c r="B258" t="s">
        <v>225</v>
      </c>
      <c r="C258" t="s">
        <v>707</v>
      </c>
      <c r="D258" t="s">
        <v>820</v>
      </c>
      <c r="E258" t="s">
        <v>1947</v>
      </c>
      <c r="F258" t="s">
        <v>2360</v>
      </c>
      <c r="G258" t="s">
        <v>2099</v>
      </c>
      <c r="H258" t="s">
        <v>1235</v>
      </c>
      <c r="I258" t="s">
        <v>2737</v>
      </c>
      <c r="J258" t="s">
        <v>1601</v>
      </c>
      <c r="K258" t="s">
        <v>1608</v>
      </c>
      <c r="L258" t="s">
        <v>1610</v>
      </c>
      <c r="M258" t="s">
        <v>1653</v>
      </c>
    </row>
    <row r="259" spans="1:13" x14ac:dyDescent="0.25">
      <c r="A259" t="s">
        <v>1</v>
      </c>
      <c r="B259" t="s">
        <v>226</v>
      </c>
      <c r="C259" t="s">
        <v>582</v>
      </c>
      <c r="D259" t="s">
        <v>766</v>
      </c>
      <c r="E259" t="s">
        <v>1948</v>
      </c>
      <c r="F259" t="s">
        <v>2361</v>
      </c>
      <c r="G259" t="s">
        <v>2099</v>
      </c>
      <c r="H259" t="s">
        <v>1236</v>
      </c>
      <c r="I259" t="s">
        <v>2728</v>
      </c>
      <c r="J259" t="s">
        <v>1603</v>
      </c>
      <c r="K259" t="s">
        <v>1608</v>
      </c>
      <c r="L259" t="s">
        <v>1610</v>
      </c>
      <c r="M259" t="s">
        <v>1641</v>
      </c>
    </row>
    <row r="260" spans="1:13" x14ac:dyDescent="0.25">
      <c r="A260" t="s">
        <v>1</v>
      </c>
      <c r="B260" t="s">
        <v>227</v>
      </c>
      <c r="C260" t="s">
        <v>679</v>
      </c>
      <c r="D260" t="s">
        <v>625</v>
      </c>
      <c r="E260" t="s">
        <v>1949</v>
      </c>
      <c r="F260" t="s">
        <v>2362</v>
      </c>
      <c r="G260" t="s">
        <v>2099</v>
      </c>
      <c r="H260" t="s">
        <v>1237</v>
      </c>
      <c r="I260" t="s">
        <v>2730</v>
      </c>
      <c r="J260" t="s">
        <v>1602</v>
      </c>
      <c r="K260" t="s">
        <v>1607</v>
      </c>
      <c r="L260" t="s">
        <v>1610</v>
      </c>
      <c r="M260" t="s">
        <v>1626</v>
      </c>
    </row>
    <row r="261" spans="1:13" x14ac:dyDescent="0.25">
      <c r="A261" t="s">
        <v>1</v>
      </c>
      <c r="B261" t="s">
        <v>228</v>
      </c>
      <c r="C261" t="s">
        <v>546</v>
      </c>
      <c r="D261" t="s">
        <v>804</v>
      </c>
      <c r="E261" t="s">
        <v>1736</v>
      </c>
      <c r="F261" t="s">
        <v>2363</v>
      </c>
      <c r="G261" t="s">
        <v>2099</v>
      </c>
      <c r="H261" t="s">
        <v>1238</v>
      </c>
      <c r="I261" t="s">
        <v>2726</v>
      </c>
      <c r="J261" t="s">
        <v>1600</v>
      </c>
      <c r="K261" t="s">
        <v>1607</v>
      </c>
      <c r="L261" t="s">
        <v>1610</v>
      </c>
      <c r="M261" t="s">
        <v>1632</v>
      </c>
    </row>
    <row r="262" spans="1:13" x14ac:dyDescent="0.25">
      <c r="A262" t="s">
        <v>1</v>
      </c>
      <c r="B262" t="s">
        <v>229</v>
      </c>
      <c r="C262" t="s">
        <v>708</v>
      </c>
      <c r="D262" t="s">
        <v>690</v>
      </c>
      <c r="E262" t="s">
        <v>1737</v>
      </c>
      <c r="F262" t="s">
        <v>2364</v>
      </c>
      <c r="G262" t="s">
        <v>2099</v>
      </c>
      <c r="H262" t="s">
        <v>1239</v>
      </c>
      <c r="I262" t="s">
        <v>2727</v>
      </c>
      <c r="J262" t="s">
        <v>1600</v>
      </c>
      <c r="K262" t="s">
        <v>1608</v>
      </c>
      <c r="L262" t="s">
        <v>1610</v>
      </c>
      <c r="M262" t="s">
        <v>1654</v>
      </c>
    </row>
    <row r="263" spans="1:13" x14ac:dyDescent="0.25">
      <c r="A263" t="s">
        <v>1</v>
      </c>
      <c r="B263" t="s">
        <v>230</v>
      </c>
      <c r="C263" t="s">
        <v>610</v>
      </c>
      <c r="D263" t="s">
        <v>892</v>
      </c>
      <c r="E263" t="s">
        <v>1950</v>
      </c>
      <c r="F263" t="s">
        <v>2365</v>
      </c>
      <c r="G263" t="s">
        <v>2099</v>
      </c>
      <c r="H263" t="s">
        <v>1240</v>
      </c>
      <c r="I263" t="s">
        <v>2726</v>
      </c>
      <c r="J263" t="s">
        <v>1602</v>
      </c>
      <c r="K263" t="s">
        <v>1608</v>
      </c>
      <c r="L263" t="s">
        <v>1610</v>
      </c>
      <c r="M263" t="s">
        <v>1617</v>
      </c>
    </row>
    <row r="264" spans="1:13" x14ac:dyDescent="0.25">
      <c r="A264" t="s">
        <v>1</v>
      </c>
      <c r="B264" t="s">
        <v>231</v>
      </c>
      <c r="C264" t="s">
        <v>624</v>
      </c>
      <c r="D264" t="s">
        <v>579</v>
      </c>
      <c r="E264" t="s">
        <v>1951</v>
      </c>
      <c r="F264" t="s">
        <v>2366</v>
      </c>
      <c r="G264" t="s">
        <v>2099</v>
      </c>
      <c r="H264" t="s">
        <v>1241</v>
      </c>
      <c r="I264" t="s">
        <v>2725</v>
      </c>
      <c r="J264" t="s">
        <v>1601</v>
      </c>
      <c r="K264" t="s">
        <v>1608</v>
      </c>
      <c r="L264" t="s">
        <v>1610</v>
      </c>
      <c r="M264" t="s">
        <v>1615</v>
      </c>
    </row>
    <row r="265" spans="1:13" x14ac:dyDescent="0.25">
      <c r="A265" t="s">
        <v>1</v>
      </c>
      <c r="B265" t="s">
        <v>232</v>
      </c>
      <c r="C265" t="s">
        <v>533</v>
      </c>
      <c r="D265" t="s">
        <v>893</v>
      </c>
      <c r="E265" t="s">
        <v>1952</v>
      </c>
      <c r="F265" t="s">
        <v>2367</v>
      </c>
      <c r="G265" t="s">
        <v>2099</v>
      </c>
      <c r="H265" t="s">
        <v>1242</v>
      </c>
      <c r="I265" t="s">
        <v>2727</v>
      </c>
      <c r="J265" t="s">
        <v>1600</v>
      </c>
      <c r="K265" t="s">
        <v>1608</v>
      </c>
      <c r="L265" t="s">
        <v>1610</v>
      </c>
      <c r="M265" t="s">
        <v>1654</v>
      </c>
    </row>
    <row r="266" spans="1:13" x14ac:dyDescent="0.25">
      <c r="A266" t="s">
        <v>1</v>
      </c>
      <c r="B266" t="s">
        <v>233</v>
      </c>
      <c r="C266" t="s">
        <v>709</v>
      </c>
      <c r="D266" t="s">
        <v>894</v>
      </c>
      <c r="E266" t="s">
        <v>1953</v>
      </c>
      <c r="F266" t="s">
        <v>2368</v>
      </c>
      <c r="G266" t="s">
        <v>2099</v>
      </c>
      <c r="H266" t="s">
        <v>1243</v>
      </c>
      <c r="I266" t="s">
        <v>2727</v>
      </c>
      <c r="J266" t="s">
        <v>1601</v>
      </c>
      <c r="K266" t="s">
        <v>1608</v>
      </c>
      <c r="L266" t="s">
        <v>1610</v>
      </c>
      <c r="M266" t="s">
        <v>1629</v>
      </c>
    </row>
    <row r="267" spans="1:13" x14ac:dyDescent="0.25">
      <c r="A267" t="s">
        <v>1</v>
      </c>
      <c r="B267" t="s">
        <v>234</v>
      </c>
      <c r="C267" t="s">
        <v>621</v>
      </c>
      <c r="D267" t="s">
        <v>533</v>
      </c>
      <c r="E267" t="s">
        <v>1738</v>
      </c>
      <c r="F267" t="s">
        <v>2369</v>
      </c>
      <c r="G267" t="s">
        <v>2099</v>
      </c>
      <c r="H267" t="s">
        <v>1244</v>
      </c>
      <c r="I267" t="s">
        <v>2726</v>
      </c>
      <c r="J267" t="s">
        <v>1600</v>
      </c>
      <c r="K267" t="s">
        <v>1607</v>
      </c>
      <c r="L267" t="s">
        <v>1610</v>
      </c>
      <c r="M267" t="s">
        <v>1632</v>
      </c>
    </row>
    <row r="268" spans="1:13" x14ac:dyDescent="0.25">
      <c r="A268" t="s">
        <v>1</v>
      </c>
      <c r="B268" t="s">
        <v>235</v>
      </c>
      <c r="C268" t="s">
        <v>710</v>
      </c>
      <c r="D268" t="s">
        <v>784</v>
      </c>
      <c r="E268" t="s">
        <v>1954</v>
      </c>
      <c r="F268" t="s">
        <v>2370</v>
      </c>
      <c r="G268" t="s">
        <v>2099</v>
      </c>
      <c r="H268" t="s">
        <v>1245</v>
      </c>
      <c r="I268" t="s">
        <v>2726</v>
      </c>
      <c r="J268" t="s">
        <v>1604</v>
      </c>
      <c r="K268" t="s">
        <v>1608</v>
      </c>
      <c r="L268" t="s">
        <v>1610</v>
      </c>
      <c r="M268" t="s">
        <v>1620</v>
      </c>
    </row>
    <row r="269" spans="1:13" x14ac:dyDescent="0.25">
      <c r="A269" t="s">
        <v>1</v>
      </c>
      <c r="B269" t="s">
        <v>236</v>
      </c>
      <c r="C269" t="s">
        <v>546</v>
      </c>
      <c r="D269" t="s">
        <v>546</v>
      </c>
      <c r="E269" t="s">
        <v>1739</v>
      </c>
      <c r="F269" t="s">
        <v>2371</v>
      </c>
      <c r="G269" t="s">
        <v>2099</v>
      </c>
      <c r="H269" t="s">
        <v>1246</v>
      </c>
      <c r="I269" t="s">
        <v>2733</v>
      </c>
      <c r="J269" t="s">
        <v>1601</v>
      </c>
      <c r="K269" t="s">
        <v>1607</v>
      </c>
      <c r="L269" t="s">
        <v>1610</v>
      </c>
      <c r="M269" t="s">
        <v>1655</v>
      </c>
    </row>
    <row r="270" spans="1:13" x14ac:dyDescent="0.25">
      <c r="A270" t="s">
        <v>1</v>
      </c>
      <c r="B270" t="s">
        <v>237</v>
      </c>
      <c r="C270" t="s">
        <v>563</v>
      </c>
      <c r="D270" t="s">
        <v>538</v>
      </c>
      <c r="E270" t="s">
        <v>1955</v>
      </c>
      <c r="F270" t="s">
        <v>2372</v>
      </c>
      <c r="G270" t="s">
        <v>2099</v>
      </c>
      <c r="H270" t="s">
        <v>1247</v>
      </c>
      <c r="I270" t="s">
        <v>2729</v>
      </c>
      <c r="J270" t="s">
        <v>1603</v>
      </c>
      <c r="K270" t="s">
        <v>1608</v>
      </c>
      <c r="L270" t="s">
        <v>1610</v>
      </c>
      <c r="M270" t="s">
        <v>1622</v>
      </c>
    </row>
    <row r="271" spans="1:13" x14ac:dyDescent="0.25">
      <c r="A271" t="s">
        <v>1</v>
      </c>
      <c r="B271" t="s">
        <v>238</v>
      </c>
      <c r="C271" t="s">
        <v>711</v>
      </c>
      <c r="D271" t="s">
        <v>895</v>
      </c>
      <c r="E271" t="s">
        <v>1956</v>
      </c>
      <c r="F271" t="s">
        <v>2373</v>
      </c>
      <c r="G271" t="s">
        <v>2099</v>
      </c>
      <c r="H271" t="s">
        <v>1248</v>
      </c>
      <c r="I271" t="s">
        <v>2727</v>
      </c>
      <c r="J271" t="s">
        <v>1600</v>
      </c>
      <c r="K271" t="s">
        <v>1608</v>
      </c>
      <c r="L271" t="s">
        <v>1610</v>
      </c>
      <c r="M271" t="s">
        <v>1654</v>
      </c>
    </row>
    <row r="272" spans="1:13" x14ac:dyDescent="0.25">
      <c r="A272" t="s">
        <v>1</v>
      </c>
      <c r="B272" t="s">
        <v>239</v>
      </c>
      <c r="C272" t="s">
        <v>712</v>
      </c>
      <c r="D272" t="s">
        <v>896</v>
      </c>
      <c r="E272" t="s">
        <v>1957</v>
      </c>
      <c r="F272" t="s">
        <v>2374</v>
      </c>
      <c r="G272" t="s">
        <v>2099</v>
      </c>
      <c r="H272" t="s">
        <v>1249</v>
      </c>
      <c r="I272" t="s">
        <v>2727</v>
      </c>
      <c r="J272" t="s">
        <v>1600</v>
      </c>
      <c r="K272" t="s">
        <v>1608</v>
      </c>
      <c r="L272" t="s">
        <v>1610</v>
      </c>
      <c r="M272" t="s">
        <v>1619</v>
      </c>
    </row>
    <row r="273" spans="1:13" x14ac:dyDescent="0.25">
      <c r="A273" t="s">
        <v>1</v>
      </c>
      <c r="B273" t="s">
        <v>240</v>
      </c>
      <c r="C273" t="s">
        <v>542</v>
      </c>
      <c r="D273" t="s">
        <v>541</v>
      </c>
      <c r="E273" t="s">
        <v>1958</v>
      </c>
      <c r="F273" t="s">
        <v>2375</v>
      </c>
      <c r="G273" t="s">
        <v>2099</v>
      </c>
      <c r="H273" t="s">
        <v>1250</v>
      </c>
      <c r="I273" t="s">
        <v>2734</v>
      </c>
      <c r="J273" t="s">
        <v>1602</v>
      </c>
      <c r="K273" t="s">
        <v>1608</v>
      </c>
      <c r="L273" t="s">
        <v>1610</v>
      </c>
      <c r="M273" t="s">
        <v>1640</v>
      </c>
    </row>
    <row r="274" spans="1:13" x14ac:dyDescent="0.25">
      <c r="A274" t="s">
        <v>1</v>
      </c>
      <c r="B274" t="s">
        <v>241</v>
      </c>
      <c r="C274" t="s">
        <v>547</v>
      </c>
      <c r="D274" t="s">
        <v>897</v>
      </c>
      <c r="E274" t="s">
        <v>1740</v>
      </c>
      <c r="F274" t="s">
        <v>2376</v>
      </c>
      <c r="G274" t="s">
        <v>2099</v>
      </c>
      <c r="H274" t="s">
        <v>1251</v>
      </c>
      <c r="I274" t="s">
        <v>2726</v>
      </c>
      <c r="J274" t="s">
        <v>1600</v>
      </c>
      <c r="K274" t="s">
        <v>1608</v>
      </c>
      <c r="L274" t="s">
        <v>1610</v>
      </c>
      <c r="M274" t="s">
        <v>1632</v>
      </c>
    </row>
    <row r="275" spans="1:13" x14ac:dyDescent="0.25">
      <c r="A275" t="s">
        <v>1</v>
      </c>
      <c r="B275" t="s">
        <v>242</v>
      </c>
      <c r="C275" t="s">
        <v>581</v>
      </c>
      <c r="D275" t="s">
        <v>898</v>
      </c>
      <c r="E275" t="s">
        <v>1959</v>
      </c>
      <c r="F275" t="s">
        <v>2377</v>
      </c>
      <c r="G275" t="s">
        <v>2099</v>
      </c>
      <c r="H275" t="s">
        <v>1252</v>
      </c>
      <c r="I275" t="s">
        <v>2727</v>
      </c>
      <c r="J275" t="s">
        <v>1600</v>
      </c>
      <c r="K275" t="s">
        <v>1608</v>
      </c>
      <c r="L275" t="s">
        <v>1610</v>
      </c>
      <c r="M275" t="s">
        <v>1654</v>
      </c>
    </row>
    <row r="276" spans="1:13" x14ac:dyDescent="0.25">
      <c r="A276" t="s">
        <v>1</v>
      </c>
      <c r="B276" t="s">
        <v>243</v>
      </c>
      <c r="C276" t="s">
        <v>713</v>
      </c>
      <c r="D276" t="s">
        <v>532</v>
      </c>
      <c r="E276" t="s">
        <v>1960</v>
      </c>
      <c r="F276" t="s">
        <v>2378</v>
      </c>
      <c r="G276" t="s">
        <v>2099</v>
      </c>
      <c r="H276" t="s">
        <v>1253</v>
      </c>
      <c r="I276" t="s">
        <v>2727</v>
      </c>
      <c r="J276" t="s">
        <v>1600</v>
      </c>
      <c r="K276" t="s">
        <v>1608</v>
      </c>
      <c r="L276" t="s">
        <v>1610</v>
      </c>
      <c r="M276" t="s">
        <v>1654</v>
      </c>
    </row>
    <row r="277" spans="1:13" x14ac:dyDescent="0.25">
      <c r="A277" t="s">
        <v>1</v>
      </c>
      <c r="B277" t="s">
        <v>244</v>
      </c>
      <c r="C277" t="s">
        <v>714</v>
      </c>
      <c r="D277" t="s">
        <v>731</v>
      </c>
      <c r="E277" t="s">
        <v>1961</v>
      </c>
      <c r="F277" t="s">
        <v>2379</v>
      </c>
      <c r="G277" t="s">
        <v>2099</v>
      </c>
      <c r="H277" t="s">
        <v>1254</v>
      </c>
      <c r="I277" t="s">
        <v>2730</v>
      </c>
      <c r="J277" t="s">
        <v>1600</v>
      </c>
      <c r="K277" t="s">
        <v>1607</v>
      </c>
      <c r="L277" t="s">
        <v>1610</v>
      </c>
      <c r="M277" t="s">
        <v>1642</v>
      </c>
    </row>
    <row r="278" spans="1:13" x14ac:dyDescent="0.25">
      <c r="A278" t="s">
        <v>1</v>
      </c>
      <c r="B278" t="s">
        <v>245</v>
      </c>
      <c r="C278" t="s">
        <v>715</v>
      </c>
      <c r="D278" t="s">
        <v>899</v>
      </c>
      <c r="E278" t="s">
        <v>1741</v>
      </c>
      <c r="F278" t="s">
        <v>2380</v>
      </c>
      <c r="G278" t="s">
        <v>2099</v>
      </c>
      <c r="H278" t="s">
        <v>1255</v>
      </c>
      <c r="I278" t="s">
        <v>2728</v>
      </c>
      <c r="J278" t="s">
        <v>1600</v>
      </c>
      <c r="K278" t="s">
        <v>1607</v>
      </c>
      <c r="L278" t="s">
        <v>1610</v>
      </c>
      <c r="M278" t="s">
        <v>1621</v>
      </c>
    </row>
    <row r="279" spans="1:13" x14ac:dyDescent="0.25">
      <c r="A279" t="s">
        <v>1</v>
      </c>
      <c r="B279" t="s">
        <v>246</v>
      </c>
      <c r="C279" t="s">
        <v>716</v>
      </c>
      <c r="D279" t="s">
        <v>820</v>
      </c>
      <c r="E279" t="s">
        <v>1962</v>
      </c>
      <c r="F279" t="s">
        <v>2381</v>
      </c>
      <c r="G279" t="s">
        <v>2099</v>
      </c>
      <c r="H279" t="s">
        <v>1256</v>
      </c>
      <c r="I279" t="s">
        <v>2726</v>
      </c>
      <c r="J279" t="s">
        <v>1605</v>
      </c>
      <c r="K279" t="s">
        <v>1607</v>
      </c>
      <c r="L279" t="s">
        <v>1610</v>
      </c>
      <c r="M279" t="s">
        <v>1616</v>
      </c>
    </row>
    <row r="280" spans="1:13" x14ac:dyDescent="0.25">
      <c r="A280" t="s">
        <v>1</v>
      </c>
      <c r="B280" t="s">
        <v>247</v>
      </c>
      <c r="C280" t="s">
        <v>717</v>
      </c>
      <c r="D280" t="s">
        <v>719</v>
      </c>
      <c r="E280" t="s">
        <v>1742</v>
      </c>
      <c r="F280" t="s">
        <v>2382</v>
      </c>
      <c r="G280" t="s">
        <v>2099</v>
      </c>
      <c r="H280" t="s">
        <v>1257</v>
      </c>
      <c r="I280" t="s">
        <v>2724</v>
      </c>
      <c r="J280" t="s">
        <v>1602</v>
      </c>
      <c r="K280" t="s">
        <v>1607</v>
      </c>
      <c r="L280" t="s">
        <v>1610</v>
      </c>
      <c r="M280" t="s">
        <v>1636</v>
      </c>
    </row>
    <row r="281" spans="1:13" x14ac:dyDescent="0.25">
      <c r="A281" t="s">
        <v>1</v>
      </c>
      <c r="B281" t="s">
        <v>248</v>
      </c>
      <c r="C281" t="s">
        <v>539</v>
      </c>
      <c r="D281" t="s">
        <v>900</v>
      </c>
      <c r="E281" t="s">
        <v>1963</v>
      </c>
      <c r="F281" t="s">
        <v>2383</v>
      </c>
      <c r="G281" t="s">
        <v>2099</v>
      </c>
      <c r="H281" t="s">
        <v>1258</v>
      </c>
      <c r="I281" t="s">
        <v>2724</v>
      </c>
      <c r="J281" t="s">
        <v>1603</v>
      </c>
      <c r="K281" t="s">
        <v>1607</v>
      </c>
      <c r="L281" t="s">
        <v>1610</v>
      </c>
      <c r="M281" t="s">
        <v>1643</v>
      </c>
    </row>
    <row r="282" spans="1:13" x14ac:dyDescent="0.25">
      <c r="A282" t="s">
        <v>1</v>
      </c>
      <c r="B282" t="s">
        <v>249</v>
      </c>
      <c r="C282" t="s">
        <v>718</v>
      </c>
      <c r="D282" t="s">
        <v>622</v>
      </c>
      <c r="E282" t="s">
        <v>1964</v>
      </c>
      <c r="F282" t="s">
        <v>2384</v>
      </c>
      <c r="G282" t="s">
        <v>2099</v>
      </c>
      <c r="H282" t="s">
        <v>1259</v>
      </c>
      <c r="I282" t="s">
        <v>2733</v>
      </c>
      <c r="J282" t="s">
        <v>1601</v>
      </c>
      <c r="K282" t="s">
        <v>1608</v>
      </c>
      <c r="L282" t="s">
        <v>1610</v>
      </c>
      <c r="M282" t="s">
        <v>1655</v>
      </c>
    </row>
    <row r="283" spans="1:13" x14ac:dyDescent="0.25">
      <c r="A283" t="s">
        <v>1</v>
      </c>
      <c r="B283" t="s">
        <v>250</v>
      </c>
      <c r="C283" t="s">
        <v>719</v>
      </c>
      <c r="D283" t="s">
        <v>901</v>
      </c>
      <c r="E283" t="s">
        <v>1965</v>
      </c>
      <c r="F283" t="s">
        <v>2385</v>
      </c>
      <c r="G283" t="s">
        <v>2099</v>
      </c>
      <c r="H283" t="s">
        <v>1260</v>
      </c>
      <c r="I283" t="s">
        <v>2728</v>
      </c>
      <c r="J283" t="s">
        <v>1603</v>
      </c>
      <c r="K283" t="s">
        <v>1607</v>
      </c>
      <c r="L283" t="s">
        <v>1610</v>
      </c>
      <c r="M283" t="s">
        <v>1641</v>
      </c>
    </row>
    <row r="284" spans="1:13" x14ac:dyDescent="0.25">
      <c r="A284" t="s">
        <v>1</v>
      </c>
      <c r="B284" t="s">
        <v>251</v>
      </c>
      <c r="C284" t="s">
        <v>678</v>
      </c>
      <c r="D284" t="s">
        <v>579</v>
      </c>
      <c r="E284" t="s">
        <v>1966</v>
      </c>
      <c r="F284" t="s">
        <v>2386</v>
      </c>
      <c r="G284" t="s">
        <v>2099</v>
      </c>
      <c r="H284" t="s">
        <v>1261</v>
      </c>
      <c r="I284" t="s">
        <v>2726</v>
      </c>
      <c r="J284" t="s">
        <v>1604</v>
      </c>
      <c r="K284" t="s">
        <v>1607</v>
      </c>
      <c r="L284" t="s">
        <v>1610</v>
      </c>
      <c r="M284" t="s">
        <v>1620</v>
      </c>
    </row>
    <row r="285" spans="1:13" x14ac:dyDescent="0.25">
      <c r="A285" t="s">
        <v>1</v>
      </c>
      <c r="B285" t="s">
        <v>252</v>
      </c>
      <c r="C285" t="s">
        <v>720</v>
      </c>
      <c r="D285" t="s">
        <v>739</v>
      </c>
      <c r="E285" t="s">
        <v>1743</v>
      </c>
      <c r="F285" t="s">
        <v>2387</v>
      </c>
      <c r="G285" t="s">
        <v>2099</v>
      </c>
      <c r="H285" t="s">
        <v>1262</v>
      </c>
      <c r="I285" t="s">
        <v>2729</v>
      </c>
      <c r="J285" t="s">
        <v>1602</v>
      </c>
      <c r="K285" t="s">
        <v>1608</v>
      </c>
      <c r="L285" t="s">
        <v>1610</v>
      </c>
      <c r="M285" t="s">
        <v>1638</v>
      </c>
    </row>
    <row r="286" spans="1:13" x14ac:dyDescent="0.25">
      <c r="A286" t="s">
        <v>1</v>
      </c>
      <c r="B286" t="s">
        <v>253</v>
      </c>
      <c r="C286" t="s">
        <v>721</v>
      </c>
      <c r="D286" t="s">
        <v>739</v>
      </c>
      <c r="E286" t="s">
        <v>1967</v>
      </c>
      <c r="F286" t="s">
        <v>2388</v>
      </c>
      <c r="G286" t="s">
        <v>2099</v>
      </c>
      <c r="H286" t="s">
        <v>1263</v>
      </c>
      <c r="I286" t="s">
        <v>2730</v>
      </c>
      <c r="J286" t="s">
        <v>1603</v>
      </c>
      <c r="K286" t="s">
        <v>1608</v>
      </c>
      <c r="L286" t="s">
        <v>1610</v>
      </c>
      <c r="M286" t="s">
        <v>1657</v>
      </c>
    </row>
    <row r="287" spans="1:13" x14ac:dyDescent="0.25">
      <c r="A287" t="s">
        <v>1</v>
      </c>
      <c r="B287" t="s">
        <v>254</v>
      </c>
      <c r="C287" t="s">
        <v>722</v>
      </c>
      <c r="D287" t="s">
        <v>902</v>
      </c>
      <c r="E287" t="s">
        <v>1744</v>
      </c>
      <c r="F287" t="s">
        <v>2389</v>
      </c>
      <c r="G287" t="s">
        <v>2099</v>
      </c>
      <c r="H287" t="s">
        <v>1264</v>
      </c>
      <c r="I287" t="s">
        <v>2726</v>
      </c>
      <c r="J287" t="s">
        <v>1603</v>
      </c>
      <c r="K287" t="s">
        <v>1607</v>
      </c>
      <c r="L287" t="s">
        <v>1610</v>
      </c>
      <c r="M287" t="s">
        <v>1618</v>
      </c>
    </row>
    <row r="288" spans="1:13" x14ac:dyDescent="0.25">
      <c r="A288" t="s">
        <v>1</v>
      </c>
      <c r="B288" t="s">
        <v>255</v>
      </c>
      <c r="C288" t="s">
        <v>597</v>
      </c>
      <c r="D288" t="s">
        <v>810</v>
      </c>
      <c r="E288" t="s">
        <v>1968</v>
      </c>
      <c r="F288" t="s">
        <v>2390</v>
      </c>
      <c r="G288" t="s">
        <v>2099</v>
      </c>
      <c r="H288" t="s">
        <v>1265</v>
      </c>
      <c r="I288" t="s">
        <v>2726</v>
      </c>
      <c r="J288" t="s">
        <v>1602</v>
      </c>
      <c r="K288" t="s">
        <v>1608</v>
      </c>
      <c r="L288" t="s">
        <v>1610</v>
      </c>
      <c r="M288" t="s">
        <v>1617</v>
      </c>
    </row>
    <row r="289" spans="1:13" x14ac:dyDescent="0.25">
      <c r="A289" t="s">
        <v>1</v>
      </c>
      <c r="B289" t="s">
        <v>256</v>
      </c>
      <c r="C289" t="s">
        <v>546</v>
      </c>
      <c r="D289" t="s">
        <v>810</v>
      </c>
      <c r="E289" t="s">
        <v>1745</v>
      </c>
      <c r="F289" t="s">
        <v>2391</v>
      </c>
      <c r="G289" t="s">
        <v>2099</v>
      </c>
      <c r="H289" t="s">
        <v>1266</v>
      </c>
      <c r="I289" t="s">
        <v>2729</v>
      </c>
      <c r="J289" t="s">
        <v>1601</v>
      </c>
      <c r="K289" t="s">
        <v>1607</v>
      </c>
      <c r="L289" t="s">
        <v>1610</v>
      </c>
      <c r="M289" t="s">
        <v>1623</v>
      </c>
    </row>
    <row r="290" spans="1:13" x14ac:dyDescent="0.25">
      <c r="A290" t="s">
        <v>1</v>
      </c>
      <c r="B290" t="s">
        <v>257</v>
      </c>
      <c r="C290" t="s">
        <v>723</v>
      </c>
      <c r="D290" t="s">
        <v>559</v>
      </c>
      <c r="E290" t="s">
        <v>1746</v>
      </c>
      <c r="F290" t="s">
        <v>2392</v>
      </c>
      <c r="G290" t="s">
        <v>2099</v>
      </c>
      <c r="H290" t="s">
        <v>1267</v>
      </c>
      <c r="I290" t="s">
        <v>2730</v>
      </c>
      <c r="J290" t="s">
        <v>1602</v>
      </c>
      <c r="K290" t="s">
        <v>1607</v>
      </c>
      <c r="L290" t="s">
        <v>1610</v>
      </c>
      <c r="M290" t="s">
        <v>1626</v>
      </c>
    </row>
    <row r="291" spans="1:13" x14ac:dyDescent="0.25">
      <c r="A291" t="s">
        <v>1</v>
      </c>
      <c r="B291" t="s">
        <v>258</v>
      </c>
      <c r="C291" t="s">
        <v>724</v>
      </c>
      <c r="D291" t="s">
        <v>792</v>
      </c>
      <c r="E291" t="s">
        <v>1969</v>
      </c>
      <c r="F291" t="s">
        <v>2393</v>
      </c>
      <c r="G291" t="s">
        <v>2099</v>
      </c>
      <c r="H291" t="s">
        <v>1268</v>
      </c>
      <c r="I291" t="s">
        <v>2726</v>
      </c>
      <c r="J291" t="s">
        <v>1603</v>
      </c>
      <c r="K291" t="s">
        <v>1608</v>
      </c>
      <c r="L291" t="s">
        <v>1610</v>
      </c>
      <c r="M291" t="s">
        <v>1618</v>
      </c>
    </row>
    <row r="292" spans="1:13" x14ac:dyDescent="0.25">
      <c r="A292" t="s">
        <v>1</v>
      </c>
      <c r="B292" t="s">
        <v>259</v>
      </c>
      <c r="C292" t="s">
        <v>725</v>
      </c>
      <c r="D292" t="s">
        <v>532</v>
      </c>
      <c r="E292" t="s">
        <v>1970</v>
      </c>
      <c r="F292" t="s">
        <v>2394</v>
      </c>
      <c r="G292" t="s">
        <v>2099</v>
      </c>
      <c r="H292" t="s">
        <v>1269</v>
      </c>
      <c r="I292" t="s">
        <v>2726</v>
      </c>
      <c r="J292" t="s">
        <v>1600</v>
      </c>
      <c r="K292" t="s">
        <v>1608</v>
      </c>
      <c r="L292" t="s">
        <v>1610</v>
      </c>
      <c r="M292" t="s">
        <v>1632</v>
      </c>
    </row>
    <row r="293" spans="1:13" x14ac:dyDescent="0.25">
      <c r="A293" t="s">
        <v>1</v>
      </c>
      <c r="B293" t="s">
        <v>260</v>
      </c>
      <c r="C293" t="s">
        <v>726</v>
      </c>
      <c r="D293" t="s">
        <v>588</v>
      </c>
      <c r="E293" t="s">
        <v>1747</v>
      </c>
      <c r="F293" t="s">
        <v>2395</v>
      </c>
      <c r="G293" t="s">
        <v>2099</v>
      </c>
      <c r="H293" t="s">
        <v>1270</v>
      </c>
      <c r="I293" t="s">
        <v>2730</v>
      </c>
      <c r="J293" t="s">
        <v>1600</v>
      </c>
      <c r="K293" t="s">
        <v>1607</v>
      </c>
      <c r="L293" t="s">
        <v>1610</v>
      </c>
      <c r="M293" t="s">
        <v>1642</v>
      </c>
    </row>
    <row r="294" spans="1:13" x14ac:dyDescent="0.25">
      <c r="A294" t="s">
        <v>1</v>
      </c>
      <c r="B294" t="s">
        <v>261</v>
      </c>
      <c r="C294" t="s">
        <v>641</v>
      </c>
      <c r="D294" t="s">
        <v>781</v>
      </c>
      <c r="E294" t="s">
        <v>1748</v>
      </c>
      <c r="F294" t="s">
        <v>2396</v>
      </c>
      <c r="G294" t="s">
        <v>2099</v>
      </c>
      <c r="H294" t="s">
        <v>1271</v>
      </c>
      <c r="I294" t="s">
        <v>2727</v>
      </c>
      <c r="J294" t="s">
        <v>1601</v>
      </c>
      <c r="K294" t="s">
        <v>1608</v>
      </c>
      <c r="L294" t="s">
        <v>1610</v>
      </c>
      <c r="M294" t="s">
        <v>1629</v>
      </c>
    </row>
    <row r="295" spans="1:13" x14ac:dyDescent="0.25">
      <c r="A295" t="s">
        <v>1</v>
      </c>
      <c r="B295" t="s">
        <v>261</v>
      </c>
      <c r="C295" t="s">
        <v>546</v>
      </c>
      <c r="D295" t="s">
        <v>639</v>
      </c>
      <c r="E295" t="s">
        <v>1749</v>
      </c>
      <c r="F295" t="s">
        <v>2397</v>
      </c>
      <c r="G295" t="s">
        <v>2099</v>
      </c>
      <c r="H295" t="s">
        <v>1272</v>
      </c>
      <c r="I295" t="s">
        <v>2728</v>
      </c>
      <c r="J295" t="s">
        <v>1602</v>
      </c>
      <c r="K295" t="s">
        <v>1608</v>
      </c>
      <c r="L295" t="s">
        <v>1610</v>
      </c>
      <c r="M295" t="s">
        <v>1635</v>
      </c>
    </row>
    <row r="296" spans="1:13" x14ac:dyDescent="0.25">
      <c r="A296" t="s">
        <v>1</v>
      </c>
      <c r="B296" t="s">
        <v>262</v>
      </c>
      <c r="C296" t="s">
        <v>727</v>
      </c>
      <c r="D296" t="s">
        <v>903</v>
      </c>
      <c r="E296" t="s">
        <v>1971</v>
      </c>
      <c r="F296" t="s">
        <v>2398</v>
      </c>
      <c r="G296" t="s">
        <v>2099</v>
      </c>
      <c r="H296" t="s">
        <v>1273</v>
      </c>
      <c r="I296" t="s">
        <v>2730</v>
      </c>
      <c r="J296" t="s">
        <v>1600</v>
      </c>
      <c r="K296" t="s">
        <v>1608</v>
      </c>
      <c r="L296" t="s">
        <v>1610</v>
      </c>
      <c r="M296" t="s">
        <v>1642</v>
      </c>
    </row>
    <row r="297" spans="1:13" x14ac:dyDescent="0.25">
      <c r="A297" t="s">
        <v>1</v>
      </c>
      <c r="B297" t="s">
        <v>263</v>
      </c>
      <c r="C297" t="s">
        <v>624</v>
      </c>
      <c r="D297" t="s">
        <v>769</v>
      </c>
      <c r="E297" t="s">
        <v>1972</v>
      </c>
      <c r="F297" t="s">
        <v>2399</v>
      </c>
      <c r="G297" t="s">
        <v>2099</v>
      </c>
      <c r="H297" t="s">
        <v>1274</v>
      </c>
      <c r="I297" t="s">
        <v>2726</v>
      </c>
      <c r="J297" t="s">
        <v>1600</v>
      </c>
      <c r="K297" t="s">
        <v>1608</v>
      </c>
      <c r="L297" t="s">
        <v>1610</v>
      </c>
      <c r="M297" t="s">
        <v>1632</v>
      </c>
    </row>
    <row r="298" spans="1:13" x14ac:dyDescent="0.25">
      <c r="A298" t="s">
        <v>1</v>
      </c>
      <c r="B298" t="s">
        <v>264</v>
      </c>
      <c r="C298" t="s">
        <v>651</v>
      </c>
      <c r="D298" t="s">
        <v>904</v>
      </c>
      <c r="E298" t="s">
        <v>1973</v>
      </c>
      <c r="F298" t="s">
        <v>2400</v>
      </c>
      <c r="G298" t="s">
        <v>2099</v>
      </c>
      <c r="H298" t="s">
        <v>1275</v>
      </c>
      <c r="I298" t="s">
        <v>2726</v>
      </c>
      <c r="J298" t="s">
        <v>1603</v>
      </c>
      <c r="K298" t="s">
        <v>1608</v>
      </c>
      <c r="L298" t="s">
        <v>1610</v>
      </c>
      <c r="M298" t="s">
        <v>1618</v>
      </c>
    </row>
    <row r="299" spans="1:13" x14ac:dyDescent="0.25">
      <c r="A299" t="s">
        <v>1</v>
      </c>
      <c r="B299" t="s">
        <v>265</v>
      </c>
      <c r="C299" t="s">
        <v>728</v>
      </c>
      <c r="D299" t="s">
        <v>593</v>
      </c>
      <c r="E299" t="s">
        <v>1750</v>
      </c>
      <c r="F299" t="s">
        <v>2401</v>
      </c>
      <c r="G299" t="s">
        <v>2099</v>
      </c>
      <c r="H299" t="s">
        <v>1276</v>
      </c>
      <c r="I299" t="s">
        <v>2724</v>
      </c>
      <c r="J299" t="s">
        <v>1603</v>
      </c>
      <c r="K299" t="s">
        <v>1607</v>
      </c>
      <c r="L299" t="s">
        <v>1610</v>
      </c>
      <c r="M299" t="s">
        <v>1643</v>
      </c>
    </row>
    <row r="300" spans="1:13" x14ac:dyDescent="0.25">
      <c r="A300" t="s">
        <v>1</v>
      </c>
      <c r="B300" t="s">
        <v>266</v>
      </c>
      <c r="C300" t="s">
        <v>597</v>
      </c>
      <c r="D300" t="s">
        <v>905</v>
      </c>
      <c r="E300" t="s">
        <v>1751</v>
      </c>
      <c r="F300" t="s">
        <v>2402</v>
      </c>
      <c r="G300" t="s">
        <v>2099</v>
      </c>
      <c r="H300" t="s">
        <v>1277</v>
      </c>
      <c r="I300" t="s">
        <v>2731</v>
      </c>
      <c r="J300" t="s">
        <v>1602</v>
      </c>
      <c r="K300" t="s">
        <v>1607</v>
      </c>
      <c r="L300" t="s">
        <v>1610</v>
      </c>
      <c r="M300" t="s">
        <v>1628</v>
      </c>
    </row>
    <row r="301" spans="1:13" x14ac:dyDescent="0.25">
      <c r="A301" t="s">
        <v>1</v>
      </c>
      <c r="B301" t="s">
        <v>267</v>
      </c>
      <c r="C301" t="s">
        <v>652</v>
      </c>
      <c r="D301" t="s">
        <v>906</v>
      </c>
      <c r="E301" t="s">
        <v>1974</v>
      </c>
      <c r="F301" t="s">
        <v>2403</v>
      </c>
      <c r="G301" t="s">
        <v>2099</v>
      </c>
      <c r="H301" t="s">
        <v>1278</v>
      </c>
      <c r="I301" t="s">
        <v>2735</v>
      </c>
      <c r="J301" t="s">
        <v>1603</v>
      </c>
      <c r="K301" t="s">
        <v>1608</v>
      </c>
      <c r="L301" t="s">
        <v>1610</v>
      </c>
      <c r="M301" t="s">
        <v>1647</v>
      </c>
    </row>
    <row r="302" spans="1:13" x14ac:dyDescent="0.25">
      <c r="A302" t="s">
        <v>1</v>
      </c>
      <c r="B302" t="s">
        <v>268</v>
      </c>
      <c r="C302" t="s">
        <v>546</v>
      </c>
      <c r="D302" t="s">
        <v>907</v>
      </c>
      <c r="E302" t="s">
        <v>1975</v>
      </c>
      <c r="F302" t="s">
        <v>2404</v>
      </c>
      <c r="G302" t="s">
        <v>2099</v>
      </c>
      <c r="H302" t="s">
        <v>1279</v>
      </c>
      <c r="I302" t="s">
        <v>2730</v>
      </c>
      <c r="J302" t="s">
        <v>1603</v>
      </c>
      <c r="K302" t="s">
        <v>1607</v>
      </c>
      <c r="L302" t="s">
        <v>1610</v>
      </c>
      <c r="M302" t="s">
        <v>1657</v>
      </c>
    </row>
    <row r="303" spans="1:13" x14ac:dyDescent="0.25">
      <c r="A303" t="s">
        <v>1</v>
      </c>
      <c r="B303" t="s">
        <v>269</v>
      </c>
      <c r="C303" t="s">
        <v>729</v>
      </c>
      <c r="D303" t="s">
        <v>908</v>
      </c>
      <c r="E303" t="s">
        <v>1976</v>
      </c>
      <c r="F303" t="s">
        <v>2405</v>
      </c>
      <c r="G303" t="s">
        <v>2099</v>
      </c>
      <c r="H303" t="s">
        <v>1280</v>
      </c>
      <c r="I303" t="s">
        <v>2726</v>
      </c>
      <c r="J303" t="s">
        <v>1600</v>
      </c>
      <c r="K303" t="s">
        <v>1608</v>
      </c>
      <c r="L303" t="s">
        <v>1610</v>
      </c>
      <c r="M303" t="s">
        <v>1632</v>
      </c>
    </row>
    <row r="304" spans="1:13" x14ac:dyDescent="0.25">
      <c r="A304" t="s">
        <v>1</v>
      </c>
      <c r="B304" t="s">
        <v>270</v>
      </c>
      <c r="C304" t="s">
        <v>730</v>
      </c>
      <c r="D304" t="s">
        <v>625</v>
      </c>
      <c r="E304" t="s">
        <v>1977</v>
      </c>
      <c r="F304" t="s">
        <v>2406</v>
      </c>
      <c r="G304" t="s">
        <v>2099</v>
      </c>
      <c r="H304" t="s">
        <v>1281</v>
      </c>
      <c r="I304" t="s">
        <v>2726</v>
      </c>
      <c r="J304" t="s">
        <v>1601</v>
      </c>
      <c r="K304" t="s">
        <v>1608</v>
      </c>
      <c r="L304" t="s">
        <v>1610</v>
      </c>
      <c r="M304" t="s">
        <v>1616</v>
      </c>
    </row>
    <row r="305" spans="1:13" x14ac:dyDescent="0.25">
      <c r="A305" t="s">
        <v>1</v>
      </c>
      <c r="B305" t="s">
        <v>271</v>
      </c>
      <c r="C305" t="s">
        <v>731</v>
      </c>
      <c r="D305" t="s">
        <v>769</v>
      </c>
      <c r="E305" t="s">
        <v>1978</v>
      </c>
      <c r="F305" t="s">
        <v>2407</v>
      </c>
      <c r="G305" t="s">
        <v>2099</v>
      </c>
      <c r="H305" t="s">
        <v>1282</v>
      </c>
      <c r="I305" t="s">
        <v>2728</v>
      </c>
      <c r="J305" t="s">
        <v>1600</v>
      </c>
      <c r="K305" t="s">
        <v>1608</v>
      </c>
      <c r="L305" t="s">
        <v>1610</v>
      </c>
      <c r="M305" t="s">
        <v>1621</v>
      </c>
    </row>
    <row r="306" spans="1:13" x14ac:dyDescent="0.25">
      <c r="A306" t="s">
        <v>1</v>
      </c>
      <c r="B306" t="s">
        <v>272</v>
      </c>
      <c r="C306" t="s">
        <v>732</v>
      </c>
      <c r="D306" t="s">
        <v>874</v>
      </c>
      <c r="E306" t="s">
        <v>1979</v>
      </c>
      <c r="F306" t="s">
        <v>2408</v>
      </c>
      <c r="G306" t="s">
        <v>2099</v>
      </c>
      <c r="H306" t="s">
        <v>1283</v>
      </c>
      <c r="I306" t="s">
        <v>2734</v>
      </c>
      <c r="J306" t="s">
        <v>1603</v>
      </c>
      <c r="K306" t="s">
        <v>1608</v>
      </c>
      <c r="L306" t="s">
        <v>1610</v>
      </c>
      <c r="M306" t="s">
        <v>1650</v>
      </c>
    </row>
    <row r="307" spans="1:13" x14ac:dyDescent="0.25">
      <c r="A307" t="s">
        <v>1</v>
      </c>
      <c r="B307" t="s">
        <v>273</v>
      </c>
      <c r="C307" t="s">
        <v>733</v>
      </c>
      <c r="D307" t="s">
        <v>800</v>
      </c>
      <c r="E307" t="s">
        <v>1980</v>
      </c>
      <c r="F307" t="s">
        <v>2409</v>
      </c>
      <c r="G307" t="s">
        <v>2099</v>
      </c>
      <c r="H307" t="s">
        <v>1284</v>
      </c>
      <c r="I307" t="s">
        <v>2730</v>
      </c>
      <c r="J307" t="s">
        <v>1601</v>
      </c>
      <c r="K307" t="s">
        <v>1608</v>
      </c>
      <c r="L307" t="s">
        <v>1610</v>
      </c>
      <c r="M307" t="s">
        <v>1624</v>
      </c>
    </row>
    <row r="308" spans="1:13" x14ac:dyDescent="0.25">
      <c r="A308" t="s">
        <v>1</v>
      </c>
      <c r="B308" t="s">
        <v>273</v>
      </c>
      <c r="C308" t="s">
        <v>734</v>
      </c>
      <c r="D308" t="s">
        <v>571</v>
      </c>
      <c r="E308" t="s">
        <v>1981</v>
      </c>
      <c r="F308" t="s">
        <v>2410</v>
      </c>
      <c r="G308" t="s">
        <v>2099</v>
      </c>
      <c r="H308" t="s">
        <v>1285</v>
      </c>
      <c r="I308" t="s">
        <v>2737</v>
      </c>
      <c r="J308" t="s">
        <v>1603</v>
      </c>
      <c r="K308" t="s">
        <v>1608</v>
      </c>
      <c r="L308" t="s">
        <v>1610</v>
      </c>
      <c r="M308" t="s">
        <v>1652</v>
      </c>
    </row>
    <row r="309" spans="1:13" x14ac:dyDescent="0.25">
      <c r="A309" t="s">
        <v>1</v>
      </c>
      <c r="B309" t="s">
        <v>274</v>
      </c>
      <c r="C309" t="s">
        <v>584</v>
      </c>
      <c r="D309" t="s">
        <v>571</v>
      </c>
      <c r="E309" t="s">
        <v>1982</v>
      </c>
      <c r="F309" t="s">
        <v>2411</v>
      </c>
      <c r="G309" t="s">
        <v>2099</v>
      </c>
      <c r="H309" t="s">
        <v>1286</v>
      </c>
      <c r="I309" t="s">
        <v>2732</v>
      </c>
      <c r="J309" t="s">
        <v>1603</v>
      </c>
      <c r="K309" t="s">
        <v>1608</v>
      </c>
      <c r="L309" t="s">
        <v>1610</v>
      </c>
      <c r="M309" t="s">
        <v>1637</v>
      </c>
    </row>
    <row r="310" spans="1:13" x14ac:dyDescent="0.25">
      <c r="A310" t="s">
        <v>1</v>
      </c>
      <c r="B310" t="s">
        <v>274</v>
      </c>
      <c r="C310" t="s">
        <v>562</v>
      </c>
      <c r="D310" t="s">
        <v>649</v>
      </c>
      <c r="E310" t="s">
        <v>1983</v>
      </c>
      <c r="F310" t="s">
        <v>2412</v>
      </c>
      <c r="G310" t="s">
        <v>2099</v>
      </c>
      <c r="H310" t="s">
        <v>1287</v>
      </c>
      <c r="I310" t="s">
        <v>2726</v>
      </c>
      <c r="J310" t="s">
        <v>1602</v>
      </c>
      <c r="K310" t="s">
        <v>1608</v>
      </c>
      <c r="L310" t="s">
        <v>1610</v>
      </c>
      <c r="M310" t="s">
        <v>1617</v>
      </c>
    </row>
    <row r="311" spans="1:13" x14ac:dyDescent="0.25">
      <c r="A311" t="s">
        <v>1</v>
      </c>
      <c r="B311" t="s">
        <v>275</v>
      </c>
      <c r="C311" t="s">
        <v>735</v>
      </c>
      <c r="D311" t="s">
        <v>757</v>
      </c>
      <c r="E311" t="s">
        <v>1984</v>
      </c>
      <c r="F311" t="s">
        <v>2413</v>
      </c>
      <c r="G311" t="s">
        <v>2099</v>
      </c>
      <c r="H311" t="s">
        <v>1288</v>
      </c>
      <c r="I311" t="s">
        <v>2726</v>
      </c>
      <c r="J311" t="s">
        <v>1603</v>
      </c>
      <c r="K311" t="s">
        <v>1608</v>
      </c>
      <c r="L311" t="s">
        <v>1610</v>
      </c>
      <c r="M311" t="s">
        <v>1618</v>
      </c>
    </row>
    <row r="312" spans="1:13" x14ac:dyDescent="0.25">
      <c r="A312" t="s">
        <v>1</v>
      </c>
      <c r="B312" t="s">
        <v>276</v>
      </c>
      <c r="C312" t="s">
        <v>584</v>
      </c>
      <c r="D312" t="s">
        <v>674</v>
      </c>
      <c r="E312" t="s">
        <v>1752</v>
      </c>
      <c r="F312" t="s">
        <v>2414</v>
      </c>
      <c r="G312" t="s">
        <v>2099</v>
      </c>
      <c r="H312" t="s">
        <v>1289</v>
      </c>
      <c r="I312" t="s">
        <v>2731</v>
      </c>
      <c r="J312" t="s">
        <v>1602</v>
      </c>
      <c r="K312" t="s">
        <v>1607</v>
      </c>
      <c r="L312" t="s">
        <v>1610</v>
      </c>
      <c r="M312" t="s">
        <v>1628</v>
      </c>
    </row>
    <row r="313" spans="1:13" x14ac:dyDescent="0.25">
      <c r="A313" t="s">
        <v>1</v>
      </c>
      <c r="B313" t="s">
        <v>276</v>
      </c>
      <c r="C313" t="s">
        <v>736</v>
      </c>
      <c r="D313" t="s">
        <v>535</v>
      </c>
      <c r="E313" t="s">
        <v>1753</v>
      </c>
      <c r="F313" t="s">
        <v>2415</v>
      </c>
      <c r="G313" t="s">
        <v>2099</v>
      </c>
      <c r="H313" t="s">
        <v>1290</v>
      </c>
      <c r="I313" t="s">
        <v>2724</v>
      </c>
      <c r="J313" t="s">
        <v>1603</v>
      </c>
      <c r="K313" t="s">
        <v>1607</v>
      </c>
      <c r="L313" t="s">
        <v>1610</v>
      </c>
      <c r="M313" t="s">
        <v>1643</v>
      </c>
    </row>
    <row r="314" spans="1:13" x14ac:dyDescent="0.25">
      <c r="A314" t="s">
        <v>1</v>
      </c>
      <c r="B314" t="s">
        <v>277</v>
      </c>
      <c r="C314" t="s">
        <v>737</v>
      </c>
      <c r="D314" t="s">
        <v>673</v>
      </c>
      <c r="E314" t="s">
        <v>1754</v>
      </c>
      <c r="F314" t="s">
        <v>2416</v>
      </c>
      <c r="G314" t="s">
        <v>2099</v>
      </c>
      <c r="H314" t="s">
        <v>1291</v>
      </c>
      <c r="I314" t="s">
        <v>2729</v>
      </c>
      <c r="J314" t="s">
        <v>1601</v>
      </c>
      <c r="K314" t="s">
        <v>1608</v>
      </c>
      <c r="L314" t="s">
        <v>1610</v>
      </c>
      <c r="M314" t="s">
        <v>1623</v>
      </c>
    </row>
    <row r="315" spans="1:13" x14ac:dyDescent="0.25">
      <c r="A315" t="s">
        <v>1</v>
      </c>
      <c r="B315" t="s">
        <v>278</v>
      </c>
      <c r="C315" t="s">
        <v>738</v>
      </c>
      <c r="D315" t="s">
        <v>541</v>
      </c>
      <c r="E315" t="s">
        <v>1985</v>
      </c>
      <c r="F315" t="s">
        <v>2417</v>
      </c>
      <c r="G315" t="s">
        <v>2099</v>
      </c>
      <c r="H315" t="s">
        <v>1292</v>
      </c>
      <c r="I315" t="s">
        <v>2727</v>
      </c>
      <c r="J315" t="s">
        <v>1600</v>
      </c>
      <c r="K315" t="s">
        <v>1608</v>
      </c>
      <c r="L315" t="s">
        <v>1610</v>
      </c>
      <c r="M315" t="s">
        <v>1654</v>
      </c>
    </row>
    <row r="316" spans="1:13" x14ac:dyDescent="0.25">
      <c r="A316" t="s">
        <v>1</v>
      </c>
      <c r="B316" t="s">
        <v>279</v>
      </c>
      <c r="C316" t="s">
        <v>551</v>
      </c>
      <c r="D316" t="s">
        <v>732</v>
      </c>
      <c r="E316" t="s">
        <v>1986</v>
      </c>
      <c r="F316" t="s">
        <v>2418</v>
      </c>
      <c r="G316" t="s">
        <v>2099</v>
      </c>
      <c r="H316" t="s">
        <v>1293</v>
      </c>
      <c r="I316" t="s">
        <v>2724</v>
      </c>
      <c r="J316" t="s">
        <v>1603</v>
      </c>
      <c r="K316" t="s">
        <v>1608</v>
      </c>
      <c r="L316" t="s">
        <v>1610</v>
      </c>
      <c r="M316" t="s">
        <v>1643</v>
      </c>
    </row>
    <row r="317" spans="1:13" x14ac:dyDescent="0.25">
      <c r="A317" t="s">
        <v>1</v>
      </c>
      <c r="B317" t="s">
        <v>280</v>
      </c>
      <c r="C317" t="s">
        <v>739</v>
      </c>
      <c r="D317" t="s">
        <v>909</v>
      </c>
      <c r="E317" t="s">
        <v>1987</v>
      </c>
      <c r="F317" t="s">
        <v>2419</v>
      </c>
      <c r="G317" t="s">
        <v>2099</v>
      </c>
      <c r="H317" t="s">
        <v>1294</v>
      </c>
      <c r="I317" t="s">
        <v>2730</v>
      </c>
      <c r="J317" t="s">
        <v>1602</v>
      </c>
      <c r="K317" t="s">
        <v>1607</v>
      </c>
      <c r="L317" t="s">
        <v>1610</v>
      </c>
      <c r="M317" t="s">
        <v>1626</v>
      </c>
    </row>
    <row r="318" spans="1:13" x14ac:dyDescent="0.25">
      <c r="A318" t="s">
        <v>1</v>
      </c>
      <c r="B318" t="s">
        <v>281</v>
      </c>
      <c r="C318" t="s">
        <v>579</v>
      </c>
      <c r="D318" t="s">
        <v>769</v>
      </c>
      <c r="E318" t="s">
        <v>1988</v>
      </c>
      <c r="F318" t="s">
        <v>2420</v>
      </c>
      <c r="G318" t="s">
        <v>2099</v>
      </c>
      <c r="H318" t="s">
        <v>1295</v>
      </c>
      <c r="I318" t="s">
        <v>2728</v>
      </c>
      <c r="J318" t="s">
        <v>1600</v>
      </c>
      <c r="K318" t="s">
        <v>1608</v>
      </c>
      <c r="L318" t="s">
        <v>1610</v>
      </c>
      <c r="M318" t="s">
        <v>1621</v>
      </c>
    </row>
    <row r="319" spans="1:13" x14ac:dyDescent="0.25">
      <c r="A319" t="s">
        <v>1</v>
      </c>
      <c r="B319" t="s">
        <v>282</v>
      </c>
      <c r="C319" t="s">
        <v>549</v>
      </c>
      <c r="D319" t="s">
        <v>757</v>
      </c>
      <c r="E319" t="s">
        <v>1989</v>
      </c>
      <c r="F319" t="s">
        <v>2421</v>
      </c>
      <c r="G319" t="s">
        <v>2099</v>
      </c>
      <c r="H319" t="s">
        <v>1296</v>
      </c>
      <c r="I319" t="s">
        <v>2726</v>
      </c>
      <c r="J319" t="s">
        <v>1604</v>
      </c>
      <c r="K319" t="s">
        <v>1608</v>
      </c>
      <c r="L319" t="s">
        <v>1610</v>
      </c>
      <c r="M319" t="s">
        <v>1620</v>
      </c>
    </row>
    <row r="320" spans="1:13" x14ac:dyDescent="0.25">
      <c r="A320" t="s">
        <v>1</v>
      </c>
      <c r="B320" t="s">
        <v>283</v>
      </c>
      <c r="C320" t="s">
        <v>740</v>
      </c>
      <c r="D320" t="s">
        <v>638</v>
      </c>
      <c r="E320" t="s">
        <v>1990</v>
      </c>
      <c r="F320" t="s">
        <v>2422</v>
      </c>
      <c r="G320" t="s">
        <v>2099</v>
      </c>
      <c r="H320" t="s">
        <v>1297</v>
      </c>
      <c r="I320" t="s">
        <v>2726</v>
      </c>
      <c r="J320" t="s">
        <v>1600</v>
      </c>
      <c r="K320" t="s">
        <v>1608</v>
      </c>
      <c r="L320" t="s">
        <v>1610</v>
      </c>
      <c r="M320" t="s">
        <v>1625</v>
      </c>
    </row>
    <row r="321" spans="1:13" x14ac:dyDescent="0.25">
      <c r="A321" t="s">
        <v>1</v>
      </c>
      <c r="B321" t="s">
        <v>284</v>
      </c>
      <c r="C321" t="s">
        <v>632</v>
      </c>
      <c r="D321" t="s">
        <v>755</v>
      </c>
      <c r="E321" t="s">
        <v>1991</v>
      </c>
      <c r="F321" t="s">
        <v>2423</v>
      </c>
      <c r="G321" t="s">
        <v>2099</v>
      </c>
      <c r="H321" t="s">
        <v>1298</v>
      </c>
      <c r="I321" t="s">
        <v>2727</v>
      </c>
      <c r="J321" t="s">
        <v>1600</v>
      </c>
      <c r="K321" t="s">
        <v>1608</v>
      </c>
      <c r="L321" t="s">
        <v>1610</v>
      </c>
      <c r="M321" t="s">
        <v>1654</v>
      </c>
    </row>
    <row r="322" spans="1:13" x14ac:dyDescent="0.25">
      <c r="A322" t="s">
        <v>1</v>
      </c>
      <c r="B322" t="s">
        <v>285</v>
      </c>
      <c r="C322" t="s">
        <v>727</v>
      </c>
      <c r="D322" t="s">
        <v>731</v>
      </c>
      <c r="E322" t="s">
        <v>1992</v>
      </c>
      <c r="F322" t="s">
        <v>2424</v>
      </c>
      <c r="G322" t="s">
        <v>2099</v>
      </c>
      <c r="H322" t="s">
        <v>1299</v>
      </c>
      <c r="I322" t="s">
        <v>2730</v>
      </c>
      <c r="J322" t="s">
        <v>1603</v>
      </c>
      <c r="K322" t="s">
        <v>1608</v>
      </c>
      <c r="L322" t="s">
        <v>1610</v>
      </c>
      <c r="M322" t="s">
        <v>1657</v>
      </c>
    </row>
    <row r="323" spans="1:13" x14ac:dyDescent="0.25">
      <c r="A323" t="s">
        <v>1</v>
      </c>
      <c r="B323" t="s">
        <v>286</v>
      </c>
      <c r="C323" t="s">
        <v>582</v>
      </c>
      <c r="D323" t="s">
        <v>781</v>
      </c>
      <c r="E323" t="s">
        <v>1993</v>
      </c>
      <c r="F323" t="s">
        <v>2425</v>
      </c>
      <c r="G323" t="s">
        <v>2099</v>
      </c>
      <c r="H323" t="s">
        <v>1300</v>
      </c>
      <c r="I323" t="s">
        <v>2726</v>
      </c>
      <c r="J323" t="s">
        <v>1601</v>
      </c>
      <c r="K323" t="s">
        <v>1608</v>
      </c>
      <c r="L323" t="s">
        <v>1610</v>
      </c>
      <c r="M323" t="s">
        <v>1616</v>
      </c>
    </row>
    <row r="324" spans="1:13" x14ac:dyDescent="0.25">
      <c r="A324" t="s">
        <v>1</v>
      </c>
      <c r="B324" t="s">
        <v>287</v>
      </c>
      <c r="C324" t="s">
        <v>629</v>
      </c>
      <c r="D324" t="s">
        <v>910</v>
      </c>
      <c r="E324" t="s">
        <v>1994</v>
      </c>
      <c r="F324" t="s">
        <v>2426</v>
      </c>
      <c r="G324" t="s">
        <v>2099</v>
      </c>
      <c r="H324" t="s">
        <v>1301</v>
      </c>
      <c r="I324" t="s">
        <v>2735</v>
      </c>
      <c r="J324" t="s">
        <v>1603</v>
      </c>
      <c r="K324" t="s">
        <v>1608</v>
      </c>
      <c r="L324" t="s">
        <v>1610</v>
      </c>
      <c r="M324" t="s">
        <v>1647</v>
      </c>
    </row>
    <row r="325" spans="1:13" x14ac:dyDescent="0.25">
      <c r="A325" t="s">
        <v>1</v>
      </c>
      <c r="B325" t="s">
        <v>288</v>
      </c>
      <c r="C325" t="s">
        <v>741</v>
      </c>
      <c r="D325" t="s">
        <v>911</v>
      </c>
      <c r="E325" t="s">
        <v>1995</v>
      </c>
      <c r="F325" t="s">
        <v>2427</v>
      </c>
      <c r="G325" t="s">
        <v>2099</v>
      </c>
      <c r="H325" t="s">
        <v>1302</v>
      </c>
      <c r="I325" t="s">
        <v>2729</v>
      </c>
      <c r="J325" t="s">
        <v>1602</v>
      </c>
      <c r="K325" t="s">
        <v>1608</v>
      </c>
      <c r="L325" t="s">
        <v>1610</v>
      </c>
      <c r="M325" t="s">
        <v>1638</v>
      </c>
    </row>
    <row r="326" spans="1:13" x14ac:dyDescent="0.25">
      <c r="A326" t="s">
        <v>1</v>
      </c>
      <c r="B326" t="s">
        <v>289</v>
      </c>
      <c r="C326" t="s">
        <v>652</v>
      </c>
      <c r="D326" t="s">
        <v>542</v>
      </c>
      <c r="E326" t="s">
        <v>1996</v>
      </c>
      <c r="F326" t="s">
        <v>2428</v>
      </c>
      <c r="G326" t="s">
        <v>2099</v>
      </c>
      <c r="H326" t="s">
        <v>1303</v>
      </c>
      <c r="I326" t="s">
        <v>2726</v>
      </c>
      <c r="J326" t="s">
        <v>1600</v>
      </c>
      <c r="K326" t="s">
        <v>1608</v>
      </c>
      <c r="L326" t="s">
        <v>1610</v>
      </c>
      <c r="M326" t="s">
        <v>1625</v>
      </c>
    </row>
    <row r="327" spans="1:13" x14ac:dyDescent="0.25">
      <c r="A327" t="s">
        <v>1</v>
      </c>
      <c r="B327" t="s">
        <v>290</v>
      </c>
      <c r="C327" t="s">
        <v>742</v>
      </c>
      <c r="D327" t="s">
        <v>674</v>
      </c>
      <c r="E327" t="s">
        <v>1997</v>
      </c>
      <c r="F327" t="s">
        <v>2429</v>
      </c>
      <c r="G327" t="s">
        <v>2099</v>
      </c>
      <c r="H327" t="s">
        <v>1304</v>
      </c>
      <c r="I327" t="s">
        <v>2725</v>
      </c>
      <c r="J327" t="s">
        <v>1602</v>
      </c>
      <c r="K327" t="s">
        <v>1608</v>
      </c>
      <c r="L327" t="s">
        <v>1610</v>
      </c>
      <c r="M327" t="s">
        <v>1648</v>
      </c>
    </row>
    <row r="328" spans="1:13" x14ac:dyDescent="0.25">
      <c r="A328" t="s">
        <v>1</v>
      </c>
      <c r="B328" t="s">
        <v>291</v>
      </c>
      <c r="C328" t="s">
        <v>551</v>
      </c>
      <c r="D328" t="s">
        <v>574</v>
      </c>
      <c r="E328" t="s">
        <v>1998</v>
      </c>
      <c r="F328" t="s">
        <v>2430</v>
      </c>
      <c r="G328" t="s">
        <v>2099</v>
      </c>
      <c r="H328" t="s">
        <v>1305</v>
      </c>
      <c r="I328" t="s">
        <v>2727</v>
      </c>
      <c r="J328" t="s">
        <v>1600</v>
      </c>
      <c r="K328" t="s">
        <v>1608</v>
      </c>
      <c r="L328" t="s">
        <v>1610</v>
      </c>
      <c r="M328" t="s">
        <v>1619</v>
      </c>
    </row>
    <row r="329" spans="1:13" x14ac:dyDescent="0.25">
      <c r="A329" t="s">
        <v>1</v>
      </c>
      <c r="B329" t="s">
        <v>292</v>
      </c>
      <c r="C329" t="s">
        <v>743</v>
      </c>
      <c r="D329" t="s">
        <v>640</v>
      </c>
      <c r="E329" t="s">
        <v>1999</v>
      </c>
      <c r="F329" t="s">
        <v>2431</v>
      </c>
      <c r="G329" t="s">
        <v>2099</v>
      </c>
      <c r="H329" t="s">
        <v>1306</v>
      </c>
      <c r="I329" t="s">
        <v>2734</v>
      </c>
      <c r="J329" t="s">
        <v>1602</v>
      </c>
      <c r="K329" t="s">
        <v>1608</v>
      </c>
      <c r="L329" t="s">
        <v>1610</v>
      </c>
      <c r="M329" t="s">
        <v>1640</v>
      </c>
    </row>
    <row r="330" spans="1:13" x14ac:dyDescent="0.25">
      <c r="A330" t="s">
        <v>1</v>
      </c>
      <c r="B330" t="s">
        <v>293</v>
      </c>
      <c r="C330" t="s">
        <v>744</v>
      </c>
      <c r="D330" t="s">
        <v>805</v>
      </c>
      <c r="E330" t="s">
        <v>2000</v>
      </c>
      <c r="F330" t="s">
        <v>2432</v>
      </c>
      <c r="G330" t="s">
        <v>2099</v>
      </c>
      <c r="H330" t="s">
        <v>1307</v>
      </c>
      <c r="I330" t="s">
        <v>2726</v>
      </c>
      <c r="J330" t="s">
        <v>1602</v>
      </c>
      <c r="K330" t="s">
        <v>1608</v>
      </c>
      <c r="L330" t="s">
        <v>1610</v>
      </c>
      <c r="M330" t="s">
        <v>1617</v>
      </c>
    </row>
    <row r="331" spans="1:13" x14ac:dyDescent="0.25">
      <c r="A331" t="s">
        <v>1</v>
      </c>
      <c r="B331" t="s">
        <v>294</v>
      </c>
      <c r="C331" t="s">
        <v>551</v>
      </c>
      <c r="D331" t="s">
        <v>649</v>
      </c>
      <c r="E331" t="s">
        <v>2001</v>
      </c>
      <c r="F331" t="s">
        <v>2433</v>
      </c>
      <c r="G331" t="s">
        <v>2099</v>
      </c>
      <c r="H331" t="s">
        <v>1308</v>
      </c>
      <c r="I331" t="s">
        <v>2727</v>
      </c>
      <c r="J331" t="s">
        <v>1600</v>
      </c>
      <c r="K331" t="s">
        <v>1608</v>
      </c>
      <c r="L331" t="s">
        <v>1610</v>
      </c>
      <c r="M331" t="s">
        <v>1654</v>
      </c>
    </row>
    <row r="332" spans="1:13" x14ac:dyDescent="0.25">
      <c r="A332" t="s">
        <v>1</v>
      </c>
      <c r="B332" t="s">
        <v>295</v>
      </c>
      <c r="C332" t="s">
        <v>725</v>
      </c>
      <c r="D332" t="s">
        <v>912</v>
      </c>
      <c r="E332" t="s">
        <v>2002</v>
      </c>
      <c r="F332" t="s">
        <v>2434</v>
      </c>
      <c r="G332" t="s">
        <v>2099</v>
      </c>
      <c r="H332" t="s">
        <v>1309</v>
      </c>
      <c r="I332" t="s">
        <v>2727</v>
      </c>
      <c r="J332" t="s">
        <v>1600</v>
      </c>
      <c r="K332" t="s">
        <v>1608</v>
      </c>
      <c r="L332" t="s">
        <v>1610</v>
      </c>
      <c r="M332" t="s">
        <v>1654</v>
      </c>
    </row>
    <row r="333" spans="1:13" x14ac:dyDescent="0.25">
      <c r="A333" t="s">
        <v>1</v>
      </c>
      <c r="B333" t="s">
        <v>296</v>
      </c>
      <c r="C333" t="s">
        <v>745</v>
      </c>
      <c r="D333" t="s">
        <v>622</v>
      </c>
      <c r="E333" t="s">
        <v>2003</v>
      </c>
      <c r="F333" t="s">
        <v>2435</v>
      </c>
      <c r="G333" t="s">
        <v>2099</v>
      </c>
      <c r="H333" t="s">
        <v>1310</v>
      </c>
      <c r="I333" t="s">
        <v>2726</v>
      </c>
      <c r="J333" t="s">
        <v>1601</v>
      </c>
      <c r="K333" t="s">
        <v>1608</v>
      </c>
      <c r="L333" t="s">
        <v>1610</v>
      </c>
      <c r="M333" t="s">
        <v>1616</v>
      </c>
    </row>
    <row r="334" spans="1:13" x14ac:dyDescent="0.25">
      <c r="A334" t="s">
        <v>1</v>
      </c>
      <c r="B334" t="s">
        <v>297</v>
      </c>
      <c r="C334" t="s">
        <v>542</v>
      </c>
      <c r="D334" t="s">
        <v>541</v>
      </c>
      <c r="E334" t="s">
        <v>2004</v>
      </c>
      <c r="F334" t="s">
        <v>2436</v>
      </c>
      <c r="G334" t="s">
        <v>2099</v>
      </c>
      <c r="H334" t="s">
        <v>1311</v>
      </c>
      <c r="I334" t="s">
        <v>2726</v>
      </c>
      <c r="J334" t="s">
        <v>1602</v>
      </c>
      <c r="K334" t="s">
        <v>1608</v>
      </c>
      <c r="L334" t="s">
        <v>1610</v>
      </c>
      <c r="M334" t="s">
        <v>1617</v>
      </c>
    </row>
    <row r="335" spans="1:13" x14ac:dyDescent="0.25">
      <c r="A335" t="s">
        <v>1</v>
      </c>
      <c r="B335" t="s">
        <v>298</v>
      </c>
      <c r="C335" t="s">
        <v>746</v>
      </c>
      <c r="D335" t="s">
        <v>913</v>
      </c>
      <c r="E335" t="s">
        <v>2005</v>
      </c>
      <c r="F335" t="s">
        <v>2437</v>
      </c>
      <c r="G335" t="s">
        <v>2099</v>
      </c>
      <c r="H335" t="s">
        <v>1312</v>
      </c>
      <c r="I335" t="s">
        <v>2729</v>
      </c>
      <c r="J335" t="s">
        <v>1602</v>
      </c>
      <c r="K335" t="s">
        <v>1608</v>
      </c>
      <c r="L335" t="s">
        <v>1610</v>
      </c>
      <c r="M335" t="s">
        <v>1638</v>
      </c>
    </row>
    <row r="336" spans="1:13" x14ac:dyDescent="0.25">
      <c r="A336" t="s">
        <v>1</v>
      </c>
      <c r="B336" t="s">
        <v>298</v>
      </c>
      <c r="C336" t="s">
        <v>567</v>
      </c>
      <c r="D336" t="s">
        <v>734</v>
      </c>
      <c r="E336" t="s">
        <v>2006</v>
      </c>
      <c r="F336" t="s">
        <v>2438</v>
      </c>
      <c r="G336" t="s">
        <v>2099</v>
      </c>
      <c r="H336" t="s">
        <v>1313</v>
      </c>
      <c r="I336" t="s">
        <v>2728</v>
      </c>
      <c r="J336" t="s">
        <v>1603</v>
      </c>
      <c r="K336" t="s">
        <v>1608</v>
      </c>
      <c r="L336" t="s">
        <v>1610</v>
      </c>
      <c r="M336" t="s">
        <v>1641</v>
      </c>
    </row>
    <row r="337" spans="1:13" x14ac:dyDescent="0.25">
      <c r="A337" t="s">
        <v>1</v>
      </c>
      <c r="B337" t="s">
        <v>299</v>
      </c>
      <c r="C337" t="s">
        <v>747</v>
      </c>
      <c r="D337" t="s">
        <v>582</v>
      </c>
      <c r="E337" t="s">
        <v>2007</v>
      </c>
      <c r="F337" t="s">
        <v>2439</v>
      </c>
      <c r="G337" t="s">
        <v>2099</v>
      </c>
      <c r="H337" t="s">
        <v>1314</v>
      </c>
      <c r="I337" t="s">
        <v>2726</v>
      </c>
      <c r="J337" t="s">
        <v>1604</v>
      </c>
      <c r="K337" t="s">
        <v>1608</v>
      </c>
      <c r="L337" t="s">
        <v>1610</v>
      </c>
      <c r="M337" t="s">
        <v>1620</v>
      </c>
    </row>
    <row r="338" spans="1:13" x14ac:dyDescent="0.25">
      <c r="A338" t="s">
        <v>1</v>
      </c>
      <c r="B338" t="s">
        <v>300</v>
      </c>
      <c r="C338" t="s">
        <v>748</v>
      </c>
      <c r="D338" t="s">
        <v>593</v>
      </c>
      <c r="E338" t="s">
        <v>2008</v>
      </c>
      <c r="F338" t="s">
        <v>2440</v>
      </c>
      <c r="G338" t="s">
        <v>2099</v>
      </c>
      <c r="H338" t="s">
        <v>1315</v>
      </c>
      <c r="I338" t="s">
        <v>2729</v>
      </c>
      <c r="J338" t="s">
        <v>1600</v>
      </c>
      <c r="K338" t="s">
        <v>1608</v>
      </c>
      <c r="L338" t="s">
        <v>1610</v>
      </c>
      <c r="M338" t="s">
        <v>1631</v>
      </c>
    </row>
    <row r="339" spans="1:13" x14ac:dyDescent="0.25">
      <c r="A339" t="s">
        <v>1</v>
      </c>
      <c r="B339" t="s">
        <v>301</v>
      </c>
      <c r="C339" t="s">
        <v>749</v>
      </c>
      <c r="D339" t="s">
        <v>593</v>
      </c>
      <c r="E339" t="s">
        <v>2009</v>
      </c>
      <c r="F339" t="s">
        <v>2441</v>
      </c>
      <c r="G339" t="s">
        <v>2099</v>
      </c>
      <c r="H339" t="s">
        <v>1316</v>
      </c>
      <c r="I339" t="s">
        <v>2724</v>
      </c>
      <c r="J339" t="s">
        <v>1600</v>
      </c>
      <c r="K339" t="s">
        <v>1608</v>
      </c>
      <c r="L339" t="s">
        <v>1610</v>
      </c>
      <c r="M339" t="s">
        <v>1614</v>
      </c>
    </row>
    <row r="340" spans="1:13" x14ac:dyDescent="0.25">
      <c r="A340" t="s">
        <v>1</v>
      </c>
      <c r="B340" t="s">
        <v>302</v>
      </c>
      <c r="C340" t="s">
        <v>750</v>
      </c>
      <c r="D340" t="s">
        <v>559</v>
      </c>
      <c r="E340" t="s">
        <v>2010</v>
      </c>
      <c r="F340" t="s">
        <v>2442</v>
      </c>
      <c r="G340" t="s">
        <v>2099</v>
      </c>
      <c r="H340" t="s">
        <v>1317</v>
      </c>
      <c r="I340" t="s">
        <v>2729</v>
      </c>
      <c r="J340" t="s">
        <v>1601</v>
      </c>
      <c r="K340" t="s">
        <v>1608</v>
      </c>
      <c r="L340" t="s">
        <v>1610</v>
      </c>
      <c r="M340" t="s">
        <v>1623</v>
      </c>
    </row>
    <row r="341" spans="1:13" x14ac:dyDescent="0.25">
      <c r="A341" t="s">
        <v>1</v>
      </c>
      <c r="B341" t="s">
        <v>303</v>
      </c>
      <c r="C341" t="s">
        <v>751</v>
      </c>
      <c r="D341" t="s">
        <v>827</v>
      </c>
      <c r="E341" t="s">
        <v>2011</v>
      </c>
      <c r="F341" t="s">
        <v>2443</v>
      </c>
      <c r="G341" t="s">
        <v>2099</v>
      </c>
      <c r="H341" t="s">
        <v>1318</v>
      </c>
      <c r="I341" t="s">
        <v>2727</v>
      </c>
      <c r="J341" t="s">
        <v>1600</v>
      </c>
      <c r="K341" t="s">
        <v>1608</v>
      </c>
      <c r="L341" t="s">
        <v>1610</v>
      </c>
      <c r="M341" t="s">
        <v>1654</v>
      </c>
    </row>
    <row r="342" spans="1:13" x14ac:dyDescent="0.25">
      <c r="A342" t="s">
        <v>1</v>
      </c>
      <c r="B342" t="s">
        <v>304</v>
      </c>
      <c r="C342" t="s">
        <v>542</v>
      </c>
      <c r="D342" t="s">
        <v>799</v>
      </c>
      <c r="E342" t="s">
        <v>2012</v>
      </c>
      <c r="F342" t="s">
        <v>2444</v>
      </c>
      <c r="G342" t="s">
        <v>2099</v>
      </c>
      <c r="H342" t="s">
        <v>1319</v>
      </c>
      <c r="I342" t="s">
        <v>2729</v>
      </c>
      <c r="J342" t="s">
        <v>1601</v>
      </c>
      <c r="K342" t="s">
        <v>1608</v>
      </c>
      <c r="L342" t="s">
        <v>1610</v>
      </c>
      <c r="M342" t="s">
        <v>1623</v>
      </c>
    </row>
    <row r="343" spans="1:13" x14ac:dyDescent="0.25">
      <c r="A343" t="s">
        <v>1</v>
      </c>
      <c r="B343" t="s">
        <v>305</v>
      </c>
      <c r="C343" t="s">
        <v>662</v>
      </c>
      <c r="D343" t="s">
        <v>588</v>
      </c>
      <c r="E343" t="s">
        <v>2013</v>
      </c>
      <c r="F343" t="s">
        <v>2445</v>
      </c>
      <c r="G343" t="s">
        <v>2099</v>
      </c>
      <c r="H343" t="s">
        <v>1320</v>
      </c>
      <c r="I343" t="s">
        <v>2724</v>
      </c>
      <c r="J343" t="s">
        <v>1602</v>
      </c>
      <c r="K343" t="s">
        <v>1608</v>
      </c>
      <c r="L343" t="s">
        <v>1610</v>
      </c>
      <c r="M343" t="s">
        <v>1636</v>
      </c>
    </row>
    <row r="344" spans="1:13" x14ac:dyDescent="0.25">
      <c r="A344" t="s">
        <v>1</v>
      </c>
      <c r="B344" t="s">
        <v>306</v>
      </c>
      <c r="C344" t="s">
        <v>752</v>
      </c>
      <c r="D344" t="s">
        <v>579</v>
      </c>
      <c r="E344" t="s">
        <v>2014</v>
      </c>
      <c r="F344" t="s">
        <v>2446</v>
      </c>
      <c r="G344" t="s">
        <v>2099</v>
      </c>
      <c r="H344" t="s">
        <v>1321</v>
      </c>
      <c r="I344" t="s">
        <v>2726</v>
      </c>
      <c r="J344" t="s">
        <v>1602</v>
      </c>
      <c r="K344" t="s">
        <v>1608</v>
      </c>
      <c r="L344" t="s">
        <v>1610</v>
      </c>
      <c r="M344" t="s">
        <v>1617</v>
      </c>
    </row>
    <row r="345" spans="1:13" x14ac:dyDescent="0.25">
      <c r="A345" t="s">
        <v>1</v>
      </c>
      <c r="B345" t="s">
        <v>307</v>
      </c>
      <c r="C345" t="s">
        <v>753</v>
      </c>
      <c r="D345" t="s">
        <v>632</v>
      </c>
      <c r="E345" t="s">
        <v>2015</v>
      </c>
      <c r="F345" t="s">
        <v>2447</v>
      </c>
      <c r="G345" t="s">
        <v>2099</v>
      </c>
      <c r="H345" t="s">
        <v>1322</v>
      </c>
      <c r="I345" t="s">
        <v>2727</v>
      </c>
      <c r="J345" t="s">
        <v>1600</v>
      </c>
      <c r="K345" t="s">
        <v>1608</v>
      </c>
      <c r="L345" t="s">
        <v>1610</v>
      </c>
      <c r="M345" t="s">
        <v>1619</v>
      </c>
    </row>
    <row r="346" spans="1:13" x14ac:dyDescent="0.25">
      <c r="A346" t="s">
        <v>1</v>
      </c>
      <c r="B346" t="s">
        <v>308</v>
      </c>
      <c r="C346" t="s">
        <v>538</v>
      </c>
      <c r="D346" t="s">
        <v>914</v>
      </c>
      <c r="E346" t="s">
        <v>2016</v>
      </c>
      <c r="F346" t="s">
        <v>2448</v>
      </c>
      <c r="G346" t="s">
        <v>2099</v>
      </c>
      <c r="H346" t="s">
        <v>1323</v>
      </c>
      <c r="I346" t="s">
        <v>2726</v>
      </c>
      <c r="J346" t="s">
        <v>1601</v>
      </c>
      <c r="K346" t="s">
        <v>1608</v>
      </c>
      <c r="L346" t="s">
        <v>1610</v>
      </c>
      <c r="M346" t="s">
        <v>1616</v>
      </c>
    </row>
    <row r="347" spans="1:13" x14ac:dyDescent="0.25">
      <c r="A347" t="s">
        <v>1</v>
      </c>
      <c r="B347" t="s">
        <v>309</v>
      </c>
      <c r="C347" t="s">
        <v>754</v>
      </c>
      <c r="D347" t="s">
        <v>913</v>
      </c>
      <c r="E347" t="s">
        <v>2017</v>
      </c>
      <c r="F347" t="s">
        <v>2449</v>
      </c>
      <c r="G347" t="s">
        <v>2099</v>
      </c>
      <c r="H347" t="s">
        <v>1324</v>
      </c>
      <c r="I347" t="s">
        <v>2727</v>
      </c>
      <c r="J347" t="s">
        <v>1600</v>
      </c>
      <c r="K347" t="s">
        <v>1608</v>
      </c>
      <c r="L347" t="s">
        <v>1610</v>
      </c>
      <c r="M347" t="s">
        <v>1619</v>
      </c>
    </row>
    <row r="348" spans="1:13" x14ac:dyDescent="0.25">
      <c r="A348" t="s">
        <v>1</v>
      </c>
      <c r="B348" t="s">
        <v>310</v>
      </c>
      <c r="C348" t="s">
        <v>551</v>
      </c>
      <c r="D348" t="s">
        <v>674</v>
      </c>
      <c r="E348" t="s">
        <v>2018</v>
      </c>
      <c r="F348" t="s">
        <v>2450</v>
      </c>
      <c r="G348" t="s">
        <v>2099</v>
      </c>
      <c r="H348" t="s">
        <v>1325</v>
      </c>
      <c r="I348" t="s">
        <v>2726</v>
      </c>
      <c r="J348" t="s">
        <v>1600</v>
      </c>
      <c r="K348" t="s">
        <v>1608</v>
      </c>
      <c r="L348" t="s">
        <v>1610</v>
      </c>
      <c r="M348" t="s">
        <v>1625</v>
      </c>
    </row>
    <row r="349" spans="1:13" x14ac:dyDescent="0.25">
      <c r="A349" t="s">
        <v>1</v>
      </c>
      <c r="B349" t="s">
        <v>311</v>
      </c>
      <c r="C349" t="s">
        <v>730</v>
      </c>
      <c r="D349" t="s">
        <v>915</v>
      </c>
      <c r="E349" t="s">
        <v>2019</v>
      </c>
      <c r="F349" t="s">
        <v>2451</v>
      </c>
      <c r="G349" t="s">
        <v>2099</v>
      </c>
      <c r="H349" t="s">
        <v>1326</v>
      </c>
      <c r="I349" t="s">
        <v>2729</v>
      </c>
      <c r="J349" t="s">
        <v>1601</v>
      </c>
      <c r="K349" t="s">
        <v>1608</v>
      </c>
      <c r="L349" t="s">
        <v>1610</v>
      </c>
      <c r="M349" t="s">
        <v>1623</v>
      </c>
    </row>
    <row r="350" spans="1:13" x14ac:dyDescent="0.25">
      <c r="A350" t="s">
        <v>1</v>
      </c>
      <c r="B350" t="s">
        <v>312</v>
      </c>
      <c r="C350" t="s">
        <v>622</v>
      </c>
      <c r="D350" t="s">
        <v>622</v>
      </c>
      <c r="E350" t="s">
        <v>2020</v>
      </c>
      <c r="F350" t="s">
        <v>2452</v>
      </c>
      <c r="G350" t="s">
        <v>2099</v>
      </c>
      <c r="H350" t="s">
        <v>1327</v>
      </c>
      <c r="I350" t="s">
        <v>2727</v>
      </c>
      <c r="J350" t="s">
        <v>1600</v>
      </c>
      <c r="K350" t="s">
        <v>1608</v>
      </c>
      <c r="L350" t="s">
        <v>1610</v>
      </c>
      <c r="M350" t="s">
        <v>1619</v>
      </c>
    </row>
    <row r="351" spans="1:13" x14ac:dyDescent="0.25">
      <c r="A351" t="s">
        <v>1</v>
      </c>
      <c r="B351" t="s">
        <v>313</v>
      </c>
      <c r="C351" t="s">
        <v>755</v>
      </c>
      <c r="D351" t="s">
        <v>551</v>
      </c>
      <c r="E351" t="s">
        <v>2021</v>
      </c>
      <c r="F351" t="s">
        <v>2453</v>
      </c>
      <c r="G351" t="s">
        <v>2099</v>
      </c>
      <c r="H351" t="s">
        <v>1328</v>
      </c>
      <c r="I351" t="s">
        <v>2729</v>
      </c>
      <c r="J351" t="s">
        <v>1600</v>
      </c>
      <c r="K351" t="s">
        <v>1608</v>
      </c>
      <c r="L351" t="s">
        <v>1610</v>
      </c>
      <c r="M351" t="s">
        <v>1631</v>
      </c>
    </row>
    <row r="352" spans="1:13" x14ac:dyDescent="0.25">
      <c r="A352" t="s">
        <v>1</v>
      </c>
      <c r="B352" t="s">
        <v>313</v>
      </c>
      <c r="C352" t="s">
        <v>756</v>
      </c>
      <c r="D352" t="s">
        <v>916</v>
      </c>
      <c r="E352" t="s">
        <v>2022</v>
      </c>
      <c r="F352" t="s">
        <v>2454</v>
      </c>
      <c r="G352" t="s">
        <v>2099</v>
      </c>
      <c r="H352" t="s">
        <v>1329</v>
      </c>
      <c r="I352" t="s">
        <v>2727</v>
      </c>
      <c r="J352" t="s">
        <v>1600</v>
      </c>
      <c r="K352" t="s">
        <v>1608</v>
      </c>
      <c r="L352" t="s">
        <v>1610</v>
      </c>
      <c r="M352" t="s">
        <v>1654</v>
      </c>
    </row>
    <row r="353" spans="1:13" x14ac:dyDescent="0.25">
      <c r="A353" t="s">
        <v>1</v>
      </c>
      <c r="B353" t="s">
        <v>313</v>
      </c>
      <c r="C353" t="s">
        <v>686</v>
      </c>
      <c r="D353" t="s">
        <v>917</v>
      </c>
      <c r="E353" t="s">
        <v>2023</v>
      </c>
      <c r="F353" t="s">
        <v>2455</v>
      </c>
      <c r="G353" t="s">
        <v>2099</v>
      </c>
      <c r="H353" t="s">
        <v>1330</v>
      </c>
      <c r="I353" t="s">
        <v>2731</v>
      </c>
      <c r="J353" t="s">
        <v>1600</v>
      </c>
      <c r="K353" t="s">
        <v>1608</v>
      </c>
      <c r="L353" t="s">
        <v>1610</v>
      </c>
      <c r="M353" t="s">
        <v>1633</v>
      </c>
    </row>
    <row r="354" spans="1:13" x14ac:dyDescent="0.25">
      <c r="A354" t="s">
        <v>1</v>
      </c>
      <c r="B354" t="s">
        <v>313</v>
      </c>
      <c r="C354" t="s">
        <v>757</v>
      </c>
      <c r="D354" t="s">
        <v>918</v>
      </c>
      <c r="E354" t="s">
        <v>2024</v>
      </c>
      <c r="F354" t="s">
        <v>2456</v>
      </c>
      <c r="G354" t="s">
        <v>2099</v>
      </c>
      <c r="H354" t="s">
        <v>1331</v>
      </c>
      <c r="I354" t="s">
        <v>2726</v>
      </c>
      <c r="J354" t="s">
        <v>1602</v>
      </c>
      <c r="K354" t="s">
        <v>1608</v>
      </c>
      <c r="L354" t="s">
        <v>1610</v>
      </c>
      <c r="M354" t="s">
        <v>1617</v>
      </c>
    </row>
    <row r="355" spans="1:13" x14ac:dyDescent="0.25">
      <c r="A355" t="s">
        <v>1</v>
      </c>
      <c r="B355" t="s">
        <v>314</v>
      </c>
      <c r="C355" t="s">
        <v>758</v>
      </c>
      <c r="D355" t="s">
        <v>651</v>
      </c>
      <c r="E355" t="s">
        <v>2025</v>
      </c>
      <c r="F355" t="s">
        <v>2457</v>
      </c>
      <c r="G355" t="s">
        <v>2099</v>
      </c>
      <c r="H355" t="s">
        <v>1332</v>
      </c>
      <c r="I355" t="s">
        <v>2726</v>
      </c>
      <c r="J355" t="s">
        <v>1600</v>
      </c>
      <c r="K355" t="s">
        <v>1608</v>
      </c>
      <c r="L355" t="s">
        <v>1610</v>
      </c>
      <c r="M355" t="s">
        <v>1632</v>
      </c>
    </row>
    <row r="356" spans="1:13" x14ac:dyDescent="0.25">
      <c r="A356" t="s">
        <v>1</v>
      </c>
      <c r="B356" t="s">
        <v>315</v>
      </c>
      <c r="C356" t="s">
        <v>617</v>
      </c>
      <c r="D356" t="s">
        <v>560</v>
      </c>
      <c r="E356" t="s">
        <v>2026</v>
      </c>
      <c r="F356" t="s">
        <v>2458</v>
      </c>
      <c r="G356" t="s">
        <v>2099</v>
      </c>
      <c r="H356" t="s">
        <v>1333</v>
      </c>
      <c r="I356" t="s">
        <v>2731</v>
      </c>
      <c r="J356" t="s">
        <v>1603</v>
      </c>
      <c r="K356" t="s">
        <v>1608</v>
      </c>
      <c r="L356" t="s">
        <v>1610</v>
      </c>
      <c r="M356" t="s">
        <v>1644</v>
      </c>
    </row>
    <row r="357" spans="1:13" x14ac:dyDescent="0.25">
      <c r="A357" t="s">
        <v>1</v>
      </c>
      <c r="B357" t="s">
        <v>316</v>
      </c>
      <c r="C357" t="s">
        <v>670</v>
      </c>
      <c r="D357" t="s">
        <v>886</v>
      </c>
      <c r="E357" t="s">
        <v>2027</v>
      </c>
      <c r="F357" t="s">
        <v>2459</v>
      </c>
      <c r="G357" t="s">
        <v>2099</v>
      </c>
      <c r="H357" t="s">
        <v>1334</v>
      </c>
      <c r="I357" t="s">
        <v>2727</v>
      </c>
      <c r="J357" t="s">
        <v>1600</v>
      </c>
      <c r="K357" t="s">
        <v>1608</v>
      </c>
      <c r="L357" t="s">
        <v>1610</v>
      </c>
      <c r="M357" t="s">
        <v>1654</v>
      </c>
    </row>
    <row r="358" spans="1:13" x14ac:dyDescent="0.25">
      <c r="A358" t="s">
        <v>1</v>
      </c>
      <c r="B358" t="s">
        <v>317</v>
      </c>
      <c r="C358" t="s">
        <v>592</v>
      </c>
      <c r="D358" t="s">
        <v>546</v>
      </c>
      <c r="E358" t="s">
        <v>2028</v>
      </c>
      <c r="F358" t="s">
        <v>2460</v>
      </c>
      <c r="G358" t="s">
        <v>2099</v>
      </c>
      <c r="H358" t="s">
        <v>1335</v>
      </c>
      <c r="I358" t="s">
        <v>2726</v>
      </c>
      <c r="J358" t="s">
        <v>1603</v>
      </c>
      <c r="K358" t="s">
        <v>1608</v>
      </c>
      <c r="L358" t="s">
        <v>1610</v>
      </c>
      <c r="M358" t="s">
        <v>1618</v>
      </c>
    </row>
    <row r="359" spans="1:13" x14ac:dyDescent="0.25">
      <c r="A359" t="s">
        <v>1</v>
      </c>
      <c r="B359" t="s">
        <v>318</v>
      </c>
      <c r="C359" t="s">
        <v>632</v>
      </c>
      <c r="D359" t="s">
        <v>542</v>
      </c>
      <c r="E359" t="s">
        <v>2029</v>
      </c>
      <c r="F359" t="s">
        <v>2461</v>
      </c>
      <c r="G359" t="s">
        <v>2099</v>
      </c>
      <c r="H359" t="s">
        <v>1336</v>
      </c>
      <c r="I359" t="s">
        <v>2726</v>
      </c>
      <c r="J359" t="s">
        <v>1601</v>
      </c>
      <c r="K359" t="s">
        <v>1608</v>
      </c>
      <c r="L359" t="s">
        <v>1610</v>
      </c>
      <c r="M359" t="s">
        <v>1616</v>
      </c>
    </row>
    <row r="360" spans="1:13" x14ac:dyDescent="0.25">
      <c r="A360" t="s">
        <v>1</v>
      </c>
      <c r="B360" t="s">
        <v>318</v>
      </c>
      <c r="C360" t="s">
        <v>720</v>
      </c>
      <c r="D360" t="s">
        <v>593</v>
      </c>
      <c r="E360" t="s">
        <v>2030</v>
      </c>
      <c r="F360" t="s">
        <v>2462</v>
      </c>
      <c r="G360" t="s">
        <v>2099</v>
      </c>
      <c r="H360" t="s">
        <v>1337</v>
      </c>
      <c r="I360" t="s">
        <v>2735</v>
      </c>
      <c r="J360" t="s">
        <v>1602</v>
      </c>
      <c r="K360" t="s">
        <v>1608</v>
      </c>
      <c r="L360" t="s">
        <v>1610</v>
      </c>
      <c r="M360" t="s">
        <v>1646</v>
      </c>
    </row>
    <row r="361" spans="1:13" x14ac:dyDescent="0.25">
      <c r="A361" t="s">
        <v>1</v>
      </c>
      <c r="B361" t="s">
        <v>318</v>
      </c>
      <c r="C361" t="s">
        <v>759</v>
      </c>
      <c r="D361" t="s">
        <v>793</v>
      </c>
      <c r="E361" t="s">
        <v>2031</v>
      </c>
      <c r="F361" t="s">
        <v>2463</v>
      </c>
      <c r="G361" t="s">
        <v>2099</v>
      </c>
      <c r="H361" t="s">
        <v>1338</v>
      </c>
      <c r="I361" t="s">
        <v>2726</v>
      </c>
      <c r="J361" t="s">
        <v>1602</v>
      </c>
      <c r="K361" t="s">
        <v>1608</v>
      </c>
      <c r="L361" t="s">
        <v>1610</v>
      </c>
      <c r="M361" t="s">
        <v>1617</v>
      </c>
    </row>
    <row r="362" spans="1:13" x14ac:dyDescent="0.25">
      <c r="A362" t="s">
        <v>1</v>
      </c>
      <c r="B362" t="s">
        <v>318</v>
      </c>
      <c r="C362" t="s">
        <v>760</v>
      </c>
      <c r="D362" t="s">
        <v>546</v>
      </c>
      <c r="E362" t="s">
        <v>2032</v>
      </c>
      <c r="F362" t="s">
        <v>2464</v>
      </c>
      <c r="G362" t="s">
        <v>2099</v>
      </c>
      <c r="H362" t="s">
        <v>1339</v>
      </c>
      <c r="I362" t="s">
        <v>2729</v>
      </c>
      <c r="J362" t="s">
        <v>1602</v>
      </c>
      <c r="K362" t="s">
        <v>1608</v>
      </c>
      <c r="L362" t="s">
        <v>1610</v>
      </c>
      <c r="M362" t="s">
        <v>1638</v>
      </c>
    </row>
    <row r="363" spans="1:13" x14ac:dyDescent="0.25">
      <c r="A363" t="s">
        <v>1</v>
      </c>
      <c r="B363" t="s">
        <v>318</v>
      </c>
      <c r="C363" t="s">
        <v>761</v>
      </c>
      <c r="D363" t="s">
        <v>649</v>
      </c>
      <c r="E363" t="s">
        <v>2033</v>
      </c>
      <c r="F363" t="s">
        <v>2465</v>
      </c>
      <c r="G363" t="s">
        <v>2099</v>
      </c>
      <c r="H363" t="s">
        <v>1340</v>
      </c>
      <c r="I363" t="s">
        <v>2734</v>
      </c>
      <c r="J363" t="s">
        <v>1603</v>
      </c>
      <c r="K363" t="s">
        <v>1608</v>
      </c>
      <c r="L363" t="s">
        <v>1610</v>
      </c>
      <c r="M363" t="s">
        <v>1650</v>
      </c>
    </row>
    <row r="364" spans="1:13" x14ac:dyDescent="0.25">
      <c r="A364" t="s">
        <v>1</v>
      </c>
      <c r="B364" t="s">
        <v>319</v>
      </c>
      <c r="C364" t="s">
        <v>762</v>
      </c>
      <c r="D364" t="s">
        <v>919</v>
      </c>
      <c r="E364" t="s">
        <v>2034</v>
      </c>
      <c r="F364" t="s">
        <v>2466</v>
      </c>
      <c r="G364" t="s">
        <v>2099</v>
      </c>
      <c r="H364" t="s">
        <v>1341</v>
      </c>
      <c r="I364" t="s">
        <v>2734</v>
      </c>
      <c r="J364" t="s">
        <v>1603</v>
      </c>
      <c r="K364" t="s">
        <v>1608</v>
      </c>
      <c r="L364" t="s">
        <v>1610</v>
      </c>
      <c r="M364" t="s">
        <v>1650</v>
      </c>
    </row>
    <row r="365" spans="1:13" x14ac:dyDescent="0.25">
      <c r="A365" t="s">
        <v>1</v>
      </c>
      <c r="B365" t="s">
        <v>320</v>
      </c>
      <c r="C365" t="s">
        <v>763</v>
      </c>
      <c r="D365" t="s">
        <v>592</v>
      </c>
      <c r="E365" t="s">
        <v>1755</v>
      </c>
      <c r="F365" t="s">
        <v>2467</v>
      </c>
      <c r="G365" t="s">
        <v>2099</v>
      </c>
      <c r="H365" t="s">
        <v>1342</v>
      </c>
      <c r="I365" t="s">
        <v>2730</v>
      </c>
      <c r="J365" t="s">
        <v>1600</v>
      </c>
      <c r="K365" t="s">
        <v>1607</v>
      </c>
      <c r="L365" t="s">
        <v>1610</v>
      </c>
      <c r="M365" t="s">
        <v>1642</v>
      </c>
    </row>
    <row r="366" spans="1:13" x14ac:dyDescent="0.25">
      <c r="A366" t="s">
        <v>1</v>
      </c>
      <c r="B366" t="s">
        <v>321</v>
      </c>
      <c r="C366" t="s">
        <v>764</v>
      </c>
      <c r="D366" t="s">
        <v>542</v>
      </c>
      <c r="E366" t="s">
        <v>2035</v>
      </c>
      <c r="F366" t="s">
        <v>2468</v>
      </c>
      <c r="G366" t="s">
        <v>2099</v>
      </c>
      <c r="H366" t="s">
        <v>1343</v>
      </c>
      <c r="I366" t="s">
        <v>2729</v>
      </c>
      <c r="J366" t="s">
        <v>1602</v>
      </c>
      <c r="K366" t="s">
        <v>1607</v>
      </c>
      <c r="L366" t="s">
        <v>1610</v>
      </c>
      <c r="M366" t="s">
        <v>1638</v>
      </c>
    </row>
    <row r="367" spans="1:13" x14ac:dyDescent="0.25">
      <c r="A367" t="s">
        <v>1</v>
      </c>
      <c r="B367" t="s">
        <v>322</v>
      </c>
      <c r="C367" t="s">
        <v>673</v>
      </c>
      <c r="D367" t="s">
        <v>563</v>
      </c>
      <c r="E367" t="s">
        <v>2036</v>
      </c>
      <c r="F367" t="s">
        <v>2469</v>
      </c>
      <c r="G367" t="s">
        <v>2099</v>
      </c>
      <c r="H367" t="s">
        <v>1344</v>
      </c>
      <c r="I367" t="s">
        <v>2725</v>
      </c>
      <c r="J367" t="s">
        <v>1603</v>
      </c>
      <c r="K367" t="s">
        <v>1608</v>
      </c>
      <c r="L367" t="s">
        <v>1610</v>
      </c>
      <c r="M367" t="s">
        <v>1627</v>
      </c>
    </row>
    <row r="368" spans="1:13" x14ac:dyDescent="0.25">
      <c r="A368" t="s">
        <v>1</v>
      </c>
      <c r="B368" t="s">
        <v>323</v>
      </c>
      <c r="C368" t="s">
        <v>623</v>
      </c>
      <c r="D368" t="s">
        <v>742</v>
      </c>
      <c r="E368" t="s">
        <v>2037</v>
      </c>
      <c r="F368" t="s">
        <v>2470</v>
      </c>
      <c r="G368" t="s">
        <v>2099</v>
      </c>
      <c r="H368" t="s">
        <v>1345</v>
      </c>
      <c r="I368" t="s">
        <v>2736</v>
      </c>
      <c r="J368" t="s">
        <v>1600</v>
      </c>
      <c r="K368" t="s">
        <v>1608</v>
      </c>
      <c r="L368" t="s">
        <v>1610</v>
      </c>
      <c r="M368" t="s">
        <v>1658</v>
      </c>
    </row>
    <row r="369" spans="1:13" x14ac:dyDescent="0.25">
      <c r="A369" t="s">
        <v>1</v>
      </c>
      <c r="B369" t="s">
        <v>324</v>
      </c>
      <c r="C369" t="s">
        <v>765</v>
      </c>
      <c r="D369" t="s">
        <v>920</v>
      </c>
      <c r="E369" t="s">
        <v>2038</v>
      </c>
      <c r="F369" t="s">
        <v>2471</v>
      </c>
      <c r="G369" t="s">
        <v>2099</v>
      </c>
      <c r="H369" t="s">
        <v>1346</v>
      </c>
      <c r="I369" t="s">
        <v>2729</v>
      </c>
      <c r="J369" t="s">
        <v>1602</v>
      </c>
      <c r="K369" t="s">
        <v>1607</v>
      </c>
      <c r="L369" t="s">
        <v>1610</v>
      </c>
      <c r="M369" t="s">
        <v>1638</v>
      </c>
    </row>
    <row r="370" spans="1:13" x14ac:dyDescent="0.25">
      <c r="A370" t="s">
        <v>1</v>
      </c>
      <c r="B370" t="s">
        <v>325</v>
      </c>
      <c r="C370" t="s">
        <v>533</v>
      </c>
      <c r="D370" t="s">
        <v>573</v>
      </c>
      <c r="E370" t="s">
        <v>2039</v>
      </c>
      <c r="F370" t="s">
        <v>2472</v>
      </c>
      <c r="G370" t="s">
        <v>2099</v>
      </c>
      <c r="H370" t="s">
        <v>1347</v>
      </c>
      <c r="I370" t="s">
        <v>2724</v>
      </c>
      <c r="J370" t="s">
        <v>1601</v>
      </c>
      <c r="K370" t="s">
        <v>1607</v>
      </c>
      <c r="L370" t="s">
        <v>1610</v>
      </c>
      <c r="M370" t="s">
        <v>1630</v>
      </c>
    </row>
    <row r="371" spans="1:13" x14ac:dyDescent="0.25">
      <c r="A371" t="s">
        <v>1</v>
      </c>
      <c r="B371" t="s">
        <v>326</v>
      </c>
      <c r="C371" t="s">
        <v>702</v>
      </c>
      <c r="D371" t="s">
        <v>808</v>
      </c>
      <c r="E371" t="s">
        <v>2040</v>
      </c>
      <c r="F371" t="s">
        <v>2473</v>
      </c>
      <c r="G371" t="s">
        <v>2099</v>
      </c>
      <c r="H371" t="s">
        <v>1348</v>
      </c>
      <c r="I371" t="s">
        <v>2728</v>
      </c>
      <c r="J371" t="s">
        <v>1602</v>
      </c>
      <c r="K371" t="s">
        <v>1607</v>
      </c>
      <c r="L371" t="s">
        <v>1610</v>
      </c>
      <c r="M371" t="s">
        <v>1635</v>
      </c>
    </row>
    <row r="372" spans="1:13" x14ac:dyDescent="0.25">
      <c r="A372" t="s">
        <v>1</v>
      </c>
      <c r="B372" t="s">
        <v>327</v>
      </c>
      <c r="C372" t="s">
        <v>766</v>
      </c>
      <c r="D372" t="s">
        <v>725</v>
      </c>
      <c r="E372" t="s">
        <v>2041</v>
      </c>
      <c r="F372" t="s">
        <v>2474</v>
      </c>
      <c r="G372" t="s">
        <v>2099</v>
      </c>
      <c r="H372" t="s">
        <v>1349</v>
      </c>
      <c r="I372" t="s">
        <v>2728</v>
      </c>
      <c r="J372" t="s">
        <v>1603</v>
      </c>
      <c r="K372" t="s">
        <v>1607</v>
      </c>
      <c r="L372" t="s">
        <v>1610</v>
      </c>
      <c r="M372" t="s">
        <v>1641</v>
      </c>
    </row>
    <row r="373" spans="1:13" x14ac:dyDescent="0.25">
      <c r="A373" t="s">
        <v>1</v>
      </c>
      <c r="B373" t="s">
        <v>328</v>
      </c>
      <c r="C373" t="s">
        <v>750</v>
      </c>
      <c r="D373" t="s">
        <v>593</v>
      </c>
      <c r="E373" t="s">
        <v>2042</v>
      </c>
      <c r="F373" t="s">
        <v>2475</v>
      </c>
      <c r="G373" t="s">
        <v>2099</v>
      </c>
      <c r="H373" t="s">
        <v>1350</v>
      </c>
      <c r="I373" t="s">
        <v>2726</v>
      </c>
      <c r="J373" t="s">
        <v>1600</v>
      </c>
      <c r="K373" t="s">
        <v>1608</v>
      </c>
      <c r="L373" t="s">
        <v>1610</v>
      </c>
      <c r="M373" t="s">
        <v>1625</v>
      </c>
    </row>
    <row r="374" spans="1:13" x14ac:dyDescent="0.25">
      <c r="A374" t="s">
        <v>1</v>
      </c>
      <c r="B374" t="s">
        <v>329</v>
      </c>
      <c r="C374" t="s">
        <v>767</v>
      </c>
      <c r="D374" t="s">
        <v>61</v>
      </c>
      <c r="E374" t="s">
        <v>1756</v>
      </c>
      <c r="F374" t="s">
        <v>2476</v>
      </c>
      <c r="G374" t="s">
        <v>2099</v>
      </c>
      <c r="H374" t="s">
        <v>1351</v>
      </c>
      <c r="I374" t="s">
        <v>2726</v>
      </c>
      <c r="J374" t="s">
        <v>1600</v>
      </c>
      <c r="K374" t="s">
        <v>1607</v>
      </c>
      <c r="L374" t="s">
        <v>1610</v>
      </c>
      <c r="M374" t="s">
        <v>1625</v>
      </c>
    </row>
    <row r="375" spans="1:13" x14ac:dyDescent="0.25">
      <c r="A375" t="s">
        <v>1</v>
      </c>
      <c r="B375" t="s">
        <v>330</v>
      </c>
      <c r="C375" t="s">
        <v>768</v>
      </c>
      <c r="D375" t="s">
        <v>642</v>
      </c>
      <c r="E375" t="s">
        <v>2043</v>
      </c>
      <c r="F375" t="s">
        <v>2477</v>
      </c>
      <c r="G375" t="s">
        <v>2099</v>
      </c>
      <c r="H375" t="s">
        <v>1352</v>
      </c>
      <c r="I375" t="s">
        <v>2736</v>
      </c>
      <c r="J375" t="s">
        <v>1600</v>
      </c>
      <c r="K375" t="s">
        <v>1607</v>
      </c>
      <c r="L375" t="s">
        <v>1610</v>
      </c>
      <c r="M375" t="s">
        <v>1658</v>
      </c>
    </row>
    <row r="376" spans="1:13" x14ac:dyDescent="0.25">
      <c r="A376" t="s">
        <v>1</v>
      </c>
      <c r="B376" t="s">
        <v>331</v>
      </c>
      <c r="C376" t="s">
        <v>769</v>
      </c>
      <c r="D376" t="s">
        <v>554</v>
      </c>
      <c r="E376" t="s">
        <v>2044</v>
      </c>
      <c r="F376" t="s">
        <v>2478</v>
      </c>
      <c r="G376" t="s">
        <v>2099</v>
      </c>
      <c r="H376" t="s">
        <v>1353</v>
      </c>
      <c r="I376" t="s">
        <v>2730</v>
      </c>
      <c r="J376" t="s">
        <v>1601</v>
      </c>
      <c r="K376" t="s">
        <v>1607</v>
      </c>
      <c r="L376" t="s">
        <v>1610</v>
      </c>
      <c r="M376" t="s">
        <v>1624</v>
      </c>
    </row>
    <row r="377" spans="1:13" x14ac:dyDescent="0.25">
      <c r="A377" t="s">
        <v>1</v>
      </c>
      <c r="B377" t="s">
        <v>332</v>
      </c>
      <c r="C377" t="s">
        <v>770</v>
      </c>
      <c r="D377" t="s">
        <v>772</v>
      </c>
      <c r="E377" t="s">
        <v>2045</v>
      </c>
      <c r="F377" t="s">
        <v>2479</v>
      </c>
      <c r="G377" t="s">
        <v>2099</v>
      </c>
      <c r="H377" t="s">
        <v>1354</v>
      </c>
      <c r="I377" t="s">
        <v>2726</v>
      </c>
      <c r="J377" t="s">
        <v>1603</v>
      </c>
      <c r="K377" t="s">
        <v>1607</v>
      </c>
      <c r="L377" t="s">
        <v>1610</v>
      </c>
      <c r="M377" t="s">
        <v>1618</v>
      </c>
    </row>
    <row r="378" spans="1:13" x14ac:dyDescent="0.25">
      <c r="A378" t="s">
        <v>1</v>
      </c>
      <c r="B378" t="s">
        <v>333</v>
      </c>
      <c r="C378" t="s">
        <v>535</v>
      </c>
      <c r="D378" t="s">
        <v>533</v>
      </c>
      <c r="E378" t="s">
        <v>2046</v>
      </c>
      <c r="F378" t="s">
        <v>2480</v>
      </c>
      <c r="G378" t="s">
        <v>2099</v>
      </c>
      <c r="H378" t="s">
        <v>1355</v>
      </c>
      <c r="I378" t="s">
        <v>2732</v>
      </c>
      <c r="J378" t="s">
        <v>1602</v>
      </c>
      <c r="K378" t="s">
        <v>1607</v>
      </c>
      <c r="L378" t="s">
        <v>1610</v>
      </c>
      <c r="M378" t="s">
        <v>1656</v>
      </c>
    </row>
    <row r="379" spans="1:13" x14ac:dyDescent="0.25">
      <c r="A379" t="s">
        <v>1</v>
      </c>
      <c r="B379" t="s">
        <v>334</v>
      </c>
      <c r="C379" t="s">
        <v>722</v>
      </c>
      <c r="D379" t="s">
        <v>921</v>
      </c>
      <c r="E379" t="s">
        <v>2047</v>
      </c>
      <c r="F379" t="s">
        <v>2481</v>
      </c>
      <c r="G379" t="s">
        <v>2099</v>
      </c>
      <c r="H379" t="s">
        <v>1356</v>
      </c>
      <c r="I379" t="s">
        <v>2729</v>
      </c>
      <c r="J379" t="s">
        <v>1601</v>
      </c>
      <c r="K379" t="s">
        <v>1607</v>
      </c>
      <c r="L379" t="s">
        <v>1610</v>
      </c>
      <c r="M379" t="s">
        <v>1623</v>
      </c>
    </row>
    <row r="380" spans="1:13" x14ac:dyDescent="0.25">
      <c r="A380" t="s">
        <v>1</v>
      </c>
      <c r="B380" t="s">
        <v>335</v>
      </c>
      <c r="C380" t="s">
        <v>617</v>
      </c>
      <c r="D380" t="s">
        <v>922</v>
      </c>
      <c r="E380" t="s">
        <v>2048</v>
      </c>
      <c r="F380" t="s">
        <v>2482</v>
      </c>
      <c r="G380" t="s">
        <v>2099</v>
      </c>
      <c r="H380" t="s">
        <v>1357</v>
      </c>
      <c r="I380" t="s">
        <v>2731</v>
      </c>
      <c r="J380" t="s">
        <v>1602</v>
      </c>
      <c r="K380" t="s">
        <v>1607</v>
      </c>
      <c r="L380" t="s">
        <v>1610</v>
      </c>
      <c r="M380" t="s">
        <v>1628</v>
      </c>
    </row>
    <row r="381" spans="1:13" x14ac:dyDescent="0.25">
      <c r="A381" t="s">
        <v>1</v>
      </c>
      <c r="B381" t="s">
        <v>336</v>
      </c>
      <c r="C381" t="s">
        <v>608</v>
      </c>
      <c r="D381" t="s">
        <v>546</v>
      </c>
      <c r="E381" t="s">
        <v>2049</v>
      </c>
      <c r="F381" t="s">
        <v>2483</v>
      </c>
      <c r="G381" t="s">
        <v>2099</v>
      </c>
      <c r="H381" t="s">
        <v>1358</v>
      </c>
      <c r="I381" t="s">
        <v>2724</v>
      </c>
      <c r="J381" t="s">
        <v>1603</v>
      </c>
      <c r="K381" t="s">
        <v>1607</v>
      </c>
      <c r="L381" t="s">
        <v>1610</v>
      </c>
      <c r="M381" t="s">
        <v>1643</v>
      </c>
    </row>
    <row r="382" spans="1:13" x14ac:dyDescent="0.25">
      <c r="A382" t="s">
        <v>1</v>
      </c>
      <c r="B382" t="s">
        <v>337</v>
      </c>
      <c r="C382" t="s">
        <v>625</v>
      </c>
      <c r="D382" t="s">
        <v>923</v>
      </c>
      <c r="E382" t="s">
        <v>2050</v>
      </c>
      <c r="F382" t="s">
        <v>2484</v>
      </c>
      <c r="G382" t="s">
        <v>2099</v>
      </c>
      <c r="H382" t="s">
        <v>1359</v>
      </c>
      <c r="I382" t="s">
        <v>2733</v>
      </c>
      <c r="J382" t="s">
        <v>1603</v>
      </c>
      <c r="K382" t="s">
        <v>1607</v>
      </c>
      <c r="L382" t="s">
        <v>1610</v>
      </c>
      <c r="M382" t="s">
        <v>1639</v>
      </c>
    </row>
    <row r="383" spans="1:13" x14ac:dyDescent="0.25">
      <c r="A383" t="s">
        <v>1</v>
      </c>
      <c r="B383" t="s">
        <v>338</v>
      </c>
      <c r="C383" t="s">
        <v>771</v>
      </c>
      <c r="D383" t="s">
        <v>674</v>
      </c>
      <c r="E383" t="s">
        <v>1757</v>
      </c>
      <c r="F383" t="s">
        <v>2485</v>
      </c>
      <c r="G383" t="s">
        <v>2099</v>
      </c>
      <c r="H383" t="s">
        <v>1360</v>
      </c>
      <c r="I383" t="s">
        <v>2727</v>
      </c>
      <c r="J383" t="s">
        <v>1600</v>
      </c>
      <c r="K383" t="s">
        <v>1607</v>
      </c>
      <c r="L383" t="s">
        <v>1610</v>
      </c>
      <c r="M383" t="s">
        <v>1619</v>
      </c>
    </row>
    <row r="384" spans="1:13" x14ac:dyDescent="0.25">
      <c r="A384" t="s">
        <v>1</v>
      </c>
      <c r="B384" t="s">
        <v>339</v>
      </c>
      <c r="C384" t="s">
        <v>651</v>
      </c>
      <c r="D384" t="s">
        <v>924</v>
      </c>
      <c r="E384" t="s">
        <v>2051</v>
      </c>
      <c r="F384" t="s">
        <v>2486</v>
      </c>
      <c r="G384" t="s">
        <v>2099</v>
      </c>
      <c r="H384" t="s">
        <v>1361</v>
      </c>
      <c r="I384" t="s">
        <v>2730</v>
      </c>
      <c r="J384" t="s">
        <v>1601</v>
      </c>
      <c r="K384" t="s">
        <v>1607</v>
      </c>
      <c r="L384" t="s">
        <v>1610</v>
      </c>
      <c r="M384" t="s">
        <v>1624</v>
      </c>
    </row>
    <row r="385" spans="1:13" x14ac:dyDescent="0.25">
      <c r="A385" t="s">
        <v>1</v>
      </c>
      <c r="B385" t="s">
        <v>340</v>
      </c>
      <c r="C385" t="s">
        <v>772</v>
      </c>
      <c r="D385" t="s">
        <v>757</v>
      </c>
      <c r="E385" t="s">
        <v>1758</v>
      </c>
      <c r="F385" t="s">
        <v>2487</v>
      </c>
      <c r="G385" t="s">
        <v>2099</v>
      </c>
      <c r="H385" t="s">
        <v>1362</v>
      </c>
      <c r="I385" t="s">
        <v>2727</v>
      </c>
      <c r="J385" t="s">
        <v>1600</v>
      </c>
      <c r="K385" t="s">
        <v>1608</v>
      </c>
      <c r="L385" t="s">
        <v>1610</v>
      </c>
      <c r="M385" t="s">
        <v>1619</v>
      </c>
    </row>
    <row r="386" spans="1:13" x14ac:dyDescent="0.25">
      <c r="A386" t="s">
        <v>1</v>
      </c>
      <c r="B386" t="s">
        <v>341</v>
      </c>
      <c r="C386" t="s">
        <v>579</v>
      </c>
      <c r="D386" t="s">
        <v>769</v>
      </c>
      <c r="E386" t="s">
        <v>2052</v>
      </c>
      <c r="F386" t="s">
        <v>2488</v>
      </c>
      <c r="G386" t="s">
        <v>2099</v>
      </c>
      <c r="H386" t="s">
        <v>1363</v>
      </c>
      <c r="I386" t="s">
        <v>2727</v>
      </c>
      <c r="J386" t="s">
        <v>1600</v>
      </c>
      <c r="K386" t="s">
        <v>1608</v>
      </c>
      <c r="L386" t="s">
        <v>1610</v>
      </c>
      <c r="M386" t="s">
        <v>1619</v>
      </c>
    </row>
    <row r="387" spans="1:13" x14ac:dyDescent="0.25">
      <c r="A387" t="s">
        <v>1</v>
      </c>
      <c r="B387" t="s">
        <v>342</v>
      </c>
      <c r="C387" t="s">
        <v>546</v>
      </c>
      <c r="D387" t="s">
        <v>925</v>
      </c>
      <c r="E387" t="s">
        <v>2053</v>
      </c>
      <c r="F387" t="s">
        <v>2489</v>
      </c>
      <c r="G387" t="s">
        <v>2099</v>
      </c>
      <c r="H387" t="s">
        <v>1364</v>
      </c>
      <c r="I387" t="s">
        <v>2726</v>
      </c>
      <c r="J387" t="s">
        <v>1600</v>
      </c>
      <c r="K387" t="s">
        <v>1608</v>
      </c>
      <c r="L387" t="s">
        <v>1610</v>
      </c>
      <c r="M387" t="s">
        <v>1632</v>
      </c>
    </row>
    <row r="388" spans="1:13" x14ac:dyDescent="0.25">
      <c r="A388" t="s">
        <v>1</v>
      </c>
      <c r="B388" t="s">
        <v>343</v>
      </c>
      <c r="C388" t="s">
        <v>773</v>
      </c>
      <c r="D388" t="s">
        <v>664</v>
      </c>
      <c r="E388" t="s">
        <v>2054</v>
      </c>
      <c r="F388" t="s">
        <v>2490</v>
      </c>
      <c r="G388" t="s">
        <v>2099</v>
      </c>
      <c r="H388" t="s">
        <v>1365</v>
      </c>
      <c r="I388" t="s">
        <v>2731</v>
      </c>
      <c r="J388" t="s">
        <v>1600</v>
      </c>
      <c r="K388" t="s">
        <v>1608</v>
      </c>
      <c r="L388" t="s">
        <v>1610</v>
      </c>
      <c r="M388" t="s">
        <v>1633</v>
      </c>
    </row>
    <row r="389" spans="1:13" x14ac:dyDescent="0.25">
      <c r="A389" t="s">
        <v>1</v>
      </c>
      <c r="B389" t="s">
        <v>344</v>
      </c>
      <c r="C389" t="s">
        <v>691</v>
      </c>
      <c r="D389" t="s">
        <v>622</v>
      </c>
      <c r="E389" t="s">
        <v>2055</v>
      </c>
      <c r="F389" t="s">
        <v>2491</v>
      </c>
      <c r="G389" t="s">
        <v>2099</v>
      </c>
      <c r="H389" t="s">
        <v>1366</v>
      </c>
      <c r="I389" t="s">
        <v>2730</v>
      </c>
      <c r="J389" t="s">
        <v>1602</v>
      </c>
      <c r="K389" t="s">
        <v>1608</v>
      </c>
      <c r="L389" t="s">
        <v>1610</v>
      </c>
      <c r="M389" t="s">
        <v>1626</v>
      </c>
    </row>
    <row r="390" spans="1:13" x14ac:dyDescent="0.25">
      <c r="A390" t="s">
        <v>1</v>
      </c>
      <c r="B390" t="s">
        <v>345</v>
      </c>
      <c r="C390" t="s">
        <v>766</v>
      </c>
      <c r="D390" t="s">
        <v>608</v>
      </c>
      <c r="E390" t="s">
        <v>2056</v>
      </c>
      <c r="F390" t="s">
        <v>2492</v>
      </c>
      <c r="G390" t="s">
        <v>2099</v>
      </c>
      <c r="H390" t="s">
        <v>1367</v>
      </c>
      <c r="I390" t="s">
        <v>2726</v>
      </c>
      <c r="J390" t="s">
        <v>1602</v>
      </c>
      <c r="K390" t="s">
        <v>1608</v>
      </c>
      <c r="L390" t="s">
        <v>1610</v>
      </c>
      <c r="M390" t="s">
        <v>1617</v>
      </c>
    </row>
    <row r="391" spans="1:13" x14ac:dyDescent="0.25">
      <c r="A391" t="s">
        <v>1</v>
      </c>
      <c r="B391" t="s">
        <v>346</v>
      </c>
      <c r="C391" t="s">
        <v>774</v>
      </c>
      <c r="D391" t="s">
        <v>593</v>
      </c>
      <c r="E391" t="s">
        <v>2057</v>
      </c>
      <c r="F391" t="s">
        <v>2493</v>
      </c>
      <c r="G391" t="s">
        <v>2099</v>
      </c>
      <c r="H391" t="s">
        <v>1368</v>
      </c>
      <c r="I391" t="s">
        <v>2730</v>
      </c>
      <c r="J391" t="s">
        <v>1600</v>
      </c>
      <c r="K391" t="s">
        <v>1607</v>
      </c>
      <c r="L391" t="s">
        <v>1610</v>
      </c>
      <c r="M391" t="s">
        <v>1642</v>
      </c>
    </row>
    <row r="392" spans="1:13" x14ac:dyDescent="0.25">
      <c r="A392" t="s">
        <v>1</v>
      </c>
      <c r="B392" t="s">
        <v>347</v>
      </c>
      <c r="C392" t="s">
        <v>616</v>
      </c>
      <c r="D392" t="s">
        <v>926</v>
      </c>
      <c r="E392" t="s">
        <v>2058</v>
      </c>
      <c r="F392" t="s">
        <v>2494</v>
      </c>
      <c r="G392" t="s">
        <v>2099</v>
      </c>
      <c r="H392" t="s">
        <v>1369</v>
      </c>
      <c r="I392" t="s">
        <v>2728</v>
      </c>
      <c r="J392" t="s">
        <v>1601</v>
      </c>
      <c r="K392" t="s">
        <v>1607</v>
      </c>
      <c r="L392" t="s">
        <v>1610</v>
      </c>
      <c r="M392" t="s">
        <v>1634</v>
      </c>
    </row>
    <row r="393" spans="1:13" x14ac:dyDescent="0.25">
      <c r="A393" t="s">
        <v>1</v>
      </c>
      <c r="B393" t="s">
        <v>348</v>
      </c>
      <c r="C393" t="s">
        <v>649</v>
      </c>
      <c r="D393" t="s">
        <v>538</v>
      </c>
      <c r="E393" t="s">
        <v>2059</v>
      </c>
      <c r="F393" t="s">
        <v>2495</v>
      </c>
      <c r="G393" t="s">
        <v>2099</v>
      </c>
      <c r="H393" t="s">
        <v>1370</v>
      </c>
      <c r="I393" t="s">
        <v>2726</v>
      </c>
      <c r="J393" t="s">
        <v>1603</v>
      </c>
      <c r="K393" t="s">
        <v>1607</v>
      </c>
      <c r="L393" t="s">
        <v>1610</v>
      </c>
      <c r="M393" t="s">
        <v>1618</v>
      </c>
    </row>
    <row r="394" spans="1:13" x14ac:dyDescent="0.25">
      <c r="A394" t="s">
        <v>1</v>
      </c>
      <c r="B394" t="s">
        <v>349</v>
      </c>
      <c r="C394" t="s">
        <v>610</v>
      </c>
      <c r="D394" t="s">
        <v>845</v>
      </c>
      <c r="E394" t="s">
        <v>2060</v>
      </c>
      <c r="F394" t="s">
        <v>2496</v>
      </c>
      <c r="G394" t="s">
        <v>2099</v>
      </c>
      <c r="H394" t="s">
        <v>1371</v>
      </c>
      <c r="I394" t="s">
        <v>2731</v>
      </c>
      <c r="J394" t="s">
        <v>1601</v>
      </c>
      <c r="K394" t="s">
        <v>1607</v>
      </c>
      <c r="L394" t="s">
        <v>1610</v>
      </c>
      <c r="M394" t="s">
        <v>1645</v>
      </c>
    </row>
    <row r="395" spans="1:13" x14ac:dyDescent="0.25">
      <c r="A395" t="s">
        <v>1</v>
      </c>
      <c r="B395" t="s">
        <v>350</v>
      </c>
      <c r="C395" t="s">
        <v>775</v>
      </c>
      <c r="D395" t="s">
        <v>551</v>
      </c>
      <c r="E395" t="s">
        <v>2061</v>
      </c>
      <c r="F395" t="s">
        <v>2497</v>
      </c>
      <c r="G395" t="s">
        <v>2099</v>
      </c>
      <c r="H395" t="s">
        <v>1372</v>
      </c>
      <c r="I395" t="s">
        <v>2726</v>
      </c>
      <c r="J395" t="s">
        <v>1601</v>
      </c>
      <c r="K395" t="s">
        <v>1607</v>
      </c>
      <c r="L395" t="s">
        <v>1610</v>
      </c>
      <c r="M395" t="s">
        <v>1616</v>
      </c>
    </row>
    <row r="396" spans="1:13" x14ac:dyDescent="0.25">
      <c r="A396" t="s">
        <v>1</v>
      </c>
      <c r="B396" t="s">
        <v>351</v>
      </c>
      <c r="C396" t="s">
        <v>585</v>
      </c>
      <c r="D396" t="s">
        <v>927</v>
      </c>
      <c r="E396" t="s">
        <v>2062</v>
      </c>
      <c r="F396" t="s">
        <v>2498</v>
      </c>
      <c r="G396" t="s">
        <v>2099</v>
      </c>
      <c r="H396" t="s">
        <v>1373</v>
      </c>
      <c r="I396" t="s">
        <v>2732</v>
      </c>
      <c r="J396" t="s">
        <v>1602</v>
      </c>
      <c r="K396" t="s">
        <v>1607</v>
      </c>
      <c r="L396" t="s">
        <v>1610</v>
      </c>
      <c r="M396" t="s">
        <v>1656</v>
      </c>
    </row>
    <row r="397" spans="1:13" x14ac:dyDescent="0.25">
      <c r="A397" t="s">
        <v>1</v>
      </c>
      <c r="B397" t="s">
        <v>352</v>
      </c>
      <c r="C397" t="s">
        <v>533</v>
      </c>
      <c r="D397" t="s">
        <v>704</v>
      </c>
      <c r="E397" t="s">
        <v>1759</v>
      </c>
      <c r="F397" t="s">
        <v>2499</v>
      </c>
      <c r="G397" t="s">
        <v>2099</v>
      </c>
      <c r="H397" t="s">
        <v>1374</v>
      </c>
      <c r="I397" t="s">
        <v>2725</v>
      </c>
      <c r="J397" t="s">
        <v>1601</v>
      </c>
      <c r="K397" t="s">
        <v>1607</v>
      </c>
      <c r="L397" t="s">
        <v>1610</v>
      </c>
      <c r="M397" t="s">
        <v>1615</v>
      </c>
    </row>
    <row r="398" spans="1:13" x14ac:dyDescent="0.25">
      <c r="A398" t="s">
        <v>1</v>
      </c>
      <c r="B398" t="s">
        <v>353</v>
      </c>
      <c r="C398" t="s">
        <v>541</v>
      </c>
      <c r="D398" t="s">
        <v>928</v>
      </c>
      <c r="E398" t="s">
        <v>1760</v>
      </c>
      <c r="F398" t="s">
        <v>2500</v>
      </c>
      <c r="G398" t="s">
        <v>2099</v>
      </c>
      <c r="H398" t="s">
        <v>1375</v>
      </c>
      <c r="I398" t="s">
        <v>2727</v>
      </c>
      <c r="J398" t="s">
        <v>1600</v>
      </c>
      <c r="K398" t="s">
        <v>1608</v>
      </c>
      <c r="L398" t="s">
        <v>1610</v>
      </c>
      <c r="M398" t="s">
        <v>1654</v>
      </c>
    </row>
    <row r="399" spans="1:13" x14ac:dyDescent="0.25">
      <c r="A399" t="s">
        <v>1</v>
      </c>
      <c r="B399" t="s">
        <v>353</v>
      </c>
      <c r="C399" t="s">
        <v>776</v>
      </c>
      <c r="D399" t="s">
        <v>929</v>
      </c>
      <c r="E399" t="s">
        <v>1761</v>
      </c>
      <c r="F399" t="s">
        <v>2501</v>
      </c>
      <c r="G399" t="s">
        <v>2099</v>
      </c>
      <c r="H399" t="s">
        <v>1376</v>
      </c>
      <c r="I399" t="s">
        <v>2729</v>
      </c>
      <c r="J399" t="s">
        <v>1600</v>
      </c>
      <c r="K399" t="s">
        <v>1608</v>
      </c>
      <c r="L399" t="s">
        <v>1610</v>
      </c>
      <c r="M399" t="s">
        <v>1631</v>
      </c>
    </row>
    <row r="400" spans="1:13" x14ac:dyDescent="0.25">
      <c r="A400" t="s">
        <v>1</v>
      </c>
      <c r="B400" t="s">
        <v>354</v>
      </c>
      <c r="C400" t="s">
        <v>547</v>
      </c>
      <c r="D400" t="s">
        <v>642</v>
      </c>
      <c r="E400" t="s">
        <v>2063</v>
      </c>
      <c r="F400" t="s">
        <v>2502</v>
      </c>
      <c r="G400" t="s">
        <v>2099</v>
      </c>
      <c r="H400" t="s">
        <v>1377</v>
      </c>
      <c r="I400" t="s">
        <v>2729</v>
      </c>
      <c r="J400" t="s">
        <v>1600</v>
      </c>
      <c r="K400" t="s">
        <v>1608</v>
      </c>
      <c r="L400" t="s">
        <v>1610</v>
      </c>
      <c r="M400" t="s">
        <v>1631</v>
      </c>
    </row>
    <row r="401" spans="1:13" x14ac:dyDescent="0.25">
      <c r="A401" t="s">
        <v>1</v>
      </c>
      <c r="B401" t="s">
        <v>355</v>
      </c>
      <c r="C401" t="s">
        <v>777</v>
      </c>
      <c r="D401" t="s">
        <v>746</v>
      </c>
      <c r="E401" t="s">
        <v>2064</v>
      </c>
      <c r="F401" t="s">
        <v>2503</v>
      </c>
      <c r="G401" t="s">
        <v>2099</v>
      </c>
      <c r="H401" t="s">
        <v>1378</v>
      </c>
      <c r="I401" t="s">
        <v>2726</v>
      </c>
      <c r="J401" t="s">
        <v>1602</v>
      </c>
      <c r="K401" t="s">
        <v>1608</v>
      </c>
      <c r="L401" t="s">
        <v>1610</v>
      </c>
      <c r="M401" t="s">
        <v>1617</v>
      </c>
    </row>
    <row r="402" spans="1:13" x14ac:dyDescent="0.25">
      <c r="A402" t="s">
        <v>1</v>
      </c>
      <c r="B402" t="s">
        <v>356</v>
      </c>
      <c r="C402" t="s">
        <v>778</v>
      </c>
      <c r="D402" t="s">
        <v>532</v>
      </c>
      <c r="E402" t="s">
        <v>2065</v>
      </c>
      <c r="F402" t="s">
        <v>2504</v>
      </c>
      <c r="G402" t="s">
        <v>2099</v>
      </c>
      <c r="H402" t="s">
        <v>1379</v>
      </c>
      <c r="I402" t="s">
        <v>2732</v>
      </c>
      <c r="J402" t="s">
        <v>1602</v>
      </c>
      <c r="K402" t="s">
        <v>1608</v>
      </c>
      <c r="L402" t="s">
        <v>1610</v>
      </c>
      <c r="M402" t="s">
        <v>1656</v>
      </c>
    </row>
    <row r="403" spans="1:13" x14ac:dyDescent="0.25">
      <c r="A403" t="s">
        <v>1</v>
      </c>
      <c r="B403" t="s">
        <v>357</v>
      </c>
      <c r="C403" t="s">
        <v>779</v>
      </c>
      <c r="D403" t="s">
        <v>542</v>
      </c>
      <c r="E403" t="s">
        <v>2066</v>
      </c>
      <c r="F403" t="s">
        <v>2505</v>
      </c>
      <c r="G403" t="s">
        <v>2099</v>
      </c>
      <c r="H403" t="s">
        <v>1380</v>
      </c>
      <c r="I403" t="s">
        <v>2729</v>
      </c>
      <c r="J403" t="s">
        <v>1602</v>
      </c>
      <c r="K403" t="s">
        <v>1607</v>
      </c>
      <c r="L403" t="s">
        <v>1610</v>
      </c>
      <c r="M403" t="s">
        <v>1638</v>
      </c>
    </row>
    <row r="404" spans="1:13" x14ac:dyDescent="0.25">
      <c r="A404" t="s">
        <v>1</v>
      </c>
      <c r="B404" t="s">
        <v>358</v>
      </c>
      <c r="C404" t="s">
        <v>739</v>
      </c>
      <c r="D404" t="s">
        <v>930</v>
      </c>
      <c r="E404" t="s">
        <v>2067</v>
      </c>
      <c r="F404" t="s">
        <v>2506</v>
      </c>
      <c r="G404" t="s">
        <v>2099</v>
      </c>
      <c r="H404" t="s">
        <v>1381</v>
      </c>
      <c r="I404" t="s">
        <v>2724</v>
      </c>
      <c r="J404" t="s">
        <v>1603</v>
      </c>
      <c r="K404" t="s">
        <v>1607</v>
      </c>
      <c r="L404" t="s">
        <v>1610</v>
      </c>
      <c r="M404" t="s">
        <v>1643</v>
      </c>
    </row>
    <row r="405" spans="1:13" x14ac:dyDescent="0.25">
      <c r="A405" t="s">
        <v>1</v>
      </c>
      <c r="B405" t="s">
        <v>359</v>
      </c>
      <c r="C405" t="s">
        <v>780</v>
      </c>
      <c r="D405" t="s">
        <v>664</v>
      </c>
      <c r="E405" t="s">
        <v>1762</v>
      </c>
      <c r="F405" t="s">
        <v>2507</v>
      </c>
      <c r="G405" t="s">
        <v>2099</v>
      </c>
      <c r="H405" t="s">
        <v>1382</v>
      </c>
      <c r="I405" t="s">
        <v>2733</v>
      </c>
      <c r="J405" t="s">
        <v>1603</v>
      </c>
      <c r="K405" t="s">
        <v>1608</v>
      </c>
      <c r="L405" t="s">
        <v>1610</v>
      </c>
      <c r="M405" t="s">
        <v>1639</v>
      </c>
    </row>
    <row r="406" spans="1:13" x14ac:dyDescent="0.25">
      <c r="A406" t="s">
        <v>1</v>
      </c>
      <c r="B406" t="s">
        <v>360</v>
      </c>
      <c r="C406" t="s">
        <v>629</v>
      </c>
      <c r="D406" t="s">
        <v>552</v>
      </c>
      <c r="E406" t="s">
        <v>1763</v>
      </c>
      <c r="F406" t="s">
        <v>2508</v>
      </c>
      <c r="G406" t="s">
        <v>2099</v>
      </c>
      <c r="H406" t="s">
        <v>1383</v>
      </c>
      <c r="I406" t="s">
        <v>2726</v>
      </c>
      <c r="J406" t="s">
        <v>1602</v>
      </c>
      <c r="K406" t="s">
        <v>1607</v>
      </c>
      <c r="L406" t="s">
        <v>1610</v>
      </c>
      <c r="M406" t="s">
        <v>1617</v>
      </c>
    </row>
    <row r="407" spans="1:13" x14ac:dyDescent="0.25">
      <c r="A407" t="s">
        <v>1</v>
      </c>
      <c r="B407" t="s">
        <v>361</v>
      </c>
      <c r="C407" t="s">
        <v>778</v>
      </c>
      <c r="D407" t="s">
        <v>532</v>
      </c>
      <c r="E407" t="s">
        <v>2068</v>
      </c>
      <c r="F407" t="s">
        <v>2509</v>
      </c>
      <c r="G407" t="s">
        <v>2099</v>
      </c>
      <c r="H407" t="s">
        <v>1384</v>
      </c>
      <c r="I407" t="s">
        <v>2724</v>
      </c>
      <c r="J407" t="s">
        <v>1602</v>
      </c>
      <c r="K407" t="s">
        <v>1607</v>
      </c>
      <c r="L407" t="s">
        <v>1610</v>
      </c>
      <c r="M407" t="s">
        <v>1636</v>
      </c>
    </row>
    <row r="408" spans="1:13" x14ac:dyDescent="0.25">
      <c r="A408" t="s">
        <v>1</v>
      </c>
      <c r="B408" t="s">
        <v>362</v>
      </c>
      <c r="C408" t="s">
        <v>718</v>
      </c>
      <c r="D408" t="s">
        <v>931</v>
      </c>
      <c r="E408" t="s">
        <v>2069</v>
      </c>
      <c r="F408" t="s">
        <v>2510</v>
      </c>
      <c r="G408" t="s">
        <v>2099</v>
      </c>
      <c r="H408" t="s">
        <v>1385</v>
      </c>
      <c r="I408" t="s">
        <v>2724</v>
      </c>
      <c r="J408" t="s">
        <v>1603</v>
      </c>
      <c r="K408" t="s">
        <v>1607</v>
      </c>
      <c r="L408" t="s">
        <v>1610</v>
      </c>
      <c r="M408" t="s">
        <v>1643</v>
      </c>
    </row>
    <row r="409" spans="1:13" x14ac:dyDescent="0.25">
      <c r="A409" t="s">
        <v>1</v>
      </c>
      <c r="B409" t="s">
        <v>363</v>
      </c>
      <c r="C409" t="s">
        <v>532</v>
      </c>
      <c r="D409" t="s">
        <v>932</v>
      </c>
      <c r="E409" t="s">
        <v>1764</v>
      </c>
      <c r="F409" t="s">
        <v>2511</v>
      </c>
      <c r="G409" t="s">
        <v>2099</v>
      </c>
      <c r="H409" t="s">
        <v>1386</v>
      </c>
      <c r="I409" t="s">
        <v>2726</v>
      </c>
      <c r="J409" t="s">
        <v>1602</v>
      </c>
      <c r="K409" t="s">
        <v>1607</v>
      </c>
      <c r="L409" t="s">
        <v>1610</v>
      </c>
      <c r="M409" t="s">
        <v>1617</v>
      </c>
    </row>
    <row r="410" spans="1:13" x14ac:dyDescent="0.25">
      <c r="A410" t="s">
        <v>1</v>
      </c>
      <c r="B410" t="s">
        <v>364</v>
      </c>
      <c r="C410" t="s">
        <v>531</v>
      </c>
      <c r="D410" t="s">
        <v>579</v>
      </c>
      <c r="E410" t="s">
        <v>1765</v>
      </c>
      <c r="F410" t="s">
        <v>2512</v>
      </c>
      <c r="G410" t="s">
        <v>2099</v>
      </c>
      <c r="H410" t="s">
        <v>1387</v>
      </c>
      <c r="I410" t="s">
        <v>2734</v>
      </c>
      <c r="J410" t="s">
        <v>1603</v>
      </c>
      <c r="K410" t="s">
        <v>1607</v>
      </c>
      <c r="L410" t="s">
        <v>1610</v>
      </c>
      <c r="M410" t="s">
        <v>1650</v>
      </c>
    </row>
    <row r="411" spans="1:13" x14ac:dyDescent="0.25">
      <c r="A411" t="s">
        <v>1</v>
      </c>
      <c r="B411" t="s">
        <v>365</v>
      </c>
      <c r="C411" t="s">
        <v>781</v>
      </c>
      <c r="D411" t="s">
        <v>579</v>
      </c>
      <c r="E411" t="s">
        <v>2070</v>
      </c>
      <c r="F411" t="s">
        <v>2513</v>
      </c>
      <c r="G411" t="s">
        <v>2099</v>
      </c>
      <c r="H411" t="s">
        <v>1388</v>
      </c>
      <c r="I411" t="s">
        <v>2726</v>
      </c>
      <c r="J411" t="s">
        <v>1600</v>
      </c>
      <c r="K411" t="s">
        <v>1608</v>
      </c>
      <c r="L411" t="s">
        <v>1610</v>
      </c>
      <c r="M411" t="s">
        <v>1625</v>
      </c>
    </row>
    <row r="412" spans="1:13" x14ac:dyDescent="0.25">
      <c r="A412" t="s">
        <v>1</v>
      </c>
      <c r="B412" t="s">
        <v>366</v>
      </c>
      <c r="C412" t="s">
        <v>593</v>
      </c>
      <c r="D412" t="s">
        <v>593</v>
      </c>
      <c r="E412" t="s">
        <v>2071</v>
      </c>
      <c r="F412" t="s">
        <v>2514</v>
      </c>
      <c r="G412" t="s">
        <v>2099</v>
      </c>
      <c r="H412" t="s">
        <v>1389</v>
      </c>
      <c r="I412" t="s">
        <v>2730</v>
      </c>
      <c r="J412" t="s">
        <v>1600</v>
      </c>
      <c r="K412" t="s">
        <v>1608</v>
      </c>
      <c r="L412" t="s">
        <v>1610</v>
      </c>
      <c r="M412" t="s">
        <v>1642</v>
      </c>
    </row>
    <row r="413" spans="1:13" x14ac:dyDescent="0.25">
      <c r="A413" t="s">
        <v>1</v>
      </c>
      <c r="B413" t="s">
        <v>367</v>
      </c>
      <c r="C413" t="s">
        <v>782</v>
      </c>
      <c r="D413" t="s">
        <v>673</v>
      </c>
      <c r="E413" t="s">
        <v>2072</v>
      </c>
      <c r="F413" t="s">
        <v>2515</v>
      </c>
      <c r="G413" t="s">
        <v>2099</v>
      </c>
      <c r="H413" t="s">
        <v>1390</v>
      </c>
      <c r="I413" t="s">
        <v>2726</v>
      </c>
      <c r="J413" t="s">
        <v>1600</v>
      </c>
      <c r="K413" t="s">
        <v>1608</v>
      </c>
      <c r="L413" t="s">
        <v>1610</v>
      </c>
      <c r="M413" t="s">
        <v>1632</v>
      </c>
    </row>
    <row r="414" spans="1:13" x14ac:dyDescent="0.25">
      <c r="A414" t="s">
        <v>1</v>
      </c>
      <c r="B414" t="s">
        <v>367</v>
      </c>
      <c r="C414" t="s">
        <v>783</v>
      </c>
      <c r="D414" t="s">
        <v>651</v>
      </c>
      <c r="E414" t="s">
        <v>2073</v>
      </c>
      <c r="F414" t="s">
        <v>2516</v>
      </c>
      <c r="G414" t="s">
        <v>2099</v>
      </c>
      <c r="H414" t="s">
        <v>1391</v>
      </c>
      <c r="I414" t="s">
        <v>2727</v>
      </c>
      <c r="J414" t="s">
        <v>1601</v>
      </c>
      <c r="K414" t="s">
        <v>1608</v>
      </c>
      <c r="L414" t="s">
        <v>1610</v>
      </c>
      <c r="M414" t="s">
        <v>1629</v>
      </c>
    </row>
    <row r="415" spans="1:13" x14ac:dyDescent="0.25">
      <c r="A415" t="s">
        <v>1</v>
      </c>
      <c r="B415" t="s">
        <v>368</v>
      </c>
      <c r="C415" t="s">
        <v>644</v>
      </c>
      <c r="D415" t="s">
        <v>927</v>
      </c>
      <c r="E415" t="s">
        <v>2074</v>
      </c>
      <c r="F415" t="s">
        <v>2517</v>
      </c>
      <c r="G415" t="s">
        <v>2099</v>
      </c>
      <c r="H415" t="s">
        <v>1392</v>
      </c>
      <c r="I415" t="s">
        <v>2727</v>
      </c>
      <c r="J415" t="s">
        <v>1600</v>
      </c>
      <c r="K415" t="s">
        <v>1608</v>
      </c>
      <c r="L415" t="s">
        <v>1610</v>
      </c>
      <c r="M415" t="s">
        <v>1654</v>
      </c>
    </row>
    <row r="416" spans="1:13" x14ac:dyDescent="0.25">
      <c r="A416" t="s">
        <v>1</v>
      </c>
      <c r="B416" t="s">
        <v>369</v>
      </c>
      <c r="C416" t="s">
        <v>674</v>
      </c>
      <c r="D416" t="s">
        <v>539</v>
      </c>
      <c r="E416" t="s">
        <v>2075</v>
      </c>
      <c r="F416" t="s">
        <v>2518</v>
      </c>
      <c r="G416" t="s">
        <v>2099</v>
      </c>
      <c r="H416" t="s">
        <v>1393</v>
      </c>
      <c r="I416" t="s">
        <v>2731</v>
      </c>
      <c r="J416" t="s">
        <v>1601</v>
      </c>
      <c r="K416" t="s">
        <v>1608</v>
      </c>
      <c r="L416" t="s">
        <v>1610</v>
      </c>
      <c r="M416" t="s">
        <v>1645</v>
      </c>
    </row>
    <row r="417" spans="1:13" x14ac:dyDescent="0.25">
      <c r="A417" t="s">
        <v>1</v>
      </c>
      <c r="B417" t="s">
        <v>369</v>
      </c>
      <c r="C417" t="s">
        <v>773</v>
      </c>
      <c r="D417" t="s">
        <v>933</v>
      </c>
      <c r="E417" t="s">
        <v>2076</v>
      </c>
      <c r="F417" t="s">
        <v>2519</v>
      </c>
      <c r="G417" t="s">
        <v>2099</v>
      </c>
      <c r="H417" t="s">
        <v>1394</v>
      </c>
      <c r="I417" t="s">
        <v>2732</v>
      </c>
      <c r="J417" t="s">
        <v>1602</v>
      </c>
      <c r="K417" t="s">
        <v>1608</v>
      </c>
      <c r="L417" t="s">
        <v>1610</v>
      </c>
      <c r="M417" t="s">
        <v>1656</v>
      </c>
    </row>
    <row r="418" spans="1:13" x14ac:dyDescent="0.25">
      <c r="A418" t="s">
        <v>1</v>
      </c>
      <c r="B418" t="s">
        <v>369</v>
      </c>
      <c r="C418" t="s">
        <v>572</v>
      </c>
      <c r="D418" t="s">
        <v>934</v>
      </c>
      <c r="E418" t="s">
        <v>2077</v>
      </c>
      <c r="F418" t="s">
        <v>2520</v>
      </c>
      <c r="G418" t="s">
        <v>2099</v>
      </c>
      <c r="H418" t="s">
        <v>1395</v>
      </c>
      <c r="I418" t="s">
        <v>2731</v>
      </c>
      <c r="J418" t="s">
        <v>1601</v>
      </c>
      <c r="K418" t="s">
        <v>1608</v>
      </c>
      <c r="L418" t="s">
        <v>1610</v>
      </c>
      <c r="M418" t="s">
        <v>1645</v>
      </c>
    </row>
    <row r="419" spans="1:13" x14ac:dyDescent="0.25">
      <c r="A419" t="s">
        <v>1</v>
      </c>
      <c r="B419" t="s">
        <v>369</v>
      </c>
      <c r="C419" t="s">
        <v>551</v>
      </c>
      <c r="D419" t="s">
        <v>935</v>
      </c>
      <c r="E419" t="s">
        <v>2078</v>
      </c>
      <c r="F419" t="s">
        <v>2521</v>
      </c>
      <c r="G419" t="s">
        <v>2099</v>
      </c>
      <c r="H419" t="s">
        <v>1396</v>
      </c>
      <c r="I419" t="s">
        <v>2729</v>
      </c>
      <c r="J419" t="s">
        <v>1600</v>
      </c>
      <c r="K419" t="s">
        <v>1608</v>
      </c>
      <c r="L419" t="s">
        <v>1610</v>
      </c>
      <c r="M419" t="s">
        <v>1631</v>
      </c>
    </row>
    <row r="420" spans="1:13" x14ac:dyDescent="0.25">
      <c r="A420" t="s">
        <v>1</v>
      </c>
      <c r="B420" t="s">
        <v>369</v>
      </c>
      <c r="C420" t="s">
        <v>784</v>
      </c>
      <c r="D420" t="s">
        <v>585</v>
      </c>
      <c r="E420" t="s">
        <v>2079</v>
      </c>
      <c r="F420" t="s">
        <v>2522</v>
      </c>
      <c r="G420" t="s">
        <v>2099</v>
      </c>
      <c r="H420" t="s">
        <v>1397</v>
      </c>
      <c r="I420" t="s">
        <v>2736</v>
      </c>
      <c r="J420" t="s">
        <v>1601</v>
      </c>
      <c r="K420" t="s">
        <v>1608</v>
      </c>
      <c r="L420" t="s">
        <v>1610</v>
      </c>
      <c r="M420" t="s">
        <v>1649</v>
      </c>
    </row>
    <row r="421" spans="1:13" x14ac:dyDescent="0.25">
      <c r="A421" t="s">
        <v>1</v>
      </c>
      <c r="B421" t="s">
        <v>370</v>
      </c>
      <c r="C421" t="s">
        <v>607</v>
      </c>
      <c r="D421" t="s">
        <v>775</v>
      </c>
      <c r="E421" t="s">
        <v>2080</v>
      </c>
      <c r="F421" t="s">
        <v>2523</v>
      </c>
      <c r="G421" t="s">
        <v>2099</v>
      </c>
      <c r="H421" t="s">
        <v>1398</v>
      </c>
      <c r="I421" t="s">
        <v>2729</v>
      </c>
      <c r="J421" t="s">
        <v>1603</v>
      </c>
      <c r="K421" t="s">
        <v>1608</v>
      </c>
      <c r="L421" t="s">
        <v>1610</v>
      </c>
      <c r="M421" t="s">
        <v>1622</v>
      </c>
    </row>
    <row r="422" spans="1:13" x14ac:dyDescent="0.25">
      <c r="A422" t="s">
        <v>1</v>
      </c>
      <c r="B422" t="s">
        <v>370</v>
      </c>
      <c r="C422" t="s">
        <v>785</v>
      </c>
      <c r="D422" t="s">
        <v>812</v>
      </c>
      <c r="E422" t="s">
        <v>2081</v>
      </c>
      <c r="F422" t="s">
        <v>2524</v>
      </c>
      <c r="G422" t="s">
        <v>2099</v>
      </c>
      <c r="H422" t="s">
        <v>1399</v>
      </c>
      <c r="I422" t="s">
        <v>2726</v>
      </c>
      <c r="J422" t="s">
        <v>1605</v>
      </c>
      <c r="K422" t="s">
        <v>1608</v>
      </c>
      <c r="L422" t="s">
        <v>1610</v>
      </c>
      <c r="M422" t="s">
        <v>1616</v>
      </c>
    </row>
    <row r="423" spans="1:13" x14ac:dyDescent="0.25">
      <c r="A423" t="s">
        <v>1</v>
      </c>
      <c r="B423" t="s">
        <v>371</v>
      </c>
      <c r="C423" t="s">
        <v>786</v>
      </c>
      <c r="D423" t="s">
        <v>804</v>
      </c>
      <c r="E423" t="s">
        <v>2082</v>
      </c>
      <c r="F423" t="s">
        <v>2525</v>
      </c>
      <c r="G423" t="s">
        <v>2099</v>
      </c>
      <c r="H423" t="s">
        <v>1400</v>
      </c>
      <c r="I423" t="s">
        <v>2732</v>
      </c>
      <c r="J423" t="s">
        <v>1602</v>
      </c>
      <c r="K423" t="s">
        <v>1608</v>
      </c>
      <c r="L423" t="s">
        <v>1610</v>
      </c>
      <c r="M423" t="s">
        <v>1656</v>
      </c>
    </row>
    <row r="424" spans="1:13" x14ac:dyDescent="0.25">
      <c r="A424" t="s">
        <v>1</v>
      </c>
      <c r="B424" t="s">
        <v>372</v>
      </c>
      <c r="C424" t="s">
        <v>592</v>
      </c>
      <c r="D424" t="s">
        <v>542</v>
      </c>
      <c r="E424" t="s">
        <v>2083</v>
      </c>
      <c r="F424" t="s">
        <v>2526</v>
      </c>
      <c r="G424" t="s">
        <v>2099</v>
      </c>
      <c r="H424" t="s">
        <v>1401</v>
      </c>
      <c r="I424" t="s">
        <v>2726</v>
      </c>
      <c r="J424" t="s">
        <v>1602</v>
      </c>
      <c r="K424" t="s">
        <v>1608</v>
      </c>
      <c r="L424" t="s">
        <v>1610</v>
      </c>
      <c r="M424" t="s">
        <v>1617</v>
      </c>
    </row>
    <row r="425" spans="1:13" x14ac:dyDescent="0.25">
      <c r="A425" t="s">
        <v>1</v>
      </c>
      <c r="B425" t="s">
        <v>373</v>
      </c>
      <c r="C425" t="s">
        <v>787</v>
      </c>
      <c r="D425" t="s">
        <v>546</v>
      </c>
      <c r="E425" t="s">
        <v>2084</v>
      </c>
      <c r="F425" t="s">
        <v>2527</v>
      </c>
      <c r="G425" t="s">
        <v>2099</v>
      </c>
      <c r="H425" t="s">
        <v>1402</v>
      </c>
      <c r="I425" t="s">
        <v>2727</v>
      </c>
      <c r="J425" t="s">
        <v>1600</v>
      </c>
      <c r="K425" t="s">
        <v>1608</v>
      </c>
      <c r="L425" t="s">
        <v>1610</v>
      </c>
      <c r="M425" t="s">
        <v>1619</v>
      </c>
    </row>
    <row r="426" spans="1:13" x14ac:dyDescent="0.25">
      <c r="A426" t="s">
        <v>1</v>
      </c>
      <c r="B426" t="s">
        <v>374</v>
      </c>
      <c r="C426" t="s">
        <v>788</v>
      </c>
      <c r="D426" t="s">
        <v>585</v>
      </c>
      <c r="E426" t="s">
        <v>2085</v>
      </c>
      <c r="F426" t="s">
        <v>2528</v>
      </c>
      <c r="G426" t="s">
        <v>2099</v>
      </c>
      <c r="H426" t="s">
        <v>1403</v>
      </c>
      <c r="I426" t="s">
        <v>2735</v>
      </c>
      <c r="J426" t="s">
        <v>1602</v>
      </c>
      <c r="K426" t="s">
        <v>1608</v>
      </c>
      <c r="L426" t="s">
        <v>1610</v>
      </c>
      <c r="M426" t="s">
        <v>1646</v>
      </c>
    </row>
    <row r="427" spans="1:13" x14ac:dyDescent="0.25">
      <c r="A427" t="s">
        <v>1</v>
      </c>
      <c r="B427" t="s">
        <v>375</v>
      </c>
      <c r="C427" t="s">
        <v>647</v>
      </c>
      <c r="D427" t="s">
        <v>936</v>
      </c>
      <c r="E427" t="s">
        <v>2086</v>
      </c>
      <c r="F427" t="s">
        <v>2529</v>
      </c>
      <c r="G427" t="s">
        <v>2099</v>
      </c>
      <c r="H427" t="s">
        <v>1404</v>
      </c>
      <c r="I427" t="s">
        <v>2730</v>
      </c>
      <c r="J427" t="s">
        <v>1602</v>
      </c>
      <c r="K427" t="s">
        <v>1608</v>
      </c>
      <c r="L427" t="s">
        <v>1610</v>
      </c>
      <c r="M427" t="s">
        <v>1626</v>
      </c>
    </row>
    <row r="428" spans="1:13" x14ac:dyDescent="0.25">
      <c r="A428" t="s">
        <v>1</v>
      </c>
      <c r="B428" t="s">
        <v>376</v>
      </c>
      <c r="C428" t="s">
        <v>618</v>
      </c>
      <c r="D428" t="s">
        <v>937</v>
      </c>
      <c r="E428" t="s">
        <v>2087</v>
      </c>
      <c r="F428" t="s">
        <v>2530</v>
      </c>
      <c r="G428" t="s">
        <v>2099</v>
      </c>
      <c r="H428" t="s">
        <v>1405</v>
      </c>
      <c r="I428" t="s">
        <v>2724</v>
      </c>
      <c r="J428" t="s">
        <v>1602</v>
      </c>
      <c r="K428" t="s">
        <v>1607</v>
      </c>
      <c r="L428" t="s">
        <v>1610</v>
      </c>
      <c r="M428" t="s">
        <v>1636</v>
      </c>
    </row>
    <row r="429" spans="1:13" x14ac:dyDescent="0.25">
      <c r="A429" t="s">
        <v>1</v>
      </c>
      <c r="B429" t="s">
        <v>377</v>
      </c>
      <c r="C429" t="s">
        <v>540</v>
      </c>
      <c r="D429" t="s">
        <v>938</v>
      </c>
      <c r="E429" t="s">
        <v>2088</v>
      </c>
      <c r="F429" t="s">
        <v>2531</v>
      </c>
      <c r="G429" t="s">
        <v>2099</v>
      </c>
      <c r="H429" t="s">
        <v>1406</v>
      </c>
      <c r="I429" t="s">
        <v>2730</v>
      </c>
      <c r="J429" t="s">
        <v>1602</v>
      </c>
      <c r="K429" t="s">
        <v>1607</v>
      </c>
      <c r="L429" t="s">
        <v>1610</v>
      </c>
      <c r="M429" t="s">
        <v>1626</v>
      </c>
    </row>
    <row r="430" spans="1:13" x14ac:dyDescent="0.25">
      <c r="A430" t="s">
        <v>1</v>
      </c>
      <c r="B430" t="s">
        <v>378</v>
      </c>
      <c r="C430" t="s">
        <v>673</v>
      </c>
      <c r="D430" t="s">
        <v>939</v>
      </c>
      <c r="E430" t="s">
        <v>2089</v>
      </c>
      <c r="F430" t="s">
        <v>2532</v>
      </c>
      <c r="G430" t="s">
        <v>2099</v>
      </c>
      <c r="H430" t="s">
        <v>1407</v>
      </c>
      <c r="I430" t="s">
        <v>2728</v>
      </c>
      <c r="J430" t="s">
        <v>1600</v>
      </c>
      <c r="K430" t="s">
        <v>1607</v>
      </c>
      <c r="L430" t="s">
        <v>1610</v>
      </c>
      <c r="M430" t="s">
        <v>1621</v>
      </c>
    </row>
    <row r="431" spans="1:13" x14ac:dyDescent="0.25">
      <c r="A431" t="s">
        <v>1</v>
      </c>
      <c r="B431" t="s">
        <v>379</v>
      </c>
      <c r="C431" t="s">
        <v>789</v>
      </c>
      <c r="D431" t="s">
        <v>674</v>
      </c>
      <c r="E431" t="s">
        <v>2090</v>
      </c>
      <c r="F431" t="s">
        <v>2533</v>
      </c>
      <c r="G431" t="s">
        <v>2099</v>
      </c>
      <c r="H431" t="s">
        <v>1408</v>
      </c>
      <c r="I431" t="s">
        <v>2724</v>
      </c>
      <c r="J431" t="s">
        <v>1601</v>
      </c>
      <c r="K431" t="s">
        <v>1607</v>
      </c>
      <c r="L431" t="s">
        <v>1610</v>
      </c>
      <c r="M431" t="s">
        <v>1630</v>
      </c>
    </row>
    <row r="432" spans="1:13" x14ac:dyDescent="0.25">
      <c r="A432" t="s">
        <v>1</v>
      </c>
      <c r="B432" t="s">
        <v>380</v>
      </c>
      <c r="C432" t="s">
        <v>790</v>
      </c>
      <c r="D432" t="s">
        <v>727</v>
      </c>
      <c r="E432" t="s">
        <v>1766</v>
      </c>
      <c r="F432" t="s">
        <v>2534</v>
      </c>
      <c r="G432" t="s">
        <v>2099</v>
      </c>
      <c r="H432" t="s">
        <v>1409</v>
      </c>
      <c r="I432" t="s">
        <v>2726</v>
      </c>
      <c r="J432" t="s">
        <v>1602</v>
      </c>
      <c r="K432" t="s">
        <v>1608</v>
      </c>
      <c r="L432" t="s">
        <v>1610</v>
      </c>
      <c r="M432" t="s">
        <v>1617</v>
      </c>
    </row>
    <row r="433" spans="1:13" x14ac:dyDescent="0.25">
      <c r="A433" t="s">
        <v>1</v>
      </c>
      <c r="B433" t="s">
        <v>381</v>
      </c>
      <c r="C433" t="s">
        <v>674</v>
      </c>
      <c r="D433" t="s">
        <v>940</v>
      </c>
      <c r="E433" t="s">
        <v>2091</v>
      </c>
      <c r="F433" t="s">
        <v>2535</v>
      </c>
      <c r="G433" t="s">
        <v>2099</v>
      </c>
      <c r="H433" t="s">
        <v>1410</v>
      </c>
      <c r="I433" t="s">
        <v>2727</v>
      </c>
      <c r="J433" t="s">
        <v>1601</v>
      </c>
      <c r="K433" t="s">
        <v>1608</v>
      </c>
      <c r="L433" t="s">
        <v>1610</v>
      </c>
      <c r="M433" t="s">
        <v>1629</v>
      </c>
    </row>
    <row r="434" spans="1:13" x14ac:dyDescent="0.25">
      <c r="A434" t="s">
        <v>1</v>
      </c>
      <c r="B434" t="s">
        <v>382</v>
      </c>
      <c r="C434" t="s">
        <v>777</v>
      </c>
      <c r="D434" t="s">
        <v>746</v>
      </c>
      <c r="E434" t="s">
        <v>2092</v>
      </c>
      <c r="F434" t="s">
        <v>2536</v>
      </c>
      <c r="G434" t="s">
        <v>2099</v>
      </c>
      <c r="H434" t="s">
        <v>1411</v>
      </c>
      <c r="I434" t="s">
        <v>2725</v>
      </c>
      <c r="J434" t="s">
        <v>1602</v>
      </c>
      <c r="K434" t="s">
        <v>1608</v>
      </c>
      <c r="L434" t="s">
        <v>1610</v>
      </c>
      <c r="M434" t="s">
        <v>1648</v>
      </c>
    </row>
    <row r="435" spans="1:13" x14ac:dyDescent="0.25">
      <c r="A435" t="s">
        <v>1</v>
      </c>
      <c r="B435" t="s">
        <v>383</v>
      </c>
      <c r="C435" t="s">
        <v>791</v>
      </c>
      <c r="D435" t="s">
        <v>638</v>
      </c>
      <c r="E435" t="s">
        <v>2093</v>
      </c>
      <c r="F435" t="s">
        <v>2537</v>
      </c>
      <c r="G435" t="s">
        <v>2099</v>
      </c>
      <c r="H435" t="s">
        <v>1412</v>
      </c>
      <c r="I435" t="s">
        <v>2726</v>
      </c>
      <c r="J435" t="s">
        <v>1600</v>
      </c>
      <c r="K435" t="s">
        <v>1608</v>
      </c>
      <c r="L435" t="s">
        <v>1610</v>
      </c>
      <c r="M435" t="s">
        <v>1625</v>
      </c>
    </row>
    <row r="436" spans="1:13" x14ac:dyDescent="0.25">
      <c r="A436" t="s">
        <v>1</v>
      </c>
      <c r="B436" t="s">
        <v>384</v>
      </c>
      <c r="C436" t="s">
        <v>546</v>
      </c>
      <c r="D436" t="s">
        <v>546</v>
      </c>
      <c r="E436" t="s">
        <v>2094</v>
      </c>
      <c r="F436" t="s">
        <v>2538</v>
      </c>
      <c r="G436" t="s">
        <v>2099</v>
      </c>
      <c r="H436" t="s">
        <v>1413</v>
      </c>
      <c r="I436" t="s">
        <v>2733</v>
      </c>
      <c r="J436" t="s">
        <v>1601</v>
      </c>
      <c r="K436" t="s">
        <v>1607</v>
      </c>
      <c r="L436" t="s">
        <v>1610</v>
      </c>
      <c r="M436" t="s">
        <v>1655</v>
      </c>
    </row>
    <row r="437" spans="1:13" x14ac:dyDescent="0.25">
      <c r="A437" t="s">
        <v>1</v>
      </c>
      <c r="B437" t="s">
        <v>385</v>
      </c>
      <c r="C437" t="s">
        <v>560</v>
      </c>
      <c r="D437" t="s">
        <v>593</v>
      </c>
      <c r="E437" t="s">
        <v>2095</v>
      </c>
      <c r="F437" t="s">
        <v>2539</v>
      </c>
      <c r="G437" t="s">
        <v>2099</v>
      </c>
      <c r="H437" t="s">
        <v>1414</v>
      </c>
      <c r="I437" t="s">
        <v>2728</v>
      </c>
      <c r="J437" t="s">
        <v>1602</v>
      </c>
      <c r="K437" t="s">
        <v>1607</v>
      </c>
      <c r="L437" t="s">
        <v>1610</v>
      </c>
      <c r="M437" t="s">
        <v>1635</v>
      </c>
    </row>
    <row r="438" spans="1:13" x14ac:dyDescent="0.25">
      <c r="A438" t="s">
        <v>1</v>
      </c>
      <c r="B438" t="s">
        <v>386</v>
      </c>
      <c r="C438" t="s">
        <v>651</v>
      </c>
      <c r="D438" t="s">
        <v>803</v>
      </c>
      <c r="E438" t="s">
        <v>2096</v>
      </c>
      <c r="F438" t="s">
        <v>2540</v>
      </c>
      <c r="G438" t="s">
        <v>2099</v>
      </c>
      <c r="H438" t="s">
        <v>1415</v>
      </c>
      <c r="I438" t="s">
        <v>2731</v>
      </c>
      <c r="J438" t="s">
        <v>1601</v>
      </c>
      <c r="K438" t="s">
        <v>1607</v>
      </c>
      <c r="L438" t="s">
        <v>1610</v>
      </c>
      <c r="M438" t="s">
        <v>1645</v>
      </c>
    </row>
    <row r="439" spans="1:13" x14ac:dyDescent="0.25">
      <c r="A439" t="s">
        <v>1</v>
      </c>
      <c r="B439" t="s">
        <v>386</v>
      </c>
      <c r="C439" t="s">
        <v>656</v>
      </c>
      <c r="D439" t="s">
        <v>674</v>
      </c>
      <c r="E439" t="s">
        <v>2097</v>
      </c>
      <c r="F439" t="s">
        <v>2541</v>
      </c>
      <c r="G439" t="s">
        <v>2099</v>
      </c>
      <c r="H439" t="s">
        <v>1416</v>
      </c>
      <c r="I439" t="s">
        <v>2733</v>
      </c>
      <c r="J439" t="s">
        <v>1601</v>
      </c>
      <c r="K439" t="s">
        <v>1607</v>
      </c>
      <c r="L439" t="s">
        <v>1610</v>
      </c>
      <c r="M439" t="s">
        <v>1655</v>
      </c>
    </row>
    <row r="440" spans="1:13" x14ac:dyDescent="0.25">
      <c r="A440" t="s">
        <v>1</v>
      </c>
      <c r="B440" t="s">
        <v>386</v>
      </c>
      <c r="D440" t="s">
        <v>572</v>
      </c>
      <c r="E440" t="s">
        <v>2738</v>
      </c>
      <c r="F440" t="s">
        <v>2542</v>
      </c>
      <c r="G440" t="s">
        <v>2099</v>
      </c>
      <c r="H440" t="s">
        <v>1417</v>
      </c>
      <c r="I440" t="s">
        <v>2732</v>
      </c>
      <c r="J440" t="s">
        <v>1602</v>
      </c>
      <c r="K440" t="s">
        <v>1607</v>
      </c>
      <c r="L440" t="s">
        <v>1610</v>
      </c>
      <c r="M440" t="s">
        <v>1656</v>
      </c>
    </row>
    <row r="441" spans="1:13" x14ac:dyDescent="0.25">
      <c r="A441" t="s">
        <v>1</v>
      </c>
      <c r="B441" t="s">
        <v>386</v>
      </c>
      <c r="D441" t="s">
        <v>533</v>
      </c>
      <c r="E441" t="s">
        <v>2739</v>
      </c>
      <c r="F441" t="s">
        <v>2543</v>
      </c>
      <c r="G441" t="s">
        <v>2099</v>
      </c>
      <c r="H441" t="s">
        <v>1418</v>
      </c>
      <c r="I441" t="s">
        <v>2724</v>
      </c>
      <c r="J441" t="s">
        <v>1601</v>
      </c>
      <c r="K441" t="s">
        <v>1607</v>
      </c>
      <c r="L441" t="s">
        <v>1610</v>
      </c>
      <c r="M441" t="s">
        <v>1630</v>
      </c>
    </row>
    <row r="442" spans="1:13" x14ac:dyDescent="0.25">
      <c r="A442" t="s">
        <v>1</v>
      </c>
      <c r="B442" t="s">
        <v>386</v>
      </c>
      <c r="D442" t="s">
        <v>941</v>
      </c>
      <c r="E442" t="s">
        <v>2740</v>
      </c>
      <c r="F442" t="s">
        <v>2544</v>
      </c>
      <c r="G442" t="s">
        <v>2099</v>
      </c>
      <c r="H442" t="s">
        <v>1419</v>
      </c>
      <c r="I442" t="s">
        <v>2724</v>
      </c>
      <c r="J442" t="s">
        <v>1601</v>
      </c>
      <c r="K442" t="s">
        <v>1607</v>
      </c>
      <c r="L442" t="s">
        <v>1610</v>
      </c>
      <c r="M442" t="s">
        <v>1630</v>
      </c>
    </row>
    <row r="443" spans="1:13" x14ac:dyDescent="0.25">
      <c r="A443" t="s">
        <v>1</v>
      </c>
      <c r="B443" t="s">
        <v>386</v>
      </c>
      <c r="D443" t="s">
        <v>567</v>
      </c>
      <c r="E443" t="s">
        <v>2741</v>
      </c>
      <c r="F443" t="s">
        <v>2545</v>
      </c>
      <c r="G443" t="s">
        <v>2099</v>
      </c>
      <c r="H443" t="s">
        <v>1420</v>
      </c>
      <c r="I443" t="s">
        <v>2730</v>
      </c>
      <c r="J443" t="s">
        <v>1602</v>
      </c>
      <c r="K443" t="s">
        <v>1607</v>
      </c>
      <c r="L443" t="s">
        <v>1610</v>
      </c>
      <c r="M443" t="s">
        <v>1626</v>
      </c>
    </row>
    <row r="444" spans="1:13" x14ac:dyDescent="0.25">
      <c r="A444" t="s">
        <v>1</v>
      </c>
      <c r="B444" t="s">
        <v>386</v>
      </c>
      <c r="D444" t="s">
        <v>579</v>
      </c>
      <c r="E444" t="s">
        <v>2742</v>
      </c>
      <c r="F444" t="s">
        <v>2546</v>
      </c>
      <c r="G444" t="s">
        <v>2099</v>
      </c>
      <c r="H444" t="s">
        <v>1421</v>
      </c>
      <c r="I444" t="s">
        <v>2726</v>
      </c>
      <c r="J444" t="s">
        <v>1600</v>
      </c>
      <c r="K444" t="s">
        <v>1607</v>
      </c>
      <c r="L444" t="s">
        <v>1610</v>
      </c>
      <c r="M444" t="s">
        <v>1625</v>
      </c>
    </row>
    <row r="445" spans="1:13" x14ac:dyDescent="0.25">
      <c r="A445" t="s">
        <v>1</v>
      </c>
      <c r="B445" t="s">
        <v>386</v>
      </c>
      <c r="D445" t="s">
        <v>542</v>
      </c>
      <c r="E445" t="s">
        <v>2743</v>
      </c>
      <c r="F445" t="s">
        <v>2547</v>
      </c>
      <c r="G445" t="s">
        <v>2099</v>
      </c>
      <c r="H445" t="s">
        <v>1422</v>
      </c>
      <c r="I445" t="s">
        <v>2724</v>
      </c>
      <c r="J445" t="s">
        <v>1600</v>
      </c>
      <c r="K445" t="s">
        <v>1607</v>
      </c>
      <c r="L445" t="s">
        <v>1610</v>
      </c>
      <c r="M445" t="s">
        <v>1614</v>
      </c>
    </row>
    <row r="446" spans="1:13" x14ac:dyDescent="0.25">
      <c r="A446" t="s">
        <v>1</v>
      </c>
      <c r="B446" t="s">
        <v>387</v>
      </c>
      <c r="D446" t="s">
        <v>674</v>
      </c>
      <c r="E446" t="s">
        <v>2744</v>
      </c>
      <c r="F446" t="s">
        <v>2548</v>
      </c>
      <c r="G446" t="s">
        <v>2099</v>
      </c>
      <c r="H446" t="s">
        <v>1423</v>
      </c>
      <c r="I446" t="s">
        <v>2732</v>
      </c>
      <c r="J446" t="s">
        <v>1602</v>
      </c>
      <c r="K446" t="s">
        <v>1607</v>
      </c>
      <c r="L446" t="s">
        <v>1610</v>
      </c>
      <c r="M446" t="s">
        <v>1656</v>
      </c>
    </row>
    <row r="447" spans="1:13" x14ac:dyDescent="0.25">
      <c r="A447" t="s">
        <v>1</v>
      </c>
      <c r="B447" t="s">
        <v>388</v>
      </c>
      <c r="D447" t="s">
        <v>942</v>
      </c>
      <c r="E447" t="s">
        <v>2745</v>
      </c>
      <c r="F447" t="s">
        <v>2549</v>
      </c>
      <c r="G447" t="s">
        <v>2099</v>
      </c>
      <c r="H447" t="s">
        <v>1424</v>
      </c>
      <c r="I447" t="s">
        <v>2724</v>
      </c>
      <c r="J447" t="s">
        <v>1600</v>
      </c>
      <c r="K447" t="s">
        <v>1607</v>
      </c>
      <c r="L447" t="s">
        <v>1610</v>
      </c>
      <c r="M447" t="s">
        <v>1614</v>
      </c>
    </row>
    <row r="448" spans="1:13" x14ac:dyDescent="0.25">
      <c r="A448" t="s">
        <v>1</v>
      </c>
      <c r="B448" t="s">
        <v>389</v>
      </c>
      <c r="D448" t="s">
        <v>649</v>
      </c>
      <c r="E448" t="s">
        <v>2746</v>
      </c>
      <c r="F448" t="s">
        <v>2550</v>
      </c>
      <c r="G448" t="s">
        <v>2099</v>
      </c>
      <c r="H448" t="s">
        <v>1425</v>
      </c>
      <c r="I448" t="s">
        <v>2731</v>
      </c>
      <c r="J448" t="s">
        <v>1601</v>
      </c>
      <c r="K448" t="s">
        <v>1607</v>
      </c>
      <c r="L448" t="s">
        <v>1610</v>
      </c>
      <c r="M448" t="s">
        <v>1645</v>
      </c>
    </row>
    <row r="449" spans="1:13" x14ac:dyDescent="0.25">
      <c r="A449" t="s">
        <v>1</v>
      </c>
      <c r="B449" t="s">
        <v>390</v>
      </c>
      <c r="D449" t="s">
        <v>762</v>
      </c>
      <c r="E449" t="s">
        <v>2747</v>
      </c>
      <c r="F449" t="s">
        <v>2551</v>
      </c>
      <c r="G449" t="s">
        <v>2099</v>
      </c>
      <c r="H449" t="s">
        <v>1426</v>
      </c>
      <c r="I449" t="s">
        <v>2726</v>
      </c>
      <c r="J449" t="s">
        <v>1600</v>
      </c>
      <c r="K449" t="s">
        <v>1607</v>
      </c>
      <c r="L449" t="s">
        <v>1610</v>
      </c>
      <c r="M449" t="s">
        <v>1625</v>
      </c>
    </row>
    <row r="450" spans="1:13" x14ac:dyDescent="0.25">
      <c r="A450" t="s">
        <v>1</v>
      </c>
      <c r="B450" t="s">
        <v>391</v>
      </c>
      <c r="D450" t="s">
        <v>766</v>
      </c>
      <c r="E450" t="s">
        <v>2748</v>
      </c>
      <c r="F450" t="s">
        <v>2552</v>
      </c>
      <c r="G450" t="s">
        <v>2099</v>
      </c>
      <c r="H450" t="s">
        <v>1427</v>
      </c>
      <c r="I450" t="s">
        <v>2728</v>
      </c>
      <c r="J450" t="s">
        <v>1601</v>
      </c>
      <c r="K450" t="s">
        <v>1607</v>
      </c>
      <c r="L450" t="s">
        <v>1610</v>
      </c>
      <c r="M450" t="s">
        <v>1634</v>
      </c>
    </row>
    <row r="451" spans="1:13" x14ac:dyDescent="0.25">
      <c r="A451" t="s">
        <v>1</v>
      </c>
      <c r="B451" t="s">
        <v>391</v>
      </c>
      <c r="D451" t="s">
        <v>917</v>
      </c>
      <c r="E451" t="s">
        <v>2749</v>
      </c>
      <c r="F451" t="s">
        <v>2553</v>
      </c>
      <c r="G451" t="s">
        <v>2099</v>
      </c>
      <c r="H451" t="s">
        <v>1428</v>
      </c>
      <c r="I451" t="s">
        <v>2729</v>
      </c>
      <c r="J451" t="s">
        <v>1600</v>
      </c>
      <c r="K451" t="s">
        <v>1607</v>
      </c>
      <c r="L451" t="s">
        <v>1610</v>
      </c>
      <c r="M451" t="s">
        <v>1631</v>
      </c>
    </row>
    <row r="452" spans="1:13" x14ac:dyDescent="0.25">
      <c r="A452" t="s">
        <v>1</v>
      </c>
      <c r="B452" t="s">
        <v>391</v>
      </c>
      <c r="D452" t="s">
        <v>687</v>
      </c>
      <c r="E452" t="s">
        <v>2750</v>
      </c>
      <c r="F452" t="s">
        <v>2554</v>
      </c>
      <c r="G452" t="s">
        <v>2099</v>
      </c>
      <c r="H452" t="s">
        <v>1429</v>
      </c>
      <c r="I452" t="s">
        <v>2729</v>
      </c>
      <c r="J452" t="s">
        <v>1601</v>
      </c>
      <c r="K452" t="s">
        <v>1607</v>
      </c>
      <c r="L452" t="s">
        <v>1610</v>
      </c>
      <c r="M452" t="s">
        <v>1623</v>
      </c>
    </row>
    <row r="453" spans="1:13" x14ac:dyDescent="0.25">
      <c r="A453" t="s">
        <v>1</v>
      </c>
      <c r="B453" t="s">
        <v>391</v>
      </c>
      <c r="D453" t="s">
        <v>574</v>
      </c>
      <c r="E453" t="s">
        <v>2751</v>
      </c>
      <c r="F453" t="s">
        <v>2555</v>
      </c>
      <c r="G453" t="s">
        <v>2099</v>
      </c>
      <c r="H453" t="s">
        <v>1430</v>
      </c>
      <c r="I453" t="s">
        <v>2728</v>
      </c>
      <c r="J453" t="s">
        <v>1601</v>
      </c>
      <c r="K453" t="s">
        <v>1607</v>
      </c>
      <c r="L453" t="s">
        <v>1610</v>
      </c>
      <c r="M453" t="s">
        <v>1634</v>
      </c>
    </row>
    <row r="454" spans="1:13" x14ac:dyDescent="0.25">
      <c r="A454" t="s">
        <v>1</v>
      </c>
      <c r="B454" t="s">
        <v>392</v>
      </c>
      <c r="D454" t="s">
        <v>539</v>
      </c>
      <c r="E454" t="s">
        <v>2752</v>
      </c>
      <c r="F454" t="s">
        <v>2556</v>
      </c>
      <c r="G454" t="s">
        <v>2099</v>
      </c>
      <c r="H454" t="s">
        <v>1431</v>
      </c>
      <c r="I454" t="s">
        <v>2731</v>
      </c>
      <c r="J454" t="s">
        <v>1603</v>
      </c>
      <c r="K454" t="s">
        <v>1607</v>
      </c>
      <c r="L454" t="s">
        <v>1612</v>
      </c>
      <c r="M454" t="s">
        <v>1644</v>
      </c>
    </row>
    <row r="455" spans="1:13" x14ac:dyDescent="0.25">
      <c r="A455" t="s">
        <v>1</v>
      </c>
      <c r="B455" t="s">
        <v>393</v>
      </c>
      <c r="D455" t="s">
        <v>623</v>
      </c>
      <c r="E455" t="s">
        <v>2753</v>
      </c>
      <c r="F455" t="s">
        <v>2557</v>
      </c>
      <c r="G455" t="s">
        <v>2099</v>
      </c>
      <c r="H455" t="s">
        <v>1432</v>
      </c>
      <c r="I455" t="s">
        <v>2729</v>
      </c>
      <c r="J455" t="s">
        <v>1601</v>
      </c>
      <c r="K455" t="s">
        <v>1607</v>
      </c>
      <c r="L455" t="s">
        <v>1610</v>
      </c>
      <c r="M455" t="s">
        <v>1623</v>
      </c>
    </row>
    <row r="456" spans="1:13" x14ac:dyDescent="0.25">
      <c r="A456" t="s">
        <v>1</v>
      </c>
      <c r="B456" t="s">
        <v>394</v>
      </c>
      <c r="D456" t="s">
        <v>943</v>
      </c>
      <c r="E456" t="s">
        <v>2754</v>
      </c>
      <c r="F456" t="s">
        <v>2558</v>
      </c>
      <c r="G456" t="s">
        <v>2099</v>
      </c>
      <c r="H456" t="s">
        <v>1433</v>
      </c>
      <c r="I456" t="s">
        <v>2726</v>
      </c>
      <c r="J456" t="s">
        <v>1600</v>
      </c>
      <c r="K456" t="s">
        <v>1607</v>
      </c>
      <c r="L456" t="s">
        <v>1610</v>
      </c>
      <c r="M456" t="s">
        <v>1625</v>
      </c>
    </row>
    <row r="457" spans="1:13" x14ac:dyDescent="0.25">
      <c r="A457" t="s">
        <v>1</v>
      </c>
      <c r="B457" t="s">
        <v>395</v>
      </c>
      <c r="D457" t="s">
        <v>651</v>
      </c>
      <c r="E457" t="s">
        <v>2755</v>
      </c>
      <c r="F457" t="s">
        <v>2559</v>
      </c>
      <c r="G457" t="s">
        <v>2099</v>
      </c>
      <c r="H457" t="s">
        <v>1434</v>
      </c>
      <c r="I457" t="s">
        <v>2724</v>
      </c>
      <c r="J457" t="s">
        <v>1601</v>
      </c>
      <c r="K457" t="s">
        <v>1607</v>
      </c>
      <c r="L457" t="s">
        <v>1610</v>
      </c>
      <c r="M457" t="s">
        <v>1630</v>
      </c>
    </row>
    <row r="458" spans="1:13" x14ac:dyDescent="0.25">
      <c r="A458" t="s">
        <v>1</v>
      </c>
      <c r="B458" t="s">
        <v>396</v>
      </c>
      <c r="D458" t="s">
        <v>806</v>
      </c>
      <c r="E458" t="s">
        <v>2756</v>
      </c>
      <c r="F458" t="s">
        <v>2560</v>
      </c>
      <c r="G458" t="s">
        <v>2099</v>
      </c>
      <c r="H458" t="s">
        <v>1435</v>
      </c>
      <c r="I458" t="s">
        <v>2730</v>
      </c>
      <c r="J458" t="s">
        <v>1602</v>
      </c>
      <c r="K458" t="s">
        <v>1607</v>
      </c>
      <c r="L458" t="s">
        <v>1610</v>
      </c>
      <c r="M458" t="s">
        <v>1626</v>
      </c>
    </row>
    <row r="459" spans="1:13" x14ac:dyDescent="0.25">
      <c r="A459" t="s">
        <v>1</v>
      </c>
      <c r="B459" t="s">
        <v>397</v>
      </c>
      <c r="D459" t="s">
        <v>944</v>
      </c>
      <c r="E459" t="s">
        <v>2757</v>
      </c>
      <c r="F459" t="s">
        <v>2561</v>
      </c>
      <c r="G459" t="s">
        <v>2099</v>
      </c>
      <c r="H459" t="s">
        <v>1436</v>
      </c>
      <c r="I459" t="s">
        <v>2730</v>
      </c>
      <c r="J459" t="s">
        <v>1601</v>
      </c>
      <c r="K459" t="s">
        <v>1608</v>
      </c>
      <c r="L459" t="s">
        <v>1610</v>
      </c>
      <c r="M459" t="s">
        <v>1624</v>
      </c>
    </row>
    <row r="460" spans="1:13" x14ac:dyDescent="0.25">
      <c r="A460" t="s">
        <v>1</v>
      </c>
      <c r="B460" t="s">
        <v>398</v>
      </c>
      <c r="D460" t="s">
        <v>708</v>
      </c>
      <c r="E460" t="s">
        <v>2758</v>
      </c>
      <c r="F460" t="s">
        <v>2562</v>
      </c>
      <c r="G460" t="s">
        <v>2099</v>
      </c>
      <c r="H460" t="s">
        <v>1437</v>
      </c>
      <c r="I460" t="s">
        <v>2729</v>
      </c>
      <c r="J460" t="s">
        <v>1600</v>
      </c>
      <c r="K460" t="s">
        <v>1607</v>
      </c>
      <c r="L460" t="s">
        <v>1610</v>
      </c>
      <c r="M460" t="s">
        <v>1631</v>
      </c>
    </row>
    <row r="461" spans="1:13" x14ac:dyDescent="0.25">
      <c r="A461" t="s">
        <v>1</v>
      </c>
      <c r="B461" t="s">
        <v>399</v>
      </c>
      <c r="D461" t="s">
        <v>945</v>
      </c>
      <c r="E461" t="s">
        <v>2759</v>
      </c>
      <c r="F461" t="s">
        <v>2563</v>
      </c>
      <c r="G461" t="s">
        <v>2099</v>
      </c>
      <c r="H461" t="s">
        <v>1438</v>
      </c>
      <c r="I461" t="s">
        <v>2733</v>
      </c>
      <c r="J461" t="s">
        <v>1601</v>
      </c>
      <c r="K461" t="s">
        <v>1607</v>
      </c>
      <c r="L461" t="s">
        <v>1610</v>
      </c>
      <c r="M461" t="s">
        <v>1655</v>
      </c>
    </row>
    <row r="462" spans="1:13" x14ac:dyDescent="0.25">
      <c r="A462" t="s">
        <v>1</v>
      </c>
      <c r="B462" t="s">
        <v>400</v>
      </c>
      <c r="D462" t="s">
        <v>539</v>
      </c>
      <c r="E462" t="s">
        <v>2760</v>
      </c>
      <c r="F462" t="s">
        <v>2564</v>
      </c>
      <c r="G462" t="s">
        <v>2099</v>
      </c>
      <c r="H462" t="s">
        <v>1439</v>
      </c>
      <c r="I462" t="s">
        <v>2725</v>
      </c>
      <c r="J462" t="s">
        <v>1602</v>
      </c>
      <c r="K462" t="s">
        <v>1608</v>
      </c>
      <c r="L462" t="s">
        <v>1610</v>
      </c>
      <c r="M462" t="s">
        <v>1648</v>
      </c>
    </row>
    <row r="463" spans="1:13" x14ac:dyDescent="0.25">
      <c r="A463" t="s">
        <v>1</v>
      </c>
      <c r="B463" t="s">
        <v>401</v>
      </c>
      <c r="D463" t="s">
        <v>562</v>
      </c>
      <c r="E463" t="s">
        <v>2761</v>
      </c>
      <c r="F463" t="s">
        <v>2565</v>
      </c>
      <c r="G463" t="s">
        <v>2099</v>
      </c>
      <c r="H463" t="s">
        <v>1440</v>
      </c>
      <c r="I463" t="s">
        <v>2724</v>
      </c>
      <c r="J463" t="s">
        <v>1601</v>
      </c>
      <c r="K463" t="s">
        <v>1608</v>
      </c>
      <c r="L463" t="s">
        <v>1610</v>
      </c>
      <c r="M463" t="s">
        <v>1630</v>
      </c>
    </row>
    <row r="464" spans="1:13" x14ac:dyDescent="0.25">
      <c r="A464" t="s">
        <v>1</v>
      </c>
      <c r="B464" t="s">
        <v>402</v>
      </c>
      <c r="D464" t="s">
        <v>731</v>
      </c>
      <c r="E464" t="s">
        <v>2762</v>
      </c>
      <c r="F464" t="s">
        <v>2566</v>
      </c>
      <c r="G464" t="s">
        <v>2099</v>
      </c>
      <c r="H464" t="s">
        <v>1441</v>
      </c>
      <c r="I464" t="s">
        <v>2730</v>
      </c>
      <c r="J464" t="s">
        <v>1603</v>
      </c>
      <c r="K464" t="s">
        <v>1608</v>
      </c>
      <c r="L464" t="s">
        <v>1610</v>
      </c>
      <c r="M464" t="s">
        <v>1657</v>
      </c>
    </row>
    <row r="465" spans="1:13" x14ac:dyDescent="0.25">
      <c r="A465" t="s">
        <v>1</v>
      </c>
      <c r="B465" t="s">
        <v>403</v>
      </c>
      <c r="D465" t="s">
        <v>533</v>
      </c>
      <c r="E465" t="s">
        <v>2763</v>
      </c>
      <c r="F465" t="s">
        <v>2567</v>
      </c>
      <c r="G465" t="s">
        <v>2099</v>
      </c>
      <c r="H465" t="s">
        <v>1442</v>
      </c>
      <c r="I465" t="s">
        <v>2730</v>
      </c>
      <c r="J465" t="s">
        <v>1603</v>
      </c>
      <c r="K465" t="s">
        <v>1607</v>
      </c>
      <c r="L465" t="s">
        <v>1610</v>
      </c>
      <c r="M465" t="s">
        <v>1657</v>
      </c>
    </row>
    <row r="466" spans="1:13" x14ac:dyDescent="0.25">
      <c r="A466" t="s">
        <v>1</v>
      </c>
      <c r="B466" t="s">
        <v>403</v>
      </c>
      <c r="D466" t="s">
        <v>597</v>
      </c>
      <c r="E466" t="s">
        <v>2764</v>
      </c>
      <c r="F466" t="s">
        <v>2568</v>
      </c>
      <c r="G466" t="s">
        <v>2099</v>
      </c>
      <c r="H466" t="s">
        <v>1443</v>
      </c>
      <c r="I466" t="s">
        <v>2730</v>
      </c>
      <c r="J466" t="s">
        <v>1601</v>
      </c>
      <c r="K466" t="s">
        <v>1607</v>
      </c>
      <c r="L466" t="s">
        <v>1610</v>
      </c>
      <c r="M466" t="s">
        <v>1624</v>
      </c>
    </row>
    <row r="467" spans="1:13" x14ac:dyDescent="0.25">
      <c r="A467" t="s">
        <v>1</v>
      </c>
      <c r="B467" t="s">
        <v>403</v>
      </c>
      <c r="D467" t="s">
        <v>553</v>
      </c>
      <c r="E467" t="s">
        <v>2765</v>
      </c>
      <c r="F467" t="s">
        <v>2569</v>
      </c>
      <c r="G467" t="s">
        <v>2099</v>
      </c>
      <c r="H467" t="s">
        <v>1444</v>
      </c>
      <c r="I467" t="s">
        <v>2728</v>
      </c>
      <c r="J467" t="s">
        <v>1601</v>
      </c>
      <c r="K467" t="s">
        <v>1607</v>
      </c>
      <c r="L467" t="s">
        <v>1610</v>
      </c>
      <c r="M467" t="s">
        <v>1634</v>
      </c>
    </row>
    <row r="468" spans="1:13" x14ac:dyDescent="0.25">
      <c r="A468" t="s">
        <v>1</v>
      </c>
      <c r="B468" t="s">
        <v>404</v>
      </c>
      <c r="D468" t="s">
        <v>593</v>
      </c>
      <c r="E468" t="s">
        <v>2766</v>
      </c>
      <c r="F468" t="s">
        <v>2570</v>
      </c>
      <c r="G468" t="s">
        <v>2099</v>
      </c>
      <c r="H468" t="s">
        <v>1445</v>
      </c>
      <c r="I468" t="s">
        <v>2728</v>
      </c>
      <c r="J468" t="s">
        <v>1602</v>
      </c>
      <c r="K468" t="s">
        <v>1607</v>
      </c>
      <c r="L468" t="s">
        <v>1610</v>
      </c>
      <c r="M468" t="s">
        <v>1635</v>
      </c>
    </row>
    <row r="469" spans="1:13" x14ac:dyDescent="0.25">
      <c r="A469" t="s">
        <v>1</v>
      </c>
      <c r="B469" t="s">
        <v>405</v>
      </c>
      <c r="D469" t="s">
        <v>532</v>
      </c>
      <c r="E469" t="s">
        <v>2767</v>
      </c>
      <c r="F469" t="s">
        <v>2571</v>
      </c>
      <c r="G469" t="s">
        <v>2099</v>
      </c>
      <c r="H469" t="s">
        <v>1446</v>
      </c>
      <c r="I469" t="s">
        <v>2730</v>
      </c>
      <c r="J469" t="s">
        <v>1600</v>
      </c>
      <c r="K469" t="s">
        <v>1608</v>
      </c>
      <c r="L469" t="s">
        <v>1610</v>
      </c>
      <c r="M469" t="s">
        <v>1642</v>
      </c>
    </row>
    <row r="470" spans="1:13" x14ac:dyDescent="0.25">
      <c r="A470" t="s">
        <v>1</v>
      </c>
      <c r="B470" t="s">
        <v>406</v>
      </c>
      <c r="D470" t="s">
        <v>614</v>
      </c>
      <c r="E470" t="s">
        <v>2768</v>
      </c>
      <c r="F470" t="s">
        <v>2572</v>
      </c>
      <c r="G470" t="s">
        <v>2099</v>
      </c>
      <c r="H470" t="s">
        <v>1447</v>
      </c>
      <c r="I470" t="s">
        <v>2726</v>
      </c>
      <c r="J470" t="s">
        <v>1603</v>
      </c>
      <c r="K470" t="s">
        <v>1608</v>
      </c>
      <c r="L470" t="s">
        <v>1610</v>
      </c>
      <c r="M470" t="s">
        <v>1618</v>
      </c>
    </row>
    <row r="471" spans="1:13" x14ac:dyDescent="0.25">
      <c r="A471" t="s">
        <v>1</v>
      </c>
      <c r="B471" t="s">
        <v>407</v>
      </c>
      <c r="D471" t="s">
        <v>860</v>
      </c>
      <c r="E471" t="s">
        <v>2769</v>
      </c>
      <c r="F471" t="s">
        <v>2573</v>
      </c>
      <c r="G471" t="s">
        <v>2099</v>
      </c>
      <c r="H471" t="s">
        <v>1448</v>
      </c>
      <c r="I471" t="s">
        <v>2726</v>
      </c>
      <c r="J471" t="s">
        <v>1600</v>
      </c>
      <c r="K471" t="s">
        <v>1608</v>
      </c>
      <c r="L471" t="s">
        <v>1610</v>
      </c>
      <c r="M471" t="s">
        <v>1625</v>
      </c>
    </row>
    <row r="472" spans="1:13" x14ac:dyDescent="0.25">
      <c r="A472" t="s">
        <v>1</v>
      </c>
      <c r="B472" t="s">
        <v>408</v>
      </c>
      <c r="D472" t="s">
        <v>796</v>
      </c>
      <c r="E472" t="s">
        <v>2770</v>
      </c>
      <c r="F472" t="s">
        <v>2574</v>
      </c>
      <c r="G472" t="s">
        <v>2099</v>
      </c>
      <c r="H472" t="s">
        <v>1449</v>
      </c>
      <c r="I472" t="s">
        <v>2724</v>
      </c>
      <c r="J472" t="s">
        <v>1602</v>
      </c>
      <c r="K472" t="s">
        <v>1607</v>
      </c>
      <c r="L472" t="s">
        <v>1610</v>
      </c>
      <c r="M472" t="s">
        <v>1636</v>
      </c>
    </row>
    <row r="473" spans="1:13" x14ac:dyDescent="0.25">
      <c r="A473" t="s">
        <v>1</v>
      </c>
      <c r="B473" t="s">
        <v>409</v>
      </c>
      <c r="D473" t="s">
        <v>724</v>
      </c>
      <c r="E473" t="s">
        <v>2771</v>
      </c>
      <c r="F473" t="s">
        <v>2575</v>
      </c>
      <c r="G473" t="s">
        <v>2099</v>
      </c>
      <c r="H473" t="s">
        <v>1450</v>
      </c>
      <c r="I473" t="s">
        <v>2728</v>
      </c>
      <c r="J473" t="s">
        <v>1600</v>
      </c>
      <c r="K473" t="s">
        <v>1607</v>
      </c>
      <c r="L473" t="s">
        <v>1610</v>
      </c>
      <c r="M473" t="s">
        <v>1621</v>
      </c>
    </row>
    <row r="474" spans="1:13" x14ac:dyDescent="0.25">
      <c r="A474" t="s">
        <v>1</v>
      </c>
      <c r="B474" t="s">
        <v>410</v>
      </c>
      <c r="D474" t="s">
        <v>766</v>
      </c>
      <c r="E474" t="s">
        <v>2772</v>
      </c>
      <c r="F474" t="s">
        <v>2576</v>
      </c>
      <c r="G474" t="s">
        <v>2099</v>
      </c>
      <c r="H474" t="s">
        <v>1451</v>
      </c>
      <c r="I474" t="s">
        <v>2726</v>
      </c>
      <c r="J474" t="s">
        <v>1601</v>
      </c>
      <c r="K474" t="s">
        <v>1607</v>
      </c>
      <c r="L474" t="s">
        <v>1610</v>
      </c>
      <c r="M474" t="s">
        <v>1616</v>
      </c>
    </row>
    <row r="475" spans="1:13" x14ac:dyDescent="0.25">
      <c r="A475" t="s">
        <v>1</v>
      </c>
      <c r="B475" t="s">
        <v>411</v>
      </c>
      <c r="D475" t="s">
        <v>673</v>
      </c>
      <c r="E475" t="s">
        <v>2773</v>
      </c>
      <c r="F475" t="s">
        <v>2577</v>
      </c>
      <c r="G475" t="s">
        <v>2099</v>
      </c>
      <c r="H475" t="s">
        <v>1452</v>
      </c>
      <c r="I475" t="s">
        <v>2730</v>
      </c>
      <c r="J475" t="s">
        <v>1601</v>
      </c>
      <c r="K475" t="s">
        <v>1607</v>
      </c>
      <c r="L475" t="s">
        <v>1610</v>
      </c>
      <c r="M475" t="s">
        <v>1624</v>
      </c>
    </row>
    <row r="476" spans="1:13" x14ac:dyDescent="0.25">
      <c r="A476" t="s">
        <v>1</v>
      </c>
      <c r="B476" t="s">
        <v>411</v>
      </c>
      <c r="D476" t="s">
        <v>541</v>
      </c>
      <c r="E476" t="s">
        <v>2774</v>
      </c>
      <c r="F476" t="s">
        <v>2578</v>
      </c>
      <c r="G476" t="s">
        <v>2099</v>
      </c>
      <c r="H476" t="s">
        <v>1453</v>
      </c>
      <c r="I476" t="s">
        <v>2728</v>
      </c>
      <c r="J476" t="s">
        <v>1601</v>
      </c>
      <c r="K476" t="s">
        <v>1607</v>
      </c>
      <c r="L476" t="s">
        <v>1610</v>
      </c>
      <c r="M476" t="s">
        <v>1634</v>
      </c>
    </row>
    <row r="477" spans="1:13" x14ac:dyDescent="0.25">
      <c r="A477" t="s">
        <v>1</v>
      </c>
      <c r="B477" t="s">
        <v>412</v>
      </c>
      <c r="D477" t="s">
        <v>674</v>
      </c>
      <c r="E477" t="s">
        <v>2775</v>
      </c>
      <c r="F477" t="s">
        <v>2579</v>
      </c>
      <c r="G477" t="s">
        <v>2099</v>
      </c>
      <c r="H477" t="s">
        <v>1454</v>
      </c>
      <c r="I477" t="s">
        <v>2728</v>
      </c>
      <c r="J477" t="s">
        <v>1603</v>
      </c>
      <c r="K477" t="s">
        <v>1607</v>
      </c>
      <c r="L477" t="s">
        <v>1610</v>
      </c>
      <c r="M477" t="s">
        <v>1641</v>
      </c>
    </row>
    <row r="478" spans="1:13" x14ac:dyDescent="0.25">
      <c r="A478" t="s">
        <v>1</v>
      </c>
      <c r="B478" t="s">
        <v>413</v>
      </c>
      <c r="D478" t="s">
        <v>932</v>
      </c>
      <c r="E478" t="s">
        <v>2776</v>
      </c>
      <c r="F478" t="s">
        <v>2580</v>
      </c>
      <c r="G478" t="s">
        <v>2099</v>
      </c>
      <c r="H478" t="s">
        <v>1455</v>
      </c>
      <c r="I478" t="s">
        <v>2729</v>
      </c>
      <c r="J478" t="s">
        <v>1601</v>
      </c>
      <c r="K478" t="s">
        <v>1607</v>
      </c>
      <c r="L478" t="s">
        <v>1610</v>
      </c>
      <c r="M478" t="s">
        <v>1623</v>
      </c>
    </row>
    <row r="479" spans="1:13" x14ac:dyDescent="0.25">
      <c r="A479" t="s">
        <v>1</v>
      </c>
      <c r="B479" t="s">
        <v>414</v>
      </c>
      <c r="D479" t="s">
        <v>946</v>
      </c>
      <c r="E479" t="s">
        <v>2777</v>
      </c>
      <c r="F479" t="s">
        <v>2581</v>
      </c>
      <c r="G479" t="s">
        <v>2099</v>
      </c>
      <c r="H479" t="s">
        <v>1456</v>
      </c>
      <c r="I479" t="s">
        <v>2730</v>
      </c>
      <c r="J479" t="s">
        <v>1600</v>
      </c>
      <c r="K479" t="s">
        <v>1607</v>
      </c>
      <c r="L479" t="s">
        <v>1610</v>
      </c>
      <c r="M479" t="s">
        <v>1642</v>
      </c>
    </row>
    <row r="480" spans="1:13" x14ac:dyDescent="0.25">
      <c r="A480" t="s">
        <v>1</v>
      </c>
      <c r="B480" t="s">
        <v>415</v>
      </c>
      <c r="D480" t="s">
        <v>533</v>
      </c>
      <c r="E480" t="s">
        <v>2778</v>
      </c>
      <c r="F480" t="s">
        <v>2582</v>
      </c>
      <c r="G480" t="s">
        <v>2099</v>
      </c>
      <c r="H480" t="s">
        <v>1457</v>
      </c>
      <c r="I480" t="s">
        <v>2729</v>
      </c>
      <c r="J480" t="s">
        <v>1601</v>
      </c>
      <c r="K480" t="s">
        <v>1607</v>
      </c>
      <c r="L480" t="s">
        <v>1610</v>
      </c>
      <c r="M480" t="s">
        <v>1623</v>
      </c>
    </row>
    <row r="481" spans="1:13" x14ac:dyDescent="0.25">
      <c r="A481" t="s">
        <v>1</v>
      </c>
      <c r="B481" t="s">
        <v>416</v>
      </c>
      <c r="D481" t="s">
        <v>947</v>
      </c>
      <c r="E481" t="s">
        <v>2779</v>
      </c>
      <c r="F481" t="s">
        <v>2583</v>
      </c>
      <c r="G481" t="s">
        <v>2099</v>
      </c>
      <c r="H481" t="s">
        <v>1458</v>
      </c>
      <c r="I481" t="s">
        <v>2728</v>
      </c>
      <c r="J481" t="s">
        <v>1601</v>
      </c>
      <c r="K481" t="s">
        <v>1607</v>
      </c>
      <c r="L481" t="s">
        <v>1610</v>
      </c>
      <c r="M481" t="s">
        <v>1634</v>
      </c>
    </row>
    <row r="482" spans="1:13" x14ac:dyDescent="0.25">
      <c r="A482" t="s">
        <v>1</v>
      </c>
      <c r="B482" t="s">
        <v>417</v>
      </c>
      <c r="D482" t="s">
        <v>947</v>
      </c>
      <c r="E482" t="s">
        <v>2780</v>
      </c>
      <c r="F482" t="s">
        <v>2584</v>
      </c>
      <c r="G482" t="s">
        <v>2099</v>
      </c>
      <c r="H482" t="s">
        <v>1459</v>
      </c>
      <c r="I482" t="s">
        <v>2726</v>
      </c>
      <c r="J482" t="s">
        <v>1600</v>
      </c>
      <c r="K482" t="s">
        <v>1608</v>
      </c>
      <c r="L482" t="s">
        <v>1610</v>
      </c>
      <c r="M482" t="s">
        <v>1625</v>
      </c>
    </row>
    <row r="483" spans="1:13" x14ac:dyDescent="0.25">
      <c r="A483" t="s">
        <v>1</v>
      </c>
      <c r="B483" t="s">
        <v>418</v>
      </c>
      <c r="D483" t="s">
        <v>820</v>
      </c>
      <c r="E483" t="s">
        <v>2781</v>
      </c>
      <c r="F483" t="s">
        <v>2585</v>
      </c>
      <c r="G483" t="s">
        <v>2099</v>
      </c>
      <c r="H483" t="s">
        <v>1460</v>
      </c>
      <c r="I483" t="s">
        <v>2726</v>
      </c>
      <c r="J483" t="s">
        <v>1600</v>
      </c>
      <c r="K483" t="s">
        <v>1607</v>
      </c>
      <c r="L483" t="s">
        <v>1610</v>
      </c>
      <c r="M483" t="s">
        <v>1625</v>
      </c>
    </row>
    <row r="484" spans="1:13" x14ac:dyDescent="0.25">
      <c r="A484" t="s">
        <v>1</v>
      </c>
      <c r="B484" t="s">
        <v>419</v>
      </c>
      <c r="D484" t="s">
        <v>541</v>
      </c>
      <c r="E484" t="s">
        <v>2782</v>
      </c>
      <c r="F484" t="s">
        <v>2586</v>
      </c>
      <c r="G484" t="s">
        <v>2099</v>
      </c>
      <c r="H484" t="s">
        <v>1461</v>
      </c>
      <c r="I484" t="s">
        <v>2724</v>
      </c>
      <c r="J484" t="s">
        <v>1600</v>
      </c>
      <c r="K484" t="s">
        <v>1607</v>
      </c>
      <c r="L484" t="s">
        <v>1610</v>
      </c>
      <c r="M484" t="s">
        <v>1614</v>
      </c>
    </row>
    <row r="485" spans="1:13" x14ac:dyDescent="0.25">
      <c r="A485" t="s">
        <v>1</v>
      </c>
      <c r="B485" t="s">
        <v>420</v>
      </c>
      <c r="D485" t="s">
        <v>948</v>
      </c>
      <c r="E485" t="s">
        <v>2783</v>
      </c>
      <c r="F485" t="s">
        <v>2587</v>
      </c>
      <c r="G485" t="s">
        <v>2099</v>
      </c>
      <c r="H485" t="s">
        <v>1462</v>
      </c>
      <c r="I485" t="s">
        <v>2730</v>
      </c>
      <c r="J485" t="s">
        <v>1601</v>
      </c>
      <c r="K485" t="s">
        <v>1607</v>
      </c>
      <c r="L485" t="s">
        <v>1610</v>
      </c>
      <c r="M485" t="s">
        <v>1624</v>
      </c>
    </row>
    <row r="486" spans="1:13" x14ac:dyDescent="0.25">
      <c r="A486" t="s">
        <v>1</v>
      </c>
      <c r="B486" t="s">
        <v>421</v>
      </c>
      <c r="D486" t="s">
        <v>762</v>
      </c>
      <c r="E486" t="s">
        <v>2784</v>
      </c>
      <c r="F486" t="s">
        <v>2588</v>
      </c>
      <c r="G486" t="s">
        <v>2099</v>
      </c>
      <c r="H486" t="s">
        <v>1463</v>
      </c>
      <c r="I486" t="s">
        <v>2731</v>
      </c>
      <c r="J486" t="s">
        <v>1603</v>
      </c>
      <c r="K486" t="s">
        <v>1607</v>
      </c>
      <c r="L486" t="s">
        <v>1610</v>
      </c>
      <c r="M486" t="s">
        <v>1644</v>
      </c>
    </row>
    <row r="487" spans="1:13" x14ac:dyDescent="0.25">
      <c r="A487" t="s">
        <v>1</v>
      </c>
      <c r="B487" t="s">
        <v>421</v>
      </c>
      <c r="D487" t="s">
        <v>949</v>
      </c>
      <c r="E487" t="s">
        <v>2785</v>
      </c>
      <c r="F487" t="s">
        <v>2589</v>
      </c>
      <c r="G487" t="s">
        <v>2099</v>
      </c>
      <c r="H487" t="s">
        <v>1464</v>
      </c>
      <c r="I487" t="s">
        <v>2728</v>
      </c>
      <c r="J487" t="s">
        <v>1602</v>
      </c>
      <c r="K487" t="s">
        <v>1607</v>
      </c>
      <c r="L487" t="s">
        <v>1610</v>
      </c>
      <c r="M487" t="s">
        <v>1635</v>
      </c>
    </row>
    <row r="488" spans="1:13" x14ac:dyDescent="0.25">
      <c r="A488" t="s">
        <v>1</v>
      </c>
      <c r="B488" t="s">
        <v>421</v>
      </c>
      <c r="D488" t="s">
        <v>582</v>
      </c>
      <c r="E488" t="s">
        <v>2786</v>
      </c>
      <c r="F488" t="s">
        <v>2590</v>
      </c>
      <c r="G488" t="s">
        <v>2099</v>
      </c>
      <c r="H488" t="s">
        <v>1465</v>
      </c>
      <c r="I488" t="s">
        <v>2730</v>
      </c>
      <c r="J488" t="s">
        <v>1602</v>
      </c>
      <c r="K488" t="s">
        <v>1607</v>
      </c>
      <c r="L488" t="s">
        <v>1610</v>
      </c>
      <c r="M488" t="s">
        <v>1626</v>
      </c>
    </row>
    <row r="489" spans="1:13" x14ac:dyDescent="0.25">
      <c r="A489" t="s">
        <v>1</v>
      </c>
      <c r="B489" t="s">
        <v>422</v>
      </c>
      <c r="D489" t="s">
        <v>950</v>
      </c>
      <c r="E489" t="s">
        <v>2787</v>
      </c>
      <c r="F489" t="s">
        <v>2591</v>
      </c>
      <c r="G489" t="s">
        <v>2099</v>
      </c>
      <c r="H489" t="s">
        <v>1466</v>
      </c>
      <c r="I489" t="s">
        <v>2729</v>
      </c>
      <c r="J489" t="s">
        <v>1601</v>
      </c>
      <c r="K489" t="s">
        <v>1607</v>
      </c>
      <c r="L489" t="s">
        <v>1610</v>
      </c>
      <c r="M489" t="s">
        <v>1623</v>
      </c>
    </row>
    <row r="490" spans="1:13" x14ac:dyDescent="0.25">
      <c r="A490" t="s">
        <v>1</v>
      </c>
      <c r="B490" t="s">
        <v>423</v>
      </c>
      <c r="D490" t="s">
        <v>593</v>
      </c>
      <c r="E490" t="s">
        <v>2788</v>
      </c>
      <c r="F490" t="s">
        <v>2592</v>
      </c>
      <c r="G490" t="s">
        <v>2099</v>
      </c>
      <c r="H490" t="s">
        <v>1467</v>
      </c>
      <c r="I490" t="s">
        <v>2728</v>
      </c>
      <c r="J490" t="s">
        <v>1602</v>
      </c>
      <c r="K490" t="s">
        <v>1607</v>
      </c>
      <c r="L490" t="s">
        <v>1610</v>
      </c>
      <c r="M490" t="s">
        <v>1635</v>
      </c>
    </row>
    <row r="491" spans="1:13" x14ac:dyDescent="0.25">
      <c r="A491" t="s">
        <v>1</v>
      </c>
      <c r="B491" t="s">
        <v>424</v>
      </c>
      <c r="D491" t="s">
        <v>951</v>
      </c>
      <c r="E491" t="s">
        <v>2789</v>
      </c>
      <c r="F491" t="s">
        <v>2593</v>
      </c>
      <c r="G491" t="s">
        <v>2099</v>
      </c>
      <c r="H491" t="s">
        <v>1468</v>
      </c>
      <c r="I491" t="s">
        <v>2724</v>
      </c>
      <c r="J491" t="s">
        <v>1601</v>
      </c>
      <c r="K491" t="s">
        <v>1607</v>
      </c>
      <c r="L491" t="s">
        <v>1610</v>
      </c>
      <c r="M491" t="s">
        <v>1630</v>
      </c>
    </row>
    <row r="492" spans="1:13" x14ac:dyDescent="0.25">
      <c r="A492" t="s">
        <v>1</v>
      </c>
      <c r="B492" t="s">
        <v>424</v>
      </c>
      <c r="D492" t="s">
        <v>541</v>
      </c>
      <c r="E492" t="s">
        <v>2790</v>
      </c>
      <c r="F492" t="s">
        <v>2594</v>
      </c>
      <c r="G492" t="s">
        <v>2099</v>
      </c>
      <c r="H492" t="s">
        <v>1469</v>
      </c>
      <c r="I492" t="s">
        <v>2730</v>
      </c>
      <c r="J492" t="s">
        <v>1601</v>
      </c>
      <c r="K492" t="s">
        <v>1607</v>
      </c>
      <c r="L492" t="s">
        <v>1610</v>
      </c>
      <c r="M492" t="s">
        <v>1624</v>
      </c>
    </row>
    <row r="493" spans="1:13" x14ac:dyDescent="0.25">
      <c r="A493" t="s">
        <v>1</v>
      </c>
      <c r="B493" t="s">
        <v>424</v>
      </c>
      <c r="D493" t="s">
        <v>674</v>
      </c>
      <c r="E493" t="s">
        <v>2791</v>
      </c>
      <c r="F493" t="s">
        <v>2595</v>
      </c>
      <c r="G493" t="s">
        <v>2099</v>
      </c>
      <c r="H493" t="s">
        <v>1470</v>
      </c>
      <c r="I493" t="s">
        <v>2728</v>
      </c>
      <c r="J493" t="s">
        <v>1600</v>
      </c>
      <c r="K493" t="s">
        <v>1607</v>
      </c>
      <c r="L493" t="s">
        <v>1610</v>
      </c>
      <c r="M493" t="s">
        <v>1621</v>
      </c>
    </row>
    <row r="494" spans="1:13" x14ac:dyDescent="0.25">
      <c r="A494" t="s">
        <v>1</v>
      </c>
      <c r="B494" t="s">
        <v>425</v>
      </c>
      <c r="D494" t="s">
        <v>782</v>
      </c>
      <c r="E494" t="s">
        <v>2792</v>
      </c>
      <c r="F494" t="s">
        <v>2596</v>
      </c>
      <c r="G494" t="s">
        <v>2099</v>
      </c>
      <c r="H494" t="s">
        <v>1471</v>
      </c>
      <c r="I494" t="s">
        <v>2734</v>
      </c>
      <c r="J494" t="s">
        <v>1603</v>
      </c>
      <c r="K494" t="s">
        <v>1607</v>
      </c>
      <c r="L494" t="s">
        <v>1610</v>
      </c>
      <c r="M494" t="s">
        <v>1650</v>
      </c>
    </row>
    <row r="495" spans="1:13" x14ac:dyDescent="0.25">
      <c r="A495" t="s">
        <v>1</v>
      </c>
      <c r="B495" t="s">
        <v>426</v>
      </c>
      <c r="D495" t="s">
        <v>946</v>
      </c>
      <c r="E495" t="s">
        <v>2793</v>
      </c>
      <c r="F495" t="s">
        <v>2597</v>
      </c>
      <c r="G495" t="s">
        <v>2099</v>
      </c>
      <c r="H495" t="s">
        <v>1472</v>
      </c>
      <c r="I495" t="s">
        <v>2726</v>
      </c>
      <c r="J495" t="s">
        <v>1604</v>
      </c>
      <c r="K495" t="s">
        <v>1607</v>
      </c>
      <c r="L495" t="s">
        <v>1610</v>
      </c>
      <c r="M495" t="s">
        <v>1620</v>
      </c>
    </row>
    <row r="496" spans="1:13" x14ac:dyDescent="0.25">
      <c r="A496" t="s">
        <v>1</v>
      </c>
      <c r="B496" t="s">
        <v>427</v>
      </c>
      <c r="D496" t="s">
        <v>805</v>
      </c>
      <c r="E496" t="s">
        <v>2794</v>
      </c>
      <c r="F496" t="s">
        <v>2598</v>
      </c>
      <c r="G496" t="s">
        <v>2099</v>
      </c>
      <c r="H496" t="s">
        <v>1473</v>
      </c>
      <c r="I496" t="s">
        <v>2726</v>
      </c>
      <c r="J496" t="s">
        <v>1601</v>
      </c>
      <c r="K496" t="s">
        <v>1608</v>
      </c>
      <c r="L496" t="s">
        <v>1610</v>
      </c>
      <c r="M496" t="s">
        <v>1616</v>
      </c>
    </row>
    <row r="497" spans="1:13" x14ac:dyDescent="0.25">
      <c r="A497" t="s">
        <v>1</v>
      </c>
      <c r="B497" t="s">
        <v>428</v>
      </c>
      <c r="D497" t="s">
        <v>952</v>
      </c>
      <c r="E497" t="s">
        <v>2795</v>
      </c>
      <c r="F497" t="s">
        <v>2599</v>
      </c>
      <c r="G497" t="s">
        <v>2099</v>
      </c>
      <c r="H497" t="s">
        <v>1474</v>
      </c>
      <c r="I497" t="s">
        <v>2730</v>
      </c>
      <c r="J497" t="s">
        <v>1602</v>
      </c>
      <c r="K497" t="s">
        <v>1607</v>
      </c>
      <c r="L497" t="s">
        <v>1610</v>
      </c>
      <c r="M497" t="s">
        <v>1626</v>
      </c>
    </row>
    <row r="498" spans="1:13" x14ac:dyDescent="0.25">
      <c r="A498" t="s">
        <v>1</v>
      </c>
      <c r="B498" t="s">
        <v>429</v>
      </c>
      <c r="D498" t="s">
        <v>953</v>
      </c>
      <c r="E498" t="s">
        <v>2796</v>
      </c>
      <c r="F498" t="s">
        <v>2600</v>
      </c>
      <c r="G498" t="s">
        <v>2099</v>
      </c>
      <c r="H498" t="s">
        <v>1475</v>
      </c>
      <c r="I498" t="s">
        <v>2726</v>
      </c>
      <c r="J498" t="s">
        <v>1603</v>
      </c>
      <c r="K498" t="s">
        <v>1607</v>
      </c>
      <c r="L498" t="s">
        <v>1610</v>
      </c>
      <c r="M498" t="s">
        <v>1618</v>
      </c>
    </row>
    <row r="499" spans="1:13" x14ac:dyDescent="0.25">
      <c r="A499" t="s">
        <v>1</v>
      </c>
      <c r="B499" t="s">
        <v>430</v>
      </c>
      <c r="D499" t="s">
        <v>792</v>
      </c>
      <c r="E499" t="s">
        <v>2797</v>
      </c>
      <c r="F499" t="s">
        <v>2601</v>
      </c>
      <c r="G499" t="s">
        <v>2099</v>
      </c>
      <c r="H499" t="s">
        <v>1476</v>
      </c>
      <c r="I499" t="s">
        <v>2725</v>
      </c>
      <c r="J499" t="s">
        <v>1603</v>
      </c>
      <c r="K499" t="s">
        <v>1608</v>
      </c>
      <c r="L499" t="s">
        <v>1610</v>
      </c>
      <c r="M499" t="s">
        <v>1627</v>
      </c>
    </row>
    <row r="500" spans="1:13" x14ac:dyDescent="0.25">
      <c r="A500" t="s">
        <v>1</v>
      </c>
      <c r="B500" t="s">
        <v>431</v>
      </c>
      <c r="D500" t="s">
        <v>954</v>
      </c>
      <c r="E500" t="s">
        <v>2798</v>
      </c>
      <c r="F500" t="s">
        <v>2602</v>
      </c>
      <c r="G500" t="s">
        <v>2099</v>
      </c>
      <c r="H500" t="s">
        <v>1477</v>
      </c>
      <c r="I500" t="s">
        <v>2731</v>
      </c>
      <c r="J500" t="s">
        <v>1601</v>
      </c>
      <c r="K500" t="s">
        <v>1607</v>
      </c>
      <c r="L500" t="s">
        <v>1610</v>
      </c>
      <c r="M500" t="s">
        <v>1645</v>
      </c>
    </row>
    <row r="501" spans="1:13" x14ac:dyDescent="0.25">
      <c r="A501" t="s">
        <v>1</v>
      </c>
      <c r="B501" t="s">
        <v>432</v>
      </c>
      <c r="D501" t="s">
        <v>747</v>
      </c>
      <c r="E501" t="s">
        <v>2799</v>
      </c>
      <c r="F501" t="s">
        <v>2603</v>
      </c>
      <c r="G501" t="s">
        <v>2099</v>
      </c>
      <c r="H501" t="s">
        <v>1478</v>
      </c>
      <c r="I501" t="s">
        <v>2734</v>
      </c>
      <c r="J501" t="s">
        <v>1602</v>
      </c>
      <c r="K501" t="s">
        <v>1607</v>
      </c>
      <c r="L501" t="s">
        <v>1610</v>
      </c>
      <c r="M501" t="s">
        <v>1640</v>
      </c>
    </row>
    <row r="502" spans="1:13" x14ac:dyDescent="0.25">
      <c r="A502" t="s">
        <v>1</v>
      </c>
      <c r="B502" t="s">
        <v>433</v>
      </c>
      <c r="D502" t="s">
        <v>593</v>
      </c>
      <c r="E502" t="s">
        <v>2800</v>
      </c>
      <c r="F502" t="s">
        <v>2604</v>
      </c>
      <c r="G502" t="s">
        <v>2099</v>
      </c>
      <c r="H502" t="s">
        <v>1479</v>
      </c>
      <c r="I502" t="s">
        <v>2728</v>
      </c>
      <c r="J502" t="s">
        <v>1600</v>
      </c>
      <c r="K502" t="s">
        <v>1608</v>
      </c>
      <c r="L502" t="s">
        <v>1610</v>
      </c>
      <c r="M502" t="s">
        <v>1621</v>
      </c>
    </row>
    <row r="503" spans="1:13" x14ac:dyDescent="0.25">
      <c r="A503" t="s">
        <v>1</v>
      </c>
      <c r="B503" t="s">
        <v>434</v>
      </c>
      <c r="D503" t="s">
        <v>546</v>
      </c>
      <c r="E503" t="s">
        <v>2801</v>
      </c>
      <c r="F503" t="s">
        <v>2605</v>
      </c>
      <c r="G503" t="s">
        <v>2099</v>
      </c>
      <c r="H503" t="s">
        <v>1480</v>
      </c>
      <c r="I503" t="s">
        <v>2732</v>
      </c>
      <c r="J503" t="s">
        <v>1603</v>
      </c>
      <c r="K503" t="s">
        <v>1608</v>
      </c>
      <c r="L503" t="s">
        <v>1610</v>
      </c>
      <c r="M503" t="s">
        <v>1637</v>
      </c>
    </row>
    <row r="504" spans="1:13" x14ac:dyDescent="0.25">
      <c r="A504" t="s">
        <v>1</v>
      </c>
      <c r="B504" t="s">
        <v>435</v>
      </c>
      <c r="D504" t="s">
        <v>542</v>
      </c>
      <c r="E504" t="s">
        <v>2802</v>
      </c>
      <c r="F504" t="s">
        <v>2606</v>
      </c>
      <c r="G504" t="s">
        <v>2099</v>
      </c>
      <c r="H504" t="s">
        <v>1481</v>
      </c>
      <c r="I504" t="s">
        <v>2727</v>
      </c>
      <c r="J504" t="s">
        <v>1601</v>
      </c>
      <c r="K504" t="s">
        <v>1608</v>
      </c>
      <c r="L504" t="s">
        <v>1610</v>
      </c>
      <c r="M504" t="s">
        <v>1629</v>
      </c>
    </row>
    <row r="505" spans="1:13" x14ac:dyDescent="0.25">
      <c r="A505" t="s">
        <v>1</v>
      </c>
      <c r="B505" t="s">
        <v>436</v>
      </c>
      <c r="D505" t="s">
        <v>533</v>
      </c>
      <c r="E505" t="s">
        <v>2803</v>
      </c>
      <c r="F505" t="s">
        <v>2607</v>
      </c>
      <c r="G505" t="s">
        <v>2099</v>
      </c>
      <c r="H505" t="s">
        <v>1482</v>
      </c>
      <c r="I505" t="s">
        <v>2726</v>
      </c>
      <c r="J505" t="s">
        <v>1603</v>
      </c>
      <c r="K505" t="s">
        <v>1608</v>
      </c>
      <c r="L505" t="s">
        <v>1610</v>
      </c>
      <c r="M505" t="s">
        <v>1618</v>
      </c>
    </row>
    <row r="506" spans="1:13" x14ac:dyDescent="0.25">
      <c r="A506" t="s">
        <v>1</v>
      </c>
      <c r="B506" t="s">
        <v>437</v>
      </c>
      <c r="D506" t="s">
        <v>533</v>
      </c>
      <c r="E506" t="s">
        <v>2804</v>
      </c>
      <c r="F506" t="s">
        <v>2608</v>
      </c>
      <c r="G506" t="s">
        <v>2099</v>
      </c>
      <c r="H506" t="s">
        <v>1483</v>
      </c>
      <c r="I506" t="s">
        <v>2731</v>
      </c>
      <c r="J506" t="s">
        <v>1603</v>
      </c>
      <c r="K506" t="s">
        <v>1608</v>
      </c>
      <c r="L506" t="s">
        <v>1610</v>
      </c>
      <c r="M506" t="s">
        <v>1644</v>
      </c>
    </row>
    <row r="507" spans="1:13" x14ac:dyDescent="0.25">
      <c r="A507" t="s">
        <v>1</v>
      </c>
      <c r="B507" t="s">
        <v>438</v>
      </c>
      <c r="D507" t="s">
        <v>199</v>
      </c>
      <c r="E507" t="s">
        <v>2805</v>
      </c>
      <c r="F507" t="s">
        <v>2609</v>
      </c>
      <c r="G507" t="s">
        <v>2099</v>
      </c>
      <c r="H507" t="s">
        <v>1484</v>
      </c>
      <c r="I507" t="s">
        <v>2726</v>
      </c>
      <c r="J507" t="s">
        <v>1602</v>
      </c>
      <c r="K507" t="s">
        <v>1608</v>
      </c>
      <c r="L507" t="s">
        <v>1610</v>
      </c>
      <c r="M507" t="s">
        <v>1617</v>
      </c>
    </row>
    <row r="508" spans="1:13" x14ac:dyDescent="0.25">
      <c r="A508" t="s">
        <v>1</v>
      </c>
      <c r="B508" t="s">
        <v>438</v>
      </c>
      <c r="D508" t="s">
        <v>792</v>
      </c>
      <c r="E508" t="s">
        <v>2806</v>
      </c>
      <c r="F508" t="s">
        <v>2610</v>
      </c>
      <c r="G508" t="s">
        <v>2099</v>
      </c>
      <c r="H508" t="s">
        <v>1485</v>
      </c>
      <c r="I508" t="s">
        <v>2726</v>
      </c>
      <c r="J508" t="s">
        <v>1602</v>
      </c>
      <c r="K508" t="s">
        <v>1608</v>
      </c>
      <c r="L508" t="s">
        <v>1610</v>
      </c>
      <c r="M508" t="s">
        <v>1617</v>
      </c>
    </row>
    <row r="509" spans="1:13" x14ac:dyDescent="0.25">
      <c r="A509" t="s">
        <v>1</v>
      </c>
      <c r="B509" t="s">
        <v>439</v>
      </c>
      <c r="D509" t="s">
        <v>769</v>
      </c>
      <c r="E509" t="s">
        <v>2807</v>
      </c>
      <c r="F509" t="s">
        <v>2611</v>
      </c>
      <c r="G509" t="s">
        <v>2099</v>
      </c>
      <c r="H509" t="s">
        <v>1486</v>
      </c>
      <c r="I509" t="s">
        <v>2729</v>
      </c>
      <c r="J509" t="s">
        <v>1602</v>
      </c>
      <c r="K509" t="s">
        <v>1608</v>
      </c>
      <c r="L509" t="s">
        <v>1610</v>
      </c>
      <c r="M509" t="s">
        <v>1638</v>
      </c>
    </row>
    <row r="510" spans="1:13" x14ac:dyDescent="0.25">
      <c r="A510" t="s">
        <v>1</v>
      </c>
      <c r="B510" t="s">
        <v>440</v>
      </c>
      <c r="D510" t="s">
        <v>582</v>
      </c>
      <c r="E510" t="s">
        <v>2808</v>
      </c>
      <c r="F510" t="s">
        <v>2612</v>
      </c>
      <c r="G510" t="s">
        <v>2099</v>
      </c>
      <c r="H510" t="s">
        <v>1487</v>
      </c>
      <c r="I510" t="s">
        <v>2731</v>
      </c>
      <c r="J510" t="s">
        <v>1601</v>
      </c>
      <c r="K510" t="s">
        <v>1608</v>
      </c>
      <c r="L510" t="s">
        <v>1610</v>
      </c>
      <c r="M510" t="s">
        <v>1645</v>
      </c>
    </row>
    <row r="511" spans="1:13" x14ac:dyDescent="0.25">
      <c r="A511" t="s">
        <v>1</v>
      </c>
      <c r="B511" t="s">
        <v>441</v>
      </c>
      <c r="D511" t="s">
        <v>673</v>
      </c>
      <c r="E511" t="s">
        <v>2809</v>
      </c>
      <c r="F511" t="s">
        <v>2613</v>
      </c>
      <c r="G511" t="s">
        <v>2099</v>
      </c>
      <c r="H511" t="s">
        <v>1488</v>
      </c>
      <c r="I511" t="s">
        <v>2726</v>
      </c>
      <c r="J511" t="s">
        <v>1604</v>
      </c>
      <c r="K511" t="s">
        <v>1608</v>
      </c>
      <c r="L511" t="s">
        <v>1610</v>
      </c>
      <c r="M511" t="s">
        <v>1620</v>
      </c>
    </row>
    <row r="512" spans="1:13" x14ac:dyDescent="0.25">
      <c r="A512" t="s">
        <v>1</v>
      </c>
      <c r="B512" t="s">
        <v>442</v>
      </c>
      <c r="D512" t="s">
        <v>807</v>
      </c>
      <c r="E512" t="s">
        <v>2810</v>
      </c>
      <c r="F512" t="s">
        <v>2614</v>
      </c>
      <c r="G512" t="s">
        <v>2099</v>
      </c>
      <c r="H512" t="s">
        <v>1489</v>
      </c>
      <c r="I512" t="s">
        <v>2726</v>
      </c>
      <c r="J512" t="s">
        <v>1601</v>
      </c>
      <c r="K512" t="s">
        <v>1608</v>
      </c>
      <c r="L512" t="s">
        <v>1610</v>
      </c>
      <c r="M512" t="s">
        <v>1616</v>
      </c>
    </row>
    <row r="513" spans="1:13" x14ac:dyDescent="0.25">
      <c r="A513" t="s">
        <v>1</v>
      </c>
      <c r="B513" t="s">
        <v>443</v>
      </c>
      <c r="D513" t="s">
        <v>708</v>
      </c>
      <c r="E513" t="s">
        <v>2811</v>
      </c>
      <c r="F513" t="s">
        <v>2615</v>
      </c>
      <c r="G513" t="s">
        <v>2099</v>
      </c>
      <c r="H513" t="s">
        <v>1490</v>
      </c>
      <c r="I513" t="s">
        <v>2727</v>
      </c>
      <c r="J513" t="s">
        <v>1600</v>
      </c>
      <c r="K513" t="s">
        <v>1608</v>
      </c>
      <c r="L513" t="s">
        <v>1610</v>
      </c>
      <c r="M513" t="s">
        <v>1619</v>
      </c>
    </row>
    <row r="514" spans="1:13" x14ac:dyDescent="0.25">
      <c r="A514" t="s">
        <v>1</v>
      </c>
      <c r="B514" t="s">
        <v>444</v>
      </c>
      <c r="D514" t="s">
        <v>888</v>
      </c>
      <c r="E514" t="s">
        <v>2812</v>
      </c>
      <c r="F514" t="s">
        <v>2616</v>
      </c>
      <c r="G514" t="s">
        <v>2099</v>
      </c>
      <c r="H514" t="s">
        <v>1491</v>
      </c>
      <c r="I514" t="s">
        <v>2727</v>
      </c>
      <c r="J514" t="s">
        <v>1601</v>
      </c>
      <c r="K514" t="s">
        <v>1608</v>
      </c>
      <c r="L514" t="s">
        <v>1610</v>
      </c>
      <c r="M514" t="s">
        <v>1629</v>
      </c>
    </row>
    <row r="515" spans="1:13" x14ac:dyDescent="0.25">
      <c r="A515" t="s">
        <v>1</v>
      </c>
      <c r="B515" t="s">
        <v>445</v>
      </c>
      <c r="D515" t="s">
        <v>533</v>
      </c>
      <c r="E515" t="s">
        <v>2813</v>
      </c>
      <c r="F515" t="s">
        <v>2617</v>
      </c>
      <c r="G515" t="s">
        <v>2099</v>
      </c>
      <c r="H515" t="s">
        <v>1492</v>
      </c>
      <c r="I515" t="s">
        <v>2726</v>
      </c>
      <c r="J515" t="s">
        <v>1601</v>
      </c>
      <c r="K515" t="s">
        <v>1608</v>
      </c>
      <c r="L515" t="s">
        <v>1610</v>
      </c>
      <c r="M515" t="s">
        <v>1616</v>
      </c>
    </row>
    <row r="516" spans="1:13" x14ac:dyDescent="0.25">
      <c r="A516" t="s">
        <v>1</v>
      </c>
      <c r="B516" t="s">
        <v>446</v>
      </c>
      <c r="D516" t="s">
        <v>955</v>
      </c>
      <c r="E516" t="s">
        <v>2814</v>
      </c>
      <c r="F516" t="s">
        <v>2618</v>
      </c>
      <c r="G516" t="s">
        <v>2099</v>
      </c>
      <c r="H516" t="s">
        <v>1493</v>
      </c>
      <c r="I516" t="s">
        <v>2726</v>
      </c>
      <c r="J516" t="s">
        <v>1603</v>
      </c>
      <c r="K516" t="s">
        <v>1608</v>
      </c>
      <c r="L516" t="s">
        <v>1610</v>
      </c>
      <c r="M516" t="s">
        <v>1618</v>
      </c>
    </row>
    <row r="517" spans="1:13" x14ac:dyDescent="0.25">
      <c r="A517" t="s">
        <v>1</v>
      </c>
      <c r="B517" t="s">
        <v>447</v>
      </c>
      <c r="D517" t="s">
        <v>956</v>
      </c>
      <c r="E517" t="s">
        <v>2815</v>
      </c>
      <c r="F517" t="s">
        <v>2619</v>
      </c>
      <c r="G517" t="s">
        <v>2099</v>
      </c>
      <c r="H517" t="s">
        <v>1494</v>
      </c>
      <c r="I517" t="s">
        <v>2730</v>
      </c>
      <c r="J517" t="s">
        <v>1602</v>
      </c>
      <c r="K517" t="s">
        <v>1608</v>
      </c>
      <c r="L517" t="s">
        <v>1610</v>
      </c>
      <c r="M517" t="s">
        <v>1626</v>
      </c>
    </row>
    <row r="518" spans="1:13" x14ac:dyDescent="0.25">
      <c r="A518" t="s">
        <v>1</v>
      </c>
      <c r="B518" t="s">
        <v>448</v>
      </c>
      <c r="D518" t="s">
        <v>957</v>
      </c>
      <c r="E518" t="s">
        <v>2816</v>
      </c>
      <c r="F518" t="s">
        <v>2620</v>
      </c>
      <c r="G518" t="s">
        <v>2099</v>
      </c>
      <c r="H518" t="s">
        <v>1495</v>
      </c>
      <c r="I518" t="s">
        <v>2726</v>
      </c>
      <c r="J518" t="s">
        <v>1601</v>
      </c>
      <c r="K518" t="s">
        <v>1608</v>
      </c>
      <c r="L518" t="s">
        <v>1612</v>
      </c>
      <c r="M518" t="s">
        <v>1616</v>
      </c>
    </row>
    <row r="519" spans="1:13" x14ac:dyDescent="0.25">
      <c r="A519" t="s">
        <v>1</v>
      </c>
      <c r="B519" t="s">
        <v>449</v>
      </c>
      <c r="D519" t="s">
        <v>673</v>
      </c>
      <c r="E519" t="s">
        <v>2817</v>
      </c>
      <c r="F519" t="s">
        <v>2621</v>
      </c>
      <c r="G519" t="s">
        <v>2099</v>
      </c>
      <c r="H519" t="s">
        <v>1496</v>
      </c>
      <c r="I519" t="s">
        <v>2729</v>
      </c>
      <c r="J519" t="s">
        <v>1600</v>
      </c>
      <c r="K519" t="s">
        <v>1608</v>
      </c>
      <c r="L519" t="s">
        <v>1610</v>
      </c>
      <c r="M519" t="s">
        <v>1631</v>
      </c>
    </row>
    <row r="520" spans="1:13" x14ac:dyDescent="0.25">
      <c r="A520" t="s">
        <v>1</v>
      </c>
      <c r="B520" t="s">
        <v>450</v>
      </c>
      <c r="D520" t="s">
        <v>573</v>
      </c>
      <c r="E520" t="s">
        <v>2818</v>
      </c>
      <c r="F520" t="s">
        <v>2622</v>
      </c>
      <c r="G520" t="s">
        <v>2099</v>
      </c>
      <c r="H520" t="s">
        <v>1497</v>
      </c>
      <c r="I520" t="s">
        <v>2726</v>
      </c>
      <c r="J520" t="s">
        <v>1602</v>
      </c>
      <c r="K520" t="s">
        <v>1608</v>
      </c>
      <c r="L520" t="s">
        <v>1610</v>
      </c>
      <c r="M520" t="s">
        <v>1617</v>
      </c>
    </row>
    <row r="521" spans="1:13" x14ac:dyDescent="0.25">
      <c r="A521" t="s">
        <v>1</v>
      </c>
      <c r="B521" t="s">
        <v>451</v>
      </c>
      <c r="D521" t="s">
        <v>562</v>
      </c>
      <c r="E521" t="s">
        <v>2819</v>
      </c>
      <c r="F521" t="s">
        <v>2623</v>
      </c>
      <c r="G521" t="s">
        <v>2099</v>
      </c>
      <c r="H521" t="s">
        <v>1498</v>
      </c>
      <c r="I521" t="s">
        <v>2728</v>
      </c>
      <c r="J521" t="s">
        <v>1600</v>
      </c>
      <c r="K521" t="s">
        <v>1608</v>
      </c>
      <c r="L521" t="s">
        <v>1610</v>
      </c>
      <c r="M521" t="s">
        <v>1621</v>
      </c>
    </row>
    <row r="522" spans="1:13" x14ac:dyDescent="0.25">
      <c r="A522" t="s">
        <v>1</v>
      </c>
      <c r="B522" t="s">
        <v>452</v>
      </c>
      <c r="D522" t="s">
        <v>773</v>
      </c>
      <c r="E522" t="s">
        <v>2820</v>
      </c>
      <c r="F522" t="s">
        <v>2624</v>
      </c>
      <c r="G522" t="s">
        <v>2099</v>
      </c>
      <c r="H522" t="s">
        <v>1499</v>
      </c>
      <c r="I522" t="s">
        <v>2727</v>
      </c>
      <c r="J522" t="s">
        <v>1601</v>
      </c>
      <c r="K522" t="s">
        <v>1608</v>
      </c>
      <c r="L522" t="s">
        <v>1610</v>
      </c>
      <c r="M522" t="s">
        <v>1629</v>
      </c>
    </row>
    <row r="523" spans="1:13" x14ac:dyDescent="0.25">
      <c r="A523" t="s">
        <v>1</v>
      </c>
      <c r="B523" t="s">
        <v>453</v>
      </c>
      <c r="D523" t="s">
        <v>574</v>
      </c>
      <c r="E523" t="s">
        <v>2821</v>
      </c>
      <c r="F523" t="s">
        <v>2625</v>
      </c>
      <c r="G523" t="s">
        <v>2099</v>
      </c>
      <c r="H523" t="s">
        <v>1500</v>
      </c>
      <c r="I523" t="s">
        <v>2728</v>
      </c>
      <c r="J523" t="s">
        <v>1602</v>
      </c>
      <c r="K523" t="s">
        <v>1607</v>
      </c>
      <c r="L523" t="s">
        <v>1610</v>
      </c>
      <c r="M523" t="s">
        <v>1635</v>
      </c>
    </row>
    <row r="524" spans="1:13" x14ac:dyDescent="0.25">
      <c r="A524" t="s">
        <v>1</v>
      </c>
      <c r="B524" t="s">
        <v>454</v>
      </c>
      <c r="D524" t="s">
        <v>674</v>
      </c>
      <c r="E524" t="s">
        <v>2822</v>
      </c>
      <c r="F524" t="s">
        <v>2626</v>
      </c>
      <c r="G524" t="s">
        <v>2099</v>
      </c>
      <c r="H524" t="s">
        <v>1501</v>
      </c>
      <c r="I524" t="s">
        <v>2724</v>
      </c>
      <c r="J524" t="s">
        <v>1602</v>
      </c>
      <c r="K524" t="s">
        <v>1607</v>
      </c>
      <c r="L524" t="s">
        <v>1610</v>
      </c>
      <c r="M524" t="s">
        <v>1636</v>
      </c>
    </row>
    <row r="525" spans="1:13" x14ac:dyDescent="0.25">
      <c r="A525" t="s">
        <v>1</v>
      </c>
      <c r="B525" t="s">
        <v>455</v>
      </c>
      <c r="D525" t="s">
        <v>808</v>
      </c>
      <c r="E525" t="s">
        <v>2823</v>
      </c>
      <c r="F525" t="s">
        <v>2627</v>
      </c>
      <c r="G525" t="s">
        <v>2099</v>
      </c>
      <c r="H525" t="s">
        <v>1502</v>
      </c>
      <c r="I525" t="s">
        <v>2730</v>
      </c>
      <c r="J525" t="s">
        <v>1602</v>
      </c>
      <c r="K525" t="s">
        <v>1607</v>
      </c>
      <c r="L525" t="s">
        <v>1610</v>
      </c>
      <c r="M525" t="s">
        <v>1626</v>
      </c>
    </row>
    <row r="526" spans="1:13" x14ac:dyDescent="0.25">
      <c r="A526" t="s">
        <v>1</v>
      </c>
      <c r="B526" t="s">
        <v>456</v>
      </c>
      <c r="D526" t="s">
        <v>709</v>
      </c>
      <c r="E526" t="s">
        <v>2824</v>
      </c>
      <c r="F526" t="s">
        <v>2628</v>
      </c>
      <c r="G526" t="s">
        <v>2099</v>
      </c>
      <c r="H526" t="s">
        <v>1503</v>
      </c>
      <c r="I526" t="s">
        <v>2729</v>
      </c>
      <c r="J526" t="s">
        <v>1603</v>
      </c>
      <c r="K526" t="s">
        <v>1607</v>
      </c>
      <c r="L526" t="s">
        <v>1610</v>
      </c>
      <c r="M526" t="s">
        <v>1622</v>
      </c>
    </row>
    <row r="527" spans="1:13" x14ac:dyDescent="0.25">
      <c r="A527" t="s">
        <v>1</v>
      </c>
      <c r="B527" t="s">
        <v>457</v>
      </c>
      <c r="D527" t="s">
        <v>555</v>
      </c>
      <c r="E527" t="s">
        <v>2825</v>
      </c>
      <c r="F527" t="s">
        <v>2629</v>
      </c>
      <c r="G527" t="s">
        <v>2099</v>
      </c>
      <c r="H527" t="s">
        <v>1504</v>
      </c>
      <c r="I527" t="s">
        <v>2728</v>
      </c>
      <c r="J527" t="s">
        <v>1602</v>
      </c>
      <c r="K527" t="s">
        <v>1607</v>
      </c>
      <c r="L527" t="s">
        <v>1610</v>
      </c>
      <c r="M527" t="s">
        <v>1635</v>
      </c>
    </row>
    <row r="528" spans="1:13" x14ac:dyDescent="0.25">
      <c r="A528" t="s">
        <v>1</v>
      </c>
      <c r="B528" t="s">
        <v>458</v>
      </c>
      <c r="D528" t="s">
        <v>585</v>
      </c>
      <c r="E528" t="s">
        <v>2826</v>
      </c>
      <c r="F528" t="s">
        <v>2630</v>
      </c>
      <c r="G528" t="s">
        <v>2099</v>
      </c>
      <c r="H528" t="s">
        <v>1505</v>
      </c>
      <c r="I528" t="s">
        <v>2737</v>
      </c>
      <c r="J528" t="s">
        <v>1601</v>
      </c>
      <c r="K528" t="s">
        <v>1607</v>
      </c>
      <c r="L528" t="s">
        <v>1610</v>
      </c>
      <c r="M528" t="s">
        <v>1653</v>
      </c>
    </row>
    <row r="529" spans="1:13" x14ac:dyDescent="0.25">
      <c r="A529" t="s">
        <v>1</v>
      </c>
      <c r="B529" t="s">
        <v>459</v>
      </c>
      <c r="D529" t="s">
        <v>673</v>
      </c>
      <c r="E529" t="s">
        <v>2827</v>
      </c>
      <c r="F529" t="s">
        <v>2631</v>
      </c>
      <c r="G529" t="s">
        <v>2099</v>
      </c>
      <c r="H529" t="s">
        <v>1506</v>
      </c>
      <c r="I529" t="s">
        <v>2735</v>
      </c>
      <c r="J529" t="s">
        <v>1603</v>
      </c>
      <c r="K529" t="s">
        <v>1607</v>
      </c>
      <c r="L529" t="s">
        <v>1610</v>
      </c>
      <c r="M529" t="s">
        <v>1647</v>
      </c>
    </row>
    <row r="530" spans="1:13" x14ac:dyDescent="0.25">
      <c r="A530" t="s">
        <v>1</v>
      </c>
      <c r="B530" t="s">
        <v>460</v>
      </c>
      <c r="D530" t="s">
        <v>958</v>
      </c>
      <c r="E530" t="s">
        <v>2828</v>
      </c>
      <c r="F530" t="s">
        <v>2632</v>
      </c>
      <c r="G530" t="s">
        <v>2099</v>
      </c>
      <c r="H530" t="s">
        <v>1507</v>
      </c>
      <c r="I530" t="s">
        <v>2724</v>
      </c>
      <c r="J530" t="s">
        <v>1603</v>
      </c>
      <c r="K530" t="s">
        <v>1607</v>
      </c>
      <c r="L530" t="s">
        <v>1610</v>
      </c>
      <c r="M530" t="s">
        <v>1643</v>
      </c>
    </row>
    <row r="531" spans="1:13" x14ac:dyDescent="0.25">
      <c r="A531" t="s">
        <v>1</v>
      </c>
      <c r="B531" t="s">
        <v>461</v>
      </c>
      <c r="D531" t="s">
        <v>574</v>
      </c>
      <c r="E531" t="s">
        <v>2829</v>
      </c>
      <c r="F531" t="s">
        <v>2633</v>
      </c>
      <c r="G531" t="s">
        <v>2099</v>
      </c>
      <c r="H531" t="s">
        <v>1508</v>
      </c>
      <c r="I531" t="s">
        <v>2726</v>
      </c>
      <c r="J531" t="s">
        <v>1603</v>
      </c>
      <c r="K531" t="s">
        <v>1607</v>
      </c>
      <c r="L531" t="s">
        <v>1610</v>
      </c>
      <c r="M531" t="s">
        <v>1618</v>
      </c>
    </row>
    <row r="532" spans="1:13" x14ac:dyDescent="0.25">
      <c r="A532" t="s">
        <v>1</v>
      </c>
      <c r="B532" t="s">
        <v>462</v>
      </c>
      <c r="D532" t="s">
        <v>614</v>
      </c>
      <c r="E532" t="s">
        <v>2830</v>
      </c>
      <c r="F532" t="s">
        <v>2634</v>
      </c>
      <c r="G532" t="s">
        <v>2099</v>
      </c>
      <c r="H532" t="s">
        <v>1509</v>
      </c>
      <c r="I532" t="s">
        <v>2729</v>
      </c>
      <c r="J532" t="s">
        <v>1601</v>
      </c>
      <c r="K532" t="s">
        <v>1607</v>
      </c>
      <c r="L532" t="s">
        <v>1610</v>
      </c>
      <c r="M532" t="s">
        <v>1623</v>
      </c>
    </row>
    <row r="533" spans="1:13" x14ac:dyDescent="0.25">
      <c r="A533" t="s">
        <v>1</v>
      </c>
      <c r="B533" t="s">
        <v>463</v>
      </c>
      <c r="D533" t="s">
        <v>617</v>
      </c>
      <c r="E533" t="s">
        <v>2831</v>
      </c>
      <c r="F533" t="s">
        <v>2635</v>
      </c>
      <c r="G533" t="s">
        <v>2099</v>
      </c>
      <c r="H533" t="s">
        <v>1510</v>
      </c>
      <c r="I533" t="s">
        <v>2735</v>
      </c>
      <c r="J533" t="s">
        <v>1603</v>
      </c>
      <c r="K533" t="s">
        <v>1607</v>
      </c>
      <c r="L533" t="s">
        <v>1610</v>
      </c>
      <c r="M533" t="s">
        <v>1647</v>
      </c>
    </row>
    <row r="534" spans="1:13" x14ac:dyDescent="0.25">
      <c r="A534" t="s">
        <v>1</v>
      </c>
      <c r="B534" t="s">
        <v>464</v>
      </c>
      <c r="D534" t="s">
        <v>584</v>
      </c>
      <c r="E534" t="s">
        <v>2832</v>
      </c>
      <c r="F534" t="s">
        <v>2636</v>
      </c>
      <c r="G534" t="s">
        <v>2099</v>
      </c>
      <c r="H534" t="s">
        <v>1511</v>
      </c>
      <c r="I534" t="s">
        <v>2728</v>
      </c>
      <c r="J534" t="s">
        <v>1603</v>
      </c>
      <c r="K534" t="s">
        <v>1608</v>
      </c>
      <c r="L534" t="s">
        <v>1610</v>
      </c>
      <c r="M534" t="s">
        <v>1641</v>
      </c>
    </row>
    <row r="535" spans="1:13" x14ac:dyDescent="0.25">
      <c r="A535" t="s">
        <v>1</v>
      </c>
      <c r="B535" t="s">
        <v>465</v>
      </c>
      <c r="D535" t="s">
        <v>652</v>
      </c>
      <c r="E535" t="s">
        <v>2833</v>
      </c>
      <c r="F535" t="s">
        <v>2637</v>
      </c>
      <c r="G535" t="s">
        <v>2099</v>
      </c>
      <c r="H535" t="s">
        <v>1512</v>
      </c>
      <c r="I535" t="s">
        <v>2726</v>
      </c>
      <c r="J535" t="s">
        <v>1600</v>
      </c>
      <c r="K535" t="s">
        <v>1608</v>
      </c>
      <c r="L535" t="s">
        <v>1610</v>
      </c>
      <c r="M535" t="s">
        <v>1632</v>
      </c>
    </row>
    <row r="536" spans="1:13" x14ac:dyDescent="0.25">
      <c r="A536" t="s">
        <v>1</v>
      </c>
      <c r="B536" t="s">
        <v>466</v>
      </c>
      <c r="D536" t="s">
        <v>546</v>
      </c>
      <c r="E536" t="s">
        <v>2834</v>
      </c>
      <c r="F536" t="s">
        <v>2638</v>
      </c>
      <c r="G536" t="s">
        <v>2099</v>
      </c>
      <c r="H536" t="s">
        <v>1513</v>
      </c>
      <c r="I536" t="s">
        <v>2730</v>
      </c>
      <c r="J536" t="s">
        <v>1600</v>
      </c>
      <c r="K536" t="s">
        <v>1608</v>
      </c>
      <c r="L536" t="s">
        <v>1610</v>
      </c>
      <c r="M536" t="s">
        <v>1642</v>
      </c>
    </row>
    <row r="537" spans="1:13" x14ac:dyDescent="0.25">
      <c r="A537" t="s">
        <v>1</v>
      </c>
      <c r="B537" t="s">
        <v>467</v>
      </c>
      <c r="D537" t="s">
        <v>959</v>
      </c>
      <c r="E537" t="s">
        <v>2835</v>
      </c>
      <c r="F537" t="s">
        <v>2639</v>
      </c>
      <c r="G537" t="s">
        <v>2099</v>
      </c>
      <c r="H537" t="s">
        <v>1514</v>
      </c>
      <c r="I537" t="s">
        <v>2728</v>
      </c>
      <c r="J537" t="s">
        <v>1600</v>
      </c>
      <c r="K537" t="s">
        <v>1607</v>
      </c>
      <c r="L537" t="s">
        <v>1610</v>
      </c>
      <c r="M537" t="s">
        <v>1621</v>
      </c>
    </row>
    <row r="538" spans="1:13" x14ac:dyDescent="0.25">
      <c r="A538" t="s">
        <v>1</v>
      </c>
      <c r="B538" t="s">
        <v>468</v>
      </c>
      <c r="D538" t="s">
        <v>623</v>
      </c>
      <c r="E538" t="s">
        <v>2836</v>
      </c>
      <c r="F538" t="s">
        <v>2640</v>
      </c>
      <c r="G538" t="s">
        <v>2099</v>
      </c>
      <c r="H538" t="s">
        <v>1515</v>
      </c>
      <c r="I538" t="s">
        <v>2725</v>
      </c>
      <c r="J538" t="s">
        <v>1603</v>
      </c>
      <c r="K538" t="s">
        <v>1607</v>
      </c>
      <c r="L538" t="s">
        <v>1610</v>
      </c>
      <c r="M538" t="s">
        <v>1627</v>
      </c>
    </row>
    <row r="539" spans="1:13" x14ac:dyDescent="0.25">
      <c r="A539" t="s">
        <v>1</v>
      </c>
      <c r="B539" t="s">
        <v>469</v>
      </c>
      <c r="D539" t="s">
        <v>656</v>
      </c>
      <c r="E539" t="s">
        <v>2837</v>
      </c>
      <c r="F539" t="s">
        <v>2641</v>
      </c>
      <c r="G539" t="s">
        <v>2099</v>
      </c>
      <c r="H539" t="s">
        <v>1516</v>
      </c>
      <c r="I539" t="s">
        <v>2729</v>
      </c>
      <c r="J539" t="s">
        <v>1600</v>
      </c>
      <c r="K539" t="s">
        <v>1607</v>
      </c>
      <c r="L539" t="s">
        <v>1610</v>
      </c>
      <c r="M539" t="s">
        <v>1631</v>
      </c>
    </row>
    <row r="540" spans="1:13" x14ac:dyDescent="0.25">
      <c r="A540" t="s">
        <v>1</v>
      </c>
      <c r="B540" t="s">
        <v>470</v>
      </c>
      <c r="D540" t="s">
        <v>755</v>
      </c>
      <c r="E540" t="s">
        <v>2838</v>
      </c>
      <c r="F540" t="s">
        <v>2642</v>
      </c>
      <c r="G540" t="s">
        <v>2099</v>
      </c>
      <c r="H540" t="s">
        <v>1517</v>
      </c>
      <c r="I540" t="s">
        <v>2729</v>
      </c>
      <c r="J540" t="s">
        <v>1601</v>
      </c>
      <c r="K540" t="s">
        <v>1607</v>
      </c>
      <c r="L540" t="s">
        <v>1610</v>
      </c>
      <c r="M540" t="s">
        <v>1623</v>
      </c>
    </row>
    <row r="541" spans="1:13" x14ac:dyDescent="0.25">
      <c r="A541" t="s">
        <v>1</v>
      </c>
      <c r="B541" t="s">
        <v>471</v>
      </c>
      <c r="D541" t="s">
        <v>535</v>
      </c>
      <c r="E541" t="s">
        <v>2839</v>
      </c>
      <c r="F541" t="s">
        <v>2643</v>
      </c>
      <c r="G541" t="s">
        <v>2099</v>
      </c>
      <c r="H541" t="s">
        <v>1518</v>
      </c>
      <c r="I541" t="s">
        <v>2726</v>
      </c>
      <c r="J541" t="s">
        <v>1603</v>
      </c>
      <c r="K541" t="s">
        <v>1607</v>
      </c>
      <c r="L541" t="s">
        <v>1610</v>
      </c>
      <c r="M541" t="s">
        <v>1618</v>
      </c>
    </row>
    <row r="542" spans="1:13" x14ac:dyDescent="0.25">
      <c r="A542" t="s">
        <v>1</v>
      </c>
      <c r="B542" t="s">
        <v>472</v>
      </c>
      <c r="D542" t="s">
        <v>960</v>
      </c>
      <c r="E542" t="s">
        <v>2840</v>
      </c>
      <c r="F542" t="s">
        <v>2644</v>
      </c>
      <c r="G542" t="s">
        <v>2099</v>
      </c>
      <c r="H542" t="s">
        <v>1519</v>
      </c>
      <c r="I542" t="s">
        <v>2733</v>
      </c>
      <c r="J542" t="s">
        <v>1603</v>
      </c>
      <c r="K542" t="s">
        <v>1608</v>
      </c>
      <c r="L542" t="s">
        <v>1610</v>
      </c>
      <c r="M542" t="s">
        <v>1639</v>
      </c>
    </row>
    <row r="543" spans="1:13" x14ac:dyDescent="0.25">
      <c r="A543" t="s">
        <v>1</v>
      </c>
      <c r="B543" t="s">
        <v>472</v>
      </c>
      <c r="D543" t="s">
        <v>788</v>
      </c>
      <c r="E543" t="s">
        <v>2841</v>
      </c>
      <c r="F543" t="s">
        <v>2645</v>
      </c>
      <c r="G543" t="s">
        <v>2099</v>
      </c>
      <c r="H543" t="s">
        <v>1520</v>
      </c>
      <c r="I543" t="s">
        <v>2730</v>
      </c>
      <c r="J543" t="s">
        <v>1602</v>
      </c>
      <c r="K543" t="s">
        <v>1608</v>
      </c>
      <c r="L543" t="s">
        <v>1610</v>
      </c>
      <c r="M543" t="s">
        <v>1626</v>
      </c>
    </row>
    <row r="544" spans="1:13" x14ac:dyDescent="0.25">
      <c r="A544" t="s">
        <v>1</v>
      </c>
      <c r="B544" t="s">
        <v>473</v>
      </c>
      <c r="D544" t="s">
        <v>961</v>
      </c>
      <c r="E544" t="s">
        <v>2842</v>
      </c>
      <c r="F544" t="s">
        <v>2646</v>
      </c>
      <c r="G544" t="s">
        <v>2099</v>
      </c>
      <c r="H544" t="s">
        <v>1521</v>
      </c>
      <c r="I544" t="s">
        <v>2724</v>
      </c>
      <c r="J544" t="s">
        <v>1600</v>
      </c>
      <c r="K544" t="s">
        <v>1608</v>
      </c>
      <c r="L544" t="s">
        <v>1610</v>
      </c>
      <c r="M544" t="s">
        <v>1614</v>
      </c>
    </row>
    <row r="545" spans="1:13" x14ac:dyDescent="0.25">
      <c r="A545" t="s">
        <v>1</v>
      </c>
      <c r="B545" t="s">
        <v>474</v>
      </c>
      <c r="D545" t="s">
        <v>962</v>
      </c>
      <c r="E545" t="s">
        <v>2843</v>
      </c>
      <c r="F545" t="s">
        <v>2647</v>
      </c>
      <c r="G545" t="s">
        <v>2099</v>
      </c>
      <c r="H545" t="s">
        <v>1522</v>
      </c>
      <c r="I545" t="s">
        <v>2726</v>
      </c>
      <c r="J545" t="s">
        <v>1600</v>
      </c>
      <c r="K545" t="s">
        <v>1608</v>
      </c>
      <c r="L545" t="s">
        <v>1610</v>
      </c>
      <c r="M545" t="s">
        <v>1625</v>
      </c>
    </row>
    <row r="546" spans="1:13" x14ac:dyDescent="0.25">
      <c r="A546" t="s">
        <v>1</v>
      </c>
      <c r="B546" t="s">
        <v>475</v>
      </c>
      <c r="D546" t="s">
        <v>943</v>
      </c>
      <c r="E546" t="s">
        <v>2844</v>
      </c>
      <c r="F546" t="s">
        <v>2648</v>
      </c>
      <c r="G546" t="s">
        <v>2099</v>
      </c>
      <c r="H546" t="s">
        <v>1523</v>
      </c>
      <c r="I546" t="s">
        <v>2728</v>
      </c>
      <c r="J546" t="s">
        <v>1601</v>
      </c>
      <c r="K546" t="s">
        <v>1608</v>
      </c>
      <c r="L546" t="s">
        <v>1610</v>
      </c>
      <c r="M546" t="s">
        <v>1634</v>
      </c>
    </row>
    <row r="547" spans="1:13" x14ac:dyDescent="0.25">
      <c r="A547" t="s">
        <v>1</v>
      </c>
      <c r="B547" t="s">
        <v>475</v>
      </c>
      <c r="D547" t="s">
        <v>948</v>
      </c>
      <c r="E547" t="s">
        <v>2845</v>
      </c>
      <c r="F547" t="s">
        <v>2649</v>
      </c>
      <c r="G547" t="s">
        <v>2099</v>
      </c>
      <c r="H547" t="s">
        <v>1524</v>
      </c>
      <c r="I547" t="s">
        <v>2734</v>
      </c>
      <c r="J547" t="s">
        <v>1603</v>
      </c>
      <c r="K547" t="s">
        <v>1608</v>
      </c>
      <c r="L547" t="s">
        <v>1610</v>
      </c>
      <c r="M547" t="s">
        <v>1650</v>
      </c>
    </row>
    <row r="548" spans="1:13" x14ac:dyDescent="0.25">
      <c r="A548" t="s">
        <v>1</v>
      </c>
      <c r="B548" t="s">
        <v>475</v>
      </c>
      <c r="D548" t="s">
        <v>642</v>
      </c>
      <c r="E548" t="s">
        <v>2846</v>
      </c>
      <c r="F548" t="s">
        <v>2650</v>
      </c>
      <c r="G548" t="s">
        <v>2099</v>
      </c>
      <c r="H548" t="s">
        <v>1525</v>
      </c>
      <c r="I548" t="s">
        <v>2730</v>
      </c>
      <c r="J548" t="s">
        <v>1602</v>
      </c>
      <c r="K548" t="s">
        <v>1608</v>
      </c>
      <c r="L548" t="s">
        <v>1610</v>
      </c>
      <c r="M548" t="s">
        <v>1626</v>
      </c>
    </row>
    <row r="549" spans="1:13" x14ac:dyDescent="0.25">
      <c r="A549" t="s">
        <v>1</v>
      </c>
      <c r="B549" t="s">
        <v>475</v>
      </c>
      <c r="D549" t="s">
        <v>541</v>
      </c>
      <c r="E549" t="s">
        <v>2847</v>
      </c>
      <c r="F549" t="s">
        <v>2651</v>
      </c>
      <c r="G549" t="s">
        <v>2099</v>
      </c>
      <c r="H549" t="s">
        <v>1526</v>
      </c>
      <c r="I549" t="s">
        <v>2725</v>
      </c>
      <c r="J549" t="s">
        <v>1602</v>
      </c>
      <c r="K549" t="s">
        <v>1608</v>
      </c>
      <c r="L549" t="s">
        <v>1610</v>
      </c>
      <c r="M549" t="s">
        <v>1648</v>
      </c>
    </row>
    <row r="550" spans="1:13" x14ac:dyDescent="0.25">
      <c r="A550" t="s">
        <v>1</v>
      </c>
      <c r="B550" t="s">
        <v>475</v>
      </c>
      <c r="D550" t="s">
        <v>777</v>
      </c>
      <c r="E550" t="s">
        <v>2848</v>
      </c>
      <c r="F550" t="s">
        <v>2652</v>
      </c>
      <c r="G550" t="s">
        <v>2099</v>
      </c>
      <c r="H550" t="s">
        <v>1527</v>
      </c>
      <c r="I550" t="s">
        <v>2725</v>
      </c>
      <c r="J550" t="s">
        <v>1602</v>
      </c>
      <c r="K550" t="s">
        <v>1608</v>
      </c>
      <c r="L550" t="s">
        <v>1610</v>
      </c>
      <c r="M550" t="s">
        <v>1648</v>
      </c>
    </row>
    <row r="551" spans="1:13" x14ac:dyDescent="0.25">
      <c r="A551" t="s">
        <v>1</v>
      </c>
      <c r="B551" t="s">
        <v>475</v>
      </c>
      <c r="D551" t="s">
        <v>665</v>
      </c>
      <c r="E551" t="s">
        <v>2849</v>
      </c>
      <c r="F551" t="s">
        <v>2653</v>
      </c>
      <c r="G551" t="s">
        <v>2099</v>
      </c>
      <c r="H551" t="s">
        <v>1528</v>
      </c>
      <c r="I551" t="s">
        <v>2730</v>
      </c>
      <c r="J551" t="s">
        <v>1602</v>
      </c>
      <c r="K551" t="s">
        <v>1608</v>
      </c>
      <c r="L551" t="s">
        <v>1610</v>
      </c>
      <c r="M551" t="s">
        <v>1626</v>
      </c>
    </row>
    <row r="552" spans="1:13" x14ac:dyDescent="0.25">
      <c r="A552" t="s">
        <v>1</v>
      </c>
      <c r="B552" t="s">
        <v>475</v>
      </c>
      <c r="D552" t="s">
        <v>695</v>
      </c>
      <c r="E552" t="s">
        <v>2850</v>
      </c>
      <c r="F552" t="s">
        <v>2654</v>
      </c>
      <c r="G552" t="s">
        <v>2099</v>
      </c>
      <c r="H552" t="s">
        <v>1529</v>
      </c>
      <c r="I552" t="s">
        <v>2727</v>
      </c>
      <c r="J552" t="s">
        <v>1600</v>
      </c>
      <c r="K552" t="s">
        <v>1608</v>
      </c>
      <c r="L552" t="s">
        <v>1610</v>
      </c>
      <c r="M552" t="s">
        <v>1619</v>
      </c>
    </row>
    <row r="553" spans="1:13" x14ac:dyDescent="0.25">
      <c r="A553" t="s">
        <v>1</v>
      </c>
      <c r="B553" t="s">
        <v>476</v>
      </c>
      <c r="D553" t="s">
        <v>963</v>
      </c>
      <c r="E553" t="s">
        <v>2851</v>
      </c>
      <c r="F553" t="s">
        <v>2655</v>
      </c>
      <c r="G553" t="s">
        <v>2099</v>
      </c>
      <c r="H553" t="s">
        <v>1530</v>
      </c>
      <c r="I553" t="s">
        <v>2729</v>
      </c>
      <c r="J553" t="s">
        <v>1601</v>
      </c>
      <c r="K553" t="s">
        <v>1608</v>
      </c>
      <c r="L553" t="s">
        <v>1610</v>
      </c>
      <c r="M553" t="s">
        <v>1623</v>
      </c>
    </row>
    <row r="554" spans="1:13" x14ac:dyDescent="0.25">
      <c r="A554" t="s">
        <v>1</v>
      </c>
      <c r="B554" t="s">
        <v>477</v>
      </c>
      <c r="D554" t="s">
        <v>562</v>
      </c>
      <c r="E554" t="s">
        <v>2852</v>
      </c>
      <c r="F554" t="s">
        <v>2656</v>
      </c>
      <c r="G554" t="s">
        <v>2099</v>
      </c>
      <c r="H554" t="s">
        <v>1531</v>
      </c>
      <c r="I554" t="s">
        <v>2727</v>
      </c>
      <c r="J554" t="s">
        <v>1600</v>
      </c>
      <c r="K554" t="s">
        <v>1608</v>
      </c>
      <c r="L554" t="s">
        <v>1610</v>
      </c>
      <c r="M554" t="s">
        <v>1619</v>
      </c>
    </row>
    <row r="555" spans="1:13" x14ac:dyDescent="0.25">
      <c r="A555" t="s">
        <v>1</v>
      </c>
      <c r="B555" t="s">
        <v>478</v>
      </c>
      <c r="D555" t="s">
        <v>835</v>
      </c>
      <c r="E555" t="s">
        <v>2853</v>
      </c>
      <c r="F555" t="s">
        <v>2657</v>
      </c>
      <c r="G555" t="s">
        <v>2099</v>
      </c>
      <c r="H555" t="s">
        <v>1532</v>
      </c>
      <c r="I555" t="s">
        <v>2728</v>
      </c>
      <c r="J555" t="s">
        <v>1602</v>
      </c>
      <c r="K555" t="s">
        <v>1607</v>
      </c>
      <c r="L555" t="s">
        <v>1610</v>
      </c>
      <c r="M555" t="s">
        <v>1635</v>
      </c>
    </row>
    <row r="556" spans="1:13" x14ac:dyDescent="0.25">
      <c r="A556" t="s">
        <v>1</v>
      </c>
      <c r="B556" t="s">
        <v>479</v>
      </c>
      <c r="D556" t="s">
        <v>551</v>
      </c>
      <c r="E556" t="s">
        <v>2854</v>
      </c>
      <c r="F556" t="s">
        <v>2658</v>
      </c>
      <c r="G556" t="s">
        <v>2099</v>
      </c>
      <c r="H556" t="s">
        <v>1533</v>
      </c>
      <c r="I556" t="s">
        <v>2725</v>
      </c>
      <c r="J556" t="s">
        <v>1602</v>
      </c>
      <c r="K556" t="s">
        <v>1607</v>
      </c>
      <c r="L556" t="s">
        <v>1610</v>
      </c>
      <c r="M556" t="s">
        <v>1648</v>
      </c>
    </row>
    <row r="557" spans="1:13" x14ac:dyDescent="0.25">
      <c r="A557" t="s">
        <v>1</v>
      </c>
      <c r="B557" t="s">
        <v>480</v>
      </c>
      <c r="D557" t="s">
        <v>687</v>
      </c>
      <c r="E557" t="s">
        <v>2855</v>
      </c>
      <c r="F557" t="s">
        <v>2659</v>
      </c>
      <c r="G557" t="s">
        <v>2099</v>
      </c>
      <c r="H557" t="s">
        <v>1534</v>
      </c>
      <c r="I557" t="s">
        <v>2737</v>
      </c>
      <c r="J557" t="s">
        <v>1603</v>
      </c>
      <c r="K557" t="s">
        <v>1607</v>
      </c>
      <c r="L557" t="s">
        <v>1610</v>
      </c>
      <c r="M557" t="s">
        <v>1652</v>
      </c>
    </row>
    <row r="558" spans="1:13" x14ac:dyDescent="0.25">
      <c r="A558" t="s">
        <v>1</v>
      </c>
      <c r="B558" t="s">
        <v>481</v>
      </c>
      <c r="D558" t="s">
        <v>964</v>
      </c>
      <c r="E558" t="s">
        <v>2856</v>
      </c>
      <c r="F558" t="s">
        <v>2660</v>
      </c>
      <c r="G558" t="s">
        <v>2099</v>
      </c>
      <c r="H558" t="s">
        <v>1535</v>
      </c>
      <c r="I558" t="s">
        <v>2730</v>
      </c>
      <c r="J558" t="s">
        <v>1602</v>
      </c>
      <c r="K558" t="s">
        <v>1607</v>
      </c>
      <c r="L558" t="s">
        <v>1610</v>
      </c>
      <c r="M558" t="s">
        <v>1626</v>
      </c>
    </row>
    <row r="559" spans="1:13" x14ac:dyDescent="0.25">
      <c r="A559" t="s">
        <v>1</v>
      </c>
      <c r="B559" t="s">
        <v>482</v>
      </c>
      <c r="D559" t="s">
        <v>965</v>
      </c>
      <c r="E559" t="s">
        <v>2857</v>
      </c>
      <c r="F559" t="s">
        <v>2661</v>
      </c>
      <c r="G559" t="s">
        <v>2099</v>
      </c>
      <c r="H559" t="s">
        <v>1536</v>
      </c>
      <c r="I559" t="s">
        <v>2731</v>
      </c>
      <c r="J559" t="s">
        <v>1601</v>
      </c>
      <c r="K559" t="s">
        <v>1608</v>
      </c>
      <c r="L559" t="s">
        <v>1610</v>
      </c>
      <c r="M559" t="s">
        <v>1645</v>
      </c>
    </row>
    <row r="560" spans="1:13" x14ac:dyDescent="0.25">
      <c r="A560" t="s">
        <v>1</v>
      </c>
      <c r="B560" t="s">
        <v>483</v>
      </c>
      <c r="D560" t="s">
        <v>966</v>
      </c>
      <c r="E560" t="s">
        <v>2858</v>
      </c>
      <c r="F560" t="s">
        <v>2662</v>
      </c>
      <c r="G560" t="s">
        <v>2099</v>
      </c>
      <c r="H560" t="s">
        <v>1537</v>
      </c>
      <c r="I560" t="s">
        <v>2726</v>
      </c>
      <c r="J560" t="s">
        <v>1603</v>
      </c>
      <c r="K560" t="s">
        <v>1608</v>
      </c>
      <c r="L560" t="s">
        <v>1610</v>
      </c>
      <c r="M560" t="s">
        <v>1618</v>
      </c>
    </row>
    <row r="561" spans="1:13" x14ac:dyDescent="0.25">
      <c r="A561" t="s">
        <v>1</v>
      </c>
      <c r="B561" t="s">
        <v>484</v>
      </c>
      <c r="D561" t="s">
        <v>967</v>
      </c>
      <c r="E561" t="s">
        <v>2859</v>
      </c>
      <c r="F561" t="s">
        <v>2663</v>
      </c>
      <c r="G561" t="s">
        <v>2099</v>
      </c>
      <c r="H561" t="s">
        <v>1538</v>
      </c>
      <c r="I561" t="s">
        <v>2726</v>
      </c>
      <c r="J561" t="s">
        <v>1600</v>
      </c>
      <c r="K561" t="s">
        <v>1608</v>
      </c>
      <c r="L561" t="s">
        <v>1610</v>
      </c>
      <c r="M561" t="s">
        <v>1632</v>
      </c>
    </row>
    <row r="562" spans="1:13" x14ac:dyDescent="0.25">
      <c r="A562" t="s">
        <v>1</v>
      </c>
      <c r="B562" t="s">
        <v>485</v>
      </c>
      <c r="D562" t="s">
        <v>584</v>
      </c>
      <c r="E562" t="s">
        <v>2860</v>
      </c>
      <c r="F562" t="s">
        <v>2664</v>
      </c>
      <c r="G562" t="s">
        <v>2099</v>
      </c>
      <c r="H562" t="s">
        <v>1539</v>
      </c>
      <c r="I562" t="s">
        <v>2724</v>
      </c>
      <c r="J562" t="s">
        <v>1600</v>
      </c>
      <c r="K562" t="s">
        <v>1607</v>
      </c>
      <c r="L562" t="s">
        <v>1610</v>
      </c>
      <c r="M562" t="s">
        <v>1614</v>
      </c>
    </row>
    <row r="563" spans="1:13" x14ac:dyDescent="0.25">
      <c r="A563" t="s">
        <v>1</v>
      </c>
      <c r="B563" t="s">
        <v>486</v>
      </c>
      <c r="D563" t="s">
        <v>968</v>
      </c>
      <c r="E563" t="s">
        <v>2861</v>
      </c>
      <c r="F563" t="s">
        <v>2665</v>
      </c>
      <c r="G563" t="s">
        <v>2099</v>
      </c>
      <c r="H563" t="s">
        <v>1540</v>
      </c>
      <c r="I563" t="s">
        <v>2736</v>
      </c>
      <c r="J563" t="s">
        <v>1600</v>
      </c>
      <c r="K563" t="s">
        <v>1607</v>
      </c>
      <c r="L563" t="s">
        <v>1610</v>
      </c>
      <c r="M563" t="s">
        <v>1658</v>
      </c>
    </row>
    <row r="564" spans="1:13" x14ac:dyDescent="0.25">
      <c r="A564" t="s">
        <v>1</v>
      </c>
      <c r="B564" t="s">
        <v>487</v>
      </c>
      <c r="D564" t="s">
        <v>943</v>
      </c>
      <c r="E564" t="s">
        <v>2862</v>
      </c>
      <c r="F564" t="s">
        <v>2666</v>
      </c>
      <c r="G564" t="s">
        <v>2099</v>
      </c>
      <c r="H564" t="s">
        <v>1541</v>
      </c>
      <c r="I564" t="s">
        <v>2728</v>
      </c>
      <c r="J564" t="s">
        <v>1601</v>
      </c>
      <c r="K564" t="s">
        <v>1608</v>
      </c>
      <c r="L564" t="s">
        <v>1610</v>
      </c>
      <c r="M564" t="s">
        <v>1634</v>
      </c>
    </row>
    <row r="565" spans="1:13" x14ac:dyDescent="0.25">
      <c r="A565" t="s">
        <v>1</v>
      </c>
      <c r="B565" t="s">
        <v>488</v>
      </c>
      <c r="D565" t="s">
        <v>584</v>
      </c>
      <c r="E565" t="s">
        <v>2863</v>
      </c>
      <c r="F565" t="s">
        <v>2667</v>
      </c>
      <c r="G565" t="s">
        <v>2099</v>
      </c>
      <c r="H565" t="s">
        <v>1542</v>
      </c>
      <c r="I565" t="s">
        <v>2728</v>
      </c>
      <c r="J565" t="s">
        <v>1603</v>
      </c>
      <c r="K565" t="s">
        <v>1608</v>
      </c>
      <c r="L565" t="s">
        <v>1610</v>
      </c>
      <c r="M565" t="s">
        <v>1641</v>
      </c>
    </row>
    <row r="566" spans="1:13" x14ac:dyDescent="0.25">
      <c r="A566" t="s">
        <v>1</v>
      </c>
      <c r="B566" t="s">
        <v>489</v>
      </c>
      <c r="D566" t="s">
        <v>967</v>
      </c>
      <c r="E566" t="s">
        <v>2864</v>
      </c>
      <c r="F566" t="s">
        <v>2668</v>
      </c>
      <c r="G566" t="s">
        <v>2099</v>
      </c>
      <c r="H566" t="s">
        <v>1543</v>
      </c>
      <c r="I566" t="s">
        <v>2727</v>
      </c>
      <c r="J566" t="s">
        <v>1601</v>
      </c>
      <c r="K566" t="s">
        <v>1608</v>
      </c>
      <c r="L566" t="s">
        <v>1610</v>
      </c>
      <c r="M566" t="s">
        <v>1629</v>
      </c>
    </row>
    <row r="567" spans="1:13" x14ac:dyDescent="0.25">
      <c r="A567" t="s">
        <v>1</v>
      </c>
      <c r="B567" t="s">
        <v>490</v>
      </c>
      <c r="D567" t="s">
        <v>969</v>
      </c>
      <c r="E567" t="s">
        <v>2865</v>
      </c>
      <c r="F567" t="s">
        <v>2669</v>
      </c>
      <c r="G567" t="s">
        <v>2099</v>
      </c>
      <c r="H567" t="s">
        <v>1544</v>
      </c>
      <c r="I567" t="s">
        <v>2725</v>
      </c>
      <c r="J567" t="s">
        <v>1601</v>
      </c>
      <c r="K567" t="s">
        <v>1607</v>
      </c>
      <c r="L567" t="s">
        <v>1610</v>
      </c>
      <c r="M567" t="s">
        <v>1615</v>
      </c>
    </row>
    <row r="568" spans="1:13" x14ac:dyDescent="0.25">
      <c r="A568" t="s">
        <v>1</v>
      </c>
      <c r="B568" t="s">
        <v>491</v>
      </c>
      <c r="D568" t="s">
        <v>551</v>
      </c>
      <c r="E568" t="s">
        <v>2866</v>
      </c>
      <c r="F568" t="s">
        <v>2670</v>
      </c>
      <c r="G568" t="s">
        <v>2099</v>
      </c>
      <c r="H568" t="s">
        <v>1545</v>
      </c>
      <c r="I568" t="s">
        <v>2728</v>
      </c>
      <c r="J568" t="s">
        <v>1601</v>
      </c>
      <c r="K568" t="s">
        <v>1607</v>
      </c>
      <c r="L568" t="s">
        <v>1610</v>
      </c>
      <c r="M568" t="s">
        <v>1634</v>
      </c>
    </row>
    <row r="569" spans="1:13" x14ac:dyDescent="0.25">
      <c r="A569" t="s">
        <v>1</v>
      </c>
      <c r="B569" t="s">
        <v>492</v>
      </c>
      <c r="D569" t="s">
        <v>970</v>
      </c>
      <c r="E569" t="s">
        <v>2867</v>
      </c>
      <c r="F569" t="s">
        <v>2671</v>
      </c>
      <c r="G569" t="s">
        <v>2099</v>
      </c>
      <c r="H569" t="s">
        <v>1546</v>
      </c>
      <c r="I569" t="s">
        <v>2726</v>
      </c>
      <c r="J569" t="s">
        <v>1600</v>
      </c>
      <c r="K569" t="s">
        <v>1608</v>
      </c>
      <c r="L569" t="s">
        <v>1610</v>
      </c>
      <c r="M569" t="s">
        <v>1625</v>
      </c>
    </row>
    <row r="570" spans="1:13" x14ac:dyDescent="0.25">
      <c r="A570" t="s">
        <v>1</v>
      </c>
      <c r="B570" t="s">
        <v>493</v>
      </c>
      <c r="D570" t="s">
        <v>676</v>
      </c>
      <c r="E570" t="s">
        <v>2868</v>
      </c>
      <c r="F570" t="s">
        <v>2672</v>
      </c>
      <c r="G570" t="s">
        <v>2099</v>
      </c>
      <c r="H570" t="s">
        <v>1547</v>
      </c>
      <c r="I570" t="s">
        <v>2726</v>
      </c>
      <c r="J570" t="s">
        <v>1604</v>
      </c>
      <c r="K570" t="s">
        <v>1608</v>
      </c>
      <c r="L570" t="s">
        <v>1610</v>
      </c>
      <c r="M570" t="s">
        <v>1620</v>
      </c>
    </row>
    <row r="571" spans="1:13" x14ac:dyDescent="0.25">
      <c r="A571" t="s">
        <v>1</v>
      </c>
      <c r="B571" t="s">
        <v>494</v>
      </c>
      <c r="D571" t="s">
        <v>804</v>
      </c>
      <c r="E571" t="s">
        <v>2869</v>
      </c>
      <c r="F571" t="s">
        <v>2673</v>
      </c>
      <c r="G571" t="s">
        <v>2099</v>
      </c>
      <c r="H571" t="s">
        <v>1548</v>
      </c>
      <c r="I571" t="s">
        <v>2726</v>
      </c>
      <c r="J571" t="s">
        <v>1601</v>
      </c>
      <c r="K571" t="s">
        <v>1608</v>
      </c>
      <c r="L571" t="s">
        <v>1610</v>
      </c>
      <c r="M571" t="s">
        <v>1616</v>
      </c>
    </row>
    <row r="572" spans="1:13" x14ac:dyDescent="0.25">
      <c r="A572" t="s">
        <v>1</v>
      </c>
      <c r="B572" t="s">
        <v>494</v>
      </c>
      <c r="D572" t="s">
        <v>708</v>
      </c>
      <c r="E572" t="s">
        <v>2870</v>
      </c>
      <c r="F572" t="s">
        <v>2674</v>
      </c>
      <c r="G572" t="s">
        <v>2099</v>
      </c>
      <c r="H572" t="s">
        <v>1549</v>
      </c>
      <c r="I572" t="s">
        <v>2726</v>
      </c>
      <c r="J572" t="s">
        <v>1603</v>
      </c>
      <c r="K572" t="s">
        <v>1608</v>
      </c>
      <c r="L572" t="s">
        <v>1610</v>
      </c>
      <c r="M572" t="s">
        <v>1618</v>
      </c>
    </row>
    <row r="573" spans="1:13" x14ac:dyDescent="0.25">
      <c r="A573" t="s">
        <v>1</v>
      </c>
      <c r="B573" t="s">
        <v>494</v>
      </c>
      <c r="D573" t="s">
        <v>618</v>
      </c>
      <c r="E573" t="s">
        <v>2871</v>
      </c>
      <c r="F573" t="s">
        <v>2675</v>
      </c>
      <c r="G573" t="s">
        <v>2099</v>
      </c>
      <c r="H573" t="s">
        <v>1550</v>
      </c>
      <c r="I573" t="s">
        <v>2727</v>
      </c>
      <c r="J573" t="s">
        <v>1601</v>
      </c>
      <c r="K573" t="s">
        <v>1608</v>
      </c>
      <c r="L573" t="s">
        <v>1610</v>
      </c>
      <c r="M573" t="s">
        <v>1629</v>
      </c>
    </row>
    <row r="574" spans="1:13" x14ac:dyDescent="0.25">
      <c r="A574" t="s">
        <v>1</v>
      </c>
      <c r="B574" t="s">
        <v>495</v>
      </c>
      <c r="D574" t="s">
        <v>584</v>
      </c>
      <c r="E574" t="s">
        <v>2872</v>
      </c>
      <c r="F574" t="s">
        <v>2676</v>
      </c>
      <c r="G574" t="s">
        <v>2099</v>
      </c>
      <c r="H574" t="s">
        <v>1551</v>
      </c>
      <c r="I574" t="s">
        <v>2731</v>
      </c>
      <c r="J574" t="s">
        <v>1601</v>
      </c>
      <c r="K574" t="s">
        <v>1608</v>
      </c>
      <c r="L574" t="s">
        <v>1610</v>
      </c>
      <c r="M574" t="s">
        <v>1645</v>
      </c>
    </row>
    <row r="575" spans="1:13" x14ac:dyDescent="0.25">
      <c r="A575" t="s">
        <v>1</v>
      </c>
      <c r="B575" t="s">
        <v>496</v>
      </c>
      <c r="D575" t="s">
        <v>625</v>
      </c>
      <c r="E575" t="s">
        <v>2873</v>
      </c>
      <c r="F575" t="s">
        <v>2677</v>
      </c>
      <c r="G575" t="s">
        <v>2099</v>
      </c>
      <c r="H575" t="s">
        <v>1552</v>
      </c>
      <c r="I575" t="s">
        <v>2729</v>
      </c>
      <c r="J575" t="s">
        <v>1603</v>
      </c>
      <c r="K575" t="s">
        <v>1608</v>
      </c>
      <c r="L575" t="s">
        <v>1610</v>
      </c>
      <c r="M575" t="s">
        <v>1622</v>
      </c>
    </row>
    <row r="576" spans="1:13" x14ac:dyDescent="0.25">
      <c r="A576" t="s">
        <v>1</v>
      </c>
      <c r="B576" t="s">
        <v>497</v>
      </c>
      <c r="D576" t="s">
        <v>562</v>
      </c>
      <c r="E576" t="s">
        <v>2874</v>
      </c>
      <c r="F576" t="s">
        <v>2678</v>
      </c>
      <c r="G576" t="s">
        <v>2099</v>
      </c>
      <c r="H576" t="s">
        <v>1553</v>
      </c>
      <c r="I576" t="s">
        <v>2728</v>
      </c>
      <c r="J576" t="s">
        <v>1602</v>
      </c>
      <c r="K576" t="s">
        <v>1608</v>
      </c>
      <c r="L576" t="s">
        <v>1610</v>
      </c>
      <c r="M576" t="s">
        <v>1635</v>
      </c>
    </row>
    <row r="577" spans="1:13" x14ac:dyDescent="0.25">
      <c r="A577" t="s">
        <v>1</v>
      </c>
      <c r="B577" t="s">
        <v>498</v>
      </c>
      <c r="D577" t="s">
        <v>542</v>
      </c>
      <c r="E577" t="s">
        <v>2875</v>
      </c>
      <c r="F577" t="s">
        <v>2679</v>
      </c>
      <c r="G577" t="s">
        <v>2099</v>
      </c>
      <c r="H577" t="s">
        <v>1554</v>
      </c>
      <c r="I577" t="s">
        <v>2730</v>
      </c>
      <c r="J577" t="s">
        <v>1601</v>
      </c>
      <c r="K577" t="s">
        <v>1607</v>
      </c>
      <c r="L577" t="s">
        <v>1610</v>
      </c>
      <c r="M577" t="s">
        <v>1624</v>
      </c>
    </row>
    <row r="578" spans="1:13" x14ac:dyDescent="0.25">
      <c r="A578" t="s">
        <v>1</v>
      </c>
      <c r="B578" t="s">
        <v>499</v>
      </c>
      <c r="D578" t="s">
        <v>971</v>
      </c>
      <c r="E578" t="s">
        <v>2876</v>
      </c>
      <c r="F578" t="s">
        <v>2680</v>
      </c>
      <c r="G578" t="s">
        <v>2099</v>
      </c>
      <c r="H578" t="s">
        <v>1555</v>
      </c>
      <c r="I578" t="s">
        <v>2733</v>
      </c>
      <c r="J578" t="s">
        <v>1602</v>
      </c>
      <c r="K578" t="s">
        <v>1607</v>
      </c>
      <c r="L578" t="s">
        <v>1610</v>
      </c>
      <c r="M578" t="s">
        <v>1651</v>
      </c>
    </row>
    <row r="579" spans="1:13" x14ac:dyDescent="0.25">
      <c r="A579" t="s">
        <v>1</v>
      </c>
      <c r="B579" t="s">
        <v>499</v>
      </c>
      <c r="D579" t="s">
        <v>867</v>
      </c>
      <c r="E579" t="s">
        <v>2877</v>
      </c>
      <c r="F579" t="s">
        <v>2681</v>
      </c>
      <c r="G579" t="s">
        <v>2099</v>
      </c>
      <c r="H579" t="s">
        <v>1556</v>
      </c>
      <c r="I579" t="s">
        <v>2724</v>
      </c>
      <c r="J579" t="s">
        <v>1602</v>
      </c>
      <c r="K579" t="s">
        <v>1607</v>
      </c>
      <c r="L579" t="s">
        <v>1610</v>
      </c>
      <c r="M579" t="s">
        <v>1636</v>
      </c>
    </row>
    <row r="580" spans="1:13" x14ac:dyDescent="0.25">
      <c r="A580" t="s">
        <v>1</v>
      </c>
      <c r="B580" t="s">
        <v>499</v>
      </c>
      <c r="D580" t="s">
        <v>546</v>
      </c>
      <c r="E580" t="s">
        <v>2878</v>
      </c>
      <c r="F580" t="s">
        <v>2682</v>
      </c>
      <c r="G580" t="s">
        <v>2099</v>
      </c>
      <c r="H580" t="s">
        <v>1557</v>
      </c>
      <c r="I580" t="s">
        <v>2728</v>
      </c>
      <c r="J580" t="s">
        <v>1602</v>
      </c>
      <c r="K580" t="s">
        <v>1607</v>
      </c>
      <c r="L580" t="s">
        <v>1610</v>
      </c>
      <c r="M580" t="s">
        <v>1635</v>
      </c>
    </row>
    <row r="581" spans="1:13" x14ac:dyDescent="0.25">
      <c r="A581" t="s">
        <v>1</v>
      </c>
      <c r="B581" t="s">
        <v>500</v>
      </c>
      <c r="D581" t="s">
        <v>724</v>
      </c>
      <c r="E581" t="s">
        <v>2879</v>
      </c>
      <c r="F581" t="s">
        <v>2683</v>
      </c>
      <c r="G581" t="s">
        <v>2099</v>
      </c>
      <c r="H581" t="s">
        <v>1558</v>
      </c>
      <c r="I581" t="s">
        <v>2729</v>
      </c>
      <c r="J581" t="s">
        <v>1603</v>
      </c>
      <c r="K581" t="s">
        <v>1607</v>
      </c>
      <c r="L581" t="s">
        <v>1610</v>
      </c>
      <c r="M581" t="s">
        <v>1622</v>
      </c>
    </row>
    <row r="582" spans="1:13" x14ac:dyDescent="0.25">
      <c r="A582" t="s">
        <v>1</v>
      </c>
      <c r="B582" t="s">
        <v>501</v>
      </c>
      <c r="D582" t="s">
        <v>542</v>
      </c>
      <c r="E582" t="s">
        <v>2880</v>
      </c>
      <c r="F582" t="s">
        <v>2684</v>
      </c>
      <c r="G582" t="s">
        <v>2099</v>
      </c>
      <c r="H582" t="s">
        <v>1559</v>
      </c>
      <c r="I582" t="s">
        <v>2731</v>
      </c>
      <c r="J582" t="s">
        <v>1601</v>
      </c>
      <c r="K582" t="s">
        <v>1607</v>
      </c>
      <c r="L582" t="s">
        <v>1610</v>
      </c>
      <c r="M582" t="s">
        <v>1645</v>
      </c>
    </row>
    <row r="583" spans="1:13" x14ac:dyDescent="0.25">
      <c r="A583" t="s">
        <v>1</v>
      </c>
      <c r="B583" t="s">
        <v>502</v>
      </c>
      <c r="D583" t="s">
        <v>538</v>
      </c>
      <c r="E583" t="s">
        <v>2881</v>
      </c>
      <c r="F583" t="s">
        <v>2685</v>
      </c>
      <c r="G583" t="s">
        <v>2099</v>
      </c>
      <c r="H583" t="s">
        <v>1560</v>
      </c>
      <c r="I583" t="s">
        <v>2728</v>
      </c>
      <c r="J583" t="s">
        <v>1601</v>
      </c>
      <c r="K583" t="s">
        <v>1608</v>
      </c>
      <c r="L583" t="s">
        <v>1610</v>
      </c>
      <c r="M583" t="s">
        <v>1634</v>
      </c>
    </row>
    <row r="584" spans="1:13" x14ac:dyDescent="0.25">
      <c r="A584" t="s">
        <v>1</v>
      </c>
      <c r="B584" t="s">
        <v>503</v>
      </c>
      <c r="D584" t="s">
        <v>579</v>
      </c>
      <c r="E584" t="s">
        <v>2882</v>
      </c>
      <c r="F584" t="s">
        <v>2686</v>
      </c>
      <c r="G584" t="s">
        <v>2099</v>
      </c>
      <c r="H584" t="s">
        <v>1561</v>
      </c>
      <c r="I584" t="s">
        <v>2726</v>
      </c>
      <c r="J584" t="s">
        <v>1601</v>
      </c>
      <c r="K584" t="s">
        <v>1607</v>
      </c>
      <c r="L584" t="s">
        <v>1610</v>
      </c>
      <c r="M584" t="s">
        <v>1616</v>
      </c>
    </row>
    <row r="585" spans="1:13" x14ac:dyDescent="0.25">
      <c r="A585" t="s">
        <v>1</v>
      </c>
      <c r="B585" t="s">
        <v>504</v>
      </c>
      <c r="D585" t="s">
        <v>541</v>
      </c>
      <c r="E585" t="s">
        <v>2883</v>
      </c>
      <c r="F585" t="s">
        <v>2687</v>
      </c>
      <c r="G585" t="s">
        <v>2099</v>
      </c>
      <c r="H585" t="s">
        <v>1562</v>
      </c>
      <c r="I585" t="s">
        <v>2728</v>
      </c>
      <c r="J585" t="s">
        <v>1601</v>
      </c>
      <c r="K585" t="s">
        <v>1607</v>
      </c>
      <c r="L585" t="s">
        <v>1610</v>
      </c>
      <c r="M585" t="s">
        <v>1634</v>
      </c>
    </row>
    <row r="586" spans="1:13" x14ac:dyDescent="0.25">
      <c r="A586" t="s">
        <v>1</v>
      </c>
      <c r="B586" t="s">
        <v>505</v>
      </c>
      <c r="D586" t="s">
        <v>674</v>
      </c>
      <c r="E586" t="s">
        <v>2884</v>
      </c>
      <c r="F586" t="s">
        <v>2688</v>
      </c>
      <c r="G586" t="s">
        <v>2099</v>
      </c>
      <c r="H586" t="s">
        <v>1563</v>
      </c>
      <c r="I586" t="s">
        <v>2725</v>
      </c>
      <c r="J586" t="s">
        <v>1602</v>
      </c>
      <c r="K586" t="s">
        <v>1608</v>
      </c>
      <c r="L586" t="s">
        <v>1610</v>
      </c>
      <c r="M586" t="s">
        <v>1648</v>
      </c>
    </row>
    <row r="587" spans="1:13" x14ac:dyDescent="0.25">
      <c r="A587" t="s">
        <v>1</v>
      </c>
      <c r="B587" t="s">
        <v>506</v>
      </c>
      <c r="D587" t="s">
        <v>623</v>
      </c>
      <c r="E587" t="s">
        <v>2885</v>
      </c>
      <c r="F587" t="s">
        <v>2689</v>
      </c>
      <c r="G587" t="s">
        <v>2099</v>
      </c>
      <c r="H587" t="s">
        <v>1564</v>
      </c>
      <c r="I587" t="s">
        <v>2726</v>
      </c>
      <c r="J587" t="s">
        <v>1600</v>
      </c>
      <c r="K587" t="s">
        <v>1607</v>
      </c>
      <c r="L587" t="s">
        <v>1610</v>
      </c>
      <c r="M587" t="s">
        <v>1625</v>
      </c>
    </row>
    <row r="588" spans="1:13" x14ac:dyDescent="0.25">
      <c r="A588" t="s">
        <v>1</v>
      </c>
      <c r="B588" t="s">
        <v>507</v>
      </c>
      <c r="D588" t="s">
        <v>794</v>
      </c>
      <c r="E588" t="s">
        <v>2886</v>
      </c>
      <c r="F588" t="s">
        <v>2690</v>
      </c>
      <c r="G588" t="s">
        <v>2099</v>
      </c>
      <c r="H588" t="s">
        <v>1565</v>
      </c>
      <c r="I588" t="s">
        <v>2726</v>
      </c>
      <c r="J588" t="s">
        <v>1600</v>
      </c>
      <c r="K588" t="s">
        <v>1608</v>
      </c>
      <c r="L588" t="s">
        <v>1610</v>
      </c>
      <c r="M588" t="s">
        <v>1632</v>
      </c>
    </row>
    <row r="589" spans="1:13" x14ac:dyDescent="0.25">
      <c r="A589" t="s">
        <v>1</v>
      </c>
      <c r="B589" t="s">
        <v>508</v>
      </c>
      <c r="D589" t="s">
        <v>533</v>
      </c>
      <c r="E589" t="s">
        <v>2887</v>
      </c>
      <c r="F589" t="s">
        <v>2691</v>
      </c>
      <c r="G589" t="s">
        <v>2099</v>
      </c>
      <c r="H589" t="s">
        <v>1566</v>
      </c>
      <c r="I589" t="s">
        <v>2729</v>
      </c>
      <c r="J589" t="s">
        <v>1601</v>
      </c>
      <c r="K589" t="s">
        <v>1607</v>
      </c>
      <c r="L589" t="s">
        <v>1610</v>
      </c>
      <c r="M589" t="s">
        <v>1623</v>
      </c>
    </row>
    <row r="590" spans="1:13" x14ac:dyDescent="0.25">
      <c r="A590" t="s">
        <v>1</v>
      </c>
      <c r="B590" t="s">
        <v>508</v>
      </c>
      <c r="D590" t="s">
        <v>972</v>
      </c>
      <c r="E590" t="s">
        <v>2888</v>
      </c>
      <c r="F590" t="s">
        <v>2692</v>
      </c>
      <c r="G590" t="s">
        <v>2099</v>
      </c>
      <c r="H590" t="s">
        <v>1567</v>
      </c>
      <c r="I590" t="s">
        <v>2725</v>
      </c>
      <c r="J590" t="s">
        <v>1602</v>
      </c>
      <c r="K590" t="s">
        <v>1607</v>
      </c>
      <c r="L590" t="s">
        <v>1610</v>
      </c>
      <c r="M590" t="s">
        <v>1648</v>
      </c>
    </row>
    <row r="591" spans="1:13" x14ac:dyDescent="0.25">
      <c r="A591" t="s">
        <v>1</v>
      </c>
      <c r="B591" t="s">
        <v>508</v>
      </c>
      <c r="D591" t="s">
        <v>629</v>
      </c>
      <c r="E591" t="s">
        <v>2889</v>
      </c>
      <c r="F591" t="s">
        <v>2693</v>
      </c>
      <c r="G591" t="s">
        <v>2099</v>
      </c>
      <c r="H591" t="s">
        <v>1568</v>
      </c>
      <c r="I591" t="s">
        <v>2728</v>
      </c>
      <c r="J591" t="s">
        <v>1602</v>
      </c>
      <c r="K591" t="s">
        <v>1607</v>
      </c>
      <c r="L591" t="s">
        <v>1610</v>
      </c>
      <c r="M591" t="s">
        <v>1635</v>
      </c>
    </row>
    <row r="592" spans="1:13" x14ac:dyDescent="0.25">
      <c r="A592" t="s">
        <v>1</v>
      </c>
      <c r="B592" t="s">
        <v>508</v>
      </c>
      <c r="D592" t="s">
        <v>674</v>
      </c>
      <c r="E592" t="s">
        <v>2890</v>
      </c>
      <c r="F592" t="s">
        <v>2694</v>
      </c>
      <c r="G592" t="s">
        <v>2099</v>
      </c>
      <c r="H592" t="s">
        <v>1569</v>
      </c>
      <c r="I592" t="s">
        <v>2731</v>
      </c>
      <c r="J592" t="s">
        <v>1600</v>
      </c>
      <c r="K592" t="s">
        <v>1607</v>
      </c>
      <c r="L592" t="s">
        <v>1610</v>
      </c>
      <c r="M592" t="s">
        <v>1633</v>
      </c>
    </row>
    <row r="593" spans="1:13" x14ac:dyDescent="0.25">
      <c r="A593" t="s">
        <v>1</v>
      </c>
      <c r="B593" t="s">
        <v>508</v>
      </c>
      <c r="D593" t="s">
        <v>685</v>
      </c>
      <c r="E593" t="s">
        <v>2891</v>
      </c>
      <c r="F593" t="s">
        <v>2695</v>
      </c>
      <c r="G593" t="s">
        <v>2099</v>
      </c>
      <c r="H593" t="s">
        <v>1570</v>
      </c>
      <c r="I593" t="s">
        <v>2735</v>
      </c>
      <c r="J593" t="s">
        <v>1602</v>
      </c>
      <c r="K593" t="s">
        <v>1607</v>
      </c>
      <c r="L593" t="s">
        <v>1610</v>
      </c>
      <c r="M593" t="s">
        <v>1646</v>
      </c>
    </row>
    <row r="594" spans="1:13" x14ac:dyDescent="0.25">
      <c r="A594" t="s">
        <v>1</v>
      </c>
      <c r="B594" t="s">
        <v>508</v>
      </c>
      <c r="D594" t="s">
        <v>582</v>
      </c>
      <c r="E594" t="s">
        <v>2892</v>
      </c>
      <c r="F594" t="s">
        <v>2696</v>
      </c>
      <c r="G594" t="s">
        <v>2099</v>
      </c>
      <c r="H594" t="s">
        <v>1571</v>
      </c>
      <c r="I594" t="s">
        <v>2726</v>
      </c>
      <c r="J594" t="s">
        <v>1602</v>
      </c>
      <c r="K594" t="s">
        <v>1607</v>
      </c>
      <c r="L594" t="s">
        <v>1610</v>
      </c>
      <c r="M594" t="s">
        <v>1617</v>
      </c>
    </row>
    <row r="595" spans="1:13" x14ac:dyDescent="0.25">
      <c r="A595" t="s">
        <v>1</v>
      </c>
      <c r="B595" t="s">
        <v>508</v>
      </c>
      <c r="D595" t="s">
        <v>847</v>
      </c>
      <c r="E595" t="s">
        <v>2893</v>
      </c>
      <c r="F595" t="s">
        <v>2697</v>
      </c>
      <c r="G595" t="s">
        <v>2099</v>
      </c>
      <c r="H595" t="s">
        <v>1572</v>
      </c>
      <c r="I595" t="s">
        <v>2734</v>
      </c>
      <c r="J595" t="s">
        <v>1602</v>
      </c>
      <c r="K595" t="s">
        <v>1607</v>
      </c>
      <c r="L595" t="s">
        <v>1610</v>
      </c>
      <c r="M595" t="s">
        <v>1640</v>
      </c>
    </row>
    <row r="596" spans="1:13" x14ac:dyDescent="0.25">
      <c r="A596" t="s">
        <v>1</v>
      </c>
      <c r="B596" t="s">
        <v>508</v>
      </c>
      <c r="D596" t="s">
        <v>973</v>
      </c>
      <c r="E596" t="s">
        <v>2894</v>
      </c>
      <c r="F596" t="s">
        <v>2698</v>
      </c>
      <c r="G596" t="s">
        <v>2099</v>
      </c>
      <c r="H596" t="s">
        <v>1573</v>
      </c>
      <c r="I596" t="s">
        <v>2730</v>
      </c>
      <c r="J596" t="s">
        <v>1600</v>
      </c>
      <c r="K596" t="s">
        <v>1607</v>
      </c>
      <c r="L596" t="s">
        <v>1610</v>
      </c>
      <c r="M596" t="s">
        <v>1642</v>
      </c>
    </row>
    <row r="597" spans="1:13" x14ac:dyDescent="0.25">
      <c r="A597" t="s">
        <v>1</v>
      </c>
      <c r="B597" t="s">
        <v>509</v>
      </c>
      <c r="D597" t="s">
        <v>825</v>
      </c>
      <c r="E597" t="s">
        <v>2895</v>
      </c>
      <c r="F597" t="s">
        <v>2699</v>
      </c>
      <c r="G597" t="s">
        <v>2099</v>
      </c>
      <c r="H597" t="s">
        <v>1574</v>
      </c>
      <c r="I597" t="s">
        <v>2731</v>
      </c>
      <c r="J597" t="s">
        <v>1600</v>
      </c>
      <c r="K597" t="s">
        <v>1607</v>
      </c>
      <c r="L597" t="s">
        <v>1610</v>
      </c>
      <c r="M597" t="s">
        <v>1633</v>
      </c>
    </row>
    <row r="598" spans="1:13" x14ac:dyDescent="0.25">
      <c r="A598" t="s">
        <v>1</v>
      </c>
      <c r="B598" t="s">
        <v>510</v>
      </c>
      <c r="D598" t="s">
        <v>623</v>
      </c>
      <c r="E598" t="s">
        <v>2896</v>
      </c>
      <c r="F598" t="s">
        <v>2700</v>
      </c>
      <c r="G598" t="s">
        <v>2099</v>
      </c>
      <c r="H598" t="s">
        <v>1575</v>
      </c>
      <c r="I598" t="s">
        <v>2726</v>
      </c>
      <c r="J598" t="s">
        <v>1600</v>
      </c>
      <c r="K598" t="s">
        <v>1607</v>
      </c>
      <c r="L598" t="s">
        <v>1610</v>
      </c>
      <c r="M598" t="s">
        <v>1625</v>
      </c>
    </row>
    <row r="599" spans="1:13" x14ac:dyDescent="0.25">
      <c r="A599" t="s">
        <v>1</v>
      </c>
      <c r="B599" t="s">
        <v>511</v>
      </c>
      <c r="D599" t="s">
        <v>642</v>
      </c>
      <c r="E599" t="s">
        <v>2897</v>
      </c>
      <c r="F599" t="s">
        <v>2701</v>
      </c>
      <c r="G599" t="s">
        <v>2099</v>
      </c>
      <c r="H599" t="s">
        <v>1576</v>
      </c>
      <c r="I599" t="s">
        <v>2724</v>
      </c>
      <c r="J599" t="s">
        <v>1603</v>
      </c>
      <c r="K599" t="s">
        <v>1607</v>
      </c>
      <c r="L599" t="s">
        <v>1610</v>
      </c>
      <c r="M599" t="s">
        <v>1643</v>
      </c>
    </row>
    <row r="600" spans="1:13" x14ac:dyDescent="0.25">
      <c r="A600" t="s">
        <v>1</v>
      </c>
      <c r="B600" t="s">
        <v>512</v>
      </c>
      <c r="D600" t="s">
        <v>769</v>
      </c>
      <c r="E600" t="s">
        <v>2898</v>
      </c>
      <c r="F600" t="s">
        <v>2702</v>
      </c>
      <c r="G600" t="s">
        <v>2099</v>
      </c>
      <c r="H600" t="s">
        <v>1577</v>
      </c>
      <c r="I600" t="s">
        <v>2726</v>
      </c>
      <c r="J600" t="s">
        <v>1600</v>
      </c>
      <c r="K600" t="s">
        <v>1607</v>
      </c>
      <c r="L600" t="s">
        <v>1610</v>
      </c>
      <c r="M600" t="s">
        <v>1632</v>
      </c>
    </row>
    <row r="601" spans="1:13" x14ac:dyDescent="0.25">
      <c r="A601" t="s">
        <v>1</v>
      </c>
      <c r="B601" t="s">
        <v>513</v>
      </c>
      <c r="D601" t="s">
        <v>579</v>
      </c>
      <c r="E601" t="s">
        <v>2899</v>
      </c>
      <c r="F601" t="s">
        <v>2703</v>
      </c>
      <c r="G601" t="s">
        <v>2099</v>
      </c>
      <c r="H601" t="s">
        <v>1578</v>
      </c>
      <c r="I601" t="s">
        <v>2726</v>
      </c>
      <c r="J601" t="s">
        <v>1604</v>
      </c>
      <c r="K601" t="s">
        <v>1607</v>
      </c>
      <c r="L601" t="s">
        <v>1610</v>
      </c>
      <c r="M601" t="s">
        <v>1620</v>
      </c>
    </row>
    <row r="602" spans="1:13" x14ac:dyDescent="0.25">
      <c r="A602" t="s">
        <v>1</v>
      </c>
      <c r="B602" t="s">
        <v>514</v>
      </c>
      <c r="D602" t="s">
        <v>567</v>
      </c>
      <c r="E602" t="s">
        <v>2900</v>
      </c>
      <c r="F602" t="s">
        <v>2704</v>
      </c>
      <c r="G602" t="s">
        <v>2099</v>
      </c>
      <c r="H602" t="s">
        <v>1579</v>
      </c>
      <c r="I602" t="s">
        <v>2728</v>
      </c>
      <c r="J602" t="s">
        <v>1601</v>
      </c>
      <c r="K602" t="s">
        <v>1608</v>
      </c>
      <c r="L602" t="s">
        <v>1610</v>
      </c>
      <c r="M602" t="s">
        <v>1634</v>
      </c>
    </row>
    <row r="603" spans="1:13" x14ac:dyDescent="0.25">
      <c r="A603" t="s">
        <v>1</v>
      </c>
      <c r="B603" t="s">
        <v>515</v>
      </c>
      <c r="D603" t="s">
        <v>798</v>
      </c>
      <c r="E603" t="s">
        <v>2901</v>
      </c>
      <c r="F603" t="s">
        <v>2705</v>
      </c>
      <c r="G603" t="s">
        <v>2099</v>
      </c>
      <c r="H603" t="s">
        <v>1580</v>
      </c>
      <c r="I603" t="s">
        <v>2728</v>
      </c>
      <c r="J603" t="s">
        <v>1601</v>
      </c>
      <c r="K603" t="s">
        <v>1608</v>
      </c>
      <c r="L603" t="s">
        <v>1610</v>
      </c>
      <c r="M603" t="s">
        <v>1634</v>
      </c>
    </row>
    <row r="604" spans="1:13" x14ac:dyDescent="0.25">
      <c r="A604" t="s">
        <v>1</v>
      </c>
      <c r="B604" t="s">
        <v>515</v>
      </c>
      <c r="D604" t="s">
        <v>547</v>
      </c>
      <c r="E604" t="s">
        <v>2902</v>
      </c>
      <c r="F604" t="s">
        <v>2706</v>
      </c>
      <c r="G604" t="s">
        <v>2099</v>
      </c>
      <c r="H604" t="s">
        <v>1581</v>
      </c>
      <c r="I604" t="s">
        <v>2730</v>
      </c>
      <c r="J604" t="s">
        <v>1601</v>
      </c>
      <c r="K604" t="s">
        <v>1608</v>
      </c>
      <c r="L604" t="s">
        <v>1610</v>
      </c>
      <c r="M604" t="s">
        <v>1624</v>
      </c>
    </row>
    <row r="605" spans="1:13" x14ac:dyDescent="0.25">
      <c r="A605" t="s">
        <v>1</v>
      </c>
      <c r="B605" t="s">
        <v>516</v>
      </c>
      <c r="D605" t="s">
        <v>622</v>
      </c>
      <c r="E605" t="s">
        <v>2903</v>
      </c>
      <c r="F605" t="s">
        <v>2707</v>
      </c>
      <c r="G605" t="s">
        <v>2099</v>
      </c>
      <c r="H605" t="s">
        <v>1582</v>
      </c>
      <c r="I605" t="s">
        <v>2724</v>
      </c>
      <c r="J605" t="s">
        <v>1601</v>
      </c>
      <c r="K605" t="s">
        <v>1607</v>
      </c>
      <c r="L605" t="s">
        <v>1610</v>
      </c>
      <c r="M605" t="s">
        <v>1630</v>
      </c>
    </row>
    <row r="606" spans="1:13" x14ac:dyDescent="0.25">
      <c r="A606" t="s">
        <v>1</v>
      </c>
      <c r="B606" t="s">
        <v>516</v>
      </c>
      <c r="D606" t="s">
        <v>673</v>
      </c>
      <c r="E606" t="s">
        <v>2904</v>
      </c>
      <c r="F606" t="s">
        <v>2708</v>
      </c>
      <c r="G606" t="s">
        <v>2099</v>
      </c>
      <c r="H606" t="s">
        <v>1583</v>
      </c>
      <c r="I606" t="s">
        <v>2724</v>
      </c>
      <c r="J606" t="s">
        <v>1600</v>
      </c>
      <c r="K606" t="s">
        <v>1607</v>
      </c>
      <c r="L606" t="s">
        <v>1610</v>
      </c>
      <c r="M606" t="s">
        <v>1614</v>
      </c>
    </row>
    <row r="607" spans="1:13" x14ac:dyDescent="0.25">
      <c r="A607" t="s">
        <v>1</v>
      </c>
      <c r="B607" t="s">
        <v>517</v>
      </c>
      <c r="D607" t="s">
        <v>974</v>
      </c>
      <c r="E607" t="s">
        <v>2905</v>
      </c>
      <c r="F607" t="s">
        <v>2709</v>
      </c>
      <c r="G607" t="s">
        <v>2099</v>
      </c>
      <c r="H607" t="s">
        <v>1584</v>
      </c>
      <c r="I607" t="s">
        <v>2732</v>
      </c>
      <c r="J607" t="s">
        <v>1602</v>
      </c>
      <c r="K607" t="s">
        <v>1608</v>
      </c>
      <c r="L607" t="s">
        <v>1610</v>
      </c>
      <c r="M607" t="s">
        <v>1656</v>
      </c>
    </row>
    <row r="608" spans="1:13" x14ac:dyDescent="0.25">
      <c r="A608" t="s">
        <v>1</v>
      </c>
      <c r="B608" t="s">
        <v>518</v>
      </c>
      <c r="D608" t="s">
        <v>593</v>
      </c>
      <c r="E608" t="s">
        <v>2906</v>
      </c>
      <c r="F608" t="s">
        <v>2710</v>
      </c>
      <c r="G608" t="s">
        <v>2099</v>
      </c>
      <c r="H608" t="s">
        <v>1585</v>
      </c>
      <c r="I608" t="s">
        <v>2728</v>
      </c>
      <c r="J608" t="s">
        <v>1602</v>
      </c>
      <c r="K608" t="s">
        <v>1607</v>
      </c>
      <c r="L608" t="s">
        <v>1610</v>
      </c>
      <c r="M608" t="s">
        <v>1635</v>
      </c>
    </row>
    <row r="609" spans="1:13" x14ac:dyDescent="0.25">
      <c r="A609" t="s">
        <v>1</v>
      </c>
      <c r="B609" t="s">
        <v>518</v>
      </c>
      <c r="D609" t="s">
        <v>816</v>
      </c>
      <c r="E609" t="s">
        <v>2907</v>
      </c>
      <c r="F609" t="s">
        <v>2711</v>
      </c>
      <c r="G609" t="s">
        <v>2099</v>
      </c>
      <c r="H609" t="s">
        <v>1586</v>
      </c>
      <c r="I609" t="s">
        <v>2728</v>
      </c>
      <c r="J609" t="s">
        <v>1601</v>
      </c>
      <c r="K609" t="s">
        <v>1607</v>
      </c>
      <c r="L609" t="s">
        <v>1610</v>
      </c>
      <c r="M609" t="s">
        <v>1634</v>
      </c>
    </row>
    <row r="610" spans="1:13" x14ac:dyDescent="0.25">
      <c r="A610" t="s">
        <v>1</v>
      </c>
      <c r="B610" t="s">
        <v>519</v>
      </c>
      <c r="D610" t="s">
        <v>547</v>
      </c>
      <c r="E610" t="s">
        <v>2908</v>
      </c>
      <c r="F610" t="s">
        <v>2712</v>
      </c>
      <c r="G610" t="s">
        <v>2099</v>
      </c>
      <c r="H610" t="s">
        <v>1587</v>
      </c>
      <c r="I610" t="s">
        <v>2733</v>
      </c>
      <c r="J610" t="s">
        <v>1603</v>
      </c>
      <c r="K610" t="s">
        <v>1607</v>
      </c>
      <c r="L610" t="s">
        <v>1610</v>
      </c>
      <c r="M610" t="s">
        <v>1639</v>
      </c>
    </row>
    <row r="611" spans="1:13" x14ac:dyDescent="0.25">
      <c r="A611" t="s">
        <v>1</v>
      </c>
      <c r="B611" t="s">
        <v>520</v>
      </c>
      <c r="D611" t="s">
        <v>533</v>
      </c>
      <c r="E611" t="s">
        <v>2909</v>
      </c>
      <c r="F611" t="s">
        <v>2713</v>
      </c>
      <c r="G611" t="s">
        <v>2099</v>
      </c>
      <c r="H611" t="s">
        <v>1588</v>
      </c>
      <c r="I611" t="s">
        <v>2732</v>
      </c>
      <c r="J611" t="s">
        <v>1602</v>
      </c>
      <c r="K611" t="s">
        <v>1608</v>
      </c>
      <c r="L611" t="s">
        <v>1610</v>
      </c>
      <c r="M611" t="s">
        <v>1656</v>
      </c>
    </row>
    <row r="612" spans="1:13" x14ac:dyDescent="0.25">
      <c r="A612" t="s">
        <v>1</v>
      </c>
      <c r="B612" t="s">
        <v>521</v>
      </c>
      <c r="D612" t="s">
        <v>579</v>
      </c>
      <c r="E612" t="s">
        <v>2910</v>
      </c>
      <c r="F612" t="s">
        <v>2714</v>
      </c>
      <c r="G612" t="s">
        <v>2099</v>
      </c>
      <c r="H612" t="s">
        <v>1589</v>
      </c>
      <c r="I612" t="s">
        <v>2730</v>
      </c>
      <c r="J612" t="s">
        <v>1600</v>
      </c>
      <c r="K612" t="s">
        <v>1608</v>
      </c>
      <c r="L612" t="s">
        <v>1610</v>
      </c>
      <c r="M612" t="s">
        <v>1642</v>
      </c>
    </row>
    <row r="613" spans="1:13" x14ac:dyDescent="0.25">
      <c r="A613" t="s">
        <v>1</v>
      </c>
      <c r="B613" t="s">
        <v>521</v>
      </c>
      <c r="D613" t="s">
        <v>542</v>
      </c>
      <c r="E613" t="s">
        <v>2911</v>
      </c>
      <c r="F613" t="s">
        <v>2715</v>
      </c>
      <c r="G613" t="s">
        <v>2099</v>
      </c>
      <c r="H613" t="s">
        <v>1590</v>
      </c>
      <c r="I613" t="s">
        <v>2726</v>
      </c>
      <c r="J613" t="s">
        <v>1602</v>
      </c>
      <c r="K613" t="s">
        <v>1608</v>
      </c>
      <c r="L613" t="s">
        <v>1610</v>
      </c>
      <c r="M613" t="s">
        <v>1617</v>
      </c>
    </row>
    <row r="614" spans="1:13" x14ac:dyDescent="0.25">
      <c r="A614" t="s">
        <v>1</v>
      </c>
      <c r="B614" t="s">
        <v>522</v>
      </c>
      <c r="D614" t="s">
        <v>710</v>
      </c>
      <c r="E614" t="s">
        <v>2912</v>
      </c>
      <c r="F614" t="s">
        <v>2716</v>
      </c>
      <c r="G614" t="s">
        <v>2099</v>
      </c>
      <c r="H614" t="s">
        <v>1591</v>
      </c>
      <c r="I614" t="s">
        <v>2736</v>
      </c>
      <c r="J614" t="s">
        <v>1600</v>
      </c>
      <c r="K614" t="s">
        <v>1608</v>
      </c>
      <c r="L614" t="s">
        <v>1610</v>
      </c>
      <c r="M614" t="s">
        <v>1658</v>
      </c>
    </row>
    <row r="615" spans="1:13" x14ac:dyDescent="0.25">
      <c r="A615" t="s">
        <v>1</v>
      </c>
      <c r="B615" t="s">
        <v>523</v>
      </c>
      <c r="D615" t="s">
        <v>710</v>
      </c>
      <c r="E615" t="s">
        <v>2913</v>
      </c>
      <c r="F615" t="s">
        <v>2717</v>
      </c>
      <c r="G615" t="s">
        <v>2099</v>
      </c>
      <c r="H615" t="s">
        <v>1592</v>
      </c>
      <c r="I615" t="s">
        <v>2730</v>
      </c>
      <c r="J615" t="s">
        <v>1602</v>
      </c>
      <c r="K615" t="s">
        <v>1607</v>
      </c>
      <c r="L615" t="s">
        <v>1610</v>
      </c>
      <c r="M615" t="s">
        <v>1626</v>
      </c>
    </row>
    <row r="616" spans="1:13" x14ac:dyDescent="0.25">
      <c r="A616" t="s">
        <v>1</v>
      </c>
      <c r="B616" t="s">
        <v>524</v>
      </c>
      <c r="D616" t="s">
        <v>618</v>
      </c>
      <c r="E616" t="s">
        <v>2914</v>
      </c>
      <c r="F616" t="s">
        <v>2718</v>
      </c>
      <c r="G616" t="s">
        <v>2099</v>
      </c>
      <c r="H616" t="s">
        <v>1593</v>
      </c>
      <c r="I616" t="s">
        <v>2729</v>
      </c>
      <c r="J616" t="s">
        <v>1603</v>
      </c>
      <c r="K616" t="s">
        <v>1608</v>
      </c>
      <c r="L616" t="s">
        <v>1610</v>
      </c>
      <c r="M616" t="s">
        <v>1622</v>
      </c>
    </row>
    <row r="617" spans="1:13" x14ac:dyDescent="0.25">
      <c r="A617" t="s">
        <v>1</v>
      </c>
      <c r="B617" t="s">
        <v>525</v>
      </c>
      <c r="D617" t="s">
        <v>975</v>
      </c>
      <c r="E617" t="s">
        <v>2915</v>
      </c>
      <c r="F617" t="s">
        <v>2719</v>
      </c>
      <c r="G617" t="s">
        <v>2099</v>
      </c>
      <c r="H617" t="s">
        <v>1594</v>
      </c>
      <c r="I617" t="s">
        <v>2737</v>
      </c>
      <c r="J617" t="s">
        <v>1603</v>
      </c>
      <c r="K617" t="s">
        <v>1607</v>
      </c>
      <c r="L617" t="s">
        <v>1610</v>
      </c>
      <c r="M617" t="s">
        <v>1652</v>
      </c>
    </row>
    <row r="618" spans="1:13" x14ac:dyDescent="0.25">
      <c r="A618" t="s">
        <v>1</v>
      </c>
      <c r="B618" t="s">
        <v>526</v>
      </c>
      <c r="D618" t="s">
        <v>546</v>
      </c>
      <c r="E618" t="s">
        <v>2916</v>
      </c>
      <c r="F618" t="s">
        <v>2720</v>
      </c>
      <c r="G618" t="s">
        <v>2099</v>
      </c>
      <c r="H618" t="s">
        <v>1595</v>
      </c>
      <c r="I618" t="s">
        <v>2726</v>
      </c>
      <c r="J618" t="s">
        <v>1600</v>
      </c>
      <c r="K618" t="s">
        <v>1608</v>
      </c>
      <c r="L618" t="s">
        <v>1610</v>
      </c>
      <c r="M618" t="s">
        <v>1625</v>
      </c>
    </row>
    <row r="619" spans="1:13" x14ac:dyDescent="0.25">
      <c r="A619" t="s">
        <v>1</v>
      </c>
      <c r="B619" t="s">
        <v>527</v>
      </c>
      <c r="D619" t="s">
        <v>579</v>
      </c>
      <c r="E619" t="s">
        <v>2917</v>
      </c>
      <c r="F619" t="s">
        <v>2721</v>
      </c>
      <c r="G619" t="s">
        <v>2099</v>
      </c>
      <c r="H619" t="s">
        <v>1596</v>
      </c>
      <c r="I619" t="s">
        <v>2731</v>
      </c>
      <c r="J619" t="s">
        <v>1600</v>
      </c>
      <c r="K619" t="s">
        <v>1607</v>
      </c>
      <c r="L619" t="s">
        <v>1610</v>
      </c>
      <c r="M619" t="s">
        <v>1633</v>
      </c>
    </row>
    <row r="620" spans="1:13" x14ac:dyDescent="0.25">
      <c r="A620" t="s">
        <v>1</v>
      </c>
      <c r="B620" t="s">
        <v>528</v>
      </c>
      <c r="D620" t="s">
        <v>976</v>
      </c>
      <c r="E620" t="s">
        <v>2918</v>
      </c>
      <c r="F620" t="s">
        <v>2722</v>
      </c>
      <c r="G620" t="s">
        <v>2099</v>
      </c>
      <c r="H620" t="s">
        <v>1597</v>
      </c>
      <c r="I620" t="s">
        <v>2727</v>
      </c>
      <c r="J620" t="s">
        <v>1600</v>
      </c>
      <c r="K620" t="s">
        <v>1607</v>
      </c>
      <c r="L620" t="s">
        <v>1610</v>
      </c>
      <c r="M620" t="s">
        <v>1654</v>
      </c>
    </row>
  </sheetData>
  <autoFilter ref="A1:M620" xr:uid="{72FC5467-5DC5-461F-9E24-EBD618CF7BE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66EB-BDEC-472C-AB70-C10345B68675}">
  <dimension ref="A1:M616"/>
  <sheetViews>
    <sheetView tabSelected="1" workbookViewId="0">
      <selection activeCell="A3" sqref="A3"/>
    </sheetView>
  </sheetViews>
  <sheetFormatPr baseColWidth="10" defaultRowHeight="15" x14ac:dyDescent="0.25"/>
  <cols>
    <col min="1" max="1" width="5.7109375" bestFit="1" customWidth="1"/>
    <col min="2" max="2" width="14.140625" customWidth="1"/>
    <col min="3" max="3" width="36.140625" bestFit="1" customWidth="1"/>
    <col min="4" max="4" width="9.140625" bestFit="1" customWidth="1"/>
    <col min="5" max="5" width="15.7109375" bestFit="1" customWidth="1"/>
    <col min="6" max="6" width="43.28515625" bestFit="1" customWidth="1"/>
    <col min="7" max="7" width="55" bestFit="1" customWidth="1"/>
    <col min="8" max="8" width="6.5703125" bestFit="1" customWidth="1"/>
    <col min="9" max="9" width="10.5703125" bestFit="1" customWidth="1"/>
    <col min="10" max="10" width="11.140625" bestFit="1" customWidth="1"/>
    <col min="11" max="11" width="23.28515625" hidden="1" customWidth="1"/>
    <col min="12" max="12" width="127.28515625" hidden="1" customWidth="1"/>
  </cols>
  <sheetData>
    <row r="1" spans="1:13" x14ac:dyDescent="0.25">
      <c r="A1" s="2" t="s">
        <v>2100</v>
      </c>
      <c r="B1" s="1" t="s">
        <v>0</v>
      </c>
      <c r="C1" s="1" t="s">
        <v>1659</v>
      </c>
      <c r="D1" s="1" t="s">
        <v>977</v>
      </c>
      <c r="E1" s="1" t="s">
        <v>2101</v>
      </c>
      <c r="F1" s="1" t="s">
        <v>978</v>
      </c>
      <c r="G1" s="1" t="s">
        <v>1598</v>
      </c>
      <c r="H1" s="1" t="s">
        <v>1599</v>
      </c>
      <c r="I1" s="1" t="s">
        <v>1606</v>
      </c>
      <c r="J1" s="1" t="s">
        <v>1609</v>
      </c>
      <c r="K1" t="str">
        <f>CONCATENATE("INSERT INTO participantes (",L1,") VALUES (")</f>
        <v>INSERT INTO participantes (id,nivel,correo,matricula,clave,nombre,carrera,grado,sexo,situacion,evaluados,num_evaluados,total_evaluaciones,ultimo_acceso,nivel_acceso) VALUES (</v>
      </c>
      <c r="L1" s="2" t="s">
        <v>2102</v>
      </c>
    </row>
    <row r="2" spans="1:13" x14ac:dyDescent="0.25">
      <c r="A2">
        <v>1001</v>
      </c>
      <c r="B2" s="3" t="s">
        <v>2103</v>
      </c>
      <c r="C2" t="str">
        <f>CONCATENATE("'",ALUMNOS!E2,"'")</f>
        <v>'abbydessire.pelayodiaz'</v>
      </c>
      <c r="D2" t="str">
        <f>CONCATENATE(ALUMNOS!F2,"'")</f>
        <v>'111772'</v>
      </c>
      <c r="E2" t="s">
        <v>2723</v>
      </c>
      <c r="F2" t="str">
        <f>CONCATENATE("'",ALUMNOS!H2,"'")</f>
        <v>'PELAYO DIAZ ABBY DESSIRE'</v>
      </c>
      <c r="G2" t="str">
        <f>CONCATENATE("'",ALUMNOS!I2,"'")</f>
        <v>'NUTRICION Y GASTRONOMIA'</v>
      </c>
      <c r="H2" t="str">
        <f>CONCATENATE("'",ALUMNOS!J2,"'")</f>
        <v>'2do'</v>
      </c>
      <c r="I2" t="str">
        <f>CONCATENATE("'",ALUMNOS!K2,"'")</f>
        <v>'Femenino'</v>
      </c>
      <c r="J2" t="str">
        <f>CONCATENATE("'",ALUMNOS!L2,"'")</f>
        <v>'Activo'</v>
      </c>
      <c r="K2" t="str">
        <f>CONCATENATE(A2,",",B2,",",C2,",",D2,",'",E2,",",F2,",",G2,",",H2,",",UPPER(I2),",",UPPER(J2),",'',0,0,'','ALUMNO'")</f>
        <v>1001,'LICENCIATURA','abbydessire.pelayodiaz','111772','TOMAR DEL SND','PELAYO DIAZ ABBY DESSIRE','NUTRICION Y GASTRONOMIA','2do','FEMENINO','ACTIVO','',0,0,'','ALUMNO'</v>
      </c>
      <c r="L2" t="str">
        <f t="shared" ref="L2:L65" si="0">CONCATENATE($K$1,K2,");")</f>
        <v>INSERT INTO participantes (id,nivel,correo,matricula,clave,nombre,carrera,grado,sexo,situacion,evaluados,num_evaluados,total_evaluaciones,ultimo_acceso,nivel_acceso) VALUES (1001,'LICENCIATURA','abbydessire.pelayodiaz','111772','TOMAR DEL SND','PELAYO DIAZ ABBY DESSIRE','NUTRICION Y GASTRONOMIA','2do','FEMENINO','ACTIVO','',0,0,'','ALUMNO');</v>
      </c>
      <c r="M2" t="str">
        <f>CONCATENATE("update participantes set correo=",C2," where id=",A2,";")</f>
        <v>update participantes set correo='abbydessire.pelayodiaz' where id=1001;</v>
      </c>
    </row>
    <row r="3" spans="1:13" x14ac:dyDescent="0.25">
      <c r="A3">
        <f>A2+1</f>
        <v>1002</v>
      </c>
      <c r="B3" s="3" t="s">
        <v>2103</v>
      </c>
      <c r="C3" t="str">
        <f>CONCATENATE("'",ALUMNOS!E3,"'")</f>
        <v>'abrilisabella.godoyflores'</v>
      </c>
      <c r="D3" t="str">
        <f>CONCATENATE(ALUMNOS!F3,"'")</f>
        <v>'111103'</v>
      </c>
      <c r="E3" t="s">
        <v>2723</v>
      </c>
      <c r="F3" t="str">
        <f>CONCATENATE("'",ALUMNOS!H3,"'")</f>
        <v>'GODOY FLORES ABRIL ISABELLA'</v>
      </c>
      <c r="G3" t="str">
        <f>CONCATENATE("'",ALUMNOS!I3,"'")</f>
        <v>'INGENIERIA CIBERNETICA Y EN SISTEMAS COMPUTACIONALES'</v>
      </c>
      <c r="H3" t="str">
        <f>CONCATENATE("'",ALUMNOS!J3,"'")</f>
        <v>'4to'</v>
      </c>
      <c r="I3" t="str">
        <f>CONCATENATE("'",ALUMNOS!K3,"'")</f>
        <v>'Femenino'</v>
      </c>
      <c r="J3" t="str">
        <f>CONCATENATE("'",ALUMNOS!L3,"'")</f>
        <v>'Activo'</v>
      </c>
      <c r="K3" t="str">
        <f t="shared" ref="K3:K66" si="1">CONCATENATE(A3,",",B3,",",C3,",",D3,",'",E3,",",F3,",",G3,",",H3,",",UPPER(I3),",",UPPER(J3),",'',0,0,'','ALUMNO'")</f>
        <v>1002,'LICENCIATURA','abrilisabella.godoyflores','111103','TOMAR DEL SND','GODOY FLORES ABRIL ISABELLA','INGENIERIA CIBERNETICA Y EN SISTEMAS COMPUTACIONALES','4to','FEMENINO','ACTIVO','',0,0,'','ALUMNO'</v>
      </c>
      <c r="L3" t="str">
        <f t="shared" si="0"/>
        <v>INSERT INTO participantes (id,nivel,correo,matricula,clave,nombre,carrera,grado,sexo,situacion,evaluados,num_evaluados,total_evaluaciones,ultimo_acceso,nivel_acceso) VALUES (1002,'LICENCIATURA','abrilisabella.godoyflores','111103','TOMAR DEL SND','GODOY FLORES ABRIL ISABELLA','INGENIERIA CIBERNETICA Y EN SISTEMAS COMPUTACIONALES','4to','FEMENINO','ACTIVO','',0,0,'','ALUMNO');</v>
      </c>
      <c r="M3" t="str">
        <f t="shared" ref="M3:M66" si="2">CONCATENATE("update participantes set correo=",C3," where id=",A3,";")</f>
        <v>update participantes set correo='abrilisabella.godoyflores' where id=1002;</v>
      </c>
    </row>
    <row r="4" spans="1:13" x14ac:dyDescent="0.25">
      <c r="A4">
        <f t="shared" ref="A4:A67" si="3">A3+1</f>
        <v>1003</v>
      </c>
      <c r="B4" s="3" t="s">
        <v>2103</v>
      </c>
      <c r="C4" t="str">
        <f>CONCATENATE("'",ALUMNOS!E4,"'")</f>
        <v>'adanoswaldo.sandovalcardenas'</v>
      </c>
      <c r="D4" t="str">
        <f>CONCATENATE(ALUMNOS!F4,"'")</f>
        <v>'111031'</v>
      </c>
      <c r="E4" t="s">
        <v>2723</v>
      </c>
      <c r="F4" t="str">
        <f>CONCATENATE("'",ALUMNOS!H4,"'")</f>
        <v>'SANDOVAL CARDENAS ADAN OSWALDO'</v>
      </c>
      <c r="G4" t="str">
        <f>CONCATENATE("'",ALUMNOS!I4,"'")</f>
        <v>'INGENIERIA AEROESPACIAL'</v>
      </c>
      <c r="H4" t="str">
        <f>CONCATENATE("'",ALUMNOS!J4,"'")</f>
        <v>'4to'</v>
      </c>
      <c r="I4" t="str">
        <f>CONCATENATE("'",ALUMNOS!K4,"'")</f>
        <v>'Masculino'</v>
      </c>
      <c r="J4" t="str">
        <f>CONCATENATE("'",ALUMNOS!L4,"'")</f>
        <v>'Activo'</v>
      </c>
      <c r="K4" t="str">
        <f t="shared" si="1"/>
        <v>1003,'LICENCIATURA','adanoswaldo.sandovalcardenas','111031','TOMAR DEL SND','SANDOVAL CARDENAS ADAN OSWALDO','INGENIERIA AEROESPACIAL','4to','MASCULINO','ACTIVO','',0,0,'','ALUMNO'</v>
      </c>
      <c r="L4" t="str">
        <f t="shared" si="0"/>
        <v>INSERT INTO participantes (id,nivel,correo,matricula,clave,nombre,carrera,grado,sexo,situacion,evaluados,num_evaluados,total_evaluaciones,ultimo_acceso,nivel_acceso) VALUES (1003,'LICENCIATURA','adanoswaldo.sandovalcardenas','111031','TOMAR DEL SND','SANDOVAL CARDENAS ADAN OSWALDO','INGENIERIA AEROESPACIAL','4to','MASCULINO','ACTIVO','',0,0,'','ALUMNO');</v>
      </c>
      <c r="M4" t="str">
        <f t="shared" si="2"/>
        <v>update participantes set correo='adanoswaldo.sandovalcardenas' where id=1003;</v>
      </c>
    </row>
    <row r="5" spans="1:13" x14ac:dyDescent="0.25">
      <c r="A5">
        <f t="shared" si="3"/>
        <v>1004</v>
      </c>
      <c r="B5" s="3" t="s">
        <v>2103</v>
      </c>
      <c r="C5" t="str">
        <f>CONCATENATE("'",ALUMNOS!E5,"'")</f>
        <v>'adibkaleb.gonzaleztoscano'</v>
      </c>
      <c r="D5" t="str">
        <f>CONCATENATE(ALUMNOS!F5,"'")</f>
        <v>'110517'</v>
      </c>
      <c r="E5" t="s">
        <v>2723</v>
      </c>
      <c r="F5" t="str">
        <f>CONCATENATE("'",ALUMNOS!H5,"'")</f>
        <v>'GONZALEZ TOSCANO ADIB KALEB'</v>
      </c>
      <c r="G5" t="str">
        <f>CONCATENATE("'",ALUMNOS!I5,"'")</f>
        <v>'INGENIERIA AEROESPACIAL'</v>
      </c>
      <c r="H5" t="str">
        <f>CONCATENATE("'",ALUMNOS!J5,"'")</f>
        <v>'6to'</v>
      </c>
      <c r="I5" t="str">
        <f>CONCATENATE("'",ALUMNOS!K5,"'")</f>
        <v>'Masculino'</v>
      </c>
      <c r="J5" t="str">
        <f>CONCATENATE("'",ALUMNOS!L5,"'")</f>
        <v>'Activo'</v>
      </c>
      <c r="K5" t="str">
        <f t="shared" si="1"/>
        <v>1004,'LICENCIATURA','adibkaleb.gonzaleztoscano','110517','TOMAR DEL SND','GONZALEZ TOSCANO ADIB KALEB','INGENIERIA AEROESPACIAL','6to','MASCULINO','ACTIVO','',0,0,'','ALUMNO'</v>
      </c>
      <c r="L5" t="str">
        <f t="shared" si="0"/>
        <v>INSERT INTO participantes (id,nivel,correo,matricula,clave,nombre,carrera,grado,sexo,situacion,evaluados,num_evaluados,total_evaluaciones,ultimo_acceso,nivel_acceso) VALUES (1004,'LICENCIATURA','adibkaleb.gonzaleztoscano','110517','TOMAR DEL SND','GONZALEZ TOSCANO ADIB KALEB','INGENIERIA AEROESPACIAL','6to','MASCULINO','ACTIVO','',0,0,'','ALUMNO');</v>
      </c>
      <c r="M5" t="str">
        <f t="shared" si="2"/>
        <v>update participantes set correo='adibkaleb.gonzaleztoscano' where id=1004;</v>
      </c>
    </row>
    <row r="6" spans="1:13" x14ac:dyDescent="0.25">
      <c r="A6">
        <f t="shared" si="3"/>
        <v>1005</v>
      </c>
      <c r="B6" s="3" t="s">
        <v>2103</v>
      </c>
      <c r="C6" t="str">
        <f>CONCATENATE("'",ALUMNOS!E6,"'")</f>
        <v>'adrian.esquedamacias'</v>
      </c>
      <c r="D6" t="str">
        <f>CONCATENATE(ALUMNOS!F6,"'")</f>
        <v>'109814'</v>
      </c>
      <c r="E6" t="s">
        <v>2723</v>
      </c>
      <c r="F6" t="str">
        <f>CONCATENATE("'",ALUMNOS!H6,"'")</f>
        <v>'ESQUEDA MACIAS ADRIAN'</v>
      </c>
      <c r="G6" t="str">
        <f>CONCATENATE("'",ALUMNOS!I6,"'")</f>
        <v>'INGENIERIA AEROESPACIAL'</v>
      </c>
      <c r="H6" t="str">
        <f>CONCATENATE("'",ALUMNOS!J6,"'")</f>
        <v>'8vo'</v>
      </c>
      <c r="I6" t="str">
        <f>CONCATENATE("'",ALUMNOS!K6,"'")</f>
        <v>'Masculino'</v>
      </c>
      <c r="J6" t="str">
        <f>CONCATENATE("'",ALUMNOS!L6,"'")</f>
        <v>'Activo'</v>
      </c>
      <c r="K6" t="str">
        <f t="shared" si="1"/>
        <v>1005,'LICENCIATURA','adrian.esquedamacias','109814','TOMAR DEL SND','ESQUEDA MACIAS ADRIAN','INGENIERIA AEROESPACIAL','8vo','MASCULINO','ACTIVO','',0,0,'','ALUMNO'</v>
      </c>
      <c r="L6" t="str">
        <f t="shared" si="0"/>
        <v>INSERT INTO participantes (id,nivel,correo,matricula,clave,nombre,carrera,grado,sexo,situacion,evaluados,num_evaluados,total_evaluaciones,ultimo_acceso,nivel_acceso) VALUES (1005,'LICENCIATURA','adrian.esquedamacias','109814','TOMAR DEL SND','ESQUEDA MACIAS ADRIAN','INGENIERIA AEROESPACIAL','8vo','MASCULINO','ACTIVO','',0,0,'','ALUMNO');</v>
      </c>
      <c r="M6" t="str">
        <f t="shared" si="2"/>
        <v>update participantes set correo='adrian.esquedamacias' where id=1005;</v>
      </c>
    </row>
    <row r="7" spans="1:13" x14ac:dyDescent="0.25">
      <c r="A7">
        <f t="shared" si="3"/>
        <v>1006</v>
      </c>
      <c r="B7" s="3" t="s">
        <v>2103</v>
      </c>
      <c r="C7" t="str">
        <f>CONCATENATE("'",ALUMNOS!E7,"'")</f>
        <v>'adrian.jaimeojeda'</v>
      </c>
      <c r="D7" t="str">
        <f>CONCATENATE(ALUMNOS!F7,"'")</f>
        <v>'111784'</v>
      </c>
      <c r="E7" t="s">
        <v>2723</v>
      </c>
      <c r="F7" t="str">
        <f>CONCATENATE("'",ALUMNOS!H7,"'")</f>
        <v>'JAIME OJEDA ADRIAN'</v>
      </c>
      <c r="G7" t="str">
        <f>CONCATENATE("'",ALUMNOS!I7,"'")</f>
        <v>'INGENIERÍA AUTOMOTRIZ'</v>
      </c>
      <c r="H7" t="str">
        <f>CONCATENATE("'",ALUMNOS!J7,"'")</f>
        <v>'2do'</v>
      </c>
      <c r="I7" t="str">
        <f>CONCATENATE("'",ALUMNOS!K7,"'")</f>
        <v>'Masculino'</v>
      </c>
      <c r="J7" t="str">
        <f>CONCATENATE("'",ALUMNOS!L7,"'")</f>
        <v>'Activo'</v>
      </c>
      <c r="K7" t="str">
        <f t="shared" si="1"/>
        <v>1006,'LICENCIATURA','adrian.jaimeojeda','111784','TOMAR DEL SND','JAIME OJEDA ADRIAN','INGENIERÍA AUTOMOTRIZ','2do','MASCULINO','ACTIVO','',0,0,'','ALUMNO'</v>
      </c>
      <c r="L7" t="str">
        <f t="shared" si="0"/>
        <v>INSERT INTO participantes (id,nivel,correo,matricula,clave,nombre,carrera,grado,sexo,situacion,evaluados,num_evaluados,total_evaluaciones,ultimo_acceso,nivel_acceso) VALUES (1006,'LICENCIATURA','adrian.jaimeojeda','111784','TOMAR DEL SND','JAIME OJEDA ADRIAN','INGENIERÍA AUTOMOTRIZ','2do','MASCULINO','ACTIVO','',0,0,'','ALUMNO');</v>
      </c>
      <c r="M7" t="str">
        <f t="shared" si="2"/>
        <v>update participantes set correo='adrian.jaimeojeda' where id=1006;</v>
      </c>
    </row>
    <row r="8" spans="1:13" x14ac:dyDescent="0.25">
      <c r="A8">
        <f t="shared" si="3"/>
        <v>1007</v>
      </c>
      <c r="B8" s="3" t="s">
        <v>2103</v>
      </c>
      <c r="C8" t="str">
        <f>CONCATENATE("'",ALUMNOS!E8,"'")</f>
        <v>'adrian.perfectoarellano'</v>
      </c>
      <c r="D8" t="str">
        <f>CONCATENATE(ALUMNOS!F8,"'")</f>
        <v>'109337'</v>
      </c>
      <c r="E8" t="s">
        <v>2723</v>
      </c>
      <c r="F8" t="str">
        <f>CONCATENATE("'",ALUMNOS!H8,"'")</f>
        <v>'PERFECTO ARELLANO ADRIAN'</v>
      </c>
      <c r="G8" t="str">
        <f>CONCATENATE("'",ALUMNOS!I8,"'")</f>
        <v>'INGENIERIA AEROESPACIAL'</v>
      </c>
      <c r="H8" t="str">
        <f>CONCATENATE("'",ALUMNOS!J8,"'")</f>
        <v>'10mo'</v>
      </c>
      <c r="I8" t="str">
        <f>CONCATENATE("'",ALUMNOS!K8,"'")</f>
        <v>'Masculino'</v>
      </c>
      <c r="J8" t="str">
        <f>CONCATENATE("'",ALUMNOS!L8,"'")</f>
        <v>'Activo'</v>
      </c>
      <c r="K8" t="str">
        <f t="shared" si="1"/>
        <v>1007,'LICENCIATURA','adrian.perfectoarellano','109337','TOMAR DEL SND','PERFECTO ARELLANO ADRIAN','INGENIERIA AEROESPACIAL','10mo','MASCULINO','ACTIVO','',0,0,'','ALUMNO'</v>
      </c>
      <c r="L8" t="str">
        <f t="shared" si="0"/>
        <v>INSERT INTO participantes (id,nivel,correo,matricula,clave,nombre,carrera,grado,sexo,situacion,evaluados,num_evaluados,total_evaluaciones,ultimo_acceso,nivel_acceso) VALUES (1007,'LICENCIATURA','adrian.perfectoarellano','109337','TOMAR DEL SND','PERFECTO ARELLANO ADRIAN','INGENIERIA AEROESPACIAL','10mo','MASCULINO','ACTIVO','',0,0,'','ALUMNO');</v>
      </c>
      <c r="M8" t="str">
        <f t="shared" si="2"/>
        <v>update participantes set correo='adrian.perfectoarellano' where id=1007;</v>
      </c>
    </row>
    <row r="9" spans="1:13" x14ac:dyDescent="0.25">
      <c r="A9">
        <f t="shared" si="3"/>
        <v>1008</v>
      </c>
      <c r="B9" s="3" t="s">
        <v>2103</v>
      </c>
      <c r="C9" t="str">
        <f>CONCATENATE("'",ALUMNOS!E9,"'")</f>
        <v>'adrianassis.tapiacorripio'</v>
      </c>
      <c r="D9" t="str">
        <f>CONCATENATE(ALUMNOS!F9,"'")</f>
        <v>'109374'</v>
      </c>
      <c r="E9" t="s">
        <v>2723</v>
      </c>
      <c r="F9" t="str">
        <f>CONCATENATE("'",ALUMNOS!H9,"'")</f>
        <v>'TAPIA CORRIPIO ADRIAN ASSIS'</v>
      </c>
      <c r="G9" t="str">
        <f>CONCATENATE("'",ALUMNOS!I9,"'")</f>
        <v>'INGENIERIA AEROESPACIAL'</v>
      </c>
      <c r="H9" t="str">
        <f>CONCATENATE("'",ALUMNOS!J9,"'")</f>
        <v>'4to'</v>
      </c>
      <c r="I9" t="str">
        <f>CONCATENATE("'",ALUMNOS!K9,"'")</f>
        <v>'Masculino'</v>
      </c>
      <c r="J9" t="str">
        <f>CONCATENATE("'",ALUMNOS!L9,"'")</f>
        <v>'Activo'</v>
      </c>
      <c r="K9" t="str">
        <f t="shared" si="1"/>
        <v>1008,'LICENCIATURA','adrianassis.tapiacorripio','109374','TOMAR DEL SND','TAPIA CORRIPIO ADRIAN ASSIS','INGENIERIA AEROESPACIAL','4to','MASCULINO','ACTIVO','',0,0,'','ALUMNO'</v>
      </c>
      <c r="L9" t="str">
        <f t="shared" si="0"/>
        <v>INSERT INTO participantes (id,nivel,correo,matricula,clave,nombre,carrera,grado,sexo,situacion,evaluados,num_evaluados,total_evaluaciones,ultimo_acceso,nivel_acceso) VALUES (1008,'LICENCIATURA','adrianassis.tapiacorripio','109374','TOMAR DEL SND','TAPIA CORRIPIO ADRIAN ASSIS','INGENIERIA AEROESPACIAL','4to','MASCULINO','ACTIVO','',0,0,'','ALUMNO');</v>
      </c>
      <c r="M9" t="str">
        <f t="shared" si="2"/>
        <v>update participantes set correo='adrianassis.tapiacorripio' where id=1008;</v>
      </c>
    </row>
    <row r="10" spans="1:13" x14ac:dyDescent="0.25">
      <c r="A10">
        <f t="shared" si="3"/>
        <v>1009</v>
      </c>
      <c r="B10" s="3" t="s">
        <v>2103</v>
      </c>
      <c r="C10" t="str">
        <f>CONCATENATE("'",ALUMNOS!E10,"'")</f>
        <v>'adrianbryant.vegacastañeda'</v>
      </c>
      <c r="D10" t="str">
        <f>CONCATENATE(ALUMNOS!F10,"'")</f>
        <v>'111793'</v>
      </c>
      <c r="E10" t="s">
        <v>2723</v>
      </c>
      <c r="F10" t="str">
        <f>CONCATENATE("'",ALUMNOS!H10,"'")</f>
        <v>'VEGA CASTAÑEDA ADRIAN BRYANT'</v>
      </c>
      <c r="G10" t="str">
        <f>CONCATENATE("'",ALUMNOS!I10,"'")</f>
        <v>'PSICOLOGIA'</v>
      </c>
      <c r="H10" t="str">
        <f>CONCATENATE("'",ALUMNOS!J10,"'")</f>
        <v>'2do'</v>
      </c>
      <c r="I10" t="str">
        <f>CONCATENATE("'",ALUMNOS!K10,"'")</f>
        <v>'Masculino'</v>
      </c>
      <c r="J10" t="str">
        <f>CONCATENATE("'",ALUMNOS!L10,"'")</f>
        <v>'Activo'</v>
      </c>
      <c r="K10" t="str">
        <f t="shared" si="1"/>
        <v>1009,'LICENCIATURA','adrianbryant.vegacastañeda','111793','TOMAR DEL SND','VEGA CASTAÑEDA ADRIAN BRYANT','PSICOLOGIA','2do','MASCULINO','ACTIVO','',0,0,'','ALUMNO'</v>
      </c>
      <c r="L10" t="str">
        <f t="shared" si="0"/>
        <v>INSERT INTO participantes (id,nivel,correo,matricula,clave,nombre,carrera,grado,sexo,situacion,evaluados,num_evaluados,total_evaluaciones,ultimo_acceso,nivel_acceso) VALUES (1009,'LICENCIATURA','adrianbryant.vegacastañeda','111793','TOMAR DEL SND','VEGA CASTAÑEDA ADRIAN BRYANT','PSICOLOGIA','2do','MASCULINO','ACTIVO','',0,0,'','ALUMNO');</v>
      </c>
      <c r="M10" t="str">
        <f t="shared" si="2"/>
        <v>update participantes set correo='adrianbryant.vegacastañeda' where id=1009;</v>
      </c>
    </row>
    <row r="11" spans="1:13" x14ac:dyDescent="0.25">
      <c r="A11">
        <f t="shared" si="3"/>
        <v>1010</v>
      </c>
      <c r="B11" s="3" t="s">
        <v>2103</v>
      </c>
      <c r="C11" t="str">
        <f>CONCATENATE("'",ALUMNOS!E11,"'")</f>
        <v>'adrianfernando.orozcorivas'</v>
      </c>
      <c r="D11" t="str">
        <f>CONCATENATE(ALUMNOS!F11,"'")</f>
        <v>'109829'</v>
      </c>
      <c r="E11" t="s">
        <v>2723</v>
      </c>
      <c r="F11" t="str">
        <f>CONCATENATE("'",ALUMNOS!H11,"'")</f>
        <v>'OROZCO RIVAS ADRIAN FERNANDO'</v>
      </c>
      <c r="G11" t="str">
        <f>CONCATENATE("'",ALUMNOS!I11,"'")</f>
        <v>'ARQUITECTURA'</v>
      </c>
      <c r="H11" t="str">
        <f>CONCATENATE("'",ALUMNOS!J11,"'")</f>
        <v>'8vo'</v>
      </c>
      <c r="I11" t="str">
        <f>CONCATENATE("'",ALUMNOS!K11,"'")</f>
        <v>'Masculino'</v>
      </c>
      <c r="J11" t="str">
        <f>CONCATENATE("'",ALUMNOS!L11,"'")</f>
        <v>'Activo'</v>
      </c>
      <c r="K11" t="str">
        <f t="shared" si="1"/>
        <v>1010,'LICENCIATURA','adrianfernando.orozcorivas','109829','TOMAR DEL SND','OROZCO RIVAS ADRIAN FERNANDO','ARQUITECTURA','8vo','MASCULINO','ACTIVO','',0,0,'','ALUMNO'</v>
      </c>
      <c r="L11" t="str">
        <f t="shared" si="0"/>
        <v>INSERT INTO participantes (id,nivel,correo,matricula,clave,nombre,carrera,grado,sexo,situacion,evaluados,num_evaluados,total_evaluaciones,ultimo_acceso,nivel_acceso) VALUES (1010,'LICENCIATURA','adrianfernando.orozcorivas','109829','TOMAR DEL SND','OROZCO RIVAS ADRIAN FERNANDO','ARQUITECTURA','8vo','MASCULINO','ACTIVO','',0,0,'','ALUMNO');</v>
      </c>
      <c r="M11" t="str">
        <f t="shared" si="2"/>
        <v>update participantes set correo='adrianfernando.orozcorivas' where id=1010;</v>
      </c>
    </row>
    <row r="12" spans="1:13" x14ac:dyDescent="0.25">
      <c r="A12">
        <f t="shared" si="3"/>
        <v>1011</v>
      </c>
      <c r="B12" s="3" t="s">
        <v>2103</v>
      </c>
      <c r="C12" t="str">
        <f>CONCATENATE("'",ALUMNOS!E12,"'")</f>
        <v>'adriana.amarobaltierra'</v>
      </c>
      <c r="D12" t="str">
        <f>CONCATENATE(ALUMNOS!F12,"'")</f>
        <v>'111068'</v>
      </c>
      <c r="E12" t="s">
        <v>2723</v>
      </c>
      <c r="F12" t="str">
        <f>CONCATENATE("'",ALUMNOS!H12,"'")</f>
        <v>'AMARO BALTIERRA ADRIANA'</v>
      </c>
      <c r="G12" t="str">
        <f>CONCATENATE("'",ALUMNOS!I12,"'")</f>
        <v>'INGENIERIA AEROESPACIAL'</v>
      </c>
      <c r="H12" t="str">
        <f>CONCATENATE("'",ALUMNOS!J12,"'")</f>
        <v>'4to'</v>
      </c>
      <c r="I12" t="str">
        <f>CONCATENATE("'",ALUMNOS!K12,"'")</f>
        <v>'Femenino'</v>
      </c>
      <c r="J12" t="str">
        <f>CONCATENATE("'",ALUMNOS!L12,"'")</f>
        <v>'Activo'</v>
      </c>
      <c r="K12" t="str">
        <f t="shared" si="1"/>
        <v>1011,'LICENCIATURA','adriana.amarobaltierra','111068','TOMAR DEL SND','AMARO BALTIERRA ADRIANA','INGENIERIA AEROESPACIAL','4to','FEMENINO','ACTIVO','',0,0,'','ALUMNO'</v>
      </c>
      <c r="L12" t="str">
        <f t="shared" si="0"/>
        <v>INSERT INTO participantes (id,nivel,correo,matricula,clave,nombre,carrera,grado,sexo,situacion,evaluados,num_evaluados,total_evaluaciones,ultimo_acceso,nivel_acceso) VALUES (1011,'LICENCIATURA','adriana.amarobaltierra','111068','TOMAR DEL SND','AMARO BALTIERRA ADRIANA','INGENIERIA AEROESPACIAL','4to','FEMENINO','ACTIVO','',0,0,'','ALUMNO');</v>
      </c>
      <c r="M12" t="str">
        <f t="shared" si="2"/>
        <v>update participantes set correo='adriana.amarobaltierra' where id=1011;</v>
      </c>
    </row>
    <row r="13" spans="1:13" x14ac:dyDescent="0.25">
      <c r="A13">
        <f t="shared" si="3"/>
        <v>1012</v>
      </c>
      <c r="B13" s="3" t="s">
        <v>2103</v>
      </c>
      <c r="C13" t="str">
        <f>CONCATENATE("'",ALUMNOS!E13,"'")</f>
        <v>'adrianaguadalupe.martinezarambula'</v>
      </c>
      <c r="D13" t="str">
        <f>CONCATENATE(ALUMNOS!F13,"'")</f>
        <v>'110460'</v>
      </c>
      <c r="E13" t="s">
        <v>2723</v>
      </c>
      <c r="F13" t="str">
        <f>CONCATENATE("'",ALUMNOS!H13,"'")</f>
        <v>'MARTINEZ ARAMBULA ADRIANA GUADALUPE'</v>
      </c>
      <c r="G13" t="str">
        <f>CONCATENATE("'",ALUMNOS!I13,"'")</f>
        <v>'ARQUITECTURA'</v>
      </c>
      <c r="H13" t="str">
        <f>CONCATENATE("'",ALUMNOS!J13,"'")</f>
        <v>'4to'</v>
      </c>
      <c r="I13" t="str">
        <f>CONCATENATE("'",ALUMNOS!K13,"'")</f>
        <v>'Femenino'</v>
      </c>
      <c r="J13" t="str">
        <f>CONCATENATE("'",ALUMNOS!L13,"'")</f>
        <v>'Activo'</v>
      </c>
      <c r="K13" t="str">
        <f t="shared" si="1"/>
        <v>1012,'LICENCIATURA','adrianaguadalupe.martinezarambula','110460','TOMAR DEL SND','MARTINEZ ARAMBULA ADRIANA GUADALUPE','ARQUITECTURA','4to','FEMENINO','ACTIVO','',0,0,'','ALUMNO'</v>
      </c>
      <c r="L13" t="str">
        <f t="shared" si="0"/>
        <v>INSERT INTO participantes (id,nivel,correo,matricula,clave,nombre,carrera,grado,sexo,situacion,evaluados,num_evaluados,total_evaluaciones,ultimo_acceso,nivel_acceso) VALUES (1012,'LICENCIATURA','adrianaguadalupe.martinezarambula','110460','TOMAR DEL SND','MARTINEZ ARAMBULA ADRIANA GUADALUPE','ARQUITECTURA','4to','FEMENINO','ACTIVO','',0,0,'','ALUMNO');</v>
      </c>
      <c r="M13" t="str">
        <f t="shared" si="2"/>
        <v>update participantes set correo='adrianaguadalupe.martinezarambula' where id=1012;</v>
      </c>
    </row>
    <row r="14" spans="1:13" x14ac:dyDescent="0.25">
      <c r="A14">
        <f t="shared" si="3"/>
        <v>1013</v>
      </c>
      <c r="B14" s="3" t="s">
        <v>2103</v>
      </c>
      <c r="C14" t="str">
        <f>CONCATENATE("'",ALUMNOS!E14,"'")</f>
        <v>'adrianapaola.rodriguezmartinez'</v>
      </c>
      <c r="D14" t="str">
        <f>CONCATENATE(ALUMNOS!F14,"'")</f>
        <v>'111179'</v>
      </c>
      <c r="E14" t="s">
        <v>2723</v>
      </c>
      <c r="F14" t="str">
        <f>CONCATENATE("'",ALUMNOS!H14,"'")</f>
        <v>'RODRIGUEZ MARTINEZ ADRIANA PAOLA'</v>
      </c>
      <c r="G14" t="str">
        <f>CONCATENATE("'",ALUMNOS!I14,"'")</f>
        <v>'ANIMACION DIGITAL Y VIDEOJUEGOS'</v>
      </c>
      <c r="H14" t="str">
        <f>CONCATENATE("'",ALUMNOS!J14,"'")</f>
        <v>'4to'</v>
      </c>
      <c r="I14" t="str">
        <f>CONCATENATE("'",ALUMNOS!K14,"'")</f>
        <v>'Femenino'</v>
      </c>
      <c r="J14" t="str">
        <f>CONCATENATE("'",ALUMNOS!L14,"'")</f>
        <v>'Activo'</v>
      </c>
      <c r="K14" t="str">
        <f t="shared" si="1"/>
        <v>1013,'LICENCIATURA','adrianapaola.rodriguezmartinez','111179','TOMAR DEL SND','RODRIGUEZ MARTINEZ ADRIANA PAOLA','ANIMACION DIGITAL Y VIDEOJUEGOS','4to','FEMENINO','ACTIVO','',0,0,'','ALUMNO'</v>
      </c>
      <c r="L14" t="str">
        <f t="shared" si="0"/>
        <v>INSERT INTO participantes (id,nivel,correo,matricula,clave,nombre,carrera,grado,sexo,situacion,evaluados,num_evaluados,total_evaluaciones,ultimo_acceso,nivel_acceso) VALUES (1013,'LICENCIATURA','adrianapaola.rodriguezmartinez','111179','TOMAR DEL SND','RODRIGUEZ MARTINEZ ADRIANA PAOLA','ANIMACION DIGITAL Y VIDEOJUEGOS','4to','FEMENINO','ACTIVO','',0,0,'','ALUMNO');</v>
      </c>
      <c r="M14" t="str">
        <f t="shared" si="2"/>
        <v>update participantes set correo='adrianapaola.rodriguezmartinez' where id=1013;</v>
      </c>
    </row>
    <row r="15" spans="1:13" x14ac:dyDescent="0.25">
      <c r="A15">
        <f t="shared" si="3"/>
        <v>1014</v>
      </c>
      <c r="B15" s="3" t="s">
        <v>2103</v>
      </c>
      <c r="C15" t="str">
        <f>CONCATENATE("'",ALUMNOS!E15,"'")</f>
        <v>'airamvictoria.mirandaguerra'</v>
      </c>
      <c r="D15" t="str">
        <f>CONCATENATE(ALUMNOS!F15,"'")</f>
        <v>'111763'</v>
      </c>
      <c r="E15" t="s">
        <v>2723</v>
      </c>
      <c r="F15" t="str">
        <f>CONCATENATE("'",ALUMNOS!H15,"'")</f>
        <v>'MIRANDA GUERRA AIRAM VICTORIA'</v>
      </c>
      <c r="G15" t="str">
        <f>CONCATENATE("'",ALUMNOS!I15,"'")</f>
        <v>'INGENIERIA AEROESPACIAL'</v>
      </c>
      <c r="H15" t="str">
        <f>CONCATENATE("'",ALUMNOS!J15,"'")</f>
        <v>'2do'</v>
      </c>
      <c r="I15" t="str">
        <f>CONCATENATE("'",ALUMNOS!K15,"'")</f>
        <v>'Femenino'</v>
      </c>
      <c r="J15" t="str">
        <f>CONCATENATE("'",ALUMNOS!L15,"'")</f>
        <v>'Activo'</v>
      </c>
      <c r="K15" t="str">
        <f t="shared" si="1"/>
        <v>1014,'LICENCIATURA','airamvictoria.mirandaguerra','111763','TOMAR DEL SND','MIRANDA GUERRA AIRAM VICTORIA','INGENIERIA AEROESPACIAL','2do','FEMENINO','ACTIVO','',0,0,'','ALUMNO'</v>
      </c>
      <c r="L15" t="str">
        <f t="shared" si="0"/>
        <v>INSERT INTO participantes (id,nivel,correo,matricula,clave,nombre,carrera,grado,sexo,situacion,evaluados,num_evaluados,total_evaluaciones,ultimo_acceso,nivel_acceso) VALUES (1014,'LICENCIATURA','airamvictoria.mirandaguerra','111763','TOMAR DEL SND','MIRANDA GUERRA AIRAM VICTORIA','INGENIERIA AEROESPACIAL','2do','FEMENINO','ACTIVO','',0,0,'','ALUMNO');</v>
      </c>
      <c r="M15" t="str">
        <f t="shared" si="2"/>
        <v>update participantes set correo='airamvictoria.mirandaguerra' where id=1014;</v>
      </c>
    </row>
    <row r="16" spans="1:13" x14ac:dyDescent="0.25">
      <c r="A16">
        <f t="shared" si="3"/>
        <v>1015</v>
      </c>
      <c r="B16" s="3" t="s">
        <v>2103</v>
      </c>
      <c r="C16" t="str">
        <f>CONCATENATE("'",ALUMNOS!E16,"'")</f>
        <v>'akariandrea.yamaguchirazo'</v>
      </c>
      <c r="D16" t="str">
        <f>CONCATENATE(ALUMNOS!F16,"'")</f>
        <v>'110549'</v>
      </c>
      <c r="E16" t="s">
        <v>2723</v>
      </c>
      <c r="F16" t="str">
        <f>CONCATENATE("'",ALUMNOS!H16,"'")</f>
        <v>'YAMAGUCHI RAZO AKARI ANDREA'</v>
      </c>
      <c r="G16" t="str">
        <f>CONCATENATE("'",ALUMNOS!I16,"'")</f>
        <v>'ANIMACION DIGITAL Y VIDEOJUEGOS'</v>
      </c>
      <c r="H16" t="str">
        <f>CONCATENATE("'",ALUMNOS!J16,"'")</f>
        <v>'6to'</v>
      </c>
      <c r="I16" t="str">
        <f>CONCATENATE("'",ALUMNOS!K16,"'")</f>
        <v>'Femenino'</v>
      </c>
      <c r="J16" t="str">
        <f>CONCATENATE("'",ALUMNOS!L16,"'")</f>
        <v>'Activo'</v>
      </c>
      <c r="K16" t="str">
        <f t="shared" si="1"/>
        <v>1015,'LICENCIATURA','akariandrea.yamaguchirazo','110549','TOMAR DEL SND','YAMAGUCHI RAZO AKARI ANDREA','ANIMACION DIGITAL Y VIDEOJUEGOS','6to','FEMENINO','ACTIVO','',0,0,'','ALUMNO'</v>
      </c>
      <c r="L16" t="str">
        <f t="shared" si="0"/>
        <v>INSERT INTO participantes (id,nivel,correo,matricula,clave,nombre,carrera,grado,sexo,situacion,evaluados,num_evaluados,total_evaluaciones,ultimo_acceso,nivel_acceso) VALUES (1015,'LICENCIATURA','akariandrea.yamaguchirazo','110549','TOMAR DEL SND','YAMAGUCHI RAZO AKARI ANDREA','ANIMACION DIGITAL Y VIDEOJUEGOS','6to','FEMENINO','ACTIVO','',0,0,'','ALUMNO');</v>
      </c>
      <c r="M16" t="str">
        <f t="shared" si="2"/>
        <v>update participantes set correo='akariandrea.yamaguchirazo' where id=1015;</v>
      </c>
    </row>
    <row r="17" spans="1:13" x14ac:dyDescent="0.25">
      <c r="A17">
        <f t="shared" si="3"/>
        <v>1016</v>
      </c>
      <c r="B17" s="3" t="s">
        <v>2103</v>
      </c>
      <c r="C17" t="str">
        <f>CONCATENATE("'",ALUMNOS!E17,"'")</f>
        <v>'alandaniel.alcalamedrano'</v>
      </c>
      <c r="D17" t="str">
        <f>CONCATENATE(ALUMNOS!F17,"'")</f>
        <v>'006766'</v>
      </c>
      <c r="E17" t="s">
        <v>2723</v>
      </c>
      <c r="F17" t="str">
        <f>CONCATENATE("'",ALUMNOS!H17,"'")</f>
        <v>'ALCALA MEDRANO ALAN DANIEL'</v>
      </c>
      <c r="G17" t="str">
        <f>CONCATENATE("'",ALUMNOS!I17,"'")</f>
        <v>'INGENIERIA CIBERNETICA Y EN SISTEMAS COMPUTACIONALES'</v>
      </c>
      <c r="H17" t="str">
        <f>CONCATENATE("'",ALUMNOS!J17,"'")</f>
        <v>'8vo'</v>
      </c>
      <c r="I17" t="str">
        <f>CONCATENATE("'",ALUMNOS!K17,"'")</f>
        <v>'Masculino'</v>
      </c>
      <c r="J17" t="str">
        <f>CONCATENATE("'",ALUMNOS!L17,"'")</f>
        <v>'Activo'</v>
      </c>
      <c r="K17" t="str">
        <f t="shared" si="1"/>
        <v>1016,'LICENCIATURA','alandaniel.alcalamedrano','006766','TOMAR DEL SND','ALCALA MEDRANO ALAN DANIEL','INGENIERIA CIBERNETICA Y EN SISTEMAS COMPUTACIONALES','8vo','MASCULINO','ACTIVO','',0,0,'','ALUMNO'</v>
      </c>
      <c r="L17" t="str">
        <f t="shared" si="0"/>
        <v>INSERT INTO participantes (id,nivel,correo,matricula,clave,nombre,carrera,grado,sexo,situacion,evaluados,num_evaluados,total_evaluaciones,ultimo_acceso,nivel_acceso) VALUES (1016,'LICENCIATURA','alandaniel.alcalamedrano','006766','TOMAR DEL SND','ALCALA MEDRANO ALAN DANIEL','INGENIERIA CIBERNETICA Y EN SISTEMAS COMPUTACIONALES','8vo','MASCULINO','ACTIVO','',0,0,'','ALUMNO');</v>
      </c>
      <c r="M17" t="str">
        <f t="shared" si="2"/>
        <v>update participantes set correo='alandaniel.alcalamedrano' where id=1016;</v>
      </c>
    </row>
    <row r="18" spans="1:13" x14ac:dyDescent="0.25">
      <c r="A18">
        <f t="shared" si="3"/>
        <v>1017</v>
      </c>
      <c r="B18" s="3" t="s">
        <v>2103</v>
      </c>
      <c r="C18" t="str">
        <f>CONCATENATE("'",ALUMNOS!E18,"'")</f>
        <v>'alanoswaldo.hernandezcastillo'</v>
      </c>
      <c r="D18" t="str">
        <f>CONCATENATE(ALUMNOS!F18,"'")</f>
        <v>'110421'</v>
      </c>
      <c r="E18" t="s">
        <v>2723</v>
      </c>
      <c r="F18" t="str">
        <f>CONCATENATE("'",ALUMNOS!H18,"'")</f>
        <v>'HERNANDEZ CASTILLO ALAN OSWALDO'</v>
      </c>
      <c r="G18" t="str">
        <f>CONCATENATE("'",ALUMNOS!I18,"'")</f>
        <v>'ADMINISTRACION Y DIRECCION DE NEGOCIOS'</v>
      </c>
      <c r="H18" t="str">
        <f>CONCATENATE("'",ALUMNOS!J18,"'")</f>
        <v>'6to'</v>
      </c>
      <c r="I18" t="str">
        <f>CONCATENATE("'",ALUMNOS!K18,"'")</f>
        <v>'Masculino'</v>
      </c>
      <c r="J18" t="str">
        <f>CONCATENATE("'",ALUMNOS!L18,"'")</f>
        <v>'Activo'</v>
      </c>
      <c r="K18" t="str">
        <f t="shared" si="1"/>
        <v>1017,'LICENCIATURA','alanoswaldo.hernandezcastillo','110421','TOMAR DEL SND','HERNANDEZ CASTILLO ALAN OSWALDO','ADMINISTRACION Y DIRECCION DE NEGOCIOS','6to','MASCULINO','ACTIVO','',0,0,'','ALUMNO'</v>
      </c>
      <c r="L18" t="str">
        <f t="shared" si="0"/>
        <v>INSERT INTO participantes (id,nivel,correo,matricula,clave,nombre,carrera,grado,sexo,situacion,evaluados,num_evaluados,total_evaluaciones,ultimo_acceso,nivel_acceso) VALUES (1017,'LICENCIATURA','alanoswaldo.hernandezcastillo','110421','TOMAR DEL SND','HERNANDEZ CASTILLO ALAN OSWALDO','ADMINISTRACION Y DIRECCION DE NEGOCIOS','6to','MASCULINO','ACTIVO','',0,0,'','ALUMNO');</v>
      </c>
      <c r="M18" t="str">
        <f t="shared" si="2"/>
        <v>update participantes set correo='alanoswaldo.hernandezcastillo' where id=1017;</v>
      </c>
    </row>
    <row r="19" spans="1:13" x14ac:dyDescent="0.25">
      <c r="A19">
        <f t="shared" si="3"/>
        <v>1018</v>
      </c>
      <c r="B19" s="3" t="s">
        <v>2103</v>
      </c>
      <c r="C19" t="str">
        <f>CONCATENATE("'",ALUMNOS!E19,"'")</f>
        <v>'alanyael.vazquezochoa'</v>
      </c>
      <c r="D19" t="str">
        <f>CONCATENATE(ALUMNOS!F19,"'")</f>
        <v>'111193'</v>
      </c>
      <c r="E19" t="s">
        <v>2723</v>
      </c>
      <c r="F19" t="str">
        <f>CONCATENATE("'",ALUMNOS!H19,"'")</f>
        <v>'VAZQUEZ OCHOA ALAN YAEL'</v>
      </c>
      <c r="G19" t="str">
        <f>CONCATENATE("'",ALUMNOS!I19,"'")</f>
        <v>'INGENIERÍA AUTOMOTRIZ'</v>
      </c>
      <c r="H19" t="str">
        <f>CONCATENATE("'",ALUMNOS!J19,"'")</f>
        <v>'4to'</v>
      </c>
      <c r="I19" t="str">
        <f>CONCATENATE("'",ALUMNOS!K19,"'")</f>
        <v>'Masculino'</v>
      </c>
      <c r="J19" t="str">
        <f>CONCATENATE("'",ALUMNOS!L19,"'")</f>
        <v>'Activo'</v>
      </c>
      <c r="K19" t="str">
        <f t="shared" si="1"/>
        <v>1018,'LICENCIATURA','alanyael.vazquezochoa','111193','TOMAR DEL SND','VAZQUEZ OCHOA ALAN YAEL','INGENIERÍA AUTOMOTRIZ','4to','MASCULINO','ACTIVO','',0,0,'','ALUMNO'</v>
      </c>
      <c r="L19" t="str">
        <f t="shared" si="0"/>
        <v>INSERT INTO participantes (id,nivel,correo,matricula,clave,nombre,carrera,grado,sexo,situacion,evaluados,num_evaluados,total_evaluaciones,ultimo_acceso,nivel_acceso) VALUES (1018,'LICENCIATURA','alanyael.vazquezochoa','111193','TOMAR DEL SND','VAZQUEZ OCHOA ALAN YAEL','INGENIERÍA AUTOMOTRIZ','4to','MASCULINO','ACTIVO','',0,0,'','ALUMNO');</v>
      </c>
      <c r="M19" t="str">
        <f t="shared" si="2"/>
        <v>update participantes set correo='alanyael.vazquezochoa' where id=1018;</v>
      </c>
    </row>
    <row r="20" spans="1:13" x14ac:dyDescent="0.25">
      <c r="A20">
        <f t="shared" si="3"/>
        <v>1019</v>
      </c>
      <c r="B20" s="3" t="s">
        <v>2103</v>
      </c>
      <c r="C20" t="str">
        <f>CONCATENATE("'",ALUMNOS!E20,"'")</f>
        <v>'alberto.lariosiñiguez'</v>
      </c>
      <c r="D20" t="str">
        <f>CONCATENATE(ALUMNOS!F20,"'")</f>
        <v>'111159'</v>
      </c>
      <c r="E20" t="s">
        <v>2723</v>
      </c>
      <c r="F20" t="str">
        <f>CONCATENATE("'",ALUMNOS!H20,"'")</f>
        <v>'LARIOS IÑIGUEZ ALBERTO'</v>
      </c>
      <c r="G20" t="str">
        <f>CONCATENATE("'",ALUMNOS!I20,"'")</f>
        <v>'NUTRICION Y GASTRONOMIA'</v>
      </c>
      <c r="H20" t="str">
        <f>CONCATENATE("'",ALUMNOS!J20,"'")</f>
        <v>'4to'</v>
      </c>
      <c r="I20" t="str">
        <f>CONCATENATE("'",ALUMNOS!K20,"'")</f>
        <v>'Masculino'</v>
      </c>
      <c r="J20" t="str">
        <f>CONCATENATE("'",ALUMNOS!L20,"'")</f>
        <v>'Activo'</v>
      </c>
      <c r="K20" t="str">
        <f t="shared" si="1"/>
        <v>1019,'LICENCIATURA','alberto.lariosiñiguez','111159','TOMAR DEL SND','LARIOS IÑIGUEZ ALBERTO','NUTRICION Y GASTRONOMIA','4to','MASCULINO','ACTIVO','',0,0,'','ALUMNO'</v>
      </c>
      <c r="L20" t="str">
        <f t="shared" si="0"/>
        <v>INSERT INTO participantes (id,nivel,correo,matricula,clave,nombre,carrera,grado,sexo,situacion,evaluados,num_evaluados,total_evaluaciones,ultimo_acceso,nivel_acceso) VALUES (1019,'LICENCIATURA','alberto.lariosiñiguez','111159','TOMAR DEL SND','LARIOS IÑIGUEZ ALBERTO','NUTRICION Y GASTRONOMIA','4to','MASCULINO','ACTIVO','',0,0,'','ALUMNO');</v>
      </c>
      <c r="M20" t="str">
        <f t="shared" si="2"/>
        <v>update participantes set correo='alberto.lariosiñiguez' where id=1019;</v>
      </c>
    </row>
    <row r="21" spans="1:13" x14ac:dyDescent="0.25">
      <c r="A21">
        <f t="shared" si="3"/>
        <v>1020</v>
      </c>
      <c r="B21" s="3" t="s">
        <v>2103</v>
      </c>
      <c r="C21" t="str">
        <f>CONCATENATE("'",ALUMNOS!E21,"'")</f>
        <v>'albertojavier.ojedagutierrez'</v>
      </c>
      <c r="D21" t="str">
        <f>CONCATENATE(ALUMNOS!F21,"'")</f>
        <v>'109997'</v>
      </c>
      <c r="E21" t="s">
        <v>2723</v>
      </c>
      <c r="F21" t="str">
        <f>CONCATENATE("'",ALUMNOS!H21,"'")</f>
        <v>'OJEDA GUTIERREZ ALBERTO JAVIER'</v>
      </c>
      <c r="G21" t="str">
        <f>CONCATENATE("'",ALUMNOS!I21,"'")</f>
        <v>'INGENIERIA AEROESPACIAL'</v>
      </c>
      <c r="H21" t="str">
        <f>CONCATENATE("'",ALUMNOS!J21,"'")</f>
        <v>'8vo'</v>
      </c>
      <c r="I21" t="str">
        <f>CONCATENATE("'",ALUMNOS!K21,"'")</f>
        <v>'Masculino'</v>
      </c>
      <c r="J21" t="str">
        <f>CONCATENATE("'",ALUMNOS!L21,"'")</f>
        <v>'Activo'</v>
      </c>
      <c r="K21" t="str">
        <f t="shared" si="1"/>
        <v>1020,'LICENCIATURA','albertojavier.ojedagutierrez','109997','TOMAR DEL SND','OJEDA GUTIERREZ ALBERTO JAVIER','INGENIERIA AEROESPACIAL','8vo','MASCULINO','ACTIVO','',0,0,'','ALUMNO'</v>
      </c>
      <c r="L21" t="str">
        <f t="shared" si="0"/>
        <v>INSERT INTO participantes (id,nivel,correo,matricula,clave,nombre,carrera,grado,sexo,situacion,evaluados,num_evaluados,total_evaluaciones,ultimo_acceso,nivel_acceso) VALUES (1020,'LICENCIATURA','albertojavier.ojedagutierrez','109997','TOMAR DEL SND','OJEDA GUTIERREZ ALBERTO JAVIER','INGENIERIA AEROESPACIAL','8vo','MASCULINO','ACTIVO','',0,0,'','ALUMNO');</v>
      </c>
      <c r="M21" t="str">
        <f t="shared" si="2"/>
        <v>update participantes set correo='albertojavier.ojedagutierrez' where id=1020;</v>
      </c>
    </row>
    <row r="22" spans="1:13" x14ac:dyDescent="0.25">
      <c r="A22">
        <f t="shared" si="3"/>
        <v>1021</v>
      </c>
      <c r="B22" s="3" t="s">
        <v>2103</v>
      </c>
      <c r="C22" t="str">
        <f>CONCATENATE("'",ALUMNOS!E22,"'")</f>
        <v>'alejandra.neriflores'</v>
      </c>
      <c r="D22" t="str">
        <f>CONCATENATE(ALUMNOS!F22,"'")</f>
        <v>'111618'</v>
      </c>
      <c r="E22" t="s">
        <v>2723</v>
      </c>
      <c r="F22" t="str">
        <f>CONCATENATE("'",ALUMNOS!H22,"'")</f>
        <v>'NERI FLORES ALEJANDRA'</v>
      </c>
      <c r="G22" t="str">
        <f>CONCATENATE("'",ALUMNOS!I22,"'")</f>
        <v>'ARQUITECTURA'</v>
      </c>
      <c r="H22" t="str">
        <f>CONCATENATE("'",ALUMNOS!J22,"'")</f>
        <v>'2do'</v>
      </c>
      <c r="I22" t="str">
        <f>CONCATENATE("'",ALUMNOS!K22,"'")</f>
        <v>'Femenino'</v>
      </c>
      <c r="J22" t="str">
        <f>CONCATENATE("'",ALUMNOS!L22,"'")</f>
        <v>'Activo'</v>
      </c>
      <c r="K22" t="str">
        <f t="shared" si="1"/>
        <v>1021,'LICENCIATURA','alejandra.neriflores','111618','TOMAR DEL SND','NERI FLORES ALEJANDRA','ARQUITECTURA','2do','FEMENINO','ACTIVO','',0,0,'','ALUMNO'</v>
      </c>
      <c r="L22" t="str">
        <f t="shared" si="0"/>
        <v>INSERT INTO participantes (id,nivel,correo,matricula,clave,nombre,carrera,grado,sexo,situacion,evaluados,num_evaluados,total_evaluaciones,ultimo_acceso,nivel_acceso) VALUES (1021,'LICENCIATURA','alejandra.neriflores','111618','TOMAR DEL SND','NERI FLORES ALEJANDRA','ARQUITECTURA','2do','FEMENINO','ACTIVO','',0,0,'','ALUMNO');</v>
      </c>
      <c r="M22" t="str">
        <f t="shared" si="2"/>
        <v>update participantes set correo='alejandra.neriflores' where id=1021;</v>
      </c>
    </row>
    <row r="23" spans="1:13" x14ac:dyDescent="0.25">
      <c r="A23">
        <f t="shared" si="3"/>
        <v>1022</v>
      </c>
      <c r="B23" s="3" t="s">
        <v>2103</v>
      </c>
      <c r="C23" t="str">
        <f>CONCATENATE("'",ALUMNOS!E23,"'")</f>
        <v>'alejandra.perezlimon'</v>
      </c>
      <c r="D23" t="str">
        <f>CONCATENATE(ALUMNOS!F23,"'")</f>
        <v>'111819'</v>
      </c>
      <c r="E23" t="s">
        <v>2723</v>
      </c>
      <c r="F23" t="str">
        <f>CONCATENATE("'",ALUMNOS!H23,"'")</f>
        <v>'PEREZ LIMON ALEJANDRA'</v>
      </c>
      <c r="G23" t="str">
        <f>CONCATENATE("'",ALUMNOS!I23,"'")</f>
        <v>'PSICOLOGIA'</v>
      </c>
      <c r="H23" t="str">
        <f>CONCATENATE("'",ALUMNOS!J23,"'")</f>
        <v>'2do'</v>
      </c>
      <c r="I23" t="str">
        <f>CONCATENATE("'",ALUMNOS!K23,"'")</f>
        <v>'Femenino'</v>
      </c>
      <c r="J23" t="str">
        <f>CONCATENATE("'",ALUMNOS!L23,"'")</f>
        <v>'Activo'</v>
      </c>
      <c r="K23" t="str">
        <f t="shared" si="1"/>
        <v>1022,'LICENCIATURA','alejandra.perezlimon','111819','TOMAR DEL SND','PEREZ LIMON ALEJANDRA','PSICOLOGIA','2do','FEMENINO','ACTIVO','',0,0,'','ALUMNO'</v>
      </c>
      <c r="L23" t="str">
        <f t="shared" si="0"/>
        <v>INSERT INTO participantes (id,nivel,correo,matricula,clave,nombre,carrera,grado,sexo,situacion,evaluados,num_evaluados,total_evaluaciones,ultimo_acceso,nivel_acceso) VALUES (1022,'LICENCIATURA','alejandra.perezlimon','111819','TOMAR DEL SND','PEREZ LIMON ALEJANDRA','PSICOLOGIA','2do','FEMENINO','ACTIVO','',0,0,'','ALUMNO');</v>
      </c>
      <c r="M23" t="str">
        <f t="shared" si="2"/>
        <v>update participantes set correo='alejandra.perezlimon' where id=1022;</v>
      </c>
    </row>
    <row r="24" spans="1:13" x14ac:dyDescent="0.25">
      <c r="A24">
        <f t="shared" si="3"/>
        <v>1023</v>
      </c>
      <c r="B24" s="3" t="s">
        <v>2103</v>
      </c>
      <c r="C24" t="str">
        <f>CONCATENATE("'",ALUMNOS!E24,"'")</f>
        <v>'alejandro.barajasarias'</v>
      </c>
      <c r="D24" t="str">
        <f>CONCATENATE(ALUMNOS!F24,"'")</f>
        <v>'109839'</v>
      </c>
      <c r="E24" t="s">
        <v>2723</v>
      </c>
      <c r="F24" t="str">
        <f>CONCATENATE("'",ALUMNOS!H24,"'")</f>
        <v>'BARAJAS ARIAS ALEJANDRO'</v>
      </c>
      <c r="G24" t="str">
        <f>CONCATENATE("'",ALUMNOS!I24,"'")</f>
        <v>'INGENIERIA AEROESPACIAL'</v>
      </c>
      <c r="H24" t="str">
        <f>CONCATENATE("'",ALUMNOS!J24,"'")</f>
        <v>'8vo'</v>
      </c>
      <c r="I24" t="str">
        <f>CONCATENATE("'",ALUMNOS!K24,"'")</f>
        <v>'Masculino'</v>
      </c>
      <c r="J24" t="str">
        <f>CONCATENATE("'",ALUMNOS!L24,"'")</f>
        <v>'Activo'</v>
      </c>
      <c r="K24" t="str">
        <f t="shared" si="1"/>
        <v>1023,'LICENCIATURA','alejandro.barajasarias','109839','TOMAR DEL SND','BARAJAS ARIAS ALEJANDRO','INGENIERIA AEROESPACIAL','8vo','MASCULINO','ACTIVO','',0,0,'','ALUMNO'</v>
      </c>
      <c r="L24" t="str">
        <f t="shared" si="0"/>
        <v>INSERT INTO participantes (id,nivel,correo,matricula,clave,nombre,carrera,grado,sexo,situacion,evaluados,num_evaluados,total_evaluaciones,ultimo_acceso,nivel_acceso) VALUES (1023,'LICENCIATURA','alejandro.barajasarias','109839','TOMAR DEL SND','BARAJAS ARIAS ALEJANDRO','INGENIERIA AEROESPACIAL','8vo','MASCULINO','ACTIVO','',0,0,'','ALUMNO');</v>
      </c>
      <c r="M24" t="str">
        <f t="shared" si="2"/>
        <v>update participantes set correo='alejandro.barajasarias' where id=1023;</v>
      </c>
    </row>
    <row r="25" spans="1:13" x14ac:dyDescent="0.25">
      <c r="A25">
        <f t="shared" si="3"/>
        <v>1024</v>
      </c>
      <c r="B25" s="3" t="s">
        <v>2103</v>
      </c>
      <c r="C25" t="str">
        <f>CONCATENATE("'",ALUMNOS!E25,"'")</f>
        <v>'alejandro.dominguezhervert'</v>
      </c>
      <c r="D25" t="str">
        <f>CONCATENATE(ALUMNOS!F25,"'")</f>
        <v>'111687'</v>
      </c>
      <c r="E25" t="s">
        <v>2723</v>
      </c>
      <c r="F25" t="str">
        <f>CONCATENATE("'",ALUMNOS!H25,"'")</f>
        <v>'DOMINGUEZ HERVERT ALEJANDRO'</v>
      </c>
      <c r="G25" t="str">
        <f>CONCATENATE("'",ALUMNOS!I25,"'")</f>
        <v>'INGENIERIA AEROESPACIAL'</v>
      </c>
      <c r="H25" t="str">
        <f>CONCATENATE("'",ALUMNOS!J25,"'")</f>
        <v>'2do'</v>
      </c>
      <c r="I25" t="str">
        <f>CONCATENATE("'",ALUMNOS!K25,"'")</f>
        <v>'Masculino'</v>
      </c>
      <c r="J25" t="str">
        <f>CONCATENATE("'",ALUMNOS!L25,"'")</f>
        <v>'Activo'</v>
      </c>
      <c r="K25" t="str">
        <f t="shared" si="1"/>
        <v>1024,'LICENCIATURA','alejandro.dominguezhervert','111687','TOMAR DEL SND','DOMINGUEZ HERVERT ALEJANDRO','INGENIERIA AEROESPACIAL','2do','MASCULINO','ACTIVO','',0,0,'','ALUMNO'</v>
      </c>
      <c r="L25" t="str">
        <f t="shared" si="0"/>
        <v>INSERT INTO participantes (id,nivel,correo,matricula,clave,nombre,carrera,grado,sexo,situacion,evaluados,num_evaluados,total_evaluaciones,ultimo_acceso,nivel_acceso) VALUES (1024,'LICENCIATURA','alejandro.dominguezhervert','111687','TOMAR DEL SND','DOMINGUEZ HERVERT ALEJANDRO','INGENIERIA AEROESPACIAL','2do','MASCULINO','ACTIVO','',0,0,'','ALUMNO');</v>
      </c>
      <c r="M25" t="str">
        <f t="shared" si="2"/>
        <v>update participantes set correo='alejandro.dominguezhervert' where id=1024;</v>
      </c>
    </row>
    <row r="26" spans="1:13" x14ac:dyDescent="0.25">
      <c r="A26">
        <f t="shared" si="3"/>
        <v>1025</v>
      </c>
      <c r="B26" s="3" t="s">
        <v>2103</v>
      </c>
      <c r="C26" t="str">
        <f>CONCATENATE("'",ALUMNOS!E26,"'")</f>
        <v>'alejandro.palaciosreyes'</v>
      </c>
      <c r="D26" t="str">
        <f>CONCATENATE(ALUMNOS!F26,"'")</f>
        <v>'111677'</v>
      </c>
      <c r="E26" t="s">
        <v>2723</v>
      </c>
      <c r="F26" t="str">
        <f>CONCATENATE("'",ALUMNOS!H26,"'")</f>
        <v>'PALACIOS REYES ALEJANDRO'</v>
      </c>
      <c r="G26" t="str">
        <f>CONCATENATE("'",ALUMNOS!I26,"'")</f>
        <v>'INGENIERIA AEROESPACIAL'</v>
      </c>
      <c r="H26" t="str">
        <f>CONCATENATE("'",ALUMNOS!J26,"'")</f>
        <v>'2do'</v>
      </c>
      <c r="I26" t="str">
        <f>CONCATENATE("'",ALUMNOS!K26,"'")</f>
        <v>'Masculino'</v>
      </c>
      <c r="J26" t="str">
        <f>CONCATENATE("'",ALUMNOS!L26,"'")</f>
        <v>'Activo'</v>
      </c>
      <c r="K26" t="str">
        <f t="shared" si="1"/>
        <v>1025,'LICENCIATURA','alejandro.palaciosreyes','111677','TOMAR DEL SND','PALACIOS REYES ALEJANDRO','INGENIERIA AEROESPACIAL','2do','MASCULINO','ACTIVO','',0,0,'','ALUMNO'</v>
      </c>
      <c r="L26" t="str">
        <f t="shared" si="0"/>
        <v>INSERT INTO participantes (id,nivel,correo,matricula,clave,nombre,carrera,grado,sexo,situacion,evaluados,num_evaluados,total_evaluaciones,ultimo_acceso,nivel_acceso) VALUES (1025,'LICENCIATURA','alejandro.palaciosreyes','111677','TOMAR DEL SND','PALACIOS REYES ALEJANDRO','INGENIERIA AEROESPACIAL','2do','MASCULINO','ACTIVO','',0,0,'','ALUMNO');</v>
      </c>
      <c r="M26" t="str">
        <f t="shared" si="2"/>
        <v>update participantes set correo='alejandro.palaciosreyes' where id=1025;</v>
      </c>
    </row>
    <row r="27" spans="1:13" x14ac:dyDescent="0.25">
      <c r="A27">
        <f t="shared" si="3"/>
        <v>1026</v>
      </c>
      <c r="B27" s="3" t="s">
        <v>2103</v>
      </c>
      <c r="C27" t="str">
        <f>CONCATENATE("'",ALUMNOS!E27,"'")</f>
        <v>'alejandro.solisarriola'</v>
      </c>
      <c r="D27" t="str">
        <f>CONCATENATE(ALUMNOS!F27,"'")</f>
        <v>'111827'</v>
      </c>
      <c r="E27" t="s">
        <v>2723</v>
      </c>
      <c r="F27" t="str">
        <f>CONCATENATE("'",ALUMNOS!H27,"'")</f>
        <v>'SOLIS ARRIOLA ALEJANDRO'</v>
      </c>
      <c r="G27" t="str">
        <f>CONCATENATE("'",ALUMNOS!I27,"'")</f>
        <v>'ADMINISTRACION Y DIRECCION DE NEGOCIOS'</v>
      </c>
      <c r="H27" t="str">
        <f>CONCATENATE("'",ALUMNOS!J27,"'")</f>
        <v>'2do'</v>
      </c>
      <c r="I27" t="str">
        <f>CONCATENATE("'",ALUMNOS!K27,"'")</f>
        <v>'Masculino'</v>
      </c>
      <c r="J27" t="str">
        <f>CONCATENATE("'",ALUMNOS!L27,"'")</f>
        <v>'Activo'</v>
      </c>
      <c r="K27" t="str">
        <f t="shared" si="1"/>
        <v>1026,'LICENCIATURA','alejandro.solisarriola','111827','TOMAR DEL SND','SOLIS ARRIOLA ALEJANDRO','ADMINISTRACION Y DIRECCION DE NEGOCIOS','2do','MASCULINO','ACTIVO','',0,0,'','ALUMNO'</v>
      </c>
      <c r="L27" t="str">
        <f t="shared" si="0"/>
        <v>INSERT INTO participantes (id,nivel,correo,matricula,clave,nombre,carrera,grado,sexo,situacion,evaluados,num_evaluados,total_evaluaciones,ultimo_acceso,nivel_acceso) VALUES (1026,'LICENCIATURA','alejandro.solisarriola','111827','TOMAR DEL SND','SOLIS ARRIOLA ALEJANDRO','ADMINISTRACION Y DIRECCION DE NEGOCIOS','2do','MASCULINO','ACTIVO','',0,0,'','ALUMNO');</v>
      </c>
      <c r="M27" t="str">
        <f t="shared" si="2"/>
        <v>update participantes set correo='alejandro.solisarriola' where id=1026;</v>
      </c>
    </row>
    <row r="28" spans="1:13" x14ac:dyDescent="0.25">
      <c r="A28">
        <f t="shared" si="3"/>
        <v>1027</v>
      </c>
      <c r="B28" s="3" t="s">
        <v>2103</v>
      </c>
      <c r="C28" t="str">
        <f>CONCATENATE("'",ALUMNOS!E29,"'")</f>
        <v>'alexavianey.trujillonapoles'</v>
      </c>
      <c r="D28" t="str">
        <f>CONCATENATE(ALUMNOS!F29,"'")</f>
        <v>'110525'</v>
      </c>
      <c r="E28" t="s">
        <v>2723</v>
      </c>
      <c r="F28" t="str">
        <f>CONCATENATE("'",ALUMNOS!H29,"'")</f>
        <v>'TRUJILLO NAPOLES ALEXA VIANEY'</v>
      </c>
      <c r="G28" t="str">
        <f>CONCATENATE("'",ALUMNOS!I29,"'")</f>
        <v>'PSICOLOGIA'</v>
      </c>
      <c r="H28" t="str">
        <f>CONCATENATE("'",ALUMNOS!J29,"'")</f>
        <v>'6to'</v>
      </c>
      <c r="I28" t="str">
        <f>CONCATENATE("'",ALUMNOS!K29,"'")</f>
        <v>'Femenino'</v>
      </c>
      <c r="J28" t="str">
        <f>CONCATENATE("'",ALUMNOS!L29,"'")</f>
        <v>'Activo'</v>
      </c>
      <c r="K28" t="str">
        <f t="shared" si="1"/>
        <v>1027,'LICENCIATURA','alexavianey.trujillonapoles','110525','TOMAR DEL SND','TRUJILLO NAPOLES ALEXA VIANEY','PSICOLOGIA','6to','FEMENINO','ACTIVO','',0,0,'','ALUMNO'</v>
      </c>
      <c r="L28" t="str">
        <f t="shared" si="0"/>
        <v>INSERT INTO participantes (id,nivel,correo,matricula,clave,nombre,carrera,grado,sexo,situacion,evaluados,num_evaluados,total_evaluaciones,ultimo_acceso,nivel_acceso) VALUES (1027,'LICENCIATURA','alexavianey.trujillonapoles','110525','TOMAR DEL SND','TRUJILLO NAPOLES ALEXA VIANEY','PSICOLOGIA','6to','FEMENINO','ACTIVO','',0,0,'','ALUMNO');</v>
      </c>
      <c r="M28" t="str">
        <f t="shared" si="2"/>
        <v>update participantes set correo='alexavianey.trujillonapoles' where id=1027;</v>
      </c>
    </row>
    <row r="29" spans="1:13" x14ac:dyDescent="0.25">
      <c r="A29">
        <f t="shared" si="3"/>
        <v>1028</v>
      </c>
      <c r="B29" s="3" t="s">
        <v>2103</v>
      </c>
      <c r="C29" t="str">
        <f>CONCATENATE("'",ALUMNOS!E30,"'")</f>
        <v>'alfonso.rosalesvargas'</v>
      </c>
      <c r="D29" t="str">
        <f>CONCATENATE(ALUMNOS!F30,"'")</f>
        <v>'110596'</v>
      </c>
      <c r="E29" t="s">
        <v>2723</v>
      </c>
      <c r="F29" t="str">
        <f>CONCATENATE("'",ALUMNOS!H30,"'")</f>
        <v>'ROSALES VARGAS ALFONSO'</v>
      </c>
      <c r="G29" t="str">
        <f>CONCATENATE("'",ALUMNOS!I30,"'")</f>
        <v>'NUTRICION Y GASTRONOMIA'</v>
      </c>
      <c r="H29" t="str">
        <f>CONCATENATE("'",ALUMNOS!J30,"'")</f>
        <v>'6to'</v>
      </c>
      <c r="I29" t="str">
        <f>CONCATENATE("'",ALUMNOS!K30,"'")</f>
        <v>'Masculino'</v>
      </c>
      <c r="J29" t="str">
        <f>CONCATENATE("'",ALUMNOS!L30,"'")</f>
        <v>'Activo'</v>
      </c>
      <c r="K29" t="str">
        <f t="shared" si="1"/>
        <v>1028,'LICENCIATURA','alfonso.rosalesvargas','110596','TOMAR DEL SND','ROSALES VARGAS ALFONSO','NUTRICION Y GASTRONOMIA','6to','MASCULINO','ACTIVO','',0,0,'','ALUMNO'</v>
      </c>
      <c r="L29" t="str">
        <f t="shared" si="0"/>
        <v>INSERT INTO participantes (id,nivel,correo,matricula,clave,nombre,carrera,grado,sexo,situacion,evaluados,num_evaluados,total_evaluaciones,ultimo_acceso,nivel_acceso) VALUES (1028,'LICENCIATURA','alfonso.rosalesvargas','110596','TOMAR DEL SND','ROSALES VARGAS ALFONSO','NUTRICION Y GASTRONOMIA','6to','MASCULINO','ACTIVO','',0,0,'','ALUMNO');</v>
      </c>
      <c r="M29" t="str">
        <f t="shared" si="2"/>
        <v>update participantes set correo='alfonso.rosalesvargas' where id=1028;</v>
      </c>
    </row>
    <row r="30" spans="1:13" x14ac:dyDescent="0.25">
      <c r="A30">
        <f t="shared" si="3"/>
        <v>1029</v>
      </c>
      <c r="B30" s="3" t="s">
        <v>2103</v>
      </c>
      <c r="C30" t="str">
        <f>CONCATENATE("'",ALUMNOS!E31,"'")</f>
        <v>'alfredo.cortesañorve'</v>
      </c>
      <c r="D30" t="str">
        <f>CONCATENATE(ALUMNOS!F31,"'")</f>
        <v>'110038'</v>
      </c>
      <c r="E30" t="s">
        <v>2723</v>
      </c>
      <c r="F30" t="str">
        <f>CONCATENATE("'",ALUMNOS!H31,"'")</f>
        <v>'CORTES AÑORVE ALFREDO'</v>
      </c>
      <c r="G30" t="str">
        <f>CONCATENATE("'",ALUMNOS!I31,"'")</f>
        <v>'COMERCIO INTERNACIONAL'</v>
      </c>
      <c r="H30" t="str">
        <f>CONCATENATE("'",ALUMNOS!J31,"'")</f>
        <v>'8vo'</v>
      </c>
      <c r="I30" t="str">
        <f>CONCATENATE("'",ALUMNOS!K31,"'")</f>
        <v>'Masculino'</v>
      </c>
      <c r="J30" t="str">
        <f>CONCATENATE("'",ALUMNOS!L31,"'")</f>
        <v>'Activo'</v>
      </c>
      <c r="K30" t="str">
        <f t="shared" si="1"/>
        <v>1029,'LICENCIATURA','alfredo.cortesañorve','110038','TOMAR DEL SND','CORTES AÑORVE ALFREDO','COMERCIO INTERNACIONAL','8vo','MASCULINO','ACTIVO','',0,0,'','ALUMNO'</v>
      </c>
      <c r="L30" t="str">
        <f t="shared" si="0"/>
        <v>INSERT INTO participantes (id,nivel,correo,matricula,clave,nombre,carrera,grado,sexo,situacion,evaluados,num_evaluados,total_evaluaciones,ultimo_acceso,nivel_acceso) VALUES (1029,'LICENCIATURA','alfredo.cortesañorve','110038','TOMAR DEL SND','CORTES AÑORVE ALFREDO','COMERCIO INTERNACIONAL','8vo','MASCULINO','ACTIVO','',0,0,'','ALUMNO');</v>
      </c>
      <c r="M30" t="str">
        <f t="shared" si="2"/>
        <v>update participantes set correo='alfredo.cortesañorve' where id=1029;</v>
      </c>
    </row>
    <row r="31" spans="1:13" x14ac:dyDescent="0.25">
      <c r="A31">
        <f t="shared" si="3"/>
        <v>1030</v>
      </c>
      <c r="B31" s="3" t="s">
        <v>2103</v>
      </c>
      <c r="C31" t="str">
        <f>CONCATENATE("'",ALUMNOS!E32,"'")</f>
        <v>'almadaniela.santoyogarcia'</v>
      </c>
      <c r="D31" t="str">
        <f>CONCATENATE(ALUMNOS!F32,"'")</f>
        <v>'111758'</v>
      </c>
      <c r="E31" t="s">
        <v>2723</v>
      </c>
      <c r="F31" t="str">
        <f>CONCATENATE("'",ALUMNOS!H32,"'")</f>
        <v>'SANTOYO GARCIA ALMA DANIELA'</v>
      </c>
      <c r="G31" t="str">
        <f>CONCATENATE("'",ALUMNOS!I32,"'")</f>
        <v>'NUTRICION Y GASTRONOMIA'</v>
      </c>
      <c r="H31" t="str">
        <f>CONCATENATE("'",ALUMNOS!J32,"'")</f>
        <v>'2do'</v>
      </c>
      <c r="I31" t="str">
        <f>CONCATENATE("'",ALUMNOS!K32,"'")</f>
        <v>'Femenino'</v>
      </c>
      <c r="J31" t="str">
        <f>CONCATENATE("'",ALUMNOS!L32,"'")</f>
        <v>'Activo'</v>
      </c>
      <c r="K31" t="str">
        <f t="shared" si="1"/>
        <v>1030,'LICENCIATURA','almadaniela.santoyogarcia','111758','TOMAR DEL SND','SANTOYO GARCIA ALMA DANIELA','NUTRICION Y GASTRONOMIA','2do','FEMENINO','ACTIVO','',0,0,'','ALUMNO'</v>
      </c>
      <c r="L31" t="str">
        <f t="shared" si="0"/>
        <v>INSERT INTO participantes (id,nivel,correo,matricula,clave,nombre,carrera,grado,sexo,situacion,evaluados,num_evaluados,total_evaluaciones,ultimo_acceso,nivel_acceso) VALUES (1030,'LICENCIATURA','almadaniela.santoyogarcia','111758','TOMAR DEL SND','SANTOYO GARCIA ALMA DANIELA','NUTRICION Y GASTRONOMIA','2do','FEMENINO','ACTIVO','',0,0,'','ALUMNO');</v>
      </c>
      <c r="M31" t="str">
        <f t="shared" si="2"/>
        <v>update participantes set correo='almadaniela.santoyogarcia' where id=1030;</v>
      </c>
    </row>
    <row r="32" spans="1:13" x14ac:dyDescent="0.25">
      <c r="A32">
        <f t="shared" si="3"/>
        <v>1031</v>
      </c>
      <c r="B32" s="3" t="s">
        <v>2103</v>
      </c>
      <c r="C32" t="str">
        <f>CONCATENATE("'",ALUMNOS!E33,"'")</f>
        <v>'alondra.arredondobautista'</v>
      </c>
      <c r="D32" t="str">
        <f>CONCATENATE(ALUMNOS!F33,"'")</f>
        <v>'109846'</v>
      </c>
      <c r="E32" t="s">
        <v>2723</v>
      </c>
      <c r="F32" t="str">
        <f>CONCATENATE("'",ALUMNOS!H33,"'")</f>
        <v>'ARREDONDO BAUTISTA ALONDRA'</v>
      </c>
      <c r="G32" t="str">
        <f>CONCATENATE("'",ALUMNOS!I33,"'")</f>
        <v>'INGENIERIA AEROESPACIAL'</v>
      </c>
      <c r="H32" t="str">
        <f>CONCATENATE("'",ALUMNOS!J33,"'")</f>
        <v>'8vo'</v>
      </c>
      <c r="I32" t="str">
        <f>CONCATENATE("'",ALUMNOS!K33,"'")</f>
        <v>'Femenino'</v>
      </c>
      <c r="J32" t="str">
        <f>CONCATENATE("'",ALUMNOS!L33,"'")</f>
        <v>'Activo'</v>
      </c>
      <c r="K32" t="str">
        <f t="shared" si="1"/>
        <v>1031,'LICENCIATURA','alondra.arredondobautista','109846','TOMAR DEL SND','ARREDONDO BAUTISTA ALONDRA','INGENIERIA AEROESPACIAL','8vo','FEMENINO','ACTIVO','',0,0,'','ALUMNO'</v>
      </c>
      <c r="L32" t="str">
        <f t="shared" si="0"/>
        <v>INSERT INTO participantes (id,nivel,correo,matricula,clave,nombre,carrera,grado,sexo,situacion,evaluados,num_evaluados,total_evaluaciones,ultimo_acceso,nivel_acceso) VALUES (1031,'LICENCIATURA','alondra.arredondobautista','109846','TOMAR DEL SND','ARREDONDO BAUTISTA ALONDRA','INGENIERIA AEROESPACIAL','8vo','FEMENINO','ACTIVO','',0,0,'','ALUMNO');</v>
      </c>
      <c r="M32" t="str">
        <f t="shared" si="2"/>
        <v>update participantes set correo='alondra.arredondobautista' where id=1031;</v>
      </c>
    </row>
    <row r="33" spans="1:13" x14ac:dyDescent="0.25">
      <c r="A33">
        <f t="shared" si="3"/>
        <v>1032</v>
      </c>
      <c r="B33" s="3" t="s">
        <v>2103</v>
      </c>
      <c r="C33" t="str">
        <f>CONCATENATE("'",ALUMNOS!E34,"'")</f>
        <v>'alondra.ramosavalos'</v>
      </c>
      <c r="D33" t="str">
        <f>CONCATENATE(ALUMNOS!F34,"'")</f>
        <v>'111091'</v>
      </c>
      <c r="E33" t="s">
        <v>2723</v>
      </c>
      <c r="F33" t="str">
        <f>CONCATENATE("'",ALUMNOS!H34,"'")</f>
        <v>'RAMOS AVALOS ALONDRA'</v>
      </c>
      <c r="G33" t="str">
        <f>CONCATENATE("'",ALUMNOS!I34,"'")</f>
        <v>'ANIMACION DIGITAL Y VIDEOJUEGOS'</v>
      </c>
      <c r="H33" t="str">
        <f>CONCATENATE("'",ALUMNOS!J34,"'")</f>
        <v>'4to'</v>
      </c>
      <c r="I33" t="str">
        <f>CONCATENATE("'",ALUMNOS!K34,"'")</f>
        <v>'Femenino'</v>
      </c>
      <c r="J33" t="str">
        <f>CONCATENATE("'",ALUMNOS!L34,"'")</f>
        <v>'Activo'</v>
      </c>
      <c r="K33" t="str">
        <f t="shared" si="1"/>
        <v>1032,'LICENCIATURA','alondra.ramosavalos','111091','TOMAR DEL SND','RAMOS AVALOS ALONDRA','ANIMACION DIGITAL Y VIDEOJUEGOS','4to','FEMENINO','ACTIVO','',0,0,'','ALUMNO'</v>
      </c>
      <c r="L33" t="str">
        <f t="shared" si="0"/>
        <v>INSERT INTO participantes (id,nivel,correo,matricula,clave,nombre,carrera,grado,sexo,situacion,evaluados,num_evaluados,total_evaluaciones,ultimo_acceso,nivel_acceso) VALUES (1032,'LICENCIATURA','alondra.ramosavalos','111091','TOMAR DEL SND','RAMOS AVALOS ALONDRA','ANIMACION DIGITAL Y VIDEOJUEGOS','4to','FEMENINO','ACTIVO','',0,0,'','ALUMNO');</v>
      </c>
      <c r="M33" t="str">
        <f t="shared" si="2"/>
        <v>update participantes set correo='alondra.ramosavalos' where id=1032;</v>
      </c>
    </row>
    <row r="34" spans="1:13" x14ac:dyDescent="0.25">
      <c r="A34">
        <f t="shared" si="3"/>
        <v>1033</v>
      </c>
      <c r="B34" s="3" t="s">
        <v>2103</v>
      </c>
      <c r="C34" t="str">
        <f>CONCATENATE("'",ALUMNOS!E35,"'")</f>
        <v>'alondraarhemi.gonzalezorozco'</v>
      </c>
      <c r="D34" t="str">
        <f>CONCATENATE(ALUMNOS!F35,"'")</f>
        <v>'109856'</v>
      </c>
      <c r="E34" t="s">
        <v>2723</v>
      </c>
      <c r="F34" t="str">
        <f>CONCATENATE("'",ALUMNOS!H35,"'")</f>
        <v>'GONZALEZ OROZCO ALONDRA ARHEMI'</v>
      </c>
      <c r="G34" t="str">
        <f>CONCATENATE("'",ALUMNOS!I35,"'")</f>
        <v>'INGENIERIA AEROESPACIAL'</v>
      </c>
      <c r="H34" t="str">
        <f>CONCATENATE("'",ALUMNOS!J35,"'")</f>
        <v>'8vo'</v>
      </c>
      <c r="I34" t="str">
        <f>CONCATENATE("'",ALUMNOS!K35,"'")</f>
        <v>'Femenino'</v>
      </c>
      <c r="J34" t="str">
        <f>CONCATENATE("'",ALUMNOS!L35,"'")</f>
        <v>'Activo'</v>
      </c>
      <c r="K34" t="str">
        <f t="shared" si="1"/>
        <v>1033,'LICENCIATURA','alondraarhemi.gonzalezorozco','109856','TOMAR DEL SND','GONZALEZ OROZCO ALONDRA ARHEMI','INGENIERIA AEROESPACIAL','8vo','FEMENINO','ACTIVO','',0,0,'','ALUMNO'</v>
      </c>
      <c r="L34" t="str">
        <f t="shared" si="0"/>
        <v>INSERT INTO participantes (id,nivel,correo,matricula,clave,nombre,carrera,grado,sexo,situacion,evaluados,num_evaluados,total_evaluaciones,ultimo_acceso,nivel_acceso) VALUES (1033,'LICENCIATURA','alondraarhemi.gonzalezorozco','109856','TOMAR DEL SND','GONZALEZ OROZCO ALONDRA ARHEMI','INGENIERIA AEROESPACIAL','8vo','FEMENINO','ACTIVO','',0,0,'','ALUMNO');</v>
      </c>
      <c r="M34" t="str">
        <f t="shared" si="2"/>
        <v>update participantes set correo='alondraarhemi.gonzalezorozco' where id=1033;</v>
      </c>
    </row>
    <row r="35" spans="1:13" x14ac:dyDescent="0.25">
      <c r="A35">
        <f t="shared" si="3"/>
        <v>1034</v>
      </c>
      <c r="B35" s="3" t="s">
        <v>2103</v>
      </c>
      <c r="C35" t="str">
        <f>CONCATENATE("'",ALUMNOS!E36,"'")</f>
        <v>'alondrajamileth.velazquezcastro'</v>
      </c>
      <c r="D35" t="str">
        <f>CONCATENATE(ALUMNOS!F36,"'")</f>
        <v>'111113'</v>
      </c>
      <c r="E35" t="s">
        <v>2723</v>
      </c>
      <c r="F35" t="str">
        <f>CONCATENATE("'",ALUMNOS!H36,"'")</f>
        <v>'VELAZQUEZ CASTRO ALONDRA JAMILETH'</v>
      </c>
      <c r="G35" t="str">
        <f>CONCATENATE("'",ALUMNOS!I36,"'")</f>
        <v>'INGENIERIA AEROESPACIAL'</v>
      </c>
      <c r="H35" t="str">
        <f>CONCATENATE("'",ALUMNOS!J36,"'")</f>
        <v>'4to'</v>
      </c>
      <c r="I35" t="str">
        <f>CONCATENATE("'",ALUMNOS!K36,"'")</f>
        <v>'Femenino'</v>
      </c>
      <c r="J35" t="str">
        <f>CONCATENATE("'",ALUMNOS!L36,"'")</f>
        <v>'Activo'</v>
      </c>
      <c r="K35" t="str">
        <f t="shared" si="1"/>
        <v>1034,'LICENCIATURA','alondrajamileth.velazquezcastro','111113','TOMAR DEL SND','VELAZQUEZ CASTRO ALONDRA JAMILETH','INGENIERIA AEROESPACIAL','4to','FEMENINO','ACTIVO','',0,0,'','ALUMNO'</v>
      </c>
      <c r="L35" t="str">
        <f t="shared" si="0"/>
        <v>INSERT INTO participantes (id,nivel,correo,matricula,clave,nombre,carrera,grado,sexo,situacion,evaluados,num_evaluados,total_evaluaciones,ultimo_acceso,nivel_acceso) VALUES (1034,'LICENCIATURA','alondrajamileth.velazquezcastro','111113','TOMAR DEL SND','VELAZQUEZ CASTRO ALONDRA JAMILETH','INGENIERIA AEROESPACIAL','4to','FEMENINO','ACTIVO','',0,0,'','ALUMNO');</v>
      </c>
      <c r="M35" t="str">
        <f t="shared" si="2"/>
        <v>update participantes set correo='alondrajamileth.velazquezcastro' where id=1034;</v>
      </c>
    </row>
    <row r="36" spans="1:13" x14ac:dyDescent="0.25">
      <c r="A36">
        <f t="shared" si="3"/>
        <v>1035</v>
      </c>
      <c r="B36" s="3" t="s">
        <v>2103</v>
      </c>
      <c r="C36" t="str">
        <f>CONCATENATE("'",ALUMNOS!E37,"'")</f>
        <v>'alondramarisol.ramosarias'</v>
      </c>
      <c r="D36" t="str">
        <f>CONCATENATE(ALUMNOS!F37,"'")</f>
        <v>'111074'</v>
      </c>
      <c r="E36" t="s">
        <v>2723</v>
      </c>
      <c r="F36" t="str">
        <f>CONCATENATE("'",ALUMNOS!H37,"'")</f>
        <v>'RAMOS ARIAS ALONDRA MARISOL'</v>
      </c>
      <c r="G36" t="str">
        <f>CONCATENATE("'",ALUMNOS!I37,"'")</f>
        <v>'ARQUITECTURA'</v>
      </c>
      <c r="H36" t="str">
        <f>CONCATENATE("'",ALUMNOS!J37,"'")</f>
        <v>'4to'</v>
      </c>
      <c r="I36" t="str">
        <f>CONCATENATE("'",ALUMNOS!K37,"'")</f>
        <v>'Femenino'</v>
      </c>
      <c r="J36" t="str">
        <f>CONCATENATE("'",ALUMNOS!L37,"'")</f>
        <v>'Activo'</v>
      </c>
      <c r="K36" t="str">
        <f t="shared" si="1"/>
        <v>1035,'LICENCIATURA','alondramarisol.ramosarias','111074','TOMAR DEL SND','RAMOS ARIAS ALONDRA MARISOL','ARQUITECTURA','4to','FEMENINO','ACTIVO','',0,0,'','ALUMNO'</v>
      </c>
      <c r="L36" t="str">
        <f t="shared" si="0"/>
        <v>INSERT INTO participantes (id,nivel,correo,matricula,clave,nombre,carrera,grado,sexo,situacion,evaluados,num_evaluados,total_evaluaciones,ultimo_acceso,nivel_acceso) VALUES (1035,'LICENCIATURA','alondramarisol.ramosarias','111074','TOMAR DEL SND','RAMOS ARIAS ALONDRA MARISOL','ARQUITECTURA','4to','FEMENINO','ACTIVO','',0,0,'','ALUMNO');</v>
      </c>
      <c r="M36" t="str">
        <f t="shared" si="2"/>
        <v>update participantes set correo='alondramarisol.ramosarias' where id=1035;</v>
      </c>
    </row>
    <row r="37" spans="1:13" x14ac:dyDescent="0.25">
      <c r="A37">
        <f t="shared" si="3"/>
        <v>1036</v>
      </c>
      <c r="B37" s="3" t="s">
        <v>2103</v>
      </c>
      <c r="C37" t="str">
        <f>CONCATENATE("'",ALUMNOS!E38,"'")</f>
        <v>'alondrasofia.ornelasaltamirano'</v>
      </c>
      <c r="D37" t="str">
        <f>CONCATENATE(ALUMNOS!F38,"'")</f>
        <v>'006767'</v>
      </c>
      <c r="E37" t="s">
        <v>2723</v>
      </c>
      <c r="F37" t="str">
        <f>CONCATENATE("'",ALUMNOS!H38,"'")</f>
        <v>'ORNELAS ALTAMIRANO ALONDRA SOFIA'</v>
      </c>
      <c r="G37" t="str">
        <f>CONCATENATE("'",ALUMNOS!I38,"'")</f>
        <v>'ARQUITECTURA'</v>
      </c>
      <c r="H37" t="str">
        <f>CONCATENATE("'",ALUMNOS!J38,"'")</f>
        <v>'8vo'</v>
      </c>
      <c r="I37" t="str">
        <f>CONCATENATE("'",ALUMNOS!K38,"'")</f>
        <v>'Femenino'</v>
      </c>
      <c r="J37" t="str">
        <f>CONCATENATE("'",ALUMNOS!L38,"'")</f>
        <v>'Activo'</v>
      </c>
      <c r="K37" t="str">
        <f t="shared" si="1"/>
        <v>1036,'LICENCIATURA','alondrasofia.ornelasaltamirano','006767','TOMAR DEL SND','ORNELAS ALTAMIRANO ALONDRA SOFIA','ARQUITECTURA','8vo','FEMENINO','ACTIVO','',0,0,'','ALUMNO'</v>
      </c>
      <c r="L37" t="str">
        <f t="shared" si="0"/>
        <v>INSERT INTO participantes (id,nivel,correo,matricula,clave,nombre,carrera,grado,sexo,situacion,evaluados,num_evaluados,total_evaluaciones,ultimo_acceso,nivel_acceso) VALUES (1036,'LICENCIATURA','alondrasofia.ornelasaltamirano','006767','TOMAR DEL SND','ORNELAS ALTAMIRANO ALONDRA SOFIA','ARQUITECTURA','8vo','FEMENINO','ACTIVO','',0,0,'','ALUMNO');</v>
      </c>
      <c r="M37" t="str">
        <f t="shared" si="2"/>
        <v>update participantes set correo='alondrasofia.ornelasaltamirano' where id=1036;</v>
      </c>
    </row>
    <row r="38" spans="1:13" x14ac:dyDescent="0.25">
      <c r="A38">
        <f t="shared" si="3"/>
        <v>1037</v>
      </c>
      <c r="B38" s="3" t="s">
        <v>2103</v>
      </c>
      <c r="C38" t="str">
        <f>CONCATENATE("'",ALUMNOS!E39,"'")</f>
        <v>'alvaro.delapeñaperez'</v>
      </c>
      <c r="D38" t="str">
        <f>CONCATENATE(ALUMNOS!F39,"'")</f>
        <v>'111100'</v>
      </c>
      <c r="E38" t="s">
        <v>2723</v>
      </c>
      <c r="F38" t="str">
        <f>CONCATENATE("'",ALUMNOS!H39,"'")</f>
        <v>'DE LA PEÑA PEREZ ALVARO'</v>
      </c>
      <c r="G38" t="str">
        <f>CONCATENATE("'",ALUMNOS!I39,"'")</f>
        <v>'INGENIERIA AEROESPACIAL'</v>
      </c>
      <c r="H38" t="str">
        <f>CONCATENATE("'",ALUMNOS!J39,"'")</f>
        <v>'4to'</v>
      </c>
      <c r="I38" t="str">
        <f>CONCATENATE("'",ALUMNOS!K39,"'")</f>
        <v>'Masculino'</v>
      </c>
      <c r="J38" t="str">
        <f>CONCATENATE("'",ALUMNOS!L39,"'")</f>
        <v>'Activo'</v>
      </c>
      <c r="K38" t="str">
        <f t="shared" si="1"/>
        <v>1037,'LICENCIATURA','alvaro.delapeñaperez','111100','TOMAR DEL SND','DE LA PEÑA PEREZ ALVARO','INGENIERIA AEROESPACIAL','4to','MASCULINO','ACTIVO','',0,0,'','ALUMNO'</v>
      </c>
      <c r="L38" t="str">
        <f t="shared" si="0"/>
        <v>INSERT INTO participantes (id,nivel,correo,matricula,clave,nombre,carrera,grado,sexo,situacion,evaluados,num_evaluados,total_evaluaciones,ultimo_acceso,nivel_acceso) VALUES (1037,'LICENCIATURA','alvaro.delapeñaperez','111100','TOMAR DEL SND','DE LA PEÑA PEREZ ALVARO','INGENIERIA AEROESPACIAL','4to','MASCULINO','ACTIVO','',0,0,'','ALUMNO');</v>
      </c>
      <c r="M38" t="str">
        <f t="shared" si="2"/>
        <v>update participantes set correo='alvaro.delapeñaperez' where id=1037;</v>
      </c>
    </row>
    <row r="39" spans="1:13" x14ac:dyDescent="0.25">
      <c r="A39">
        <f t="shared" si="3"/>
        <v>1038</v>
      </c>
      <c r="B39" s="3" t="s">
        <v>2103</v>
      </c>
      <c r="C39" t="str">
        <f>CONCATENATE("'",ALUMNOS!E40,"'")</f>
        <v>'amandacarmiña.guzmanarias'</v>
      </c>
      <c r="D39" t="str">
        <f>CONCATENATE(ALUMNOS!F40,"'")</f>
        <v>'109882'</v>
      </c>
      <c r="E39" t="s">
        <v>2723</v>
      </c>
      <c r="F39" t="str">
        <f>CONCATENATE("'",ALUMNOS!H40,"'")</f>
        <v>'GUZMAN ARIAS AMANDA CARMIÑA'</v>
      </c>
      <c r="G39" t="str">
        <f>CONCATENATE("'",ALUMNOS!I40,"'")</f>
        <v>'INGENIERIA AEROESPACIAL'</v>
      </c>
      <c r="H39" t="str">
        <f>CONCATENATE("'",ALUMNOS!J40,"'")</f>
        <v>'8vo'</v>
      </c>
      <c r="I39" t="str">
        <f>CONCATENATE("'",ALUMNOS!K40,"'")</f>
        <v>'Femenino'</v>
      </c>
      <c r="J39" t="str">
        <f>CONCATENATE("'",ALUMNOS!L40,"'")</f>
        <v>'Activo'</v>
      </c>
      <c r="K39" t="str">
        <f t="shared" si="1"/>
        <v>1038,'LICENCIATURA','amandacarmiña.guzmanarias','109882','TOMAR DEL SND','GUZMAN ARIAS AMANDA CARMIÑA','INGENIERIA AEROESPACIAL','8vo','FEMENINO','ACTIVO','',0,0,'','ALUMNO'</v>
      </c>
      <c r="L39" t="str">
        <f t="shared" si="0"/>
        <v>INSERT INTO participantes (id,nivel,correo,matricula,clave,nombre,carrera,grado,sexo,situacion,evaluados,num_evaluados,total_evaluaciones,ultimo_acceso,nivel_acceso) VALUES (1038,'LICENCIATURA','amandacarmiña.guzmanarias','109882','TOMAR DEL SND','GUZMAN ARIAS AMANDA CARMIÑA','INGENIERIA AEROESPACIAL','8vo','FEMENINO','ACTIVO','',0,0,'','ALUMNO');</v>
      </c>
      <c r="M39" t="str">
        <f t="shared" si="2"/>
        <v>update participantes set correo='amandacarmiña.guzmanarias' where id=1038;</v>
      </c>
    </row>
    <row r="40" spans="1:13" x14ac:dyDescent="0.25">
      <c r="A40">
        <f t="shared" si="3"/>
        <v>1039</v>
      </c>
      <c r="B40" s="3" t="s">
        <v>2103</v>
      </c>
      <c r="C40" t="str">
        <f>CONCATENATE("'",ALUMNOS!E41,"'")</f>
        <v>'america.mendezcancelada'</v>
      </c>
      <c r="D40" t="str">
        <f>CONCATENATE(ALUMNOS!F41,"'")</f>
        <v>'110666'</v>
      </c>
      <c r="E40" t="s">
        <v>2723</v>
      </c>
      <c r="F40" t="str">
        <f>CONCATENATE("'",ALUMNOS!H41,"'")</f>
        <v>'MENDEZ CANCELADA AMERICA'</v>
      </c>
      <c r="G40" t="str">
        <f>CONCATENATE("'",ALUMNOS!I41,"'")</f>
        <v>'ARQUITECTURA'</v>
      </c>
      <c r="H40" t="str">
        <f>CONCATENATE("'",ALUMNOS!J41,"'")</f>
        <v>'6to'</v>
      </c>
      <c r="I40" t="str">
        <f>CONCATENATE("'",ALUMNOS!K41,"'")</f>
        <v>'Femenino'</v>
      </c>
      <c r="J40" t="str">
        <f>CONCATENATE("'",ALUMNOS!L41,"'")</f>
        <v>'Activo'</v>
      </c>
      <c r="K40" t="str">
        <f t="shared" si="1"/>
        <v>1039,'LICENCIATURA','america.mendezcancelada','110666','TOMAR DEL SND','MENDEZ CANCELADA AMERICA','ARQUITECTURA','6to','FEMENINO','ACTIVO','',0,0,'','ALUMNO'</v>
      </c>
      <c r="L40" t="str">
        <f t="shared" si="0"/>
        <v>INSERT INTO participantes (id,nivel,correo,matricula,clave,nombre,carrera,grado,sexo,situacion,evaluados,num_evaluados,total_evaluaciones,ultimo_acceso,nivel_acceso) VALUES (1039,'LICENCIATURA','america.mendezcancelada','110666','TOMAR DEL SND','MENDEZ CANCELADA AMERICA','ARQUITECTURA','6to','FEMENINO','ACTIVO','',0,0,'','ALUMNO');</v>
      </c>
      <c r="M40" t="str">
        <f t="shared" si="2"/>
        <v>update participantes set correo='america.mendezcancelada' where id=1039;</v>
      </c>
    </row>
    <row r="41" spans="1:13" x14ac:dyDescent="0.25">
      <c r="A41">
        <f t="shared" si="3"/>
        <v>1040</v>
      </c>
      <c r="B41" s="3" t="s">
        <v>2103</v>
      </c>
      <c r="C41" t="str">
        <f>CONCATENATE("'",ALUMNOS!E42,"'")</f>
        <v>'anabelen.oceguedagil'</v>
      </c>
      <c r="D41" t="str">
        <f>CONCATENATE(ALUMNOS!F42,"'")</f>
        <v>'111204'</v>
      </c>
      <c r="E41" t="s">
        <v>2723</v>
      </c>
      <c r="F41" t="str">
        <f>CONCATENATE("'",ALUMNOS!H42,"'")</f>
        <v>'OCEGUEDA GIL ANA BELEN'</v>
      </c>
      <c r="G41" t="str">
        <f>CONCATENATE("'",ALUMNOS!I42,"'")</f>
        <v>'PSICOLOGIA'</v>
      </c>
      <c r="H41" t="str">
        <f>CONCATENATE("'",ALUMNOS!J42,"'")</f>
        <v>'4to'</v>
      </c>
      <c r="I41" t="str">
        <f>CONCATENATE("'",ALUMNOS!K42,"'")</f>
        <v>'Femenino'</v>
      </c>
      <c r="J41" t="str">
        <f>CONCATENATE("'",ALUMNOS!L42,"'")</f>
        <v>'Activo'</v>
      </c>
      <c r="K41" t="str">
        <f t="shared" si="1"/>
        <v>1040,'LICENCIATURA','anabelen.oceguedagil','111204','TOMAR DEL SND','OCEGUEDA GIL ANA BELEN','PSICOLOGIA','4to','FEMENINO','ACTIVO','',0,0,'','ALUMNO'</v>
      </c>
      <c r="L41" t="str">
        <f t="shared" si="0"/>
        <v>INSERT INTO participantes (id,nivel,correo,matricula,clave,nombre,carrera,grado,sexo,situacion,evaluados,num_evaluados,total_evaluaciones,ultimo_acceso,nivel_acceso) VALUES (1040,'LICENCIATURA','anabelen.oceguedagil','111204','TOMAR DEL SND','OCEGUEDA GIL ANA BELEN','PSICOLOGIA','4to','FEMENINO','ACTIVO','',0,0,'','ALUMNO');</v>
      </c>
      <c r="M41" t="str">
        <f t="shared" si="2"/>
        <v>update participantes set correo='anabelen.oceguedagil' where id=1040;</v>
      </c>
    </row>
    <row r="42" spans="1:13" x14ac:dyDescent="0.25">
      <c r="A42">
        <f t="shared" si="3"/>
        <v>1041</v>
      </c>
      <c r="B42" s="3" t="s">
        <v>2103</v>
      </c>
      <c r="C42" t="str">
        <f>CONCATENATE("'",ALUMNOS!E43,"'")</f>
        <v>'anacamila.espiritubracamontes'</v>
      </c>
      <c r="D42" t="str">
        <f>CONCATENATE(ALUMNOS!F43,"'")</f>
        <v>'109872'</v>
      </c>
      <c r="E42" t="s">
        <v>2723</v>
      </c>
      <c r="F42" t="str">
        <f>CONCATENATE("'",ALUMNOS!H43,"'")</f>
        <v>'ESPIRITU BRACAMONTES ANA CAMILA'</v>
      </c>
      <c r="G42" t="str">
        <f>CONCATENATE("'",ALUMNOS!I43,"'")</f>
        <v>'DISEÑO GRAFICO Y DIGITAL'</v>
      </c>
      <c r="H42" t="str">
        <f>CONCATENATE("'",ALUMNOS!J43,"'")</f>
        <v>'8vo'</v>
      </c>
      <c r="I42" t="str">
        <f>CONCATENATE("'",ALUMNOS!K43,"'")</f>
        <v>'Femenino'</v>
      </c>
      <c r="J42" t="str">
        <f>CONCATENATE("'",ALUMNOS!L43,"'")</f>
        <v>'Activo'</v>
      </c>
      <c r="K42" t="str">
        <f t="shared" si="1"/>
        <v>1041,'LICENCIATURA','anacamila.espiritubracamontes','109872','TOMAR DEL SND','ESPIRITU BRACAMONTES ANA CAMILA','DISEÑO GRAFICO Y DIGITAL','8vo','FEMENINO','ACTIVO','',0,0,'','ALUMNO'</v>
      </c>
      <c r="L42" t="str">
        <f t="shared" si="0"/>
        <v>INSERT INTO participantes (id,nivel,correo,matricula,clave,nombre,carrera,grado,sexo,situacion,evaluados,num_evaluados,total_evaluaciones,ultimo_acceso,nivel_acceso) VALUES (1041,'LICENCIATURA','anacamila.espiritubracamontes','109872','TOMAR DEL SND','ESPIRITU BRACAMONTES ANA CAMILA','DISEÑO GRAFICO Y DIGITAL','8vo','FEMENINO','ACTIVO','',0,0,'','ALUMNO');</v>
      </c>
      <c r="M42" t="str">
        <f t="shared" si="2"/>
        <v>update participantes set correo='anacamila.espiritubracamontes' where id=1041;</v>
      </c>
    </row>
    <row r="43" spans="1:13" x14ac:dyDescent="0.25">
      <c r="A43">
        <f t="shared" si="3"/>
        <v>1042</v>
      </c>
      <c r="B43" s="3" t="s">
        <v>2103</v>
      </c>
      <c r="C43" t="str">
        <f>CONCATENATE("'",ALUMNOS!E44,"'")</f>
        <v>'anacecilia.juarezcastañeda'</v>
      </c>
      <c r="D43" t="str">
        <f>CONCATENATE(ALUMNOS!F44,"'")</f>
        <v>'111188'</v>
      </c>
      <c r="E43" t="s">
        <v>2723</v>
      </c>
      <c r="F43" t="str">
        <f>CONCATENATE("'",ALUMNOS!H44,"'")</f>
        <v>'JUAREZ CASTAÑEDA ANA CECILIA'</v>
      </c>
      <c r="G43" t="str">
        <f>CONCATENATE("'",ALUMNOS!I44,"'")</f>
        <v>'ARQUITECTURA'</v>
      </c>
      <c r="H43" t="str">
        <f>CONCATENATE("'",ALUMNOS!J44,"'")</f>
        <v>'4to'</v>
      </c>
      <c r="I43" t="str">
        <f>CONCATENATE("'",ALUMNOS!K44,"'")</f>
        <v>'Femenino'</v>
      </c>
      <c r="J43" t="str">
        <f>CONCATENATE("'",ALUMNOS!L44,"'")</f>
        <v>'Activo'</v>
      </c>
      <c r="K43" t="str">
        <f t="shared" si="1"/>
        <v>1042,'LICENCIATURA','anacecilia.juarezcastañeda','111188','TOMAR DEL SND','JUAREZ CASTAÑEDA ANA CECILIA','ARQUITECTURA','4to','FEMENINO','ACTIVO','',0,0,'','ALUMNO'</v>
      </c>
      <c r="L43" t="str">
        <f t="shared" si="0"/>
        <v>INSERT INTO participantes (id,nivel,correo,matricula,clave,nombre,carrera,grado,sexo,situacion,evaluados,num_evaluados,total_evaluaciones,ultimo_acceso,nivel_acceso) VALUES (1042,'LICENCIATURA','anacecilia.juarezcastañeda','111188','TOMAR DEL SND','JUAREZ CASTAÑEDA ANA CECILIA','ARQUITECTURA','4to','FEMENINO','ACTIVO','',0,0,'','ALUMNO');</v>
      </c>
      <c r="M43" t="str">
        <f t="shared" si="2"/>
        <v>update participantes set correo='anacecilia.juarezcastañeda' where id=1042;</v>
      </c>
    </row>
    <row r="44" spans="1:13" x14ac:dyDescent="0.25">
      <c r="A44">
        <f t="shared" si="3"/>
        <v>1043</v>
      </c>
      <c r="B44" s="3" t="s">
        <v>2103</v>
      </c>
      <c r="C44" t="str">
        <f>CONCATENATE("'",ALUMNOS!E45,"'")</f>
        <v>'anacristina.guerrerosoltero'</v>
      </c>
      <c r="D44" t="str">
        <f>CONCATENATE(ALUMNOS!F45,"'")</f>
        <v>'110475'</v>
      </c>
      <c r="E44" t="s">
        <v>2723</v>
      </c>
      <c r="F44" t="str">
        <f>CONCATENATE("'",ALUMNOS!H45,"'")</f>
        <v>'GUERRERO SOLTERO ANA CRISTINA'</v>
      </c>
      <c r="G44" t="str">
        <f>CONCATENATE("'",ALUMNOS!I45,"'")</f>
        <v>'NUTRICION Y GASTRONOMIA'</v>
      </c>
      <c r="H44" t="str">
        <f>CONCATENATE("'",ALUMNOS!J45,"'")</f>
        <v>'6to'</v>
      </c>
      <c r="I44" t="str">
        <f>CONCATENATE("'",ALUMNOS!K45,"'")</f>
        <v>'Femenino'</v>
      </c>
      <c r="J44" t="str">
        <f>CONCATENATE("'",ALUMNOS!L45,"'")</f>
        <v>'Activo'</v>
      </c>
      <c r="K44" t="str">
        <f t="shared" si="1"/>
        <v>1043,'LICENCIATURA','anacristina.guerrerosoltero','110475','TOMAR DEL SND','GUERRERO SOLTERO ANA CRISTINA','NUTRICION Y GASTRONOMIA','6to','FEMENINO','ACTIVO','',0,0,'','ALUMNO'</v>
      </c>
      <c r="L44" t="str">
        <f t="shared" si="0"/>
        <v>INSERT INTO participantes (id,nivel,correo,matricula,clave,nombre,carrera,grado,sexo,situacion,evaluados,num_evaluados,total_evaluaciones,ultimo_acceso,nivel_acceso) VALUES (1043,'LICENCIATURA','anacristina.guerrerosoltero','110475','TOMAR DEL SND','GUERRERO SOLTERO ANA CRISTINA','NUTRICION Y GASTRONOMIA','6to','FEMENINO','ACTIVO','',0,0,'','ALUMNO');</v>
      </c>
      <c r="M44" t="str">
        <f t="shared" si="2"/>
        <v>update participantes set correo='anacristina.guerrerosoltero' where id=1043;</v>
      </c>
    </row>
    <row r="45" spans="1:13" x14ac:dyDescent="0.25">
      <c r="A45">
        <f t="shared" si="3"/>
        <v>1044</v>
      </c>
      <c r="B45" s="3" t="s">
        <v>2103</v>
      </c>
      <c r="C45" t="str">
        <f>CONCATENATE("'",ALUMNOS!E47,"'")</f>
        <v>'anakarol.jimenezmartinez'</v>
      </c>
      <c r="D45" t="str">
        <f>CONCATENATE(ALUMNOS!F47,"'")</f>
        <v>'111765'</v>
      </c>
      <c r="E45" t="s">
        <v>2723</v>
      </c>
      <c r="F45" t="str">
        <f>CONCATENATE("'",ALUMNOS!H47,"'")</f>
        <v>'JIMENEZ MARTINEZ ANA KAROL'</v>
      </c>
      <c r="G45" t="str">
        <f>CONCATENATE("'",ALUMNOS!I47,"'")</f>
        <v>'NUTRICION Y GASTRONOMIA'</v>
      </c>
      <c r="H45" t="str">
        <f>CONCATENATE("'",ALUMNOS!J47,"'")</f>
        <v>'2do'</v>
      </c>
      <c r="I45" t="str">
        <f>CONCATENATE("'",ALUMNOS!K47,"'")</f>
        <v>'Femenino'</v>
      </c>
      <c r="J45" t="str">
        <f>CONCATENATE("'",ALUMNOS!L47,"'")</f>
        <v>'Activo'</v>
      </c>
      <c r="K45" t="str">
        <f t="shared" si="1"/>
        <v>1044,'LICENCIATURA','anakarol.jimenezmartinez','111765','TOMAR DEL SND','JIMENEZ MARTINEZ ANA KAROL','NUTRICION Y GASTRONOMIA','2do','FEMENINO','ACTIVO','',0,0,'','ALUMNO'</v>
      </c>
      <c r="L45" t="str">
        <f t="shared" si="0"/>
        <v>INSERT INTO participantes (id,nivel,correo,matricula,clave,nombre,carrera,grado,sexo,situacion,evaluados,num_evaluados,total_evaluaciones,ultimo_acceso,nivel_acceso) VALUES (1044,'LICENCIATURA','anakarol.jimenezmartinez','111765','TOMAR DEL SND','JIMENEZ MARTINEZ ANA KAROL','NUTRICION Y GASTRONOMIA','2do','FEMENINO','ACTIVO','',0,0,'','ALUMNO');</v>
      </c>
      <c r="M45" t="str">
        <f t="shared" si="2"/>
        <v>update participantes set correo='anakarol.jimenezmartinez' where id=1044;</v>
      </c>
    </row>
    <row r="46" spans="1:13" x14ac:dyDescent="0.25">
      <c r="A46">
        <f t="shared" si="3"/>
        <v>1045</v>
      </c>
      <c r="B46" s="3" t="s">
        <v>2103</v>
      </c>
      <c r="C46" t="str">
        <f>CONCATENATE("'",ALUMNOS!E48,"'")</f>
        <v>'analorena.camachoherrera'</v>
      </c>
      <c r="D46" t="str">
        <f>CONCATENATE(ALUMNOS!F48,"'")</f>
        <v>'109343'</v>
      </c>
      <c r="E46" t="s">
        <v>2723</v>
      </c>
      <c r="F46" t="str">
        <f>CONCATENATE("'",ALUMNOS!H48,"'")</f>
        <v>'CAMACHO HERRERA ANA LORENA'</v>
      </c>
      <c r="G46" t="str">
        <f>CONCATENATE("'",ALUMNOS!I48,"'")</f>
        <v>'INGENIERIA AEROESPACIAL'</v>
      </c>
      <c r="H46" t="str">
        <f>CONCATENATE("'",ALUMNOS!J48,"'")</f>
        <v>'10mo'</v>
      </c>
      <c r="I46" t="str">
        <f>CONCATENATE("'",ALUMNOS!K48,"'")</f>
        <v>'Femenino'</v>
      </c>
      <c r="J46" t="str">
        <f>CONCATENATE("'",ALUMNOS!L48,"'")</f>
        <v>'Activo'</v>
      </c>
      <c r="K46" t="str">
        <f t="shared" si="1"/>
        <v>1045,'LICENCIATURA','analorena.camachoherrera','109343','TOMAR DEL SND','CAMACHO HERRERA ANA LORENA','INGENIERIA AEROESPACIAL','10mo','FEMENINO','ACTIVO','',0,0,'','ALUMNO'</v>
      </c>
      <c r="L46" t="str">
        <f t="shared" si="0"/>
        <v>INSERT INTO participantes (id,nivel,correo,matricula,clave,nombre,carrera,grado,sexo,situacion,evaluados,num_evaluados,total_evaluaciones,ultimo_acceso,nivel_acceso) VALUES (1045,'LICENCIATURA','analorena.camachoherrera','109343','TOMAR DEL SND','CAMACHO HERRERA ANA LORENA','INGENIERIA AEROESPACIAL','10mo','FEMENINO','ACTIVO','',0,0,'','ALUMNO');</v>
      </c>
      <c r="M46" t="str">
        <f t="shared" si="2"/>
        <v>update participantes set correo='analorena.camachoherrera' where id=1045;</v>
      </c>
    </row>
    <row r="47" spans="1:13" x14ac:dyDescent="0.25">
      <c r="A47">
        <f t="shared" si="3"/>
        <v>1046</v>
      </c>
      <c r="B47" s="3" t="s">
        <v>2103</v>
      </c>
      <c r="C47" t="str">
        <f>CONCATENATE("'",ALUMNOS!E49,"'")</f>
        <v>'analucia.fongurquidy'</v>
      </c>
      <c r="D47" t="str">
        <f>CONCATENATE(ALUMNOS!F49,"'")</f>
        <v>'111097'</v>
      </c>
      <c r="E47" t="s">
        <v>2723</v>
      </c>
      <c r="F47" t="str">
        <f>CONCATENATE("'",ALUMNOS!H49,"'")</f>
        <v>'FONG URQUIDY ANA LUCIA'</v>
      </c>
      <c r="G47" t="str">
        <f>CONCATENATE("'",ALUMNOS!I49,"'")</f>
        <v>'ARQUITECTURA'</v>
      </c>
      <c r="H47" t="str">
        <f>CONCATENATE("'",ALUMNOS!J49,"'")</f>
        <v>'4to'</v>
      </c>
      <c r="I47" t="str">
        <f>CONCATENATE("'",ALUMNOS!K49,"'")</f>
        <v>'Femenino'</v>
      </c>
      <c r="J47" t="str">
        <f>CONCATENATE("'",ALUMNOS!L49,"'")</f>
        <v>'Activo'</v>
      </c>
      <c r="K47" t="str">
        <f t="shared" si="1"/>
        <v>1046,'LICENCIATURA','analucia.fongurquidy','111097','TOMAR DEL SND','FONG URQUIDY ANA LUCIA','ARQUITECTURA','4to','FEMENINO','ACTIVO','',0,0,'','ALUMNO'</v>
      </c>
      <c r="L47" t="str">
        <f t="shared" si="0"/>
        <v>INSERT INTO participantes (id,nivel,correo,matricula,clave,nombre,carrera,grado,sexo,situacion,evaluados,num_evaluados,total_evaluaciones,ultimo_acceso,nivel_acceso) VALUES (1046,'LICENCIATURA','analucia.fongurquidy','111097','TOMAR DEL SND','FONG URQUIDY ANA LUCIA','ARQUITECTURA','4to','FEMENINO','ACTIVO','',0,0,'','ALUMNO');</v>
      </c>
      <c r="M47" t="str">
        <f t="shared" si="2"/>
        <v>update participantes set correo='analucia.fongurquidy' where id=1046;</v>
      </c>
    </row>
    <row r="48" spans="1:13" x14ac:dyDescent="0.25">
      <c r="A48">
        <f t="shared" si="3"/>
        <v>1047</v>
      </c>
      <c r="B48" s="3" t="s">
        <v>2103</v>
      </c>
      <c r="C48" t="str">
        <f>CONCATENATE("'",ALUMNOS!E50,"'")</f>
        <v>'anapaula.rodriguezlozano'</v>
      </c>
      <c r="D48" t="str">
        <f>CONCATENATE(ALUMNOS!F50,"'")</f>
        <v>'109961'</v>
      </c>
      <c r="E48" t="s">
        <v>2723</v>
      </c>
      <c r="F48" t="str">
        <f>CONCATENATE("'",ALUMNOS!H50,"'")</f>
        <v>'RODRIGUEZ LOZANO ANA PAULA'</v>
      </c>
      <c r="G48" t="str">
        <f>CONCATENATE("'",ALUMNOS!I50,"'")</f>
        <v>'PSICOLOGIA'</v>
      </c>
      <c r="H48" t="str">
        <f>CONCATENATE("'",ALUMNOS!J50,"'")</f>
        <v>'8vo'</v>
      </c>
      <c r="I48" t="str">
        <f>CONCATENATE("'",ALUMNOS!K50,"'")</f>
        <v>'Femenino'</v>
      </c>
      <c r="J48" t="str">
        <f>CONCATENATE("'",ALUMNOS!L50,"'")</f>
        <v>'Activo'</v>
      </c>
      <c r="K48" t="str">
        <f t="shared" si="1"/>
        <v>1047,'LICENCIATURA','anapaula.rodriguezlozano','109961','TOMAR DEL SND','RODRIGUEZ LOZANO ANA PAULA','PSICOLOGIA','8vo','FEMENINO','ACTIVO','',0,0,'','ALUMNO'</v>
      </c>
      <c r="L48" t="str">
        <f t="shared" si="0"/>
        <v>INSERT INTO participantes (id,nivel,correo,matricula,clave,nombre,carrera,grado,sexo,situacion,evaluados,num_evaluados,total_evaluaciones,ultimo_acceso,nivel_acceso) VALUES (1047,'LICENCIATURA','anapaula.rodriguezlozano','109961','TOMAR DEL SND','RODRIGUEZ LOZANO ANA PAULA','PSICOLOGIA','8vo','FEMENINO','ACTIVO','',0,0,'','ALUMNO');</v>
      </c>
      <c r="M48" t="str">
        <f t="shared" si="2"/>
        <v>update participantes set correo='anapaula.rodriguezlozano' where id=1047;</v>
      </c>
    </row>
    <row r="49" spans="1:13" x14ac:dyDescent="0.25">
      <c r="A49">
        <f t="shared" si="3"/>
        <v>1048</v>
      </c>
      <c r="B49" s="3" t="s">
        <v>2103</v>
      </c>
      <c r="C49" t="str">
        <f>CONCATENATE("'",ALUMNOS!E51,"'")</f>
        <v>'anapaula.ruelasnavarro'</v>
      </c>
      <c r="D49" t="str">
        <f>CONCATENATE(ALUMNOS!F51,"'")</f>
        <v>'111152'</v>
      </c>
      <c r="E49" t="s">
        <v>2723</v>
      </c>
      <c r="F49" t="str">
        <f>CONCATENATE("'",ALUMNOS!H51,"'")</f>
        <v>'RUELAS NAVARRO ANA PAULA'</v>
      </c>
      <c r="G49" t="str">
        <f>CONCATENATE("'",ALUMNOS!I51,"'")</f>
        <v>'PSICOLOGIA'</v>
      </c>
      <c r="H49" t="str">
        <f>CONCATENATE("'",ALUMNOS!J51,"'")</f>
        <v>'4to'</v>
      </c>
      <c r="I49" t="str">
        <f>CONCATENATE("'",ALUMNOS!K51,"'")</f>
        <v>'Femenino'</v>
      </c>
      <c r="J49" t="str">
        <f>CONCATENATE("'",ALUMNOS!L51,"'")</f>
        <v>'Activo'</v>
      </c>
      <c r="K49" t="str">
        <f t="shared" si="1"/>
        <v>1048,'LICENCIATURA','anapaula.ruelasnavarro','111152','TOMAR DEL SND','RUELAS NAVARRO ANA PAULA','PSICOLOGIA','4to','FEMENINO','ACTIVO','',0,0,'','ALUMNO'</v>
      </c>
      <c r="L49" t="str">
        <f t="shared" si="0"/>
        <v>INSERT INTO participantes (id,nivel,correo,matricula,clave,nombre,carrera,grado,sexo,situacion,evaluados,num_evaluados,total_evaluaciones,ultimo_acceso,nivel_acceso) VALUES (1048,'LICENCIATURA','anapaula.ruelasnavarro','111152','TOMAR DEL SND','RUELAS NAVARRO ANA PAULA','PSICOLOGIA','4to','FEMENINO','ACTIVO','',0,0,'','ALUMNO');</v>
      </c>
      <c r="M49" t="str">
        <f t="shared" si="2"/>
        <v>update participantes set correo='anapaula.ruelasnavarro' where id=1048;</v>
      </c>
    </row>
    <row r="50" spans="1:13" x14ac:dyDescent="0.25">
      <c r="A50">
        <f t="shared" si="3"/>
        <v>1049</v>
      </c>
      <c r="B50" s="3" t="s">
        <v>2103</v>
      </c>
      <c r="C50" t="str">
        <f>CONCATENATE("'",ALUMNOS!E52,"'")</f>
        <v>'anasofia.carrionlopez'</v>
      </c>
      <c r="D50" t="str">
        <f>CONCATENATE(ALUMNOS!F52,"'")</f>
        <v>'111799'</v>
      </c>
      <c r="E50" t="s">
        <v>2723</v>
      </c>
      <c r="F50" t="str">
        <f>CONCATENATE("'",ALUMNOS!H52,"'")</f>
        <v>'CARRION LOPEZ ANA SOFIA'</v>
      </c>
      <c r="G50" t="str">
        <f>CONCATENATE("'",ALUMNOS!I52,"'")</f>
        <v>'ANIMACION DIGITAL Y VIDEOJUEGOS'</v>
      </c>
      <c r="H50" t="str">
        <f>CONCATENATE("'",ALUMNOS!J52,"'")</f>
        <v>'2do'</v>
      </c>
      <c r="I50" t="str">
        <f>CONCATENATE("'",ALUMNOS!K52,"'")</f>
        <v>'Femenino'</v>
      </c>
      <c r="J50" t="str">
        <f>CONCATENATE("'",ALUMNOS!L52,"'")</f>
        <v>'Activo'</v>
      </c>
      <c r="K50" t="str">
        <f t="shared" si="1"/>
        <v>1049,'LICENCIATURA','anasofia.carrionlopez','111799','TOMAR DEL SND','CARRION LOPEZ ANA SOFIA','ANIMACION DIGITAL Y VIDEOJUEGOS','2do','FEMENINO','ACTIVO','',0,0,'','ALUMNO'</v>
      </c>
      <c r="L50" t="str">
        <f t="shared" si="0"/>
        <v>INSERT INTO participantes (id,nivel,correo,matricula,clave,nombre,carrera,grado,sexo,situacion,evaluados,num_evaluados,total_evaluaciones,ultimo_acceso,nivel_acceso) VALUES (1049,'LICENCIATURA','anasofia.carrionlopez','111799','TOMAR DEL SND','CARRION LOPEZ ANA SOFIA','ANIMACION DIGITAL Y VIDEOJUEGOS','2do','FEMENINO','ACTIVO','',0,0,'','ALUMNO');</v>
      </c>
      <c r="M50" t="str">
        <f t="shared" si="2"/>
        <v>update participantes set correo='anasofia.carrionlopez' where id=1049;</v>
      </c>
    </row>
    <row r="51" spans="1:13" x14ac:dyDescent="0.25">
      <c r="A51">
        <f t="shared" si="3"/>
        <v>1050</v>
      </c>
      <c r="B51" s="3" t="s">
        <v>2103</v>
      </c>
      <c r="C51" t="str">
        <f>CONCATENATE("'",ALUMNOS!E53,"'")</f>
        <v>'anasofia.fierrosluna'</v>
      </c>
      <c r="D51" t="str">
        <f>CONCATENATE(ALUMNOS!F53,"'")</f>
        <v>'111625'</v>
      </c>
      <c r="E51" t="s">
        <v>2723</v>
      </c>
      <c r="F51" t="str">
        <f>CONCATENATE("'",ALUMNOS!H53,"'")</f>
        <v>'FIERROS LUNA ANA SOFIA'</v>
      </c>
      <c r="G51" t="str">
        <f>CONCATENATE("'",ALUMNOS!I53,"'")</f>
        <v>'INGENIERÍA AUTOMOTRIZ'</v>
      </c>
      <c r="H51" t="str">
        <f>CONCATENATE("'",ALUMNOS!J53,"'")</f>
        <v>'2do'</v>
      </c>
      <c r="I51" t="str">
        <f>CONCATENATE("'",ALUMNOS!K53,"'")</f>
        <v>'Femenino'</v>
      </c>
      <c r="J51" t="str">
        <f>CONCATENATE("'",ALUMNOS!L53,"'")</f>
        <v>'Activo'</v>
      </c>
      <c r="K51" t="str">
        <f t="shared" si="1"/>
        <v>1050,'LICENCIATURA','anasofia.fierrosluna','111625','TOMAR DEL SND','FIERROS LUNA ANA SOFIA','INGENIERÍA AUTOMOTRIZ','2do','FEMENINO','ACTIVO','',0,0,'','ALUMNO'</v>
      </c>
      <c r="L51" t="str">
        <f t="shared" si="0"/>
        <v>INSERT INTO participantes (id,nivel,correo,matricula,clave,nombre,carrera,grado,sexo,situacion,evaluados,num_evaluados,total_evaluaciones,ultimo_acceso,nivel_acceso) VALUES (1050,'LICENCIATURA','anasofia.fierrosluna','111625','TOMAR DEL SND','FIERROS LUNA ANA SOFIA','INGENIERÍA AUTOMOTRIZ','2do','FEMENINO','ACTIVO','',0,0,'','ALUMNO');</v>
      </c>
      <c r="M51" t="str">
        <f t="shared" si="2"/>
        <v>update participantes set correo='anasofia.fierrosluna' where id=1050;</v>
      </c>
    </row>
    <row r="52" spans="1:13" x14ac:dyDescent="0.25">
      <c r="A52">
        <f t="shared" si="3"/>
        <v>1051</v>
      </c>
      <c r="B52" s="3" t="s">
        <v>2103</v>
      </c>
      <c r="C52" t="str">
        <f>CONCATENATE("'",ALUMNOS!E54,"'")</f>
        <v>'anasofia.sanchezesqueda'</v>
      </c>
      <c r="D52" t="str">
        <f>CONCATENATE(ALUMNOS!F54,"'")</f>
        <v>'109811'</v>
      </c>
      <c r="E52" t="s">
        <v>2723</v>
      </c>
      <c r="F52" t="str">
        <f>CONCATENATE("'",ALUMNOS!H54,"'")</f>
        <v>'SANCHEZ ESQUEDA ANA SOFIA'</v>
      </c>
      <c r="G52" t="str">
        <f>CONCATENATE("'",ALUMNOS!I54,"'")</f>
        <v>'NUTRICION Y GASTRONOMIA'</v>
      </c>
      <c r="H52" t="str">
        <f>CONCATENATE("'",ALUMNOS!J54,"'")</f>
        <v>'8vo'</v>
      </c>
      <c r="I52" t="str">
        <f>CONCATENATE("'",ALUMNOS!K54,"'")</f>
        <v>'Femenino'</v>
      </c>
      <c r="J52" t="str">
        <f>CONCATENATE("'",ALUMNOS!L54,"'")</f>
        <v>'Activo'</v>
      </c>
      <c r="K52" t="str">
        <f t="shared" si="1"/>
        <v>1051,'LICENCIATURA','anasofia.sanchezesqueda','109811','TOMAR DEL SND','SANCHEZ ESQUEDA ANA SOFIA','NUTRICION Y GASTRONOMIA','8vo','FEMENINO','ACTIVO','',0,0,'','ALUMNO'</v>
      </c>
      <c r="L52" t="str">
        <f t="shared" si="0"/>
        <v>INSERT INTO participantes (id,nivel,correo,matricula,clave,nombre,carrera,grado,sexo,situacion,evaluados,num_evaluados,total_evaluaciones,ultimo_acceso,nivel_acceso) VALUES (1051,'LICENCIATURA','anasofia.sanchezesqueda','109811','TOMAR DEL SND','SANCHEZ ESQUEDA ANA SOFIA','NUTRICION Y GASTRONOMIA','8vo','FEMENINO','ACTIVO','',0,0,'','ALUMNO');</v>
      </c>
      <c r="M52" t="str">
        <f t="shared" si="2"/>
        <v>update participantes set correo='anasofia.sanchezesqueda' where id=1051;</v>
      </c>
    </row>
    <row r="53" spans="1:13" x14ac:dyDescent="0.25">
      <c r="A53">
        <f t="shared" si="3"/>
        <v>1052</v>
      </c>
      <c r="B53" s="3" t="s">
        <v>2103</v>
      </c>
      <c r="C53" t="str">
        <f>CONCATENATE("'",ALUMNOS!E55,"'")</f>
        <v>'anavaleria.godinezsanchez'</v>
      </c>
      <c r="D53" t="str">
        <f>CONCATENATE(ALUMNOS!F55,"'")</f>
        <v>'111604'</v>
      </c>
      <c r="E53" t="s">
        <v>2723</v>
      </c>
      <c r="F53" t="str">
        <f>CONCATENATE("'",ALUMNOS!H55,"'")</f>
        <v>'GODINEZ SANCHEZ ANA VALERIA'</v>
      </c>
      <c r="G53" t="str">
        <f>CONCATENATE("'",ALUMNOS!I55,"'")</f>
        <v>'PSICOLOGIA'</v>
      </c>
      <c r="H53" t="str">
        <f>CONCATENATE("'",ALUMNOS!J55,"'")</f>
        <v>'2do'</v>
      </c>
      <c r="I53" t="str">
        <f>CONCATENATE("'",ALUMNOS!K55,"'")</f>
        <v>'Femenino'</v>
      </c>
      <c r="J53" t="str">
        <f>CONCATENATE("'",ALUMNOS!L55,"'")</f>
        <v>'Activo'</v>
      </c>
      <c r="K53" t="str">
        <f t="shared" si="1"/>
        <v>1052,'LICENCIATURA','anavaleria.godinezsanchez','111604','TOMAR DEL SND','GODINEZ SANCHEZ ANA VALERIA','PSICOLOGIA','2do','FEMENINO','ACTIVO','',0,0,'','ALUMNO'</v>
      </c>
      <c r="L53" t="str">
        <f t="shared" si="0"/>
        <v>INSERT INTO participantes (id,nivel,correo,matricula,clave,nombre,carrera,grado,sexo,situacion,evaluados,num_evaluados,total_evaluaciones,ultimo_acceso,nivel_acceso) VALUES (1052,'LICENCIATURA','anavaleria.godinezsanchez','111604','TOMAR DEL SND','GODINEZ SANCHEZ ANA VALERIA','PSICOLOGIA','2do','FEMENINO','ACTIVO','',0,0,'','ALUMNO');</v>
      </c>
      <c r="M53" t="str">
        <f t="shared" si="2"/>
        <v>update participantes set correo='anavaleria.godinezsanchez' where id=1052;</v>
      </c>
    </row>
    <row r="54" spans="1:13" x14ac:dyDescent="0.25">
      <c r="A54">
        <f t="shared" si="3"/>
        <v>1053</v>
      </c>
      <c r="B54" s="3" t="s">
        <v>2103</v>
      </c>
      <c r="C54" t="str">
        <f>CONCATENATE("'",ALUMNOS!E56,"'")</f>
        <v>'anavictoria.orozcoquiñonez'</v>
      </c>
      <c r="D54" t="str">
        <f>CONCATENATE(ALUMNOS!F56,"'")</f>
        <v>'110613'</v>
      </c>
      <c r="E54" t="s">
        <v>2723</v>
      </c>
      <c r="F54" t="str">
        <f>CONCATENATE("'",ALUMNOS!H56,"'")</f>
        <v>'OROZCO QUIÑONEZ ANA VICTORIA'</v>
      </c>
      <c r="G54" t="str">
        <f>CONCATENATE("'",ALUMNOS!I56,"'")</f>
        <v>'ARQUITECTURA'</v>
      </c>
      <c r="H54" t="str">
        <f>CONCATENATE("'",ALUMNOS!J56,"'")</f>
        <v>'6to'</v>
      </c>
      <c r="I54" t="str">
        <f>CONCATENATE("'",ALUMNOS!K56,"'")</f>
        <v>'Femenino'</v>
      </c>
      <c r="J54" t="str">
        <f>CONCATENATE("'",ALUMNOS!L56,"'")</f>
        <v>'Activo'</v>
      </c>
      <c r="K54" t="str">
        <f t="shared" si="1"/>
        <v>1053,'LICENCIATURA','anavictoria.orozcoquiñonez','110613','TOMAR DEL SND','OROZCO QUIÑONEZ ANA VICTORIA','ARQUITECTURA','6to','FEMENINO','ACTIVO','',0,0,'','ALUMNO'</v>
      </c>
      <c r="L54" t="str">
        <f t="shared" si="0"/>
        <v>INSERT INTO participantes (id,nivel,correo,matricula,clave,nombre,carrera,grado,sexo,situacion,evaluados,num_evaluados,total_evaluaciones,ultimo_acceso,nivel_acceso) VALUES (1053,'LICENCIATURA','anavictoria.orozcoquiñonez','110613','TOMAR DEL SND','OROZCO QUIÑONEZ ANA VICTORIA','ARQUITECTURA','6to','FEMENINO','ACTIVO','',0,0,'','ALUMNO');</v>
      </c>
      <c r="M54" t="str">
        <f t="shared" si="2"/>
        <v>update participantes set correo='anavictoria.orozcoquiñonez' where id=1053;</v>
      </c>
    </row>
    <row r="55" spans="1:13" x14ac:dyDescent="0.25">
      <c r="A55">
        <f t="shared" si="3"/>
        <v>1054</v>
      </c>
      <c r="B55" s="3" t="s">
        <v>2103</v>
      </c>
      <c r="C55" t="str">
        <f>CONCATENATE("'",ALUMNOS!E57,"'")</f>
        <v>'anailyguadalupe.chavezortiz'</v>
      </c>
      <c r="D55" t="str">
        <f>CONCATENATE(ALUMNOS!F57,"'")</f>
        <v>'111181'</v>
      </c>
      <c r="E55" t="s">
        <v>2723</v>
      </c>
      <c r="F55" t="str">
        <f>CONCATENATE("'",ALUMNOS!H57,"'")</f>
        <v>'CHAVEZ ORTIZ ANAILY GUADALUPE'</v>
      </c>
      <c r="G55" t="str">
        <f>CONCATENATE("'",ALUMNOS!I57,"'")</f>
        <v>'ARQUITECTURA'</v>
      </c>
      <c r="H55" t="str">
        <f>CONCATENATE("'",ALUMNOS!J57,"'")</f>
        <v>'4to'</v>
      </c>
      <c r="I55" t="str">
        <f>CONCATENATE("'",ALUMNOS!K57,"'")</f>
        <v>'Femenino'</v>
      </c>
      <c r="J55" t="str">
        <f>CONCATENATE("'",ALUMNOS!L57,"'")</f>
        <v>'Activo'</v>
      </c>
      <c r="K55" t="str">
        <f t="shared" si="1"/>
        <v>1054,'LICENCIATURA','anailyguadalupe.chavezortiz','111181','TOMAR DEL SND','CHAVEZ ORTIZ ANAILY GUADALUPE','ARQUITECTURA','4to','FEMENINO','ACTIVO','',0,0,'','ALUMNO'</v>
      </c>
      <c r="L55" t="str">
        <f t="shared" si="0"/>
        <v>INSERT INTO participantes (id,nivel,correo,matricula,clave,nombre,carrera,grado,sexo,situacion,evaluados,num_evaluados,total_evaluaciones,ultimo_acceso,nivel_acceso) VALUES (1054,'LICENCIATURA','anailyguadalupe.chavezortiz','111181','TOMAR DEL SND','CHAVEZ ORTIZ ANAILY GUADALUPE','ARQUITECTURA','4to','FEMENINO','ACTIVO','',0,0,'','ALUMNO');</v>
      </c>
      <c r="M55" t="str">
        <f t="shared" si="2"/>
        <v>update participantes set correo='anailyguadalupe.chavezortiz' where id=1054;</v>
      </c>
    </row>
    <row r="56" spans="1:13" x14ac:dyDescent="0.25">
      <c r="A56">
        <f t="shared" si="3"/>
        <v>1055</v>
      </c>
      <c r="B56" s="3" t="s">
        <v>2103</v>
      </c>
      <c r="C56" t="str">
        <f>CONCATENATE("'",ALUMNOS!E58,"'")</f>
        <v>'andre.diazmarquez'</v>
      </c>
      <c r="D56" t="str">
        <f>CONCATENATE(ALUMNOS!F58,"'")</f>
        <v>'111675'</v>
      </c>
      <c r="E56" t="s">
        <v>2723</v>
      </c>
      <c r="F56" t="str">
        <f>CONCATENATE("'",ALUMNOS!H58,"'")</f>
        <v>'DIAZ MARQUEZ ANDRE'</v>
      </c>
      <c r="G56" t="str">
        <f>CONCATENATE("'",ALUMNOS!I58,"'")</f>
        <v>'INGENIERÍA AUTOMOTRIZ'</v>
      </c>
      <c r="H56" t="str">
        <f>CONCATENATE("'",ALUMNOS!J58,"'")</f>
        <v>'2do'</v>
      </c>
      <c r="I56" t="str">
        <f>CONCATENATE("'",ALUMNOS!K58,"'")</f>
        <v>'Masculino'</v>
      </c>
      <c r="J56" t="str">
        <f>CONCATENATE("'",ALUMNOS!L58,"'")</f>
        <v>'Activo'</v>
      </c>
      <c r="K56" t="str">
        <f t="shared" si="1"/>
        <v>1055,'LICENCIATURA','andre.diazmarquez','111675','TOMAR DEL SND','DIAZ MARQUEZ ANDRE','INGENIERÍA AUTOMOTRIZ','2do','MASCULINO','ACTIVO','',0,0,'','ALUMNO'</v>
      </c>
      <c r="L56" t="str">
        <f t="shared" si="0"/>
        <v>INSERT INTO participantes (id,nivel,correo,matricula,clave,nombre,carrera,grado,sexo,situacion,evaluados,num_evaluados,total_evaluaciones,ultimo_acceso,nivel_acceso) VALUES (1055,'LICENCIATURA','andre.diazmarquez','111675','TOMAR DEL SND','DIAZ MARQUEZ ANDRE','INGENIERÍA AUTOMOTRIZ','2do','MASCULINO','ACTIVO','',0,0,'','ALUMNO');</v>
      </c>
      <c r="M56" t="str">
        <f t="shared" si="2"/>
        <v>update participantes set correo='andre.diazmarquez' where id=1055;</v>
      </c>
    </row>
    <row r="57" spans="1:13" x14ac:dyDescent="0.25">
      <c r="A57">
        <f t="shared" si="3"/>
        <v>1056</v>
      </c>
      <c r="B57" s="3" t="s">
        <v>2103</v>
      </c>
      <c r="C57" t="str">
        <f>CONCATENATE("'",ALUMNOS!E59,"'")</f>
        <v>'andresebastian.villagranarodriguez'</v>
      </c>
      <c r="D57" t="str">
        <f>CONCATENATE(ALUMNOS!F59,"'")</f>
        <v>'109808'</v>
      </c>
      <c r="E57" t="s">
        <v>2723</v>
      </c>
      <c r="F57" t="str">
        <f>CONCATENATE("'",ALUMNOS!H59,"'")</f>
        <v>'VILLAGRANA RODRIGUEZ ANDRE SEBASTIAN'</v>
      </c>
      <c r="G57" t="str">
        <f>CONCATENATE("'",ALUMNOS!I59,"'")</f>
        <v>'INGENIERIA AEROESPACIAL'</v>
      </c>
      <c r="H57" t="str">
        <f>CONCATENATE("'",ALUMNOS!J59,"'")</f>
        <v>'8vo'</v>
      </c>
      <c r="I57" t="str">
        <f>CONCATENATE("'",ALUMNOS!K59,"'")</f>
        <v>'Masculino'</v>
      </c>
      <c r="J57" t="str">
        <f>CONCATENATE("'",ALUMNOS!L59,"'")</f>
        <v>'Activo'</v>
      </c>
      <c r="K57" t="str">
        <f t="shared" si="1"/>
        <v>1056,'LICENCIATURA','andresebastian.villagranarodriguez','109808','TOMAR DEL SND','VILLAGRANA RODRIGUEZ ANDRE SEBASTIAN','INGENIERIA AEROESPACIAL','8vo','MASCULINO','ACTIVO','',0,0,'','ALUMNO'</v>
      </c>
      <c r="L57" t="str">
        <f t="shared" si="0"/>
        <v>INSERT INTO participantes (id,nivel,correo,matricula,clave,nombre,carrera,grado,sexo,situacion,evaluados,num_evaluados,total_evaluaciones,ultimo_acceso,nivel_acceso) VALUES (1056,'LICENCIATURA','andresebastian.villagranarodriguez','109808','TOMAR DEL SND','VILLAGRANA RODRIGUEZ ANDRE SEBASTIAN','INGENIERIA AEROESPACIAL','8vo','MASCULINO','ACTIVO','',0,0,'','ALUMNO');</v>
      </c>
      <c r="M57" t="str">
        <f t="shared" si="2"/>
        <v>update participantes set correo='andresebastian.villagranarodriguez' where id=1056;</v>
      </c>
    </row>
    <row r="58" spans="1:13" x14ac:dyDescent="0.25">
      <c r="A58">
        <f t="shared" si="3"/>
        <v>1057</v>
      </c>
      <c r="B58" s="3" t="s">
        <v>2103</v>
      </c>
      <c r="C58" t="str">
        <f>CONCATENATE("'",ALUMNOS!E60,"'")</f>
        <v>'andrea.navarropadilla'</v>
      </c>
      <c r="D58" t="str">
        <f>CONCATENATE(ALUMNOS!F60,"'")</f>
        <v>'007159'</v>
      </c>
      <c r="E58" t="s">
        <v>2723</v>
      </c>
      <c r="F58" t="str">
        <f>CONCATENATE("'",ALUMNOS!H60,"'")</f>
        <v>'NAVARRO PADILLA ANDREA'</v>
      </c>
      <c r="G58" t="str">
        <f>CONCATENATE("'",ALUMNOS!I60,"'")</f>
        <v>'ADMINISTRACION Y DIRECCION DE NEGOCIOS'</v>
      </c>
      <c r="H58" t="str">
        <f>CONCATENATE("'",ALUMNOS!J60,"'")</f>
        <v>'8vo'</v>
      </c>
      <c r="I58" t="str">
        <f>CONCATENATE("'",ALUMNOS!K60,"'")</f>
        <v>'Femenino'</v>
      </c>
      <c r="J58" t="str">
        <f>CONCATENATE("'",ALUMNOS!L60,"'")</f>
        <v>'Activo'</v>
      </c>
      <c r="K58" t="str">
        <f t="shared" si="1"/>
        <v>1057,'LICENCIATURA','andrea.navarropadilla','007159','TOMAR DEL SND','NAVARRO PADILLA ANDREA','ADMINISTRACION Y DIRECCION DE NEGOCIOS','8vo','FEMENINO','ACTIVO','',0,0,'','ALUMNO'</v>
      </c>
      <c r="L58" t="str">
        <f t="shared" si="0"/>
        <v>INSERT INTO participantes (id,nivel,correo,matricula,clave,nombre,carrera,grado,sexo,situacion,evaluados,num_evaluados,total_evaluaciones,ultimo_acceso,nivel_acceso) VALUES (1057,'LICENCIATURA','andrea.navarropadilla','007159','TOMAR DEL SND','NAVARRO PADILLA ANDREA','ADMINISTRACION Y DIRECCION DE NEGOCIOS','8vo','FEMENINO','ACTIVO','',0,0,'','ALUMNO');</v>
      </c>
      <c r="M58" t="str">
        <f t="shared" si="2"/>
        <v>update participantes set correo='andrea.navarropadilla' where id=1057;</v>
      </c>
    </row>
    <row r="59" spans="1:13" x14ac:dyDescent="0.25">
      <c r="A59">
        <f t="shared" si="3"/>
        <v>1058</v>
      </c>
      <c r="B59" s="3" t="s">
        <v>2103</v>
      </c>
      <c r="C59" t="str">
        <f>CONCATENATE("'",ALUMNOS!E61,"'")</f>
        <v>'andrea.torresgonzalez'</v>
      </c>
      <c r="D59" t="str">
        <f>CONCATENATE(ALUMNOS!F61,"'")</f>
        <v>'109881'</v>
      </c>
      <c r="E59" t="s">
        <v>2723</v>
      </c>
      <c r="F59" t="str">
        <f>CONCATENATE("'",ALUMNOS!H61,"'")</f>
        <v>'TORRES GONZALEZ ANDREA'</v>
      </c>
      <c r="G59" t="str">
        <f>CONCATENATE("'",ALUMNOS!I61,"'")</f>
        <v>'PSICOLOGIA'</v>
      </c>
      <c r="H59" t="str">
        <f>CONCATENATE("'",ALUMNOS!J61,"'")</f>
        <v>'8vo'</v>
      </c>
      <c r="I59" t="str">
        <f>CONCATENATE("'",ALUMNOS!K61,"'")</f>
        <v>'Femenino'</v>
      </c>
      <c r="J59" t="str">
        <f>CONCATENATE("'",ALUMNOS!L61,"'")</f>
        <v>'Activo'</v>
      </c>
      <c r="K59" t="str">
        <f t="shared" si="1"/>
        <v>1058,'LICENCIATURA','andrea.torresgonzalez','109881','TOMAR DEL SND','TORRES GONZALEZ ANDREA','PSICOLOGIA','8vo','FEMENINO','ACTIVO','',0,0,'','ALUMNO'</v>
      </c>
      <c r="L59" t="str">
        <f t="shared" si="0"/>
        <v>INSERT INTO participantes (id,nivel,correo,matricula,clave,nombre,carrera,grado,sexo,situacion,evaluados,num_evaluados,total_evaluaciones,ultimo_acceso,nivel_acceso) VALUES (1058,'LICENCIATURA','andrea.torresgonzalez','109881','TOMAR DEL SND','TORRES GONZALEZ ANDREA','PSICOLOGIA','8vo','FEMENINO','ACTIVO','',0,0,'','ALUMNO');</v>
      </c>
      <c r="M59" t="str">
        <f t="shared" si="2"/>
        <v>update participantes set correo='andrea.torresgonzalez' where id=1058;</v>
      </c>
    </row>
    <row r="60" spans="1:13" x14ac:dyDescent="0.25">
      <c r="A60">
        <f t="shared" si="3"/>
        <v>1059</v>
      </c>
      <c r="B60" s="3" t="s">
        <v>2103</v>
      </c>
      <c r="C60" t="str">
        <f>CONCATENATE("'",ALUMNOS!E62,"'")</f>
        <v>'andrea.vazquezcortes'</v>
      </c>
      <c r="D60" t="str">
        <f>CONCATENATE(ALUMNOS!F62,"'")</f>
        <v>'110501'</v>
      </c>
      <c r="E60" t="s">
        <v>2723</v>
      </c>
      <c r="F60" t="str">
        <f>CONCATENATE("'",ALUMNOS!H62,"'")</f>
        <v>'VAZQUEZ CORTES ANDREA'</v>
      </c>
      <c r="G60" t="str">
        <f>CONCATENATE("'",ALUMNOS!I62,"'")</f>
        <v>'NUTRICION Y GASTRONOMIA'</v>
      </c>
      <c r="H60" t="str">
        <f>CONCATENATE("'",ALUMNOS!J62,"'")</f>
        <v>'6to'</v>
      </c>
      <c r="I60" t="str">
        <f>CONCATENATE("'",ALUMNOS!K62,"'")</f>
        <v>'Femenino'</v>
      </c>
      <c r="J60" t="str">
        <f>CONCATENATE("'",ALUMNOS!L62,"'")</f>
        <v>'Activo'</v>
      </c>
      <c r="K60" t="str">
        <f t="shared" si="1"/>
        <v>1059,'LICENCIATURA','andrea.vazquezcortes','110501','TOMAR DEL SND','VAZQUEZ CORTES ANDREA','NUTRICION Y GASTRONOMIA','6to','FEMENINO','ACTIVO','',0,0,'','ALUMNO'</v>
      </c>
      <c r="L60" t="str">
        <f t="shared" si="0"/>
        <v>INSERT INTO participantes (id,nivel,correo,matricula,clave,nombre,carrera,grado,sexo,situacion,evaluados,num_evaluados,total_evaluaciones,ultimo_acceso,nivel_acceso) VALUES (1059,'LICENCIATURA','andrea.vazquezcortes','110501','TOMAR DEL SND','VAZQUEZ CORTES ANDREA','NUTRICION Y GASTRONOMIA','6to','FEMENINO','ACTIVO','',0,0,'','ALUMNO');</v>
      </c>
      <c r="M60" t="str">
        <f t="shared" si="2"/>
        <v>update participantes set correo='andrea.vazquezcortes' where id=1059;</v>
      </c>
    </row>
    <row r="61" spans="1:13" x14ac:dyDescent="0.25">
      <c r="A61">
        <f t="shared" si="3"/>
        <v>1060</v>
      </c>
      <c r="B61" s="3" t="s">
        <v>2103</v>
      </c>
      <c r="C61" t="str">
        <f>CONCATENATE("'",ALUMNOS!E63,"'")</f>
        <v>'andreaguadalupe.rodriguezarreola'</v>
      </c>
      <c r="D61" t="str">
        <f>CONCATENATE(ALUMNOS!F63,"'")</f>
        <v>'109366'</v>
      </c>
      <c r="E61" t="s">
        <v>2723</v>
      </c>
      <c r="F61" t="str">
        <f>CONCATENATE("'",ALUMNOS!H63,"'")</f>
        <v>'RODRIGUEZ ARREOLA ANDREA GUADALUPE'</v>
      </c>
      <c r="G61" t="str">
        <f>CONCATENATE("'",ALUMNOS!I63,"'")</f>
        <v>'INGENIERIA AEROESPACIAL'</v>
      </c>
      <c r="H61" t="str">
        <f>CONCATENATE("'",ALUMNOS!J63,"'")</f>
        <v>'10mo'</v>
      </c>
      <c r="I61" t="str">
        <f>CONCATENATE("'",ALUMNOS!K63,"'")</f>
        <v>'Femenino'</v>
      </c>
      <c r="J61" t="str">
        <f>CONCATENATE("'",ALUMNOS!L63,"'")</f>
        <v>'Activo'</v>
      </c>
      <c r="K61" t="str">
        <f t="shared" si="1"/>
        <v>1060,'LICENCIATURA','andreaguadalupe.rodriguezarreola','109366','TOMAR DEL SND','RODRIGUEZ ARREOLA ANDREA GUADALUPE','INGENIERIA AEROESPACIAL','10mo','FEMENINO','ACTIVO','',0,0,'','ALUMNO'</v>
      </c>
      <c r="L61" t="str">
        <f t="shared" si="0"/>
        <v>INSERT INTO participantes (id,nivel,correo,matricula,clave,nombre,carrera,grado,sexo,situacion,evaluados,num_evaluados,total_evaluaciones,ultimo_acceso,nivel_acceso) VALUES (1060,'LICENCIATURA','andreaguadalupe.rodriguezarreola','109366','TOMAR DEL SND','RODRIGUEZ ARREOLA ANDREA GUADALUPE','INGENIERIA AEROESPACIAL','10mo','FEMENINO','ACTIVO','',0,0,'','ALUMNO');</v>
      </c>
      <c r="M61" t="str">
        <f t="shared" si="2"/>
        <v>update participantes set correo='andreaguadalupe.rodriguezarreola' where id=1060;</v>
      </c>
    </row>
    <row r="62" spans="1:13" x14ac:dyDescent="0.25">
      <c r="A62">
        <f t="shared" si="3"/>
        <v>1061</v>
      </c>
      <c r="B62" s="3" t="s">
        <v>2103</v>
      </c>
      <c r="C62" t="str">
        <f>CONCATENATE("'",ALUMNOS!E64,"'")</f>
        <v>'andrealizeth.bruguerarodriguez'</v>
      </c>
      <c r="D62" t="str">
        <f>CONCATENATE(ALUMNOS!F64,"'")</f>
        <v>'109324'</v>
      </c>
      <c r="E62" t="s">
        <v>2723</v>
      </c>
      <c r="F62" t="str">
        <f>CONCATENATE("'",ALUMNOS!H64,"'")</f>
        <v>'BRUGUERA RODRIGUEZ ANDREA LIZETH'</v>
      </c>
      <c r="G62" t="str">
        <f>CONCATENATE("'",ALUMNOS!I64,"'")</f>
        <v>'INGENIERIA AEROESPACIAL'</v>
      </c>
      <c r="H62" t="str">
        <f>CONCATENATE("'",ALUMNOS!J64,"'")</f>
        <v>'10mo'</v>
      </c>
      <c r="I62" t="str">
        <f>CONCATENATE("'",ALUMNOS!K64,"'")</f>
        <v>'Femenino'</v>
      </c>
      <c r="J62" t="str">
        <f>CONCATENATE("'",ALUMNOS!L64,"'")</f>
        <v>'Activo'</v>
      </c>
      <c r="K62" t="str">
        <f t="shared" si="1"/>
        <v>1061,'LICENCIATURA','andrealizeth.bruguerarodriguez','109324','TOMAR DEL SND','BRUGUERA RODRIGUEZ ANDREA LIZETH','INGENIERIA AEROESPACIAL','10mo','FEMENINO','ACTIVO','',0,0,'','ALUMNO'</v>
      </c>
      <c r="L62" t="str">
        <f t="shared" si="0"/>
        <v>INSERT INTO participantes (id,nivel,correo,matricula,clave,nombre,carrera,grado,sexo,situacion,evaluados,num_evaluados,total_evaluaciones,ultimo_acceso,nivel_acceso) VALUES (1061,'LICENCIATURA','andrealizeth.bruguerarodriguez','109324','TOMAR DEL SND','BRUGUERA RODRIGUEZ ANDREA LIZETH','INGENIERIA AEROESPACIAL','10mo','FEMENINO','ACTIVO','',0,0,'','ALUMNO');</v>
      </c>
      <c r="M62" t="str">
        <f t="shared" si="2"/>
        <v>update participantes set correo='andrealizeth.bruguerarodriguez' where id=1061;</v>
      </c>
    </row>
    <row r="63" spans="1:13" x14ac:dyDescent="0.25">
      <c r="A63">
        <f t="shared" si="3"/>
        <v>1062</v>
      </c>
      <c r="B63" s="3" t="s">
        <v>2103</v>
      </c>
      <c r="C63" t="str">
        <f>CONCATENATE("'",ALUMNOS!E65,"'")</f>
        <v>'andreanaomi.rebollararriero'</v>
      </c>
      <c r="D63" t="str">
        <f>CONCATENATE(ALUMNOS!F65,"'")</f>
        <v>'111742'</v>
      </c>
      <c r="E63" t="s">
        <v>2723</v>
      </c>
      <c r="F63" t="str">
        <f>CONCATENATE("'",ALUMNOS!H65,"'")</f>
        <v>'REBOLLAR ARRIERO ANDREA NAOMI'</v>
      </c>
      <c r="G63" t="str">
        <f>CONCATENATE("'",ALUMNOS!I65,"'")</f>
        <v>'NUTRICION Y GASTRONOMIA'</v>
      </c>
      <c r="H63" t="str">
        <f>CONCATENATE("'",ALUMNOS!J65,"'")</f>
        <v>'2do'</v>
      </c>
      <c r="I63" t="str">
        <f>CONCATENATE("'",ALUMNOS!K65,"'")</f>
        <v>'Femenino'</v>
      </c>
      <c r="J63" t="str">
        <f>CONCATENATE("'",ALUMNOS!L65,"'")</f>
        <v>'Activo'</v>
      </c>
      <c r="K63" t="str">
        <f t="shared" si="1"/>
        <v>1062,'LICENCIATURA','andreanaomi.rebollararriero','111742','TOMAR DEL SND','REBOLLAR ARRIERO ANDREA NAOMI','NUTRICION Y GASTRONOMIA','2do','FEMENINO','ACTIVO','',0,0,'','ALUMNO'</v>
      </c>
      <c r="L63" t="str">
        <f t="shared" si="0"/>
        <v>INSERT INTO participantes (id,nivel,correo,matricula,clave,nombre,carrera,grado,sexo,situacion,evaluados,num_evaluados,total_evaluaciones,ultimo_acceso,nivel_acceso) VALUES (1062,'LICENCIATURA','andreanaomi.rebollararriero','111742','TOMAR DEL SND','REBOLLAR ARRIERO ANDREA NAOMI','NUTRICION Y GASTRONOMIA','2do','FEMENINO','ACTIVO','',0,0,'','ALUMNO');</v>
      </c>
      <c r="M63" t="str">
        <f t="shared" si="2"/>
        <v>update participantes set correo='andreanaomi.rebollararriero' where id=1062;</v>
      </c>
    </row>
    <row r="64" spans="1:13" x14ac:dyDescent="0.25">
      <c r="A64">
        <f t="shared" si="3"/>
        <v>1063</v>
      </c>
      <c r="B64" s="3" t="s">
        <v>2103</v>
      </c>
      <c r="C64" t="str">
        <f>CONCATENATE("'",ALUMNOS!E66,"'")</f>
        <v>'andreapaola.rodriguezvega'</v>
      </c>
      <c r="D64" t="str">
        <f>CONCATENATE(ALUMNOS!F66,"'")</f>
        <v>'111276'</v>
      </c>
      <c r="E64" t="s">
        <v>2723</v>
      </c>
      <c r="F64" t="str">
        <f>CONCATENATE("'",ALUMNOS!H66,"'")</f>
        <v>'RODRIGUEZ VEGA ANDREA PAOLA'</v>
      </c>
      <c r="G64" t="str">
        <f>CONCATENATE("'",ALUMNOS!I66,"'")</f>
        <v>'NUTRICION Y GASTRONOMIA'</v>
      </c>
      <c r="H64" t="str">
        <f>CONCATENATE("'",ALUMNOS!J66,"'")</f>
        <v>'4to'</v>
      </c>
      <c r="I64" t="str">
        <f>CONCATENATE("'",ALUMNOS!K66,"'")</f>
        <v>'Femenino'</v>
      </c>
      <c r="J64" t="str">
        <f>CONCATENATE("'",ALUMNOS!L66,"'")</f>
        <v>'Activo'</v>
      </c>
      <c r="K64" t="str">
        <f t="shared" si="1"/>
        <v>1063,'LICENCIATURA','andreapaola.rodriguezvega','111276','TOMAR DEL SND','RODRIGUEZ VEGA ANDREA PAOLA','NUTRICION Y GASTRONOMIA','4to','FEMENINO','ACTIVO','',0,0,'','ALUMNO'</v>
      </c>
      <c r="L64" t="str">
        <f t="shared" si="0"/>
        <v>INSERT INTO participantes (id,nivel,correo,matricula,clave,nombre,carrera,grado,sexo,situacion,evaluados,num_evaluados,total_evaluaciones,ultimo_acceso,nivel_acceso) VALUES (1063,'LICENCIATURA','andreapaola.rodriguezvega','111276','TOMAR DEL SND','RODRIGUEZ VEGA ANDREA PAOLA','NUTRICION Y GASTRONOMIA','4to','FEMENINO','ACTIVO','',0,0,'','ALUMNO');</v>
      </c>
      <c r="M64" t="str">
        <f t="shared" si="2"/>
        <v>update participantes set correo='andreapaola.rodriguezvega' where id=1063;</v>
      </c>
    </row>
    <row r="65" spans="1:13" x14ac:dyDescent="0.25">
      <c r="A65">
        <f t="shared" si="3"/>
        <v>1064</v>
      </c>
      <c r="B65" s="3" t="s">
        <v>2103</v>
      </c>
      <c r="C65" t="str">
        <f>CONCATENATE("'",ALUMNOS!E67,"'")</f>
        <v>'andreapatricia.gonzalezcamacho'</v>
      </c>
      <c r="D65" t="str">
        <f>CONCATENATE(ALUMNOS!F67,"'")</f>
        <v>'109972'</v>
      </c>
      <c r="E65" t="s">
        <v>2723</v>
      </c>
      <c r="F65" t="str">
        <f>CONCATENATE("'",ALUMNOS!H67,"'")</f>
        <v>'GONZALEZ CAMACHO ANDREA PATRICIA'</v>
      </c>
      <c r="G65" t="str">
        <f>CONCATENATE("'",ALUMNOS!I67,"'")</f>
        <v>'PSICOLOGIA'</v>
      </c>
      <c r="H65" t="str">
        <f>CONCATENATE("'",ALUMNOS!J67,"'")</f>
        <v>'8vo'</v>
      </c>
      <c r="I65" t="str">
        <f>CONCATENATE("'",ALUMNOS!K67,"'")</f>
        <v>'Femenino'</v>
      </c>
      <c r="J65" t="str">
        <f>CONCATENATE("'",ALUMNOS!L67,"'")</f>
        <v>'Activo'</v>
      </c>
      <c r="K65" t="str">
        <f t="shared" si="1"/>
        <v>1064,'LICENCIATURA','andreapatricia.gonzalezcamacho','109972','TOMAR DEL SND','GONZALEZ CAMACHO ANDREA PATRICIA','PSICOLOGIA','8vo','FEMENINO','ACTIVO','',0,0,'','ALUMNO'</v>
      </c>
      <c r="L65" t="str">
        <f t="shared" si="0"/>
        <v>INSERT INTO participantes (id,nivel,correo,matricula,clave,nombre,carrera,grado,sexo,situacion,evaluados,num_evaluados,total_evaluaciones,ultimo_acceso,nivel_acceso) VALUES (1064,'LICENCIATURA','andreapatricia.gonzalezcamacho','109972','TOMAR DEL SND','GONZALEZ CAMACHO ANDREA PATRICIA','PSICOLOGIA','8vo','FEMENINO','ACTIVO','',0,0,'','ALUMNO');</v>
      </c>
      <c r="M65" t="str">
        <f t="shared" si="2"/>
        <v>update participantes set correo='andreapatricia.gonzalezcamacho' where id=1064;</v>
      </c>
    </row>
    <row r="66" spans="1:13" x14ac:dyDescent="0.25">
      <c r="A66">
        <f t="shared" si="3"/>
        <v>1065</v>
      </c>
      <c r="B66" s="3" t="s">
        <v>2103</v>
      </c>
      <c r="C66" t="str">
        <f>CONCATENATE("'",ALUMNOS!E68,"'")</f>
        <v>'andrearenata.gonzalezcamarena'</v>
      </c>
      <c r="D66" t="str">
        <f>CONCATENATE(ALUMNOS!F68,"'")</f>
        <v>'110017'</v>
      </c>
      <c r="E66" t="s">
        <v>2723</v>
      </c>
      <c r="F66" t="str">
        <f>CONCATENATE("'",ALUMNOS!H68,"'")</f>
        <v>'GONZALEZ CAMARENA ANDREA RENATA'</v>
      </c>
      <c r="G66" t="str">
        <f>CONCATENATE("'",ALUMNOS!I68,"'")</f>
        <v>'PSICOLOGIA'</v>
      </c>
      <c r="H66" t="str">
        <f>CONCATENATE("'",ALUMNOS!J68,"'")</f>
        <v>'8vo'</v>
      </c>
      <c r="I66" t="str">
        <f>CONCATENATE("'",ALUMNOS!K68,"'")</f>
        <v>'Femenino'</v>
      </c>
      <c r="J66" t="str">
        <f>CONCATENATE("'",ALUMNOS!L68,"'")</f>
        <v>'Activo'</v>
      </c>
      <c r="K66" t="str">
        <f t="shared" si="1"/>
        <v>1065,'LICENCIATURA','andrearenata.gonzalezcamarena','110017','TOMAR DEL SND','GONZALEZ CAMARENA ANDREA RENATA','PSICOLOGIA','8vo','FEMENINO','ACTIVO','',0,0,'','ALUMNO'</v>
      </c>
      <c r="L66" t="str">
        <f t="shared" ref="L66:L129" si="4">CONCATENATE($K$1,K66,");")</f>
        <v>INSERT INTO participantes (id,nivel,correo,matricula,clave,nombre,carrera,grado,sexo,situacion,evaluados,num_evaluados,total_evaluaciones,ultimo_acceso,nivel_acceso) VALUES (1065,'LICENCIATURA','andrearenata.gonzalezcamarena','110017','TOMAR DEL SND','GONZALEZ CAMARENA ANDREA RENATA','PSICOLOGIA','8vo','FEMENINO','ACTIVO','',0,0,'','ALUMNO');</v>
      </c>
      <c r="M66" t="str">
        <f t="shared" si="2"/>
        <v>update participantes set correo='andrearenata.gonzalezcamarena' where id=1065;</v>
      </c>
    </row>
    <row r="67" spans="1:13" x14ac:dyDescent="0.25">
      <c r="A67">
        <f t="shared" si="3"/>
        <v>1066</v>
      </c>
      <c r="B67" s="3" t="s">
        <v>2103</v>
      </c>
      <c r="C67" t="str">
        <f>CONCATENATE("'",ALUMNOS!E69,"'")</f>
        <v>'andres.cabrerachavira'</v>
      </c>
      <c r="D67" t="str">
        <f>CONCATENATE(ALUMNOS!F69,"'")</f>
        <v>'111077'</v>
      </c>
      <c r="E67" t="s">
        <v>2723</v>
      </c>
      <c r="F67" t="str">
        <f>CONCATENATE("'",ALUMNOS!H69,"'")</f>
        <v>'CABRERA CHAVIRA ANDRES'</v>
      </c>
      <c r="G67" t="str">
        <f>CONCATENATE("'",ALUMNOS!I69,"'")</f>
        <v>'INGENIERIA AEROESPACIAL'</v>
      </c>
      <c r="H67" t="str">
        <f>CONCATENATE("'",ALUMNOS!J69,"'")</f>
        <v>'4to'</v>
      </c>
      <c r="I67" t="str">
        <f>CONCATENATE("'",ALUMNOS!K69,"'")</f>
        <v>'Masculino'</v>
      </c>
      <c r="J67" t="str">
        <f>CONCATENATE("'",ALUMNOS!L69,"'")</f>
        <v>'Activo'</v>
      </c>
      <c r="K67" t="str">
        <f t="shared" ref="K67:K130" si="5">CONCATENATE(A67,",",B67,",",C67,",",D67,",'",E67,",",F67,",",G67,",",H67,",",UPPER(I67),",",UPPER(J67),",'',0,0,'','ALUMNO'")</f>
        <v>1066,'LICENCIATURA','andres.cabrerachavira','111077','TOMAR DEL SND','CABRERA CHAVIRA ANDRES','INGENIERIA AEROESPACIAL','4to','MASCULINO','ACTIVO','',0,0,'','ALUMNO'</v>
      </c>
      <c r="L67" t="str">
        <f t="shared" si="4"/>
        <v>INSERT INTO participantes (id,nivel,correo,matricula,clave,nombre,carrera,grado,sexo,situacion,evaluados,num_evaluados,total_evaluaciones,ultimo_acceso,nivel_acceso) VALUES (1066,'LICENCIATURA','andres.cabrerachavira','111077','TOMAR DEL SND','CABRERA CHAVIRA ANDRES','INGENIERIA AEROESPACIAL','4to','MASCULINO','ACTIVO','',0,0,'','ALUMNO');</v>
      </c>
      <c r="M67" t="str">
        <f t="shared" ref="M67:M130" si="6">CONCATENATE("update participantes set correo=",C67," where id=",A67,";")</f>
        <v>update participantes set correo='andres.cabrerachavira' where id=1066;</v>
      </c>
    </row>
    <row r="68" spans="1:13" x14ac:dyDescent="0.25">
      <c r="A68">
        <f t="shared" ref="A68:A131" si="7">A67+1</f>
        <v>1067</v>
      </c>
      <c r="B68" s="3" t="s">
        <v>2103</v>
      </c>
      <c r="C68" t="str">
        <f>CONCATENATE("'",ALUMNOS!E70,"'")</f>
        <v>'andres.hernandezmagaña'</v>
      </c>
      <c r="D68" t="str">
        <f>CONCATENATE(ALUMNOS!F70,"'")</f>
        <v>'109977'</v>
      </c>
      <c r="E68" t="s">
        <v>2723</v>
      </c>
      <c r="F68" t="str">
        <f>CONCATENATE("'",ALUMNOS!H70,"'")</f>
        <v>'HERNANDEZ MAGAÑA ANDRES'</v>
      </c>
      <c r="G68" t="str">
        <f>CONCATENATE("'",ALUMNOS!I70,"'")</f>
        <v>'INGENIERIA CIBERNETICA Y EN SISTEMAS COMPUTACIONALES'</v>
      </c>
      <c r="H68" t="str">
        <f>CONCATENATE("'",ALUMNOS!J70,"'")</f>
        <v>'8vo'</v>
      </c>
      <c r="I68" t="str">
        <f>CONCATENATE("'",ALUMNOS!K70,"'")</f>
        <v>'Masculino'</v>
      </c>
      <c r="J68" t="str">
        <f>CONCATENATE("'",ALUMNOS!L70,"'")</f>
        <v>'Activo'</v>
      </c>
      <c r="K68" t="str">
        <f t="shared" si="5"/>
        <v>1067,'LICENCIATURA','andres.hernandezmagaña','109977','TOMAR DEL SND','HERNANDEZ MAGAÑA ANDRES','INGENIERIA CIBERNETICA Y EN SISTEMAS COMPUTACIONALES','8vo','MASCULINO','ACTIVO','',0,0,'','ALUMNO'</v>
      </c>
      <c r="L68" t="str">
        <f t="shared" si="4"/>
        <v>INSERT INTO participantes (id,nivel,correo,matricula,clave,nombre,carrera,grado,sexo,situacion,evaluados,num_evaluados,total_evaluaciones,ultimo_acceso,nivel_acceso) VALUES (1067,'LICENCIATURA','andres.hernandezmagaña','109977','TOMAR DEL SND','HERNANDEZ MAGAÑA ANDRES','INGENIERIA CIBERNETICA Y EN SISTEMAS COMPUTACIONALES','8vo','MASCULINO','ACTIVO','',0,0,'','ALUMNO');</v>
      </c>
      <c r="M68" t="str">
        <f t="shared" si="6"/>
        <v>update participantes set correo='andres.hernandezmagaña' where id=1067;</v>
      </c>
    </row>
    <row r="69" spans="1:13" x14ac:dyDescent="0.25">
      <c r="A69">
        <f t="shared" si="7"/>
        <v>1068</v>
      </c>
      <c r="B69" s="3" t="s">
        <v>2103</v>
      </c>
      <c r="C69" t="str">
        <f>CONCATENATE("'",ALUMNOS!E71,"'")</f>
        <v>'andresezequiel.nuñezramos'</v>
      </c>
      <c r="D69" t="str">
        <f>CONCATENATE(ALUMNOS!F71,"'")</f>
        <v>'111728'</v>
      </c>
      <c r="E69" t="s">
        <v>2723</v>
      </c>
      <c r="F69" t="str">
        <f>CONCATENATE("'",ALUMNOS!H71,"'")</f>
        <v>'NUÑEZ RAMOS ANDRES EZEQUIEL'</v>
      </c>
      <c r="G69" t="str">
        <f>CONCATENATE("'",ALUMNOS!I71,"'")</f>
        <v>'INGENIERIA AEROESPACIAL'</v>
      </c>
      <c r="H69" t="str">
        <f>CONCATENATE("'",ALUMNOS!J71,"'")</f>
        <v>'2do'</v>
      </c>
      <c r="I69" t="str">
        <f>CONCATENATE("'",ALUMNOS!K71,"'")</f>
        <v>'Masculino'</v>
      </c>
      <c r="J69" t="str">
        <f>CONCATENATE("'",ALUMNOS!L71,"'")</f>
        <v>'Activo'</v>
      </c>
      <c r="K69" t="str">
        <f t="shared" si="5"/>
        <v>1068,'LICENCIATURA','andresezequiel.nuñezramos','111728','TOMAR DEL SND','NUÑEZ RAMOS ANDRES EZEQUIEL','INGENIERIA AEROESPACIAL','2do','MASCULINO','ACTIVO','',0,0,'','ALUMNO'</v>
      </c>
      <c r="L69" t="str">
        <f t="shared" si="4"/>
        <v>INSERT INTO participantes (id,nivel,correo,matricula,clave,nombre,carrera,grado,sexo,situacion,evaluados,num_evaluados,total_evaluaciones,ultimo_acceso,nivel_acceso) VALUES (1068,'LICENCIATURA','andresezequiel.nuñezramos','111728','TOMAR DEL SND','NUÑEZ RAMOS ANDRES EZEQUIEL','INGENIERIA AEROESPACIAL','2do','MASCULINO','ACTIVO','',0,0,'','ALUMNO');</v>
      </c>
      <c r="M69" t="str">
        <f t="shared" si="6"/>
        <v>update participantes set correo='andresezequiel.nuñezramos' where id=1068;</v>
      </c>
    </row>
    <row r="70" spans="1:13" x14ac:dyDescent="0.25">
      <c r="A70">
        <f t="shared" si="7"/>
        <v>1069</v>
      </c>
      <c r="B70" s="3" t="s">
        <v>2103</v>
      </c>
      <c r="C70" t="str">
        <f>CONCATENATE("'",ALUMNOS!E72,"'")</f>
        <v>'andy.rodriguezlazaro'</v>
      </c>
      <c r="D70" t="str">
        <f>CONCATENATE(ALUMNOS!F72,"'")</f>
        <v>'111202'</v>
      </c>
      <c r="E70" t="s">
        <v>2723</v>
      </c>
      <c r="F70" t="str">
        <f>CONCATENATE("'",ALUMNOS!H72,"'")</f>
        <v>'RODRIGUEZ LAZARO ANDY'</v>
      </c>
      <c r="G70" t="str">
        <f>CONCATENATE("'",ALUMNOS!I72,"'")</f>
        <v>'ADMINISTRACION Y DIRECCION DE NEGOCIOS'</v>
      </c>
      <c r="H70" t="str">
        <f>CONCATENATE("'",ALUMNOS!J72,"'")</f>
        <v>'4to'</v>
      </c>
      <c r="I70" t="str">
        <f>CONCATENATE("'",ALUMNOS!K72,"'")</f>
        <v>'Masculino'</v>
      </c>
      <c r="J70" t="str">
        <f>CONCATENATE("'",ALUMNOS!L72,"'")</f>
        <v>'Activo'</v>
      </c>
      <c r="K70" t="str">
        <f t="shared" si="5"/>
        <v>1069,'LICENCIATURA','andy.rodriguezlazaro','111202','TOMAR DEL SND','RODRIGUEZ LAZARO ANDY','ADMINISTRACION Y DIRECCION DE NEGOCIOS','4to','MASCULINO','ACTIVO','',0,0,'','ALUMNO'</v>
      </c>
      <c r="L70" t="str">
        <f t="shared" si="4"/>
        <v>INSERT INTO participantes (id,nivel,correo,matricula,clave,nombre,carrera,grado,sexo,situacion,evaluados,num_evaluados,total_evaluaciones,ultimo_acceso,nivel_acceso) VALUES (1069,'LICENCIATURA','andy.rodriguezlazaro','111202','TOMAR DEL SND','RODRIGUEZ LAZARO ANDY','ADMINISTRACION Y DIRECCION DE NEGOCIOS','4to','MASCULINO','ACTIVO','',0,0,'','ALUMNO');</v>
      </c>
      <c r="M70" t="str">
        <f t="shared" si="6"/>
        <v>update participantes set correo='andy.rodriguezlazaro' where id=1069;</v>
      </c>
    </row>
    <row r="71" spans="1:13" x14ac:dyDescent="0.25">
      <c r="A71">
        <f t="shared" si="7"/>
        <v>1070</v>
      </c>
      <c r="B71" s="3" t="s">
        <v>2103</v>
      </c>
      <c r="C71" t="str">
        <f>CONCATENATE("'",ALUMNOS!E73,"'")</f>
        <v>'angel.escalonabueno'</v>
      </c>
      <c r="D71" t="str">
        <f>CONCATENATE(ALUMNOS!F73,"'")</f>
        <v>'007113'</v>
      </c>
      <c r="E71" t="s">
        <v>2723</v>
      </c>
      <c r="F71" t="str">
        <f>CONCATENATE("'",ALUMNOS!H73,"'")</f>
        <v>'ESCALONA BUENO ANGEL'</v>
      </c>
      <c r="G71" t="str">
        <f>CONCATENATE("'",ALUMNOS!I73,"'")</f>
        <v>'INGENIERIA AEROESPACIAL'</v>
      </c>
      <c r="H71" t="str">
        <f>CONCATENATE("'",ALUMNOS!J73,"'")</f>
        <v>'6to'</v>
      </c>
      <c r="I71" t="str">
        <f>CONCATENATE("'",ALUMNOS!K73,"'")</f>
        <v>'Masculino'</v>
      </c>
      <c r="J71" t="str">
        <f>CONCATENATE("'",ALUMNOS!L73,"'")</f>
        <v>'Activo'</v>
      </c>
      <c r="K71" t="str">
        <f t="shared" si="5"/>
        <v>1070,'LICENCIATURA','angel.escalonabueno','007113','TOMAR DEL SND','ESCALONA BUENO ANGEL','INGENIERIA AEROESPACIAL','6to','MASCULINO','ACTIVO','',0,0,'','ALUMNO'</v>
      </c>
      <c r="L71" t="str">
        <f t="shared" si="4"/>
        <v>INSERT INTO participantes (id,nivel,correo,matricula,clave,nombre,carrera,grado,sexo,situacion,evaluados,num_evaluados,total_evaluaciones,ultimo_acceso,nivel_acceso) VALUES (1070,'LICENCIATURA','angel.escalonabueno','007113','TOMAR DEL SND','ESCALONA BUENO ANGEL','INGENIERIA AEROESPACIAL','6to','MASCULINO','ACTIVO','',0,0,'','ALUMNO');</v>
      </c>
      <c r="M71" t="str">
        <f t="shared" si="6"/>
        <v>update participantes set correo='angel.escalonabueno' where id=1070;</v>
      </c>
    </row>
    <row r="72" spans="1:13" x14ac:dyDescent="0.25">
      <c r="A72">
        <f t="shared" si="7"/>
        <v>1071</v>
      </c>
      <c r="B72" s="3" t="s">
        <v>2103</v>
      </c>
      <c r="C72" t="str">
        <f>CONCATENATE("'",ALUMNOS!E74,"'")</f>
        <v>'angel.gonzalezparra'</v>
      </c>
      <c r="D72" t="str">
        <f>CONCATENATE(ALUMNOS!F74,"'")</f>
        <v>'110730'</v>
      </c>
      <c r="E72" t="s">
        <v>2723</v>
      </c>
      <c r="F72" t="str">
        <f>CONCATENATE("'",ALUMNOS!H74,"'")</f>
        <v>'GONZALEZ PARRA ANGEL'</v>
      </c>
      <c r="G72" t="str">
        <f>CONCATENATE("'",ALUMNOS!I74,"'")</f>
        <v>'DERECHO'</v>
      </c>
      <c r="H72" t="str">
        <f>CONCATENATE("'",ALUMNOS!J74,"'")</f>
        <v>'6to'</v>
      </c>
      <c r="I72" t="str">
        <f>CONCATENATE("'",ALUMNOS!K74,"'")</f>
        <v>'Masculino'</v>
      </c>
      <c r="J72" t="str">
        <f>CONCATENATE("'",ALUMNOS!L74,"'")</f>
        <v>'Activo'</v>
      </c>
      <c r="K72" t="str">
        <f t="shared" si="5"/>
        <v>1071,'LICENCIATURA','angel.gonzalezparra','110730','TOMAR DEL SND','GONZALEZ PARRA ANGEL','DERECHO','6to','MASCULINO','ACTIVO','',0,0,'','ALUMNO'</v>
      </c>
      <c r="L72" t="str">
        <f t="shared" si="4"/>
        <v>INSERT INTO participantes (id,nivel,correo,matricula,clave,nombre,carrera,grado,sexo,situacion,evaluados,num_evaluados,total_evaluaciones,ultimo_acceso,nivel_acceso) VALUES (1071,'LICENCIATURA','angel.gonzalezparra','110730','TOMAR DEL SND','GONZALEZ PARRA ANGEL','DERECHO','6to','MASCULINO','ACTIVO','',0,0,'','ALUMNO');</v>
      </c>
      <c r="M72" t="str">
        <f t="shared" si="6"/>
        <v>update participantes set correo='angel.gonzalezparra' where id=1071;</v>
      </c>
    </row>
    <row r="73" spans="1:13" x14ac:dyDescent="0.25">
      <c r="A73">
        <f t="shared" si="7"/>
        <v>1072</v>
      </c>
      <c r="B73" s="3" t="s">
        <v>2103</v>
      </c>
      <c r="C73" t="str">
        <f>CONCATENATE("'",ALUMNOS!E75,"'")</f>
        <v>'angel.mondragonhernandez'</v>
      </c>
      <c r="D73" t="str">
        <f>CONCATENATE(ALUMNOS!F75,"'")</f>
        <v>'110449'</v>
      </c>
      <c r="E73" t="s">
        <v>2723</v>
      </c>
      <c r="F73" t="str">
        <f>CONCATENATE("'",ALUMNOS!H75,"'")</f>
        <v>'MONDRAGON HERNANDEZ ANGEL'</v>
      </c>
      <c r="G73" t="str">
        <f>CONCATENATE("'",ALUMNOS!I75,"'")</f>
        <v>'INGENIERIA AEROESPACIAL'</v>
      </c>
      <c r="H73" t="str">
        <f>CONCATENATE("'",ALUMNOS!J75,"'")</f>
        <v>'6to'</v>
      </c>
      <c r="I73" t="str">
        <f>CONCATENATE("'",ALUMNOS!K75,"'")</f>
        <v>'Masculino'</v>
      </c>
      <c r="J73" t="str">
        <f>CONCATENATE("'",ALUMNOS!L75,"'")</f>
        <v>'Activo'</v>
      </c>
      <c r="K73" t="str">
        <f t="shared" si="5"/>
        <v>1072,'LICENCIATURA','angel.mondragonhernandez','110449','TOMAR DEL SND','MONDRAGON HERNANDEZ ANGEL','INGENIERIA AEROESPACIAL','6to','MASCULINO','ACTIVO','',0,0,'','ALUMNO'</v>
      </c>
      <c r="L73" t="str">
        <f t="shared" si="4"/>
        <v>INSERT INTO participantes (id,nivel,correo,matricula,clave,nombre,carrera,grado,sexo,situacion,evaluados,num_evaluados,total_evaluaciones,ultimo_acceso,nivel_acceso) VALUES (1072,'LICENCIATURA','angel.mondragonhernandez','110449','TOMAR DEL SND','MONDRAGON HERNANDEZ ANGEL','INGENIERIA AEROESPACIAL','6to','MASCULINO','ACTIVO','',0,0,'','ALUMNO');</v>
      </c>
      <c r="M73" t="str">
        <f t="shared" si="6"/>
        <v>update participantes set correo='angel.mondragonhernandez' where id=1072;</v>
      </c>
    </row>
    <row r="74" spans="1:13" x14ac:dyDescent="0.25">
      <c r="A74">
        <f t="shared" si="7"/>
        <v>1073</v>
      </c>
      <c r="B74" s="3" t="s">
        <v>2103</v>
      </c>
      <c r="C74" t="str">
        <f>CONCATENATE("'",ALUMNOS!E76,"'")</f>
        <v>'angelaioros.davalosgarcia'</v>
      </c>
      <c r="D74" t="str">
        <f>CONCATENATE(ALUMNOS!F76,"'")</f>
        <v>'111670'</v>
      </c>
      <c r="E74" t="s">
        <v>2723</v>
      </c>
      <c r="F74" t="str">
        <f>CONCATENATE("'",ALUMNOS!H76,"'")</f>
        <v>'DAVALOS GARCIA ANGEL AIOROS'</v>
      </c>
      <c r="G74" t="str">
        <f>CONCATENATE("'",ALUMNOS!I76,"'")</f>
        <v>'INGENIERIA AEROESPACIAL'</v>
      </c>
      <c r="H74" t="str">
        <f>CONCATENATE("'",ALUMNOS!J76,"'")</f>
        <v>'2do'</v>
      </c>
      <c r="I74" t="str">
        <f>CONCATENATE("'",ALUMNOS!K76,"'")</f>
        <v>'Masculino'</v>
      </c>
      <c r="J74" t="str">
        <f>CONCATENATE("'",ALUMNOS!L76,"'")</f>
        <v>'Activo'</v>
      </c>
      <c r="K74" t="str">
        <f t="shared" si="5"/>
        <v>1073,'LICENCIATURA','angelaioros.davalosgarcia','111670','TOMAR DEL SND','DAVALOS GARCIA ANGEL AIOROS','INGENIERIA AEROESPACIAL','2do','MASCULINO','ACTIVO','',0,0,'','ALUMNO'</v>
      </c>
      <c r="L74" t="str">
        <f t="shared" si="4"/>
        <v>INSERT INTO participantes (id,nivel,correo,matricula,clave,nombre,carrera,grado,sexo,situacion,evaluados,num_evaluados,total_evaluaciones,ultimo_acceso,nivel_acceso) VALUES (1073,'LICENCIATURA','angelaioros.davalosgarcia','111670','TOMAR DEL SND','DAVALOS GARCIA ANGEL AIOROS','INGENIERIA AEROESPACIAL','2do','MASCULINO','ACTIVO','',0,0,'','ALUMNO');</v>
      </c>
      <c r="M74" t="str">
        <f t="shared" si="6"/>
        <v>update participantes set correo='angelaioros.davalosgarcia' where id=1073;</v>
      </c>
    </row>
    <row r="75" spans="1:13" x14ac:dyDescent="0.25">
      <c r="A75">
        <f t="shared" si="7"/>
        <v>1074</v>
      </c>
      <c r="B75" s="3" t="s">
        <v>2103</v>
      </c>
      <c r="C75" t="str">
        <f>CONCATENATE("'",ALUMNOS!E77,"'")</f>
        <v>'angelalexander.garciamora'</v>
      </c>
      <c r="D75" t="str">
        <f>CONCATENATE(ALUMNOS!F77,"'")</f>
        <v>'110420'</v>
      </c>
      <c r="E75" t="s">
        <v>2723</v>
      </c>
      <c r="F75" t="str">
        <f>CONCATENATE("'",ALUMNOS!H77,"'")</f>
        <v>'GARCIA MORA ANGEL ALEXANDER'</v>
      </c>
      <c r="G75" t="str">
        <f>CONCATENATE("'",ALUMNOS!I77,"'")</f>
        <v>'ADMINISTRACION Y DIRECCION DE NEGOCIOS'</v>
      </c>
      <c r="H75" t="str">
        <f>CONCATENATE("'",ALUMNOS!J77,"'")</f>
        <v>'6to'</v>
      </c>
      <c r="I75" t="str">
        <f>CONCATENATE("'",ALUMNOS!K77,"'")</f>
        <v>'Masculino'</v>
      </c>
      <c r="J75" t="str">
        <f>CONCATENATE("'",ALUMNOS!L77,"'")</f>
        <v>'Activo'</v>
      </c>
      <c r="K75" t="str">
        <f t="shared" si="5"/>
        <v>1074,'LICENCIATURA','angelalexander.garciamora','110420','TOMAR DEL SND','GARCIA MORA ANGEL ALEXANDER','ADMINISTRACION Y DIRECCION DE NEGOCIOS','6to','MASCULINO','ACTIVO','',0,0,'','ALUMNO'</v>
      </c>
      <c r="L75" t="str">
        <f t="shared" si="4"/>
        <v>INSERT INTO participantes (id,nivel,correo,matricula,clave,nombre,carrera,grado,sexo,situacion,evaluados,num_evaluados,total_evaluaciones,ultimo_acceso,nivel_acceso) VALUES (1074,'LICENCIATURA','angelalexander.garciamora','110420','TOMAR DEL SND','GARCIA MORA ANGEL ALEXANDER','ADMINISTRACION Y DIRECCION DE NEGOCIOS','6to','MASCULINO','ACTIVO','',0,0,'','ALUMNO');</v>
      </c>
      <c r="M75" t="str">
        <f t="shared" si="6"/>
        <v>update participantes set correo='angelalexander.garciamora' where id=1074;</v>
      </c>
    </row>
    <row r="76" spans="1:13" x14ac:dyDescent="0.25">
      <c r="A76">
        <f t="shared" si="7"/>
        <v>1075</v>
      </c>
      <c r="B76" s="3" t="s">
        <v>2103</v>
      </c>
      <c r="C76" t="str">
        <f>CONCATENATE("'",ALUMNOS!E78,"'")</f>
        <v>'angelalexander.virgenserrano'</v>
      </c>
      <c r="D76" t="str">
        <f>CONCATENATE(ALUMNOS!F78,"'")</f>
        <v>'111839'</v>
      </c>
      <c r="E76" t="s">
        <v>2723</v>
      </c>
      <c r="F76" t="str">
        <f>CONCATENATE("'",ALUMNOS!H78,"'")</f>
        <v>'VIRGEN SERRANO ANGEL ALEXANDER'</v>
      </c>
      <c r="G76" t="str">
        <f>CONCATENATE("'",ALUMNOS!I78,"'")</f>
        <v>'INGENIERIA AEROESPACIAL'</v>
      </c>
      <c r="H76" t="str">
        <f>CONCATENATE("'",ALUMNOS!J78,"'")</f>
        <v>'2do'</v>
      </c>
      <c r="I76" t="str">
        <f>CONCATENATE("'",ALUMNOS!K78,"'")</f>
        <v>'Masculino'</v>
      </c>
      <c r="J76" t="str">
        <f>CONCATENATE("'",ALUMNOS!L78,"'")</f>
        <v>'Activo'</v>
      </c>
      <c r="K76" t="str">
        <f t="shared" si="5"/>
        <v>1075,'LICENCIATURA','angelalexander.virgenserrano','111839','TOMAR DEL SND','VIRGEN SERRANO ANGEL ALEXANDER','INGENIERIA AEROESPACIAL','2do','MASCULINO','ACTIVO','',0,0,'','ALUMNO'</v>
      </c>
      <c r="L76" t="str">
        <f t="shared" si="4"/>
        <v>INSERT INTO participantes (id,nivel,correo,matricula,clave,nombre,carrera,grado,sexo,situacion,evaluados,num_evaluados,total_evaluaciones,ultimo_acceso,nivel_acceso) VALUES (1075,'LICENCIATURA','angelalexander.virgenserrano','111839','TOMAR DEL SND','VIRGEN SERRANO ANGEL ALEXANDER','INGENIERIA AEROESPACIAL','2do','MASCULINO','ACTIVO','',0,0,'','ALUMNO');</v>
      </c>
      <c r="M76" t="str">
        <f t="shared" si="6"/>
        <v>update participantes set correo='angelalexander.virgenserrano' where id=1075;</v>
      </c>
    </row>
    <row r="77" spans="1:13" x14ac:dyDescent="0.25">
      <c r="A77">
        <f t="shared" si="7"/>
        <v>1076</v>
      </c>
      <c r="B77" s="3" t="s">
        <v>2103</v>
      </c>
      <c r="C77" t="str">
        <f>CONCATENATE("'",ALUMNOS!E79,"'")</f>
        <v>'angelandres.garciacherrington'</v>
      </c>
      <c r="D77" t="str">
        <f>CONCATENATE(ALUMNOS!F79,"'")</f>
        <v>'111750'</v>
      </c>
      <c r="E77" t="s">
        <v>2723</v>
      </c>
      <c r="F77" t="str">
        <f>CONCATENATE("'",ALUMNOS!H79,"'")</f>
        <v>'GARCIA CHERRINGTON ANGEL ANDRES'</v>
      </c>
      <c r="G77" t="str">
        <f>CONCATENATE("'",ALUMNOS!I79,"'")</f>
        <v>'INGENIERIA AEROESPACIAL'</v>
      </c>
      <c r="H77" t="str">
        <f>CONCATENATE("'",ALUMNOS!J79,"'")</f>
        <v>'2do'</v>
      </c>
      <c r="I77" t="str">
        <f>CONCATENATE("'",ALUMNOS!K79,"'")</f>
        <v>'Masculino'</v>
      </c>
      <c r="J77" t="str">
        <f>CONCATENATE("'",ALUMNOS!L79,"'")</f>
        <v>'Activo'</v>
      </c>
      <c r="K77" t="str">
        <f t="shared" si="5"/>
        <v>1076,'LICENCIATURA','angelandres.garciacherrington','111750','TOMAR DEL SND','GARCIA CHERRINGTON ANGEL ANDRES','INGENIERIA AEROESPACIAL','2do','MASCULINO','ACTIVO','',0,0,'','ALUMNO'</v>
      </c>
      <c r="L77" t="str">
        <f t="shared" si="4"/>
        <v>INSERT INTO participantes (id,nivel,correo,matricula,clave,nombre,carrera,grado,sexo,situacion,evaluados,num_evaluados,total_evaluaciones,ultimo_acceso,nivel_acceso) VALUES (1076,'LICENCIATURA','angelandres.garciacherrington','111750','TOMAR DEL SND','GARCIA CHERRINGTON ANGEL ANDRES','INGENIERIA AEROESPACIAL','2do','MASCULINO','ACTIVO','',0,0,'','ALUMNO');</v>
      </c>
      <c r="M77" t="str">
        <f t="shared" si="6"/>
        <v>update participantes set correo='angelandres.garciacherrington' where id=1076;</v>
      </c>
    </row>
    <row r="78" spans="1:13" x14ac:dyDescent="0.25">
      <c r="A78">
        <f t="shared" si="7"/>
        <v>1077</v>
      </c>
      <c r="B78" s="3" t="s">
        <v>2103</v>
      </c>
      <c r="C78" t="str">
        <f>CONCATENATE("'",ALUMNOS!E80,"'")</f>
        <v>'angeldavid.sanchezlopez'</v>
      </c>
      <c r="D78" t="str">
        <f>CONCATENATE(ALUMNOS!F80,"'")</f>
        <v>'111802'</v>
      </c>
      <c r="E78" t="s">
        <v>2723</v>
      </c>
      <c r="F78" t="str">
        <f>CONCATENATE("'",ALUMNOS!H80,"'")</f>
        <v>'SANCHEZ LOPEZ ANGEL DAVID'</v>
      </c>
      <c r="G78" t="str">
        <f>CONCATENATE("'",ALUMNOS!I80,"'")</f>
        <v>'INGENIERÍA AUTOMOTRIZ'</v>
      </c>
      <c r="H78" t="str">
        <f>CONCATENATE("'",ALUMNOS!J80,"'")</f>
        <v>'2do'</v>
      </c>
      <c r="I78" t="str">
        <f>CONCATENATE("'",ALUMNOS!K80,"'")</f>
        <v>'Masculino'</v>
      </c>
      <c r="J78" t="str">
        <f>CONCATENATE("'",ALUMNOS!L80,"'")</f>
        <v>'Activo'</v>
      </c>
      <c r="K78" t="str">
        <f t="shared" si="5"/>
        <v>1077,'LICENCIATURA','angeldavid.sanchezlopez','111802','TOMAR DEL SND','SANCHEZ LOPEZ ANGEL DAVID','INGENIERÍA AUTOMOTRIZ','2do','MASCULINO','ACTIVO','',0,0,'','ALUMNO'</v>
      </c>
      <c r="L78" t="str">
        <f t="shared" si="4"/>
        <v>INSERT INTO participantes (id,nivel,correo,matricula,clave,nombre,carrera,grado,sexo,situacion,evaluados,num_evaluados,total_evaluaciones,ultimo_acceso,nivel_acceso) VALUES (1077,'LICENCIATURA','angeldavid.sanchezlopez','111802','TOMAR DEL SND','SANCHEZ LOPEZ ANGEL DAVID','INGENIERÍA AUTOMOTRIZ','2do','MASCULINO','ACTIVO','',0,0,'','ALUMNO');</v>
      </c>
      <c r="M78" t="str">
        <f t="shared" si="6"/>
        <v>update participantes set correo='angeldavid.sanchezlopez' where id=1077;</v>
      </c>
    </row>
    <row r="79" spans="1:13" x14ac:dyDescent="0.25">
      <c r="A79">
        <f t="shared" si="7"/>
        <v>1078</v>
      </c>
      <c r="B79" s="3" t="s">
        <v>2103</v>
      </c>
      <c r="C79" t="str">
        <f>CONCATENATE("'",ALUMNOS!E81,"'")</f>
        <v>'angelemanuel.cuetoramos'</v>
      </c>
      <c r="D79" t="str">
        <f>CONCATENATE(ALUMNOS!F81,"'")</f>
        <v>'111723'</v>
      </c>
      <c r="E79" t="s">
        <v>2723</v>
      </c>
      <c r="F79" t="str">
        <f>CONCATENATE("'",ALUMNOS!H81,"'")</f>
        <v>'CUETO RAMOS ANGEL EMANUEL'</v>
      </c>
      <c r="G79" t="str">
        <f>CONCATENATE("'",ALUMNOS!I81,"'")</f>
        <v>'INGENIERÍA AUTOMOTRIZ'</v>
      </c>
      <c r="H79" t="str">
        <f>CONCATENATE("'",ALUMNOS!J81,"'")</f>
        <v>'2do'</v>
      </c>
      <c r="I79" t="str">
        <f>CONCATENATE("'",ALUMNOS!K81,"'")</f>
        <v>'Masculino'</v>
      </c>
      <c r="J79" t="str">
        <f>CONCATENATE("'",ALUMNOS!L81,"'")</f>
        <v>'Activo'</v>
      </c>
      <c r="K79" t="str">
        <f t="shared" si="5"/>
        <v>1078,'LICENCIATURA','angelemanuel.cuetoramos','111723','TOMAR DEL SND','CUETO RAMOS ANGEL EMANUEL','INGENIERÍA AUTOMOTRIZ','2do','MASCULINO','ACTIVO','',0,0,'','ALUMNO'</v>
      </c>
      <c r="L79" t="str">
        <f t="shared" si="4"/>
        <v>INSERT INTO participantes (id,nivel,correo,matricula,clave,nombre,carrera,grado,sexo,situacion,evaluados,num_evaluados,total_evaluaciones,ultimo_acceso,nivel_acceso) VALUES (1078,'LICENCIATURA','angelemanuel.cuetoramos','111723','TOMAR DEL SND','CUETO RAMOS ANGEL EMANUEL','INGENIERÍA AUTOMOTRIZ','2do','MASCULINO','ACTIVO','',0,0,'','ALUMNO');</v>
      </c>
      <c r="M79" t="str">
        <f t="shared" si="6"/>
        <v>update participantes set correo='angelemanuel.cuetoramos' where id=1078;</v>
      </c>
    </row>
    <row r="80" spans="1:13" x14ac:dyDescent="0.25">
      <c r="A80">
        <f t="shared" si="7"/>
        <v>1079</v>
      </c>
      <c r="B80" s="3" t="s">
        <v>2103</v>
      </c>
      <c r="C80" t="str">
        <f>CONCATENATE("'",ALUMNOS!E82,"'")</f>
        <v>'angelfabian.abrahamjuarez'</v>
      </c>
      <c r="D80" t="str">
        <f>CONCATENATE(ALUMNOS!F82,"'")</f>
        <v>'109824'</v>
      </c>
      <c r="E80" t="s">
        <v>2723</v>
      </c>
      <c r="F80" t="str">
        <f>CONCATENATE("'",ALUMNOS!H82,"'")</f>
        <v>'ABRAHAM JUAREZ ANGEL FABIAN'</v>
      </c>
      <c r="G80" t="str">
        <f>CONCATENATE("'",ALUMNOS!I82,"'")</f>
        <v>'INGENIERIA AEROESPACIAL'</v>
      </c>
      <c r="H80" t="str">
        <f>CONCATENATE("'",ALUMNOS!J82,"'")</f>
        <v>'8vo'</v>
      </c>
      <c r="I80" t="str">
        <f>CONCATENATE("'",ALUMNOS!K82,"'")</f>
        <v>'Masculino'</v>
      </c>
      <c r="J80" t="str">
        <f>CONCATENATE("'",ALUMNOS!L82,"'")</f>
        <v>'Activo'</v>
      </c>
      <c r="K80" t="str">
        <f t="shared" si="5"/>
        <v>1079,'LICENCIATURA','angelfabian.abrahamjuarez','109824','TOMAR DEL SND','ABRAHAM JUAREZ ANGEL FABIAN','INGENIERIA AEROESPACIAL','8vo','MASCULINO','ACTIVO','',0,0,'','ALUMNO'</v>
      </c>
      <c r="L80" t="str">
        <f t="shared" si="4"/>
        <v>INSERT INTO participantes (id,nivel,correo,matricula,clave,nombre,carrera,grado,sexo,situacion,evaluados,num_evaluados,total_evaluaciones,ultimo_acceso,nivel_acceso) VALUES (1079,'LICENCIATURA','angelfabian.abrahamjuarez','109824','TOMAR DEL SND','ABRAHAM JUAREZ ANGEL FABIAN','INGENIERIA AEROESPACIAL','8vo','MASCULINO','ACTIVO','',0,0,'','ALUMNO');</v>
      </c>
      <c r="M80" t="str">
        <f t="shared" si="6"/>
        <v>update participantes set correo='angelfabian.abrahamjuarez' where id=1079;</v>
      </c>
    </row>
    <row r="81" spans="1:13" x14ac:dyDescent="0.25">
      <c r="A81">
        <f t="shared" si="7"/>
        <v>1080</v>
      </c>
      <c r="B81" s="3" t="s">
        <v>2103</v>
      </c>
      <c r="C81" t="str">
        <f>CONCATENATE("'",ALUMNOS!E83,"'")</f>
        <v>'angelfernando.morenozumaya'</v>
      </c>
      <c r="D81" t="str">
        <f>CONCATENATE(ALUMNOS!F83,"'")</f>
        <v>'110444'</v>
      </c>
      <c r="E81" t="s">
        <v>2723</v>
      </c>
      <c r="F81" t="str">
        <f>CONCATENATE("'",ALUMNOS!H83,"'")</f>
        <v>'MORENO ZUMAYA ANGEL FERNANDO'</v>
      </c>
      <c r="G81" t="str">
        <f>CONCATENATE("'",ALUMNOS!I83,"'")</f>
        <v>'PSICOLOGIA'</v>
      </c>
      <c r="H81" t="str">
        <f>CONCATENATE("'",ALUMNOS!J83,"'")</f>
        <v>'6to'</v>
      </c>
      <c r="I81" t="str">
        <f>CONCATENATE("'",ALUMNOS!K83,"'")</f>
        <v>'Masculino'</v>
      </c>
      <c r="J81" t="str">
        <f>CONCATENATE("'",ALUMNOS!L83,"'")</f>
        <v>'Activo'</v>
      </c>
      <c r="K81" t="str">
        <f t="shared" si="5"/>
        <v>1080,'LICENCIATURA','angelfernando.morenozumaya','110444','TOMAR DEL SND','MORENO ZUMAYA ANGEL FERNANDO','PSICOLOGIA','6to','MASCULINO','ACTIVO','',0,0,'','ALUMNO'</v>
      </c>
      <c r="L81" t="str">
        <f t="shared" si="4"/>
        <v>INSERT INTO participantes (id,nivel,correo,matricula,clave,nombre,carrera,grado,sexo,situacion,evaluados,num_evaluados,total_evaluaciones,ultimo_acceso,nivel_acceso) VALUES (1080,'LICENCIATURA','angelfernando.morenozumaya','110444','TOMAR DEL SND','MORENO ZUMAYA ANGEL FERNANDO','PSICOLOGIA','6to','MASCULINO','ACTIVO','',0,0,'','ALUMNO');</v>
      </c>
      <c r="M81" t="str">
        <f t="shared" si="6"/>
        <v>update participantes set correo='angelfernando.morenozumaya' where id=1080;</v>
      </c>
    </row>
    <row r="82" spans="1:13" x14ac:dyDescent="0.25">
      <c r="A82">
        <f t="shared" si="7"/>
        <v>1081</v>
      </c>
      <c r="B82" s="3" t="s">
        <v>2103</v>
      </c>
      <c r="C82" t="str">
        <f>CONCATENATE("'",ALUMNOS!E84,"'")</f>
        <v>'angelguillermo.vegarodriguez'</v>
      </c>
      <c r="D82" t="str">
        <f>CONCATENATE(ALUMNOS!F84,"'")</f>
        <v>'111237'</v>
      </c>
      <c r="E82" t="s">
        <v>2723</v>
      </c>
      <c r="F82" t="str">
        <f>CONCATENATE("'",ALUMNOS!H84,"'")</f>
        <v>'VEGA RODRIGUEZ ANGEL GUILLERMO'</v>
      </c>
      <c r="G82" t="str">
        <f>CONCATENATE("'",ALUMNOS!I84,"'")</f>
        <v>'ARQUITECTURA'</v>
      </c>
      <c r="H82" t="str">
        <f>CONCATENATE("'",ALUMNOS!J84,"'")</f>
        <v>'4to'</v>
      </c>
      <c r="I82" t="str">
        <f>CONCATENATE("'",ALUMNOS!K84,"'")</f>
        <v>'Masculino'</v>
      </c>
      <c r="J82" t="str">
        <f>CONCATENATE("'",ALUMNOS!L84,"'")</f>
        <v>'Activo'</v>
      </c>
      <c r="K82" t="str">
        <f t="shared" si="5"/>
        <v>1081,'LICENCIATURA','angelguillermo.vegarodriguez','111237','TOMAR DEL SND','VEGA RODRIGUEZ ANGEL GUILLERMO','ARQUITECTURA','4to','MASCULINO','ACTIVO','',0,0,'','ALUMNO'</v>
      </c>
      <c r="L82" t="str">
        <f t="shared" si="4"/>
        <v>INSERT INTO participantes (id,nivel,correo,matricula,clave,nombre,carrera,grado,sexo,situacion,evaluados,num_evaluados,total_evaluaciones,ultimo_acceso,nivel_acceso) VALUES (1081,'LICENCIATURA','angelguillermo.vegarodriguez','111237','TOMAR DEL SND','VEGA RODRIGUEZ ANGEL GUILLERMO','ARQUITECTURA','4to','MASCULINO','ACTIVO','',0,0,'','ALUMNO');</v>
      </c>
      <c r="M82" t="str">
        <f t="shared" si="6"/>
        <v>update participantes set correo='angelguillermo.vegarodriguez' where id=1081;</v>
      </c>
    </row>
    <row r="83" spans="1:13" x14ac:dyDescent="0.25">
      <c r="A83">
        <f t="shared" si="7"/>
        <v>1082</v>
      </c>
      <c r="B83" s="3" t="s">
        <v>2103</v>
      </c>
      <c r="C83" t="str">
        <f>CONCATENATE("'",ALUMNOS!E85,"'")</f>
        <v>'angelmartin.ceceñaponce'</v>
      </c>
      <c r="D83" t="str">
        <f>CONCATENATE(ALUMNOS!F85,"'")</f>
        <v>'111668'</v>
      </c>
      <c r="E83" t="s">
        <v>2723</v>
      </c>
      <c r="F83" t="str">
        <f>CONCATENATE("'",ALUMNOS!H85,"'")</f>
        <v>'CECEÑA PONCE ANGEL MARTIN'</v>
      </c>
      <c r="G83" t="str">
        <f>CONCATENATE("'",ALUMNOS!I85,"'")</f>
        <v>'INGENIERIA AEROESPACIAL'</v>
      </c>
      <c r="H83" t="str">
        <f>CONCATENATE("'",ALUMNOS!J85,"'")</f>
        <v>'2do'</v>
      </c>
      <c r="I83" t="str">
        <f>CONCATENATE("'",ALUMNOS!K85,"'")</f>
        <v>'Masculino'</v>
      </c>
      <c r="J83" t="str">
        <f>CONCATENATE("'",ALUMNOS!L85,"'")</f>
        <v>'Activo'</v>
      </c>
      <c r="K83" t="str">
        <f t="shared" si="5"/>
        <v>1082,'LICENCIATURA','angelmartin.ceceñaponce','111668','TOMAR DEL SND','CECEÑA PONCE ANGEL MARTIN','INGENIERIA AEROESPACIAL','2do','MASCULINO','ACTIVO','',0,0,'','ALUMNO'</v>
      </c>
      <c r="L83" t="str">
        <f t="shared" si="4"/>
        <v>INSERT INTO participantes (id,nivel,correo,matricula,clave,nombre,carrera,grado,sexo,situacion,evaluados,num_evaluados,total_evaluaciones,ultimo_acceso,nivel_acceso) VALUES (1082,'LICENCIATURA','angelmartin.ceceñaponce','111668','TOMAR DEL SND','CECEÑA PONCE ANGEL MARTIN','INGENIERIA AEROESPACIAL','2do','MASCULINO','ACTIVO','',0,0,'','ALUMNO');</v>
      </c>
      <c r="M83" t="str">
        <f t="shared" si="6"/>
        <v>update participantes set correo='angelmartin.ceceñaponce' where id=1082;</v>
      </c>
    </row>
    <row r="84" spans="1:13" x14ac:dyDescent="0.25">
      <c r="A84">
        <f t="shared" si="7"/>
        <v>1083</v>
      </c>
      <c r="B84" s="3" t="s">
        <v>2103</v>
      </c>
      <c r="C84" t="str">
        <f>CONCATENATE("'",ALUMNOS!E86,"'")</f>
        <v>'angelapaulina.vazquezbertrand'</v>
      </c>
      <c r="D84" t="str">
        <f>CONCATENATE(ALUMNOS!F86,"'")</f>
        <v>'109888'</v>
      </c>
      <c r="E84" t="s">
        <v>2723</v>
      </c>
      <c r="F84" t="str">
        <f>CONCATENATE("'",ALUMNOS!H86,"'")</f>
        <v>'VAZQUEZ BERTRAND ANGELA PAULINA'</v>
      </c>
      <c r="G84" t="str">
        <f>CONCATENATE("'",ALUMNOS!I86,"'")</f>
        <v>'DISEÑO GRAFICO Y DIGITAL'</v>
      </c>
      <c r="H84" t="str">
        <f>CONCATENATE("'",ALUMNOS!J86,"'")</f>
        <v>'8vo'</v>
      </c>
      <c r="I84" t="str">
        <f>CONCATENATE("'",ALUMNOS!K86,"'")</f>
        <v>'Masculino'</v>
      </c>
      <c r="J84" t="str">
        <f>CONCATENATE("'",ALUMNOS!L86,"'")</f>
        <v>'Activo'</v>
      </c>
      <c r="K84" t="str">
        <f t="shared" si="5"/>
        <v>1083,'LICENCIATURA','angelapaulina.vazquezbertrand','109888','TOMAR DEL SND','VAZQUEZ BERTRAND ANGELA PAULINA','DISEÑO GRAFICO Y DIGITAL','8vo','MASCULINO','ACTIVO','',0,0,'','ALUMNO'</v>
      </c>
      <c r="L84" t="str">
        <f t="shared" si="4"/>
        <v>INSERT INTO participantes (id,nivel,correo,matricula,clave,nombre,carrera,grado,sexo,situacion,evaluados,num_evaluados,total_evaluaciones,ultimo_acceso,nivel_acceso) VALUES (1083,'LICENCIATURA','angelapaulina.vazquezbertrand','109888','TOMAR DEL SND','VAZQUEZ BERTRAND ANGELA PAULINA','DISEÑO GRAFICO Y DIGITAL','8vo','MASCULINO','ACTIVO','',0,0,'','ALUMNO');</v>
      </c>
      <c r="M84" t="str">
        <f t="shared" si="6"/>
        <v>update participantes set correo='angelapaulina.vazquezbertrand' where id=1083;</v>
      </c>
    </row>
    <row r="85" spans="1:13" x14ac:dyDescent="0.25">
      <c r="A85">
        <f t="shared" si="7"/>
        <v>1084</v>
      </c>
      <c r="B85" s="3" t="s">
        <v>2103</v>
      </c>
      <c r="C85" t="str">
        <f>CONCATENATE("'",ALUMNOS!E87,"'")</f>
        <v>'angelica.torresgutierrez'</v>
      </c>
      <c r="D85" t="str">
        <f>CONCATENATE(ALUMNOS!F87,"'")</f>
        <v>'110486'</v>
      </c>
      <c r="E85" t="s">
        <v>2723</v>
      </c>
      <c r="F85" t="str">
        <f>CONCATENATE("'",ALUMNOS!H87,"'")</f>
        <v>'TORRES GUTIERREZ ANGELICA'</v>
      </c>
      <c r="G85" t="str">
        <f>CONCATENATE("'",ALUMNOS!I87,"'")</f>
        <v>'PSICOLOGIA'</v>
      </c>
      <c r="H85" t="str">
        <f>CONCATENATE("'",ALUMNOS!J87,"'")</f>
        <v>'6to'</v>
      </c>
      <c r="I85" t="str">
        <f>CONCATENATE("'",ALUMNOS!K87,"'")</f>
        <v>'Femenino'</v>
      </c>
      <c r="J85" t="str">
        <f>CONCATENATE("'",ALUMNOS!L87,"'")</f>
        <v>'Activo'</v>
      </c>
      <c r="K85" t="str">
        <f t="shared" si="5"/>
        <v>1084,'LICENCIATURA','angelica.torresgutierrez','110486','TOMAR DEL SND','TORRES GUTIERREZ ANGELICA','PSICOLOGIA','6to','FEMENINO','ACTIVO','',0,0,'','ALUMNO'</v>
      </c>
      <c r="L85" t="str">
        <f t="shared" si="4"/>
        <v>INSERT INTO participantes (id,nivel,correo,matricula,clave,nombre,carrera,grado,sexo,situacion,evaluados,num_evaluados,total_evaluaciones,ultimo_acceso,nivel_acceso) VALUES (1084,'LICENCIATURA','angelica.torresgutierrez','110486','TOMAR DEL SND','TORRES GUTIERREZ ANGELICA','PSICOLOGIA','6to','FEMENINO','ACTIVO','',0,0,'','ALUMNO');</v>
      </c>
      <c r="M85" t="str">
        <f t="shared" si="6"/>
        <v>update participantes set correo='angelica.torresgutierrez' where id=1084;</v>
      </c>
    </row>
    <row r="86" spans="1:13" x14ac:dyDescent="0.25">
      <c r="A86">
        <f t="shared" si="7"/>
        <v>1085</v>
      </c>
      <c r="B86" s="3" t="s">
        <v>2103</v>
      </c>
      <c r="C86" t="str">
        <f>CONCATENATE("'",ALUMNOS!E88,"'")</f>
        <v>'antonio.verduzcovazquezaldana'</v>
      </c>
      <c r="D86" t="str">
        <f>CONCATENATE(ALUMNOS!F88,"'")</f>
        <v>'111609'</v>
      </c>
      <c r="E86" t="s">
        <v>2723</v>
      </c>
      <c r="F86" t="str">
        <f>CONCATENATE("'",ALUMNOS!H88,"'")</f>
        <v>'VERDUZCO VAZQUEZ ALDANA ANTONIO'</v>
      </c>
      <c r="G86" t="str">
        <f>CONCATENATE("'",ALUMNOS!I88,"'")</f>
        <v>'ADMINISTRACION Y DIRECCION DE NEGOCIOS'</v>
      </c>
      <c r="H86" t="str">
        <f>CONCATENATE("'",ALUMNOS!J88,"'")</f>
        <v>'2do'</v>
      </c>
      <c r="I86" t="str">
        <f>CONCATENATE("'",ALUMNOS!K88,"'")</f>
        <v>'Masculino'</v>
      </c>
      <c r="J86" t="str">
        <f>CONCATENATE("'",ALUMNOS!L88,"'")</f>
        <v>'Activo'</v>
      </c>
      <c r="K86" t="str">
        <f t="shared" si="5"/>
        <v>1085,'LICENCIATURA','antonio.verduzcovazquezaldana','111609','TOMAR DEL SND','VERDUZCO VAZQUEZ ALDANA ANTONIO','ADMINISTRACION Y DIRECCION DE NEGOCIOS','2do','MASCULINO','ACTIVO','',0,0,'','ALUMNO'</v>
      </c>
      <c r="L86" t="str">
        <f t="shared" si="4"/>
        <v>INSERT INTO participantes (id,nivel,correo,matricula,clave,nombre,carrera,grado,sexo,situacion,evaluados,num_evaluados,total_evaluaciones,ultimo_acceso,nivel_acceso) VALUES (1085,'LICENCIATURA','antonio.verduzcovazquezaldana','111609','TOMAR DEL SND','VERDUZCO VAZQUEZ ALDANA ANTONIO','ADMINISTRACION Y DIRECCION DE NEGOCIOS','2do','MASCULINO','ACTIVO','',0,0,'','ALUMNO');</v>
      </c>
      <c r="M86" t="str">
        <f t="shared" si="6"/>
        <v>update participantes set correo='antonio.verduzcovazquezaldana' where id=1085;</v>
      </c>
    </row>
    <row r="87" spans="1:13" x14ac:dyDescent="0.25">
      <c r="A87">
        <f t="shared" si="7"/>
        <v>1086</v>
      </c>
      <c r="B87" s="3" t="s">
        <v>2103</v>
      </c>
      <c r="C87" t="str">
        <f>CONCATENATE("'",ALUMNOS!E89,"'")</f>
        <v>'aolanixaxbe.negretecastro'</v>
      </c>
      <c r="D87" t="str">
        <f>CONCATENATE(ALUMNOS!F89,"'")</f>
        <v>'111182'</v>
      </c>
      <c r="E87" t="s">
        <v>2723</v>
      </c>
      <c r="F87" t="str">
        <f>CONCATENATE("'",ALUMNOS!H89,"'")</f>
        <v>'NEGRETE CASTRO AOLANI XAXBE'</v>
      </c>
      <c r="G87" t="str">
        <f>CONCATENATE("'",ALUMNOS!I89,"'")</f>
        <v>'ANIMACION DIGITAL Y VIDEOJUEGOS'</v>
      </c>
      <c r="H87" t="str">
        <f>CONCATENATE("'",ALUMNOS!J89,"'")</f>
        <v>'4to'</v>
      </c>
      <c r="I87" t="str">
        <f>CONCATENATE("'",ALUMNOS!K89,"'")</f>
        <v>'Femenino'</v>
      </c>
      <c r="J87" t="str">
        <f>CONCATENATE("'",ALUMNOS!L89,"'")</f>
        <v>'Activo'</v>
      </c>
      <c r="K87" t="str">
        <f t="shared" si="5"/>
        <v>1086,'LICENCIATURA','aolanixaxbe.negretecastro','111182','TOMAR DEL SND','NEGRETE CASTRO AOLANI XAXBE','ANIMACION DIGITAL Y VIDEOJUEGOS','4to','FEMENINO','ACTIVO','',0,0,'','ALUMNO'</v>
      </c>
      <c r="L87" t="str">
        <f t="shared" si="4"/>
        <v>INSERT INTO participantes (id,nivel,correo,matricula,clave,nombre,carrera,grado,sexo,situacion,evaluados,num_evaluados,total_evaluaciones,ultimo_acceso,nivel_acceso) VALUES (1086,'LICENCIATURA','aolanixaxbe.negretecastro','111182','TOMAR DEL SND','NEGRETE CASTRO AOLANI XAXBE','ANIMACION DIGITAL Y VIDEOJUEGOS','4to','FEMENINO','ACTIVO','',0,0,'','ALUMNO');</v>
      </c>
      <c r="M87" t="str">
        <f t="shared" si="6"/>
        <v>update participantes set correo='aolanixaxbe.negretecastro' where id=1086;</v>
      </c>
    </row>
    <row r="88" spans="1:13" x14ac:dyDescent="0.25">
      <c r="A88">
        <f t="shared" si="7"/>
        <v>1087</v>
      </c>
      <c r="B88" s="3" t="s">
        <v>2103</v>
      </c>
      <c r="C88" t="str">
        <f>CONCATENATE("'",ALUMNOS!E90,"'")</f>
        <v>'araceliesmeralda.liñanflores'</v>
      </c>
      <c r="D88" t="str">
        <f>CONCATENATE(ALUMNOS!F90,"'")</f>
        <v>'111087'</v>
      </c>
      <c r="E88" t="s">
        <v>2723</v>
      </c>
      <c r="F88" t="str">
        <f>CONCATENATE("'",ALUMNOS!H90,"'")</f>
        <v>'LIÑAN FLORES ARACELI ESMERALDA'</v>
      </c>
      <c r="G88" t="str">
        <f>CONCATENATE("'",ALUMNOS!I90,"'")</f>
        <v>'INGENIERIA AEROESPACIAL'</v>
      </c>
      <c r="H88" t="str">
        <f>CONCATENATE("'",ALUMNOS!J90,"'")</f>
        <v>'4to'</v>
      </c>
      <c r="I88" t="str">
        <f>CONCATENATE("'",ALUMNOS!K90,"'")</f>
        <v>'Femenino'</v>
      </c>
      <c r="J88" t="str">
        <f>CONCATENATE("'",ALUMNOS!L90,"'")</f>
        <v>'Activo'</v>
      </c>
      <c r="K88" t="str">
        <f t="shared" si="5"/>
        <v>1087,'LICENCIATURA','araceliesmeralda.liñanflores','111087','TOMAR DEL SND','LIÑAN FLORES ARACELI ESMERALDA','INGENIERIA AEROESPACIAL','4to','FEMENINO','ACTIVO','',0,0,'','ALUMNO'</v>
      </c>
      <c r="L88" t="str">
        <f t="shared" si="4"/>
        <v>INSERT INTO participantes (id,nivel,correo,matricula,clave,nombre,carrera,grado,sexo,situacion,evaluados,num_evaluados,total_evaluaciones,ultimo_acceso,nivel_acceso) VALUES (1087,'LICENCIATURA','araceliesmeralda.liñanflores','111087','TOMAR DEL SND','LIÑAN FLORES ARACELI ESMERALDA','INGENIERIA AEROESPACIAL','4to','FEMENINO','ACTIVO','',0,0,'','ALUMNO');</v>
      </c>
      <c r="M88" t="str">
        <f t="shared" si="6"/>
        <v>update participantes set correo='araceliesmeralda.liñanflores' where id=1087;</v>
      </c>
    </row>
    <row r="89" spans="1:13" x14ac:dyDescent="0.25">
      <c r="A89">
        <f t="shared" si="7"/>
        <v>1088</v>
      </c>
      <c r="B89" s="3" t="s">
        <v>2103</v>
      </c>
      <c r="C89" t="str">
        <f>CONCATENATE("'",ALUMNOS!E91,"'")</f>
        <v>'aranzasinhai.alvaradomoreno'</v>
      </c>
      <c r="D89" t="str">
        <f>CONCATENATE(ALUMNOS!F91,"'")</f>
        <v>'007290'</v>
      </c>
      <c r="E89" t="s">
        <v>2723</v>
      </c>
      <c r="F89" t="str">
        <f>CONCATENATE("'",ALUMNOS!H91,"'")</f>
        <v>'ALVARADO MORENO ARANZA SINHAI'</v>
      </c>
      <c r="G89" t="str">
        <f>CONCATENATE("'",ALUMNOS!I91,"'")</f>
        <v>'PSICOLOGIA'</v>
      </c>
      <c r="H89" t="str">
        <f>CONCATENATE("'",ALUMNOS!J91,"'")</f>
        <v>'2do'</v>
      </c>
      <c r="I89" t="str">
        <f>CONCATENATE("'",ALUMNOS!K91,"'")</f>
        <v>'Femenino'</v>
      </c>
      <c r="J89" t="str">
        <f>CONCATENATE("'",ALUMNOS!L91,"'")</f>
        <v>'Activo'</v>
      </c>
      <c r="K89" t="str">
        <f t="shared" si="5"/>
        <v>1088,'LICENCIATURA','aranzasinhai.alvaradomoreno','007290','TOMAR DEL SND','ALVARADO MORENO ARANZA SINHAI','PSICOLOGIA','2do','FEMENINO','ACTIVO','',0,0,'','ALUMNO'</v>
      </c>
      <c r="L89" t="str">
        <f t="shared" si="4"/>
        <v>INSERT INTO participantes (id,nivel,correo,matricula,clave,nombre,carrera,grado,sexo,situacion,evaluados,num_evaluados,total_evaluaciones,ultimo_acceso,nivel_acceso) VALUES (1088,'LICENCIATURA','aranzasinhai.alvaradomoreno','007290','TOMAR DEL SND','ALVARADO MORENO ARANZA SINHAI','PSICOLOGIA','2do','FEMENINO','ACTIVO','',0,0,'','ALUMNO');</v>
      </c>
      <c r="M89" t="str">
        <f t="shared" si="6"/>
        <v>update participantes set correo='aranzasinhai.alvaradomoreno' where id=1088;</v>
      </c>
    </row>
    <row r="90" spans="1:13" x14ac:dyDescent="0.25">
      <c r="A90">
        <f t="shared" si="7"/>
        <v>1089</v>
      </c>
      <c r="B90" s="3" t="s">
        <v>2103</v>
      </c>
      <c r="C90" t="str">
        <f>CONCATENATE("'",ALUMNOS!E92,"'")</f>
        <v>'areliapaulina.patiñogonzalez'</v>
      </c>
      <c r="D90" t="str">
        <f>CONCATENATE(ALUMNOS!F92,"'")</f>
        <v>'109968'</v>
      </c>
      <c r="E90" t="s">
        <v>2723</v>
      </c>
      <c r="F90" t="str">
        <f>CONCATENATE("'",ALUMNOS!H92,"'")</f>
        <v>'PATIÑO GONZALEZ ARELIA PAULINA'</v>
      </c>
      <c r="G90" t="str">
        <f>CONCATENATE("'",ALUMNOS!I92,"'")</f>
        <v>'DERECHO'</v>
      </c>
      <c r="H90" t="str">
        <f>CONCATENATE("'",ALUMNOS!J92,"'")</f>
        <v>'8vo'</v>
      </c>
      <c r="I90" t="str">
        <f>CONCATENATE("'",ALUMNOS!K92,"'")</f>
        <v>'Femenino'</v>
      </c>
      <c r="J90" t="str">
        <f>CONCATENATE("'",ALUMNOS!L92,"'")</f>
        <v>'Activo'</v>
      </c>
      <c r="K90" t="str">
        <f t="shared" si="5"/>
        <v>1089,'LICENCIATURA','areliapaulina.patiñogonzalez','109968','TOMAR DEL SND','PATIÑO GONZALEZ ARELIA PAULINA','DERECHO','8vo','FEMENINO','ACTIVO','',0,0,'','ALUMNO'</v>
      </c>
      <c r="L90" t="str">
        <f t="shared" si="4"/>
        <v>INSERT INTO participantes (id,nivel,correo,matricula,clave,nombre,carrera,grado,sexo,situacion,evaluados,num_evaluados,total_evaluaciones,ultimo_acceso,nivel_acceso) VALUES (1089,'LICENCIATURA','areliapaulina.patiñogonzalez','109968','TOMAR DEL SND','PATIÑO GONZALEZ ARELIA PAULINA','DERECHO','8vo','FEMENINO','ACTIVO','',0,0,'','ALUMNO');</v>
      </c>
      <c r="M90" t="str">
        <f t="shared" si="6"/>
        <v>update participantes set correo='areliapaulina.patiñogonzalez' where id=1089;</v>
      </c>
    </row>
    <row r="91" spans="1:13" x14ac:dyDescent="0.25">
      <c r="A91">
        <f t="shared" si="7"/>
        <v>1090</v>
      </c>
      <c r="B91" s="3" t="s">
        <v>2103</v>
      </c>
      <c r="C91" t="str">
        <f>CONCATENATE("'",ALUMNOS!E93,"'")</f>
        <v>'arturoemmanuel.castañedahernandez'</v>
      </c>
      <c r="D91" t="str">
        <f>CONCATENATE(ALUMNOS!F93,"'")</f>
        <v>'111656'</v>
      </c>
      <c r="E91" t="s">
        <v>2723</v>
      </c>
      <c r="F91" t="str">
        <f>CONCATENATE("'",ALUMNOS!H93,"'")</f>
        <v>'CASTAÑEDA HERNANDEZ ARTURO EMMANUEL'</v>
      </c>
      <c r="G91" t="str">
        <f>CONCATENATE("'",ALUMNOS!I93,"'")</f>
        <v>'INGENIERIA AEROESPACIAL'</v>
      </c>
      <c r="H91" t="str">
        <f>CONCATENATE("'",ALUMNOS!J93,"'")</f>
        <v>'2do'</v>
      </c>
      <c r="I91" t="str">
        <f>CONCATENATE("'",ALUMNOS!K93,"'")</f>
        <v>'Masculino'</v>
      </c>
      <c r="J91" t="str">
        <f>CONCATENATE("'",ALUMNOS!L93,"'")</f>
        <v>'Activo'</v>
      </c>
      <c r="K91" t="str">
        <f t="shared" si="5"/>
        <v>1090,'LICENCIATURA','arturoemmanuel.castañedahernandez','111656','TOMAR DEL SND','CASTAÑEDA HERNANDEZ ARTURO EMMANUEL','INGENIERIA AEROESPACIAL','2do','MASCULINO','ACTIVO','',0,0,'','ALUMNO'</v>
      </c>
      <c r="L91" t="str">
        <f t="shared" si="4"/>
        <v>INSERT INTO participantes (id,nivel,correo,matricula,clave,nombre,carrera,grado,sexo,situacion,evaluados,num_evaluados,total_evaluaciones,ultimo_acceso,nivel_acceso) VALUES (1090,'LICENCIATURA','arturoemmanuel.castañedahernandez','111656','TOMAR DEL SND','CASTAÑEDA HERNANDEZ ARTURO EMMANUEL','INGENIERIA AEROESPACIAL','2do','MASCULINO','ACTIVO','',0,0,'','ALUMNO');</v>
      </c>
      <c r="M91" t="str">
        <f t="shared" si="6"/>
        <v>update participantes set correo='arturoemmanuel.castañedahernandez' where id=1090;</v>
      </c>
    </row>
    <row r="92" spans="1:13" x14ac:dyDescent="0.25">
      <c r="A92">
        <f t="shared" si="7"/>
        <v>1091</v>
      </c>
      <c r="B92" s="3" t="s">
        <v>2103</v>
      </c>
      <c r="C92" t="str">
        <f>CONCATENATE("'",ALUMNOS!E94,"'")</f>
        <v>'astridavril.bernalmontañez'</v>
      </c>
      <c r="D92" t="str">
        <f>CONCATENATE(ALUMNOS!F94,"'")</f>
        <v>'007948'</v>
      </c>
      <c r="E92" t="s">
        <v>2723</v>
      </c>
      <c r="F92" t="str">
        <f>CONCATENATE("'",ALUMNOS!H94,"'")</f>
        <v>'BERNAL MONTAÑEZ ASTRID AVRIL'</v>
      </c>
      <c r="G92" t="str">
        <f>CONCATENATE("'",ALUMNOS!I94,"'")</f>
        <v>'PSICOLOGIA'</v>
      </c>
      <c r="H92" t="str">
        <f>CONCATENATE("'",ALUMNOS!J94,"'")</f>
        <v>'2do'</v>
      </c>
      <c r="I92" t="str">
        <f>CONCATENATE("'",ALUMNOS!K94,"'")</f>
        <v>'Femenino'</v>
      </c>
      <c r="J92" t="str">
        <f>CONCATENATE("'",ALUMNOS!L94,"'")</f>
        <v>'Activo'</v>
      </c>
      <c r="K92" t="str">
        <f t="shared" si="5"/>
        <v>1091,'LICENCIATURA','astridavril.bernalmontañez','007948','TOMAR DEL SND','BERNAL MONTAÑEZ ASTRID AVRIL','PSICOLOGIA','2do','FEMENINO','ACTIVO','',0,0,'','ALUMNO'</v>
      </c>
      <c r="L92" t="str">
        <f t="shared" si="4"/>
        <v>INSERT INTO participantes (id,nivel,correo,matricula,clave,nombre,carrera,grado,sexo,situacion,evaluados,num_evaluados,total_evaluaciones,ultimo_acceso,nivel_acceso) VALUES (1091,'LICENCIATURA','astridavril.bernalmontañez','007948','TOMAR DEL SND','BERNAL MONTAÑEZ ASTRID AVRIL','PSICOLOGIA','2do','FEMENINO','ACTIVO','',0,0,'','ALUMNO');</v>
      </c>
      <c r="M92" t="str">
        <f t="shared" si="6"/>
        <v>update participantes set correo='astridavril.bernalmontañez' where id=1091;</v>
      </c>
    </row>
    <row r="93" spans="1:13" x14ac:dyDescent="0.25">
      <c r="A93">
        <f t="shared" si="7"/>
        <v>1092</v>
      </c>
      <c r="B93" s="3" t="s">
        <v>2103</v>
      </c>
      <c r="C93" t="str">
        <f>CONCATENATE("'",ALUMNOS!E95,"'")</f>
        <v>'atzirielizabeth.perezcontreras'</v>
      </c>
      <c r="D93" t="str">
        <f>CONCATENATE(ALUMNOS!F95,"'")</f>
        <v>'109809'</v>
      </c>
      <c r="E93" t="s">
        <v>2723</v>
      </c>
      <c r="F93" t="str">
        <f>CONCATENATE("'",ALUMNOS!H95,"'")</f>
        <v>'PEREZ CONTRERAS ATZIRI ELIZABETH'</v>
      </c>
      <c r="G93" t="str">
        <f>CONCATENATE("'",ALUMNOS!I95,"'")</f>
        <v>'DISEÑO GRAFICO Y DIGITAL'</v>
      </c>
      <c r="H93" t="str">
        <f>CONCATENATE("'",ALUMNOS!J95,"'")</f>
        <v>'8vo'</v>
      </c>
      <c r="I93" t="str">
        <f>CONCATENATE("'",ALUMNOS!K95,"'")</f>
        <v>'Femenino'</v>
      </c>
      <c r="J93" t="str">
        <f>CONCATENATE("'",ALUMNOS!L95,"'")</f>
        <v>'Activo'</v>
      </c>
      <c r="K93" t="str">
        <f t="shared" si="5"/>
        <v>1092,'LICENCIATURA','atzirielizabeth.perezcontreras','109809','TOMAR DEL SND','PEREZ CONTRERAS ATZIRI ELIZABETH','DISEÑO GRAFICO Y DIGITAL','8vo','FEMENINO','ACTIVO','',0,0,'','ALUMNO'</v>
      </c>
      <c r="L93" t="str">
        <f t="shared" si="4"/>
        <v>INSERT INTO participantes (id,nivel,correo,matricula,clave,nombre,carrera,grado,sexo,situacion,evaluados,num_evaluados,total_evaluaciones,ultimo_acceso,nivel_acceso) VALUES (1092,'LICENCIATURA','atzirielizabeth.perezcontreras','109809','TOMAR DEL SND','PEREZ CONTRERAS ATZIRI ELIZABETH','DISEÑO GRAFICO Y DIGITAL','8vo','FEMENINO','ACTIVO','',0,0,'','ALUMNO');</v>
      </c>
      <c r="M93" t="str">
        <f t="shared" si="6"/>
        <v>update participantes set correo='atzirielizabeth.perezcontreras' where id=1092;</v>
      </c>
    </row>
    <row r="94" spans="1:13" x14ac:dyDescent="0.25">
      <c r="A94">
        <f t="shared" si="7"/>
        <v>1093</v>
      </c>
      <c r="B94" s="3" t="s">
        <v>2103</v>
      </c>
      <c r="C94" t="str">
        <f>CONCATENATE("'",ALUMNOS!E96,"'")</f>
        <v>'aureaemily.osorniocontreras'</v>
      </c>
      <c r="D94" t="str">
        <f>CONCATENATE(ALUMNOS!F96,"'")</f>
        <v>'111054'</v>
      </c>
      <c r="E94" t="s">
        <v>2723</v>
      </c>
      <c r="F94" t="str">
        <f>CONCATENATE("'",ALUMNOS!H96,"'")</f>
        <v>'OSORNIO CONTRERAS AUREA EMILY'</v>
      </c>
      <c r="G94" t="str">
        <f>CONCATENATE("'",ALUMNOS!I96,"'")</f>
        <v>'PSICOLOGIA'</v>
      </c>
      <c r="H94" t="str">
        <f>CONCATENATE("'",ALUMNOS!J96,"'")</f>
        <v>'4to'</v>
      </c>
      <c r="I94" t="str">
        <f>CONCATENATE("'",ALUMNOS!K96,"'")</f>
        <v>'Femenino'</v>
      </c>
      <c r="J94" t="str">
        <f>CONCATENATE("'",ALUMNOS!L96,"'")</f>
        <v>'Activo'</v>
      </c>
      <c r="K94" t="str">
        <f t="shared" si="5"/>
        <v>1093,'LICENCIATURA','aureaemily.osorniocontreras','111054','TOMAR DEL SND','OSORNIO CONTRERAS AUREA EMILY','PSICOLOGIA','4to','FEMENINO','ACTIVO','',0,0,'','ALUMNO'</v>
      </c>
      <c r="L94" t="str">
        <f t="shared" si="4"/>
        <v>INSERT INTO participantes (id,nivel,correo,matricula,clave,nombre,carrera,grado,sexo,situacion,evaluados,num_evaluados,total_evaluaciones,ultimo_acceso,nivel_acceso) VALUES (1093,'LICENCIATURA','aureaemily.osorniocontreras','111054','TOMAR DEL SND','OSORNIO CONTRERAS AUREA EMILY','PSICOLOGIA','4to','FEMENINO','ACTIVO','',0,0,'','ALUMNO');</v>
      </c>
      <c r="M94" t="str">
        <f t="shared" si="6"/>
        <v>update participantes set correo='aureaemily.osorniocontreras' where id=1093;</v>
      </c>
    </row>
    <row r="95" spans="1:13" x14ac:dyDescent="0.25">
      <c r="A95">
        <f t="shared" si="7"/>
        <v>1094</v>
      </c>
      <c r="B95" s="3" t="s">
        <v>2103</v>
      </c>
      <c r="C95" t="str">
        <f>CONCATENATE("'",ALUMNOS!E97,"'")</f>
        <v>'aurorasarahi.arroyocampos'</v>
      </c>
      <c r="D95" t="str">
        <f>CONCATENATE(ALUMNOS!F97,"'")</f>
        <v>'109988'</v>
      </c>
      <c r="E95" t="s">
        <v>2723</v>
      </c>
      <c r="F95" t="str">
        <f>CONCATENATE("'",ALUMNOS!H97,"'")</f>
        <v>'ARROYO CAMPOS AURORA SARAHI'</v>
      </c>
      <c r="G95" t="str">
        <f>CONCATENATE("'",ALUMNOS!I97,"'")</f>
        <v>'PSICOLOGIA'</v>
      </c>
      <c r="H95" t="str">
        <f>CONCATENATE("'",ALUMNOS!J97,"'")</f>
        <v>'8vo'</v>
      </c>
      <c r="I95" t="str">
        <f>CONCATENATE("'",ALUMNOS!K97,"'")</f>
        <v>'Femenino'</v>
      </c>
      <c r="J95" t="str">
        <f>CONCATENATE("'",ALUMNOS!L97,"'")</f>
        <v>'Activo'</v>
      </c>
      <c r="K95" t="str">
        <f t="shared" si="5"/>
        <v>1094,'LICENCIATURA','aurorasarahi.arroyocampos','109988','TOMAR DEL SND','ARROYO CAMPOS AURORA SARAHI','PSICOLOGIA','8vo','FEMENINO','ACTIVO','',0,0,'','ALUMNO'</v>
      </c>
      <c r="L95" t="str">
        <f t="shared" si="4"/>
        <v>INSERT INTO participantes (id,nivel,correo,matricula,clave,nombre,carrera,grado,sexo,situacion,evaluados,num_evaluados,total_evaluaciones,ultimo_acceso,nivel_acceso) VALUES (1094,'LICENCIATURA','aurorasarahi.arroyocampos','109988','TOMAR DEL SND','ARROYO CAMPOS AURORA SARAHI','PSICOLOGIA','8vo','FEMENINO','ACTIVO','',0,0,'','ALUMNO');</v>
      </c>
      <c r="M95" t="str">
        <f t="shared" si="6"/>
        <v>update participantes set correo='aurorasarahi.arroyocampos' where id=1094;</v>
      </c>
    </row>
    <row r="96" spans="1:13" x14ac:dyDescent="0.25">
      <c r="A96">
        <f t="shared" si="7"/>
        <v>1095</v>
      </c>
      <c r="B96" s="3" t="s">
        <v>2103</v>
      </c>
      <c r="C96" t="str">
        <f>CONCATENATE("'",ALUMNOS!E98,"'")</f>
        <v>'axelguillermo.martinezruiz'</v>
      </c>
      <c r="D96" t="str">
        <f>CONCATENATE(ALUMNOS!F98,"'")</f>
        <v>'007047'</v>
      </c>
      <c r="E96" t="s">
        <v>2723</v>
      </c>
      <c r="F96" t="str">
        <f>CONCATENATE("'",ALUMNOS!H98,"'")</f>
        <v>'MARTINEZ RUIZ AXEL GUILLERMO'</v>
      </c>
      <c r="G96" t="str">
        <f>CONCATENATE("'",ALUMNOS!I98,"'")</f>
        <v>'INGENIERIA AEROESPACIAL'</v>
      </c>
      <c r="H96" t="str">
        <f>CONCATENATE("'",ALUMNOS!J98,"'")</f>
        <v>'10mo'</v>
      </c>
      <c r="I96" t="str">
        <f>CONCATENATE("'",ALUMNOS!K98,"'")</f>
        <v>'Masculino'</v>
      </c>
      <c r="J96" t="str">
        <f>CONCATENATE("'",ALUMNOS!L98,"'")</f>
        <v>'Activo'</v>
      </c>
      <c r="K96" t="str">
        <f t="shared" si="5"/>
        <v>1095,'LICENCIATURA','axelguillermo.martinezruiz','007047','TOMAR DEL SND','MARTINEZ RUIZ AXEL GUILLERMO','INGENIERIA AEROESPACIAL','10mo','MASCULINO','ACTIVO','',0,0,'','ALUMNO'</v>
      </c>
      <c r="L96" t="str">
        <f t="shared" si="4"/>
        <v>INSERT INTO participantes (id,nivel,correo,matricula,clave,nombre,carrera,grado,sexo,situacion,evaluados,num_evaluados,total_evaluaciones,ultimo_acceso,nivel_acceso) VALUES (1095,'LICENCIATURA','axelguillermo.martinezruiz','007047','TOMAR DEL SND','MARTINEZ RUIZ AXEL GUILLERMO','INGENIERIA AEROESPACIAL','10mo','MASCULINO','ACTIVO','',0,0,'','ALUMNO');</v>
      </c>
      <c r="M96" t="str">
        <f t="shared" si="6"/>
        <v>update participantes set correo='axelguillermo.martinezruiz' where id=1095;</v>
      </c>
    </row>
    <row r="97" spans="1:13" x14ac:dyDescent="0.25">
      <c r="A97">
        <f t="shared" si="7"/>
        <v>1096</v>
      </c>
      <c r="B97" s="3" t="s">
        <v>2103</v>
      </c>
      <c r="C97" t="str">
        <f>CONCATENATE("'",ALUMNOS!E99,"'")</f>
        <v>'bernarda.bautistamariano'</v>
      </c>
      <c r="D97" t="str">
        <f>CONCATENATE(ALUMNOS!F99,"'")</f>
        <v>'112016'</v>
      </c>
      <c r="E97" t="s">
        <v>2723</v>
      </c>
      <c r="F97" t="str">
        <f>CONCATENATE("'",ALUMNOS!H99,"'")</f>
        <v>'BAUTISTA MARIANO BERNARDA'</v>
      </c>
      <c r="G97" t="str">
        <f>CONCATENATE("'",ALUMNOS!I99,"'")</f>
        <v>'PSICOLOGIA'</v>
      </c>
      <c r="H97" t="str">
        <f>CONCATENATE("'",ALUMNOS!J99,"'")</f>
        <v>'2do'</v>
      </c>
      <c r="I97" t="str">
        <f>CONCATENATE("'",ALUMNOS!K99,"'")</f>
        <v>'Femenino'</v>
      </c>
      <c r="J97" t="str">
        <f>CONCATENATE("'",ALUMNOS!L99,"'")</f>
        <v>'Activo'</v>
      </c>
      <c r="K97" t="str">
        <f t="shared" si="5"/>
        <v>1096,'LICENCIATURA','bernarda.bautistamariano','112016','TOMAR DEL SND','BAUTISTA MARIANO BERNARDA','PSICOLOGIA','2do','FEMENINO','ACTIVO','',0,0,'','ALUMNO'</v>
      </c>
      <c r="L97" t="str">
        <f t="shared" si="4"/>
        <v>INSERT INTO participantes (id,nivel,correo,matricula,clave,nombre,carrera,grado,sexo,situacion,evaluados,num_evaluados,total_evaluaciones,ultimo_acceso,nivel_acceso) VALUES (1096,'LICENCIATURA','bernarda.bautistamariano','112016','TOMAR DEL SND','BAUTISTA MARIANO BERNARDA','PSICOLOGIA','2do','FEMENINO','ACTIVO','',0,0,'','ALUMNO');</v>
      </c>
      <c r="M97" t="str">
        <f t="shared" si="6"/>
        <v>update participantes set correo='bernarda.bautistamariano' where id=1096;</v>
      </c>
    </row>
    <row r="98" spans="1:13" x14ac:dyDescent="0.25">
      <c r="A98">
        <f t="shared" si="7"/>
        <v>1097</v>
      </c>
      <c r="B98" s="3" t="s">
        <v>2103</v>
      </c>
      <c r="C98" t="str">
        <f>CONCATENATE("'",ALUMNOS!E100,"'")</f>
        <v>'berthaerica.guzmanaparicio'</v>
      </c>
      <c r="D98" t="str">
        <f>CONCATENATE(ALUMNOS!F100,"'")</f>
        <v>'111791'</v>
      </c>
      <c r="E98" t="s">
        <v>2723</v>
      </c>
      <c r="F98" t="str">
        <f>CONCATENATE("'",ALUMNOS!H100,"'")</f>
        <v>'GUZMAN APARICIO BERTHA ERICA'</v>
      </c>
      <c r="G98" t="str">
        <f>CONCATENATE("'",ALUMNOS!I100,"'")</f>
        <v>'ANIMACION DIGITAL Y VIDEOJUEGOS'</v>
      </c>
      <c r="H98" t="str">
        <f>CONCATENATE("'",ALUMNOS!J100,"'")</f>
        <v>'2do'</v>
      </c>
      <c r="I98" t="str">
        <f>CONCATENATE("'",ALUMNOS!K100,"'")</f>
        <v>'Femenino'</v>
      </c>
      <c r="J98" t="str">
        <f>CONCATENATE("'",ALUMNOS!L100,"'")</f>
        <v>'Activo'</v>
      </c>
      <c r="K98" t="str">
        <f t="shared" si="5"/>
        <v>1097,'LICENCIATURA','berthaerica.guzmanaparicio','111791','TOMAR DEL SND','GUZMAN APARICIO BERTHA ERICA','ANIMACION DIGITAL Y VIDEOJUEGOS','2do','FEMENINO','ACTIVO','',0,0,'','ALUMNO'</v>
      </c>
      <c r="L98" t="str">
        <f t="shared" si="4"/>
        <v>INSERT INTO participantes (id,nivel,correo,matricula,clave,nombre,carrera,grado,sexo,situacion,evaluados,num_evaluados,total_evaluaciones,ultimo_acceso,nivel_acceso) VALUES (1097,'LICENCIATURA','berthaerica.guzmanaparicio','111791','TOMAR DEL SND','GUZMAN APARICIO BERTHA ERICA','ANIMACION DIGITAL Y VIDEOJUEGOS','2do','FEMENINO','ACTIVO','',0,0,'','ALUMNO');</v>
      </c>
      <c r="M98" t="str">
        <f t="shared" si="6"/>
        <v>update participantes set correo='berthaerica.guzmanaparicio' where id=1097;</v>
      </c>
    </row>
    <row r="99" spans="1:13" x14ac:dyDescent="0.25">
      <c r="A99">
        <f t="shared" si="7"/>
        <v>1098</v>
      </c>
      <c r="B99" s="3" t="s">
        <v>2103</v>
      </c>
      <c r="C99" t="str">
        <f>CONCATENATE("'",ALUMNOS!E101,"'")</f>
        <v>'bethelcitlali.sosatorres'</v>
      </c>
      <c r="D99" t="str">
        <f>CONCATENATE(ALUMNOS!F101,"'")</f>
        <v>'110565'</v>
      </c>
      <c r="E99" t="s">
        <v>2723</v>
      </c>
      <c r="F99" t="str">
        <f>CONCATENATE("'",ALUMNOS!H101,"'")</f>
        <v>'SOSA TORRES BETHEL CITLALI'</v>
      </c>
      <c r="G99" t="str">
        <f>CONCATENATE("'",ALUMNOS!I101,"'")</f>
        <v>'ANIMACION DIGITAL Y VIDEOJUEGOS'</v>
      </c>
      <c r="H99" t="str">
        <f>CONCATENATE("'",ALUMNOS!J101,"'")</f>
        <v>'6to'</v>
      </c>
      <c r="I99" t="str">
        <f>CONCATENATE("'",ALUMNOS!K101,"'")</f>
        <v>'Femenino'</v>
      </c>
      <c r="J99" t="str">
        <f>CONCATENATE("'",ALUMNOS!L101,"'")</f>
        <v>'Activo'</v>
      </c>
      <c r="K99" t="str">
        <f t="shared" si="5"/>
        <v>1098,'LICENCIATURA','bethelcitlali.sosatorres','110565','TOMAR DEL SND','SOSA TORRES BETHEL CITLALI','ANIMACION DIGITAL Y VIDEOJUEGOS','6to','FEMENINO','ACTIVO','',0,0,'','ALUMNO'</v>
      </c>
      <c r="L99" t="str">
        <f t="shared" si="4"/>
        <v>INSERT INTO participantes (id,nivel,correo,matricula,clave,nombre,carrera,grado,sexo,situacion,evaluados,num_evaluados,total_evaluaciones,ultimo_acceso,nivel_acceso) VALUES (1098,'LICENCIATURA','bethelcitlali.sosatorres','110565','TOMAR DEL SND','SOSA TORRES BETHEL CITLALI','ANIMACION DIGITAL Y VIDEOJUEGOS','6to','FEMENINO','ACTIVO','',0,0,'','ALUMNO');</v>
      </c>
      <c r="M99" t="str">
        <f t="shared" si="6"/>
        <v>update participantes set correo='bethelcitlali.sosatorres' where id=1098;</v>
      </c>
    </row>
    <row r="100" spans="1:13" x14ac:dyDescent="0.25">
      <c r="A100">
        <f t="shared" si="7"/>
        <v>1099</v>
      </c>
      <c r="B100" s="3" t="s">
        <v>2103</v>
      </c>
      <c r="C100" t="str">
        <f>CONCATENATE("'",ALUMNOS!E102,"'")</f>
        <v>'blancaleticia.iñiguezoseguera'</v>
      </c>
      <c r="D100" t="str">
        <f>CONCATENATE(ALUMNOS!F102,"'")</f>
        <v>'111636'</v>
      </c>
      <c r="E100" t="s">
        <v>2723</v>
      </c>
      <c r="F100" t="str">
        <f>CONCATENATE("'",ALUMNOS!H102,"'")</f>
        <v>'IÑIGUEZ OSEGUERA BLANCA LETICIA'</v>
      </c>
      <c r="G100" t="str">
        <f>CONCATENATE("'",ALUMNOS!I102,"'")</f>
        <v>'PSICOLOGIA'</v>
      </c>
      <c r="H100" t="str">
        <f>CONCATENATE("'",ALUMNOS!J102,"'")</f>
        <v>'2do'</v>
      </c>
      <c r="I100" t="str">
        <f>CONCATENATE("'",ALUMNOS!K102,"'")</f>
        <v>'Femenino'</v>
      </c>
      <c r="J100" t="str">
        <f>CONCATENATE("'",ALUMNOS!L102,"'")</f>
        <v>'Activo'</v>
      </c>
      <c r="K100" t="str">
        <f t="shared" si="5"/>
        <v>1099,'LICENCIATURA','blancaleticia.iñiguezoseguera','111636','TOMAR DEL SND','IÑIGUEZ OSEGUERA BLANCA LETICIA','PSICOLOGIA','2do','FEMENINO','ACTIVO','',0,0,'','ALUMNO'</v>
      </c>
      <c r="L100" t="str">
        <f t="shared" si="4"/>
        <v>INSERT INTO participantes (id,nivel,correo,matricula,clave,nombre,carrera,grado,sexo,situacion,evaluados,num_evaluados,total_evaluaciones,ultimo_acceso,nivel_acceso) VALUES (1099,'LICENCIATURA','blancaleticia.iñiguezoseguera','111636','TOMAR DEL SND','IÑIGUEZ OSEGUERA BLANCA LETICIA','PSICOLOGIA','2do','FEMENINO','ACTIVO','',0,0,'','ALUMNO');</v>
      </c>
      <c r="M100" t="str">
        <f t="shared" si="6"/>
        <v>update participantes set correo='blancaleticia.iñiguezoseguera' where id=1099;</v>
      </c>
    </row>
    <row r="101" spans="1:13" x14ac:dyDescent="0.25">
      <c r="A101">
        <f t="shared" si="7"/>
        <v>1100</v>
      </c>
      <c r="B101" s="3" t="s">
        <v>2103</v>
      </c>
      <c r="C101" t="str">
        <f>CONCATENATE("'",ALUMNOS!E103,"'")</f>
        <v>'blas.padronvazquez'</v>
      </c>
      <c r="D101" t="str">
        <f>CONCATENATE(ALUMNOS!F103,"'")</f>
        <v>'111738'</v>
      </c>
      <c r="E101" t="s">
        <v>2723</v>
      </c>
      <c r="F101" t="str">
        <f>CONCATENATE("'",ALUMNOS!H103,"'")</f>
        <v>'PADRON VAZQUEZ BLAS'</v>
      </c>
      <c r="G101" t="str">
        <f>CONCATENATE("'",ALUMNOS!I103,"'")</f>
        <v>'INGENIERIA AEROESPACIAL'</v>
      </c>
      <c r="H101" t="str">
        <f>CONCATENATE("'",ALUMNOS!J103,"'")</f>
        <v>'2do'</v>
      </c>
      <c r="I101" t="str">
        <f>CONCATENATE("'",ALUMNOS!K103,"'")</f>
        <v>'Masculino'</v>
      </c>
      <c r="J101" t="str">
        <f>CONCATENATE("'",ALUMNOS!L103,"'")</f>
        <v>'Activo'</v>
      </c>
      <c r="K101" t="str">
        <f t="shared" si="5"/>
        <v>1100,'LICENCIATURA','blas.padronvazquez','111738','TOMAR DEL SND','PADRON VAZQUEZ BLAS','INGENIERIA AEROESPACIAL','2do','MASCULINO','ACTIVO','',0,0,'','ALUMNO'</v>
      </c>
      <c r="L101" t="str">
        <f t="shared" si="4"/>
        <v>INSERT INTO participantes (id,nivel,correo,matricula,clave,nombre,carrera,grado,sexo,situacion,evaluados,num_evaluados,total_evaluaciones,ultimo_acceso,nivel_acceso) VALUES (1100,'LICENCIATURA','blas.padronvazquez','111738','TOMAR DEL SND','PADRON VAZQUEZ BLAS','INGENIERIA AEROESPACIAL','2do','MASCULINO','ACTIVO','',0,0,'','ALUMNO');</v>
      </c>
      <c r="M101" t="str">
        <f t="shared" si="6"/>
        <v>update participantes set correo='blas.padronvazquez' where id=1100;</v>
      </c>
    </row>
    <row r="102" spans="1:13" x14ac:dyDescent="0.25">
      <c r="A102">
        <f t="shared" si="7"/>
        <v>1101</v>
      </c>
      <c r="B102" s="3" t="s">
        <v>2103</v>
      </c>
      <c r="C102" t="str">
        <f>CONCATENATE("'",ALUMNOS!E104,"'")</f>
        <v>'bogargerardo.gallegosarciniega'</v>
      </c>
      <c r="D102" t="str">
        <f>CONCATENATE(ALUMNOS!F104,"'")</f>
        <v>'110531'</v>
      </c>
      <c r="E102" t="s">
        <v>2723</v>
      </c>
      <c r="F102" t="str">
        <f>CONCATENATE("'",ALUMNOS!H104,"'")</f>
        <v>'GALLEGOS ARCINIEGA BOGAR GERARDO'</v>
      </c>
      <c r="G102" t="str">
        <f>CONCATENATE("'",ALUMNOS!I104,"'")</f>
        <v>'INGENIERIA AEROESPACIAL'</v>
      </c>
      <c r="H102" t="str">
        <f>CONCATENATE("'",ALUMNOS!J104,"'")</f>
        <v>'6to'</v>
      </c>
      <c r="I102" t="str">
        <f>CONCATENATE("'",ALUMNOS!K104,"'")</f>
        <v>'Masculino'</v>
      </c>
      <c r="J102" t="str">
        <f>CONCATENATE("'",ALUMNOS!L104,"'")</f>
        <v>'Activo'</v>
      </c>
      <c r="K102" t="str">
        <f t="shared" si="5"/>
        <v>1101,'LICENCIATURA','bogargerardo.gallegosarciniega','110531','TOMAR DEL SND','GALLEGOS ARCINIEGA BOGAR GERARDO','INGENIERIA AEROESPACIAL','6to','MASCULINO','ACTIVO','',0,0,'','ALUMNO'</v>
      </c>
      <c r="L102" t="str">
        <f t="shared" si="4"/>
        <v>INSERT INTO participantes (id,nivel,correo,matricula,clave,nombre,carrera,grado,sexo,situacion,evaluados,num_evaluados,total_evaluaciones,ultimo_acceso,nivel_acceso) VALUES (1101,'LICENCIATURA','bogargerardo.gallegosarciniega','110531','TOMAR DEL SND','GALLEGOS ARCINIEGA BOGAR GERARDO','INGENIERIA AEROESPACIAL','6to','MASCULINO','ACTIVO','',0,0,'','ALUMNO');</v>
      </c>
      <c r="M102" t="str">
        <f t="shared" si="6"/>
        <v>update participantes set correo='bogargerardo.gallegosarciniega' where id=1101;</v>
      </c>
    </row>
    <row r="103" spans="1:13" x14ac:dyDescent="0.25">
      <c r="A103">
        <f t="shared" si="7"/>
        <v>1102</v>
      </c>
      <c r="B103" s="3" t="s">
        <v>2103</v>
      </c>
      <c r="C103" t="str">
        <f>CONCATENATE("'",ALUMNOS!E105,"'")</f>
        <v>'braulioaaron.gaticacano'</v>
      </c>
      <c r="D103" t="str">
        <f>CONCATENATE(ALUMNOS!F105,"'")</f>
        <v>'111130'</v>
      </c>
      <c r="E103" t="s">
        <v>2723</v>
      </c>
      <c r="F103" t="str">
        <f>CONCATENATE("'",ALUMNOS!H105,"'")</f>
        <v>'GATICA CANO BRAULIO AARON'</v>
      </c>
      <c r="G103" t="str">
        <f>CONCATENATE("'",ALUMNOS!I105,"'")</f>
        <v>'INGENIERIA AEROESPACIAL'</v>
      </c>
      <c r="H103" t="str">
        <f>CONCATENATE("'",ALUMNOS!J105,"'")</f>
        <v>'4to'</v>
      </c>
      <c r="I103" t="str">
        <f>CONCATENATE("'",ALUMNOS!K105,"'")</f>
        <v>'Masculino'</v>
      </c>
      <c r="J103" t="str">
        <f>CONCATENATE("'",ALUMNOS!L105,"'")</f>
        <v>'Activo'</v>
      </c>
      <c r="K103" t="str">
        <f t="shared" si="5"/>
        <v>1102,'LICENCIATURA','braulioaaron.gaticacano','111130','TOMAR DEL SND','GATICA CANO BRAULIO AARON','INGENIERIA AEROESPACIAL','4to','MASCULINO','ACTIVO','',0,0,'','ALUMNO'</v>
      </c>
      <c r="L103" t="str">
        <f t="shared" si="4"/>
        <v>INSERT INTO participantes (id,nivel,correo,matricula,clave,nombre,carrera,grado,sexo,situacion,evaluados,num_evaluados,total_evaluaciones,ultimo_acceso,nivel_acceso) VALUES (1102,'LICENCIATURA','braulioaaron.gaticacano','111130','TOMAR DEL SND','GATICA CANO BRAULIO AARON','INGENIERIA AEROESPACIAL','4to','MASCULINO','ACTIVO','',0,0,'','ALUMNO');</v>
      </c>
      <c r="M103" t="str">
        <f t="shared" si="6"/>
        <v>update participantes set correo='braulioaaron.gaticacano' where id=1102;</v>
      </c>
    </row>
    <row r="104" spans="1:13" x14ac:dyDescent="0.25">
      <c r="A104">
        <f t="shared" si="7"/>
        <v>1103</v>
      </c>
      <c r="B104" s="3" t="s">
        <v>2103</v>
      </c>
      <c r="C104" t="str">
        <f>CONCATENATE("'",ALUMNOS!E106,"'")</f>
        <v>'braulioisaias.perezalvarez'</v>
      </c>
      <c r="D104" t="str">
        <f>CONCATENATE(ALUMNOS!F106,"'")</f>
        <v>'111072'</v>
      </c>
      <c r="E104" t="s">
        <v>2723</v>
      </c>
      <c r="F104" t="str">
        <f>CONCATENATE("'",ALUMNOS!H106,"'")</f>
        <v>'PEREZ ALVAREZ BRAULIO ISAIAS'</v>
      </c>
      <c r="G104" t="str">
        <f>CONCATENATE("'",ALUMNOS!I106,"'")</f>
        <v>'ANIMACION DIGITAL Y VIDEOJUEGOS'</v>
      </c>
      <c r="H104" t="str">
        <f>CONCATENATE("'",ALUMNOS!J106,"'")</f>
        <v>'4to'</v>
      </c>
      <c r="I104" t="str">
        <f>CONCATENATE("'",ALUMNOS!K106,"'")</f>
        <v>'Masculino'</v>
      </c>
      <c r="J104" t="str">
        <f>CONCATENATE("'",ALUMNOS!L106,"'")</f>
        <v>'Activo'</v>
      </c>
      <c r="K104" t="str">
        <f t="shared" si="5"/>
        <v>1103,'LICENCIATURA','braulioisaias.perezalvarez','111072','TOMAR DEL SND','PEREZ ALVAREZ BRAULIO ISAIAS','ANIMACION DIGITAL Y VIDEOJUEGOS','4to','MASCULINO','ACTIVO','',0,0,'','ALUMNO'</v>
      </c>
      <c r="L104" t="str">
        <f t="shared" si="4"/>
        <v>INSERT INTO participantes (id,nivel,correo,matricula,clave,nombre,carrera,grado,sexo,situacion,evaluados,num_evaluados,total_evaluaciones,ultimo_acceso,nivel_acceso) VALUES (1103,'LICENCIATURA','braulioisaias.perezalvarez','111072','TOMAR DEL SND','PEREZ ALVAREZ BRAULIO ISAIAS','ANIMACION DIGITAL Y VIDEOJUEGOS','4to','MASCULINO','ACTIVO','',0,0,'','ALUMNO');</v>
      </c>
      <c r="M104" t="str">
        <f t="shared" si="6"/>
        <v>update participantes set correo='braulioisaias.perezalvarez' where id=1103;</v>
      </c>
    </row>
    <row r="105" spans="1:13" x14ac:dyDescent="0.25">
      <c r="A105">
        <f t="shared" si="7"/>
        <v>1104</v>
      </c>
      <c r="B105" s="3" t="s">
        <v>2103</v>
      </c>
      <c r="C105" t="str">
        <f>CONCATENATE("'",ALUMNOS!E107,"'")</f>
        <v>'brayanjose.riveraacosta'</v>
      </c>
      <c r="D105" t="str">
        <f>CONCATENATE(ALUMNOS!F107,"'")</f>
        <v>'111627'</v>
      </c>
      <c r="E105" t="s">
        <v>2723</v>
      </c>
      <c r="F105" t="str">
        <f>CONCATENATE("'",ALUMNOS!H107,"'")</f>
        <v>'RIVERA ACOSTA BRAYAN JOSE'</v>
      </c>
      <c r="G105" t="str">
        <f>CONCATENATE("'",ALUMNOS!I107,"'")</f>
        <v>'INGENIERÍA AUTOMOTRIZ'</v>
      </c>
      <c r="H105" t="str">
        <f>CONCATENATE("'",ALUMNOS!J107,"'")</f>
        <v>'2do'</v>
      </c>
      <c r="I105" t="str">
        <f>CONCATENATE("'",ALUMNOS!K107,"'")</f>
        <v>'Masculino'</v>
      </c>
      <c r="J105" t="str">
        <f>CONCATENATE("'",ALUMNOS!L107,"'")</f>
        <v>'Activo'</v>
      </c>
      <c r="K105" t="str">
        <f t="shared" si="5"/>
        <v>1104,'LICENCIATURA','brayanjose.riveraacosta','111627','TOMAR DEL SND','RIVERA ACOSTA BRAYAN JOSE','INGENIERÍA AUTOMOTRIZ','2do','MASCULINO','ACTIVO','',0,0,'','ALUMNO'</v>
      </c>
      <c r="L105" t="str">
        <f t="shared" si="4"/>
        <v>INSERT INTO participantes (id,nivel,correo,matricula,clave,nombre,carrera,grado,sexo,situacion,evaluados,num_evaluados,total_evaluaciones,ultimo_acceso,nivel_acceso) VALUES (1104,'LICENCIATURA','brayanjose.riveraacosta','111627','TOMAR DEL SND','RIVERA ACOSTA BRAYAN JOSE','INGENIERÍA AUTOMOTRIZ','2do','MASCULINO','ACTIVO','',0,0,'','ALUMNO');</v>
      </c>
      <c r="M105" t="str">
        <f t="shared" si="6"/>
        <v>update participantes set correo='brayanjose.riveraacosta' where id=1104;</v>
      </c>
    </row>
    <row r="106" spans="1:13" x14ac:dyDescent="0.25">
      <c r="A106">
        <f t="shared" si="7"/>
        <v>1105</v>
      </c>
      <c r="B106" s="3" t="s">
        <v>2103</v>
      </c>
      <c r="C106" t="str">
        <f>CONCATENATE("'",ALUMNOS!E108,"'")</f>
        <v>'brendaguadalupe.bojadodelreal'</v>
      </c>
      <c r="D106" t="str">
        <f>CONCATENATE(ALUMNOS!F108,"'")</f>
        <v>'111798'</v>
      </c>
      <c r="E106" t="s">
        <v>2723</v>
      </c>
      <c r="F106" t="str">
        <f>CONCATENATE("'",ALUMNOS!H108,"'")</f>
        <v>'BOJADO DEL REAL BRENDA GUADALUPE'</v>
      </c>
      <c r="G106" t="str">
        <f>CONCATENATE("'",ALUMNOS!I108,"'")</f>
        <v>'ARQUITECTURA'</v>
      </c>
      <c r="H106" t="str">
        <f>CONCATENATE("'",ALUMNOS!J108,"'")</f>
        <v>'2do'</v>
      </c>
      <c r="I106" t="str">
        <f>CONCATENATE("'",ALUMNOS!K108,"'")</f>
        <v>'Femenino'</v>
      </c>
      <c r="J106" t="str">
        <f>CONCATENATE("'",ALUMNOS!L108,"'")</f>
        <v>'Activo'</v>
      </c>
      <c r="K106" t="str">
        <f t="shared" si="5"/>
        <v>1105,'LICENCIATURA','brendaguadalupe.bojadodelreal','111798','TOMAR DEL SND','BOJADO DEL REAL BRENDA GUADALUPE','ARQUITECTURA','2do','FEMENINO','ACTIVO','',0,0,'','ALUMNO'</v>
      </c>
      <c r="L106" t="str">
        <f t="shared" si="4"/>
        <v>INSERT INTO participantes (id,nivel,correo,matricula,clave,nombre,carrera,grado,sexo,situacion,evaluados,num_evaluados,total_evaluaciones,ultimo_acceso,nivel_acceso) VALUES (1105,'LICENCIATURA','brendaguadalupe.bojadodelreal','111798','TOMAR DEL SND','BOJADO DEL REAL BRENDA GUADALUPE','ARQUITECTURA','2do','FEMENINO','ACTIVO','',0,0,'','ALUMNO');</v>
      </c>
      <c r="M106" t="str">
        <f t="shared" si="6"/>
        <v>update participantes set correo='brendaguadalupe.bojadodelreal' where id=1105;</v>
      </c>
    </row>
    <row r="107" spans="1:13" x14ac:dyDescent="0.25">
      <c r="A107">
        <f t="shared" si="7"/>
        <v>1106</v>
      </c>
      <c r="B107" s="3" t="s">
        <v>2103</v>
      </c>
      <c r="C107" t="str">
        <f>CONCATENATE("'",ALUMNOS!E109,"'")</f>
        <v>'brendamelissa.soliscerpa'</v>
      </c>
      <c r="D107" t="str">
        <f>CONCATENATE(ALUMNOS!F109,"'")</f>
        <v>'111815'</v>
      </c>
      <c r="E107" t="s">
        <v>2723</v>
      </c>
      <c r="F107" t="str">
        <f>CONCATENATE("'",ALUMNOS!H109,"'")</f>
        <v>'SOLIS CERPA BRENDA MELISSA'</v>
      </c>
      <c r="G107" t="str">
        <f>CONCATENATE("'",ALUMNOS!I109,"'")</f>
        <v>'PSICOLOGIA'</v>
      </c>
      <c r="H107" t="str">
        <f>CONCATENATE("'",ALUMNOS!J109,"'")</f>
        <v>'2do'</v>
      </c>
      <c r="I107" t="str">
        <f>CONCATENATE("'",ALUMNOS!K109,"'")</f>
        <v>'Femenino'</v>
      </c>
      <c r="J107" t="str">
        <f>CONCATENATE("'",ALUMNOS!L109,"'")</f>
        <v>'Activo'</v>
      </c>
      <c r="K107" t="str">
        <f t="shared" si="5"/>
        <v>1106,'LICENCIATURA','brendamelissa.soliscerpa','111815','TOMAR DEL SND','SOLIS CERPA BRENDA MELISSA','PSICOLOGIA','2do','FEMENINO','ACTIVO','',0,0,'','ALUMNO'</v>
      </c>
      <c r="L107" t="str">
        <f t="shared" si="4"/>
        <v>INSERT INTO participantes (id,nivel,correo,matricula,clave,nombre,carrera,grado,sexo,situacion,evaluados,num_evaluados,total_evaluaciones,ultimo_acceso,nivel_acceso) VALUES (1106,'LICENCIATURA','brendamelissa.soliscerpa','111815','TOMAR DEL SND','SOLIS CERPA BRENDA MELISSA','PSICOLOGIA','2do','FEMENINO','ACTIVO','',0,0,'','ALUMNO');</v>
      </c>
      <c r="M107" t="str">
        <f t="shared" si="6"/>
        <v>update participantes set correo='brendamelissa.soliscerpa' where id=1106;</v>
      </c>
    </row>
    <row r="108" spans="1:13" x14ac:dyDescent="0.25">
      <c r="A108">
        <f t="shared" si="7"/>
        <v>1107</v>
      </c>
      <c r="B108" s="3" t="s">
        <v>2103</v>
      </c>
      <c r="C108" t="str">
        <f>CONCATENATE("'",ALUMNOS!E110,"'")</f>
        <v>'brendasusana.padillavidales'</v>
      </c>
      <c r="D108" t="str">
        <f>CONCATENATE(ALUMNOS!F110,"'")</f>
        <v>'111119'</v>
      </c>
      <c r="E108" t="s">
        <v>2723</v>
      </c>
      <c r="F108" t="str">
        <f>CONCATENATE("'",ALUMNOS!H110,"'")</f>
        <v>'PADILLA VIDALES BRENDA SUSANA'</v>
      </c>
      <c r="G108" t="str">
        <f>CONCATENATE("'",ALUMNOS!I110,"'")</f>
        <v>'PSICOLOGIA'</v>
      </c>
      <c r="H108" t="str">
        <f>CONCATENATE("'",ALUMNOS!J110,"'")</f>
        <v>'4to'</v>
      </c>
      <c r="I108" t="str">
        <f>CONCATENATE("'",ALUMNOS!K110,"'")</f>
        <v>'Femenino'</v>
      </c>
      <c r="J108" t="str">
        <f>CONCATENATE("'",ALUMNOS!L110,"'")</f>
        <v>'Activo'</v>
      </c>
      <c r="K108" t="str">
        <f t="shared" si="5"/>
        <v>1107,'LICENCIATURA','brendasusana.padillavidales','111119','TOMAR DEL SND','PADILLA VIDALES BRENDA SUSANA','PSICOLOGIA','4to','FEMENINO','ACTIVO','',0,0,'','ALUMNO'</v>
      </c>
      <c r="L108" t="str">
        <f t="shared" si="4"/>
        <v>INSERT INTO participantes (id,nivel,correo,matricula,clave,nombre,carrera,grado,sexo,situacion,evaluados,num_evaluados,total_evaluaciones,ultimo_acceso,nivel_acceso) VALUES (1107,'LICENCIATURA','brendasusana.padillavidales','111119','TOMAR DEL SND','PADILLA VIDALES BRENDA SUSANA','PSICOLOGIA','4to','FEMENINO','ACTIVO','',0,0,'','ALUMNO');</v>
      </c>
      <c r="M108" t="str">
        <f t="shared" si="6"/>
        <v>update participantes set correo='brendasusana.padillavidales' where id=1107;</v>
      </c>
    </row>
    <row r="109" spans="1:13" x14ac:dyDescent="0.25">
      <c r="A109">
        <f t="shared" si="7"/>
        <v>1108</v>
      </c>
      <c r="B109" s="3" t="s">
        <v>2103</v>
      </c>
      <c r="C109" t="str">
        <f>CONCATENATE("'",ALUMNOS!E111,"'")</f>
        <v>'brendaxiadani.maciasayala'</v>
      </c>
      <c r="D109" t="str">
        <f>CONCATENATE(ALUMNOS!F111,"'")</f>
        <v>'110467'</v>
      </c>
      <c r="E109" t="s">
        <v>2723</v>
      </c>
      <c r="F109" t="str">
        <f>CONCATENATE("'",ALUMNOS!H111,"'")</f>
        <v>'MACIAS AYALA BRENDA XIADANI'</v>
      </c>
      <c r="G109" t="str">
        <f>CONCATENATE("'",ALUMNOS!I111,"'")</f>
        <v>'INGENIERIA AEROESPACIAL'</v>
      </c>
      <c r="H109" t="str">
        <f>CONCATENATE("'",ALUMNOS!J111,"'")</f>
        <v>'6to'</v>
      </c>
      <c r="I109" t="str">
        <f>CONCATENATE("'",ALUMNOS!K111,"'")</f>
        <v>'Femenino'</v>
      </c>
      <c r="J109" t="str">
        <f>CONCATENATE("'",ALUMNOS!L111,"'")</f>
        <v>'Activo'</v>
      </c>
      <c r="K109" t="str">
        <f t="shared" si="5"/>
        <v>1108,'LICENCIATURA','brendaxiadani.maciasayala','110467','TOMAR DEL SND','MACIAS AYALA BRENDA XIADANI','INGENIERIA AEROESPACIAL','6to','FEMENINO','ACTIVO','',0,0,'','ALUMNO'</v>
      </c>
      <c r="L109" t="str">
        <f t="shared" si="4"/>
        <v>INSERT INTO participantes (id,nivel,correo,matricula,clave,nombre,carrera,grado,sexo,situacion,evaluados,num_evaluados,total_evaluaciones,ultimo_acceso,nivel_acceso) VALUES (1108,'LICENCIATURA','brendaxiadani.maciasayala','110467','TOMAR DEL SND','MACIAS AYALA BRENDA XIADANI','INGENIERIA AEROESPACIAL','6to','FEMENINO','ACTIVO','',0,0,'','ALUMNO');</v>
      </c>
      <c r="M109" t="str">
        <f t="shared" si="6"/>
        <v>update participantes set correo='brendaxiadani.maciasayala' where id=1108;</v>
      </c>
    </row>
    <row r="110" spans="1:13" x14ac:dyDescent="0.25">
      <c r="A110">
        <f t="shared" si="7"/>
        <v>1109</v>
      </c>
      <c r="B110" s="3" t="s">
        <v>2103</v>
      </c>
      <c r="C110" t="str">
        <f>CONCATENATE("'",ALUMNOS!E112,"'")</f>
        <v>'brianesau.lozanovelazquez'</v>
      </c>
      <c r="D110" t="str">
        <f>CONCATENATE(ALUMNOS!F112,"'")</f>
        <v>'109981'</v>
      </c>
      <c r="E110" t="s">
        <v>2723</v>
      </c>
      <c r="F110" t="str">
        <f>CONCATENATE("'",ALUMNOS!H112,"'")</f>
        <v>'LOZANO VELAZQUEZ BRIAN ESAU'</v>
      </c>
      <c r="G110" t="str">
        <f>CONCATENATE("'",ALUMNOS!I112,"'")</f>
        <v>'INGENIERIA CIBERNETICA Y EN SISTEMAS COMPUTACIONALES'</v>
      </c>
      <c r="H110" t="str">
        <f>CONCATENATE("'",ALUMNOS!J112,"'")</f>
        <v>'8vo'</v>
      </c>
      <c r="I110" t="str">
        <f>CONCATENATE("'",ALUMNOS!K112,"'")</f>
        <v>'Masculino'</v>
      </c>
      <c r="J110" t="str">
        <f>CONCATENATE("'",ALUMNOS!L112,"'")</f>
        <v>'Activo'</v>
      </c>
      <c r="K110" t="str">
        <f t="shared" si="5"/>
        <v>1109,'LICENCIATURA','brianesau.lozanovelazquez','109981','TOMAR DEL SND','LOZANO VELAZQUEZ BRIAN ESAU','INGENIERIA CIBERNETICA Y EN SISTEMAS COMPUTACIONALES','8vo','MASCULINO','ACTIVO','',0,0,'','ALUMNO'</v>
      </c>
      <c r="L110" t="str">
        <f t="shared" si="4"/>
        <v>INSERT INTO participantes (id,nivel,correo,matricula,clave,nombre,carrera,grado,sexo,situacion,evaluados,num_evaluados,total_evaluaciones,ultimo_acceso,nivel_acceso) VALUES (1109,'LICENCIATURA','brianesau.lozanovelazquez','109981','TOMAR DEL SND','LOZANO VELAZQUEZ BRIAN ESAU','INGENIERIA CIBERNETICA Y EN SISTEMAS COMPUTACIONALES','8vo','MASCULINO','ACTIVO','',0,0,'','ALUMNO');</v>
      </c>
      <c r="M110" t="str">
        <f t="shared" si="6"/>
        <v>update participantes set correo='brianesau.lozanovelazquez' where id=1109;</v>
      </c>
    </row>
    <row r="111" spans="1:13" x14ac:dyDescent="0.25">
      <c r="A111">
        <f t="shared" si="7"/>
        <v>1110</v>
      </c>
      <c r="B111" s="3" t="s">
        <v>2103</v>
      </c>
      <c r="C111" t="str">
        <f>CONCATENATE("'",ALUMNOS!E113,"'")</f>
        <v>'brunojoel.alvaradochavez'</v>
      </c>
      <c r="D111" t="str">
        <f>CONCATENATE(ALUMNOS!F113,"'")</f>
        <v>'109852'</v>
      </c>
      <c r="E111" t="s">
        <v>2723</v>
      </c>
      <c r="F111" t="str">
        <f>CONCATENATE("'",ALUMNOS!H113,"'")</f>
        <v>'ALVARADO CHAVEZ BRUNO JOEL'</v>
      </c>
      <c r="G111" t="str">
        <f>CONCATENATE("'",ALUMNOS!I113,"'")</f>
        <v>'INGENIERIA AEROESPACIAL'</v>
      </c>
      <c r="H111" t="str">
        <f>CONCATENATE("'",ALUMNOS!J113,"'")</f>
        <v>'8vo'</v>
      </c>
      <c r="I111" t="str">
        <f>CONCATENATE("'",ALUMNOS!K113,"'")</f>
        <v>'Masculino'</v>
      </c>
      <c r="J111" t="str">
        <f>CONCATENATE("'",ALUMNOS!L113,"'")</f>
        <v>'Activo'</v>
      </c>
      <c r="K111" t="str">
        <f t="shared" si="5"/>
        <v>1110,'LICENCIATURA','brunojoel.alvaradochavez','109852','TOMAR DEL SND','ALVARADO CHAVEZ BRUNO JOEL','INGENIERIA AEROESPACIAL','8vo','MASCULINO','ACTIVO','',0,0,'','ALUMNO'</v>
      </c>
      <c r="L111" t="str">
        <f t="shared" si="4"/>
        <v>INSERT INTO participantes (id,nivel,correo,matricula,clave,nombre,carrera,grado,sexo,situacion,evaluados,num_evaluados,total_evaluaciones,ultimo_acceso,nivel_acceso) VALUES (1110,'LICENCIATURA','brunojoel.alvaradochavez','109852','TOMAR DEL SND','ALVARADO CHAVEZ BRUNO JOEL','INGENIERIA AEROESPACIAL','8vo','MASCULINO','ACTIVO','',0,0,'','ALUMNO');</v>
      </c>
      <c r="M111" t="str">
        <f t="shared" si="6"/>
        <v>update participantes set correo='brunojoel.alvaradochavez' where id=1110;</v>
      </c>
    </row>
    <row r="112" spans="1:13" x14ac:dyDescent="0.25">
      <c r="A112">
        <f t="shared" si="7"/>
        <v>1111</v>
      </c>
      <c r="B112" s="3" t="s">
        <v>2103</v>
      </c>
      <c r="C112" t="str">
        <f>CONCATENATE("'",ALUMNOS!E114,"'")</f>
        <v>'carla.carpinteromerino'</v>
      </c>
      <c r="D112" t="str">
        <f>CONCATENATE(ALUMNOS!F114,"'")</f>
        <v>'110478'</v>
      </c>
      <c r="E112" t="s">
        <v>2723</v>
      </c>
      <c r="F112" t="str">
        <f>CONCATENATE("'",ALUMNOS!H114,"'")</f>
        <v>'CARPINTERO MERINO CARLA'</v>
      </c>
      <c r="G112" t="str">
        <f>CONCATENATE("'",ALUMNOS!I114,"'")</f>
        <v>'INGENIERIA CIBERNETICA Y EN SISTEMAS COMPUTACIONALES'</v>
      </c>
      <c r="H112" t="str">
        <f>CONCATENATE("'",ALUMNOS!J114,"'")</f>
        <v>'6to'</v>
      </c>
      <c r="I112" t="str">
        <f>CONCATENATE("'",ALUMNOS!K114,"'")</f>
        <v>'Femenino'</v>
      </c>
      <c r="J112" t="str">
        <f>CONCATENATE("'",ALUMNOS!L114,"'")</f>
        <v>'Activo'</v>
      </c>
      <c r="K112" t="str">
        <f t="shared" si="5"/>
        <v>1111,'LICENCIATURA','carla.carpinteromerino','110478','TOMAR DEL SND','CARPINTERO MERINO CARLA','INGENIERIA CIBERNETICA Y EN SISTEMAS COMPUTACIONALES','6to','FEMENINO','ACTIVO','',0,0,'','ALUMNO'</v>
      </c>
      <c r="L112" t="str">
        <f t="shared" si="4"/>
        <v>INSERT INTO participantes (id,nivel,correo,matricula,clave,nombre,carrera,grado,sexo,situacion,evaluados,num_evaluados,total_evaluaciones,ultimo_acceso,nivel_acceso) VALUES (1111,'LICENCIATURA','carla.carpinteromerino','110478','TOMAR DEL SND','CARPINTERO MERINO CARLA','INGENIERIA CIBERNETICA Y EN SISTEMAS COMPUTACIONALES','6to','FEMENINO','ACTIVO','',0,0,'','ALUMNO');</v>
      </c>
      <c r="M112" t="str">
        <f t="shared" si="6"/>
        <v>update participantes set correo='carla.carpinteromerino' where id=1111;</v>
      </c>
    </row>
    <row r="113" spans="1:13" x14ac:dyDescent="0.25">
      <c r="A113">
        <f t="shared" si="7"/>
        <v>1112</v>
      </c>
      <c r="B113" s="3" t="s">
        <v>2103</v>
      </c>
      <c r="C113" t="str">
        <f>CONCATENATE("'",ALUMNOS!E115,"'")</f>
        <v>'carloseduardo.yerenanavarro'</v>
      </c>
      <c r="D113" t="str">
        <f>CONCATENATE(ALUMNOS!F115,"'")</f>
        <v>'007404'</v>
      </c>
      <c r="E113" t="s">
        <v>2723</v>
      </c>
      <c r="F113" t="str">
        <f>CONCATENATE("'",ALUMNOS!H115,"'")</f>
        <v>'YERENA NAVARRO CARLOS EDUARDO'</v>
      </c>
      <c r="G113" t="str">
        <f>CONCATENATE("'",ALUMNOS!I115,"'")</f>
        <v>'PSICOLOGIA'</v>
      </c>
      <c r="H113" t="str">
        <f>CONCATENATE("'",ALUMNOS!J115,"'")</f>
        <v>'6to'</v>
      </c>
      <c r="I113" t="str">
        <f>CONCATENATE("'",ALUMNOS!K115,"'")</f>
        <v>'Masculino'</v>
      </c>
      <c r="J113" t="str">
        <f>CONCATENATE("'",ALUMNOS!L115,"'")</f>
        <v>'Activo'</v>
      </c>
      <c r="K113" t="str">
        <f t="shared" si="5"/>
        <v>1112,'LICENCIATURA','carloseduardo.yerenanavarro','007404','TOMAR DEL SND','YERENA NAVARRO CARLOS EDUARDO','PSICOLOGIA','6to','MASCULINO','ACTIVO','',0,0,'','ALUMNO'</v>
      </c>
      <c r="L113" t="str">
        <f t="shared" si="4"/>
        <v>INSERT INTO participantes (id,nivel,correo,matricula,clave,nombre,carrera,grado,sexo,situacion,evaluados,num_evaluados,total_evaluaciones,ultimo_acceso,nivel_acceso) VALUES (1112,'LICENCIATURA','carloseduardo.yerenanavarro','007404','TOMAR DEL SND','YERENA NAVARRO CARLOS EDUARDO','PSICOLOGIA','6to','MASCULINO','ACTIVO','',0,0,'','ALUMNO');</v>
      </c>
      <c r="M113" t="str">
        <f t="shared" si="6"/>
        <v>update participantes set correo='carloseduardo.yerenanavarro' where id=1112;</v>
      </c>
    </row>
    <row r="114" spans="1:13" x14ac:dyDescent="0.25">
      <c r="A114">
        <f t="shared" si="7"/>
        <v>1113</v>
      </c>
      <c r="B114" s="3" t="s">
        <v>2103</v>
      </c>
      <c r="C114" t="str">
        <f>CONCATENATE("'",ALUMNOS!E116,"'")</f>
        <v>'carlosfernando.serranoamador'</v>
      </c>
      <c r="D114" t="str">
        <f>CONCATENATE(ALUMNOS!F116,"'")</f>
        <v>'111208'</v>
      </c>
      <c r="E114" t="s">
        <v>2723</v>
      </c>
      <c r="F114" t="str">
        <f>CONCATENATE("'",ALUMNOS!H116,"'")</f>
        <v>'SERRANO AMADOR CARLOS FERNANDO'</v>
      </c>
      <c r="G114" t="str">
        <f>CONCATENATE("'",ALUMNOS!I116,"'")</f>
        <v>'INGENIERÍA EN INTELIGENCIA ARTIFICIAL'</v>
      </c>
      <c r="H114" t="str">
        <f>CONCATENATE("'",ALUMNOS!J116,"'")</f>
        <v>'4to'</v>
      </c>
      <c r="I114" t="str">
        <f>CONCATENATE("'",ALUMNOS!K116,"'")</f>
        <v>'Masculino'</v>
      </c>
      <c r="J114" t="str">
        <f>CONCATENATE("'",ALUMNOS!L116,"'")</f>
        <v>'Activo'</v>
      </c>
      <c r="K114" t="str">
        <f t="shared" si="5"/>
        <v>1113,'LICENCIATURA','carlosfernando.serranoamador','111208','TOMAR DEL SND','SERRANO AMADOR CARLOS FERNANDO','INGENIERÍA EN INTELIGENCIA ARTIFICIAL','4to','MASCULINO','ACTIVO','',0,0,'','ALUMNO'</v>
      </c>
      <c r="L114" t="str">
        <f t="shared" si="4"/>
        <v>INSERT INTO participantes (id,nivel,correo,matricula,clave,nombre,carrera,grado,sexo,situacion,evaluados,num_evaluados,total_evaluaciones,ultimo_acceso,nivel_acceso) VALUES (1113,'LICENCIATURA','carlosfernando.serranoamador','111208','TOMAR DEL SND','SERRANO AMADOR CARLOS FERNANDO','INGENIERÍA EN INTELIGENCIA ARTIFICIAL','4to','MASCULINO','ACTIVO','',0,0,'','ALUMNO');</v>
      </c>
      <c r="M114" t="str">
        <f t="shared" si="6"/>
        <v>update participantes set correo='carlosfernando.serranoamador' where id=1113;</v>
      </c>
    </row>
    <row r="115" spans="1:13" x14ac:dyDescent="0.25">
      <c r="A115">
        <f t="shared" si="7"/>
        <v>1114</v>
      </c>
      <c r="B115" s="3" t="s">
        <v>2103</v>
      </c>
      <c r="C115" t="str">
        <f>CONCATENATE("'",ALUMNOS!E117,"'")</f>
        <v>'carlosivan.floresgutierrez'</v>
      </c>
      <c r="D115" t="str">
        <f>CONCATENATE(ALUMNOS!F117,"'")</f>
        <v>'110559'</v>
      </c>
      <c r="E115" t="s">
        <v>2723</v>
      </c>
      <c r="F115" t="str">
        <f>CONCATENATE("'",ALUMNOS!H117,"'")</f>
        <v>'FLORES GUTIERREZ CARLOS IVAN'</v>
      </c>
      <c r="G115" t="str">
        <f>CONCATENATE("'",ALUMNOS!I117,"'")</f>
        <v>'ANIMACION DIGITAL Y VIDEOJUEGOS'</v>
      </c>
      <c r="H115" t="str">
        <f>CONCATENATE("'",ALUMNOS!J117,"'")</f>
        <v>'6to'</v>
      </c>
      <c r="I115" t="str">
        <f>CONCATENATE("'",ALUMNOS!K117,"'")</f>
        <v>'Masculino'</v>
      </c>
      <c r="J115" t="str">
        <f>CONCATENATE("'",ALUMNOS!L117,"'")</f>
        <v>'Activo'</v>
      </c>
      <c r="K115" t="str">
        <f t="shared" si="5"/>
        <v>1114,'LICENCIATURA','carlosivan.floresgutierrez','110559','TOMAR DEL SND','FLORES GUTIERREZ CARLOS IVAN','ANIMACION DIGITAL Y VIDEOJUEGOS','6to','MASCULINO','ACTIVO','',0,0,'','ALUMNO'</v>
      </c>
      <c r="L115" t="str">
        <f t="shared" si="4"/>
        <v>INSERT INTO participantes (id,nivel,correo,matricula,clave,nombre,carrera,grado,sexo,situacion,evaluados,num_evaluados,total_evaluaciones,ultimo_acceso,nivel_acceso) VALUES (1114,'LICENCIATURA','carlosivan.floresgutierrez','110559','TOMAR DEL SND','FLORES GUTIERREZ CARLOS IVAN','ANIMACION DIGITAL Y VIDEOJUEGOS','6to','MASCULINO','ACTIVO','',0,0,'','ALUMNO');</v>
      </c>
      <c r="M115" t="str">
        <f t="shared" si="6"/>
        <v>update participantes set correo='carlosivan.floresgutierrez' where id=1114;</v>
      </c>
    </row>
    <row r="116" spans="1:13" x14ac:dyDescent="0.25">
      <c r="A116">
        <f t="shared" si="7"/>
        <v>1115</v>
      </c>
      <c r="B116" s="3" t="s">
        <v>2103</v>
      </c>
      <c r="C116" t="str">
        <f>CONCATENATE("'",ALUMNOS!E118,"'")</f>
        <v>'carlosroberto.ramirezgarcia'</v>
      </c>
      <c r="D116" t="str">
        <f>CONCATENATE(ALUMNOS!F118,"'")</f>
        <v>'110498'</v>
      </c>
      <c r="E116" t="s">
        <v>2723</v>
      </c>
      <c r="F116" t="str">
        <f>CONCATENATE("'",ALUMNOS!H118,"'")</f>
        <v>'RAMIREZ GARCIA CARLOS ROBERTO'</v>
      </c>
      <c r="G116" t="str">
        <f>CONCATENATE("'",ALUMNOS!I118,"'")</f>
        <v>'ANIMACION DIGITAL Y VIDEOJUEGOS'</v>
      </c>
      <c r="H116" t="str">
        <f>CONCATENATE("'",ALUMNOS!J118,"'")</f>
        <v>'6to'</v>
      </c>
      <c r="I116" t="str">
        <f>CONCATENATE("'",ALUMNOS!K118,"'")</f>
        <v>'Masculino'</v>
      </c>
      <c r="J116" t="str">
        <f>CONCATENATE("'",ALUMNOS!L118,"'")</f>
        <v>'Activo'</v>
      </c>
      <c r="K116" t="str">
        <f t="shared" si="5"/>
        <v>1115,'LICENCIATURA','carlosroberto.ramirezgarcia','110498','TOMAR DEL SND','RAMIREZ GARCIA CARLOS ROBERTO','ANIMACION DIGITAL Y VIDEOJUEGOS','6to','MASCULINO','ACTIVO','',0,0,'','ALUMNO'</v>
      </c>
      <c r="L116" t="str">
        <f t="shared" si="4"/>
        <v>INSERT INTO participantes (id,nivel,correo,matricula,clave,nombre,carrera,grado,sexo,situacion,evaluados,num_evaluados,total_evaluaciones,ultimo_acceso,nivel_acceso) VALUES (1115,'LICENCIATURA','carlosroberto.ramirezgarcia','110498','TOMAR DEL SND','RAMIREZ GARCIA CARLOS ROBERTO','ANIMACION DIGITAL Y VIDEOJUEGOS','6to','MASCULINO','ACTIVO','',0,0,'','ALUMNO');</v>
      </c>
      <c r="M116" t="str">
        <f t="shared" si="6"/>
        <v>update participantes set correo='carlosroberto.ramirezgarcia' where id=1115;</v>
      </c>
    </row>
    <row r="117" spans="1:13" x14ac:dyDescent="0.25">
      <c r="A117">
        <f t="shared" si="7"/>
        <v>1116</v>
      </c>
      <c r="B117" s="3" t="s">
        <v>2103</v>
      </c>
      <c r="C117" t="str">
        <f>CONCATENATE("'",ALUMNOS!E119,"'")</f>
        <v>'carlossantiago.mariscalgutierrez'</v>
      </c>
      <c r="D117" t="str">
        <f>CONCATENATE(ALUMNOS!F119,"'")</f>
        <v>'007235'</v>
      </c>
      <c r="E117" t="s">
        <v>2723</v>
      </c>
      <c r="F117" t="str">
        <f>CONCATENATE("'",ALUMNOS!H119,"'")</f>
        <v>'MARISCAL GUTIERREZ CARLOS SANTIAGO'</v>
      </c>
      <c r="G117" t="str">
        <f>CONCATENATE("'",ALUMNOS!I119,"'")</f>
        <v>'NUTRICION Y GASTRONOMIA'</v>
      </c>
      <c r="H117" t="str">
        <f>CONCATENATE("'",ALUMNOS!J119,"'")</f>
        <v>'4to'</v>
      </c>
      <c r="I117" t="str">
        <f>CONCATENATE("'",ALUMNOS!K119,"'")</f>
        <v>'Masculino'</v>
      </c>
      <c r="J117" t="str">
        <f>CONCATENATE("'",ALUMNOS!L119,"'")</f>
        <v>'Activo'</v>
      </c>
      <c r="K117" t="str">
        <f t="shared" si="5"/>
        <v>1116,'LICENCIATURA','carlossantiago.mariscalgutierrez','007235','TOMAR DEL SND','MARISCAL GUTIERREZ CARLOS SANTIAGO','NUTRICION Y GASTRONOMIA','4to','MASCULINO','ACTIVO','',0,0,'','ALUMNO'</v>
      </c>
      <c r="L117" t="str">
        <f t="shared" si="4"/>
        <v>INSERT INTO participantes (id,nivel,correo,matricula,clave,nombre,carrera,grado,sexo,situacion,evaluados,num_evaluados,total_evaluaciones,ultimo_acceso,nivel_acceso) VALUES (1116,'LICENCIATURA','carlossantiago.mariscalgutierrez','007235','TOMAR DEL SND','MARISCAL GUTIERREZ CARLOS SANTIAGO','NUTRICION Y GASTRONOMIA','4to','MASCULINO','ACTIVO','',0,0,'','ALUMNO');</v>
      </c>
      <c r="M117" t="str">
        <f t="shared" si="6"/>
        <v>update participantes set correo='carlossantiago.mariscalgutierrez' where id=1116;</v>
      </c>
    </row>
    <row r="118" spans="1:13" x14ac:dyDescent="0.25">
      <c r="A118">
        <f t="shared" si="7"/>
        <v>1117</v>
      </c>
      <c r="B118" s="3" t="s">
        <v>2103</v>
      </c>
      <c r="C118" t="str">
        <f>CONCATENATE("'",ALUMNOS!E120,"'")</f>
        <v>'carlossantiago.perezdiez'</v>
      </c>
      <c r="D118" t="str">
        <f>CONCATENATE(ALUMNOS!F120,"'")</f>
        <v>'111663'</v>
      </c>
      <c r="E118" t="s">
        <v>2723</v>
      </c>
      <c r="F118" t="str">
        <f>CONCATENATE("'",ALUMNOS!H120,"'")</f>
        <v>'PEREZ DIEZ CARLOS SANTIAGO'</v>
      </c>
      <c r="G118" t="str">
        <f>CONCATENATE("'",ALUMNOS!I120,"'")</f>
        <v>'INGENIERIA AEROESPACIAL'</v>
      </c>
      <c r="H118" t="str">
        <f>CONCATENATE("'",ALUMNOS!J120,"'")</f>
        <v>'2do'</v>
      </c>
      <c r="I118" t="str">
        <f>CONCATENATE("'",ALUMNOS!K120,"'")</f>
        <v>'Masculino'</v>
      </c>
      <c r="J118" t="str">
        <f>CONCATENATE("'",ALUMNOS!L120,"'")</f>
        <v>'Activo'</v>
      </c>
      <c r="K118" t="str">
        <f t="shared" si="5"/>
        <v>1117,'LICENCIATURA','carlossantiago.perezdiez','111663','TOMAR DEL SND','PEREZ DIEZ CARLOS SANTIAGO','INGENIERIA AEROESPACIAL','2do','MASCULINO','ACTIVO','',0,0,'','ALUMNO'</v>
      </c>
      <c r="L118" t="str">
        <f t="shared" si="4"/>
        <v>INSERT INTO participantes (id,nivel,correo,matricula,clave,nombre,carrera,grado,sexo,situacion,evaluados,num_evaluados,total_evaluaciones,ultimo_acceso,nivel_acceso) VALUES (1117,'LICENCIATURA','carlossantiago.perezdiez','111663','TOMAR DEL SND','PEREZ DIEZ CARLOS SANTIAGO','INGENIERIA AEROESPACIAL','2do','MASCULINO','ACTIVO','',0,0,'','ALUMNO');</v>
      </c>
      <c r="M118" t="str">
        <f t="shared" si="6"/>
        <v>update participantes set correo='carlossantiago.perezdiez' where id=1117;</v>
      </c>
    </row>
    <row r="119" spans="1:13" x14ac:dyDescent="0.25">
      <c r="A119">
        <f t="shared" si="7"/>
        <v>1118</v>
      </c>
      <c r="B119" s="3" t="s">
        <v>2103</v>
      </c>
      <c r="C119" t="str">
        <f>CONCATENATE("'",ALUMNOS!E121,"'")</f>
        <v>'carolmarian.castillomunguia'</v>
      </c>
      <c r="D119" t="str">
        <f>CONCATENATE(ALUMNOS!F121,"'")</f>
        <v>'109970'</v>
      </c>
      <c r="E119" t="s">
        <v>2723</v>
      </c>
      <c r="F119" t="str">
        <f>CONCATENATE("'",ALUMNOS!H121,"'")</f>
        <v>'CASTILLO MUNGUIA CAROL MARIAN'</v>
      </c>
      <c r="G119" t="str">
        <f>CONCATENATE("'",ALUMNOS!I121,"'")</f>
        <v>'INGENIERIA AEROESPACIAL'</v>
      </c>
      <c r="H119" t="str">
        <f>CONCATENATE("'",ALUMNOS!J121,"'")</f>
        <v>'8vo'</v>
      </c>
      <c r="I119" t="str">
        <f>CONCATENATE("'",ALUMNOS!K121,"'")</f>
        <v>'Femenino'</v>
      </c>
      <c r="J119" t="str">
        <f>CONCATENATE("'",ALUMNOS!L121,"'")</f>
        <v>'Activo'</v>
      </c>
      <c r="K119" t="str">
        <f t="shared" si="5"/>
        <v>1118,'LICENCIATURA','carolmarian.castillomunguia','109970','TOMAR DEL SND','CASTILLO MUNGUIA CAROL MARIAN','INGENIERIA AEROESPACIAL','8vo','FEMENINO','ACTIVO','',0,0,'','ALUMNO'</v>
      </c>
      <c r="L119" t="str">
        <f t="shared" si="4"/>
        <v>INSERT INTO participantes (id,nivel,correo,matricula,clave,nombre,carrera,grado,sexo,situacion,evaluados,num_evaluados,total_evaluaciones,ultimo_acceso,nivel_acceso) VALUES (1118,'LICENCIATURA','carolmarian.castillomunguia','109970','TOMAR DEL SND','CASTILLO MUNGUIA CAROL MARIAN','INGENIERIA AEROESPACIAL','8vo','FEMENINO','ACTIVO','',0,0,'','ALUMNO');</v>
      </c>
      <c r="M119" t="str">
        <f t="shared" si="6"/>
        <v>update participantes set correo='carolmarian.castillomunguia' where id=1118;</v>
      </c>
    </row>
    <row r="120" spans="1:13" x14ac:dyDescent="0.25">
      <c r="A120">
        <f t="shared" si="7"/>
        <v>1119</v>
      </c>
      <c r="B120" s="3" t="s">
        <v>2103</v>
      </c>
      <c r="C120" t="str">
        <f>CONCATENATE("'",ALUMNOS!E122,"'")</f>
        <v>'carolnoemi.hurtadomacias'</v>
      </c>
      <c r="D120" t="str">
        <f>CONCATENATE(ALUMNOS!F122,"'")</f>
        <v>'110423'</v>
      </c>
      <c r="E120" t="s">
        <v>2723</v>
      </c>
      <c r="F120" t="str">
        <f>CONCATENATE("'",ALUMNOS!H122,"'")</f>
        <v>'HURTADO MACIAS CAROL NOEMI'</v>
      </c>
      <c r="G120" t="str">
        <f>CONCATENATE("'",ALUMNOS!I122,"'")</f>
        <v>'ANIMACION DIGITAL Y VIDEOJUEGOS'</v>
      </c>
      <c r="H120" t="str">
        <f>CONCATENATE("'",ALUMNOS!J122,"'")</f>
        <v>'6to'</v>
      </c>
      <c r="I120" t="str">
        <f>CONCATENATE("'",ALUMNOS!K122,"'")</f>
        <v>'Femenino'</v>
      </c>
      <c r="J120" t="str">
        <f>CONCATENATE("'",ALUMNOS!L122,"'")</f>
        <v>'Activo'</v>
      </c>
      <c r="K120" t="str">
        <f t="shared" si="5"/>
        <v>1119,'LICENCIATURA','carolnoemi.hurtadomacias','110423','TOMAR DEL SND','HURTADO MACIAS CAROL NOEMI','ANIMACION DIGITAL Y VIDEOJUEGOS','6to','FEMENINO','ACTIVO','',0,0,'','ALUMNO'</v>
      </c>
      <c r="L120" t="str">
        <f t="shared" si="4"/>
        <v>INSERT INTO participantes (id,nivel,correo,matricula,clave,nombre,carrera,grado,sexo,situacion,evaluados,num_evaluados,total_evaluaciones,ultimo_acceso,nivel_acceso) VALUES (1119,'LICENCIATURA','carolnoemi.hurtadomacias','110423','TOMAR DEL SND','HURTADO MACIAS CAROL NOEMI','ANIMACION DIGITAL Y VIDEOJUEGOS','6to','FEMENINO','ACTIVO','',0,0,'','ALUMNO');</v>
      </c>
      <c r="M120" t="str">
        <f t="shared" si="6"/>
        <v>update participantes set correo='carolnoemi.hurtadomacias' where id=1119;</v>
      </c>
    </row>
    <row r="121" spans="1:13" x14ac:dyDescent="0.25">
      <c r="A121">
        <f t="shared" si="7"/>
        <v>1120</v>
      </c>
      <c r="B121" s="3" t="s">
        <v>2103</v>
      </c>
      <c r="C121" t="str">
        <f>CONCATENATE("'",ALUMNOS!E123,"'")</f>
        <v>'carolina.burgosgomez'</v>
      </c>
      <c r="D121" t="str">
        <f>CONCATENATE(ALUMNOS!F123,"'")</f>
        <v>'007430'</v>
      </c>
      <c r="E121" t="s">
        <v>2723</v>
      </c>
      <c r="F121" t="str">
        <f>CONCATENATE("'",ALUMNOS!H123,"'")</f>
        <v>'BURGOS GOMEZ CAROLINA'</v>
      </c>
      <c r="G121" t="str">
        <f>CONCATENATE("'",ALUMNOS!I123,"'")</f>
        <v>'MERCADOTECNIA Y PUBLICIDAD'</v>
      </c>
      <c r="H121" t="str">
        <f>CONCATENATE("'",ALUMNOS!J123,"'")</f>
        <v>'8vo'</v>
      </c>
      <c r="I121" t="str">
        <f>CONCATENATE("'",ALUMNOS!K123,"'")</f>
        <v>'Femenino'</v>
      </c>
      <c r="J121" t="str">
        <f>CONCATENATE("'",ALUMNOS!L123,"'")</f>
        <v>'Activo'</v>
      </c>
      <c r="K121" t="str">
        <f t="shared" si="5"/>
        <v>1120,'LICENCIATURA','carolina.burgosgomez','007430','TOMAR DEL SND','BURGOS GOMEZ CAROLINA','MERCADOTECNIA Y PUBLICIDAD','8vo','FEMENINO','ACTIVO','',0,0,'','ALUMNO'</v>
      </c>
      <c r="L121" t="str">
        <f t="shared" si="4"/>
        <v>INSERT INTO participantes (id,nivel,correo,matricula,clave,nombre,carrera,grado,sexo,situacion,evaluados,num_evaluados,total_evaluaciones,ultimo_acceso,nivel_acceso) VALUES (1120,'LICENCIATURA','carolina.burgosgomez','007430','TOMAR DEL SND','BURGOS GOMEZ CAROLINA','MERCADOTECNIA Y PUBLICIDAD','8vo','FEMENINO','ACTIVO','',0,0,'','ALUMNO');</v>
      </c>
      <c r="M121" t="str">
        <f t="shared" si="6"/>
        <v>update participantes set correo='carolina.burgosgomez' where id=1120;</v>
      </c>
    </row>
    <row r="122" spans="1:13" x14ac:dyDescent="0.25">
      <c r="A122">
        <f t="shared" si="7"/>
        <v>1121</v>
      </c>
      <c r="B122" s="3" t="s">
        <v>2103</v>
      </c>
      <c r="C122" t="str">
        <f>CONCATENATE("'",ALUMNOS!E124,"'")</f>
        <v>'carolinaalexandra.sandovalberumen'</v>
      </c>
      <c r="D122" t="str">
        <f>CONCATENATE(ALUMNOS!F124,"'")</f>
        <v>'111155'</v>
      </c>
      <c r="E122" t="s">
        <v>2723</v>
      </c>
      <c r="F122" t="str">
        <f>CONCATENATE("'",ALUMNOS!H124,"'")</f>
        <v>'SANDOVAL BERUMEN CAROLINA ALEXANDRA'</v>
      </c>
      <c r="G122" t="str">
        <f>CONCATENATE("'",ALUMNOS!I124,"'")</f>
        <v>'PSICOLOGIA'</v>
      </c>
      <c r="H122" t="str">
        <f>CONCATENATE("'",ALUMNOS!J124,"'")</f>
        <v>'4to'</v>
      </c>
      <c r="I122" t="str">
        <f>CONCATENATE("'",ALUMNOS!K124,"'")</f>
        <v>'Femenino'</v>
      </c>
      <c r="J122" t="str">
        <f>CONCATENATE("'",ALUMNOS!L124,"'")</f>
        <v>'Activo'</v>
      </c>
      <c r="K122" t="str">
        <f t="shared" si="5"/>
        <v>1121,'LICENCIATURA','carolinaalexandra.sandovalberumen','111155','TOMAR DEL SND','SANDOVAL BERUMEN CAROLINA ALEXANDRA','PSICOLOGIA','4to','FEMENINO','ACTIVO','',0,0,'','ALUMNO'</v>
      </c>
      <c r="L122" t="str">
        <f t="shared" si="4"/>
        <v>INSERT INTO participantes (id,nivel,correo,matricula,clave,nombre,carrera,grado,sexo,situacion,evaluados,num_evaluados,total_evaluaciones,ultimo_acceso,nivel_acceso) VALUES (1121,'LICENCIATURA','carolinaalexandra.sandovalberumen','111155','TOMAR DEL SND','SANDOVAL BERUMEN CAROLINA ALEXANDRA','PSICOLOGIA','4to','FEMENINO','ACTIVO','',0,0,'','ALUMNO');</v>
      </c>
      <c r="M122" t="str">
        <f t="shared" si="6"/>
        <v>update participantes set correo='carolinaalexandra.sandovalberumen' where id=1121;</v>
      </c>
    </row>
    <row r="123" spans="1:13" x14ac:dyDescent="0.25">
      <c r="A123">
        <f t="shared" si="7"/>
        <v>1122</v>
      </c>
      <c r="B123" s="3" t="s">
        <v>2103</v>
      </c>
      <c r="C123" t="str">
        <f>CONCATENATE("'",ALUMNOS!E125,"'")</f>
        <v>'cesar.obledomartinez'</v>
      </c>
      <c r="D123" t="str">
        <f>CONCATENATE(ALUMNOS!F125,"'")</f>
        <v>'110455'</v>
      </c>
      <c r="E123" t="s">
        <v>2723</v>
      </c>
      <c r="F123" t="str">
        <f>CONCATENATE("'",ALUMNOS!H125,"'")</f>
        <v>'OBLEDO MARTINEZ CESAR'</v>
      </c>
      <c r="G123" t="str">
        <f>CONCATENATE("'",ALUMNOS!I125,"'")</f>
        <v>'ARQUITECTURA'</v>
      </c>
      <c r="H123" t="str">
        <f>CONCATENATE("'",ALUMNOS!J125,"'")</f>
        <v>'6to'</v>
      </c>
      <c r="I123" t="str">
        <f>CONCATENATE("'",ALUMNOS!K125,"'")</f>
        <v>'Masculino'</v>
      </c>
      <c r="J123" t="str">
        <f>CONCATENATE("'",ALUMNOS!L125,"'")</f>
        <v>'Activo'</v>
      </c>
      <c r="K123" t="str">
        <f t="shared" si="5"/>
        <v>1122,'LICENCIATURA','cesar.obledomartinez','110455','TOMAR DEL SND','OBLEDO MARTINEZ CESAR','ARQUITECTURA','6to','MASCULINO','ACTIVO','',0,0,'','ALUMNO'</v>
      </c>
      <c r="L123" t="str">
        <f t="shared" si="4"/>
        <v>INSERT INTO participantes (id,nivel,correo,matricula,clave,nombre,carrera,grado,sexo,situacion,evaluados,num_evaluados,total_evaluaciones,ultimo_acceso,nivel_acceso) VALUES (1122,'LICENCIATURA','cesar.obledomartinez','110455','TOMAR DEL SND','OBLEDO MARTINEZ CESAR','ARQUITECTURA','6to','MASCULINO','ACTIVO','',0,0,'','ALUMNO');</v>
      </c>
      <c r="M123" t="str">
        <f t="shared" si="6"/>
        <v>update participantes set correo='cesar.obledomartinez' where id=1122;</v>
      </c>
    </row>
    <row r="124" spans="1:13" x14ac:dyDescent="0.25">
      <c r="A124">
        <f t="shared" si="7"/>
        <v>1123</v>
      </c>
      <c r="B124" s="3" t="s">
        <v>2103</v>
      </c>
      <c r="C124" t="str">
        <f>CONCATENATE("'",ALUMNOS!E126,"'")</f>
        <v>'cesareduardo.valenciacastillo'</v>
      </c>
      <c r="D124" t="str">
        <f>CONCATENATE(ALUMNOS!F126,"'")</f>
        <v>'109810'</v>
      </c>
      <c r="E124" t="s">
        <v>2723</v>
      </c>
      <c r="F124" t="str">
        <f>CONCATENATE("'",ALUMNOS!H126,"'")</f>
        <v>'VALENCIA CASTILLO CESAR EDUARDO'</v>
      </c>
      <c r="G124" t="str">
        <f>CONCATENATE("'",ALUMNOS!I126,"'")</f>
        <v>'INGENIERIA AEROESPACIAL'</v>
      </c>
      <c r="H124" t="str">
        <f>CONCATENATE("'",ALUMNOS!J126,"'")</f>
        <v>'8vo'</v>
      </c>
      <c r="I124" t="str">
        <f>CONCATENATE("'",ALUMNOS!K126,"'")</f>
        <v>'Masculino'</v>
      </c>
      <c r="J124" t="str">
        <f>CONCATENATE("'",ALUMNOS!L126,"'")</f>
        <v>'Activo'</v>
      </c>
      <c r="K124" t="str">
        <f t="shared" si="5"/>
        <v>1123,'LICENCIATURA','cesareduardo.valenciacastillo','109810','TOMAR DEL SND','VALENCIA CASTILLO CESAR EDUARDO','INGENIERIA AEROESPACIAL','8vo','MASCULINO','ACTIVO','',0,0,'','ALUMNO'</v>
      </c>
      <c r="L124" t="str">
        <f t="shared" si="4"/>
        <v>INSERT INTO participantes (id,nivel,correo,matricula,clave,nombre,carrera,grado,sexo,situacion,evaluados,num_evaluados,total_evaluaciones,ultimo_acceso,nivel_acceso) VALUES (1123,'LICENCIATURA','cesareduardo.valenciacastillo','109810','TOMAR DEL SND','VALENCIA CASTILLO CESAR EDUARDO','INGENIERIA AEROESPACIAL','8vo','MASCULINO','ACTIVO','',0,0,'','ALUMNO');</v>
      </c>
      <c r="M124" t="str">
        <f t="shared" si="6"/>
        <v>update participantes set correo='cesareduardo.valenciacastillo' where id=1123;</v>
      </c>
    </row>
    <row r="125" spans="1:13" x14ac:dyDescent="0.25">
      <c r="A125">
        <f t="shared" si="7"/>
        <v>1124</v>
      </c>
      <c r="B125" s="3" t="s">
        <v>2103</v>
      </c>
      <c r="C125" t="str">
        <f>CONCATENATE("'",ALUMNOS!E127,"'")</f>
        <v>'christianalejandro.dealbagutierrez'</v>
      </c>
      <c r="D125" t="str">
        <f>CONCATENATE(ALUMNOS!F127,"'")</f>
        <v>'109813'</v>
      </c>
      <c r="E125" t="s">
        <v>2723</v>
      </c>
      <c r="F125" t="str">
        <f>CONCATENATE("'",ALUMNOS!H127,"'")</f>
        <v>'DE ALBA GUTIERREZ CHRISTIAN ALEJANDRO'</v>
      </c>
      <c r="G125" t="str">
        <f>CONCATENATE("'",ALUMNOS!I127,"'")</f>
        <v>'INGENIERIA AEROESPACIAL'</v>
      </c>
      <c r="H125" t="str">
        <f>CONCATENATE("'",ALUMNOS!J127,"'")</f>
        <v>'8vo'</v>
      </c>
      <c r="I125" t="str">
        <f>CONCATENATE("'",ALUMNOS!K127,"'")</f>
        <v>'Masculino'</v>
      </c>
      <c r="J125" t="str">
        <f>CONCATENATE("'",ALUMNOS!L127,"'")</f>
        <v>'Activo'</v>
      </c>
      <c r="K125" t="str">
        <f t="shared" si="5"/>
        <v>1124,'LICENCIATURA','christianalejandro.dealbagutierrez','109813','TOMAR DEL SND','DE ALBA GUTIERREZ CHRISTIAN ALEJANDRO','INGENIERIA AEROESPACIAL','8vo','MASCULINO','ACTIVO','',0,0,'','ALUMNO'</v>
      </c>
      <c r="L125" t="str">
        <f t="shared" si="4"/>
        <v>INSERT INTO participantes (id,nivel,correo,matricula,clave,nombre,carrera,grado,sexo,situacion,evaluados,num_evaluados,total_evaluaciones,ultimo_acceso,nivel_acceso) VALUES (1124,'LICENCIATURA','christianalejandro.dealbagutierrez','109813','TOMAR DEL SND','DE ALBA GUTIERREZ CHRISTIAN ALEJANDRO','INGENIERIA AEROESPACIAL','8vo','MASCULINO','ACTIVO','',0,0,'','ALUMNO');</v>
      </c>
      <c r="M125" t="str">
        <f t="shared" si="6"/>
        <v>update participantes set correo='christianalejandro.dealbagutierrez' where id=1124;</v>
      </c>
    </row>
    <row r="126" spans="1:13" x14ac:dyDescent="0.25">
      <c r="A126">
        <f t="shared" si="7"/>
        <v>1125</v>
      </c>
      <c r="B126" s="3" t="s">
        <v>2103</v>
      </c>
      <c r="C126" t="str">
        <f>CONCATENATE("'",ALUMNOS!E128,"'")</f>
        <v>'claudiaberenice.alfaroruiz'</v>
      </c>
      <c r="D126" t="str">
        <f>CONCATENATE(ALUMNOS!F128,"'")</f>
        <v>'111768'</v>
      </c>
      <c r="E126" t="s">
        <v>2723</v>
      </c>
      <c r="F126" t="str">
        <f>CONCATENATE("'",ALUMNOS!H128,"'")</f>
        <v>'ALFARO RUIZ CLAUDIA BERENICE'</v>
      </c>
      <c r="G126" t="str">
        <f>CONCATENATE("'",ALUMNOS!I128,"'")</f>
        <v>'INGENIERIA AEROESPACIAL'</v>
      </c>
      <c r="H126" t="str">
        <f>CONCATENATE("'",ALUMNOS!J128,"'")</f>
        <v>'2do'</v>
      </c>
      <c r="I126" t="str">
        <f>CONCATENATE("'",ALUMNOS!K128,"'")</f>
        <v>'Femenino'</v>
      </c>
      <c r="J126" t="str">
        <f>CONCATENATE("'",ALUMNOS!L128,"'")</f>
        <v>'Activo'</v>
      </c>
      <c r="K126" t="str">
        <f t="shared" si="5"/>
        <v>1125,'LICENCIATURA','claudiaberenice.alfaroruiz','111768','TOMAR DEL SND','ALFARO RUIZ CLAUDIA BERENICE','INGENIERIA AEROESPACIAL','2do','FEMENINO','ACTIVO','',0,0,'','ALUMNO'</v>
      </c>
      <c r="L126" t="str">
        <f t="shared" si="4"/>
        <v>INSERT INTO participantes (id,nivel,correo,matricula,clave,nombre,carrera,grado,sexo,situacion,evaluados,num_evaluados,total_evaluaciones,ultimo_acceso,nivel_acceso) VALUES (1125,'LICENCIATURA','claudiaberenice.alfaroruiz','111768','TOMAR DEL SND','ALFARO RUIZ CLAUDIA BERENICE','INGENIERIA AEROESPACIAL','2do','FEMENINO','ACTIVO','',0,0,'','ALUMNO');</v>
      </c>
      <c r="M126" t="str">
        <f t="shared" si="6"/>
        <v>update participantes set correo='claudiaberenice.alfaroruiz' where id=1125;</v>
      </c>
    </row>
    <row r="127" spans="1:13" x14ac:dyDescent="0.25">
      <c r="A127">
        <f t="shared" si="7"/>
        <v>1126</v>
      </c>
      <c r="B127" s="3" t="s">
        <v>2103</v>
      </c>
      <c r="C127" t="str">
        <f>CONCATENATE("'",ALUMNOS!E129,"'")</f>
        <v>'claudiadaniela.figueroarodriguez'</v>
      </c>
      <c r="D127" t="str">
        <f>CONCATENATE(ALUMNOS!F129,"'")</f>
        <v>'110598'</v>
      </c>
      <c r="E127" t="s">
        <v>2723</v>
      </c>
      <c r="F127" t="str">
        <f>CONCATENATE("'",ALUMNOS!H129,"'")</f>
        <v>'FIGUEROA RODRIGUEZ CLAUDIA DANIELA'</v>
      </c>
      <c r="G127" t="str">
        <f>CONCATENATE("'",ALUMNOS!I129,"'")</f>
        <v>'ADMINISTRACION Y DIRECCION DE NEGOCIOS'</v>
      </c>
      <c r="H127" t="str">
        <f>CONCATENATE("'",ALUMNOS!J129,"'")</f>
        <v>'6to'</v>
      </c>
      <c r="I127" t="str">
        <f>CONCATENATE("'",ALUMNOS!K129,"'")</f>
        <v>'Femenino'</v>
      </c>
      <c r="J127" t="str">
        <f>CONCATENATE("'",ALUMNOS!L129,"'")</f>
        <v>'Activo'</v>
      </c>
      <c r="K127" t="str">
        <f t="shared" si="5"/>
        <v>1126,'LICENCIATURA','claudiadaniela.figueroarodriguez','110598','TOMAR DEL SND','FIGUEROA RODRIGUEZ CLAUDIA DANIELA','ADMINISTRACION Y DIRECCION DE NEGOCIOS','6to','FEMENINO','ACTIVO','',0,0,'','ALUMNO'</v>
      </c>
      <c r="L127" t="str">
        <f t="shared" si="4"/>
        <v>INSERT INTO participantes (id,nivel,correo,matricula,clave,nombre,carrera,grado,sexo,situacion,evaluados,num_evaluados,total_evaluaciones,ultimo_acceso,nivel_acceso) VALUES (1126,'LICENCIATURA','claudiadaniela.figueroarodriguez','110598','TOMAR DEL SND','FIGUEROA RODRIGUEZ CLAUDIA DANIELA','ADMINISTRACION Y DIRECCION DE NEGOCIOS','6to','FEMENINO','ACTIVO','',0,0,'','ALUMNO');</v>
      </c>
      <c r="M127" t="str">
        <f t="shared" si="6"/>
        <v>update participantes set correo='claudiadaniela.figueroarodriguez' where id=1126;</v>
      </c>
    </row>
    <row r="128" spans="1:13" x14ac:dyDescent="0.25">
      <c r="A128">
        <f t="shared" si="7"/>
        <v>1127</v>
      </c>
      <c r="B128" s="3" t="s">
        <v>2103</v>
      </c>
      <c r="C128" t="str">
        <f>CONCATENATE("'",ALUMNOS!E130,"'")</f>
        <v>'claudiafernanda.ramirezarreola'</v>
      </c>
      <c r="D128" t="str">
        <f>CONCATENATE(ALUMNOS!F130,"'")</f>
        <v>'111206'</v>
      </c>
      <c r="E128" t="s">
        <v>2723</v>
      </c>
      <c r="F128" t="str">
        <f>CONCATENATE("'",ALUMNOS!H130,"'")</f>
        <v>'RAMIREZ ARREOLA CLAUDIA FERNANDA'</v>
      </c>
      <c r="G128" t="str">
        <f>CONCATENATE("'",ALUMNOS!I130,"'")</f>
        <v>'ANIMACION DIGITAL Y VIDEOJUEGOS'</v>
      </c>
      <c r="H128" t="str">
        <f>CONCATENATE("'",ALUMNOS!J130,"'")</f>
        <v>'4to'</v>
      </c>
      <c r="I128" t="str">
        <f>CONCATENATE("'",ALUMNOS!K130,"'")</f>
        <v>'Femenino'</v>
      </c>
      <c r="J128" t="str">
        <f>CONCATENATE("'",ALUMNOS!L130,"'")</f>
        <v>'Activo'</v>
      </c>
      <c r="K128" t="str">
        <f t="shared" si="5"/>
        <v>1127,'LICENCIATURA','claudiafernanda.ramirezarreola','111206','TOMAR DEL SND','RAMIREZ ARREOLA CLAUDIA FERNANDA','ANIMACION DIGITAL Y VIDEOJUEGOS','4to','FEMENINO','ACTIVO','',0,0,'','ALUMNO'</v>
      </c>
      <c r="L128" t="str">
        <f t="shared" si="4"/>
        <v>INSERT INTO participantes (id,nivel,correo,matricula,clave,nombre,carrera,grado,sexo,situacion,evaluados,num_evaluados,total_evaluaciones,ultimo_acceso,nivel_acceso) VALUES (1127,'LICENCIATURA','claudiafernanda.ramirezarreola','111206','TOMAR DEL SND','RAMIREZ ARREOLA CLAUDIA FERNANDA','ANIMACION DIGITAL Y VIDEOJUEGOS','4to','FEMENINO','ACTIVO','',0,0,'','ALUMNO');</v>
      </c>
      <c r="M128" t="str">
        <f t="shared" si="6"/>
        <v>update participantes set correo='claudiafernanda.ramirezarreola' where id=1127;</v>
      </c>
    </row>
    <row r="129" spans="1:13" x14ac:dyDescent="0.25">
      <c r="A129">
        <f t="shared" si="7"/>
        <v>1128</v>
      </c>
      <c r="B129" s="3" t="s">
        <v>2103</v>
      </c>
      <c r="C129" t="str">
        <f>CONCATENATE("'",ALUMNOS!E131,"'")</f>
        <v>'claudiamarian.regaladoanaya'</v>
      </c>
      <c r="D129" t="str">
        <f>CONCATENATE(ALUMNOS!F131,"'")</f>
        <v>'110672'</v>
      </c>
      <c r="E129" t="s">
        <v>2723</v>
      </c>
      <c r="F129" t="str">
        <f>CONCATENATE("'",ALUMNOS!H131,"'")</f>
        <v>'REGALADO ANAYA CLAUDIA MARIAN'</v>
      </c>
      <c r="G129" t="str">
        <f>CONCATENATE("'",ALUMNOS!I131,"'")</f>
        <v>'DISEÑO GRAFICO Y DIGITAL'</v>
      </c>
      <c r="H129" t="str">
        <f>CONCATENATE("'",ALUMNOS!J131,"'")</f>
        <v>'6to'</v>
      </c>
      <c r="I129" t="str">
        <f>CONCATENATE("'",ALUMNOS!K131,"'")</f>
        <v>'Femenino'</v>
      </c>
      <c r="J129" t="str">
        <f>CONCATENATE("'",ALUMNOS!L131,"'")</f>
        <v>'Activo'</v>
      </c>
      <c r="K129" t="str">
        <f t="shared" si="5"/>
        <v>1128,'LICENCIATURA','claudiamarian.regaladoanaya','110672','TOMAR DEL SND','REGALADO ANAYA CLAUDIA MARIAN','DISEÑO GRAFICO Y DIGITAL','6to','FEMENINO','ACTIVO','',0,0,'','ALUMNO'</v>
      </c>
      <c r="L129" t="str">
        <f t="shared" si="4"/>
        <v>INSERT INTO participantes (id,nivel,correo,matricula,clave,nombre,carrera,grado,sexo,situacion,evaluados,num_evaluados,total_evaluaciones,ultimo_acceso,nivel_acceso) VALUES (1128,'LICENCIATURA','claudiamarian.regaladoanaya','110672','TOMAR DEL SND','REGALADO ANAYA CLAUDIA MARIAN','DISEÑO GRAFICO Y DIGITAL','6to','FEMENINO','ACTIVO','',0,0,'','ALUMNO');</v>
      </c>
      <c r="M129" t="str">
        <f t="shared" si="6"/>
        <v>update participantes set correo='claudiamarian.regaladoanaya' where id=1128;</v>
      </c>
    </row>
    <row r="130" spans="1:13" x14ac:dyDescent="0.25">
      <c r="A130">
        <f t="shared" si="7"/>
        <v>1129</v>
      </c>
      <c r="B130" s="3" t="s">
        <v>2103</v>
      </c>
      <c r="C130" t="str">
        <f>CONCATENATE("'",ALUMNOS!E132,"'")</f>
        <v>'claudiapatricia.martinezreynoso'</v>
      </c>
      <c r="D130" t="str">
        <f>CONCATENATE(ALUMNOS!F132,"'")</f>
        <v>'111805'</v>
      </c>
      <c r="E130" t="s">
        <v>2723</v>
      </c>
      <c r="F130" t="str">
        <f>CONCATENATE("'",ALUMNOS!H132,"'")</f>
        <v>'MARTINEZ REYNOSO CLAUDIA PATRICIA'</v>
      </c>
      <c r="G130" t="str">
        <f>CONCATENATE("'",ALUMNOS!I132,"'")</f>
        <v>'PSICOLOGIA'</v>
      </c>
      <c r="H130" t="str">
        <f>CONCATENATE("'",ALUMNOS!J132,"'")</f>
        <v>'2do'</v>
      </c>
      <c r="I130" t="str">
        <f>CONCATENATE("'",ALUMNOS!K132,"'")</f>
        <v>'Femenino'</v>
      </c>
      <c r="J130" t="str">
        <f>CONCATENATE("'",ALUMNOS!L132,"'")</f>
        <v>'Activo'</v>
      </c>
      <c r="K130" t="str">
        <f t="shared" si="5"/>
        <v>1129,'LICENCIATURA','claudiapatricia.martinezreynoso','111805','TOMAR DEL SND','MARTINEZ REYNOSO CLAUDIA PATRICIA','PSICOLOGIA','2do','FEMENINO','ACTIVO','',0,0,'','ALUMNO'</v>
      </c>
      <c r="L130" t="str">
        <f t="shared" ref="L130:L193" si="8">CONCATENATE($K$1,K130,");")</f>
        <v>INSERT INTO participantes (id,nivel,correo,matricula,clave,nombre,carrera,grado,sexo,situacion,evaluados,num_evaluados,total_evaluaciones,ultimo_acceso,nivel_acceso) VALUES (1129,'LICENCIATURA','claudiapatricia.martinezreynoso','111805','TOMAR DEL SND','MARTINEZ REYNOSO CLAUDIA PATRICIA','PSICOLOGIA','2do','FEMENINO','ACTIVO','',0,0,'','ALUMNO');</v>
      </c>
      <c r="M130" t="str">
        <f t="shared" si="6"/>
        <v>update participantes set correo='claudiapatricia.martinezreynoso' where id=1129;</v>
      </c>
    </row>
    <row r="131" spans="1:13" x14ac:dyDescent="0.25">
      <c r="A131">
        <f t="shared" si="7"/>
        <v>1130</v>
      </c>
      <c r="B131" s="3" t="s">
        <v>2103</v>
      </c>
      <c r="C131" t="str">
        <f>CONCATENATE("'",ALUMNOS!E133,"'")</f>
        <v>'claudio.garcianavarro'</v>
      </c>
      <c r="D131" t="str">
        <f>CONCATENATE(ALUMNOS!F133,"'")</f>
        <v>'109995'</v>
      </c>
      <c r="E131" t="s">
        <v>2723</v>
      </c>
      <c r="F131" t="str">
        <f>CONCATENATE("'",ALUMNOS!H133,"'")</f>
        <v>'GARCIA NAVARRO CLAUDIO'</v>
      </c>
      <c r="G131" t="str">
        <f>CONCATENATE("'",ALUMNOS!I133,"'")</f>
        <v>'ARQUITECTURA'</v>
      </c>
      <c r="H131" t="str">
        <f>CONCATENATE("'",ALUMNOS!J133,"'")</f>
        <v>'8vo'</v>
      </c>
      <c r="I131" t="str">
        <f>CONCATENATE("'",ALUMNOS!K133,"'")</f>
        <v>'Masculino'</v>
      </c>
      <c r="J131" t="str">
        <f>CONCATENATE("'",ALUMNOS!L133,"'")</f>
        <v>'Activo'</v>
      </c>
      <c r="K131" t="str">
        <f t="shared" ref="K131:K194" si="9">CONCATENATE(A131,",",B131,",",C131,",",D131,",'",E131,",",F131,",",G131,",",H131,",",UPPER(I131),",",UPPER(J131),",'',0,0,'','ALUMNO'")</f>
        <v>1130,'LICENCIATURA','claudio.garcianavarro','109995','TOMAR DEL SND','GARCIA NAVARRO CLAUDIO','ARQUITECTURA','8vo','MASCULINO','ACTIVO','',0,0,'','ALUMNO'</v>
      </c>
      <c r="L131" t="str">
        <f t="shared" si="8"/>
        <v>INSERT INTO participantes (id,nivel,correo,matricula,clave,nombre,carrera,grado,sexo,situacion,evaluados,num_evaluados,total_evaluaciones,ultimo_acceso,nivel_acceso) VALUES (1130,'LICENCIATURA','claudio.garcianavarro','109995','TOMAR DEL SND','GARCIA NAVARRO CLAUDIO','ARQUITECTURA','8vo','MASCULINO','ACTIVO','',0,0,'','ALUMNO');</v>
      </c>
      <c r="M131" t="str">
        <f t="shared" ref="M131:M194" si="10">CONCATENATE("update participantes set correo=",C131," where id=",A131,";")</f>
        <v>update participantes set correo='claudio.garcianavarro' where id=1130;</v>
      </c>
    </row>
    <row r="132" spans="1:13" x14ac:dyDescent="0.25">
      <c r="A132">
        <f t="shared" ref="A132:A195" si="11">A131+1</f>
        <v>1131</v>
      </c>
      <c r="B132" s="3" t="s">
        <v>2103</v>
      </c>
      <c r="C132" t="str">
        <f>CONCATENATE("'",ALUMNOS!E134,"'")</f>
        <v>'cristhianhazael.michelquevedo'</v>
      </c>
      <c r="D132" t="str">
        <f>CONCATENATE(ALUMNOS!F134,"'")</f>
        <v>'109975'</v>
      </c>
      <c r="E132" t="s">
        <v>2723</v>
      </c>
      <c r="F132" t="str">
        <f>CONCATENATE("'",ALUMNOS!H134,"'")</f>
        <v>'MICHEL QUEVEDO CRISTHIAN HAZAEL'</v>
      </c>
      <c r="G132" t="str">
        <f>CONCATENATE("'",ALUMNOS!I134,"'")</f>
        <v>'INGENIERIA INDUSTRIAL Y EN SISTEMAS ORGANIZACIONALES'</v>
      </c>
      <c r="H132" t="str">
        <f>CONCATENATE("'",ALUMNOS!J134,"'")</f>
        <v>'8vo'</v>
      </c>
      <c r="I132" t="str">
        <f>CONCATENATE("'",ALUMNOS!K134,"'")</f>
        <v>'Masculino'</v>
      </c>
      <c r="J132" t="str">
        <f>CONCATENATE("'",ALUMNOS!L134,"'")</f>
        <v>'Activo'</v>
      </c>
      <c r="K132" t="str">
        <f t="shared" si="9"/>
        <v>1131,'LICENCIATURA','cristhianhazael.michelquevedo','109975','TOMAR DEL SND','MICHEL QUEVEDO CRISTHIAN HAZAEL','INGENIERIA INDUSTRIAL Y EN SISTEMAS ORGANIZACIONALES','8vo','MASCULINO','ACTIVO','',0,0,'','ALUMNO'</v>
      </c>
      <c r="L132" t="str">
        <f t="shared" si="8"/>
        <v>INSERT INTO participantes (id,nivel,correo,matricula,clave,nombre,carrera,grado,sexo,situacion,evaluados,num_evaluados,total_evaluaciones,ultimo_acceso,nivel_acceso) VALUES (1131,'LICENCIATURA','cristhianhazael.michelquevedo','109975','TOMAR DEL SND','MICHEL QUEVEDO CRISTHIAN HAZAEL','INGENIERIA INDUSTRIAL Y EN SISTEMAS ORGANIZACIONALES','8vo','MASCULINO','ACTIVO','',0,0,'','ALUMNO');</v>
      </c>
      <c r="M132" t="str">
        <f t="shared" si="10"/>
        <v>update participantes set correo='cristhianhazael.michelquevedo' where id=1131;</v>
      </c>
    </row>
    <row r="133" spans="1:13" x14ac:dyDescent="0.25">
      <c r="A133">
        <f t="shared" si="11"/>
        <v>1132</v>
      </c>
      <c r="B133" s="3" t="s">
        <v>2103</v>
      </c>
      <c r="C133" t="str">
        <f>CONCATENATE("'",ALUMNOS!E135,"'")</f>
        <v>'cristian.villarruelsandoval'</v>
      </c>
      <c r="D133" t="str">
        <f>CONCATENATE(ALUMNOS!F135,"'")</f>
        <v>'111773'</v>
      </c>
      <c r="E133" t="s">
        <v>2723</v>
      </c>
      <c r="F133" t="str">
        <f>CONCATENATE("'",ALUMNOS!H135,"'")</f>
        <v>'VILLARRUEL SANDOVAL CRISTIAN'</v>
      </c>
      <c r="G133" t="str">
        <f>CONCATENATE("'",ALUMNOS!I135,"'")</f>
        <v>'ADMINISTRACION Y DIRECCION DE NEGOCIOS'</v>
      </c>
      <c r="H133" t="str">
        <f>CONCATENATE("'",ALUMNOS!J135,"'")</f>
        <v>'2do'</v>
      </c>
      <c r="I133" t="str">
        <f>CONCATENATE("'",ALUMNOS!K135,"'")</f>
        <v>'Masculino'</v>
      </c>
      <c r="J133" t="str">
        <f>CONCATENATE("'",ALUMNOS!L135,"'")</f>
        <v>'Activo'</v>
      </c>
      <c r="K133" t="str">
        <f t="shared" si="9"/>
        <v>1132,'LICENCIATURA','cristian.villarruelsandoval','111773','TOMAR DEL SND','VILLARRUEL SANDOVAL CRISTIAN','ADMINISTRACION Y DIRECCION DE NEGOCIOS','2do','MASCULINO','ACTIVO','',0,0,'','ALUMNO'</v>
      </c>
      <c r="L133" t="str">
        <f t="shared" si="8"/>
        <v>INSERT INTO participantes (id,nivel,correo,matricula,clave,nombre,carrera,grado,sexo,situacion,evaluados,num_evaluados,total_evaluaciones,ultimo_acceso,nivel_acceso) VALUES (1132,'LICENCIATURA','cristian.villarruelsandoval','111773','TOMAR DEL SND','VILLARRUEL SANDOVAL CRISTIAN','ADMINISTRACION Y DIRECCION DE NEGOCIOS','2do','MASCULINO','ACTIVO','',0,0,'','ALUMNO');</v>
      </c>
      <c r="M133" t="str">
        <f t="shared" si="10"/>
        <v>update participantes set correo='cristian.villarruelsandoval' where id=1132;</v>
      </c>
    </row>
    <row r="134" spans="1:13" x14ac:dyDescent="0.25">
      <c r="A134">
        <f t="shared" si="11"/>
        <v>1133</v>
      </c>
      <c r="B134" s="3" t="s">
        <v>2103</v>
      </c>
      <c r="C134" t="str">
        <f>CONCATENATE("'",ALUMNOS!E136,"'")</f>
        <v>'cristianfabian.zamudiovazquez'</v>
      </c>
      <c r="D134" t="str">
        <f>CONCATENATE(ALUMNOS!F136,"'")</f>
        <v>'111210'</v>
      </c>
      <c r="E134" t="s">
        <v>2723</v>
      </c>
      <c r="F134" t="str">
        <f>CONCATENATE("'",ALUMNOS!H136,"'")</f>
        <v>'ZAMUDIO VAZQUEZ CRISTIAN FABIAN'</v>
      </c>
      <c r="G134" t="str">
        <f>CONCATENATE("'",ALUMNOS!I136,"'")</f>
        <v>'ARQUITECTURA'</v>
      </c>
      <c r="H134" t="str">
        <f>CONCATENATE("'",ALUMNOS!J136,"'")</f>
        <v>'4to'</v>
      </c>
      <c r="I134" t="str">
        <f>CONCATENATE("'",ALUMNOS!K136,"'")</f>
        <v>'Masculino'</v>
      </c>
      <c r="J134" t="str">
        <f>CONCATENATE("'",ALUMNOS!L136,"'")</f>
        <v>'Activo'</v>
      </c>
      <c r="K134" t="str">
        <f t="shared" si="9"/>
        <v>1133,'LICENCIATURA','cristianfabian.zamudiovazquez','111210','TOMAR DEL SND','ZAMUDIO VAZQUEZ CRISTIAN FABIAN','ARQUITECTURA','4to','MASCULINO','ACTIVO','',0,0,'','ALUMNO'</v>
      </c>
      <c r="L134" t="str">
        <f t="shared" si="8"/>
        <v>INSERT INTO participantes (id,nivel,correo,matricula,clave,nombre,carrera,grado,sexo,situacion,evaluados,num_evaluados,total_evaluaciones,ultimo_acceso,nivel_acceso) VALUES (1133,'LICENCIATURA','cristianfabian.zamudiovazquez','111210','TOMAR DEL SND','ZAMUDIO VAZQUEZ CRISTIAN FABIAN','ARQUITECTURA','4to','MASCULINO','ACTIVO','',0,0,'','ALUMNO');</v>
      </c>
      <c r="M134" t="str">
        <f t="shared" si="10"/>
        <v>update participantes set correo='cristianfabian.zamudiovazquez' where id=1133;</v>
      </c>
    </row>
    <row r="135" spans="1:13" x14ac:dyDescent="0.25">
      <c r="A135">
        <f t="shared" si="11"/>
        <v>1134</v>
      </c>
      <c r="B135" s="3" t="s">
        <v>2103</v>
      </c>
      <c r="C135" t="str">
        <f>CONCATENATE("'",ALUMNOS!E137,"'")</f>
        <v>'cristoteodoro.floreszavala'</v>
      </c>
      <c r="D135" t="str">
        <f>CONCATENATE(ALUMNOS!F137,"'")</f>
        <v>'110535'</v>
      </c>
      <c r="E135" t="s">
        <v>2723</v>
      </c>
      <c r="F135" t="str">
        <f>CONCATENATE("'",ALUMNOS!H137,"'")</f>
        <v>'FLORES ZAVALA CRISTO TEODORO'</v>
      </c>
      <c r="G135" t="str">
        <f>CONCATENATE("'",ALUMNOS!I137,"'")</f>
        <v>'ARQUITECTURA'</v>
      </c>
      <c r="H135" t="str">
        <f>CONCATENATE("'",ALUMNOS!J137,"'")</f>
        <v>'6to'</v>
      </c>
      <c r="I135" t="str">
        <f>CONCATENATE("'",ALUMNOS!K137,"'")</f>
        <v>'Masculino'</v>
      </c>
      <c r="J135" t="str">
        <f>CONCATENATE("'",ALUMNOS!L137,"'")</f>
        <v>'Activo'</v>
      </c>
      <c r="K135" t="str">
        <f t="shared" si="9"/>
        <v>1134,'LICENCIATURA','cristoteodoro.floreszavala','110535','TOMAR DEL SND','FLORES ZAVALA CRISTO TEODORO','ARQUITECTURA','6to','MASCULINO','ACTIVO','',0,0,'','ALUMNO'</v>
      </c>
      <c r="L135" t="str">
        <f t="shared" si="8"/>
        <v>INSERT INTO participantes (id,nivel,correo,matricula,clave,nombre,carrera,grado,sexo,situacion,evaluados,num_evaluados,total_evaluaciones,ultimo_acceso,nivel_acceso) VALUES (1134,'LICENCIATURA','cristoteodoro.floreszavala','110535','TOMAR DEL SND','FLORES ZAVALA CRISTO TEODORO','ARQUITECTURA','6to','MASCULINO','ACTIVO','',0,0,'','ALUMNO');</v>
      </c>
      <c r="M135" t="str">
        <f t="shared" si="10"/>
        <v>update participantes set correo='cristoteodoro.floreszavala' where id=1134;</v>
      </c>
    </row>
    <row r="136" spans="1:13" x14ac:dyDescent="0.25">
      <c r="A136">
        <f t="shared" si="11"/>
        <v>1135</v>
      </c>
      <c r="B136" s="3" t="s">
        <v>2103</v>
      </c>
      <c r="C136" t="str">
        <f>CONCATENATE("'",ALUMNOS!E138,"'")</f>
        <v>'cristopheradrian.saucedolupercio'</v>
      </c>
      <c r="D136" t="str">
        <f>CONCATENATE(ALUMNOS!F138,"'")</f>
        <v>'111757'</v>
      </c>
      <c r="E136" t="s">
        <v>2723</v>
      </c>
      <c r="F136" t="str">
        <f>CONCATENATE("'",ALUMNOS!H138,"'")</f>
        <v>'SAUCEDO LUPERCIO CRISTOPHER ADRIAN'</v>
      </c>
      <c r="G136" t="str">
        <f>CONCATENATE("'",ALUMNOS!I138,"'")</f>
        <v>'INGENIERIA AEROESPACIAL'</v>
      </c>
      <c r="H136" t="str">
        <f>CONCATENATE("'",ALUMNOS!J138,"'")</f>
        <v>'2do'</v>
      </c>
      <c r="I136" t="str">
        <f>CONCATENATE("'",ALUMNOS!K138,"'")</f>
        <v>'Masculino'</v>
      </c>
      <c r="J136" t="str">
        <f>CONCATENATE("'",ALUMNOS!L138,"'")</f>
        <v>'Activo'</v>
      </c>
      <c r="K136" t="str">
        <f t="shared" si="9"/>
        <v>1135,'LICENCIATURA','cristopheradrian.saucedolupercio','111757','TOMAR DEL SND','SAUCEDO LUPERCIO CRISTOPHER ADRIAN','INGENIERIA AEROESPACIAL','2do','MASCULINO','ACTIVO','',0,0,'','ALUMNO'</v>
      </c>
      <c r="L136" t="str">
        <f t="shared" si="8"/>
        <v>INSERT INTO participantes (id,nivel,correo,matricula,clave,nombre,carrera,grado,sexo,situacion,evaluados,num_evaluados,total_evaluaciones,ultimo_acceso,nivel_acceso) VALUES (1135,'LICENCIATURA','cristopheradrian.saucedolupercio','111757','TOMAR DEL SND','SAUCEDO LUPERCIO CRISTOPHER ADRIAN','INGENIERIA AEROESPACIAL','2do','MASCULINO','ACTIVO','',0,0,'','ALUMNO');</v>
      </c>
      <c r="M136" t="str">
        <f t="shared" si="10"/>
        <v>update participantes set correo='cristopheradrian.saucedolupercio' where id=1135;</v>
      </c>
    </row>
    <row r="137" spans="1:13" x14ac:dyDescent="0.25">
      <c r="A137">
        <f t="shared" si="11"/>
        <v>1136</v>
      </c>
      <c r="B137" s="3" t="s">
        <v>2103</v>
      </c>
      <c r="C137" t="str">
        <f>CONCATENATE("'",ALUMNOS!E139,"'")</f>
        <v>'dafnegalilea.leonardorivera'</v>
      </c>
      <c r="D137" t="str">
        <f>CONCATENATE(ALUMNOS!F139,"'")</f>
        <v>'007663'</v>
      </c>
      <c r="E137" t="s">
        <v>2723</v>
      </c>
      <c r="F137" t="str">
        <f>CONCATENATE("'",ALUMNOS!H139,"'")</f>
        <v>'LEONARDO RIVERA DAFNE GALILEA'</v>
      </c>
      <c r="G137" t="str">
        <f>CONCATENATE("'",ALUMNOS!I139,"'")</f>
        <v>'INGENIERIA INDUSTRIAL Y EN SISTEMAS ORGANIZACIONALES'</v>
      </c>
      <c r="H137" t="str">
        <f>CONCATENATE("'",ALUMNOS!J139,"'")</f>
        <v>'4to'</v>
      </c>
      <c r="I137" t="str">
        <f>CONCATENATE("'",ALUMNOS!K139,"'")</f>
        <v>'Femenino'</v>
      </c>
      <c r="J137" t="str">
        <f>CONCATENATE("'",ALUMNOS!L139,"'")</f>
        <v>'Activo'</v>
      </c>
      <c r="K137" t="str">
        <f t="shared" si="9"/>
        <v>1136,'LICENCIATURA','dafnegalilea.leonardorivera','007663','TOMAR DEL SND','LEONARDO RIVERA DAFNE GALILEA','INGENIERIA INDUSTRIAL Y EN SISTEMAS ORGANIZACIONALES','4to','FEMENINO','ACTIVO','',0,0,'','ALUMNO'</v>
      </c>
      <c r="L137" t="str">
        <f t="shared" si="8"/>
        <v>INSERT INTO participantes (id,nivel,correo,matricula,clave,nombre,carrera,grado,sexo,situacion,evaluados,num_evaluados,total_evaluaciones,ultimo_acceso,nivel_acceso) VALUES (1136,'LICENCIATURA','dafnegalilea.leonardorivera','007663','TOMAR DEL SND','LEONARDO RIVERA DAFNE GALILEA','INGENIERIA INDUSTRIAL Y EN SISTEMAS ORGANIZACIONALES','4to','FEMENINO','ACTIVO','',0,0,'','ALUMNO');</v>
      </c>
      <c r="M137" t="str">
        <f t="shared" si="10"/>
        <v>update participantes set correo='dafnegalilea.leonardorivera' where id=1136;</v>
      </c>
    </row>
    <row r="138" spans="1:13" x14ac:dyDescent="0.25">
      <c r="A138">
        <f t="shared" si="11"/>
        <v>1137</v>
      </c>
      <c r="B138" s="3" t="s">
        <v>2103</v>
      </c>
      <c r="C138" t="str">
        <f>CONCATENATE("'",ALUMNOS!E140,"'")</f>
        <v>'dafnemontserrat.juarezjimenez'</v>
      </c>
      <c r="D138" t="str">
        <f>CONCATENATE(ALUMNOS!F140,"'")</f>
        <v>'111647'</v>
      </c>
      <c r="E138" t="s">
        <v>2723</v>
      </c>
      <c r="F138" t="str">
        <f>CONCATENATE("'",ALUMNOS!H140,"'")</f>
        <v>'JUAREZ JIMENEZ DAFNE MONTSERRAT'</v>
      </c>
      <c r="G138" t="str">
        <f>CONCATENATE("'",ALUMNOS!I140,"'")</f>
        <v>'INGENIERÍA AUTOMOTRIZ'</v>
      </c>
      <c r="H138" t="str">
        <f>CONCATENATE("'",ALUMNOS!J140,"'")</f>
        <v>'2do'</v>
      </c>
      <c r="I138" t="str">
        <f>CONCATENATE("'",ALUMNOS!K140,"'")</f>
        <v>'Femenino'</v>
      </c>
      <c r="J138" t="str">
        <f>CONCATENATE("'",ALUMNOS!L140,"'")</f>
        <v>'Activo'</v>
      </c>
      <c r="K138" t="str">
        <f t="shared" si="9"/>
        <v>1137,'LICENCIATURA','dafnemontserrat.juarezjimenez','111647','TOMAR DEL SND','JUAREZ JIMENEZ DAFNE MONTSERRAT','INGENIERÍA AUTOMOTRIZ','2do','FEMENINO','ACTIVO','',0,0,'','ALUMNO'</v>
      </c>
      <c r="L138" t="str">
        <f t="shared" si="8"/>
        <v>INSERT INTO participantes (id,nivel,correo,matricula,clave,nombre,carrera,grado,sexo,situacion,evaluados,num_evaluados,total_evaluaciones,ultimo_acceso,nivel_acceso) VALUES (1137,'LICENCIATURA','dafnemontserrat.juarezjimenez','111647','TOMAR DEL SND','JUAREZ JIMENEZ DAFNE MONTSERRAT','INGENIERÍA AUTOMOTRIZ','2do','FEMENINO','ACTIVO','',0,0,'','ALUMNO');</v>
      </c>
      <c r="M138" t="str">
        <f t="shared" si="10"/>
        <v>update participantes set correo='dafnemontserrat.juarezjimenez' where id=1137;</v>
      </c>
    </row>
    <row r="139" spans="1:13" x14ac:dyDescent="0.25">
      <c r="A139">
        <f t="shared" si="11"/>
        <v>1138</v>
      </c>
      <c r="B139" s="3" t="s">
        <v>2103</v>
      </c>
      <c r="C139" t="str">
        <f>CONCATENATE("'",ALUMNOS!E141,"'")</f>
        <v>'dahyanapaulina.sanchezurzua'</v>
      </c>
      <c r="D139" t="str">
        <f>CONCATENATE(ALUMNOS!F141,"'")</f>
        <v>'111794'</v>
      </c>
      <c r="E139" t="s">
        <v>2723</v>
      </c>
      <c r="F139" t="str">
        <f>CONCATENATE("'",ALUMNOS!H141,"'")</f>
        <v>'SANCHEZ URZUA DAHYANA PAULINA'</v>
      </c>
      <c r="G139" t="str">
        <f>CONCATENATE("'",ALUMNOS!I141,"'")</f>
        <v>'INGENIERIA AEROESPACIAL'</v>
      </c>
      <c r="H139" t="str">
        <f>CONCATENATE("'",ALUMNOS!J141,"'")</f>
        <v>'2do'</v>
      </c>
      <c r="I139" t="str">
        <f>CONCATENATE("'",ALUMNOS!K141,"'")</f>
        <v>'Femenino'</v>
      </c>
      <c r="J139" t="str">
        <f>CONCATENATE("'",ALUMNOS!L141,"'")</f>
        <v>'Activo'</v>
      </c>
      <c r="K139" t="str">
        <f t="shared" si="9"/>
        <v>1138,'LICENCIATURA','dahyanapaulina.sanchezurzua','111794','TOMAR DEL SND','SANCHEZ URZUA DAHYANA PAULINA','INGENIERIA AEROESPACIAL','2do','FEMENINO','ACTIVO','',0,0,'','ALUMNO'</v>
      </c>
      <c r="L139" t="str">
        <f t="shared" si="8"/>
        <v>INSERT INTO participantes (id,nivel,correo,matricula,clave,nombre,carrera,grado,sexo,situacion,evaluados,num_evaluados,total_evaluaciones,ultimo_acceso,nivel_acceso) VALUES (1138,'LICENCIATURA','dahyanapaulina.sanchezurzua','111794','TOMAR DEL SND','SANCHEZ URZUA DAHYANA PAULINA','INGENIERIA AEROESPACIAL','2do','FEMENINO','ACTIVO','',0,0,'','ALUMNO');</v>
      </c>
      <c r="M139" t="str">
        <f t="shared" si="10"/>
        <v>update participantes set correo='dahyanapaulina.sanchezurzua' where id=1138;</v>
      </c>
    </row>
    <row r="140" spans="1:13" x14ac:dyDescent="0.25">
      <c r="A140">
        <f t="shared" si="11"/>
        <v>1139</v>
      </c>
      <c r="B140" s="3" t="s">
        <v>2103</v>
      </c>
      <c r="C140" t="str">
        <f>CONCATENATE("'",ALUMNOS!E142,"'")</f>
        <v>'damarisaixa.ruvalcabagonzalez'</v>
      </c>
      <c r="D140" t="str">
        <f>CONCATENATE(ALUMNOS!F142,"'")</f>
        <v>'109885'</v>
      </c>
      <c r="E140" t="s">
        <v>2723</v>
      </c>
      <c r="F140" t="str">
        <f>CONCATENATE("'",ALUMNOS!H142,"'")</f>
        <v>'RUVALCABA GONZALEZ DAMARIS AIXA'</v>
      </c>
      <c r="G140" t="str">
        <f>CONCATENATE("'",ALUMNOS!I142,"'")</f>
        <v>'ARQUITECTURA'</v>
      </c>
      <c r="H140" t="str">
        <f>CONCATENATE("'",ALUMNOS!J142,"'")</f>
        <v>'8vo'</v>
      </c>
      <c r="I140" t="str">
        <f>CONCATENATE("'",ALUMNOS!K142,"'")</f>
        <v>'Femenino'</v>
      </c>
      <c r="J140" t="str">
        <f>CONCATENATE("'",ALUMNOS!L142,"'")</f>
        <v>'Activo'</v>
      </c>
      <c r="K140" t="str">
        <f t="shared" si="9"/>
        <v>1139,'LICENCIATURA','damarisaixa.ruvalcabagonzalez','109885','TOMAR DEL SND','RUVALCABA GONZALEZ DAMARIS AIXA','ARQUITECTURA','8vo','FEMENINO','ACTIVO','',0,0,'','ALUMNO'</v>
      </c>
      <c r="L140" t="str">
        <f t="shared" si="8"/>
        <v>INSERT INTO participantes (id,nivel,correo,matricula,clave,nombre,carrera,grado,sexo,situacion,evaluados,num_evaluados,total_evaluaciones,ultimo_acceso,nivel_acceso) VALUES (1139,'LICENCIATURA','damarisaixa.ruvalcabagonzalez','109885','TOMAR DEL SND','RUVALCABA GONZALEZ DAMARIS AIXA','ARQUITECTURA','8vo','FEMENINO','ACTIVO','',0,0,'','ALUMNO');</v>
      </c>
      <c r="M140" t="str">
        <f t="shared" si="10"/>
        <v>update participantes set correo='damarisaixa.ruvalcabagonzalez' where id=1139;</v>
      </c>
    </row>
    <row r="141" spans="1:13" x14ac:dyDescent="0.25">
      <c r="A141">
        <f t="shared" si="11"/>
        <v>1140</v>
      </c>
      <c r="B141" s="3" t="s">
        <v>2103</v>
      </c>
      <c r="C141" t="str">
        <f>CONCATENATE("'",ALUMNOS!E143,"'")</f>
        <v>'damian.martinezalvarado'</v>
      </c>
      <c r="D141" t="str">
        <f>CONCATENATE(ALUMNOS!F143,"'")</f>
        <v>'111854'</v>
      </c>
      <c r="E141" t="s">
        <v>2723</v>
      </c>
      <c r="F141" t="str">
        <f>CONCATENATE("'",ALUMNOS!H143,"'")</f>
        <v>'MARTINEZ ALVARADO DAMIAN'</v>
      </c>
      <c r="G141" t="str">
        <f>CONCATENATE("'",ALUMNOS!I143,"'")</f>
        <v>'ANIMACION DIGITAL Y VIDEOJUEGOS'</v>
      </c>
      <c r="H141" t="str">
        <f>CONCATENATE("'",ALUMNOS!J143,"'")</f>
        <v>'2do'</v>
      </c>
      <c r="I141" t="str">
        <f>CONCATENATE("'",ALUMNOS!K143,"'")</f>
        <v>'Masculino'</v>
      </c>
      <c r="J141" t="str">
        <f>CONCATENATE("'",ALUMNOS!L143,"'")</f>
        <v>'Activo'</v>
      </c>
      <c r="K141" t="str">
        <f t="shared" si="9"/>
        <v>1140,'LICENCIATURA','damian.martinezalvarado','111854','TOMAR DEL SND','MARTINEZ ALVARADO DAMIAN','ANIMACION DIGITAL Y VIDEOJUEGOS','2do','MASCULINO','ACTIVO','',0,0,'','ALUMNO'</v>
      </c>
      <c r="L141" t="str">
        <f t="shared" si="8"/>
        <v>INSERT INTO participantes (id,nivel,correo,matricula,clave,nombre,carrera,grado,sexo,situacion,evaluados,num_evaluados,total_evaluaciones,ultimo_acceso,nivel_acceso) VALUES (1140,'LICENCIATURA','damian.martinezalvarado','111854','TOMAR DEL SND','MARTINEZ ALVARADO DAMIAN','ANIMACION DIGITAL Y VIDEOJUEGOS','2do','MASCULINO','ACTIVO','',0,0,'','ALUMNO');</v>
      </c>
      <c r="M141" t="str">
        <f t="shared" si="10"/>
        <v>update participantes set correo='damian.martinezalvarado' where id=1140;</v>
      </c>
    </row>
    <row r="142" spans="1:13" x14ac:dyDescent="0.25">
      <c r="A142">
        <f t="shared" si="11"/>
        <v>1141</v>
      </c>
      <c r="B142" s="3" t="s">
        <v>2103</v>
      </c>
      <c r="C142" t="str">
        <f>CONCATENATE("'",ALUMNOS!E144,"'")</f>
        <v>'danaelena.rendondelrio'</v>
      </c>
      <c r="D142" t="str">
        <f>CONCATENATE(ALUMNOS!F144,"'")</f>
        <v>'111608'</v>
      </c>
      <c r="E142" t="s">
        <v>2723</v>
      </c>
      <c r="F142" t="str">
        <f>CONCATENATE("'",ALUMNOS!H144,"'")</f>
        <v>'RENDON DEL RIO DANA ELENA'</v>
      </c>
      <c r="G142" t="str">
        <f>CONCATENATE("'",ALUMNOS!I144,"'")</f>
        <v>'ADMINISTRACION Y DIRECCION DE NEGOCIOS'</v>
      </c>
      <c r="H142" t="str">
        <f>CONCATENATE("'",ALUMNOS!J144,"'")</f>
        <v>'2do'</v>
      </c>
      <c r="I142" t="str">
        <f>CONCATENATE("'",ALUMNOS!K144,"'")</f>
        <v>'Femenino'</v>
      </c>
      <c r="J142" t="str">
        <f>CONCATENATE("'",ALUMNOS!L144,"'")</f>
        <v>'Activo'</v>
      </c>
      <c r="K142" t="str">
        <f t="shared" si="9"/>
        <v>1141,'LICENCIATURA','danaelena.rendondelrio','111608','TOMAR DEL SND','RENDON DEL RIO DANA ELENA','ADMINISTRACION Y DIRECCION DE NEGOCIOS','2do','FEMENINO','ACTIVO','',0,0,'','ALUMNO'</v>
      </c>
      <c r="L142" t="str">
        <f t="shared" si="8"/>
        <v>INSERT INTO participantes (id,nivel,correo,matricula,clave,nombre,carrera,grado,sexo,situacion,evaluados,num_evaluados,total_evaluaciones,ultimo_acceso,nivel_acceso) VALUES (1141,'LICENCIATURA','danaelena.rendondelrio','111608','TOMAR DEL SND','RENDON DEL RIO DANA ELENA','ADMINISTRACION Y DIRECCION DE NEGOCIOS','2do','FEMENINO','ACTIVO','',0,0,'','ALUMNO');</v>
      </c>
      <c r="M142" t="str">
        <f t="shared" si="10"/>
        <v>update participantes set correo='danaelena.rendondelrio' where id=1141;</v>
      </c>
    </row>
    <row r="143" spans="1:13" x14ac:dyDescent="0.25">
      <c r="A143">
        <f t="shared" si="11"/>
        <v>1142</v>
      </c>
      <c r="B143" s="3" t="s">
        <v>2103</v>
      </c>
      <c r="C143" t="str">
        <f>CONCATENATE("'",ALUMNOS!E145,"'")</f>
        <v>'danajoanelle.mercadotorres'</v>
      </c>
      <c r="D143" t="str">
        <f>CONCATENATE(ALUMNOS!F145,"'")</f>
        <v>'111123'</v>
      </c>
      <c r="E143" t="s">
        <v>2723</v>
      </c>
      <c r="F143" t="str">
        <f>CONCATENATE("'",ALUMNOS!H145,"'")</f>
        <v>'MERCADO TORRES DANA JOANELLE'</v>
      </c>
      <c r="G143" t="str">
        <f>CONCATENATE("'",ALUMNOS!I145,"'")</f>
        <v>'DISEÑO GRAFICO Y DIGITAL'</v>
      </c>
      <c r="H143" t="str">
        <f>CONCATENATE("'",ALUMNOS!J145,"'")</f>
        <v>'4to'</v>
      </c>
      <c r="I143" t="str">
        <f>CONCATENATE("'",ALUMNOS!K145,"'")</f>
        <v>'Femenino'</v>
      </c>
      <c r="J143" t="str">
        <f>CONCATENATE("'",ALUMNOS!L145,"'")</f>
        <v>'Activo'</v>
      </c>
      <c r="K143" t="str">
        <f t="shared" si="9"/>
        <v>1142,'LICENCIATURA','danajoanelle.mercadotorres','111123','TOMAR DEL SND','MERCADO TORRES DANA JOANELLE','DISEÑO GRAFICO Y DIGITAL','4to','FEMENINO','ACTIVO','',0,0,'','ALUMNO'</v>
      </c>
      <c r="L143" t="str">
        <f t="shared" si="8"/>
        <v>INSERT INTO participantes (id,nivel,correo,matricula,clave,nombre,carrera,grado,sexo,situacion,evaluados,num_evaluados,total_evaluaciones,ultimo_acceso,nivel_acceso) VALUES (1142,'LICENCIATURA','danajoanelle.mercadotorres','111123','TOMAR DEL SND','MERCADO TORRES DANA JOANELLE','DISEÑO GRAFICO Y DIGITAL','4to','FEMENINO','ACTIVO','',0,0,'','ALUMNO');</v>
      </c>
      <c r="M143" t="str">
        <f t="shared" si="10"/>
        <v>update participantes set correo='danajoanelle.mercadotorres' where id=1142;</v>
      </c>
    </row>
    <row r="144" spans="1:13" x14ac:dyDescent="0.25">
      <c r="A144">
        <f t="shared" si="11"/>
        <v>1143</v>
      </c>
      <c r="B144" s="3" t="s">
        <v>2103</v>
      </c>
      <c r="C144" t="str">
        <f>CONCATENATE("'",ALUMNOS!E146,"'")</f>
        <v>'danapaulina.ayalamagallon'</v>
      </c>
      <c r="D144" t="str">
        <f>CONCATENATE(ALUMNOS!F146,"'")</f>
        <v>'110661'</v>
      </c>
      <c r="E144" t="s">
        <v>2723</v>
      </c>
      <c r="F144" t="str">
        <f>CONCATENATE("'",ALUMNOS!H146,"'")</f>
        <v>'AYALA MAGALLON DANA PAULINA'</v>
      </c>
      <c r="G144" t="str">
        <f>CONCATENATE("'",ALUMNOS!I146,"'")</f>
        <v>'ARQUITECTURA'</v>
      </c>
      <c r="H144" t="str">
        <f>CONCATENATE("'",ALUMNOS!J146,"'")</f>
        <v>'6to'</v>
      </c>
      <c r="I144" t="str">
        <f>CONCATENATE("'",ALUMNOS!K146,"'")</f>
        <v>'Femenino'</v>
      </c>
      <c r="J144" t="str">
        <f>CONCATENATE("'",ALUMNOS!L146,"'")</f>
        <v>'Activo'</v>
      </c>
      <c r="K144" t="str">
        <f t="shared" si="9"/>
        <v>1143,'LICENCIATURA','danapaulina.ayalamagallon','110661','TOMAR DEL SND','AYALA MAGALLON DANA PAULINA','ARQUITECTURA','6to','FEMENINO','ACTIVO','',0,0,'','ALUMNO'</v>
      </c>
      <c r="L144" t="str">
        <f t="shared" si="8"/>
        <v>INSERT INTO participantes (id,nivel,correo,matricula,clave,nombre,carrera,grado,sexo,situacion,evaluados,num_evaluados,total_evaluaciones,ultimo_acceso,nivel_acceso) VALUES (1143,'LICENCIATURA','danapaulina.ayalamagallon','110661','TOMAR DEL SND','AYALA MAGALLON DANA PAULINA','ARQUITECTURA','6to','FEMENINO','ACTIVO','',0,0,'','ALUMNO');</v>
      </c>
      <c r="M144" t="str">
        <f t="shared" si="10"/>
        <v>update participantes set correo='danapaulina.ayalamagallon' where id=1143;</v>
      </c>
    </row>
    <row r="145" spans="1:13" x14ac:dyDescent="0.25">
      <c r="A145">
        <f t="shared" si="11"/>
        <v>1144</v>
      </c>
      <c r="B145" s="3" t="s">
        <v>2103</v>
      </c>
      <c r="C145" t="str">
        <f>CONCATENATE("'",ALUMNOS!E147,"'")</f>
        <v>'daniel.floresraya'</v>
      </c>
      <c r="D145" t="str">
        <f>CONCATENATE(ALUMNOS!F147,"'")</f>
        <v>'111133'</v>
      </c>
      <c r="E145" t="s">
        <v>2723</v>
      </c>
      <c r="F145" t="str">
        <f>CONCATENATE("'",ALUMNOS!H147,"'")</f>
        <v>'FLORES RAYA DANIEL'</v>
      </c>
      <c r="G145" t="str">
        <f>CONCATENATE("'",ALUMNOS!I147,"'")</f>
        <v>'NUTRICION Y GASTRONOMIA'</v>
      </c>
      <c r="H145" t="str">
        <f>CONCATENATE("'",ALUMNOS!J147,"'")</f>
        <v>'4to'</v>
      </c>
      <c r="I145" t="str">
        <f>CONCATENATE("'",ALUMNOS!K147,"'")</f>
        <v>'Masculino'</v>
      </c>
      <c r="J145" t="str">
        <f>CONCATENATE("'",ALUMNOS!L147,"'")</f>
        <v>'Activo'</v>
      </c>
      <c r="K145" t="str">
        <f t="shared" si="9"/>
        <v>1144,'LICENCIATURA','daniel.floresraya','111133','TOMAR DEL SND','FLORES RAYA DANIEL','NUTRICION Y GASTRONOMIA','4to','MASCULINO','ACTIVO','',0,0,'','ALUMNO'</v>
      </c>
      <c r="L145" t="str">
        <f t="shared" si="8"/>
        <v>INSERT INTO participantes (id,nivel,correo,matricula,clave,nombre,carrera,grado,sexo,situacion,evaluados,num_evaluados,total_evaluaciones,ultimo_acceso,nivel_acceso) VALUES (1144,'LICENCIATURA','daniel.floresraya','111133','TOMAR DEL SND','FLORES RAYA DANIEL','NUTRICION Y GASTRONOMIA','4to','MASCULINO','ACTIVO','',0,0,'','ALUMNO');</v>
      </c>
      <c r="M145" t="str">
        <f t="shared" si="10"/>
        <v>update participantes set correo='daniel.floresraya' where id=1144;</v>
      </c>
    </row>
    <row r="146" spans="1:13" x14ac:dyDescent="0.25">
      <c r="A146">
        <f t="shared" si="11"/>
        <v>1145</v>
      </c>
      <c r="B146" s="3" t="s">
        <v>2103</v>
      </c>
      <c r="C146" t="str">
        <f>CONCATENATE("'",ALUMNOS!E148,"'")</f>
        <v>'danielalejandro.castellanosramirez'</v>
      </c>
      <c r="D146" t="str">
        <f>CONCATENATE(ALUMNOS!F148,"'")</f>
        <v>'108892'</v>
      </c>
      <c r="E146" t="s">
        <v>2723</v>
      </c>
      <c r="F146" t="str">
        <f>CONCATENATE("'",ALUMNOS!H148,"'")</f>
        <v>'CASTELLANOS RAMIREZ DANIEL ALEJANDRO'</v>
      </c>
      <c r="G146" t="str">
        <f>CONCATENATE("'",ALUMNOS!I148,"'")</f>
        <v>'ADMINISTRACION Y DIRECCION DE NEGOCIOS'</v>
      </c>
      <c r="H146" t="str">
        <f>CONCATENATE("'",ALUMNOS!J148,"'")</f>
        <v>'6to'</v>
      </c>
      <c r="I146" t="str">
        <f>CONCATENATE("'",ALUMNOS!K148,"'")</f>
        <v>'Masculino'</v>
      </c>
      <c r="J146" t="str">
        <f>CONCATENATE("'",ALUMNOS!L148,"'")</f>
        <v>'Activo'</v>
      </c>
      <c r="K146" t="str">
        <f t="shared" si="9"/>
        <v>1145,'LICENCIATURA','danielalejandro.castellanosramirez','108892','TOMAR DEL SND','CASTELLANOS RAMIREZ DANIEL ALEJANDRO','ADMINISTRACION Y DIRECCION DE NEGOCIOS','6to','MASCULINO','ACTIVO','',0,0,'','ALUMNO'</v>
      </c>
      <c r="L146" t="str">
        <f t="shared" si="8"/>
        <v>INSERT INTO participantes (id,nivel,correo,matricula,clave,nombre,carrera,grado,sexo,situacion,evaluados,num_evaluados,total_evaluaciones,ultimo_acceso,nivel_acceso) VALUES (1145,'LICENCIATURA','danielalejandro.castellanosramirez','108892','TOMAR DEL SND','CASTELLANOS RAMIREZ DANIEL ALEJANDRO','ADMINISTRACION Y DIRECCION DE NEGOCIOS','6to','MASCULINO','ACTIVO','',0,0,'','ALUMNO');</v>
      </c>
      <c r="M146" t="str">
        <f t="shared" si="10"/>
        <v>update participantes set correo='danielalejandro.castellanosramirez' where id=1145;</v>
      </c>
    </row>
    <row r="147" spans="1:13" x14ac:dyDescent="0.25">
      <c r="A147">
        <f t="shared" si="11"/>
        <v>1146</v>
      </c>
      <c r="B147" s="3" t="s">
        <v>2103</v>
      </c>
      <c r="C147" t="str">
        <f>CONCATENATE("'",ALUMNOS!E149,"'")</f>
        <v>'danieleduardo.lemusarias'</v>
      </c>
      <c r="D147" t="str">
        <f>CONCATENATE(ALUMNOS!F149,"'")</f>
        <v>'007339'</v>
      </c>
      <c r="E147" t="s">
        <v>2723</v>
      </c>
      <c r="F147" t="str">
        <f>CONCATENATE("'",ALUMNOS!H149,"'")</f>
        <v>'LEMUS ARIAS DANIEL EDUARDO'</v>
      </c>
      <c r="G147" t="str">
        <f>CONCATENATE("'",ALUMNOS!I149,"'")</f>
        <v>'ADMINISTRACION Y DIRECCION DE NEGOCIOS'</v>
      </c>
      <c r="H147" t="str">
        <f>CONCATENATE("'",ALUMNOS!J149,"'")</f>
        <v>'6to'</v>
      </c>
      <c r="I147" t="str">
        <f>CONCATENATE("'",ALUMNOS!K149,"'")</f>
        <v>'Masculino'</v>
      </c>
      <c r="J147" t="str">
        <f>CONCATENATE("'",ALUMNOS!L149,"'")</f>
        <v>'Activo'</v>
      </c>
      <c r="K147" t="str">
        <f t="shared" si="9"/>
        <v>1146,'LICENCIATURA','danieleduardo.lemusarias','007339','TOMAR DEL SND','LEMUS ARIAS DANIEL EDUARDO','ADMINISTRACION Y DIRECCION DE NEGOCIOS','6to','MASCULINO','ACTIVO','',0,0,'','ALUMNO'</v>
      </c>
      <c r="L147" t="str">
        <f t="shared" si="8"/>
        <v>INSERT INTO participantes (id,nivel,correo,matricula,clave,nombre,carrera,grado,sexo,situacion,evaluados,num_evaluados,total_evaluaciones,ultimo_acceso,nivel_acceso) VALUES (1146,'LICENCIATURA','danieleduardo.lemusarias','007339','TOMAR DEL SND','LEMUS ARIAS DANIEL EDUARDO','ADMINISTRACION Y DIRECCION DE NEGOCIOS','6to','MASCULINO','ACTIVO','',0,0,'','ALUMNO');</v>
      </c>
      <c r="M147" t="str">
        <f t="shared" si="10"/>
        <v>update participantes set correo='danieleduardo.lemusarias' where id=1146;</v>
      </c>
    </row>
    <row r="148" spans="1:13" x14ac:dyDescent="0.25">
      <c r="A148">
        <f t="shared" si="11"/>
        <v>1147</v>
      </c>
      <c r="B148" s="3" t="s">
        <v>2103</v>
      </c>
      <c r="C148" t="str">
        <f>CONCATENATE("'",ALUMNOS!E150,"'")</f>
        <v>'danielignacio.salcidoramos'</v>
      </c>
      <c r="D148" t="str">
        <f>CONCATENATE(ALUMNOS!F150,"'")</f>
        <v>'110652'</v>
      </c>
      <c r="E148" t="s">
        <v>2723</v>
      </c>
      <c r="F148" t="str">
        <f>CONCATENATE("'",ALUMNOS!H150,"'")</f>
        <v>'SALCIDO RAMOS DANIEL IGNACIO'</v>
      </c>
      <c r="G148" t="str">
        <f>CONCATENATE("'",ALUMNOS!I150,"'")</f>
        <v>'COMERCIO INTERNACIONAL'</v>
      </c>
      <c r="H148" t="str">
        <f>CONCATENATE("'",ALUMNOS!J150,"'")</f>
        <v>'6to'</v>
      </c>
      <c r="I148" t="str">
        <f>CONCATENATE("'",ALUMNOS!K150,"'")</f>
        <v>'Masculino'</v>
      </c>
      <c r="J148" t="str">
        <f>CONCATENATE("'",ALUMNOS!L150,"'")</f>
        <v>'Activo'</v>
      </c>
      <c r="K148" t="str">
        <f t="shared" si="9"/>
        <v>1147,'LICENCIATURA','danielignacio.salcidoramos','110652','TOMAR DEL SND','SALCIDO RAMOS DANIEL IGNACIO','COMERCIO INTERNACIONAL','6to','MASCULINO','ACTIVO','',0,0,'','ALUMNO'</v>
      </c>
      <c r="L148" t="str">
        <f t="shared" si="8"/>
        <v>INSERT INTO participantes (id,nivel,correo,matricula,clave,nombre,carrera,grado,sexo,situacion,evaluados,num_evaluados,total_evaluaciones,ultimo_acceso,nivel_acceso) VALUES (1147,'LICENCIATURA','danielignacio.salcidoramos','110652','TOMAR DEL SND','SALCIDO RAMOS DANIEL IGNACIO','COMERCIO INTERNACIONAL','6to','MASCULINO','ACTIVO','',0,0,'','ALUMNO');</v>
      </c>
      <c r="M148" t="str">
        <f t="shared" si="10"/>
        <v>update participantes set correo='danielignacio.salcidoramos' where id=1147;</v>
      </c>
    </row>
    <row r="149" spans="1:13" x14ac:dyDescent="0.25">
      <c r="A149">
        <f t="shared" si="11"/>
        <v>1148</v>
      </c>
      <c r="B149" s="3" t="s">
        <v>2103</v>
      </c>
      <c r="C149" t="str">
        <f>CONCATENATE("'",ALUMNOS!E151,"'")</f>
        <v>'daniela.hernandezvendramini'</v>
      </c>
      <c r="D149" t="str">
        <f>CONCATENATE(ALUMNOS!F151,"'")</f>
        <v>'111034'</v>
      </c>
      <c r="E149" t="s">
        <v>2723</v>
      </c>
      <c r="F149" t="str">
        <f>CONCATENATE("'",ALUMNOS!H151,"'")</f>
        <v>'HERNANDEZ VENDRAMINI DANIELA'</v>
      </c>
      <c r="G149" t="str">
        <f>CONCATENATE("'",ALUMNOS!I151,"'")</f>
        <v>'DISEÑO GRAFICO Y DIGITAL'</v>
      </c>
      <c r="H149" t="str">
        <f>CONCATENATE("'",ALUMNOS!J151,"'")</f>
        <v>'4to'</v>
      </c>
      <c r="I149" t="str">
        <f>CONCATENATE("'",ALUMNOS!K151,"'")</f>
        <v>'Femenino'</v>
      </c>
      <c r="J149" t="str">
        <f>CONCATENATE("'",ALUMNOS!L151,"'")</f>
        <v>'Activo'</v>
      </c>
      <c r="K149" t="str">
        <f t="shared" si="9"/>
        <v>1148,'LICENCIATURA','daniela.hernandezvendramini','111034','TOMAR DEL SND','HERNANDEZ VENDRAMINI DANIELA','DISEÑO GRAFICO Y DIGITAL','4to','FEMENINO','ACTIVO','',0,0,'','ALUMNO'</v>
      </c>
      <c r="L149" t="str">
        <f t="shared" si="8"/>
        <v>INSERT INTO participantes (id,nivel,correo,matricula,clave,nombre,carrera,grado,sexo,situacion,evaluados,num_evaluados,total_evaluaciones,ultimo_acceso,nivel_acceso) VALUES (1148,'LICENCIATURA','daniela.hernandezvendramini','111034','TOMAR DEL SND','HERNANDEZ VENDRAMINI DANIELA','DISEÑO GRAFICO Y DIGITAL','4to','FEMENINO','ACTIVO','',0,0,'','ALUMNO');</v>
      </c>
      <c r="M149" t="str">
        <f t="shared" si="10"/>
        <v>update participantes set correo='daniela.hernandezvendramini' where id=1148;</v>
      </c>
    </row>
    <row r="150" spans="1:13" x14ac:dyDescent="0.25">
      <c r="A150">
        <f t="shared" si="11"/>
        <v>1149</v>
      </c>
      <c r="B150" s="3" t="s">
        <v>2103</v>
      </c>
      <c r="C150" t="str">
        <f>CONCATENATE("'",ALUMNOS!E152,"'")</f>
        <v>'daniela.morenovazquez'</v>
      </c>
      <c r="D150" t="str">
        <f>CONCATENATE(ALUMNOS!F152,"'")</f>
        <v>'110219'</v>
      </c>
      <c r="E150" t="s">
        <v>2723</v>
      </c>
      <c r="F150" t="str">
        <f>CONCATENATE("'",ALUMNOS!H152,"'")</f>
        <v>'MORENO VAZQUEZ DANIELA'</v>
      </c>
      <c r="G150" t="str">
        <f>CONCATENATE("'",ALUMNOS!I152,"'")</f>
        <v>'NUTRICION Y GASTRONOMIA'</v>
      </c>
      <c r="H150" t="str">
        <f>CONCATENATE("'",ALUMNOS!J152,"'")</f>
        <v>'8vo'</v>
      </c>
      <c r="I150" t="str">
        <f>CONCATENATE("'",ALUMNOS!K152,"'")</f>
        <v>'Femenino'</v>
      </c>
      <c r="J150" t="str">
        <f>CONCATENATE("'",ALUMNOS!L152,"'")</f>
        <v>'Activo'</v>
      </c>
      <c r="K150" t="str">
        <f t="shared" si="9"/>
        <v>1149,'LICENCIATURA','daniela.morenovazquez','110219','TOMAR DEL SND','MORENO VAZQUEZ DANIELA','NUTRICION Y GASTRONOMIA','8vo','FEMENINO','ACTIVO','',0,0,'','ALUMNO'</v>
      </c>
      <c r="L150" t="str">
        <f t="shared" si="8"/>
        <v>INSERT INTO participantes (id,nivel,correo,matricula,clave,nombre,carrera,grado,sexo,situacion,evaluados,num_evaluados,total_evaluaciones,ultimo_acceso,nivel_acceso) VALUES (1149,'LICENCIATURA','daniela.morenovazquez','110219','TOMAR DEL SND','MORENO VAZQUEZ DANIELA','NUTRICION Y GASTRONOMIA','8vo','FEMENINO','ACTIVO','',0,0,'','ALUMNO');</v>
      </c>
      <c r="M150" t="str">
        <f t="shared" si="10"/>
        <v>update participantes set correo='daniela.morenovazquez' where id=1149;</v>
      </c>
    </row>
    <row r="151" spans="1:13" x14ac:dyDescent="0.25">
      <c r="A151">
        <f t="shared" si="11"/>
        <v>1150</v>
      </c>
      <c r="B151" s="3" t="s">
        <v>2103</v>
      </c>
      <c r="C151" t="str">
        <f>CONCATENATE("'",ALUMNOS!E153,"'")</f>
        <v>'daniela.moscosoamezcua'</v>
      </c>
      <c r="D151" t="str">
        <f>CONCATENATE(ALUMNOS!F153,"'")</f>
        <v>'109915'</v>
      </c>
      <c r="E151" t="s">
        <v>2723</v>
      </c>
      <c r="F151" t="str">
        <f>CONCATENATE("'",ALUMNOS!H153,"'")</f>
        <v>'MOSCOSO AMEZCUA DANIELA'</v>
      </c>
      <c r="G151" t="str">
        <f>CONCATENATE("'",ALUMNOS!I153,"'")</f>
        <v>'ARQUITECTURA'</v>
      </c>
      <c r="H151" t="str">
        <f>CONCATENATE("'",ALUMNOS!J153,"'")</f>
        <v>'8vo'</v>
      </c>
      <c r="I151" t="str">
        <f>CONCATENATE("'",ALUMNOS!K153,"'")</f>
        <v>'Femenino'</v>
      </c>
      <c r="J151" t="str">
        <f>CONCATENATE("'",ALUMNOS!L153,"'")</f>
        <v>'Activo'</v>
      </c>
      <c r="K151" t="str">
        <f t="shared" si="9"/>
        <v>1150,'LICENCIATURA','daniela.moscosoamezcua','109915','TOMAR DEL SND','MOSCOSO AMEZCUA DANIELA','ARQUITECTURA','8vo','FEMENINO','ACTIVO','',0,0,'','ALUMNO'</v>
      </c>
      <c r="L151" t="str">
        <f t="shared" si="8"/>
        <v>INSERT INTO participantes (id,nivel,correo,matricula,clave,nombre,carrera,grado,sexo,situacion,evaluados,num_evaluados,total_evaluaciones,ultimo_acceso,nivel_acceso) VALUES (1150,'LICENCIATURA','daniela.moscosoamezcua','109915','TOMAR DEL SND','MOSCOSO AMEZCUA DANIELA','ARQUITECTURA','8vo','FEMENINO','ACTIVO','',0,0,'','ALUMNO');</v>
      </c>
      <c r="M151" t="str">
        <f t="shared" si="10"/>
        <v>update participantes set correo='daniela.moscosoamezcua' where id=1150;</v>
      </c>
    </row>
    <row r="152" spans="1:13" x14ac:dyDescent="0.25">
      <c r="A152">
        <f t="shared" si="11"/>
        <v>1151</v>
      </c>
      <c r="B152" s="3" t="s">
        <v>2103</v>
      </c>
      <c r="C152" t="str">
        <f>CONCATENATE("'",ALUMNOS!E154,"'")</f>
        <v>'daniela.rojaslopez'</v>
      </c>
      <c r="D152" t="str">
        <f>CONCATENATE(ALUMNOS!F154,"'")</f>
        <v>'111169'</v>
      </c>
      <c r="E152" t="s">
        <v>2723</v>
      </c>
      <c r="F152" t="str">
        <f>CONCATENATE("'",ALUMNOS!H154,"'")</f>
        <v>'ROJAS LOPEZ DANIELA'</v>
      </c>
      <c r="G152" t="str">
        <f>CONCATENATE("'",ALUMNOS!I154,"'")</f>
        <v>'INGENIERIA INDUSTRIAL Y EN SISTEMAS ORGANIZACIONALES'</v>
      </c>
      <c r="H152" t="str">
        <f>CONCATENATE("'",ALUMNOS!J154,"'")</f>
        <v>'4to'</v>
      </c>
      <c r="I152" t="str">
        <f>CONCATENATE("'",ALUMNOS!K154,"'")</f>
        <v>'Femenino'</v>
      </c>
      <c r="J152" t="str">
        <f>CONCATENATE("'",ALUMNOS!L154,"'")</f>
        <v>'Activo'</v>
      </c>
      <c r="K152" t="str">
        <f t="shared" si="9"/>
        <v>1151,'LICENCIATURA','daniela.rojaslopez','111169','TOMAR DEL SND','ROJAS LOPEZ DANIELA','INGENIERIA INDUSTRIAL Y EN SISTEMAS ORGANIZACIONALES','4to','FEMENINO','ACTIVO','',0,0,'','ALUMNO'</v>
      </c>
      <c r="L152" t="str">
        <f t="shared" si="8"/>
        <v>INSERT INTO participantes (id,nivel,correo,matricula,clave,nombre,carrera,grado,sexo,situacion,evaluados,num_evaluados,total_evaluaciones,ultimo_acceso,nivel_acceso) VALUES (1151,'LICENCIATURA','daniela.rojaslopez','111169','TOMAR DEL SND','ROJAS LOPEZ DANIELA','INGENIERIA INDUSTRIAL Y EN SISTEMAS ORGANIZACIONALES','4to','FEMENINO','ACTIVO','',0,0,'','ALUMNO');</v>
      </c>
      <c r="M152" t="str">
        <f t="shared" si="10"/>
        <v>update participantes set correo='daniela.rojaslopez' where id=1151;</v>
      </c>
    </row>
    <row r="153" spans="1:13" x14ac:dyDescent="0.25">
      <c r="A153">
        <f t="shared" si="11"/>
        <v>1152</v>
      </c>
      <c r="B153" s="3" t="s">
        <v>2103</v>
      </c>
      <c r="C153" t="str">
        <f>CONCATENATE("'",ALUMNOS!E155,"'")</f>
        <v>'daniela.rojogarcia'</v>
      </c>
      <c r="D153" t="str">
        <f>CONCATENATE(ALUMNOS!F155,"'")</f>
        <v>'111684'</v>
      </c>
      <c r="E153" t="s">
        <v>2723</v>
      </c>
      <c r="F153" t="str">
        <f>CONCATENATE("'",ALUMNOS!H155,"'")</f>
        <v>'ROJO GARCIA DANIELA'</v>
      </c>
      <c r="G153" t="str">
        <f>CONCATENATE("'",ALUMNOS!I155,"'")</f>
        <v>'ADMINISTRACION Y DIRECCION DE NEGOCIOS'</v>
      </c>
      <c r="H153" t="str">
        <f>CONCATENATE("'",ALUMNOS!J155,"'")</f>
        <v>'2do'</v>
      </c>
      <c r="I153" t="str">
        <f>CONCATENATE("'",ALUMNOS!K155,"'")</f>
        <v>'Femenino'</v>
      </c>
      <c r="J153" t="str">
        <f>CONCATENATE("'",ALUMNOS!L155,"'")</f>
        <v>'Activo'</v>
      </c>
      <c r="K153" t="str">
        <f t="shared" si="9"/>
        <v>1152,'LICENCIATURA','daniela.rojogarcia','111684','TOMAR DEL SND','ROJO GARCIA DANIELA','ADMINISTRACION Y DIRECCION DE NEGOCIOS','2do','FEMENINO','ACTIVO','',0,0,'','ALUMNO'</v>
      </c>
      <c r="L153" t="str">
        <f t="shared" si="8"/>
        <v>INSERT INTO participantes (id,nivel,correo,matricula,clave,nombre,carrera,grado,sexo,situacion,evaluados,num_evaluados,total_evaluaciones,ultimo_acceso,nivel_acceso) VALUES (1152,'LICENCIATURA','daniela.rojogarcia','111684','TOMAR DEL SND','ROJO GARCIA DANIELA','ADMINISTRACION Y DIRECCION DE NEGOCIOS','2do','FEMENINO','ACTIVO','',0,0,'','ALUMNO');</v>
      </c>
      <c r="M153" t="str">
        <f t="shared" si="10"/>
        <v>update participantes set correo='daniela.rojogarcia' where id=1152;</v>
      </c>
    </row>
    <row r="154" spans="1:13" x14ac:dyDescent="0.25">
      <c r="A154">
        <f t="shared" si="11"/>
        <v>1153</v>
      </c>
      <c r="B154" s="3" t="s">
        <v>2103</v>
      </c>
      <c r="C154" t="str">
        <f>CONCATENATE("'",ALUMNOS!E156,"'")</f>
        <v>'danielagisel.torresponce'</v>
      </c>
      <c r="D154" t="str">
        <f>CONCATENATE(ALUMNOS!F156,"'")</f>
        <v>'110571'</v>
      </c>
      <c r="E154" t="s">
        <v>2723</v>
      </c>
      <c r="F154" t="str">
        <f>CONCATENATE("'",ALUMNOS!H156,"'")</f>
        <v>'TORRES PONCE DANIELA GISEL'</v>
      </c>
      <c r="G154" t="str">
        <f>CONCATENATE("'",ALUMNOS!I156,"'")</f>
        <v>'ANIMACION DIGITAL Y VIDEOJUEGOS'</v>
      </c>
      <c r="H154" t="str">
        <f>CONCATENATE("'",ALUMNOS!J156,"'")</f>
        <v>'6to'</v>
      </c>
      <c r="I154" t="str">
        <f>CONCATENATE("'",ALUMNOS!K156,"'")</f>
        <v>'Femenino'</v>
      </c>
      <c r="J154" t="str">
        <f>CONCATENATE("'",ALUMNOS!L156,"'")</f>
        <v>'Activo'</v>
      </c>
      <c r="K154" t="str">
        <f t="shared" si="9"/>
        <v>1153,'LICENCIATURA','danielagisel.torresponce','110571','TOMAR DEL SND','TORRES PONCE DANIELA GISEL','ANIMACION DIGITAL Y VIDEOJUEGOS','6to','FEMENINO','ACTIVO','',0,0,'','ALUMNO'</v>
      </c>
      <c r="L154" t="str">
        <f t="shared" si="8"/>
        <v>INSERT INTO participantes (id,nivel,correo,matricula,clave,nombre,carrera,grado,sexo,situacion,evaluados,num_evaluados,total_evaluaciones,ultimo_acceso,nivel_acceso) VALUES (1153,'LICENCIATURA','danielagisel.torresponce','110571','TOMAR DEL SND','TORRES PONCE DANIELA GISEL','ANIMACION DIGITAL Y VIDEOJUEGOS','6to','FEMENINO','ACTIVO','',0,0,'','ALUMNO');</v>
      </c>
      <c r="M154" t="str">
        <f t="shared" si="10"/>
        <v>update participantes set correo='danielagisel.torresponce' where id=1153;</v>
      </c>
    </row>
    <row r="155" spans="1:13" x14ac:dyDescent="0.25">
      <c r="A155">
        <f t="shared" si="11"/>
        <v>1154</v>
      </c>
      <c r="B155" s="3" t="s">
        <v>2103</v>
      </c>
      <c r="C155" t="str">
        <f>CONCATENATE("'",ALUMNOS!E157,"'")</f>
        <v>'danielarenee.mirandasanchez'</v>
      </c>
      <c r="D155" t="str">
        <f>CONCATENATE(ALUMNOS!F157,"'")</f>
        <v>'110711'</v>
      </c>
      <c r="E155" t="s">
        <v>2723</v>
      </c>
      <c r="F155" t="str">
        <f>CONCATENATE("'",ALUMNOS!H157,"'")</f>
        <v>'MIRANDA SANCHEZ DANIELA RENEE'</v>
      </c>
      <c r="G155" t="str">
        <f>CONCATENATE("'",ALUMNOS!I157,"'")</f>
        <v>'DISEÑO GRAFICO Y DIGITAL'</v>
      </c>
      <c r="H155" t="str">
        <f>CONCATENATE("'",ALUMNOS!J157,"'")</f>
        <v>'6to'</v>
      </c>
      <c r="I155" t="str">
        <f>CONCATENATE("'",ALUMNOS!K157,"'")</f>
        <v>'Femenino'</v>
      </c>
      <c r="J155" t="str">
        <f>CONCATENATE("'",ALUMNOS!L157,"'")</f>
        <v>'Activo'</v>
      </c>
      <c r="K155" t="str">
        <f t="shared" si="9"/>
        <v>1154,'LICENCIATURA','danielarenee.mirandasanchez','110711','TOMAR DEL SND','MIRANDA SANCHEZ DANIELA RENEE','DISEÑO GRAFICO Y DIGITAL','6to','FEMENINO','ACTIVO','',0,0,'','ALUMNO'</v>
      </c>
      <c r="L155" t="str">
        <f t="shared" si="8"/>
        <v>INSERT INTO participantes (id,nivel,correo,matricula,clave,nombre,carrera,grado,sexo,situacion,evaluados,num_evaluados,total_evaluaciones,ultimo_acceso,nivel_acceso) VALUES (1154,'LICENCIATURA','danielarenee.mirandasanchez','110711','TOMAR DEL SND','MIRANDA SANCHEZ DANIELA RENEE','DISEÑO GRAFICO Y DIGITAL','6to','FEMENINO','ACTIVO','',0,0,'','ALUMNO');</v>
      </c>
      <c r="M155" t="str">
        <f t="shared" si="10"/>
        <v>update participantes set correo='danielarenee.mirandasanchez' where id=1154;</v>
      </c>
    </row>
    <row r="156" spans="1:13" x14ac:dyDescent="0.25">
      <c r="A156">
        <f t="shared" si="11"/>
        <v>1155</v>
      </c>
      <c r="B156" s="3" t="s">
        <v>2103</v>
      </c>
      <c r="C156" t="str">
        <f>CONCATENATE("'",ALUMNOS!E158,"'")</f>
        <v>'danilaraquel.murilloiparraguirre'</v>
      </c>
      <c r="D156" t="str">
        <f>CONCATENATE(ALUMNOS!F158,"'")</f>
        <v>'111164'</v>
      </c>
      <c r="E156" t="s">
        <v>2723</v>
      </c>
      <c r="F156" t="str">
        <f>CONCATENATE("'",ALUMNOS!H158,"'")</f>
        <v>'MURILLO IPARRAGUIRRE DANILA RAQUEL'</v>
      </c>
      <c r="G156" t="str">
        <f>CONCATENATE("'",ALUMNOS!I158,"'")</f>
        <v>'PSICOLOGIA'</v>
      </c>
      <c r="H156" t="str">
        <f>CONCATENATE("'",ALUMNOS!J158,"'")</f>
        <v>'6to'</v>
      </c>
      <c r="I156" t="str">
        <f>CONCATENATE("'",ALUMNOS!K158,"'")</f>
        <v>'Femenino'</v>
      </c>
      <c r="J156" t="str">
        <f>CONCATENATE("'",ALUMNOS!L158,"'")</f>
        <v>'Activo'</v>
      </c>
      <c r="K156" t="str">
        <f t="shared" si="9"/>
        <v>1155,'LICENCIATURA','danilaraquel.murilloiparraguirre','111164','TOMAR DEL SND','MURILLO IPARRAGUIRRE DANILA RAQUEL','PSICOLOGIA','6to','FEMENINO','ACTIVO','',0,0,'','ALUMNO'</v>
      </c>
      <c r="L156" t="str">
        <f t="shared" si="8"/>
        <v>INSERT INTO participantes (id,nivel,correo,matricula,clave,nombre,carrera,grado,sexo,situacion,evaluados,num_evaluados,total_evaluaciones,ultimo_acceso,nivel_acceso) VALUES (1155,'LICENCIATURA','danilaraquel.murilloiparraguirre','111164','TOMAR DEL SND','MURILLO IPARRAGUIRRE DANILA RAQUEL','PSICOLOGIA','6to','FEMENINO','ACTIVO','',0,0,'','ALUMNO');</v>
      </c>
      <c r="M156" t="str">
        <f t="shared" si="10"/>
        <v>update participantes set correo='danilaraquel.murilloiparraguirre' where id=1155;</v>
      </c>
    </row>
    <row r="157" spans="1:13" x14ac:dyDescent="0.25">
      <c r="A157">
        <f t="shared" si="11"/>
        <v>1156</v>
      </c>
      <c r="B157" s="3" t="s">
        <v>2103</v>
      </c>
      <c r="C157" t="str">
        <f>CONCATENATE("'",ALUMNOS!E159,"'")</f>
        <v>'danna.contrerasgonzalez'</v>
      </c>
      <c r="D157" t="str">
        <f>CONCATENATE(ALUMNOS!F159,"'")</f>
        <v>'110468'</v>
      </c>
      <c r="E157" t="s">
        <v>2723</v>
      </c>
      <c r="F157" t="str">
        <f>CONCATENATE("'",ALUMNOS!H159,"'")</f>
        <v>'CONTRERAS GONZALEZ DANNA'</v>
      </c>
      <c r="G157" t="str">
        <f>CONCATENATE("'",ALUMNOS!I159,"'")</f>
        <v>'PSICOLOGIA'</v>
      </c>
      <c r="H157" t="str">
        <f>CONCATENATE("'",ALUMNOS!J159,"'")</f>
        <v>'6to'</v>
      </c>
      <c r="I157" t="str">
        <f>CONCATENATE("'",ALUMNOS!K159,"'")</f>
        <v>'Femenino'</v>
      </c>
      <c r="J157" t="str">
        <f>CONCATENATE("'",ALUMNOS!L159,"'")</f>
        <v>'Activo'</v>
      </c>
      <c r="K157" t="str">
        <f t="shared" si="9"/>
        <v>1156,'LICENCIATURA','danna.contrerasgonzalez','110468','TOMAR DEL SND','CONTRERAS GONZALEZ DANNA','PSICOLOGIA','6to','FEMENINO','ACTIVO','',0,0,'','ALUMNO'</v>
      </c>
      <c r="L157" t="str">
        <f t="shared" si="8"/>
        <v>INSERT INTO participantes (id,nivel,correo,matricula,clave,nombre,carrera,grado,sexo,situacion,evaluados,num_evaluados,total_evaluaciones,ultimo_acceso,nivel_acceso) VALUES (1156,'LICENCIATURA','danna.contrerasgonzalez','110468','TOMAR DEL SND','CONTRERAS GONZALEZ DANNA','PSICOLOGIA','6to','FEMENINO','ACTIVO','',0,0,'','ALUMNO');</v>
      </c>
      <c r="M157" t="str">
        <f t="shared" si="10"/>
        <v>update participantes set correo='danna.contrerasgonzalez' where id=1156;</v>
      </c>
    </row>
    <row r="158" spans="1:13" x14ac:dyDescent="0.25">
      <c r="A158">
        <f t="shared" si="11"/>
        <v>1157</v>
      </c>
      <c r="B158" s="3" t="s">
        <v>2103</v>
      </c>
      <c r="C158" t="str">
        <f>CONCATENATE("'",ALUMNOS!E160,"'")</f>
        <v>'danteyael.valladareslopez'</v>
      </c>
      <c r="D158" t="str">
        <f>CONCATENATE(ALUMNOS!F160,"'")</f>
        <v>'110523'</v>
      </c>
      <c r="E158" t="s">
        <v>2723</v>
      </c>
      <c r="F158" t="str">
        <f>CONCATENATE("'",ALUMNOS!H160,"'")</f>
        <v>'VALLADARES LOPEZ DANTE YAEL'</v>
      </c>
      <c r="G158" t="str">
        <f>CONCATENATE("'",ALUMNOS!I160,"'")</f>
        <v>'NUTRICION Y GASTRONOMIA'</v>
      </c>
      <c r="H158" t="str">
        <f>CONCATENATE("'",ALUMNOS!J160,"'")</f>
        <v>'6to'</v>
      </c>
      <c r="I158" t="str">
        <f>CONCATENATE("'",ALUMNOS!K160,"'")</f>
        <v>'Masculino'</v>
      </c>
      <c r="J158" t="str">
        <f>CONCATENATE("'",ALUMNOS!L160,"'")</f>
        <v>'Activo'</v>
      </c>
      <c r="K158" t="str">
        <f t="shared" si="9"/>
        <v>1157,'LICENCIATURA','danteyael.valladareslopez','110523','TOMAR DEL SND','VALLADARES LOPEZ DANTE YAEL','NUTRICION Y GASTRONOMIA','6to','MASCULINO','ACTIVO','',0,0,'','ALUMNO'</v>
      </c>
      <c r="L158" t="str">
        <f t="shared" si="8"/>
        <v>INSERT INTO participantes (id,nivel,correo,matricula,clave,nombre,carrera,grado,sexo,situacion,evaluados,num_evaluados,total_evaluaciones,ultimo_acceso,nivel_acceso) VALUES (1157,'LICENCIATURA','danteyael.valladareslopez','110523','TOMAR DEL SND','VALLADARES LOPEZ DANTE YAEL','NUTRICION Y GASTRONOMIA','6to','MASCULINO','ACTIVO','',0,0,'','ALUMNO');</v>
      </c>
      <c r="M158" t="str">
        <f t="shared" si="10"/>
        <v>update participantes set correo='danteyael.valladareslopez' where id=1157;</v>
      </c>
    </row>
    <row r="159" spans="1:13" x14ac:dyDescent="0.25">
      <c r="A159">
        <f t="shared" si="11"/>
        <v>1158</v>
      </c>
      <c r="B159" s="3" t="s">
        <v>2103</v>
      </c>
      <c r="C159" t="str">
        <f>CONCATENATE("'",ALUMNOS!E161,"'")</f>
        <v>'dario.aguilarlopez'</v>
      </c>
      <c r="D159" t="str">
        <f>CONCATENATE(ALUMNOS!F161,"'")</f>
        <v>'111170'</v>
      </c>
      <c r="E159" t="s">
        <v>2723</v>
      </c>
      <c r="F159" t="str">
        <f>CONCATENATE("'",ALUMNOS!H161,"'")</f>
        <v>'AGUILAR  DARIO'</v>
      </c>
      <c r="G159" t="str">
        <f>CONCATENATE("'",ALUMNOS!I161,"'")</f>
        <v>'INGENIERÍA AUTOMOTRIZ'</v>
      </c>
      <c r="H159" t="str">
        <f>CONCATENATE("'",ALUMNOS!J161,"'")</f>
        <v>'4to'</v>
      </c>
      <c r="I159" t="str">
        <f>CONCATENATE("'",ALUMNOS!K161,"'")</f>
        <v>'Masculino'</v>
      </c>
      <c r="J159" t="str">
        <f>CONCATENATE("'",ALUMNOS!L161,"'")</f>
        <v>'Activo'</v>
      </c>
      <c r="K159" t="str">
        <f t="shared" si="9"/>
        <v>1158,'LICENCIATURA','dario.aguilarlopez','111170','TOMAR DEL SND','AGUILAR  DARIO','INGENIERÍA AUTOMOTRIZ','4to','MASCULINO','ACTIVO','',0,0,'','ALUMNO'</v>
      </c>
      <c r="L159" t="str">
        <f t="shared" si="8"/>
        <v>INSERT INTO participantes (id,nivel,correo,matricula,clave,nombre,carrera,grado,sexo,situacion,evaluados,num_evaluados,total_evaluaciones,ultimo_acceso,nivel_acceso) VALUES (1158,'LICENCIATURA','dario.aguilarlopez','111170','TOMAR DEL SND','AGUILAR  DARIO','INGENIERÍA AUTOMOTRIZ','4to','MASCULINO','ACTIVO','',0,0,'','ALUMNO');</v>
      </c>
      <c r="M159" t="str">
        <f t="shared" si="10"/>
        <v>update participantes set correo='dario.aguilarlopez' where id=1158;</v>
      </c>
    </row>
    <row r="160" spans="1:13" x14ac:dyDescent="0.25">
      <c r="A160">
        <f t="shared" si="11"/>
        <v>1159</v>
      </c>
      <c r="B160" s="3" t="s">
        <v>2103</v>
      </c>
      <c r="C160" t="str">
        <f>CONCATENATE("'",ALUMNOS!E162,"'")</f>
        <v>'darshangael.ortizariza'</v>
      </c>
      <c r="D160" t="str">
        <f>CONCATENATE(ALUMNOS!F162,"'")</f>
        <v>'110477'</v>
      </c>
      <c r="E160" t="s">
        <v>2723</v>
      </c>
      <c r="F160" t="str">
        <f>CONCATENATE("'",ALUMNOS!H162,"'")</f>
        <v>'ORTIZ ARIZA DARSHAN GAEL'</v>
      </c>
      <c r="G160" t="str">
        <f>CONCATENATE("'",ALUMNOS!I162,"'")</f>
        <v>'NUTRICION Y GASTRONOMIA'</v>
      </c>
      <c r="H160" t="str">
        <f>CONCATENATE("'",ALUMNOS!J162,"'")</f>
        <v>'6to'</v>
      </c>
      <c r="I160" t="str">
        <f>CONCATENATE("'",ALUMNOS!K162,"'")</f>
        <v>'Masculino'</v>
      </c>
      <c r="J160" t="str">
        <f>CONCATENATE("'",ALUMNOS!L162,"'")</f>
        <v>'Activo'</v>
      </c>
      <c r="K160" t="str">
        <f t="shared" si="9"/>
        <v>1159,'LICENCIATURA','darshangael.ortizariza','110477','TOMAR DEL SND','ORTIZ ARIZA DARSHAN GAEL','NUTRICION Y GASTRONOMIA','6to','MASCULINO','ACTIVO','',0,0,'','ALUMNO'</v>
      </c>
      <c r="L160" t="str">
        <f t="shared" si="8"/>
        <v>INSERT INTO participantes (id,nivel,correo,matricula,clave,nombre,carrera,grado,sexo,situacion,evaluados,num_evaluados,total_evaluaciones,ultimo_acceso,nivel_acceso) VALUES (1159,'LICENCIATURA','darshangael.ortizariza','110477','TOMAR DEL SND','ORTIZ ARIZA DARSHAN GAEL','NUTRICION Y GASTRONOMIA','6to','MASCULINO','ACTIVO','',0,0,'','ALUMNO');</v>
      </c>
      <c r="M160" t="str">
        <f t="shared" si="10"/>
        <v>update participantes set correo='darshangael.ortizariza' where id=1159;</v>
      </c>
    </row>
    <row r="161" spans="1:13" x14ac:dyDescent="0.25">
      <c r="A161">
        <f t="shared" si="11"/>
        <v>1160</v>
      </c>
      <c r="B161" s="3" t="s">
        <v>2103</v>
      </c>
      <c r="C161" t="str">
        <f>CONCATENATE("'",ALUMNOS!E163,"'")</f>
        <v>'david.arechederratrejo'</v>
      </c>
      <c r="D161" t="str">
        <f>CONCATENATE(ALUMNOS!F163,"'")</f>
        <v>'006890'</v>
      </c>
      <c r="E161" t="s">
        <v>2723</v>
      </c>
      <c r="F161" t="str">
        <f>CONCATENATE("'",ALUMNOS!H163,"'")</f>
        <v>'ARECHEDERRA TREJO DAVID'</v>
      </c>
      <c r="G161" t="str">
        <f>CONCATENATE("'",ALUMNOS!I163,"'")</f>
        <v>'INGENIERIA CIBERNETICA Y EN SISTEMAS COMPUTACIONALES'</v>
      </c>
      <c r="H161" t="str">
        <f>CONCATENATE("'",ALUMNOS!J163,"'")</f>
        <v>'6to'</v>
      </c>
      <c r="I161" t="str">
        <f>CONCATENATE("'",ALUMNOS!K163,"'")</f>
        <v>'Masculino'</v>
      </c>
      <c r="J161" t="str">
        <f>CONCATENATE("'",ALUMNOS!L163,"'")</f>
        <v>'Activo'</v>
      </c>
      <c r="K161" t="str">
        <f t="shared" si="9"/>
        <v>1160,'LICENCIATURA','david.arechederratrejo','006890','TOMAR DEL SND','ARECHEDERRA TREJO DAVID','INGENIERIA CIBERNETICA Y EN SISTEMAS COMPUTACIONALES','6to','MASCULINO','ACTIVO','',0,0,'','ALUMNO'</v>
      </c>
      <c r="L161" t="str">
        <f t="shared" si="8"/>
        <v>INSERT INTO participantes (id,nivel,correo,matricula,clave,nombre,carrera,grado,sexo,situacion,evaluados,num_evaluados,total_evaluaciones,ultimo_acceso,nivel_acceso) VALUES (1160,'LICENCIATURA','david.arechederratrejo','006890','TOMAR DEL SND','ARECHEDERRA TREJO DAVID','INGENIERIA CIBERNETICA Y EN SISTEMAS COMPUTACIONALES','6to','MASCULINO','ACTIVO','',0,0,'','ALUMNO');</v>
      </c>
      <c r="M161" t="str">
        <f t="shared" si="10"/>
        <v>update participantes set correo='david.arechederratrejo' where id=1160;</v>
      </c>
    </row>
    <row r="162" spans="1:13" x14ac:dyDescent="0.25">
      <c r="A162">
        <f t="shared" si="11"/>
        <v>1161</v>
      </c>
      <c r="B162" s="3" t="s">
        <v>2103</v>
      </c>
      <c r="C162" t="str">
        <f>CONCATENATE("'",ALUMNOS!E164,"'")</f>
        <v>'david.wilsontorres'</v>
      </c>
      <c r="D162" t="str">
        <f>CONCATENATE(ALUMNOS!F164,"'")</f>
        <v>'110508'</v>
      </c>
      <c r="E162" t="s">
        <v>2723</v>
      </c>
      <c r="F162" t="str">
        <f>CONCATENATE("'",ALUMNOS!H164,"'")</f>
        <v>'WILSON TORRES DAVID'</v>
      </c>
      <c r="G162" t="str">
        <f>CONCATENATE("'",ALUMNOS!I164,"'")</f>
        <v>'INGENIERIA AEROESPACIAL'</v>
      </c>
      <c r="H162" t="str">
        <f>CONCATENATE("'",ALUMNOS!J164,"'")</f>
        <v>'6to'</v>
      </c>
      <c r="I162" t="str">
        <f>CONCATENATE("'",ALUMNOS!K164,"'")</f>
        <v>'Masculino'</v>
      </c>
      <c r="J162" t="str">
        <f>CONCATENATE("'",ALUMNOS!L164,"'")</f>
        <v>'Activo'</v>
      </c>
      <c r="K162" t="str">
        <f t="shared" si="9"/>
        <v>1161,'LICENCIATURA','david.wilsontorres','110508','TOMAR DEL SND','WILSON TORRES DAVID','INGENIERIA AEROESPACIAL','6to','MASCULINO','ACTIVO','',0,0,'','ALUMNO'</v>
      </c>
      <c r="L162" t="str">
        <f t="shared" si="8"/>
        <v>INSERT INTO participantes (id,nivel,correo,matricula,clave,nombre,carrera,grado,sexo,situacion,evaluados,num_evaluados,total_evaluaciones,ultimo_acceso,nivel_acceso) VALUES (1161,'LICENCIATURA','david.wilsontorres','110508','TOMAR DEL SND','WILSON TORRES DAVID','INGENIERIA AEROESPACIAL','6to','MASCULINO','ACTIVO','',0,0,'','ALUMNO');</v>
      </c>
      <c r="M162" t="str">
        <f t="shared" si="10"/>
        <v>update participantes set correo='david.wilsontorres' where id=1161;</v>
      </c>
    </row>
    <row r="163" spans="1:13" x14ac:dyDescent="0.25">
      <c r="A163">
        <f t="shared" si="11"/>
        <v>1162</v>
      </c>
      <c r="B163" s="3" t="s">
        <v>2103</v>
      </c>
      <c r="C163" t="str">
        <f>CONCATENATE("'",ALUMNOS!E165,"'")</f>
        <v>'davidalejandro.ricoesparza'</v>
      </c>
      <c r="D163" t="str">
        <f>CONCATENATE(ALUMNOS!F165,"'")</f>
        <v>'109847'</v>
      </c>
      <c r="E163" t="s">
        <v>2723</v>
      </c>
      <c r="F163" t="str">
        <f>CONCATENATE("'",ALUMNOS!H165,"'")</f>
        <v>'RICO ESPARZA DAVID ALEJANDRO'</v>
      </c>
      <c r="G163" t="str">
        <f>CONCATENATE("'",ALUMNOS!I165,"'")</f>
        <v>'INGENIERIA INDUSTRIAL Y EN SISTEMAS ORGANIZACIONALES'</v>
      </c>
      <c r="H163" t="str">
        <f>CONCATENATE("'",ALUMNOS!J165,"'")</f>
        <v>'8vo'</v>
      </c>
      <c r="I163" t="str">
        <f>CONCATENATE("'",ALUMNOS!K165,"'")</f>
        <v>'Masculino'</v>
      </c>
      <c r="J163" t="str">
        <f>CONCATENATE("'",ALUMNOS!L165,"'")</f>
        <v>'Activo'</v>
      </c>
      <c r="K163" t="str">
        <f t="shared" si="9"/>
        <v>1162,'LICENCIATURA','davidalejandro.ricoesparza','109847','TOMAR DEL SND','RICO ESPARZA DAVID ALEJANDRO','INGENIERIA INDUSTRIAL Y EN SISTEMAS ORGANIZACIONALES','8vo','MASCULINO','ACTIVO','',0,0,'','ALUMNO'</v>
      </c>
      <c r="L163" t="str">
        <f t="shared" si="8"/>
        <v>INSERT INTO participantes (id,nivel,correo,matricula,clave,nombre,carrera,grado,sexo,situacion,evaluados,num_evaluados,total_evaluaciones,ultimo_acceso,nivel_acceso) VALUES (1162,'LICENCIATURA','davidalejandro.ricoesparza','109847','TOMAR DEL SND','RICO ESPARZA DAVID ALEJANDRO','INGENIERIA INDUSTRIAL Y EN SISTEMAS ORGANIZACIONALES','8vo','MASCULINO','ACTIVO','',0,0,'','ALUMNO');</v>
      </c>
      <c r="M163" t="str">
        <f t="shared" si="10"/>
        <v>update participantes set correo='davidalejandro.ricoesparza' where id=1162;</v>
      </c>
    </row>
    <row r="164" spans="1:13" x14ac:dyDescent="0.25">
      <c r="A164">
        <f t="shared" si="11"/>
        <v>1163</v>
      </c>
      <c r="B164" s="3" t="s">
        <v>2103</v>
      </c>
      <c r="C164" t="str">
        <f>CONCATENATE("'",ALUMNOS!E166,"'")</f>
        <v>'davidisrael.alvarezjimenez'</v>
      </c>
      <c r="D164" t="str">
        <f>CONCATENATE(ALUMNOS!F166,"'")</f>
        <v>'108218'</v>
      </c>
      <c r="E164" t="s">
        <v>2723</v>
      </c>
      <c r="F164" t="str">
        <f>CONCATENATE("'",ALUMNOS!H166,"'")</f>
        <v>'ALVAREZ JIMENEZ DAVID ISRAEL'</v>
      </c>
      <c r="G164" t="str">
        <f>CONCATENATE("'",ALUMNOS!I166,"'")</f>
        <v>'INGENIERIA AEROESPACIAL'</v>
      </c>
      <c r="H164" t="str">
        <f>CONCATENATE("'",ALUMNOS!J166,"'")</f>
        <v>'6to'</v>
      </c>
      <c r="I164" t="str">
        <f>CONCATENATE("'",ALUMNOS!K166,"'")</f>
        <v>'Masculino'</v>
      </c>
      <c r="J164" t="str">
        <f>CONCATENATE("'",ALUMNOS!L166,"'")</f>
        <v>'Activo'</v>
      </c>
      <c r="K164" t="str">
        <f t="shared" si="9"/>
        <v>1163,'LICENCIATURA','davidisrael.alvarezjimenez','108218','TOMAR DEL SND','ALVAREZ JIMENEZ DAVID ISRAEL','INGENIERIA AEROESPACIAL','6to','MASCULINO','ACTIVO','',0,0,'','ALUMNO'</v>
      </c>
      <c r="L164" t="str">
        <f t="shared" si="8"/>
        <v>INSERT INTO participantes (id,nivel,correo,matricula,clave,nombre,carrera,grado,sexo,situacion,evaluados,num_evaluados,total_evaluaciones,ultimo_acceso,nivel_acceso) VALUES (1163,'LICENCIATURA','davidisrael.alvarezjimenez','108218','TOMAR DEL SND','ALVAREZ JIMENEZ DAVID ISRAEL','INGENIERIA AEROESPACIAL','6to','MASCULINO','ACTIVO','',0,0,'','ALUMNO');</v>
      </c>
      <c r="M164" t="str">
        <f t="shared" si="10"/>
        <v>update participantes set correo='davidisrael.alvarezjimenez' where id=1163;</v>
      </c>
    </row>
    <row r="165" spans="1:13" x14ac:dyDescent="0.25">
      <c r="A165">
        <f t="shared" si="11"/>
        <v>1164</v>
      </c>
      <c r="B165" s="3" t="s">
        <v>2103</v>
      </c>
      <c r="C165" t="str">
        <f>CONCATENATE("'",ALUMNOS!E167,"'")</f>
        <v>'davidivan.carranzabarba'</v>
      </c>
      <c r="D165" t="str">
        <f>CONCATENATE(ALUMNOS!F167,"'")</f>
        <v>'110464'</v>
      </c>
      <c r="E165" t="s">
        <v>2723</v>
      </c>
      <c r="F165" t="str">
        <f>CONCATENATE("'",ALUMNOS!H167,"'")</f>
        <v>'CARRANZA BARBA DAVID IVAN'</v>
      </c>
      <c r="G165" t="str">
        <f>CONCATENATE("'",ALUMNOS!I167,"'")</f>
        <v>'ARQUITECTURA'</v>
      </c>
      <c r="H165" t="str">
        <f>CONCATENATE("'",ALUMNOS!J167,"'")</f>
        <v>'6to'</v>
      </c>
      <c r="I165" t="str">
        <f>CONCATENATE("'",ALUMNOS!K167,"'")</f>
        <v>'Masculino'</v>
      </c>
      <c r="J165" t="str">
        <f>CONCATENATE("'",ALUMNOS!L167,"'")</f>
        <v>'Activo'</v>
      </c>
      <c r="K165" t="str">
        <f t="shared" si="9"/>
        <v>1164,'LICENCIATURA','davidivan.carranzabarba','110464','TOMAR DEL SND','CARRANZA BARBA DAVID IVAN','ARQUITECTURA','6to','MASCULINO','ACTIVO','',0,0,'','ALUMNO'</v>
      </c>
      <c r="L165" t="str">
        <f t="shared" si="8"/>
        <v>INSERT INTO participantes (id,nivel,correo,matricula,clave,nombre,carrera,grado,sexo,situacion,evaluados,num_evaluados,total_evaluaciones,ultimo_acceso,nivel_acceso) VALUES (1164,'LICENCIATURA','davidivan.carranzabarba','110464','TOMAR DEL SND','CARRANZA BARBA DAVID IVAN','ARQUITECTURA','6to','MASCULINO','ACTIVO','',0,0,'','ALUMNO');</v>
      </c>
      <c r="M165" t="str">
        <f t="shared" si="10"/>
        <v>update participantes set correo='davidivan.carranzabarba' where id=1164;</v>
      </c>
    </row>
    <row r="166" spans="1:13" x14ac:dyDescent="0.25">
      <c r="A166">
        <f t="shared" si="11"/>
        <v>1165</v>
      </c>
      <c r="B166" s="3" t="s">
        <v>2103</v>
      </c>
      <c r="C166" t="str">
        <f>CONCATENATE("'",ALUMNOS!E168,"'")</f>
        <v>'davidjosue.sanchezpalacios'</v>
      </c>
      <c r="D166" t="str">
        <f>CONCATENATE(ALUMNOS!F168,"'")</f>
        <v>'108932'</v>
      </c>
      <c r="E166" t="s">
        <v>2723</v>
      </c>
      <c r="F166" t="str">
        <f>CONCATENATE("'",ALUMNOS!H168,"'")</f>
        <v>'SANCHEZ PALACIOS DAVID JOSUE'</v>
      </c>
      <c r="G166" t="str">
        <f>CONCATENATE("'",ALUMNOS!I168,"'")</f>
        <v>'ANIMACION DIGITAL Y VIDEOJUEGOS'</v>
      </c>
      <c r="H166" t="str">
        <f>CONCATENATE("'",ALUMNOS!J168,"'")</f>
        <v>'8vo'</v>
      </c>
      <c r="I166" t="str">
        <f>CONCATENATE("'",ALUMNOS!K168,"'")</f>
        <v>'Masculino'</v>
      </c>
      <c r="J166" t="str">
        <f>CONCATENATE("'",ALUMNOS!L168,"'")</f>
        <v>'Activo'</v>
      </c>
      <c r="K166" t="str">
        <f t="shared" si="9"/>
        <v>1165,'LICENCIATURA','davidjosue.sanchezpalacios','108932','TOMAR DEL SND','SANCHEZ PALACIOS DAVID JOSUE','ANIMACION DIGITAL Y VIDEOJUEGOS','8vo','MASCULINO','ACTIVO','',0,0,'','ALUMNO'</v>
      </c>
      <c r="L166" t="str">
        <f t="shared" si="8"/>
        <v>INSERT INTO participantes (id,nivel,correo,matricula,clave,nombre,carrera,grado,sexo,situacion,evaluados,num_evaluados,total_evaluaciones,ultimo_acceso,nivel_acceso) VALUES (1165,'LICENCIATURA','davidjosue.sanchezpalacios','108932','TOMAR DEL SND','SANCHEZ PALACIOS DAVID JOSUE','ANIMACION DIGITAL Y VIDEOJUEGOS','8vo','MASCULINO','ACTIVO','',0,0,'','ALUMNO');</v>
      </c>
      <c r="M166" t="str">
        <f t="shared" si="10"/>
        <v>update participantes set correo='davidjosue.sanchezpalacios' where id=1165;</v>
      </c>
    </row>
    <row r="167" spans="1:13" x14ac:dyDescent="0.25">
      <c r="A167">
        <f t="shared" si="11"/>
        <v>1166</v>
      </c>
      <c r="B167" s="3" t="s">
        <v>2103</v>
      </c>
      <c r="C167" t="str">
        <f>CONCATENATE("'",ALUMNOS!E169,"'")</f>
        <v>'dayramichelle.zuñigahernandez'</v>
      </c>
      <c r="D167" t="str">
        <f>CONCATENATE(ALUMNOS!F169,"'")</f>
        <v>'111764'</v>
      </c>
      <c r="E167" t="s">
        <v>2723</v>
      </c>
      <c r="F167" t="str">
        <f>CONCATENATE("'",ALUMNOS!H169,"'")</f>
        <v>'ZUÑIGA HERNANDEZ DAYRA MICHELLE'</v>
      </c>
      <c r="G167" t="str">
        <f>CONCATENATE("'",ALUMNOS!I169,"'")</f>
        <v>'ADMINISTRACION Y DIRECCION DE NEGOCIOS'</v>
      </c>
      <c r="H167" t="str">
        <f>CONCATENATE("'",ALUMNOS!J169,"'")</f>
        <v>'2do'</v>
      </c>
      <c r="I167" t="str">
        <f>CONCATENATE("'",ALUMNOS!K169,"'")</f>
        <v>'Femenino'</v>
      </c>
      <c r="J167" t="str">
        <f>CONCATENATE("'",ALUMNOS!L169,"'")</f>
        <v>'Activo'</v>
      </c>
      <c r="K167" t="str">
        <f t="shared" si="9"/>
        <v>1166,'LICENCIATURA','dayramichelle.zuñigahernandez','111764','TOMAR DEL SND','ZUÑIGA HERNANDEZ DAYRA MICHELLE','ADMINISTRACION Y DIRECCION DE NEGOCIOS','2do','FEMENINO','ACTIVO','',0,0,'','ALUMNO'</v>
      </c>
      <c r="L167" t="str">
        <f t="shared" si="8"/>
        <v>INSERT INTO participantes (id,nivel,correo,matricula,clave,nombre,carrera,grado,sexo,situacion,evaluados,num_evaluados,total_evaluaciones,ultimo_acceso,nivel_acceso) VALUES (1166,'LICENCIATURA','dayramichelle.zuñigahernandez','111764','TOMAR DEL SND','ZUÑIGA HERNANDEZ DAYRA MICHELLE','ADMINISTRACION Y DIRECCION DE NEGOCIOS','2do','FEMENINO','ACTIVO','',0,0,'','ALUMNO');</v>
      </c>
      <c r="M167" t="str">
        <f t="shared" si="10"/>
        <v>update participantes set correo='dayramichelle.zuñigahernandez' where id=1166;</v>
      </c>
    </row>
    <row r="168" spans="1:13" x14ac:dyDescent="0.25">
      <c r="A168">
        <f t="shared" si="11"/>
        <v>1167</v>
      </c>
      <c r="B168" s="3" t="s">
        <v>2103</v>
      </c>
      <c r="C168" t="str">
        <f>CONCATENATE("'",ALUMNOS!E170,"'")</f>
        <v>'diana.galloaceves'</v>
      </c>
      <c r="D168" t="str">
        <f>CONCATENATE(ALUMNOS!F170,"'")</f>
        <v>'109886'</v>
      </c>
      <c r="E168" t="s">
        <v>2723</v>
      </c>
      <c r="F168" t="str">
        <f>CONCATENATE("'",ALUMNOS!H170,"'")</f>
        <v>'GALLO ACEVES DIANA'</v>
      </c>
      <c r="G168" t="str">
        <f>CONCATENATE("'",ALUMNOS!I170,"'")</f>
        <v>'PSICOLOGIA'</v>
      </c>
      <c r="H168" t="str">
        <f>CONCATENATE("'",ALUMNOS!J170,"'")</f>
        <v>'8vo'</v>
      </c>
      <c r="I168" t="str">
        <f>CONCATENATE("'",ALUMNOS!K170,"'")</f>
        <v>'Femenino'</v>
      </c>
      <c r="J168" t="str">
        <f>CONCATENATE("'",ALUMNOS!L170,"'")</f>
        <v>'Activo'</v>
      </c>
      <c r="K168" t="str">
        <f t="shared" si="9"/>
        <v>1167,'LICENCIATURA','diana.galloaceves','109886','TOMAR DEL SND','GALLO ACEVES DIANA','PSICOLOGIA','8vo','FEMENINO','ACTIVO','',0,0,'','ALUMNO'</v>
      </c>
      <c r="L168" t="str">
        <f t="shared" si="8"/>
        <v>INSERT INTO participantes (id,nivel,correo,matricula,clave,nombre,carrera,grado,sexo,situacion,evaluados,num_evaluados,total_evaluaciones,ultimo_acceso,nivel_acceso) VALUES (1167,'LICENCIATURA','diana.galloaceves','109886','TOMAR DEL SND','GALLO ACEVES DIANA','PSICOLOGIA','8vo','FEMENINO','ACTIVO','',0,0,'','ALUMNO');</v>
      </c>
      <c r="M168" t="str">
        <f t="shared" si="10"/>
        <v>update participantes set correo='diana.galloaceves' where id=1167;</v>
      </c>
    </row>
    <row r="169" spans="1:13" x14ac:dyDescent="0.25">
      <c r="A169">
        <f t="shared" si="11"/>
        <v>1168</v>
      </c>
      <c r="B169" s="3" t="s">
        <v>2103</v>
      </c>
      <c r="C169" t="str">
        <f>CONCATENATE("'",ALUMNOS!E171,"'")</f>
        <v>'dianajacqueline.morenogranados'</v>
      </c>
      <c r="D169" t="str">
        <f>CONCATENATE(ALUMNOS!F171,"'")</f>
        <v>'111387'</v>
      </c>
      <c r="E169" t="s">
        <v>2723</v>
      </c>
      <c r="F169" t="str">
        <f>CONCATENATE("'",ALUMNOS!H171,"'")</f>
        <v>'MORENO GRANADOS DIANA JACQUELINE'</v>
      </c>
      <c r="G169" t="str">
        <f>CONCATENATE("'",ALUMNOS!I171,"'")</f>
        <v>'NUTRICION Y GASTRONOMIA'</v>
      </c>
      <c r="H169" t="str">
        <f>CONCATENATE("'",ALUMNOS!J171,"'")</f>
        <v>'4to'</v>
      </c>
      <c r="I169" t="str">
        <f>CONCATENATE("'",ALUMNOS!K171,"'")</f>
        <v>'Femenino'</v>
      </c>
      <c r="J169" t="str">
        <f>CONCATENATE("'",ALUMNOS!L171,"'")</f>
        <v>'Activo'</v>
      </c>
      <c r="K169" t="str">
        <f t="shared" si="9"/>
        <v>1168,'LICENCIATURA','dianajacqueline.morenogranados','111387','TOMAR DEL SND','MORENO GRANADOS DIANA JACQUELINE','NUTRICION Y GASTRONOMIA','4to','FEMENINO','ACTIVO','',0,0,'','ALUMNO'</v>
      </c>
      <c r="L169" t="str">
        <f t="shared" si="8"/>
        <v>INSERT INTO participantes (id,nivel,correo,matricula,clave,nombre,carrera,grado,sexo,situacion,evaluados,num_evaluados,total_evaluaciones,ultimo_acceso,nivel_acceso) VALUES (1168,'LICENCIATURA','dianajacqueline.morenogranados','111387','TOMAR DEL SND','MORENO GRANADOS DIANA JACQUELINE','NUTRICION Y GASTRONOMIA','4to','FEMENINO','ACTIVO','',0,0,'','ALUMNO');</v>
      </c>
      <c r="M169" t="str">
        <f t="shared" si="10"/>
        <v>update participantes set correo='dianajacqueline.morenogranados' where id=1168;</v>
      </c>
    </row>
    <row r="170" spans="1:13" x14ac:dyDescent="0.25">
      <c r="A170">
        <f t="shared" si="11"/>
        <v>1169</v>
      </c>
      <c r="B170" s="3" t="s">
        <v>2103</v>
      </c>
      <c r="C170" t="str">
        <f>CONCATENATE("'",ALUMNOS!E172,"'")</f>
        <v>'dianaleticia.quiñonesgarcia'</v>
      </c>
      <c r="D170" t="str">
        <f>CONCATENATE(ALUMNOS!F172,"'")</f>
        <v>'110041'</v>
      </c>
      <c r="E170" t="s">
        <v>2723</v>
      </c>
      <c r="F170" t="str">
        <f>CONCATENATE("'",ALUMNOS!H172,"'")</f>
        <v>'QUIÑONES GARCIA DIANA LETICIA'</v>
      </c>
      <c r="G170" t="str">
        <f>CONCATENATE("'",ALUMNOS!I172,"'")</f>
        <v>'DISEÑO GRAFICO Y DIGITAL'</v>
      </c>
      <c r="H170" t="str">
        <f>CONCATENATE("'",ALUMNOS!J172,"'")</f>
        <v>'8vo'</v>
      </c>
      <c r="I170" t="str">
        <f>CONCATENATE("'",ALUMNOS!K172,"'")</f>
        <v>'Femenino'</v>
      </c>
      <c r="J170" t="str">
        <f>CONCATENATE("'",ALUMNOS!L172,"'")</f>
        <v>'Activo'</v>
      </c>
      <c r="K170" t="str">
        <f t="shared" si="9"/>
        <v>1169,'LICENCIATURA','dianaleticia.quiñonesgarcia','110041','TOMAR DEL SND','QUIÑONES GARCIA DIANA LETICIA','DISEÑO GRAFICO Y DIGITAL','8vo','FEMENINO','ACTIVO','',0,0,'','ALUMNO'</v>
      </c>
      <c r="L170" t="str">
        <f t="shared" si="8"/>
        <v>INSERT INTO participantes (id,nivel,correo,matricula,clave,nombre,carrera,grado,sexo,situacion,evaluados,num_evaluados,total_evaluaciones,ultimo_acceso,nivel_acceso) VALUES (1169,'LICENCIATURA','dianaleticia.quiñonesgarcia','110041','TOMAR DEL SND','QUIÑONES GARCIA DIANA LETICIA','DISEÑO GRAFICO Y DIGITAL','8vo','FEMENINO','ACTIVO','',0,0,'','ALUMNO');</v>
      </c>
      <c r="M170" t="str">
        <f t="shared" si="10"/>
        <v>update participantes set correo='dianaleticia.quiñonesgarcia' where id=1169;</v>
      </c>
    </row>
    <row r="171" spans="1:13" x14ac:dyDescent="0.25">
      <c r="A171">
        <f t="shared" si="11"/>
        <v>1170</v>
      </c>
      <c r="B171" s="3" t="s">
        <v>2103</v>
      </c>
      <c r="C171" t="str">
        <f>CONCATENATE("'",ALUMNOS!E173,"'")</f>
        <v>'dianalissete.aldreteornelas'</v>
      </c>
      <c r="D171" t="str">
        <f>CONCATENATE(ALUMNOS!F173,"'")</f>
        <v>'110484'</v>
      </c>
      <c r="E171" t="s">
        <v>2723</v>
      </c>
      <c r="F171" t="str">
        <f>CONCATENATE("'",ALUMNOS!H173,"'")</f>
        <v>'ALDRETE ORNELAS DIANA LISSETE'</v>
      </c>
      <c r="G171" t="str">
        <f>CONCATENATE("'",ALUMNOS!I173,"'")</f>
        <v>'MERCADOTECNIA Y PUBLICIDAD'</v>
      </c>
      <c r="H171" t="str">
        <f>CONCATENATE("'",ALUMNOS!J173,"'")</f>
        <v>'6to'</v>
      </c>
      <c r="I171" t="str">
        <f>CONCATENATE("'",ALUMNOS!K173,"'")</f>
        <v>'Femenino'</v>
      </c>
      <c r="J171" t="str">
        <f>CONCATENATE("'",ALUMNOS!L173,"'")</f>
        <v>'Activo'</v>
      </c>
      <c r="K171" t="str">
        <f t="shared" si="9"/>
        <v>1170,'LICENCIATURA','dianalissete.aldreteornelas','110484','TOMAR DEL SND','ALDRETE ORNELAS DIANA LISSETE','MERCADOTECNIA Y PUBLICIDAD','6to','FEMENINO','ACTIVO','',0,0,'','ALUMNO'</v>
      </c>
      <c r="L171" t="str">
        <f t="shared" si="8"/>
        <v>INSERT INTO participantes (id,nivel,correo,matricula,clave,nombre,carrera,grado,sexo,situacion,evaluados,num_evaluados,total_evaluaciones,ultimo_acceso,nivel_acceso) VALUES (1170,'LICENCIATURA','dianalissete.aldreteornelas','110484','TOMAR DEL SND','ALDRETE ORNELAS DIANA LISSETE','MERCADOTECNIA Y PUBLICIDAD','6to','FEMENINO','ACTIVO','',0,0,'','ALUMNO');</v>
      </c>
      <c r="M171" t="str">
        <f t="shared" si="10"/>
        <v>update participantes set correo='dianalissete.aldreteornelas' where id=1170;</v>
      </c>
    </row>
    <row r="172" spans="1:13" x14ac:dyDescent="0.25">
      <c r="A172">
        <f t="shared" si="11"/>
        <v>1171</v>
      </c>
      <c r="B172" s="3" t="s">
        <v>2103</v>
      </c>
      <c r="C172" t="str">
        <f>CONCATENATE("'",ALUMNOS!E174,"'")</f>
        <v>'dianalyseth.vazquezyañez'</v>
      </c>
      <c r="D172" t="str">
        <f>CONCATENATE(ALUMNOS!F174,"'")</f>
        <v>'109818'</v>
      </c>
      <c r="E172" t="s">
        <v>2723</v>
      </c>
      <c r="F172" t="str">
        <f>CONCATENATE("'",ALUMNOS!H174,"'")</f>
        <v>'VAZQUEZ YAÑEZ DIANA LYSETH'</v>
      </c>
      <c r="G172" t="str">
        <f>CONCATENATE("'",ALUMNOS!I174,"'")</f>
        <v>'ANIMACION DIGITAL Y VIDEOJUEGOS'</v>
      </c>
      <c r="H172" t="str">
        <f>CONCATENATE("'",ALUMNOS!J174,"'")</f>
        <v>'8vo'</v>
      </c>
      <c r="I172" t="str">
        <f>CONCATENATE("'",ALUMNOS!K174,"'")</f>
        <v>'Femenino'</v>
      </c>
      <c r="J172" t="str">
        <f>CONCATENATE("'",ALUMNOS!L174,"'")</f>
        <v>'Activo'</v>
      </c>
      <c r="K172" t="str">
        <f t="shared" si="9"/>
        <v>1171,'LICENCIATURA','dianalyseth.vazquezyañez','109818','TOMAR DEL SND','VAZQUEZ YAÑEZ DIANA LYSETH','ANIMACION DIGITAL Y VIDEOJUEGOS','8vo','FEMENINO','ACTIVO','',0,0,'','ALUMNO'</v>
      </c>
      <c r="L172" t="str">
        <f t="shared" si="8"/>
        <v>INSERT INTO participantes (id,nivel,correo,matricula,clave,nombre,carrera,grado,sexo,situacion,evaluados,num_evaluados,total_evaluaciones,ultimo_acceso,nivel_acceso) VALUES (1171,'LICENCIATURA','dianalyseth.vazquezyañez','109818','TOMAR DEL SND','VAZQUEZ YAÑEZ DIANA LYSETH','ANIMACION DIGITAL Y VIDEOJUEGOS','8vo','FEMENINO','ACTIVO','',0,0,'','ALUMNO');</v>
      </c>
      <c r="M172" t="str">
        <f t="shared" si="10"/>
        <v>update participantes set correo='dianalyseth.vazquezyañez' where id=1171;</v>
      </c>
    </row>
    <row r="173" spans="1:13" x14ac:dyDescent="0.25">
      <c r="A173">
        <f t="shared" si="11"/>
        <v>1172</v>
      </c>
      <c r="B173" s="3" t="s">
        <v>2103</v>
      </c>
      <c r="C173" t="str">
        <f>CONCATENATE("'",ALUMNOS!E175,"'")</f>
        <v>'dianapaola.coronadotirado'</v>
      </c>
      <c r="D173" t="str">
        <f>CONCATENATE(ALUMNOS!F175,"'")</f>
        <v>'111201'</v>
      </c>
      <c r="E173" t="s">
        <v>2723</v>
      </c>
      <c r="F173" t="str">
        <f>CONCATENATE("'",ALUMNOS!H175,"'")</f>
        <v>'CORONADO TIRADO DIANA PAOLA'</v>
      </c>
      <c r="G173" t="str">
        <f>CONCATENATE("'",ALUMNOS!I175,"'")</f>
        <v>'INGENIERÍA EN INTELIGENCIA ARTIFICIAL'</v>
      </c>
      <c r="H173" t="str">
        <f>CONCATENATE("'",ALUMNOS!J175,"'")</f>
        <v>'4to'</v>
      </c>
      <c r="I173" t="str">
        <f>CONCATENATE("'",ALUMNOS!K175,"'")</f>
        <v>'Femenino'</v>
      </c>
      <c r="J173" t="str">
        <f>CONCATENATE("'",ALUMNOS!L175,"'")</f>
        <v>'Activo'</v>
      </c>
      <c r="K173" t="str">
        <f t="shared" si="9"/>
        <v>1172,'LICENCIATURA','dianapaola.coronadotirado','111201','TOMAR DEL SND','CORONADO TIRADO DIANA PAOLA','INGENIERÍA EN INTELIGENCIA ARTIFICIAL','4to','FEMENINO','ACTIVO','',0,0,'','ALUMNO'</v>
      </c>
      <c r="L173" t="str">
        <f t="shared" si="8"/>
        <v>INSERT INTO participantes (id,nivel,correo,matricula,clave,nombre,carrera,grado,sexo,situacion,evaluados,num_evaluados,total_evaluaciones,ultimo_acceso,nivel_acceso) VALUES (1172,'LICENCIATURA','dianapaola.coronadotirado','111201','TOMAR DEL SND','CORONADO TIRADO DIANA PAOLA','INGENIERÍA EN INTELIGENCIA ARTIFICIAL','4to','FEMENINO','ACTIVO','',0,0,'','ALUMNO');</v>
      </c>
      <c r="M173" t="str">
        <f t="shared" si="10"/>
        <v>update participantes set correo='dianapaola.coronadotirado' where id=1172;</v>
      </c>
    </row>
    <row r="174" spans="1:13" x14ac:dyDescent="0.25">
      <c r="A174">
        <f t="shared" si="11"/>
        <v>1173</v>
      </c>
      <c r="B174" s="3" t="s">
        <v>2103</v>
      </c>
      <c r="C174" t="str">
        <f>CONCATENATE("'",ALUMNOS!E176,"'")</f>
        <v>'dianapaula.dealvacovarrubias'</v>
      </c>
      <c r="D174" t="str">
        <f>CONCATENATE(ALUMNOS!F176,"'")</f>
        <v>'110430'</v>
      </c>
      <c r="E174" t="s">
        <v>2723</v>
      </c>
      <c r="F174" t="str">
        <f>CONCATENATE("'",ALUMNOS!H176,"'")</f>
        <v>'DE ALVA COVARRUBIAS DIANA PAULA'</v>
      </c>
      <c r="G174" t="str">
        <f>CONCATENATE("'",ALUMNOS!I176,"'")</f>
        <v>'ARQUITECTURA'</v>
      </c>
      <c r="H174" t="str">
        <f>CONCATENATE("'",ALUMNOS!J176,"'")</f>
        <v>'6to'</v>
      </c>
      <c r="I174" t="str">
        <f>CONCATENATE("'",ALUMNOS!K176,"'")</f>
        <v>'Femenino'</v>
      </c>
      <c r="J174" t="str">
        <f>CONCATENATE("'",ALUMNOS!L176,"'")</f>
        <v>'Activo'</v>
      </c>
      <c r="K174" t="str">
        <f t="shared" si="9"/>
        <v>1173,'LICENCIATURA','dianapaula.dealvacovarrubias','110430','TOMAR DEL SND','DE ALVA COVARRUBIAS DIANA PAULA','ARQUITECTURA','6to','FEMENINO','ACTIVO','',0,0,'','ALUMNO'</v>
      </c>
      <c r="L174" t="str">
        <f t="shared" si="8"/>
        <v>INSERT INTO participantes (id,nivel,correo,matricula,clave,nombre,carrera,grado,sexo,situacion,evaluados,num_evaluados,total_evaluaciones,ultimo_acceso,nivel_acceso) VALUES (1173,'LICENCIATURA','dianapaula.dealvacovarrubias','110430','TOMAR DEL SND','DE ALVA COVARRUBIAS DIANA PAULA','ARQUITECTURA','6to','FEMENINO','ACTIVO','',0,0,'','ALUMNO');</v>
      </c>
      <c r="M174" t="str">
        <f t="shared" si="10"/>
        <v>update participantes set correo='dianapaula.dealvacovarrubias' where id=1173;</v>
      </c>
    </row>
    <row r="175" spans="1:13" x14ac:dyDescent="0.25">
      <c r="A175">
        <f t="shared" si="11"/>
        <v>1174</v>
      </c>
      <c r="B175" s="3" t="s">
        <v>2103</v>
      </c>
      <c r="C175" t="str">
        <f>CONCATENATE("'",ALUMNOS!E177,"'")</f>
        <v>'dianasarahi.ramireztabarez'</v>
      </c>
      <c r="D175" t="str">
        <f>CONCATENATE(ALUMNOS!F177,"'")</f>
        <v>'111053'</v>
      </c>
      <c r="E175" t="s">
        <v>2723</v>
      </c>
      <c r="F175" t="str">
        <f>CONCATENATE("'",ALUMNOS!H177,"'")</f>
        <v>'RAMIREZ TABAREZ DIANA SARAHI'</v>
      </c>
      <c r="G175" t="str">
        <f>CONCATENATE("'",ALUMNOS!I177,"'")</f>
        <v>'PSICOLOGIA'</v>
      </c>
      <c r="H175" t="str">
        <f>CONCATENATE("'",ALUMNOS!J177,"'")</f>
        <v>'4to'</v>
      </c>
      <c r="I175" t="str">
        <f>CONCATENATE("'",ALUMNOS!K177,"'")</f>
        <v>'Femenino'</v>
      </c>
      <c r="J175" t="str">
        <f>CONCATENATE("'",ALUMNOS!L177,"'")</f>
        <v>'Activo'</v>
      </c>
      <c r="K175" t="str">
        <f t="shared" si="9"/>
        <v>1174,'LICENCIATURA','dianasarahi.ramireztabarez','111053','TOMAR DEL SND','RAMIREZ TABAREZ DIANA SARAHI','PSICOLOGIA','4to','FEMENINO','ACTIVO','',0,0,'','ALUMNO'</v>
      </c>
      <c r="L175" t="str">
        <f t="shared" si="8"/>
        <v>INSERT INTO participantes (id,nivel,correo,matricula,clave,nombre,carrera,grado,sexo,situacion,evaluados,num_evaluados,total_evaluaciones,ultimo_acceso,nivel_acceso) VALUES (1174,'LICENCIATURA','dianasarahi.ramireztabarez','111053','TOMAR DEL SND','RAMIREZ TABAREZ DIANA SARAHI','PSICOLOGIA','4to','FEMENINO','ACTIVO','',0,0,'','ALUMNO');</v>
      </c>
      <c r="M175" t="str">
        <f t="shared" si="10"/>
        <v>update participantes set correo='dianasarahi.ramireztabarez' where id=1174;</v>
      </c>
    </row>
    <row r="176" spans="1:13" x14ac:dyDescent="0.25">
      <c r="A176">
        <f t="shared" si="11"/>
        <v>1175</v>
      </c>
      <c r="B176" s="3" t="s">
        <v>2103</v>
      </c>
      <c r="C176" t="str">
        <f>CONCATENATE("'",ALUMNOS!E178,"'")</f>
        <v>'dieggo.zepedalopez'</v>
      </c>
      <c r="D176" t="str">
        <f>CONCATENATE(ALUMNOS!F178,"'")</f>
        <v>'111086'</v>
      </c>
      <c r="E176" t="s">
        <v>2723</v>
      </c>
      <c r="F176" t="str">
        <f>CONCATENATE("'",ALUMNOS!H178,"'")</f>
        <v>'ZEPEDA LOPEZ DIEGGO'</v>
      </c>
      <c r="G176" t="str">
        <f>CONCATENATE("'",ALUMNOS!I178,"'")</f>
        <v>'INGENIERIA AEROESPACIAL'</v>
      </c>
      <c r="H176" t="str">
        <f>CONCATENATE("'",ALUMNOS!J178,"'")</f>
        <v>'4to'</v>
      </c>
      <c r="I176" t="str">
        <f>CONCATENATE("'",ALUMNOS!K178,"'")</f>
        <v>'Masculino'</v>
      </c>
      <c r="J176" t="str">
        <f>CONCATENATE("'",ALUMNOS!L178,"'")</f>
        <v>'Activo'</v>
      </c>
      <c r="K176" t="str">
        <f t="shared" si="9"/>
        <v>1175,'LICENCIATURA','dieggo.zepedalopez','111086','TOMAR DEL SND','ZEPEDA LOPEZ DIEGGO','INGENIERIA AEROESPACIAL','4to','MASCULINO','ACTIVO','',0,0,'','ALUMNO'</v>
      </c>
      <c r="L176" t="str">
        <f t="shared" si="8"/>
        <v>INSERT INTO participantes (id,nivel,correo,matricula,clave,nombre,carrera,grado,sexo,situacion,evaluados,num_evaluados,total_evaluaciones,ultimo_acceso,nivel_acceso) VALUES (1175,'LICENCIATURA','dieggo.zepedalopez','111086','TOMAR DEL SND','ZEPEDA LOPEZ DIEGGO','INGENIERIA AEROESPACIAL','4to','MASCULINO','ACTIVO','',0,0,'','ALUMNO');</v>
      </c>
      <c r="M176" t="str">
        <f t="shared" si="10"/>
        <v>update participantes set correo='dieggo.zepedalopez' where id=1175;</v>
      </c>
    </row>
    <row r="177" spans="1:13" x14ac:dyDescent="0.25">
      <c r="A177">
        <f t="shared" si="11"/>
        <v>1176</v>
      </c>
      <c r="B177" s="3" t="s">
        <v>2103</v>
      </c>
      <c r="C177" t="str">
        <f>CONCATENATE("'",ALUMNOS!E179,"'")</f>
        <v>'diego.chavezcontreras'</v>
      </c>
      <c r="D177" t="str">
        <f>CONCATENATE(ALUMNOS!F179,"'")</f>
        <v>'110510'</v>
      </c>
      <c r="E177" t="s">
        <v>2723</v>
      </c>
      <c r="F177" t="str">
        <f>CONCATENATE("'",ALUMNOS!H179,"'")</f>
        <v>'CHAVEZ CONTRERAS DIEGO'</v>
      </c>
      <c r="G177" t="str">
        <f>CONCATENATE("'",ALUMNOS!I179,"'")</f>
        <v>'INGENIERIA AEROESPACIAL'</v>
      </c>
      <c r="H177" t="str">
        <f>CONCATENATE("'",ALUMNOS!J179,"'")</f>
        <v>'6to'</v>
      </c>
      <c r="I177" t="str">
        <f>CONCATENATE("'",ALUMNOS!K179,"'")</f>
        <v>'Masculino'</v>
      </c>
      <c r="J177" t="str">
        <f>CONCATENATE("'",ALUMNOS!L179,"'")</f>
        <v>'Activo'</v>
      </c>
      <c r="K177" t="str">
        <f t="shared" si="9"/>
        <v>1176,'LICENCIATURA','diego.chavezcontreras','110510','TOMAR DEL SND','CHAVEZ CONTRERAS DIEGO','INGENIERIA AEROESPACIAL','6to','MASCULINO','ACTIVO','',0,0,'','ALUMNO'</v>
      </c>
      <c r="L177" t="str">
        <f t="shared" si="8"/>
        <v>INSERT INTO participantes (id,nivel,correo,matricula,clave,nombre,carrera,grado,sexo,situacion,evaluados,num_evaluados,total_evaluaciones,ultimo_acceso,nivel_acceso) VALUES (1176,'LICENCIATURA','diego.chavezcontreras','110510','TOMAR DEL SND','CHAVEZ CONTRERAS DIEGO','INGENIERIA AEROESPACIAL','6to','MASCULINO','ACTIVO','',0,0,'','ALUMNO');</v>
      </c>
      <c r="M177" t="str">
        <f t="shared" si="10"/>
        <v>update participantes set correo='diego.chavezcontreras' where id=1176;</v>
      </c>
    </row>
    <row r="178" spans="1:13" x14ac:dyDescent="0.25">
      <c r="A178">
        <f t="shared" si="11"/>
        <v>1177</v>
      </c>
      <c r="B178" s="3" t="s">
        <v>2103</v>
      </c>
      <c r="C178" t="str">
        <f>CONCATENATE("'",ALUMNOS!E180,"'")</f>
        <v>'diego.gonzaleztelles'</v>
      </c>
      <c r="D178" t="str">
        <f>CONCATENATE(ALUMNOS!F180,"'")</f>
        <v>'110518'</v>
      </c>
      <c r="E178" t="s">
        <v>2723</v>
      </c>
      <c r="F178" t="str">
        <f>CONCATENATE("'",ALUMNOS!H180,"'")</f>
        <v>'GONZALEZ TELLES DIEGO'</v>
      </c>
      <c r="G178" t="str">
        <f>CONCATENATE("'",ALUMNOS!I180,"'")</f>
        <v>'DERECHO'</v>
      </c>
      <c r="H178" t="str">
        <f>CONCATENATE("'",ALUMNOS!J180,"'")</f>
        <v>'6to'</v>
      </c>
      <c r="I178" t="str">
        <f>CONCATENATE("'",ALUMNOS!K180,"'")</f>
        <v>'Masculino'</v>
      </c>
      <c r="J178" t="str">
        <f>CONCATENATE("'",ALUMNOS!L180,"'")</f>
        <v>'Activo'</v>
      </c>
      <c r="K178" t="str">
        <f t="shared" si="9"/>
        <v>1177,'LICENCIATURA','diego.gonzaleztelles','110518','TOMAR DEL SND','GONZALEZ TELLES DIEGO','DERECHO','6to','MASCULINO','ACTIVO','',0,0,'','ALUMNO'</v>
      </c>
      <c r="L178" t="str">
        <f t="shared" si="8"/>
        <v>INSERT INTO participantes (id,nivel,correo,matricula,clave,nombre,carrera,grado,sexo,situacion,evaluados,num_evaluados,total_evaluaciones,ultimo_acceso,nivel_acceso) VALUES (1177,'LICENCIATURA','diego.gonzaleztelles','110518','TOMAR DEL SND','GONZALEZ TELLES DIEGO','DERECHO','6to','MASCULINO','ACTIVO','',0,0,'','ALUMNO');</v>
      </c>
      <c r="M178" t="str">
        <f t="shared" si="10"/>
        <v>update participantes set correo='diego.gonzaleztelles' where id=1177;</v>
      </c>
    </row>
    <row r="179" spans="1:13" x14ac:dyDescent="0.25">
      <c r="A179">
        <f t="shared" si="11"/>
        <v>1178</v>
      </c>
      <c r="B179" s="3" t="s">
        <v>2103</v>
      </c>
      <c r="C179" t="str">
        <f>CONCATENATE("'",ALUMNOS!E181,"'")</f>
        <v>'diego.guerrerogarcia'</v>
      </c>
      <c r="D179" t="str">
        <f>CONCATENATE(ALUMNOS!F181,"'")</f>
        <v>'111781'</v>
      </c>
      <c r="E179" t="s">
        <v>2723</v>
      </c>
      <c r="F179" t="str">
        <f>CONCATENATE("'",ALUMNOS!H181,"'")</f>
        <v>'GUERRERO GARCIA DIEGO'</v>
      </c>
      <c r="G179" t="str">
        <f>CONCATENATE("'",ALUMNOS!I181,"'")</f>
        <v>'ANIMACION DIGITAL Y VIDEOJUEGOS'</v>
      </c>
      <c r="H179" t="str">
        <f>CONCATENATE("'",ALUMNOS!J181,"'")</f>
        <v>'8vo'</v>
      </c>
      <c r="I179" t="str">
        <f>CONCATENATE("'",ALUMNOS!K181,"'")</f>
        <v>'Masculino'</v>
      </c>
      <c r="J179" t="str">
        <f>CONCATENATE("'",ALUMNOS!L181,"'")</f>
        <v>'Activo'</v>
      </c>
      <c r="K179" t="str">
        <f t="shared" si="9"/>
        <v>1178,'LICENCIATURA','diego.guerrerogarcia','111781','TOMAR DEL SND','GUERRERO GARCIA DIEGO','ANIMACION DIGITAL Y VIDEOJUEGOS','8vo','MASCULINO','ACTIVO','',0,0,'','ALUMNO'</v>
      </c>
      <c r="L179" t="str">
        <f t="shared" si="8"/>
        <v>INSERT INTO participantes (id,nivel,correo,matricula,clave,nombre,carrera,grado,sexo,situacion,evaluados,num_evaluados,total_evaluaciones,ultimo_acceso,nivel_acceso) VALUES (1178,'LICENCIATURA','diego.guerrerogarcia','111781','TOMAR DEL SND','GUERRERO GARCIA DIEGO','ANIMACION DIGITAL Y VIDEOJUEGOS','8vo','MASCULINO','ACTIVO','',0,0,'','ALUMNO');</v>
      </c>
      <c r="M179" t="str">
        <f t="shared" si="10"/>
        <v>update participantes set correo='diego.guerrerogarcia' where id=1178;</v>
      </c>
    </row>
    <row r="180" spans="1:13" x14ac:dyDescent="0.25">
      <c r="A180">
        <f t="shared" si="11"/>
        <v>1179</v>
      </c>
      <c r="B180" s="3" t="s">
        <v>2103</v>
      </c>
      <c r="C180" t="str">
        <f>CONCATENATE("'",ALUMNOS!E182,"'")</f>
        <v>'diego.villaseñorclaudin'</v>
      </c>
      <c r="D180" t="str">
        <f>CONCATENATE(ALUMNOS!F182,"'")</f>
        <v>'111108'</v>
      </c>
      <c r="E180" t="s">
        <v>2723</v>
      </c>
      <c r="F180" t="str">
        <f>CONCATENATE("'",ALUMNOS!H182,"'")</f>
        <v>'VILLASEÑOR CLAUDIN DIEGO'</v>
      </c>
      <c r="G180" t="str">
        <f>CONCATENATE("'",ALUMNOS!I182,"'")</f>
        <v>'INGENIERIA AEROESPACIAL'</v>
      </c>
      <c r="H180" t="str">
        <f>CONCATENATE("'",ALUMNOS!J182,"'")</f>
        <v>'4to'</v>
      </c>
      <c r="I180" t="str">
        <f>CONCATENATE("'",ALUMNOS!K182,"'")</f>
        <v>'Masculino'</v>
      </c>
      <c r="J180" t="str">
        <f>CONCATENATE("'",ALUMNOS!L182,"'")</f>
        <v>'Activo'</v>
      </c>
      <c r="K180" t="str">
        <f t="shared" si="9"/>
        <v>1179,'LICENCIATURA','diego.villaseñorclaudin','111108','TOMAR DEL SND','VILLASEÑOR CLAUDIN DIEGO','INGENIERIA AEROESPACIAL','4to','MASCULINO','ACTIVO','',0,0,'','ALUMNO'</v>
      </c>
      <c r="L180" t="str">
        <f t="shared" si="8"/>
        <v>INSERT INTO participantes (id,nivel,correo,matricula,clave,nombre,carrera,grado,sexo,situacion,evaluados,num_evaluados,total_evaluaciones,ultimo_acceso,nivel_acceso) VALUES (1179,'LICENCIATURA','diego.villaseñorclaudin','111108','TOMAR DEL SND','VILLASEÑOR CLAUDIN DIEGO','INGENIERIA AEROESPACIAL','4to','MASCULINO','ACTIVO','',0,0,'','ALUMNO');</v>
      </c>
      <c r="M180" t="str">
        <f t="shared" si="10"/>
        <v>update participantes set correo='diego.villaseñorclaudin' where id=1179;</v>
      </c>
    </row>
    <row r="181" spans="1:13" x14ac:dyDescent="0.25">
      <c r="A181">
        <f t="shared" si="11"/>
        <v>1180</v>
      </c>
      <c r="B181" s="3" t="s">
        <v>2103</v>
      </c>
      <c r="C181" t="str">
        <f>CONCATENATE("'",ALUMNOS!E183,"'")</f>
        <v>'diegoalfonso.torizmartinez'</v>
      </c>
      <c r="D181" t="str">
        <f>CONCATENATE(ALUMNOS!F183,"'")</f>
        <v>'110628'</v>
      </c>
      <c r="E181" t="s">
        <v>2723</v>
      </c>
      <c r="F181" t="str">
        <f>CONCATENATE("'",ALUMNOS!H183,"'")</f>
        <v>'TORIZ MARTINEZ DIEGO ALFONSO'</v>
      </c>
      <c r="G181" t="str">
        <f>CONCATENATE("'",ALUMNOS!I183,"'")</f>
        <v>'INGENIERIA CIBERNETICA Y EN SISTEMAS COMPUTACIONALES'</v>
      </c>
      <c r="H181" t="str">
        <f>CONCATENATE("'",ALUMNOS!J183,"'")</f>
        <v>'6to'</v>
      </c>
      <c r="I181" t="str">
        <f>CONCATENATE("'",ALUMNOS!K183,"'")</f>
        <v>'Masculino'</v>
      </c>
      <c r="J181" t="str">
        <f>CONCATENATE("'",ALUMNOS!L183,"'")</f>
        <v>'Activo'</v>
      </c>
      <c r="K181" t="str">
        <f t="shared" si="9"/>
        <v>1180,'LICENCIATURA','diegoalfonso.torizmartinez','110628','TOMAR DEL SND','TORIZ MARTINEZ DIEGO ALFONSO','INGENIERIA CIBERNETICA Y EN SISTEMAS COMPUTACIONALES','6to','MASCULINO','ACTIVO','',0,0,'','ALUMNO'</v>
      </c>
      <c r="L181" t="str">
        <f t="shared" si="8"/>
        <v>INSERT INTO participantes (id,nivel,correo,matricula,clave,nombre,carrera,grado,sexo,situacion,evaluados,num_evaluados,total_evaluaciones,ultimo_acceso,nivel_acceso) VALUES (1180,'LICENCIATURA','diegoalfonso.torizmartinez','110628','TOMAR DEL SND','TORIZ MARTINEZ DIEGO ALFONSO','INGENIERIA CIBERNETICA Y EN SISTEMAS COMPUTACIONALES','6to','MASCULINO','ACTIVO','',0,0,'','ALUMNO');</v>
      </c>
      <c r="M181" t="str">
        <f t="shared" si="10"/>
        <v>update participantes set correo='diegoalfonso.torizmartinez' where id=1180;</v>
      </c>
    </row>
    <row r="182" spans="1:13" x14ac:dyDescent="0.25">
      <c r="A182">
        <f t="shared" si="11"/>
        <v>1181</v>
      </c>
      <c r="B182" s="3" t="s">
        <v>2103</v>
      </c>
      <c r="C182" t="str">
        <f>CONCATENATE("'",ALUMNOS!E184,"'")</f>
        <v>'diegoalonso.lizarragaruiz'</v>
      </c>
      <c r="D182" t="str">
        <f>CONCATENATE(ALUMNOS!F184,"'")</f>
        <v>'109353'</v>
      </c>
      <c r="E182" t="s">
        <v>2723</v>
      </c>
      <c r="F182" t="str">
        <f>CONCATENATE("'",ALUMNOS!H184,"'")</f>
        <v>'LIZARRAGA RUIZ DIEGO ALONSO'</v>
      </c>
      <c r="G182" t="str">
        <f>CONCATENATE("'",ALUMNOS!I184,"'")</f>
        <v>'INGENIERIA AEROESPACIAL'</v>
      </c>
      <c r="H182" t="str">
        <f>CONCATENATE("'",ALUMNOS!J184,"'")</f>
        <v>'10mo'</v>
      </c>
      <c r="I182" t="str">
        <f>CONCATENATE("'",ALUMNOS!K184,"'")</f>
        <v>'Masculino'</v>
      </c>
      <c r="J182" t="str">
        <f>CONCATENATE("'",ALUMNOS!L184,"'")</f>
        <v>'Activo'</v>
      </c>
      <c r="K182" t="str">
        <f t="shared" si="9"/>
        <v>1181,'LICENCIATURA','diegoalonso.lizarragaruiz','109353','TOMAR DEL SND','LIZARRAGA RUIZ DIEGO ALONSO','INGENIERIA AEROESPACIAL','10mo','MASCULINO','ACTIVO','',0,0,'','ALUMNO'</v>
      </c>
      <c r="L182" t="str">
        <f t="shared" si="8"/>
        <v>INSERT INTO participantes (id,nivel,correo,matricula,clave,nombre,carrera,grado,sexo,situacion,evaluados,num_evaluados,total_evaluaciones,ultimo_acceso,nivel_acceso) VALUES (1181,'LICENCIATURA','diegoalonso.lizarragaruiz','109353','TOMAR DEL SND','LIZARRAGA RUIZ DIEGO ALONSO','INGENIERIA AEROESPACIAL','10mo','MASCULINO','ACTIVO','',0,0,'','ALUMNO');</v>
      </c>
      <c r="M182" t="str">
        <f t="shared" si="10"/>
        <v>update participantes set correo='diegoalonso.lizarragaruiz' where id=1181;</v>
      </c>
    </row>
    <row r="183" spans="1:13" x14ac:dyDescent="0.25">
      <c r="A183">
        <f t="shared" si="11"/>
        <v>1182</v>
      </c>
      <c r="B183" s="3" t="s">
        <v>2103</v>
      </c>
      <c r="C183" t="str">
        <f>CONCATENATE("'",ALUMNOS!E185,"'")</f>
        <v>'diegoandres.bonalmedina'</v>
      </c>
      <c r="D183" t="str">
        <f>CONCATENATE(ALUMNOS!F185,"'")</f>
        <v>'109348'</v>
      </c>
      <c r="E183" t="s">
        <v>2723</v>
      </c>
      <c r="F183" t="str">
        <f>CONCATENATE("'",ALUMNOS!H185,"'")</f>
        <v>'BONAL MEDINA DIEGO ANDRES'</v>
      </c>
      <c r="G183" t="str">
        <f>CONCATENATE("'",ALUMNOS!I185,"'")</f>
        <v>'INGENIERIA AEROESPACIAL'</v>
      </c>
      <c r="H183" t="str">
        <f>CONCATENATE("'",ALUMNOS!J185,"'")</f>
        <v>'10mo'</v>
      </c>
      <c r="I183" t="str">
        <f>CONCATENATE("'",ALUMNOS!K185,"'")</f>
        <v>'Masculino'</v>
      </c>
      <c r="J183" t="str">
        <f>CONCATENATE("'",ALUMNOS!L185,"'")</f>
        <v>'Activo'</v>
      </c>
      <c r="K183" t="str">
        <f t="shared" si="9"/>
        <v>1182,'LICENCIATURA','diegoandres.bonalmedina','109348','TOMAR DEL SND','BONAL MEDINA DIEGO ANDRES','INGENIERIA AEROESPACIAL','10mo','MASCULINO','ACTIVO','',0,0,'','ALUMNO'</v>
      </c>
      <c r="L183" t="str">
        <f t="shared" si="8"/>
        <v>INSERT INTO participantes (id,nivel,correo,matricula,clave,nombre,carrera,grado,sexo,situacion,evaluados,num_evaluados,total_evaluaciones,ultimo_acceso,nivel_acceso) VALUES (1182,'LICENCIATURA','diegoandres.bonalmedina','109348','TOMAR DEL SND','BONAL MEDINA DIEGO ANDRES','INGENIERIA AEROESPACIAL','10mo','MASCULINO','ACTIVO','',0,0,'','ALUMNO');</v>
      </c>
      <c r="M183" t="str">
        <f t="shared" si="10"/>
        <v>update participantes set correo='diegoandres.bonalmedina' where id=1182;</v>
      </c>
    </row>
    <row r="184" spans="1:13" x14ac:dyDescent="0.25">
      <c r="A184">
        <f t="shared" si="11"/>
        <v>1183</v>
      </c>
      <c r="B184" s="3" t="s">
        <v>2103</v>
      </c>
      <c r="C184" t="str">
        <f>CONCATENATE("'",ALUMNOS!E186,"'")</f>
        <v>'diegoarturo.tzucpech'</v>
      </c>
      <c r="D184" t="str">
        <f>CONCATENATE(ALUMNOS!F186,"'")</f>
        <v>'109880'</v>
      </c>
      <c r="E184" t="s">
        <v>2723</v>
      </c>
      <c r="F184" t="str">
        <f>CONCATENATE("'",ALUMNOS!H186,"'")</f>
        <v>'TZUC PECH DIEGO ARTURO'</v>
      </c>
      <c r="G184" t="str">
        <f>CONCATENATE("'",ALUMNOS!I186,"'")</f>
        <v>'NUTRICION Y GASTRONOMIA'</v>
      </c>
      <c r="H184" t="str">
        <f>CONCATENATE("'",ALUMNOS!J186,"'")</f>
        <v>'8vo'</v>
      </c>
      <c r="I184" t="str">
        <f>CONCATENATE("'",ALUMNOS!K186,"'")</f>
        <v>'Masculino'</v>
      </c>
      <c r="J184" t="str">
        <f>CONCATENATE("'",ALUMNOS!L186,"'")</f>
        <v>'Activo'</v>
      </c>
      <c r="K184" t="str">
        <f t="shared" si="9"/>
        <v>1183,'LICENCIATURA','diegoarturo.tzucpech','109880','TOMAR DEL SND','TZUC PECH DIEGO ARTURO','NUTRICION Y GASTRONOMIA','8vo','MASCULINO','ACTIVO','',0,0,'','ALUMNO'</v>
      </c>
      <c r="L184" t="str">
        <f t="shared" si="8"/>
        <v>INSERT INTO participantes (id,nivel,correo,matricula,clave,nombre,carrera,grado,sexo,situacion,evaluados,num_evaluados,total_evaluaciones,ultimo_acceso,nivel_acceso) VALUES (1183,'LICENCIATURA','diegoarturo.tzucpech','109880','TOMAR DEL SND','TZUC PECH DIEGO ARTURO','NUTRICION Y GASTRONOMIA','8vo','MASCULINO','ACTIVO','',0,0,'','ALUMNO');</v>
      </c>
      <c r="M184" t="str">
        <f t="shared" si="10"/>
        <v>update participantes set correo='diegoarturo.tzucpech' where id=1183;</v>
      </c>
    </row>
    <row r="185" spans="1:13" x14ac:dyDescent="0.25">
      <c r="A185">
        <f t="shared" si="11"/>
        <v>1184</v>
      </c>
      <c r="B185" s="3" t="s">
        <v>2103</v>
      </c>
      <c r="C185" t="str">
        <f>CONCATENATE("'",ALUMNOS!E187,"'")</f>
        <v>'diegocristan.sanchezvazquez'</v>
      </c>
      <c r="D185" t="str">
        <f>CONCATENATE(ALUMNOS!F187,"'")</f>
        <v>'111646'</v>
      </c>
      <c r="E185" t="s">
        <v>2723</v>
      </c>
      <c r="F185" t="str">
        <f>CONCATENATE("'",ALUMNOS!H187,"'")</f>
        <v>'SANCHEZ VAZQUEZ DIEGO CRISTAN'</v>
      </c>
      <c r="G185" t="str">
        <f>CONCATENATE("'",ALUMNOS!I187,"'")</f>
        <v>'INGENIERÍA EN INTELIGENCIA ARTIFICIAL'</v>
      </c>
      <c r="H185" t="str">
        <f>CONCATENATE("'",ALUMNOS!J187,"'")</f>
        <v>'2do'</v>
      </c>
      <c r="I185" t="str">
        <f>CONCATENATE("'",ALUMNOS!K187,"'")</f>
        <v>'Masculino'</v>
      </c>
      <c r="J185" t="str">
        <f>CONCATENATE("'",ALUMNOS!L187,"'")</f>
        <v>'Activo'</v>
      </c>
      <c r="K185" t="str">
        <f t="shared" si="9"/>
        <v>1184,'LICENCIATURA','diegocristan.sanchezvazquez','111646','TOMAR DEL SND','SANCHEZ VAZQUEZ DIEGO CRISTAN','INGENIERÍA EN INTELIGENCIA ARTIFICIAL','2do','MASCULINO','ACTIVO','',0,0,'','ALUMNO'</v>
      </c>
      <c r="L185" t="str">
        <f t="shared" si="8"/>
        <v>INSERT INTO participantes (id,nivel,correo,matricula,clave,nombre,carrera,grado,sexo,situacion,evaluados,num_evaluados,total_evaluaciones,ultimo_acceso,nivel_acceso) VALUES (1184,'LICENCIATURA','diegocristan.sanchezvazquez','111646','TOMAR DEL SND','SANCHEZ VAZQUEZ DIEGO CRISTAN','INGENIERÍA EN INTELIGENCIA ARTIFICIAL','2do','MASCULINO','ACTIVO','',0,0,'','ALUMNO');</v>
      </c>
      <c r="M185" t="str">
        <f t="shared" si="10"/>
        <v>update participantes set correo='diegocristan.sanchezvazquez' where id=1184;</v>
      </c>
    </row>
    <row r="186" spans="1:13" x14ac:dyDescent="0.25">
      <c r="A186">
        <f t="shared" si="11"/>
        <v>1185</v>
      </c>
      <c r="B186" s="3" t="s">
        <v>2103</v>
      </c>
      <c r="C186" t="str">
        <f>CONCATENATE("'",ALUMNOS!E188,"'")</f>
        <v>'diegofrancisco.preciadolara'</v>
      </c>
      <c r="D186" t="str">
        <f>CONCATENATE(ALUMNOS!F188,"'")</f>
        <v>'111699'</v>
      </c>
      <c r="E186" t="s">
        <v>2723</v>
      </c>
      <c r="F186" t="str">
        <f>CONCATENATE("'",ALUMNOS!H188,"'")</f>
        <v>'PRECIADO LARA DIEGO FRANCISCO'</v>
      </c>
      <c r="G186" t="str">
        <f>CONCATENATE("'",ALUMNOS!I188,"'")</f>
        <v>'INGENIERÍA AUTOMOTRIZ'</v>
      </c>
      <c r="H186" t="str">
        <f>CONCATENATE("'",ALUMNOS!J188,"'")</f>
        <v>'2do'</v>
      </c>
      <c r="I186" t="str">
        <f>CONCATENATE("'",ALUMNOS!K188,"'")</f>
        <v>'Masculino'</v>
      </c>
      <c r="J186" t="str">
        <f>CONCATENATE("'",ALUMNOS!L188,"'")</f>
        <v>'Activo'</v>
      </c>
      <c r="K186" t="str">
        <f t="shared" si="9"/>
        <v>1185,'LICENCIATURA','diegofrancisco.preciadolara','111699','TOMAR DEL SND','PRECIADO LARA DIEGO FRANCISCO','INGENIERÍA AUTOMOTRIZ','2do','MASCULINO','ACTIVO','',0,0,'','ALUMNO'</v>
      </c>
      <c r="L186" t="str">
        <f t="shared" si="8"/>
        <v>INSERT INTO participantes (id,nivel,correo,matricula,clave,nombre,carrera,grado,sexo,situacion,evaluados,num_evaluados,total_evaluaciones,ultimo_acceso,nivel_acceso) VALUES (1185,'LICENCIATURA','diegofrancisco.preciadolara','111699','TOMAR DEL SND','PRECIADO LARA DIEGO FRANCISCO','INGENIERÍA AUTOMOTRIZ','2do','MASCULINO','ACTIVO','',0,0,'','ALUMNO');</v>
      </c>
      <c r="M186" t="str">
        <f t="shared" si="10"/>
        <v>update participantes set correo='diegofrancisco.preciadolara' where id=1185;</v>
      </c>
    </row>
    <row r="187" spans="1:13" x14ac:dyDescent="0.25">
      <c r="A187">
        <f t="shared" si="11"/>
        <v>1186</v>
      </c>
      <c r="B187" s="3" t="s">
        <v>2103</v>
      </c>
      <c r="C187" t="str">
        <f>CONCATENATE("'",ALUMNOS!E189,"'")</f>
        <v>'diegoismael.suarezmarquez'</v>
      </c>
      <c r="D187" t="str">
        <f>CONCATENATE(ALUMNOS!F189,"'")</f>
        <v>'109898'</v>
      </c>
      <c r="E187" t="s">
        <v>2723</v>
      </c>
      <c r="F187" t="str">
        <f>CONCATENATE("'",ALUMNOS!H189,"'")</f>
        <v>'SUAREZ MARQUEZ DIEGO ISMAEL'</v>
      </c>
      <c r="G187" t="str">
        <f>CONCATENATE("'",ALUMNOS!I189,"'")</f>
        <v>'ARQUITECTURA'</v>
      </c>
      <c r="H187" t="str">
        <f>CONCATENATE("'",ALUMNOS!J189,"'")</f>
        <v>'8vo'</v>
      </c>
      <c r="I187" t="str">
        <f>CONCATENATE("'",ALUMNOS!K189,"'")</f>
        <v>'Masculino'</v>
      </c>
      <c r="J187" t="str">
        <f>CONCATENATE("'",ALUMNOS!L189,"'")</f>
        <v>'Activo'</v>
      </c>
      <c r="K187" t="str">
        <f t="shared" si="9"/>
        <v>1186,'LICENCIATURA','diegoismael.suarezmarquez','109898','TOMAR DEL SND','SUAREZ MARQUEZ DIEGO ISMAEL','ARQUITECTURA','8vo','MASCULINO','ACTIVO','',0,0,'','ALUMNO'</v>
      </c>
      <c r="L187" t="str">
        <f t="shared" si="8"/>
        <v>INSERT INTO participantes (id,nivel,correo,matricula,clave,nombre,carrera,grado,sexo,situacion,evaluados,num_evaluados,total_evaluaciones,ultimo_acceso,nivel_acceso) VALUES (1186,'LICENCIATURA','diegoismael.suarezmarquez','109898','TOMAR DEL SND','SUAREZ MARQUEZ DIEGO ISMAEL','ARQUITECTURA','8vo','MASCULINO','ACTIVO','',0,0,'','ALUMNO');</v>
      </c>
      <c r="M187" t="str">
        <f t="shared" si="10"/>
        <v>update participantes set correo='diegoismael.suarezmarquez' where id=1186;</v>
      </c>
    </row>
    <row r="188" spans="1:13" x14ac:dyDescent="0.25">
      <c r="A188">
        <f t="shared" si="11"/>
        <v>1187</v>
      </c>
      <c r="B188" s="3" t="s">
        <v>2103</v>
      </c>
      <c r="C188" t="str">
        <f>CONCATENATE("'",ALUMNOS!E190,"'")</f>
        <v>'diegomartin.zavalacuellar'</v>
      </c>
      <c r="D188" t="str">
        <f>CONCATENATE(ALUMNOS!F190,"'")</f>
        <v>'111727'</v>
      </c>
      <c r="E188" t="s">
        <v>2723</v>
      </c>
      <c r="F188" t="str">
        <f>CONCATENATE("'",ALUMNOS!H190,"'")</f>
        <v>'ZAVALA CUELLAR DIEGO MARTIN'</v>
      </c>
      <c r="G188" t="str">
        <f>CONCATENATE("'",ALUMNOS!I190,"'")</f>
        <v>'INGENIERIA AEROESPACIAL'</v>
      </c>
      <c r="H188" t="str">
        <f>CONCATENATE("'",ALUMNOS!J190,"'")</f>
        <v>'2do'</v>
      </c>
      <c r="I188" t="str">
        <f>CONCATENATE("'",ALUMNOS!K190,"'")</f>
        <v>'Masculino'</v>
      </c>
      <c r="J188" t="str">
        <f>CONCATENATE("'",ALUMNOS!L190,"'")</f>
        <v>'Activo'</v>
      </c>
      <c r="K188" t="str">
        <f t="shared" si="9"/>
        <v>1187,'LICENCIATURA','diegomartin.zavalacuellar','111727','TOMAR DEL SND','ZAVALA CUELLAR DIEGO MARTIN','INGENIERIA AEROESPACIAL','2do','MASCULINO','ACTIVO','',0,0,'','ALUMNO'</v>
      </c>
      <c r="L188" t="str">
        <f t="shared" si="8"/>
        <v>INSERT INTO participantes (id,nivel,correo,matricula,clave,nombre,carrera,grado,sexo,situacion,evaluados,num_evaluados,total_evaluaciones,ultimo_acceso,nivel_acceso) VALUES (1187,'LICENCIATURA','diegomartin.zavalacuellar','111727','TOMAR DEL SND','ZAVALA CUELLAR DIEGO MARTIN','INGENIERIA AEROESPACIAL','2do','MASCULINO','ACTIVO','',0,0,'','ALUMNO');</v>
      </c>
      <c r="M188" t="str">
        <f t="shared" si="10"/>
        <v>update participantes set correo='diegomartin.zavalacuellar' where id=1187;</v>
      </c>
    </row>
    <row r="189" spans="1:13" x14ac:dyDescent="0.25">
      <c r="A189">
        <f t="shared" si="11"/>
        <v>1188</v>
      </c>
      <c r="B189" s="3" t="s">
        <v>2103</v>
      </c>
      <c r="C189" t="str">
        <f>CONCATENATE("'",ALUMNOS!E191,"'")</f>
        <v>'diegomisael.patiñomejia'</v>
      </c>
      <c r="D189" t="str">
        <f>CONCATENATE(ALUMNOS!F191,"'")</f>
        <v>'111753'</v>
      </c>
      <c r="E189" t="s">
        <v>2723</v>
      </c>
      <c r="F189" t="str">
        <f>CONCATENATE("'",ALUMNOS!H191,"'")</f>
        <v>'PATIÑO MEJIA DIEGO MISAEL'</v>
      </c>
      <c r="G189" t="str">
        <f>CONCATENATE("'",ALUMNOS!I191,"'")</f>
        <v>'INGENIERIA AEROESPACIAL'</v>
      </c>
      <c r="H189" t="str">
        <f>CONCATENATE("'",ALUMNOS!J191,"'")</f>
        <v>'2do'</v>
      </c>
      <c r="I189" t="str">
        <f>CONCATENATE("'",ALUMNOS!K191,"'")</f>
        <v>'Masculino'</v>
      </c>
      <c r="J189" t="str">
        <f>CONCATENATE("'",ALUMNOS!L191,"'")</f>
        <v>'Activo'</v>
      </c>
      <c r="K189" t="str">
        <f t="shared" si="9"/>
        <v>1188,'LICENCIATURA','diegomisael.patiñomejia','111753','TOMAR DEL SND','PATIÑO MEJIA DIEGO MISAEL','INGENIERIA AEROESPACIAL','2do','MASCULINO','ACTIVO','',0,0,'','ALUMNO'</v>
      </c>
      <c r="L189" t="str">
        <f t="shared" si="8"/>
        <v>INSERT INTO participantes (id,nivel,correo,matricula,clave,nombre,carrera,grado,sexo,situacion,evaluados,num_evaluados,total_evaluaciones,ultimo_acceso,nivel_acceso) VALUES (1188,'LICENCIATURA','diegomisael.patiñomejia','111753','TOMAR DEL SND','PATIÑO MEJIA DIEGO MISAEL','INGENIERIA AEROESPACIAL','2do','MASCULINO','ACTIVO','',0,0,'','ALUMNO');</v>
      </c>
      <c r="M189" t="str">
        <f t="shared" si="10"/>
        <v>update participantes set correo='diegomisael.patiñomejia' where id=1188;</v>
      </c>
    </row>
    <row r="190" spans="1:13" x14ac:dyDescent="0.25">
      <c r="A190">
        <f t="shared" si="11"/>
        <v>1189</v>
      </c>
      <c r="B190" s="3" t="s">
        <v>2103</v>
      </c>
      <c r="C190" t="str">
        <f>CONCATENATE("'",ALUMNOS!E192,"'")</f>
        <v>'diegonicolas.gomezsilva'</v>
      </c>
      <c r="D190" t="str">
        <f>CONCATENATE(ALUMNOS!F192,"'")</f>
        <v>'109871'</v>
      </c>
      <c r="E190" t="s">
        <v>2723</v>
      </c>
      <c r="F190" t="str">
        <f>CONCATENATE("'",ALUMNOS!H192,"'")</f>
        <v>'GOMEZ SILVA DIEGO NICOLAS'</v>
      </c>
      <c r="G190" t="str">
        <f>CONCATENATE("'",ALUMNOS!I192,"'")</f>
        <v>'INGENIERIA INDUSTRIAL Y EN SISTEMAS ORGANIZACIONALES'</v>
      </c>
      <c r="H190" t="str">
        <f>CONCATENATE("'",ALUMNOS!J192,"'")</f>
        <v>'8vo'</v>
      </c>
      <c r="I190" t="str">
        <f>CONCATENATE("'",ALUMNOS!K192,"'")</f>
        <v>'Masculino'</v>
      </c>
      <c r="J190" t="str">
        <f>CONCATENATE("'",ALUMNOS!L192,"'")</f>
        <v>'Activo'</v>
      </c>
      <c r="K190" t="str">
        <f t="shared" si="9"/>
        <v>1189,'LICENCIATURA','diegonicolas.gomezsilva','109871','TOMAR DEL SND','GOMEZ SILVA DIEGO NICOLAS','INGENIERIA INDUSTRIAL Y EN SISTEMAS ORGANIZACIONALES','8vo','MASCULINO','ACTIVO','',0,0,'','ALUMNO'</v>
      </c>
      <c r="L190" t="str">
        <f t="shared" si="8"/>
        <v>INSERT INTO participantes (id,nivel,correo,matricula,clave,nombre,carrera,grado,sexo,situacion,evaluados,num_evaluados,total_evaluaciones,ultimo_acceso,nivel_acceso) VALUES (1189,'LICENCIATURA','diegonicolas.gomezsilva','109871','TOMAR DEL SND','GOMEZ SILVA DIEGO NICOLAS','INGENIERIA INDUSTRIAL Y EN SISTEMAS ORGANIZACIONALES','8vo','MASCULINO','ACTIVO','',0,0,'','ALUMNO');</v>
      </c>
      <c r="M190" t="str">
        <f t="shared" si="10"/>
        <v>update participantes set correo='diegonicolas.gomezsilva' where id=1189;</v>
      </c>
    </row>
    <row r="191" spans="1:13" x14ac:dyDescent="0.25">
      <c r="A191">
        <f t="shared" si="11"/>
        <v>1190</v>
      </c>
      <c r="B191" s="3" t="s">
        <v>2103</v>
      </c>
      <c r="C191" t="str">
        <f>CONCATENATE("'",ALUMNOS!E193,"'")</f>
        <v>'diegosanjivh.lopezcasillas'</v>
      </c>
      <c r="D191" t="str">
        <f>CONCATENATE(ALUMNOS!F193,"'")</f>
        <v>'111662'</v>
      </c>
      <c r="E191" t="s">
        <v>2723</v>
      </c>
      <c r="F191" t="str">
        <f>CONCATENATE("'",ALUMNOS!H193,"'")</f>
        <v>'LOPEZ CASILLAS DIEGO SANJIVH'</v>
      </c>
      <c r="G191" t="str">
        <f>CONCATENATE("'",ALUMNOS!I193,"'")</f>
        <v>'INGENIERÍA EN INTELIGENCIA ARTIFICIAL'</v>
      </c>
      <c r="H191" t="str">
        <f>CONCATENATE("'",ALUMNOS!J193,"'")</f>
        <v>'2do'</v>
      </c>
      <c r="I191" t="str">
        <f>CONCATENATE("'",ALUMNOS!K193,"'")</f>
        <v>'Masculino'</v>
      </c>
      <c r="J191" t="str">
        <f>CONCATENATE("'",ALUMNOS!L193,"'")</f>
        <v>'Activo'</v>
      </c>
      <c r="K191" t="str">
        <f t="shared" si="9"/>
        <v>1190,'LICENCIATURA','diegosanjivh.lopezcasillas','111662','TOMAR DEL SND','LOPEZ CASILLAS DIEGO SANJIVH','INGENIERÍA EN INTELIGENCIA ARTIFICIAL','2do','MASCULINO','ACTIVO','',0,0,'','ALUMNO'</v>
      </c>
      <c r="L191" t="str">
        <f t="shared" si="8"/>
        <v>INSERT INTO participantes (id,nivel,correo,matricula,clave,nombre,carrera,grado,sexo,situacion,evaluados,num_evaluados,total_evaluaciones,ultimo_acceso,nivel_acceso) VALUES (1190,'LICENCIATURA','diegosanjivh.lopezcasillas','111662','TOMAR DEL SND','LOPEZ CASILLAS DIEGO SANJIVH','INGENIERÍA EN INTELIGENCIA ARTIFICIAL','2do','MASCULINO','ACTIVO','',0,0,'','ALUMNO');</v>
      </c>
      <c r="M191" t="str">
        <f t="shared" si="10"/>
        <v>update participantes set correo='diegosanjivh.lopezcasillas' where id=1190;</v>
      </c>
    </row>
    <row r="192" spans="1:13" x14ac:dyDescent="0.25">
      <c r="A192">
        <f t="shared" si="11"/>
        <v>1191</v>
      </c>
      <c r="B192" s="3" t="s">
        <v>2103</v>
      </c>
      <c r="C192" t="str">
        <f>CONCATENATE("'",ALUMNOS!E194,"'")</f>
        <v>'diegosebastian.vonhauskedellasera'</v>
      </c>
      <c r="D192" t="str">
        <f>CONCATENATE(ALUMNOS!F194,"'")</f>
        <v>'110803'</v>
      </c>
      <c r="E192" t="s">
        <v>2723</v>
      </c>
      <c r="F192" t="str">
        <f>CONCATENATE("'",ALUMNOS!H194,"'")</f>
        <v>'VON HAUSKE DELLA SERA DIEGO SEBASTIAN'</v>
      </c>
      <c r="G192" t="str">
        <f>CONCATENATE("'",ALUMNOS!I194,"'")</f>
        <v>'DISEÑO GRAFICO Y DIGITAL'</v>
      </c>
      <c r="H192" t="str">
        <f>CONCATENATE("'",ALUMNOS!J194,"'")</f>
        <v>'6to'</v>
      </c>
      <c r="I192" t="str">
        <f>CONCATENATE("'",ALUMNOS!K194,"'")</f>
        <v>'Masculino'</v>
      </c>
      <c r="J192" t="str">
        <f>CONCATENATE("'",ALUMNOS!L194,"'")</f>
        <v>'Activo'</v>
      </c>
      <c r="K192" t="str">
        <f t="shared" si="9"/>
        <v>1191,'LICENCIATURA','diegosebastian.vonhauskedellasera','110803','TOMAR DEL SND','VON HAUSKE DELLA SERA DIEGO SEBASTIAN','DISEÑO GRAFICO Y DIGITAL','6to','MASCULINO','ACTIVO','',0,0,'','ALUMNO'</v>
      </c>
      <c r="L192" t="str">
        <f t="shared" si="8"/>
        <v>INSERT INTO participantes (id,nivel,correo,matricula,clave,nombre,carrera,grado,sexo,situacion,evaluados,num_evaluados,total_evaluaciones,ultimo_acceso,nivel_acceso) VALUES (1191,'LICENCIATURA','diegosebastian.vonhauskedellasera','110803','TOMAR DEL SND','VON HAUSKE DELLA SERA DIEGO SEBASTIAN','DISEÑO GRAFICO Y DIGITAL','6to','MASCULINO','ACTIVO','',0,0,'','ALUMNO');</v>
      </c>
      <c r="M192" t="str">
        <f t="shared" si="10"/>
        <v>update participantes set correo='diegosebastian.vonhauskedellasera' where id=1191;</v>
      </c>
    </row>
    <row r="193" spans="1:13" x14ac:dyDescent="0.25">
      <c r="A193">
        <f t="shared" si="11"/>
        <v>1192</v>
      </c>
      <c r="B193" s="3" t="s">
        <v>2103</v>
      </c>
      <c r="C193" t="str">
        <f>CONCATENATE("'",ALUMNOS!E195,"'")</f>
        <v>'donovandamian.cuevasmejia'</v>
      </c>
      <c r="D193" t="str">
        <f>CONCATENATE(ALUMNOS!F195,"'")</f>
        <v>'111754'</v>
      </c>
      <c r="E193" t="s">
        <v>2723</v>
      </c>
      <c r="F193" t="str">
        <f>CONCATENATE("'",ALUMNOS!H195,"'")</f>
        <v>'CUEVAS MEJIA DONOVAN DAMIAN'</v>
      </c>
      <c r="G193" t="str">
        <f>CONCATENATE("'",ALUMNOS!I195,"'")</f>
        <v>'INGENIERIA AEROESPACIAL'</v>
      </c>
      <c r="H193" t="str">
        <f>CONCATENATE("'",ALUMNOS!J195,"'")</f>
        <v>'2do'</v>
      </c>
      <c r="I193" t="str">
        <f>CONCATENATE("'",ALUMNOS!K195,"'")</f>
        <v>'Masculino'</v>
      </c>
      <c r="J193" t="str">
        <f>CONCATENATE("'",ALUMNOS!L195,"'")</f>
        <v>'Activo'</v>
      </c>
      <c r="K193" t="str">
        <f t="shared" si="9"/>
        <v>1192,'LICENCIATURA','donovandamian.cuevasmejia','111754','TOMAR DEL SND','CUEVAS MEJIA DONOVAN DAMIAN','INGENIERIA AEROESPACIAL','2do','MASCULINO','ACTIVO','',0,0,'','ALUMNO'</v>
      </c>
      <c r="L193" t="str">
        <f t="shared" si="8"/>
        <v>INSERT INTO participantes (id,nivel,correo,matricula,clave,nombre,carrera,grado,sexo,situacion,evaluados,num_evaluados,total_evaluaciones,ultimo_acceso,nivel_acceso) VALUES (1192,'LICENCIATURA','donovandamian.cuevasmejia','111754','TOMAR DEL SND','CUEVAS MEJIA DONOVAN DAMIAN','INGENIERIA AEROESPACIAL','2do','MASCULINO','ACTIVO','',0,0,'','ALUMNO');</v>
      </c>
      <c r="M193" t="str">
        <f t="shared" si="10"/>
        <v>update participantes set correo='donovandamian.cuevasmejia' where id=1192;</v>
      </c>
    </row>
    <row r="194" spans="1:13" x14ac:dyDescent="0.25">
      <c r="A194">
        <f t="shared" si="11"/>
        <v>1193</v>
      </c>
      <c r="B194" s="3" t="s">
        <v>2103</v>
      </c>
      <c r="C194" t="str">
        <f>CONCATENATE("'",ALUMNOS!E196,"'")</f>
        <v>'dylanadrian.castillogomez'</v>
      </c>
      <c r="D194" t="str">
        <f>CONCATENATE(ALUMNOS!F196,"'")</f>
        <v>'111214'</v>
      </c>
      <c r="E194" t="s">
        <v>2723</v>
      </c>
      <c r="F194" t="str">
        <f>CONCATENATE("'",ALUMNOS!H196,"'")</f>
        <v>'CASTILLO GOMEZ DYLAN ADRIAN'</v>
      </c>
      <c r="G194" t="str">
        <f>CONCATENATE("'",ALUMNOS!I196,"'")</f>
        <v>'INGENIERÍA AUTOMOTRIZ'</v>
      </c>
      <c r="H194" t="str">
        <f>CONCATENATE("'",ALUMNOS!J196,"'")</f>
        <v>'4to'</v>
      </c>
      <c r="I194" t="str">
        <f>CONCATENATE("'",ALUMNOS!K196,"'")</f>
        <v>'Masculino'</v>
      </c>
      <c r="J194" t="str">
        <f>CONCATENATE("'",ALUMNOS!L196,"'")</f>
        <v>'Activo'</v>
      </c>
      <c r="K194" t="str">
        <f t="shared" si="9"/>
        <v>1193,'LICENCIATURA','dylanadrian.castillogomez','111214','TOMAR DEL SND','CASTILLO GOMEZ DYLAN ADRIAN','INGENIERÍA AUTOMOTRIZ','4to','MASCULINO','ACTIVO','',0,0,'','ALUMNO'</v>
      </c>
      <c r="L194" t="str">
        <f t="shared" ref="L194:L257" si="12">CONCATENATE($K$1,K194,");")</f>
        <v>INSERT INTO participantes (id,nivel,correo,matricula,clave,nombre,carrera,grado,sexo,situacion,evaluados,num_evaluados,total_evaluaciones,ultimo_acceso,nivel_acceso) VALUES (1193,'LICENCIATURA','dylanadrian.castillogomez','111214','TOMAR DEL SND','CASTILLO GOMEZ DYLAN ADRIAN','INGENIERÍA AUTOMOTRIZ','4to','MASCULINO','ACTIVO','',0,0,'','ALUMNO');</v>
      </c>
      <c r="M194" t="str">
        <f t="shared" si="10"/>
        <v>update participantes set correo='dylanadrian.castillogomez' where id=1193;</v>
      </c>
    </row>
    <row r="195" spans="1:13" x14ac:dyDescent="0.25">
      <c r="A195">
        <f t="shared" si="11"/>
        <v>1194</v>
      </c>
      <c r="B195" s="3" t="s">
        <v>2103</v>
      </c>
      <c r="C195" t="str">
        <f>CONCATENATE("'",ALUMNOS!E197,"'")</f>
        <v>'edgar.hernandezsandoval'</v>
      </c>
      <c r="D195" t="str">
        <f>CONCATENATE(ALUMNOS!F197,"'")</f>
        <v>'111614'</v>
      </c>
      <c r="E195" t="s">
        <v>2723</v>
      </c>
      <c r="F195" t="str">
        <f>CONCATENATE("'",ALUMNOS!H197,"'")</f>
        <v>'HERNANDEZ SANDOVAL EDGAR'</v>
      </c>
      <c r="G195" t="str">
        <f>CONCATENATE("'",ALUMNOS!I197,"'")</f>
        <v>'INGENIERIA AEROESPACIAL'</v>
      </c>
      <c r="H195" t="str">
        <f>CONCATENATE("'",ALUMNOS!J197,"'")</f>
        <v>'2do'</v>
      </c>
      <c r="I195" t="str">
        <f>CONCATENATE("'",ALUMNOS!K197,"'")</f>
        <v>'Masculino'</v>
      </c>
      <c r="J195" t="str">
        <f>CONCATENATE("'",ALUMNOS!L197,"'")</f>
        <v>'Activo'</v>
      </c>
      <c r="K195" t="str">
        <f t="shared" ref="K195:K258" si="13">CONCATENATE(A195,",",B195,",",C195,",",D195,",'",E195,",",F195,",",G195,",",H195,",",UPPER(I195),",",UPPER(J195),",'',0,0,'','ALUMNO'")</f>
        <v>1194,'LICENCIATURA','edgar.hernandezsandoval','111614','TOMAR DEL SND','HERNANDEZ SANDOVAL EDGAR','INGENIERIA AEROESPACIAL','2do','MASCULINO','ACTIVO','',0,0,'','ALUMNO'</v>
      </c>
      <c r="L195" t="str">
        <f t="shared" si="12"/>
        <v>INSERT INTO participantes (id,nivel,correo,matricula,clave,nombre,carrera,grado,sexo,situacion,evaluados,num_evaluados,total_evaluaciones,ultimo_acceso,nivel_acceso) VALUES (1194,'LICENCIATURA','edgar.hernandezsandoval','111614','TOMAR DEL SND','HERNANDEZ SANDOVAL EDGAR','INGENIERIA AEROESPACIAL','2do','MASCULINO','ACTIVO','',0,0,'','ALUMNO');</v>
      </c>
      <c r="M195" t="str">
        <f t="shared" ref="M195:M258" si="14">CONCATENATE("update participantes set correo=",C195," where id=",A195,";")</f>
        <v>update participantes set correo='edgar.hernandezsandoval' where id=1194;</v>
      </c>
    </row>
    <row r="196" spans="1:13" x14ac:dyDescent="0.25">
      <c r="A196">
        <f t="shared" ref="A196:A259" si="15">A195+1</f>
        <v>1195</v>
      </c>
      <c r="B196" s="3" t="s">
        <v>2103</v>
      </c>
      <c r="C196" t="str">
        <f>CONCATENATE("'",ALUMNOS!E198,"'")</f>
        <v>'edgaralejandro.ortizvega'</v>
      </c>
      <c r="D196" t="str">
        <f>CONCATENATE(ALUMNOS!F198,"'")</f>
        <v>'110505'</v>
      </c>
      <c r="E196" t="s">
        <v>2723</v>
      </c>
      <c r="F196" t="str">
        <f>CONCATENATE("'",ALUMNOS!H198,"'")</f>
        <v>'ORTIZ VEGA EDGAR ALEJANDRO'</v>
      </c>
      <c r="G196" t="str">
        <f>CONCATENATE("'",ALUMNOS!I198,"'")</f>
        <v>'INGENIERIA AEROESPACIAL'</v>
      </c>
      <c r="H196" t="str">
        <f>CONCATENATE("'",ALUMNOS!J198,"'")</f>
        <v>'6to'</v>
      </c>
      <c r="I196" t="str">
        <f>CONCATENATE("'",ALUMNOS!K198,"'")</f>
        <v>'Masculino'</v>
      </c>
      <c r="J196" t="str">
        <f>CONCATENATE("'",ALUMNOS!L198,"'")</f>
        <v>'Activo'</v>
      </c>
      <c r="K196" t="str">
        <f t="shared" si="13"/>
        <v>1195,'LICENCIATURA','edgaralejandro.ortizvega','110505','TOMAR DEL SND','ORTIZ VEGA EDGAR ALEJANDRO','INGENIERIA AEROESPACIAL','6to','MASCULINO','ACTIVO','',0,0,'','ALUMNO'</v>
      </c>
      <c r="L196" t="str">
        <f t="shared" si="12"/>
        <v>INSERT INTO participantes (id,nivel,correo,matricula,clave,nombre,carrera,grado,sexo,situacion,evaluados,num_evaluados,total_evaluaciones,ultimo_acceso,nivel_acceso) VALUES (1195,'LICENCIATURA','edgaralejandro.ortizvega','110505','TOMAR DEL SND','ORTIZ VEGA EDGAR ALEJANDRO','INGENIERIA AEROESPACIAL','6to','MASCULINO','ACTIVO','',0,0,'','ALUMNO');</v>
      </c>
      <c r="M196" t="str">
        <f t="shared" si="14"/>
        <v>update participantes set correo='edgaralejandro.ortizvega' where id=1195;</v>
      </c>
    </row>
    <row r="197" spans="1:13" x14ac:dyDescent="0.25">
      <c r="A197">
        <f t="shared" si="15"/>
        <v>1196</v>
      </c>
      <c r="B197" s="3" t="s">
        <v>2103</v>
      </c>
      <c r="C197" t="str">
        <f>CONCATENATE("'",ALUMNOS!E199,"'")</f>
        <v>'eduardo.cervantesramirez'</v>
      </c>
      <c r="D197" t="str">
        <f>CONCATENATE(ALUMNOS!F199,"'")</f>
        <v>'007407'</v>
      </c>
      <c r="E197" t="s">
        <v>2723</v>
      </c>
      <c r="F197" t="str">
        <f>CONCATENATE("'",ALUMNOS!H199,"'")</f>
        <v>'CERVANTES RAMIREZ EDUARDO'</v>
      </c>
      <c r="G197" t="str">
        <f>CONCATENATE("'",ALUMNOS!I199,"'")</f>
        <v>'ARQUITECTURA'</v>
      </c>
      <c r="H197" t="str">
        <f>CONCATENATE("'",ALUMNOS!J199,"'")</f>
        <v>'4to'</v>
      </c>
      <c r="I197" t="str">
        <f>CONCATENATE("'",ALUMNOS!K199,"'")</f>
        <v>'Masculino'</v>
      </c>
      <c r="J197" t="str">
        <f>CONCATENATE("'",ALUMNOS!L199,"'")</f>
        <v>'Activo'</v>
      </c>
      <c r="K197" t="str">
        <f t="shared" si="13"/>
        <v>1196,'LICENCIATURA','eduardo.cervantesramirez','007407','TOMAR DEL SND','CERVANTES RAMIREZ EDUARDO','ARQUITECTURA','4to','MASCULINO','ACTIVO','',0,0,'','ALUMNO'</v>
      </c>
      <c r="L197" t="str">
        <f t="shared" si="12"/>
        <v>INSERT INTO participantes (id,nivel,correo,matricula,clave,nombre,carrera,grado,sexo,situacion,evaluados,num_evaluados,total_evaluaciones,ultimo_acceso,nivel_acceso) VALUES (1196,'LICENCIATURA','eduardo.cervantesramirez','007407','TOMAR DEL SND','CERVANTES RAMIREZ EDUARDO','ARQUITECTURA','4to','MASCULINO','ACTIVO','',0,0,'','ALUMNO');</v>
      </c>
      <c r="M197" t="str">
        <f t="shared" si="14"/>
        <v>update participantes set correo='eduardo.cervantesramirez' where id=1196;</v>
      </c>
    </row>
    <row r="198" spans="1:13" x14ac:dyDescent="0.25">
      <c r="A198">
        <f t="shared" si="15"/>
        <v>1197</v>
      </c>
      <c r="B198" s="3" t="s">
        <v>2103</v>
      </c>
      <c r="C198" t="str">
        <f>CONCATENATE("'",ALUMNOS!E200,"'")</f>
        <v>'eduardo.vazquezguerrero'</v>
      </c>
      <c r="D198" t="str">
        <f>CONCATENATE(ALUMNOS!F200,"'")</f>
        <v>'111083'</v>
      </c>
      <c r="E198" t="s">
        <v>2723</v>
      </c>
      <c r="F198" t="str">
        <f>CONCATENATE("'",ALUMNOS!H200,"'")</f>
        <v>'VAZQUEZ GUERRERO EDUARDO'</v>
      </c>
      <c r="G198" t="str">
        <f>CONCATENATE("'",ALUMNOS!I200,"'")</f>
        <v>'INGENIERIA AEROESPACIAL'</v>
      </c>
      <c r="H198" t="str">
        <f>CONCATENATE("'",ALUMNOS!J200,"'")</f>
        <v>'4to'</v>
      </c>
      <c r="I198" t="str">
        <f>CONCATENATE("'",ALUMNOS!K200,"'")</f>
        <v>'Masculino'</v>
      </c>
      <c r="J198" t="str">
        <f>CONCATENATE("'",ALUMNOS!L200,"'")</f>
        <v>'Activo'</v>
      </c>
      <c r="K198" t="str">
        <f t="shared" si="13"/>
        <v>1197,'LICENCIATURA','eduardo.vazquezguerrero','111083','TOMAR DEL SND','VAZQUEZ GUERRERO EDUARDO','INGENIERIA AEROESPACIAL','4to','MASCULINO','ACTIVO','',0,0,'','ALUMNO'</v>
      </c>
      <c r="L198" t="str">
        <f t="shared" si="12"/>
        <v>INSERT INTO participantes (id,nivel,correo,matricula,clave,nombre,carrera,grado,sexo,situacion,evaluados,num_evaluados,total_evaluaciones,ultimo_acceso,nivel_acceso) VALUES (1197,'LICENCIATURA','eduardo.vazquezguerrero','111083','TOMAR DEL SND','VAZQUEZ GUERRERO EDUARDO','INGENIERIA AEROESPACIAL','4to','MASCULINO','ACTIVO','',0,0,'','ALUMNO');</v>
      </c>
      <c r="M198" t="str">
        <f t="shared" si="14"/>
        <v>update participantes set correo='eduardo.vazquezguerrero' where id=1197;</v>
      </c>
    </row>
    <row r="199" spans="1:13" x14ac:dyDescent="0.25">
      <c r="A199">
        <f t="shared" si="15"/>
        <v>1198</v>
      </c>
      <c r="B199" s="3" t="s">
        <v>2103</v>
      </c>
      <c r="C199" t="str">
        <f>CONCATENATE("'",ALUMNOS!E201,"'")</f>
        <v>'eduardoyoshiaki.dominguezinukai'</v>
      </c>
      <c r="D199" t="str">
        <f>CONCATENATE(ALUMNOS!F201,"'")</f>
        <v>'109815'</v>
      </c>
      <c r="E199" t="s">
        <v>2723</v>
      </c>
      <c r="F199" t="str">
        <f>CONCATENATE("'",ALUMNOS!H201,"'")</f>
        <v>'DOMINGUEZ INUKAI EDUARDO YOSHIAKI'</v>
      </c>
      <c r="G199" t="str">
        <f>CONCATENATE("'",ALUMNOS!I201,"'")</f>
        <v>'INGENIERIA INDUSTRIAL Y EN SISTEMAS ORGANIZACIONALES'</v>
      </c>
      <c r="H199" t="str">
        <f>CONCATENATE("'",ALUMNOS!J201,"'")</f>
        <v>'8vo'</v>
      </c>
      <c r="I199" t="str">
        <f>CONCATENATE("'",ALUMNOS!K201,"'")</f>
        <v>'Masculino'</v>
      </c>
      <c r="J199" t="str">
        <f>CONCATENATE("'",ALUMNOS!L201,"'")</f>
        <v>'Activo'</v>
      </c>
      <c r="K199" t="str">
        <f t="shared" si="13"/>
        <v>1198,'LICENCIATURA','eduardoyoshiaki.dominguezinukai','109815','TOMAR DEL SND','DOMINGUEZ INUKAI EDUARDO YOSHIAKI','INGENIERIA INDUSTRIAL Y EN SISTEMAS ORGANIZACIONALES','8vo','MASCULINO','ACTIVO','',0,0,'','ALUMNO'</v>
      </c>
      <c r="L199" t="str">
        <f t="shared" si="12"/>
        <v>INSERT INTO participantes (id,nivel,correo,matricula,clave,nombre,carrera,grado,sexo,situacion,evaluados,num_evaluados,total_evaluaciones,ultimo_acceso,nivel_acceso) VALUES (1198,'LICENCIATURA','eduardoyoshiaki.dominguezinukai','109815','TOMAR DEL SND','DOMINGUEZ INUKAI EDUARDO YOSHIAKI','INGENIERIA INDUSTRIAL Y EN SISTEMAS ORGANIZACIONALES','8vo','MASCULINO','ACTIVO','',0,0,'','ALUMNO');</v>
      </c>
      <c r="M199" t="str">
        <f t="shared" si="14"/>
        <v>update participantes set correo='eduardoyoshiaki.dominguezinukai' where id=1198;</v>
      </c>
    </row>
    <row r="200" spans="1:13" x14ac:dyDescent="0.25">
      <c r="A200">
        <f t="shared" si="15"/>
        <v>1199</v>
      </c>
      <c r="B200" s="3" t="s">
        <v>2103</v>
      </c>
      <c r="C200" t="str">
        <f>CONCATENATE("'",ALUMNOS!E202,"'")</f>
        <v>'edwinfernando.lunabarrientos'</v>
      </c>
      <c r="D200" t="str">
        <f>CONCATENATE(ALUMNOS!F202,"'")</f>
        <v>'111703'</v>
      </c>
      <c r="E200" t="s">
        <v>2723</v>
      </c>
      <c r="F200" t="str">
        <f>CONCATENATE("'",ALUMNOS!H202,"'")</f>
        <v>'LUNA BARRIENTOS EDWIN FERNANDO'</v>
      </c>
      <c r="G200" t="str">
        <f>CONCATENATE("'",ALUMNOS!I202,"'")</f>
        <v>'INGENIERÍA AUTOMOTRIZ'</v>
      </c>
      <c r="H200" t="str">
        <f>CONCATENATE("'",ALUMNOS!J202,"'")</f>
        <v>'2do'</v>
      </c>
      <c r="I200" t="str">
        <f>CONCATENATE("'",ALUMNOS!K202,"'")</f>
        <v>'Masculino'</v>
      </c>
      <c r="J200" t="str">
        <f>CONCATENATE("'",ALUMNOS!L202,"'")</f>
        <v>'Activo'</v>
      </c>
      <c r="K200" t="str">
        <f t="shared" si="13"/>
        <v>1199,'LICENCIATURA','edwinfernando.lunabarrientos','111703','TOMAR DEL SND','LUNA BARRIENTOS EDWIN FERNANDO','INGENIERÍA AUTOMOTRIZ','2do','MASCULINO','ACTIVO','',0,0,'','ALUMNO'</v>
      </c>
      <c r="L200" t="str">
        <f t="shared" si="12"/>
        <v>INSERT INTO participantes (id,nivel,correo,matricula,clave,nombre,carrera,grado,sexo,situacion,evaluados,num_evaluados,total_evaluaciones,ultimo_acceso,nivel_acceso) VALUES (1199,'LICENCIATURA','edwinfernando.lunabarrientos','111703','TOMAR DEL SND','LUNA BARRIENTOS EDWIN FERNANDO','INGENIERÍA AUTOMOTRIZ','2do','MASCULINO','ACTIVO','',0,0,'','ALUMNO');</v>
      </c>
      <c r="M200" t="str">
        <f t="shared" si="14"/>
        <v>update participantes set correo='edwinfernando.lunabarrientos' where id=1199;</v>
      </c>
    </row>
    <row r="201" spans="1:13" x14ac:dyDescent="0.25">
      <c r="A201">
        <f t="shared" si="15"/>
        <v>1200</v>
      </c>
      <c r="B201" s="3" t="s">
        <v>2103</v>
      </c>
      <c r="C201" t="str">
        <f>CONCATENATE("'",ALUMNOS!E203,"'")</f>
        <v>'elcyradayana.ramirezgomez'</v>
      </c>
      <c r="D201" t="str">
        <f>CONCATENATE(ALUMNOS!F203,"'")</f>
        <v>'110214'</v>
      </c>
      <c r="E201" t="s">
        <v>2723</v>
      </c>
      <c r="F201" t="str">
        <f>CONCATENATE("'",ALUMNOS!H203,"'")</f>
        <v>'RAMIREZ GOMEZ ELCYRA DAYANA'</v>
      </c>
      <c r="G201" t="str">
        <f>CONCATENATE("'",ALUMNOS!I203,"'")</f>
        <v>'NUTRICION Y GASTRONOMIA'</v>
      </c>
      <c r="H201" t="str">
        <f>CONCATENATE("'",ALUMNOS!J203,"'")</f>
        <v>'8vo'</v>
      </c>
      <c r="I201" t="str">
        <f>CONCATENATE("'",ALUMNOS!K203,"'")</f>
        <v>'Femenino'</v>
      </c>
      <c r="J201" t="str">
        <f>CONCATENATE("'",ALUMNOS!L203,"'")</f>
        <v>'Activo'</v>
      </c>
      <c r="K201" t="str">
        <f t="shared" si="13"/>
        <v>1200,'LICENCIATURA','elcyradayana.ramirezgomez','110214','TOMAR DEL SND','RAMIREZ GOMEZ ELCYRA DAYANA','NUTRICION Y GASTRONOMIA','8vo','FEMENINO','ACTIVO','',0,0,'','ALUMNO'</v>
      </c>
      <c r="L201" t="str">
        <f t="shared" si="12"/>
        <v>INSERT INTO participantes (id,nivel,correo,matricula,clave,nombre,carrera,grado,sexo,situacion,evaluados,num_evaluados,total_evaluaciones,ultimo_acceso,nivel_acceso) VALUES (1200,'LICENCIATURA','elcyradayana.ramirezgomez','110214','TOMAR DEL SND','RAMIREZ GOMEZ ELCYRA DAYANA','NUTRICION Y GASTRONOMIA','8vo','FEMENINO','ACTIVO','',0,0,'','ALUMNO');</v>
      </c>
      <c r="M201" t="str">
        <f t="shared" si="14"/>
        <v>update participantes set correo='elcyradayana.ramirezgomez' where id=1200;</v>
      </c>
    </row>
    <row r="202" spans="1:13" x14ac:dyDescent="0.25">
      <c r="A202">
        <f t="shared" si="15"/>
        <v>1201</v>
      </c>
      <c r="B202" s="3" t="s">
        <v>2103</v>
      </c>
      <c r="C202" t="str">
        <f>CONCATENATE("'",ALUMNOS!E204,"'")</f>
        <v>'elias.leonardorivera'</v>
      </c>
      <c r="D202" t="str">
        <f>CONCATENATE(ALUMNOS!F204,"'")</f>
        <v>'007424'</v>
      </c>
      <c r="E202" t="s">
        <v>2723</v>
      </c>
      <c r="F202" t="str">
        <f>CONCATENATE("'",ALUMNOS!H204,"'")</f>
        <v>'LEONARDO RIVERA ELIAS'</v>
      </c>
      <c r="G202" t="str">
        <f>CONCATENATE("'",ALUMNOS!I204,"'")</f>
        <v>'INGENIERIA CIBERNETICA Y EN SISTEMAS COMPUTACIONALES'</v>
      </c>
      <c r="H202" t="str">
        <f>CONCATENATE("'",ALUMNOS!J204,"'")</f>
        <v>'6to'</v>
      </c>
      <c r="I202" t="str">
        <f>CONCATENATE("'",ALUMNOS!K204,"'")</f>
        <v>'Masculino'</v>
      </c>
      <c r="J202" t="str">
        <f>CONCATENATE("'",ALUMNOS!L204,"'")</f>
        <v>'Activo'</v>
      </c>
      <c r="K202" t="str">
        <f t="shared" si="13"/>
        <v>1201,'LICENCIATURA','elias.leonardorivera','007424','TOMAR DEL SND','LEONARDO RIVERA ELIAS','INGENIERIA CIBERNETICA Y EN SISTEMAS COMPUTACIONALES','6to','MASCULINO','ACTIVO','',0,0,'','ALUMNO'</v>
      </c>
      <c r="L202" t="str">
        <f t="shared" si="12"/>
        <v>INSERT INTO participantes (id,nivel,correo,matricula,clave,nombre,carrera,grado,sexo,situacion,evaluados,num_evaluados,total_evaluaciones,ultimo_acceso,nivel_acceso) VALUES (1201,'LICENCIATURA','elias.leonardorivera','007424','TOMAR DEL SND','LEONARDO RIVERA ELIAS','INGENIERIA CIBERNETICA Y EN SISTEMAS COMPUTACIONALES','6to','MASCULINO','ACTIVO','',0,0,'','ALUMNO');</v>
      </c>
      <c r="M202" t="str">
        <f t="shared" si="14"/>
        <v>update participantes set correo='elias.leonardorivera' where id=1201;</v>
      </c>
    </row>
    <row r="203" spans="1:13" x14ac:dyDescent="0.25">
      <c r="A203">
        <f t="shared" si="15"/>
        <v>1202</v>
      </c>
      <c r="B203" s="3" t="s">
        <v>2103</v>
      </c>
      <c r="C203" t="str">
        <f>CONCATENATE("'",ALUMNOS!E205,"'")</f>
        <v>'eliseo.sosapelayo'</v>
      </c>
      <c r="D203" t="str">
        <f>CONCATENATE(ALUMNOS!F205,"'")</f>
        <v>'109826'</v>
      </c>
      <c r="E203" t="s">
        <v>2723</v>
      </c>
      <c r="F203" t="str">
        <f>CONCATENATE("'",ALUMNOS!H205,"'")</f>
        <v>'SOSA PELAYO ELISEO'</v>
      </c>
      <c r="G203" t="str">
        <f>CONCATENATE("'",ALUMNOS!I205,"'")</f>
        <v>'INGENIERIA CIBERNETICA Y EN SISTEMAS COMPUTACIONALES'</v>
      </c>
      <c r="H203" t="str">
        <f>CONCATENATE("'",ALUMNOS!J205,"'")</f>
        <v>'8vo'</v>
      </c>
      <c r="I203" t="str">
        <f>CONCATENATE("'",ALUMNOS!K205,"'")</f>
        <v>'Masculino'</v>
      </c>
      <c r="J203" t="str">
        <f>CONCATENATE("'",ALUMNOS!L205,"'")</f>
        <v>'Activo'</v>
      </c>
      <c r="K203" t="str">
        <f t="shared" si="13"/>
        <v>1202,'LICENCIATURA','eliseo.sosapelayo','109826','TOMAR DEL SND','SOSA PELAYO ELISEO','INGENIERIA CIBERNETICA Y EN SISTEMAS COMPUTACIONALES','8vo','MASCULINO','ACTIVO','',0,0,'','ALUMNO'</v>
      </c>
      <c r="L203" t="str">
        <f t="shared" si="12"/>
        <v>INSERT INTO participantes (id,nivel,correo,matricula,clave,nombre,carrera,grado,sexo,situacion,evaluados,num_evaluados,total_evaluaciones,ultimo_acceso,nivel_acceso) VALUES (1202,'LICENCIATURA','eliseo.sosapelayo','109826','TOMAR DEL SND','SOSA PELAYO ELISEO','INGENIERIA CIBERNETICA Y EN SISTEMAS COMPUTACIONALES','8vo','MASCULINO','ACTIVO','',0,0,'','ALUMNO');</v>
      </c>
      <c r="M203" t="str">
        <f t="shared" si="14"/>
        <v>update participantes set correo='eliseo.sosapelayo' where id=1202;</v>
      </c>
    </row>
    <row r="204" spans="1:13" x14ac:dyDescent="0.25">
      <c r="A204">
        <f t="shared" si="15"/>
        <v>1203</v>
      </c>
      <c r="B204" s="3" t="s">
        <v>2103</v>
      </c>
      <c r="C204" t="str">
        <f>CONCATENATE("'",ALUMNOS!E206,"'")</f>
        <v>'elizabeth.delacruzbrambila'</v>
      </c>
      <c r="D204" t="str">
        <f>CONCATENATE(ALUMNOS!F206,"'")</f>
        <v>'110703'</v>
      </c>
      <c r="E204" t="s">
        <v>2723</v>
      </c>
      <c r="F204" t="str">
        <f>CONCATENATE("'",ALUMNOS!H206,"'")</f>
        <v>'DE LA CRUZ BRAMBILA ELIZABETH'</v>
      </c>
      <c r="G204" t="str">
        <f>CONCATENATE("'",ALUMNOS!I206,"'")</f>
        <v>'ARQUITECTURA'</v>
      </c>
      <c r="H204" t="str">
        <f>CONCATENATE("'",ALUMNOS!J206,"'")</f>
        <v>'6to'</v>
      </c>
      <c r="I204" t="str">
        <f>CONCATENATE("'",ALUMNOS!K206,"'")</f>
        <v>'Femenino'</v>
      </c>
      <c r="J204" t="str">
        <f>CONCATENATE("'",ALUMNOS!L206,"'")</f>
        <v>'Activo'</v>
      </c>
      <c r="K204" t="str">
        <f t="shared" si="13"/>
        <v>1203,'LICENCIATURA','elizabeth.delacruzbrambila','110703','TOMAR DEL SND','DE LA CRUZ BRAMBILA ELIZABETH','ARQUITECTURA','6to','FEMENINO','ACTIVO','',0,0,'','ALUMNO'</v>
      </c>
      <c r="L204" t="str">
        <f t="shared" si="12"/>
        <v>INSERT INTO participantes (id,nivel,correo,matricula,clave,nombre,carrera,grado,sexo,situacion,evaluados,num_evaluados,total_evaluaciones,ultimo_acceso,nivel_acceso) VALUES (1203,'LICENCIATURA','elizabeth.delacruzbrambila','110703','TOMAR DEL SND','DE LA CRUZ BRAMBILA ELIZABETH','ARQUITECTURA','6to','FEMENINO','ACTIVO','',0,0,'','ALUMNO');</v>
      </c>
      <c r="M204" t="str">
        <f t="shared" si="14"/>
        <v>update participantes set correo='elizabeth.delacruzbrambila' where id=1203;</v>
      </c>
    </row>
    <row r="205" spans="1:13" x14ac:dyDescent="0.25">
      <c r="A205">
        <f t="shared" si="15"/>
        <v>1204</v>
      </c>
      <c r="B205" s="3" t="s">
        <v>2103</v>
      </c>
      <c r="C205" t="str">
        <f>CONCATENATE("'",ALUMNOS!E207,"'")</f>
        <v>'emiliano.francoorozco'</v>
      </c>
      <c r="D205" t="str">
        <f>CONCATENATE(ALUMNOS!F207,"'")</f>
        <v>'111118'</v>
      </c>
      <c r="E205" t="s">
        <v>2723</v>
      </c>
      <c r="F205" t="str">
        <f>CONCATENATE("'",ALUMNOS!H207,"'")</f>
        <v>'FRANCO OROZCO EMILIANO'</v>
      </c>
      <c r="G205" t="str">
        <f>CONCATENATE("'",ALUMNOS!I207,"'")</f>
        <v>'INGENIERIA CIBERNETICA Y EN SISTEMAS COMPUTACIONALES'</v>
      </c>
      <c r="H205" t="str">
        <f>CONCATENATE("'",ALUMNOS!J207,"'")</f>
        <v>'4to'</v>
      </c>
      <c r="I205" t="str">
        <f>CONCATENATE("'",ALUMNOS!K207,"'")</f>
        <v>'Masculino'</v>
      </c>
      <c r="J205" t="str">
        <f>CONCATENATE("'",ALUMNOS!L207,"'")</f>
        <v>'Activo'</v>
      </c>
      <c r="K205" t="str">
        <f t="shared" si="13"/>
        <v>1204,'LICENCIATURA','emiliano.francoorozco','111118','TOMAR DEL SND','FRANCO OROZCO EMILIANO','INGENIERIA CIBERNETICA Y EN SISTEMAS COMPUTACIONALES','4to','MASCULINO','ACTIVO','',0,0,'','ALUMNO'</v>
      </c>
      <c r="L205" t="str">
        <f t="shared" si="12"/>
        <v>INSERT INTO participantes (id,nivel,correo,matricula,clave,nombre,carrera,grado,sexo,situacion,evaluados,num_evaluados,total_evaluaciones,ultimo_acceso,nivel_acceso) VALUES (1204,'LICENCIATURA','emiliano.francoorozco','111118','TOMAR DEL SND','FRANCO OROZCO EMILIANO','INGENIERIA CIBERNETICA Y EN SISTEMAS COMPUTACIONALES','4to','MASCULINO','ACTIVO','',0,0,'','ALUMNO');</v>
      </c>
      <c r="M205" t="str">
        <f t="shared" si="14"/>
        <v>update participantes set correo='emiliano.francoorozco' where id=1204;</v>
      </c>
    </row>
    <row r="206" spans="1:13" x14ac:dyDescent="0.25">
      <c r="A206">
        <f t="shared" si="15"/>
        <v>1205</v>
      </c>
      <c r="B206" s="3" t="s">
        <v>2103</v>
      </c>
      <c r="C206" t="str">
        <f>CONCATENATE("'",ALUMNOS!E208,"'")</f>
        <v>'emiliano.gomezhernandez'</v>
      </c>
      <c r="D206" t="str">
        <f>CONCATENATE(ALUMNOS!F208,"'")</f>
        <v>'110543'</v>
      </c>
      <c r="E206" t="s">
        <v>2723</v>
      </c>
      <c r="F206" t="str">
        <f>CONCATENATE("'",ALUMNOS!H208,"'")</f>
        <v>'GOMEZ HERNANDEZ EMILIANO'</v>
      </c>
      <c r="G206" t="str">
        <f>CONCATENATE("'",ALUMNOS!I208,"'")</f>
        <v>'ANIMACION DIGITAL Y VIDEOJUEGOS'</v>
      </c>
      <c r="H206" t="str">
        <f>CONCATENATE("'",ALUMNOS!J208,"'")</f>
        <v>'6to'</v>
      </c>
      <c r="I206" t="str">
        <f>CONCATENATE("'",ALUMNOS!K208,"'")</f>
        <v>'Masculino'</v>
      </c>
      <c r="J206" t="str">
        <f>CONCATENATE("'",ALUMNOS!L208,"'")</f>
        <v>'Activo'</v>
      </c>
      <c r="K206" t="str">
        <f t="shared" si="13"/>
        <v>1205,'LICENCIATURA','emiliano.gomezhernandez','110543','TOMAR DEL SND','GOMEZ HERNANDEZ EMILIANO','ANIMACION DIGITAL Y VIDEOJUEGOS','6to','MASCULINO','ACTIVO','',0,0,'','ALUMNO'</v>
      </c>
      <c r="L206" t="str">
        <f t="shared" si="12"/>
        <v>INSERT INTO participantes (id,nivel,correo,matricula,clave,nombre,carrera,grado,sexo,situacion,evaluados,num_evaluados,total_evaluaciones,ultimo_acceso,nivel_acceso) VALUES (1205,'LICENCIATURA','emiliano.gomezhernandez','110543','TOMAR DEL SND','GOMEZ HERNANDEZ EMILIANO','ANIMACION DIGITAL Y VIDEOJUEGOS','6to','MASCULINO','ACTIVO','',0,0,'','ALUMNO');</v>
      </c>
      <c r="M206" t="str">
        <f t="shared" si="14"/>
        <v>update participantes set correo='emiliano.gomezhernandez' where id=1205;</v>
      </c>
    </row>
    <row r="207" spans="1:13" x14ac:dyDescent="0.25">
      <c r="A207">
        <f t="shared" si="15"/>
        <v>1206</v>
      </c>
      <c r="B207" s="3" t="s">
        <v>2103</v>
      </c>
      <c r="C207" t="str">
        <f>CONCATENATE("'",ALUMNOS!E209,"'")</f>
        <v>'emiliano.gracianovargas'</v>
      </c>
      <c r="D207" t="str">
        <f>CONCATENATE(ALUMNOS!F209,"'")</f>
        <v>'111044'</v>
      </c>
      <c r="E207" t="s">
        <v>2723</v>
      </c>
      <c r="F207" t="str">
        <f>CONCATENATE("'",ALUMNOS!H209,"'")</f>
        <v>'GRACIANO VARGAS EMILIANO'</v>
      </c>
      <c r="G207" t="str">
        <f>CONCATENATE("'",ALUMNOS!I209,"'")</f>
        <v>'ADMINISTRACION Y DIRECCION DE NEGOCIOS'</v>
      </c>
      <c r="H207" t="str">
        <f>CONCATENATE("'",ALUMNOS!J209,"'")</f>
        <v>'4to'</v>
      </c>
      <c r="I207" t="str">
        <f>CONCATENATE("'",ALUMNOS!K209,"'")</f>
        <v>'Masculino'</v>
      </c>
      <c r="J207" t="str">
        <f>CONCATENATE("'",ALUMNOS!L209,"'")</f>
        <v>'Activo'</v>
      </c>
      <c r="K207" t="str">
        <f t="shared" si="13"/>
        <v>1206,'LICENCIATURA','emiliano.gracianovargas','111044','TOMAR DEL SND','GRACIANO VARGAS EMILIANO','ADMINISTRACION Y DIRECCION DE NEGOCIOS','4to','MASCULINO','ACTIVO','',0,0,'','ALUMNO'</v>
      </c>
      <c r="L207" t="str">
        <f t="shared" si="12"/>
        <v>INSERT INTO participantes (id,nivel,correo,matricula,clave,nombre,carrera,grado,sexo,situacion,evaluados,num_evaluados,total_evaluaciones,ultimo_acceso,nivel_acceso) VALUES (1206,'LICENCIATURA','emiliano.gracianovargas','111044','TOMAR DEL SND','GRACIANO VARGAS EMILIANO','ADMINISTRACION Y DIRECCION DE NEGOCIOS','4to','MASCULINO','ACTIVO','',0,0,'','ALUMNO');</v>
      </c>
      <c r="M207" t="str">
        <f t="shared" si="14"/>
        <v>update participantes set correo='emiliano.gracianovargas' where id=1206;</v>
      </c>
    </row>
    <row r="208" spans="1:13" x14ac:dyDescent="0.25">
      <c r="A208">
        <f t="shared" si="15"/>
        <v>1207</v>
      </c>
      <c r="B208" s="3" t="s">
        <v>2103</v>
      </c>
      <c r="C208" t="str">
        <f>CONCATENATE("'",ALUMNOS!E210,"'")</f>
        <v>'emiliano.navavelasco'</v>
      </c>
      <c r="D208" t="str">
        <f>CONCATENATE(ALUMNOS!F210,"'")</f>
        <v>'111682'</v>
      </c>
      <c r="E208" t="s">
        <v>2723</v>
      </c>
      <c r="F208" t="str">
        <f>CONCATENATE("'",ALUMNOS!H210,"'")</f>
        <v>'NAVA VELASCO EMILIANO'</v>
      </c>
      <c r="G208" t="str">
        <f>CONCATENATE("'",ALUMNOS!I210,"'")</f>
        <v>'INGENIERIA AEROESPACIAL'</v>
      </c>
      <c r="H208" t="str">
        <f>CONCATENATE("'",ALUMNOS!J210,"'")</f>
        <v>'2do'</v>
      </c>
      <c r="I208" t="str">
        <f>CONCATENATE("'",ALUMNOS!K210,"'")</f>
        <v>'Masculino'</v>
      </c>
      <c r="J208" t="str">
        <f>CONCATENATE("'",ALUMNOS!L210,"'")</f>
        <v>'Activo'</v>
      </c>
      <c r="K208" t="str">
        <f t="shared" si="13"/>
        <v>1207,'LICENCIATURA','emiliano.navavelasco','111682','TOMAR DEL SND','NAVA VELASCO EMILIANO','INGENIERIA AEROESPACIAL','2do','MASCULINO','ACTIVO','',0,0,'','ALUMNO'</v>
      </c>
      <c r="L208" t="str">
        <f t="shared" si="12"/>
        <v>INSERT INTO participantes (id,nivel,correo,matricula,clave,nombre,carrera,grado,sexo,situacion,evaluados,num_evaluados,total_evaluaciones,ultimo_acceso,nivel_acceso) VALUES (1207,'LICENCIATURA','emiliano.navavelasco','111682','TOMAR DEL SND','NAVA VELASCO EMILIANO','INGENIERIA AEROESPACIAL','2do','MASCULINO','ACTIVO','',0,0,'','ALUMNO');</v>
      </c>
      <c r="M208" t="str">
        <f t="shared" si="14"/>
        <v>update participantes set correo='emiliano.navavelasco' where id=1207;</v>
      </c>
    </row>
    <row r="209" spans="1:13" x14ac:dyDescent="0.25">
      <c r="A209">
        <f t="shared" si="15"/>
        <v>1208</v>
      </c>
      <c r="B209" s="3" t="s">
        <v>2103</v>
      </c>
      <c r="C209" t="str">
        <f>CONCATENATE("'",ALUMNOS!E211,"'")</f>
        <v>'emiliano.rodriguezguzman'</v>
      </c>
      <c r="D209" t="str">
        <f>CONCATENATE(ALUMNOS!F211,"'")</f>
        <v>'111737'</v>
      </c>
      <c r="E209" t="s">
        <v>2723</v>
      </c>
      <c r="F209" t="str">
        <f>CONCATENATE("'",ALUMNOS!H211,"'")</f>
        <v>'RODRIGUEZ GUZMAN EMILIANO'</v>
      </c>
      <c r="G209" t="str">
        <f>CONCATENATE("'",ALUMNOS!I211,"'")</f>
        <v>'ANIMACION DIGITAL Y VIDEOJUEGOS'</v>
      </c>
      <c r="H209" t="str">
        <f>CONCATENATE("'",ALUMNOS!J211,"'")</f>
        <v>'2do'</v>
      </c>
      <c r="I209" t="str">
        <f>CONCATENATE("'",ALUMNOS!K211,"'")</f>
        <v>'Masculino'</v>
      </c>
      <c r="J209" t="str">
        <f>CONCATENATE("'",ALUMNOS!L211,"'")</f>
        <v>'Activo'</v>
      </c>
      <c r="K209" t="str">
        <f t="shared" si="13"/>
        <v>1208,'LICENCIATURA','emiliano.rodriguezguzman','111737','TOMAR DEL SND','RODRIGUEZ GUZMAN EMILIANO','ANIMACION DIGITAL Y VIDEOJUEGOS','2do','MASCULINO','ACTIVO','',0,0,'','ALUMNO'</v>
      </c>
      <c r="L209" t="str">
        <f t="shared" si="12"/>
        <v>INSERT INTO participantes (id,nivel,correo,matricula,clave,nombre,carrera,grado,sexo,situacion,evaluados,num_evaluados,total_evaluaciones,ultimo_acceso,nivel_acceso) VALUES (1208,'LICENCIATURA','emiliano.rodriguezguzman','111737','TOMAR DEL SND','RODRIGUEZ GUZMAN EMILIANO','ANIMACION DIGITAL Y VIDEOJUEGOS','2do','MASCULINO','ACTIVO','',0,0,'','ALUMNO');</v>
      </c>
      <c r="M209" t="str">
        <f t="shared" si="14"/>
        <v>update participantes set correo='emiliano.rodriguezguzman' where id=1208;</v>
      </c>
    </row>
    <row r="210" spans="1:13" x14ac:dyDescent="0.25">
      <c r="A210">
        <f t="shared" si="15"/>
        <v>1209</v>
      </c>
      <c r="B210" s="3" t="s">
        <v>2103</v>
      </c>
      <c r="C210" t="str">
        <f>CONCATENATE("'",ALUMNOS!E212,"'")</f>
        <v>'emilio.anayarodriguez'</v>
      </c>
      <c r="D210" t="str">
        <f>CONCATENATE(ALUMNOS!F212,"'")</f>
        <v>'111128'</v>
      </c>
      <c r="E210" t="s">
        <v>2723</v>
      </c>
      <c r="F210" t="str">
        <f>CONCATENATE("'",ALUMNOS!H212,"'")</f>
        <v>'ANAYA RODRIGUEZ EMILIO'</v>
      </c>
      <c r="G210" t="str">
        <f>CONCATENATE("'",ALUMNOS!I212,"'")</f>
        <v>'NUTRICION Y GASTRONOMIA'</v>
      </c>
      <c r="H210" t="str">
        <f>CONCATENATE("'",ALUMNOS!J212,"'")</f>
        <v>'4to'</v>
      </c>
      <c r="I210" t="str">
        <f>CONCATENATE("'",ALUMNOS!K212,"'")</f>
        <v>'Masculino'</v>
      </c>
      <c r="J210" t="str">
        <f>CONCATENATE("'",ALUMNOS!L212,"'")</f>
        <v>'Activo'</v>
      </c>
      <c r="K210" t="str">
        <f t="shared" si="13"/>
        <v>1209,'LICENCIATURA','emilio.anayarodriguez','111128','TOMAR DEL SND','ANAYA RODRIGUEZ EMILIO','NUTRICION Y GASTRONOMIA','4to','MASCULINO','ACTIVO','',0,0,'','ALUMNO'</v>
      </c>
      <c r="L210" t="str">
        <f t="shared" si="12"/>
        <v>INSERT INTO participantes (id,nivel,correo,matricula,clave,nombre,carrera,grado,sexo,situacion,evaluados,num_evaluados,total_evaluaciones,ultimo_acceso,nivel_acceso) VALUES (1209,'LICENCIATURA','emilio.anayarodriguez','111128','TOMAR DEL SND','ANAYA RODRIGUEZ EMILIO','NUTRICION Y GASTRONOMIA','4to','MASCULINO','ACTIVO','',0,0,'','ALUMNO');</v>
      </c>
      <c r="M210" t="str">
        <f t="shared" si="14"/>
        <v>update participantes set correo='emilio.anayarodriguez' where id=1209;</v>
      </c>
    </row>
    <row r="211" spans="1:13" x14ac:dyDescent="0.25">
      <c r="A211">
        <f t="shared" si="15"/>
        <v>1210</v>
      </c>
      <c r="B211" s="3" t="s">
        <v>2103</v>
      </c>
      <c r="C211" t="str">
        <f>CONCATENATE("'",ALUMNOS!E213,"'")</f>
        <v>'emilio.tadeoalvarez'</v>
      </c>
      <c r="D211" t="str">
        <f>CONCATENATE(ALUMNOS!F213,"'")</f>
        <v>'111676'</v>
      </c>
      <c r="E211" t="s">
        <v>2723</v>
      </c>
      <c r="F211" t="str">
        <f>CONCATENATE("'",ALUMNOS!H213,"'")</f>
        <v>'TADEO ALVAREZ EMILIO'</v>
      </c>
      <c r="G211" t="str">
        <f>CONCATENATE("'",ALUMNOS!I213,"'")</f>
        <v>'INGENIERÍA AUTOMOTRIZ'</v>
      </c>
      <c r="H211" t="str">
        <f>CONCATENATE("'",ALUMNOS!J213,"'")</f>
        <v>'2do'</v>
      </c>
      <c r="I211" t="str">
        <f>CONCATENATE("'",ALUMNOS!K213,"'")</f>
        <v>'Masculino'</v>
      </c>
      <c r="J211" t="str">
        <f>CONCATENATE("'",ALUMNOS!L213,"'")</f>
        <v>'Activo'</v>
      </c>
      <c r="K211" t="str">
        <f t="shared" si="13"/>
        <v>1210,'LICENCIATURA','emilio.tadeoalvarez','111676','TOMAR DEL SND','TADEO ALVAREZ EMILIO','INGENIERÍA AUTOMOTRIZ','2do','MASCULINO','ACTIVO','',0,0,'','ALUMNO'</v>
      </c>
      <c r="L211" t="str">
        <f t="shared" si="12"/>
        <v>INSERT INTO participantes (id,nivel,correo,matricula,clave,nombre,carrera,grado,sexo,situacion,evaluados,num_evaluados,total_evaluaciones,ultimo_acceso,nivel_acceso) VALUES (1210,'LICENCIATURA','emilio.tadeoalvarez','111676','TOMAR DEL SND','TADEO ALVAREZ EMILIO','INGENIERÍA AUTOMOTRIZ','2do','MASCULINO','ACTIVO','',0,0,'','ALUMNO');</v>
      </c>
      <c r="M211" t="str">
        <f t="shared" si="14"/>
        <v>update participantes set correo='emilio.tadeoalvarez' where id=1210;</v>
      </c>
    </row>
    <row r="212" spans="1:13" x14ac:dyDescent="0.25">
      <c r="A212">
        <f t="shared" si="15"/>
        <v>1211</v>
      </c>
      <c r="B212" s="3" t="s">
        <v>2103</v>
      </c>
      <c r="C212" t="str">
        <f>CONCATENATE("'",ALUMNOS!E214,"'")</f>
        <v>'emilioandres.acevesromero'</v>
      </c>
      <c r="D212" t="str">
        <f>CONCATENATE(ALUMNOS!F214,"'")</f>
        <v>'109904'</v>
      </c>
      <c r="E212" t="s">
        <v>2723</v>
      </c>
      <c r="F212" t="str">
        <f>CONCATENATE("'",ALUMNOS!H214,"'")</f>
        <v>'ACEVES ROMERO EMILIO ANDRES'</v>
      </c>
      <c r="G212" t="str">
        <f>CONCATENATE("'",ALUMNOS!I214,"'")</f>
        <v>'INGENIERIA AEROESPACIAL'</v>
      </c>
      <c r="H212" t="str">
        <f>CONCATENATE("'",ALUMNOS!J214,"'")</f>
        <v>'10mo'</v>
      </c>
      <c r="I212" t="str">
        <f>CONCATENATE("'",ALUMNOS!K214,"'")</f>
        <v>'Masculino'</v>
      </c>
      <c r="J212" t="str">
        <f>CONCATENATE("'",ALUMNOS!L214,"'")</f>
        <v>'Bloqueado'</v>
      </c>
      <c r="K212" t="str">
        <f t="shared" si="13"/>
        <v>1211,'LICENCIATURA','emilioandres.acevesromero','109904','TOMAR DEL SND','ACEVES ROMERO EMILIO ANDRES','INGENIERIA AEROESPACIAL','10mo','MASCULINO','BLOQUEADO','',0,0,'','ALUMNO'</v>
      </c>
      <c r="L212" t="str">
        <f t="shared" si="12"/>
        <v>INSERT INTO participantes (id,nivel,correo,matricula,clave,nombre,carrera,grado,sexo,situacion,evaluados,num_evaluados,total_evaluaciones,ultimo_acceso,nivel_acceso) VALUES (1211,'LICENCIATURA','emilioandres.acevesromero','109904','TOMAR DEL SND','ACEVES ROMERO EMILIO ANDRES','INGENIERIA AEROESPACIAL','10mo','MASCULINO','BLOQUEADO','',0,0,'','ALUMNO');</v>
      </c>
      <c r="M212" t="str">
        <f t="shared" si="14"/>
        <v>update participantes set correo='emilioandres.acevesromero' where id=1211;</v>
      </c>
    </row>
    <row r="213" spans="1:13" x14ac:dyDescent="0.25">
      <c r="A213">
        <f t="shared" si="15"/>
        <v>1212</v>
      </c>
      <c r="B213" s="3" t="s">
        <v>2103</v>
      </c>
      <c r="C213" t="str">
        <f>CONCATENATE("'",ALUMNOS!E215,"'")</f>
        <v>'emmanuel.lozanoesparza'</v>
      </c>
      <c r="D213" t="str">
        <f>CONCATENATE(ALUMNOS!F215,"'")</f>
        <v>'111070'</v>
      </c>
      <c r="E213" t="s">
        <v>2723</v>
      </c>
      <c r="F213" t="str">
        <f>CONCATENATE("'",ALUMNOS!H215,"'")</f>
        <v>'LOZANO ESPARZA EMMANUEL'</v>
      </c>
      <c r="G213" t="str">
        <f>CONCATENATE("'",ALUMNOS!I215,"'")</f>
        <v>'INGENIERIA AEROESPACIAL'</v>
      </c>
      <c r="H213" t="str">
        <f>CONCATENATE("'",ALUMNOS!J215,"'")</f>
        <v>'4to'</v>
      </c>
      <c r="I213" t="str">
        <f>CONCATENATE("'",ALUMNOS!K215,"'")</f>
        <v>'Masculino'</v>
      </c>
      <c r="J213" t="str">
        <f>CONCATENATE("'",ALUMNOS!L215,"'")</f>
        <v>'Activo'</v>
      </c>
      <c r="K213" t="str">
        <f t="shared" si="13"/>
        <v>1212,'LICENCIATURA','emmanuel.lozanoesparza','111070','TOMAR DEL SND','LOZANO ESPARZA EMMANUEL','INGENIERIA AEROESPACIAL','4to','MASCULINO','ACTIVO','',0,0,'','ALUMNO'</v>
      </c>
      <c r="L213" t="str">
        <f t="shared" si="12"/>
        <v>INSERT INTO participantes (id,nivel,correo,matricula,clave,nombre,carrera,grado,sexo,situacion,evaluados,num_evaluados,total_evaluaciones,ultimo_acceso,nivel_acceso) VALUES (1212,'LICENCIATURA','emmanuel.lozanoesparza','111070','TOMAR DEL SND','LOZANO ESPARZA EMMANUEL','INGENIERIA AEROESPACIAL','4to','MASCULINO','ACTIVO','',0,0,'','ALUMNO');</v>
      </c>
      <c r="M213" t="str">
        <f t="shared" si="14"/>
        <v>update participantes set correo='emmanuel.lozanoesparza' where id=1212;</v>
      </c>
    </row>
    <row r="214" spans="1:13" x14ac:dyDescent="0.25">
      <c r="A214">
        <f t="shared" si="15"/>
        <v>1213</v>
      </c>
      <c r="B214" s="3" t="s">
        <v>2103</v>
      </c>
      <c r="C214" t="str">
        <f>CONCATENATE("'",ALUMNOS!E216,"'")</f>
        <v>'emmanuelsebastian.castrogarcia'</v>
      </c>
      <c r="D214" t="str">
        <f>CONCATENATE(ALUMNOS!F216,"'")</f>
        <v>'111607'</v>
      </c>
      <c r="E214" t="s">
        <v>2723</v>
      </c>
      <c r="F214" t="str">
        <f>CONCATENATE("'",ALUMNOS!H216,"'")</f>
        <v>'CASTRO GARCIA EMMANUEL SEBASTIAN'</v>
      </c>
      <c r="G214" t="str">
        <f>CONCATENATE("'",ALUMNOS!I216,"'")</f>
        <v>'ADMINISTRACION Y DIRECCION DE NEGOCIOS'</v>
      </c>
      <c r="H214" t="str">
        <f>CONCATENATE("'",ALUMNOS!J216,"'")</f>
        <v>'2do'</v>
      </c>
      <c r="I214" t="str">
        <f>CONCATENATE("'",ALUMNOS!K216,"'")</f>
        <v>'Masculino'</v>
      </c>
      <c r="J214" t="str">
        <f>CONCATENATE("'",ALUMNOS!L216,"'")</f>
        <v>'Activo'</v>
      </c>
      <c r="K214" t="str">
        <f t="shared" si="13"/>
        <v>1213,'LICENCIATURA','emmanuelsebastian.castrogarcia','111607','TOMAR DEL SND','CASTRO GARCIA EMMANUEL SEBASTIAN','ADMINISTRACION Y DIRECCION DE NEGOCIOS','2do','MASCULINO','ACTIVO','',0,0,'','ALUMNO'</v>
      </c>
      <c r="L214" t="str">
        <f t="shared" si="12"/>
        <v>INSERT INTO participantes (id,nivel,correo,matricula,clave,nombre,carrera,grado,sexo,situacion,evaluados,num_evaluados,total_evaluaciones,ultimo_acceso,nivel_acceso) VALUES (1213,'LICENCIATURA','emmanuelsebastian.castrogarcia','111607','TOMAR DEL SND','CASTRO GARCIA EMMANUEL SEBASTIAN','ADMINISTRACION Y DIRECCION DE NEGOCIOS','2do','MASCULINO','ACTIVO','',0,0,'','ALUMNO');</v>
      </c>
      <c r="M214" t="str">
        <f t="shared" si="14"/>
        <v>update participantes set correo='emmanuelsebastian.castrogarcia' where id=1213;</v>
      </c>
    </row>
    <row r="215" spans="1:13" x14ac:dyDescent="0.25">
      <c r="A215">
        <f t="shared" si="15"/>
        <v>1214</v>
      </c>
      <c r="B215" s="3" t="s">
        <v>2103</v>
      </c>
      <c r="C215" t="str">
        <f>CONCATENATE("'",ALUMNOS!E217,"'")</f>
        <v>'enrique.juarezcastañeda'</v>
      </c>
      <c r="D215" t="str">
        <f>CONCATENATE(ALUMNOS!F217,"'")</f>
        <v>'109984'</v>
      </c>
      <c r="E215" t="s">
        <v>2723</v>
      </c>
      <c r="F215" t="str">
        <f>CONCATENATE("'",ALUMNOS!H217,"'")</f>
        <v>'JUAREZ CASTAÑEDA ENRIQUE'</v>
      </c>
      <c r="G215" t="str">
        <f>CONCATENATE("'",ALUMNOS!I217,"'")</f>
        <v>'INGENIERÍA AUTOMOTRIZ'</v>
      </c>
      <c r="H215" t="str">
        <f>CONCATENATE("'",ALUMNOS!J217,"'")</f>
        <v>'4to'</v>
      </c>
      <c r="I215" t="str">
        <f>CONCATENATE("'",ALUMNOS!K217,"'")</f>
        <v>'Masculino'</v>
      </c>
      <c r="J215" t="str">
        <f>CONCATENATE("'",ALUMNOS!L217,"'")</f>
        <v>'Activo'</v>
      </c>
      <c r="K215" t="str">
        <f t="shared" si="13"/>
        <v>1214,'LICENCIATURA','enrique.juarezcastañeda','109984','TOMAR DEL SND','JUAREZ CASTAÑEDA ENRIQUE','INGENIERÍA AUTOMOTRIZ','4to','MASCULINO','ACTIVO','',0,0,'','ALUMNO'</v>
      </c>
      <c r="L215" t="str">
        <f t="shared" si="12"/>
        <v>INSERT INTO participantes (id,nivel,correo,matricula,clave,nombre,carrera,grado,sexo,situacion,evaluados,num_evaluados,total_evaluaciones,ultimo_acceso,nivel_acceso) VALUES (1214,'LICENCIATURA','enrique.juarezcastañeda','109984','TOMAR DEL SND','JUAREZ CASTAÑEDA ENRIQUE','INGENIERÍA AUTOMOTRIZ','4to','MASCULINO','ACTIVO','',0,0,'','ALUMNO');</v>
      </c>
      <c r="M215" t="str">
        <f t="shared" si="14"/>
        <v>update participantes set correo='enrique.juarezcastañeda' where id=1214;</v>
      </c>
    </row>
    <row r="216" spans="1:13" x14ac:dyDescent="0.25">
      <c r="A216">
        <f t="shared" si="15"/>
        <v>1215</v>
      </c>
      <c r="B216" s="3" t="s">
        <v>2103</v>
      </c>
      <c r="C216" t="str">
        <f>CONCATENATE("'",ALUMNOS!E218,"'")</f>
        <v>'enrique.villanuevafranco'</v>
      </c>
      <c r="D216" t="str">
        <f>CONCATENATE(ALUMNOS!F218,"'")</f>
        <v>'108986'</v>
      </c>
      <c r="E216" t="s">
        <v>2723</v>
      </c>
      <c r="F216" t="str">
        <f>CONCATENATE("'",ALUMNOS!H218,"'")</f>
        <v>'VILLANUEVA FRANCO ENRIQUE'</v>
      </c>
      <c r="G216" t="str">
        <f>CONCATENATE("'",ALUMNOS!I218,"'")</f>
        <v>'NUTRICION Y GASTRONOMIA'</v>
      </c>
      <c r="H216" t="str">
        <f>CONCATENATE("'",ALUMNOS!J218,"'")</f>
        <v>'8vo'</v>
      </c>
      <c r="I216" t="str">
        <f>CONCATENATE("'",ALUMNOS!K218,"'")</f>
        <v>'Masculino'</v>
      </c>
      <c r="J216" t="str">
        <f>CONCATENATE("'",ALUMNOS!L218,"'")</f>
        <v>'Activo'</v>
      </c>
      <c r="K216" t="str">
        <f t="shared" si="13"/>
        <v>1215,'LICENCIATURA','enrique.villanuevafranco','108986','TOMAR DEL SND','VILLANUEVA FRANCO ENRIQUE','NUTRICION Y GASTRONOMIA','8vo','MASCULINO','ACTIVO','',0,0,'','ALUMNO'</v>
      </c>
      <c r="L216" t="str">
        <f t="shared" si="12"/>
        <v>INSERT INTO participantes (id,nivel,correo,matricula,clave,nombre,carrera,grado,sexo,situacion,evaluados,num_evaluados,total_evaluaciones,ultimo_acceso,nivel_acceso) VALUES (1215,'LICENCIATURA','enrique.villanuevafranco','108986','TOMAR DEL SND','VILLANUEVA FRANCO ENRIQUE','NUTRICION Y GASTRONOMIA','8vo','MASCULINO','ACTIVO','',0,0,'','ALUMNO');</v>
      </c>
      <c r="M216" t="str">
        <f t="shared" si="14"/>
        <v>update participantes set correo='enrique.villanuevafranco' where id=1215;</v>
      </c>
    </row>
    <row r="217" spans="1:13" x14ac:dyDescent="0.25">
      <c r="A217">
        <f t="shared" si="15"/>
        <v>1216</v>
      </c>
      <c r="B217" s="3" t="s">
        <v>2103</v>
      </c>
      <c r="C217" t="str">
        <f>CONCATENATE("'",ALUMNOS!E219,"'")</f>
        <v>'enriquejesus.cabreralizarraga'</v>
      </c>
      <c r="D217" t="str">
        <f>CONCATENATE(ALUMNOS!F219,"'")</f>
        <v>'111740'</v>
      </c>
      <c r="E217" t="s">
        <v>2723</v>
      </c>
      <c r="F217" t="str">
        <f>CONCATENATE("'",ALUMNOS!H219,"'")</f>
        <v>'CABRERA LIZARRAGA ENRIQUE JESUS'</v>
      </c>
      <c r="G217" t="str">
        <f>CONCATENATE("'",ALUMNOS!I219,"'")</f>
        <v>'INGENIERIA AEROESPACIAL'</v>
      </c>
      <c r="H217" t="str">
        <f>CONCATENATE("'",ALUMNOS!J219,"'")</f>
        <v>'2do'</v>
      </c>
      <c r="I217" t="str">
        <f>CONCATENATE("'",ALUMNOS!K219,"'")</f>
        <v>'Masculino'</v>
      </c>
      <c r="J217" t="str">
        <f>CONCATENATE("'",ALUMNOS!L219,"'")</f>
        <v>'Activo'</v>
      </c>
      <c r="K217" t="str">
        <f t="shared" si="13"/>
        <v>1216,'LICENCIATURA','enriquejesus.cabreralizarraga','111740','TOMAR DEL SND','CABRERA LIZARRAGA ENRIQUE JESUS','INGENIERIA AEROESPACIAL','2do','MASCULINO','ACTIVO','',0,0,'','ALUMNO'</v>
      </c>
      <c r="L217" t="str">
        <f t="shared" si="12"/>
        <v>INSERT INTO participantes (id,nivel,correo,matricula,clave,nombre,carrera,grado,sexo,situacion,evaluados,num_evaluados,total_evaluaciones,ultimo_acceso,nivel_acceso) VALUES (1216,'LICENCIATURA','enriquejesus.cabreralizarraga','111740','TOMAR DEL SND','CABRERA LIZARRAGA ENRIQUE JESUS','INGENIERIA AEROESPACIAL','2do','MASCULINO','ACTIVO','',0,0,'','ALUMNO');</v>
      </c>
      <c r="M217" t="str">
        <f t="shared" si="14"/>
        <v>update participantes set correo='enriquejesus.cabreralizarraga' where id=1216;</v>
      </c>
    </row>
    <row r="218" spans="1:13" x14ac:dyDescent="0.25">
      <c r="A218">
        <f t="shared" si="15"/>
        <v>1217</v>
      </c>
      <c r="B218" s="3" t="s">
        <v>2103</v>
      </c>
      <c r="C218" t="str">
        <f>CONCATENATE("'",ALUMNOS!E220,"'")</f>
        <v>'enriquerene.toledosegovia'</v>
      </c>
      <c r="D218" t="str">
        <f>CONCATENATE(ALUMNOS!F220,"'")</f>
        <v>'111115'</v>
      </c>
      <c r="E218" t="s">
        <v>2723</v>
      </c>
      <c r="F218" t="str">
        <f>CONCATENATE("'",ALUMNOS!H220,"'")</f>
        <v>'TOLEDO SEGOVIA ENRIQUE RENE'</v>
      </c>
      <c r="G218" t="str">
        <f>CONCATENATE("'",ALUMNOS!I220,"'")</f>
        <v>'PSICOLOGIA'</v>
      </c>
      <c r="H218" t="str">
        <f>CONCATENATE("'",ALUMNOS!J220,"'")</f>
        <v>'4to'</v>
      </c>
      <c r="I218" t="str">
        <f>CONCATENATE("'",ALUMNOS!K220,"'")</f>
        <v>'Masculino'</v>
      </c>
      <c r="J218" t="str">
        <f>CONCATENATE("'",ALUMNOS!L220,"'")</f>
        <v>'Activo'</v>
      </c>
      <c r="K218" t="str">
        <f t="shared" si="13"/>
        <v>1217,'LICENCIATURA','enriquerene.toledosegovia','111115','TOMAR DEL SND','TOLEDO SEGOVIA ENRIQUE RENE','PSICOLOGIA','4to','MASCULINO','ACTIVO','',0,0,'','ALUMNO'</v>
      </c>
      <c r="L218" t="str">
        <f t="shared" si="12"/>
        <v>INSERT INTO participantes (id,nivel,correo,matricula,clave,nombre,carrera,grado,sexo,situacion,evaluados,num_evaluados,total_evaluaciones,ultimo_acceso,nivel_acceso) VALUES (1217,'LICENCIATURA','enriquerene.toledosegovia','111115','TOMAR DEL SND','TOLEDO SEGOVIA ENRIQUE RENE','PSICOLOGIA','4to','MASCULINO','ACTIVO','',0,0,'','ALUMNO');</v>
      </c>
      <c r="M218" t="str">
        <f t="shared" si="14"/>
        <v>update participantes set correo='enriquerene.toledosegovia' where id=1217;</v>
      </c>
    </row>
    <row r="219" spans="1:13" x14ac:dyDescent="0.25">
      <c r="A219">
        <f t="shared" si="15"/>
        <v>1218</v>
      </c>
      <c r="B219" s="3" t="s">
        <v>2103</v>
      </c>
      <c r="C219" t="str">
        <f>CONCATENATE("'",ALUMNOS!E221,"'")</f>
        <v>'erickgermain.isidoroquiñones'</v>
      </c>
      <c r="D219" t="str">
        <f>CONCATENATE(ALUMNOS!F221,"'")</f>
        <v>'111624'</v>
      </c>
      <c r="E219" t="s">
        <v>2723</v>
      </c>
      <c r="F219" t="str">
        <f>CONCATENATE("'",ALUMNOS!H221,"'")</f>
        <v>'ISIDORO QUIÑONES ERICK GERMAIN'</v>
      </c>
      <c r="G219" t="str">
        <f>CONCATENATE("'",ALUMNOS!I221,"'")</f>
        <v>'INGENIERÍA AUTOMOTRIZ'</v>
      </c>
      <c r="H219" t="str">
        <f>CONCATENATE("'",ALUMNOS!J221,"'")</f>
        <v>'2do'</v>
      </c>
      <c r="I219" t="str">
        <f>CONCATENATE("'",ALUMNOS!K221,"'")</f>
        <v>'Masculino'</v>
      </c>
      <c r="J219" t="str">
        <f>CONCATENATE("'",ALUMNOS!L221,"'")</f>
        <v>'Activo'</v>
      </c>
      <c r="K219" t="str">
        <f t="shared" si="13"/>
        <v>1218,'LICENCIATURA','erickgermain.isidoroquiñones','111624','TOMAR DEL SND','ISIDORO QUIÑONES ERICK GERMAIN','INGENIERÍA AUTOMOTRIZ','2do','MASCULINO','ACTIVO','',0,0,'','ALUMNO'</v>
      </c>
      <c r="L219" t="str">
        <f t="shared" si="12"/>
        <v>INSERT INTO participantes (id,nivel,correo,matricula,clave,nombre,carrera,grado,sexo,situacion,evaluados,num_evaluados,total_evaluaciones,ultimo_acceso,nivel_acceso) VALUES (1218,'LICENCIATURA','erickgermain.isidoroquiñones','111624','TOMAR DEL SND','ISIDORO QUIÑONES ERICK GERMAIN','INGENIERÍA AUTOMOTRIZ','2do','MASCULINO','ACTIVO','',0,0,'','ALUMNO');</v>
      </c>
      <c r="M219" t="str">
        <f t="shared" si="14"/>
        <v>update participantes set correo='erickgermain.isidoroquiñones' where id=1218;</v>
      </c>
    </row>
    <row r="220" spans="1:13" x14ac:dyDescent="0.25">
      <c r="A220">
        <f t="shared" si="15"/>
        <v>1219</v>
      </c>
      <c r="B220" s="3" t="s">
        <v>2103</v>
      </c>
      <c r="C220" t="str">
        <f>CONCATENATE("'",ALUMNOS!E222,"'")</f>
        <v>'ernesto.rojasrodriguez'</v>
      </c>
      <c r="D220" t="str">
        <f>CONCATENATE(ALUMNOS!F222,"'")</f>
        <v>'110550'</v>
      </c>
      <c r="E220" t="s">
        <v>2723</v>
      </c>
      <c r="F220" t="str">
        <f>CONCATENATE("'",ALUMNOS!H222,"'")</f>
        <v>'ROJAS RODRIGUEZ ERNESTO'</v>
      </c>
      <c r="G220" t="str">
        <f>CONCATENATE("'",ALUMNOS!I222,"'")</f>
        <v>'INGENIERIA AEROESPACIAL'</v>
      </c>
      <c r="H220" t="str">
        <f>CONCATENATE("'",ALUMNOS!J222,"'")</f>
        <v>'6to'</v>
      </c>
      <c r="I220" t="str">
        <f>CONCATENATE("'",ALUMNOS!K222,"'")</f>
        <v>'Masculino'</v>
      </c>
      <c r="J220" t="str">
        <f>CONCATENATE("'",ALUMNOS!L222,"'")</f>
        <v>'Activo'</v>
      </c>
      <c r="K220" t="str">
        <f t="shared" si="13"/>
        <v>1219,'LICENCIATURA','ernesto.rojasrodriguez','110550','TOMAR DEL SND','ROJAS RODRIGUEZ ERNESTO','INGENIERIA AEROESPACIAL','6to','MASCULINO','ACTIVO','',0,0,'','ALUMNO'</v>
      </c>
      <c r="L220" t="str">
        <f t="shared" si="12"/>
        <v>INSERT INTO participantes (id,nivel,correo,matricula,clave,nombre,carrera,grado,sexo,situacion,evaluados,num_evaluados,total_evaluaciones,ultimo_acceso,nivel_acceso) VALUES (1219,'LICENCIATURA','ernesto.rojasrodriguez','110550','TOMAR DEL SND','ROJAS RODRIGUEZ ERNESTO','INGENIERIA AEROESPACIAL','6to','MASCULINO','ACTIVO','',0,0,'','ALUMNO');</v>
      </c>
      <c r="M220" t="str">
        <f t="shared" si="14"/>
        <v>update participantes set correo='ernesto.rojasrodriguez' where id=1219;</v>
      </c>
    </row>
    <row r="221" spans="1:13" x14ac:dyDescent="0.25">
      <c r="A221">
        <f t="shared" si="15"/>
        <v>1220</v>
      </c>
      <c r="B221" s="3" t="s">
        <v>2103</v>
      </c>
      <c r="C221" t="str">
        <f>CONCATENATE("'",ALUMNOS!E223,"'")</f>
        <v>'esaualfredo.cardenasmedina'</v>
      </c>
      <c r="D221" t="str">
        <f>CONCATENATE(ALUMNOS!F223,"'")</f>
        <v>'006335'</v>
      </c>
      <c r="E221" t="s">
        <v>2723</v>
      </c>
      <c r="F221" t="str">
        <f>CONCATENATE("'",ALUMNOS!H223,"'")</f>
        <v>'CARDENAS MEDINA ESAU ALFREDO'</v>
      </c>
      <c r="G221" t="str">
        <f>CONCATENATE("'",ALUMNOS!I223,"'")</f>
        <v>'INGENIERIA CIBERNETICA Y EN SISTEMAS COMPUTACIONALES'</v>
      </c>
      <c r="H221" t="str">
        <f>CONCATENATE("'",ALUMNOS!J223,"'")</f>
        <v>'8vo'</v>
      </c>
      <c r="I221" t="str">
        <f>CONCATENATE("'",ALUMNOS!K223,"'")</f>
        <v>'Masculino'</v>
      </c>
      <c r="J221" t="str">
        <f>CONCATENATE("'",ALUMNOS!L223,"'")</f>
        <v>'Activo'</v>
      </c>
      <c r="K221" t="str">
        <f t="shared" si="13"/>
        <v>1220,'LICENCIATURA','esaualfredo.cardenasmedina','006335','TOMAR DEL SND','CARDENAS MEDINA ESAU ALFREDO','INGENIERIA CIBERNETICA Y EN SISTEMAS COMPUTACIONALES','8vo','MASCULINO','ACTIVO','',0,0,'','ALUMNO'</v>
      </c>
      <c r="L221" t="str">
        <f t="shared" si="12"/>
        <v>INSERT INTO participantes (id,nivel,correo,matricula,clave,nombre,carrera,grado,sexo,situacion,evaluados,num_evaluados,total_evaluaciones,ultimo_acceso,nivel_acceso) VALUES (1220,'LICENCIATURA','esaualfredo.cardenasmedina','006335','TOMAR DEL SND','CARDENAS MEDINA ESAU ALFREDO','INGENIERIA CIBERNETICA Y EN SISTEMAS COMPUTACIONALES','8vo','MASCULINO','ACTIVO','',0,0,'','ALUMNO');</v>
      </c>
      <c r="M221" t="str">
        <f t="shared" si="14"/>
        <v>update participantes set correo='esaualfredo.cardenasmedina' where id=1220;</v>
      </c>
    </row>
    <row r="222" spans="1:13" x14ac:dyDescent="0.25">
      <c r="A222">
        <f t="shared" si="15"/>
        <v>1221</v>
      </c>
      <c r="B222" s="3" t="s">
        <v>2103</v>
      </c>
      <c r="C222" t="str">
        <f>CONCATENATE("'",ALUMNOS!E224,"'")</f>
        <v>'esmeraldagabriela.gomezgaona'</v>
      </c>
      <c r="D222" t="str">
        <f>CONCATENATE(ALUMNOS!F224,"'")</f>
        <v>'111035'</v>
      </c>
      <c r="E222" t="s">
        <v>2723</v>
      </c>
      <c r="F222" t="str">
        <f>CONCATENATE("'",ALUMNOS!H224,"'")</f>
        <v>'GOMEZ GAONA ESMERALDA GABRIELA'</v>
      </c>
      <c r="G222" t="str">
        <f>CONCATENATE("'",ALUMNOS!I224,"'")</f>
        <v>'PSICOLOGIA'</v>
      </c>
      <c r="H222" t="str">
        <f>CONCATENATE("'",ALUMNOS!J224,"'")</f>
        <v>'4to'</v>
      </c>
      <c r="I222" t="str">
        <f>CONCATENATE("'",ALUMNOS!K224,"'")</f>
        <v>'Femenino'</v>
      </c>
      <c r="J222" t="str">
        <f>CONCATENATE("'",ALUMNOS!L224,"'")</f>
        <v>'Activo'</v>
      </c>
      <c r="K222" t="str">
        <f t="shared" si="13"/>
        <v>1221,'LICENCIATURA','esmeraldagabriela.gomezgaona','111035','TOMAR DEL SND','GOMEZ GAONA ESMERALDA GABRIELA','PSICOLOGIA','4to','FEMENINO','ACTIVO','',0,0,'','ALUMNO'</v>
      </c>
      <c r="L222" t="str">
        <f t="shared" si="12"/>
        <v>INSERT INTO participantes (id,nivel,correo,matricula,clave,nombre,carrera,grado,sexo,situacion,evaluados,num_evaluados,total_evaluaciones,ultimo_acceso,nivel_acceso) VALUES (1221,'LICENCIATURA','esmeraldagabriela.gomezgaona','111035','TOMAR DEL SND','GOMEZ GAONA ESMERALDA GABRIELA','PSICOLOGIA','4to','FEMENINO','ACTIVO','',0,0,'','ALUMNO');</v>
      </c>
      <c r="M222" t="str">
        <f t="shared" si="14"/>
        <v>update participantes set correo='esmeraldagabriela.gomezgaona' where id=1221;</v>
      </c>
    </row>
    <row r="223" spans="1:13" x14ac:dyDescent="0.25">
      <c r="A223">
        <f t="shared" si="15"/>
        <v>1222</v>
      </c>
      <c r="B223" s="3" t="s">
        <v>2103</v>
      </c>
      <c r="C223" t="str">
        <f>CONCATENATE("'",ALUMNOS!E225,"'")</f>
        <v>'estebanenrique.padillaperaza'</v>
      </c>
      <c r="D223" t="str">
        <f>CONCATENATE(ALUMNOS!F225,"'")</f>
        <v>'111724'</v>
      </c>
      <c r="E223" t="s">
        <v>2723</v>
      </c>
      <c r="F223" t="str">
        <f>CONCATENATE("'",ALUMNOS!H225,"'")</f>
        <v>'PADILLA PERAZA ESTEBAN ENRIQUE'</v>
      </c>
      <c r="G223" t="str">
        <f>CONCATENATE("'",ALUMNOS!I225,"'")</f>
        <v>'INGENIERÍA AUTOMOTRIZ'</v>
      </c>
      <c r="H223" t="str">
        <f>CONCATENATE("'",ALUMNOS!J225,"'")</f>
        <v>'2do'</v>
      </c>
      <c r="I223" t="str">
        <f>CONCATENATE("'",ALUMNOS!K225,"'")</f>
        <v>'Masculino'</v>
      </c>
      <c r="J223" t="str">
        <f>CONCATENATE("'",ALUMNOS!L225,"'")</f>
        <v>'Activo'</v>
      </c>
      <c r="K223" t="str">
        <f t="shared" si="13"/>
        <v>1222,'LICENCIATURA','estebanenrique.padillaperaza','111724','TOMAR DEL SND','PADILLA PERAZA ESTEBAN ENRIQUE','INGENIERÍA AUTOMOTRIZ','2do','MASCULINO','ACTIVO','',0,0,'','ALUMNO'</v>
      </c>
      <c r="L223" t="str">
        <f t="shared" si="12"/>
        <v>INSERT INTO participantes (id,nivel,correo,matricula,clave,nombre,carrera,grado,sexo,situacion,evaluados,num_evaluados,total_evaluaciones,ultimo_acceso,nivel_acceso) VALUES (1222,'LICENCIATURA','estebanenrique.padillaperaza','111724','TOMAR DEL SND','PADILLA PERAZA ESTEBAN ENRIQUE','INGENIERÍA AUTOMOTRIZ','2do','MASCULINO','ACTIVO','',0,0,'','ALUMNO');</v>
      </c>
      <c r="M223" t="str">
        <f t="shared" si="14"/>
        <v>update participantes set correo='estebanenrique.padillaperaza' where id=1222;</v>
      </c>
    </row>
    <row r="224" spans="1:13" x14ac:dyDescent="0.25">
      <c r="A224">
        <f t="shared" si="15"/>
        <v>1223</v>
      </c>
      <c r="B224" s="3" t="s">
        <v>2103</v>
      </c>
      <c r="C224" t="str">
        <f>CONCATENATE("'",ALUMNOS!E226,"'")</f>
        <v>'estefaninicole.orozcorivas'</v>
      </c>
      <c r="D224" t="str">
        <f>CONCATENATE(ALUMNOS!F226,"'")</f>
        <v>'110763'</v>
      </c>
      <c r="E224" t="s">
        <v>2723</v>
      </c>
      <c r="F224" t="str">
        <f>CONCATENATE("'",ALUMNOS!H226,"'")</f>
        <v>'OROZCO RIVAS ESTEFANI NICOLE'</v>
      </c>
      <c r="G224" t="str">
        <f>CONCATENATE("'",ALUMNOS!I226,"'")</f>
        <v>'DERECHO'</v>
      </c>
      <c r="H224" t="str">
        <f>CONCATENATE("'",ALUMNOS!J226,"'")</f>
        <v>'6to'</v>
      </c>
      <c r="I224" t="str">
        <f>CONCATENATE("'",ALUMNOS!K226,"'")</f>
        <v>'Femenino'</v>
      </c>
      <c r="J224" t="str">
        <f>CONCATENATE("'",ALUMNOS!L226,"'")</f>
        <v>'Activo'</v>
      </c>
      <c r="K224" t="str">
        <f t="shared" si="13"/>
        <v>1223,'LICENCIATURA','estefaninicole.orozcorivas','110763','TOMAR DEL SND','OROZCO RIVAS ESTEFANI NICOLE','DERECHO','6to','FEMENINO','ACTIVO','',0,0,'','ALUMNO'</v>
      </c>
      <c r="L224" t="str">
        <f t="shared" si="12"/>
        <v>INSERT INTO participantes (id,nivel,correo,matricula,clave,nombre,carrera,grado,sexo,situacion,evaluados,num_evaluados,total_evaluaciones,ultimo_acceso,nivel_acceso) VALUES (1223,'LICENCIATURA','estefaninicole.orozcorivas','110763','TOMAR DEL SND','OROZCO RIVAS ESTEFANI NICOLE','DERECHO','6to','FEMENINO','ACTIVO','',0,0,'','ALUMNO');</v>
      </c>
      <c r="M224" t="str">
        <f t="shared" si="14"/>
        <v>update participantes set correo='estefaninicole.orozcorivas' where id=1223;</v>
      </c>
    </row>
    <row r="225" spans="1:13" x14ac:dyDescent="0.25">
      <c r="A225">
        <f t="shared" si="15"/>
        <v>1224</v>
      </c>
      <c r="B225" s="3" t="s">
        <v>2103</v>
      </c>
      <c r="C225" t="str">
        <f>CONCATENATE("'",ALUMNOS!E227,"'")</f>
        <v>'estephany.coldivarflores'</v>
      </c>
      <c r="D225" t="str">
        <f>CONCATENATE(ALUMNOS!F227,"'")</f>
        <v>'111605'</v>
      </c>
      <c r="E225" t="s">
        <v>2723</v>
      </c>
      <c r="F225" t="str">
        <f>CONCATENATE("'",ALUMNOS!H227,"'")</f>
        <v>'COLDIVAR FLORES ESTEPHANY'</v>
      </c>
      <c r="G225" t="str">
        <f>CONCATENATE("'",ALUMNOS!I227,"'")</f>
        <v>'ANIMACION DIGITAL Y VIDEOJUEGOS'</v>
      </c>
      <c r="H225" t="str">
        <f>CONCATENATE("'",ALUMNOS!J227,"'")</f>
        <v>'2do'</v>
      </c>
      <c r="I225" t="str">
        <f>CONCATENATE("'",ALUMNOS!K227,"'")</f>
        <v>'Femenino'</v>
      </c>
      <c r="J225" t="str">
        <f>CONCATENATE("'",ALUMNOS!L227,"'")</f>
        <v>'Activo'</v>
      </c>
      <c r="K225" t="str">
        <f t="shared" si="13"/>
        <v>1224,'LICENCIATURA','estephany.coldivarflores','111605','TOMAR DEL SND','COLDIVAR FLORES ESTEPHANY','ANIMACION DIGITAL Y VIDEOJUEGOS','2do','FEMENINO','ACTIVO','',0,0,'','ALUMNO'</v>
      </c>
      <c r="L225" t="str">
        <f t="shared" si="12"/>
        <v>INSERT INTO participantes (id,nivel,correo,matricula,clave,nombre,carrera,grado,sexo,situacion,evaluados,num_evaluados,total_evaluaciones,ultimo_acceso,nivel_acceso) VALUES (1224,'LICENCIATURA','estephany.coldivarflores','111605','TOMAR DEL SND','COLDIVAR FLORES ESTEPHANY','ANIMACION DIGITAL Y VIDEOJUEGOS','2do','FEMENINO','ACTIVO','',0,0,'','ALUMNO');</v>
      </c>
      <c r="M225" t="str">
        <f t="shared" si="14"/>
        <v>update participantes set correo='estephany.coldivarflores' where id=1224;</v>
      </c>
    </row>
    <row r="226" spans="1:13" x14ac:dyDescent="0.25">
      <c r="A226">
        <f t="shared" si="15"/>
        <v>1225</v>
      </c>
      <c r="B226" s="3" t="s">
        <v>2103</v>
      </c>
      <c r="C226" t="str">
        <f>CONCATENATE("'",ALUMNOS!E228,"'")</f>
        <v>'etianeantonio.sandovalcabrera'</v>
      </c>
      <c r="D226" t="str">
        <f>CONCATENATE(ALUMNOS!F228,"'")</f>
        <v>'109820'</v>
      </c>
      <c r="E226" t="s">
        <v>2723</v>
      </c>
      <c r="F226" t="str">
        <f>CONCATENATE("'",ALUMNOS!H228,"'")</f>
        <v>'SANDOVAL CABRERA ETIANE ANTONIO'</v>
      </c>
      <c r="G226" t="str">
        <f>CONCATENATE("'",ALUMNOS!I228,"'")</f>
        <v>'COMERCIO INTERNACIONAL'</v>
      </c>
      <c r="H226" t="str">
        <f>CONCATENATE("'",ALUMNOS!J228,"'")</f>
        <v>'8vo'</v>
      </c>
      <c r="I226" t="str">
        <f>CONCATENATE("'",ALUMNOS!K228,"'")</f>
        <v>'Masculino'</v>
      </c>
      <c r="J226" t="str">
        <f>CONCATENATE("'",ALUMNOS!L228,"'")</f>
        <v>'Activo'</v>
      </c>
      <c r="K226" t="str">
        <f t="shared" si="13"/>
        <v>1225,'LICENCIATURA','etianeantonio.sandovalcabrera','109820','TOMAR DEL SND','SANDOVAL CABRERA ETIANE ANTONIO','COMERCIO INTERNACIONAL','8vo','MASCULINO','ACTIVO','',0,0,'','ALUMNO'</v>
      </c>
      <c r="L226" t="str">
        <f t="shared" si="12"/>
        <v>INSERT INTO participantes (id,nivel,correo,matricula,clave,nombre,carrera,grado,sexo,situacion,evaluados,num_evaluados,total_evaluaciones,ultimo_acceso,nivel_acceso) VALUES (1225,'LICENCIATURA','etianeantonio.sandovalcabrera','109820','TOMAR DEL SND','SANDOVAL CABRERA ETIANE ANTONIO','COMERCIO INTERNACIONAL','8vo','MASCULINO','ACTIVO','',0,0,'','ALUMNO');</v>
      </c>
      <c r="M226" t="str">
        <f t="shared" si="14"/>
        <v>update participantes set correo='etianeantonio.sandovalcabrera' where id=1225;</v>
      </c>
    </row>
    <row r="227" spans="1:13" x14ac:dyDescent="0.25">
      <c r="A227">
        <f t="shared" si="15"/>
        <v>1226</v>
      </c>
      <c r="B227" s="3" t="s">
        <v>2103</v>
      </c>
      <c r="C227" t="str">
        <f>CONCATENATE("'",ALUMNOS!E229,"'")</f>
        <v>'evaregina.guzmanvillaseñor'</v>
      </c>
      <c r="D227" t="str">
        <f>CONCATENATE(ALUMNOS!F229,"'")</f>
        <v>'110553'</v>
      </c>
      <c r="E227" t="s">
        <v>2723</v>
      </c>
      <c r="F227" t="str">
        <f>CONCATENATE("'",ALUMNOS!H229,"'")</f>
        <v>'GUZMAN VILLASEÑOR EVA REGINA'</v>
      </c>
      <c r="G227" t="str">
        <f>CONCATENATE("'",ALUMNOS!I229,"'")</f>
        <v>'NUTRICION Y GASTRONOMIA'</v>
      </c>
      <c r="H227" t="str">
        <f>CONCATENATE("'",ALUMNOS!J229,"'")</f>
        <v>'6to'</v>
      </c>
      <c r="I227" t="str">
        <f>CONCATENATE("'",ALUMNOS!K229,"'")</f>
        <v>'Femenino'</v>
      </c>
      <c r="J227" t="str">
        <f>CONCATENATE("'",ALUMNOS!L229,"'")</f>
        <v>'Activo'</v>
      </c>
      <c r="K227" t="str">
        <f t="shared" si="13"/>
        <v>1226,'LICENCIATURA','evaregina.guzmanvillaseñor','110553','TOMAR DEL SND','GUZMAN VILLASEÑOR EVA REGINA','NUTRICION Y GASTRONOMIA','6to','FEMENINO','ACTIVO','',0,0,'','ALUMNO'</v>
      </c>
      <c r="L227" t="str">
        <f t="shared" si="12"/>
        <v>INSERT INTO participantes (id,nivel,correo,matricula,clave,nombre,carrera,grado,sexo,situacion,evaluados,num_evaluados,total_evaluaciones,ultimo_acceso,nivel_acceso) VALUES (1226,'LICENCIATURA','evaregina.guzmanvillaseñor','110553','TOMAR DEL SND','GUZMAN VILLASEÑOR EVA REGINA','NUTRICION Y GASTRONOMIA','6to','FEMENINO','ACTIVO','',0,0,'','ALUMNO');</v>
      </c>
      <c r="M227" t="str">
        <f t="shared" si="14"/>
        <v>update participantes set correo='evaregina.guzmanvillaseñor' where id=1226;</v>
      </c>
    </row>
    <row r="228" spans="1:13" x14ac:dyDescent="0.25">
      <c r="A228">
        <f t="shared" si="15"/>
        <v>1227</v>
      </c>
      <c r="B228" s="3" t="s">
        <v>2103</v>
      </c>
      <c r="C228" t="str">
        <f>CONCATENATE("'",ALUMNOS!E230,"'")</f>
        <v>'fabian.amezcuacastellanos'</v>
      </c>
      <c r="D228" t="str">
        <f>CONCATENATE(ALUMNOS!F230,"'")</f>
        <v>'111626'</v>
      </c>
      <c r="E228" t="s">
        <v>2723</v>
      </c>
      <c r="F228" t="str">
        <f>CONCATENATE("'",ALUMNOS!H230,"'")</f>
        <v>'AMEZCUA CASTELLANOS FABIAN'</v>
      </c>
      <c r="G228" t="str">
        <f>CONCATENATE("'",ALUMNOS!I230,"'")</f>
        <v>'INGENIERÍA AUTOMOTRIZ'</v>
      </c>
      <c r="H228" t="str">
        <f>CONCATENATE("'",ALUMNOS!J230,"'")</f>
        <v>'2do'</v>
      </c>
      <c r="I228" t="str">
        <f>CONCATENATE("'",ALUMNOS!K230,"'")</f>
        <v>'Masculino'</v>
      </c>
      <c r="J228" t="str">
        <f>CONCATENATE("'",ALUMNOS!L230,"'")</f>
        <v>'Activo'</v>
      </c>
      <c r="K228" t="str">
        <f t="shared" si="13"/>
        <v>1227,'LICENCIATURA','fabian.amezcuacastellanos','111626','TOMAR DEL SND','AMEZCUA CASTELLANOS FABIAN','INGENIERÍA AUTOMOTRIZ','2do','MASCULINO','ACTIVO','',0,0,'','ALUMNO'</v>
      </c>
      <c r="L228" t="str">
        <f t="shared" si="12"/>
        <v>INSERT INTO participantes (id,nivel,correo,matricula,clave,nombre,carrera,grado,sexo,situacion,evaluados,num_evaluados,total_evaluaciones,ultimo_acceso,nivel_acceso) VALUES (1227,'LICENCIATURA','fabian.amezcuacastellanos','111626','TOMAR DEL SND','AMEZCUA CASTELLANOS FABIAN','INGENIERÍA AUTOMOTRIZ','2do','MASCULINO','ACTIVO','',0,0,'','ALUMNO');</v>
      </c>
      <c r="M228" t="str">
        <f t="shared" si="14"/>
        <v>update participantes set correo='fabian.amezcuacastellanos' where id=1227;</v>
      </c>
    </row>
    <row r="229" spans="1:13" x14ac:dyDescent="0.25">
      <c r="A229">
        <f t="shared" si="15"/>
        <v>1228</v>
      </c>
      <c r="B229" s="3" t="s">
        <v>2103</v>
      </c>
      <c r="C229" t="str">
        <f>CONCATENATE("'",ALUMNOS!E231,"'")</f>
        <v>'fabian.hernandezverdin'</v>
      </c>
      <c r="D229" t="str">
        <f>CONCATENATE(ALUMNOS!F231,"'")</f>
        <v>'111064'</v>
      </c>
      <c r="E229" t="s">
        <v>2723</v>
      </c>
      <c r="F229" t="str">
        <f>CONCATENATE("'",ALUMNOS!H231,"'")</f>
        <v>'HERNANDEZ VERDIN FABIAN'</v>
      </c>
      <c r="G229" t="str">
        <f>CONCATENATE("'",ALUMNOS!I231,"'")</f>
        <v>'INGENIERÍA AUTOMOTRIZ'</v>
      </c>
      <c r="H229" t="str">
        <f>CONCATENATE("'",ALUMNOS!J231,"'")</f>
        <v>'4to'</v>
      </c>
      <c r="I229" t="str">
        <f>CONCATENATE("'",ALUMNOS!K231,"'")</f>
        <v>'Masculino'</v>
      </c>
      <c r="J229" t="str">
        <f>CONCATENATE("'",ALUMNOS!L231,"'")</f>
        <v>'Activo'</v>
      </c>
      <c r="K229" t="str">
        <f t="shared" si="13"/>
        <v>1228,'LICENCIATURA','fabian.hernandezverdin','111064','TOMAR DEL SND','HERNANDEZ VERDIN FABIAN','INGENIERÍA AUTOMOTRIZ','4to','MASCULINO','ACTIVO','',0,0,'','ALUMNO'</v>
      </c>
      <c r="L229" t="str">
        <f t="shared" si="12"/>
        <v>INSERT INTO participantes (id,nivel,correo,matricula,clave,nombre,carrera,grado,sexo,situacion,evaluados,num_evaluados,total_evaluaciones,ultimo_acceso,nivel_acceso) VALUES (1228,'LICENCIATURA','fabian.hernandezverdin','111064','TOMAR DEL SND','HERNANDEZ VERDIN FABIAN','INGENIERÍA AUTOMOTRIZ','4to','MASCULINO','ACTIVO','',0,0,'','ALUMNO');</v>
      </c>
      <c r="M229" t="str">
        <f t="shared" si="14"/>
        <v>update participantes set correo='fabian.hernandezverdin' where id=1228;</v>
      </c>
    </row>
    <row r="230" spans="1:13" x14ac:dyDescent="0.25">
      <c r="A230">
        <f t="shared" si="15"/>
        <v>1229</v>
      </c>
      <c r="B230" s="3" t="s">
        <v>2103</v>
      </c>
      <c r="C230" t="str">
        <f>CONCATENATE("'",ALUMNOS!E232,"'")</f>
        <v>'farahisabella.florestapia'</v>
      </c>
      <c r="D230" t="str">
        <f>CONCATENATE(ALUMNOS!F232,"'")</f>
        <v>'111761'</v>
      </c>
      <c r="E230" t="s">
        <v>2723</v>
      </c>
      <c r="F230" t="str">
        <f>CONCATENATE("'",ALUMNOS!H232,"'")</f>
        <v>'FLORES TAPIA FARAH ISABELLA'</v>
      </c>
      <c r="G230" t="str">
        <f>CONCATENATE("'",ALUMNOS!I232,"'")</f>
        <v>'PSICOLOGIA'</v>
      </c>
      <c r="H230" t="str">
        <f>CONCATENATE("'",ALUMNOS!J232,"'")</f>
        <v>'2do'</v>
      </c>
      <c r="I230" t="str">
        <f>CONCATENATE("'",ALUMNOS!K232,"'")</f>
        <v>'Femenino'</v>
      </c>
      <c r="J230" t="str">
        <f>CONCATENATE("'",ALUMNOS!L232,"'")</f>
        <v>'Activo'</v>
      </c>
      <c r="K230" t="str">
        <f t="shared" si="13"/>
        <v>1229,'LICENCIATURA','farahisabella.florestapia','111761','TOMAR DEL SND','FLORES TAPIA FARAH ISABELLA','PSICOLOGIA','2do','FEMENINO','ACTIVO','',0,0,'','ALUMNO'</v>
      </c>
      <c r="L230" t="str">
        <f t="shared" si="12"/>
        <v>INSERT INTO participantes (id,nivel,correo,matricula,clave,nombre,carrera,grado,sexo,situacion,evaluados,num_evaluados,total_evaluaciones,ultimo_acceso,nivel_acceso) VALUES (1229,'LICENCIATURA','farahisabella.florestapia','111761','TOMAR DEL SND','FLORES TAPIA FARAH ISABELLA','PSICOLOGIA','2do','FEMENINO','ACTIVO','',0,0,'','ALUMNO');</v>
      </c>
      <c r="M230" t="str">
        <f t="shared" si="14"/>
        <v>update participantes set correo='farahisabella.florestapia' where id=1229;</v>
      </c>
    </row>
    <row r="231" spans="1:13" x14ac:dyDescent="0.25">
      <c r="A231">
        <f t="shared" si="15"/>
        <v>1230</v>
      </c>
      <c r="B231" s="3" t="s">
        <v>2103</v>
      </c>
      <c r="C231" t="str">
        <f>CONCATENATE("'",ALUMNOS!E233,"'")</f>
        <v>'fatimadennise.arceespino'</v>
      </c>
      <c r="D231" t="str">
        <f>CONCATENATE(ALUMNOS!F233,"'")</f>
        <v>'111163'</v>
      </c>
      <c r="E231" t="s">
        <v>2723</v>
      </c>
      <c r="F231" t="str">
        <f>CONCATENATE("'",ALUMNOS!H233,"'")</f>
        <v>'ARCE ESPINO FATIMA DENNISE'</v>
      </c>
      <c r="G231" t="str">
        <f>CONCATENATE("'",ALUMNOS!I233,"'")</f>
        <v>'PSICOLOGIA'</v>
      </c>
      <c r="H231" t="str">
        <f>CONCATENATE("'",ALUMNOS!J233,"'")</f>
        <v>'4to'</v>
      </c>
      <c r="I231" t="str">
        <f>CONCATENATE("'",ALUMNOS!K233,"'")</f>
        <v>'Femenino'</v>
      </c>
      <c r="J231" t="str">
        <f>CONCATENATE("'",ALUMNOS!L233,"'")</f>
        <v>'Activo'</v>
      </c>
      <c r="K231" t="str">
        <f t="shared" si="13"/>
        <v>1230,'LICENCIATURA','fatimadennise.arceespino','111163','TOMAR DEL SND','ARCE ESPINO FATIMA DENNISE','PSICOLOGIA','4to','FEMENINO','ACTIVO','',0,0,'','ALUMNO'</v>
      </c>
      <c r="L231" t="str">
        <f t="shared" si="12"/>
        <v>INSERT INTO participantes (id,nivel,correo,matricula,clave,nombre,carrera,grado,sexo,situacion,evaluados,num_evaluados,total_evaluaciones,ultimo_acceso,nivel_acceso) VALUES (1230,'LICENCIATURA','fatimadennise.arceespino','111163','TOMAR DEL SND','ARCE ESPINO FATIMA DENNISE','PSICOLOGIA','4to','FEMENINO','ACTIVO','',0,0,'','ALUMNO');</v>
      </c>
      <c r="M231" t="str">
        <f t="shared" si="14"/>
        <v>update participantes set correo='fatimadennise.arceespino' where id=1230;</v>
      </c>
    </row>
    <row r="232" spans="1:13" x14ac:dyDescent="0.25">
      <c r="A232">
        <f t="shared" si="15"/>
        <v>1231</v>
      </c>
      <c r="B232" s="3" t="s">
        <v>2103</v>
      </c>
      <c r="C232" t="str">
        <f>CONCATENATE("'",ALUMNOS!E234,"'")</f>
        <v>'fatimajuliana.zamoramichel'</v>
      </c>
      <c r="D232" t="str">
        <f>CONCATENATE(ALUMNOS!F234,"'")</f>
        <v>'110472'</v>
      </c>
      <c r="E232" t="s">
        <v>2723</v>
      </c>
      <c r="F232" t="str">
        <f>CONCATENATE("'",ALUMNOS!H234,"'")</f>
        <v>'ZAMORA MICHEL FATIMA JULIANA'</v>
      </c>
      <c r="G232" t="str">
        <f>CONCATENATE("'",ALUMNOS!I234,"'")</f>
        <v>'INGENIERIA CIBERNETICA Y EN SISTEMAS COMPUTACIONALES'</v>
      </c>
      <c r="H232" t="str">
        <f>CONCATENATE("'",ALUMNOS!J234,"'")</f>
        <v>'6to'</v>
      </c>
      <c r="I232" t="str">
        <f>CONCATENATE("'",ALUMNOS!K234,"'")</f>
        <v>'Femenino'</v>
      </c>
      <c r="J232" t="str">
        <f>CONCATENATE("'",ALUMNOS!L234,"'")</f>
        <v>'Activo'</v>
      </c>
      <c r="K232" t="str">
        <f t="shared" si="13"/>
        <v>1231,'LICENCIATURA','fatimajuliana.zamoramichel','110472','TOMAR DEL SND','ZAMORA MICHEL FATIMA JULIANA','INGENIERIA CIBERNETICA Y EN SISTEMAS COMPUTACIONALES','6to','FEMENINO','ACTIVO','',0,0,'','ALUMNO'</v>
      </c>
      <c r="L232" t="str">
        <f t="shared" si="12"/>
        <v>INSERT INTO participantes (id,nivel,correo,matricula,clave,nombre,carrera,grado,sexo,situacion,evaluados,num_evaluados,total_evaluaciones,ultimo_acceso,nivel_acceso) VALUES (1231,'LICENCIATURA','fatimajuliana.zamoramichel','110472','TOMAR DEL SND','ZAMORA MICHEL FATIMA JULIANA','INGENIERIA CIBERNETICA Y EN SISTEMAS COMPUTACIONALES','6to','FEMENINO','ACTIVO','',0,0,'','ALUMNO');</v>
      </c>
      <c r="M232" t="str">
        <f t="shared" si="14"/>
        <v>update participantes set correo='fatimajuliana.zamoramichel' where id=1231;</v>
      </c>
    </row>
    <row r="233" spans="1:13" x14ac:dyDescent="0.25">
      <c r="A233">
        <f t="shared" si="15"/>
        <v>1232</v>
      </c>
      <c r="B233" s="3" t="s">
        <v>2103</v>
      </c>
      <c r="C233" t="str">
        <f>CONCATENATE("'",ALUMNOS!E235,"'")</f>
        <v>'fernan.zepedalopez'</v>
      </c>
      <c r="D233" t="str">
        <f>CONCATENATE(ALUMNOS!F235,"'")</f>
        <v>'110536'</v>
      </c>
      <c r="E233" t="s">
        <v>2723</v>
      </c>
      <c r="F233" t="str">
        <f>CONCATENATE("'",ALUMNOS!H235,"'")</f>
        <v>'ZEPEDA LOPEZ FERNAN'</v>
      </c>
      <c r="G233" t="str">
        <f>CONCATENATE("'",ALUMNOS!I235,"'")</f>
        <v>'ANIMACION DIGITAL Y VIDEOJUEGOS'</v>
      </c>
      <c r="H233" t="str">
        <f>CONCATENATE("'",ALUMNOS!J235,"'")</f>
        <v>'6to'</v>
      </c>
      <c r="I233" t="str">
        <f>CONCATENATE("'",ALUMNOS!K235,"'")</f>
        <v>'Masculino'</v>
      </c>
      <c r="J233" t="str">
        <f>CONCATENATE("'",ALUMNOS!L235,"'")</f>
        <v>'Activo'</v>
      </c>
      <c r="K233" t="str">
        <f t="shared" si="13"/>
        <v>1232,'LICENCIATURA','fernan.zepedalopez','110536','TOMAR DEL SND','ZEPEDA LOPEZ FERNAN','ANIMACION DIGITAL Y VIDEOJUEGOS','6to','MASCULINO','ACTIVO','',0,0,'','ALUMNO'</v>
      </c>
      <c r="L233" t="str">
        <f t="shared" si="12"/>
        <v>INSERT INTO participantes (id,nivel,correo,matricula,clave,nombre,carrera,grado,sexo,situacion,evaluados,num_evaluados,total_evaluaciones,ultimo_acceso,nivel_acceso) VALUES (1232,'LICENCIATURA','fernan.zepedalopez','110536','TOMAR DEL SND','ZEPEDA LOPEZ FERNAN','ANIMACION DIGITAL Y VIDEOJUEGOS','6to','MASCULINO','ACTIVO','',0,0,'','ALUMNO');</v>
      </c>
      <c r="M233" t="str">
        <f t="shared" si="14"/>
        <v>update participantes set correo='fernan.zepedalopez' where id=1232;</v>
      </c>
    </row>
    <row r="234" spans="1:13" x14ac:dyDescent="0.25">
      <c r="A234">
        <f t="shared" si="15"/>
        <v>1233</v>
      </c>
      <c r="B234" s="3" t="s">
        <v>2103</v>
      </c>
      <c r="C234" t="str">
        <f>CONCATENATE("'",ALUMNOS!E236,"'")</f>
        <v>'fernandaaraceli.romerogarcia'</v>
      </c>
      <c r="D234" t="str">
        <f>CONCATENATE(ALUMNOS!F236,"'")</f>
        <v>'111806'</v>
      </c>
      <c r="E234" t="s">
        <v>2723</v>
      </c>
      <c r="F234" t="str">
        <f>CONCATENATE("'",ALUMNOS!H236,"'")</f>
        <v>'ROMERO GARCIA FERNANDA ARACELI'</v>
      </c>
      <c r="G234" t="str">
        <f>CONCATENATE("'",ALUMNOS!I236,"'")</f>
        <v>'ARQUITECTURA'</v>
      </c>
      <c r="H234" t="str">
        <f>CONCATENATE("'",ALUMNOS!J236,"'")</f>
        <v>'2do'</v>
      </c>
      <c r="I234" t="str">
        <f>CONCATENATE("'",ALUMNOS!K236,"'")</f>
        <v>'Femenino'</v>
      </c>
      <c r="J234" t="str">
        <f>CONCATENATE("'",ALUMNOS!L236,"'")</f>
        <v>'Activo'</v>
      </c>
      <c r="K234" t="str">
        <f t="shared" si="13"/>
        <v>1233,'LICENCIATURA','fernandaaraceli.romerogarcia','111806','TOMAR DEL SND','ROMERO GARCIA FERNANDA ARACELI','ARQUITECTURA','2do','FEMENINO','ACTIVO','',0,0,'','ALUMNO'</v>
      </c>
      <c r="L234" t="str">
        <f t="shared" si="12"/>
        <v>INSERT INTO participantes (id,nivel,correo,matricula,clave,nombre,carrera,grado,sexo,situacion,evaluados,num_evaluados,total_evaluaciones,ultimo_acceso,nivel_acceso) VALUES (1233,'LICENCIATURA','fernandaaraceli.romerogarcia','111806','TOMAR DEL SND','ROMERO GARCIA FERNANDA ARACELI','ARQUITECTURA','2do','FEMENINO','ACTIVO','',0,0,'','ALUMNO');</v>
      </c>
      <c r="M234" t="str">
        <f t="shared" si="14"/>
        <v>update participantes set correo='fernandaaraceli.romerogarcia' where id=1233;</v>
      </c>
    </row>
    <row r="235" spans="1:13" x14ac:dyDescent="0.25">
      <c r="A235">
        <f t="shared" si="15"/>
        <v>1234</v>
      </c>
      <c r="B235" s="3" t="s">
        <v>2103</v>
      </c>
      <c r="C235" t="str">
        <f>CONCATENATE("'",ALUMNOS!E237,"'")</f>
        <v>'fernandadanae.barajasmichel'</v>
      </c>
      <c r="D235" t="str">
        <f>CONCATENATE(ALUMNOS!F237,"'")</f>
        <v>'111655'</v>
      </c>
      <c r="E235" t="s">
        <v>2723</v>
      </c>
      <c r="F235" t="str">
        <f>CONCATENATE("'",ALUMNOS!H237,"'")</f>
        <v>'BARAJAS MICHEL FERNANDA DANAE'</v>
      </c>
      <c r="G235" t="str">
        <f>CONCATENATE("'",ALUMNOS!I237,"'")</f>
        <v>'NUTRICION Y GASTRONOMIA'</v>
      </c>
      <c r="H235" t="str">
        <f>CONCATENATE("'",ALUMNOS!J237,"'")</f>
        <v>'2do'</v>
      </c>
      <c r="I235" t="str">
        <f>CONCATENATE("'",ALUMNOS!K237,"'")</f>
        <v>'Masculino'</v>
      </c>
      <c r="J235" t="str">
        <f>CONCATENATE("'",ALUMNOS!L237,"'")</f>
        <v>'Activo'</v>
      </c>
      <c r="K235" t="str">
        <f t="shared" si="13"/>
        <v>1234,'LICENCIATURA','fernandadanae.barajasmichel','111655','TOMAR DEL SND','BARAJAS MICHEL FERNANDA DANAE','NUTRICION Y GASTRONOMIA','2do','MASCULINO','ACTIVO','',0,0,'','ALUMNO'</v>
      </c>
      <c r="L235" t="str">
        <f t="shared" si="12"/>
        <v>INSERT INTO participantes (id,nivel,correo,matricula,clave,nombre,carrera,grado,sexo,situacion,evaluados,num_evaluados,total_evaluaciones,ultimo_acceso,nivel_acceso) VALUES (1234,'LICENCIATURA','fernandadanae.barajasmichel','111655','TOMAR DEL SND','BARAJAS MICHEL FERNANDA DANAE','NUTRICION Y GASTRONOMIA','2do','MASCULINO','ACTIVO','',0,0,'','ALUMNO');</v>
      </c>
      <c r="M235" t="str">
        <f t="shared" si="14"/>
        <v>update participantes set correo='fernandadanae.barajasmichel' where id=1234;</v>
      </c>
    </row>
    <row r="236" spans="1:13" x14ac:dyDescent="0.25">
      <c r="A236">
        <f t="shared" si="15"/>
        <v>1235</v>
      </c>
      <c r="B236" s="3" t="s">
        <v>2103</v>
      </c>
      <c r="C236" t="str">
        <f>CONCATENATE("'",ALUMNOS!E238,"'")</f>
        <v>'fernando.guitroncervantes'</v>
      </c>
      <c r="D236" t="str">
        <f>CONCATENATE(ALUMNOS!F238,"'")</f>
        <v>'111818'</v>
      </c>
      <c r="E236" t="s">
        <v>2723</v>
      </c>
      <c r="F236" t="str">
        <f>CONCATENATE("'",ALUMNOS!H238,"'")</f>
        <v>'GUITRON CERVANTES FERNANDO'</v>
      </c>
      <c r="G236" t="str">
        <f>CONCATENATE("'",ALUMNOS!I238,"'")</f>
        <v>'PSICOLOGIA'</v>
      </c>
      <c r="H236" t="str">
        <f>CONCATENATE("'",ALUMNOS!J238,"'")</f>
        <v>'2do'</v>
      </c>
      <c r="I236" t="str">
        <f>CONCATENATE("'",ALUMNOS!K238,"'")</f>
        <v>'Masculino'</v>
      </c>
      <c r="J236" t="str">
        <f>CONCATENATE("'",ALUMNOS!L238,"'")</f>
        <v>'Activo'</v>
      </c>
      <c r="K236" t="str">
        <f t="shared" si="13"/>
        <v>1235,'LICENCIATURA','fernando.guitroncervantes','111818','TOMAR DEL SND','GUITRON CERVANTES FERNANDO','PSICOLOGIA','2do','MASCULINO','ACTIVO','',0,0,'','ALUMNO'</v>
      </c>
      <c r="L236" t="str">
        <f t="shared" si="12"/>
        <v>INSERT INTO participantes (id,nivel,correo,matricula,clave,nombre,carrera,grado,sexo,situacion,evaluados,num_evaluados,total_evaluaciones,ultimo_acceso,nivel_acceso) VALUES (1235,'LICENCIATURA','fernando.guitroncervantes','111818','TOMAR DEL SND','GUITRON CERVANTES FERNANDO','PSICOLOGIA','2do','MASCULINO','ACTIVO','',0,0,'','ALUMNO');</v>
      </c>
      <c r="M236" t="str">
        <f t="shared" si="14"/>
        <v>update participantes set correo='fernando.guitroncervantes' where id=1235;</v>
      </c>
    </row>
    <row r="237" spans="1:13" x14ac:dyDescent="0.25">
      <c r="A237">
        <f t="shared" si="15"/>
        <v>1236</v>
      </c>
      <c r="B237" s="3" t="s">
        <v>2103</v>
      </c>
      <c r="C237" t="str">
        <f>CONCATENATE("'",ALUMNOS!E239,"'")</f>
        <v>'flormonserrat.alvaradoañorve'</v>
      </c>
      <c r="D237" t="str">
        <f>CONCATENATE(ALUMNOS!F239,"'")</f>
        <v>'110485'</v>
      </c>
      <c r="E237" t="s">
        <v>2723</v>
      </c>
      <c r="F237" t="str">
        <f>CONCATENATE("'",ALUMNOS!H239,"'")</f>
        <v>'ALVARADO AÑORVE FLOR MONSERRAT'</v>
      </c>
      <c r="G237" t="str">
        <f>CONCATENATE("'",ALUMNOS!I239,"'")</f>
        <v>'INGENIERIA AEROESPACIAL'</v>
      </c>
      <c r="H237" t="str">
        <f>CONCATENATE("'",ALUMNOS!J239,"'")</f>
        <v>'6to'</v>
      </c>
      <c r="I237" t="str">
        <f>CONCATENATE("'",ALUMNOS!K239,"'")</f>
        <v>'Femenino'</v>
      </c>
      <c r="J237" t="str">
        <f>CONCATENATE("'",ALUMNOS!L239,"'")</f>
        <v>'Activo'</v>
      </c>
      <c r="K237" t="str">
        <f t="shared" si="13"/>
        <v>1236,'LICENCIATURA','flormonserrat.alvaradoañorve','110485','TOMAR DEL SND','ALVARADO AÑORVE FLOR MONSERRAT','INGENIERIA AEROESPACIAL','6to','FEMENINO','ACTIVO','',0,0,'','ALUMNO'</v>
      </c>
      <c r="L237" t="str">
        <f t="shared" si="12"/>
        <v>INSERT INTO participantes (id,nivel,correo,matricula,clave,nombre,carrera,grado,sexo,situacion,evaluados,num_evaluados,total_evaluaciones,ultimo_acceso,nivel_acceso) VALUES (1236,'LICENCIATURA','flormonserrat.alvaradoañorve','110485','TOMAR DEL SND','ALVARADO AÑORVE FLOR MONSERRAT','INGENIERIA AEROESPACIAL','6to','FEMENINO','ACTIVO','',0,0,'','ALUMNO');</v>
      </c>
      <c r="M237" t="str">
        <f t="shared" si="14"/>
        <v>update participantes set correo='flormonserrat.alvaradoañorve' where id=1236;</v>
      </c>
    </row>
    <row r="238" spans="1:13" x14ac:dyDescent="0.25">
      <c r="A238">
        <f t="shared" si="15"/>
        <v>1237</v>
      </c>
      <c r="B238" s="3" t="s">
        <v>2103</v>
      </c>
      <c r="C238" t="str">
        <f>CONCATENATE("'",ALUMNOS!E240,"'")</f>
        <v>'franciscajaqueline.perezascencio'</v>
      </c>
      <c r="D238" t="str">
        <f>CONCATENATE(ALUMNOS!F240,"'")</f>
        <v>'109341'</v>
      </c>
      <c r="E238" t="s">
        <v>2723</v>
      </c>
      <c r="F238" t="str">
        <f>CONCATENATE("'",ALUMNOS!H240,"'")</f>
        <v>'PEREZ ASCENCIO FRANCISCA JAQUELINE'</v>
      </c>
      <c r="G238" t="str">
        <f>CONCATENATE("'",ALUMNOS!I240,"'")</f>
        <v>'INGENIERIA AEROESPACIAL'</v>
      </c>
      <c r="H238" t="str">
        <f>CONCATENATE("'",ALUMNOS!J240,"'")</f>
        <v>'10mo'</v>
      </c>
      <c r="I238" t="str">
        <f>CONCATENATE("'",ALUMNOS!K240,"'")</f>
        <v>'Femenino'</v>
      </c>
      <c r="J238" t="str">
        <f>CONCATENATE("'",ALUMNOS!L240,"'")</f>
        <v>'Activo'</v>
      </c>
      <c r="K238" t="str">
        <f t="shared" si="13"/>
        <v>1237,'LICENCIATURA','franciscajaqueline.perezascencio','109341','TOMAR DEL SND','PEREZ ASCENCIO FRANCISCA JAQUELINE','INGENIERIA AEROESPACIAL','10mo','FEMENINO','ACTIVO','',0,0,'','ALUMNO'</v>
      </c>
      <c r="L238" t="str">
        <f t="shared" si="12"/>
        <v>INSERT INTO participantes (id,nivel,correo,matricula,clave,nombre,carrera,grado,sexo,situacion,evaluados,num_evaluados,total_evaluaciones,ultimo_acceso,nivel_acceso) VALUES (1237,'LICENCIATURA','franciscajaqueline.perezascencio','109341','TOMAR DEL SND','PEREZ ASCENCIO FRANCISCA JAQUELINE','INGENIERIA AEROESPACIAL','10mo','FEMENINO','ACTIVO','',0,0,'','ALUMNO');</v>
      </c>
      <c r="M238" t="str">
        <f t="shared" si="14"/>
        <v>update participantes set correo='franciscajaqueline.perezascencio' where id=1237;</v>
      </c>
    </row>
    <row r="239" spans="1:13" x14ac:dyDescent="0.25">
      <c r="A239">
        <f t="shared" si="15"/>
        <v>1238</v>
      </c>
      <c r="B239" s="3" t="s">
        <v>2103</v>
      </c>
      <c r="C239" t="str">
        <f>CONCATENATE("'",ALUMNOS!E241,"'")</f>
        <v>'franiaalejandra.ricoygonzalez'</v>
      </c>
      <c r="D239" t="str">
        <f>CONCATENATE(ALUMNOS!F241,"'")</f>
        <v>'111640'</v>
      </c>
      <c r="E239" t="s">
        <v>2723</v>
      </c>
      <c r="F239" t="str">
        <f>CONCATENATE("'",ALUMNOS!H241,"'")</f>
        <v>'RICOY GONZALEZ FRANIA ALEJANDRA'</v>
      </c>
      <c r="G239" t="str">
        <f>CONCATENATE("'",ALUMNOS!I241,"'")</f>
        <v>'ADMINISTRACION Y DIRECCION DE NEGOCIOS'</v>
      </c>
      <c r="H239" t="str">
        <f>CONCATENATE("'",ALUMNOS!J241,"'")</f>
        <v>'2do'</v>
      </c>
      <c r="I239" t="str">
        <f>CONCATENATE("'",ALUMNOS!K241,"'")</f>
        <v>'Femenino'</v>
      </c>
      <c r="J239" t="str">
        <f>CONCATENATE("'",ALUMNOS!L241,"'")</f>
        <v>'Activo'</v>
      </c>
      <c r="K239" t="str">
        <f t="shared" si="13"/>
        <v>1238,'LICENCIATURA','franiaalejandra.ricoygonzalez','111640','TOMAR DEL SND','RICOY GONZALEZ FRANIA ALEJANDRA','ADMINISTRACION Y DIRECCION DE NEGOCIOS','2do','FEMENINO','ACTIVO','',0,0,'','ALUMNO'</v>
      </c>
      <c r="L239" t="str">
        <f t="shared" si="12"/>
        <v>INSERT INTO participantes (id,nivel,correo,matricula,clave,nombre,carrera,grado,sexo,situacion,evaluados,num_evaluados,total_evaluaciones,ultimo_acceso,nivel_acceso) VALUES (1238,'LICENCIATURA','franiaalejandra.ricoygonzalez','111640','TOMAR DEL SND','RICOY GONZALEZ FRANIA ALEJANDRA','ADMINISTRACION Y DIRECCION DE NEGOCIOS','2do','FEMENINO','ACTIVO','',0,0,'','ALUMNO');</v>
      </c>
      <c r="M239" t="str">
        <f t="shared" si="14"/>
        <v>update participantes set correo='franiaalejandra.ricoygonzalez' where id=1238;</v>
      </c>
    </row>
    <row r="240" spans="1:13" x14ac:dyDescent="0.25">
      <c r="A240">
        <f t="shared" si="15"/>
        <v>1239</v>
      </c>
      <c r="B240" s="3" t="s">
        <v>2103</v>
      </c>
      <c r="C240" t="str">
        <f>CONCATENATE("'",ALUMNOS!E242,"'")</f>
        <v>'franklinramon.peñuelasvalle'</v>
      </c>
      <c r="D240" t="str">
        <f>CONCATENATE(ALUMNOS!F242,"'")</f>
        <v>'107143'</v>
      </c>
      <c r="E240" t="s">
        <v>2723</v>
      </c>
      <c r="F240" t="str">
        <f>CONCATENATE("'",ALUMNOS!H242,"'")</f>
        <v>'PEÑUELAS VALLE FRANKLIN RAMON'</v>
      </c>
      <c r="G240" t="str">
        <f>CONCATENATE("'",ALUMNOS!I242,"'")</f>
        <v>'INGENIERIA CIBERNETICA Y EN SISTEMAS COMPUTACIONALES'</v>
      </c>
      <c r="H240" t="str">
        <f>CONCATENATE("'",ALUMNOS!J242,"'")</f>
        <v>'8vo'</v>
      </c>
      <c r="I240" t="str">
        <f>CONCATENATE("'",ALUMNOS!K242,"'")</f>
        <v>'Masculino'</v>
      </c>
      <c r="J240" t="str">
        <f>CONCATENATE("'",ALUMNOS!L242,"'")</f>
        <v>'Activo'</v>
      </c>
      <c r="K240" t="str">
        <f t="shared" si="13"/>
        <v>1239,'LICENCIATURA','franklinramon.peñuelasvalle','107143','TOMAR DEL SND','PEÑUELAS VALLE FRANKLIN RAMON','INGENIERIA CIBERNETICA Y EN SISTEMAS COMPUTACIONALES','8vo','MASCULINO','ACTIVO','',0,0,'','ALUMNO'</v>
      </c>
      <c r="L240" t="str">
        <f t="shared" si="12"/>
        <v>INSERT INTO participantes (id,nivel,correo,matricula,clave,nombre,carrera,grado,sexo,situacion,evaluados,num_evaluados,total_evaluaciones,ultimo_acceso,nivel_acceso) VALUES (1239,'LICENCIATURA','franklinramon.peñuelasvalle','107143','TOMAR DEL SND','PEÑUELAS VALLE FRANKLIN RAMON','INGENIERIA CIBERNETICA Y EN SISTEMAS COMPUTACIONALES','8vo','MASCULINO','ACTIVO','',0,0,'','ALUMNO');</v>
      </c>
      <c r="M240" t="str">
        <f t="shared" si="14"/>
        <v>update participantes set correo='franklinramon.peñuelasvalle' where id=1239;</v>
      </c>
    </row>
    <row r="241" spans="1:13" x14ac:dyDescent="0.25">
      <c r="A241">
        <f t="shared" si="15"/>
        <v>1240</v>
      </c>
      <c r="B241" s="3" t="s">
        <v>2103</v>
      </c>
      <c r="C241" t="str">
        <f>CONCATENATE("'",ALUMNOS!E243,"'")</f>
        <v>'fridasophia.alencastrorojo'</v>
      </c>
      <c r="D241" t="str">
        <f>CONCATENATE(ALUMNOS!F243,"'")</f>
        <v>'111845'</v>
      </c>
      <c r="E241" t="s">
        <v>2723</v>
      </c>
      <c r="F241" t="str">
        <f>CONCATENATE("'",ALUMNOS!H243,"'")</f>
        <v>'ALENCASTRO ROJO FRIDA SOPHIA'</v>
      </c>
      <c r="G241" t="str">
        <f>CONCATENATE("'",ALUMNOS!I243,"'")</f>
        <v>'ADMINISTRACION Y DIRECCION DE NEGOCIOS'</v>
      </c>
      <c r="H241" t="str">
        <f>CONCATENATE("'",ALUMNOS!J243,"'")</f>
        <v>'2do'</v>
      </c>
      <c r="I241" t="str">
        <f>CONCATENATE("'",ALUMNOS!K243,"'")</f>
        <v>'Femenino'</v>
      </c>
      <c r="J241" t="str">
        <f>CONCATENATE("'",ALUMNOS!L243,"'")</f>
        <v>'Activo'</v>
      </c>
      <c r="K241" t="str">
        <f t="shared" si="13"/>
        <v>1240,'LICENCIATURA','fridasophia.alencastrorojo','111845','TOMAR DEL SND','ALENCASTRO ROJO FRIDA SOPHIA','ADMINISTRACION Y DIRECCION DE NEGOCIOS','2do','FEMENINO','ACTIVO','',0,0,'','ALUMNO'</v>
      </c>
      <c r="L241" t="str">
        <f t="shared" si="12"/>
        <v>INSERT INTO participantes (id,nivel,correo,matricula,clave,nombre,carrera,grado,sexo,situacion,evaluados,num_evaluados,total_evaluaciones,ultimo_acceso,nivel_acceso) VALUES (1240,'LICENCIATURA','fridasophia.alencastrorojo','111845','TOMAR DEL SND','ALENCASTRO ROJO FRIDA SOPHIA','ADMINISTRACION Y DIRECCION DE NEGOCIOS','2do','FEMENINO','ACTIVO','',0,0,'','ALUMNO');</v>
      </c>
      <c r="M241" t="str">
        <f t="shared" si="14"/>
        <v>update participantes set correo='fridasophia.alencastrorojo' where id=1240;</v>
      </c>
    </row>
    <row r="242" spans="1:13" x14ac:dyDescent="0.25">
      <c r="A242">
        <f t="shared" si="15"/>
        <v>1241</v>
      </c>
      <c r="B242" s="3" t="s">
        <v>2103</v>
      </c>
      <c r="C242" t="str">
        <f>CONCATENATE("'",ALUMNOS!E244,"'")</f>
        <v>'gabrieleduardo.colomecampos'</v>
      </c>
      <c r="D242" t="str">
        <f>CONCATENATE(ALUMNOS!F244,"'")</f>
        <v>'110456'</v>
      </c>
      <c r="E242" t="s">
        <v>2723</v>
      </c>
      <c r="F242" t="str">
        <f>CONCATENATE("'",ALUMNOS!H244,"'")</f>
        <v>'COLOME CAMPOS GABRIEL EDUARDO'</v>
      </c>
      <c r="G242" t="str">
        <f>CONCATENATE("'",ALUMNOS!I244,"'")</f>
        <v>'INGENIERIA AEROESPACIAL'</v>
      </c>
      <c r="H242" t="str">
        <f>CONCATENATE("'",ALUMNOS!J244,"'")</f>
        <v>'6to'</v>
      </c>
      <c r="I242" t="str">
        <f>CONCATENATE("'",ALUMNOS!K244,"'")</f>
        <v>'Masculino'</v>
      </c>
      <c r="J242" t="str">
        <f>CONCATENATE("'",ALUMNOS!L244,"'")</f>
        <v>'Activo'</v>
      </c>
      <c r="K242" t="str">
        <f t="shared" si="13"/>
        <v>1241,'LICENCIATURA','gabrieleduardo.colomecampos','110456','TOMAR DEL SND','COLOME CAMPOS GABRIEL EDUARDO','INGENIERIA AEROESPACIAL','6to','MASCULINO','ACTIVO','',0,0,'','ALUMNO'</v>
      </c>
      <c r="L242" t="str">
        <f t="shared" si="12"/>
        <v>INSERT INTO participantes (id,nivel,correo,matricula,clave,nombre,carrera,grado,sexo,situacion,evaluados,num_evaluados,total_evaluaciones,ultimo_acceso,nivel_acceso) VALUES (1241,'LICENCIATURA','gabrieleduardo.colomecampos','110456','TOMAR DEL SND','COLOME CAMPOS GABRIEL EDUARDO','INGENIERIA AEROESPACIAL','6to','MASCULINO','ACTIVO','',0,0,'','ALUMNO');</v>
      </c>
      <c r="M242" t="str">
        <f t="shared" si="14"/>
        <v>update participantes set correo='gabrieleduardo.colomecampos' where id=1241;</v>
      </c>
    </row>
    <row r="243" spans="1:13" x14ac:dyDescent="0.25">
      <c r="A243">
        <f t="shared" si="15"/>
        <v>1242</v>
      </c>
      <c r="B243" s="3" t="s">
        <v>2103</v>
      </c>
      <c r="C243" t="str">
        <f>CONCATENATE("'",ALUMNOS!E245,"'")</f>
        <v>'gabriela.cardenasdeharo'</v>
      </c>
      <c r="D243" t="str">
        <f>CONCATENATE(ALUMNOS!F245,"'")</f>
        <v>'110481'</v>
      </c>
      <c r="E243" t="s">
        <v>2723</v>
      </c>
      <c r="F243" t="str">
        <f>CONCATENATE("'",ALUMNOS!H245,"'")</f>
        <v>'CARDENAS DE HARO GABRIELA'</v>
      </c>
      <c r="G243" t="str">
        <f>CONCATENATE("'",ALUMNOS!I245,"'")</f>
        <v>'DERECHO'</v>
      </c>
      <c r="H243" t="str">
        <f>CONCATENATE("'",ALUMNOS!J245,"'")</f>
        <v>'6to'</v>
      </c>
      <c r="I243" t="str">
        <f>CONCATENATE("'",ALUMNOS!K245,"'")</f>
        <v>'Femenino'</v>
      </c>
      <c r="J243" t="str">
        <f>CONCATENATE("'",ALUMNOS!L245,"'")</f>
        <v>'Activo'</v>
      </c>
      <c r="K243" t="str">
        <f t="shared" si="13"/>
        <v>1242,'LICENCIATURA','gabriela.cardenasdeharo','110481','TOMAR DEL SND','CARDENAS DE HARO GABRIELA','DERECHO','6to','FEMENINO','ACTIVO','',0,0,'','ALUMNO'</v>
      </c>
      <c r="L243" t="str">
        <f t="shared" si="12"/>
        <v>INSERT INTO participantes (id,nivel,correo,matricula,clave,nombre,carrera,grado,sexo,situacion,evaluados,num_evaluados,total_evaluaciones,ultimo_acceso,nivel_acceso) VALUES (1242,'LICENCIATURA','gabriela.cardenasdeharo','110481','TOMAR DEL SND','CARDENAS DE HARO GABRIELA','DERECHO','6to','FEMENINO','ACTIVO','',0,0,'','ALUMNO');</v>
      </c>
      <c r="M243" t="str">
        <f t="shared" si="14"/>
        <v>update participantes set correo='gabriela.cardenasdeharo' where id=1242;</v>
      </c>
    </row>
    <row r="244" spans="1:13" x14ac:dyDescent="0.25">
      <c r="A244">
        <f t="shared" si="15"/>
        <v>1243</v>
      </c>
      <c r="B244" s="3" t="s">
        <v>2103</v>
      </c>
      <c r="C244" t="str">
        <f>CONCATENATE("'",ALUMNOS!E246,"'")</f>
        <v>'gabrielaalejandra.partidagalvan'</v>
      </c>
      <c r="D244" t="str">
        <f>CONCATENATE(ALUMNOS!F246,"'")</f>
        <v>'109843'</v>
      </c>
      <c r="E244" t="s">
        <v>2723</v>
      </c>
      <c r="F244" t="str">
        <f>CONCATENATE("'",ALUMNOS!H246,"'")</f>
        <v>'PARTIDA GALVAN GABRIELA ALEJANDRA'</v>
      </c>
      <c r="G244" t="str">
        <f>CONCATENATE("'",ALUMNOS!I246,"'")</f>
        <v>'NUTRICION Y GASTRONOMIA'</v>
      </c>
      <c r="H244" t="str">
        <f>CONCATENATE("'",ALUMNOS!J246,"'")</f>
        <v>'8vo'</v>
      </c>
      <c r="I244" t="str">
        <f>CONCATENATE("'",ALUMNOS!K246,"'")</f>
        <v>'Femenino'</v>
      </c>
      <c r="J244" t="str">
        <f>CONCATENATE("'",ALUMNOS!L246,"'")</f>
        <v>'Activo'</v>
      </c>
      <c r="K244" t="str">
        <f t="shared" si="13"/>
        <v>1243,'LICENCIATURA','gabrielaalejandra.partidagalvan','109843','TOMAR DEL SND','PARTIDA GALVAN GABRIELA ALEJANDRA','NUTRICION Y GASTRONOMIA','8vo','FEMENINO','ACTIVO','',0,0,'','ALUMNO'</v>
      </c>
      <c r="L244" t="str">
        <f t="shared" si="12"/>
        <v>INSERT INTO participantes (id,nivel,correo,matricula,clave,nombre,carrera,grado,sexo,situacion,evaluados,num_evaluados,total_evaluaciones,ultimo_acceso,nivel_acceso) VALUES (1243,'LICENCIATURA','gabrielaalejandra.partidagalvan','109843','TOMAR DEL SND','PARTIDA GALVAN GABRIELA ALEJANDRA','NUTRICION Y GASTRONOMIA','8vo','FEMENINO','ACTIVO','',0,0,'','ALUMNO');</v>
      </c>
      <c r="M244" t="str">
        <f t="shared" si="14"/>
        <v>update participantes set correo='gabrielaalejandra.partidagalvan' where id=1243;</v>
      </c>
    </row>
    <row r="245" spans="1:13" x14ac:dyDescent="0.25">
      <c r="A245">
        <f t="shared" si="15"/>
        <v>1244</v>
      </c>
      <c r="B245" s="3" t="s">
        <v>2103</v>
      </c>
      <c r="C245" t="str">
        <f>CONCATENATE("'",ALUMNOS!E247,"'")</f>
        <v>'gabrielamonserrat.covarrubiaslimon'</v>
      </c>
      <c r="D245" t="str">
        <f>CONCATENATE(ALUMNOS!F247,"'")</f>
        <v>'111174'</v>
      </c>
      <c r="E245" t="s">
        <v>2723</v>
      </c>
      <c r="F245" t="str">
        <f>CONCATENATE("'",ALUMNOS!H247,"'")</f>
        <v>'COVARRUBIAS LIMON GABRIELA MONSERRAT'</v>
      </c>
      <c r="G245" t="str">
        <f>CONCATENATE("'",ALUMNOS!I247,"'")</f>
        <v>'ADMINISTRACION Y DIRECCION DE NEGOCIOS'</v>
      </c>
      <c r="H245" t="str">
        <f>CONCATENATE("'",ALUMNOS!J247,"'")</f>
        <v>'4to'</v>
      </c>
      <c r="I245" t="str">
        <f>CONCATENATE("'",ALUMNOS!K247,"'")</f>
        <v>'Femenino'</v>
      </c>
      <c r="J245" t="str">
        <f>CONCATENATE("'",ALUMNOS!L247,"'")</f>
        <v>'Activo'</v>
      </c>
      <c r="K245" t="str">
        <f t="shared" si="13"/>
        <v>1244,'LICENCIATURA','gabrielamonserrat.covarrubiaslimon','111174','TOMAR DEL SND','COVARRUBIAS LIMON GABRIELA MONSERRAT','ADMINISTRACION Y DIRECCION DE NEGOCIOS','4to','FEMENINO','ACTIVO','',0,0,'','ALUMNO'</v>
      </c>
      <c r="L245" t="str">
        <f t="shared" si="12"/>
        <v>INSERT INTO participantes (id,nivel,correo,matricula,clave,nombre,carrera,grado,sexo,situacion,evaluados,num_evaluados,total_evaluaciones,ultimo_acceso,nivel_acceso) VALUES (1244,'LICENCIATURA','gabrielamonserrat.covarrubiaslimon','111174','TOMAR DEL SND','COVARRUBIAS LIMON GABRIELA MONSERRAT','ADMINISTRACION Y DIRECCION DE NEGOCIOS','4to','FEMENINO','ACTIVO','',0,0,'','ALUMNO');</v>
      </c>
      <c r="M245" t="str">
        <f t="shared" si="14"/>
        <v>update participantes set correo='gabrielamonserrat.covarrubiaslimon' where id=1244;</v>
      </c>
    </row>
    <row r="246" spans="1:13" x14ac:dyDescent="0.25">
      <c r="A246">
        <f t="shared" si="15"/>
        <v>1245</v>
      </c>
      <c r="B246" s="3" t="s">
        <v>2103</v>
      </c>
      <c r="C246" t="str">
        <f>CONCATENATE("'",ALUMNOS!E248,"'")</f>
        <v>'gabrielamonserrat.madrigalnuño'</v>
      </c>
      <c r="D246" t="str">
        <f>CONCATENATE(ALUMNOS!F248,"'")</f>
        <v>'110487'</v>
      </c>
      <c r="E246" t="s">
        <v>2723</v>
      </c>
      <c r="F246" t="str">
        <f>CONCATENATE("'",ALUMNOS!H248,"'")</f>
        <v>'MADRIGAL NUÑO GABRIELA MONSERRAT'</v>
      </c>
      <c r="G246" t="str">
        <f>CONCATENATE("'",ALUMNOS!I248,"'")</f>
        <v>'ARQUITECTURA'</v>
      </c>
      <c r="H246" t="str">
        <f>CONCATENATE("'",ALUMNOS!J248,"'")</f>
        <v>'6to'</v>
      </c>
      <c r="I246" t="str">
        <f>CONCATENATE("'",ALUMNOS!K248,"'")</f>
        <v>'Femenino'</v>
      </c>
      <c r="J246" t="str">
        <f>CONCATENATE("'",ALUMNOS!L248,"'")</f>
        <v>'Activo'</v>
      </c>
      <c r="K246" t="str">
        <f t="shared" si="13"/>
        <v>1245,'LICENCIATURA','gabrielamonserrat.madrigalnuño','110487','TOMAR DEL SND','MADRIGAL NUÑO GABRIELA MONSERRAT','ARQUITECTURA','6to','FEMENINO','ACTIVO','',0,0,'','ALUMNO'</v>
      </c>
      <c r="L246" t="str">
        <f t="shared" si="12"/>
        <v>INSERT INTO participantes (id,nivel,correo,matricula,clave,nombre,carrera,grado,sexo,situacion,evaluados,num_evaluados,total_evaluaciones,ultimo_acceso,nivel_acceso) VALUES (1245,'LICENCIATURA','gabrielamonserrat.madrigalnuño','110487','TOMAR DEL SND','MADRIGAL NUÑO GABRIELA MONSERRAT','ARQUITECTURA','6to','FEMENINO','ACTIVO','',0,0,'','ALUMNO');</v>
      </c>
      <c r="M246" t="str">
        <f t="shared" si="14"/>
        <v>update participantes set correo='gabrielamonserrat.madrigalnuño' where id=1245;</v>
      </c>
    </row>
    <row r="247" spans="1:13" x14ac:dyDescent="0.25">
      <c r="A247">
        <f t="shared" si="15"/>
        <v>1246</v>
      </c>
      <c r="B247" s="3" t="s">
        <v>2103</v>
      </c>
      <c r="C247" t="str">
        <f>CONCATENATE("'",ALUMNOS!E249,"'")</f>
        <v>'galiapaola.vazquezlopez'</v>
      </c>
      <c r="D247" t="str">
        <f>CONCATENATE(ALUMNOS!F249,"'")</f>
        <v>'109971'</v>
      </c>
      <c r="E247" t="s">
        <v>2723</v>
      </c>
      <c r="F247" t="str">
        <f>CONCATENATE("'",ALUMNOS!H249,"'")</f>
        <v>'VAZQUEZ LOPEZ GALIA PAOLA'</v>
      </c>
      <c r="G247" t="str">
        <f>CONCATENATE("'",ALUMNOS!I249,"'")</f>
        <v>'ADMINISTRACION Y DIRECCION DE NEGOCIOS'</v>
      </c>
      <c r="H247" t="str">
        <f>CONCATENATE("'",ALUMNOS!J249,"'")</f>
        <v>'8vo'</v>
      </c>
      <c r="I247" t="str">
        <f>CONCATENATE("'",ALUMNOS!K249,"'")</f>
        <v>'Femenino'</v>
      </c>
      <c r="J247" t="str">
        <f>CONCATENATE("'",ALUMNOS!L249,"'")</f>
        <v>'Activo'</v>
      </c>
      <c r="K247" t="str">
        <f t="shared" si="13"/>
        <v>1246,'LICENCIATURA','galiapaola.vazquezlopez','109971','TOMAR DEL SND','VAZQUEZ LOPEZ GALIA PAOLA','ADMINISTRACION Y DIRECCION DE NEGOCIOS','8vo','FEMENINO','ACTIVO','',0,0,'','ALUMNO'</v>
      </c>
      <c r="L247" t="str">
        <f t="shared" si="12"/>
        <v>INSERT INTO participantes (id,nivel,correo,matricula,clave,nombre,carrera,grado,sexo,situacion,evaluados,num_evaluados,total_evaluaciones,ultimo_acceso,nivel_acceso) VALUES (1246,'LICENCIATURA','galiapaola.vazquezlopez','109971','TOMAR DEL SND','VAZQUEZ LOPEZ GALIA PAOLA','ADMINISTRACION Y DIRECCION DE NEGOCIOS','8vo','FEMENINO','ACTIVO','',0,0,'','ALUMNO');</v>
      </c>
      <c r="M247" t="str">
        <f t="shared" si="14"/>
        <v>update participantes set correo='galiapaola.vazquezlopez' where id=1246;</v>
      </c>
    </row>
    <row r="248" spans="1:13" x14ac:dyDescent="0.25">
      <c r="A248">
        <f t="shared" si="15"/>
        <v>1247</v>
      </c>
      <c r="B248" s="3" t="s">
        <v>2103</v>
      </c>
      <c r="C248" t="str">
        <f>CONCATENATE("'",ALUMNOS!E250,"'")</f>
        <v>'gema.martinezorbe'</v>
      </c>
      <c r="D248" t="str">
        <f>CONCATENATE(ALUMNOS!F250,"'")</f>
        <v>'110786'</v>
      </c>
      <c r="E248" t="s">
        <v>2723</v>
      </c>
      <c r="F248" t="str">
        <f>CONCATENATE("'",ALUMNOS!H250,"'")</f>
        <v>'MARTINEZ ORBE GEMA'</v>
      </c>
      <c r="G248" t="str">
        <f>CONCATENATE("'",ALUMNOS!I250,"'")</f>
        <v>'PSICOLOGIA'</v>
      </c>
      <c r="H248" t="str">
        <f>CONCATENATE("'",ALUMNOS!J250,"'")</f>
        <v>'6to'</v>
      </c>
      <c r="I248" t="str">
        <f>CONCATENATE("'",ALUMNOS!K250,"'")</f>
        <v>'Femenino'</v>
      </c>
      <c r="J248" t="str">
        <f>CONCATENATE("'",ALUMNOS!L250,"'")</f>
        <v>'Activo'</v>
      </c>
      <c r="K248" t="str">
        <f t="shared" si="13"/>
        <v>1247,'LICENCIATURA','gema.martinezorbe','110786','TOMAR DEL SND','MARTINEZ ORBE GEMA','PSICOLOGIA','6to','FEMENINO','ACTIVO','',0,0,'','ALUMNO'</v>
      </c>
      <c r="L248" t="str">
        <f t="shared" si="12"/>
        <v>INSERT INTO participantes (id,nivel,correo,matricula,clave,nombre,carrera,grado,sexo,situacion,evaluados,num_evaluados,total_evaluaciones,ultimo_acceso,nivel_acceso) VALUES (1247,'LICENCIATURA','gema.martinezorbe','110786','TOMAR DEL SND','MARTINEZ ORBE GEMA','PSICOLOGIA','6to','FEMENINO','ACTIVO','',0,0,'','ALUMNO');</v>
      </c>
      <c r="M248" t="str">
        <f t="shared" si="14"/>
        <v>update participantes set correo='gema.martinezorbe' where id=1247;</v>
      </c>
    </row>
    <row r="249" spans="1:13" x14ac:dyDescent="0.25">
      <c r="A249">
        <f t="shared" si="15"/>
        <v>1248</v>
      </c>
      <c r="B249" s="3" t="s">
        <v>2103</v>
      </c>
      <c r="C249" t="str">
        <f>CONCATENATE("'",ALUMNOS!E251,"'")</f>
        <v>'georginaesperanza.guerrabejar'</v>
      </c>
      <c r="D249" t="str">
        <f>CONCATENATE(ALUMNOS!F251,"'")</f>
        <v>'006918'</v>
      </c>
      <c r="E249" t="s">
        <v>2723</v>
      </c>
      <c r="F249" t="str">
        <f>CONCATENATE("'",ALUMNOS!H251,"'")</f>
        <v>'GUERRA BEJAR GEORGINA ESPERANZA'</v>
      </c>
      <c r="G249" t="str">
        <f>CONCATENATE("'",ALUMNOS!I251,"'")</f>
        <v>'ADMINISTRACION Y DIRECCION DE NEGOCIOS'</v>
      </c>
      <c r="H249" t="str">
        <f>CONCATENATE("'",ALUMNOS!J251,"'")</f>
        <v>'8vo'</v>
      </c>
      <c r="I249" t="str">
        <f>CONCATENATE("'",ALUMNOS!K251,"'")</f>
        <v>'Femenino'</v>
      </c>
      <c r="J249" t="str">
        <f>CONCATENATE("'",ALUMNOS!L251,"'")</f>
        <v>'Activo'</v>
      </c>
      <c r="K249" t="str">
        <f t="shared" si="13"/>
        <v>1248,'LICENCIATURA','georginaesperanza.guerrabejar','006918','TOMAR DEL SND','GUERRA BEJAR GEORGINA ESPERANZA','ADMINISTRACION Y DIRECCION DE NEGOCIOS','8vo','FEMENINO','ACTIVO','',0,0,'','ALUMNO'</v>
      </c>
      <c r="L249" t="str">
        <f t="shared" si="12"/>
        <v>INSERT INTO participantes (id,nivel,correo,matricula,clave,nombre,carrera,grado,sexo,situacion,evaluados,num_evaluados,total_evaluaciones,ultimo_acceso,nivel_acceso) VALUES (1248,'LICENCIATURA','georginaesperanza.guerrabejar','006918','TOMAR DEL SND','GUERRA BEJAR GEORGINA ESPERANZA','ADMINISTRACION Y DIRECCION DE NEGOCIOS','8vo','FEMENINO','ACTIVO','',0,0,'','ALUMNO');</v>
      </c>
      <c r="M249" t="str">
        <f t="shared" si="14"/>
        <v>update participantes set correo='georginaesperanza.guerrabejar' where id=1248;</v>
      </c>
    </row>
    <row r="250" spans="1:13" x14ac:dyDescent="0.25">
      <c r="A250">
        <f t="shared" si="15"/>
        <v>1249</v>
      </c>
      <c r="B250" s="3" t="s">
        <v>2103</v>
      </c>
      <c r="C250" t="str">
        <f>CONCATENATE("'",ALUMNOS!E252,"'")</f>
        <v>'gilberto.nuñezcontreras'</v>
      </c>
      <c r="D250" t="str">
        <f>CONCATENATE(ALUMNOS!F252,"'")</f>
        <v>'109865'</v>
      </c>
      <c r="E250" t="s">
        <v>2723</v>
      </c>
      <c r="F250" t="str">
        <f>CONCATENATE("'",ALUMNOS!H252,"'")</f>
        <v>'NUÑEZ CONTRERAS GILBERTO'</v>
      </c>
      <c r="G250" t="str">
        <f>CONCATENATE("'",ALUMNOS!I252,"'")</f>
        <v>'INGENIERIA AEROESPACIAL'</v>
      </c>
      <c r="H250" t="str">
        <f>CONCATENATE("'",ALUMNOS!J252,"'")</f>
        <v>'8vo'</v>
      </c>
      <c r="I250" t="str">
        <f>CONCATENATE("'",ALUMNOS!K252,"'")</f>
        <v>'Masculino'</v>
      </c>
      <c r="J250" t="str">
        <f>CONCATENATE("'",ALUMNOS!L252,"'")</f>
        <v>'Activo'</v>
      </c>
      <c r="K250" t="str">
        <f t="shared" si="13"/>
        <v>1249,'LICENCIATURA','gilberto.nuñezcontreras','109865','TOMAR DEL SND','NUÑEZ CONTRERAS GILBERTO','INGENIERIA AEROESPACIAL','8vo','MASCULINO','ACTIVO','',0,0,'','ALUMNO'</v>
      </c>
      <c r="L250" t="str">
        <f t="shared" si="12"/>
        <v>INSERT INTO participantes (id,nivel,correo,matricula,clave,nombre,carrera,grado,sexo,situacion,evaluados,num_evaluados,total_evaluaciones,ultimo_acceso,nivel_acceso) VALUES (1249,'LICENCIATURA','gilberto.nuñezcontreras','109865','TOMAR DEL SND','NUÑEZ CONTRERAS GILBERTO','INGENIERIA AEROESPACIAL','8vo','MASCULINO','ACTIVO','',0,0,'','ALUMNO');</v>
      </c>
      <c r="M250" t="str">
        <f t="shared" si="14"/>
        <v>update participantes set correo='gilberto.nuñezcontreras' where id=1249;</v>
      </c>
    </row>
    <row r="251" spans="1:13" x14ac:dyDescent="0.25">
      <c r="A251">
        <f t="shared" si="15"/>
        <v>1250</v>
      </c>
      <c r="B251" s="3" t="s">
        <v>2103</v>
      </c>
      <c r="C251" t="str">
        <f>CONCATENATE("'",ALUMNOS!E253,"'")</f>
        <v>'gilbertoalejandro.rojasgutierrez'</v>
      </c>
      <c r="D251" t="str">
        <f>CONCATENATE(ALUMNOS!F253,"'")</f>
        <v>'110465'</v>
      </c>
      <c r="E251" t="s">
        <v>2723</v>
      </c>
      <c r="F251" t="str">
        <f>CONCATENATE("'",ALUMNOS!H253,"'")</f>
        <v>'ROJAS GUTIERREZ GILBERTO ALEJANDRO'</v>
      </c>
      <c r="G251" t="str">
        <f>CONCATENATE("'",ALUMNOS!I253,"'")</f>
        <v>'ARQUITECTURA'</v>
      </c>
      <c r="H251" t="str">
        <f>CONCATENATE("'",ALUMNOS!J253,"'")</f>
        <v>'6to'</v>
      </c>
      <c r="I251" t="str">
        <f>CONCATENATE("'",ALUMNOS!K253,"'")</f>
        <v>'Masculino'</v>
      </c>
      <c r="J251" t="str">
        <f>CONCATENATE("'",ALUMNOS!L253,"'")</f>
        <v>'Activo'</v>
      </c>
      <c r="K251" t="str">
        <f t="shared" si="13"/>
        <v>1250,'LICENCIATURA','gilbertoalejandro.rojasgutierrez','110465','TOMAR DEL SND','ROJAS GUTIERREZ GILBERTO ALEJANDRO','ARQUITECTURA','6to','MASCULINO','ACTIVO','',0,0,'','ALUMNO'</v>
      </c>
      <c r="L251" t="str">
        <f t="shared" si="12"/>
        <v>INSERT INTO participantes (id,nivel,correo,matricula,clave,nombre,carrera,grado,sexo,situacion,evaluados,num_evaluados,total_evaluaciones,ultimo_acceso,nivel_acceso) VALUES (1250,'LICENCIATURA','gilbertoalejandro.rojasgutierrez','110465','TOMAR DEL SND','ROJAS GUTIERREZ GILBERTO ALEJANDRO','ARQUITECTURA','6to','MASCULINO','ACTIVO','',0,0,'','ALUMNO');</v>
      </c>
      <c r="M251" t="str">
        <f t="shared" si="14"/>
        <v>update participantes set correo='gilbertoalejandro.rojasgutierrez' where id=1250;</v>
      </c>
    </row>
    <row r="252" spans="1:13" x14ac:dyDescent="0.25">
      <c r="A252">
        <f t="shared" si="15"/>
        <v>1251</v>
      </c>
      <c r="B252" s="3" t="s">
        <v>2103</v>
      </c>
      <c r="C252" t="str">
        <f>CONCATENATE("'",ALUMNOS!E254,"'")</f>
        <v>'giovanna.santillanbarragan'</v>
      </c>
      <c r="D252" t="str">
        <f>CONCATENATE(ALUMNOS!F254,"'")</f>
        <v>'111095'</v>
      </c>
      <c r="E252" t="s">
        <v>2723</v>
      </c>
      <c r="F252" t="str">
        <f>CONCATENATE("'",ALUMNOS!H254,"'")</f>
        <v>'SANTILLAN BARRAGAN GIOVANNA'</v>
      </c>
      <c r="G252" t="str">
        <f>CONCATENATE("'",ALUMNOS!I254,"'")</f>
        <v>'DISEÑO GRAFICO Y DIGITAL'</v>
      </c>
      <c r="H252" t="str">
        <f>CONCATENATE("'",ALUMNOS!J254,"'")</f>
        <v>'4to'</v>
      </c>
      <c r="I252" t="str">
        <f>CONCATENATE("'",ALUMNOS!K254,"'")</f>
        <v>'Femenino'</v>
      </c>
      <c r="J252" t="str">
        <f>CONCATENATE("'",ALUMNOS!L254,"'")</f>
        <v>'Activo'</v>
      </c>
      <c r="K252" t="str">
        <f t="shared" si="13"/>
        <v>1251,'LICENCIATURA','giovanna.santillanbarragan','111095','TOMAR DEL SND','SANTILLAN BARRAGAN GIOVANNA','DISEÑO GRAFICO Y DIGITAL','4to','FEMENINO','ACTIVO','',0,0,'','ALUMNO'</v>
      </c>
      <c r="L252" t="str">
        <f t="shared" si="12"/>
        <v>INSERT INTO participantes (id,nivel,correo,matricula,clave,nombre,carrera,grado,sexo,situacion,evaluados,num_evaluados,total_evaluaciones,ultimo_acceso,nivel_acceso) VALUES (1251,'LICENCIATURA','giovanna.santillanbarragan','111095','TOMAR DEL SND','SANTILLAN BARRAGAN GIOVANNA','DISEÑO GRAFICO Y DIGITAL','4to','FEMENINO','ACTIVO','',0,0,'','ALUMNO');</v>
      </c>
      <c r="M252" t="str">
        <f t="shared" si="14"/>
        <v>update participantes set correo='giovanna.santillanbarragan' where id=1251;</v>
      </c>
    </row>
    <row r="253" spans="1:13" x14ac:dyDescent="0.25">
      <c r="A253">
        <f t="shared" si="15"/>
        <v>1252</v>
      </c>
      <c r="B253" s="3" t="s">
        <v>2103</v>
      </c>
      <c r="C253" t="str">
        <f>CONCATENATE("'",ALUMNOS!E255,"'")</f>
        <v>'giovanni.dealbatovar'</v>
      </c>
      <c r="D253" t="str">
        <f>CONCATENATE(ALUMNOS!F255,"'")</f>
        <v>'111812'</v>
      </c>
      <c r="E253" t="s">
        <v>2723</v>
      </c>
      <c r="F253" t="str">
        <f>CONCATENATE("'",ALUMNOS!H255,"'")</f>
        <v>'DE ALBA TOVAR GIOVANNI'</v>
      </c>
      <c r="G253" t="str">
        <f>CONCATENATE("'",ALUMNOS!I255,"'")</f>
        <v>'INGENIERÍA AUTOMOTRIZ'</v>
      </c>
      <c r="H253" t="str">
        <f>CONCATENATE("'",ALUMNOS!J255,"'")</f>
        <v>'2do'</v>
      </c>
      <c r="I253" t="str">
        <f>CONCATENATE("'",ALUMNOS!K255,"'")</f>
        <v>'Masculino'</v>
      </c>
      <c r="J253" t="str">
        <f>CONCATENATE("'",ALUMNOS!L255,"'")</f>
        <v>'Activo'</v>
      </c>
      <c r="K253" t="str">
        <f t="shared" si="13"/>
        <v>1252,'LICENCIATURA','giovanni.dealbatovar','111812','TOMAR DEL SND','DE ALBA TOVAR GIOVANNI','INGENIERÍA AUTOMOTRIZ','2do','MASCULINO','ACTIVO','',0,0,'','ALUMNO'</v>
      </c>
      <c r="L253" t="str">
        <f t="shared" si="12"/>
        <v>INSERT INTO participantes (id,nivel,correo,matricula,clave,nombre,carrera,grado,sexo,situacion,evaluados,num_evaluados,total_evaluaciones,ultimo_acceso,nivel_acceso) VALUES (1252,'LICENCIATURA','giovanni.dealbatovar','111812','TOMAR DEL SND','DE ALBA TOVAR GIOVANNI','INGENIERÍA AUTOMOTRIZ','2do','MASCULINO','ACTIVO','',0,0,'','ALUMNO');</v>
      </c>
      <c r="M253" t="str">
        <f t="shared" si="14"/>
        <v>update participantes set correo='giovanni.dealbatovar' where id=1252;</v>
      </c>
    </row>
    <row r="254" spans="1:13" x14ac:dyDescent="0.25">
      <c r="A254">
        <f t="shared" si="15"/>
        <v>1253</v>
      </c>
      <c r="B254" s="3" t="s">
        <v>2103</v>
      </c>
      <c r="C254" t="str">
        <f>CONCATENATE("'",ALUMNOS!E256,"'")</f>
        <v>'gloriamiranda.hernandezvargas'</v>
      </c>
      <c r="D254" t="str">
        <f>CONCATENATE(ALUMNOS!F256,"'")</f>
        <v>'111105'</v>
      </c>
      <c r="E254" t="s">
        <v>2723</v>
      </c>
      <c r="F254" t="str">
        <f>CONCATENATE("'",ALUMNOS!H256,"'")</f>
        <v>'HERNANDEZ VARGAS GLORIA MIRANDA'</v>
      </c>
      <c r="G254" t="str">
        <f>CONCATENATE("'",ALUMNOS!I256,"'")</f>
        <v>'ANIMACION DIGITAL Y VIDEOJUEGOS'</v>
      </c>
      <c r="H254" t="str">
        <f>CONCATENATE("'",ALUMNOS!J256,"'")</f>
        <v>'4to'</v>
      </c>
      <c r="I254" t="str">
        <f>CONCATENATE("'",ALUMNOS!K256,"'")</f>
        <v>'Femenino'</v>
      </c>
      <c r="J254" t="str">
        <f>CONCATENATE("'",ALUMNOS!L256,"'")</f>
        <v>'Activo'</v>
      </c>
      <c r="K254" t="str">
        <f t="shared" si="13"/>
        <v>1253,'LICENCIATURA','gloriamiranda.hernandezvargas','111105','TOMAR DEL SND','HERNANDEZ VARGAS GLORIA MIRANDA','ANIMACION DIGITAL Y VIDEOJUEGOS','4to','FEMENINO','ACTIVO','',0,0,'','ALUMNO'</v>
      </c>
      <c r="L254" t="str">
        <f t="shared" si="12"/>
        <v>INSERT INTO participantes (id,nivel,correo,matricula,clave,nombre,carrera,grado,sexo,situacion,evaluados,num_evaluados,total_evaluaciones,ultimo_acceso,nivel_acceso) VALUES (1253,'LICENCIATURA','gloriamiranda.hernandezvargas','111105','TOMAR DEL SND','HERNANDEZ VARGAS GLORIA MIRANDA','ANIMACION DIGITAL Y VIDEOJUEGOS','4to','FEMENINO','ACTIVO','',0,0,'','ALUMNO');</v>
      </c>
      <c r="M254" t="str">
        <f t="shared" si="14"/>
        <v>update participantes set correo='gloriamiranda.hernandezvargas' where id=1253;</v>
      </c>
    </row>
    <row r="255" spans="1:13" x14ac:dyDescent="0.25">
      <c r="A255">
        <f t="shared" si="15"/>
        <v>1254</v>
      </c>
      <c r="B255" s="3" t="s">
        <v>2103</v>
      </c>
      <c r="C255" t="str">
        <f>CONCATENATE("'",ALUMNOS!E257,"'")</f>
        <v>'guillermojose.sosayavilagonzalez'</v>
      </c>
      <c r="D255" t="str">
        <f>CONCATENATE(ALUMNOS!F257,"'")</f>
        <v>'111774'</v>
      </c>
      <c r="E255" t="s">
        <v>2723</v>
      </c>
      <c r="F255" t="str">
        <f>CONCATENATE("'",ALUMNOS!H257,"'")</f>
        <v>'SOSA Y AVILA GONZALEZ GUILLERMO JOSE'</v>
      </c>
      <c r="G255" t="str">
        <f>CONCATENATE("'",ALUMNOS!I257,"'")</f>
        <v>'INGENIERIA AEROESPACIAL'</v>
      </c>
      <c r="H255" t="str">
        <f>CONCATENATE("'",ALUMNOS!J257,"'")</f>
        <v>'2do'</v>
      </c>
      <c r="I255" t="str">
        <f>CONCATENATE("'",ALUMNOS!K257,"'")</f>
        <v>'Masculino'</v>
      </c>
      <c r="J255" t="str">
        <f>CONCATENATE("'",ALUMNOS!L257,"'")</f>
        <v>'Activo'</v>
      </c>
      <c r="K255" t="str">
        <f t="shared" si="13"/>
        <v>1254,'LICENCIATURA','guillermojose.sosayavilagonzalez','111774','TOMAR DEL SND','SOSA Y AVILA GONZALEZ GUILLERMO JOSE','INGENIERIA AEROESPACIAL','2do','MASCULINO','ACTIVO','',0,0,'','ALUMNO'</v>
      </c>
      <c r="L255" t="str">
        <f t="shared" si="12"/>
        <v>INSERT INTO participantes (id,nivel,correo,matricula,clave,nombre,carrera,grado,sexo,situacion,evaluados,num_evaluados,total_evaluaciones,ultimo_acceso,nivel_acceso) VALUES (1254,'LICENCIATURA','guillermojose.sosayavilagonzalez','111774','TOMAR DEL SND','SOSA Y AVILA GONZALEZ GUILLERMO JOSE','INGENIERIA AEROESPACIAL','2do','MASCULINO','ACTIVO','',0,0,'','ALUMNO');</v>
      </c>
      <c r="M255" t="str">
        <f t="shared" si="14"/>
        <v>update participantes set correo='guillermojose.sosayavilagonzalez' where id=1254;</v>
      </c>
    </row>
    <row r="256" spans="1:13" x14ac:dyDescent="0.25">
      <c r="A256">
        <f t="shared" si="15"/>
        <v>1255</v>
      </c>
      <c r="B256" s="3" t="s">
        <v>2103</v>
      </c>
      <c r="C256" t="str">
        <f>CONCATENATE("'",ALUMNOS!E258,"'")</f>
        <v>'guillermokaleb.araujovargas'</v>
      </c>
      <c r="D256" t="str">
        <f>CONCATENATE(ALUMNOS!F258,"'")</f>
        <v>'007486'</v>
      </c>
      <c r="E256" t="s">
        <v>2723</v>
      </c>
      <c r="F256" t="str">
        <f>CONCATENATE("'",ALUMNOS!H258,"'")</f>
        <v>'ARAUJO VARGAS GUILLERMO KALEB'</v>
      </c>
      <c r="G256" t="str">
        <f>CONCATENATE("'",ALUMNOS!I258,"'")</f>
        <v>'INGENIERIA INDUSTRIAL Y EN SISTEMAS ORGANIZACIONALES'</v>
      </c>
      <c r="H256" t="str">
        <f>CONCATENATE("'",ALUMNOS!J258,"'")</f>
        <v>'4to'</v>
      </c>
      <c r="I256" t="str">
        <f>CONCATENATE("'",ALUMNOS!K258,"'")</f>
        <v>'Masculino'</v>
      </c>
      <c r="J256" t="str">
        <f>CONCATENATE("'",ALUMNOS!L258,"'")</f>
        <v>'Activo'</v>
      </c>
      <c r="K256" t="str">
        <f t="shared" si="13"/>
        <v>1255,'LICENCIATURA','guillermokaleb.araujovargas','007486','TOMAR DEL SND','ARAUJO VARGAS GUILLERMO KALEB','INGENIERIA INDUSTRIAL Y EN SISTEMAS ORGANIZACIONALES','4to','MASCULINO','ACTIVO','',0,0,'','ALUMNO'</v>
      </c>
      <c r="L256" t="str">
        <f t="shared" si="12"/>
        <v>INSERT INTO participantes (id,nivel,correo,matricula,clave,nombre,carrera,grado,sexo,situacion,evaluados,num_evaluados,total_evaluaciones,ultimo_acceso,nivel_acceso) VALUES (1255,'LICENCIATURA','guillermokaleb.araujovargas','007486','TOMAR DEL SND','ARAUJO VARGAS GUILLERMO KALEB','INGENIERIA INDUSTRIAL Y EN SISTEMAS ORGANIZACIONALES','4to','MASCULINO','ACTIVO','',0,0,'','ALUMNO');</v>
      </c>
      <c r="M256" t="str">
        <f t="shared" si="14"/>
        <v>update participantes set correo='guillermokaleb.araujovargas' where id=1255;</v>
      </c>
    </row>
    <row r="257" spans="1:13" x14ac:dyDescent="0.25">
      <c r="A257">
        <f t="shared" si="15"/>
        <v>1256</v>
      </c>
      <c r="B257" s="3" t="s">
        <v>2103</v>
      </c>
      <c r="C257" t="str">
        <f>CONCATENATE("'",ALUMNOS!E259,"'")</f>
        <v>'gustavojesus.diazestrada'</v>
      </c>
      <c r="D257" t="str">
        <f>CONCATENATE(ALUMNOS!F259,"'")</f>
        <v>'109963'</v>
      </c>
      <c r="E257" t="s">
        <v>2723</v>
      </c>
      <c r="F257" t="str">
        <f>CONCATENATE("'",ALUMNOS!H259,"'")</f>
        <v>'DIAZ ESTRADA GUSTAVO JESUS'</v>
      </c>
      <c r="G257" t="str">
        <f>CONCATENATE("'",ALUMNOS!I259,"'")</f>
        <v>'PSICOLOGIA'</v>
      </c>
      <c r="H257" t="str">
        <f>CONCATENATE("'",ALUMNOS!J259,"'")</f>
        <v>'8vo'</v>
      </c>
      <c r="I257" t="str">
        <f>CONCATENATE("'",ALUMNOS!K259,"'")</f>
        <v>'Masculino'</v>
      </c>
      <c r="J257" t="str">
        <f>CONCATENATE("'",ALUMNOS!L259,"'")</f>
        <v>'Activo'</v>
      </c>
      <c r="K257" t="str">
        <f t="shared" si="13"/>
        <v>1256,'LICENCIATURA','gustavojesus.diazestrada','109963','TOMAR DEL SND','DIAZ ESTRADA GUSTAVO JESUS','PSICOLOGIA','8vo','MASCULINO','ACTIVO','',0,0,'','ALUMNO'</v>
      </c>
      <c r="L257" t="str">
        <f t="shared" si="12"/>
        <v>INSERT INTO participantes (id,nivel,correo,matricula,clave,nombre,carrera,grado,sexo,situacion,evaluados,num_evaluados,total_evaluaciones,ultimo_acceso,nivel_acceso) VALUES (1256,'LICENCIATURA','gustavojesus.diazestrada','109963','TOMAR DEL SND','DIAZ ESTRADA GUSTAVO JESUS','PSICOLOGIA','8vo','MASCULINO','ACTIVO','',0,0,'','ALUMNO');</v>
      </c>
      <c r="M257" t="str">
        <f t="shared" si="14"/>
        <v>update participantes set correo='gustavojesus.diazestrada' where id=1256;</v>
      </c>
    </row>
    <row r="258" spans="1:13" x14ac:dyDescent="0.25">
      <c r="A258">
        <f t="shared" si="15"/>
        <v>1257</v>
      </c>
      <c r="B258" s="3" t="s">
        <v>2103</v>
      </c>
      <c r="C258" t="str">
        <f>CONCATENATE("'",ALUMNOS!E260,"'")</f>
        <v>'hannahcitlali.delacruzcastillo'</v>
      </c>
      <c r="D258" t="str">
        <f>CONCATENATE(ALUMNOS!F260,"'")</f>
        <v>'110489'</v>
      </c>
      <c r="E258" t="s">
        <v>2723</v>
      </c>
      <c r="F258" t="str">
        <f>CONCATENATE("'",ALUMNOS!H260,"'")</f>
        <v>'DE LA CRUZ CASTILLO HANNAH CITLALI'</v>
      </c>
      <c r="G258" t="str">
        <f>CONCATENATE("'",ALUMNOS!I260,"'")</f>
        <v>'ANIMACION DIGITAL Y VIDEOJUEGOS'</v>
      </c>
      <c r="H258" t="str">
        <f>CONCATENATE("'",ALUMNOS!J260,"'")</f>
        <v>'6to'</v>
      </c>
      <c r="I258" t="str">
        <f>CONCATENATE("'",ALUMNOS!K260,"'")</f>
        <v>'Femenino'</v>
      </c>
      <c r="J258" t="str">
        <f>CONCATENATE("'",ALUMNOS!L260,"'")</f>
        <v>'Activo'</v>
      </c>
      <c r="K258" t="str">
        <f t="shared" si="13"/>
        <v>1257,'LICENCIATURA','hannahcitlali.delacruzcastillo','110489','TOMAR DEL SND','DE LA CRUZ CASTILLO HANNAH CITLALI','ANIMACION DIGITAL Y VIDEOJUEGOS','6to','FEMENINO','ACTIVO','',0,0,'','ALUMNO'</v>
      </c>
      <c r="L258" t="str">
        <f t="shared" ref="L258:L321" si="16">CONCATENATE($K$1,K258,");")</f>
        <v>INSERT INTO participantes (id,nivel,correo,matricula,clave,nombre,carrera,grado,sexo,situacion,evaluados,num_evaluados,total_evaluaciones,ultimo_acceso,nivel_acceso) VALUES (1257,'LICENCIATURA','hannahcitlali.delacruzcastillo','110489','TOMAR DEL SND','DE LA CRUZ CASTILLO HANNAH CITLALI','ANIMACION DIGITAL Y VIDEOJUEGOS','6to','FEMENINO','ACTIVO','',0,0,'','ALUMNO');</v>
      </c>
      <c r="M258" t="str">
        <f t="shared" si="14"/>
        <v>update participantes set correo='hannahcitlali.delacruzcastillo' where id=1257;</v>
      </c>
    </row>
    <row r="259" spans="1:13" x14ac:dyDescent="0.25">
      <c r="A259">
        <f t="shared" si="15"/>
        <v>1258</v>
      </c>
      <c r="B259" s="3" t="s">
        <v>2103</v>
      </c>
      <c r="C259" t="str">
        <f>CONCATENATE("'",ALUMNOS!E261,"'")</f>
        <v>'hannia.hernandezmejia'</v>
      </c>
      <c r="D259" t="str">
        <f>CONCATENATE(ALUMNOS!F261,"'")</f>
        <v>'111612'</v>
      </c>
      <c r="E259" t="s">
        <v>2723</v>
      </c>
      <c r="F259" t="str">
        <f>CONCATENATE("'",ALUMNOS!H261,"'")</f>
        <v>'HERNANDEZ MEJIA HANNIA'</v>
      </c>
      <c r="G259" t="str">
        <f>CONCATENATE("'",ALUMNOS!I261,"'")</f>
        <v>'INGENIERIA AEROESPACIAL'</v>
      </c>
      <c r="H259" t="str">
        <f>CONCATENATE("'",ALUMNOS!J261,"'")</f>
        <v>'2do'</v>
      </c>
      <c r="I259" t="str">
        <f>CONCATENATE("'",ALUMNOS!K261,"'")</f>
        <v>'Femenino'</v>
      </c>
      <c r="J259" t="str">
        <f>CONCATENATE("'",ALUMNOS!L261,"'")</f>
        <v>'Activo'</v>
      </c>
      <c r="K259" t="str">
        <f t="shared" ref="K259:K322" si="17">CONCATENATE(A259,",",B259,",",C259,",",D259,",'",E259,",",F259,",",G259,",",H259,",",UPPER(I259),",",UPPER(J259),",'',0,0,'','ALUMNO'")</f>
        <v>1258,'LICENCIATURA','hannia.hernandezmejia','111612','TOMAR DEL SND','HERNANDEZ MEJIA HANNIA','INGENIERIA AEROESPACIAL','2do','FEMENINO','ACTIVO','',0,0,'','ALUMNO'</v>
      </c>
      <c r="L259" t="str">
        <f t="shared" si="16"/>
        <v>INSERT INTO participantes (id,nivel,correo,matricula,clave,nombre,carrera,grado,sexo,situacion,evaluados,num_evaluados,total_evaluaciones,ultimo_acceso,nivel_acceso) VALUES (1258,'LICENCIATURA','hannia.hernandezmejia','111612','TOMAR DEL SND','HERNANDEZ MEJIA HANNIA','INGENIERIA AEROESPACIAL','2do','FEMENINO','ACTIVO','',0,0,'','ALUMNO');</v>
      </c>
      <c r="M259" t="str">
        <f t="shared" ref="M259:M322" si="18">CONCATENATE("update participantes set correo=",C259," where id=",A259,";")</f>
        <v>update participantes set correo='hannia.hernandezmejia' where id=1258;</v>
      </c>
    </row>
    <row r="260" spans="1:13" x14ac:dyDescent="0.25">
      <c r="A260">
        <f t="shared" ref="A260:A323" si="19">A259+1</f>
        <v>1259</v>
      </c>
      <c r="B260" s="3" t="s">
        <v>2103</v>
      </c>
      <c r="C260" t="str">
        <f>CONCATENATE("'",ALUMNOS!E262,"'")</f>
        <v>'hector.camposcardenas'</v>
      </c>
      <c r="D260" t="str">
        <f>CONCATENATE(ALUMNOS!F262,"'")</f>
        <v>'111787'</v>
      </c>
      <c r="E260" t="s">
        <v>2723</v>
      </c>
      <c r="F260" t="str">
        <f>CONCATENATE("'",ALUMNOS!H262,"'")</f>
        <v>'CAMPOS CARDENAS HECTOR'</v>
      </c>
      <c r="G260" t="str">
        <f>CONCATENATE("'",ALUMNOS!I262,"'")</f>
        <v>'INGENIERÍA AUTOMOTRIZ'</v>
      </c>
      <c r="H260" t="str">
        <f>CONCATENATE("'",ALUMNOS!J262,"'")</f>
        <v>'2do'</v>
      </c>
      <c r="I260" t="str">
        <f>CONCATENATE("'",ALUMNOS!K262,"'")</f>
        <v>'Masculino'</v>
      </c>
      <c r="J260" t="str">
        <f>CONCATENATE("'",ALUMNOS!L262,"'")</f>
        <v>'Activo'</v>
      </c>
      <c r="K260" t="str">
        <f t="shared" si="17"/>
        <v>1259,'LICENCIATURA','hector.camposcardenas','111787','TOMAR DEL SND','CAMPOS CARDENAS HECTOR','INGENIERÍA AUTOMOTRIZ','2do','MASCULINO','ACTIVO','',0,0,'','ALUMNO'</v>
      </c>
      <c r="L260" t="str">
        <f t="shared" si="16"/>
        <v>INSERT INTO participantes (id,nivel,correo,matricula,clave,nombre,carrera,grado,sexo,situacion,evaluados,num_evaluados,total_evaluaciones,ultimo_acceso,nivel_acceso) VALUES (1259,'LICENCIATURA','hector.camposcardenas','111787','TOMAR DEL SND','CAMPOS CARDENAS HECTOR','INGENIERÍA AUTOMOTRIZ','2do','MASCULINO','ACTIVO','',0,0,'','ALUMNO');</v>
      </c>
      <c r="M260" t="str">
        <f t="shared" si="18"/>
        <v>update participantes set correo='hector.camposcardenas' where id=1259;</v>
      </c>
    </row>
    <row r="261" spans="1:13" x14ac:dyDescent="0.25">
      <c r="A261">
        <f t="shared" si="19"/>
        <v>1260</v>
      </c>
      <c r="B261" s="3" t="s">
        <v>2103</v>
      </c>
      <c r="C261" t="str">
        <f>CONCATENATE("'",ALUMNOS!E263,"'")</f>
        <v>'hectorbernardo.iñiguezpulido'</v>
      </c>
      <c r="D261" t="str">
        <f>CONCATENATE(ALUMNOS!F263,"'")</f>
        <v>'110520'</v>
      </c>
      <c r="E261" t="s">
        <v>2723</v>
      </c>
      <c r="F261" t="str">
        <f>CONCATENATE("'",ALUMNOS!H263,"'")</f>
        <v>'IÑIGUEZ PULIDO HECTOR BERNARDO'</v>
      </c>
      <c r="G261" t="str">
        <f>CONCATENATE("'",ALUMNOS!I263,"'")</f>
        <v>'INGENIERIA AEROESPACIAL'</v>
      </c>
      <c r="H261" t="str">
        <f>CONCATENATE("'",ALUMNOS!J263,"'")</f>
        <v>'6to'</v>
      </c>
      <c r="I261" t="str">
        <f>CONCATENATE("'",ALUMNOS!K263,"'")</f>
        <v>'Masculino'</v>
      </c>
      <c r="J261" t="str">
        <f>CONCATENATE("'",ALUMNOS!L263,"'")</f>
        <v>'Activo'</v>
      </c>
      <c r="K261" t="str">
        <f t="shared" si="17"/>
        <v>1260,'LICENCIATURA','hectorbernardo.iñiguezpulido','110520','TOMAR DEL SND','IÑIGUEZ PULIDO HECTOR BERNARDO','INGENIERIA AEROESPACIAL','6to','MASCULINO','ACTIVO','',0,0,'','ALUMNO'</v>
      </c>
      <c r="L261" t="str">
        <f t="shared" si="16"/>
        <v>INSERT INTO participantes (id,nivel,correo,matricula,clave,nombre,carrera,grado,sexo,situacion,evaluados,num_evaluados,total_evaluaciones,ultimo_acceso,nivel_acceso) VALUES (1260,'LICENCIATURA','hectorbernardo.iñiguezpulido','110520','TOMAR DEL SND','IÑIGUEZ PULIDO HECTOR BERNARDO','INGENIERIA AEROESPACIAL','6to','MASCULINO','ACTIVO','',0,0,'','ALUMNO');</v>
      </c>
      <c r="M261" t="str">
        <f t="shared" si="18"/>
        <v>update participantes set correo='hectorbernardo.iñiguezpulido' where id=1260;</v>
      </c>
    </row>
    <row r="262" spans="1:13" x14ac:dyDescent="0.25">
      <c r="A262">
        <f t="shared" si="19"/>
        <v>1261</v>
      </c>
      <c r="B262" s="3" t="s">
        <v>2103</v>
      </c>
      <c r="C262" t="str">
        <f>CONCATENATE("'",ALUMNOS!E264,"'")</f>
        <v>'hectorenrique.mariscalsanchez'</v>
      </c>
      <c r="D262" t="str">
        <f>CONCATENATE(ALUMNOS!F264,"'")</f>
        <v>'111154'</v>
      </c>
      <c r="E262" t="s">
        <v>2723</v>
      </c>
      <c r="F262" t="str">
        <f>CONCATENATE("'",ALUMNOS!H264,"'")</f>
        <v>'MARISCAL SANCHEZ HECTOR ENRIQUE'</v>
      </c>
      <c r="G262" t="str">
        <f>CONCATENATE("'",ALUMNOS!I264,"'")</f>
        <v>'INGENIERIA CIBERNETICA Y EN SISTEMAS COMPUTACIONALES'</v>
      </c>
      <c r="H262" t="str">
        <f>CONCATENATE("'",ALUMNOS!J264,"'")</f>
        <v>'4to'</v>
      </c>
      <c r="I262" t="str">
        <f>CONCATENATE("'",ALUMNOS!K264,"'")</f>
        <v>'Masculino'</v>
      </c>
      <c r="J262" t="str">
        <f>CONCATENATE("'",ALUMNOS!L264,"'")</f>
        <v>'Activo'</v>
      </c>
      <c r="K262" t="str">
        <f t="shared" si="17"/>
        <v>1261,'LICENCIATURA','hectorenrique.mariscalsanchez','111154','TOMAR DEL SND','MARISCAL SANCHEZ HECTOR ENRIQUE','INGENIERIA CIBERNETICA Y EN SISTEMAS COMPUTACIONALES','4to','MASCULINO','ACTIVO','',0,0,'','ALUMNO'</v>
      </c>
      <c r="L262" t="str">
        <f t="shared" si="16"/>
        <v>INSERT INTO participantes (id,nivel,correo,matricula,clave,nombre,carrera,grado,sexo,situacion,evaluados,num_evaluados,total_evaluaciones,ultimo_acceso,nivel_acceso) VALUES (1261,'LICENCIATURA','hectorenrique.mariscalsanchez','111154','TOMAR DEL SND','MARISCAL SANCHEZ HECTOR ENRIQUE','INGENIERIA CIBERNETICA Y EN SISTEMAS COMPUTACIONALES','4to','MASCULINO','ACTIVO','',0,0,'','ALUMNO');</v>
      </c>
      <c r="M262" t="str">
        <f t="shared" si="18"/>
        <v>update participantes set correo='hectorenrique.mariscalsanchez' where id=1261;</v>
      </c>
    </row>
    <row r="263" spans="1:13" x14ac:dyDescent="0.25">
      <c r="A263">
        <f t="shared" si="19"/>
        <v>1262</v>
      </c>
      <c r="B263" s="3" t="s">
        <v>2103</v>
      </c>
      <c r="C263" t="str">
        <f>CONCATENATE("'",ALUMNOS!E265,"'")</f>
        <v>'hectorfabian.gonzalezdeloza'</v>
      </c>
      <c r="D263" t="str">
        <f>CONCATENATE(ALUMNOS!F265,"'")</f>
        <v>'111809'</v>
      </c>
      <c r="E263" t="s">
        <v>2723</v>
      </c>
      <c r="F263" t="str">
        <f>CONCATENATE("'",ALUMNOS!H265,"'")</f>
        <v>'GONZALEZ DE LOZA HECTOR FABIAN'</v>
      </c>
      <c r="G263" t="str">
        <f>CONCATENATE("'",ALUMNOS!I265,"'")</f>
        <v>'INGENIERÍA AUTOMOTRIZ'</v>
      </c>
      <c r="H263" t="str">
        <f>CONCATENATE("'",ALUMNOS!J265,"'")</f>
        <v>'2do'</v>
      </c>
      <c r="I263" t="str">
        <f>CONCATENATE("'",ALUMNOS!K265,"'")</f>
        <v>'Masculino'</v>
      </c>
      <c r="J263" t="str">
        <f>CONCATENATE("'",ALUMNOS!L265,"'")</f>
        <v>'Activo'</v>
      </c>
      <c r="K263" t="str">
        <f t="shared" si="17"/>
        <v>1262,'LICENCIATURA','hectorfabian.gonzalezdeloza','111809','TOMAR DEL SND','GONZALEZ DE LOZA HECTOR FABIAN','INGENIERÍA AUTOMOTRIZ','2do','MASCULINO','ACTIVO','',0,0,'','ALUMNO'</v>
      </c>
      <c r="L263" t="str">
        <f t="shared" si="16"/>
        <v>INSERT INTO participantes (id,nivel,correo,matricula,clave,nombre,carrera,grado,sexo,situacion,evaluados,num_evaluados,total_evaluaciones,ultimo_acceso,nivel_acceso) VALUES (1262,'LICENCIATURA','hectorfabian.gonzalezdeloza','111809','TOMAR DEL SND','GONZALEZ DE LOZA HECTOR FABIAN','INGENIERÍA AUTOMOTRIZ','2do','MASCULINO','ACTIVO','',0,0,'','ALUMNO');</v>
      </c>
      <c r="M263" t="str">
        <f t="shared" si="18"/>
        <v>update participantes set correo='hectorfabian.gonzalezdeloza' where id=1262;</v>
      </c>
    </row>
    <row r="264" spans="1:13" x14ac:dyDescent="0.25">
      <c r="A264">
        <f t="shared" si="19"/>
        <v>1263</v>
      </c>
      <c r="B264" s="3" t="s">
        <v>2103</v>
      </c>
      <c r="C264" t="str">
        <f>CONCATENATE("'",ALUMNOS!E266,"'")</f>
        <v>'hectororlando.valdiviaanguiano'</v>
      </c>
      <c r="D264" t="str">
        <f>CONCATENATE(ALUMNOS!F266,"'")</f>
        <v>'111326'</v>
      </c>
      <c r="E264" t="s">
        <v>2723</v>
      </c>
      <c r="F264" t="str">
        <f>CONCATENATE("'",ALUMNOS!H266,"'")</f>
        <v>'VALDIVIA ANGUIANO HECTOR ORLANDO'</v>
      </c>
      <c r="G264" t="str">
        <f>CONCATENATE("'",ALUMNOS!I266,"'")</f>
        <v>'INGENIERÍA AUTOMOTRIZ'</v>
      </c>
      <c r="H264" t="str">
        <f>CONCATENATE("'",ALUMNOS!J266,"'")</f>
        <v>'4to'</v>
      </c>
      <c r="I264" t="str">
        <f>CONCATENATE("'",ALUMNOS!K266,"'")</f>
        <v>'Masculino'</v>
      </c>
      <c r="J264" t="str">
        <f>CONCATENATE("'",ALUMNOS!L266,"'")</f>
        <v>'Activo'</v>
      </c>
      <c r="K264" t="str">
        <f t="shared" si="17"/>
        <v>1263,'LICENCIATURA','hectororlando.valdiviaanguiano','111326','TOMAR DEL SND','VALDIVIA ANGUIANO HECTOR ORLANDO','INGENIERÍA AUTOMOTRIZ','4to','MASCULINO','ACTIVO','',0,0,'','ALUMNO'</v>
      </c>
      <c r="L264" t="str">
        <f t="shared" si="16"/>
        <v>INSERT INTO participantes (id,nivel,correo,matricula,clave,nombre,carrera,grado,sexo,situacion,evaluados,num_evaluados,total_evaluaciones,ultimo_acceso,nivel_acceso) VALUES (1263,'LICENCIATURA','hectororlando.valdiviaanguiano','111326','TOMAR DEL SND','VALDIVIA ANGUIANO HECTOR ORLANDO','INGENIERÍA AUTOMOTRIZ','4to','MASCULINO','ACTIVO','',0,0,'','ALUMNO');</v>
      </c>
      <c r="M264" t="str">
        <f t="shared" si="18"/>
        <v>update participantes set correo='hectororlando.valdiviaanguiano' where id=1263;</v>
      </c>
    </row>
    <row r="265" spans="1:13" x14ac:dyDescent="0.25">
      <c r="A265">
        <f t="shared" si="19"/>
        <v>1264</v>
      </c>
      <c r="B265" s="3" t="s">
        <v>2103</v>
      </c>
      <c r="C265" t="str">
        <f>CONCATENATE("'",ALUMNOS!E267,"'")</f>
        <v>'heli.serranogonzalez'</v>
      </c>
      <c r="D265" t="str">
        <f>CONCATENATE(ALUMNOS!F267,"'")</f>
        <v>'111686'</v>
      </c>
      <c r="E265" t="s">
        <v>2723</v>
      </c>
      <c r="F265" t="str">
        <f>CONCATENATE("'",ALUMNOS!H267,"'")</f>
        <v>'SERRANO GONZALEZ HELI'</v>
      </c>
      <c r="G265" t="str">
        <f>CONCATENATE("'",ALUMNOS!I267,"'")</f>
        <v>'INGENIERIA AEROESPACIAL'</v>
      </c>
      <c r="H265" t="str">
        <f>CONCATENATE("'",ALUMNOS!J267,"'")</f>
        <v>'2do'</v>
      </c>
      <c r="I265" t="str">
        <f>CONCATENATE("'",ALUMNOS!K267,"'")</f>
        <v>'Femenino'</v>
      </c>
      <c r="J265" t="str">
        <f>CONCATENATE("'",ALUMNOS!L267,"'")</f>
        <v>'Activo'</v>
      </c>
      <c r="K265" t="str">
        <f t="shared" si="17"/>
        <v>1264,'LICENCIATURA','heli.serranogonzalez','111686','TOMAR DEL SND','SERRANO GONZALEZ HELI','INGENIERIA AEROESPACIAL','2do','FEMENINO','ACTIVO','',0,0,'','ALUMNO'</v>
      </c>
      <c r="L265" t="str">
        <f t="shared" si="16"/>
        <v>INSERT INTO participantes (id,nivel,correo,matricula,clave,nombre,carrera,grado,sexo,situacion,evaluados,num_evaluados,total_evaluaciones,ultimo_acceso,nivel_acceso) VALUES (1264,'LICENCIATURA','heli.serranogonzalez','111686','TOMAR DEL SND','SERRANO GONZALEZ HELI','INGENIERIA AEROESPACIAL','2do','FEMENINO','ACTIVO','',0,0,'','ALUMNO');</v>
      </c>
      <c r="M265" t="str">
        <f t="shared" si="18"/>
        <v>update participantes set correo='heli.serranogonzalez' where id=1264;</v>
      </c>
    </row>
    <row r="266" spans="1:13" x14ac:dyDescent="0.25">
      <c r="A266">
        <f t="shared" si="19"/>
        <v>1265</v>
      </c>
      <c r="B266" s="3" t="s">
        <v>2103</v>
      </c>
      <c r="C266" t="str">
        <f>CONCATENATE("'",ALUMNOS!E268,"'")</f>
        <v>'heribertosamuel.ibarrasalazar'</v>
      </c>
      <c r="D266" t="str">
        <f>CONCATENATE(ALUMNOS!F268,"'")</f>
        <v>'109475'</v>
      </c>
      <c r="E266" t="s">
        <v>2723</v>
      </c>
      <c r="F266" t="str">
        <f>CONCATENATE("'",ALUMNOS!H268,"'")</f>
        <v>'IBARRA SALAZAR HERIBERTO SAMUEL'</v>
      </c>
      <c r="G266" t="str">
        <f>CONCATENATE("'",ALUMNOS!I268,"'")</f>
        <v>'INGENIERIA AEROESPACIAL'</v>
      </c>
      <c r="H266" t="str">
        <f>CONCATENATE("'",ALUMNOS!J268,"'")</f>
        <v>'10mo'</v>
      </c>
      <c r="I266" t="str">
        <f>CONCATENATE("'",ALUMNOS!K268,"'")</f>
        <v>'Masculino'</v>
      </c>
      <c r="J266" t="str">
        <f>CONCATENATE("'",ALUMNOS!L268,"'")</f>
        <v>'Activo'</v>
      </c>
      <c r="K266" t="str">
        <f t="shared" si="17"/>
        <v>1265,'LICENCIATURA','heribertosamuel.ibarrasalazar','109475','TOMAR DEL SND','IBARRA SALAZAR HERIBERTO SAMUEL','INGENIERIA AEROESPACIAL','10mo','MASCULINO','ACTIVO','',0,0,'','ALUMNO'</v>
      </c>
      <c r="L266" t="str">
        <f t="shared" si="16"/>
        <v>INSERT INTO participantes (id,nivel,correo,matricula,clave,nombre,carrera,grado,sexo,situacion,evaluados,num_evaluados,total_evaluaciones,ultimo_acceso,nivel_acceso) VALUES (1265,'LICENCIATURA','heribertosamuel.ibarrasalazar','109475','TOMAR DEL SND','IBARRA SALAZAR HERIBERTO SAMUEL','INGENIERIA AEROESPACIAL','10mo','MASCULINO','ACTIVO','',0,0,'','ALUMNO');</v>
      </c>
      <c r="M266" t="str">
        <f t="shared" si="18"/>
        <v>update participantes set correo='heribertosamuel.ibarrasalazar' where id=1265;</v>
      </c>
    </row>
    <row r="267" spans="1:13" x14ac:dyDescent="0.25">
      <c r="A267">
        <f t="shared" si="19"/>
        <v>1266</v>
      </c>
      <c r="B267" s="3" t="s">
        <v>2103</v>
      </c>
      <c r="C267" t="str">
        <f>CONCATENATE("'",ALUMNOS!E269,"'")</f>
        <v>'hermelinda.hernandezhernandez'</v>
      </c>
      <c r="D267" t="str">
        <f>CONCATENATE(ALUMNOS!F269,"'")</f>
        <v>'110617'</v>
      </c>
      <c r="E267" t="s">
        <v>2723</v>
      </c>
      <c r="F267" t="str">
        <f>CONCATENATE("'",ALUMNOS!H269,"'")</f>
        <v>'HERNANDEZ HERNANDEZ HERMELINDA'</v>
      </c>
      <c r="G267" t="str">
        <f>CONCATENATE("'",ALUMNOS!I269,"'")</f>
        <v>'DISEÑO GRAFICO Y DIGITAL'</v>
      </c>
      <c r="H267" t="str">
        <f>CONCATENATE("'",ALUMNOS!J269,"'")</f>
        <v>'4to'</v>
      </c>
      <c r="I267" t="str">
        <f>CONCATENATE("'",ALUMNOS!K269,"'")</f>
        <v>'Femenino'</v>
      </c>
      <c r="J267" t="str">
        <f>CONCATENATE("'",ALUMNOS!L269,"'")</f>
        <v>'Activo'</v>
      </c>
      <c r="K267" t="str">
        <f t="shared" si="17"/>
        <v>1266,'LICENCIATURA','hermelinda.hernandezhernandez','110617','TOMAR DEL SND','HERNANDEZ HERNANDEZ HERMELINDA','DISEÑO GRAFICO Y DIGITAL','4to','FEMENINO','ACTIVO','',0,0,'','ALUMNO'</v>
      </c>
      <c r="L267" t="str">
        <f t="shared" si="16"/>
        <v>INSERT INTO participantes (id,nivel,correo,matricula,clave,nombre,carrera,grado,sexo,situacion,evaluados,num_evaluados,total_evaluaciones,ultimo_acceso,nivel_acceso) VALUES (1266,'LICENCIATURA','hermelinda.hernandezhernandez','110617','TOMAR DEL SND','HERNANDEZ HERNANDEZ HERMELINDA','DISEÑO GRAFICO Y DIGITAL','4to','FEMENINO','ACTIVO','',0,0,'','ALUMNO');</v>
      </c>
      <c r="M267" t="str">
        <f t="shared" si="18"/>
        <v>update participantes set correo='hermelinda.hernandezhernandez' where id=1266;</v>
      </c>
    </row>
    <row r="268" spans="1:13" x14ac:dyDescent="0.25">
      <c r="A268">
        <f t="shared" si="19"/>
        <v>1267</v>
      </c>
      <c r="B268" s="3" t="s">
        <v>2103</v>
      </c>
      <c r="C268" t="str">
        <f>CONCATENATE("'",ALUMNOS!E270,"'")</f>
        <v>'hugoalberto.velazquezvega'</v>
      </c>
      <c r="D268" t="str">
        <f>CONCATENATE(ALUMNOS!F270,"'")</f>
        <v>'109996'</v>
      </c>
      <c r="E268" t="s">
        <v>2723</v>
      </c>
      <c r="F268" t="str">
        <f>CONCATENATE("'",ALUMNOS!H270,"'")</f>
        <v>'VELAZQUEZ VEGA HUGO ALBERTO'</v>
      </c>
      <c r="G268" t="str">
        <f>CONCATENATE("'",ALUMNOS!I270,"'")</f>
        <v>'ARQUITECTURA'</v>
      </c>
      <c r="H268" t="str">
        <f>CONCATENATE("'",ALUMNOS!J270,"'")</f>
        <v>'8vo'</v>
      </c>
      <c r="I268" t="str">
        <f>CONCATENATE("'",ALUMNOS!K270,"'")</f>
        <v>'Masculino'</v>
      </c>
      <c r="J268" t="str">
        <f>CONCATENATE("'",ALUMNOS!L270,"'")</f>
        <v>'Activo'</v>
      </c>
      <c r="K268" t="str">
        <f t="shared" si="17"/>
        <v>1267,'LICENCIATURA','hugoalberto.velazquezvega','109996','TOMAR DEL SND','VELAZQUEZ VEGA HUGO ALBERTO','ARQUITECTURA','8vo','MASCULINO','ACTIVO','',0,0,'','ALUMNO'</v>
      </c>
      <c r="L268" t="str">
        <f t="shared" si="16"/>
        <v>INSERT INTO participantes (id,nivel,correo,matricula,clave,nombre,carrera,grado,sexo,situacion,evaluados,num_evaluados,total_evaluaciones,ultimo_acceso,nivel_acceso) VALUES (1267,'LICENCIATURA','hugoalberto.velazquezvega','109996','TOMAR DEL SND','VELAZQUEZ VEGA HUGO ALBERTO','ARQUITECTURA','8vo','MASCULINO','ACTIVO','',0,0,'','ALUMNO');</v>
      </c>
      <c r="M268" t="str">
        <f t="shared" si="18"/>
        <v>update participantes set correo='hugoalberto.velazquezvega' where id=1267;</v>
      </c>
    </row>
    <row r="269" spans="1:13" x14ac:dyDescent="0.25">
      <c r="A269">
        <f t="shared" si="19"/>
        <v>1268</v>
      </c>
      <c r="B269" s="3" t="s">
        <v>2103</v>
      </c>
      <c r="C269" t="str">
        <f>CONCATENATE("'",ALUMNOS!E271,"'")</f>
        <v>'ianfernando.barraganlagos'</v>
      </c>
      <c r="D269" t="str">
        <f>CONCATENATE(ALUMNOS!F271,"'")</f>
        <v>'111671'</v>
      </c>
      <c r="E269" t="s">
        <v>2723</v>
      </c>
      <c r="F269" t="str">
        <f>CONCATENATE("'",ALUMNOS!H271,"'")</f>
        <v>'BARRAGAN LAGOS IAN FERNANDO'</v>
      </c>
      <c r="G269" t="str">
        <f>CONCATENATE("'",ALUMNOS!I271,"'")</f>
        <v>'INGENIERÍA AUTOMOTRIZ'</v>
      </c>
      <c r="H269" t="str">
        <f>CONCATENATE("'",ALUMNOS!J271,"'")</f>
        <v>'2do'</v>
      </c>
      <c r="I269" t="str">
        <f>CONCATENATE("'",ALUMNOS!K271,"'")</f>
        <v>'Masculino'</v>
      </c>
      <c r="J269" t="str">
        <f>CONCATENATE("'",ALUMNOS!L271,"'")</f>
        <v>'Activo'</v>
      </c>
      <c r="K269" t="str">
        <f t="shared" si="17"/>
        <v>1268,'LICENCIATURA','ianfernando.barraganlagos','111671','TOMAR DEL SND','BARRAGAN LAGOS IAN FERNANDO','INGENIERÍA AUTOMOTRIZ','2do','MASCULINO','ACTIVO','',0,0,'','ALUMNO'</v>
      </c>
      <c r="L269" t="str">
        <f t="shared" si="16"/>
        <v>INSERT INTO participantes (id,nivel,correo,matricula,clave,nombre,carrera,grado,sexo,situacion,evaluados,num_evaluados,total_evaluaciones,ultimo_acceso,nivel_acceso) VALUES (1268,'LICENCIATURA','ianfernando.barraganlagos','111671','TOMAR DEL SND','BARRAGAN LAGOS IAN FERNANDO','INGENIERÍA AUTOMOTRIZ','2do','MASCULINO','ACTIVO','',0,0,'','ALUMNO');</v>
      </c>
      <c r="M269" t="str">
        <f t="shared" si="18"/>
        <v>update participantes set correo='ianfernando.barraganlagos' where id=1268;</v>
      </c>
    </row>
    <row r="270" spans="1:13" x14ac:dyDescent="0.25">
      <c r="A270">
        <f t="shared" si="19"/>
        <v>1269</v>
      </c>
      <c r="B270" s="3" t="s">
        <v>2103</v>
      </c>
      <c r="C270" t="str">
        <f>CONCATENATE("'",ALUMNOS!E272,"'")</f>
        <v>'ilichlenin.dejesusprado'</v>
      </c>
      <c r="D270" t="str">
        <f>CONCATENATE(ALUMNOS!F272,"'")</f>
        <v>'111756'</v>
      </c>
      <c r="E270" t="s">
        <v>2723</v>
      </c>
      <c r="F270" t="str">
        <f>CONCATENATE("'",ALUMNOS!H272,"'")</f>
        <v>'DE JESUS PRADO ILICH LENIN'</v>
      </c>
      <c r="G270" t="str">
        <f>CONCATENATE("'",ALUMNOS!I272,"'")</f>
        <v>'INGENIERÍA AUTOMOTRIZ'</v>
      </c>
      <c r="H270" t="str">
        <f>CONCATENATE("'",ALUMNOS!J272,"'")</f>
        <v>'2do'</v>
      </c>
      <c r="I270" t="str">
        <f>CONCATENATE("'",ALUMNOS!K272,"'")</f>
        <v>'Masculino'</v>
      </c>
      <c r="J270" t="str">
        <f>CONCATENATE("'",ALUMNOS!L272,"'")</f>
        <v>'Activo'</v>
      </c>
      <c r="K270" t="str">
        <f t="shared" si="17"/>
        <v>1269,'LICENCIATURA','ilichlenin.dejesusprado','111756','TOMAR DEL SND','DE JESUS PRADO ILICH LENIN','INGENIERÍA AUTOMOTRIZ','2do','MASCULINO','ACTIVO','',0,0,'','ALUMNO'</v>
      </c>
      <c r="L270" t="str">
        <f t="shared" si="16"/>
        <v>INSERT INTO participantes (id,nivel,correo,matricula,clave,nombre,carrera,grado,sexo,situacion,evaluados,num_evaluados,total_evaluaciones,ultimo_acceso,nivel_acceso) VALUES (1269,'LICENCIATURA','ilichlenin.dejesusprado','111756','TOMAR DEL SND','DE JESUS PRADO ILICH LENIN','INGENIERÍA AUTOMOTRIZ','2do','MASCULINO','ACTIVO','',0,0,'','ALUMNO');</v>
      </c>
      <c r="M270" t="str">
        <f t="shared" si="18"/>
        <v>update participantes set correo='ilichlenin.dejesusprado' where id=1269;</v>
      </c>
    </row>
    <row r="271" spans="1:13" x14ac:dyDescent="0.25">
      <c r="A271">
        <f t="shared" si="19"/>
        <v>1270</v>
      </c>
      <c r="B271" s="3" t="s">
        <v>2103</v>
      </c>
      <c r="C271" t="str">
        <f>CONCATENATE("'",ALUMNOS!E273,"'")</f>
        <v>'irvingalejandro.rodriguezmartinez'</v>
      </c>
      <c r="D271" t="str">
        <f>CONCATENATE(ALUMNOS!F273,"'")</f>
        <v>'006990'</v>
      </c>
      <c r="E271" t="s">
        <v>2723</v>
      </c>
      <c r="F271" t="str">
        <f>CONCATENATE("'",ALUMNOS!H273,"'")</f>
        <v>'RODRIGUEZ MARTINEZ IRVING ALEJANDRO'</v>
      </c>
      <c r="G271" t="str">
        <f>CONCATENATE("'",ALUMNOS!I273,"'")</f>
        <v>'MERCADOTECNIA Y PUBLICIDAD'</v>
      </c>
      <c r="H271" t="str">
        <f>CONCATENATE("'",ALUMNOS!J273,"'")</f>
        <v>'6to'</v>
      </c>
      <c r="I271" t="str">
        <f>CONCATENATE("'",ALUMNOS!K273,"'")</f>
        <v>'Masculino'</v>
      </c>
      <c r="J271" t="str">
        <f>CONCATENATE("'",ALUMNOS!L273,"'")</f>
        <v>'Activo'</v>
      </c>
      <c r="K271" t="str">
        <f t="shared" si="17"/>
        <v>1270,'LICENCIATURA','irvingalejandro.rodriguezmartinez','006990','TOMAR DEL SND','RODRIGUEZ MARTINEZ IRVING ALEJANDRO','MERCADOTECNIA Y PUBLICIDAD','6to','MASCULINO','ACTIVO','',0,0,'','ALUMNO'</v>
      </c>
      <c r="L271" t="str">
        <f t="shared" si="16"/>
        <v>INSERT INTO participantes (id,nivel,correo,matricula,clave,nombre,carrera,grado,sexo,situacion,evaluados,num_evaluados,total_evaluaciones,ultimo_acceso,nivel_acceso) VALUES (1270,'LICENCIATURA','irvingalejandro.rodriguezmartinez','006990','TOMAR DEL SND','RODRIGUEZ MARTINEZ IRVING ALEJANDRO','MERCADOTECNIA Y PUBLICIDAD','6to','MASCULINO','ACTIVO','',0,0,'','ALUMNO');</v>
      </c>
      <c r="M271" t="str">
        <f t="shared" si="18"/>
        <v>update participantes set correo='irvingalejandro.rodriguezmartinez' where id=1270;</v>
      </c>
    </row>
    <row r="272" spans="1:13" x14ac:dyDescent="0.25">
      <c r="A272">
        <f t="shared" si="19"/>
        <v>1271</v>
      </c>
      <c r="B272" s="3" t="s">
        <v>2103</v>
      </c>
      <c r="C272" t="str">
        <f>CONCATENATE("'",ALUMNOS!E274,"'")</f>
        <v>'isaac.vazquezcardona'</v>
      </c>
      <c r="D272" t="str">
        <f>CONCATENATE(ALUMNOS!F274,"'")</f>
        <v>'111673'</v>
      </c>
      <c r="E272" t="s">
        <v>2723</v>
      </c>
      <c r="F272" t="str">
        <f>CONCATENATE("'",ALUMNOS!H274,"'")</f>
        <v>'VAZQUEZ CARDONA ISAAC'</v>
      </c>
      <c r="G272" t="str">
        <f>CONCATENATE("'",ALUMNOS!I274,"'")</f>
        <v>'INGENIERIA AEROESPACIAL'</v>
      </c>
      <c r="H272" t="str">
        <f>CONCATENATE("'",ALUMNOS!J274,"'")</f>
        <v>'2do'</v>
      </c>
      <c r="I272" t="str">
        <f>CONCATENATE("'",ALUMNOS!K274,"'")</f>
        <v>'Masculino'</v>
      </c>
      <c r="J272" t="str">
        <f>CONCATENATE("'",ALUMNOS!L274,"'")</f>
        <v>'Activo'</v>
      </c>
      <c r="K272" t="str">
        <f t="shared" si="17"/>
        <v>1271,'LICENCIATURA','isaac.vazquezcardona','111673','TOMAR DEL SND','VAZQUEZ CARDONA ISAAC','INGENIERIA AEROESPACIAL','2do','MASCULINO','ACTIVO','',0,0,'','ALUMNO'</v>
      </c>
      <c r="L272" t="str">
        <f t="shared" si="16"/>
        <v>INSERT INTO participantes (id,nivel,correo,matricula,clave,nombre,carrera,grado,sexo,situacion,evaluados,num_evaluados,total_evaluaciones,ultimo_acceso,nivel_acceso) VALUES (1271,'LICENCIATURA','isaac.vazquezcardona','111673','TOMAR DEL SND','VAZQUEZ CARDONA ISAAC','INGENIERIA AEROESPACIAL','2do','MASCULINO','ACTIVO','',0,0,'','ALUMNO');</v>
      </c>
      <c r="M272" t="str">
        <f t="shared" si="18"/>
        <v>update participantes set correo='isaac.vazquezcardona' where id=1271;</v>
      </c>
    </row>
    <row r="273" spans="1:13" x14ac:dyDescent="0.25">
      <c r="A273">
        <f t="shared" si="19"/>
        <v>1272</v>
      </c>
      <c r="B273" s="3" t="s">
        <v>2103</v>
      </c>
      <c r="C273" t="str">
        <f>CONCATENATE("'",ALUMNOS!E275,"'")</f>
        <v>'isaacemiliano.chavezsaavedra'</v>
      </c>
      <c r="D273" t="str">
        <f>CONCATENATE(ALUMNOS!F275,"'")</f>
        <v>'111800'</v>
      </c>
      <c r="E273" t="s">
        <v>2723</v>
      </c>
      <c r="F273" t="str">
        <f>CONCATENATE("'",ALUMNOS!H275,"'")</f>
        <v>'CHAVEZ SAAVEDRA ISAAC EMILIANO'</v>
      </c>
      <c r="G273" t="str">
        <f>CONCATENATE("'",ALUMNOS!I275,"'")</f>
        <v>'INGENIERÍA AUTOMOTRIZ'</v>
      </c>
      <c r="H273" t="str">
        <f>CONCATENATE("'",ALUMNOS!J275,"'")</f>
        <v>'2do'</v>
      </c>
      <c r="I273" t="str">
        <f>CONCATENATE("'",ALUMNOS!K275,"'")</f>
        <v>'Masculino'</v>
      </c>
      <c r="J273" t="str">
        <f>CONCATENATE("'",ALUMNOS!L275,"'")</f>
        <v>'Activo'</v>
      </c>
      <c r="K273" t="str">
        <f t="shared" si="17"/>
        <v>1272,'LICENCIATURA','isaacemiliano.chavezsaavedra','111800','TOMAR DEL SND','CHAVEZ SAAVEDRA ISAAC EMILIANO','INGENIERÍA AUTOMOTRIZ','2do','MASCULINO','ACTIVO','',0,0,'','ALUMNO'</v>
      </c>
      <c r="L273" t="str">
        <f t="shared" si="16"/>
        <v>INSERT INTO participantes (id,nivel,correo,matricula,clave,nombre,carrera,grado,sexo,situacion,evaluados,num_evaluados,total_evaluaciones,ultimo_acceso,nivel_acceso) VALUES (1272,'LICENCIATURA','isaacemiliano.chavezsaavedra','111800','TOMAR DEL SND','CHAVEZ SAAVEDRA ISAAC EMILIANO','INGENIERÍA AUTOMOTRIZ','2do','MASCULINO','ACTIVO','',0,0,'','ALUMNO');</v>
      </c>
      <c r="M273" t="str">
        <f t="shared" si="18"/>
        <v>update participantes set correo='isaacemiliano.chavezsaavedra' where id=1272;</v>
      </c>
    </row>
    <row r="274" spans="1:13" x14ac:dyDescent="0.25">
      <c r="A274">
        <f t="shared" si="19"/>
        <v>1273</v>
      </c>
      <c r="B274" s="3" t="s">
        <v>2103</v>
      </c>
      <c r="C274" t="str">
        <f>CONCATENATE("'",ALUMNOS!E276,"'")</f>
        <v>'isaacemmanuel.arteagasandoval'</v>
      </c>
      <c r="D274" t="str">
        <f>CONCATENATE(ALUMNOS!F276,"'")</f>
        <v>'111736'</v>
      </c>
      <c r="E274" t="s">
        <v>2723</v>
      </c>
      <c r="F274" t="str">
        <f>CONCATENATE("'",ALUMNOS!H276,"'")</f>
        <v>'ARTEAGA SANDOVAL ISAAC EMMANUEL'</v>
      </c>
      <c r="G274" t="str">
        <f>CONCATENATE("'",ALUMNOS!I276,"'")</f>
        <v>'INGENIERÍA AUTOMOTRIZ'</v>
      </c>
      <c r="H274" t="str">
        <f>CONCATENATE("'",ALUMNOS!J276,"'")</f>
        <v>'2do'</v>
      </c>
      <c r="I274" t="str">
        <f>CONCATENATE("'",ALUMNOS!K276,"'")</f>
        <v>'Masculino'</v>
      </c>
      <c r="J274" t="str">
        <f>CONCATENATE("'",ALUMNOS!L276,"'")</f>
        <v>'Activo'</v>
      </c>
      <c r="K274" t="str">
        <f t="shared" si="17"/>
        <v>1273,'LICENCIATURA','isaacemmanuel.arteagasandoval','111736','TOMAR DEL SND','ARTEAGA SANDOVAL ISAAC EMMANUEL','INGENIERÍA AUTOMOTRIZ','2do','MASCULINO','ACTIVO','',0,0,'','ALUMNO'</v>
      </c>
      <c r="L274" t="str">
        <f t="shared" si="16"/>
        <v>INSERT INTO participantes (id,nivel,correo,matricula,clave,nombre,carrera,grado,sexo,situacion,evaluados,num_evaluados,total_evaluaciones,ultimo_acceso,nivel_acceso) VALUES (1273,'LICENCIATURA','isaacemmanuel.arteagasandoval','111736','TOMAR DEL SND','ARTEAGA SANDOVAL ISAAC EMMANUEL','INGENIERÍA AUTOMOTRIZ','2do','MASCULINO','ACTIVO','',0,0,'','ALUMNO');</v>
      </c>
      <c r="M274" t="str">
        <f t="shared" si="18"/>
        <v>update participantes set correo='isaacemmanuel.arteagasandoval' where id=1273;</v>
      </c>
    </row>
    <row r="275" spans="1:13" x14ac:dyDescent="0.25">
      <c r="A275">
        <f t="shared" si="19"/>
        <v>1274</v>
      </c>
      <c r="B275" s="3" t="s">
        <v>2103</v>
      </c>
      <c r="C275" t="str">
        <f>CONCATENATE("'",ALUMNOS!E277,"'")</f>
        <v>'isabelhiromi.inukaimorales'</v>
      </c>
      <c r="D275" t="str">
        <f>CONCATENATE(ALUMNOS!F277,"'")</f>
        <v>'111766'</v>
      </c>
      <c r="E275" t="s">
        <v>2723</v>
      </c>
      <c r="F275" t="str">
        <f>CONCATENATE("'",ALUMNOS!H277,"'")</f>
        <v>'INUKAI MORALES ISABEL HIROMI'</v>
      </c>
      <c r="G275" t="str">
        <f>CONCATENATE("'",ALUMNOS!I277,"'")</f>
        <v>'ANIMACION DIGITAL Y VIDEOJUEGOS'</v>
      </c>
      <c r="H275" t="str">
        <f>CONCATENATE("'",ALUMNOS!J277,"'")</f>
        <v>'2do'</v>
      </c>
      <c r="I275" t="str">
        <f>CONCATENATE("'",ALUMNOS!K277,"'")</f>
        <v>'Femenino'</v>
      </c>
      <c r="J275" t="str">
        <f>CONCATENATE("'",ALUMNOS!L277,"'")</f>
        <v>'Activo'</v>
      </c>
      <c r="K275" t="str">
        <f t="shared" si="17"/>
        <v>1274,'LICENCIATURA','isabelhiromi.inukaimorales','111766','TOMAR DEL SND','INUKAI MORALES ISABEL HIROMI','ANIMACION DIGITAL Y VIDEOJUEGOS','2do','FEMENINO','ACTIVO','',0,0,'','ALUMNO'</v>
      </c>
      <c r="L275" t="str">
        <f t="shared" si="16"/>
        <v>INSERT INTO participantes (id,nivel,correo,matricula,clave,nombre,carrera,grado,sexo,situacion,evaluados,num_evaluados,total_evaluaciones,ultimo_acceso,nivel_acceso) VALUES (1274,'LICENCIATURA','isabelhiromi.inukaimorales','111766','TOMAR DEL SND','INUKAI MORALES ISABEL HIROMI','ANIMACION DIGITAL Y VIDEOJUEGOS','2do','FEMENINO','ACTIVO','',0,0,'','ALUMNO');</v>
      </c>
      <c r="M275" t="str">
        <f t="shared" si="18"/>
        <v>update participantes set correo='isabelhiromi.inukaimorales' where id=1274;</v>
      </c>
    </row>
    <row r="276" spans="1:13" x14ac:dyDescent="0.25">
      <c r="A276">
        <f t="shared" si="19"/>
        <v>1275</v>
      </c>
      <c r="B276" s="3" t="s">
        <v>2103</v>
      </c>
      <c r="C276" t="str">
        <f>CONCATENATE("'",ALUMNOS!E278,"'")</f>
        <v>'isabella.goribarloza'</v>
      </c>
      <c r="D276" t="str">
        <f>CONCATENATE(ALUMNOS!F278,"'")</f>
        <v>'111654'</v>
      </c>
      <c r="E276" t="s">
        <v>2723</v>
      </c>
      <c r="F276" t="str">
        <f>CONCATENATE("'",ALUMNOS!H278,"'")</f>
        <v>'GORIBAR LOZA ISABELLA'</v>
      </c>
      <c r="G276" t="str">
        <f>CONCATENATE("'",ALUMNOS!I278,"'")</f>
        <v>'PSICOLOGIA'</v>
      </c>
      <c r="H276" t="str">
        <f>CONCATENATE("'",ALUMNOS!J278,"'")</f>
        <v>'2do'</v>
      </c>
      <c r="I276" t="str">
        <f>CONCATENATE("'",ALUMNOS!K278,"'")</f>
        <v>'Femenino'</v>
      </c>
      <c r="J276" t="str">
        <f>CONCATENATE("'",ALUMNOS!L278,"'")</f>
        <v>'Activo'</v>
      </c>
      <c r="K276" t="str">
        <f t="shared" si="17"/>
        <v>1275,'LICENCIATURA','isabella.goribarloza','111654','TOMAR DEL SND','GORIBAR LOZA ISABELLA','PSICOLOGIA','2do','FEMENINO','ACTIVO','',0,0,'','ALUMNO'</v>
      </c>
      <c r="L276" t="str">
        <f t="shared" si="16"/>
        <v>INSERT INTO participantes (id,nivel,correo,matricula,clave,nombre,carrera,grado,sexo,situacion,evaluados,num_evaluados,total_evaluaciones,ultimo_acceso,nivel_acceso) VALUES (1275,'LICENCIATURA','isabella.goribarloza','111654','TOMAR DEL SND','GORIBAR LOZA ISABELLA','PSICOLOGIA','2do','FEMENINO','ACTIVO','',0,0,'','ALUMNO');</v>
      </c>
      <c r="M276" t="str">
        <f t="shared" si="18"/>
        <v>update participantes set correo='isabella.goribarloza' where id=1275;</v>
      </c>
    </row>
    <row r="277" spans="1:13" x14ac:dyDescent="0.25">
      <c r="A277">
        <f t="shared" si="19"/>
        <v>1276</v>
      </c>
      <c r="B277" s="3" t="s">
        <v>2103</v>
      </c>
      <c r="C277" t="str">
        <f>CONCATENATE("'",ALUMNOS!E279,"'")</f>
        <v>'isabelladelosangeles.montielvargas'</v>
      </c>
      <c r="D277" t="str">
        <f>CONCATENATE(ALUMNOS!F279,"'")</f>
        <v>'110488'</v>
      </c>
      <c r="E277" t="s">
        <v>2723</v>
      </c>
      <c r="F277" t="str">
        <f>CONCATENATE("'",ALUMNOS!H279,"'")</f>
        <v>'MONTIEL VARGAS ISABELLA DE LOS ANGELES'</v>
      </c>
      <c r="G277" t="str">
        <f>CONCATENATE("'",ALUMNOS!I279,"'")</f>
        <v>'INGENIERIA AEROESPACIAL'</v>
      </c>
      <c r="H277" t="str">
        <f>CONCATENATE("'",ALUMNOS!J279,"'")</f>
        <v>'5to'</v>
      </c>
      <c r="I277" t="str">
        <f>CONCATENATE("'",ALUMNOS!K279,"'")</f>
        <v>'Femenino'</v>
      </c>
      <c r="J277" t="str">
        <f>CONCATENATE("'",ALUMNOS!L279,"'")</f>
        <v>'Activo'</v>
      </c>
      <c r="K277" t="str">
        <f t="shared" si="17"/>
        <v>1276,'LICENCIATURA','isabelladelosangeles.montielvargas','110488','TOMAR DEL SND','MONTIEL VARGAS ISABELLA DE LOS ANGELES','INGENIERIA AEROESPACIAL','5to','FEMENINO','ACTIVO','',0,0,'','ALUMNO'</v>
      </c>
      <c r="L277" t="str">
        <f t="shared" si="16"/>
        <v>INSERT INTO participantes (id,nivel,correo,matricula,clave,nombre,carrera,grado,sexo,situacion,evaluados,num_evaluados,total_evaluaciones,ultimo_acceso,nivel_acceso) VALUES (1276,'LICENCIATURA','isabelladelosangeles.montielvargas','110488','TOMAR DEL SND','MONTIEL VARGAS ISABELLA DE LOS ANGELES','INGENIERIA AEROESPACIAL','5to','FEMENINO','ACTIVO','',0,0,'','ALUMNO');</v>
      </c>
      <c r="M277" t="str">
        <f t="shared" si="18"/>
        <v>update participantes set correo='isabelladelosangeles.montielvargas' where id=1276;</v>
      </c>
    </row>
    <row r="278" spans="1:13" x14ac:dyDescent="0.25">
      <c r="A278">
        <f t="shared" si="19"/>
        <v>1277</v>
      </c>
      <c r="B278" s="3" t="s">
        <v>2103</v>
      </c>
      <c r="C278" t="str">
        <f>CONCATENATE("'",ALUMNOS!E280,"'")</f>
        <v>'isabely.alvescornejo'</v>
      </c>
      <c r="D278" t="str">
        <f>CONCATENATE(ALUMNOS!F280,"'")</f>
        <v>'110714'</v>
      </c>
      <c r="E278" t="s">
        <v>2723</v>
      </c>
      <c r="F278" t="str">
        <f>CONCATENATE("'",ALUMNOS!H280,"'")</f>
        <v>'ALVES CORNEJO ISABELY'</v>
      </c>
      <c r="G278" t="str">
        <f>CONCATENATE("'",ALUMNOS!I280,"'")</f>
        <v>'NUTRICION Y GASTRONOMIA'</v>
      </c>
      <c r="H278" t="str">
        <f>CONCATENATE("'",ALUMNOS!J280,"'")</f>
        <v>'6to'</v>
      </c>
      <c r="I278" t="str">
        <f>CONCATENATE("'",ALUMNOS!K280,"'")</f>
        <v>'Femenino'</v>
      </c>
      <c r="J278" t="str">
        <f>CONCATENATE("'",ALUMNOS!L280,"'")</f>
        <v>'Activo'</v>
      </c>
      <c r="K278" t="str">
        <f t="shared" si="17"/>
        <v>1277,'LICENCIATURA','isabely.alvescornejo','110714','TOMAR DEL SND','ALVES CORNEJO ISABELY','NUTRICION Y GASTRONOMIA','6to','FEMENINO','ACTIVO','',0,0,'','ALUMNO'</v>
      </c>
      <c r="L278" t="str">
        <f t="shared" si="16"/>
        <v>INSERT INTO participantes (id,nivel,correo,matricula,clave,nombre,carrera,grado,sexo,situacion,evaluados,num_evaluados,total_evaluaciones,ultimo_acceso,nivel_acceso) VALUES (1277,'LICENCIATURA','isabely.alvescornejo','110714','TOMAR DEL SND','ALVES CORNEJO ISABELY','NUTRICION Y GASTRONOMIA','6to','FEMENINO','ACTIVO','',0,0,'','ALUMNO');</v>
      </c>
      <c r="M278" t="str">
        <f t="shared" si="18"/>
        <v>update participantes set correo='isabely.alvescornejo' where id=1277;</v>
      </c>
    </row>
    <row r="279" spans="1:13" x14ac:dyDescent="0.25">
      <c r="A279">
        <f t="shared" si="19"/>
        <v>1278</v>
      </c>
      <c r="B279" s="3" t="s">
        <v>2103</v>
      </c>
      <c r="C279" t="str">
        <f>CONCATENATE("'",ALUMNOS!E281,"'")</f>
        <v>'isiscitlali.orozcorangel'</v>
      </c>
      <c r="D279" t="str">
        <f>CONCATENATE(ALUMNOS!F281,"'")</f>
        <v>'110218'</v>
      </c>
      <c r="E279" t="s">
        <v>2723</v>
      </c>
      <c r="F279" t="str">
        <f>CONCATENATE("'",ALUMNOS!H281,"'")</f>
        <v>'OROZCO RANGEL ISIS CITLALI'</v>
      </c>
      <c r="G279" t="str">
        <f>CONCATENATE("'",ALUMNOS!I281,"'")</f>
        <v>'NUTRICION Y GASTRONOMIA'</v>
      </c>
      <c r="H279" t="str">
        <f>CONCATENATE("'",ALUMNOS!J281,"'")</f>
        <v>'8vo'</v>
      </c>
      <c r="I279" t="str">
        <f>CONCATENATE("'",ALUMNOS!K281,"'")</f>
        <v>'Femenino'</v>
      </c>
      <c r="J279" t="str">
        <f>CONCATENATE("'",ALUMNOS!L281,"'")</f>
        <v>'Activo'</v>
      </c>
      <c r="K279" t="str">
        <f t="shared" si="17"/>
        <v>1278,'LICENCIATURA','isiscitlali.orozcorangel','110218','TOMAR DEL SND','OROZCO RANGEL ISIS CITLALI','NUTRICION Y GASTRONOMIA','8vo','FEMENINO','ACTIVO','',0,0,'','ALUMNO'</v>
      </c>
      <c r="L279" t="str">
        <f t="shared" si="16"/>
        <v>INSERT INTO participantes (id,nivel,correo,matricula,clave,nombre,carrera,grado,sexo,situacion,evaluados,num_evaluados,total_evaluaciones,ultimo_acceso,nivel_acceso) VALUES (1278,'LICENCIATURA','isiscitlali.orozcorangel','110218','TOMAR DEL SND','OROZCO RANGEL ISIS CITLALI','NUTRICION Y GASTRONOMIA','8vo','FEMENINO','ACTIVO','',0,0,'','ALUMNO');</v>
      </c>
      <c r="M279" t="str">
        <f t="shared" si="18"/>
        <v>update participantes set correo='isiscitlali.orozcorangel' where id=1278;</v>
      </c>
    </row>
    <row r="280" spans="1:13" x14ac:dyDescent="0.25">
      <c r="A280">
        <f t="shared" si="19"/>
        <v>1279</v>
      </c>
      <c r="B280" s="3" t="s">
        <v>2103</v>
      </c>
      <c r="C280" t="str">
        <f>CONCATENATE("'",ALUMNOS!E282,"'")</f>
        <v>'ismaeltadeo.riosflores'</v>
      </c>
      <c r="D280" t="str">
        <f>CONCATENATE(ALUMNOS!F282,"'")</f>
        <v>'111167'</v>
      </c>
      <c r="E280" t="s">
        <v>2723</v>
      </c>
      <c r="F280" t="str">
        <f>CONCATENATE("'",ALUMNOS!H282,"'")</f>
        <v>'RIOS FLORES ISMAEL TADEO'</v>
      </c>
      <c r="G280" t="str">
        <f>CONCATENATE("'",ALUMNOS!I282,"'")</f>
        <v>'DISEÑO GRAFICO Y DIGITAL'</v>
      </c>
      <c r="H280" t="str">
        <f>CONCATENATE("'",ALUMNOS!J282,"'")</f>
        <v>'4to'</v>
      </c>
      <c r="I280" t="str">
        <f>CONCATENATE("'",ALUMNOS!K282,"'")</f>
        <v>'Masculino'</v>
      </c>
      <c r="J280" t="str">
        <f>CONCATENATE("'",ALUMNOS!L282,"'")</f>
        <v>'Activo'</v>
      </c>
      <c r="K280" t="str">
        <f t="shared" si="17"/>
        <v>1279,'LICENCIATURA','ismaeltadeo.riosflores','111167','TOMAR DEL SND','RIOS FLORES ISMAEL TADEO','DISEÑO GRAFICO Y DIGITAL','4to','MASCULINO','ACTIVO','',0,0,'','ALUMNO'</v>
      </c>
      <c r="L280" t="str">
        <f t="shared" si="16"/>
        <v>INSERT INTO participantes (id,nivel,correo,matricula,clave,nombre,carrera,grado,sexo,situacion,evaluados,num_evaluados,total_evaluaciones,ultimo_acceso,nivel_acceso) VALUES (1279,'LICENCIATURA','ismaeltadeo.riosflores','111167','TOMAR DEL SND','RIOS FLORES ISMAEL TADEO','DISEÑO GRAFICO Y DIGITAL','4to','MASCULINO','ACTIVO','',0,0,'','ALUMNO');</v>
      </c>
      <c r="M280" t="str">
        <f t="shared" si="18"/>
        <v>update participantes set correo='ismaeltadeo.riosflores' where id=1279;</v>
      </c>
    </row>
    <row r="281" spans="1:13" x14ac:dyDescent="0.25">
      <c r="A281">
        <f t="shared" si="19"/>
        <v>1280</v>
      </c>
      <c r="B281" s="3" t="s">
        <v>2103</v>
      </c>
      <c r="C281" t="str">
        <f>CONCATENATE("'",ALUMNOS!E283,"'")</f>
        <v>'itzelalejandra.cornejobizarro'</v>
      </c>
      <c r="D281" t="str">
        <f>CONCATENATE(ALUMNOS!F283,"'")</f>
        <v>'109827'</v>
      </c>
      <c r="E281" t="s">
        <v>2723</v>
      </c>
      <c r="F281" t="str">
        <f>CONCATENATE("'",ALUMNOS!H283,"'")</f>
        <v>'CORNEJO BIZARRO ITZEL ALEJANDRA'</v>
      </c>
      <c r="G281" t="str">
        <f>CONCATENATE("'",ALUMNOS!I283,"'")</f>
        <v>'PSICOLOGIA'</v>
      </c>
      <c r="H281" t="str">
        <f>CONCATENATE("'",ALUMNOS!J283,"'")</f>
        <v>'8vo'</v>
      </c>
      <c r="I281" t="str">
        <f>CONCATENATE("'",ALUMNOS!K283,"'")</f>
        <v>'Femenino'</v>
      </c>
      <c r="J281" t="str">
        <f>CONCATENATE("'",ALUMNOS!L283,"'")</f>
        <v>'Activo'</v>
      </c>
      <c r="K281" t="str">
        <f t="shared" si="17"/>
        <v>1280,'LICENCIATURA','itzelalejandra.cornejobizarro','109827','TOMAR DEL SND','CORNEJO BIZARRO ITZEL ALEJANDRA','PSICOLOGIA','8vo','FEMENINO','ACTIVO','',0,0,'','ALUMNO'</v>
      </c>
      <c r="L281" t="str">
        <f t="shared" si="16"/>
        <v>INSERT INTO participantes (id,nivel,correo,matricula,clave,nombre,carrera,grado,sexo,situacion,evaluados,num_evaluados,total_evaluaciones,ultimo_acceso,nivel_acceso) VALUES (1280,'LICENCIATURA','itzelalejandra.cornejobizarro','109827','TOMAR DEL SND','CORNEJO BIZARRO ITZEL ALEJANDRA','PSICOLOGIA','8vo','FEMENINO','ACTIVO','',0,0,'','ALUMNO');</v>
      </c>
      <c r="M281" t="str">
        <f t="shared" si="18"/>
        <v>update participantes set correo='itzelalejandra.cornejobizarro' where id=1280;</v>
      </c>
    </row>
    <row r="282" spans="1:13" x14ac:dyDescent="0.25">
      <c r="A282">
        <f t="shared" si="19"/>
        <v>1281</v>
      </c>
      <c r="B282" s="3" t="s">
        <v>2103</v>
      </c>
      <c r="C282" t="str">
        <f>CONCATENATE("'",ALUMNOS!E284,"'")</f>
        <v>'itzelmontserrat.lunasanchez'</v>
      </c>
      <c r="D282" t="str">
        <f>CONCATENATE(ALUMNOS!F284,"'")</f>
        <v>'109476'</v>
      </c>
      <c r="E282" t="s">
        <v>2723</v>
      </c>
      <c r="F282" t="str">
        <f>CONCATENATE("'",ALUMNOS!H284,"'")</f>
        <v>'LUNA SANCHEZ ITZEL MONTSERRAT'</v>
      </c>
      <c r="G282" t="str">
        <f>CONCATENATE("'",ALUMNOS!I284,"'")</f>
        <v>'INGENIERIA AEROESPACIAL'</v>
      </c>
      <c r="H282" t="str">
        <f>CONCATENATE("'",ALUMNOS!J284,"'")</f>
        <v>'10mo'</v>
      </c>
      <c r="I282" t="str">
        <f>CONCATENATE("'",ALUMNOS!K284,"'")</f>
        <v>'Femenino'</v>
      </c>
      <c r="J282" t="str">
        <f>CONCATENATE("'",ALUMNOS!L284,"'")</f>
        <v>'Activo'</v>
      </c>
      <c r="K282" t="str">
        <f t="shared" si="17"/>
        <v>1281,'LICENCIATURA','itzelmontserrat.lunasanchez','109476','TOMAR DEL SND','LUNA SANCHEZ ITZEL MONTSERRAT','INGENIERIA AEROESPACIAL','10mo','FEMENINO','ACTIVO','',0,0,'','ALUMNO'</v>
      </c>
      <c r="L282" t="str">
        <f t="shared" si="16"/>
        <v>INSERT INTO participantes (id,nivel,correo,matricula,clave,nombre,carrera,grado,sexo,situacion,evaluados,num_evaluados,total_evaluaciones,ultimo_acceso,nivel_acceso) VALUES (1281,'LICENCIATURA','itzelmontserrat.lunasanchez','109476','TOMAR DEL SND','LUNA SANCHEZ ITZEL MONTSERRAT','INGENIERIA AEROESPACIAL','10mo','FEMENINO','ACTIVO','',0,0,'','ALUMNO');</v>
      </c>
      <c r="M282" t="str">
        <f t="shared" si="18"/>
        <v>update participantes set correo='itzelmontserrat.lunasanchez' where id=1281;</v>
      </c>
    </row>
    <row r="283" spans="1:13" x14ac:dyDescent="0.25">
      <c r="A283">
        <f t="shared" si="19"/>
        <v>1282</v>
      </c>
      <c r="B283" s="3" t="s">
        <v>2103</v>
      </c>
      <c r="C283" t="str">
        <f>CONCATENATE("'",ALUMNOS!E285,"'")</f>
        <v>'ivan.ruizfuentes'</v>
      </c>
      <c r="D283" t="str">
        <f>CONCATENATE(ALUMNOS!F285,"'")</f>
        <v>'110620'</v>
      </c>
      <c r="E283" t="s">
        <v>2723</v>
      </c>
      <c r="F283" t="str">
        <f>CONCATENATE("'",ALUMNOS!H285,"'")</f>
        <v>'RUIZ FUENTES IVAN'</v>
      </c>
      <c r="G283" t="str">
        <f>CONCATENATE("'",ALUMNOS!I285,"'")</f>
        <v>'ARQUITECTURA'</v>
      </c>
      <c r="H283" t="str">
        <f>CONCATENATE("'",ALUMNOS!J285,"'")</f>
        <v>'6to'</v>
      </c>
      <c r="I283" t="str">
        <f>CONCATENATE("'",ALUMNOS!K285,"'")</f>
        <v>'Masculino'</v>
      </c>
      <c r="J283" t="str">
        <f>CONCATENATE("'",ALUMNOS!L285,"'")</f>
        <v>'Activo'</v>
      </c>
      <c r="K283" t="str">
        <f t="shared" si="17"/>
        <v>1282,'LICENCIATURA','ivan.ruizfuentes','110620','TOMAR DEL SND','RUIZ FUENTES IVAN','ARQUITECTURA','6to','MASCULINO','ACTIVO','',0,0,'','ALUMNO'</v>
      </c>
      <c r="L283" t="str">
        <f t="shared" si="16"/>
        <v>INSERT INTO participantes (id,nivel,correo,matricula,clave,nombre,carrera,grado,sexo,situacion,evaluados,num_evaluados,total_evaluaciones,ultimo_acceso,nivel_acceso) VALUES (1282,'LICENCIATURA','ivan.ruizfuentes','110620','TOMAR DEL SND','RUIZ FUENTES IVAN','ARQUITECTURA','6to','MASCULINO','ACTIVO','',0,0,'','ALUMNO');</v>
      </c>
      <c r="M283" t="str">
        <f t="shared" si="18"/>
        <v>update participantes set correo='ivan.ruizfuentes' where id=1282;</v>
      </c>
    </row>
    <row r="284" spans="1:13" x14ac:dyDescent="0.25">
      <c r="A284">
        <f t="shared" si="19"/>
        <v>1283</v>
      </c>
      <c r="B284" s="3" t="s">
        <v>2103</v>
      </c>
      <c r="C284" t="str">
        <f>CONCATENATE("'",ALUMNOS!E286,"'")</f>
        <v>'ivanalberto.obregonfuentes'</v>
      </c>
      <c r="D284" t="str">
        <f>CONCATENATE(ALUMNOS!F286,"'")</f>
        <v>'110193'</v>
      </c>
      <c r="E284" t="s">
        <v>2723</v>
      </c>
      <c r="F284" t="str">
        <f>CONCATENATE("'",ALUMNOS!H286,"'")</f>
        <v>'OBREGON FUENTES IVAN ALBERTO'</v>
      </c>
      <c r="G284" t="str">
        <f>CONCATENATE("'",ALUMNOS!I286,"'")</f>
        <v>'ANIMACION DIGITAL Y VIDEOJUEGOS'</v>
      </c>
      <c r="H284" t="str">
        <f>CONCATENATE("'",ALUMNOS!J286,"'")</f>
        <v>'8vo'</v>
      </c>
      <c r="I284" t="str">
        <f>CONCATENATE("'",ALUMNOS!K286,"'")</f>
        <v>'Masculino'</v>
      </c>
      <c r="J284" t="str">
        <f>CONCATENATE("'",ALUMNOS!L286,"'")</f>
        <v>'Activo'</v>
      </c>
      <c r="K284" t="str">
        <f t="shared" si="17"/>
        <v>1283,'LICENCIATURA','ivanalberto.obregonfuentes','110193','TOMAR DEL SND','OBREGON FUENTES IVAN ALBERTO','ANIMACION DIGITAL Y VIDEOJUEGOS','8vo','MASCULINO','ACTIVO','',0,0,'','ALUMNO'</v>
      </c>
      <c r="L284" t="str">
        <f t="shared" si="16"/>
        <v>INSERT INTO participantes (id,nivel,correo,matricula,clave,nombre,carrera,grado,sexo,situacion,evaluados,num_evaluados,total_evaluaciones,ultimo_acceso,nivel_acceso) VALUES (1283,'LICENCIATURA','ivanalberto.obregonfuentes','110193','TOMAR DEL SND','OBREGON FUENTES IVAN ALBERTO','ANIMACION DIGITAL Y VIDEOJUEGOS','8vo','MASCULINO','ACTIVO','',0,0,'','ALUMNO');</v>
      </c>
      <c r="M284" t="str">
        <f t="shared" si="18"/>
        <v>update participantes set correo='ivanalberto.obregonfuentes' where id=1283;</v>
      </c>
    </row>
    <row r="285" spans="1:13" x14ac:dyDescent="0.25">
      <c r="A285">
        <f t="shared" si="19"/>
        <v>1284</v>
      </c>
      <c r="B285" s="3" t="s">
        <v>2103</v>
      </c>
      <c r="C285" t="str">
        <f>CONCATENATE("'",ALUMNOS!E287,"'")</f>
        <v>'ivana.grajalessainz'</v>
      </c>
      <c r="D285" t="str">
        <f>CONCATENATE(ALUMNOS!F287,"'")</f>
        <v>'109976'</v>
      </c>
      <c r="E285" t="s">
        <v>2723</v>
      </c>
      <c r="F285" t="str">
        <f>CONCATENATE("'",ALUMNOS!H287,"'")</f>
        <v>'GRAJALES SAINZ IVANA'</v>
      </c>
      <c r="G285" t="str">
        <f>CONCATENATE("'",ALUMNOS!I287,"'")</f>
        <v>'INGENIERIA AEROESPACIAL'</v>
      </c>
      <c r="H285" t="str">
        <f>CONCATENATE("'",ALUMNOS!J287,"'")</f>
        <v>'8vo'</v>
      </c>
      <c r="I285" t="str">
        <f>CONCATENATE("'",ALUMNOS!K287,"'")</f>
        <v>'Femenino'</v>
      </c>
      <c r="J285" t="str">
        <f>CONCATENATE("'",ALUMNOS!L287,"'")</f>
        <v>'Activo'</v>
      </c>
      <c r="K285" t="str">
        <f t="shared" si="17"/>
        <v>1284,'LICENCIATURA','ivana.grajalessainz','109976','TOMAR DEL SND','GRAJALES SAINZ IVANA','INGENIERIA AEROESPACIAL','8vo','FEMENINO','ACTIVO','',0,0,'','ALUMNO'</v>
      </c>
      <c r="L285" t="str">
        <f t="shared" si="16"/>
        <v>INSERT INTO participantes (id,nivel,correo,matricula,clave,nombre,carrera,grado,sexo,situacion,evaluados,num_evaluados,total_evaluaciones,ultimo_acceso,nivel_acceso) VALUES (1284,'LICENCIATURA','ivana.grajalessainz','109976','TOMAR DEL SND','GRAJALES SAINZ IVANA','INGENIERIA AEROESPACIAL','8vo','FEMENINO','ACTIVO','',0,0,'','ALUMNO');</v>
      </c>
      <c r="M285" t="str">
        <f t="shared" si="18"/>
        <v>update participantes set correo='ivana.grajalessainz' where id=1284;</v>
      </c>
    </row>
    <row r="286" spans="1:13" x14ac:dyDescent="0.25">
      <c r="A286">
        <f t="shared" si="19"/>
        <v>1285</v>
      </c>
      <c r="B286" s="3" t="s">
        <v>2103</v>
      </c>
      <c r="C286" t="str">
        <f>CONCATENATE("'",ALUMNOS!E288,"'")</f>
        <v>'jaazielalejandro.morenotoscano'</v>
      </c>
      <c r="D286" t="str">
        <f>CONCATENATE(ALUMNOS!F288,"'")</f>
        <v>'110570'</v>
      </c>
      <c r="E286" t="s">
        <v>2723</v>
      </c>
      <c r="F286" t="str">
        <f>CONCATENATE("'",ALUMNOS!H288,"'")</f>
        <v>'MORENO TOSCANO JAAZIEL ALEJANDRO'</v>
      </c>
      <c r="G286" t="str">
        <f>CONCATENATE("'",ALUMNOS!I288,"'")</f>
        <v>'INGENIERIA AEROESPACIAL'</v>
      </c>
      <c r="H286" t="str">
        <f>CONCATENATE("'",ALUMNOS!J288,"'")</f>
        <v>'6to'</v>
      </c>
      <c r="I286" t="str">
        <f>CONCATENATE("'",ALUMNOS!K288,"'")</f>
        <v>'Masculino'</v>
      </c>
      <c r="J286" t="str">
        <f>CONCATENATE("'",ALUMNOS!L288,"'")</f>
        <v>'Activo'</v>
      </c>
      <c r="K286" t="str">
        <f t="shared" si="17"/>
        <v>1285,'LICENCIATURA','jaazielalejandro.morenotoscano','110570','TOMAR DEL SND','MORENO TOSCANO JAAZIEL ALEJANDRO','INGENIERIA AEROESPACIAL','6to','MASCULINO','ACTIVO','',0,0,'','ALUMNO'</v>
      </c>
      <c r="L286" t="str">
        <f t="shared" si="16"/>
        <v>INSERT INTO participantes (id,nivel,correo,matricula,clave,nombre,carrera,grado,sexo,situacion,evaluados,num_evaluados,total_evaluaciones,ultimo_acceso,nivel_acceso) VALUES (1285,'LICENCIATURA','jaazielalejandro.morenotoscano','110570','TOMAR DEL SND','MORENO TOSCANO JAAZIEL ALEJANDRO','INGENIERIA AEROESPACIAL','6to','MASCULINO','ACTIVO','',0,0,'','ALUMNO');</v>
      </c>
      <c r="M286" t="str">
        <f t="shared" si="18"/>
        <v>update participantes set correo='jaazielalejandro.morenotoscano' where id=1285;</v>
      </c>
    </row>
    <row r="287" spans="1:13" x14ac:dyDescent="0.25">
      <c r="A287">
        <f t="shared" si="19"/>
        <v>1286</v>
      </c>
      <c r="B287" s="3" t="s">
        <v>2103</v>
      </c>
      <c r="C287" t="str">
        <f>CONCATENATE("'",ALUMNOS!E289,"'")</f>
        <v>'jackeline.hernandeztoscano'</v>
      </c>
      <c r="D287" t="str">
        <f>CONCATENATE(ALUMNOS!F289,"'")</f>
        <v>'111213'</v>
      </c>
      <c r="E287" t="s">
        <v>2723</v>
      </c>
      <c r="F287" t="str">
        <f>CONCATENATE("'",ALUMNOS!H289,"'")</f>
        <v>'HERNANDEZ  JACKELINE'</v>
      </c>
      <c r="G287" t="str">
        <f>CONCATENATE("'",ALUMNOS!I289,"'")</f>
        <v>'ARQUITECTURA'</v>
      </c>
      <c r="H287" t="str">
        <f>CONCATENATE("'",ALUMNOS!J289,"'")</f>
        <v>'4to'</v>
      </c>
      <c r="I287" t="str">
        <f>CONCATENATE("'",ALUMNOS!K289,"'")</f>
        <v>'Femenino'</v>
      </c>
      <c r="J287" t="str">
        <f>CONCATENATE("'",ALUMNOS!L289,"'")</f>
        <v>'Activo'</v>
      </c>
      <c r="K287" t="str">
        <f t="shared" si="17"/>
        <v>1286,'LICENCIATURA','jackeline.hernandeztoscano','111213','TOMAR DEL SND','HERNANDEZ  JACKELINE','ARQUITECTURA','4to','FEMENINO','ACTIVO','',0,0,'','ALUMNO'</v>
      </c>
      <c r="L287" t="str">
        <f t="shared" si="16"/>
        <v>INSERT INTO participantes (id,nivel,correo,matricula,clave,nombre,carrera,grado,sexo,situacion,evaluados,num_evaluados,total_evaluaciones,ultimo_acceso,nivel_acceso) VALUES (1286,'LICENCIATURA','jackeline.hernandeztoscano','111213','TOMAR DEL SND','HERNANDEZ  JACKELINE','ARQUITECTURA','4to','FEMENINO','ACTIVO','',0,0,'','ALUMNO');</v>
      </c>
      <c r="M287" t="str">
        <f t="shared" si="18"/>
        <v>update participantes set correo='jackeline.hernandeztoscano' where id=1286;</v>
      </c>
    </row>
    <row r="288" spans="1:13" x14ac:dyDescent="0.25">
      <c r="A288">
        <f t="shared" si="19"/>
        <v>1287</v>
      </c>
      <c r="B288" s="3" t="s">
        <v>2103</v>
      </c>
      <c r="C288" t="str">
        <f>CONCATENATE("'",ALUMNOS!E290,"'")</f>
        <v>'jadyn.mezacortes'</v>
      </c>
      <c r="D288" t="str">
        <f>CONCATENATE(ALUMNOS!F290,"'")</f>
        <v>'110425'</v>
      </c>
      <c r="E288" t="s">
        <v>2723</v>
      </c>
      <c r="F288" t="str">
        <f>CONCATENATE("'",ALUMNOS!H290,"'")</f>
        <v>'MEZA CORTES JADYN'</v>
      </c>
      <c r="G288" t="str">
        <f>CONCATENATE("'",ALUMNOS!I290,"'")</f>
        <v>'ANIMACION DIGITAL Y VIDEOJUEGOS'</v>
      </c>
      <c r="H288" t="str">
        <f>CONCATENATE("'",ALUMNOS!J290,"'")</f>
        <v>'6to'</v>
      </c>
      <c r="I288" t="str">
        <f>CONCATENATE("'",ALUMNOS!K290,"'")</f>
        <v>'Femenino'</v>
      </c>
      <c r="J288" t="str">
        <f>CONCATENATE("'",ALUMNOS!L290,"'")</f>
        <v>'Activo'</v>
      </c>
      <c r="K288" t="str">
        <f t="shared" si="17"/>
        <v>1287,'LICENCIATURA','jadyn.mezacortes','110425','TOMAR DEL SND','MEZA CORTES JADYN','ANIMACION DIGITAL Y VIDEOJUEGOS','6to','FEMENINO','ACTIVO','',0,0,'','ALUMNO'</v>
      </c>
      <c r="L288" t="str">
        <f t="shared" si="16"/>
        <v>INSERT INTO participantes (id,nivel,correo,matricula,clave,nombre,carrera,grado,sexo,situacion,evaluados,num_evaluados,total_evaluaciones,ultimo_acceso,nivel_acceso) VALUES (1287,'LICENCIATURA','jadyn.mezacortes','110425','TOMAR DEL SND','MEZA CORTES JADYN','ANIMACION DIGITAL Y VIDEOJUEGOS','6to','FEMENINO','ACTIVO','',0,0,'','ALUMNO');</v>
      </c>
      <c r="M288" t="str">
        <f t="shared" si="18"/>
        <v>update participantes set correo='jadyn.mezacortes' where id=1287;</v>
      </c>
    </row>
    <row r="289" spans="1:13" x14ac:dyDescent="0.25">
      <c r="A289">
        <f t="shared" si="19"/>
        <v>1288</v>
      </c>
      <c r="B289" s="3" t="s">
        <v>2103</v>
      </c>
      <c r="C289" t="str">
        <f>CONCATENATE("'",ALUMNOS!E291,"'")</f>
        <v>'jaimeemmanuel.gutierrezavila'</v>
      </c>
      <c r="D289" t="str">
        <f>CONCATENATE(ALUMNOS!F291,"'")</f>
        <v>'109993'</v>
      </c>
      <c r="E289" t="s">
        <v>2723</v>
      </c>
      <c r="F289" t="str">
        <f>CONCATENATE("'",ALUMNOS!H291,"'")</f>
        <v>'GUTIERREZ AVILA JAIME EMMANUEL'</v>
      </c>
      <c r="G289" t="str">
        <f>CONCATENATE("'",ALUMNOS!I291,"'")</f>
        <v>'INGENIERIA AEROESPACIAL'</v>
      </c>
      <c r="H289" t="str">
        <f>CONCATENATE("'",ALUMNOS!J291,"'")</f>
        <v>'8vo'</v>
      </c>
      <c r="I289" t="str">
        <f>CONCATENATE("'",ALUMNOS!K291,"'")</f>
        <v>'Masculino'</v>
      </c>
      <c r="J289" t="str">
        <f>CONCATENATE("'",ALUMNOS!L291,"'")</f>
        <v>'Activo'</v>
      </c>
      <c r="K289" t="str">
        <f t="shared" si="17"/>
        <v>1288,'LICENCIATURA','jaimeemmanuel.gutierrezavila','109993','TOMAR DEL SND','GUTIERREZ AVILA JAIME EMMANUEL','INGENIERIA AEROESPACIAL','8vo','MASCULINO','ACTIVO','',0,0,'','ALUMNO'</v>
      </c>
      <c r="L289" t="str">
        <f t="shared" si="16"/>
        <v>INSERT INTO participantes (id,nivel,correo,matricula,clave,nombre,carrera,grado,sexo,situacion,evaluados,num_evaluados,total_evaluaciones,ultimo_acceso,nivel_acceso) VALUES (1288,'LICENCIATURA','jaimeemmanuel.gutierrezavila','109993','TOMAR DEL SND','GUTIERREZ AVILA JAIME EMMANUEL','INGENIERIA AEROESPACIAL','8vo','MASCULINO','ACTIVO','',0,0,'','ALUMNO');</v>
      </c>
      <c r="M289" t="str">
        <f t="shared" si="18"/>
        <v>update participantes set correo='jaimeemmanuel.gutierrezavila' where id=1288;</v>
      </c>
    </row>
    <row r="290" spans="1:13" x14ac:dyDescent="0.25">
      <c r="A290">
        <f t="shared" si="19"/>
        <v>1289</v>
      </c>
      <c r="B290" s="3" t="s">
        <v>2103</v>
      </c>
      <c r="C290" t="str">
        <f>CONCATENATE("'",ALUMNOS!E292,"'")</f>
        <v>'jaimegabriel.muñozsandoval'</v>
      </c>
      <c r="D290" t="str">
        <f>CONCATENATE(ALUMNOS!F292,"'")</f>
        <v>'111762'</v>
      </c>
      <c r="E290" t="s">
        <v>2723</v>
      </c>
      <c r="F290" t="str">
        <f>CONCATENATE("'",ALUMNOS!H292,"'")</f>
        <v>'MUÑOZ SANDOVAL JAIME GABRIEL'</v>
      </c>
      <c r="G290" t="str">
        <f>CONCATENATE("'",ALUMNOS!I292,"'")</f>
        <v>'INGENIERIA AEROESPACIAL'</v>
      </c>
      <c r="H290" t="str">
        <f>CONCATENATE("'",ALUMNOS!J292,"'")</f>
        <v>'2do'</v>
      </c>
      <c r="I290" t="str">
        <f>CONCATENATE("'",ALUMNOS!K292,"'")</f>
        <v>'Masculino'</v>
      </c>
      <c r="J290" t="str">
        <f>CONCATENATE("'",ALUMNOS!L292,"'")</f>
        <v>'Activo'</v>
      </c>
      <c r="K290" t="str">
        <f t="shared" si="17"/>
        <v>1289,'LICENCIATURA','jaimegabriel.muñozsandoval','111762','TOMAR DEL SND','MUÑOZ SANDOVAL JAIME GABRIEL','INGENIERIA AEROESPACIAL','2do','MASCULINO','ACTIVO','',0,0,'','ALUMNO'</v>
      </c>
      <c r="L290" t="str">
        <f t="shared" si="16"/>
        <v>INSERT INTO participantes (id,nivel,correo,matricula,clave,nombre,carrera,grado,sexo,situacion,evaluados,num_evaluados,total_evaluaciones,ultimo_acceso,nivel_acceso) VALUES (1289,'LICENCIATURA','jaimegabriel.muñozsandoval','111762','TOMAR DEL SND','MUÑOZ SANDOVAL JAIME GABRIEL','INGENIERIA AEROESPACIAL','2do','MASCULINO','ACTIVO','',0,0,'','ALUMNO');</v>
      </c>
      <c r="M290" t="str">
        <f t="shared" si="18"/>
        <v>update participantes set correo='jaimegabriel.muñozsandoval' where id=1289;</v>
      </c>
    </row>
    <row r="291" spans="1:13" x14ac:dyDescent="0.25">
      <c r="A291">
        <f t="shared" si="19"/>
        <v>1290</v>
      </c>
      <c r="B291" s="3" t="s">
        <v>2103</v>
      </c>
      <c r="C291" t="str">
        <f>CONCATENATE("'",ALUMNOS!E293,"'")</f>
        <v>'janeth.quesneycabrera'</v>
      </c>
      <c r="D291" t="str">
        <f>CONCATENATE(ALUMNOS!F293,"'")</f>
        <v>'111731'</v>
      </c>
      <c r="E291" t="s">
        <v>2723</v>
      </c>
      <c r="F291" t="str">
        <f>CONCATENATE("'",ALUMNOS!H293,"'")</f>
        <v>'QUESNEY CABRERA JANETH'</v>
      </c>
      <c r="G291" t="str">
        <f>CONCATENATE("'",ALUMNOS!I293,"'")</f>
        <v>'ANIMACION DIGITAL Y VIDEOJUEGOS'</v>
      </c>
      <c r="H291" t="str">
        <f>CONCATENATE("'",ALUMNOS!J293,"'")</f>
        <v>'2do'</v>
      </c>
      <c r="I291" t="str">
        <f>CONCATENATE("'",ALUMNOS!K293,"'")</f>
        <v>'Femenino'</v>
      </c>
      <c r="J291" t="str">
        <f>CONCATENATE("'",ALUMNOS!L293,"'")</f>
        <v>'Activo'</v>
      </c>
      <c r="K291" t="str">
        <f t="shared" si="17"/>
        <v>1290,'LICENCIATURA','janeth.quesneycabrera','111731','TOMAR DEL SND','QUESNEY CABRERA JANETH','ANIMACION DIGITAL Y VIDEOJUEGOS','2do','FEMENINO','ACTIVO','',0,0,'','ALUMNO'</v>
      </c>
      <c r="L291" t="str">
        <f t="shared" si="16"/>
        <v>INSERT INTO participantes (id,nivel,correo,matricula,clave,nombre,carrera,grado,sexo,situacion,evaluados,num_evaluados,total_evaluaciones,ultimo_acceso,nivel_acceso) VALUES (1290,'LICENCIATURA','janeth.quesneycabrera','111731','TOMAR DEL SND','QUESNEY CABRERA JANETH','ANIMACION DIGITAL Y VIDEOJUEGOS','2do','FEMENINO','ACTIVO','',0,0,'','ALUMNO');</v>
      </c>
      <c r="M291" t="str">
        <f t="shared" si="18"/>
        <v>update participantes set correo='janeth.quesneycabrera' where id=1290;</v>
      </c>
    </row>
    <row r="292" spans="1:13" x14ac:dyDescent="0.25">
      <c r="A292">
        <f t="shared" si="19"/>
        <v>1291</v>
      </c>
      <c r="B292" s="3" t="s">
        <v>2103</v>
      </c>
      <c r="C292" t="str">
        <f>CONCATENATE("'",ALUMNOS!E294,"'")</f>
        <v>'javier.ayalaesparza'</v>
      </c>
      <c r="D292" t="str">
        <f>CONCATENATE(ALUMNOS!F294,"'")</f>
        <v>'111171'</v>
      </c>
      <c r="E292" t="s">
        <v>2723</v>
      </c>
      <c r="F292" t="str">
        <f>CONCATENATE("'",ALUMNOS!H294,"'")</f>
        <v>'AYALA ESPARZA JAVIER'</v>
      </c>
      <c r="G292" t="str">
        <f>CONCATENATE("'",ALUMNOS!I294,"'")</f>
        <v>'INGENIERÍA AUTOMOTRIZ'</v>
      </c>
      <c r="H292" t="str">
        <f>CONCATENATE("'",ALUMNOS!J294,"'")</f>
        <v>'4to'</v>
      </c>
      <c r="I292" t="str">
        <f>CONCATENATE("'",ALUMNOS!K294,"'")</f>
        <v>'Masculino'</v>
      </c>
      <c r="J292" t="str">
        <f>CONCATENATE("'",ALUMNOS!L294,"'")</f>
        <v>'Activo'</v>
      </c>
      <c r="K292" t="str">
        <f t="shared" si="17"/>
        <v>1291,'LICENCIATURA','javier.ayalaesparza','111171','TOMAR DEL SND','AYALA ESPARZA JAVIER','INGENIERÍA AUTOMOTRIZ','4to','MASCULINO','ACTIVO','',0,0,'','ALUMNO'</v>
      </c>
      <c r="L292" t="str">
        <f t="shared" si="16"/>
        <v>INSERT INTO participantes (id,nivel,correo,matricula,clave,nombre,carrera,grado,sexo,situacion,evaluados,num_evaluados,total_evaluaciones,ultimo_acceso,nivel_acceso) VALUES (1291,'LICENCIATURA','javier.ayalaesparza','111171','TOMAR DEL SND','AYALA ESPARZA JAVIER','INGENIERÍA AUTOMOTRIZ','4to','MASCULINO','ACTIVO','',0,0,'','ALUMNO');</v>
      </c>
      <c r="M292" t="str">
        <f t="shared" si="18"/>
        <v>update participantes set correo='javier.ayalaesparza' where id=1291;</v>
      </c>
    </row>
    <row r="293" spans="1:13" x14ac:dyDescent="0.25">
      <c r="A293">
        <f t="shared" si="19"/>
        <v>1292</v>
      </c>
      <c r="B293" s="3" t="s">
        <v>2103</v>
      </c>
      <c r="C293" t="str">
        <f>CONCATENATE("'",ALUMNOS!E295,"'")</f>
        <v>'javier.hernandezrendon'</v>
      </c>
      <c r="D293" t="str">
        <f>CONCATENATE(ALUMNOS!F295,"'")</f>
        <v>'110442'</v>
      </c>
      <c r="E293" t="s">
        <v>2723</v>
      </c>
      <c r="F293" t="str">
        <f>CONCATENATE("'",ALUMNOS!H295,"'")</f>
        <v>'HERNANDEZ RENDON JAVIER'</v>
      </c>
      <c r="G293" t="str">
        <f>CONCATENATE("'",ALUMNOS!I295,"'")</f>
        <v>'PSICOLOGIA'</v>
      </c>
      <c r="H293" t="str">
        <f>CONCATENATE("'",ALUMNOS!J295,"'")</f>
        <v>'6to'</v>
      </c>
      <c r="I293" t="str">
        <f>CONCATENATE("'",ALUMNOS!K295,"'")</f>
        <v>'Masculino'</v>
      </c>
      <c r="J293" t="str">
        <f>CONCATENATE("'",ALUMNOS!L295,"'")</f>
        <v>'Activo'</v>
      </c>
      <c r="K293" t="str">
        <f t="shared" si="17"/>
        <v>1292,'LICENCIATURA','javier.hernandezrendon','110442','TOMAR DEL SND','HERNANDEZ RENDON JAVIER','PSICOLOGIA','6to','MASCULINO','ACTIVO','',0,0,'','ALUMNO'</v>
      </c>
      <c r="L293" t="str">
        <f t="shared" si="16"/>
        <v>INSERT INTO participantes (id,nivel,correo,matricula,clave,nombre,carrera,grado,sexo,situacion,evaluados,num_evaluados,total_evaluaciones,ultimo_acceso,nivel_acceso) VALUES (1292,'LICENCIATURA','javier.hernandezrendon','110442','TOMAR DEL SND','HERNANDEZ RENDON JAVIER','PSICOLOGIA','6to','MASCULINO','ACTIVO','',0,0,'','ALUMNO');</v>
      </c>
      <c r="M293" t="str">
        <f t="shared" si="18"/>
        <v>update participantes set correo='javier.hernandezrendon' where id=1292;</v>
      </c>
    </row>
    <row r="294" spans="1:13" x14ac:dyDescent="0.25">
      <c r="A294">
        <f t="shared" si="19"/>
        <v>1293</v>
      </c>
      <c r="B294" s="3" t="s">
        <v>2103</v>
      </c>
      <c r="C294" t="str">
        <f>CONCATENATE("'",ALUMNOS!E296,"'")</f>
        <v>'javierandres.ariasescobar'</v>
      </c>
      <c r="D294" t="str">
        <f>CONCATENATE(ALUMNOS!F296,"'")</f>
        <v>'111330'</v>
      </c>
      <c r="E294" t="s">
        <v>2723</v>
      </c>
      <c r="F294" t="str">
        <f>CONCATENATE("'",ALUMNOS!H296,"'")</f>
        <v>'ARIAS ESCOBAR JAVIER ANDRES'</v>
      </c>
      <c r="G294" t="str">
        <f>CONCATENATE("'",ALUMNOS!I296,"'")</f>
        <v>'ANIMACION DIGITAL Y VIDEOJUEGOS'</v>
      </c>
      <c r="H294" t="str">
        <f>CONCATENATE("'",ALUMNOS!J296,"'")</f>
        <v>'2do'</v>
      </c>
      <c r="I294" t="str">
        <f>CONCATENATE("'",ALUMNOS!K296,"'")</f>
        <v>'Masculino'</v>
      </c>
      <c r="J294" t="str">
        <f>CONCATENATE("'",ALUMNOS!L296,"'")</f>
        <v>'Activo'</v>
      </c>
      <c r="K294" t="str">
        <f t="shared" si="17"/>
        <v>1293,'LICENCIATURA','javierandres.ariasescobar','111330','TOMAR DEL SND','ARIAS ESCOBAR JAVIER ANDRES','ANIMACION DIGITAL Y VIDEOJUEGOS','2do','MASCULINO','ACTIVO','',0,0,'','ALUMNO'</v>
      </c>
      <c r="L294" t="str">
        <f t="shared" si="16"/>
        <v>INSERT INTO participantes (id,nivel,correo,matricula,clave,nombre,carrera,grado,sexo,situacion,evaluados,num_evaluados,total_evaluaciones,ultimo_acceso,nivel_acceso) VALUES (1293,'LICENCIATURA','javierandres.ariasescobar','111330','TOMAR DEL SND','ARIAS ESCOBAR JAVIER ANDRES','ANIMACION DIGITAL Y VIDEOJUEGOS','2do','MASCULINO','ACTIVO','',0,0,'','ALUMNO');</v>
      </c>
      <c r="M294" t="str">
        <f t="shared" si="18"/>
        <v>update participantes set correo='javierandres.ariasescobar' where id=1293;</v>
      </c>
    </row>
    <row r="295" spans="1:13" x14ac:dyDescent="0.25">
      <c r="A295">
        <f t="shared" si="19"/>
        <v>1294</v>
      </c>
      <c r="B295" s="3" t="s">
        <v>2103</v>
      </c>
      <c r="C295" t="str">
        <f>CONCATENATE("'",ALUMNOS!E297,"'")</f>
        <v>'javierantonio.mariscalreyes'</v>
      </c>
      <c r="D295" t="str">
        <f>CONCATENATE(ALUMNOS!F297,"'")</f>
        <v>'111613'</v>
      </c>
      <c r="E295" t="s">
        <v>2723</v>
      </c>
      <c r="F295" t="str">
        <f>CONCATENATE("'",ALUMNOS!H297,"'")</f>
        <v>'MARISCAL REYES JAVIER ANTONIO'</v>
      </c>
      <c r="G295" t="str">
        <f>CONCATENATE("'",ALUMNOS!I297,"'")</f>
        <v>'INGENIERIA AEROESPACIAL'</v>
      </c>
      <c r="H295" t="str">
        <f>CONCATENATE("'",ALUMNOS!J297,"'")</f>
        <v>'2do'</v>
      </c>
      <c r="I295" t="str">
        <f>CONCATENATE("'",ALUMNOS!K297,"'")</f>
        <v>'Masculino'</v>
      </c>
      <c r="J295" t="str">
        <f>CONCATENATE("'",ALUMNOS!L297,"'")</f>
        <v>'Activo'</v>
      </c>
      <c r="K295" t="str">
        <f t="shared" si="17"/>
        <v>1294,'LICENCIATURA','javierantonio.mariscalreyes','111613','TOMAR DEL SND','MARISCAL REYES JAVIER ANTONIO','INGENIERIA AEROESPACIAL','2do','MASCULINO','ACTIVO','',0,0,'','ALUMNO'</v>
      </c>
      <c r="L295" t="str">
        <f t="shared" si="16"/>
        <v>INSERT INTO participantes (id,nivel,correo,matricula,clave,nombre,carrera,grado,sexo,situacion,evaluados,num_evaluados,total_evaluaciones,ultimo_acceso,nivel_acceso) VALUES (1294,'LICENCIATURA','javierantonio.mariscalreyes','111613','TOMAR DEL SND','MARISCAL REYES JAVIER ANTONIO','INGENIERIA AEROESPACIAL','2do','MASCULINO','ACTIVO','',0,0,'','ALUMNO');</v>
      </c>
      <c r="M295" t="str">
        <f t="shared" si="18"/>
        <v>update participantes set correo='javierantonio.mariscalreyes' where id=1294;</v>
      </c>
    </row>
    <row r="296" spans="1:13" x14ac:dyDescent="0.25">
      <c r="A296">
        <f t="shared" si="19"/>
        <v>1295</v>
      </c>
      <c r="B296" s="3" t="s">
        <v>2103</v>
      </c>
      <c r="C296" t="str">
        <f>CONCATENATE("'",ALUMNOS!E298,"'")</f>
        <v>'javiereduardo.aguilarlugo'</v>
      </c>
      <c r="D296" t="str">
        <f>CONCATENATE(ALUMNOS!F298,"'")</f>
        <v>'109958'</v>
      </c>
      <c r="E296" t="s">
        <v>2723</v>
      </c>
      <c r="F296" t="str">
        <f>CONCATENATE("'",ALUMNOS!H298,"'")</f>
        <v>'AGUILAR LUGO JAVIER EDUARDO'</v>
      </c>
      <c r="G296" t="str">
        <f>CONCATENATE("'",ALUMNOS!I298,"'")</f>
        <v>'INGENIERIA AEROESPACIAL'</v>
      </c>
      <c r="H296" t="str">
        <f>CONCATENATE("'",ALUMNOS!J298,"'")</f>
        <v>'8vo'</v>
      </c>
      <c r="I296" t="str">
        <f>CONCATENATE("'",ALUMNOS!K298,"'")</f>
        <v>'Masculino'</v>
      </c>
      <c r="J296" t="str">
        <f>CONCATENATE("'",ALUMNOS!L298,"'")</f>
        <v>'Activo'</v>
      </c>
      <c r="K296" t="str">
        <f t="shared" si="17"/>
        <v>1295,'LICENCIATURA','javiereduardo.aguilarlugo','109958','TOMAR DEL SND','AGUILAR LUGO JAVIER EDUARDO','INGENIERIA AEROESPACIAL','8vo','MASCULINO','ACTIVO','',0,0,'','ALUMNO'</v>
      </c>
      <c r="L296" t="str">
        <f t="shared" si="16"/>
        <v>INSERT INTO participantes (id,nivel,correo,matricula,clave,nombre,carrera,grado,sexo,situacion,evaluados,num_evaluados,total_evaluaciones,ultimo_acceso,nivel_acceso) VALUES (1295,'LICENCIATURA','javiereduardo.aguilarlugo','109958','TOMAR DEL SND','AGUILAR LUGO JAVIER EDUARDO','INGENIERIA AEROESPACIAL','8vo','MASCULINO','ACTIVO','',0,0,'','ALUMNO');</v>
      </c>
      <c r="M296" t="str">
        <f t="shared" si="18"/>
        <v>update participantes set correo='javiereduardo.aguilarlugo' where id=1295;</v>
      </c>
    </row>
    <row r="297" spans="1:13" x14ac:dyDescent="0.25">
      <c r="A297">
        <f t="shared" si="19"/>
        <v>1296</v>
      </c>
      <c r="B297" s="3" t="s">
        <v>2103</v>
      </c>
      <c r="C297" t="str">
        <f>CONCATENATE("'",ALUMNOS!E299,"'")</f>
        <v>'jazmin.fossatigarcia'</v>
      </c>
      <c r="D297" t="str">
        <f>CONCATENATE(ALUMNOS!F299,"'")</f>
        <v>'109896'</v>
      </c>
      <c r="E297" t="s">
        <v>2723</v>
      </c>
      <c r="F297" t="str">
        <f>CONCATENATE("'",ALUMNOS!H299,"'")</f>
        <v>'FOSSATI GARCIA JAZMIN'</v>
      </c>
      <c r="G297" t="str">
        <f>CONCATENATE("'",ALUMNOS!I299,"'")</f>
        <v>'NUTRICION Y GASTRONOMIA'</v>
      </c>
      <c r="H297" t="str">
        <f>CONCATENATE("'",ALUMNOS!J299,"'")</f>
        <v>'8vo'</v>
      </c>
      <c r="I297" t="str">
        <f>CONCATENATE("'",ALUMNOS!K299,"'")</f>
        <v>'Femenino'</v>
      </c>
      <c r="J297" t="str">
        <f>CONCATENATE("'",ALUMNOS!L299,"'")</f>
        <v>'Activo'</v>
      </c>
      <c r="K297" t="str">
        <f t="shared" si="17"/>
        <v>1296,'LICENCIATURA','jazmin.fossatigarcia','109896','TOMAR DEL SND','FOSSATI GARCIA JAZMIN','NUTRICION Y GASTRONOMIA','8vo','FEMENINO','ACTIVO','',0,0,'','ALUMNO'</v>
      </c>
      <c r="L297" t="str">
        <f t="shared" si="16"/>
        <v>INSERT INTO participantes (id,nivel,correo,matricula,clave,nombre,carrera,grado,sexo,situacion,evaluados,num_evaluados,total_evaluaciones,ultimo_acceso,nivel_acceso) VALUES (1296,'LICENCIATURA','jazmin.fossatigarcia','109896','TOMAR DEL SND','FOSSATI GARCIA JAZMIN','NUTRICION Y GASTRONOMIA','8vo','FEMENINO','ACTIVO','',0,0,'','ALUMNO');</v>
      </c>
      <c r="M297" t="str">
        <f t="shared" si="18"/>
        <v>update participantes set correo='jazmin.fossatigarcia' where id=1296;</v>
      </c>
    </row>
    <row r="298" spans="1:13" x14ac:dyDescent="0.25">
      <c r="A298">
        <f t="shared" si="19"/>
        <v>1297</v>
      </c>
      <c r="B298" s="3" t="s">
        <v>2103</v>
      </c>
      <c r="C298" t="str">
        <f>CONCATENATE("'",ALUMNOS!E301,"'")</f>
        <v>'jenniferivette.ortizmaya'</v>
      </c>
      <c r="D298" t="str">
        <f>CONCATENATE(ALUMNOS!F301,"'")</f>
        <v>'109352'</v>
      </c>
      <c r="E298" t="s">
        <v>2723</v>
      </c>
      <c r="F298" t="str">
        <f>CONCATENATE("'",ALUMNOS!H301,"'")</f>
        <v>'ORTIZ MAYA JENNIFER IVETTE'</v>
      </c>
      <c r="G298" t="str">
        <f>CONCATENATE("'",ALUMNOS!I301,"'")</f>
        <v>'DERECHO'</v>
      </c>
      <c r="H298" t="str">
        <f>CONCATENATE("'",ALUMNOS!J301,"'")</f>
        <v>'8vo'</v>
      </c>
      <c r="I298" t="str">
        <f>CONCATENATE("'",ALUMNOS!K301,"'")</f>
        <v>'Masculino'</v>
      </c>
      <c r="J298" t="str">
        <f>CONCATENATE("'",ALUMNOS!L301,"'")</f>
        <v>'Activo'</v>
      </c>
      <c r="K298" t="str">
        <f t="shared" si="17"/>
        <v>1297,'LICENCIATURA','jenniferivette.ortizmaya','109352','TOMAR DEL SND','ORTIZ MAYA JENNIFER IVETTE','DERECHO','8vo','MASCULINO','ACTIVO','',0,0,'','ALUMNO'</v>
      </c>
      <c r="L298" t="str">
        <f t="shared" si="16"/>
        <v>INSERT INTO participantes (id,nivel,correo,matricula,clave,nombre,carrera,grado,sexo,situacion,evaluados,num_evaluados,total_evaluaciones,ultimo_acceso,nivel_acceso) VALUES (1297,'LICENCIATURA','jenniferivette.ortizmaya','109352','TOMAR DEL SND','ORTIZ MAYA JENNIFER IVETTE','DERECHO','8vo','MASCULINO','ACTIVO','',0,0,'','ALUMNO');</v>
      </c>
      <c r="M298" t="str">
        <f t="shared" si="18"/>
        <v>update participantes set correo='jenniferivette.ortizmaya' where id=1297;</v>
      </c>
    </row>
    <row r="299" spans="1:13" x14ac:dyDescent="0.25">
      <c r="A299">
        <f t="shared" si="19"/>
        <v>1298</v>
      </c>
      <c r="B299" s="3" t="s">
        <v>2103</v>
      </c>
      <c r="C299" t="str">
        <f>CONCATENATE("'",ALUMNOS!E302,"'")</f>
        <v>'jessicaelizabeth.hernandezbriones'</v>
      </c>
      <c r="D299" t="str">
        <f>CONCATENATE(ALUMNOS!F302,"'")</f>
        <v>'109983'</v>
      </c>
      <c r="E299" t="s">
        <v>2723</v>
      </c>
      <c r="F299" t="str">
        <f>CONCATENATE("'",ALUMNOS!H302,"'")</f>
        <v>'HERNANDEZ BRIONES JESSICA ELIZABETH'</v>
      </c>
      <c r="G299" t="str">
        <f>CONCATENATE("'",ALUMNOS!I302,"'")</f>
        <v>'ANIMACION DIGITAL Y VIDEOJUEGOS'</v>
      </c>
      <c r="H299" t="str">
        <f>CONCATENATE("'",ALUMNOS!J302,"'")</f>
        <v>'8vo'</v>
      </c>
      <c r="I299" t="str">
        <f>CONCATENATE("'",ALUMNOS!K302,"'")</f>
        <v>'Femenino'</v>
      </c>
      <c r="J299" t="str">
        <f>CONCATENATE("'",ALUMNOS!L302,"'")</f>
        <v>'Activo'</v>
      </c>
      <c r="K299" t="str">
        <f t="shared" si="17"/>
        <v>1298,'LICENCIATURA','jessicaelizabeth.hernandezbriones','109983','TOMAR DEL SND','HERNANDEZ BRIONES JESSICA ELIZABETH','ANIMACION DIGITAL Y VIDEOJUEGOS','8vo','FEMENINO','ACTIVO','',0,0,'','ALUMNO'</v>
      </c>
      <c r="L299" t="str">
        <f t="shared" si="16"/>
        <v>INSERT INTO participantes (id,nivel,correo,matricula,clave,nombre,carrera,grado,sexo,situacion,evaluados,num_evaluados,total_evaluaciones,ultimo_acceso,nivel_acceso) VALUES (1298,'LICENCIATURA','jessicaelizabeth.hernandezbriones','109983','TOMAR DEL SND','HERNANDEZ BRIONES JESSICA ELIZABETH','ANIMACION DIGITAL Y VIDEOJUEGOS','8vo','FEMENINO','ACTIVO','',0,0,'','ALUMNO');</v>
      </c>
      <c r="M299" t="str">
        <f t="shared" si="18"/>
        <v>update participantes set correo='jessicaelizabeth.hernandezbriones' where id=1298;</v>
      </c>
    </row>
    <row r="300" spans="1:13" x14ac:dyDescent="0.25">
      <c r="A300">
        <f t="shared" si="19"/>
        <v>1299</v>
      </c>
      <c r="B300" s="3" t="s">
        <v>2103</v>
      </c>
      <c r="C300" t="str">
        <f>CONCATENATE("'",ALUMNOS!E303,"'")</f>
        <v>'jesusabraham.navarreteterrones'</v>
      </c>
      <c r="D300" t="str">
        <f>CONCATENATE(ALUMNOS!F303,"'")</f>
        <v>'111749'</v>
      </c>
      <c r="E300" t="s">
        <v>2723</v>
      </c>
      <c r="F300" t="str">
        <f>CONCATENATE("'",ALUMNOS!H303,"'")</f>
        <v>'NAVARRETE TERRONES JESUS ABRAHAM'</v>
      </c>
      <c r="G300" t="str">
        <f>CONCATENATE("'",ALUMNOS!I303,"'")</f>
        <v>'INGENIERIA AEROESPACIAL'</v>
      </c>
      <c r="H300" t="str">
        <f>CONCATENATE("'",ALUMNOS!J303,"'")</f>
        <v>'2do'</v>
      </c>
      <c r="I300" t="str">
        <f>CONCATENATE("'",ALUMNOS!K303,"'")</f>
        <v>'Masculino'</v>
      </c>
      <c r="J300" t="str">
        <f>CONCATENATE("'",ALUMNOS!L303,"'")</f>
        <v>'Activo'</v>
      </c>
      <c r="K300" t="str">
        <f t="shared" si="17"/>
        <v>1299,'LICENCIATURA','jesusabraham.navarreteterrones','111749','TOMAR DEL SND','NAVARRETE TERRONES JESUS ABRAHAM','INGENIERIA AEROESPACIAL','2do','MASCULINO','ACTIVO','',0,0,'','ALUMNO'</v>
      </c>
      <c r="L300" t="str">
        <f t="shared" si="16"/>
        <v>INSERT INTO participantes (id,nivel,correo,matricula,clave,nombre,carrera,grado,sexo,situacion,evaluados,num_evaluados,total_evaluaciones,ultimo_acceso,nivel_acceso) VALUES (1299,'LICENCIATURA','jesusabraham.navarreteterrones','111749','TOMAR DEL SND','NAVARRETE TERRONES JESUS ABRAHAM','INGENIERIA AEROESPACIAL','2do','MASCULINO','ACTIVO','',0,0,'','ALUMNO');</v>
      </c>
      <c r="M300" t="str">
        <f t="shared" si="18"/>
        <v>update participantes set correo='jesusabraham.navarreteterrones' where id=1299;</v>
      </c>
    </row>
    <row r="301" spans="1:13" x14ac:dyDescent="0.25">
      <c r="A301">
        <f t="shared" si="19"/>
        <v>1300</v>
      </c>
      <c r="B301" s="3" t="s">
        <v>2103</v>
      </c>
      <c r="C301" t="str">
        <f>CONCATENATE("'",ALUMNOS!E304,"'")</f>
        <v>'jesusalberto.matacastillo'</v>
      </c>
      <c r="D301" t="str">
        <f>CONCATENATE(ALUMNOS!F304,"'")</f>
        <v>'111062'</v>
      </c>
      <c r="E301" t="s">
        <v>2723</v>
      </c>
      <c r="F301" t="str">
        <f>CONCATENATE("'",ALUMNOS!H304,"'")</f>
        <v>'MATA CASTILLO JESUS ALBERTO'</v>
      </c>
      <c r="G301" t="str">
        <f>CONCATENATE("'",ALUMNOS!I304,"'")</f>
        <v>'INGENIERIA AEROESPACIAL'</v>
      </c>
      <c r="H301" t="str">
        <f>CONCATENATE("'",ALUMNOS!J304,"'")</f>
        <v>'4to'</v>
      </c>
      <c r="I301" t="str">
        <f>CONCATENATE("'",ALUMNOS!K304,"'")</f>
        <v>'Masculino'</v>
      </c>
      <c r="J301" t="str">
        <f>CONCATENATE("'",ALUMNOS!L304,"'")</f>
        <v>'Activo'</v>
      </c>
      <c r="K301" t="str">
        <f t="shared" si="17"/>
        <v>1300,'LICENCIATURA','jesusalberto.matacastillo','111062','TOMAR DEL SND','MATA CASTILLO JESUS ALBERTO','INGENIERIA AEROESPACIAL','4to','MASCULINO','ACTIVO','',0,0,'','ALUMNO'</v>
      </c>
      <c r="L301" t="str">
        <f t="shared" si="16"/>
        <v>INSERT INTO participantes (id,nivel,correo,matricula,clave,nombre,carrera,grado,sexo,situacion,evaluados,num_evaluados,total_evaluaciones,ultimo_acceso,nivel_acceso) VALUES (1300,'LICENCIATURA','jesusalberto.matacastillo','111062','TOMAR DEL SND','MATA CASTILLO JESUS ALBERTO','INGENIERIA AEROESPACIAL','4to','MASCULINO','ACTIVO','',0,0,'','ALUMNO');</v>
      </c>
      <c r="M301" t="str">
        <f t="shared" si="18"/>
        <v>update participantes set correo='jesusalberto.matacastillo' where id=1300;</v>
      </c>
    </row>
    <row r="302" spans="1:13" x14ac:dyDescent="0.25">
      <c r="A302">
        <f t="shared" si="19"/>
        <v>1301</v>
      </c>
      <c r="B302" s="3" t="s">
        <v>2103</v>
      </c>
      <c r="C302" t="str">
        <f>CONCATENATE("'",ALUMNOS!E305,"'")</f>
        <v>'jesusandres.moralesreyes'</v>
      </c>
      <c r="D302" t="str">
        <f>CONCATENATE(ALUMNOS!F305,"'")</f>
        <v>'111820'</v>
      </c>
      <c r="E302" t="s">
        <v>2723</v>
      </c>
      <c r="F302" t="str">
        <f>CONCATENATE("'",ALUMNOS!H305,"'")</f>
        <v>'MORALES REYES JESUS ANDRES'</v>
      </c>
      <c r="G302" t="str">
        <f>CONCATENATE("'",ALUMNOS!I305,"'")</f>
        <v>'PSICOLOGIA'</v>
      </c>
      <c r="H302" t="str">
        <f>CONCATENATE("'",ALUMNOS!J305,"'")</f>
        <v>'2do'</v>
      </c>
      <c r="I302" t="str">
        <f>CONCATENATE("'",ALUMNOS!K305,"'")</f>
        <v>'Masculino'</v>
      </c>
      <c r="J302" t="str">
        <f>CONCATENATE("'",ALUMNOS!L305,"'")</f>
        <v>'Activo'</v>
      </c>
      <c r="K302" t="str">
        <f t="shared" si="17"/>
        <v>1301,'LICENCIATURA','jesusandres.moralesreyes','111820','TOMAR DEL SND','MORALES REYES JESUS ANDRES','PSICOLOGIA','2do','MASCULINO','ACTIVO','',0,0,'','ALUMNO'</v>
      </c>
      <c r="L302" t="str">
        <f t="shared" si="16"/>
        <v>INSERT INTO participantes (id,nivel,correo,matricula,clave,nombre,carrera,grado,sexo,situacion,evaluados,num_evaluados,total_evaluaciones,ultimo_acceso,nivel_acceso) VALUES (1301,'LICENCIATURA','jesusandres.moralesreyes','111820','TOMAR DEL SND','MORALES REYES JESUS ANDRES','PSICOLOGIA','2do','MASCULINO','ACTIVO','',0,0,'','ALUMNO');</v>
      </c>
      <c r="M302" t="str">
        <f t="shared" si="18"/>
        <v>update participantes set correo='jesusandres.moralesreyes' where id=1301;</v>
      </c>
    </row>
    <row r="303" spans="1:13" x14ac:dyDescent="0.25">
      <c r="A303">
        <f t="shared" si="19"/>
        <v>1302</v>
      </c>
      <c r="B303" s="3" t="s">
        <v>2103</v>
      </c>
      <c r="C303" t="str">
        <f>CONCATENATE("'",ALUMNOS!E306,"'")</f>
        <v>'jesusantonio.romolara'</v>
      </c>
      <c r="D303" t="str">
        <f>CONCATENATE(ALUMNOS!F306,"'")</f>
        <v>'109838'</v>
      </c>
      <c r="E303" t="s">
        <v>2723</v>
      </c>
      <c r="F303" t="str">
        <f>CONCATENATE("'",ALUMNOS!H306,"'")</f>
        <v>'ROMO LARA JESUS ANTONIO'</v>
      </c>
      <c r="G303" t="str">
        <f>CONCATENATE("'",ALUMNOS!I306,"'")</f>
        <v>'MERCADOTECNIA Y PUBLICIDAD'</v>
      </c>
      <c r="H303" t="str">
        <f>CONCATENATE("'",ALUMNOS!J306,"'")</f>
        <v>'8vo'</v>
      </c>
      <c r="I303" t="str">
        <f>CONCATENATE("'",ALUMNOS!K306,"'")</f>
        <v>'Masculino'</v>
      </c>
      <c r="J303" t="str">
        <f>CONCATENATE("'",ALUMNOS!L306,"'")</f>
        <v>'Activo'</v>
      </c>
      <c r="K303" t="str">
        <f t="shared" si="17"/>
        <v>1302,'LICENCIATURA','jesusantonio.romolara','109838','TOMAR DEL SND','ROMO LARA JESUS ANTONIO','MERCADOTECNIA Y PUBLICIDAD','8vo','MASCULINO','ACTIVO','',0,0,'','ALUMNO'</v>
      </c>
      <c r="L303" t="str">
        <f t="shared" si="16"/>
        <v>INSERT INTO participantes (id,nivel,correo,matricula,clave,nombre,carrera,grado,sexo,situacion,evaluados,num_evaluados,total_evaluaciones,ultimo_acceso,nivel_acceso) VALUES (1302,'LICENCIATURA','jesusantonio.romolara','109838','TOMAR DEL SND','ROMO LARA JESUS ANTONIO','MERCADOTECNIA Y PUBLICIDAD','8vo','MASCULINO','ACTIVO','',0,0,'','ALUMNO');</v>
      </c>
      <c r="M303" t="str">
        <f t="shared" si="18"/>
        <v>update participantes set correo='jesusantonio.romolara' where id=1302;</v>
      </c>
    </row>
    <row r="304" spans="1:13" x14ac:dyDescent="0.25">
      <c r="A304">
        <f t="shared" si="19"/>
        <v>1303</v>
      </c>
      <c r="B304" s="3" t="s">
        <v>2103</v>
      </c>
      <c r="C304" t="str">
        <f>CONCATENATE("'",ALUMNOS!E307,"'")</f>
        <v>'jesusbenjamin.argandarubio'</v>
      </c>
      <c r="D304" t="str">
        <f>CONCATENATE(ALUMNOS!F307,"'")</f>
        <v>'111055'</v>
      </c>
      <c r="E304" t="s">
        <v>2723</v>
      </c>
      <c r="F304" t="str">
        <f>CONCATENATE("'",ALUMNOS!H307,"'")</f>
        <v>'ARGANDA RUBIO JESUS BENJAMIN'</v>
      </c>
      <c r="G304" t="str">
        <f>CONCATENATE("'",ALUMNOS!I307,"'")</f>
        <v>'ANIMACION DIGITAL Y VIDEOJUEGOS'</v>
      </c>
      <c r="H304" t="str">
        <f>CONCATENATE("'",ALUMNOS!J307,"'")</f>
        <v>'4to'</v>
      </c>
      <c r="I304" t="str">
        <f>CONCATENATE("'",ALUMNOS!K307,"'")</f>
        <v>'Masculino'</v>
      </c>
      <c r="J304" t="str">
        <f>CONCATENATE("'",ALUMNOS!L307,"'")</f>
        <v>'Activo'</v>
      </c>
      <c r="K304" t="str">
        <f t="shared" si="17"/>
        <v>1303,'LICENCIATURA','jesusbenjamin.argandarubio','111055','TOMAR DEL SND','ARGANDA RUBIO JESUS BENJAMIN','ANIMACION DIGITAL Y VIDEOJUEGOS','4to','MASCULINO','ACTIVO','',0,0,'','ALUMNO'</v>
      </c>
      <c r="L304" t="str">
        <f t="shared" si="16"/>
        <v>INSERT INTO participantes (id,nivel,correo,matricula,clave,nombre,carrera,grado,sexo,situacion,evaluados,num_evaluados,total_evaluaciones,ultimo_acceso,nivel_acceso) VALUES (1303,'LICENCIATURA','jesusbenjamin.argandarubio','111055','TOMAR DEL SND','ARGANDA RUBIO JESUS BENJAMIN','ANIMACION DIGITAL Y VIDEOJUEGOS','4to','MASCULINO','ACTIVO','',0,0,'','ALUMNO');</v>
      </c>
      <c r="M304" t="str">
        <f t="shared" si="18"/>
        <v>update participantes set correo='jesusbenjamin.argandarubio' where id=1303;</v>
      </c>
    </row>
    <row r="305" spans="1:13" x14ac:dyDescent="0.25">
      <c r="A305">
        <f t="shared" si="19"/>
        <v>1304</v>
      </c>
      <c r="B305" s="3" t="s">
        <v>2103</v>
      </c>
      <c r="C305" t="str">
        <f>CONCATENATE("'",ALUMNOS!E308,"'")</f>
        <v>'jesusbenjamin.medinaguerrero'</v>
      </c>
      <c r="D305" t="str">
        <f>CONCATENATE(ALUMNOS!F308,"'")</f>
        <v>'109999'</v>
      </c>
      <c r="E305" t="s">
        <v>2723</v>
      </c>
      <c r="F305" t="str">
        <f>CONCATENATE("'",ALUMNOS!H308,"'")</f>
        <v>'MEDINA GUERRERO JESUS BENJAMIN'</v>
      </c>
      <c r="G305" t="str">
        <f>CONCATENATE("'",ALUMNOS!I308,"'")</f>
        <v>'INGENIERIA INDUSTRIAL Y EN SISTEMAS ORGANIZACIONALES'</v>
      </c>
      <c r="H305" t="str">
        <f>CONCATENATE("'",ALUMNOS!J308,"'")</f>
        <v>'8vo'</v>
      </c>
      <c r="I305" t="str">
        <f>CONCATENATE("'",ALUMNOS!K308,"'")</f>
        <v>'Masculino'</v>
      </c>
      <c r="J305" t="str">
        <f>CONCATENATE("'",ALUMNOS!L308,"'")</f>
        <v>'Activo'</v>
      </c>
      <c r="K305" t="str">
        <f t="shared" si="17"/>
        <v>1304,'LICENCIATURA','jesusbenjamin.medinaguerrero','109999','TOMAR DEL SND','MEDINA GUERRERO JESUS BENJAMIN','INGENIERIA INDUSTRIAL Y EN SISTEMAS ORGANIZACIONALES','8vo','MASCULINO','ACTIVO','',0,0,'','ALUMNO'</v>
      </c>
      <c r="L305" t="str">
        <f t="shared" si="16"/>
        <v>INSERT INTO participantes (id,nivel,correo,matricula,clave,nombre,carrera,grado,sexo,situacion,evaluados,num_evaluados,total_evaluaciones,ultimo_acceso,nivel_acceso) VALUES (1304,'LICENCIATURA','jesusbenjamin.medinaguerrero','109999','TOMAR DEL SND','MEDINA GUERRERO JESUS BENJAMIN','INGENIERIA INDUSTRIAL Y EN SISTEMAS ORGANIZACIONALES','8vo','MASCULINO','ACTIVO','',0,0,'','ALUMNO');</v>
      </c>
      <c r="M305" t="str">
        <f t="shared" si="18"/>
        <v>update participantes set correo='jesusbenjamin.medinaguerrero' where id=1304;</v>
      </c>
    </row>
    <row r="306" spans="1:13" x14ac:dyDescent="0.25">
      <c r="A306">
        <f t="shared" si="19"/>
        <v>1305</v>
      </c>
      <c r="B306" s="3" t="s">
        <v>2103</v>
      </c>
      <c r="C306" t="str">
        <f>CONCATENATE("'",ALUMNOS!E309,"'")</f>
        <v>'jesuseduardo.navarroguerrero'</v>
      </c>
      <c r="D306" t="str">
        <f>CONCATENATE(ALUMNOS!F309,"'")</f>
        <v>'109930'</v>
      </c>
      <c r="E306" t="s">
        <v>2723</v>
      </c>
      <c r="F306" t="str">
        <f>CONCATENATE("'",ALUMNOS!H309,"'")</f>
        <v>'NAVARRO  JESUS EDUARDO'</v>
      </c>
      <c r="G306" t="str">
        <f>CONCATENATE("'",ALUMNOS!I309,"'")</f>
        <v>'COMERCIO INTERNACIONAL'</v>
      </c>
      <c r="H306" t="str">
        <f>CONCATENATE("'",ALUMNOS!J309,"'")</f>
        <v>'8vo'</v>
      </c>
      <c r="I306" t="str">
        <f>CONCATENATE("'",ALUMNOS!K309,"'")</f>
        <v>'Masculino'</v>
      </c>
      <c r="J306" t="str">
        <f>CONCATENATE("'",ALUMNOS!L309,"'")</f>
        <v>'Activo'</v>
      </c>
      <c r="K306" t="str">
        <f t="shared" si="17"/>
        <v>1305,'LICENCIATURA','jesuseduardo.navarroguerrero','109930','TOMAR DEL SND','NAVARRO  JESUS EDUARDO','COMERCIO INTERNACIONAL','8vo','MASCULINO','ACTIVO','',0,0,'','ALUMNO'</v>
      </c>
      <c r="L306" t="str">
        <f t="shared" si="16"/>
        <v>INSERT INTO participantes (id,nivel,correo,matricula,clave,nombre,carrera,grado,sexo,situacion,evaluados,num_evaluados,total_evaluaciones,ultimo_acceso,nivel_acceso) VALUES (1305,'LICENCIATURA','jesuseduardo.navarroguerrero','109930','TOMAR DEL SND','NAVARRO  JESUS EDUARDO','COMERCIO INTERNACIONAL','8vo','MASCULINO','ACTIVO','',0,0,'','ALUMNO');</v>
      </c>
      <c r="M306" t="str">
        <f t="shared" si="18"/>
        <v>update participantes set correo='jesuseduardo.navarroguerrero' where id=1305;</v>
      </c>
    </row>
    <row r="307" spans="1:13" x14ac:dyDescent="0.25">
      <c r="A307">
        <f t="shared" si="19"/>
        <v>1306</v>
      </c>
      <c r="B307" s="3" t="s">
        <v>2103</v>
      </c>
      <c r="C307" t="str">
        <f>CONCATENATE("'",ALUMNOS!E310,"'")</f>
        <v>'jesuseduardo.ramoscontreras'</v>
      </c>
      <c r="D307" t="str">
        <f>CONCATENATE(ALUMNOS!F310,"'")</f>
        <v>'110459'</v>
      </c>
      <c r="E307" t="s">
        <v>2723</v>
      </c>
      <c r="F307" t="str">
        <f>CONCATENATE("'",ALUMNOS!H310,"'")</f>
        <v>'RAMOS CONTRERAS JESUS EDUARDO'</v>
      </c>
      <c r="G307" t="str">
        <f>CONCATENATE("'",ALUMNOS!I310,"'")</f>
        <v>'INGENIERIA AEROESPACIAL'</v>
      </c>
      <c r="H307" t="str">
        <f>CONCATENATE("'",ALUMNOS!J310,"'")</f>
        <v>'6to'</v>
      </c>
      <c r="I307" t="str">
        <f>CONCATENATE("'",ALUMNOS!K310,"'")</f>
        <v>'Masculino'</v>
      </c>
      <c r="J307" t="str">
        <f>CONCATENATE("'",ALUMNOS!L310,"'")</f>
        <v>'Activo'</v>
      </c>
      <c r="K307" t="str">
        <f t="shared" si="17"/>
        <v>1306,'LICENCIATURA','jesuseduardo.ramoscontreras','110459','TOMAR DEL SND','RAMOS CONTRERAS JESUS EDUARDO','INGENIERIA AEROESPACIAL','6to','MASCULINO','ACTIVO','',0,0,'','ALUMNO'</v>
      </c>
      <c r="L307" t="str">
        <f t="shared" si="16"/>
        <v>INSERT INTO participantes (id,nivel,correo,matricula,clave,nombre,carrera,grado,sexo,situacion,evaluados,num_evaluados,total_evaluaciones,ultimo_acceso,nivel_acceso) VALUES (1306,'LICENCIATURA','jesuseduardo.ramoscontreras','110459','TOMAR DEL SND','RAMOS CONTRERAS JESUS EDUARDO','INGENIERIA AEROESPACIAL','6to','MASCULINO','ACTIVO','',0,0,'','ALUMNO');</v>
      </c>
      <c r="M307" t="str">
        <f t="shared" si="18"/>
        <v>update participantes set correo='jesuseduardo.ramoscontreras' where id=1306;</v>
      </c>
    </row>
    <row r="308" spans="1:13" x14ac:dyDescent="0.25">
      <c r="A308">
        <f t="shared" si="19"/>
        <v>1307</v>
      </c>
      <c r="B308" s="3" t="s">
        <v>2103</v>
      </c>
      <c r="C308" t="str">
        <f>CONCATENATE("'",ALUMNOS!E311,"'")</f>
        <v>'jesusissahi.arizmendimendoza'</v>
      </c>
      <c r="D308" t="str">
        <f>CONCATENATE(ALUMNOS!F311,"'")</f>
        <v>'109899'</v>
      </c>
      <c r="E308" t="s">
        <v>2723</v>
      </c>
      <c r="F308" t="str">
        <f>CONCATENATE("'",ALUMNOS!H311,"'")</f>
        <v>'ARIZMENDI MENDOZA JESUS ISSAHI'</v>
      </c>
      <c r="G308" t="str">
        <f>CONCATENATE("'",ALUMNOS!I311,"'")</f>
        <v>'INGENIERIA AEROESPACIAL'</v>
      </c>
      <c r="H308" t="str">
        <f>CONCATENATE("'",ALUMNOS!J311,"'")</f>
        <v>'8vo'</v>
      </c>
      <c r="I308" t="str">
        <f>CONCATENATE("'",ALUMNOS!K311,"'")</f>
        <v>'Masculino'</v>
      </c>
      <c r="J308" t="str">
        <f>CONCATENATE("'",ALUMNOS!L311,"'")</f>
        <v>'Activo'</v>
      </c>
      <c r="K308" t="str">
        <f t="shared" si="17"/>
        <v>1307,'LICENCIATURA','jesusissahi.arizmendimendoza','109899','TOMAR DEL SND','ARIZMENDI MENDOZA JESUS ISSAHI','INGENIERIA AEROESPACIAL','8vo','MASCULINO','ACTIVO','',0,0,'','ALUMNO'</v>
      </c>
      <c r="L308" t="str">
        <f t="shared" si="16"/>
        <v>INSERT INTO participantes (id,nivel,correo,matricula,clave,nombre,carrera,grado,sexo,situacion,evaluados,num_evaluados,total_evaluaciones,ultimo_acceso,nivel_acceso) VALUES (1307,'LICENCIATURA','jesusissahi.arizmendimendoza','109899','TOMAR DEL SND','ARIZMENDI MENDOZA JESUS ISSAHI','INGENIERIA AEROESPACIAL','8vo','MASCULINO','ACTIVO','',0,0,'','ALUMNO');</v>
      </c>
      <c r="M308" t="str">
        <f t="shared" si="18"/>
        <v>update participantes set correo='jesusissahi.arizmendimendoza' where id=1307;</v>
      </c>
    </row>
    <row r="309" spans="1:13" x14ac:dyDescent="0.25">
      <c r="A309">
        <f t="shared" si="19"/>
        <v>1308</v>
      </c>
      <c r="B309" s="3" t="s">
        <v>2103</v>
      </c>
      <c r="C309" t="str">
        <f>CONCATENATE("'",ALUMNOS!E312,"'")</f>
        <v>'jimena.navarrolopez'</v>
      </c>
      <c r="D309" t="str">
        <f>CONCATENATE(ALUMNOS!F312,"'")</f>
        <v>'110470'</v>
      </c>
      <c r="E309" t="s">
        <v>2723</v>
      </c>
      <c r="F309" t="str">
        <f>CONCATENATE("'",ALUMNOS!H312,"'")</f>
        <v>'NAVARRO LOPEZ JIMENA'</v>
      </c>
      <c r="G309" t="str">
        <f>CONCATENATE("'",ALUMNOS!I312,"'")</f>
        <v>'ADMINISTRACION Y DIRECCION DE NEGOCIOS'</v>
      </c>
      <c r="H309" t="str">
        <f>CONCATENATE("'",ALUMNOS!J312,"'")</f>
        <v>'6to'</v>
      </c>
      <c r="I309" t="str">
        <f>CONCATENATE("'",ALUMNOS!K312,"'")</f>
        <v>'Femenino'</v>
      </c>
      <c r="J309" t="str">
        <f>CONCATENATE("'",ALUMNOS!L312,"'")</f>
        <v>'Activo'</v>
      </c>
      <c r="K309" t="str">
        <f t="shared" si="17"/>
        <v>1308,'LICENCIATURA','jimena.navarrolopez','110470','TOMAR DEL SND','NAVARRO LOPEZ JIMENA','ADMINISTRACION Y DIRECCION DE NEGOCIOS','6to','FEMENINO','ACTIVO','',0,0,'','ALUMNO'</v>
      </c>
      <c r="L309" t="str">
        <f t="shared" si="16"/>
        <v>INSERT INTO participantes (id,nivel,correo,matricula,clave,nombre,carrera,grado,sexo,situacion,evaluados,num_evaluados,total_evaluaciones,ultimo_acceso,nivel_acceso) VALUES (1308,'LICENCIATURA','jimena.navarrolopez','110470','TOMAR DEL SND','NAVARRO LOPEZ JIMENA','ADMINISTRACION Y DIRECCION DE NEGOCIOS','6to','FEMENINO','ACTIVO','',0,0,'','ALUMNO');</v>
      </c>
      <c r="M309" t="str">
        <f t="shared" si="18"/>
        <v>update participantes set correo='jimena.navarrolopez' where id=1308;</v>
      </c>
    </row>
    <row r="310" spans="1:13" x14ac:dyDescent="0.25">
      <c r="A310">
        <f t="shared" si="19"/>
        <v>1309</v>
      </c>
      <c r="B310" s="3" t="s">
        <v>2103</v>
      </c>
      <c r="C310" t="str">
        <f>CONCATENATE("'",ALUMNOS!E313,"'")</f>
        <v>'jimena.pichardojaime'</v>
      </c>
      <c r="D310" t="str">
        <f>CONCATENATE(ALUMNOS!F313,"'")</f>
        <v>'109903'</v>
      </c>
      <c r="E310" t="s">
        <v>2723</v>
      </c>
      <c r="F310" t="str">
        <f>CONCATENATE("'",ALUMNOS!H313,"'")</f>
        <v>'PICHARDO JAIME JIMENA'</v>
      </c>
      <c r="G310" t="str">
        <f>CONCATENATE("'",ALUMNOS!I313,"'")</f>
        <v>'NUTRICION Y GASTRONOMIA'</v>
      </c>
      <c r="H310" t="str">
        <f>CONCATENATE("'",ALUMNOS!J313,"'")</f>
        <v>'8vo'</v>
      </c>
      <c r="I310" t="str">
        <f>CONCATENATE("'",ALUMNOS!K313,"'")</f>
        <v>'Femenino'</v>
      </c>
      <c r="J310" t="str">
        <f>CONCATENATE("'",ALUMNOS!L313,"'")</f>
        <v>'Activo'</v>
      </c>
      <c r="K310" t="str">
        <f t="shared" si="17"/>
        <v>1309,'LICENCIATURA','jimena.pichardojaime','109903','TOMAR DEL SND','PICHARDO JAIME JIMENA','NUTRICION Y GASTRONOMIA','8vo','FEMENINO','ACTIVO','',0,0,'','ALUMNO'</v>
      </c>
      <c r="L310" t="str">
        <f t="shared" si="16"/>
        <v>INSERT INTO participantes (id,nivel,correo,matricula,clave,nombre,carrera,grado,sexo,situacion,evaluados,num_evaluados,total_evaluaciones,ultimo_acceso,nivel_acceso) VALUES (1309,'LICENCIATURA','jimena.pichardojaime','109903','TOMAR DEL SND','PICHARDO JAIME JIMENA','NUTRICION Y GASTRONOMIA','8vo','FEMENINO','ACTIVO','',0,0,'','ALUMNO');</v>
      </c>
      <c r="M310" t="str">
        <f t="shared" si="18"/>
        <v>update participantes set correo='jimena.pichardojaime' where id=1309;</v>
      </c>
    </row>
    <row r="311" spans="1:13" x14ac:dyDescent="0.25">
      <c r="A311">
        <f t="shared" si="19"/>
        <v>1310</v>
      </c>
      <c r="B311" s="3" t="s">
        <v>2103</v>
      </c>
      <c r="C311" t="str">
        <f>CONCATENATE("'",ALUMNOS!E314,"'")</f>
        <v>'joaquin.zeagomez'</v>
      </c>
      <c r="D311" t="str">
        <f>CONCATENATE(ALUMNOS!F314,"'")</f>
        <v>'111084'</v>
      </c>
      <c r="E311" t="s">
        <v>2723</v>
      </c>
      <c r="F311" t="str">
        <f>CONCATENATE("'",ALUMNOS!H314,"'")</f>
        <v>'ZEA GOMEZ JOAQUIN'</v>
      </c>
      <c r="G311" t="str">
        <f>CONCATENATE("'",ALUMNOS!I314,"'")</f>
        <v>'ARQUITECTURA'</v>
      </c>
      <c r="H311" t="str">
        <f>CONCATENATE("'",ALUMNOS!J314,"'")</f>
        <v>'4to'</v>
      </c>
      <c r="I311" t="str">
        <f>CONCATENATE("'",ALUMNOS!K314,"'")</f>
        <v>'Masculino'</v>
      </c>
      <c r="J311" t="str">
        <f>CONCATENATE("'",ALUMNOS!L314,"'")</f>
        <v>'Activo'</v>
      </c>
      <c r="K311" t="str">
        <f t="shared" si="17"/>
        <v>1310,'LICENCIATURA','joaquin.zeagomez','111084','TOMAR DEL SND','ZEA GOMEZ JOAQUIN','ARQUITECTURA','4to','MASCULINO','ACTIVO','',0,0,'','ALUMNO'</v>
      </c>
      <c r="L311" t="str">
        <f t="shared" si="16"/>
        <v>INSERT INTO participantes (id,nivel,correo,matricula,clave,nombre,carrera,grado,sexo,situacion,evaluados,num_evaluados,total_evaluaciones,ultimo_acceso,nivel_acceso) VALUES (1310,'LICENCIATURA','joaquin.zeagomez','111084','TOMAR DEL SND','ZEA GOMEZ JOAQUIN','ARQUITECTURA','4to','MASCULINO','ACTIVO','',0,0,'','ALUMNO');</v>
      </c>
      <c r="M311" t="str">
        <f t="shared" si="18"/>
        <v>update participantes set correo='joaquin.zeagomez' where id=1310;</v>
      </c>
    </row>
    <row r="312" spans="1:13" x14ac:dyDescent="0.25">
      <c r="A312">
        <f t="shared" si="19"/>
        <v>1311</v>
      </c>
      <c r="B312" s="3" t="s">
        <v>2103</v>
      </c>
      <c r="C312" t="str">
        <f>CONCATENATE("'",ALUMNOS!E315,"'")</f>
        <v>'joaquinalejandro.valdenebromartinez'</v>
      </c>
      <c r="D312" t="str">
        <f>CONCATENATE(ALUMNOS!F315,"'")</f>
        <v>'111638'</v>
      </c>
      <c r="E312" t="s">
        <v>2723</v>
      </c>
      <c r="F312" t="str">
        <f>CONCATENATE("'",ALUMNOS!H315,"'")</f>
        <v>'VALDENEBRO MARTINEZ JOAQUIN ALEJANDRO'</v>
      </c>
      <c r="G312" t="str">
        <f>CONCATENATE("'",ALUMNOS!I315,"'")</f>
        <v>'INGENIERÍA AUTOMOTRIZ'</v>
      </c>
      <c r="H312" t="str">
        <f>CONCATENATE("'",ALUMNOS!J315,"'")</f>
        <v>'2do'</v>
      </c>
      <c r="I312" t="str">
        <f>CONCATENATE("'",ALUMNOS!K315,"'")</f>
        <v>'Masculino'</v>
      </c>
      <c r="J312" t="str">
        <f>CONCATENATE("'",ALUMNOS!L315,"'")</f>
        <v>'Activo'</v>
      </c>
      <c r="K312" t="str">
        <f t="shared" si="17"/>
        <v>1311,'LICENCIATURA','joaquinalejandro.valdenebromartinez','111638','TOMAR DEL SND','VALDENEBRO MARTINEZ JOAQUIN ALEJANDRO','INGENIERÍA AUTOMOTRIZ','2do','MASCULINO','ACTIVO','',0,0,'','ALUMNO'</v>
      </c>
      <c r="L312" t="str">
        <f t="shared" si="16"/>
        <v>INSERT INTO participantes (id,nivel,correo,matricula,clave,nombre,carrera,grado,sexo,situacion,evaluados,num_evaluados,total_evaluaciones,ultimo_acceso,nivel_acceso) VALUES (1311,'LICENCIATURA','joaquinalejandro.valdenebromartinez','111638','TOMAR DEL SND','VALDENEBRO MARTINEZ JOAQUIN ALEJANDRO','INGENIERÍA AUTOMOTRIZ','2do','MASCULINO','ACTIVO','',0,0,'','ALUMNO');</v>
      </c>
      <c r="M312" t="str">
        <f t="shared" si="18"/>
        <v>update participantes set correo='joaquinalejandro.valdenebromartinez' where id=1311;</v>
      </c>
    </row>
    <row r="313" spans="1:13" x14ac:dyDescent="0.25">
      <c r="A313">
        <f t="shared" si="19"/>
        <v>1312</v>
      </c>
      <c r="B313" s="3" t="s">
        <v>2103</v>
      </c>
      <c r="C313" t="str">
        <f>CONCATENATE("'",ALUMNOS!E316,"'")</f>
        <v>'joaquinivan.perezromo'</v>
      </c>
      <c r="D313" t="str">
        <f>CONCATENATE(ALUMNOS!F316,"'")</f>
        <v>'007169'</v>
      </c>
      <c r="E313" t="s">
        <v>2723</v>
      </c>
      <c r="F313" t="str">
        <f>CONCATENATE("'",ALUMNOS!H316,"'")</f>
        <v>'PEREZ ROMO JOAQUIN IVAN'</v>
      </c>
      <c r="G313" t="str">
        <f>CONCATENATE("'",ALUMNOS!I316,"'")</f>
        <v>'NUTRICION Y GASTRONOMIA'</v>
      </c>
      <c r="H313" t="str">
        <f>CONCATENATE("'",ALUMNOS!J316,"'")</f>
        <v>'8vo'</v>
      </c>
      <c r="I313" t="str">
        <f>CONCATENATE("'",ALUMNOS!K316,"'")</f>
        <v>'Masculino'</v>
      </c>
      <c r="J313" t="str">
        <f>CONCATENATE("'",ALUMNOS!L316,"'")</f>
        <v>'Activo'</v>
      </c>
      <c r="K313" t="str">
        <f t="shared" si="17"/>
        <v>1312,'LICENCIATURA','joaquinivan.perezromo','007169','TOMAR DEL SND','PEREZ ROMO JOAQUIN IVAN','NUTRICION Y GASTRONOMIA','8vo','MASCULINO','ACTIVO','',0,0,'','ALUMNO'</v>
      </c>
      <c r="L313" t="str">
        <f t="shared" si="16"/>
        <v>INSERT INTO participantes (id,nivel,correo,matricula,clave,nombre,carrera,grado,sexo,situacion,evaluados,num_evaluados,total_evaluaciones,ultimo_acceso,nivel_acceso) VALUES (1312,'LICENCIATURA','joaquinivan.perezromo','007169','TOMAR DEL SND','PEREZ ROMO JOAQUIN IVAN','NUTRICION Y GASTRONOMIA','8vo','MASCULINO','ACTIVO','',0,0,'','ALUMNO');</v>
      </c>
      <c r="M313" t="str">
        <f t="shared" si="18"/>
        <v>update participantes set correo='joaquinivan.perezromo' where id=1312;</v>
      </c>
    </row>
    <row r="314" spans="1:13" x14ac:dyDescent="0.25">
      <c r="A314">
        <f t="shared" si="19"/>
        <v>1313</v>
      </c>
      <c r="B314" s="3" t="s">
        <v>2103</v>
      </c>
      <c r="C314" t="str">
        <f>CONCATENATE("'",ALUMNOS!E317,"'")</f>
        <v>'jocelynmontserrat.fuentestalavera'</v>
      </c>
      <c r="D314" t="str">
        <f>CONCATENATE(ALUMNOS!F317,"'")</f>
        <v>'110534'</v>
      </c>
      <c r="E314" t="s">
        <v>2723</v>
      </c>
      <c r="F314" t="str">
        <f>CONCATENATE("'",ALUMNOS!H317,"'")</f>
        <v>'FUENTES TALAVERA JOCELYN MONTSERRAT'</v>
      </c>
      <c r="G314" t="str">
        <f>CONCATENATE("'",ALUMNOS!I317,"'")</f>
        <v>'ANIMACION DIGITAL Y VIDEOJUEGOS'</v>
      </c>
      <c r="H314" t="str">
        <f>CONCATENATE("'",ALUMNOS!J317,"'")</f>
        <v>'6to'</v>
      </c>
      <c r="I314" t="str">
        <f>CONCATENATE("'",ALUMNOS!K317,"'")</f>
        <v>'Femenino'</v>
      </c>
      <c r="J314" t="str">
        <f>CONCATENATE("'",ALUMNOS!L317,"'")</f>
        <v>'Activo'</v>
      </c>
      <c r="K314" t="str">
        <f t="shared" si="17"/>
        <v>1313,'LICENCIATURA','jocelynmontserrat.fuentestalavera','110534','TOMAR DEL SND','FUENTES TALAVERA JOCELYN MONTSERRAT','ANIMACION DIGITAL Y VIDEOJUEGOS','6to','FEMENINO','ACTIVO','',0,0,'','ALUMNO'</v>
      </c>
      <c r="L314" t="str">
        <f t="shared" si="16"/>
        <v>INSERT INTO participantes (id,nivel,correo,matricula,clave,nombre,carrera,grado,sexo,situacion,evaluados,num_evaluados,total_evaluaciones,ultimo_acceso,nivel_acceso) VALUES (1313,'LICENCIATURA','jocelynmontserrat.fuentestalavera','110534','TOMAR DEL SND','FUENTES TALAVERA JOCELYN MONTSERRAT','ANIMACION DIGITAL Y VIDEOJUEGOS','6to','FEMENINO','ACTIVO','',0,0,'','ALUMNO');</v>
      </c>
      <c r="M314" t="str">
        <f t="shared" si="18"/>
        <v>update participantes set correo='jocelynmontserrat.fuentestalavera' where id=1313;</v>
      </c>
    </row>
    <row r="315" spans="1:13" x14ac:dyDescent="0.25">
      <c r="A315">
        <f t="shared" si="19"/>
        <v>1314</v>
      </c>
      <c r="B315" s="3" t="s">
        <v>2103</v>
      </c>
      <c r="C315" t="str">
        <f>CONCATENATE("'",ALUMNOS!E318,"'")</f>
        <v>'johangiovanni.sanchezreyes'</v>
      </c>
      <c r="D315" t="str">
        <f>CONCATENATE(ALUMNOS!F318,"'")</f>
        <v>'111659'</v>
      </c>
      <c r="E315" t="s">
        <v>2723</v>
      </c>
      <c r="F315" t="str">
        <f>CONCATENATE("'",ALUMNOS!H318,"'")</f>
        <v>'SANCHEZ REYES JOHAN GIOVANNI'</v>
      </c>
      <c r="G315" t="str">
        <f>CONCATENATE("'",ALUMNOS!I318,"'")</f>
        <v>'PSICOLOGIA'</v>
      </c>
      <c r="H315" t="str">
        <f>CONCATENATE("'",ALUMNOS!J318,"'")</f>
        <v>'2do'</v>
      </c>
      <c r="I315" t="str">
        <f>CONCATENATE("'",ALUMNOS!K318,"'")</f>
        <v>'Masculino'</v>
      </c>
      <c r="J315" t="str">
        <f>CONCATENATE("'",ALUMNOS!L318,"'")</f>
        <v>'Activo'</v>
      </c>
      <c r="K315" t="str">
        <f t="shared" si="17"/>
        <v>1314,'LICENCIATURA','johangiovanni.sanchezreyes','111659','TOMAR DEL SND','SANCHEZ REYES JOHAN GIOVANNI','PSICOLOGIA','2do','MASCULINO','ACTIVO','',0,0,'','ALUMNO'</v>
      </c>
      <c r="L315" t="str">
        <f t="shared" si="16"/>
        <v>INSERT INTO participantes (id,nivel,correo,matricula,clave,nombre,carrera,grado,sexo,situacion,evaluados,num_evaluados,total_evaluaciones,ultimo_acceso,nivel_acceso) VALUES (1314,'LICENCIATURA','johangiovanni.sanchezreyes','111659','TOMAR DEL SND','SANCHEZ REYES JOHAN GIOVANNI','PSICOLOGIA','2do','MASCULINO','ACTIVO','',0,0,'','ALUMNO');</v>
      </c>
      <c r="M315" t="str">
        <f t="shared" si="18"/>
        <v>update participantes set correo='johangiovanni.sanchezreyes' where id=1314;</v>
      </c>
    </row>
    <row r="316" spans="1:13" x14ac:dyDescent="0.25">
      <c r="A316">
        <f t="shared" si="19"/>
        <v>1315</v>
      </c>
      <c r="B316" s="3" t="s">
        <v>2103</v>
      </c>
      <c r="C316" t="str">
        <f>CONCATENATE("'",ALUMNOS!E319,"'")</f>
        <v>'jonathanalejandro.ojedamendoza'</v>
      </c>
      <c r="D316" t="str">
        <f>CONCATENATE(ALUMNOS!F319,"'")</f>
        <v>'108921'</v>
      </c>
      <c r="E316" t="s">
        <v>2723</v>
      </c>
      <c r="F316" t="str">
        <f>CONCATENATE("'",ALUMNOS!H319,"'")</f>
        <v>'OJEDA MENDOZA JONATHAN ALEJANDRO'</v>
      </c>
      <c r="G316" t="str">
        <f>CONCATENATE("'",ALUMNOS!I319,"'")</f>
        <v>'INGENIERIA AEROESPACIAL'</v>
      </c>
      <c r="H316" t="str">
        <f>CONCATENATE("'",ALUMNOS!J319,"'")</f>
        <v>'10mo'</v>
      </c>
      <c r="I316" t="str">
        <f>CONCATENATE("'",ALUMNOS!K319,"'")</f>
        <v>'Masculino'</v>
      </c>
      <c r="J316" t="str">
        <f>CONCATENATE("'",ALUMNOS!L319,"'")</f>
        <v>'Activo'</v>
      </c>
      <c r="K316" t="str">
        <f t="shared" si="17"/>
        <v>1315,'LICENCIATURA','jonathanalejandro.ojedamendoza','108921','TOMAR DEL SND','OJEDA MENDOZA JONATHAN ALEJANDRO','INGENIERIA AEROESPACIAL','10mo','MASCULINO','ACTIVO','',0,0,'','ALUMNO'</v>
      </c>
      <c r="L316" t="str">
        <f t="shared" si="16"/>
        <v>INSERT INTO participantes (id,nivel,correo,matricula,clave,nombre,carrera,grado,sexo,situacion,evaluados,num_evaluados,total_evaluaciones,ultimo_acceso,nivel_acceso) VALUES (1315,'LICENCIATURA','jonathanalejandro.ojedamendoza','108921','TOMAR DEL SND','OJEDA MENDOZA JONATHAN ALEJANDRO','INGENIERIA AEROESPACIAL','10mo','MASCULINO','ACTIVO','',0,0,'','ALUMNO');</v>
      </c>
      <c r="M316" t="str">
        <f t="shared" si="18"/>
        <v>update participantes set correo='jonathanalejandro.ojedamendoza' where id=1315;</v>
      </c>
    </row>
    <row r="317" spans="1:13" x14ac:dyDescent="0.25">
      <c r="A317">
        <f t="shared" si="19"/>
        <v>1316</v>
      </c>
      <c r="B317" s="3" t="s">
        <v>2103</v>
      </c>
      <c r="C317" t="str">
        <f>CONCATENATE("'",ALUMNOS!E320,"'")</f>
        <v>'jonathanoswaldo.duranruvalcaba'</v>
      </c>
      <c r="D317" t="str">
        <f>CONCATENATE(ALUMNOS!F320,"'")</f>
        <v>'111726'</v>
      </c>
      <c r="E317" t="s">
        <v>2723</v>
      </c>
      <c r="F317" t="str">
        <f>CONCATENATE("'",ALUMNOS!H320,"'")</f>
        <v>'DURAN RUVALCABA JONATHAN OSWALDO'</v>
      </c>
      <c r="G317" t="str">
        <f>CONCATENATE("'",ALUMNOS!I320,"'")</f>
        <v>'INGENIERIA AEROESPACIAL'</v>
      </c>
      <c r="H317" t="str">
        <f>CONCATENATE("'",ALUMNOS!J320,"'")</f>
        <v>'2do'</v>
      </c>
      <c r="I317" t="str">
        <f>CONCATENATE("'",ALUMNOS!K320,"'")</f>
        <v>'Masculino'</v>
      </c>
      <c r="J317" t="str">
        <f>CONCATENATE("'",ALUMNOS!L320,"'")</f>
        <v>'Activo'</v>
      </c>
      <c r="K317" t="str">
        <f t="shared" si="17"/>
        <v>1316,'LICENCIATURA','jonathanoswaldo.duranruvalcaba','111726','TOMAR DEL SND','DURAN RUVALCABA JONATHAN OSWALDO','INGENIERIA AEROESPACIAL','2do','MASCULINO','ACTIVO','',0,0,'','ALUMNO'</v>
      </c>
      <c r="L317" t="str">
        <f t="shared" si="16"/>
        <v>INSERT INTO participantes (id,nivel,correo,matricula,clave,nombre,carrera,grado,sexo,situacion,evaluados,num_evaluados,total_evaluaciones,ultimo_acceso,nivel_acceso) VALUES (1316,'LICENCIATURA','jonathanoswaldo.duranruvalcaba','111726','TOMAR DEL SND','DURAN RUVALCABA JONATHAN OSWALDO','INGENIERIA AEROESPACIAL','2do','MASCULINO','ACTIVO','',0,0,'','ALUMNO');</v>
      </c>
      <c r="M317" t="str">
        <f t="shared" si="18"/>
        <v>update participantes set correo='jonathanoswaldo.duranruvalcaba' where id=1316;</v>
      </c>
    </row>
    <row r="318" spans="1:13" x14ac:dyDescent="0.25">
      <c r="A318">
        <f t="shared" si="19"/>
        <v>1317</v>
      </c>
      <c r="B318" s="3" t="s">
        <v>2103</v>
      </c>
      <c r="C318" t="str">
        <f>CONCATENATE("'",ALUMNOS!E321,"'")</f>
        <v>'jonathanulises.figueroabañuelos'</v>
      </c>
      <c r="D318" t="str">
        <f>CONCATENATE(ALUMNOS!F321,"'")</f>
        <v>'111748'</v>
      </c>
      <c r="E318" t="s">
        <v>2723</v>
      </c>
      <c r="F318" t="str">
        <f>CONCATENATE("'",ALUMNOS!H321,"'")</f>
        <v>'FIGUEROA BAÑUELOS JONATHAN ULISES'</v>
      </c>
      <c r="G318" t="str">
        <f>CONCATENATE("'",ALUMNOS!I321,"'")</f>
        <v>'INGENIERÍA AUTOMOTRIZ'</v>
      </c>
      <c r="H318" t="str">
        <f>CONCATENATE("'",ALUMNOS!J321,"'")</f>
        <v>'2do'</v>
      </c>
      <c r="I318" t="str">
        <f>CONCATENATE("'",ALUMNOS!K321,"'")</f>
        <v>'Masculino'</v>
      </c>
      <c r="J318" t="str">
        <f>CONCATENATE("'",ALUMNOS!L321,"'")</f>
        <v>'Activo'</v>
      </c>
      <c r="K318" t="str">
        <f t="shared" si="17"/>
        <v>1317,'LICENCIATURA','jonathanulises.figueroabañuelos','111748','TOMAR DEL SND','FIGUEROA BAÑUELOS JONATHAN ULISES','INGENIERÍA AUTOMOTRIZ','2do','MASCULINO','ACTIVO','',0,0,'','ALUMNO'</v>
      </c>
      <c r="L318" t="str">
        <f t="shared" si="16"/>
        <v>INSERT INTO participantes (id,nivel,correo,matricula,clave,nombre,carrera,grado,sexo,situacion,evaluados,num_evaluados,total_evaluaciones,ultimo_acceso,nivel_acceso) VALUES (1317,'LICENCIATURA','jonathanulises.figueroabañuelos','111748','TOMAR DEL SND','FIGUEROA BAÑUELOS JONATHAN ULISES','INGENIERÍA AUTOMOTRIZ','2do','MASCULINO','ACTIVO','',0,0,'','ALUMNO');</v>
      </c>
      <c r="M318" t="str">
        <f t="shared" si="18"/>
        <v>update participantes set correo='jonathanulises.figueroabañuelos' where id=1317;</v>
      </c>
    </row>
    <row r="319" spans="1:13" x14ac:dyDescent="0.25">
      <c r="A319">
        <f t="shared" si="19"/>
        <v>1318</v>
      </c>
      <c r="B319" s="3" t="s">
        <v>2103</v>
      </c>
      <c r="C319" t="str">
        <f>CONCATENATE("'",ALUMNOS!E322,"'")</f>
        <v>'jorgealejandro.ariasmorales'</v>
      </c>
      <c r="D319" t="str">
        <f>CONCATENATE(ALUMNOS!F322,"'")</f>
        <v>'109901'</v>
      </c>
      <c r="E319" t="s">
        <v>2723</v>
      </c>
      <c r="F319" t="str">
        <f>CONCATENATE("'",ALUMNOS!H322,"'")</f>
        <v>'ARIAS MORALES JORGE ALEJANDRO'</v>
      </c>
      <c r="G319" t="str">
        <f>CONCATENATE("'",ALUMNOS!I322,"'")</f>
        <v>'ANIMACION DIGITAL Y VIDEOJUEGOS'</v>
      </c>
      <c r="H319" t="str">
        <f>CONCATENATE("'",ALUMNOS!J322,"'")</f>
        <v>'8vo'</v>
      </c>
      <c r="I319" t="str">
        <f>CONCATENATE("'",ALUMNOS!K322,"'")</f>
        <v>'Masculino'</v>
      </c>
      <c r="J319" t="str">
        <f>CONCATENATE("'",ALUMNOS!L322,"'")</f>
        <v>'Activo'</v>
      </c>
      <c r="K319" t="str">
        <f t="shared" si="17"/>
        <v>1318,'LICENCIATURA','jorgealejandro.ariasmorales','109901','TOMAR DEL SND','ARIAS MORALES JORGE ALEJANDRO','ANIMACION DIGITAL Y VIDEOJUEGOS','8vo','MASCULINO','ACTIVO','',0,0,'','ALUMNO'</v>
      </c>
      <c r="L319" t="str">
        <f t="shared" si="16"/>
        <v>INSERT INTO participantes (id,nivel,correo,matricula,clave,nombre,carrera,grado,sexo,situacion,evaluados,num_evaluados,total_evaluaciones,ultimo_acceso,nivel_acceso) VALUES (1318,'LICENCIATURA','jorgealejandro.ariasmorales','109901','TOMAR DEL SND','ARIAS MORALES JORGE ALEJANDRO','ANIMACION DIGITAL Y VIDEOJUEGOS','8vo','MASCULINO','ACTIVO','',0,0,'','ALUMNO');</v>
      </c>
      <c r="M319" t="str">
        <f t="shared" si="18"/>
        <v>update participantes set correo='jorgealejandro.ariasmorales' where id=1318;</v>
      </c>
    </row>
    <row r="320" spans="1:13" x14ac:dyDescent="0.25">
      <c r="A320">
        <f t="shared" si="19"/>
        <v>1319</v>
      </c>
      <c r="B320" s="3" t="s">
        <v>2103</v>
      </c>
      <c r="C320" t="str">
        <f>CONCATENATE("'",ALUMNOS!E323,"'")</f>
        <v>'jorgearmando.diazesparza'</v>
      </c>
      <c r="D320" t="str">
        <f>CONCATENATE(ALUMNOS!F323,"'")</f>
        <v>'111120'</v>
      </c>
      <c r="E320" t="s">
        <v>2723</v>
      </c>
      <c r="F320" t="str">
        <f>CONCATENATE("'",ALUMNOS!H323,"'")</f>
        <v>'DIAZ ESPARZA JORGE ARMANDO'</v>
      </c>
      <c r="G320" t="str">
        <f>CONCATENATE("'",ALUMNOS!I323,"'")</f>
        <v>'INGENIERIA AEROESPACIAL'</v>
      </c>
      <c r="H320" t="str">
        <f>CONCATENATE("'",ALUMNOS!J323,"'")</f>
        <v>'4to'</v>
      </c>
      <c r="I320" t="str">
        <f>CONCATENATE("'",ALUMNOS!K323,"'")</f>
        <v>'Masculino'</v>
      </c>
      <c r="J320" t="str">
        <f>CONCATENATE("'",ALUMNOS!L323,"'")</f>
        <v>'Activo'</v>
      </c>
      <c r="K320" t="str">
        <f t="shared" si="17"/>
        <v>1319,'LICENCIATURA','jorgearmando.diazesparza','111120','TOMAR DEL SND','DIAZ ESPARZA JORGE ARMANDO','INGENIERIA AEROESPACIAL','4to','MASCULINO','ACTIVO','',0,0,'','ALUMNO'</v>
      </c>
      <c r="L320" t="str">
        <f t="shared" si="16"/>
        <v>INSERT INTO participantes (id,nivel,correo,matricula,clave,nombre,carrera,grado,sexo,situacion,evaluados,num_evaluados,total_evaluaciones,ultimo_acceso,nivel_acceso) VALUES (1319,'LICENCIATURA','jorgearmando.diazesparza','111120','TOMAR DEL SND','DIAZ ESPARZA JORGE ARMANDO','INGENIERIA AEROESPACIAL','4to','MASCULINO','ACTIVO','',0,0,'','ALUMNO');</v>
      </c>
      <c r="M320" t="str">
        <f t="shared" si="18"/>
        <v>update participantes set correo='jorgearmando.diazesparza' where id=1319;</v>
      </c>
    </row>
    <row r="321" spans="1:13" x14ac:dyDescent="0.25">
      <c r="A321">
        <f t="shared" si="19"/>
        <v>1320</v>
      </c>
      <c r="B321" s="3" t="s">
        <v>2103</v>
      </c>
      <c r="C321" t="str">
        <f>CONCATENATE("'",ALUMNOS!E324,"'")</f>
        <v>'jorgecarlos.valenciafelix'</v>
      </c>
      <c r="D321" t="str">
        <f>CONCATENATE(ALUMNOS!F324,"'")</f>
        <v>'007200'</v>
      </c>
      <c r="E321" t="s">
        <v>2723</v>
      </c>
      <c r="F321" t="str">
        <f>CONCATENATE("'",ALUMNOS!H324,"'")</f>
        <v>'VALENCIA FELIX JORGE CARLOS'</v>
      </c>
      <c r="G321" t="str">
        <f>CONCATENATE("'",ALUMNOS!I324,"'")</f>
        <v>'DERECHO'</v>
      </c>
      <c r="H321" t="str">
        <f>CONCATENATE("'",ALUMNOS!J324,"'")</f>
        <v>'8vo'</v>
      </c>
      <c r="I321" t="str">
        <f>CONCATENATE("'",ALUMNOS!K324,"'")</f>
        <v>'Masculino'</v>
      </c>
      <c r="J321" t="str">
        <f>CONCATENATE("'",ALUMNOS!L324,"'")</f>
        <v>'Activo'</v>
      </c>
      <c r="K321" t="str">
        <f t="shared" si="17"/>
        <v>1320,'LICENCIATURA','jorgecarlos.valenciafelix','007200','TOMAR DEL SND','VALENCIA FELIX JORGE CARLOS','DERECHO','8vo','MASCULINO','ACTIVO','',0,0,'','ALUMNO'</v>
      </c>
      <c r="L321" t="str">
        <f t="shared" si="16"/>
        <v>INSERT INTO participantes (id,nivel,correo,matricula,clave,nombre,carrera,grado,sexo,situacion,evaluados,num_evaluados,total_evaluaciones,ultimo_acceso,nivel_acceso) VALUES (1320,'LICENCIATURA','jorgecarlos.valenciafelix','007200','TOMAR DEL SND','VALENCIA FELIX JORGE CARLOS','DERECHO','8vo','MASCULINO','ACTIVO','',0,0,'','ALUMNO');</v>
      </c>
      <c r="M321" t="str">
        <f t="shared" si="18"/>
        <v>update participantes set correo='jorgecarlos.valenciafelix' where id=1320;</v>
      </c>
    </row>
    <row r="322" spans="1:13" x14ac:dyDescent="0.25">
      <c r="A322">
        <f t="shared" si="19"/>
        <v>1321</v>
      </c>
      <c r="B322" s="3" t="s">
        <v>2103</v>
      </c>
      <c r="C322" t="str">
        <f>CONCATENATE("'",ALUMNOS!E325,"'")</f>
        <v>'jorgeeduardo.llamasdeanda'</v>
      </c>
      <c r="D322" t="str">
        <f>CONCATENATE(ALUMNOS!F325,"'")</f>
        <v>'007341'</v>
      </c>
      <c r="E322" t="s">
        <v>2723</v>
      </c>
      <c r="F322" t="str">
        <f>CONCATENATE("'",ALUMNOS!H325,"'")</f>
        <v>'LLAMAS DE ANDA JORGE EDUARDO'</v>
      </c>
      <c r="G322" t="str">
        <f>CONCATENATE("'",ALUMNOS!I325,"'")</f>
        <v>'ARQUITECTURA'</v>
      </c>
      <c r="H322" t="str">
        <f>CONCATENATE("'",ALUMNOS!J325,"'")</f>
        <v>'6to'</v>
      </c>
      <c r="I322" t="str">
        <f>CONCATENATE("'",ALUMNOS!K325,"'")</f>
        <v>'Masculino'</v>
      </c>
      <c r="J322" t="str">
        <f>CONCATENATE("'",ALUMNOS!L325,"'")</f>
        <v>'Activo'</v>
      </c>
      <c r="K322" t="str">
        <f t="shared" si="17"/>
        <v>1321,'LICENCIATURA','jorgeeduardo.llamasdeanda','007341','TOMAR DEL SND','LLAMAS DE ANDA JORGE EDUARDO','ARQUITECTURA','6to','MASCULINO','ACTIVO','',0,0,'','ALUMNO'</v>
      </c>
      <c r="L322" t="str">
        <f t="shared" ref="L322:L385" si="20">CONCATENATE($K$1,K322,");")</f>
        <v>INSERT INTO participantes (id,nivel,correo,matricula,clave,nombre,carrera,grado,sexo,situacion,evaluados,num_evaluados,total_evaluaciones,ultimo_acceso,nivel_acceso) VALUES (1321,'LICENCIATURA','jorgeeduardo.llamasdeanda','007341','TOMAR DEL SND','LLAMAS DE ANDA JORGE EDUARDO','ARQUITECTURA','6to','MASCULINO','ACTIVO','',0,0,'','ALUMNO');</v>
      </c>
      <c r="M322" t="str">
        <f t="shared" si="18"/>
        <v>update participantes set correo='jorgeeduardo.llamasdeanda' where id=1321;</v>
      </c>
    </row>
    <row r="323" spans="1:13" x14ac:dyDescent="0.25">
      <c r="A323">
        <f t="shared" si="19"/>
        <v>1322</v>
      </c>
      <c r="B323" s="3" t="s">
        <v>2103</v>
      </c>
      <c r="C323" t="str">
        <f>CONCATENATE("'",ALUMNOS!E326,"'")</f>
        <v>'jorgejulian.ortizrodriguez'</v>
      </c>
      <c r="D323" t="str">
        <f>CONCATENATE(ALUMNOS!F326,"'")</f>
        <v>'111672'</v>
      </c>
      <c r="E323" t="s">
        <v>2723</v>
      </c>
      <c r="F323" t="str">
        <f>CONCATENATE("'",ALUMNOS!H326,"'")</f>
        <v>'ORTIZ RODRIGUEZ JORGE JULIAN'</v>
      </c>
      <c r="G323" t="str">
        <f>CONCATENATE("'",ALUMNOS!I326,"'")</f>
        <v>'INGENIERIA AEROESPACIAL'</v>
      </c>
      <c r="H323" t="str">
        <f>CONCATENATE("'",ALUMNOS!J326,"'")</f>
        <v>'2do'</v>
      </c>
      <c r="I323" t="str">
        <f>CONCATENATE("'",ALUMNOS!K326,"'")</f>
        <v>'Masculino'</v>
      </c>
      <c r="J323" t="str">
        <f>CONCATENATE("'",ALUMNOS!L326,"'")</f>
        <v>'Activo'</v>
      </c>
      <c r="K323" t="str">
        <f t="shared" ref="K323:K386" si="21">CONCATENATE(A323,",",B323,",",C323,",",D323,",'",E323,",",F323,",",G323,",",H323,",",UPPER(I323),",",UPPER(J323),",'',0,0,'','ALUMNO'")</f>
        <v>1322,'LICENCIATURA','jorgejulian.ortizrodriguez','111672','TOMAR DEL SND','ORTIZ RODRIGUEZ JORGE JULIAN','INGENIERIA AEROESPACIAL','2do','MASCULINO','ACTIVO','',0,0,'','ALUMNO'</v>
      </c>
      <c r="L323" t="str">
        <f t="shared" si="20"/>
        <v>INSERT INTO participantes (id,nivel,correo,matricula,clave,nombre,carrera,grado,sexo,situacion,evaluados,num_evaluados,total_evaluaciones,ultimo_acceso,nivel_acceso) VALUES (1322,'LICENCIATURA','jorgejulian.ortizrodriguez','111672','TOMAR DEL SND','ORTIZ RODRIGUEZ JORGE JULIAN','INGENIERIA AEROESPACIAL','2do','MASCULINO','ACTIVO','',0,0,'','ALUMNO');</v>
      </c>
      <c r="M323" t="str">
        <f t="shared" ref="M323:M386" si="22">CONCATENATE("update participantes set correo=",C323," where id=",A323,";")</f>
        <v>update participantes set correo='jorgejulian.ortizrodriguez' where id=1322;</v>
      </c>
    </row>
    <row r="324" spans="1:13" x14ac:dyDescent="0.25">
      <c r="A324">
        <f t="shared" ref="A324:A387" si="23">A323+1</f>
        <v>1323</v>
      </c>
      <c r="B324" s="3" t="s">
        <v>2103</v>
      </c>
      <c r="C324" t="str">
        <f>CONCATENATE("'",ALUMNOS!E327,"'")</f>
        <v>'jorgeluis.robleslopez'</v>
      </c>
      <c r="D324" t="str">
        <f>CONCATENATE(ALUMNOS!F327,"'")</f>
        <v>'110497'</v>
      </c>
      <c r="E324" t="s">
        <v>2723</v>
      </c>
      <c r="F324" t="str">
        <f>CONCATENATE("'",ALUMNOS!H327,"'")</f>
        <v>'ROBLES LOPEZ JORGE LUIS'</v>
      </c>
      <c r="G324" t="str">
        <f>CONCATENATE("'",ALUMNOS!I327,"'")</f>
        <v>'INGENIERIA CIBERNETICA Y EN SISTEMAS COMPUTACIONALES'</v>
      </c>
      <c r="H324" t="str">
        <f>CONCATENATE("'",ALUMNOS!J327,"'")</f>
        <v>'6to'</v>
      </c>
      <c r="I324" t="str">
        <f>CONCATENATE("'",ALUMNOS!K327,"'")</f>
        <v>'Masculino'</v>
      </c>
      <c r="J324" t="str">
        <f>CONCATENATE("'",ALUMNOS!L327,"'")</f>
        <v>'Activo'</v>
      </c>
      <c r="K324" t="str">
        <f t="shared" si="21"/>
        <v>1323,'LICENCIATURA','jorgeluis.robleslopez','110497','TOMAR DEL SND','ROBLES LOPEZ JORGE LUIS','INGENIERIA CIBERNETICA Y EN SISTEMAS COMPUTACIONALES','6to','MASCULINO','ACTIVO','',0,0,'','ALUMNO'</v>
      </c>
      <c r="L324" t="str">
        <f t="shared" si="20"/>
        <v>INSERT INTO participantes (id,nivel,correo,matricula,clave,nombre,carrera,grado,sexo,situacion,evaluados,num_evaluados,total_evaluaciones,ultimo_acceso,nivel_acceso) VALUES (1323,'LICENCIATURA','jorgeluis.robleslopez','110497','TOMAR DEL SND','ROBLES LOPEZ JORGE LUIS','INGENIERIA CIBERNETICA Y EN SISTEMAS COMPUTACIONALES','6to','MASCULINO','ACTIVO','',0,0,'','ALUMNO');</v>
      </c>
      <c r="M324" t="str">
        <f t="shared" si="22"/>
        <v>update participantes set correo='jorgeluis.robleslopez' where id=1323;</v>
      </c>
    </row>
    <row r="325" spans="1:13" x14ac:dyDescent="0.25">
      <c r="A325">
        <f t="shared" si="23"/>
        <v>1324</v>
      </c>
      <c r="B325" s="3" t="s">
        <v>2103</v>
      </c>
      <c r="C325" t="str">
        <f>CONCATENATE("'",ALUMNOS!E328,"'")</f>
        <v>'jorshuadaniel.perezcamacho'</v>
      </c>
      <c r="D325" t="str">
        <f>CONCATENATE(ALUMNOS!F328,"'")</f>
        <v>'111641'</v>
      </c>
      <c r="E325" t="s">
        <v>2723</v>
      </c>
      <c r="F325" t="str">
        <f>CONCATENATE("'",ALUMNOS!H328,"'")</f>
        <v>'PEREZ CAMACHO JORSHUA DANIEL'</v>
      </c>
      <c r="G325" t="str">
        <f>CONCATENATE("'",ALUMNOS!I328,"'")</f>
        <v>'INGENIERÍA AUTOMOTRIZ'</v>
      </c>
      <c r="H325" t="str">
        <f>CONCATENATE("'",ALUMNOS!J328,"'")</f>
        <v>'2do'</v>
      </c>
      <c r="I325" t="str">
        <f>CONCATENATE("'",ALUMNOS!K328,"'")</f>
        <v>'Masculino'</v>
      </c>
      <c r="J325" t="str">
        <f>CONCATENATE("'",ALUMNOS!L328,"'")</f>
        <v>'Activo'</v>
      </c>
      <c r="K325" t="str">
        <f t="shared" si="21"/>
        <v>1324,'LICENCIATURA','jorshuadaniel.perezcamacho','111641','TOMAR DEL SND','PEREZ CAMACHO JORSHUA DANIEL','INGENIERÍA AUTOMOTRIZ','2do','MASCULINO','ACTIVO','',0,0,'','ALUMNO'</v>
      </c>
      <c r="L325" t="str">
        <f t="shared" si="20"/>
        <v>INSERT INTO participantes (id,nivel,correo,matricula,clave,nombre,carrera,grado,sexo,situacion,evaluados,num_evaluados,total_evaluaciones,ultimo_acceso,nivel_acceso) VALUES (1324,'LICENCIATURA','jorshuadaniel.perezcamacho','111641','TOMAR DEL SND','PEREZ CAMACHO JORSHUA DANIEL','INGENIERÍA AUTOMOTRIZ','2do','MASCULINO','ACTIVO','',0,0,'','ALUMNO');</v>
      </c>
      <c r="M325" t="str">
        <f t="shared" si="22"/>
        <v>update participantes set correo='jorshuadaniel.perezcamacho' where id=1324;</v>
      </c>
    </row>
    <row r="326" spans="1:13" x14ac:dyDescent="0.25">
      <c r="A326">
        <f t="shared" si="23"/>
        <v>1325</v>
      </c>
      <c r="B326" s="3" t="s">
        <v>2103</v>
      </c>
      <c r="C326" t="str">
        <f>CONCATENATE("'",ALUMNOS!E329,"'")</f>
        <v>'josealberto.rubalcavamercado'</v>
      </c>
      <c r="D326" t="str">
        <f>CONCATENATE(ALUMNOS!F329,"'")</f>
        <v>'110673'</v>
      </c>
      <c r="E326" t="s">
        <v>2723</v>
      </c>
      <c r="F326" t="str">
        <f>CONCATENATE("'",ALUMNOS!H329,"'")</f>
        <v>'RUBALCAVA MERCADO JOSE ALBERTO'</v>
      </c>
      <c r="G326" t="str">
        <f>CONCATENATE("'",ALUMNOS!I329,"'")</f>
        <v>'MERCADOTECNIA Y PUBLICIDAD'</v>
      </c>
      <c r="H326" t="str">
        <f>CONCATENATE("'",ALUMNOS!J329,"'")</f>
        <v>'6to'</v>
      </c>
      <c r="I326" t="str">
        <f>CONCATENATE("'",ALUMNOS!K329,"'")</f>
        <v>'Masculino'</v>
      </c>
      <c r="J326" t="str">
        <f>CONCATENATE("'",ALUMNOS!L329,"'")</f>
        <v>'Activo'</v>
      </c>
      <c r="K326" t="str">
        <f t="shared" si="21"/>
        <v>1325,'LICENCIATURA','josealberto.rubalcavamercado','110673','TOMAR DEL SND','RUBALCAVA MERCADO JOSE ALBERTO','MERCADOTECNIA Y PUBLICIDAD','6to','MASCULINO','ACTIVO','',0,0,'','ALUMNO'</v>
      </c>
      <c r="L326" t="str">
        <f t="shared" si="20"/>
        <v>INSERT INTO participantes (id,nivel,correo,matricula,clave,nombre,carrera,grado,sexo,situacion,evaluados,num_evaluados,total_evaluaciones,ultimo_acceso,nivel_acceso) VALUES (1325,'LICENCIATURA','josealberto.rubalcavamercado','110673','TOMAR DEL SND','RUBALCAVA MERCADO JOSE ALBERTO','MERCADOTECNIA Y PUBLICIDAD','6to','MASCULINO','ACTIVO','',0,0,'','ALUMNO');</v>
      </c>
      <c r="M326" t="str">
        <f t="shared" si="22"/>
        <v>update participantes set correo='josealberto.rubalcavamercado' where id=1325;</v>
      </c>
    </row>
    <row r="327" spans="1:13" x14ac:dyDescent="0.25">
      <c r="A327">
        <f t="shared" si="23"/>
        <v>1326</v>
      </c>
      <c r="B327" s="3" t="s">
        <v>2103</v>
      </c>
      <c r="C327" t="str">
        <f>CONCATENATE("'",ALUMNOS!E330,"'")</f>
        <v>'josealejandro.ursielortega'</v>
      </c>
      <c r="D327" t="str">
        <f>CONCATENATE(ALUMNOS!F330,"'")</f>
        <v>'110451'</v>
      </c>
      <c r="E327" t="s">
        <v>2723</v>
      </c>
      <c r="F327" t="str">
        <f>CONCATENATE("'",ALUMNOS!H330,"'")</f>
        <v>'URSIEL ORTEGA JOSE ALEJANDRO'</v>
      </c>
      <c r="G327" t="str">
        <f>CONCATENATE("'",ALUMNOS!I330,"'")</f>
        <v>'INGENIERIA AEROESPACIAL'</v>
      </c>
      <c r="H327" t="str">
        <f>CONCATENATE("'",ALUMNOS!J330,"'")</f>
        <v>'6to'</v>
      </c>
      <c r="I327" t="str">
        <f>CONCATENATE("'",ALUMNOS!K330,"'")</f>
        <v>'Masculino'</v>
      </c>
      <c r="J327" t="str">
        <f>CONCATENATE("'",ALUMNOS!L330,"'")</f>
        <v>'Activo'</v>
      </c>
      <c r="K327" t="str">
        <f t="shared" si="21"/>
        <v>1326,'LICENCIATURA','josealejandro.ursielortega','110451','TOMAR DEL SND','URSIEL ORTEGA JOSE ALEJANDRO','INGENIERIA AEROESPACIAL','6to','MASCULINO','ACTIVO','',0,0,'','ALUMNO'</v>
      </c>
      <c r="L327" t="str">
        <f t="shared" si="20"/>
        <v>INSERT INTO participantes (id,nivel,correo,matricula,clave,nombre,carrera,grado,sexo,situacion,evaluados,num_evaluados,total_evaluaciones,ultimo_acceso,nivel_acceso) VALUES (1326,'LICENCIATURA','josealejandro.ursielortega','110451','TOMAR DEL SND','URSIEL ORTEGA JOSE ALEJANDRO','INGENIERIA AEROESPACIAL','6to','MASCULINO','ACTIVO','',0,0,'','ALUMNO');</v>
      </c>
      <c r="M327" t="str">
        <f t="shared" si="22"/>
        <v>update participantes set correo='josealejandro.ursielortega' where id=1326;</v>
      </c>
    </row>
    <row r="328" spans="1:13" x14ac:dyDescent="0.25">
      <c r="A328">
        <f t="shared" si="23"/>
        <v>1327</v>
      </c>
      <c r="B328" s="3" t="s">
        <v>2103</v>
      </c>
      <c r="C328" t="str">
        <f>CONCATENATE("'",ALUMNOS!E331,"'")</f>
        <v>'joseangel.perezcontreras'</v>
      </c>
      <c r="D328" t="str">
        <f>CONCATENATE(ALUMNOS!F331,"'")</f>
        <v>'111771'</v>
      </c>
      <c r="E328" t="s">
        <v>2723</v>
      </c>
      <c r="F328" t="str">
        <f>CONCATENATE("'",ALUMNOS!H331,"'")</f>
        <v>'PEREZ CONTRERAS JOSE ANGEL'</v>
      </c>
      <c r="G328" t="str">
        <f>CONCATENATE("'",ALUMNOS!I331,"'")</f>
        <v>'INGENIERÍA AUTOMOTRIZ'</v>
      </c>
      <c r="H328" t="str">
        <f>CONCATENATE("'",ALUMNOS!J331,"'")</f>
        <v>'2do'</v>
      </c>
      <c r="I328" t="str">
        <f>CONCATENATE("'",ALUMNOS!K331,"'")</f>
        <v>'Masculino'</v>
      </c>
      <c r="J328" t="str">
        <f>CONCATENATE("'",ALUMNOS!L331,"'")</f>
        <v>'Activo'</v>
      </c>
      <c r="K328" t="str">
        <f t="shared" si="21"/>
        <v>1327,'LICENCIATURA','joseangel.perezcontreras','111771','TOMAR DEL SND','PEREZ CONTRERAS JOSE ANGEL','INGENIERÍA AUTOMOTRIZ','2do','MASCULINO','ACTIVO','',0,0,'','ALUMNO'</v>
      </c>
      <c r="L328" t="str">
        <f t="shared" si="20"/>
        <v>INSERT INTO participantes (id,nivel,correo,matricula,clave,nombre,carrera,grado,sexo,situacion,evaluados,num_evaluados,total_evaluaciones,ultimo_acceso,nivel_acceso) VALUES (1327,'LICENCIATURA','joseangel.perezcontreras','111771','TOMAR DEL SND','PEREZ CONTRERAS JOSE ANGEL','INGENIERÍA AUTOMOTRIZ','2do','MASCULINO','ACTIVO','',0,0,'','ALUMNO');</v>
      </c>
      <c r="M328" t="str">
        <f t="shared" si="22"/>
        <v>update participantes set correo='joseangel.perezcontreras' where id=1327;</v>
      </c>
    </row>
    <row r="329" spans="1:13" x14ac:dyDescent="0.25">
      <c r="A329">
        <f t="shared" si="23"/>
        <v>1328</v>
      </c>
      <c r="B329" s="3" t="s">
        <v>2103</v>
      </c>
      <c r="C329" t="str">
        <f>CONCATENATE("'",ALUMNOS!E332,"'")</f>
        <v>'joseantonio.muñozsevilla'</v>
      </c>
      <c r="D329" t="str">
        <f>CONCATENATE(ALUMNOS!F332,"'")</f>
        <v>'111751'</v>
      </c>
      <c r="E329" t="s">
        <v>2723</v>
      </c>
      <c r="F329" t="str">
        <f>CONCATENATE("'",ALUMNOS!H332,"'")</f>
        <v>'MUÑOZ SEVILLA JOSE ANTONIO'</v>
      </c>
      <c r="G329" t="str">
        <f>CONCATENATE("'",ALUMNOS!I332,"'")</f>
        <v>'INGENIERÍA AUTOMOTRIZ'</v>
      </c>
      <c r="H329" t="str">
        <f>CONCATENATE("'",ALUMNOS!J332,"'")</f>
        <v>'2do'</v>
      </c>
      <c r="I329" t="str">
        <f>CONCATENATE("'",ALUMNOS!K332,"'")</f>
        <v>'Masculino'</v>
      </c>
      <c r="J329" t="str">
        <f>CONCATENATE("'",ALUMNOS!L332,"'")</f>
        <v>'Activo'</v>
      </c>
      <c r="K329" t="str">
        <f t="shared" si="21"/>
        <v>1328,'LICENCIATURA','joseantonio.muñozsevilla','111751','TOMAR DEL SND','MUÑOZ SEVILLA JOSE ANTONIO','INGENIERÍA AUTOMOTRIZ','2do','MASCULINO','ACTIVO','',0,0,'','ALUMNO'</v>
      </c>
      <c r="L329" t="str">
        <f t="shared" si="20"/>
        <v>INSERT INTO participantes (id,nivel,correo,matricula,clave,nombre,carrera,grado,sexo,situacion,evaluados,num_evaluados,total_evaluaciones,ultimo_acceso,nivel_acceso) VALUES (1328,'LICENCIATURA','joseantonio.muñozsevilla','111751','TOMAR DEL SND','MUÑOZ SEVILLA JOSE ANTONIO','INGENIERÍA AUTOMOTRIZ','2do','MASCULINO','ACTIVO','',0,0,'','ALUMNO');</v>
      </c>
      <c r="M329" t="str">
        <f t="shared" si="22"/>
        <v>update participantes set correo='joseantonio.muñozsevilla' where id=1328;</v>
      </c>
    </row>
    <row r="330" spans="1:13" x14ac:dyDescent="0.25">
      <c r="A330">
        <f t="shared" si="23"/>
        <v>1329</v>
      </c>
      <c r="B330" s="3" t="s">
        <v>2103</v>
      </c>
      <c r="C330" t="str">
        <f>CONCATENATE("'",ALUMNOS!E333,"'")</f>
        <v>'josecarlos.jaureguiflores'</v>
      </c>
      <c r="D330" t="str">
        <f>CONCATENATE(ALUMNOS!F333,"'")</f>
        <v>'108909'</v>
      </c>
      <c r="E330" t="s">
        <v>2723</v>
      </c>
      <c r="F330" t="str">
        <f>CONCATENATE("'",ALUMNOS!H333,"'")</f>
        <v>'JAUREGUI FLORES JOSE CARLOS'</v>
      </c>
      <c r="G330" t="str">
        <f>CONCATENATE("'",ALUMNOS!I333,"'")</f>
        <v>'INGENIERIA AEROESPACIAL'</v>
      </c>
      <c r="H330" t="str">
        <f>CONCATENATE("'",ALUMNOS!J333,"'")</f>
        <v>'4to'</v>
      </c>
      <c r="I330" t="str">
        <f>CONCATENATE("'",ALUMNOS!K333,"'")</f>
        <v>'Masculino'</v>
      </c>
      <c r="J330" t="str">
        <f>CONCATENATE("'",ALUMNOS!L333,"'")</f>
        <v>'Activo'</v>
      </c>
      <c r="K330" t="str">
        <f t="shared" si="21"/>
        <v>1329,'LICENCIATURA','josecarlos.jaureguiflores','108909','TOMAR DEL SND','JAUREGUI FLORES JOSE CARLOS','INGENIERIA AEROESPACIAL','4to','MASCULINO','ACTIVO','',0,0,'','ALUMNO'</v>
      </c>
      <c r="L330" t="str">
        <f t="shared" si="20"/>
        <v>INSERT INTO participantes (id,nivel,correo,matricula,clave,nombre,carrera,grado,sexo,situacion,evaluados,num_evaluados,total_evaluaciones,ultimo_acceso,nivel_acceso) VALUES (1329,'LICENCIATURA','josecarlos.jaureguiflores','108909','TOMAR DEL SND','JAUREGUI FLORES JOSE CARLOS','INGENIERIA AEROESPACIAL','4to','MASCULINO','ACTIVO','',0,0,'','ALUMNO');</v>
      </c>
      <c r="M330" t="str">
        <f t="shared" si="22"/>
        <v>update participantes set correo='josecarlos.jaureguiflores' where id=1329;</v>
      </c>
    </row>
    <row r="331" spans="1:13" x14ac:dyDescent="0.25">
      <c r="A331">
        <f t="shared" si="23"/>
        <v>1330</v>
      </c>
      <c r="B331" s="3" t="s">
        <v>2103</v>
      </c>
      <c r="C331" t="str">
        <f>CONCATENATE("'",ALUMNOS!E334,"'")</f>
        <v>'josedaniel.rodriguezmartinez'</v>
      </c>
      <c r="D331" t="str">
        <f>CONCATENATE(ALUMNOS!F334,"'")</f>
        <v>'110480'</v>
      </c>
      <c r="E331" t="s">
        <v>2723</v>
      </c>
      <c r="F331" t="str">
        <f>CONCATENATE("'",ALUMNOS!H334,"'")</f>
        <v>'RODRIGUEZ MARTINEZ JOSE DANIEL'</v>
      </c>
      <c r="G331" t="str">
        <f>CONCATENATE("'",ALUMNOS!I334,"'")</f>
        <v>'INGENIERIA AEROESPACIAL'</v>
      </c>
      <c r="H331" t="str">
        <f>CONCATENATE("'",ALUMNOS!J334,"'")</f>
        <v>'6to'</v>
      </c>
      <c r="I331" t="str">
        <f>CONCATENATE("'",ALUMNOS!K334,"'")</f>
        <v>'Masculino'</v>
      </c>
      <c r="J331" t="str">
        <f>CONCATENATE("'",ALUMNOS!L334,"'")</f>
        <v>'Activo'</v>
      </c>
      <c r="K331" t="str">
        <f t="shared" si="21"/>
        <v>1330,'LICENCIATURA','josedaniel.rodriguezmartinez','110480','TOMAR DEL SND','RODRIGUEZ MARTINEZ JOSE DANIEL','INGENIERIA AEROESPACIAL','6to','MASCULINO','ACTIVO','',0,0,'','ALUMNO'</v>
      </c>
      <c r="L331" t="str">
        <f t="shared" si="20"/>
        <v>INSERT INTO participantes (id,nivel,correo,matricula,clave,nombre,carrera,grado,sexo,situacion,evaluados,num_evaluados,total_evaluaciones,ultimo_acceso,nivel_acceso) VALUES (1330,'LICENCIATURA','josedaniel.rodriguezmartinez','110480','TOMAR DEL SND','RODRIGUEZ MARTINEZ JOSE DANIEL','INGENIERIA AEROESPACIAL','6to','MASCULINO','ACTIVO','',0,0,'','ALUMNO');</v>
      </c>
      <c r="M331" t="str">
        <f t="shared" si="22"/>
        <v>update participantes set correo='josedaniel.rodriguezmartinez' where id=1330;</v>
      </c>
    </row>
    <row r="332" spans="1:13" x14ac:dyDescent="0.25">
      <c r="A332">
        <f t="shared" si="23"/>
        <v>1331</v>
      </c>
      <c r="B332" s="3" t="s">
        <v>2103</v>
      </c>
      <c r="C332" t="str">
        <f>CONCATENATE("'",ALUMNOS!E335,"'")</f>
        <v>'josedavid.cruztellez'</v>
      </c>
      <c r="D332" t="str">
        <f>CONCATENATE(ALUMNOS!F335,"'")</f>
        <v>'110614'</v>
      </c>
      <c r="E332" t="s">
        <v>2723</v>
      </c>
      <c r="F332" t="str">
        <f>CONCATENATE("'",ALUMNOS!H335,"'")</f>
        <v>'CRUZ TELLEZ JOSE DAVID'</v>
      </c>
      <c r="G332" t="str">
        <f>CONCATENATE("'",ALUMNOS!I335,"'")</f>
        <v>'ARQUITECTURA'</v>
      </c>
      <c r="H332" t="str">
        <f>CONCATENATE("'",ALUMNOS!J335,"'")</f>
        <v>'6to'</v>
      </c>
      <c r="I332" t="str">
        <f>CONCATENATE("'",ALUMNOS!K335,"'")</f>
        <v>'Masculino'</v>
      </c>
      <c r="J332" t="str">
        <f>CONCATENATE("'",ALUMNOS!L335,"'")</f>
        <v>'Activo'</v>
      </c>
      <c r="K332" t="str">
        <f t="shared" si="21"/>
        <v>1331,'LICENCIATURA','josedavid.cruztellez','110614','TOMAR DEL SND','CRUZ TELLEZ JOSE DAVID','ARQUITECTURA','6to','MASCULINO','ACTIVO','',0,0,'','ALUMNO'</v>
      </c>
      <c r="L332" t="str">
        <f t="shared" si="20"/>
        <v>INSERT INTO participantes (id,nivel,correo,matricula,clave,nombre,carrera,grado,sexo,situacion,evaluados,num_evaluados,total_evaluaciones,ultimo_acceso,nivel_acceso) VALUES (1331,'LICENCIATURA','josedavid.cruztellez','110614','TOMAR DEL SND','CRUZ TELLEZ JOSE DAVID','ARQUITECTURA','6to','MASCULINO','ACTIVO','',0,0,'','ALUMNO');</v>
      </c>
      <c r="M332" t="str">
        <f t="shared" si="22"/>
        <v>update participantes set correo='josedavid.cruztellez' where id=1331;</v>
      </c>
    </row>
    <row r="333" spans="1:13" x14ac:dyDescent="0.25">
      <c r="A333">
        <f t="shared" si="23"/>
        <v>1332</v>
      </c>
      <c r="B333" s="3" t="s">
        <v>2103</v>
      </c>
      <c r="C333" t="str">
        <f>CONCATENATE("'",ALUMNOS!E336,"'")</f>
        <v>'josedavid.mendezmedina'</v>
      </c>
      <c r="D333" t="str">
        <f>CONCATENATE(ALUMNOS!F336,"'")</f>
        <v>'109890'</v>
      </c>
      <c r="E333" t="s">
        <v>2723</v>
      </c>
      <c r="F333" t="str">
        <f>CONCATENATE("'",ALUMNOS!H336,"'")</f>
        <v>'MENDEZ MEDINA JOSE DAVID'</v>
      </c>
      <c r="G333" t="str">
        <f>CONCATENATE("'",ALUMNOS!I336,"'")</f>
        <v>'PSICOLOGIA'</v>
      </c>
      <c r="H333" t="str">
        <f>CONCATENATE("'",ALUMNOS!J336,"'")</f>
        <v>'8vo'</v>
      </c>
      <c r="I333" t="str">
        <f>CONCATENATE("'",ALUMNOS!K336,"'")</f>
        <v>'Masculino'</v>
      </c>
      <c r="J333" t="str">
        <f>CONCATENATE("'",ALUMNOS!L336,"'")</f>
        <v>'Activo'</v>
      </c>
      <c r="K333" t="str">
        <f t="shared" si="21"/>
        <v>1332,'LICENCIATURA','josedavid.mendezmedina','109890','TOMAR DEL SND','MENDEZ MEDINA JOSE DAVID','PSICOLOGIA','8vo','MASCULINO','ACTIVO','',0,0,'','ALUMNO'</v>
      </c>
      <c r="L333" t="str">
        <f t="shared" si="20"/>
        <v>INSERT INTO participantes (id,nivel,correo,matricula,clave,nombre,carrera,grado,sexo,situacion,evaluados,num_evaluados,total_evaluaciones,ultimo_acceso,nivel_acceso) VALUES (1332,'LICENCIATURA','josedavid.mendezmedina','109890','TOMAR DEL SND','MENDEZ MEDINA JOSE DAVID','PSICOLOGIA','8vo','MASCULINO','ACTIVO','',0,0,'','ALUMNO');</v>
      </c>
      <c r="M333" t="str">
        <f t="shared" si="22"/>
        <v>update participantes set correo='josedavid.mendezmedina' where id=1332;</v>
      </c>
    </row>
    <row r="334" spans="1:13" x14ac:dyDescent="0.25">
      <c r="A334">
        <f t="shared" si="23"/>
        <v>1333</v>
      </c>
      <c r="B334" s="3" t="s">
        <v>2103</v>
      </c>
      <c r="C334" t="str">
        <f>CONCATENATE("'",ALUMNOS!E337,"'")</f>
        <v>'josedejesus.aguirrediaz'</v>
      </c>
      <c r="D334" t="str">
        <f>CONCATENATE(ALUMNOS!F337,"'")</f>
        <v>'109376'</v>
      </c>
      <c r="E334" t="s">
        <v>2723</v>
      </c>
      <c r="F334" t="str">
        <f>CONCATENATE("'",ALUMNOS!H337,"'")</f>
        <v>'AGUIRRE DIAZ JOSE DE JESUS'</v>
      </c>
      <c r="G334" t="str">
        <f>CONCATENATE("'",ALUMNOS!I337,"'")</f>
        <v>'INGENIERIA AEROESPACIAL'</v>
      </c>
      <c r="H334" t="str">
        <f>CONCATENATE("'",ALUMNOS!J337,"'")</f>
        <v>'10mo'</v>
      </c>
      <c r="I334" t="str">
        <f>CONCATENATE("'",ALUMNOS!K337,"'")</f>
        <v>'Masculino'</v>
      </c>
      <c r="J334" t="str">
        <f>CONCATENATE("'",ALUMNOS!L337,"'")</f>
        <v>'Activo'</v>
      </c>
      <c r="K334" t="str">
        <f t="shared" si="21"/>
        <v>1333,'LICENCIATURA','josedejesus.aguirrediaz','109376','TOMAR DEL SND','AGUIRRE DIAZ JOSE DE JESUS','INGENIERIA AEROESPACIAL','10mo','MASCULINO','ACTIVO','',0,0,'','ALUMNO'</v>
      </c>
      <c r="L334" t="str">
        <f t="shared" si="20"/>
        <v>INSERT INTO participantes (id,nivel,correo,matricula,clave,nombre,carrera,grado,sexo,situacion,evaluados,num_evaluados,total_evaluaciones,ultimo_acceso,nivel_acceso) VALUES (1333,'LICENCIATURA','josedejesus.aguirrediaz','109376','TOMAR DEL SND','AGUIRRE DIAZ JOSE DE JESUS','INGENIERIA AEROESPACIAL','10mo','MASCULINO','ACTIVO','',0,0,'','ALUMNO');</v>
      </c>
      <c r="M334" t="str">
        <f t="shared" si="22"/>
        <v>update participantes set correo='josedejesus.aguirrediaz' where id=1333;</v>
      </c>
    </row>
    <row r="335" spans="1:13" x14ac:dyDescent="0.25">
      <c r="A335">
        <f t="shared" si="23"/>
        <v>1334</v>
      </c>
      <c r="B335" s="3" t="s">
        <v>2103</v>
      </c>
      <c r="C335" t="str">
        <f>CONCATENATE("'",ALUMNOS!E338,"'")</f>
        <v>'joseemmanuel.becerrilgarcia'</v>
      </c>
      <c r="D335" t="str">
        <f>CONCATENATE(ALUMNOS!F338,"'")</f>
        <v>'111616'</v>
      </c>
      <c r="E335" t="s">
        <v>2723</v>
      </c>
      <c r="F335" t="str">
        <f>CONCATENATE("'",ALUMNOS!H338,"'")</f>
        <v>'BECERRIL GARCIA JOSE EMMANUEL'</v>
      </c>
      <c r="G335" t="str">
        <f>CONCATENATE("'",ALUMNOS!I338,"'")</f>
        <v>'ARQUITECTURA'</v>
      </c>
      <c r="H335" t="str">
        <f>CONCATENATE("'",ALUMNOS!J338,"'")</f>
        <v>'2do'</v>
      </c>
      <c r="I335" t="str">
        <f>CONCATENATE("'",ALUMNOS!K338,"'")</f>
        <v>'Masculino'</v>
      </c>
      <c r="J335" t="str">
        <f>CONCATENATE("'",ALUMNOS!L338,"'")</f>
        <v>'Activo'</v>
      </c>
      <c r="K335" t="str">
        <f t="shared" si="21"/>
        <v>1334,'LICENCIATURA','joseemmanuel.becerrilgarcia','111616','TOMAR DEL SND','BECERRIL GARCIA JOSE EMMANUEL','ARQUITECTURA','2do','MASCULINO','ACTIVO','',0,0,'','ALUMNO'</v>
      </c>
      <c r="L335" t="str">
        <f t="shared" si="20"/>
        <v>INSERT INTO participantes (id,nivel,correo,matricula,clave,nombre,carrera,grado,sexo,situacion,evaluados,num_evaluados,total_evaluaciones,ultimo_acceso,nivel_acceso) VALUES (1334,'LICENCIATURA','joseemmanuel.becerrilgarcia','111616','TOMAR DEL SND','BECERRIL GARCIA JOSE EMMANUEL','ARQUITECTURA','2do','MASCULINO','ACTIVO','',0,0,'','ALUMNO');</v>
      </c>
      <c r="M335" t="str">
        <f t="shared" si="22"/>
        <v>update participantes set correo='joseemmanuel.becerrilgarcia' where id=1334;</v>
      </c>
    </row>
    <row r="336" spans="1:13" x14ac:dyDescent="0.25">
      <c r="A336">
        <f t="shared" si="23"/>
        <v>1335</v>
      </c>
      <c r="B336" s="3" t="s">
        <v>2103</v>
      </c>
      <c r="C336" t="str">
        <f>CONCATENATE("'",ALUMNOS!E339,"'")</f>
        <v>'josehumberto.diazdeleongarcia'</v>
      </c>
      <c r="D336" t="str">
        <f>CONCATENATE(ALUMNOS!F339,"'")</f>
        <v>'111735'</v>
      </c>
      <c r="E336" t="s">
        <v>2723</v>
      </c>
      <c r="F336" t="str">
        <f>CONCATENATE("'",ALUMNOS!H339,"'")</f>
        <v>'DIAZ DE LEON GARCIA JOSE HUMBERTO'</v>
      </c>
      <c r="G336" t="str">
        <f>CONCATENATE("'",ALUMNOS!I339,"'")</f>
        <v>'NUTRICION Y GASTRONOMIA'</v>
      </c>
      <c r="H336" t="str">
        <f>CONCATENATE("'",ALUMNOS!J339,"'")</f>
        <v>'2do'</v>
      </c>
      <c r="I336" t="str">
        <f>CONCATENATE("'",ALUMNOS!K339,"'")</f>
        <v>'Masculino'</v>
      </c>
      <c r="J336" t="str">
        <f>CONCATENATE("'",ALUMNOS!L339,"'")</f>
        <v>'Activo'</v>
      </c>
      <c r="K336" t="str">
        <f t="shared" si="21"/>
        <v>1335,'LICENCIATURA','josehumberto.diazdeleongarcia','111735','TOMAR DEL SND','DIAZ DE LEON GARCIA JOSE HUMBERTO','NUTRICION Y GASTRONOMIA','2do','MASCULINO','ACTIVO','',0,0,'','ALUMNO'</v>
      </c>
      <c r="L336" t="str">
        <f t="shared" si="20"/>
        <v>INSERT INTO participantes (id,nivel,correo,matricula,clave,nombre,carrera,grado,sexo,situacion,evaluados,num_evaluados,total_evaluaciones,ultimo_acceso,nivel_acceso) VALUES (1335,'LICENCIATURA','josehumberto.diazdeleongarcia','111735','TOMAR DEL SND','DIAZ DE LEON GARCIA JOSE HUMBERTO','NUTRICION Y GASTRONOMIA','2do','MASCULINO','ACTIVO','',0,0,'','ALUMNO');</v>
      </c>
      <c r="M336" t="str">
        <f t="shared" si="22"/>
        <v>update participantes set correo='josehumberto.diazdeleongarcia' where id=1335;</v>
      </c>
    </row>
    <row r="337" spans="1:13" x14ac:dyDescent="0.25">
      <c r="A337">
        <f t="shared" si="23"/>
        <v>1336</v>
      </c>
      <c r="B337" s="3" t="s">
        <v>2103</v>
      </c>
      <c r="C337" t="str">
        <f>CONCATENATE("'",ALUMNOS!E340,"'")</f>
        <v>'joseisaac.cisneroscortes'</v>
      </c>
      <c r="D337" t="str">
        <f>CONCATENATE(ALUMNOS!F340,"'")</f>
        <v>'111051'</v>
      </c>
      <c r="E337" t="s">
        <v>2723</v>
      </c>
      <c r="F337" t="str">
        <f>CONCATENATE("'",ALUMNOS!H340,"'")</f>
        <v>'CISNEROS CORTES JOSE ISAAC'</v>
      </c>
      <c r="G337" t="str">
        <f>CONCATENATE("'",ALUMNOS!I340,"'")</f>
        <v>'ARQUITECTURA'</v>
      </c>
      <c r="H337" t="str">
        <f>CONCATENATE("'",ALUMNOS!J340,"'")</f>
        <v>'4to'</v>
      </c>
      <c r="I337" t="str">
        <f>CONCATENATE("'",ALUMNOS!K340,"'")</f>
        <v>'Masculino'</v>
      </c>
      <c r="J337" t="str">
        <f>CONCATENATE("'",ALUMNOS!L340,"'")</f>
        <v>'Activo'</v>
      </c>
      <c r="K337" t="str">
        <f t="shared" si="21"/>
        <v>1336,'LICENCIATURA','joseisaac.cisneroscortes','111051','TOMAR DEL SND','CISNEROS CORTES JOSE ISAAC','ARQUITECTURA','4to','MASCULINO','ACTIVO','',0,0,'','ALUMNO'</v>
      </c>
      <c r="L337" t="str">
        <f t="shared" si="20"/>
        <v>INSERT INTO participantes (id,nivel,correo,matricula,clave,nombre,carrera,grado,sexo,situacion,evaluados,num_evaluados,total_evaluaciones,ultimo_acceso,nivel_acceso) VALUES (1336,'LICENCIATURA','joseisaac.cisneroscortes','111051','TOMAR DEL SND','CISNEROS CORTES JOSE ISAAC','ARQUITECTURA','4to','MASCULINO','ACTIVO','',0,0,'','ALUMNO');</v>
      </c>
      <c r="M337" t="str">
        <f t="shared" si="22"/>
        <v>update participantes set correo='joseisaac.cisneroscortes' where id=1336;</v>
      </c>
    </row>
    <row r="338" spans="1:13" x14ac:dyDescent="0.25">
      <c r="A338">
        <f t="shared" si="23"/>
        <v>1337</v>
      </c>
      <c r="B338" s="3" t="s">
        <v>2103</v>
      </c>
      <c r="C338" t="str">
        <f>CONCATENATE("'",ALUMNOS!E341,"'")</f>
        <v>'joseluis.hortasoltero'</v>
      </c>
      <c r="D338" t="str">
        <f>CONCATENATE(ALUMNOS!F341,"'")</f>
        <v>'111783'</v>
      </c>
      <c r="E338" t="s">
        <v>2723</v>
      </c>
      <c r="F338" t="str">
        <f>CONCATENATE("'",ALUMNOS!H341,"'")</f>
        <v>'HORTA SOLTERO JOSE LUIS'</v>
      </c>
      <c r="G338" t="str">
        <f>CONCATENATE("'",ALUMNOS!I341,"'")</f>
        <v>'INGENIERÍA AUTOMOTRIZ'</v>
      </c>
      <c r="H338" t="str">
        <f>CONCATENATE("'",ALUMNOS!J341,"'")</f>
        <v>'2do'</v>
      </c>
      <c r="I338" t="str">
        <f>CONCATENATE("'",ALUMNOS!K341,"'")</f>
        <v>'Masculino'</v>
      </c>
      <c r="J338" t="str">
        <f>CONCATENATE("'",ALUMNOS!L341,"'")</f>
        <v>'Activo'</v>
      </c>
      <c r="K338" t="str">
        <f t="shared" si="21"/>
        <v>1337,'LICENCIATURA','joseluis.hortasoltero','111783','TOMAR DEL SND','HORTA SOLTERO JOSE LUIS','INGENIERÍA AUTOMOTRIZ','2do','MASCULINO','ACTIVO','',0,0,'','ALUMNO'</v>
      </c>
      <c r="L338" t="str">
        <f t="shared" si="20"/>
        <v>INSERT INTO participantes (id,nivel,correo,matricula,clave,nombre,carrera,grado,sexo,situacion,evaluados,num_evaluados,total_evaluaciones,ultimo_acceso,nivel_acceso) VALUES (1337,'LICENCIATURA','joseluis.hortasoltero','111783','TOMAR DEL SND','HORTA SOLTERO JOSE LUIS','INGENIERÍA AUTOMOTRIZ','2do','MASCULINO','ACTIVO','',0,0,'','ALUMNO');</v>
      </c>
      <c r="M338" t="str">
        <f t="shared" si="22"/>
        <v>update participantes set correo='joseluis.hortasoltero' where id=1337;</v>
      </c>
    </row>
    <row r="339" spans="1:13" x14ac:dyDescent="0.25">
      <c r="A339">
        <f t="shared" si="23"/>
        <v>1338</v>
      </c>
      <c r="B339" s="3" t="s">
        <v>2103</v>
      </c>
      <c r="C339" t="str">
        <f>CONCATENATE("'",ALUMNOS!E342,"'")</f>
        <v>'josemanuel.rodriguezaguayo'</v>
      </c>
      <c r="D339" t="str">
        <f>CONCATENATE(ALUMNOS!F342,"'")</f>
        <v>'111042'</v>
      </c>
      <c r="E339" t="s">
        <v>2723</v>
      </c>
      <c r="F339" t="str">
        <f>CONCATENATE("'",ALUMNOS!H342,"'")</f>
        <v>'RODRIGUEZ AGUAYO JOSE MANUEL'</v>
      </c>
      <c r="G339" t="str">
        <f>CONCATENATE("'",ALUMNOS!I342,"'")</f>
        <v>'ARQUITECTURA'</v>
      </c>
      <c r="H339" t="str">
        <f>CONCATENATE("'",ALUMNOS!J342,"'")</f>
        <v>'4to'</v>
      </c>
      <c r="I339" t="str">
        <f>CONCATENATE("'",ALUMNOS!K342,"'")</f>
        <v>'Masculino'</v>
      </c>
      <c r="J339" t="str">
        <f>CONCATENATE("'",ALUMNOS!L342,"'")</f>
        <v>'Activo'</v>
      </c>
      <c r="K339" t="str">
        <f t="shared" si="21"/>
        <v>1338,'LICENCIATURA','josemanuel.rodriguezaguayo','111042','TOMAR DEL SND','RODRIGUEZ AGUAYO JOSE MANUEL','ARQUITECTURA','4to','MASCULINO','ACTIVO','',0,0,'','ALUMNO'</v>
      </c>
      <c r="L339" t="str">
        <f t="shared" si="20"/>
        <v>INSERT INTO participantes (id,nivel,correo,matricula,clave,nombre,carrera,grado,sexo,situacion,evaluados,num_evaluados,total_evaluaciones,ultimo_acceso,nivel_acceso) VALUES (1338,'LICENCIATURA','josemanuel.rodriguezaguayo','111042','TOMAR DEL SND','RODRIGUEZ AGUAYO JOSE MANUEL','ARQUITECTURA','4to','MASCULINO','ACTIVO','',0,0,'','ALUMNO');</v>
      </c>
      <c r="M339" t="str">
        <f t="shared" si="22"/>
        <v>update participantes set correo='josemanuel.rodriguezaguayo' where id=1338;</v>
      </c>
    </row>
    <row r="340" spans="1:13" x14ac:dyDescent="0.25">
      <c r="A340">
        <f t="shared" si="23"/>
        <v>1339</v>
      </c>
      <c r="B340" s="3" t="s">
        <v>2103</v>
      </c>
      <c r="C340" t="str">
        <f>CONCATENATE("'",ALUMNOS!E343,"'")</f>
        <v>'josemaria.coronadocabrera'</v>
      </c>
      <c r="D340" t="str">
        <f>CONCATENATE(ALUMNOS!F343,"'")</f>
        <v>'110664'</v>
      </c>
      <c r="E340" t="s">
        <v>2723</v>
      </c>
      <c r="F340" t="str">
        <f>CONCATENATE("'",ALUMNOS!H343,"'")</f>
        <v>'CORONADO CABRERA JOSE MARIA'</v>
      </c>
      <c r="G340" t="str">
        <f>CONCATENATE("'",ALUMNOS!I343,"'")</f>
        <v>'NUTRICION Y GASTRONOMIA'</v>
      </c>
      <c r="H340" t="str">
        <f>CONCATENATE("'",ALUMNOS!J343,"'")</f>
        <v>'6to'</v>
      </c>
      <c r="I340" t="str">
        <f>CONCATENATE("'",ALUMNOS!K343,"'")</f>
        <v>'Masculino'</v>
      </c>
      <c r="J340" t="str">
        <f>CONCATENATE("'",ALUMNOS!L343,"'")</f>
        <v>'Activo'</v>
      </c>
      <c r="K340" t="str">
        <f t="shared" si="21"/>
        <v>1339,'LICENCIATURA','josemaria.coronadocabrera','110664','TOMAR DEL SND','CORONADO CABRERA JOSE MARIA','NUTRICION Y GASTRONOMIA','6to','MASCULINO','ACTIVO','',0,0,'','ALUMNO'</v>
      </c>
      <c r="L340" t="str">
        <f t="shared" si="20"/>
        <v>INSERT INTO participantes (id,nivel,correo,matricula,clave,nombre,carrera,grado,sexo,situacion,evaluados,num_evaluados,total_evaluaciones,ultimo_acceso,nivel_acceso) VALUES (1339,'LICENCIATURA','josemaria.coronadocabrera','110664','TOMAR DEL SND','CORONADO CABRERA JOSE MARIA','NUTRICION Y GASTRONOMIA','6to','MASCULINO','ACTIVO','',0,0,'','ALUMNO');</v>
      </c>
      <c r="M340" t="str">
        <f t="shared" si="22"/>
        <v>update participantes set correo='josemaria.coronadocabrera' where id=1339;</v>
      </c>
    </row>
    <row r="341" spans="1:13" x14ac:dyDescent="0.25">
      <c r="A341">
        <f t="shared" si="23"/>
        <v>1340</v>
      </c>
      <c r="B341" s="3" t="s">
        <v>2103</v>
      </c>
      <c r="C341" t="str">
        <f>CONCATENATE("'",ALUMNOS!E344,"'")</f>
        <v>'josemauricio.huitronsanchez'</v>
      </c>
      <c r="D341" t="str">
        <f>CONCATENATE(ALUMNOS!F344,"'")</f>
        <v>'110594'</v>
      </c>
      <c r="E341" t="s">
        <v>2723</v>
      </c>
      <c r="F341" t="str">
        <f>CONCATENATE("'",ALUMNOS!H344,"'")</f>
        <v>'HUITRON SANCHEZ JOSE MAURICIO'</v>
      </c>
      <c r="G341" t="str">
        <f>CONCATENATE("'",ALUMNOS!I344,"'")</f>
        <v>'INGENIERIA AEROESPACIAL'</v>
      </c>
      <c r="H341" t="str">
        <f>CONCATENATE("'",ALUMNOS!J344,"'")</f>
        <v>'6to'</v>
      </c>
      <c r="I341" t="str">
        <f>CONCATENATE("'",ALUMNOS!K344,"'")</f>
        <v>'Masculino'</v>
      </c>
      <c r="J341" t="str">
        <f>CONCATENATE("'",ALUMNOS!L344,"'")</f>
        <v>'Activo'</v>
      </c>
      <c r="K341" t="str">
        <f t="shared" si="21"/>
        <v>1340,'LICENCIATURA','josemauricio.huitronsanchez','110594','TOMAR DEL SND','HUITRON SANCHEZ JOSE MAURICIO','INGENIERIA AEROESPACIAL','6to','MASCULINO','ACTIVO','',0,0,'','ALUMNO'</v>
      </c>
      <c r="L341" t="str">
        <f t="shared" si="20"/>
        <v>INSERT INTO participantes (id,nivel,correo,matricula,clave,nombre,carrera,grado,sexo,situacion,evaluados,num_evaluados,total_evaluaciones,ultimo_acceso,nivel_acceso) VALUES (1340,'LICENCIATURA','josemauricio.huitronsanchez','110594','TOMAR DEL SND','HUITRON SANCHEZ JOSE MAURICIO','INGENIERIA AEROESPACIAL','6to','MASCULINO','ACTIVO','',0,0,'','ALUMNO');</v>
      </c>
      <c r="M341" t="str">
        <f t="shared" si="22"/>
        <v>update participantes set correo='josemauricio.huitronsanchez' where id=1340;</v>
      </c>
    </row>
    <row r="342" spans="1:13" x14ac:dyDescent="0.25">
      <c r="A342">
        <f t="shared" si="23"/>
        <v>1341</v>
      </c>
      <c r="B342" s="3" t="s">
        <v>2103</v>
      </c>
      <c r="C342" t="str">
        <f>CONCATENATE("'",ALUMNOS!E345,"'")</f>
        <v>'josemiguel.terrazasfigueroa'</v>
      </c>
      <c r="D342" t="str">
        <f>CONCATENATE(ALUMNOS!F345,"'")</f>
        <v>'111629'</v>
      </c>
      <c r="E342" t="s">
        <v>2723</v>
      </c>
      <c r="F342" t="str">
        <f>CONCATENATE("'",ALUMNOS!H345,"'")</f>
        <v>'TERRAZAS FIGUEROA JOSE MIGUEL'</v>
      </c>
      <c r="G342" t="str">
        <f>CONCATENATE("'",ALUMNOS!I345,"'")</f>
        <v>'INGENIERÍA AUTOMOTRIZ'</v>
      </c>
      <c r="H342" t="str">
        <f>CONCATENATE("'",ALUMNOS!J345,"'")</f>
        <v>'2do'</v>
      </c>
      <c r="I342" t="str">
        <f>CONCATENATE("'",ALUMNOS!K345,"'")</f>
        <v>'Masculino'</v>
      </c>
      <c r="J342" t="str">
        <f>CONCATENATE("'",ALUMNOS!L345,"'")</f>
        <v>'Activo'</v>
      </c>
      <c r="K342" t="str">
        <f t="shared" si="21"/>
        <v>1341,'LICENCIATURA','josemiguel.terrazasfigueroa','111629','TOMAR DEL SND','TERRAZAS FIGUEROA JOSE MIGUEL','INGENIERÍA AUTOMOTRIZ','2do','MASCULINO','ACTIVO','',0,0,'','ALUMNO'</v>
      </c>
      <c r="L342" t="str">
        <f t="shared" si="20"/>
        <v>INSERT INTO participantes (id,nivel,correo,matricula,clave,nombre,carrera,grado,sexo,situacion,evaluados,num_evaluados,total_evaluaciones,ultimo_acceso,nivel_acceso) VALUES (1341,'LICENCIATURA','josemiguel.terrazasfigueroa','111629','TOMAR DEL SND','TERRAZAS FIGUEROA JOSE MIGUEL','INGENIERÍA AUTOMOTRIZ','2do','MASCULINO','ACTIVO','',0,0,'','ALUMNO');</v>
      </c>
      <c r="M342" t="str">
        <f t="shared" si="22"/>
        <v>update participantes set correo='josemiguel.terrazasfigueroa' where id=1341;</v>
      </c>
    </row>
    <row r="343" spans="1:13" x14ac:dyDescent="0.25">
      <c r="A343">
        <f t="shared" si="23"/>
        <v>1342</v>
      </c>
      <c r="B343" s="3" t="s">
        <v>2103</v>
      </c>
      <c r="C343" t="str">
        <f>CONCATENATE("'",ALUMNOS!E346,"'")</f>
        <v>'joseramon.vegapacheco'</v>
      </c>
      <c r="D343" t="str">
        <f>CONCATENATE(ALUMNOS!F346,"'")</f>
        <v>'111126'</v>
      </c>
      <c r="E343" t="s">
        <v>2723</v>
      </c>
      <c r="F343" t="str">
        <f>CONCATENATE("'",ALUMNOS!H346,"'")</f>
        <v>'VEGA PACHECO JOSE RAMON'</v>
      </c>
      <c r="G343" t="str">
        <f>CONCATENATE("'",ALUMNOS!I346,"'")</f>
        <v>'INGENIERIA AEROESPACIAL'</v>
      </c>
      <c r="H343" t="str">
        <f>CONCATENATE("'",ALUMNOS!J346,"'")</f>
        <v>'4to'</v>
      </c>
      <c r="I343" t="str">
        <f>CONCATENATE("'",ALUMNOS!K346,"'")</f>
        <v>'Masculino'</v>
      </c>
      <c r="J343" t="str">
        <f>CONCATENATE("'",ALUMNOS!L346,"'")</f>
        <v>'Activo'</v>
      </c>
      <c r="K343" t="str">
        <f t="shared" si="21"/>
        <v>1342,'LICENCIATURA','joseramon.vegapacheco','111126','TOMAR DEL SND','VEGA PACHECO JOSE RAMON','INGENIERIA AEROESPACIAL','4to','MASCULINO','ACTIVO','',0,0,'','ALUMNO'</v>
      </c>
      <c r="L343" t="str">
        <f t="shared" si="20"/>
        <v>INSERT INTO participantes (id,nivel,correo,matricula,clave,nombre,carrera,grado,sexo,situacion,evaluados,num_evaluados,total_evaluaciones,ultimo_acceso,nivel_acceso) VALUES (1342,'LICENCIATURA','joseramon.vegapacheco','111126','TOMAR DEL SND','VEGA PACHECO JOSE RAMON','INGENIERIA AEROESPACIAL','4to','MASCULINO','ACTIVO','',0,0,'','ALUMNO');</v>
      </c>
      <c r="M343" t="str">
        <f t="shared" si="22"/>
        <v>update participantes set correo='joseramon.vegapacheco' where id=1342;</v>
      </c>
    </row>
    <row r="344" spans="1:13" x14ac:dyDescent="0.25">
      <c r="A344">
        <f t="shared" si="23"/>
        <v>1343</v>
      </c>
      <c r="B344" s="3" t="s">
        <v>2103</v>
      </c>
      <c r="C344" t="str">
        <f>CONCATENATE("'",ALUMNOS!E347,"'")</f>
        <v>'joshuaalejandro.gascatellez'</v>
      </c>
      <c r="D344" t="str">
        <f>CONCATENATE(ALUMNOS!F347,"'")</f>
        <v>'111747'</v>
      </c>
      <c r="E344" t="s">
        <v>2723</v>
      </c>
      <c r="F344" t="str">
        <f>CONCATENATE("'",ALUMNOS!H347,"'")</f>
        <v>'GASCA TELLEZ JOSHUA ALEJANDRO'</v>
      </c>
      <c r="G344" t="str">
        <f>CONCATENATE("'",ALUMNOS!I347,"'")</f>
        <v>'INGENIERÍA AUTOMOTRIZ'</v>
      </c>
      <c r="H344" t="str">
        <f>CONCATENATE("'",ALUMNOS!J347,"'")</f>
        <v>'2do'</v>
      </c>
      <c r="I344" t="str">
        <f>CONCATENATE("'",ALUMNOS!K347,"'")</f>
        <v>'Masculino'</v>
      </c>
      <c r="J344" t="str">
        <f>CONCATENATE("'",ALUMNOS!L347,"'")</f>
        <v>'Activo'</v>
      </c>
      <c r="K344" t="str">
        <f t="shared" si="21"/>
        <v>1343,'LICENCIATURA','joshuaalejandro.gascatellez','111747','TOMAR DEL SND','GASCA TELLEZ JOSHUA ALEJANDRO','INGENIERÍA AUTOMOTRIZ','2do','MASCULINO','ACTIVO','',0,0,'','ALUMNO'</v>
      </c>
      <c r="L344" t="str">
        <f t="shared" si="20"/>
        <v>INSERT INTO participantes (id,nivel,correo,matricula,clave,nombre,carrera,grado,sexo,situacion,evaluados,num_evaluados,total_evaluaciones,ultimo_acceso,nivel_acceso) VALUES (1343,'LICENCIATURA','joshuaalejandro.gascatellez','111747','TOMAR DEL SND','GASCA TELLEZ JOSHUA ALEJANDRO','INGENIERÍA AUTOMOTRIZ','2do','MASCULINO','ACTIVO','',0,0,'','ALUMNO');</v>
      </c>
      <c r="M344" t="str">
        <f t="shared" si="22"/>
        <v>update participantes set correo='joshuaalejandro.gascatellez' where id=1343;</v>
      </c>
    </row>
    <row r="345" spans="1:13" x14ac:dyDescent="0.25">
      <c r="A345">
        <f t="shared" si="23"/>
        <v>1344</v>
      </c>
      <c r="B345" s="3" t="s">
        <v>2103</v>
      </c>
      <c r="C345" t="str">
        <f>CONCATENATE("'",ALUMNOS!E348,"'")</f>
        <v>'josuejavier.perezlopez'</v>
      </c>
      <c r="D345" t="str">
        <f>CONCATENATE(ALUMNOS!F348,"'")</f>
        <v>'111770'</v>
      </c>
      <c r="E345" t="s">
        <v>2723</v>
      </c>
      <c r="F345" t="str">
        <f>CONCATENATE("'",ALUMNOS!H348,"'")</f>
        <v>'PEREZ LOPEZ JOSUE JAVIER'</v>
      </c>
      <c r="G345" t="str">
        <f>CONCATENATE("'",ALUMNOS!I348,"'")</f>
        <v>'INGENIERIA AEROESPACIAL'</v>
      </c>
      <c r="H345" t="str">
        <f>CONCATENATE("'",ALUMNOS!J348,"'")</f>
        <v>'2do'</v>
      </c>
      <c r="I345" t="str">
        <f>CONCATENATE("'",ALUMNOS!K348,"'")</f>
        <v>'Masculino'</v>
      </c>
      <c r="J345" t="str">
        <f>CONCATENATE("'",ALUMNOS!L348,"'")</f>
        <v>'Activo'</v>
      </c>
      <c r="K345" t="str">
        <f t="shared" si="21"/>
        <v>1344,'LICENCIATURA','josuejavier.perezlopez','111770','TOMAR DEL SND','PEREZ LOPEZ JOSUE JAVIER','INGENIERIA AEROESPACIAL','2do','MASCULINO','ACTIVO','',0,0,'','ALUMNO'</v>
      </c>
      <c r="L345" t="str">
        <f t="shared" si="20"/>
        <v>INSERT INTO participantes (id,nivel,correo,matricula,clave,nombre,carrera,grado,sexo,situacion,evaluados,num_evaluados,total_evaluaciones,ultimo_acceso,nivel_acceso) VALUES (1344,'LICENCIATURA','josuejavier.perezlopez','111770','TOMAR DEL SND','PEREZ LOPEZ JOSUE JAVIER','INGENIERIA AEROESPACIAL','2do','MASCULINO','ACTIVO','',0,0,'','ALUMNO');</v>
      </c>
      <c r="M345" t="str">
        <f t="shared" si="22"/>
        <v>update participantes set correo='josuejavier.perezlopez' where id=1344;</v>
      </c>
    </row>
    <row r="346" spans="1:13" x14ac:dyDescent="0.25">
      <c r="A346">
        <f t="shared" si="23"/>
        <v>1345</v>
      </c>
      <c r="B346" s="3" t="s">
        <v>2103</v>
      </c>
      <c r="C346" t="str">
        <f>CONCATENATE("'",ALUMNOS!E349,"'")</f>
        <v>'josuesebastianemiliano.matadelamora'</v>
      </c>
      <c r="D346" t="str">
        <f>CONCATENATE(ALUMNOS!F349,"'")</f>
        <v>'111172'</v>
      </c>
      <c r="E346" t="s">
        <v>2723</v>
      </c>
      <c r="F346" t="str">
        <f>CONCATENATE("'",ALUMNOS!H349,"'")</f>
        <v>'MATA DE LA MORA JOSUE SEBASTIAN EMILIANO'</v>
      </c>
      <c r="G346" t="str">
        <f>CONCATENATE("'",ALUMNOS!I349,"'")</f>
        <v>'ARQUITECTURA'</v>
      </c>
      <c r="H346" t="str">
        <f>CONCATENATE("'",ALUMNOS!J349,"'")</f>
        <v>'4to'</v>
      </c>
      <c r="I346" t="str">
        <f>CONCATENATE("'",ALUMNOS!K349,"'")</f>
        <v>'Masculino'</v>
      </c>
      <c r="J346" t="str">
        <f>CONCATENATE("'",ALUMNOS!L349,"'")</f>
        <v>'Activo'</v>
      </c>
      <c r="K346" t="str">
        <f t="shared" si="21"/>
        <v>1345,'LICENCIATURA','josuesebastianemiliano.matadelamora','111172','TOMAR DEL SND','MATA DE LA MORA JOSUE SEBASTIAN EMILIANO','ARQUITECTURA','4to','MASCULINO','ACTIVO','',0,0,'','ALUMNO'</v>
      </c>
      <c r="L346" t="str">
        <f t="shared" si="20"/>
        <v>INSERT INTO participantes (id,nivel,correo,matricula,clave,nombre,carrera,grado,sexo,situacion,evaluados,num_evaluados,total_evaluaciones,ultimo_acceso,nivel_acceso) VALUES (1345,'LICENCIATURA','josuesebastianemiliano.matadelamora','111172','TOMAR DEL SND','MATA DE LA MORA JOSUE SEBASTIAN EMILIANO','ARQUITECTURA','4to','MASCULINO','ACTIVO','',0,0,'','ALUMNO');</v>
      </c>
      <c r="M346" t="str">
        <f t="shared" si="22"/>
        <v>update participantes set correo='josuesebastianemiliano.matadelamora' where id=1345;</v>
      </c>
    </row>
    <row r="347" spans="1:13" x14ac:dyDescent="0.25">
      <c r="A347">
        <f t="shared" si="23"/>
        <v>1346</v>
      </c>
      <c r="B347" s="3" t="s">
        <v>2103</v>
      </c>
      <c r="C347" t="str">
        <f>CONCATENATE("'",ALUMNOS!E350,"'")</f>
        <v>'juanarmando.floresflores'</v>
      </c>
      <c r="D347" t="str">
        <f>CONCATENATE(ALUMNOS!F350,"'")</f>
        <v>'111650'</v>
      </c>
      <c r="E347" t="s">
        <v>2723</v>
      </c>
      <c r="F347" t="str">
        <f>CONCATENATE("'",ALUMNOS!H350,"'")</f>
        <v>'FLORES FLORES JUAN ARMANDO'</v>
      </c>
      <c r="G347" t="str">
        <f>CONCATENATE("'",ALUMNOS!I350,"'")</f>
        <v>'INGENIERÍA AUTOMOTRIZ'</v>
      </c>
      <c r="H347" t="str">
        <f>CONCATENATE("'",ALUMNOS!J350,"'")</f>
        <v>'2do'</v>
      </c>
      <c r="I347" t="str">
        <f>CONCATENATE("'",ALUMNOS!K350,"'")</f>
        <v>'Masculino'</v>
      </c>
      <c r="J347" t="str">
        <f>CONCATENATE("'",ALUMNOS!L350,"'")</f>
        <v>'Activo'</v>
      </c>
      <c r="K347" t="str">
        <f t="shared" si="21"/>
        <v>1346,'LICENCIATURA','juanarmando.floresflores','111650','TOMAR DEL SND','FLORES FLORES JUAN ARMANDO','INGENIERÍA AUTOMOTRIZ','2do','MASCULINO','ACTIVO','',0,0,'','ALUMNO'</v>
      </c>
      <c r="L347" t="str">
        <f t="shared" si="20"/>
        <v>INSERT INTO participantes (id,nivel,correo,matricula,clave,nombre,carrera,grado,sexo,situacion,evaluados,num_evaluados,total_evaluaciones,ultimo_acceso,nivel_acceso) VALUES (1346,'LICENCIATURA','juanarmando.floresflores','111650','TOMAR DEL SND','FLORES FLORES JUAN ARMANDO','INGENIERÍA AUTOMOTRIZ','2do','MASCULINO','ACTIVO','',0,0,'','ALUMNO');</v>
      </c>
      <c r="M347" t="str">
        <f t="shared" si="22"/>
        <v>update participantes set correo='juanarmando.floresflores' where id=1346;</v>
      </c>
    </row>
    <row r="348" spans="1:13" x14ac:dyDescent="0.25">
      <c r="A348">
        <f t="shared" si="23"/>
        <v>1347</v>
      </c>
      <c r="B348" s="3" t="s">
        <v>2103</v>
      </c>
      <c r="C348" t="str">
        <f>CONCATENATE("'",ALUMNOS!E351,"'")</f>
        <v>'juancarlos.bañuelosperez'</v>
      </c>
      <c r="D348" t="str">
        <f>CONCATENATE(ALUMNOS!F351,"'")</f>
        <v>'111796'</v>
      </c>
      <c r="E348" t="s">
        <v>2723</v>
      </c>
      <c r="F348" t="str">
        <f>CONCATENATE("'",ALUMNOS!H351,"'")</f>
        <v>'BAÑUELOS PEREZ JUAN CARLOS'</v>
      </c>
      <c r="G348" t="str">
        <f>CONCATENATE("'",ALUMNOS!I351,"'")</f>
        <v>'ARQUITECTURA'</v>
      </c>
      <c r="H348" t="str">
        <f>CONCATENATE("'",ALUMNOS!J351,"'")</f>
        <v>'2do'</v>
      </c>
      <c r="I348" t="str">
        <f>CONCATENATE("'",ALUMNOS!K351,"'")</f>
        <v>'Masculino'</v>
      </c>
      <c r="J348" t="str">
        <f>CONCATENATE("'",ALUMNOS!L351,"'")</f>
        <v>'Activo'</v>
      </c>
      <c r="K348" t="str">
        <f t="shared" si="21"/>
        <v>1347,'LICENCIATURA','juancarlos.bañuelosperez','111796','TOMAR DEL SND','BAÑUELOS PEREZ JUAN CARLOS','ARQUITECTURA','2do','MASCULINO','ACTIVO','',0,0,'','ALUMNO'</v>
      </c>
      <c r="L348" t="str">
        <f t="shared" si="20"/>
        <v>INSERT INTO participantes (id,nivel,correo,matricula,clave,nombre,carrera,grado,sexo,situacion,evaluados,num_evaluados,total_evaluaciones,ultimo_acceso,nivel_acceso) VALUES (1347,'LICENCIATURA','juancarlos.bañuelosperez','111796','TOMAR DEL SND','BAÑUELOS PEREZ JUAN CARLOS','ARQUITECTURA','2do','MASCULINO','ACTIVO','',0,0,'','ALUMNO');</v>
      </c>
      <c r="M348" t="str">
        <f t="shared" si="22"/>
        <v>update participantes set correo='juancarlos.bañuelosperez' where id=1347;</v>
      </c>
    </row>
    <row r="349" spans="1:13" x14ac:dyDescent="0.25">
      <c r="A349">
        <f t="shared" si="23"/>
        <v>1348</v>
      </c>
      <c r="B349" s="3" t="s">
        <v>2103</v>
      </c>
      <c r="C349" t="str">
        <f>CONCATENATE("'",ALUMNOS!E352,"'")</f>
        <v>'juancarlos.castillerosolano'</v>
      </c>
      <c r="D349" t="str">
        <f>CONCATENATE(ALUMNOS!F352,"'")</f>
        <v>'111722'</v>
      </c>
      <c r="E349" t="s">
        <v>2723</v>
      </c>
      <c r="F349" t="str">
        <f>CONCATENATE("'",ALUMNOS!H352,"'")</f>
        <v>'CASTILLERO SOLANO JUAN CARLOS'</v>
      </c>
      <c r="G349" t="str">
        <f>CONCATENATE("'",ALUMNOS!I352,"'")</f>
        <v>'INGENIERÍA AUTOMOTRIZ'</v>
      </c>
      <c r="H349" t="str">
        <f>CONCATENATE("'",ALUMNOS!J352,"'")</f>
        <v>'2do'</v>
      </c>
      <c r="I349" t="str">
        <f>CONCATENATE("'",ALUMNOS!K352,"'")</f>
        <v>'Masculino'</v>
      </c>
      <c r="J349" t="str">
        <f>CONCATENATE("'",ALUMNOS!L352,"'")</f>
        <v>'Activo'</v>
      </c>
      <c r="K349" t="str">
        <f t="shared" si="21"/>
        <v>1348,'LICENCIATURA','juancarlos.castillerosolano','111722','TOMAR DEL SND','CASTILLERO SOLANO JUAN CARLOS','INGENIERÍA AUTOMOTRIZ','2do','MASCULINO','ACTIVO','',0,0,'','ALUMNO'</v>
      </c>
      <c r="L349" t="str">
        <f t="shared" si="20"/>
        <v>INSERT INTO participantes (id,nivel,correo,matricula,clave,nombre,carrera,grado,sexo,situacion,evaluados,num_evaluados,total_evaluaciones,ultimo_acceso,nivel_acceso) VALUES (1348,'LICENCIATURA','juancarlos.castillerosolano','111722','TOMAR DEL SND','CASTILLERO SOLANO JUAN CARLOS','INGENIERÍA AUTOMOTRIZ','2do','MASCULINO','ACTIVO','',0,0,'','ALUMNO');</v>
      </c>
      <c r="M349" t="str">
        <f t="shared" si="22"/>
        <v>update participantes set correo='juancarlos.castillerosolano' where id=1348;</v>
      </c>
    </row>
    <row r="350" spans="1:13" x14ac:dyDescent="0.25">
      <c r="A350">
        <f t="shared" si="23"/>
        <v>1349</v>
      </c>
      <c r="B350" s="3" t="s">
        <v>2103</v>
      </c>
      <c r="C350" t="str">
        <f>CONCATENATE("'",ALUMNOS!E353,"'")</f>
        <v>'juancarlos.castroanzoategui'</v>
      </c>
      <c r="D350" t="str">
        <f>CONCATENATE(ALUMNOS!F353,"'")</f>
        <v>'111645'</v>
      </c>
      <c r="E350" t="s">
        <v>2723</v>
      </c>
      <c r="F350" t="str">
        <f>CONCATENATE("'",ALUMNOS!H353,"'")</f>
        <v>'CASTRO ANZOATEGUI JUAN CARLOS'</v>
      </c>
      <c r="G350" t="str">
        <f>CONCATENATE("'",ALUMNOS!I353,"'")</f>
        <v>'ADMINISTRACION Y DIRECCION DE NEGOCIOS'</v>
      </c>
      <c r="H350" t="str">
        <f>CONCATENATE("'",ALUMNOS!J353,"'")</f>
        <v>'2do'</v>
      </c>
      <c r="I350" t="str">
        <f>CONCATENATE("'",ALUMNOS!K353,"'")</f>
        <v>'Masculino'</v>
      </c>
      <c r="J350" t="str">
        <f>CONCATENATE("'",ALUMNOS!L353,"'")</f>
        <v>'Activo'</v>
      </c>
      <c r="K350" t="str">
        <f t="shared" si="21"/>
        <v>1349,'LICENCIATURA','juancarlos.castroanzoategui','111645','TOMAR DEL SND','CASTRO ANZOATEGUI JUAN CARLOS','ADMINISTRACION Y DIRECCION DE NEGOCIOS','2do','MASCULINO','ACTIVO','',0,0,'','ALUMNO'</v>
      </c>
      <c r="L350" t="str">
        <f t="shared" si="20"/>
        <v>INSERT INTO participantes (id,nivel,correo,matricula,clave,nombre,carrera,grado,sexo,situacion,evaluados,num_evaluados,total_evaluaciones,ultimo_acceso,nivel_acceso) VALUES (1349,'LICENCIATURA','juancarlos.castroanzoategui','111645','TOMAR DEL SND','CASTRO ANZOATEGUI JUAN CARLOS','ADMINISTRACION Y DIRECCION DE NEGOCIOS','2do','MASCULINO','ACTIVO','',0,0,'','ALUMNO');</v>
      </c>
      <c r="M350" t="str">
        <f t="shared" si="22"/>
        <v>update participantes set correo='juancarlos.castroanzoategui' where id=1349;</v>
      </c>
    </row>
    <row r="351" spans="1:13" x14ac:dyDescent="0.25">
      <c r="A351">
        <f t="shared" si="23"/>
        <v>1350</v>
      </c>
      <c r="B351" s="3" t="s">
        <v>2103</v>
      </c>
      <c r="C351" t="str">
        <f>CONCATENATE("'",ALUMNOS!E354,"'")</f>
        <v>'juancarlos.mendozaarmas'</v>
      </c>
      <c r="D351" t="str">
        <f>CONCATENATE(ALUMNOS!F354,"'")</f>
        <v>'110503'</v>
      </c>
      <c r="E351" t="s">
        <v>2723</v>
      </c>
      <c r="F351" t="str">
        <f>CONCATENATE("'",ALUMNOS!H354,"'")</f>
        <v>'MENDOZA ARMAS JUAN CARLOS'</v>
      </c>
      <c r="G351" t="str">
        <f>CONCATENATE("'",ALUMNOS!I354,"'")</f>
        <v>'INGENIERIA AEROESPACIAL'</v>
      </c>
      <c r="H351" t="str">
        <f>CONCATENATE("'",ALUMNOS!J354,"'")</f>
        <v>'6to'</v>
      </c>
      <c r="I351" t="str">
        <f>CONCATENATE("'",ALUMNOS!K354,"'")</f>
        <v>'Masculino'</v>
      </c>
      <c r="J351" t="str">
        <f>CONCATENATE("'",ALUMNOS!L354,"'")</f>
        <v>'Activo'</v>
      </c>
      <c r="K351" t="str">
        <f t="shared" si="21"/>
        <v>1350,'LICENCIATURA','juancarlos.mendozaarmas','110503','TOMAR DEL SND','MENDOZA ARMAS JUAN CARLOS','INGENIERIA AEROESPACIAL','6to','MASCULINO','ACTIVO','',0,0,'','ALUMNO'</v>
      </c>
      <c r="L351" t="str">
        <f t="shared" si="20"/>
        <v>INSERT INTO participantes (id,nivel,correo,matricula,clave,nombre,carrera,grado,sexo,situacion,evaluados,num_evaluados,total_evaluaciones,ultimo_acceso,nivel_acceso) VALUES (1350,'LICENCIATURA','juancarlos.mendozaarmas','110503','TOMAR DEL SND','MENDOZA ARMAS JUAN CARLOS','INGENIERIA AEROESPACIAL','6to','MASCULINO','ACTIVO','',0,0,'','ALUMNO');</v>
      </c>
      <c r="M351" t="str">
        <f t="shared" si="22"/>
        <v>update participantes set correo='juancarlos.mendozaarmas' where id=1350;</v>
      </c>
    </row>
    <row r="352" spans="1:13" x14ac:dyDescent="0.25">
      <c r="A352">
        <f t="shared" si="23"/>
        <v>1351</v>
      </c>
      <c r="B352" s="3" t="s">
        <v>2103</v>
      </c>
      <c r="C352" t="str">
        <f>CONCATENATE("'",ALUMNOS!E355,"'")</f>
        <v>'juanjesus.zacariasaguilar'</v>
      </c>
      <c r="D352" t="str">
        <f>CONCATENATE(ALUMNOS!F355,"'")</f>
        <v>'111752'</v>
      </c>
      <c r="E352" t="s">
        <v>2723</v>
      </c>
      <c r="F352" t="str">
        <f>CONCATENATE("'",ALUMNOS!H355,"'")</f>
        <v>'ZACARIAS AGUILAR JUAN JESUS'</v>
      </c>
      <c r="G352" t="str">
        <f>CONCATENATE("'",ALUMNOS!I355,"'")</f>
        <v>'INGENIERIA AEROESPACIAL'</v>
      </c>
      <c r="H352" t="str">
        <f>CONCATENATE("'",ALUMNOS!J355,"'")</f>
        <v>'2do'</v>
      </c>
      <c r="I352" t="str">
        <f>CONCATENATE("'",ALUMNOS!K355,"'")</f>
        <v>'Masculino'</v>
      </c>
      <c r="J352" t="str">
        <f>CONCATENATE("'",ALUMNOS!L355,"'")</f>
        <v>'Activo'</v>
      </c>
      <c r="K352" t="str">
        <f t="shared" si="21"/>
        <v>1351,'LICENCIATURA','juanjesus.zacariasaguilar','111752','TOMAR DEL SND','ZACARIAS AGUILAR JUAN JESUS','INGENIERIA AEROESPACIAL','2do','MASCULINO','ACTIVO','',0,0,'','ALUMNO'</v>
      </c>
      <c r="L352" t="str">
        <f t="shared" si="20"/>
        <v>INSERT INTO participantes (id,nivel,correo,matricula,clave,nombre,carrera,grado,sexo,situacion,evaluados,num_evaluados,total_evaluaciones,ultimo_acceso,nivel_acceso) VALUES (1351,'LICENCIATURA','juanjesus.zacariasaguilar','111752','TOMAR DEL SND','ZACARIAS AGUILAR JUAN JESUS','INGENIERIA AEROESPACIAL','2do','MASCULINO','ACTIVO','',0,0,'','ALUMNO');</v>
      </c>
      <c r="M352" t="str">
        <f t="shared" si="22"/>
        <v>update participantes set correo='juanjesus.zacariasaguilar' where id=1351;</v>
      </c>
    </row>
    <row r="353" spans="1:13" x14ac:dyDescent="0.25">
      <c r="A353">
        <f t="shared" si="23"/>
        <v>1352</v>
      </c>
      <c r="B353" s="3" t="s">
        <v>2103</v>
      </c>
      <c r="C353" t="str">
        <f>CONCATENATE("'",ALUMNOS!E356,"'")</f>
        <v>'juanjose.maciassantoyo'</v>
      </c>
      <c r="D353" t="str">
        <f>CONCATENATE(ALUMNOS!F356,"'")</f>
        <v>'110000'</v>
      </c>
      <c r="E353" t="s">
        <v>2723</v>
      </c>
      <c r="F353" t="str">
        <f>CONCATENATE("'",ALUMNOS!H356,"'")</f>
        <v>'MACIAS SANTOYO JUAN JOSE'</v>
      </c>
      <c r="G353" t="str">
        <f>CONCATENATE("'",ALUMNOS!I356,"'")</f>
        <v>'ADMINISTRACION Y DIRECCION DE NEGOCIOS'</v>
      </c>
      <c r="H353" t="str">
        <f>CONCATENATE("'",ALUMNOS!J356,"'")</f>
        <v>'8vo'</v>
      </c>
      <c r="I353" t="str">
        <f>CONCATENATE("'",ALUMNOS!K356,"'")</f>
        <v>'Masculino'</v>
      </c>
      <c r="J353" t="str">
        <f>CONCATENATE("'",ALUMNOS!L356,"'")</f>
        <v>'Activo'</v>
      </c>
      <c r="K353" t="str">
        <f t="shared" si="21"/>
        <v>1352,'LICENCIATURA','juanjose.maciassantoyo','110000','TOMAR DEL SND','MACIAS SANTOYO JUAN JOSE','ADMINISTRACION Y DIRECCION DE NEGOCIOS','8vo','MASCULINO','ACTIVO','',0,0,'','ALUMNO'</v>
      </c>
      <c r="L353" t="str">
        <f t="shared" si="20"/>
        <v>INSERT INTO participantes (id,nivel,correo,matricula,clave,nombre,carrera,grado,sexo,situacion,evaluados,num_evaluados,total_evaluaciones,ultimo_acceso,nivel_acceso) VALUES (1352,'LICENCIATURA','juanjose.maciassantoyo','110000','TOMAR DEL SND','MACIAS SANTOYO JUAN JOSE','ADMINISTRACION Y DIRECCION DE NEGOCIOS','8vo','MASCULINO','ACTIVO','',0,0,'','ALUMNO');</v>
      </c>
      <c r="M353" t="str">
        <f t="shared" si="22"/>
        <v>update participantes set correo='juanjose.maciassantoyo' where id=1352;</v>
      </c>
    </row>
    <row r="354" spans="1:13" x14ac:dyDescent="0.25">
      <c r="A354">
        <f t="shared" si="23"/>
        <v>1353</v>
      </c>
      <c r="B354" s="3" t="s">
        <v>2103</v>
      </c>
      <c r="C354" t="str">
        <f>CONCATENATE("'",ALUMNOS!E357,"'")</f>
        <v>'juanluis.preciadovalle'</v>
      </c>
      <c r="D354" t="str">
        <f>CONCATENATE(ALUMNOS!F357,"'")</f>
        <v>'111830'</v>
      </c>
      <c r="E354" t="s">
        <v>2723</v>
      </c>
      <c r="F354" t="str">
        <f>CONCATENATE("'",ALUMNOS!H357,"'")</f>
        <v>'PRECIADO VALLE JUAN LUIS'</v>
      </c>
      <c r="G354" t="str">
        <f>CONCATENATE("'",ALUMNOS!I357,"'")</f>
        <v>'INGENIERÍA AUTOMOTRIZ'</v>
      </c>
      <c r="H354" t="str">
        <f>CONCATENATE("'",ALUMNOS!J357,"'")</f>
        <v>'2do'</v>
      </c>
      <c r="I354" t="str">
        <f>CONCATENATE("'",ALUMNOS!K357,"'")</f>
        <v>'Masculino'</v>
      </c>
      <c r="J354" t="str">
        <f>CONCATENATE("'",ALUMNOS!L357,"'")</f>
        <v>'Activo'</v>
      </c>
      <c r="K354" t="str">
        <f t="shared" si="21"/>
        <v>1353,'LICENCIATURA','juanluis.preciadovalle','111830','TOMAR DEL SND','PRECIADO VALLE JUAN LUIS','INGENIERÍA AUTOMOTRIZ','2do','MASCULINO','ACTIVO','',0,0,'','ALUMNO'</v>
      </c>
      <c r="L354" t="str">
        <f t="shared" si="20"/>
        <v>INSERT INTO participantes (id,nivel,correo,matricula,clave,nombre,carrera,grado,sexo,situacion,evaluados,num_evaluados,total_evaluaciones,ultimo_acceso,nivel_acceso) VALUES (1353,'LICENCIATURA','juanluis.preciadovalle','111830','TOMAR DEL SND','PRECIADO VALLE JUAN LUIS','INGENIERÍA AUTOMOTRIZ','2do','MASCULINO','ACTIVO','',0,0,'','ALUMNO');</v>
      </c>
      <c r="M354" t="str">
        <f t="shared" si="22"/>
        <v>update participantes set correo='juanluis.preciadovalle' where id=1353;</v>
      </c>
    </row>
    <row r="355" spans="1:13" x14ac:dyDescent="0.25">
      <c r="A355">
        <f t="shared" si="23"/>
        <v>1354</v>
      </c>
      <c r="B355" s="3" t="s">
        <v>2103</v>
      </c>
      <c r="C355" t="str">
        <f>CONCATENATE("'",ALUMNOS!E358,"'")</f>
        <v>'juanmanuel.davaloshernandez'</v>
      </c>
      <c r="D355" t="str">
        <f>CONCATENATE(ALUMNOS!F358,"'")</f>
        <v>'109906'</v>
      </c>
      <c r="E355" t="s">
        <v>2723</v>
      </c>
      <c r="F355" t="str">
        <f>CONCATENATE("'",ALUMNOS!H358,"'")</f>
        <v>'DAVALOS HERNANDEZ JUAN MANUEL'</v>
      </c>
      <c r="G355" t="str">
        <f>CONCATENATE("'",ALUMNOS!I358,"'")</f>
        <v>'INGENIERIA AEROESPACIAL'</v>
      </c>
      <c r="H355" t="str">
        <f>CONCATENATE("'",ALUMNOS!J358,"'")</f>
        <v>'8vo'</v>
      </c>
      <c r="I355" t="str">
        <f>CONCATENATE("'",ALUMNOS!K358,"'")</f>
        <v>'Masculino'</v>
      </c>
      <c r="J355" t="str">
        <f>CONCATENATE("'",ALUMNOS!L358,"'")</f>
        <v>'Activo'</v>
      </c>
      <c r="K355" t="str">
        <f t="shared" si="21"/>
        <v>1354,'LICENCIATURA','juanmanuel.davaloshernandez','109906','TOMAR DEL SND','DAVALOS HERNANDEZ JUAN MANUEL','INGENIERIA AEROESPACIAL','8vo','MASCULINO','ACTIVO','',0,0,'','ALUMNO'</v>
      </c>
      <c r="L355" t="str">
        <f t="shared" si="20"/>
        <v>INSERT INTO participantes (id,nivel,correo,matricula,clave,nombre,carrera,grado,sexo,situacion,evaluados,num_evaluados,total_evaluaciones,ultimo_acceso,nivel_acceso) VALUES (1354,'LICENCIATURA','juanmanuel.davaloshernandez','109906','TOMAR DEL SND','DAVALOS HERNANDEZ JUAN MANUEL','INGENIERIA AEROESPACIAL','8vo','MASCULINO','ACTIVO','',0,0,'','ALUMNO');</v>
      </c>
      <c r="M355" t="str">
        <f t="shared" si="22"/>
        <v>update participantes set correo='juanmanuel.davaloshernandez' where id=1354;</v>
      </c>
    </row>
    <row r="356" spans="1:13" x14ac:dyDescent="0.25">
      <c r="A356">
        <f t="shared" si="23"/>
        <v>1355</v>
      </c>
      <c r="B356" s="3" t="s">
        <v>2103</v>
      </c>
      <c r="C356" t="str">
        <f>CONCATENATE("'",ALUMNOS!E359,"'")</f>
        <v>'juanpablo.figueroarodriguez'</v>
      </c>
      <c r="D356" t="str">
        <f>CONCATENATE(ALUMNOS!F359,"'")</f>
        <v>'111125'</v>
      </c>
      <c r="E356" t="s">
        <v>2723</v>
      </c>
      <c r="F356" t="str">
        <f>CONCATENATE("'",ALUMNOS!H359,"'")</f>
        <v>'FIGUEROA RODRIGUEZ JUAN PABLO'</v>
      </c>
      <c r="G356" t="str">
        <f>CONCATENATE("'",ALUMNOS!I359,"'")</f>
        <v>'INGENIERIA AEROESPACIAL'</v>
      </c>
      <c r="H356" t="str">
        <f>CONCATENATE("'",ALUMNOS!J359,"'")</f>
        <v>'4to'</v>
      </c>
      <c r="I356" t="str">
        <f>CONCATENATE("'",ALUMNOS!K359,"'")</f>
        <v>'Masculino'</v>
      </c>
      <c r="J356" t="str">
        <f>CONCATENATE("'",ALUMNOS!L359,"'")</f>
        <v>'Activo'</v>
      </c>
      <c r="K356" t="str">
        <f t="shared" si="21"/>
        <v>1355,'LICENCIATURA','juanpablo.figueroarodriguez','111125','TOMAR DEL SND','FIGUEROA RODRIGUEZ JUAN PABLO','INGENIERIA AEROESPACIAL','4to','MASCULINO','ACTIVO','',0,0,'','ALUMNO'</v>
      </c>
      <c r="L356" t="str">
        <f t="shared" si="20"/>
        <v>INSERT INTO participantes (id,nivel,correo,matricula,clave,nombre,carrera,grado,sexo,situacion,evaluados,num_evaluados,total_evaluaciones,ultimo_acceso,nivel_acceso) VALUES (1355,'LICENCIATURA','juanpablo.figueroarodriguez','111125','TOMAR DEL SND','FIGUEROA RODRIGUEZ JUAN PABLO','INGENIERIA AEROESPACIAL','4to','MASCULINO','ACTIVO','',0,0,'','ALUMNO');</v>
      </c>
      <c r="M356" t="str">
        <f t="shared" si="22"/>
        <v>update participantes set correo='juanpablo.figueroarodriguez' where id=1355;</v>
      </c>
    </row>
    <row r="357" spans="1:13" x14ac:dyDescent="0.25">
      <c r="A357">
        <f t="shared" si="23"/>
        <v>1356</v>
      </c>
      <c r="B357" s="3" t="s">
        <v>2103</v>
      </c>
      <c r="C357" t="str">
        <f>CONCATENATE("'",ALUMNOS!E360,"'")</f>
        <v>'juanpablo.ruizgarcia'</v>
      </c>
      <c r="D357" t="str">
        <f>CONCATENATE(ALUMNOS!F360,"'")</f>
        <v>'110604'</v>
      </c>
      <c r="E357" t="s">
        <v>2723</v>
      </c>
      <c r="F357" t="str">
        <f>CONCATENATE("'",ALUMNOS!H360,"'")</f>
        <v>'RUIZ GARCIA JUAN PABLO'</v>
      </c>
      <c r="G357" t="str">
        <f>CONCATENATE("'",ALUMNOS!I360,"'")</f>
        <v>'DERECHO'</v>
      </c>
      <c r="H357" t="str">
        <f>CONCATENATE("'",ALUMNOS!J360,"'")</f>
        <v>'6to'</v>
      </c>
      <c r="I357" t="str">
        <f>CONCATENATE("'",ALUMNOS!K360,"'")</f>
        <v>'Masculino'</v>
      </c>
      <c r="J357" t="str">
        <f>CONCATENATE("'",ALUMNOS!L360,"'")</f>
        <v>'Activo'</v>
      </c>
      <c r="K357" t="str">
        <f t="shared" si="21"/>
        <v>1356,'LICENCIATURA','juanpablo.ruizgarcia','110604','TOMAR DEL SND','RUIZ GARCIA JUAN PABLO','DERECHO','6to','MASCULINO','ACTIVO','',0,0,'','ALUMNO'</v>
      </c>
      <c r="L357" t="str">
        <f t="shared" si="20"/>
        <v>INSERT INTO participantes (id,nivel,correo,matricula,clave,nombre,carrera,grado,sexo,situacion,evaluados,num_evaluados,total_evaluaciones,ultimo_acceso,nivel_acceso) VALUES (1356,'LICENCIATURA','juanpablo.ruizgarcia','110604','TOMAR DEL SND','RUIZ GARCIA JUAN PABLO','DERECHO','6to','MASCULINO','ACTIVO','',0,0,'','ALUMNO');</v>
      </c>
      <c r="M357" t="str">
        <f t="shared" si="22"/>
        <v>update participantes set correo='juanpablo.ruizgarcia' where id=1356;</v>
      </c>
    </row>
    <row r="358" spans="1:13" x14ac:dyDescent="0.25">
      <c r="A358">
        <f t="shared" si="23"/>
        <v>1357</v>
      </c>
      <c r="B358" s="3" t="s">
        <v>2103</v>
      </c>
      <c r="C358" t="str">
        <f>CONCATENATE("'",ALUMNOS!E361,"'")</f>
        <v>'juanpablo.trejoyañez'</v>
      </c>
      <c r="D358" t="str">
        <f>CONCATENATE(ALUMNOS!F361,"'")</f>
        <v>'110506'</v>
      </c>
      <c r="E358" t="s">
        <v>2723</v>
      </c>
      <c r="F358" t="str">
        <f>CONCATENATE("'",ALUMNOS!H361,"'")</f>
        <v>'TREJO YAÑEZ JUAN PABLO'</v>
      </c>
      <c r="G358" t="str">
        <f>CONCATENATE("'",ALUMNOS!I361,"'")</f>
        <v>'INGENIERIA AEROESPACIAL'</v>
      </c>
      <c r="H358" t="str">
        <f>CONCATENATE("'",ALUMNOS!J361,"'")</f>
        <v>'6to'</v>
      </c>
      <c r="I358" t="str">
        <f>CONCATENATE("'",ALUMNOS!K361,"'")</f>
        <v>'Masculino'</v>
      </c>
      <c r="J358" t="str">
        <f>CONCATENATE("'",ALUMNOS!L361,"'")</f>
        <v>'Activo'</v>
      </c>
      <c r="K358" t="str">
        <f t="shared" si="21"/>
        <v>1357,'LICENCIATURA','juanpablo.trejoyañez','110506','TOMAR DEL SND','TREJO YAÑEZ JUAN PABLO','INGENIERIA AEROESPACIAL','6to','MASCULINO','ACTIVO','',0,0,'','ALUMNO'</v>
      </c>
      <c r="L358" t="str">
        <f t="shared" si="20"/>
        <v>INSERT INTO participantes (id,nivel,correo,matricula,clave,nombre,carrera,grado,sexo,situacion,evaluados,num_evaluados,total_evaluaciones,ultimo_acceso,nivel_acceso) VALUES (1357,'LICENCIATURA','juanpablo.trejoyañez','110506','TOMAR DEL SND','TREJO YAÑEZ JUAN PABLO','INGENIERIA AEROESPACIAL','6to','MASCULINO','ACTIVO','',0,0,'','ALUMNO');</v>
      </c>
      <c r="M358" t="str">
        <f t="shared" si="22"/>
        <v>update participantes set correo='juanpablo.trejoyañez' where id=1357;</v>
      </c>
    </row>
    <row r="359" spans="1:13" x14ac:dyDescent="0.25">
      <c r="A359">
        <f t="shared" si="23"/>
        <v>1358</v>
      </c>
      <c r="B359" s="3" t="s">
        <v>2103</v>
      </c>
      <c r="C359" t="str">
        <f>CONCATENATE("'",ALUMNOS!E362,"'")</f>
        <v>'juanpablo.vacahernandez'</v>
      </c>
      <c r="D359" t="str">
        <f>CONCATENATE(ALUMNOS!F362,"'")</f>
        <v>'110653'</v>
      </c>
      <c r="E359" t="s">
        <v>2723</v>
      </c>
      <c r="F359" t="str">
        <f>CONCATENATE("'",ALUMNOS!H362,"'")</f>
        <v>'VACA HERNANDEZ JUAN PABLO'</v>
      </c>
      <c r="G359" t="str">
        <f>CONCATENATE("'",ALUMNOS!I362,"'")</f>
        <v>'ARQUITECTURA'</v>
      </c>
      <c r="H359" t="str">
        <f>CONCATENATE("'",ALUMNOS!J362,"'")</f>
        <v>'6to'</v>
      </c>
      <c r="I359" t="str">
        <f>CONCATENATE("'",ALUMNOS!K362,"'")</f>
        <v>'Masculino'</v>
      </c>
      <c r="J359" t="str">
        <f>CONCATENATE("'",ALUMNOS!L362,"'")</f>
        <v>'Activo'</v>
      </c>
      <c r="K359" t="str">
        <f t="shared" si="21"/>
        <v>1358,'LICENCIATURA','juanpablo.vacahernandez','110653','TOMAR DEL SND','VACA HERNANDEZ JUAN PABLO','ARQUITECTURA','6to','MASCULINO','ACTIVO','',0,0,'','ALUMNO'</v>
      </c>
      <c r="L359" t="str">
        <f t="shared" si="20"/>
        <v>INSERT INTO participantes (id,nivel,correo,matricula,clave,nombre,carrera,grado,sexo,situacion,evaluados,num_evaluados,total_evaluaciones,ultimo_acceso,nivel_acceso) VALUES (1358,'LICENCIATURA','juanpablo.vacahernandez','110653','TOMAR DEL SND','VACA HERNANDEZ JUAN PABLO','ARQUITECTURA','6to','MASCULINO','ACTIVO','',0,0,'','ALUMNO');</v>
      </c>
      <c r="M359" t="str">
        <f t="shared" si="22"/>
        <v>update participantes set correo='juanpablo.vacahernandez' where id=1358;</v>
      </c>
    </row>
    <row r="360" spans="1:13" x14ac:dyDescent="0.25">
      <c r="A360">
        <f t="shared" si="23"/>
        <v>1359</v>
      </c>
      <c r="B360" s="3" t="s">
        <v>2103</v>
      </c>
      <c r="C360" t="str">
        <f>CONCATENATE("'",ALUMNOS!E363,"'")</f>
        <v>'juanpablo.venanciocontreras'</v>
      </c>
      <c r="D360" t="str">
        <f>CONCATENATE(ALUMNOS!F363,"'")</f>
        <v>'109495'</v>
      </c>
      <c r="E360" t="s">
        <v>2723</v>
      </c>
      <c r="F360" t="str">
        <f>CONCATENATE("'",ALUMNOS!H363,"'")</f>
        <v>'VENANCIO CONTRERAS JUAN PABLO'</v>
      </c>
      <c r="G360" t="str">
        <f>CONCATENATE("'",ALUMNOS!I363,"'")</f>
        <v>'MERCADOTECNIA Y PUBLICIDAD'</v>
      </c>
      <c r="H360" t="str">
        <f>CONCATENATE("'",ALUMNOS!J363,"'")</f>
        <v>'8vo'</v>
      </c>
      <c r="I360" t="str">
        <f>CONCATENATE("'",ALUMNOS!K363,"'")</f>
        <v>'Masculino'</v>
      </c>
      <c r="J360" t="str">
        <f>CONCATENATE("'",ALUMNOS!L363,"'")</f>
        <v>'Activo'</v>
      </c>
      <c r="K360" t="str">
        <f t="shared" si="21"/>
        <v>1359,'LICENCIATURA','juanpablo.venanciocontreras','109495','TOMAR DEL SND','VENANCIO CONTRERAS JUAN PABLO','MERCADOTECNIA Y PUBLICIDAD','8vo','MASCULINO','ACTIVO','',0,0,'','ALUMNO'</v>
      </c>
      <c r="L360" t="str">
        <f t="shared" si="20"/>
        <v>INSERT INTO participantes (id,nivel,correo,matricula,clave,nombre,carrera,grado,sexo,situacion,evaluados,num_evaluados,total_evaluaciones,ultimo_acceso,nivel_acceso) VALUES (1359,'LICENCIATURA','juanpablo.venanciocontreras','109495','TOMAR DEL SND','VENANCIO CONTRERAS JUAN PABLO','MERCADOTECNIA Y PUBLICIDAD','8vo','MASCULINO','ACTIVO','',0,0,'','ALUMNO');</v>
      </c>
      <c r="M360" t="str">
        <f t="shared" si="22"/>
        <v>update participantes set correo='juanpablo.venanciocontreras' where id=1359;</v>
      </c>
    </row>
    <row r="361" spans="1:13" x14ac:dyDescent="0.25">
      <c r="A361">
        <f t="shared" si="23"/>
        <v>1360</v>
      </c>
      <c r="B361" s="3" t="s">
        <v>2103</v>
      </c>
      <c r="C361" t="str">
        <f>CONCATENATE("'",ALUMNOS!E364,"'")</f>
        <v>'juanpatricio.martinpeña'</v>
      </c>
      <c r="D361" t="str">
        <f>CONCATENATE(ALUMNOS!F364,"'")</f>
        <v>'007058'</v>
      </c>
      <c r="E361" t="s">
        <v>2723</v>
      </c>
      <c r="F361" t="str">
        <f>CONCATENATE("'",ALUMNOS!H364,"'")</f>
        <v>'MARTIN PEÑA JUAN PATRICIO'</v>
      </c>
      <c r="G361" t="str">
        <f>CONCATENATE("'",ALUMNOS!I364,"'")</f>
        <v>'MERCADOTECNIA Y PUBLICIDAD'</v>
      </c>
      <c r="H361" t="str">
        <f>CONCATENATE("'",ALUMNOS!J364,"'")</f>
        <v>'8vo'</v>
      </c>
      <c r="I361" t="str">
        <f>CONCATENATE("'",ALUMNOS!K364,"'")</f>
        <v>'Masculino'</v>
      </c>
      <c r="J361" t="str">
        <f>CONCATENATE("'",ALUMNOS!L364,"'")</f>
        <v>'Activo'</v>
      </c>
      <c r="K361" t="str">
        <f t="shared" si="21"/>
        <v>1360,'LICENCIATURA','juanpatricio.martinpeña','007058','TOMAR DEL SND','MARTIN PEÑA JUAN PATRICIO','MERCADOTECNIA Y PUBLICIDAD','8vo','MASCULINO','ACTIVO','',0,0,'','ALUMNO'</v>
      </c>
      <c r="L361" t="str">
        <f t="shared" si="20"/>
        <v>INSERT INTO participantes (id,nivel,correo,matricula,clave,nombre,carrera,grado,sexo,situacion,evaluados,num_evaluados,total_evaluaciones,ultimo_acceso,nivel_acceso) VALUES (1360,'LICENCIATURA','juanpatricio.martinpeña','007058','TOMAR DEL SND','MARTIN PEÑA JUAN PATRICIO','MERCADOTECNIA Y PUBLICIDAD','8vo','MASCULINO','ACTIVO','',0,0,'','ALUMNO');</v>
      </c>
      <c r="M361" t="str">
        <f t="shared" si="22"/>
        <v>update participantes set correo='juanpatricio.martinpeña' where id=1360;</v>
      </c>
    </row>
    <row r="362" spans="1:13" x14ac:dyDescent="0.25">
      <c r="A362">
        <f t="shared" si="23"/>
        <v>1361</v>
      </c>
      <c r="B362" s="3" t="s">
        <v>2103</v>
      </c>
      <c r="C362" t="str">
        <f>CONCATENATE("'",ALUMNOS!E365,"'")</f>
        <v>'julieta.tejedadavalos'</v>
      </c>
      <c r="D362" t="str">
        <f>CONCATENATE(ALUMNOS!F365,"'")</f>
        <v>'007760'</v>
      </c>
      <c r="E362" t="s">
        <v>2723</v>
      </c>
      <c r="F362" t="str">
        <f>CONCATENATE("'",ALUMNOS!H365,"'")</f>
        <v>'TEJEDA DAVALOS JULIETA'</v>
      </c>
      <c r="G362" t="str">
        <f>CONCATENATE("'",ALUMNOS!I365,"'")</f>
        <v>'ANIMACION DIGITAL Y VIDEOJUEGOS'</v>
      </c>
      <c r="H362" t="str">
        <f>CONCATENATE("'",ALUMNOS!J365,"'")</f>
        <v>'2do'</v>
      </c>
      <c r="I362" t="str">
        <f>CONCATENATE("'",ALUMNOS!K365,"'")</f>
        <v>'Femenino'</v>
      </c>
      <c r="J362" t="str">
        <f>CONCATENATE("'",ALUMNOS!L365,"'")</f>
        <v>'Activo'</v>
      </c>
      <c r="K362" t="str">
        <f t="shared" si="21"/>
        <v>1361,'LICENCIATURA','julieta.tejedadavalos','007760','TOMAR DEL SND','TEJEDA DAVALOS JULIETA','ANIMACION DIGITAL Y VIDEOJUEGOS','2do','FEMENINO','ACTIVO','',0,0,'','ALUMNO'</v>
      </c>
      <c r="L362" t="str">
        <f t="shared" si="20"/>
        <v>INSERT INTO participantes (id,nivel,correo,matricula,clave,nombre,carrera,grado,sexo,situacion,evaluados,num_evaluados,total_evaluaciones,ultimo_acceso,nivel_acceso) VALUES (1361,'LICENCIATURA','julieta.tejedadavalos','007760','TOMAR DEL SND','TEJEDA DAVALOS JULIETA','ANIMACION DIGITAL Y VIDEOJUEGOS','2do','FEMENINO','ACTIVO','',0,0,'','ALUMNO');</v>
      </c>
      <c r="M362" t="str">
        <f t="shared" si="22"/>
        <v>update participantes set correo='julieta.tejedadavalos' where id=1361;</v>
      </c>
    </row>
    <row r="363" spans="1:13" x14ac:dyDescent="0.25">
      <c r="A363">
        <f t="shared" si="23"/>
        <v>1362</v>
      </c>
      <c r="B363" s="3" t="s">
        <v>2103</v>
      </c>
      <c r="C363" t="str">
        <f>CONCATENATE("'",ALUMNOS!E366,"'")</f>
        <v>'julietarenata.cordovarodriguez'</v>
      </c>
      <c r="D363" t="str">
        <f>CONCATENATE(ALUMNOS!F366,"'")</f>
        <v>'110429'</v>
      </c>
      <c r="E363" t="s">
        <v>2723</v>
      </c>
      <c r="F363" t="str">
        <f>CONCATENATE("'",ALUMNOS!H366,"'")</f>
        <v>'CORDOVA RODRIGUEZ JULIETA RENATA'</v>
      </c>
      <c r="G363" t="str">
        <f>CONCATENATE("'",ALUMNOS!I366,"'")</f>
        <v>'ARQUITECTURA'</v>
      </c>
      <c r="H363" t="str">
        <f>CONCATENATE("'",ALUMNOS!J366,"'")</f>
        <v>'6to'</v>
      </c>
      <c r="I363" t="str">
        <f>CONCATENATE("'",ALUMNOS!K366,"'")</f>
        <v>'Femenino'</v>
      </c>
      <c r="J363" t="str">
        <f>CONCATENATE("'",ALUMNOS!L366,"'")</f>
        <v>'Activo'</v>
      </c>
      <c r="K363" t="str">
        <f t="shared" si="21"/>
        <v>1362,'LICENCIATURA','julietarenata.cordovarodriguez','110429','TOMAR DEL SND','CORDOVA RODRIGUEZ JULIETA RENATA','ARQUITECTURA','6to','FEMENINO','ACTIVO','',0,0,'','ALUMNO'</v>
      </c>
      <c r="L363" t="str">
        <f t="shared" si="20"/>
        <v>INSERT INTO participantes (id,nivel,correo,matricula,clave,nombre,carrera,grado,sexo,situacion,evaluados,num_evaluados,total_evaluaciones,ultimo_acceso,nivel_acceso) VALUES (1362,'LICENCIATURA','julietarenata.cordovarodriguez','110429','TOMAR DEL SND','CORDOVA RODRIGUEZ JULIETA RENATA','ARQUITECTURA','6to','FEMENINO','ACTIVO','',0,0,'','ALUMNO');</v>
      </c>
      <c r="M363" t="str">
        <f t="shared" si="22"/>
        <v>update participantes set correo='julietarenata.cordovarodriguez' where id=1362;</v>
      </c>
    </row>
    <row r="364" spans="1:13" x14ac:dyDescent="0.25">
      <c r="A364">
        <f t="shared" si="23"/>
        <v>1363</v>
      </c>
      <c r="B364" s="3" t="s">
        <v>2103</v>
      </c>
      <c r="C364" t="str">
        <f>CONCATENATE("'",ALUMNOS!E367,"'")</f>
        <v>'juliocesar.gomezvelazquez'</v>
      </c>
      <c r="D364" t="str">
        <f>CONCATENATE(ALUMNOS!F367,"'")</f>
        <v>'109860'</v>
      </c>
      <c r="E364" t="s">
        <v>2723</v>
      </c>
      <c r="F364" t="str">
        <f>CONCATENATE("'",ALUMNOS!H367,"'")</f>
        <v>'GOMEZ VELAZQUEZ JULIO CESAR'</v>
      </c>
      <c r="G364" t="str">
        <f>CONCATENATE("'",ALUMNOS!I367,"'")</f>
        <v>'INGENIERIA CIBERNETICA Y EN SISTEMAS COMPUTACIONALES'</v>
      </c>
      <c r="H364" t="str">
        <f>CONCATENATE("'",ALUMNOS!J367,"'")</f>
        <v>'8vo'</v>
      </c>
      <c r="I364" t="str">
        <f>CONCATENATE("'",ALUMNOS!K367,"'")</f>
        <v>'Masculino'</v>
      </c>
      <c r="J364" t="str">
        <f>CONCATENATE("'",ALUMNOS!L367,"'")</f>
        <v>'Activo'</v>
      </c>
      <c r="K364" t="str">
        <f t="shared" si="21"/>
        <v>1363,'LICENCIATURA','juliocesar.gomezvelazquez','109860','TOMAR DEL SND','GOMEZ VELAZQUEZ JULIO CESAR','INGENIERIA CIBERNETICA Y EN SISTEMAS COMPUTACIONALES','8vo','MASCULINO','ACTIVO','',0,0,'','ALUMNO'</v>
      </c>
      <c r="L364" t="str">
        <f t="shared" si="20"/>
        <v>INSERT INTO participantes (id,nivel,correo,matricula,clave,nombre,carrera,grado,sexo,situacion,evaluados,num_evaluados,total_evaluaciones,ultimo_acceso,nivel_acceso) VALUES (1363,'LICENCIATURA','juliocesar.gomezvelazquez','109860','TOMAR DEL SND','GOMEZ VELAZQUEZ JULIO CESAR','INGENIERIA CIBERNETICA Y EN SISTEMAS COMPUTACIONALES','8vo','MASCULINO','ACTIVO','',0,0,'','ALUMNO');</v>
      </c>
      <c r="M364" t="str">
        <f t="shared" si="22"/>
        <v>update participantes set correo='juliocesar.gomezvelazquez' where id=1363;</v>
      </c>
    </row>
    <row r="365" spans="1:13" x14ac:dyDescent="0.25">
      <c r="A365">
        <f t="shared" si="23"/>
        <v>1364</v>
      </c>
      <c r="B365" s="3" t="s">
        <v>2103</v>
      </c>
      <c r="C365" t="str">
        <f>CONCATENATE("'",ALUMNOS!E368,"'")</f>
        <v>'kahlebalejandro.ramirezrobles'</v>
      </c>
      <c r="D365" t="str">
        <f>CONCATENATE(ALUMNOS!F368,"'")</f>
        <v>'111666'</v>
      </c>
      <c r="E365" t="s">
        <v>2723</v>
      </c>
      <c r="F365" t="str">
        <f>CONCATENATE("'",ALUMNOS!H368,"'")</f>
        <v>'RAMIREZ ROBLES KAHLEB ALEJANDRO'</v>
      </c>
      <c r="G365" t="str">
        <f>CONCATENATE("'",ALUMNOS!I368,"'")</f>
        <v>'INGENIERÍA EN INTELIGENCIA ARTIFICIAL'</v>
      </c>
      <c r="H365" t="str">
        <f>CONCATENATE("'",ALUMNOS!J368,"'")</f>
        <v>'2do'</v>
      </c>
      <c r="I365" t="str">
        <f>CONCATENATE("'",ALUMNOS!K368,"'")</f>
        <v>'Masculino'</v>
      </c>
      <c r="J365" t="str">
        <f>CONCATENATE("'",ALUMNOS!L368,"'")</f>
        <v>'Activo'</v>
      </c>
      <c r="K365" t="str">
        <f t="shared" si="21"/>
        <v>1364,'LICENCIATURA','kahlebalejandro.ramirezrobles','111666','TOMAR DEL SND','RAMIREZ ROBLES KAHLEB ALEJANDRO','INGENIERÍA EN INTELIGENCIA ARTIFICIAL','2do','MASCULINO','ACTIVO','',0,0,'','ALUMNO'</v>
      </c>
      <c r="L365" t="str">
        <f t="shared" si="20"/>
        <v>INSERT INTO participantes (id,nivel,correo,matricula,clave,nombre,carrera,grado,sexo,situacion,evaluados,num_evaluados,total_evaluaciones,ultimo_acceso,nivel_acceso) VALUES (1364,'LICENCIATURA','kahlebalejandro.ramirezrobles','111666','TOMAR DEL SND','RAMIREZ ROBLES KAHLEB ALEJANDRO','INGENIERÍA EN INTELIGENCIA ARTIFICIAL','2do','MASCULINO','ACTIVO','',0,0,'','ALUMNO');</v>
      </c>
      <c r="M365" t="str">
        <f t="shared" si="22"/>
        <v>update participantes set correo='kahlebalejandro.ramirezrobles' where id=1364;</v>
      </c>
    </row>
    <row r="366" spans="1:13" x14ac:dyDescent="0.25">
      <c r="A366">
        <f t="shared" si="23"/>
        <v>1365</v>
      </c>
      <c r="B366" s="3" t="s">
        <v>2103</v>
      </c>
      <c r="C366" t="str">
        <f>CONCATENATE("'",ALUMNOS!E369,"'")</f>
        <v>'karenitzel.carreteroaguilera'</v>
      </c>
      <c r="D366" t="str">
        <f>CONCATENATE(ALUMNOS!F369,"'")</f>
        <v>'110428'</v>
      </c>
      <c r="E366" t="s">
        <v>2723</v>
      </c>
      <c r="F366" t="str">
        <f>CONCATENATE("'",ALUMNOS!H369,"'")</f>
        <v>'CARRETERO AGUILERA KAREN ITZEL'</v>
      </c>
      <c r="G366" t="str">
        <f>CONCATENATE("'",ALUMNOS!I369,"'")</f>
        <v>'ARQUITECTURA'</v>
      </c>
      <c r="H366" t="str">
        <f>CONCATENATE("'",ALUMNOS!J369,"'")</f>
        <v>'6to'</v>
      </c>
      <c r="I366" t="str">
        <f>CONCATENATE("'",ALUMNOS!K369,"'")</f>
        <v>'Femenino'</v>
      </c>
      <c r="J366" t="str">
        <f>CONCATENATE("'",ALUMNOS!L369,"'")</f>
        <v>'Activo'</v>
      </c>
      <c r="K366" t="str">
        <f t="shared" si="21"/>
        <v>1365,'LICENCIATURA','karenitzel.carreteroaguilera','110428','TOMAR DEL SND','CARRETERO AGUILERA KAREN ITZEL','ARQUITECTURA','6to','FEMENINO','ACTIVO','',0,0,'','ALUMNO'</v>
      </c>
      <c r="L366" t="str">
        <f t="shared" si="20"/>
        <v>INSERT INTO participantes (id,nivel,correo,matricula,clave,nombre,carrera,grado,sexo,situacion,evaluados,num_evaluados,total_evaluaciones,ultimo_acceso,nivel_acceso) VALUES (1365,'LICENCIATURA','karenitzel.carreteroaguilera','110428','TOMAR DEL SND','CARRETERO AGUILERA KAREN ITZEL','ARQUITECTURA','6to','FEMENINO','ACTIVO','',0,0,'','ALUMNO');</v>
      </c>
      <c r="M366" t="str">
        <f t="shared" si="22"/>
        <v>update participantes set correo='karenitzel.carreteroaguilera' where id=1365;</v>
      </c>
    </row>
    <row r="367" spans="1:13" x14ac:dyDescent="0.25">
      <c r="A367">
        <f t="shared" si="23"/>
        <v>1366</v>
      </c>
      <c r="B367" s="3" t="s">
        <v>2103</v>
      </c>
      <c r="C367" t="str">
        <f>CONCATENATE("'",ALUMNOS!E370,"'")</f>
        <v>'karenjanette.gonzalezjimenez'</v>
      </c>
      <c r="D367" t="str">
        <f>CONCATENATE(ALUMNOS!F370,"'")</f>
        <v>'111124'</v>
      </c>
      <c r="E367" t="s">
        <v>2723</v>
      </c>
      <c r="F367" t="str">
        <f>CONCATENATE("'",ALUMNOS!H370,"'")</f>
        <v>'GONZALEZ JIMENEZ KAREN JANETTE'</v>
      </c>
      <c r="G367" t="str">
        <f>CONCATENATE("'",ALUMNOS!I370,"'")</f>
        <v>'NUTRICION Y GASTRONOMIA'</v>
      </c>
      <c r="H367" t="str">
        <f>CONCATENATE("'",ALUMNOS!J370,"'")</f>
        <v>'4to'</v>
      </c>
      <c r="I367" t="str">
        <f>CONCATENATE("'",ALUMNOS!K370,"'")</f>
        <v>'Femenino'</v>
      </c>
      <c r="J367" t="str">
        <f>CONCATENATE("'",ALUMNOS!L370,"'")</f>
        <v>'Activo'</v>
      </c>
      <c r="K367" t="str">
        <f t="shared" si="21"/>
        <v>1366,'LICENCIATURA','karenjanette.gonzalezjimenez','111124','TOMAR DEL SND','GONZALEZ JIMENEZ KAREN JANETTE','NUTRICION Y GASTRONOMIA','4to','FEMENINO','ACTIVO','',0,0,'','ALUMNO'</v>
      </c>
      <c r="L367" t="str">
        <f t="shared" si="20"/>
        <v>INSERT INTO participantes (id,nivel,correo,matricula,clave,nombre,carrera,grado,sexo,situacion,evaluados,num_evaluados,total_evaluaciones,ultimo_acceso,nivel_acceso) VALUES (1366,'LICENCIATURA','karenjanette.gonzalezjimenez','111124','TOMAR DEL SND','GONZALEZ JIMENEZ KAREN JANETTE','NUTRICION Y GASTRONOMIA','4to','FEMENINO','ACTIVO','',0,0,'','ALUMNO');</v>
      </c>
      <c r="M367" t="str">
        <f t="shared" si="22"/>
        <v>update participantes set correo='karenjanette.gonzalezjimenez' where id=1366;</v>
      </c>
    </row>
    <row r="368" spans="1:13" x14ac:dyDescent="0.25">
      <c r="A368">
        <f t="shared" si="23"/>
        <v>1367</v>
      </c>
      <c r="B368" s="3" t="s">
        <v>2103</v>
      </c>
      <c r="C368" t="str">
        <f>CONCATENATE("'",ALUMNOS!E371,"'")</f>
        <v>'karenmichelle.covarrubiasrenteria'</v>
      </c>
      <c r="D368" t="str">
        <f>CONCATENATE(ALUMNOS!F371,"'")</f>
        <v>'110474'</v>
      </c>
      <c r="E368" t="s">
        <v>2723</v>
      </c>
      <c r="F368" t="str">
        <f>CONCATENATE("'",ALUMNOS!H371,"'")</f>
        <v>'COVARRUBIAS RENTERIA KAREN MICHELLE'</v>
      </c>
      <c r="G368" t="str">
        <f>CONCATENATE("'",ALUMNOS!I371,"'")</f>
        <v>'PSICOLOGIA'</v>
      </c>
      <c r="H368" t="str">
        <f>CONCATENATE("'",ALUMNOS!J371,"'")</f>
        <v>'6to'</v>
      </c>
      <c r="I368" t="str">
        <f>CONCATENATE("'",ALUMNOS!K371,"'")</f>
        <v>'Femenino'</v>
      </c>
      <c r="J368" t="str">
        <f>CONCATENATE("'",ALUMNOS!L371,"'")</f>
        <v>'Activo'</v>
      </c>
      <c r="K368" t="str">
        <f t="shared" si="21"/>
        <v>1367,'LICENCIATURA','karenmichelle.covarrubiasrenteria','110474','TOMAR DEL SND','COVARRUBIAS RENTERIA KAREN MICHELLE','PSICOLOGIA','6to','FEMENINO','ACTIVO','',0,0,'','ALUMNO'</v>
      </c>
      <c r="L368" t="str">
        <f t="shared" si="20"/>
        <v>INSERT INTO participantes (id,nivel,correo,matricula,clave,nombre,carrera,grado,sexo,situacion,evaluados,num_evaluados,total_evaluaciones,ultimo_acceso,nivel_acceso) VALUES (1367,'LICENCIATURA','karenmichelle.covarrubiasrenteria','110474','TOMAR DEL SND','COVARRUBIAS RENTERIA KAREN MICHELLE','PSICOLOGIA','6to','FEMENINO','ACTIVO','',0,0,'','ALUMNO');</v>
      </c>
      <c r="M368" t="str">
        <f t="shared" si="22"/>
        <v>update participantes set correo='karenmichelle.covarrubiasrenteria' where id=1367;</v>
      </c>
    </row>
    <row r="369" spans="1:13" x14ac:dyDescent="0.25">
      <c r="A369">
        <f t="shared" si="23"/>
        <v>1368</v>
      </c>
      <c r="B369" s="3" t="s">
        <v>2103</v>
      </c>
      <c r="C369" t="str">
        <f>CONCATENATE("'",ALUMNOS!E372,"'")</f>
        <v>'karenmonserrat.estradamuñoz'</v>
      </c>
      <c r="D369" t="str">
        <f>CONCATENATE(ALUMNOS!F372,"'")</f>
        <v>'109900'</v>
      </c>
      <c r="E369" t="s">
        <v>2723</v>
      </c>
      <c r="F369" t="str">
        <f>CONCATENATE("'",ALUMNOS!H372,"'")</f>
        <v>'ESTRADA MUÑOZ KAREN MONSERRAT'</v>
      </c>
      <c r="G369" t="str">
        <f>CONCATENATE("'",ALUMNOS!I372,"'")</f>
        <v>'PSICOLOGIA'</v>
      </c>
      <c r="H369" t="str">
        <f>CONCATENATE("'",ALUMNOS!J372,"'")</f>
        <v>'8vo'</v>
      </c>
      <c r="I369" t="str">
        <f>CONCATENATE("'",ALUMNOS!K372,"'")</f>
        <v>'Femenino'</v>
      </c>
      <c r="J369" t="str">
        <f>CONCATENATE("'",ALUMNOS!L372,"'")</f>
        <v>'Activo'</v>
      </c>
      <c r="K369" t="str">
        <f t="shared" si="21"/>
        <v>1368,'LICENCIATURA','karenmonserrat.estradamuñoz','109900','TOMAR DEL SND','ESTRADA MUÑOZ KAREN MONSERRAT','PSICOLOGIA','8vo','FEMENINO','ACTIVO','',0,0,'','ALUMNO'</v>
      </c>
      <c r="L369" t="str">
        <f t="shared" si="20"/>
        <v>INSERT INTO participantes (id,nivel,correo,matricula,clave,nombre,carrera,grado,sexo,situacion,evaluados,num_evaluados,total_evaluaciones,ultimo_acceso,nivel_acceso) VALUES (1368,'LICENCIATURA','karenmonserrat.estradamuñoz','109900','TOMAR DEL SND','ESTRADA MUÑOZ KAREN MONSERRAT','PSICOLOGIA','8vo','FEMENINO','ACTIVO','',0,0,'','ALUMNO');</v>
      </c>
      <c r="M369" t="str">
        <f t="shared" si="22"/>
        <v>update participantes set correo='karenmonserrat.estradamuñoz' where id=1368;</v>
      </c>
    </row>
    <row r="370" spans="1:13" x14ac:dyDescent="0.25">
      <c r="A370">
        <f t="shared" si="23"/>
        <v>1369</v>
      </c>
      <c r="B370" s="3" t="s">
        <v>2103</v>
      </c>
      <c r="C370" t="str">
        <f>CONCATENATE("'",ALUMNOS!E373,"'")</f>
        <v>'karimdaniel.cisnerosgarcia'</v>
      </c>
      <c r="D370" t="str">
        <f>CONCATENATE(ALUMNOS!F373,"'")</f>
        <v>'111674'</v>
      </c>
      <c r="E370" t="s">
        <v>2723</v>
      </c>
      <c r="F370" t="str">
        <f>CONCATENATE("'",ALUMNOS!H373,"'")</f>
        <v>'CISNEROS GARCIA KARIM DANIEL'</v>
      </c>
      <c r="G370" t="str">
        <f>CONCATENATE("'",ALUMNOS!I373,"'")</f>
        <v>'INGENIERIA AEROESPACIAL'</v>
      </c>
      <c r="H370" t="str">
        <f>CONCATENATE("'",ALUMNOS!J373,"'")</f>
        <v>'2do'</v>
      </c>
      <c r="I370" t="str">
        <f>CONCATENATE("'",ALUMNOS!K373,"'")</f>
        <v>'Masculino'</v>
      </c>
      <c r="J370" t="str">
        <f>CONCATENATE("'",ALUMNOS!L373,"'")</f>
        <v>'Activo'</v>
      </c>
      <c r="K370" t="str">
        <f t="shared" si="21"/>
        <v>1369,'LICENCIATURA','karimdaniel.cisnerosgarcia','111674','TOMAR DEL SND','CISNEROS GARCIA KARIM DANIEL','INGENIERIA AEROESPACIAL','2do','MASCULINO','ACTIVO','',0,0,'','ALUMNO'</v>
      </c>
      <c r="L370" t="str">
        <f t="shared" si="20"/>
        <v>INSERT INTO participantes (id,nivel,correo,matricula,clave,nombre,carrera,grado,sexo,situacion,evaluados,num_evaluados,total_evaluaciones,ultimo_acceso,nivel_acceso) VALUES (1369,'LICENCIATURA','karimdaniel.cisnerosgarcia','111674','TOMAR DEL SND','CISNEROS GARCIA KARIM DANIEL','INGENIERIA AEROESPACIAL','2do','MASCULINO','ACTIVO','',0,0,'','ALUMNO');</v>
      </c>
      <c r="M370" t="str">
        <f t="shared" si="22"/>
        <v>update participantes set correo='karimdaniel.cisnerosgarcia' where id=1369;</v>
      </c>
    </row>
    <row r="371" spans="1:13" x14ac:dyDescent="0.25">
      <c r="A371">
        <f t="shared" si="23"/>
        <v>1370</v>
      </c>
      <c r="B371" s="3" t="s">
        <v>2103</v>
      </c>
      <c r="C371" t="str">
        <f>CONCATENATE("'",ALUMNOS!E374,"'")</f>
        <v>'karina.villegasangel'</v>
      </c>
      <c r="D371" t="str">
        <f>CONCATENATE(ALUMNOS!F374,"'")</f>
        <v>'111678'</v>
      </c>
      <c r="E371" t="s">
        <v>2723</v>
      </c>
      <c r="F371" t="str">
        <f>CONCATENATE("'",ALUMNOS!H374,"'")</f>
        <v>'VILLEGAS ANGEL KARINA'</v>
      </c>
      <c r="G371" t="str">
        <f>CONCATENATE("'",ALUMNOS!I374,"'")</f>
        <v>'INGENIERIA AEROESPACIAL'</v>
      </c>
      <c r="H371" t="str">
        <f>CONCATENATE("'",ALUMNOS!J374,"'")</f>
        <v>'2do'</v>
      </c>
      <c r="I371" t="str">
        <f>CONCATENATE("'",ALUMNOS!K374,"'")</f>
        <v>'Femenino'</v>
      </c>
      <c r="J371" t="str">
        <f>CONCATENATE("'",ALUMNOS!L374,"'")</f>
        <v>'Activo'</v>
      </c>
      <c r="K371" t="str">
        <f t="shared" si="21"/>
        <v>1370,'LICENCIATURA','karina.villegasangel','111678','TOMAR DEL SND','VILLEGAS ANGEL KARINA','INGENIERIA AEROESPACIAL','2do','FEMENINO','ACTIVO','',0,0,'','ALUMNO'</v>
      </c>
      <c r="L371" t="str">
        <f t="shared" si="20"/>
        <v>INSERT INTO participantes (id,nivel,correo,matricula,clave,nombre,carrera,grado,sexo,situacion,evaluados,num_evaluados,total_evaluaciones,ultimo_acceso,nivel_acceso) VALUES (1370,'LICENCIATURA','karina.villegasangel','111678','TOMAR DEL SND','VILLEGAS ANGEL KARINA','INGENIERIA AEROESPACIAL','2do','FEMENINO','ACTIVO','',0,0,'','ALUMNO');</v>
      </c>
      <c r="M371" t="str">
        <f t="shared" si="22"/>
        <v>update participantes set correo='karina.villegasangel' where id=1370;</v>
      </c>
    </row>
    <row r="372" spans="1:13" x14ac:dyDescent="0.25">
      <c r="A372">
        <f t="shared" si="23"/>
        <v>1371</v>
      </c>
      <c r="B372" s="3" t="s">
        <v>2103</v>
      </c>
      <c r="C372" t="str">
        <f>CONCATENATE("'",ALUMNOS!E375,"'")</f>
        <v>'karinaitzell.picenocastellanos'</v>
      </c>
      <c r="D372" t="str">
        <f>CONCATENATE(ALUMNOS!F375,"'")</f>
        <v>'111741'</v>
      </c>
      <c r="E372" t="s">
        <v>2723</v>
      </c>
      <c r="F372" t="str">
        <f>CONCATENATE("'",ALUMNOS!H375,"'")</f>
        <v>'PICENO CASTELLANOS KARINA ITZELL'</v>
      </c>
      <c r="G372" t="str">
        <f>CONCATENATE("'",ALUMNOS!I375,"'")</f>
        <v>'INGENIERÍA EN INTELIGENCIA ARTIFICIAL'</v>
      </c>
      <c r="H372" t="str">
        <f>CONCATENATE("'",ALUMNOS!J375,"'")</f>
        <v>'2do'</v>
      </c>
      <c r="I372" t="str">
        <f>CONCATENATE("'",ALUMNOS!K375,"'")</f>
        <v>'Femenino'</v>
      </c>
      <c r="J372" t="str">
        <f>CONCATENATE("'",ALUMNOS!L375,"'")</f>
        <v>'Activo'</v>
      </c>
      <c r="K372" t="str">
        <f t="shared" si="21"/>
        <v>1371,'LICENCIATURA','karinaitzell.picenocastellanos','111741','TOMAR DEL SND','PICENO CASTELLANOS KARINA ITZELL','INGENIERÍA EN INTELIGENCIA ARTIFICIAL','2do','FEMENINO','ACTIVO','',0,0,'','ALUMNO'</v>
      </c>
      <c r="L372" t="str">
        <f t="shared" si="20"/>
        <v>INSERT INTO participantes (id,nivel,correo,matricula,clave,nombre,carrera,grado,sexo,situacion,evaluados,num_evaluados,total_evaluaciones,ultimo_acceso,nivel_acceso) VALUES (1371,'LICENCIATURA','karinaitzell.picenocastellanos','111741','TOMAR DEL SND','PICENO CASTELLANOS KARINA ITZELL','INGENIERÍA EN INTELIGENCIA ARTIFICIAL','2do','FEMENINO','ACTIVO','',0,0,'','ALUMNO');</v>
      </c>
      <c r="M372" t="str">
        <f t="shared" si="22"/>
        <v>update participantes set correo='karinaitzell.picenocastellanos' where id=1371;</v>
      </c>
    </row>
    <row r="373" spans="1:13" x14ac:dyDescent="0.25">
      <c r="A373">
        <f t="shared" si="23"/>
        <v>1372</v>
      </c>
      <c r="B373" s="3" t="s">
        <v>2103</v>
      </c>
      <c r="C373" t="str">
        <f>CONCATENATE("'",ALUMNOS!E376,"'")</f>
        <v>'karlaalexia.reyespalacios'</v>
      </c>
      <c r="D373" t="str">
        <f>CONCATENATE(ALUMNOS!F376,"'")</f>
        <v>'111162'</v>
      </c>
      <c r="E373" t="s">
        <v>2723</v>
      </c>
      <c r="F373" t="str">
        <f>CONCATENATE("'",ALUMNOS!H376,"'")</f>
        <v>'REYES PALACIOS KARLA ALEXIA'</v>
      </c>
      <c r="G373" t="str">
        <f>CONCATENATE("'",ALUMNOS!I376,"'")</f>
        <v>'ANIMACION DIGITAL Y VIDEOJUEGOS'</v>
      </c>
      <c r="H373" t="str">
        <f>CONCATENATE("'",ALUMNOS!J376,"'")</f>
        <v>'4to'</v>
      </c>
      <c r="I373" t="str">
        <f>CONCATENATE("'",ALUMNOS!K376,"'")</f>
        <v>'Femenino'</v>
      </c>
      <c r="J373" t="str">
        <f>CONCATENATE("'",ALUMNOS!L376,"'")</f>
        <v>'Activo'</v>
      </c>
      <c r="K373" t="str">
        <f t="shared" si="21"/>
        <v>1372,'LICENCIATURA','karlaalexia.reyespalacios','111162','TOMAR DEL SND','REYES PALACIOS KARLA ALEXIA','ANIMACION DIGITAL Y VIDEOJUEGOS','4to','FEMENINO','ACTIVO','',0,0,'','ALUMNO'</v>
      </c>
      <c r="L373" t="str">
        <f t="shared" si="20"/>
        <v>INSERT INTO participantes (id,nivel,correo,matricula,clave,nombre,carrera,grado,sexo,situacion,evaluados,num_evaluados,total_evaluaciones,ultimo_acceso,nivel_acceso) VALUES (1372,'LICENCIATURA','karlaalexia.reyespalacios','111162','TOMAR DEL SND','REYES PALACIOS KARLA ALEXIA','ANIMACION DIGITAL Y VIDEOJUEGOS','4to','FEMENINO','ACTIVO','',0,0,'','ALUMNO');</v>
      </c>
      <c r="M373" t="str">
        <f t="shared" si="22"/>
        <v>update participantes set correo='karlaalexia.reyespalacios' where id=1372;</v>
      </c>
    </row>
    <row r="374" spans="1:13" x14ac:dyDescent="0.25">
      <c r="A374">
        <f t="shared" si="23"/>
        <v>1373</v>
      </c>
      <c r="B374" s="3" t="s">
        <v>2103</v>
      </c>
      <c r="C374" t="str">
        <f>CONCATENATE("'",ALUMNOS!E377,"'")</f>
        <v>'karladaniela.zayasvillalobos'</v>
      </c>
      <c r="D374" t="str">
        <f>CONCATENATE(ALUMNOS!F377,"'")</f>
        <v>'109955'</v>
      </c>
      <c r="E374" t="s">
        <v>2723</v>
      </c>
      <c r="F374" t="str">
        <f>CONCATENATE("'",ALUMNOS!H377,"'")</f>
        <v>'ZAYAS VILLALOBOS KARLA DANIELA'</v>
      </c>
      <c r="G374" t="str">
        <f>CONCATENATE("'",ALUMNOS!I377,"'")</f>
        <v>'INGENIERIA AEROESPACIAL'</v>
      </c>
      <c r="H374" t="str">
        <f>CONCATENATE("'",ALUMNOS!J377,"'")</f>
        <v>'8vo'</v>
      </c>
      <c r="I374" t="str">
        <f>CONCATENATE("'",ALUMNOS!K377,"'")</f>
        <v>'Femenino'</v>
      </c>
      <c r="J374" t="str">
        <f>CONCATENATE("'",ALUMNOS!L377,"'")</f>
        <v>'Activo'</v>
      </c>
      <c r="K374" t="str">
        <f t="shared" si="21"/>
        <v>1373,'LICENCIATURA','karladaniela.zayasvillalobos','109955','TOMAR DEL SND','ZAYAS VILLALOBOS KARLA DANIELA','INGENIERIA AEROESPACIAL','8vo','FEMENINO','ACTIVO','',0,0,'','ALUMNO'</v>
      </c>
      <c r="L374" t="str">
        <f t="shared" si="20"/>
        <v>INSERT INTO participantes (id,nivel,correo,matricula,clave,nombre,carrera,grado,sexo,situacion,evaluados,num_evaluados,total_evaluaciones,ultimo_acceso,nivel_acceso) VALUES (1373,'LICENCIATURA','karladaniela.zayasvillalobos','109955','TOMAR DEL SND','ZAYAS VILLALOBOS KARLA DANIELA','INGENIERIA AEROESPACIAL','8vo','FEMENINO','ACTIVO','',0,0,'','ALUMNO');</v>
      </c>
      <c r="M374" t="str">
        <f t="shared" si="22"/>
        <v>update participantes set correo='karladaniela.zayasvillalobos' where id=1373;</v>
      </c>
    </row>
    <row r="375" spans="1:13" x14ac:dyDescent="0.25">
      <c r="A375">
        <f t="shared" si="23"/>
        <v>1374</v>
      </c>
      <c r="B375" s="3" t="s">
        <v>2103</v>
      </c>
      <c r="C375" t="str">
        <f>CONCATENATE("'",ALUMNOS!E378,"'")</f>
        <v>'karlagabriela.jaimegonzalez'</v>
      </c>
      <c r="D375" t="str">
        <f>CONCATENATE(ALUMNOS!F378,"'")</f>
        <v>'110491'</v>
      </c>
      <c r="E375" t="s">
        <v>2723</v>
      </c>
      <c r="F375" t="str">
        <f>CONCATENATE("'",ALUMNOS!H378,"'")</f>
        <v>'JAIME GONZALEZ KARLA GABRIELA'</v>
      </c>
      <c r="G375" t="str">
        <f>CONCATENATE("'",ALUMNOS!I378,"'")</f>
        <v>'COMERCIO INTERNACIONAL'</v>
      </c>
      <c r="H375" t="str">
        <f>CONCATENATE("'",ALUMNOS!J378,"'")</f>
        <v>'6to'</v>
      </c>
      <c r="I375" t="str">
        <f>CONCATENATE("'",ALUMNOS!K378,"'")</f>
        <v>'Femenino'</v>
      </c>
      <c r="J375" t="str">
        <f>CONCATENATE("'",ALUMNOS!L378,"'")</f>
        <v>'Activo'</v>
      </c>
      <c r="K375" t="str">
        <f t="shared" si="21"/>
        <v>1374,'LICENCIATURA','karlagabriela.jaimegonzalez','110491','TOMAR DEL SND','JAIME GONZALEZ KARLA GABRIELA','COMERCIO INTERNACIONAL','6to','FEMENINO','ACTIVO','',0,0,'','ALUMNO'</v>
      </c>
      <c r="L375" t="str">
        <f t="shared" si="20"/>
        <v>INSERT INTO participantes (id,nivel,correo,matricula,clave,nombre,carrera,grado,sexo,situacion,evaluados,num_evaluados,total_evaluaciones,ultimo_acceso,nivel_acceso) VALUES (1374,'LICENCIATURA','karlagabriela.jaimegonzalez','110491','TOMAR DEL SND','JAIME GONZALEZ KARLA GABRIELA','COMERCIO INTERNACIONAL','6to','FEMENINO','ACTIVO','',0,0,'','ALUMNO');</v>
      </c>
      <c r="M375" t="str">
        <f t="shared" si="22"/>
        <v>update participantes set correo='karlagabriela.jaimegonzalez' where id=1374;</v>
      </c>
    </row>
    <row r="376" spans="1:13" x14ac:dyDescent="0.25">
      <c r="A376">
        <f t="shared" si="23"/>
        <v>1375</v>
      </c>
      <c r="B376" s="3" t="s">
        <v>2103</v>
      </c>
      <c r="C376" t="str">
        <f>CONCATENATE("'",ALUMNOS!E379,"'")</f>
        <v>'karlaguadalupe.grajalesmasini'</v>
      </c>
      <c r="D376" t="str">
        <f>CONCATENATE(ALUMNOS!F379,"'")</f>
        <v>'111085'</v>
      </c>
      <c r="E376" t="s">
        <v>2723</v>
      </c>
      <c r="F376" t="str">
        <f>CONCATENATE("'",ALUMNOS!H379,"'")</f>
        <v>'GRAJALES MASINI KARLA GUADALUPE'</v>
      </c>
      <c r="G376" t="str">
        <f>CONCATENATE("'",ALUMNOS!I379,"'")</f>
        <v>'ARQUITECTURA'</v>
      </c>
      <c r="H376" t="str">
        <f>CONCATENATE("'",ALUMNOS!J379,"'")</f>
        <v>'4to'</v>
      </c>
      <c r="I376" t="str">
        <f>CONCATENATE("'",ALUMNOS!K379,"'")</f>
        <v>'Femenino'</v>
      </c>
      <c r="J376" t="str">
        <f>CONCATENATE("'",ALUMNOS!L379,"'")</f>
        <v>'Activo'</v>
      </c>
      <c r="K376" t="str">
        <f t="shared" si="21"/>
        <v>1375,'LICENCIATURA','karlaguadalupe.grajalesmasini','111085','TOMAR DEL SND','GRAJALES MASINI KARLA GUADALUPE','ARQUITECTURA','4to','FEMENINO','ACTIVO','',0,0,'','ALUMNO'</v>
      </c>
      <c r="L376" t="str">
        <f t="shared" si="20"/>
        <v>INSERT INTO participantes (id,nivel,correo,matricula,clave,nombre,carrera,grado,sexo,situacion,evaluados,num_evaluados,total_evaluaciones,ultimo_acceso,nivel_acceso) VALUES (1375,'LICENCIATURA','karlaguadalupe.grajalesmasini','111085','TOMAR DEL SND','GRAJALES MASINI KARLA GUADALUPE','ARQUITECTURA','4to','FEMENINO','ACTIVO','',0,0,'','ALUMNO');</v>
      </c>
      <c r="M376" t="str">
        <f t="shared" si="22"/>
        <v>update participantes set correo='karlaguadalupe.grajalesmasini' where id=1375;</v>
      </c>
    </row>
    <row r="377" spans="1:13" x14ac:dyDescent="0.25">
      <c r="A377">
        <f t="shared" si="23"/>
        <v>1376</v>
      </c>
      <c r="B377" s="3" t="s">
        <v>2103</v>
      </c>
      <c r="C377" t="str">
        <f>CONCATENATE("'",ALUMNOS!E380,"'")</f>
        <v>'karlamichelle.maciasontiveros'</v>
      </c>
      <c r="D377" t="str">
        <f>CONCATENATE(ALUMNOS!F380,"'")</f>
        <v>'110644'</v>
      </c>
      <c r="E377" t="s">
        <v>2723</v>
      </c>
      <c r="F377" t="str">
        <f>CONCATENATE("'",ALUMNOS!H380,"'")</f>
        <v>'MACIAS ONTIVEROS KARLA MICHELLE'</v>
      </c>
      <c r="G377" t="str">
        <f>CONCATENATE("'",ALUMNOS!I380,"'")</f>
        <v>'ADMINISTRACION Y DIRECCION DE NEGOCIOS'</v>
      </c>
      <c r="H377" t="str">
        <f>CONCATENATE("'",ALUMNOS!J380,"'")</f>
        <v>'6to'</v>
      </c>
      <c r="I377" t="str">
        <f>CONCATENATE("'",ALUMNOS!K380,"'")</f>
        <v>'Femenino'</v>
      </c>
      <c r="J377" t="str">
        <f>CONCATENATE("'",ALUMNOS!L380,"'")</f>
        <v>'Activo'</v>
      </c>
      <c r="K377" t="str">
        <f t="shared" si="21"/>
        <v>1376,'LICENCIATURA','karlamichelle.maciasontiveros','110644','TOMAR DEL SND','MACIAS ONTIVEROS KARLA MICHELLE','ADMINISTRACION Y DIRECCION DE NEGOCIOS','6to','FEMENINO','ACTIVO','',0,0,'','ALUMNO'</v>
      </c>
      <c r="L377" t="str">
        <f t="shared" si="20"/>
        <v>INSERT INTO participantes (id,nivel,correo,matricula,clave,nombre,carrera,grado,sexo,situacion,evaluados,num_evaluados,total_evaluaciones,ultimo_acceso,nivel_acceso) VALUES (1376,'LICENCIATURA','karlamichelle.maciasontiveros','110644','TOMAR DEL SND','MACIAS ONTIVEROS KARLA MICHELLE','ADMINISTRACION Y DIRECCION DE NEGOCIOS','6to','FEMENINO','ACTIVO','',0,0,'','ALUMNO');</v>
      </c>
      <c r="M377" t="str">
        <f t="shared" si="22"/>
        <v>update participantes set correo='karlamichelle.maciasontiveros' where id=1376;</v>
      </c>
    </row>
    <row r="378" spans="1:13" x14ac:dyDescent="0.25">
      <c r="A378">
        <f t="shared" si="23"/>
        <v>1377</v>
      </c>
      <c r="B378" s="3" t="s">
        <v>2103</v>
      </c>
      <c r="C378" t="str">
        <f>CONCATENATE("'",ALUMNOS!E381,"'")</f>
        <v>'karlavaleria.bautistahernandez'</v>
      </c>
      <c r="D378" t="str">
        <f>CONCATENATE(ALUMNOS!F381,"'")</f>
        <v>'007449'</v>
      </c>
      <c r="E378" t="s">
        <v>2723</v>
      </c>
      <c r="F378" t="str">
        <f>CONCATENATE("'",ALUMNOS!H381,"'")</f>
        <v>'BAUTISTA HERNANDEZ KARLA VALERIA'</v>
      </c>
      <c r="G378" t="str">
        <f>CONCATENATE("'",ALUMNOS!I381,"'")</f>
        <v>'NUTRICION Y GASTRONOMIA'</v>
      </c>
      <c r="H378" t="str">
        <f>CONCATENATE("'",ALUMNOS!J381,"'")</f>
        <v>'8vo'</v>
      </c>
      <c r="I378" t="str">
        <f>CONCATENATE("'",ALUMNOS!K381,"'")</f>
        <v>'Femenino'</v>
      </c>
      <c r="J378" t="str">
        <f>CONCATENATE("'",ALUMNOS!L381,"'")</f>
        <v>'Activo'</v>
      </c>
      <c r="K378" t="str">
        <f t="shared" si="21"/>
        <v>1377,'LICENCIATURA','karlavaleria.bautistahernandez','007449','TOMAR DEL SND','BAUTISTA HERNANDEZ KARLA VALERIA','NUTRICION Y GASTRONOMIA','8vo','FEMENINO','ACTIVO','',0,0,'','ALUMNO'</v>
      </c>
      <c r="L378" t="str">
        <f t="shared" si="20"/>
        <v>INSERT INTO participantes (id,nivel,correo,matricula,clave,nombre,carrera,grado,sexo,situacion,evaluados,num_evaluados,total_evaluaciones,ultimo_acceso,nivel_acceso) VALUES (1377,'LICENCIATURA','karlavaleria.bautistahernandez','007449','TOMAR DEL SND','BAUTISTA HERNANDEZ KARLA VALERIA','NUTRICION Y GASTRONOMIA','8vo','FEMENINO','ACTIVO','',0,0,'','ALUMNO');</v>
      </c>
      <c r="M378" t="str">
        <f t="shared" si="22"/>
        <v>update participantes set correo='karlavaleria.bautistahernandez' where id=1377;</v>
      </c>
    </row>
    <row r="379" spans="1:13" x14ac:dyDescent="0.25">
      <c r="A379">
        <f t="shared" si="23"/>
        <v>1378</v>
      </c>
      <c r="B379" s="3" t="s">
        <v>2103</v>
      </c>
      <c r="C379" t="str">
        <f>CONCATENATE("'",ALUMNOS!E382,"'")</f>
        <v>'karolyanely.castillolomeli'</v>
      </c>
      <c r="D379" t="str">
        <f>CONCATENATE(ALUMNOS!F382,"'")</f>
        <v>'109960'</v>
      </c>
      <c r="E379" t="s">
        <v>2723</v>
      </c>
      <c r="F379" t="str">
        <f>CONCATENATE("'",ALUMNOS!H382,"'")</f>
        <v>'CASTILLO LOMELI KAROL YANELY'</v>
      </c>
      <c r="G379" t="str">
        <f>CONCATENATE("'",ALUMNOS!I382,"'")</f>
        <v>'DISEÑO GRAFICO Y DIGITAL'</v>
      </c>
      <c r="H379" t="str">
        <f>CONCATENATE("'",ALUMNOS!J382,"'")</f>
        <v>'8vo'</v>
      </c>
      <c r="I379" t="str">
        <f>CONCATENATE("'",ALUMNOS!K382,"'")</f>
        <v>'Femenino'</v>
      </c>
      <c r="J379" t="str">
        <f>CONCATENATE("'",ALUMNOS!L382,"'")</f>
        <v>'Activo'</v>
      </c>
      <c r="K379" t="str">
        <f t="shared" si="21"/>
        <v>1378,'LICENCIATURA','karolyanely.castillolomeli','109960','TOMAR DEL SND','CASTILLO LOMELI KAROL YANELY','DISEÑO GRAFICO Y DIGITAL','8vo','FEMENINO','ACTIVO','',0,0,'','ALUMNO'</v>
      </c>
      <c r="L379" t="str">
        <f t="shared" si="20"/>
        <v>INSERT INTO participantes (id,nivel,correo,matricula,clave,nombre,carrera,grado,sexo,situacion,evaluados,num_evaluados,total_evaluaciones,ultimo_acceso,nivel_acceso) VALUES (1378,'LICENCIATURA','karolyanely.castillolomeli','109960','TOMAR DEL SND','CASTILLO LOMELI KAROL YANELY','DISEÑO GRAFICO Y DIGITAL','8vo','FEMENINO','ACTIVO','',0,0,'','ALUMNO');</v>
      </c>
      <c r="M379" t="str">
        <f t="shared" si="22"/>
        <v>update participantes set correo='karolyanely.castillolomeli' where id=1378;</v>
      </c>
    </row>
    <row r="380" spans="1:13" x14ac:dyDescent="0.25">
      <c r="A380">
        <f t="shared" si="23"/>
        <v>1379</v>
      </c>
      <c r="B380" s="3" t="s">
        <v>2103</v>
      </c>
      <c r="C380" t="str">
        <f>CONCATENATE("'",ALUMNOS!E383,"'")</f>
        <v>'katia.palmalopez'</v>
      </c>
      <c r="D380" t="str">
        <f>CONCATENATE(ALUMNOS!F383,"'")</f>
        <v>'111744'</v>
      </c>
      <c r="E380" t="s">
        <v>2723</v>
      </c>
      <c r="F380" t="str">
        <f>CONCATENATE("'",ALUMNOS!H383,"'")</f>
        <v>'PALMA LOPEZ KATIA'</v>
      </c>
      <c r="G380" t="str">
        <f>CONCATENATE("'",ALUMNOS!I383,"'")</f>
        <v>'INGENIERÍA AUTOMOTRIZ'</v>
      </c>
      <c r="H380" t="str">
        <f>CONCATENATE("'",ALUMNOS!J383,"'")</f>
        <v>'2do'</v>
      </c>
      <c r="I380" t="str">
        <f>CONCATENATE("'",ALUMNOS!K383,"'")</f>
        <v>'Femenino'</v>
      </c>
      <c r="J380" t="str">
        <f>CONCATENATE("'",ALUMNOS!L383,"'")</f>
        <v>'Activo'</v>
      </c>
      <c r="K380" t="str">
        <f t="shared" si="21"/>
        <v>1379,'LICENCIATURA','katia.palmalopez','111744','TOMAR DEL SND','PALMA LOPEZ KATIA','INGENIERÍA AUTOMOTRIZ','2do','FEMENINO','ACTIVO','',0,0,'','ALUMNO'</v>
      </c>
      <c r="L380" t="str">
        <f t="shared" si="20"/>
        <v>INSERT INTO participantes (id,nivel,correo,matricula,clave,nombre,carrera,grado,sexo,situacion,evaluados,num_evaluados,total_evaluaciones,ultimo_acceso,nivel_acceso) VALUES (1379,'LICENCIATURA','katia.palmalopez','111744','TOMAR DEL SND','PALMA LOPEZ KATIA','INGENIERÍA AUTOMOTRIZ','2do','FEMENINO','ACTIVO','',0,0,'','ALUMNO');</v>
      </c>
      <c r="M380" t="str">
        <f t="shared" si="22"/>
        <v>update participantes set correo='katia.palmalopez' where id=1379;</v>
      </c>
    </row>
    <row r="381" spans="1:13" x14ac:dyDescent="0.25">
      <c r="A381">
        <f t="shared" si="23"/>
        <v>1380</v>
      </c>
      <c r="B381" s="3" t="s">
        <v>2103</v>
      </c>
      <c r="C381" t="str">
        <f>CONCATENATE("'",ALUMNOS!E384,"'")</f>
        <v>'kenniaguadalupe.aguilarcallejas'</v>
      </c>
      <c r="D381" t="str">
        <f>CONCATENATE(ALUMNOS!F384,"'")</f>
        <v>'111129'</v>
      </c>
      <c r="E381" t="s">
        <v>2723</v>
      </c>
      <c r="F381" t="str">
        <f>CONCATENATE("'",ALUMNOS!H384,"'")</f>
        <v>'AGUILAR CALLEJAS KENNIA GUADALUPE'</v>
      </c>
      <c r="G381" t="str">
        <f>CONCATENATE("'",ALUMNOS!I384,"'")</f>
        <v>'ANIMACION DIGITAL Y VIDEOJUEGOS'</v>
      </c>
      <c r="H381" t="str">
        <f>CONCATENATE("'",ALUMNOS!J384,"'")</f>
        <v>'4to'</v>
      </c>
      <c r="I381" t="str">
        <f>CONCATENATE("'",ALUMNOS!K384,"'")</f>
        <v>'Femenino'</v>
      </c>
      <c r="J381" t="str">
        <f>CONCATENATE("'",ALUMNOS!L384,"'")</f>
        <v>'Activo'</v>
      </c>
      <c r="K381" t="str">
        <f t="shared" si="21"/>
        <v>1380,'LICENCIATURA','kenniaguadalupe.aguilarcallejas','111129','TOMAR DEL SND','AGUILAR CALLEJAS KENNIA GUADALUPE','ANIMACION DIGITAL Y VIDEOJUEGOS','4to','FEMENINO','ACTIVO','',0,0,'','ALUMNO'</v>
      </c>
      <c r="L381" t="str">
        <f t="shared" si="20"/>
        <v>INSERT INTO participantes (id,nivel,correo,matricula,clave,nombre,carrera,grado,sexo,situacion,evaluados,num_evaluados,total_evaluaciones,ultimo_acceso,nivel_acceso) VALUES (1380,'LICENCIATURA','kenniaguadalupe.aguilarcallejas','111129','TOMAR DEL SND','AGUILAR CALLEJAS KENNIA GUADALUPE','ANIMACION DIGITAL Y VIDEOJUEGOS','4to','FEMENINO','ACTIVO','',0,0,'','ALUMNO');</v>
      </c>
      <c r="M381" t="str">
        <f t="shared" si="22"/>
        <v>update participantes set correo='kenniaguadalupe.aguilarcallejas' where id=1380;</v>
      </c>
    </row>
    <row r="382" spans="1:13" x14ac:dyDescent="0.25">
      <c r="A382">
        <f t="shared" si="23"/>
        <v>1381</v>
      </c>
      <c r="B382" s="3" t="s">
        <v>2103</v>
      </c>
      <c r="C382" t="str">
        <f>CONCATENATE("'",ALUMNOS!E385,"'")</f>
        <v>'kevin.villalobosmendoza'</v>
      </c>
      <c r="D382" t="str">
        <f>CONCATENATE(ALUMNOS!F385,"'")</f>
        <v>'111797'</v>
      </c>
      <c r="E382" t="s">
        <v>2723</v>
      </c>
      <c r="F382" t="str">
        <f>CONCATENATE("'",ALUMNOS!H385,"'")</f>
        <v>'VILLALOBOS MENDOZA KEVIN'</v>
      </c>
      <c r="G382" t="str">
        <f>CONCATENATE("'",ALUMNOS!I385,"'")</f>
        <v>'INGENIERÍA AUTOMOTRIZ'</v>
      </c>
      <c r="H382" t="str">
        <f>CONCATENATE("'",ALUMNOS!J385,"'")</f>
        <v>'2do'</v>
      </c>
      <c r="I382" t="str">
        <f>CONCATENATE("'",ALUMNOS!K385,"'")</f>
        <v>'Masculino'</v>
      </c>
      <c r="J382" t="str">
        <f>CONCATENATE("'",ALUMNOS!L385,"'")</f>
        <v>'Activo'</v>
      </c>
      <c r="K382" t="str">
        <f t="shared" si="21"/>
        <v>1381,'LICENCIATURA','kevin.villalobosmendoza','111797','TOMAR DEL SND','VILLALOBOS MENDOZA KEVIN','INGENIERÍA AUTOMOTRIZ','2do','MASCULINO','ACTIVO','',0,0,'','ALUMNO'</v>
      </c>
      <c r="L382" t="str">
        <f t="shared" si="20"/>
        <v>INSERT INTO participantes (id,nivel,correo,matricula,clave,nombre,carrera,grado,sexo,situacion,evaluados,num_evaluados,total_evaluaciones,ultimo_acceso,nivel_acceso) VALUES (1381,'LICENCIATURA','kevin.villalobosmendoza','111797','TOMAR DEL SND','VILLALOBOS MENDOZA KEVIN','INGENIERÍA AUTOMOTRIZ','2do','MASCULINO','ACTIVO','',0,0,'','ALUMNO');</v>
      </c>
      <c r="M382" t="str">
        <f t="shared" si="22"/>
        <v>update participantes set correo='kevin.villalobosmendoza' where id=1381;</v>
      </c>
    </row>
    <row r="383" spans="1:13" x14ac:dyDescent="0.25">
      <c r="A383">
        <f t="shared" si="23"/>
        <v>1382</v>
      </c>
      <c r="B383" s="3" t="s">
        <v>2103</v>
      </c>
      <c r="C383" t="str">
        <f>CONCATENATE("'",ALUMNOS!E386,"'")</f>
        <v>'kevincarlos.sanchezreyes'</v>
      </c>
      <c r="D383" t="str">
        <f>CONCATENATE(ALUMNOS!F386,"'")</f>
        <v>'111658'</v>
      </c>
      <c r="E383" t="s">
        <v>2723</v>
      </c>
      <c r="F383" t="str">
        <f>CONCATENATE("'",ALUMNOS!H386,"'")</f>
        <v>'SANCHEZ REYES KEVIN CARLOS'</v>
      </c>
      <c r="G383" t="str">
        <f>CONCATENATE("'",ALUMNOS!I386,"'")</f>
        <v>'INGENIERÍA AUTOMOTRIZ'</v>
      </c>
      <c r="H383" t="str">
        <f>CONCATENATE("'",ALUMNOS!J386,"'")</f>
        <v>'2do'</v>
      </c>
      <c r="I383" t="str">
        <f>CONCATENATE("'",ALUMNOS!K386,"'")</f>
        <v>'Masculino'</v>
      </c>
      <c r="J383" t="str">
        <f>CONCATENATE("'",ALUMNOS!L386,"'")</f>
        <v>'Activo'</v>
      </c>
      <c r="K383" t="str">
        <f t="shared" si="21"/>
        <v>1382,'LICENCIATURA','kevincarlos.sanchezreyes','111658','TOMAR DEL SND','SANCHEZ REYES KEVIN CARLOS','INGENIERÍA AUTOMOTRIZ','2do','MASCULINO','ACTIVO','',0,0,'','ALUMNO'</v>
      </c>
      <c r="L383" t="str">
        <f t="shared" si="20"/>
        <v>INSERT INTO participantes (id,nivel,correo,matricula,clave,nombre,carrera,grado,sexo,situacion,evaluados,num_evaluados,total_evaluaciones,ultimo_acceso,nivel_acceso) VALUES (1382,'LICENCIATURA','kevincarlos.sanchezreyes','111658','TOMAR DEL SND','SANCHEZ REYES KEVIN CARLOS','INGENIERÍA AUTOMOTRIZ','2do','MASCULINO','ACTIVO','',0,0,'','ALUMNO');</v>
      </c>
      <c r="M383" t="str">
        <f t="shared" si="22"/>
        <v>update participantes set correo='kevincarlos.sanchezreyes' where id=1382;</v>
      </c>
    </row>
    <row r="384" spans="1:13" x14ac:dyDescent="0.25">
      <c r="A384">
        <f t="shared" si="23"/>
        <v>1383</v>
      </c>
      <c r="B384" s="3" t="s">
        <v>2103</v>
      </c>
      <c r="C384" t="str">
        <f>CONCATENATE("'",ALUMNOS!E387,"'")</f>
        <v>'kevinemmanuel.hernandezquezada'</v>
      </c>
      <c r="D384" t="str">
        <f>CONCATENATE(ALUMNOS!F387,"'")</f>
        <v>'111615'</v>
      </c>
      <c r="E384" t="s">
        <v>2723</v>
      </c>
      <c r="F384" t="str">
        <f>CONCATENATE("'",ALUMNOS!H387,"'")</f>
        <v>'HERNANDEZ QUEZADA KEVIN EMMANUEL'</v>
      </c>
      <c r="G384" t="str">
        <f>CONCATENATE("'",ALUMNOS!I387,"'")</f>
        <v>'INGENIERIA AEROESPACIAL'</v>
      </c>
      <c r="H384" t="str">
        <f>CONCATENATE("'",ALUMNOS!J387,"'")</f>
        <v>'2do'</v>
      </c>
      <c r="I384" t="str">
        <f>CONCATENATE("'",ALUMNOS!K387,"'")</f>
        <v>'Masculino'</v>
      </c>
      <c r="J384" t="str">
        <f>CONCATENATE("'",ALUMNOS!L387,"'")</f>
        <v>'Activo'</v>
      </c>
      <c r="K384" t="str">
        <f t="shared" si="21"/>
        <v>1383,'LICENCIATURA','kevinemmanuel.hernandezquezada','111615','TOMAR DEL SND','HERNANDEZ QUEZADA KEVIN EMMANUEL','INGENIERIA AEROESPACIAL','2do','MASCULINO','ACTIVO','',0,0,'','ALUMNO'</v>
      </c>
      <c r="L384" t="str">
        <f t="shared" si="20"/>
        <v>INSERT INTO participantes (id,nivel,correo,matricula,clave,nombre,carrera,grado,sexo,situacion,evaluados,num_evaluados,total_evaluaciones,ultimo_acceso,nivel_acceso) VALUES (1383,'LICENCIATURA','kevinemmanuel.hernandezquezada','111615','TOMAR DEL SND','HERNANDEZ QUEZADA KEVIN EMMANUEL','INGENIERIA AEROESPACIAL','2do','MASCULINO','ACTIVO','',0,0,'','ALUMNO');</v>
      </c>
      <c r="M384" t="str">
        <f t="shared" si="22"/>
        <v>update participantes set correo='kevinemmanuel.hernandezquezada' where id=1383;</v>
      </c>
    </row>
    <row r="385" spans="1:13" x14ac:dyDescent="0.25">
      <c r="A385">
        <f t="shared" si="23"/>
        <v>1384</v>
      </c>
      <c r="B385" s="3" t="s">
        <v>2103</v>
      </c>
      <c r="C385" t="str">
        <f>CONCATENATE("'",ALUMNOS!E388,"'")</f>
        <v>'kevinjosue.morazepeda'</v>
      </c>
      <c r="D385" t="str">
        <f>CONCATENATE(ALUMNOS!F388,"'")</f>
        <v>'111842'</v>
      </c>
      <c r="E385" t="s">
        <v>2723</v>
      </c>
      <c r="F385" t="str">
        <f>CONCATENATE("'",ALUMNOS!H388,"'")</f>
        <v>'MORA ZEPEDA KEVIN JOSUE'</v>
      </c>
      <c r="G385" t="str">
        <f>CONCATENATE("'",ALUMNOS!I388,"'")</f>
        <v>'ADMINISTRACION Y DIRECCION DE NEGOCIOS'</v>
      </c>
      <c r="H385" t="str">
        <f>CONCATENATE("'",ALUMNOS!J388,"'")</f>
        <v>'2do'</v>
      </c>
      <c r="I385" t="str">
        <f>CONCATENATE("'",ALUMNOS!K388,"'")</f>
        <v>'Masculino'</v>
      </c>
      <c r="J385" t="str">
        <f>CONCATENATE("'",ALUMNOS!L388,"'")</f>
        <v>'Activo'</v>
      </c>
      <c r="K385" t="str">
        <f t="shared" si="21"/>
        <v>1384,'LICENCIATURA','kevinjosue.morazepeda','111842','TOMAR DEL SND','MORA ZEPEDA KEVIN JOSUE','ADMINISTRACION Y DIRECCION DE NEGOCIOS','2do','MASCULINO','ACTIVO','',0,0,'','ALUMNO'</v>
      </c>
      <c r="L385" t="str">
        <f t="shared" si="20"/>
        <v>INSERT INTO participantes (id,nivel,correo,matricula,clave,nombre,carrera,grado,sexo,situacion,evaluados,num_evaluados,total_evaluaciones,ultimo_acceso,nivel_acceso) VALUES (1384,'LICENCIATURA','kevinjosue.morazepeda','111842','TOMAR DEL SND','MORA ZEPEDA KEVIN JOSUE','ADMINISTRACION Y DIRECCION DE NEGOCIOS','2do','MASCULINO','ACTIVO','',0,0,'','ALUMNO');</v>
      </c>
      <c r="M385" t="str">
        <f t="shared" si="22"/>
        <v>update participantes set correo='kevinjosue.morazepeda' where id=1384;</v>
      </c>
    </row>
    <row r="386" spans="1:13" x14ac:dyDescent="0.25">
      <c r="A386">
        <f t="shared" si="23"/>
        <v>1385</v>
      </c>
      <c r="B386" s="3" t="s">
        <v>2103</v>
      </c>
      <c r="C386" t="str">
        <f>CONCATENATE("'",ALUMNOS!E389,"'")</f>
        <v>'kevinramon.coldivarflores'</v>
      </c>
      <c r="D386" t="str">
        <f>CONCATENATE(ALUMNOS!F389,"'")</f>
        <v>'110422'</v>
      </c>
      <c r="E386" t="s">
        <v>2723</v>
      </c>
      <c r="F386" t="str">
        <f>CONCATENATE("'",ALUMNOS!H389,"'")</f>
        <v>'COLDIVAR FLORES KEVIN RAMON'</v>
      </c>
      <c r="G386" t="str">
        <f>CONCATENATE("'",ALUMNOS!I389,"'")</f>
        <v>'ANIMACION DIGITAL Y VIDEOJUEGOS'</v>
      </c>
      <c r="H386" t="str">
        <f>CONCATENATE("'",ALUMNOS!J389,"'")</f>
        <v>'6to'</v>
      </c>
      <c r="I386" t="str">
        <f>CONCATENATE("'",ALUMNOS!K389,"'")</f>
        <v>'Masculino'</v>
      </c>
      <c r="J386" t="str">
        <f>CONCATENATE("'",ALUMNOS!L389,"'")</f>
        <v>'Activo'</v>
      </c>
      <c r="K386" t="str">
        <f t="shared" si="21"/>
        <v>1385,'LICENCIATURA','kevinramon.coldivarflores','110422','TOMAR DEL SND','COLDIVAR FLORES KEVIN RAMON','ANIMACION DIGITAL Y VIDEOJUEGOS','6to','MASCULINO','ACTIVO','',0,0,'','ALUMNO'</v>
      </c>
      <c r="L386" t="str">
        <f t="shared" ref="L386:L449" si="24">CONCATENATE($K$1,K386,");")</f>
        <v>INSERT INTO participantes (id,nivel,correo,matricula,clave,nombre,carrera,grado,sexo,situacion,evaluados,num_evaluados,total_evaluaciones,ultimo_acceso,nivel_acceso) VALUES (1385,'LICENCIATURA','kevinramon.coldivarflores','110422','TOMAR DEL SND','COLDIVAR FLORES KEVIN RAMON','ANIMACION DIGITAL Y VIDEOJUEGOS','6to','MASCULINO','ACTIVO','',0,0,'','ALUMNO');</v>
      </c>
      <c r="M386" t="str">
        <f t="shared" si="22"/>
        <v>update participantes set correo='kevinramon.coldivarflores' where id=1385;</v>
      </c>
    </row>
    <row r="387" spans="1:13" x14ac:dyDescent="0.25">
      <c r="A387">
        <f t="shared" si="23"/>
        <v>1386</v>
      </c>
      <c r="B387" s="3" t="s">
        <v>2103</v>
      </c>
      <c r="C387" t="str">
        <f>CONCATENATE("'",ALUMNOS!E390,"'")</f>
        <v>'kevinrodrigopascal.estradabautista'</v>
      </c>
      <c r="D387" t="str">
        <f>CONCATENATE(ALUMNOS!F390,"'")</f>
        <v>'110452'</v>
      </c>
      <c r="E387" t="s">
        <v>2723</v>
      </c>
      <c r="F387" t="str">
        <f>CONCATENATE("'",ALUMNOS!H390,"'")</f>
        <v>'ESTRADA BAUTISTA KEVIN RODRIGO PASCAL'</v>
      </c>
      <c r="G387" t="str">
        <f>CONCATENATE("'",ALUMNOS!I390,"'")</f>
        <v>'INGENIERIA AEROESPACIAL'</v>
      </c>
      <c r="H387" t="str">
        <f>CONCATENATE("'",ALUMNOS!J390,"'")</f>
        <v>'6to'</v>
      </c>
      <c r="I387" t="str">
        <f>CONCATENATE("'",ALUMNOS!K390,"'")</f>
        <v>'Masculino'</v>
      </c>
      <c r="J387" t="str">
        <f>CONCATENATE("'",ALUMNOS!L390,"'")</f>
        <v>'Activo'</v>
      </c>
      <c r="K387" t="str">
        <f t="shared" ref="K387:K450" si="25">CONCATENATE(A387,",",B387,",",C387,",",D387,",'",E387,",",F387,",",G387,",",H387,",",UPPER(I387),",",UPPER(J387),",'',0,0,'','ALUMNO'")</f>
        <v>1386,'LICENCIATURA','kevinrodrigopascal.estradabautista','110452','TOMAR DEL SND','ESTRADA BAUTISTA KEVIN RODRIGO PASCAL','INGENIERIA AEROESPACIAL','6to','MASCULINO','ACTIVO','',0,0,'','ALUMNO'</v>
      </c>
      <c r="L387" t="str">
        <f t="shared" si="24"/>
        <v>INSERT INTO participantes (id,nivel,correo,matricula,clave,nombre,carrera,grado,sexo,situacion,evaluados,num_evaluados,total_evaluaciones,ultimo_acceso,nivel_acceso) VALUES (1386,'LICENCIATURA','kevinrodrigopascal.estradabautista','110452','TOMAR DEL SND','ESTRADA BAUTISTA KEVIN RODRIGO PASCAL','INGENIERIA AEROESPACIAL','6to','MASCULINO','ACTIVO','',0,0,'','ALUMNO');</v>
      </c>
      <c r="M387" t="str">
        <f t="shared" ref="M387:M450" si="26">CONCATENATE("update participantes set correo=",C387," where id=",A387,";")</f>
        <v>update participantes set correo='kevinrodrigopascal.estradabautista' where id=1386;</v>
      </c>
    </row>
    <row r="388" spans="1:13" x14ac:dyDescent="0.25">
      <c r="A388">
        <f t="shared" ref="A388:A451" si="27">A387+1</f>
        <v>1387</v>
      </c>
      <c r="B388" s="3" t="s">
        <v>2103</v>
      </c>
      <c r="C388" t="str">
        <f>CONCATENATE("'",ALUMNOS!E391,"'")</f>
        <v>'kiaramaureen.solorzanogarcia'</v>
      </c>
      <c r="D388" t="str">
        <f>CONCATENATE(ALUMNOS!F391,"'")</f>
        <v>'111622'</v>
      </c>
      <c r="E388" t="s">
        <v>2723</v>
      </c>
      <c r="F388" t="str">
        <f>CONCATENATE("'",ALUMNOS!H391,"'")</f>
        <v>'SOLORZANO GARCIA KIARA MAUREEN'</v>
      </c>
      <c r="G388" t="str">
        <f>CONCATENATE("'",ALUMNOS!I391,"'")</f>
        <v>'ANIMACION DIGITAL Y VIDEOJUEGOS'</v>
      </c>
      <c r="H388" t="str">
        <f>CONCATENATE("'",ALUMNOS!J391,"'")</f>
        <v>'2do'</v>
      </c>
      <c r="I388" t="str">
        <f>CONCATENATE("'",ALUMNOS!K391,"'")</f>
        <v>'Femenino'</v>
      </c>
      <c r="J388" t="str">
        <f>CONCATENATE("'",ALUMNOS!L391,"'")</f>
        <v>'Activo'</v>
      </c>
      <c r="K388" t="str">
        <f t="shared" si="25"/>
        <v>1387,'LICENCIATURA','kiaramaureen.solorzanogarcia','111622','TOMAR DEL SND','SOLORZANO GARCIA KIARA MAUREEN','ANIMACION DIGITAL Y VIDEOJUEGOS','2do','FEMENINO','ACTIVO','',0,0,'','ALUMNO'</v>
      </c>
      <c r="L388" t="str">
        <f t="shared" si="24"/>
        <v>INSERT INTO participantes (id,nivel,correo,matricula,clave,nombre,carrera,grado,sexo,situacion,evaluados,num_evaluados,total_evaluaciones,ultimo_acceso,nivel_acceso) VALUES (1387,'LICENCIATURA','kiaramaureen.solorzanogarcia','111622','TOMAR DEL SND','SOLORZANO GARCIA KIARA MAUREEN','ANIMACION DIGITAL Y VIDEOJUEGOS','2do','FEMENINO','ACTIVO','',0,0,'','ALUMNO');</v>
      </c>
      <c r="M388" t="str">
        <f t="shared" si="26"/>
        <v>update participantes set correo='kiaramaureen.solorzanogarcia' where id=1387;</v>
      </c>
    </row>
    <row r="389" spans="1:13" x14ac:dyDescent="0.25">
      <c r="A389">
        <f t="shared" si="27"/>
        <v>1388</v>
      </c>
      <c r="B389" s="3" t="s">
        <v>2103</v>
      </c>
      <c r="C389" t="str">
        <f>CONCATENATE("'",ALUMNOS!E392,"'")</f>
        <v>'kitzyaangelina.padillasalinas'</v>
      </c>
      <c r="D389" t="str">
        <f>CONCATENATE(ALUMNOS!F392,"'")</f>
        <v>'111043'</v>
      </c>
      <c r="E389" t="s">
        <v>2723</v>
      </c>
      <c r="F389" t="str">
        <f>CONCATENATE("'",ALUMNOS!H392,"'")</f>
        <v>'PADILLA SALINAS KITZYA ANGELINA'</v>
      </c>
      <c r="G389" t="str">
        <f>CONCATENATE("'",ALUMNOS!I392,"'")</f>
        <v>'PSICOLOGIA'</v>
      </c>
      <c r="H389" t="str">
        <f>CONCATENATE("'",ALUMNOS!J392,"'")</f>
        <v>'4to'</v>
      </c>
      <c r="I389" t="str">
        <f>CONCATENATE("'",ALUMNOS!K392,"'")</f>
        <v>'Femenino'</v>
      </c>
      <c r="J389" t="str">
        <f>CONCATENATE("'",ALUMNOS!L392,"'")</f>
        <v>'Activo'</v>
      </c>
      <c r="K389" t="str">
        <f t="shared" si="25"/>
        <v>1388,'LICENCIATURA','kitzyaangelina.padillasalinas','111043','TOMAR DEL SND','PADILLA SALINAS KITZYA ANGELINA','PSICOLOGIA','4to','FEMENINO','ACTIVO','',0,0,'','ALUMNO'</v>
      </c>
      <c r="L389" t="str">
        <f t="shared" si="24"/>
        <v>INSERT INTO participantes (id,nivel,correo,matricula,clave,nombre,carrera,grado,sexo,situacion,evaluados,num_evaluados,total_evaluaciones,ultimo_acceso,nivel_acceso) VALUES (1388,'LICENCIATURA','kitzyaangelina.padillasalinas','111043','TOMAR DEL SND','PADILLA SALINAS KITZYA ANGELINA','PSICOLOGIA','4to','FEMENINO','ACTIVO','',0,0,'','ALUMNO');</v>
      </c>
      <c r="M389" t="str">
        <f t="shared" si="26"/>
        <v>update participantes set correo='kitzyaangelina.padillasalinas' where id=1388;</v>
      </c>
    </row>
    <row r="390" spans="1:13" x14ac:dyDescent="0.25">
      <c r="A390">
        <f t="shared" si="27"/>
        <v>1389</v>
      </c>
      <c r="B390" s="3" t="s">
        <v>2103</v>
      </c>
      <c r="C390" t="str">
        <f>CONCATENATE("'",ALUMNOS!E393,"'")</f>
        <v>'laurajosselin.contrerasvega'</v>
      </c>
      <c r="D390" t="str">
        <f>CONCATENATE(ALUMNOS!F393,"'")</f>
        <v>'109863'</v>
      </c>
      <c r="E390" t="s">
        <v>2723</v>
      </c>
      <c r="F390" t="str">
        <f>CONCATENATE("'",ALUMNOS!H393,"'")</f>
        <v>'CONTRERAS VEGA LAURA JOSSELIN'</v>
      </c>
      <c r="G390" t="str">
        <f>CONCATENATE("'",ALUMNOS!I393,"'")</f>
        <v>'INGENIERIA AEROESPACIAL'</v>
      </c>
      <c r="H390" t="str">
        <f>CONCATENATE("'",ALUMNOS!J393,"'")</f>
        <v>'8vo'</v>
      </c>
      <c r="I390" t="str">
        <f>CONCATENATE("'",ALUMNOS!K393,"'")</f>
        <v>'Femenino'</v>
      </c>
      <c r="J390" t="str">
        <f>CONCATENATE("'",ALUMNOS!L393,"'")</f>
        <v>'Activo'</v>
      </c>
      <c r="K390" t="str">
        <f t="shared" si="25"/>
        <v>1389,'LICENCIATURA','laurajosselin.contrerasvega','109863','TOMAR DEL SND','CONTRERAS VEGA LAURA JOSSELIN','INGENIERIA AEROESPACIAL','8vo','FEMENINO','ACTIVO','',0,0,'','ALUMNO'</v>
      </c>
      <c r="L390" t="str">
        <f t="shared" si="24"/>
        <v>INSERT INTO participantes (id,nivel,correo,matricula,clave,nombre,carrera,grado,sexo,situacion,evaluados,num_evaluados,total_evaluaciones,ultimo_acceso,nivel_acceso) VALUES (1389,'LICENCIATURA','laurajosselin.contrerasvega','109863','TOMAR DEL SND','CONTRERAS VEGA LAURA JOSSELIN','INGENIERIA AEROESPACIAL','8vo','FEMENINO','ACTIVO','',0,0,'','ALUMNO');</v>
      </c>
      <c r="M390" t="str">
        <f t="shared" si="26"/>
        <v>update participantes set correo='laurajosselin.contrerasvega' where id=1389;</v>
      </c>
    </row>
    <row r="391" spans="1:13" x14ac:dyDescent="0.25">
      <c r="A391">
        <f t="shared" si="27"/>
        <v>1390</v>
      </c>
      <c r="B391" s="3" t="s">
        <v>2103</v>
      </c>
      <c r="C391" t="str">
        <f>CONCATENATE("'",ALUMNOS!E394,"'")</f>
        <v>'lauramaria.iñiguezoseguera'</v>
      </c>
      <c r="D391" t="str">
        <f>CONCATENATE(ALUMNOS!F394,"'")</f>
        <v>'111117'</v>
      </c>
      <c r="E391" t="s">
        <v>2723</v>
      </c>
      <c r="F391" t="str">
        <f>CONCATENATE("'",ALUMNOS!H394,"'")</f>
        <v>'IÑIGUEZ OSEGUERA LAURA MARIA'</v>
      </c>
      <c r="G391" t="str">
        <f>CONCATENATE("'",ALUMNOS!I394,"'")</f>
        <v>'ADMINISTRACION Y DIRECCION DE NEGOCIOS'</v>
      </c>
      <c r="H391" t="str">
        <f>CONCATENATE("'",ALUMNOS!J394,"'")</f>
        <v>'4to'</v>
      </c>
      <c r="I391" t="str">
        <f>CONCATENATE("'",ALUMNOS!K394,"'")</f>
        <v>'Femenino'</v>
      </c>
      <c r="J391" t="str">
        <f>CONCATENATE("'",ALUMNOS!L394,"'")</f>
        <v>'Activo'</v>
      </c>
      <c r="K391" t="str">
        <f t="shared" si="25"/>
        <v>1390,'LICENCIATURA','lauramaria.iñiguezoseguera','111117','TOMAR DEL SND','IÑIGUEZ OSEGUERA LAURA MARIA','ADMINISTRACION Y DIRECCION DE NEGOCIOS','4to','FEMENINO','ACTIVO','',0,0,'','ALUMNO'</v>
      </c>
      <c r="L391" t="str">
        <f t="shared" si="24"/>
        <v>INSERT INTO participantes (id,nivel,correo,matricula,clave,nombre,carrera,grado,sexo,situacion,evaluados,num_evaluados,total_evaluaciones,ultimo_acceso,nivel_acceso) VALUES (1390,'LICENCIATURA','lauramaria.iñiguezoseguera','111117','TOMAR DEL SND','IÑIGUEZ OSEGUERA LAURA MARIA','ADMINISTRACION Y DIRECCION DE NEGOCIOS','4to','FEMENINO','ACTIVO','',0,0,'','ALUMNO');</v>
      </c>
      <c r="M391" t="str">
        <f t="shared" si="26"/>
        <v>update participantes set correo='lauramaria.iñiguezoseguera' where id=1390;</v>
      </c>
    </row>
    <row r="392" spans="1:13" x14ac:dyDescent="0.25">
      <c r="A392">
        <f t="shared" si="27"/>
        <v>1391</v>
      </c>
      <c r="B392" s="3" t="s">
        <v>2103</v>
      </c>
      <c r="C392" t="str">
        <f>CONCATENATE("'",ALUMNOS!E395,"'")</f>
        <v>'laurasusana.cejaperez'</v>
      </c>
      <c r="D392" t="str">
        <f>CONCATENATE(ALUMNOS!F395,"'")</f>
        <v>'111153'</v>
      </c>
      <c r="E392" t="s">
        <v>2723</v>
      </c>
      <c r="F392" t="str">
        <f>CONCATENATE("'",ALUMNOS!H395,"'")</f>
        <v>'CEJA PEREZ LAURA SUSANA'</v>
      </c>
      <c r="G392" t="str">
        <f>CONCATENATE("'",ALUMNOS!I395,"'")</f>
        <v>'INGENIERIA AEROESPACIAL'</v>
      </c>
      <c r="H392" t="str">
        <f>CONCATENATE("'",ALUMNOS!J395,"'")</f>
        <v>'4to'</v>
      </c>
      <c r="I392" t="str">
        <f>CONCATENATE("'",ALUMNOS!K395,"'")</f>
        <v>'Femenino'</v>
      </c>
      <c r="J392" t="str">
        <f>CONCATENATE("'",ALUMNOS!L395,"'")</f>
        <v>'Activo'</v>
      </c>
      <c r="K392" t="str">
        <f t="shared" si="25"/>
        <v>1391,'LICENCIATURA','laurasusana.cejaperez','111153','TOMAR DEL SND','CEJA PEREZ LAURA SUSANA','INGENIERIA AEROESPACIAL','4to','FEMENINO','ACTIVO','',0,0,'','ALUMNO'</v>
      </c>
      <c r="L392" t="str">
        <f t="shared" si="24"/>
        <v>INSERT INTO participantes (id,nivel,correo,matricula,clave,nombre,carrera,grado,sexo,situacion,evaluados,num_evaluados,total_evaluaciones,ultimo_acceso,nivel_acceso) VALUES (1391,'LICENCIATURA','laurasusana.cejaperez','111153','TOMAR DEL SND','CEJA PEREZ LAURA SUSANA','INGENIERIA AEROESPACIAL','4to','FEMENINO','ACTIVO','',0,0,'','ALUMNO');</v>
      </c>
      <c r="M392" t="str">
        <f t="shared" si="26"/>
        <v>update participantes set correo='laurasusana.cejaperez' where id=1391;</v>
      </c>
    </row>
    <row r="393" spans="1:13" x14ac:dyDescent="0.25">
      <c r="A393">
        <f t="shared" si="27"/>
        <v>1392</v>
      </c>
      <c r="B393" s="3" t="s">
        <v>2103</v>
      </c>
      <c r="C393" t="str">
        <f>CONCATENATE("'",ALUMNOS!E396,"'")</f>
        <v>'laviniazarina.torresguevara'</v>
      </c>
      <c r="D393" t="str">
        <f>CONCATENATE(ALUMNOS!F396,"'")</f>
        <v>'110694'</v>
      </c>
      <c r="E393" t="s">
        <v>2723</v>
      </c>
      <c r="F393" t="str">
        <f>CONCATENATE("'",ALUMNOS!H396,"'")</f>
        <v>'TORRES GUEVARA LAVINIA ZARINA'</v>
      </c>
      <c r="G393" t="str">
        <f>CONCATENATE("'",ALUMNOS!I396,"'")</f>
        <v>'COMERCIO INTERNACIONAL'</v>
      </c>
      <c r="H393" t="str">
        <f>CONCATENATE("'",ALUMNOS!J396,"'")</f>
        <v>'6to'</v>
      </c>
      <c r="I393" t="str">
        <f>CONCATENATE("'",ALUMNOS!K396,"'")</f>
        <v>'Femenino'</v>
      </c>
      <c r="J393" t="str">
        <f>CONCATENATE("'",ALUMNOS!L396,"'")</f>
        <v>'Activo'</v>
      </c>
      <c r="K393" t="str">
        <f t="shared" si="25"/>
        <v>1392,'LICENCIATURA','laviniazarina.torresguevara','110694','TOMAR DEL SND','TORRES GUEVARA LAVINIA ZARINA','COMERCIO INTERNACIONAL','6to','FEMENINO','ACTIVO','',0,0,'','ALUMNO'</v>
      </c>
      <c r="L393" t="str">
        <f t="shared" si="24"/>
        <v>INSERT INTO participantes (id,nivel,correo,matricula,clave,nombre,carrera,grado,sexo,situacion,evaluados,num_evaluados,total_evaluaciones,ultimo_acceso,nivel_acceso) VALUES (1392,'LICENCIATURA','laviniazarina.torresguevara','110694','TOMAR DEL SND','TORRES GUEVARA LAVINIA ZARINA','COMERCIO INTERNACIONAL','6to','FEMENINO','ACTIVO','',0,0,'','ALUMNO');</v>
      </c>
      <c r="M393" t="str">
        <f t="shared" si="26"/>
        <v>update participantes set correo='laviniazarina.torresguevara' where id=1392;</v>
      </c>
    </row>
    <row r="394" spans="1:13" x14ac:dyDescent="0.25">
      <c r="A394">
        <f t="shared" si="27"/>
        <v>1393</v>
      </c>
      <c r="B394" s="3" t="s">
        <v>2103</v>
      </c>
      <c r="C394" t="str">
        <f>CONCATENATE("'",ALUMNOS!E397,"'")</f>
        <v>'layssa.gonzalezguerra'</v>
      </c>
      <c r="D394" t="str">
        <f>CONCATENATE(ALUMNOS!F397,"'")</f>
        <v>'111190'</v>
      </c>
      <c r="E394" t="s">
        <v>2723</v>
      </c>
      <c r="F394" t="str">
        <f>CONCATENATE("'",ALUMNOS!H397,"'")</f>
        <v>'GONZALEZ GUERRA LAYSSA'</v>
      </c>
      <c r="G394" t="str">
        <f>CONCATENATE("'",ALUMNOS!I397,"'")</f>
        <v>'INGENIERIA CIBERNETICA Y EN SISTEMAS COMPUTACIONALES'</v>
      </c>
      <c r="H394" t="str">
        <f>CONCATENATE("'",ALUMNOS!J397,"'")</f>
        <v>'4to'</v>
      </c>
      <c r="I394" t="str">
        <f>CONCATENATE("'",ALUMNOS!K397,"'")</f>
        <v>'Femenino'</v>
      </c>
      <c r="J394" t="str">
        <f>CONCATENATE("'",ALUMNOS!L397,"'")</f>
        <v>'Activo'</v>
      </c>
      <c r="K394" t="str">
        <f t="shared" si="25"/>
        <v>1393,'LICENCIATURA','layssa.gonzalezguerra','111190','TOMAR DEL SND','GONZALEZ GUERRA LAYSSA','INGENIERIA CIBERNETICA Y EN SISTEMAS COMPUTACIONALES','4to','FEMENINO','ACTIVO','',0,0,'','ALUMNO'</v>
      </c>
      <c r="L394" t="str">
        <f t="shared" si="24"/>
        <v>INSERT INTO participantes (id,nivel,correo,matricula,clave,nombre,carrera,grado,sexo,situacion,evaluados,num_evaluados,total_evaluaciones,ultimo_acceso,nivel_acceso) VALUES (1393,'LICENCIATURA','layssa.gonzalezguerra','111190','TOMAR DEL SND','GONZALEZ GUERRA LAYSSA','INGENIERIA CIBERNETICA Y EN SISTEMAS COMPUTACIONALES','4to','FEMENINO','ACTIVO','',0,0,'','ALUMNO');</v>
      </c>
      <c r="M394" t="str">
        <f t="shared" si="26"/>
        <v>update participantes set correo='layssa.gonzalezguerra' where id=1393;</v>
      </c>
    </row>
    <row r="395" spans="1:13" x14ac:dyDescent="0.25">
      <c r="A395">
        <f t="shared" si="27"/>
        <v>1394</v>
      </c>
      <c r="B395" s="3" t="s">
        <v>2103</v>
      </c>
      <c r="C395" t="str">
        <f>CONCATENATE("'",ALUMNOS!E398,"'")</f>
        <v>'leonardo.martinezruan'</v>
      </c>
      <c r="D395" t="str">
        <f>CONCATENATE(ALUMNOS!F398,"'")</f>
        <v>'111739'</v>
      </c>
      <c r="E395" t="s">
        <v>2723</v>
      </c>
      <c r="F395" t="str">
        <f>CONCATENATE("'",ALUMNOS!H398,"'")</f>
        <v>'MARTINEZ RUAN LEONARDO'</v>
      </c>
      <c r="G395" t="str">
        <f>CONCATENATE("'",ALUMNOS!I398,"'")</f>
        <v>'INGENIERÍA AUTOMOTRIZ'</v>
      </c>
      <c r="H395" t="str">
        <f>CONCATENATE("'",ALUMNOS!J398,"'")</f>
        <v>'2do'</v>
      </c>
      <c r="I395" t="str">
        <f>CONCATENATE("'",ALUMNOS!K398,"'")</f>
        <v>'Masculino'</v>
      </c>
      <c r="J395" t="str">
        <f>CONCATENATE("'",ALUMNOS!L398,"'")</f>
        <v>'Activo'</v>
      </c>
      <c r="K395" t="str">
        <f t="shared" si="25"/>
        <v>1394,'LICENCIATURA','leonardo.martinezruan','111739','TOMAR DEL SND','MARTINEZ RUAN LEONARDO','INGENIERÍA AUTOMOTRIZ','2do','MASCULINO','ACTIVO','',0,0,'','ALUMNO'</v>
      </c>
      <c r="L395" t="str">
        <f t="shared" si="24"/>
        <v>INSERT INTO participantes (id,nivel,correo,matricula,clave,nombre,carrera,grado,sexo,situacion,evaluados,num_evaluados,total_evaluaciones,ultimo_acceso,nivel_acceso) VALUES (1394,'LICENCIATURA','leonardo.martinezruan','111739','TOMAR DEL SND','MARTINEZ RUAN LEONARDO','INGENIERÍA AUTOMOTRIZ','2do','MASCULINO','ACTIVO','',0,0,'','ALUMNO');</v>
      </c>
      <c r="M395" t="str">
        <f t="shared" si="26"/>
        <v>update participantes set correo='leonardo.martinezruan' where id=1394;</v>
      </c>
    </row>
    <row r="396" spans="1:13" x14ac:dyDescent="0.25">
      <c r="A396">
        <f t="shared" si="27"/>
        <v>1395</v>
      </c>
      <c r="B396" s="3" t="s">
        <v>2103</v>
      </c>
      <c r="C396" t="str">
        <f>CONCATENATE("'",ALUMNOS!E399,"'")</f>
        <v>'leonardo.villavicenciooceguera'</v>
      </c>
      <c r="D396" t="str">
        <f>CONCATENATE(ALUMNOS!F399,"'")</f>
        <v>'007767'</v>
      </c>
      <c r="E396" t="s">
        <v>2723</v>
      </c>
      <c r="F396" t="str">
        <f>CONCATENATE("'",ALUMNOS!H399,"'")</f>
        <v>'VILLAVICENCIO OCEGUERA LEONARDO'</v>
      </c>
      <c r="G396" t="str">
        <f>CONCATENATE("'",ALUMNOS!I399,"'")</f>
        <v>'ARQUITECTURA'</v>
      </c>
      <c r="H396" t="str">
        <f>CONCATENATE("'",ALUMNOS!J399,"'")</f>
        <v>'2do'</v>
      </c>
      <c r="I396" t="str">
        <f>CONCATENATE("'",ALUMNOS!K399,"'")</f>
        <v>'Masculino'</v>
      </c>
      <c r="J396" t="str">
        <f>CONCATENATE("'",ALUMNOS!L399,"'")</f>
        <v>'Activo'</v>
      </c>
      <c r="K396" t="str">
        <f t="shared" si="25"/>
        <v>1395,'LICENCIATURA','leonardo.villavicenciooceguera','007767','TOMAR DEL SND','VILLAVICENCIO OCEGUERA LEONARDO','ARQUITECTURA','2do','MASCULINO','ACTIVO','',0,0,'','ALUMNO'</v>
      </c>
      <c r="L396" t="str">
        <f t="shared" si="24"/>
        <v>INSERT INTO participantes (id,nivel,correo,matricula,clave,nombre,carrera,grado,sexo,situacion,evaluados,num_evaluados,total_evaluaciones,ultimo_acceso,nivel_acceso) VALUES (1395,'LICENCIATURA','leonardo.villavicenciooceguera','007767','TOMAR DEL SND','VILLAVICENCIO OCEGUERA LEONARDO','ARQUITECTURA','2do','MASCULINO','ACTIVO','',0,0,'','ALUMNO');</v>
      </c>
      <c r="M396" t="str">
        <f t="shared" si="26"/>
        <v>update participantes set correo='leonardo.villavicenciooceguera' where id=1395;</v>
      </c>
    </row>
    <row r="397" spans="1:13" x14ac:dyDescent="0.25">
      <c r="A397">
        <f t="shared" si="27"/>
        <v>1396</v>
      </c>
      <c r="B397" s="3" t="s">
        <v>2103</v>
      </c>
      <c r="C397" t="str">
        <f>CONCATENATE("'",ALUMNOS!E400,"'")</f>
        <v>'leonardoaugusto.vazquezcastellanos'</v>
      </c>
      <c r="D397" t="str">
        <f>CONCATENATE(ALUMNOS!F400,"'")</f>
        <v>'111792'</v>
      </c>
      <c r="E397" t="s">
        <v>2723</v>
      </c>
      <c r="F397" t="str">
        <f>CONCATENATE("'",ALUMNOS!H400,"'")</f>
        <v>'VAZQUEZ CASTELLANOS LEONARDO AUGUSTO'</v>
      </c>
      <c r="G397" t="str">
        <f>CONCATENATE("'",ALUMNOS!I400,"'")</f>
        <v>'ARQUITECTURA'</v>
      </c>
      <c r="H397" t="str">
        <f>CONCATENATE("'",ALUMNOS!J400,"'")</f>
        <v>'2do'</v>
      </c>
      <c r="I397" t="str">
        <f>CONCATENATE("'",ALUMNOS!K400,"'")</f>
        <v>'Masculino'</v>
      </c>
      <c r="J397" t="str">
        <f>CONCATENATE("'",ALUMNOS!L400,"'")</f>
        <v>'Activo'</v>
      </c>
      <c r="K397" t="str">
        <f t="shared" si="25"/>
        <v>1396,'LICENCIATURA','leonardoaugusto.vazquezcastellanos','111792','TOMAR DEL SND','VAZQUEZ CASTELLANOS LEONARDO AUGUSTO','ARQUITECTURA','2do','MASCULINO','ACTIVO','',0,0,'','ALUMNO'</v>
      </c>
      <c r="L397" t="str">
        <f t="shared" si="24"/>
        <v>INSERT INTO participantes (id,nivel,correo,matricula,clave,nombre,carrera,grado,sexo,situacion,evaluados,num_evaluados,total_evaluaciones,ultimo_acceso,nivel_acceso) VALUES (1396,'LICENCIATURA','leonardoaugusto.vazquezcastellanos','111792','TOMAR DEL SND','VAZQUEZ CASTELLANOS LEONARDO AUGUSTO','ARQUITECTURA','2do','MASCULINO','ACTIVO','',0,0,'','ALUMNO');</v>
      </c>
      <c r="M397" t="str">
        <f t="shared" si="26"/>
        <v>update participantes set correo='leonardoaugusto.vazquezcastellanos' where id=1396;</v>
      </c>
    </row>
    <row r="398" spans="1:13" x14ac:dyDescent="0.25">
      <c r="A398">
        <f t="shared" si="27"/>
        <v>1397</v>
      </c>
      <c r="B398" s="3" t="s">
        <v>2103</v>
      </c>
      <c r="C398" t="str">
        <f>CONCATENATE("'",ALUMNOS!E401,"'")</f>
        <v>'leonelmaximiliano.ortacruz'</v>
      </c>
      <c r="D398" t="str">
        <f>CONCATENATE(ALUMNOS!F401,"'")</f>
        <v>'110557'</v>
      </c>
      <c r="E398" t="s">
        <v>2723</v>
      </c>
      <c r="F398" t="str">
        <f>CONCATENATE("'",ALUMNOS!H401,"'")</f>
        <v>'ORTA CRUZ LEONEL MAXIMILIANO'</v>
      </c>
      <c r="G398" t="str">
        <f>CONCATENATE("'",ALUMNOS!I401,"'")</f>
        <v>'INGENIERIA AEROESPACIAL'</v>
      </c>
      <c r="H398" t="str">
        <f>CONCATENATE("'",ALUMNOS!J401,"'")</f>
        <v>'6to'</v>
      </c>
      <c r="I398" t="str">
        <f>CONCATENATE("'",ALUMNOS!K401,"'")</f>
        <v>'Masculino'</v>
      </c>
      <c r="J398" t="str">
        <f>CONCATENATE("'",ALUMNOS!L401,"'")</f>
        <v>'Activo'</v>
      </c>
      <c r="K398" t="str">
        <f t="shared" si="25"/>
        <v>1397,'LICENCIATURA','leonelmaximiliano.ortacruz','110557','TOMAR DEL SND','ORTA CRUZ LEONEL MAXIMILIANO','INGENIERIA AEROESPACIAL','6to','MASCULINO','ACTIVO','',0,0,'','ALUMNO'</v>
      </c>
      <c r="L398" t="str">
        <f t="shared" si="24"/>
        <v>INSERT INTO participantes (id,nivel,correo,matricula,clave,nombre,carrera,grado,sexo,situacion,evaluados,num_evaluados,total_evaluaciones,ultimo_acceso,nivel_acceso) VALUES (1397,'LICENCIATURA','leonelmaximiliano.ortacruz','110557','TOMAR DEL SND','ORTA CRUZ LEONEL MAXIMILIANO','INGENIERIA AEROESPACIAL','6to','MASCULINO','ACTIVO','',0,0,'','ALUMNO');</v>
      </c>
      <c r="M398" t="str">
        <f t="shared" si="26"/>
        <v>update participantes set correo='leonelmaximiliano.ortacruz' where id=1397;</v>
      </c>
    </row>
    <row r="399" spans="1:13" x14ac:dyDescent="0.25">
      <c r="A399">
        <f t="shared" si="27"/>
        <v>1398</v>
      </c>
      <c r="B399" s="3" t="s">
        <v>2103</v>
      </c>
      <c r="C399" t="str">
        <f>CONCATENATE("'",ALUMNOS!E402,"'")</f>
        <v>'leonelricardo.barriossandoval'</v>
      </c>
      <c r="D399" t="str">
        <f>CONCATENATE(ALUMNOS!F402,"'")</f>
        <v>'007095'</v>
      </c>
      <c r="E399" t="s">
        <v>2723</v>
      </c>
      <c r="F399" t="str">
        <f>CONCATENATE("'",ALUMNOS!H402,"'")</f>
        <v>'BARRIOS SANDOVAL LEONEL RICARDO'</v>
      </c>
      <c r="G399" t="str">
        <f>CONCATENATE("'",ALUMNOS!I402,"'")</f>
        <v>'COMERCIO INTERNACIONAL'</v>
      </c>
      <c r="H399" t="str">
        <f>CONCATENATE("'",ALUMNOS!J402,"'")</f>
        <v>'6to'</v>
      </c>
      <c r="I399" t="str">
        <f>CONCATENATE("'",ALUMNOS!K402,"'")</f>
        <v>'Masculino'</v>
      </c>
      <c r="J399" t="str">
        <f>CONCATENATE("'",ALUMNOS!L402,"'")</f>
        <v>'Activo'</v>
      </c>
      <c r="K399" t="str">
        <f t="shared" si="25"/>
        <v>1398,'LICENCIATURA','leonelricardo.barriossandoval','007095','TOMAR DEL SND','BARRIOS SANDOVAL LEONEL RICARDO','COMERCIO INTERNACIONAL','6to','MASCULINO','ACTIVO','',0,0,'','ALUMNO'</v>
      </c>
      <c r="L399" t="str">
        <f t="shared" si="24"/>
        <v>INSERT INTO participantes (id,nivel,correo,matricula,clave,nombre,carrera,grado,sexo,situacion,evaluados,num_evaluados,total_evaluaciones,ultimo_acceso,nivel_acceso) VALUES (1398,'LICENCIATURA','leonelricardo.barriossandoval','007095','TOMAR DEL SND','BARRIOS SANDOVAL LEONEL RICARDO','COMERCIO INTERNACIONAL','6to','MASCULINO','ACTIVO','',0,0,'','ALUMNO');</v>
      </c>
      <c r="M399" t="str">
        <f t="shared" si="26"/>
        <v>update participantes set correo='leonelricardo.barriossandoval' where id=1398;</v>
      </c>
    </row>
    <row r="400" spans="1:13" x14ac:dyDescent="0.25">
      <c r="A400">
        <f t="shared" si="27"/>
        <v>1399</v>
      </c>
      <c r="B400" s="3" t="s">
        <v>2103</v>
      </c>
      <c r="C400" t="str">
        <f>CONCATENATE("'",ALUMNOS!E403,"'")</f>
        <v>'leslydaniela.robledorodriguez'</v>
      </c>
      <c r="D400" t="str">
        <f>CONCATENATE(ALUMNOS!F403,"'")</f>
        <v>'110665'</v>
      </c>
      <c r="E400" t="s">
        <v>2723</v>
      </c>
      <c r="F400" t="str">
        <f>CONCATENATE("'",ALUMNOS!H403,"'")</f>
        <v>'ROBLEDO RODRIGUEZ LESLY DANIELA'</v>
      </c>
      <c r="G400" t="str">
        <f>CONCATENATE("'",ALUMNOS!I403,"'")</f>
        <v>'ARQUITECTURA'</v>
      </c>
      <c r="H400" t="str">
        <f>CONCATENATE("'",ALUMNOS!J403,"'")</f>
        <v>'6to'</v>
      </c>
      <c r="I400" t="str">
        <f>CONCATENATE("'",ALUMNOS!K403,"'")</f>
        <v>'Femenino'</v>
      </c>
      <c r="J400" t="str">
        <f>CONCATENATE("'",ALUMNOS!L403,"'")</f>
        <v>'Activo'</v>
      </c>
      <c r="K400" t="str">
        <f t="shared" si="25"/>
        <v>1399,'LICENCIATURA','leslydaniela.robledorodriguez','110665','TOMAR DEL SND','ROBLEDO RODRIGUEZ LESLY DANIELA','ARQUITECTURA','6to','FEMENINO','ACTIVO','',0,0,'','ALUMNO'</v>
      </c>
      <c r="L400" t="str">
        <f t="shared" si="24"/>
        <v>INSERT INTO participantes (id,nivel,correo,matricula,clave,nombre,carrera,grado,sexo,situacion,evaluados,num_evaluados,total_evaluaciones,ultimo_acceso,nivel_acceso) VALUES (1399,'LICENCIATURA','leslydaniela.robledorodriguez','110665','TOMAR DEL SND','ROBLEDO RODRIGUEZ LESLY DANIELA','ARQUITECTURA','6to','FEMENINO','ACTIVO','',0,0,'','ALUMNO');</v>
      </c>
      <c r="M400" t="str">
        <f t="shared" si="26"/>
        <v>update participantes set correo='leslydaniela.robledorodriguez' where id=1399;</v>
      </c>
    </row>
    <row r="401" spans="1:13" x14ac:dyDescent="0.25">
      <c r="A401">
        <f t="shared" si="27"/>
        <v>1400</v>
      </c>
      <c r="B401" s="3" t="s">
        <v>2103</v>
      </c>
      <c r="C401" t="str">
        <f>CONCATENATE("'",ALUMNOS!E404,"'")</f>
        <v>'liavalentina.fuentesfararoni'</v>
      </c>
      <c r="D401" t="str">
        <f>CONCATENATE(ALUMNOS!F404,"'")</f>
        <v>'109830'</v>
      </c>
      <c r="E401" t="s">
        <v>2723</v>
      </c>
      <c r="F401" t="str">
        <f>CONCATENATE("'",ALUMNOS!H404,"'")</f>
        <v>'FUENTES FARARONI LIA VALENTINA'</v>
      </c>
      <c r="G401" t="str">
        <f>CONCATENATE("'",ALUMNOS!I404,"'")</f>
        <v>'NUTRICION Y GASTRONOMIA'</v>
      </c>
      <c r="H401" t="str">
        <f>CONCATENATE("'",ALUMNOS!J404,"'")</f>
        <v>'8vo'</v>
      </c>
      <c r="I401" t="str">
        <f>CONCATENATE("'",ALUMNOS!K404,"'")</f>
        <v>'Femenino'</v>
      </c>
      <c r="J401" t="str">
        <f>CONCATENATE("'",ALUMNOS!L404,"'")</f>
        <v>'Activo'</v>
      </c>
      <c r="K401" t="str">
        <f t="shared" si="25"/>
        <v>1400,'LICENCIATURA','liavalentina.fuentesfararoni','109830','TOMAR DEL SND','FUENTES FARARONI LIA VALENTINA','NUTRICION Y GASTRONOMIA','8vo','FEMENINO','ACTIVO','',0,0,'','ALUMNO'</v>
      </c>
      <c r="L401" t="str">
        <f t="shared" si="24"/>
        <v>INSERT INTO participantes (id,nivel,correo,matricula,clave,nombre,carrera,grado,sexo,situacion,evaluados,num_evaluados,total_evaluaciones,ultimo_acceso,nivel_acceso) VALUES (1400,'LICENCIATURA','liavalentina.fuentesfararoni','109830','TOMAR DEL SND','FUENTES FARARONI LIA VALENTINA','NUTRICION Y GASTRONOMIA','8vo','FEMENINO','ACTIVO','',0,0,'','ALUMNO');</v>
      </c>
      <c r="M401" t="str">
        <f t="shared" si="26"/>
        <v>update participantes set correo='liavalentina.fuentesfararoni' where id=1400;</v>
      </c>
    </row>
    <row r="402" spans="1:13" x14ac:dyDescent="0.25">
      <c r="A402">
        <f t="shared" si="27"/>
        <v>1401</v>
      </c>
      <c r="B402" s="3" t="s">
        <v>2103</v>
      </c>
      <c r="C402" t="str">
        <f>CONCATENATE("'",ALUMNOS!E405,"'")</f>
        <v>'lian.kimzepeda'</v>
      </c>
      <c r="D402" t="str">
        <f>CONCATENATE(ALUMNOS!F405,"'")</f>
        <v>'109842'</v>
      </c>
      <c r="E402" t="s">
        <v>2723</v>
      </c>
      <c r="F402" t="str">
        <f>CONCATENATE("'",ALUMNOS!H405,"'")</f>
        <v>'KIM ZEPEDA LIAN'</v>
      </c>
      <c r="G402" t="str">
        <f>CONCATENATE("'",ALUMNOS!I405,"'")</f>
        <v>'DISEÑO GRAFICO Y DIGITAL'</v>
      </c>
      <c r="H402" t="str">
        <f>CONCATENATE("'",ALUMNOS!J405,"'")</f>
        <v>'8vo'</v>
      </c>
      <c r="I402" t="str">
        <f>CONCATENATE("'",ALUMNOS!K405,"'")</f>
        <v>'Masculino'</v>
      </c>
      <c r="J402" t="str">
        <f>CONCATENATE("'",ALUMNOS!L405,"'")</f>
        <v>'Activo'</v>
      </c>
      <c r="K402" t="str">
        <f t="shared" si="25"/>
        <v>1401,'LICENCIATURA','lian.kimzepeda','109842','TOMAR DEL SND','KIM ZEPEDA LIAN','DISEÑO GRAFICO Y DIGITAL','8vo','MASCULINO','ACTIVO','',0,0,'','ALUMNO'</v>
      </c>
      <c r="L402" t="str">
        <f t="shared" si="24"/>
        <v>INSERT INTO participantes (id,nivel,correo,matricula,clave,nombre,carrera,grado,sexo,situacion,evaluados,num_evaluados,total_evaluaciones,ultimo_acceso,nivel_acceso) VALUES (1401,'LICENCIATURA','lian.kimzepeda','109842','TOMAR DEL SND','KIM ZEPEDA LIAN','DISEÑO GRAFICO Y DIGITAL','8vo','MASCULINO','ACTIVO','',0,0,'','ALUMNO');</v>
      </c>
      <c r="M402" t="str">
        <f t="shared" si="26"/>
        <v>update participantes set correo='lian.kimzepeda' where id=1401;</v>
      </c>
    </row>
    <row r="403" spans="1:13" x14ac:dyDescent="0.25">
      <c r="A403">
        <f t="shared" si="27"/>
        <v>1402</v>
      </c>
      <c r="B403" s="3" t="s">
        <v>2103</v>
      </c>
      <c r="C403" t="str">
        <f>CONCATENATE("'",ALUMNOS!E406,"'")</f>
        <v>'lilian.valenciabarajas'</v>
      </c>
      <c r="D403" t="str">
        <f>CONCATENATE(ALUMNOS!F406,"'")</f>
        <v>'110524'</v>
      </c>
      <c r="E403" t="s">
        <v>2723</v>
      </c>
      <c r="F403" t="str">
        <f>CONCATENATE("'",ALUMNOS!H406,"'")</f>
        <v>'VALENCIA BARAJAS LILIAN'</v>
      </c>
      <c r="G403" t="str">
        <f>CONCATENATE("'",ALUMNOS!I406,"'")</f>
        <v>'INGENIERIA AEROESPACIAL'</v>
      </c>
      <c r="H403" t="str">
        <f>CONCATENATE("'",ALUMNOS!J406,"'")</f>
        <v>'6to'</v>
      </c>
      <c r="I403" t="str">
        <f>CONCATENATE("'",ALUMNOS!K406,"'")</f>
        <v>'Femenino'</v>
      </c>
      <c r="J403" t="str">
        <f>CONCATENATE("'",ALUMNOS!L406,"'")</f>
        <v>'Activo'</v>
      </c>
      <c r="K403" t="str">
        <f t="shared" si="25"/>
        <v>1402,'LICENCIATURA','lilian.valenciabarajas','110524','TOMAR DEL SND','VALENCIA BARAJAS LILIAN','INGENIERIA AEROESPACIAL','6to','FEMENINO','ACTIVO','',0,0,'','ALUMNO'</v>
      </c>
      <c r="L403" t="str">
        <f t="shared" si="24"/>
        <v>INSERT INTO participantes (id,nivel,correo,matricula,clave,nombre,carrera,grado,sexo,situacion,evaluados,num_evaluados,total_evaluaciones,ultimo_acceso,nivel_acceso) VALUES (1402,'LICENCIATURA','lilian.valenciabarajas','110524','TOMAR DEL SND','VALENCIA BARAJAS LILIAN','INGENIERIA AEROESPACIAL','6to','FEMENINO','ACTIVO','',0,0,'','ALUMNO');</v>
      </c>
      <c r="M403" t="str">
        <f t="shared" si="26"/>
        <v>update participantes set correo='lilian.valenciabarajas' where id=1402;</v>
      </c>
    </row>
    <row r="404" spans="1:13" x14ac:dyDescent="0.25">
      <c r="A404">
        <f t="shared" si="27"/>
        <v>1403</v>
      </c>
      <c r="B404" s="3" t="s">
        <v>2103</v>
      </c>
      <c r="C404" t="str">
        <f>CONCATENATE("'",ALUMNOS!E407,"'")</f>
        <v>'lillianrebeca.barriossandoval'</v>
      </c>
      <c r="D404" t="str">
        <f>CONCATENATE(ALUMNOS!F407,"'")</f>
        <v>'007079'</v>
      </c>
      <c r="E404" t="s">
        <v>2723</v>
      </c>
      <c r="F404" t="str">
        <f>CONCATENATE("'",ALUMNOS!H407,"'")</f>
        <v>'BARRIOS SANDOVAL LILLIAN REBECA'</v>
      </c>
      <c r="G404" t="str">
        <f>CONCATENATE("'",ALUMNOS!I407,"'")</f>
        <v>'NUTRICION Y GASTRONOMIA'</v>
      </c>
      <c r="H404" t="str">
        <f>CONCATENATE("'",ALUMNOS!J407,"'")</f>
        <v>'6to'</v>
      </c>
      <c r="I404" t="str">
        <f>CONCATENATE("'",ALUMNOS!K407,"'")</f>
        <v>'Femenino'</v>
      </c>
      <c r="J404" t="str">
        <f>CONCATENATE("'",ALUMNOS!L407,"'")</f>
        <v>'Activo'</v>
      </c>
      <c r="K404" t="str">
        <f t="shared" si="25"/>
        <v>1403,'LICENCIATURA','lillianrebeca.barriossandoval','007079','TOMAR DEL SND','BARRIOS SANDOVAL LILLIAN REBECA','NUTRICION Y GASTRONOMIA','6to','FEMENINO','ACTIVO','',0,0,'','ALUMNO'</v>
      </c>
      <c r="L404" t="str">
        <f t="shared" si="24"/>
        <v>INSERT INTO participantes (id,nivel,correo,matricula,clave,nombre,carrera,grado,sexo,situacion,evaluados,num_evaluados,total_evaluaciones,ultimo_acceso,nivel_acceso) VALUES (1403,'LICENCIATURA','lillianrebeca.barriossandoval','007079','TOMAR DEL SND','BARRIOS SANDOVAL LILLIAN REBECA','NUTRICION Y GASTRONOMIA','6to','FEMENINO','ACTIVO','',0,0,'','ALUMNO');</v>
      </c>
      <c r="M404" t="str">
        <f t="shared" si="26"/>
        <v>update participantes set correo='lillianrebeca.barriossandoval' where id=1403;</v>
      </c>
    </row>
    <row r="405" spans="1:13" x14ac:dyDescent="0.25">
      <c r="A405">
        <f t="shared" si="27"/>
        <v>1404</v>
      </c>
      <c r="B405" s="3" t="s">
        <v>2103</v>
      </c>
      <c r="C405" t="str">
        <f>CONCATENATE("'",ALUMNOS!E408,"'")</f>
        <v>'lisamarie.riosmagdaleno'</v>
      </c>
      <c r="D405" t="str">
        <f>CONCATENATE(ALUMNOS!F408,"'")</f>
        <v>'110215'</v>
      </c>
      <c r="E405" t="s">
        <v>2723</v>
      </c>
      <c r="F405" t="str">
        <f>CONCATENATE("'",ALUMNOS!H408,"'")</f>
        <v>'RIOS MAGDALENO LISA MARIE'</v>
      </c>
      <c r="G405" t="str">
        <f>CONCATENATE("'",ALUMNOS!I408,"'")</f>
        <v>'NUTRICION Y GASTRONOMIA'</v>
      </c>
      <c r="H405" t="str">
        <f>CONCATENATE("'",ALUMNOS!J408,"'")</f>
        <v>'8vo'</v>
      </c>
      <c r="I405" t="str">
        <f>CONCATENATE("'",ALUMNOS!K408,"'")</f>
        <v>'Femenino'</v>
      </c>
      <c r="J405" t="str">
        <f>CONCATENATE("'",ALUMNOS!L408,"'")</f>
        <v>'Activo'</v>
      </c>
      <c r="K405" t="str">
        <f t="shared" si="25"/>
        <v>1404,'LICENCIATURA','lisamarie.riosmagdaleno','110215','TOMAR DEL SND','RIOS MAGDALENO LISA MARIE','NUTRICION Y GASTRONOMIA','8vo','FEMENINO','ACTIVO','',0,0,'','ALUMNO'</v>
      </c>
      <c r="L405" t="str">
        <f t="shared" si="24"/>
        <v>INSERT INTO participantes (id,nivel,correo,matricula,clave,nombre,carrera,grado,sexo,situacion,evaluados,num_evaluados,total_evaluaciones,ultimo_acceso,nivel_acceso) VALUES (1404,'LICENCIATURA','lisamarie.riosmagdaleno','110215','TOMAR DEL SND','RIOS MAGDALENO LISA MARIE','NUTRICION Y GASTRONOMIA','8vo','FEMENINO','ACTIVO','',0,0,'','ALUMNO');</v>
      </c>
      <c r="M405" t="str">
        <f t="shared" si="26"/>
        <v>update participantes set correo='lisamarie.riosmagdaleno' where id=1404;</v>
      </c>
    </row>
    <row r="406" spans="1:13" x14ac:dyDescent="0.25">
      <c r="A406">
        <f t="shared" si="27"/>
        <v>1405</v>
      </c>
      <c r="B406" s="3" t="s">
        <v>2103</v>
      </c>
      <c r="C406" t="str">
        <f>CONCATENATE("'",ALUMNOS!E409,"'")</f>
        <v>'lisset.sandovalvalenzuela'</v>
      </c>
      <c r="D406" t="str">
        <f>CONCATENATE(ALUMNOS!F409,"'")</f>
        <v>'110605'</v>
      </c>
      <c r="E406" t="s">
        <v>2723</v>
      </c>
      <c r="F406" t="str">
        <f>CONCATENATE("'",ALUMNOS!H409,"'")</f>
        <v>'SANDOVAL VALENZUELA LISSET'</v>
      </c>
      <c r="G406" t="str">
        <f>CONCATENATE("'",ALUMNOS!I409,"'")</f>
        <v>'INGENIERIA AEROESPACIAL'</v>
      </c>
      <c r="H406" t="str">
        <f>CONCATENATE("'",ALUMNOS!J409,"'")</f>
        <v>'6to'</v>
      </c>
      <c r="I406" t="str">
        <f>CONCATENATE("'",ALUMNOS!K409,"'")</f>
        <v>'Femenino'</v>
      </c>
      <c r="J406" t="str">
        <f>CONCATENATE("'",ALUMNOS!L409,"'")</f>
        <v>'Activo'</v>
      </c>
      <c r="K406" t="str">
        <f t="shared" si="25"/>
        <v>1405,'LICENCIATURA','lisset.sandovalvalenzuela','110605','TOMAR DEL SND','SANDOVAL VALENZUELA LISSET','INGENIERIA AEROESPACIAL','6to','FEMENINO','ACTIVO','',0,0,'','ALUMNO'</v>
      </c>
      <c r="L406" t="str">
        <f t="shared" si="24"/>
        <v>INSERT INTO participantes (id,nivel,correo,matricula,clave,nombre,carrera,grado,sexo,situacion,evaluados,num_evaluados,total_evaluaciones,ultimo_acceso,nivel_acceso) VALUES (1405,'LICENCIATURA','lisset.sandovalvalenzuela','110605','TOMAR DEL SND','SANDOVAL VALENZUELA LISSET','INGENIERIA AEROESPACIAL','6to','FEMENINO','ACTIVO','',0,0,'','ALUMNO');</v>
      </c>
      <c r="M406" t="str">
        <f t="shared" si="26"/>
        <v>update participantes set correo='lisset.sandovalvalenzuela' where id=1405;</v>
      </c>
    </row>
    <row r="407" spans="1:13" x14ac:dyDescent="0.25">
      <c r="A407">
        <f t="shared" si="27"/>
        <v>1406</v>
      </c>
      <c r="B407" s="3" t="s">
        <v>2103</v>
      </c>
      <c r="C407" t="str">
        <f>CONCATENATE("'",ALUMNOS!E410,"'")</f>
        <v>'lorena.godoysanchez'</v>
      </c>
      <c r="D407" t="str">
        <f>CONCATENATE(ALUMNOS!F410,"'")</f>
        <v>'109973'</v>
      </c>
      <c r="E407" t="s">
        <v>2723</v>
      </c>
      <c r="F407" t="str">
        <f>CONCATENATE("'",ALUMNOS!H410,"'")</f>
        <v>'GODOY SANCHEZ LORENA'</v>
      </c>
      <c r="G407" t="str">
        <f>CONCATENATE("'",ALUMNOS!I410,"'")</f>
        <v>'MERCADOTECNIA Y PUBLICIDAD'</v>
      </c>
      <c r="H407" t="str">
        <f>CONCATENATE("'",ALUMNOS!J410,"'")</f>
        <v>'8vo'</v>
      </c>
      <c r="I407" t="str">
        <f>CONCATENATE("'",ALUMNOS!K410,"'")</f>
        <v>'Femenino'</v>
      </c>
      <c r="J407" t="str">
        <f>CONCATENATE("'",ALUMNOS!L410,"'")</f>
        <v>'Activo'</v>
      </c>
      <c r="K407" t="str">
        <f t="shared" si="25"/>
        <v>1406,'LICENCIATURA','lorena.godoysanchez','109973','TOMAR DEL SND','GODOY SANCHEZ LORENA','MERCADOTECNIA Y PUBLICIDAD','8vo','FEMENINO','ACTIVO','',0,0,'','ALUMNO'</v>
      </c>
      <c r="L407" t="str">
        <f t="shared" si="24"/>
        <v>INSERT INTO participantes (id,nivel,correo,matricula,clave,nombre,carrera,grado,sexo,situacion,evaluados,num_evaluados,total_evaluaciones,ultimo_acceso,nivel_acceso) VALUES (1406,'LICENCIATURA','lorena.godoysanchez','109973','TOMAR DEL SND','GODOY SANCHEZ LORENA','MERCADOTECNIA Y PUBLICIDAD','8vo','FEMENINO','ACTIVO','',0,0,'','ALUMNO');</v>
      </c>
      <c r="M407" t="str">
        <f t="shared" si="26"/>
        <v>update participantes set correo='lorena.godoysanchez' where id=1406;</v>
      </c>
    </row>
    <row r="408" spans="1:13" x14ac:dyDescent="0.25">
      <c r="A408">
        <f t="shared" si="27"/>
        <v>1407</v>
      </c>
      <c r="B408" s="3" t="s">
        <v>2103</v>
      </c>
      <c r="C408" t="str">
        <f>CONCATENATE("'",ALUMNOS!E411,"'")</f>
        <v>'luisalejandro.esparzasanchez'</v>
      </c>
      <c r="D408" t="str">
        <f>CONCATENATE(ALUMNOS!F411,"'")</f>
        <v>'111642'</v>
      </c>
      <c r="E408" t="s">
        <v>2723</v>
      </c>
      <c r="F408" t="str">
        <f>CONCATENATE("'",ALUMNOS!H411,"'")</f>
        <v>'ESPARZA SANCHEZ LUIS ALEJANDRO'</v>
      </c>
      <c r="G408" t="str">
        <f>CONCATENATE("'",ALUMNOS!I411,"'")</f>
        <v>'INGENIERIA AEROESPACIAL'</v>
      </c>
      <c r="H408" t="str">
        <f>CONCATENATE("'",ALUMNOS!J411,"'")</f>
        <v>'2do'</v>
      </c>
      <c r="I408" t="str">
        <f>CONCATENATE("'",ALUMNOS!K411,"'")</f>
        <v>'Masculino'</v>
      </c>
      <c r="J408" t="str">
        <f>CONCATENATE("'",ALUMNOS!L411,"'")</f>
        <v>'Activo'</v>
      </c>
      <c r="K408" t="str">
        <f t="shared" si="25"/>
        <v>1407,'LICENCIATURA','luisalejandro.esparzasanchez','111642','TOMAR DEL SND','ESPARZA SANCHEZ LUIS ALEJANDRO','INGENIERIA AEROESPACIAL','2do','MASCULINO','ACTIVO','',0,0,'','ALUMNO'</v>
      </c>
      <c r="L408" t="str">
        <f t="shared" si="24"/>
        <v>INSERT INTO participantes (id,nivel,correo,matricula,clave,nombre,carrera,grado,sexo,situacion,evaluados,num_evaluados,total_evaluaciones,ultimo_acceso,nivel_acceso) VALUES (1407,'LICENCIATURA','luisalejandro.esparzasanchez','111642','TOMAR DEL SND','ESPARZA SANCHEZ LUIS ALEJANDRO','INGENIERIA AEROESPACIAL','2do','MASCULINO','ACTIVO','',0,0,'','ALUMNO');</v>
      </c>
      <c r="M408" t="str">
        <f t="shared" si="26"/>
        <v>update participantes set correo='luisalejandro.esparzasanchez' where id=1407;</v>
      </c>
    </row>
    <row r="409" spans="1:13" x14ac:dyDescent="0.25">
      <c r="A409">
        <f t="shared" si="27"/>
        <v>1408</v>
      </c>
      <c r="B409" s="3" t="s">
        <v>2103</v>
      </c>
      <c r="C409" t="str">
        <f>CONCATENATE("'",ALUMNOS!E412,"'")</f>
        <v>'luisalonso.garciagarcia'</v>
      </c>
      <c r="D409" t="str">
        <f>CONCATENATE(ALUMNOS!F412,"'")</f>
        <v>'111817'</v>
      </c>
      <c r="E409" t="s">
        <v>2723</v>
      </c>
      <c r="F409" t="str">
        <f>CONCATENATE("'",ALUMNOS!H412,"'")</f>
        <v>'GARCIA GARCIA LUIS ALONSO'</v>
      </c>
      <c r="G409" t="str">
        <f>CONCATENATE("'",ALUMNOS!I412,"'")</f>
        <v>'ANIMACION DIGITAL Y VIDEOJUEGOS'</v>
      </c>
      <c r="H409" t="str">
        <f>CONCATENATE("'",ALUMNOS!J412,"'")</f>
        <v>'2do'</v>
      </c>
      <c r="I409" t="str">
        <f>CONCATENATE("'",ALUMNOS!K412,"'")</f>
        <v>'Masculino'</v>
      </c>
      <c r="J409" t="str">
        <f>CONCATENATE("'",ALUMNOS!L412,"'")</f>
        <v>'Activo'</v>
      </c>
      <c r="K409" t="str">
        <f t="shared" si="25"/>
        <v>1408,'LICENCIATURA','luisalonso.garciagarcia','111817','TOMAR DEL SND','GARCIA GARCIA LUIS ALONSO','ANIMACION DIGITAL Y VIDEOJUEGOS','2do','MASCULINO','ACTIVO','',0,0,'','ALUMNO'</v>
      </c>
      <c r="L409" t="str">
        <f t="shared" si="24"/>
        <v>INSERT INTO participantes (id,nivel,correo,matricula,clave,nombre,carrera,grado,sexo,situacion,evaluados,num_evaluados,total_evaluaciones,ultimo_acceso,nivel_acceso) VALUES (1408,'LICENCIATURA','luisalonso.garciagarcia','111817','TOMAR DEL SND','GARCIA GARCIA LUIS ALONSO','ANIMACION DIGITAL Y VIDEOJUEGOS','2do','MASCULINO','ACTIVO','',0,0,'','ALUMNO');</v>
      </c>
      <c r="M409" t="str">
        <f t="shared" si="26"/>
        <v>update participantes set correo='luisalonso.garciagarcia' where id=1408;</v>
      </c>
    </row>
    <row r="410" spans="1:13" x14ac:dyDescent="0.25">
      <c r="A410">
        <f t="shared" si="27"/>
        <v>1409</v>
      </c>
      <c r="B410" s="3" t="s">
        <v>2103</v>
      </c>
      <c r="C410" t="str">
        <f>CONCATENATE("'",ALUMNOS!E413,"'")</f>
        <v>'luisantonio.olmosgomez'</v>
      </c>
      <c r="D410" t="str">
        <f>CONCATENATE(ALUMNOS!F413,"'")</f>
        <v>'111665'</v>
      </c>
      <c r="E410" t="s">
        <v>2723</v>
      </c>
      <c r="F410" t="str">
        <f>CONCATENATE("'",ALUMNOS!H413,"'")</f>
        <v>'OLMOS GOMEZ LUIS ANTONIO'</v>
      </c>
      <c r="G410" t="str">
        <f>CONCATENATE("'",ALUMNOS!I413,"'")</f>
        <v>'INGENIERIA AEROESPACIAL'</v>
      </c>
      <c r="H410" t="str">
        <f>CONCATENATE("'",ALUMNOS!J413,"'")</f>
        <v>'2do'</v>
      </c>
      <c r="I410" t="str">
        <f>CONCATENATE("'",ALUMNOS!K413,"'")</f>
        <v>'Masculino'</v>
      </c>
      <c r="J410" t="str">
        <f>CONCATENATE("'",ALUMNOS!L413,"'")</f>
        <v>'Activo'</v>
      </c>
      <c r="K410" t="str">
        <f t="shared" si="25"/>
        <v>1409,'LICENCIATURA','luisantonio.olmosgomez','111665','TOMAR DEL SND','OLMOS GOMEZ LUIS ANTONIO','INGENIERIA AEROESPACIAL','2do','MASCULINO','ACTIVO','',0,0,'','ALUMNO'</v>
      </c>
      <c r="L410" t="str">
        <f t="shared" si="24"/>
        <v>INSERT INTO participantes (id,nivel,correo,matricula,clave,nombre,carrera,grado,sexo,situacion,evaluados,num_evaluados,total_evaluaciones,ultimo_acceso,nivel_acceso) VALUES (1409,'LICENCIATURA','luisantonio.olmosgomez','111665','TOMAR DEL SND','OLMOS GOMEZ LUIS ANTONIO','INGENIERIA AEROESPACIAL','2do','MASCULINO','ACTIVO','',0,0,'','ALUMNO');</v>
      </c>
      <c r="M410" t="str">
        <f t="shared" si="26"/>
        <v>update participantes set correo='luisantonio.olmosgomez' where id=1409;</v>
      </c>
    </row>
    <row r="411" spans="1:13" x14ac:dyDescent="0.25">
      <c r="A411">
        <f t="shared" si="27"/>
        <v>1410</v>
      </c>
      <c r="B411" s="3" t="s">
        <v>2103</v>
      </c>
      <c r="C411" t="str">
        <f>CONCATENATE("'",ALUMNOS!E414,"'")</f>
        <v>'luisantonio.santanaaguilar'</v>
      </c>
      <c r="D411" t="str">
        <f>CONCATENATE(ALUMNOS!F414,"'")</f>
        <v>'111112'</v>
      </c>
      <c r="E411" t="s">
        <v>2723</v>
      </c>
      <c r="F411" t="str">
        <f>CONCATENATE("'",ALUMNOS!H414,"'")</f>
        <v>'SANTANA AGUILAR LUIS ANTONIO'</v>
      </c>
      <c r="G411" t="str">
        <f>CONCATENATE("'",ALUMNOS!I414,"'")</f>
        <v>'INGENIERÍA AUTOMOTRIZ'</v>
      </c>
      <c r="H411" t="str">
        <f>CONCATENATE("'",ALUMNOS!J414,"'")</f>
        <v>'4to'</v>
      </c>
      <c r="I411" t="str">
        <f>CONCATENATE("'",ALUMNOS!K414,"'")</f>
        <v>'Masculino'</v>
      </c>
      <c r="J411" t="str">
        <f>CONCATENATE("'",ALUMNOS!L414,"'")</f>
        <v>'Activo'</v>
      </c>
      <c r="K411" t="str">
        <f t="shared" si="25"/>
        <v>1410,'LICENCIATURA','luisantonio.santanaaguilar','111112','TOMAR DEL SND','SANTANA AGUILAR LUIS ANTONIO','INGENIERÍA AUTOMOTRIZ','4to','MASCULINO','ACTIVO','',0,0,'','ALUMNO'</v>
      </c>
      <c r="L411" t="str">
        <f t="shared" si="24"/>
        <v>INSERT INTO participantes (id,nivel,correo,matricula,clave,nombre,carrera,grado,sexo,situacion,evaluados,num_evaluados,total_evaluaciones,ultimo_acceso,nivel_acceso) VALUES (1410,'LICENCIATURA','luisantonio.santanaaguilar','111112','TOMAR DEL SND','SANTANA AGUILAR LUIS ANTONIO','INGENIERÍA AUTOMOTRIZ','4to','MASCULINO','ACTIVO','',0,0,'','ALUMNO');</v>
      </c>
      <c r="M411" t="str">
        <f t="shared" si="26"/>
        <v>update participantes set correo='luisantonio.santanaaguilar' where id=1410;</v>
      </c>
    </row>
    <row r="412" spans="1:13" x14ac:dyDescent="0.25">
      <c r="A412">
        <f t="shared" si="27"/>
        <v>1411</v>
      </c>
      <c r="B412" s="3" t="s">
        <v>2103</v>
      </c>
      <c r="C412" t="str">
        <f>CONCATENATE("'",ALUMNOS!E415,"'")</f>
        <v>'luisernestojakob.salcidoguevara'</v>
      </c>
      <c r="D412" t="str">
        <f>CONCATENATE(ALUMNOS!F415,"'")</f>
        <v>'111813'</v>
      </c>
      <c r="E412" t="s">
        <v>2723</v>
      </c>
      <c r="F412" t="str">
        <f>CONCATENATE("'",ALUMNOS!H415,"'")</f>
        <v>'SALCIDO GUEVARA LUIS ERNESTO JAKOB'</v>
      </c>
      <c r="G412" t="str">
        <f>CONCATENATE("'",ALUMNOS!I415,"'")</f>
        <v>'INGENIERÍA AUTOMOTRIZ'</v>
      </c>
      <c r="H412" t="str">
        <f>CONCATENATE("'",ALUMNOS!J415,"'")</f>
        <v>'2do'</v>
      </c>
      <c r="I412" t="str">
        <f>CONCATENATE("'",ALUMNOS!K415,"'")</f>
        <v>'Masculino'</v>
      </c>
      <c r="J412" t="str">
        <f>CONCATENATE("'",ALUMNOS!L415,"'")</f>
        <v>'Activo'</v>
      </c>
      <c r="K412" t="str">
        <f t="shared" si="25"/>
        <v>1411,'LICENCIATURA','luisernestojakob.salcidoguevara','111813','TOMAR DEL SND','SALCIDO GUEVARA LUIS ERNESTO JAKOB','INGENIERÍA AUTOMOTRIZ','2do','MASCULINO','ACTIVO','',0,0,'','ALUMNO'</v>
      </c>
      <c r="L412" t="str">
        <f t="shared" si="24"/>
        <v>INSERT INTO participantes (id,nivel,correo,matricula,clave,nombre,carrera,grado,sexo,situacion,evaluados,num_evaluados,total_evaluaciones,ultimo_acceso,nivel_acceso) VALUES (1411,'LICENCIATURA','luisernestojakob.salcidoguevara','111813','TOMAR DEL SND','SALCIDO GUEVARA LUIS ERNESTO JAKOB','INGENIERÍA AUTOMOTRIZ','2do','MASCULINO','ACTIVO','',0,0,'','ALUMNO');</v>
      </c>
      <c r="M412" t="str">
        <f t="shared" si="26"/>
        <v>update participantes set correo='luisernestojakob.salcidoguevara' where id=1411;</v>
      </c>
    </row>
    <row r="413" spans="1:13" x14ac:dyDescent="0.25">
      <c r="A413">
        <f t="shared" si="27"/>
        <v>1412</v>
      </c>
      <c r="B413" s="3" t="s">
        <v>2103</v>
      </c>
      <c r="C413" t="str">
        <f>CONCATENATE("'",ALUMNOS!E416,"'")</f>
        <v>'luisfernando.lopezorozco'</v>
      </c>
      <c r="D413" t="str">
        <f>CONCATENATE(ALUMNOS!F416,"'")</f>
        <v>'111157'</v>
      </c>
      <c r="E413" t="s">
        <v>2723</v>
      </c>
      <c r="F413" t="str">
        <f>CONCATENATE("'",ALUMNOS!H416,"'")</f>
        <v>'LOPEZ OROZCO LUIS FERNANDO'</v>
      </c>
      <c r="G413" t="str">
        <f>CONCATENATE("'",ALUMNOS!I416,"'")</f>
        <v>'ADMINISTRACION Y DIRECCION DE NEGOCIOS'</v>
      </c>
      <c r="H413" t="str">
        <f>CONCATENATE("'",ALUMNOS!J416,"'")</f>
        <v>'4to'</v>
      </c>
      <c r="I413" t="str">
        <f>CONCATENATE("'",ALUMNOS!K416,"'")</f>
        <v>'Masculino'</v>
      </c>
      <c r="J413" t="str">
        <f>CONCATENATE("'",ALUMNOS!L416,"'")</f>
        <v>'Activo'</v>
      </c>
      <c r="K413" t="str">
        <f t="shared" si="25"/>
        <v>1412,'LICENCIATURA','luisfernando.lopezorozco','111157','TOMAR DEL SND','LOPEZ OROZCO LUIS FERNANDO','ADMINISTRACION Y DIRECCION DE NEGOCIOS','4to','MASCULINO','ACTIVO','',0,0,'','ALUMNO'</v>
      </c>
      <c r="L413" t="str">
        <f t="shared" si="24"/>
        <v>INSERT INTO participantes (id,nivel,correo,matricula,clave,nombre,carrera,grado,sexo,situacion,evaluados,num_evaluados,total_evaluaciones,ultimo_acceso,nivel_acceso) VALUES (1412,'LICENCIATURA','luisfernando.lopezorozco','111157','TOMAR DEL SND','LOPEZ OROZCO LUIS FERNANDO','ADMINISTRACION Y DIRECCION DE NEGOCIOS','4to','MASCULINO','ACTIVO','',0,0,'','ALUMNO');</v>
      </c>
      <c r="M413" t="str">
        <f t="shared" si="26"/>
        <v>update participantes set correo='luisfernando.lopezorozco' where id=1412;</v>
      </c>
    </row>
    <row r="414" spans="1:13" x14ac:dyDescent="0.25">
      <c r="A414">
        <f t="shared" si="27"/>
        <v>1413</v>
      </c>
      <c r="B414" s="3" t="s">
        <v>2103</v>
      </c>
      <c r="C414" t="str">
        <f>CONCATENATE("'",ALUMNOS!E417,"'")</f>
        <v>'luisfernando.moradeltoro'</v>
      </c>
      <c r="D414" t="str">
        <f>CONCATENATE(ALUMNOS!F417,"'")</f>
        <v>'110434'</v>
      </c>
      <c r="E414" t="s">
        <v>2723</v>
      </c>
      <c r="F414" t="str">
        <f>CONCATENATE("'",ALUMNOS!H417,"'")</f>
        <v>'MORA DEL TORO LUIS FERNANDO'</v>
      </c>
      <c r="G414" t="str">
        <f>CONCATENATE("'",ALUMNOS!I417,"'")</f>
        <v>'COMERCIO INTERNACIONAL'</v>
      </c>
      <c r="H414" t="str">
        <f>CONCATENATE("'",ALUMNOS!J417,"'")</f>
        <v>'6to'</v>
      </c>
      <c r="I414" t="str">
        <f>CONCATENATE("'",ALUMNOS!K417,"'")</f>
        <v>'Masculino'</v>
      </c>
      <c r="J414" t="str">
        <f>CONCATENATE("'",ALUMNOS!L417,"'")</f>
        <v>'Activo'</v>
      </c>
      <c r="K414" t="str">
        <f t="shared" si="25"/>
        <v>1413,'LICENCIATURA','luisfernando.moradeltoro','110434','TOMAR DEL SND','MORA DEL TORO LUIS FERNANDO','COMERCIO INTERNACIONAL','6to','MASCULINO','ACTIVO','',0,0,'','ALUMNO'</v>
      </c>
      <c r="L414" t="str">
        <f t="shared" si="24"/>
        <v>INSERT INTO participantes (id,nivel,correo,matricula,clave,nombre,carrera,grado,sexo,situacion,evaluados,num_evaluados,total_evaluaciones,ultimo_acceso,nivel_acceso) VALUES (1413,'LICENCIATURA','luisfernando.moradeltoro','110434','TOMAR DEL SND','MORA DEL TORO LUIS FERNANDO','COMERCIO INTERNACIONAL','6to','MASCULINO','ACTIVO','',0,0,'','ALUMNO');</v>
      </c>
      <c r="M414" t="str">
        <f t="shared" si="26"/>
        <v>update participantes set correo='luisfernando.moradeltoro' where id=1413;</v>
      </c>
    </row>
    <row r="415" spans="1:13" x14ac:dyDescent="0.25">
      <c r="A415">
        <f t="shared" si="27"/>
        <v>1414</v>
      </c>
      <c r="B415" s="3" t="s">
        <v>2103</v>
      </c>
      <c r="C415" t="str">
        <f>CONCATENATE("'",ALUMNOS!E418,"'")</f>
        <v>'luisfernando.ochoafonseca'</v>
      </c>
      <c r="D415" t="str">
        <f>CONCATENATE(ALUMNOS!F418,"'")</f>
        <v>'007359'</v>
      </c>
      <c r="E415" t="s">
        <v>2723</v>
      </c>
      <c r="F415" t="str">
        <f>CONCATENATE("'",ALUMNOS!H418,"'")</f>
        <v>'OCHOA FONSECA LUIS FERNANDO'</v>
      </c>
      <c r="G415" t="str">
        <f>CONCATENATE("'",ALUMNOS!I418,"'")</f>
        <v>'ADMINISTRACION Y DIRECCION DE NEGOCIOS'</v>
      </c>
      <c r="H415" t="str">
        <f>CONCATENATE("'",ALUMNOS!J418,"'")</f>
        <v>'4to'</v>
      </c>
      <c r="I415" t="str">
        <f>CONCATENATE("'",ALUMNOS!K418,"'")</f>
        <v>'Masculino'</v>
      </c>
      <c r="J415" t="str">
        <f>CONCATENATE("'",ALUMNOS!L418,"'")</f>
        <v>'Activo'</v>
      </c>
      <c r="K415" t="str">
        <f t="shared" si="25"/>
        <v>1414,'LICENCIATURA','luisfernando.ochoafonseca','007359','TOMAR DEL SND','OCHOA FONSECA LUIS FERNANDO','ADMINISTRACION Y DIRECCION DE NEGOCIOS','4to','MASCULINO','ACTIVO','',0,0,'','ALUMNO'</v>
      </c>
      <c r="L415" t="str">
        <f t="shared" si="24"/>
        <v>INSERT INTO participantes (id,nivel,correo,matricula,clave,nombre,carrera,grado,sexo,situacion,evaluados,num_evaluados,total_evaluaciones,ultimo_acceso,nivel_acceso) VALUES (1414,'LICENCIATURA','luisfernando.ochoafonseca','007359','TOMAR DEL SND','OCHOA FONSECA LUIS FERNANDO','ADMINISTRACION Y DIRECCION DE NEGOCIOS','4to','MASCULINO','ACTIVO','',0,0,'','ALUMNO');</v>
      </c>
      <c r="M415" t="str">
        <f t="shared" si="26"/>
        <v>update participantes set correo='luisfernando.ochoafonseca' where id=1414;</v>
      </c>
    </row>
    <row r="416" spans="1:13" x14ac:dyDescent="0.25">
      <c r="A416">
        <f t="shared" si="27"/>
        <v>1415</v>
      </c>
      <c r="B416" s="3" t="s">
        <v>2103</v>
      </c>
      <c r="C416" t="str">
        <f>CONCATENATE("'",ALUMNOS!E419,"'")</f>
        <v>'luisfernando.perezenciso'</v>
      </c>
      <c r="D416" t="str">
        <f>CONCATENATE(ALUMNOS!F419,"'")</f>
        <v>'111838'</v>
      </c>
      <c r="E416" t="s">
        <v>2723</v>
      </c>
      <c r="F416" t="str">
        <f>CONCATENATE("'",ALUMNOS!H419,"'")</f>
        <v>'PEREZ ENCISO LUIS FERNANDO'</v>
      </c>
      <c r="G416" t="str">
        <f>CONCATENATE("'",ALUMNOS!I419,"'")</f>
        <v>'ARQUITECTURA'</v>
      </c>
      <c r="H416" t="str">
        <f>CONCATENATE("'",ALUMNOS!J419,"'")</f>
        <v>'2do'</v>
      </c>
      <c r="I416" t="str">
        <f>CONCATENATE("'",ALUMNOS!K419,"'")</f>
        <v>'Masculino'</v>
      </c>
      <c r="J416" t="str">
        <f>CONCATENATE("'",ALUMNOS!L419,"'")</f>
        <v>'Activo'</v>
      </c>
      <c r="K416" t="str">
        <f t="shared" si="25"/>
        <v>1415,'LICENCIATURA','luisfernando.perezenciso','111838','TOMAR DEL SND','PEREZ ENCISO LUIS FERNANDO','ARQUITECTURA','2do','MASCULINO','ACTIVO','',0,0,'','ALUMNO'</v>
      </c>
      <c r="L416" t="str">
        <f t="shared" si="24"/>
        <v>INSERT INTO participantes (id,nivel,correo,matricula,clave,nombre,carrera,grado,sexo,situacion,evaluados,num_evaluados,total_evaluaciones,ultimo_acceso,nivel_acceso) VALUES (1415,'LICENCIATURA','luisfernando.perezenciso','111838','TOMAR DEL SND','PEREZ ENCISO LUIS FERNANDO','ARQUITECTURA','2do','MASCULINO','ACTIVO','',0,0,'','ALUMNO');</v>
      </c>
      <c r="M416" t="str">
        <f t="shared" si="26"/>
        <v>update participantes set correo='luisfernando.perezenciso' where id=1415;</v>
      </c>
    </row>
    <row r="417" spans="1:13" x14ac:dyDescent="0.25">
      <c r="A417">
        <f t="shared" si="27"/>
        <v>1416</v>
      </c>
      <c r="B417" s="3" t="s">
        <v>2103</v>
      </c>
      <c r="C417" t="str">
        <f>CONCATENATE("'",ALUMNOS!E420,"'")</f>
        <v>'luisfernando.salazartorres'</v>
      </c>
      <c r="D417" t="str">
        <f>CONCATENATE(ALUMNOS!F420,"'")</f>
        <v>'111076'</v>
      </c>
      <c r="E417" t="s">
        <v>2723</v>
      </c>
      <c r="F417" t="str">
        <f>CONCATENATE("'",ALUMNOS!H420,"'")</f>
        <v>'SALAZAR TORRES LUIS FERNANDO'</v>
      </c>
      <c r="G417" t="str">
        <f>CONCATENATE("'",ALUMNOS!I420,"'")</f>
        <v>'INGENIERÍA EN INTELIGENCIA ARTIFICIAL'</v>
      </c>
      <c r="H417" t="str">
        <f>CONCATENATE("'",ALUMNOS!J420,"'")</f>
        <v>'4to'</v>
      </c>
      <c r="I417" t="str">
        <f>CONCATENATE("'",ALUMNOS!K420,"'")</f>
        <v>'Masculino'</v>
      </c>
      <c r="J417" t="str">
        <f>CONCATENATE("'",ALUMNOS!L420,"'")</f>
        <v>'Activo'</v>
      </c>
      <c r="K417" t="str">
        <f t="shared" si="25"/>
        <v>1416,'LICENCIATURA','luisfernando.salazartorres','111076','TOMAR DEL SND','SALAZAR TORRES LUIS FERNANDO','INGENIERÍA EN INTELIGENCIA ARTIFICIAL','4to','MASCULINO','ACTIVO','',0,0,'','ALUMNO'</v>
      </c>
      <c r="L417" t="str">
        <f t="shared" si="24"/>
        <v>INSERT INTO participantes (id,nivel,correo,matricula,clave,nombre,carrera,grado,sexo,situacion,evaluados,num_evaluados,total_evaluaciones,ultimo_acceso,nivel_acceso) VALUES (1416,'LICENCIATURA','luisfernando.salazartorres','111076','TOMAR DEL SND','SALAZAR TORRES LUIS FERNANDO','INGENIERÍA EN INTELIGENCIA ARTIFICIAL','4to','MASCULINO','ACTIVO','',0,0,'','ALUMNO');</v>
      </c>
      <c r="M417" t="str">
        <f t="shared" si="26"/>
        <v>update participantes set correo='luisfernando.salazartorres' where id=1416;</v>
      </c>
    </row>
    <row r="418" spans="1:13" x14ac:dyDescent="0.25">
      <c r="A418">
        <f t="shared" si="27"/>
        <v>1417</v>
      </c>
      <c r="B418" s="3" t="s">
        <v>2103</v>
      </c>
      <c r="C418" t="str">
        <f>CONCATENATE("'",ALUMNOS!E421,"'")</f>
        <v>'luisguillermo.arroyoceja'</v>
      </c>
      <c r="D418" t="str">
        <f>CONCATENATE(ALUMNOS!F421,"'")</f>
        <v>'006891'</v>
      </c>
      <c r="E418" t="s">
        <v>2723</v>
      </c>
      <c r="F418" t="str">
        <f>CONCATENATE("'",ALUMNOS!H421,"'")</f>
        <v>'ARROYO CEJA LUIS GUILLERMO'</v>
      </c>
      <c r="G418" t="str">
        <f>CONCATENATE("'",ALUMNOS!I421,"'")</f>
        <v>'ARQUITECTURA'</v>
      </c>
      <c r="H418" t="str">
        <f>CONCATENATE("'",ALUMNOS!J421,"'")</f>
        <v>'8vo'</v>
      </c>
      <c r="I418" t="str">
        <f>CONCATENATE("'",ALUMNOS!K421,"'")</f>
        <v>'Masculino'</v>
      </c>
      <c r="J418" t="str">
        <f>CONCATENATE("'",ALUMNOS!L421,"'")</f>
        <v>'Activo'</v>
      </c>
      <c r="K418" t="str">
        <f t="shared" si="25"/>
        <v>1417,'LICENCIATURA','luisguillermo.arroyoceja','006891','TOMAR DEL SND','ARROYO CEJA LUIS GUILLERMO','ARQUITECTURA','8vo','MASCULINO','ACTIVO','',0,0,'','ALUMNO'</v>
      </c>
      <c r="L418" t="str">
        <f t="shared" si="24"/>
        <v>INSERT INTO participantes (id,nivel,correo,matricula,clave,nombre,carrera,grado,sexo,situacion,evaluados,num_evaluados,total_evaluaciones,ultimo_acceso,nivel_acceso) VALUES (1417,'LICENCIATURA','luisguillermo.arroyoceja','006891','TOMAR DEL SND','ARROYO CEJA LUIS GUILLERMO','ARQUITECTURA','8vo','MASCULINO','ACTIVO','',0,0,'','ALUMNO');</v>
      </c>
      <c r="M418" t="str">
        <f t="shared" si="26"/>
        <v>update participantes set correo='luisguillermo.arroyoceja' where id=1417;</v>
      </c>
    </row>
    <row r="419" spans="1:13" x14ac:dyDescent="0.25">
      <c r="A419">
        <f t="shared" si="27"/>
        <v>1418</v>
      </c>
      <c r="B419" s="3" t="s">
        <v>2103</v>
      </c>
      <c r="C419" t="str">
        <f>CONCATENATE("'",ALUMNOS!E422,"'")</f>
        <v>'luisguillermo.lamasrivas'</v>
      </c>
      <c r="D419" t="str">
        <f>CONCATENATE(ALUMNOS!F422,"'")</f>
        <v>'108384'</v>
      </c>
      <c r="E419" t="s">
        <v>2723</v>
      </c>
      <c r="F419" t="str">
        <f>CONCATENATE("'",ALUMNOS!H422,"'")</f>
        <v>'LAMAS RIVAS LUIS GUILLERMO'</v>
      </c>
      <c r="G419" t="str">
        <f>CONCATENATE("'",ALUMNOS!I422,"'")</f>
        <v>'INGENIERIA AEROESPACIAL'</v>
      </c>
      <c r="H419" t="str">
        <f>CONCATENATE("'",ALUMNOS!J422,"'")</f>
        <v>'5to'</v>
      </c>
      <c r="I419" t="str">
        <f>CONCATENATE("'",ALUMNOS!K422,"'")</f>
        <v>'Masculino'</v>
      </c>
      <c r="J419" t="str">
        <f>CONCATENATE("'",ALUMNOS!L422,"'")</f>
        <v>'Activo'</v>
      </c>
      <c r="K419" t="str">
        <f t="shared" si="25"/>
        <v>1418,'LICENCIATURA','luisguillermo.lamasrivas','108384','TOMAR DEL SND','LAMAS RIVAS LUIS GUILLERMO','INGENIERIA AEROESPACIAL','5to','MASCULINO','ACTIVO','',0,0,'','ALUMNO'</v>
      </c>
      <c r="L419" t="str">
        <f t="shared" si="24"/>
        <v>INSERT INTO participantes (id,nivel,correo,matricula,clave,nombre,carrera,grado,sexo,situacion,evaluados,num_evaluados,total_evaluaciones,ultimo_acceso,nivel_acceso) VALUES (1418,'LICENCIATURA','luisguillermo.lamasrivas','108384','TOMAR DEL SND','LAMAS RIVAS LUIS GUILLERMO','INGENIERIA AEROESPACIAL','5to','MASCULINO','ACTIVO','',0,0,'','ALUMNO');</v>
      </c>
      <c r="M419" t="str">
        <f t="shared" si="26"/>
        <v>update participantes set correo='luisguillermo.lamasrivas' where id=1418;</v>
      </c>
    </row>
    <row r="420" spans="1:13" x14ac:dyDescent="0.25">
      <c r="A420">
        <f t="shared" si="27"/>
        <v>1419</v>
      </c>
      <c r="B420" s="3" t="s">
        <v>2103</v>
      </c>
      <c r="C420" t="str">
        <f>CONCATENATE("'",ALUMNOS!E423,"'")</f>
        <v>'luisjavier.almontemejia'</v>
      </c>
      <c r="D420" t="str">
        <f>CONCATENATE(ALUMNOS!F423,"'")</f>
        <v>'110433'</v>
      </c>
      <c r="E420" t="s">
        <v>2723</v>
      </c>
      <c r="F420" t="str">
        <f>CONCATENATE("'",ALUMNOS!H423,"'")</f>
        <v>'ALMONTE MEJIA LUIS JAVIER'</v>
      </c>
      <c r="G420" t="str">
        <f>CONCATENATE("'",ALUMNOS!I423,"'")</f>
        <v>'COMERCIO INTERNACIONAL'</v>
      </c>
      <c r="H420" t="str">
        <f>CONCATENATE("'",ALUMNOS!J423,"'")</f>
        <v>'6to'</v>
      </c>
      <c r="I420" t="str">
        <f>CONCATENATE("'",ALUMNOS!K423,"'")</f>
        <v>'Masculino'</v>
      </c>
      <c r="J420" t="str">
        <f>CONCATENATE("'",ALUMNOS!L423,"'")</f>
        <v>'Activo'</v>
      </c>
      <c r="K420" t="str">
        <f t="shared" si="25"/>
        <v>1419,'LICENCIATURA','luisjavier.almontemejia','110433','TOMAR DEL SND','ALMONTE MEJIA LUIS JAVIER','COMERCIO INTERNACIONAL','6to','MASCULINO','ACTIVO','',0,0,'','ALUMNO'</v>
      </c>
      <c r="L420" t="str">
        <f t="shared" si="24"/>
        <v>INSERT INTO participantes (id,nivel,correo,matricula,clave,nombre,carrera,grado,sexo,situacion,evaluados,num_evaluados,total_evaluaciones,ultimo_acceso,nivel_acceso) VALUES (1419,'LICENCIATURA','luisjavier.almontemejia','110433','TOMAR DEL SND','ALMONTE MEJIA LUIS JAVIER','COMERCIO INTERNACIONAL','6to','MASCULINO','ACTIVO','',0,0,'','ALUMNO');</v>
      </c>
      <c r="M420" t="str">
        <f t="shared" si="26"/>
        <v>update participantes set correo='luisjavier.almontemejia' where id=1419;</v>
      </c>
    </row>
    <row r="421" spans="1:13" x14ac:dyDescent="0.25">
      <c r="A421">
        <f t="shared" si="27"/>
        <v>1420</v>
      </c>
      <c r="B421" s="3" t="s">
        <v>2103</v>
      </c>
      <c r="C421" t="str">
        <f>CONCATENATE("'",ALUMNOS!E424,"'")</f>
        <v>'luismanuel.davalosrodriguez'</v>
      </c>
      <c r="D421" t="str">
        <f>CONCATENATE(ALUMNOS!F424,"'")</f>
        <v>'110471'</v>
      </c>
      <c r="E421" t="s">
        <v>2723</v>
      </c>
      <c r="F421" t="str">
        <f>CONCATENATE("'",ALUMNOS!H424,"'")</f>
        <v>'DAVALOS RODRIGUEZ LUIS MANUEL'</v>
      </c>
      <c r="G421" t="str">
        <f>CONCATENATE("'",ALUMNOS!I424,"'")</f>
        <v>'INGENIERIA AEROESPACIAL'</v>
      </c>
      <c r="H421" t="str">
        <f>CONCATENATE("'",ALUMNOS!J424,"'")</f>
        <v>'6to'</v>
      </c>
      <c r="I421" t="str">
        <f>CONCATENATE("'",ALUMNOS!K424,"'")</f>
        <v>'Masculino'</v>
      </c>
      <c r="J421" t="str">
        <f>CONCATENATE("'",ALUMNOS!L424,"'")</f>
        <v>'Activo'</v>
      </c>
      <c r="K421" t="str">
        <f t="shared" si="25"/>
        <v>1420,'LICENCIATURA','luismanuel.davalosrodriguez','110471','TOMAR DEL SND','DAVALOS RODRIGUEZ LUIS MANUEL','INGENIERIA AEROESPACIAL','6to','MASCULINO','ACTIVO','',0,0,'','ALUMNO'</v>
      </c>
      <c r="L421" t="str">
        <f t="shared" si="24"/>
        <v>INSERT INTO participantes (id,nivel,correo,matricula,clave,nombre,carrera,grado,sexo,situacion,evaluados,num_evaluados,total_evaluaciones,ultimo_acceso,nivel_acceso) VALUES (1420,'LICENCIATURA','luismanuel.davalosrodriguez','110471','TOMAR DEL SND','DAVALOS RODRIGUEZ LUIS MANUEL','INGENIERIA AEROESPACIAL','6to','MASCULINO','ACTIVO','',0,0,'','ALUMNO');</v>
      </c>
      <c r="M421" t="str">
        <f t="shared" si="26"/>
        <v>update participantes set correo='luismanuel.davalosrodriguez' where id=1420;</v>
      </c>
    </row>
    <row r="422" spans="1:13" x14ac:dyDescent="0.25">
      <c r="A422">
        <f t="shared" si="27"/>
        <v>1421</v>
      </c>
      <c r="B422" s="3" t="s">
        <v>2103</v>
      </c>
      <c r="C422" t="str">
        <f>CONCATENATE("'",ALUMNOS!E425,"'")</f>
        <v>'luisrodrigo.rosashernandez'</v>
      </c>
      <c r="D422" t="str">
        <f>CONCATENATE(ALUMNOS!F425,"'")</f>
        <v>'111780'</v>
      </c>
      <c r="E422" t="s">
        <v>2723</v>
      </c>
      <c r="F422" t="str">
        <f>CONCATENATE("'",ALUMNOS!H425,"'")</f>
        <v>'ROSAS HERNANDEZ LUIS RODRIGO'</v>
      </c>
      <c r="G422" t="str">
        <f>CONCATENATE("'",ALUMNOS!I425,"'")</f>
        <v>'INGENIERÍA AUTOMOTRIZ'</v>
      </c>
      <c r="H422" t="str">
        <f>CONCATENATE("'",ALUMNOS!J425,"'")</f>
        <v>'2do'</v>
      </c>
      <c r="I422" t="str">
        <f>CONCATENATE("'",ALUMNOS!K425,"'")</f>
        <v>'Masculino'</v>
      </c>
      <c r="J422" t="str">
        <f>CONCATENATE("'",ALUMNOS!L425,"'")</f>
        <v>'Activo'</v>
      </c>
      <c r="K422" t="str">
        <f t="shared" si="25"/>
        <v>1421,'LICENCIATURA','luisrodrigo.rosashernandez','111780','TOMAR DEL SND','ROSAS HERNANDEZ LUIS RODRIGO','INGENIERÍA AUTOMOTRIZ','2do','MASCULINO','ACTIVO','',0,0,'','ALUMNO'</v>
      </c>
      <c r="L422" t="str">
        <f t="shared" si="24"/>
        <v>INSERT INTO participantes (id,nivel,correo,matricula,clave,nombre,carrera,grado,sexo,situacion,evaluados,num_evaluados,total_evaluaciones,ultimo_acceso,nivel_acceso) VALUES (1421,'LICENCIATURA','luisrodrigo.rosashernandez','111780','TOMAR DEL SND','ROSAS HERNANDEZ LUIS RODRIGO','INGENIERÍA AUTOMOTRIZ','2do','MASCULINO','ACTIVO','',0,0,'','ALUMNO');</v>
      </c>
      <c r="M422" t="str">
        <f t="shared" si="26"/>
        <v>update participantes set correo='luisrodrigo.rosashernandez' where id=1421;</v>
      </c>
    </row>
    <row r="423" spans="1:13" x14ac:dyDescent="0.25">
      <c r="A423">
        <f t="shared" si="27"/>
        <v>1422</v>
      </c>
      <c r="B423" s="3" t="s">
        <v>2103</v>
      </c>
      <c r="C423" t="str">
        <f>CONCATENATE("'",ALUMNOS!E426,"'")</f>
        <v>'luisronaldo.silvatorres'</v>
      </c>
      <c r="D423" t="str">
        <f>CONCATENATE(ALUMNOS!F426,"'")</f>
        <v>'110493'</v>
      </c>
      <c r="E423" t="s">
        <v>2723</v>
      </c>
      <c r="F423" t="str">
        <f>CONCATENATE("'",ALUMNOS!H426,"'")</f>
        <v>'SILVA TORRES LUIS RONALDO'</v>
      </c>
      <c r="G423" t="str">
        <f>CONCATENATE("'",ALUMNOS!I426,"'")</f>
        <v>'DERECHO'</v>
      </c>
      <c r="H423" t="str">
        <f>CONCATENATE("'",ALUMNOS!J426,"'")</f>
        <v>'6to'</v>
      </c>
      <c r="I423" t="str">
        <f>CONCATENATE("'",ALUMNOS!K426,"'")</f>
        <v>'Masculino'</v>
      </c>
      <c r="J423" t="str">
        <f>CONCATENATE("'",ALUMNOS!L426,"'")</f>
        <v>'Activo'</v>
      </c>
      <c r="K423" t="str">
        <f t="shared" si="25"/>
        <v>1422,'LICENCIATURA','luisronaldo.silvatorres','110493','TOMAR DEL SND','SILVA TORRES LUIS RONALDO','DERECHO','6to','MASCULINO','ACTIVO','',0,0,'','ALUMNO'</v>
      </c>
      <c r="L423" t="str">
        <f t="shared" si="24"/>
        <v>INSERT INTO participantes (id,nivel,correo,matricula,clave,nombre,carrera,grado,sexo,situacion,evaluados,num_evaluados,total_evaluaciones,ultimo_acceso,nivel_acceso) VALUES (1422,'LICENCIATURA','luisronaldo.silvatorres','110493','TOMAR DEL SND','SILVA TORRES LUIS RONALDO','DERECHO','6to','MASCULINO','ACTIVO','',0,0,'','ALUMNO');</v>
      </c>
      <c r="M423" t="str">
        <f t="shared" si="26"/>
        <v>update participantes set correo='luisronaldo.silvatorres' where id=1422;</v>
      </c>
    </row>
    <row r="424" spans="1:13" x14ac:dyDescent="0.25">
      <c r="A424">
        <f t="shared" si="27"/>
        <v>1423</v>
      </c>
      <c r="B424" s="3" t="s">
        <v>2103</v>
      </c>
      <c r="C424" t="str">
        <f>CONCATENATE("'",ALUMNOS!E427,"'")</f>
        <v>'luissergio.rojogaxiola'</v>
      </c>
      <c r="D424" t="str">
        <f>CONCATENATE(ALUMNOS!F427,"'")</f>
        <v>'007026'</v>
      </c>
      <c r="E424" t="s">
        <v>2723</v>
      </c>
      <c r="F424" t="str">
        <f>CONCATENATE("'",ALUMNOS!H427,"'")</f>
        <v>'ROJO GAXIOLA LUIS SERGIO'</v>
      </c>
      <c r="G424" t="str">
        <f>CONCATENATE("'",ALUMNOS!I427,"'")</f>
        <v>'ANIMACION DIGITAL Y VIDEOJUEGOS'</v>
      </c>
      <c r="H424" t="str">
        <f>CONCATENATE("'",ALUMNOS!J427,"'")</f>
        <v>'6to'</v>
      </c>
      <c r="I424" t="str">
        <f>CONCATENATE("'",ALUMNOS!K427,"'")</f>
        <v>'Masculino'</v>
      </c>
      <c r="J424" t="str">
        <f>CONCATENATE("'",ALUMNOS!L427,"'")</f>
        <v>'Activo'</v>
      </c>
      <c r="K424" t="str">
        <f t="shared" si="25"/>
        <v>1423,'LICENCIATURA','luissergio.rojogaxiola','007026','TOMAR DEL SND','ROJO GAXIOLA LUIS SERGIO','ANIMACION DIGITAL Y VIDEOJUEGOS','6to','MASCULINO','ACTIVO','',0,0,'','ALUMNO'</v>
      </c>
      <c r="L424" t="str">
        <f t="shared" si="24"/>
        <v>INSERT INTO participantes (id,nivel,correo,matricula,clave,nombre,carrera,grado,sexo,situacion,evaluados,num_evaluados,total_evaluaciones,ultimo_acceso,nivel_acceso) VALUES (1423,'LICENCIATURA','luissergio.rojogaxiola','007026','TOMAR DEL SND','ROJO GAXIOLA LUIS SERGIO','ANIMACION DIGITAL Y VIDEOJUEGOS','6to','MASCULINO','ACTIVO','',0,0,'','ALUMNO');</v>
      </c>
      <c r="M424" t="str">
        <f t="shared" si="26"/>
        <v>update participantes set correo='luissergio.rojogaxiola' where id=1423;</v>
      </c>
    </row>
    <row r="425" spans="1:13" x14ac:dyDescent="0.25">
      <c r="A425">
        <f t="shared" si="27"/>
        <v>1424</v>
      </c>
      <c r="B425" s="3" t="s">
        <v>2103</v>
      </c>
      <c r="C425" t="str">
        <f>CONCATENATE("'",ALUMNOS!E428,"'")</f>
        <v>'lunadalai.lozanodelao'</v>
      </c>
      <c r="D425" t="str">
        <f>CONCATENATE(ALUMNOS!F428,"'")</f>
        <v>'110623'</v>
      </c>
      <c r="E425" t="s">
        <v>2723</v>
      </c>
      <c r="F425" t="str">
        <f>CONCATENATE("'",ALUMNOS!H428,"'")</f>
        <v>'LOZANO DE LA O LUNA DALAI'</v>
      </c>
      <c r="G425" t="str">
        <f>CONCATENATE("'",ALUMNOS!I428,"'")</f>
        <v>'NUTRICION Y GASTRONOMIA'</v>
      </c>
      <c r="H425" t="str">
        <f>CONCATENATE("'",ALUMNOS!J428,"'")</f>
        <v>'6to'</v>
      </c>
      <c r="I425" t="str">
        <f>CONCATENATE("'",ALUMNOS!K428,"'")</f>
        <v>'Femenino'</v>
      </c>
      <c r="J425" t="str">
        <f>CONCATENATE("'",ALUMNOS!L428,"'")</f>
        <v>'Activo'</v>
      </c>
      <c r="K425" t="str">
        <f t="shared" si="25"/>
        <v>1424,'LICENCIATURA','lunadalai.lozanodelao','110623','TOMAR DEL SND','LOZANO DE LA O LUNA DALAI','NUTRICION Y GASTRONOMIA','6to','FEMENINO','ACTIVO','',0,0,'','ALUMNO'</v>
      </c>
      <c r="L425" t="str">
        <f t="shared" si="24"/>
        <v>INSERT INTO participantes (id,nivel,correo,matricula,clave,nombre,carrera,grado,sexo,situacion,evaluados,num_evaluados,total_evaluaciones,ultimo_acceso,nivel_acceso) VALUES (1424,'LICENCIATURA','lunadalai.lozanodelao','110623','TOMAR DEL SND','LOZANO DE LA O LUNA DALAI','NUTRICION Y GASTRONOMIA','6to','FEMENINO','ACTIVO','',0,0,'','ALUMNO');</v>
      </c>
      <c r="M425" t="str">
        <f t="shared" si="26"/>
        <v>update participantes set correo='lunadalai.lozanodelao' where id=1424;</v>
      </c>
    </row>
    <row r="426" spans="1:13" x14ac:dyDescent="0.25">
      <c r="A426">
        <f t="shared" si="27"/>
        <v>1425</v>
      </c>
      <c r="B426" s="3" t="s">
        <v>2103</v>
      </c>
      <c r="C426" t="str">
        <f>CONCATENATE("'",ALUMNOS!E429,"'")</f>
        <v>'luniamargarita.amaroriveron'</v>
      </c>
      <c r="D426" t="str">
        <f>CONCATENATE(ALUMNOS!F429,"'")</f>
        <v>'110554'</v>
      </c>
      <c r="E426" t="s">
        <v>2723</v>
      </c>
      <c r="F426" t="str">
        <f>CONCATENATE("'",ALUMNOS!H429,"'")</f>
        <v>'AMARO RIVERON LUNIA MARGARITA'</v>
      </c>
      <c r="G426" t="str">
        <f>CONCATENATE("'",ALUMNOS!I429,"'")</f>
        <v>'ANIMACION DIGITAL Y VIDEOJUEGOS'</v>
      </c>
      <c r="H426" t="str">
        <f>CONCATENATE("'",ALUMNOS!J429,"'")</f>
        <v>'6to'</v>
      </c>
      <c r="I426" t="str">
        <f>CONCATENATE("'",ALUMNOS!K429,"'")</f>
        <v>'Femenino'</v>
      </c>
      <c r="J426" t="str">
        <f>CONCATENATE("'",ALUMNOS!L429,"'")</f>
        <v>'Activo'</v>
      </c>
      <c r="K426" t="str">
        <f t="shared" si="25"/>
        <v>1425,'LICENCIATURA','luniamargarita.amaroriveron','110554','TOMAR DEL SND','AMARO RIVERON LUNIA MARGARITA','ANIMACION DIGITAL Y VIDEOJUEGOS','6to','FEMENINO','ACTIVO','',0,0,'','ALUMNO'</v>
      </c>
      <c r="L426" t="str">
        <f t="shared" si="24"/>
        <v>INSERT INTO participantes (id,nivel,correo,matricula,clave,nombre,carrera,grado,sexo,situacion,evaluados,num_evaluados,total_evaluaciones,ultimo_acceso,nivel_acceso) VALUES (1425,'LICENCIATURA','luniamargarita.amaroriveron','110554','TOMAR DEL SND','AMARO RIVERON LUNIA MARGARITA','ANIMACION DIGITAL Y VIDEOJUEGOS','6to','FEMENINO','ACTIVO','',0,0,'','ALUMNO');</v>
      </c>
      <c r="M426" t="str">
        <f t="shared" si="26"/>
        <v>update participantes set correo='luniamargarita.amaroriveron' where id=1425;</v>
      </c>
    </row>
    <row r="427" spans="1:13" x14ac:dyDescent="0.25">
      <c r="A427">
        <f t="shared" si="27"/>
        <v>1426</v>
      </c>
      <c r="B427" s="3" t="s">
        <v>2103</v>
      </c>
      <c r="C427" t="str">
        <f>CONCATENATE("'",ALUMNOS!E430,"'")</f>
        <v>'luzangelicanaomi.gomezosorio'</v>
      </c>
      <c r="D427" t="str">
        <f>CONCATENATE(ALUMNOS!F430,"'")</f>
        <v>'111795'</v>
      </c>
      <c r="E427" t="s">
        <v>2723</v>
      </c>
      <c r="F427" t="str">
        <f>CONCATENATE("'",ALUMNOS!H430,"'")</f>
        <v>'GOMEZ OSORIO LUZ ANGELICA NAOMI'</v>
      </c>
      <c r="G427" t="str">
        <f>CONCATENATE("'",ALUMNOS!I430,"'")</f>
        <v>'PSICOLOGIA'</v>
      </c>
      <c r="H427" t="str">
        <f>CONCATENATE("'",ALUMNOS!J430,"'")</f>
        <v>'2do'</v>
      </c>
      <c r="I427" t="str">
        <f>CONCATENATE("'",ALUMNOS!K430,"'")</f>
        <v>'Femenino'</v>
      </c>
      <c r="J427" t="str">
        <f>CONCATENATE("'",ALUMNOS!L430,"'")</f>
        <v>'Activo'</v>
      </c>
      <c r="K427" t="str">
        <f t="shared" si="25"/>
        <v>1426,'LICENCIATURA','luzangelicanaomi.gomezosorio','111795','TOMAR DEL SND','GOMEZ OSORIO LUZ ANGELICA NAOMI','PSICOLOGIA','2do','FEMENINO','ACTIVO','',0,0,'','ALUMNO'</v>
      </c>
      <c r="L427" t="str">
        <f t="shared" si="24"/>
        <v>INSERT INTO participantes (id,nivel,correo,matricula,clave,nombre,carrera,grado,sexo,situacion,evaluados,num_evaluados,total_evaluaciones,ultimo_acceso,nivel_acceso) VALUES (1426,'LICENCIATURA','luzangelicanaomi.gomezosorio','111795','TOMAR DEL SND','GOMEZ OSORIO LUZ ANGELICA NAOMI','PSICOLOGIA','2do','FEMENINO','ACTIVO','',0,0,'','ALUMNO');</v>
      </c>
      <c r="M427" t="str">
        <f t="shared" si="26"/>
        <v>update participantes set correo='luzangelicanaomi.gomezosorio' where id=1426;</v>
      </c>
    </row>
    <row r="428" spans="1:13" x14ac:dyDescent="0.25">
      <c r="A428">
        <f t="shared" si="27"/>
        <v>1427</v>
      </c>
      <c r="B428" s="3" t="s">
        <v>2103</v>
      </c>
      <c r="C428" t="str">
        <f>CONCATENATE("'",ALUMNOS!E431,"'")</f>
        <v>'lyaabigail.huertalopez'</v>
      </c>
      <c r="D428" t="str">
        <f>CONCATENATE(ALUMNOS!F431,"'")</f>
        <v>'111114'</v>
      </c>
      <c r="E428" t="s">
        <v>2723</v>
      </c>
      <c r="F428" t="str">
        <f>CONCATENATE("'",ALUMNOS!H431,"'")</f>
        <v>'HUERTA LOPEZ LYA ABIGAIL'</v>
      </c>
      <c r="G428" t="str">
        <f>CONCATENATE("'",ALUMNOS!I431,"'")</f>
        <v>'NUTRICION Y GASTRONOMIA'</v>
      </c>
      <c r="H428" t="str">
        <f>CONCATENATE("'",ALUMNOS!J431,"'")</f>
        <v>'4to'</v>
      </c>
      <c r="I428" t="str">
        <f>CONCATENATE("'",ALUMNOS!K431,"'")</f>
        <v>'Femenino'</v>
      </c>
      <c r="J428" t="str">
        <f>CONCATENATE("'",ALUMNOS!L431,"'")</f>
        <v>'Activo'</v>
      </c>
      <c r="K428" t="str">
        <f t="shared" si="25"/>
        <v>1427,'LICENCIATURA','lyaabigail.huertalopez','111114','TOMAR DEL SND','HUERTA LOPEZ LYA ABIGAIL','NUTRICION Y GASTRONOMIA','4to','FEMENINO','ACTIVO','',0,0,'','ALUMNO'</v>
      </c>
      <c r="L428" t="str">
        <f t="shared" si="24"/>
        <v>INSERT INTO participantes (id,nivel,correo,matricula,clave,nombre,carrera,grado,sexo,situacion,evaluados,num_evaluados,total_evaluaciones,ultimo_acceso,nivel_acceso) VALUES (1427,'LICENCIATURA','lyaabigail.huertalopez','111114','TOMAR DEL SND','HUERTA LOPEZ LYA ABIGAIL','NUTRICION Y GASTRONOMIA','4to','FEMENINO','ACTIVO','',0,0,'','ALUMNO');</v>
      </c>
      <c r="M428" t="str">
        <f t="shared" si="26"/>
        <v>update participantes set correo='lyaabigail.huertalopez' where id=1427;</v>
      </c>
    </row>
    <row r="429" spans="1:13" x14ac:dyDescent="0.25">
      <c r="A429">
        <f t="shared" si="27"/>
        <v>1428</v>
      </c>
      <c r="B429" s="3" t="s">
        <v>2103</v>
      </c>
      <c r="C429" t="str">
        <f>CONCATENATE("'",ALUMNOS!E432,"'")</f>
        <v>'marceliano.belloarias'</v>
      </c>
      <c r="D429" t="str">
        <f>CONCATENATE(ALUMNOS!F432,"'")</f>
        <v>'110558'</v>
      </c>
      <c r="E429" t="s">
        <v>2723</v>
      </c>
      <c r="F429" t="str">
        <f>CONCATENATE("'",ALUMNOS!H432,"'")</f>
        <v>'BELLO ARIAS MARCELIANO'</v>
      </c>
      <c r="G429" t="str">
        <f>CONCATENATE("'",ALUMNOS!I432,"'")</f>
        <v>'INGENIERIA AEROESPACIAL'</v>
      </c>
      <c r="H429" t="str">
        <f>CONCATENATE("'",ALUMNOS!J432,"'")</f>
        <v>'6to'</v>
      </c>
      <c r="I429" t="str">
        <f>CONCATENATE("'",ALUMNOS!K432,"'")</f>
        <v>'Masculino'</v>
      </c>
      <c r="J429" t="str">
        <f>CONCATENATE("'",ALUMNOS!L432,"'")</f>
        <v>'Activo'</v>
      </c>
      <c r="K429" t="str">
        <f t="shared" si="25"/>
        <v>1428,'LICENCIATURA','marceliano.belloarias','110558','TOMAR DEL SND','BELLO ARIAS MARCELIANO','INGENIERIA AEROESPACIAL','6to','MASCULINO','ACTIVO','',0,0,'','ALUMNO'</v>
      </c>
      <c r="L429" t="str">
        <f t="shared" si="24"/>
        <v>INSERT INTO participantes (id,nivel,correo,matricula,clave,nombre,carrera,grado,sexo,situacion,evaluados,num_evaluados,total_evaluaciones,ultimo_acceso,nivel_acceso) VALUES (1428,'LICENCIATURA','marceliano.belloarias','110558','TOMAR DEL SND','BELLO ARIAS MARCELIANO','INGENIERIA AEROESPACIAL','6to','MASCULINO','ACTIVO','',0,0,'','ALUMNO');</v>
      </c>
      <c r="M429" t="str">
        <f t="shared" si="26"/>
        <v>update participantes set correo='marceliano.belloarias' where id=1428;</v>
      </c>
    </row>
    <row r="430" spans="1:13" x14ac:dyDescent="0.25">
      <c r="A430">
        <f t="shared" si="27"/>
        <v>1429</v>
      </c>
      <c r="B430" s="3" t="s">
        <v>2103</v>
      </c>
      <c r="C430" t="str">
        <f>CONCATENATE("'",ALUMNOS!E433,"'")</f>
        <v>'marcoantonio.lopezluvian'</v>
      </c>
      <c r="D430" t="str">
        <f>CONCATENATE(ALUMNOS!F433,"'")</f>
        <v>'111069'</v>
      </c>
      <c r="E430" t="s">
        <v>2723</v>
      </c>
      <c r="F430" t="str">
        <f>CONCATENATE("'",ALUMNOS!H433,"'")</f>
        <v>'LOPEZ LUVIAN MARCO ANTONIO'</v>
      </c>
      <c r="G430" t="str">
        <f>CONCATENATE("'",ALUMNOS!I433,"'")</f>
        <v>'INGENIERÍA AUTOMOTRIZ'</v>
      </c>
      <c r="H430" t="str">
        <f>CONCATENATE("'",ALUMNOS!J433,"'")</f>
        <v>'4to'</v>
      </c>
      <c r="I430" t="str">
        <f>CONCATENATE("'",ALUMNOS!K433,"'")</f>
        <v>'Masculino'</v>
      </c>
      <c r="J430" t="str">
        <f>CONCATENATE("'",ALUMNOS!L433,"'")</f>
        <v>'Activo'</v>
      </c>
      <c r="K430" t="str">
        <f t="shared" si="25"/>
        <v>1429,'LICENCIATURA','marcoantonio.lopezluvian','111069','TOMAR DEL SND','LOPEZ LUVIAN MARCO ANTONIO','INGENIERÍA AUTOMOTRIZ','4to','MASCULINO','ACTIVO','',0,0,'','ALUMNO'</v>
      </c>
      <c r="L430" t="str">
        <f t="shared" si="24"/>
        <v>INSERT INTO participantes (id,nivel,correo,matricula,clave,nombre,carrera,grado,sexo,situacion,evaluados,num_evaluados,total_evaluaciones,ultimo_acceso,nivel_acceso) VALUES (1429,'LICENCIATURA','marcoantonio.lopezluvian','111069','TOMAR DEL SND','LOPEZ LUVIAN MARCO ANTONIO','INGENIERÍA AUTOMOTRIZ','4to','MASCULINO','ACTIVO','',0,0,'','ALUMNO');</v>
      </c>
      <c r="M430" t="str">
        <f t="shared" si="26"/>
        <v>update participantes set correo='marcoantonio.lopezluvian' where id=1429;</v>
      </c>
    </row>
    <row r="431" spans="1:13" x14ac:dyDescent="0.25">
      <c r="A431">
        <f t="shared" si="27"/>
        <v>1430</v>
      </c>
      <c r="B431" s="3" t="s">
        <v>2103</v>
      </c>
      <c r="C431" t="str">
        <f>CONCATENATE("'",ALUMNOS!E434,"'")</f>
        <v>'marcoarturo.ortacruz'</v>
      </c>
      <c r="D431" t="str">
        <f>CONCATENATE(ALUMNOS!F434,"'")</f>
        <v>'110556'</v>
      </c>
      <c r="E431" t="s">
        <v>2723</v>
      </c>
      <c r="F431" t="str">
        <f>CONCATENATE("'",ALUMNOS!H434,"'")</f>
        <v>'ORTA CRUZ MARCO ARTURO'</v>
      </c>
      <c r="G431" t="str">
        <f>CONCATENATE("'",ALUMNOS!I434,"'")</f>
        <v>'INGENIERIA CIBERNETICA Y EN SISTEMAS COMPUTACIONALES'</v>
      </c>
      <c r="H431" t="str">
        <f>CONCATENATE("'",ALUMNOS!J434,"'")</f>
        <v>'6to'</v>
      </c>
      <c r="I431" t="str">
        <f>CONCATENATE("'",ALUMNOS!K434,"'")</f>
        <v>'Masculino'</v>
      </c>
      <c r="J431" t="str">
        <f>CONCATENATE("'",ALUMNOS!L434,"'")</f>
        <v>'Activo'</v>
      </c>
      <c r="K431" t="str">
        <f t="shared" si="25"/>
        <v>1430,'LICENCIATURA','marcoarturo.ortacruz','110556','TOMAR DEL SND','ORTA CRUZ MARCO ARTURO','INGENIERIA CIBERNETICA Y EN SISTEMAS COMPUTACIONALES','6to','MASCULINO','ACTIVO','',0,0,'','ALUMNO'</v>
      </c>
      <c r="L431" t="str">
        <f t="shared" si="24"/>
        <v>INSERT INTO participantes (id,nivel,correo,matricula,clave,nombre,carrera,grado,sexo,situacion,evaluados,num_evaluados,total_evaluaciones,ultimo_acceso,nivel_acceso) VALUES (1430,'LICENCIATURA','marcoarturo.ortacruz','110556','TOMAR DEL SND','ORTA CRUZ MARCO ARTURO','INGENIERIA CIBERNETICA Y EN SISTEMAS COMPUTACIONALES','6to','MASCULINO','ACTIVO','',0,0,'','ALUMNO');</v>
      </c>
      <c r="M431" t="str">
        <f t="shared" si="26"/>
        <v>update participantes set correo='marcoarturo.ortacruz' where id=1430;</v>
      </c>
    </row>
    <row r="432" spans="1:13" x14ac:dyDescent="0.25">
      <c r="A432">
        <f t="shared" si="27"/>
        <v>1431</v>
      </c>
      <c r="B432" s="3" t="s">
        <v>2103</v>
      </c>
      <c r="C432" t="str">
        <f>CONCATENATE("'",ALUMNOS!E435,"'")</f>
        <v>'marcogabriel.prezaruvalcaba'</v>
      </c>
      <c r="D432" t="str">
        <f>CONCATENATE(ALUMNOS!F435,"'")</f>
        <v>'111755'</v>
      </c>
      <c r="E432" t="s">
        <v>2723</v>
      </c>
      <c r="F432" t="str">
        <f>CONCATENATE("'",ALUMNOS!H435,"'")</f>
        <v>'PREZA RUVALCABA MARCO GABRIEL'</v>
      </c>
      <c r="G432" t="str">
        <f>CONCATENATE("'",ALUMNOS!I435,"'")</f>
        <v>'INGENIERIA AEROESPACIAL'</v>
      </c>
      <c r="H432" t="str">
        <f>CONCATENATE("'",ALUMNOS!J435,"'")</f>
        <v>'2do'</v>
      </c>
      <c r="I432" t="str">
        <f>CONCATENATE("'",ALUMNOS!K435,"'")</f>
        <v>'Masculino'</v>
      </c>
      <c r="J432" t="str">
        <f>CONCATENATE("'",ALUMNOS!L435,"'")</f>
        <v>'Activo'</v>
      </c>
      <c r="K432" t="str">
        <f t="shared" si="25"/>
        <v>1431,'LICENCIATURA','marcogabriel.prezaruvalcaba','111755','TOMAR DEL SND','PREZA RUVALCABA MARCO GABRIEL','INGENIERIA AEROESPACIAL','2do','MASCULINO','ACTIVO','',0,0,'','ALUMNO'</v>
      </c>
      <c r="L432" t="str">
        <f t="shared" si="24"/>
        <v>INSERT INTO participantes (id,nivel,correo,matricula,clave,nombre,carrera,grado,sexo,situacion,evaluados,num_evaluados,total_evaluaciones,ultimo_acceso,nivel_acceso) VALUES (1431,'LICENCIATURA','marcogabriel.prezaruvalcaba','111755','TOMAR DEL SND','PREZA RUVALCABA MARCO GABRIEL','INGENIERIA AEROESPACIAL','2do','MASCULINO','ACTIVO','',0,0,'','ALUMNO');</v>
      </c>
      <c r="M432" t="str">
        <f t="shared" si="26"/>
        <v>update participantes set correo='marcogabriel.prezaruvalcaba' where id=1431;</v>
      </c>
    </row>
    <row r="433" spans="1:13" x14ac:dyDescent="0.25">
      <c r="A433">
        <f t="shared" si="27"/>
        <v>1432</v>
      </c>
      <c r="B433" s="3" t="s">
        <v>2103</v>
      </c>
      <c r="C433" t="str">
        <f>CONCATENATE("'",ALUMNOS!E436,"'")</f>
        <v>'mariaantonia.hernandezhernandez'</v>
      </c>
      <c r="D433" t="str">
        <f>CONCATENATE(ALUMNOS!F436,"'")</f>
        <v>'110616'</v>
      </c>
      <c r="E433" t="s">
        <v>2723</v>
      </c>
      <c r="F433" t="str">
        <f>CONCATENATE("'",ALUMNOS!H436,"'")</f>
        <v>'HERNANDEZ HERNANDEZ MARIA ANTONIA'</v>
      </c>
      <c r="G433" t="str">
        <f>CONCATENATE("'",ALUMNOS!I436,"'")</f>
        <v>'DISEÑO GRAFICO Y DIGITAL'</v>
      </c>
      <c r="H433" t="str">
        <f>CONCATENATE("'",ALUMNOS!J436,"'")</f>
        <v>'4to'</v>
      </c>
      <c r="I433" t="str">
        <f>CONCATENATE("'",ALUMNOS!K436,"'")</f>
        <v>'Femenino'</v>
      </c>
      <c r="J433" t="str">
        <f>CONCATENATE("'",ALUMNOS!L436,"'")</f>
        <v>'Activo'</v>
      </c>
      <c r="K433" t="str">
        <f t="shared" si="25"/>
        <v>1432,'LICENCIATURA','mariaantonia.hernandezhernandez','110616','TOMAR DEL SND','HERNANDEZ HERNANDEZ MARIA ANTONIA','DISEÑO GRAFICO Y DIGITAL','4to','FEMENINO','ACTIVO','',0,0,'','ALUMNO'</v>
      </c>
      <c r="L433" t="str">
        <f t="shared" si="24"/>
        <v>INSERT INTO participantes (id,nivel,correo,matricula,clave,nombre,carrera,grado,sexo,situacion,evaluados,num_evaluados,total_evaluaciones,ultimo_acceso,nivel_acceso) VALUES (1432,'LICENCIATURA','mariaantonia.hernandezhernandez','110616','TOMAR DEL SND','HERNANDEZ HERNANDEZ MARIA ANTONIA','DISEÑO GRAFICO Y DIGITAL','4to','FEMENINO','ACTIVO','',0,0,'','ALUMNO');</v>
      </c>
      <c r="M433" t="str">
        <f t="shared" si="26"/>
        <v>update participantes set correo='mariaantonia.hernandezhernandez' where id=1432;</v>
      </c>
    </row>
    <row r="434" spans="1:13" x14ac:dyDescent="0.25">
      <c r="A434">
        <f t="shared" si="27"/>
        <v>1433</v>
      </c>
      <c r="B434" s="3" t="s">
        <v>2103</v>
      </c>
      <c r="C434" t="str">
        <f>CONCATENATE("'",ALUMNOS!E437,"'")</f>
        <v>'mariadelosangeles.santoyogarcia'</v>
      </c>
      <c r="D434" t="str">
        <f>CONCATENATE(ALUMNOS!F437,"'")</f>
        <v>'110445'</v>
      </c>
      <c r="E434" t="s">
        <v>2723</v>
      </c>
      <c r="F434" t="str">
        <f>CONCATENATE("'",ALUMNOS!H437,"'")</f>
        <v>'SANTOYO GARCIA MARIA DE LOS ANGELES'</v>
      </c>
      <c r="G434" t="str">
        <f>CONCATENATE("'",ALUMNOS!I437,"'")</f>
        <v>'PSICOLOGIA'</v>
      </c>
      <c r="H434" t="str">
        <f>CONCATENATE("'",ALUMNOS!J437,"'")</f>
        <v>'6to'</v>
      </c>
      <c r="I434" t="str">
        <f>CONCATENATE("'",ALUMNOS!K437,"'")</f>
        <v>'Femenino'</v>
      </c>
      <c r="J434" t="str">
        <f>CONCATENATE("'",ALUMNOS!L437,"'")</f>
        <v>'Activo'</v>
      </c>
      <c r="K434" t="str">
        <f t="shared" si="25"/>
        <v>1433,'LICENCIATURA','mariadelosangeles.santoyogarcia','110445','TOMAR DEL SND','SANTOYO GARCIA MARIA DE LOS ANGELES','PSICOLOGIA','6to','FEMENINO','ACTIVO','',0,0,'','ALUMNO'</v>
      </c>
      <c r="L434" t="str">
        <f t="shared" si="24"/>
        <v>INSERT INTO participantes (id,nivel,correo,matricula,clave,nombre,carrera,grado,sexo,situacion,evaluados,num_evaluados,total_evaluaciones,ultimo_acceso,nivel_acceso) VALUES (1433,'LICENCIATURA','mariadelosangeles.santoyogarcia','110445','TOMAR DEL SND','SANTOYO GARCIA MARIA DE LOS ANGELES','PSICOLOGIA','6to','FEMENINO','ACTIVO','',0,0,'','ALUMNO');</v>
      </c>
      <c r="M434" t="str">
        <f t="shared" si="26"/>
        <v>update participantes set correo='mariadelosangeles.santoyogarcia' where id=1433;</v>
      </c>
    </row>
    <row r="435" spans="1:13" x14ac:dyDescent="0.25">
      <c r="A435">
        <f t="shared" si="27"/>
        <v>1434</v>
      </c>
      <c r="B435" s="3" t="s">
        <v>2103</v>
      </c>
      <c r="C435" t="str">
        <f>CONCATENATE("'",ALUMNOS!E438,"'")</f>
        <v>'mariafernanda.aguilarmontes'</v>
      </c>
      <c r="D435" t="str">
        <f>CONCATENATE(ALUMNOS!F438,"'")</f>
        <v>'111050'</v>
      </c>
      <c r="E435" t="s">
        <v>2723</v>
      </c>
      <c r="F435" t="str">
        <f>CONCATENATE("'",ALUMNOS!H438,"'")</f>
        <v>'AGUILAR MONTES MARIA FERNANDA'</v>
      </c>
      <c r="G435" t="str">
        <f>CONCATENATE("'",ALUMNOS!I438,"'")</f>
        <v>'ADMINISTRACION Y DIRECCION DE NEGOCIOS'</v>
      </c>
      <c r="H435" t="str">
        <f>CONCATENATE("'",ALUMNOS!J438,"'")</f>
        <v>'4to'</v>
      </c>
      <c r="I435" t="str">
        <f>CONCATENATE("'",ALUMNOS!K438,"'")</f>
        <v>'Femenino'</v>
      </c>
      <c r="J435" t="str">
        <f>CONCATENATE("'",ALUMNOS!L438,"'")</f>
        <v>'Activo'</v>
      </c>
      <c r="K435" t="str">
        <f t="shared" si="25"/>
        <v>1434,'LICENCIATURA','mariafernanda.aguilarmontes','111050','TOMAR DEL SND','AGUILAR MONTES MARIA FERNANDA','ADMINISTRACION Y DIRECCION DE NEGOCIOS','4to','FEMENINO','ACTIVO','',0,0,'','ALUMNO'</v>
      </c>
      <c r="L435" t="str">
        <f t="shared" si="24"/>
        <v>INSERT INTO participantes (id,nivel,correo,matricula,clave,nombre,carrera,grado,sexo,situacion,evaluados,num_evaluados,total_evaluaciones,ultimo_acceso,nivel_acceso) VALUES (1434,'LICENCIATURA','mariafernanda.aguilarmontes','111050','TOMAR DEL SND','AGUILAR MONTES MARIA FERNANDA','ADMINISTRACION Y DIRECCION DE NEGOCIOS','4to','FEMENINO','ACTIVO','',0,0,'','ALUMNO');</v>
      </c>
      <c r="M435" t="str">
        <f t="shared" si="26"/>
        <v>update participantes set correo='mariafernanda.aguilarmontes' where id=1434;</v>
      </c>
    </row>
    <row r="436" spans="1:13" x14ac:dyDescent="0.25">
      <c r="A436">
        <f t="shared" si="27"/>
        <v>1435</v>
      </c>
      <c r="B436" s="3" t="s">
        <v>2103</v>
      </c>
      <c r="C436" t="str">
        <f>CONCATENATE("'",ALUMNOS!E439,"'")</f>
        <v>'mariafernanda.alvarezlopez'</v>
      </c>
      <c r="D436" t="str">
        <f>CONCATENATE(ALUMNOS!F439,"'")</f>
        <v>'111111'</v>
      </c>
      <c r="E436" t="s">
        <v>2723</v>
      </c>
      <c r="F436" t="str">
        <f>CONCATENATE("'",ALUMNOS!H439,"'")</f>
        <v>'ALVAREZ LOPEZ MARIA FERNANDA'</v>
      </c>
      <c r="G436" t="str">
        <f>CONCATENATE("'",ALUMNOS!I439,"'")</f>
        <v>'DISEÑO GRAFICO Y DIGITAL'</v>
      </c>
      <c r="H436" t="str">
        <f>CONCATENATE("'",ALUMNOS!J439,"'")</f>
        <v>'4to'</v>
      </c>
      <c r="I436" t="str">
        <f>CONCATENATE("'",ALUMNOS!K439,"'")</f>
        <v>'Femenino'</v>
      </c>
      <c r="J436" t="str">
        <f>CONCATENATE("'",ALUMNOS!L439,"'")</f>
        <v>'Activo'</v>
      </c>
      <c r="K436" t="str">
        <f t="shared" si="25"/>
        <v>1435,'LICENCIATURA','mariafernanda.alvarezlopez','111111','TOMAR DEL SND','ALVAREZ LOPEZ MARIA FERNANDA','DISEÑO GRAFICO Y DIGITAL','4to','FEMENINO','ACTIVO','',0,0,'','ALUMNO'</v>
      </c>
      <c r="L436" t="str">
        <f t="shared" si="24"/>
        <v>INSERT INTO participantes (id,nivel,correo,matricula,clave,nombre,carrera,grado,sexo,situacion,evaluados,num_evaluados,total_evaluaciones,ultimo_acceso,nivel_acceso) VALUES (1435,'LICENCIATURA','mariafernanda.alvarezlopez','111111','TOMAR DEL SND','ALVAREZ LOPEZ MARIA FERNANDA','DISEÑO GRAFICO Y DIGITAL','4to','FEMENINO','ACTIVO','',0,0,'','ALUMNO');</v>
      </c>
      <c r="M436" t="str">
        <f t="shared" si="26"/>
        <v>update participantes set correo='mariafernanda.alvarezlopez' where id=1435;</v>
      </c>
    </row>
    <row r="437" spans="1:13" x14ac:dyDescent="0.25">
      <c r="A437">
        <f t="shared" si="27"/>
        <v>1436</v>
      </c>
      <c r="B437" s="3" t="s">
        <v>2103</v>
      </c>
      <c r="C437" t="str">
        <f>CONCATENATE("'",ALUMNOS!E440,"'")</f>
        <v>'mariafernanda.alvarezochoa'</v>
      </c>
      <c r="D437" t="str">
        <f>CONCATENATE(ALUMNOS!F440,"'")</f>
        <v>'110544'</v>
      </c>
      <c r="E437" t="s">
        <v>2723</v>
      </c>
      <c r="F437" t="str">
        <f>CONCATENATE("'",ALUMNOS!H440,"'")</f>
        <v>'ALVAREZ OCHOA MARIA FERNANDA'</v>
      </c>
      <c r="G437" t="str">
        <f>CONCATENATE("'",ALUMNOS!I440,"'")</f>
        <v>'COMERCIO INTERNACIONAL'</v>
      </c>
      <c r="H437" t="str">
        <f>CONCATENATE("'",ALUMNOS!J440,"'")</f>
        <v>'6to'</v>
      </c>
      <c r="I437" t="str">
        <f>CONCATENATE("'",ALUMNOS!K440,"'")</f>
        <v>'Femenino'</v>
      </c>
      <c r="J437" t="str">
        <f>CONCATENATE("'",ALUMNOS!L440,"'")</f>
        <v>'Activo'</v>
      </c>
      <c r="K437" t="str">
        <f t="shared" si="25"/>
        <v>1436,'LICENCIATURA','mariafernanda.alvarezochoa','110544','TOMAR DEL SND','ALVAREZ OCHOA MARIA FERNANDA','COMERCIO INTERNACIONAL','6to','FEMENINO','ACTIVO','',0,0,'','ALUMNO'</v>
      </c>
      <c r="L437" t="str">
        <f t="shared" si="24"/>
        <v>INSERT INTO participantes (id,nivel,correo,matricula,clave,nombre,carrera,grado,sexo,situacion,evaluados,num_evaluados,total_evaluaciones,ultimo_acceso,nivel_acceso) VALUES (1436,'LICENCIATURA','mariafernanda.alvarezochoa','110544','TOMAR DEL SND','ALVAREZ OCHOA MARIA FERNANDA','COMERCIO INTERNACIONAL','6to','FEMENINO','ACTIVO','',0,0,'','ALUMNO');</v>
      </c>
      <c r="M437" t="str">
        <f t="shared" si="26"/>
        <v>update participantes set correo='mariafernanda.alvarezochoa' where id=1436;</v>
      </c>
    </row>
    <row r="438" spans="1:13" x14ac:dyDescent="0.25">
      <c r="A438">
        <f t="shared" si="27"/>
        <v>1437</v>
      </c>
      <c r="B438" s="3" t="s">
        <v>2103</v>
      </c>
      <c r="C438" t="str">
        <f>CONCATENATE("'",ALUMNOS!E441,"'")</f>
        <v>'mariafernanda.castillogonzalez'</v>
      </c>
      <c r="D438" t="str">
        <f>CONCATENATE(ALUMNOS!F441,"'")</f>
        <v>'111197'</v>
      </c>
      <c r="E438" t="s">
        <v>2723</v>
      </c>
      <c r="F438" t="str">
        <f>CONCATENATE("'",ALUMNOS!H441,"'")</f>
        <v>'CASTILLO GONZALEZ MARIA FERNANDA'</v>
      </c>
      <c r="G438" t="str">
        <f>CONCATENATE("'",ALUMNOS!I441,"'")</f>
        <v>'NUTRICION Y GASTRONOMIA'</v>
      </c>
      <c r="H438" t="str">
        <f>CONCATENATE("'",ALUMNOS!J441,"'")</f>
        <v>'4to'</v>
      </c>
      <c r="I438" t="str">
        <f>CONCATENATE("'",ALUMNOS!K441,"'")</f>
        <v>'Femenino'</v>
      </c>
      <c r="J438" t="str">
        <f>CONCATENATE("'",ALUMNOS!L441,"'")</f>
        <v>'Activo'</v>
      </c>
      <c r="K438" t="str">
        <f t="shared" si="25"/>
        <v>1437,'LICENCIATURA','mariafernanda.castillogonzalez','111197','TOMAR DEL SND','CASTILLO GONZALEZ MARIA FERNANDA','NUTRICION Y GASTRONOMIA','4to','FEMENINO','ACTIVO','',0,0,'','ALUMNO'</v>
      </c>
      <c r="L438" t="str">
        <f t="shared" si="24"/>
        <v>INSERT INTO participantes (id,nivel,correo,matricula,clave,nombre,carrera,grado,sexo,situacion,evaluados,num_evaluados,total_evaluaciones,ultimo_acceso,nivel_acceso) VALUES (1437,'LICENCIATURA','mariafernanda.castillogonzalez','111197','TOMAR DEL SND','CASTILLO GONZALEZ MARIA FERNANDA','NUTRICION Y GASTRONOMIA','4to','FEMENINO','ACTIVO','',0,0,'','ALUMNO');</v>
      </c>
      <c r="M438" t="str">
        <f t="shared" si="26"/>
        <v>update participantes set correo='mariafernanda.castillogonzalez' where id=1437;</v>
      </c>
    </row>
    <row r="439" spans="1:13" x14ac:dyDescent="0.25">
      <c r="A439">
        <f t="shared" si="27"/>
        <v>1438</v>
      </c>
      <c r="B439" s="3" t="s">
        <v>2103</v>
      </c>
      <c r="C439" t="str">
        <f>CONCATENATE("'",ALUMNOS!E442,"'")</f>
        <v>'mariafernanda.domingueznieblas'</v>
      </c>
      <c r="D439" t="str">
        <f>CONCATENATE(ALUMNOS!F442,"'")</f>
        <v>'007514'</v>
      </c>
      <c r="E439" t="s">
        <v>2723</v>
      </c>
      <c r="F439" t="str">
        <f>CONCATENATE("'",ALUMNOS!H442,"'")</f>
        <v>'DOMINGUEZ NIEBLAS MARIA FERNANDA'</v>
      </c>
      <c r="G439" t="str">
        <f>CONCATENATE("'",ALUMNOS!I442,"'")</f>
        <v>'NUTRICION Y GASTRONOMIA'</v>
      </c>
      <c r="H439" t="str">
        <f>CONCATENATE("'",ALUMNOS!J442,"'")</f>
        <v>'4to'</v>
      </c>
      <c r="I439" t="str">
        <f>CONCATENATE("'",ALUMNOS!K442,"'")</f>
        <v>'Femenino'</v>
      </c>
      <c r="J439" t="str">
        <f>CONCATENATE("'",ALUMNOS!L442,"'")</f>
        <v>'Activo'</v>
      </c>
      <c r="K439" t="str">
        <f t="shared" si="25"/>
        <v>1438,'LICENCIATURA','mariafernanda.domingueznieblas','007514','TOMAR DEL SND','DOMINGUEZ NIEBLAS MARIA FERNANDA','NUTRICION Y GASTRONOMIA','4to','FEMENINO','ACTIVO','',0,0,'','ALUMNO'</v>
      </c>
      <c r="L439" t="str">
        <f t="shared" si="24"/>
        <v>INSERT INTO participantes (id,nivel,correo,matricula,clave,nombre,carrera,grado,sexo,situacion,evaluados,num_evaluados,total_evaluaciones,ultimo_acceso,nivel_acceso) VALUES (1438,'LICENCIATURA','mariafernanda.domingueznieblas','007514','TOMAR DEL SND','DOMINGUEZ NIEBLAS MARIA FERNANDA','NUTRICION Y GASTRONOMIA','4to','FEMENINO','ACTIVO','',0,0,'','ALUMNO');</v>
      </c>
      <c r="M439" t="str">
        <f t="shared" si="26"/>
        <v>update participantes set correo='mariafernanda.domingueznieblas' where id=1438;</v>
      </c>
    </row>
    <row r="440" spans="1:13" x14ac:dyDescent="0.25">
      <c r="A440">
        <f t="shared" si="27"/>
        <v>1439</v>
      </c>
      <c r="B440" s="3" t="s">
        <v>2103</v>
      </c>
      <c r="C440" t="str">
        <f>CONCATENATE("'",ALUMNOS!E443,"'")</f>
        <v>'mariafernanda.martinezmendez'</v>
      </c>
      <c r="D440" t="str">
        <f>CONCATENATE(ALUMNOS!F443,"'")</f>
        <v>'110490'</v>
      </c>
      <c r="E440" t="s">
        <v>2723</v>
      </c>
      <c r="F440" t="str">
        <f>CONCATENATE("'",ALUMNOS!H443,"'")</f>
        <v>'MARTINEZ MENDEZ MARIA FERNANDA'</v>
      </c>
      <c r="G440" t="str">
        <f>CONCATENATE("'",ALUMNOS!I443,"'")</f>
        <v>'ANIMACION DIGITAL Y VIDEOJUEGOS'</v>
      </c>
      <c r="H440" t="str">
        <f>CONCATENATE("'",ALUMNOS!J443,"'")</f>
        <v>'6to'</v>
      </c>
      <c r="I440" t="str">
        <f>CONCATENATE("'",ALUMNOS!K443,"'")</f>
        <v>'Femenino'</v>
      </c>
      <c r="J440" t="str">
        <f>CONCATENATE("'",ALUMNOS!L443,"'")</f>
        <v>'Activo'</v>
      </c>
      <c r="K440" t="str">
        <f t="shared" si="25"/>
        <v>1439,'LICENCIATURA','mariafernanda.martinezmendez','110490','TOMAR DEL SND','MARTINEZ MENDEZ MARIA FERNANDA','ANIMACION DIGITAL Y VIDEOJUEGOS','6to','FEMENINO','ACTIVO','',0,0,'','ALUMNO'</v>
      </c>
      <c r="L440" t="str">
        <f t="shared" si="24"/>
        <v>INSERT INTO participantes (id,nivel,correo,matricula,clave,nombre,carrera,grado,sexo,situacion,evaluados,num_evaluados,total_evaluaciones,ultimo_acceso,nivel_acceso) VALUES (1439,'LICENCIATURA','mariafernanda.martinezmendez','110490','TOMAR DEL SND','MARTINEZ MENDEZ MARIA FERNANDA','ANIMACION DIGITAL Y VIDEOJUEGOS','6to','FEMENINO','ACTIVO','',0,0,'','ALUMNO');</v>
      </c>
      <c r="M440" t="str">
        <f t="shared" si="26"/>
        <v>update participantes set correo='mariafernanda.martinezmendez' where id=1439;</v>
      </c>
    </row>
    <row r="441" spans="1:13" x14ac:dyDescent="0.25">
      <c r="A441">
        <f t="shared" si="27"/>
        <v>1440</v>
      </c>
      <c r="B441" s="3" t="s">
        <v>2103</v>
      </c>
      <c r="C441" t="str">
        <f>CONCATENATE("'",ALUMNOS!E444,"'")</f>
        <v>'mariafernanda.ruizsanchez'</v>
      </c>
      <c r="D441" t="str">
        <f>CONCATENATE(ALUMNOS!F444,"'")</f>
        <v>'111635'</v>
      </c>
      <c r="E441" t="s">
        <v>2723</v>
      </c>
      <c r="F441" t="str">
        <f>CONCATENATE("'",ALUMNOS!H444,"'")</f>
        <v>'RUIZ SANCHEZ MARIA FERNANDA'</v>
      </c>
      <c r="G441" t="str">
        <f>CONCATENATE("'",ALUMNOS!I444,"'")</f>
        <v>'INGENIERIA AEROESPACIAL'</v>
      </c>
      <c r="H441" t="str">
        <f>CONCATENATE("'",ALUMNOS!J444,"'")</f>
        <v>'2do'</v>
      </c>
      <c r="I441" t="str">
        <f>CONCATENATE("'",ALUMNOS!K444,"'")</f>
        <v>'Femenino'</v>
      </c>
      <c r="J441" t="str">
        <f>CONCATENATE("'",ALUMNOS!L444,"'")</f>
        <v>'Activo'</v>
      </c>
      <c r="K441" t="str">
        <f t="shared" si="25"/>
        <v>1440,'LICENCIATURA','mariafernanda.ruizsanchez','111635','TOMAR DEL SND','RUIZ SANCHEZ MARIA FERNANDA','INGENIERIA AEROESPACIAL','2do','FEMENINO','ACTIVO','',0,0,'','ALUMNO'</v>
      </c>
      <c r="L441" t="str">
        <f t="shared" si="24"/>
        <v>INSERT INTO participantes (id,nivel,correo,matricula,clave,nombre,carrera,grado,sexo,situacion,evaluados,num_evaluados,total_evaluaciones,ultimo_acceso,nivel_acceso) VALUES (1440,'LICENCIATURA','mariafernanda.ruizsanchez','111635','TOMAR DEL SND','RUIZ SANCHEZ MARIA FERNANDA','INGENIERIA AEROESPACIAL','2do','FEMENINO','ACTIVO','',0,0,'','ALUMNO');</v>
      </c>
      <c r="M441" t="str">
        <f t="shared" si="26"/>
        <v>update participantes set correo='mariafernanda.ruizsanchez' where id=1440;</v>
      </c>
    </row>
    <row r="442" spans="1:13" x14ac:dyDescent="0.25">
      <c r="A442">
        <f t="shared" si="27"/>
        <v>1441</v>
      </c>
      <c r="B442" s="3" t="s">
        <v>2103</v>
      </c>
      <c r="C442" t="str">
        <f>CONCATENATE("'",ALUMNOS!E445,"'")</f>
        <v>'mariafernanda.sandovalrodriguez'</v>
      </c>
      <c r="D442" t="str">
        <f>CONCATENATE(ALUMNOS!F445,"'")</f>
        <v>'007756'</v>
      </c>
      <c r="E442" t="s">
        <v>2723</v>
      </c>
      <c r="F442" t="str">
        <f>CONCATENATE("'",ALUMNOS!H445,"'")</f>
        <v>'SANDOVAL RODRIGUEZ MARIA FERNANDA'</v>
      </c>
      <c r="G442" t="str">
        <f>CONCATENATE("'",ALUMNOS!I445,"'")</f>
        <v>'NUTRICION Y GASTRONOMIA'</v>
      </c>
      <c r="H442" t="str">
        <f>CONCATENATE("'",ALUMNOS!J445,"'")</f>
        <v>'2do'</v>
      </c>
      <c r="I442" t="str">
        <f>CONCATENATE("'",ALUMNOS!K445,"'")</f>
        <v>'Femenino'</v>
      </c>
      <c r="J442" t="str">
        <f>CONCATENATE("'",ALUMNOS!L445,"'")</f>
        <v>'Activo'</v>
      </c>
      <c r="K442" t="str">
        <f t="shared" si="25"/>
        <v>1441,'LICENCIATURA','mariafernanda.sandovalrodriguez','007756','TOMAR DEL SND','SANDOVAL RODRIGUEZ MARIA FERNANDA','NUTRICION Y GASTRONOMIA','2do','FEMENINO','ACTIVO','',0,0,'','ALUMNO'</v>
      </c>
      <c r="L442" t="str">
        <f t="shared" si="24"/>
        <v>INSERT INTO participantes (id,nivel,correo,matricula,clave,nombre,carrera,grado,sexo,situacion,evaluados,num_evaluados,total_evaluaciones,ultimo_acceso,nivel_acceso) VALUES (1441,'LICENCIATURA','mariafernanda.sandovalrodriguez','007756','TOMAR DEL SND','SANDOVAL RODRIGUEZ MARIA FERNANDA','NUTRICION Y GASTRONOMIA','2do','FEMENINO','ACTIVO','',0,0,'','ALUMNO');</v>
      </c>
      <c r="M442" t="str">
        <f t="shared" si="26"/>
        <v>update participantes set correo='mariafernanda.sandovalrodriguez' where id=1441;</v>
      </c>
    </row>
    <row r="443" spans="1:13" x14ac:dyDescent="0.25">
      <c r="A443">
        <f t="shared" si="27"/>
        <v>1442</v>
      </c>
      <c r="B443" s="3" t="s">
        <v>2103</v>
      </c>
      <c r="C443" t="str">
        <f>CONCATENATE("'",ALUMNOS!E446,"'")</f>
        <v>'mariaines.ruizlopez'</v>
      </c>
      <c r="D443" t="str">
        <f>CONCATENATE(ALUMNOS!F446,"'")</f>
        <v>'110435'</v>
      </c>
      <c r="E443" t="s">
        <v>2723</v>
      </c>
      <c r="F443" t="str">
        <f>CONCATENATE("'",ALUMNOS!H446,"'")</f>
        <v>'RUIZ LOPEZ MARIA INES'</v>
      </c>
      <c r="G443" t="str">
        <f>CONCATENATE("'",ALUMNOS!I446,"'")</f>
        <v>'COMERCIO INTERNACIONAL'</v>
      </c>
      <c r="H443" t="str">
        <f>CONCATENATE("'",ALUMNOS!J446,"'")</f>
        <v>'6to'</v>
      </c>
      <c r="I443" t="str">
        <f>CONCATENATE("'",ALUMNOS!K446,"'")</f>
        <v>'Femenino'</v>
      </c>
      <c r="J443" t="str">
        <f>CONCATENATE("'",ALUMNOS!L446,"'")</f>
        <v>'Activo'</v>
      </c>
      <c r="K443" t="str">
        <f t="shared" si="25"/>
        <v>1442,'LICENCIATURA','mariaines.ruizlopez','110435','TOMAR DEL SND','RUIZ LOPEZ MARIA INES','COMERCIO INTERNACIONAL','6to','FEMENINO','ACTIVO','',0,0,'','ALUMNO'</v>
      </c>
      <c r="L443" t="str">
        <f t="shared" si="24"/>
        <v>INSERT INTO participantes (id,nivel,correo,matricula,clave,nombre,carrera,grado,sexo,situacion,evaluados,num_evaluados,total_evaluaciones,ultimo_acceso,nivel_acceso) VALUES (1442,'LICENCIATURA','mariaines.ruizlopez','110435','TOMAR DEL SND','RUIZ LOPEZ MARIA INES','COMERCIO INTERNACIONAL','6to','FEMENINO','ACTIVO','',0,0,'','ALUMNO');</v>
      </c>
      <c r="M443" t="str">
        <f t="shared" si="26"/>
        <v>update participantes set correo='mariaines.ruizlopez' where id=1442;</v>
      </c>
    </row>
    <row r="444" spans="1:13" x14ac:dyDescent="0.25">
      <c r="A444">
        <f t="shared" si="27"/>
        <v>1443</v>
      </c>
      <c r="B444" s="3" t="s">
        <v>2103</v>
      </c>
      <c r="C444" t="str">
        <f>CONCATENATE("'",ALUMNOS!E447,"'")</f>
        <v>'mariapaula.sandovalpettersen'</v>
      </c>
      <c r="D444" t="str">
        <f>CONCATENATE(ALUMNOS!F447,"'")</f>
        <v>'111621'</v>
      </c>
      <c r="E444" t="s">
        <v>2723</v>
      </c>
      <c r="F444" t="str">
        <f>CONCATENATE("'",ALUMNOS!H447,"'")</f>
        <v>'SANDOVAL PETTERSEN MARIA PAULA'</v>
      </c>
      <c r="G444" t="str">
        <f>CONCATENATE("'",ALUMNOS!I447,"'")</f>
        <v>'NUTRICION Y GASTRONOMIA'</v>
      </c>
      <c r="H444" t="str">
        <f>CONCATENATE("'",ALUMNOS!J447,"'")</f>
        <v>'2do'</v>
      </c>
      <c r="I444" t="str">
        <f>CONCATENATE("'",ALUMNOS!K447,"'")</f>
        <v>'Femenino'</v>
      </c>
      <c r="J444" t="str">
        <f>CONCATENATE("'",ALUMNOS!L447,"'")</f>
        <v>'Activo'</v>
      </c>
      <c r="K444" t="str">
        <f t="shared" si="25"/>
        <v>1443,'LICENCIATURA','mariapaula.sandovalpettersen','111621','TOMAR DEL SND','SANDOVAL PETTERSEN MARIA PAULA','NUTRICION Y GASTRONOMIA','2do','FEMENINO','ACTIVO','',0,0,'','ALUMNO'</v>
      </c>
      <c r="L444" t="str">
        <f t="shared" si="24"/>
        <v>INSERT INTO participantes (id,nivel,correo,matricula,clave,nombre,carrera,grado,sexo,situacion,evaluados,num_evaluados,total_evaluaciones,ultimo_acceso,nivel_acceso) VALUES (1443,'LICENCIATURA','mariapaula.sandovalpettersen','111621','TOMAR DEL SND','SANDOVAL PETTERSEN MARIA PAULA','NUTRICION Y GASTRONOMIA','2do','FEMENINO','ACTIVO','',0,0,'','ALUMNO');</v>
      </c>
      <c r="M444" t="str">
        <f t="shared" si="26"/>
        <v>update participantes set correo='mariapaula.sandovalpettersen' where id=1443;</v>
      </c>
    </row>
    <row r="445" spans="1:13" x14ac:dyDescent="0.25">
      <c r="A445">
        <f t="shared" si="27"/>
        <v>1444</v>
      </c>
      <c r="B445" s="3" t="s">
        <v>2103</v>
      </c>
      <c r="C445" t="str">
        <f>CONCATENATE("'",ALUMNOS!E448,"'")</f>
        <v>'mariasofia.esparzacontreras'</v>
      </c>
      <c r="D445" t="str">
        <f>CONCATENATE(ALUMNOS!F448,"'")</f>
        <v>'111110'</v>
      </c>
      <c r="E445" t="s">
        <v>2723</v>
      </c>
      <c r="F445" t="str">
        <f>CONCATENATE("'",ALUMNOS!H448,"'")</f>
        <v>'ESPARZA CONTRERAS MARIA SOFIA'</v>
      </c>
      <c r="G445" t="str">
        <f>CONCATENATE("'",ALUMNOS!I448,"'")</f>
        <v>'ADMINISTRACION Y DIRECCION DE NEGOCIOS'</v>
      </c>
      <c r="H445" t="str">
        <f>CONCATENATE("'",ALUMNOS!J448,"'")</f>
        <v>'4to'</v>
      </c>
      <c r="I445" t="str">
        <f>CONCATENATE("'",ALUMNOS!K448,"'")</f>
        <v>'Femenino'</v>
      </c>
      <c r="J445" t="str">
        <f>CONCATENATE("'",ALUMNOS!L448,"'")</f>
        <v>'Activo'</v>
      </c>
      <c r="K445" t="str">
        <f t="shared" si="25"/>
        <v>1444,'LICENCIATURA','mariasofia.esparzacontreras','111110','TOMAR DEL SND','ESPARZA CONTRERAS MARIA SOFIA','ADMINISTRACION Y DIRECCION DE NEGOCIOS','4to','FEMENINO','ACTIVO','',0,0,'','ALUMNO'</v>
      </c>
      <c r="L445" t="str">
        <f t="shared" si="24"/>
        <v>INSERT INTO participantes (id,nivel,correo,matricula,clave,nombre,carrera,grado,sexo,situacion,evaluados,num_evaluados,total_evaluaciones,ultimo_acceso,nivel_acceso) VALUES (1444,'LICENCIATURA','mariasofia.esparzacontreras','111110','TOMAR DEL SND','ESPARZA CONTRERAS MARIA SOFIA','ADMINISTRACION Y DIRECCION DE NEGOCIOS','4to','FEMENINO','ACTIVO','',0,0,'','ALUMNO');</v>
      </c>
      <c r="M445" t="str">
        <f t="shared" si="26"/>
        <v>update participantes set correo='mariasofia.esparzacontreras' where id=1444;</v>
      </c>
    </row>
    <row r="446" spans="1:13" x14ac:dyDescent="0.25">
      <c r="A446">
        <f t="shared" si="27"/>
        <v>1445</v>
      </c>
      <c r="B446" s="3" t="s">
        <v>2103</v>
      </c>
      <c r="C446" t="str">
        <f>CONCATENATE("'",ALUMNOS!E449,"'")</f>
        <v>'marianisabella.ruizmartin'</v>
      </c>
      <c r="D446" t="str">
        <f>CONCATENATE(ALUMNOS!F449,"'")</f>
        <v>'111669'</v>
      </c>
      <c r="E446" t="s">
        <v>2723</v>
      </c>
      <c r="F446" t="str">
        <f>CONCATENATE("'",ALUMNOS!H449,"'")</f>
        <v>'RUIZ MARTIN MARIAN ISABELLA'</v>
      </c>
      <c r="G446" t="str">
        <f>CONCATENATE("'",ALUMNOS!I449,"'")</f>
        <v>'INGENIERIA AEROESPACIAL'</v>
      </c>
      <c r="H446" t="str">
        <f>CONCATENATE("'",ALUMNOS!J449,"'")</f>
        <v>'2do'</v>
      </c>
      <c r="I446" t="str">
        <f>CONCATENATE("'",ALUMNOS!K449,"'")</f>
        <v>'Femenino'</v>
      </c>
      <c r="J446" t="str">
        <f>CONCATENATE("'",ALUMNOS!L449,"'")</f>
        <v>'Activo'</v>
      </c>
      <c r="K446" t="str">
        <f t="shared" si="25"/>
        <v>1445,'LICENCIATURA','marianisabella.ruizmartin','111669','TOMAR DEL SND','RUIZ MARTIN MARIAN ISABELLA','INGENIERIA AEROESPACIAL','2do','FEMENINO','ACTIVO','',0,0,'','ALUMNO'</v>
      </c>
      <c r="L446" t="str">
        <f t="shared" si="24"/>
        <v>INSERT INTO participantes (id,nivel,correo,matricula,clave,nombre,carrera,grado,sexo,situacion,evaluados,num_evaluados,total_evaluaciones,ultimo_acceso,nivel_acceso) VALUES (1445,'LICENCIATURA','marianisabella.ruizmartin','111669','TOMAR DEL SND','RUIZ MARTIN MARIAN ISABELLA','INGENIERIA AEROESPACIAL','2do','FEMENINO','ACTIVO','',0,0,'','ALUMNO');</v>
      </c>
      <c r="M446" t="str">
        <f t="shared" si="26"/>
        <v>update participantes set correo='marianisabella.ruizmartin' where id=1445;</v>
      </c>
    </row>
    <row r="447" spans="1:13" x14ac:dyDescent="0.25">
      <c r="A447">
        <f t="shared" si="27"/>
        <v>1446</v>
      </c>
      <c r="B447" s="3" t="s">
        <v>2103</v>
      </c>
      <c r="C447" t="str">
        <f>CONCATENATE("'",ALUMNOS!E450,"'")</f>
        <v>'mariana.avilaestrada'</v>
      </c>
      <c r="D447" t="str">
        <f>CONCATENATE(ALUMNOS!F450,"'")</f>
        <v>'111116'</v>
      </c>
      <c r="E447" t="s">
        <v>2723</v>
      </c>
      <c r="F447" t="str">
        <f>CONCATENATE("'",ALUMNOS!H450,"'")</f>
        <v>'AVILA ESTRADA MARIANA'</v>
      </c>
      <c r="G447" t="str">
        <f>CONCATENATE("'",ALUMNOS!I450,"'")</f>
        <v>'PSICOLOGIA'</v>
      </c>
      <c r="H447" t="str">
        <f>CONCATENATE("'",ALUMNOS!J450,"'")</f>
        <v>'4to'</v>
      </c>
      <c r="I447" t="str">
        <f>CONCATENATE("'",ALUMNOS!K450,"'")</f>
        <v>'Femenino'</v>
      </c>
      <c r="J447" t="str">
        <f>CONCATENATE("'",ALUMNOS!L450,"'")</f>
        <v>'Activo'</v>
      </c>
      <c r="K447" t="str">
        <f t="shared" si="25"/>
        <v>1446,'LICENCIATURA','mariana.avilaestrada','111116','TOMAR DEL SND','AVILA ESTRADA MARIANA','PSICOLOGIA','4to','FEMENINO','ACTIVO','',0,0,'','ALUMNO'</v>
      </c>
      <c r="L447" t="str">
        <f t="shared" si="24"/>
        <v>INSERT INTO participantes (id,nivel,correo,matricula,clave,nombre,carrera,grado,sexo,situacion,evaluados,num_evaluados,total_evaluaciones,ultimo_acceso,nivel_acceso) VALUES (1446,'LICENCIATURA','mariana.avilaestrada','111116','TOMAR DEL SND','AVILA ESTRADA MARIANA','PSICOLOGIA','4to','FEMENINO','ACTIVO','',0,0,'','ALUMNO');</v>
      </c>
      <c r="M447" t="str">
        <f t="shared" si="26"/>
        <v>update participantes set correo='mariana.avilaestrada' where id=1446;</v>
      </c>
    </row>
    <row r="448" spans="1:13" x14ac:dyDescent="0.25">
      <c r="A448">
        <f t="shared" si="27"/>
        <v>1447</v>
      </c>
      <c r="B448" s="3" t="s">
        <v>2103</v>
      </c>
      <c r="C448" t="str">
        <f>CONCATENATE("'",ALUMNOS!E451,"'")</f>
        <v>'mariana.castroanzoategui'</v>
      </c>
      <c r="D448" t="str">
        <f>CONCATENATE(ALUMNOS!F451,"'")</f>
        <v>'111648'</v>
      </c>
      <c r="E448" t="s">
        <v>2723</v>
      </c>
      <c r="F448" t="str">
        <f>CONCATENATE("'",ALUMNOS!H451,"'")</f>
        <v>'CASTRO ANZOATEGUI MARIANA'</v>
      </c>
      <c r="G448" t="str">
        <f>CONCATENATE("'",ALUMNOS!I451,"'")</f>
        <v>'ARQUITECTURA'</v>
      </c>
      <c r="H448" t="str">
        <f>CONCATENATE("'",ALUMNOS!J451,"'")</f>
        <v>'2do'</v>
      </c>
      <c r="I448" t="str">
        <f>CONCATENATE("'",ALUMNOS!K451,"'")</f>
        <v>'Femenino'</v>
      </c>
      <c r="J448" t="str">
        <f>CONCATENATE("'",ALUMNOS!L451,"'")</f>
        <v>'Activo'</v>
      </c>
      <c r="K448" t="str">
        <f t="shared" si="25"/>
        <v>1447,'LICENCIATURA','mariana.castroanzoategui','111648','TOMAR DEL SND','CASTRO ANZOATEGUI MARIANA','ARQUITECTURA','2do','FEMENINO','ACTIVO','',0,0,'','ALUMNO'</v>
      </c>
      <c r="L448" t="str">
        <f t="shared" si="24"/>
        <v>INSERT INTO participantes (id,nivel,correo,matricula,clave,nombre,carrera,grado,sexo,situacion,evaluados,num_evaluados,total_evaluaciones,ultimo_acceso,nivel_acceso) VALUES (1447,'LICENCIATURA','mariana.castroanzoategui','111648','TOMAR DEL SND','CASTRO ANZOATEGUI MARIANA','ARQUITECTURA','2do','FEMENINO','ACTIVO','',0,0,'','ALUMNO');</v>
      </c>
      <c r="M448" t="str">
        <f t="shared" si="26"/>
        <v>update participantes set correo='mariana.castroanzoategui' where id=1447;</v>
      </c>
    </row>
    <row r="449" spans="1:13" x14ac:dyDescent="0.25">
      <c r="A449">
        <f t="shared" si="27"/>
        <v>1448</v>
      </c>
      <c r="B449" s="3" t="s">
        <v>2103</v>
      </c>
      <c r="C449" t="str">
        <f>CONCATENATE("'",ALUMNOS!E452,"'")</f>
        <v>'mariana.garciavillanueva'</v>
      </c>
      <c r="D449" t="str">
        <f>CONCATENATE(ALUMNOS!F452,"'")</f>
        <v>'111052'</v>
      </c>
      <c r="E449" t="s">
        <v>2723</v>
      </c>
      <c r="F449" t="str">
        <f>CONCATENATE("'",ALUMNOS!H452,"'")</f>
        <v>'GARCIA VILLANUEVA MARIANA'</v>
      </c>
      <c r="G449" t="str">
        <f>CONCATENATE("'",ALUMNOS!I452,"'")</f>
        <v>'ARQUITECTURA'</v>
      </c>
      <c r="H449" t="str">
        <f>CONCATENATE("'",ALUMNOS!J452,"'")</f>
        <v>'4to'</v>
      </c>
      <c r="I449" t="str">
        <f>CONCATENATE("'",ALUMNOS!K452,"'")</f>
        <v>'Femenino'</v>
      </c>
      <c r="J449" t="str">
        <f>CONCATENATE("'",ALUMNOS!L452,"'")</f>
        <v>'Activo'</v>
      </c>
      <c r="K449" t="str">
        <f t="shared" si="25"/>
        <v>1448,'LICENCIATURA','mariana.garciavillanueva','111052','TOMAR DEL SND','GARCIA VILLANUEVA MARIANA','ARQUITECTURA','4to','FEMENINO','ACTIVO','',0,0,'','ALUMNO'</v>
      </c>
      <c r="L449" t="str">
        <f t="shared" si="24"/>
        <v>INSERT INTO participantes (id,nivel,correo,matricula,clave,nombre,carrera,grado,sexo,situacion,evaluados,num_evaluados,total_evaluaciones,ultimo_acceso,nivel_acceso) VALUES (1448,'LICENCIATURA','mariana.garciavillanueva','111052','TOMAR DEL SND','GARCIA VILLANUEVA MARIANA','ARQUITECTURA','4to','FEMENINO','ACTIVO','',0,0,'','ALUMNO');</v>
      </c>
      <c r="M449" t="str">
        <f t="shared" si="26"/>
        <v>update participantes set correo='mariana.garciavillanueva' where id=1448;</v>
      </c>
    </row>
    <row r="450" spans="1:13" x14ac:dyDescent="0.25">
      <c r="A450">
        <f t="shared" si="27"/>
        <v>1449</v>
      </c>
      <c r="B450" s="3" t="s">
        <v>2103</v>
      </c>
      <c r="C450" t="str">
        <f>CONCATENATE("'",ALUMNOS!E453,"'")</f>
        <v>'mariana.torrescamacho'</v>
      </c>
      <c r="D450" t="str">
        <f>CONCATENATE(ALUMNOS!F453,"'")</f>
        <v>'111098'</v>
      </c>
      <c r="E450" t="s">
        <v>2723</v>
      </c>
      <c r="F450" t="str">
        <f>CONCATENATE("'",ALUMNOS!H453,"'")</f>
        <v>'TORRES CAMACHO MARIANA'</v>
      </c>
      <c r="G450" t="str">
        <f>CONCATENATE("'",ALUMNOS!I453,"'")</f>
        <v>'PSICOLOGIA'</v>
      </c>
      <c r="H450" t="str">
        <f>CONCATENATE("'",ALUMNOS!J453,"'")</f>
        <v>'4to'</v>
      </c>
      <c r="I450" t="str">
        <f>CONCATENATE("'",ALUMNOS!K453,"'")</f>
        <v>'Femenino'</v>
      </c>
      <c r="J450" t="str">
        <f>CONCATENATE("'",ALUMNOS!L453,"'")</f>
        <v>'Activo'</v>
      </c>
      <c r="K450" t="str">
        <f t="shared" si="25"/>
        <v>1449,'LICENCIATURA','mariana.torrescamacho','111098','TOMAR DEL SND','TORRES CAMACHO MARIANA','PSICOLOGIA','4to','FEMENINO','ACTIVO','',0,0,'','ALUMNO'</v>
      </c>
      <c r="L450" t="str">
        <f t="shared" ref="L450:L513" si="28">CONCATENATE($K$1,K450,");")</f>
        <v>INSERT INTO participantes (id,nivel,correo,matricula,clave,nombre,carrera,grado,sexo,situacion,evaluados,num_evaluados,total_evaluaciones,ultimo_acceso,nivel_acceso) VALUES (1449,'LICENCIATURA','mariana.torrescamacho','111098','TOMAR DEL SND','TORRES CAMACHO MARIANA','PSICOLOGIA','4to','FEMENINO','ACTIVO','',0,0,'','ALUMNO');</v>
      </c>
      <c r="M450" t="str">
        <f t="shared" si="26"/>
        <v>update participantes set correo='mariana.torrescamacho' where id=1449;</v>
      </c>
    </row>
    <row r="451" spans="1:13" x14ac:dyDescent="0.25">
      <c r="A451">
        <f t="shared" si="27"/>
        <v>1450</v>
      </c>
      <c r="B451" s="3" t="s">
        <v>2103</v>
      </c>
      <c r="C451" t="str">
        <f>CONCATENATE("'",ALUMNOS!E454,"'")</f>
        <v>'marianaalejandra.gaytanorozco'</v>
      </c>
      <c r="D451" t="str">
        <f>CONCATENATE(ALUMNOS!F454,"'")</f>
        <v>'109317'</v>
      </c>
      <c r="E451" t="s">
        <v>2723</v>
      </c>
      <c r="F451" t="str">
        <f>CONCATENATE("'",ALUMNOS!H454,"'")</f>
        <v>'GAYTAN OROZCO MARIANA ALEJANDRA'</v>
      </c>
      <c r="G451" t="str">
        <f>CONCATENATE("'",ALUMNOS!I454,"'")</f>
        <v>'ADMINISTRACION Y DIRECCION DE NEGOCIOS'</v>
      </c>
      <c r="H451" t="str">
        <f>CONCATENATE("'",ALUMNOS!J454,"'")</f>
        <v>'8vo'</v>
      </c>
      <c r="I451" t="str">
        <f>CONCATENATE("'",ALUMNOS!K454,"'")</f>
        <v>'Femenino'</v>
      </c>
      <c r="J451" t="str">
        <f>CONCATENATE("'",ALUMNOS!L454,"'")</f>
        <v>'Reingreso'</v>
      </c>
      <c r="K451" t="str">
        <f t="shared" ref="K451:K514" si="29">CONCATENATE(A451,",",B451,",",C451,",",D451,",'",E451,",",F451,",",G451,",",H451,",",UPPER(I451),",",UPPER(J451),",'',0,0,'','ALUMNO'")</f>
        <v>1450,'LICENCIATURA','marianaalejandra.gaytanorozco','109317','TOMAR DEL SND','GAYTAN OROZCO MARIANA ALEJANDRA','ADMINISTRACION Y DIRECCION DE NEGOCIOS','8vo','FEMENINO','REINGRESO','',0,0,'','ALUMNO'</v>
      </c>
      <c r="L451" t="str">
        <f t="shared" si="28"/>
        <v>INSERT INTO participantes (id,nivel,correo,matricula,clave,nombre,carrera,grado,sexo,situacion,evaluados,num_evaluados,total_evaluaciones,ultimo_acceso,nivel_acceso) VALUES (1450,'LICENCIATURA','marianaalejandra.gaytanorozco','109317','TOMAR DEL SND','GAYTAN OROZCO MARIANA ALEJANDRA','ADMINISTRACION Y DIRECCION DE NEGOCIOS','8vo','FEMENINO','REINGRESO','',0,0,'','ALUMNO');</v>
      </c>
      <c r="M451" t="str">
        <f t="shared" ref="M451:M514" si="30">CONCATENATE("update participantes set correo=",C451," where id=",A451,";")</f>
        <v>update participantes set correo='marianaalejandra.gaytanorozco' where id=1450;</v>
      </c>
    </row>
    <row r="452" spans="1:13" x14ac:dyDescent="0.25">
      <c r="A452">
        <f t="shared" ref="A452:A515" si="31">A451+1</f>
        <v>1451</v>
      </c>
      <c r="B452" s="3" t="s">
        <v>2103</v>
      </c>
      <c r="C452" t="str">
        <f>CONCATENATE("'",ALUMNOS!E455,"'")</f>
        <v>'marianaitzel.floresramirez'</v>
      </c>
      <c r="D452" t="str">
        <f>CONCATENATE(ALUMNOS!F455,"'")</f>
        <v>'007521'</v>
      </c>
      <c r="E452" t="s">
        <v>2723</v>
      </c>
      <c r="F452" t="str">
        <f>CONCATENATE("'",ALUMNOS!H455,"'")</f>
        <v>'FLORES RAMIREZ MARIANA ITZEL'</v>
      </c>
      <c r="G452" t="str">
        <f>CONCATENATE("'",ALUMNOS!I455,"'")</f>
        <v>'ARQUITECTURA'</v>
      </c>
      <c r="H452" t="str">
        <f>CONCATENATE("'",ALUMNOS!J455,"'")</f>
        <v>'4to'</v>
      </c>
      <c r="I452" t="str">
        <f>CONCATENATE("'",ALUMNOS!K455,"'")</f>
        <v>'Femenino'</v>
      </c>
      <c r="J452" t="str">
        <f>CONCATENATE("'",ALUMNOS!L455,"'")</f>
        <v>'Activo'</v>
      </c>
      <c r="K452" t="str">
        <f t="shared" si="29"/>
        <v>1451,'LICENCIATURA','marianaitzel.floresramirez','007521','TOMAR DEL SND','FLORES RAMIREZ MARIANA ITZEL','ARQUITECTURA','4to','FEMENINO','ACTIVO','',0,0,'','ALUMNO'</v>
      </c>
      <c r="L452" t="str">
        <f t="shared" si="28"/>
        <v>INSERT INTO participantes (id,nivel,correo,matricula,clave,nombre,carrera,grado,sexo,situacion,evaluados,num_evaluados,total_evaluaciones,ultimo_acceso,nivel_acceso) VALUES (1451,'LICENCIATURA','marianaitzel.floresramirez','007521','TOMAR DEL SND','FLORES RAMIREZ MARIANA ITZEL','ARQUITECTURA','4to','FEMENINO','ACTIVO','',0,0,'','ALUMNO');</v>
      </c>
      <c r="M452" t="str">
        <f t="shared" si="30"/>
        <v>update participantes set correo='marianaitzel.floresramirez' where id=1451;</v>
      </c>
    </row>
    <row r="453" spans="1:13" x14ac:dyDescent="0.25">
      <c r="A453">
        <f t="shared" si="31"/>
        <v>1452</v>
      </c>
      <c r="B453" s="3" t="s">
        <v>2103</v>
      </c>
      <c r="C453" t="str">
        <f>CONCATENATE("'",ALUMNOS!E456,"'")</f>
        <v>'marianajoselyne.jassoespinosa'</v>
      </c>
      <c r="D453" t="str">
        <f>CONCATENATE(ALUMNOS!F456,"'")</f>
        <v>'111632'</v>
      </c>
      <c r="E453" t="s">
        <v>2723</v>
      </c>
      <c r="F453" t="str">
        <f>CONCATENATE("'",ALUMNOS!H456,"'")</f>
        <v>'JASSO ESPINOSA MARIANA JOSELYNE'</v>
      </c>
      <c r="G453" t="str">
        <f>CONCATENATE("'",ALUMNOS!I456,"'")</f>
        <v>'INGENIERIA AEROESPACIAL'</v>
      </c>
      <c r="H453" t="str">
        <f>CONCATENATE("'",ALUMNOS!J456,"'")</f>
        <v>'2do'</v>
      </c>
      <c r="I453" t="str">
        <f>CONCATENATE("'",ALUMNOS!K456,"'")</f>
        <v>'Femenino'</v>
      </c>
      <c r="J453" t="str">
        <f>CONCATENATE("'",ALUMNOS!L456,"'")</f>
        <v>'Activo'</v>
      </c>
      <c r="K453" t="str">
        <f t="shared" si="29"/>
        <v>1452,'LICENCIATURA','marianajoselyne.jassoespinosa','111632','TOMAR DEL SND','JASSO ESPINOSA MARIANA JOSELYNE','INGENIERIA AEROESPACIAL','2do','FEMENINO','ACTIVO','',0,0,'','ALUMNO'</v>
      </c>
      <c r="L453" t="str">
        <f t="shared" si="28"/>
        <v>INSERT INTO participantes (id,nivel,correo,matricula,clave,nombre,carrera,grado,sexo,situacion,evaluados,num_evaluados,total_evaluaciones,ultimo_acceso,nivel_acceso) VALUES (1452,'LICENCIATURA','marianajoselyne.jassoespinosa','111632','TOMAR DEL SND','JASSO ESPINOSA MARIANA JOSELYNE','INGENIERIA AEROESPACIAL','2do','FEMENINO','ACTIVO','',0,0,'','ALUMNO');</v>
      </c>
      <c r="M453" t="str">
        <f t="shared" si="30"/>
        <v>update participantes set correo='marianajoselyne.jassoespinosa' where id=1452;</v>
      </c>
    </row>
    <row r="454" spans="1:13" x14ac:dyDescent="0.25">
      <c r="A454">
        <f t="shared" si="31"/>
        <v>1453</v>
      </c>
      <c r="B454" s="3" t="s">
        <v>2103</v>
      </c>
      <c r="C454" t="str">
        <f>CONCATENATE("'",ALUMNOS!E457,"'")</f>
        <v>'mariangel.floresaguilar'</v>
      </c>
      <c r="D454" t="str">
        <f>CONCATENATE(ALUMNOS!F457,"'")</f>
        <v>'111065'</v>
      </c>
      <c r="E454" t="s">
        <v>2723</v>
      </c>
      <c r="F454" t="str">
        <f>CONCATENATE("'",ALUMNOS!H457,"'")</f>
        <v>'FLORES AGUILAR MARIANGEL'</v>
      </c>
      <c r="G454" t="str">
        <f>CONCATENATE("'",ALUMNOS!I457,"'")</f>
        <v>'NUTRICION Y GASTRONOMIA'</v>
      </c>
      <c r="H454" t="str">
        <f>CONCATENATE("'",ALUMNOS!J457,"'")</f>
        <v>'4to'</v>
      </c>
      <c r="I454" t="str">
        <f>CONCATENATE("'",ALUMNOS!K457,"'")</f>
        <v>'Femenino'</v>
      </c>
      <c r="J454" t="str">
        <f>CONCATENATE("'",ALUMNOS!L457,"'")</f>
        <v>'Activo'</v>
      </c>
      <c r="K454" t="str">
        <f t="shared" si="29"/>
        <v>1453,'LICENCIATURA','mariangel.floresaguilar','111065','TOMAR DEL SND','FLORES AGUILAR MARIANGEL','NUTRICION Y GASTRONOMIA','4to','FEMENINO','ACTIVO','',0,0,'','ALUMNO'</v>
      </c>
      <c r="L454" t="str">
        <f t="shared" si="28"/>
        <v>INSERT INTO participantes (id,nivel,correo,matricula,clave,nombre,carrera,grado,sexo,situacion,evaluados,num_evaluados,total_evaluaciones,ultimo_acceso,nivel_acceso) VALUES (1453,'LICENCIATURA','mariangel.floresaguilar','111065','TOMAR DEL SND','FLORES AGUILAR MARIANGEL','NUTRICION Y GASTRONOMIA','4to','FEMENINO','ACTIVO','',0,0,'','ALUMNO');</v>
      </c>
      <c r="M454" t="str">
        <f t="shared" si="30"/>
        <v>update participantes set correo='mariangel.floresaguilar' where id=1453;</v>
      </c>
    </row>
    <row r="455" spans="1:13" x14ac:dyDescent="0.25">
      <c r="A455">
        <f t="shared" si="31"/>
        <v>1454</v>
      </c>
      <c r="B455" s="3" t="s">
        <v>2103</v>
      </c>
      <c r="C455" t="str">
        <f>CONCATENATE("'",ALUMNOS!E458,"'")</f>
        <v>'marianne.olmedocasillas'</v>
      </c>
      <c r="D455" t="str">
        <f>CONCATENATE(ALUMNOS!F458,"'")</f>
        <v>'110532'</v>
      </c>
      <c r="E455" t="s">
        <v>2723</v>
      </c>
      <c r="F455" t="str">
        <f>CONCATENATE("'",ALUMNOS!H458,"'")</f>
        <v>'OLMEDO CASILLAS MARIANNE'</v>
      </c>
      <c r="G455" t="str">
        <f>CONCATENATE("'",ALUMNOS!I458,"'")</f>
        <v>'ANIMACION DIGITAL Y VIDEOJUEGOS'</v>
      </c>
      <c r="H455" t="str">
        <f>CONCATENATE("'",ALUMNOS!J458,"'")</f>
        <v>'6to'</v>
      </c>
      <c r="I455" t="str">
        <f>CONCATENATE("'",ALUMNOS!K458,"'")</f>
        <v>'Femenino'</v>
      </c>
      <c r="J455" t="str">
        <f>CONCATENATE("'",ALUMNOS!L458,"'")</f>
        <v>'Activo'</v>
      </c>
      <c r="K455" t="str">
        <f t="shared" si="29"/>
        <v>1454,'LICENCIATURA','marianne.olmedocasillas','110532','TOMAR DEL SND','OLMEDO CASILLAS MARIANNE','ANIMACION DIGITAL Y VIDEOJUEGOS','6to','FEMENINO','ACTIVO','',0,0,'','ALUMNO'</v>
      </c>
      <c r="L455" t="str">
        <f t="shared" si="28"/>
        <v>INSERT INTO participantes (id,nivel,correo,matricula,clave,nombre,carrera,grado,sexo,situacion,evaluados,num_evaluados,total_evaluaciones,ultimo_acceso,nivel_acceso) VALUES (1454,'LICENCIATURA','marianne.olmedocasillas','110532','TOMAR DEL SND','OLMEDO CASILLAS MARIANNE','ANIMACION DIGITAL Y VIDEOJUEGOS','6to','FEMENINO','ACTIVO','',0,0,'','ALUMNO');</v>
      </c>
      <c r="M455" t="str">
        <f t="shared" si="30"/>
        <v>update participantes set correo='marianne.olmedocasillas' where id=1454;</v>
      </c>
    </row>
    <row r="456" spans="1:13" x14ac:dyDescent="0.25">
      <c r="A456">
        <f t="shared" si="31"/>
        <v>1455</v>
      </c>
      <c r="B456" s="3" t="s">
        <v>2103</v>
      </c>
      <c r="C456" t="str">
        <f>CONCATENATE("'",ALUMNOS!E459,"'")</f>
        <v>'mariano.martinezbuenrostro'</v>
      </c>
      <c r="D456" t="str">
        <f>CONCATENATE(ALUMNOS!F459,"'")</f>
        <v>'111037'</v>
      </c>
      <c r="E456" t="s">
        <v>2723</v>
      </c>
      <c r="F456" t="str">
        <f>CONCATENATE("'",ALUMNOS!H459,"'")</f>
        <v>'MARTINEZ BUENROSTRO MARIANO'</v>
      </c>
      <c r="G456" t="str">
        <f>CONCATENATE("'",ALUMNOS!I459,"'")</f>
        <v>'ANIMACION DIGITAL Y VIDEOJUEGOS'</v>
      </c>
      <c r="H456" t="str">
        <f>CONCATENATE("'",ALUMNOS!J459,"'")</f>
        <v>'4to'</v>
      </c>
      <c r="I456" t="str">
        <f>CONCATENATE("'",ALUMNOS!K459,"'")</f>
        <v>'Masculino'</v>
      </c>
      <c r="J456" t="str">
        <f>CONCATENATE("'",ALUMNOS!L459,"'")</f>
        <v>'Activo'</v>
      </c>
      <c r="K456" t="str">
        <f t="shared" si="29"/>
        <v>1455,'LICENCIATURA','mariano.martinezbuenrostro','111037','TOMAR DEL SND','MARTINEZ BUENROSTRO MARIANO','ANIMACION DIGITAL Y VIDEOJUEGOS','4to','MASCULINO','ACTIVO','',0,0,'','ALUMNO'</v>
      </c>
      <c r="L456" t="str">
        <f t="shared" si="28"/>
        <v>INSERT INTO participantes (id,nivel,correo,matricula,clave,nombre,carrera,grado,sexo,situacion,evaluados,num_evaluados,total_evaluaciones,ultimo_acceso,nivel_acceso) VALUES (1455,'LICENCIATURA','mariano.martinezbuenrostro','111037','TOMAR DEL SND','MARTINEZ BUENROSTRO MARIANO','ANIMACION DIGITAL Y VIDEOJUEGOS','4to','MASCULINO','ACTIVO','',0,0,'','ALUMNO');</v>
      </c>
      <c r="M456" t="str">
        <f t="shared" si="30"/>
        <v>update participantes set correo='mariano.martinezbuenrostro' where id=1455;</v>
      </c>
    </row>
    <row r="457" spans="1:13" x14ac:dyDescent="0.25">
      <c r="A457">
        <f t="shared" si="31"/>
        <v>1456</v>
      </c>
      <c r="B457" s="3" t="s">
        <v>2103</v>
      </c>
      <c r="C457" t="str">
        <f>CONCATENATE("'",ALUMNOS!E460,"'")</f>
        <v>'marielcarolina.gonzalezcampos'</v>
      </c>
      <c r="D457" t="str">
        <f>CONCATENATE(ALUMNOS!F460,"'")</f>
        <v>'111823'</v>
      </c>
      <c r="E457" t="s">
        <v>2723</v>
      </c>
      <c r="F457" t="str">
        <f>CONCATENATE("'",ALUMNOS!H460,"'")</f>
        <v>'GONZALEZ CAMPOS MARIEL CAROLINA'</v>
      </c>
      <c r="G457" t="str">
        <f>CONCATENATE("'",ALUMNOS!I460,"'")</f>
        <v>'ARQUITECTURA'</v>
      </c>
      <c r="H457" t="str">
        <f>CONCATENATE("'",ALUMNOS!J460,"'")</f>
        <v>'2do'</v>
      </c>
      <c r="I457" t="str">
        <f>CONCATENATE("'",ALUMNOS!K460,"'")</f>
        <v>'Femenino'</v>
      </c>
      <c r="J457" t="str">
        <f>CONCATENATE("'",ALUMNOS!L460,"'")</f>
        <v>'Activo'</v>
      </c>
      <c r="K457" t="str">
        <f t="shared" si="29"/>
        <v>1456,'LICENCIATURA','marielcarolina.gonzalezcampos','111823','TOMAR DEL SND','GONZALEZ CAMPOS MARIEL CAROLINA','ARQUITECTURA','2do','FEMENINO','ACTIVO','',0,0,'','ALUMNO'</v>
      </c>
      <c r="L457" t="str">
        <f t="shared" si="28"/>
        <v>INSERT INTO participantes (id,nivel,correo,matricula,clave,nombre,carrera,grado,sexo,situacion,evaluados,num_evaluados,total_evaluaciones,ultimo_acceso,nivel_acceso) VALUES (1456,'LICENCIATURA','marielcarolina.gonzalezcampos','111823','TOMAR DEL SND','GONZALEZ CAMPOS MARIEL CAROLINA','ARQUITECTURA','2do','FEMENINO','ACTIVO','',0,0,'','ALUMNO');</v>
      </c>
      <c r="M457" t="str">
        <f t="shared" si="30"/>
        <v>update participantes set correo='marielcarolina.gonzalezcampos' where id=1456;</v>
      </c>
    </row>
    <row r="458" spans="1:13" x14ac:dyDescent="0.25">
      <c r="A458">
        <f t="shared" si="31"/>
        <v>1457</v>
      </c>
      <c r="B458" s="3" t="s">
        <v>2103</v>
      </c>
      <c r="C458" t="str">
        <f>CONCATENATE("'",ALUMNOS!E461,"'")</f>
        <v>'marifer.gomezmurguia'</v>
      </c>
      <c r="D458" t="str">
        <f>CONCATENATE(ALUMNOS!F461,"'")</f>
        <v>'111078'</v>
      </c>
      <c r="E458" t="s">
        <v>2723</v>
      </c>
      <c r="F458" t="str">
        <f>CONCATENATE("'",ALUMNOS!H461,"'")</f>
        <v>'GOMEZ MURGUIA MARIFER'</v>
      </c>
      <c r="G458" t="str">
        <f>CONCATENATE("'",ALUMNOS!I461,"'")</f>
        <v>'DISEÑO GRAFICO Y DIGITAL'</v>
      </c>
      <c r="H458" t="str">
        <f>CONCATENATE("'",ALUMNOS!J461,"'")</f>
        <v>'4to'</v>
      </c>
      <c r="I458" t="str">
        <f>CONCATENATE("'",ALUMNOS!K461,"'")</f>
        <v>'Femenino'</v>
      </c>
      <c r="J458" t="str">
        <f>CONCATENATE("'",ALUMNOS!L461,"'")</f>
        <v>'Activo'</v>
      </c>
      <c r="K458" t="str">
        <f t="shared" si="29"/>
        <v>1457,'LICENCIATURA','marifer.gomezmurguia','111078','TOMAR DEL SND','GOMEZ MURGUIA MARIFER','DISEÑO GRAFICO Y DIGITAL','4to','FEMENINO','ACTIVO','',0,0,'','ALUMNO'</v>
      </c>
      <c r="L458" t="str">
        <f t="shared" si="28"/>
        <v>INSERT INTO participantes (id,nivel,correo,matricula,clave,nombre,carrera,grado,sexo,situacion,evaluados,num_evaluados,total_evaluaciones,ultimo_acceso,nivel_acceso) VALUES (1457,'LICENCIATURA','marifer.gomezmurguia','111078','TOMAR DEL SND','GOMEZ MURGUIA MARIFER','DISEÑO GRAFICO Y DIGITAL','4to','FEMENINO','ACTIVO','',0,0,'','ALUMNO');</v>
      </c>
      <c r="M458" t="str">
        <f t="shared" si="30"/>
        <v>update participantes set correo='marifer.gomezmurguia' where id=1457;</v>
      </c>
    </row>
    <row r="459" spans="1:13" x14ac:dyDescent="0.25">
      <c r="A459">
        <f t="shared" si="31"/>
        <v>1458</v>
      </c>
      <c r="B459" s="3" t="s">
        <v>2103</v>
      </c>
      <c r="C459" t="str">
        <f>CONCATENATE("'",ALUMNOS!E462,"'")</f>
        <v>'marioarturo.gaytanorozco'</v>
      </c>
      <c r="D459" t="str">
        <f>CONCATENATE(ALUMNOS!F462,"'")</f>
        <v>'110561'</v>
      </c>
      <c r="E459" t="s">
        <v>2723</v>
      </c>
      <c r="F459" t="str">
        <f>CONCATENATE("'",ALUMNOS!H462,"'")</f>
        <v>'GAYTAN OROZCO MARIO ARTURO'</v>
      </c>
      <c r="G459" t="str">
        <f>CONCATENATE("'",ALUMNOS!I462,"'")</f>
        <v>'INGENIERIA CIBERNETICA Y EN SISTEMAS COMPUTACIONALES'</v>
      </c>
      <c r="H459" t="str">
        <f>CONCATENATE("'",ALUMNOS!J462,"'")</f>
        <v>'6to'</v>
      </c>
      <c r="I459" t="str">
        <f>CONCATENATE("'",ALUMNOS!K462,"'")</f>
        <v>'Masculino'</v>
      </c>
      <c r="J459" t="str">
        <f>CONCATENATE("'",ALUMNOS!L462,"'")</f>
        <v>'Activo'</v>
      </c>
      <c r="K459" t="str">
        <f t="shared" si="29"/>
        <v>1458,'LICENCIATURA','marioarturo.gaytanorozco','110561','TOMAR DEL SND','GAYTAN OROZCO MARIO ARTURO','INGENIERIA CIBERNETICA Y EN SISTEMAS COMPUTACIONALES','6to','MASCULINO','ACTIVO','',0,0,'','ALUMNO'</v>
      </c>
      <c r="L459" t="str">
        <f t="shared" si="28"/>
        <v>INSERT INTO participantes (id,nivel,correo,matricula,clave,nombre,carrera,grado,sexo,situacion,evaluados,num_evaluados,total_evaluaciones,ultimo_acceso,nivel_acceso) VALUES (1458,'LICENCIATURA','marioarturo.gaytanorozco','110561','TOMAR DEL SND','GAYTAN OROZCO MARIO ARTURO','INGENIERIA CIBERNETICA Y EN SISTEMAS COMPUTACIONALES','6to','MASCULINO','ACTIVO','',0,0,'','ALUMNO');</v>
      </c>
      <c r="M459" t="str">
        <f t="shared" si="30"/>
        <v>update participantes set correo='marioarturo.gaytanorozco' where id=1458;</v>
      </c>
    </row>
    <row r="460" spans="1:13" x14ac:dyDescent="0.25">
      <c r="A460">
        <f t="shared" si="31"/>
        <v>1459</v>
      </c>
      <c r="B460" s="3" t="s">
        <v>2103</v>
      </c>
      <c r="C460" t="str">
        <f>CONCATENATE("'",ALUMNOS!E463,"'")</f>
        <v>'marioisaias.gomezramos'</v>
      </c>
      <c r="D460" t="str">
        <f>CONCATENATE(ALUMNOS!F463,"'")</f>
        <v>'111032'</v>
      </c>
      <c r="E460" t="s">
        <v>2723</v>
      </c>
      <c r="F460" t="str">
        <f>CONCATENATE("'",ALUMNOS!H463,"'")</f>
        <v>'GOMEZ RAMOS MARIO ISAIAS'</v>
      </c>
      <c r="G460" t="str">
        <f>CONCATENATE("'",ALUMNOS!I463,"'")</f>
        <v>'NUTRICION Y GASTRONOMIA'</v>
      </c>
      <c r="H460" t="str">
        <f>CONCATENATE("'",ALUMNOS!J463,"'")</f>
        <v>'4to'</v>
      </c>
      <c r="I460" t="str">
        <f>CONCATENATE("'",ALUMNOS!K463,"'")</f>
        <v>'Masculino'</v>
      </c>
      <c r="J460" t="str">
        <f>CONCATENATE("'",ALUMNOS!L463,"'")</f>
        <v>'Activo'</v>
      </c>
      <c r="K460" t="str">
        <f t="shared" si="29"/>
        <v>1459,'LICENCIATURA','marioisaias.gomezramos','111032','TOMAR DEL SND','GOMEZ RAMOS MARIO ISAIAS','NUTRICION Y GASTRONOMIA','4to','MASCULINO','ACTIVO','',0,0,'','ALUMNO'</v>
      </c>
      <c r="L460" t="str">
        <f t="shared" si="28"/>
        <v>INSERT INTO participantes (id,nivel,correo,matricula,clave,nombre,carrera,grado,sexo,situacion,evaluados,num_evaluados,total_evaluaciones,ultimo_acceso,nivel_acceso) VALUES (1459,'LICENCIATURA','marioisaias.gomezramos','111032','TOMAR DEL SND','GOMEZ RAMOS MARIO ISAIAS','NUTRICION Y GASTRONOMIA','4to','MASCULINO','ACTIVO','',0,0,'','ALUMNO');</v>
      </c>
      <c r="M460" t="str">
        <f t="shared" si="30"/>
        <v>update participantes set correo='marioisaias.gomezramos' where id=1459;</v>
      </c>
    </row>
    <row r="461" spans="1:13" x14ac:dyDescent="0.25">
      <c r="A461">
        <f t="shared" si="31"/>
        <v>1460</v>
      </c>
      <c r="B461" s="3" t="s">
        <v>2103</v>
      </c>
      <c r="C461" t="str">
        <f>CONCATENATE("'",ALUMNOS!E464,"'")</f>
        <v>'mariojesus.ramirezmorales'</v>
      </c>
      <c r="D461" t="str">
        <f>CONCATENATE(ALUMNOS!F464,"'")</f>
        <v>'109816'</v>
      </c>
      <c r="E461" t="s">
        <v>2723</v>
      </c>
      <c r="F461" t="str">
        <f>CONCATENATE("'",ALUMNOS!H464,"'")</f>
        <v>'RAMIREZ MORALES MARIO JESUS'</v>
      </c>
      <c r="G461" t="str">
        <f>CONCATENATE("'",ALUMNOS!I464,"'")</f>
        <v>'ANIMACION DIGITAL Y VIDEOJUEGOS'</v>
      </c>
      <c r="H461" t="str">
        <f>CONCATENATE("'",ALUMNOS!J464,"'")</f>
        <v>'8vo'</v>
      </c>
      <c r="I461" t="str">
        <f>CONCATENATE("'",ALUMNOS!K464,"'")</f>
        <v>'Masculino'</v>
      </c>
      <c r="J461" t="str">
        <f>CONCATENATE("'",ALUMNOS!L464,"'")</f>
        <v>'Activo'</v>
      </c>
      <c r="K461" t="str">
        <f t="shared" si="29"/>
        <v>1460,'LICENCIATURA','mariojesus.ramirezmorales','109816','TOMAR DEL SND','RAMIREZ MORALES MARIO JESUS','ANIMACION DIGITAL Y VIDEOJUEGOS','8vo','MASCULINO','ACTIVO','',0,0,'','ALUMNO'</v>
      </c>
      <c r="L461" t="str">
        <f t="shared" si="28"/>
        <v>INSERT INTO participantes (id,nivel,correo,matricula,clave,nombre,carrera,grado,sexo,situacion,evaluados,num_evaluados,total_evaluaciones,ultimo_acceso,nivel_acceso) VALUES (1460,'LICENCIATURA','mariojesus.ramirezmorales','109816','TOMAR DEL SND','RAMIREZ MORALES MARIO JESUS','ANIMACION DIGITAL Y VIDEOJUEGOS','8vo','MASCULINO','ACTIVO','',0,0,'','ALUMNO');</v>
      </c>
      <c r="M461" t="str">
        <f t="shared" si="30"/>
        <v>update participantes set correo='mariojesus.ramirezmorales' where id=1460;</v>
      </c>
    </row>
    <row r="462" spans="1:13" x14ac:dyDescent="0.25">
      <c r="A462">
        <f t="shared" si="31"/>
        <v>1461</v>
      </c>
      <c r="B462" s="3" t="s">
        <v>2103</v>
      </c>
      <c r="C462" t="str">
        <f>CONCATENATE("'",ALUMNOS!E465,"'")</f>
        <v>'marisol.alvagonzalez'</v>
      </c>
      <c r="D462" t="str">
        <f>CONCATENATE(ALUMNOS!F465,"'")</f>
        <v>'109989'</v>
      </c>
      <c r="E462" t="s">
        <v>2723</v>
      </c>
      <c r="F462" t="str">
        <f>CONCATENATE("'",ALUMNOS!H465,"'")</f>
        <v>'ALVA GONZALEZ MARISOL'</v>
      </c>
      <c r="G462" t="str">
        <f>CONCATENATE("'",ALUMNOS!I465,"'")</f>
        <v>'ANIMACION DIGITAL Y VIDEOJUEGOS'</v>
      </c>
      <c r="H462" t="str">
        <f>CONCATENATE("'",ALUMNOS!J465,"'")</f>
        <v>'8vo'</v>
      </c>
      <c r="I462" t="str">
        <f>CONCATENATE("'",ALUMNOS!K465,"'")</f>
        <v>'Femenino'</v>
      </c>
      <c r="J462" t="str">
        <f>CONCATENATE("'",ALUMNOS!L465,"'")</f>
        <v>'Activo'</v>
      </c>
      <c r="K462" t="str">
        <f t="shared" si="29"/>
        <v>1461,'LICENCIATURA','marisol.alvagonzalez','109989','TOMAR DEL SND','ALVA GONZALEZ MARISOL','ANIMACION DIGITAL Y VIDEOJUEGOS','8vo','FEMENINO','ACTIVO','',0,0,'','ALUMNO'</v>
      </c>
      <c r="L462" t="str">
        <f t="shared" si="28"/>
        <v>INSERT INTO participantes (id,nivel,correo,matricula,clave,nombre,carrera,grado,sexo,situacion,evaluados,num_evaluados,total_evaluaciones,ultimo_acceso,nivel_acceso) VALUES (1461,'LICENCIATURA','marisol.alvagonzalez','109989','TOMAR DEL SND','ALVA GONZALEZ MARISOL','ANIMACION DIGITAL Y VIDEOJUEGOS','8vo','FEMENINO','ACTIVO','',0,0,'','ALUMNO');</v>
      </c>
      <c r="M462" t="str">
        <f t="shared" si="30"/>
        <v>update participantes set correo='marisol.alvagonzalez' where id=1461;</v>
      </c>
    </row>
    <row r="463" spans="1:13" x14ac:dyDescent="0.25">
      <c r="A463">
        <f t="shared" si="31"/>
        <v>1462</v>
      </c>
      <c r="B463" s="3" t="s">
        <v>2103</v>
      </c>
      <c r="C463" t="str">
        <f>CONCATENATE("'",ALUMNOS!E466,"'")</f>
        <v>'marisol.guzmanmoreno'</v>
      </c>
      <c r="D463" t="str">
        <f>CONCATENATE(ALUMNOS!F466,"'")</f>
        <v>'111251'</v>
      </c>
      <c r="E463" t="s">
        <v>2723</v>
      </c>
      <c r="F463" t="str">
        <f>CONCATENATE("'",ALUMNOS!H466,"'")</f>
        <v>'GUZMAN MORENO MARISOL'</v>
      </c>
      <c r="G463" t="str">
        <f>CONCATENATE("'",ALUMNOS!I466,"'")</f>
        <v>'ANIMACION DIGITAL Y VIDEOJUEGOS'</v>
      </c>
      <c r="H463" t="str">
        <f>CONCATENATE("'",ALUMNOS!J466,"'")</f>
        <v>'4to'</v>
      </c>
      <c r="I463" t="str">
        <f>CONCATENATE("'",ALUMNOS!K466,"'")</f>
        <v>'Femenino'</v>
      </c>
      <c r="J463" t="str">
        <f>CONCATENATE("'",ALUMNOS!L466,"'")</f>
        <v>'Activo'</v>
      </c>
      <c r="K463" t="str">
        <f t="shared" si="29"/>
        <v>1462,'LICENCIATURA','marisol.guzmanmoreno','111251','TOMAR DEL SND','GUZMAN MORENO MARISOL','ANIMACION DIGITAL Y VIDEOJUEGOS','4to','FEMENINO','ACTIVO','',0,0,'','ALUMNO'</v>
      </c>
      <c r="L463" t="str">
        <f t="shared" si="28"/>
        <v>INSERT INTO participantes (id,nivel,correo,matricula,clave,nombre,carrera,grado,sexo,situacion,evaluados,num_evaluados,total_evaluaciones,ultimo_acceso,nivel_acceso) VALUES (1462,'LICENCIATURA','marisol.guzmanmoreno','111251','TOMAR DEL SND','GUZMAN MORENO MARISOL','ANIMACION DIGITAL Y VIDEOJUEGOS','4to','FEMENINO','ACTIVO','',0,0,'','ALUMNO');</v>
      </c>
      <c r="M463" t="str">
        <f t="shared" si="30"/>
        <v>update participantes set correo='marisol.guzmanmoreno' where id=1462;</v>
      </c>
    </row>
    <row r="464" spans="1:13" x14ac:dyDescent="0.25">
      <c r="A464">
        <f t="shared" si="31"/>
        <v>1463</v>
      </c>
      <c r="B464" s="3" t="s">
        <v>2103</v>
      </c>
      <c r="C464" t="str">
        <f>CONCATENATE("'",ALUMNOS!E467,"'")</f>
        <v>'dominguezmarisol.sanchezgil'</v>
      </c>
      <c r="D464" t="str">
        <f>CONCATENATE(ALUMNOS!F467,"'")</f>
        <v>'111036'</v>
      </c>
      <c r="E464" t="s">
        <v>2723</v>
      </c>
      <c r="F464" t="str">
        <f>CONCATENATE("'",ALUMNOS!H467,"'")</f>
        <v>'SANCHEZ GIL DOMINGUEZ MARISOL'</v>
      </c>
      <c r="G464" t="str">
        <f>CONCATENATE("'",ALUMNOS!I467,"'")</f>
        <v>'PSICOLOGIA'</v>
      </c>
      <c r="H464" t="str">
        <f>CONCATENATE("'",ALUMNOS!J467,"'")</f>
        <v>'4to'</v>
      </c>
      <c r="I464" t="str">
        <f>CONCATENATE("'",ALUMNOS!K467,"'")</f>
        <v>'Femenino'</v>
      </c>
      <c r="J464" t="str">
        <f>CONCATENATE("'",ALUMNOS!L467,"'")</f>
        <v>'Activo'</v>
      </c>
      <c r="K464" t="str">
        <f t="shared" si="29"/>
        <v>1463,'LICENCIATURA','dominguezmarisol.sanchezgil','111036','TOMAR DEL SND','SANCHEZ GIL DOMINGUEZ MARISOL','PSICOLOGIA','4to','FEMENINO','ACTIVO','',0,0,'','ALUMNO'</v>
      </c>
      <c r="L464" t="str">
        <f t="shared" si="28"/>
        <v>INSERT INTO participantes (id,nivel,correo,matricula,clave,nombre,carrera,grado,sexo,situacion,evaluados,num_evaluados,total_evaluaciones,ultimo_acceso,nivel_acceso) VALUES (1463,'LICENCIATURA','dominguezmarisol.sanchezgil','111036','TOMAR DEL SND','SANCHEZ GIL DOMINGUEZ MARISOL','PSICOLOGIA','4to','FEMENINO','ACTIVO','',0,0,'','ALUMNO');</v>
      </c>
      <c r="M464" t="str">
        <f t="shared" si="30"/>
        <v>update participantes set correo='dominguezmarisol.sanchezgil' where id=1463;</v>
      </c>
    </row>
    <row r="465" spans="1:13" x14ac:dyDescent="0.25">
      <c r="A465">
        <f t="shared" si="31"/>
        <v>1464</v>
      </c>
      <c r="B465" s="3" t="s">
        <v>2103</v>
      </c>
      <c r="C465" t="str">
        <f>CONCATENATE("'",ALUMNOS!E468,"'")</f>
        <v>'maritzaelizabeth.hernandezgarcia'</v>
      </c>
      <c r="D465" t="str">
        <f>CONCATENATE(ALUMNOS!F468,"'")</f>
        <v>'110461'</v>
      </c>
      <c r="E465" t="s">
        <v>2723</v>
      </c>
      <c r="F465" t="str">
        <f>CONCATENATE("'",ALUMNOS!H468,"'")</f>
        <v>'HERNANDEZ GARCIA MARITZA ELIZABETH'</v>
      </c>
      <c r="G465" t="str">
        <f>CONCATENATE("'",ALUMNOS!I468,"'")</f>
        <v>'PSICOLOGIA'</v>
      </c>
      <c r="H465" t="str">
        <f>CONCATENATE("'",ALUMNOS!J468,"'")</f>
        <v>'6to'</v>
      </c>
      <c r="I465" t="str">
        <f>CONCATENATE("'",ALUMNOS!K468,"'")</f>
        <v>'Femenino'</v>
      </c>
      <c r="J465" t="str">
        <f>CONCATENATE("'",ALUMNOS!L468,"'")</f>
        <v>'Activo'</v>
      </c>
      <c r="K465" t="str">
        <f t="shared" si="29"/>
        <v>1464,'LICENCIATURA','maritzaelizabeth.hernandezgarcia','110461','TOMAR DEL SND','HERNANDEZ GARCIA MARITZA ELIZABETH','PSICOLOGIA','6to','FEMENINO','ACTIVO','',0,0,'','ALUMNO'</v>
      </c>
      <c r="L465" t="str">
        <f t="shared" si="28"/>
        <v>INSERT INTO participantes (id,nivel,correo,matricula,clave,nombre,carrera,grado,sexo,situacion,evaluados,num_evaluados,total_evaluaciones,ultimo_acceso,nivel_acceso) VALUES (1464,'LICENCIATURA','maritzaelizabeth.hernandezgarcia','110461','TOMAR DEL SND','HERNANDEZ GARCIA MARITZA ELIZABETH','PSICOLOGIA','6to','FEMENINO','ACTIVO','',0,0,'','ALUMNO');</v>
      </c>
      <c r="M465" t="str">
        <f t="shared" si="30"/>
        <v>update participantes set correo='maritzaelizabeth.hernandezgarcia' where id=1464;</v>
      </c>
    </row>
    <row r="466" spans="1:13" x14ac:dyDescent="0.25">
      <c r="A466">
        <f t="shared" si="31"/>
        <v>1465</v>
      </c>
      <c r="B466" s="3" t="s">
        <v>2103</v>
      </c>
      <c r="C466" t="str">
        <f>CONCATENATE("'",ALUMNOS!E469,"'")</f>
        <v>'martinalexander.sandovalsandoval'</v>
      </c>
      <c r="D466" t="str">
        <f>CONCATENATE(ALUMNOS!F469,"'")</f>
        <v>'111651'</v>
      </c>
      <c r="E466" t="s">
        <v>2723</v>
      </c>
      <c r="F466" t="str">
        <f>CONCATENATE("'",ALUMNOS!H469,"'")</f>
        <v>'SANDOVAL SANDOVAL MARTIN ALEXANDER'</v>
      </c>
      <c r="G466" t="str">
        <f>CONCATENATE("'",ALUMNOS!I469,"'")</f>
        <v>'ANIMACION DIGITAL Y VIDEOJUEGOS'</v>
      </c>
      <c r="H466" t="str">
        <f>CONCATENATE("'",ALUMNOS!J469,"'")</f>
        <v>'2do'</v>
      </c>
      <c r="I466" t="str">
        <f>CONCATENATE("'",ALUMNOS!K469,"'")</f>
        <v>'Masculino'</v>
      </c>
      <c r="J466" t="str">
        <f>CONCATENATE("'",ALUMNOS!L469,"'")</f>
        <v>'Activo'</v>
      </c>
      <c r="K466" t="str">
        <f t="shared" si="29"/>
        <v>1465,'LICENCIATURA','martinalexander.sandovalsandoval','111651','TOMAR DEL SND','SANDOVAL SANDOVAL MARTIN ALEXANDER','ANIMACION DIGITAL Y VIDEOJUEGOS','2do','MASCULINO','ACTIVO','',0,0,'','ALUMNO'</v>
      </c>
      <c r="L466" t="str">
        <f t="shared" si="28"/>
        <v>INSERT INTO participantes (id,nivel,correo,matricula,clave,nombre,carrera,grado,sexo,situacion,evaluados,num_evaluados,total_evaluaciones,ultimo_acceso,nivel_acceso) VALUES (1465,'LICENCIATURA','martinalexander.sandovalsandoval','111651','TOMAR DEL SND','SANDOVAL SANDOVAL MARTIN ALEXANDER','ANIMACION DIGITAL Y VIDEOJUEGOS','2do','MASCULINO','ACTIVO','',0,0,'','ALUMNO');</v>
      </c>
      <c r="M466" t="str">
        <f t="shared" si="30"/>
        <v>update participantes set correo='martinalexander.sandovalsandoval' where id=1465;</v>
      </c>
    </row>
    <row r="467" spans="1:13" x14ac:dyDescent="0.25">
      <c r="A467">
        <f t="shared" si="31"/>
        <v>1466</v>
      </c>
      <c r="B467" s="3" t="s">
        <v>2103</v>
      </c>
      <c r="C467" t="str">
        <f>CONCATENATE("'",ALUMNOS!E470,"'")</f>
        <v>'mauricio.yañezrivera'</v>
      </c>
      <c r="D467" t="str">
        <f>CONCATENATE(ALUMNOS!F470,"'")</f>
        <v>'109992'</v>
      </c>
      <c r="E467" t="s">
        <v>2723</v>
      </c>
      <c r="F467" t="str">
        <f>CONCATENATE("'",ALUMNOS!H470,"'")</f>
        <v>'YAÑEZ RIVERA MAURICIO'</v>
      </c>
      <c r="G467" t="str">
        <f>CONCATENATE("'",ALUMNOS!I470,"'")</f>
        <v>'INGENIERIA AEROESPACIAL'</v>
      </c>
      <c r="H467" t="str">
        <f>CONCATENATE("'",ALUMNOS!J470,"'")</f>
        <v>'8vo'</v>
      </c>
      <c r="I467" t="str">
        <f>CONCATENATE("'",ALUMNOS!K470,"'")</f>
        <v>'Masculino'</v>
      </c>
      <c r="J467" t="str">
        <f>CONCATENATE("'",ALUMNOS!L470,"'")</f>
        <v>'Activo'</v>
      </c>
      <c r="K467" t="str">
        <f t="shared" si="29"/>
        <v>1466,'LICENCIATURA','mauricio.yañezrivera','109992','TOMAR DEL SND','YAÑEZ RIVERA MAURICIO','INGENIERIA AEROESPACIAL','8vo','MASCULINO','ACTIVO','',0,0,'','ALUMNO'</v>
      </c>
      <c r="L467" t="str">
        <f t="shared" si="28"/>
        <v>INSERT INTO participantes (id,nivel,correo,matricula,clave,nombre,carrera,grado,sexo,situacion,evaluados,num_evaluados,total_evaluaciones,ultimo_acceso,nivel_acceso) VALUES (1466,'LICENCIATURA','mauricio.yañezrivera','109992','TOMAR DEL SND','YAÑEZ RIVERA MAURICIO','INGENIERIA AEROESPACIAL','8vo','MASCULINO','ACTIVO','',0,0,'','ALUMNO');</v>
      </c>
      <c r="M467" t="str">
        <f t="shared" si="30"/>
        <v>update participantes set correo='mauricio.yañezrivera' where id=1466;</v>
      </c>
    </row>
    <row r="468" spans="1:13" x14ac:dyDescent="0.25">
      <c r="A468">
        <f t="shared" si="31"/>
        <v>1467</v>
      </c>
      <c r="B468" s="3" t="s">
        <v>2103</v>
      </c>
      <c r="C468" t="str">
        <f>CONCATENATE("'",ALUMNOS!E471,"'")</f>
        <v>'mauriciojavier.quinterourzua'</v>
      </c>
      <c r="D468" t="str">
        <f>CONCATENATE(ALUMNOS!F471,"'")</f>
        <v>'111759'</v>
      </c>
      <c r="E468" t="s">
        <v>2723</v>
      </c>
      <c r="F468" t="str">
        <f>CONCATENATE("'",ALUMNOS!H471,"'")</f>
        <v>'QUINTERO URZUA MAURICIO JAVIER'</v>
      </c>
      <c r="G468" t="str">
        <f>CONCATENATE("'",ALUMNOS!I471,"'")</f>
        <v>'INGENIERIA AEROESPACIAL'</v>
      </c>
      <c r="H468" t="str">
        <f>CONCATENATE("'",ALUMNOS!J471,"'")</f>
        <v>'2do'</v>
      </c>
      <c r="I468" t="str">
        <f>CONCATENATE("'",ALUMNOS!K471,"'")</f>
        <v>'Masculino'</v>
      </c>
      <c r="J468" t="str">
        <f>CONCATENATE("'",ALUMNOS!L471,"'")</f>
        <v>'Activo'</v>
      </c>
      <c r="K468" t="str">
        <f t="shared" si="29"/>
        <v>1467,'LICENCIATURA','mauriciojavier.quinterourzua','111759','TOMAR DEL SND','QUINTERO URZUA MAURICIO JAVIER','INGENIERIA AEROESPACIAL','2do','MASCULINO','ACTIVO','',0,0,'','ALUMNO'</v>
      </c>
      <c r="L468" t="str">
        <f t="shared" si="28"/>
        <v>INSERT INTO participantes (id,nivel,correo,matricula,clave,nombre,carrera,grado,sexo,situacion,evaluados,num_evaluados,total_evaluaciones,ultimo_acceso,nivel_acceso) VALUES (1467,'LICENCIATURA','mauriciojavier.quinterourzua','111759','TOMAR DEL SND','QUINTERO URZUA MAURICIO JAVIER','INGENIERIA AEROESPACIAL','2do','MASCULINO','ACTIVO','',0,0,'','ALUMNO');</v>
      </c>
      <c r="M468" t="str">
        <f t="shared" si="30"/>
        <v>update participantes set correo='mauriciojavier.quinterourzua' where id=1467;</v>
      </c>
    </row>
    <row r="469" spans="1:13" x14ac:dyDescent="0.25">
      <c r="A469">
        <f t="shared" si="31"/>
        <v>1468</v>
      </c>
      <c r="B469" s="3" t="s">
        <v>2103</v>
      </c>
      <c r="C469" t="str">
        <f>CONCATENATE("'",ALUMNOS!E472,"'")</f>
        <v>'mayrajesusdebelen.rosalesherrera'</v>
      </c>
      <c r="D469" t="str">
        <f>CONCATENATE(ALUMNOS!F472,"'")</f>
        <v>'110492'</v>
      </c>
      <c r="E469" t="s">
        <v>2723</v>
      </c>
      <c r="F469" t="str">
        <f>CONCATENATE("'",ALUMNOS!H472,"'")</f>
        <v>'ROSALES HERRERA MAYRA JESUS DE BELEN'</v>
      </c>
      <c r="G469" t="str">
        <f>CONCATENATE("'",ALUMNOS!I472,"'")</f>
        <v>'NUTRICION Y GASTRONOMIA'</v>
      </c>
      <c r="H469" t="str">
        <f>CONCATENATE("'",ALUMNOS!J472,"'")</f>
        <v>'6to'</v>
      </c>
      <c r="I469" t="str">
        <f>CONCATENATE("'",ALUMNOS!K472,"'")</f>
        <v>'Femenino'</v>
      </c>
      <c r="J469" t="str">
        <f>CONCATENATE("'",ALUMNOS!L472,"'")</f>
        <v>'Activo'</v>
      </c>
      <c r="K469" t="str">
        <f t="shared" si="29"/>
        <v>1468,'LICENCIATURA','mayrajesusdebelen.rosalesherrera','110492','TOMAR DEL SND','ROSALES HERRERA MAYRA JESUS DE BELEN','NUTRICION Y GASTRONOMIA','6to','FEMENINO','ACTIVO','',0,0,'','ALUMNO'</v>
      </c>
      <c r="L469" t="str">
        <f t="shared" si="28"/>
        <v>INSERT INTO participantes (id,nivel,correo,matricula,clave,nombre,carrera,grado,sexo,situacion,evaluados,num_evaluados,total_evaluaciones,ultimo_acceso,nivel_acceso) VALUES (1468,'LICENCIATURA','mayrajesusdebelen.rosalesherrera','110492','TOMAR DEL SND','ROSALES HERRERA MAYRA JESUS DE BELEN','NUTRICION Y GASTRONOMIA','6to','FEMENINO','ACTIVO','',0,0,'','ALUMNO');</v>
      </c>
      <c r="M469" t="str">
        <f t="shared" si="30"/>
        <v>update participantes set correo='mayrajesusdebelen.rosalesherrera' where id=1468;</v>
      </c>
    </row>
    <row r="470" spans="1:13" x14ac:dyDescent="0.25">
      <c r="A470">
        <f t="shared" si="31"/>
        <v>1469</v>
      </c>
      <c r="B470" s="3" t="s">
        <v>2103</v>
      </c>
      <c r="C470" t="str">
        <f>CONCATENATE("'",ALUMNOS!E473,"'")</f>
        <v>'melanirachel.buenogutierrez'</v>
      </c>
      <c r="D470" t="str">
        <f>CONCATENATE(ALUMNOS!F473,"'")</f>
        <v>'111644'</v>
      </c>
      <c r="E470" t="s">
        <v>2723</v>
      </c>
      <c r="F470" t="str">
        <f>CONCATENATE("'",ALUMNOS!H473,"'")</f>
        <v>'BUENO GUTIERREZ MELANI RACHEL'</v>
      </c>
      <c r="G470" t="str">
        <f>CONCATENATE("'",ALUMNOS!I473,"'")</f>
        <v>'PSICOLOGIA'</v>
      </c>
      <c r="H470" t="str">
        <f>CONCATENATE("'",ALUMNOS!J473,"'")</f>
        <v>'2do'</v>
      </c>
      <c r="I470" t="str">
        <f>CONCATENATE("'",ALUMNOS!K473,"'")</f>
        <v>'Femenino'</v>
      </c>
      <c r="J470" t="str">
        <f>CONCATENATE("'",ALUMNOS!L473,"'")</f>
        <v>'Activo'</v>
      </c>
      <c r="K470" t="str">
        <f t="shared" si="29"/>
        <v>1469,'LICENCIATURA','melanirachel.buenogutierrez','111644','TOMAR DEL SND','BUENO GUTIERREZ MELANI RACHEL','PSICOLOGIA','2do','FEMENINO','ACTIVO','',0,0,'','ALUMNO'</v>
      </c>
      <c r="L470" t="str">
        <f t="shared" si="28"/>
        <v>INSERT INTO participantes (id,nivel,correo,matricula,clave,nombre,carrera,grado,sexo,situacion,evaluados,num_evaluados,total_evaluaciones,ultimo_acceso,nivel_acceso) VALUES (1469,'LICENCIATURA','melanirachel.buenogutierrez','111644','TOMAR DEL SND','BUENO GUTIERREZ MELANI RACHEL','PSICOLOGIA','2do','FEMENINO','ACTIVO','',0,0,'','ALUMNO');</v>
      </c>
      <c r="M470" t="str">
        <f t="shared" si="30"/>
        <v>update participantes set correo='melanirachel.buenogutierrez' where id=1469;</v>
      </c>
    </row>
    <row r="471" spans="1:13" x14ac:dyDescent="0.25">
      <c r="A471">
        <f t="shared" si="31"/>
        <v>1470</v>
      </c>
      <c r="B471" s="3" t="s">
        <v>2103</v>
      </c>
      <c r="C471" t="str">
        <f>CONCATENATE("'",ALUMNOS!E474,"'")</f>
        <v>'melanydenisse.avilaestrada'</v>
      </c>
      <c r="D471" t="str">
        <f>CONCATENATE(ALUMNOS!F474,"'")</f>
        <v>'111150'</v>
      </c>
      <c r="E471" t="s">
        <v>2723</v>
      </c>
      <c r="F471" t="str">
        <f>CONCATENATE("'",ALUMNOS!H474,"'")</f>
        <v>'AVILA ESTRADA MELANY DENISSE'</v>
      </c>
      <c r="G471" t="str">
        <f>CONCATENATE("'",ALUMNOS!I474,"'")</f>
        <v>'INGENIERIA AEROESPACIAL'</v>
      </c>
      <c r="H471" t="str">
        <f>CONCATENATE("'",ALUMNOS!J474,"'")</f>
        <v>'4to'</v>
      </c>
      <c r="I471" t="str">
        <f>CONCATENATE("'",ALUMNOS!K474,"'")</f>
        <v>'Femenino'</v>
      </c>
      <c r="J471" t="str">
        <f>CONCATENATE("'",ALUMNOS!L474,"'")</f>
        <v>'Activo'</v>
      </c>
      <c r="K471" t="str">
        <f t="shared" si="29"/>
        <v>1470,'LICENCIATURA','melanydenisse.avilaestrada','111150','TOMAR DEL SND','AVILA ESTRADA MELANY DENISSE','INGENIERIA AEROESPACIAL','4to','FEMENINO','ACTIVO','',0,0,'','ALUMNO'</v>
      </c>
      <c r="L471" t="str">
        <f t="shared" si="28"/>
        <v>INSERT INTO participantes (id,nivel,correo,matricula,clave,nombre,carrera,grado,sexo,situacion,evaluados,num_evaluados,total_evaluaciones,ultimo_acceso,nivel_acceso) VALUES (1470,'LICENCIATURA','melanydenisse.avilaestrada','111150','TOMAR DEL SND','AVILA ESTRADA MELANY DENISSE','INGENIERIA AEROESPACIAL','4to','FEMENINO','ACTIVO','',0,0,'','ALUMNO');</v>
      </c>
      <c r="M471" t="str">
        <f t="shared" si="30"/>
        <v>update participantes set correo='melanydenisse.avilaestrada' where id=1470;</v>
      </c>
    </row>
    <row r="472" spans="1:13" x14ac:dyDescent="0.25">
      <c r="A472">
        <f t="shared" si="31"/>
        <v>1471</v>
      </c>
      <c r="B472" s="3" t="s">
        <v>2103</v>
      </c>
      <c r="C472" t="str">
        <f>CONCATENATE("'",ALUMNOS!E475,"'")</f>
        <v>'melissaitzel.alatorregomez'</v>
      </c>
      <c r="D472" t="str">
        <f>CONCATENATE(ALUMNOS!F475,"'")</f>
        <v>'111223'</v>
      </c>
      <c r="E472" t="s">
        <v>2723</v>
      </c>
      <c r="F472" t="str">
        <f>CONCATENATE("'",ALUMNOS!H475,"'")</f>
        <v>'ALATORRE GOMEZ MELISSA ITZEL'</v>
      </c>
      <c r="G472" t="str">
        <f>CONCATENATE("'",ALUMNOS!I475,"'")</f>
        <v>'ANIMACION DIGITAL Y VIDEOJUEGOS'</v>
      </c>
      <c r="H472" t="str">
        <f>CONCATENATE("'",ALUMNOS!J475,"'")</f>
        <v>'4to'</v>
      </c>
      <c r="I472" t="str">
        <f>CONCATENATE("'",ALUMNOS!K475,"'")</f>
        <v>'Femenino'</v>
      </c>
      <c r="J472" t="str">
        <f>CONCATENATE("'",ALUMNOS!L475,"'")</f>
        <v>'Activo'</v>
      </c>
      <c r="K472" t="str">
        <f t="shared" si="29"/>
        <v>1471,'LICENCIATURA','melissaitzel.alatorregomez','111223','TOMAR DEL SND','ALATORRE GOMEZ MELISSA ITZEL','ANIMACION DIGITAL Y VIDEOJUEGOS','4to','FEMENINO','ACTIVO','',0,0,'','ALUMNO'</v>
      </c>
      <c r="L472" t="str">
        <f t="shared" si="28"/>
        <v>INSERT INTO participantes (id,nivel,correo,matricula,clave,nombre,carrera,grado,sexo,situacion,evaluados,num_evaluados,total_evaluaciones,ultimo_acceso,nivel_acceso) VALUES (1471,'LICENCIATURA','melissaitzel.alatorregomez','111223','TOMAR DEL SND','ALATORRE GOMEZ MELISSA ITZEL','ANIMACION DIGITAL Y VIDEOJUEGOS','4to','FEMENINO','ACTIVO','',0,0,'','ALUMNO');</v>
      </c>
      <c r="M472" t="str">
        <f t="shared" si="30"/>
        <v>update participantes set correo='melissaitzel.alatorregomez' where id=1471;</v>
      </c>
    </row>
    <row r="473" spans="1:13" x14ac:dyDescent="0.25">
      <c r="A473">
        <f t="shared" si="31"/>
        <v>1472</v>
      </c>
      <c r="B473" s="3" t="s">
        <v>2103</v>
      </c>
      <c r="C473" t="str">
        <f>CONCATENATE("'",ALUMNOS!E476,"'")</f>
        <v>'melissaitzel.silvamartinez'</v>
      </c>
      <c r="D473" t="str">
        <f>CONCATENATE(ALUMNOS!F476,"'")</f>
        <v>'111225'</v>
      </c>
      <c r="E473" t="s">
        <v>2723</v>
      </c>
      <c r="F473" t="str">
        <f>CONCATENATE("'",ALUMNOS!H476,"'")</f>
        <v>'SILVA MARTINEZ MELISSA ITZEL'</v>
      </c>
      <c r="G473" t="str">
        <f>CONCATENATE("'",ALUMNOS!I476,"'")</f>
        <v>'PSICOLOGIA'</v>
      </c>
      <c r="H473" t="str">
        <f>CONCATENATE("'",ALUMNOS!J476,"'")</f>
        <v>'4to'</v>
      </c>
      <c r="I473" t="str">
        <f>CONCATENATE("'",ALUMNOS!K476,"'")</f>
        <v>'Femenino'</v>
      </c>
      <c r="J473" t="str">
        <f>CONCATENATE("'",ALUMNOS!L476,"'")</f>
        <v>'Activo'</v>
      </c>
      <c r="K473" t="str">
        <f t="shared" si="29"/>
        <v>1472,'LICENCIATURA','melissaitzel.silvamartinez','111225','TOMAR DEL SND','SILVA MARTINEZ MELISSA ITZEL','PSICOLOGIA','4to','FEMENINO','ACTIVO','',0,0,'','ALUMNO'</v>
      </c>
      <c r="L473" t="str">
        <f t="shared" si="28"/>
        <v>INSERT INTO participantes (id,nivel,correo,matricula,clave,nombre,carrera,grado,sexo,situacion,evaluados,num_evaluados,total_evaluaciones,ultimo_acceso,nivel_acceso) VALUES (1472,'LICENCIATURA','melissaitzel.silvamartinez','111225','TOMAR DEL SND','SILVA MARTINEZ MELISSA ITZEL','PSICOLOGIA','4to','FEMENINO','ACTIVO','',0,0,'','ALUMNO');</v>
      </c>
      <c r="M473" t="str">
        <f t="shared" si="30"/>
        <v>update participantes set correo='melissaitzel.silvamartinez' where id=1472;</v>
      </c>
    </row>
    <row r="474" spans="1:13" x14ac:dyDescent="0.25">
      <c r="A474">
        <f t="shared" si="31"/>
        <v>1473</v>
      </c>
      <c r="B474" s="3" t="s">
        <v>2103</v>
      </c>
      <c r="C474" t="str">
        <f>CONCATENATE("'",ALUMNOS!E477,"'")</f>
        <v>'micheleannel.nietolopez'</v>
      </c>
      <c r="D474" t="str">
        <f>CONCATENATE(ALUMNOS!F477,"'")</f>
        <v>'109889'</v>
      </c>
      <c r="E474" t="s">
        <v>2723</v>
      </c>
      <c r="F474" t="str">
        <f>CONCATENATE("'",ALUMNOS!H477,"'")</f>
        <v>'NIETO LOPEZ MICHELE ANNEL'</v>
      </c>
      <c r="G474" t="str">
        <f>CONCATENATE("'",ALUMNOS!I477,"'")</f>
        <v>'PSICOLOGIA'</v>
      </c>
      <c r="H474" t="str">
        <f>CONCATENATE("'",ALUMNOS!J477,"'")</f>
        <v>'8vo'</v>
      </c>
      <c r="I474" t="str">
        <f>CONCATENATE("'",ALUMNOS!K477,"'")</f>
        <v>'Femenino'</v>
      </c>
      <c r="J474" t="str">
        <f>CONCATENATE("'",ALUMNOS!L477,"'")</f>
        <v>'Activo'</v>
      </c>
      <c r="K474" t="str">
        <f t="shared" si="29"/>
        <v>1473,'LICENCIATURA','micheleannel.nietolopez','109889','TOMAR DEL SND','NIETO LOPEZ MICHELE ANNEL','PSICOLOGIA','8vo','FEMENINO','ACTIVO','',0,0,'','ALUMNO'</v>
      </c>
      <c r="L474" t="str">
        <f t="shared" si="28"/>
        <v>INSERT INTO participantes (id,nivel,correo,matricula,clave,nombre,carrera,grado,sexo,situacion,evaluados,num_evaluados,total_evaluaciones,ultimo_acceso,nivel_acceso) VALUES (1473,'LICENCIATURA','micheleannel.nietolopez','109889','TOMAR DEL SND','NIETO LOPEZ MICHELE ANNEL','PSICOLOGIA','8vo','FEMENINO','ACTIVO','',0,0,'','ALUMNO');</v>
      </c>
      <c r="M474" t="str">
        <f t="shared" si="30"/>
        <v>update participantes set correo='micheleannel.nietolopez' where id=1473;</v>
      </c>
    </row>
    <row r="475" spans="1:13" x14ac:dyDescent="0.25">
      <c r="A475">
        <f t="shared" si="31"/>
        <v>1474</v>
      </c>
      <c r="B475" s="3" t="s">
        <v>2103</v>
      </c>
      <c r="C475" t="str">
        <f>CONCATENATE("'",ALUMNOS!E478,"'")</f>
        <v>'michelle.ruizvalenzuela'</v>
      </c>
      <c r="D475" t="str">
        <f>CONCATENATE(ALUMNOS!F478,"'")</f>
        <v>'111228'</v>
      </c>
      <c r="E475" t="s">
        <v>2723</v>
      </c>
      <c r="F475" t="str">
        <f>CONCATENATE("'",ALUMNOS!H478,"'")</f>
        <v>'RUIZ VALENZUELA MICHELLE'</v>
      </c>
      <c r="G475" t="str">
        <f>CONCATENATE("'",ALUMNOS!I478,"'")</f>
        <v>'ARQUITECTURA'</v>
      </c>
      <c r="H475" t="str">
        <f>CONCATENATE("'",ALUMNOS!J478,"'")</f>
        <v>'4to'</v>
      </c>
      <c r="I475" t="str">
        <f>CONCATENATE("'",ALUMNOS!K478,"'")</f>
        <v>'Femenino'</v>
      </c>
      <c r="J475" t="str">
        <f>CONCATENATE("'",ALUMNOS!L478,"'")</f>
        <v>'Activo'</v>
      </c>
      <c r="K475" t="str">
        <f t="shared" si="29"/>
        <v>1474,'LICENCIATURA','michelle.ruizvalenzuela','111228','TOMAR DEL SND','RUIZ VALENZUELA MICHELLE','ARQUITECTURA','4to','FEMENINO','ACTIVO','',0,0,'','ALUMNO'</v>
      </c>
      <c r="L475" t="str">
        <f t="shared" si="28"/>
        <v>INSERT INTO participantes (id,nivel,correo,matricula,clave,nombre,carrera,grado,sexo,situacion,evaluados,num_evaluados,total_evaluaciones,ultimo_acceso,nivel_acceso) VALUES (1474,'LICENCIATURA','michelle.ruizvalenzuela','111228','TOMAR DEL SND','RUIZ VALENZUELA MICHELLE','ARQUITECTURA','4to','FEMENINO','ACTIVO','',0,0,'','ALUMNO');</v>
      </c>
      <c r="M475" t="str">
        <f t="shared" si="30"/>
        <v>update participantes set correo='michelle.ruizvalenzuela' where id=1474;</v>
      </c>
    </row>
    <row r="476" spans="1:13" x14ac:dyDescent="0.25">
      <c r="A476">
        <f t="shared" si="31"/>
        <v>1475</v>
      </c>
      <c r="B476" s="3" t="s">
        <v>2103</v>
      </c>
      <c r="C476" t="str">
        <f>CONCATENATE("'",ALUMNOS!E479,"'")</f>
        <v>'michelleanahi.navarrozapata'</v>
      </c>
      <c r="D476" t="str">
        <f>CONCATENATE(ALUMNOS!F479,"'")</f>
        <v>'111779'</v>
      </c>
      <c r="E476" t="s">
        <v>2723</v>
      </c>
      <c r="F476" t="str">
        <f>CONCATENATE("'",ALUMNOS!H479,"'")</f>
        <v>'NAVARRO ZAPATA MICHELLE ANAHI'</v>
      </c>
      <c r="G476" t="str">
        <f>CONCATENATE("'",ALUMNOS!I479,"'")</f>
        <v>'ANIMACION DIGITAL Y VIDEOJUEGOS'</v>
      </c>
      <c r="H476" t="str">
        <f>CONCATENATE("'",ALUMNOS!J479,"'")</f>
        <v>'2do'</v>
      </c>
      <c r="I476" t="str">
        <f>CONCATENATE("'",ALUMNOS!K479,"'")</f>
        <v>'Femenino'</v>
      </c>
      <c r="J476" t="str">
        <f>CONCATENATE("'",ALUMNOS!L479,"'")</f>
        <v>'Activo'</v>
      </c>
      <c r="K476" t="str">
        <f t="shared" si="29"/>
        <v>1475,'LICENCIATURA','michelleanahi.navarrozapata','111779','TOMAR DEL SND','NAVARRO ZAPATA MICHELLE ANAHI','ANIMACION DIGITAL Y VIDEOJUEGOS','2do','FEMENINO','ACTIVO','',0,0,'','ALUMNO'</v>
      </c>
      <c r="L476" t="str">
        <f t="shared" si="28"/>
        <v>INSERT INTO participantes (id,nivel,correo,matricula,clave,nombre,carrera,grado,sexo,situacion,evaluados,num_evaluados,total_evaluaciones,ultimo_acceso,nivel_acceso) VALUES (1475,'LICENCIATURA','michelleanahi.navarrozapata','111779','TOMAR DEL SND','NAVARRO ZAPATA MICHELLE ANAHI','ANIMACION DIGITAL Y VIDEOJUEGOS','2do','FEMENINO','ACTIVO','',0,0,'','ALUMNO');</v>
      </c>
      <c r="M476" t="str">
        <f t="shared" si="30"/>
        <v>update participantes set correo='michelleanahi.navarrozapata' where id=1475;</v>
      </c>
    </row>
    <row r="477" spans="1:13" x14ac:dyDescent="0.25">
      <c r="A477">
        <f t="shared" si="31"/>
        <v>1476</v>
      </c>
      <c r="B477" s="3" t="s">
        <v>2103</v>
      </c>
      <c r="C477" t="str">
        <f>CONCATENATE("'",ALUMNOS!E480,"'")</f>
        <v>'michellecarolina.ochoagonzalez'</v>
      </c>
      <c r="D477" t="str">
        <f>CONCATENATE(ALUMNOS!F480,"'")</f>
        <v>'111189'</v>
      </c>
      <c r="E477" t="s">
        <v>2723</v>
      </c>
      <c r="F477" t="str">
        <f>CONCATENATE("'",ALUMNOS!H480,"'")</f>
        <v>'OCHOA GONZALEZ MICHELLE CAROLINA'</v>
      </c>
      <c r="G477" t="str">
        <f>CONCATENATE("'",ALUMNOS!I480,"'")</f>
        <v>'ARQUITECTURA'</v>
      </c>
      <c r="H477" t="str">
        <f>CONCATENATE("'",ALUMNOS!J480,"'")</f>
        <v>'4to'</v>
      </c>
      <c r="I477" t="str">
        <f>CONCATENATE("'",ALUMNOS!K480,"'")</f>
        <v>'Femenino'</v>
      </c>
      <c r="J477" t="str">
        <f>CONCATENATE("'",ALUMNOS!L480,"'")</f>
        <v>'Activo'</v>
      </c>
      <c r="K477" t="str">
        <f t="shared" si="29"/>
        <v>1476,'LICENCIATURA','michellecarolina.ochoagonzalez','111189','TOMAR DEL SND','OCHOA GONZALEZ MICHELLE CAROLINA','ARQUITECTURA','4to','FEMENINO','ACTIVO','',0,0,'','ALUMNO'</v>
      </c>
      <c r="L477" t="str">
        <f t="shared" si="28"/>
        <v>INSERT INTO participantes (id,nivel,correo,matricula,clave,nombre,carrera,grado,sexo,situacion,evaluados,num_evaluados,total_evaluaciones,ultimo_acceso,nivel_acceso) VALUES (1476,'LICENCIATURA','michellecarolina.ochoagonzalez','111189','TOMAR DEL SND','OCHOA GONZALEZ MICHELLE CAROLINA','ARQUITECTURA','4to','FEMENINO','ACTIVO','',0,0,'','ALUMNO');</v>
      </c>
      <c r="M477" t="str">
        <f t="shared" si="30"/>
        <v>update participantes set correo='michellecarolina.ochoagonzalez' where id=1476;</v>
      </c>
    </row>
    <row r="478" spans="1:13" x14ac:dyDescent="0.25">
      <c r="A478">
        <f t="shared" si="31"/>
        <v>1477</v>
      </c>
      <c r="B478" s="3" t="s">
        <v>2103</v>
      </c>
      <c r="C478" t="str">
        <f>CONCATENATE("'",ALUMNOS!E481,"'")</f>
        <v>'michelledaniela.peredogamez'</v>
      </c>
      <c r="D478" t="str">
        <f>CONCATENATE(ALUMNOS!F481,"'")</f>
        <v>'111109'</v>
      </c>
      <c r="E478" t="s">
        <v>2723</v>
      </c>
      <c r="F478" t="str">
        <f>CONCATENATE("'",ALUMNOS!H481,"'")</f>
        <v>'PEREDO GAMEZ MICHELLE DANIELA'</v>
      </c>
      <c r="G478" t="str">
        <f>CONCATENATE("'",ALUMNOS!I481,"'")</f>
        <v>'PSICOLOGIA'</v>
      </c>
      <c r="H478" t="str">
        <f>CONCATENATE("'",ALUMNOS!J481,"'")</f>
        <v>'4to'</v>
      </c>
      <c r="I478" t="str">
        <f>CONCATENATE("'",ALUMNOS!K481,"'")</f>
        <v>'Femenino'</v>
      </c>
      <c r="J478" t="str">
        <f>CONCATENATE("'",ALUMNOS!L481,"'")</f>
        <v>'Activo'</v>
      </c>
      <c r="K478" t="str">
        <f t="shared" si="29"/>
        <v>1477,'LICENCIATURA','michelledaniela.peredogamez','111109','TOMAR DEL SND','PEREDO GAMEZ MICHELLE DANIELA','PSICOLOGIA','4to','FEMENINO','ACTIVO','',0,0,'','ALUMNO'</v>
      </c>
      <c r="L478" t="str">
        <f t="shared" si="28"/>
        <v>INSERT INTO participantes (id,nivel,correo,matricula,clave,nombre,carrera,grado,sexo,situacion,evaluados,num_evaluados,total_evaluaciones,ultimo_acceso,nivel_acceso) VALUES (1477,'LICENCIATURA','michelledaniela.peredogamez','111109','TOMAR DEL SND','PEREDO GAMEZ MICHELLE DANIELA','PSICOLOGIA','4to','FEMENINO','ACTIVO','',0,0,'','ALUMNO');</v>
      </c>
      <c r="M478" t="str">
        <f t="shared" si="30"/>
        <v>update participantes set correo='michelledaniela.peredogamez' where id=1477;</v>
      </c>
    </row>
    <row r="479" spans="1:13" x14ac:dyDescent="0.25">
      <c r="A479">
        <f t="shared" si="31"/>
        <v>1478</v>
      </c>
      <c r="B479" s="3" t="s">
        <v>2103</v>
      </c>
      <c r="C479" t="str">
        <f>CONCATENATE("'",ALUMNOS!E482,"'")</f>
        <v>'miguel.delgado'</v>
      </c>
      <c r="D479" t="str">
        <f>CONCATENATE(ALUMNOS!F482,"'")</f>
        <v>'111610'</v>
      </c>
      <c r="E479" t="s">
        <v>2723</v>
      </c>
      <c r="F479" t="str">
        <f>CONCATENATE("'",ALUMNOS!H482,"'")</f>
        <v>'DELGADO  MIGUEL'</v>
      </c>
      <c r="G479" t="str">
        <f>CONCATENATE("'",ALUMNOS!I482,"'")</f>
        <v>'INGENIERIA AEROESPACIAL'</v>
      </c>
      <c r="H479" t="str">
        <f>CONCATENATE("'",ALUMNOS!J482,"'")</f>
        <v>'2do'</v>
      </c>
      <c r="I479" t="str">
        <f>CONCATENATE("'",ALUMNOS!K482,"'")</f>
        <v>'Masculino'</v>
      </c>
      <c r="J479" t="str">
        <f>CONCATENATE("'",ALUMNOS!L482,"'")</f>
        <v>'Activo'</v>
      </c>
      <c r="K479" t="str">
        <f t="shared" si="29"/>
        <v>1478,'LICENCIATURA','miguel.delgado','111610','TOMAR DEL SND','DELGADO  MIGUEL','INGENIERIA AEROESPACIAL','2do','MASCULINO','ACTIVO','',0,0,'','ALUMNO'</v>
      </c>
      <c r="L479" t="str">
        <f t="shared" si="28"/>
        <v>INSERT INTO participantes (id,nivel,correo,matricula,clave,nombre,carrera,grado,sexo,situacion,evaluados,num_evaluados,total_evaluaciones,ultimo_acceso,nivel_acceso) VALUES (1478,'LICENCIATURA','miguel.delgado','111610','TOMAR DEL SND','DELGADO  MIGUEL','INGENIERIA AEROESPACIAL','2do','MASCULINO','ACTIVO','',0,0,'','ALUMNO');</v>
      </c>
      <c r="M479" t="str">
        <f t="shared" si="30"/>
        <v>update participantes set correo='miguel.delgado' where id=1478;</v>
      </c>
    </row>
    <row r="480" spans="1:13" x14ac:dyDescent="0.25">
      <c r="A480">
        <f t="shared" si="31"/>
        <v>1479</v>
      </c>
      <c r="B480" s="3" t="s">
        <v>2103</v>
      </c>
      <c r="C480" t="str">
        <f>CONCATENATE("'",ALUMNOS!E483,"'")</f>
        <v>'mirandacarolina.lopezvargas'</v>
      </c>
      <c r="D480" t="str">
        <f>CONCATENATE(ALUMNOS!F483,"'")</f>
        <v>'111746'</v>
      </c>
      <c r="E480" t="s">
        <v>2723</v>
      </c>
      <c r="F480" t="str">
        <f>CONCATENATE("'",ALUMNOS!H483,"'")</f>
        <v>'LOPEZ VARGAS MIRANDA CAROLINA'</v>
      </c>
      <c r="G480" t="str">
        <f>CONCATENATE("'",ALUMNOS!I483,"'")</f>
        <v>'INGENIERIA AEROESPACIAL'</v>
      </c>
      <c r="H480" t="str">
        <f>CONCATENATE("'",ALUMNOS!J483,"'")</f>
        <v>'2do'</v>
      </c>
      <c r="I480" t="str">
        <f>CONCATENATE("'",ALUMNOS!K483,"'")</f>
        <v>'Femenino'</v>
      </c>
      <c r="J480" t="str">
        <f>CONCATENATE("'",ALUMNOS!L483,"'")</f>
        <v>'Activo'</v>
      </c>
      <c r="K480" t="str">
        <f t="shared" si="29"/>
        <v>1479,'LICENCIATURA','mirandacarolina.lopezvargas','111746','TOMAR DEL SND','LOPEZ VARGAS MIRANDA CAROLINA','INGENIERIA AEROESPACIAL','2do','FEMENINO','ACTIVO','',0,0,'','ALUMNO'</v>
      </c>
      <c r="L480" t="str">
        <f t="shared" si="28"/>
        <v>INSERT INTO participantes (id,nivel,correo,matricula,clave,nombre,carrera,grado,sexo,situacion,evaluados,num_evaluados,total_evaluaciones,ultimo_acceso,nivel_acceso) VALUES (1479,'LICENCIATURA','mirandacarolina.lopezvargas','111746','TOMAR DEL SND','LOPEZ VARGAS MIRANDA CAROLINA','INGENIERIA AEROESPACIAL','2do','FEMENINO','ACTIVO','',0,0,'','ALUMNO');</v>
      </c>
      <c r="M480" t="str">
        <f t="shared" si="30"/>
        <v>update participantes set correo='mirandacarolina.lopezvargas' where id=1479;</v>
      </c>
    </row>
    <row r="481" spans="1:13" x14ac:dyDescent="0.25">
      <c r="A481">
        <f t="shared" si="31"/>
        <v>1480</v>
      </c>
      <c r="B481" s="3" t="s">
        <v>2103</v>
      </c>
      <c r="C481" t="str">
        <f>CONCATENATE("'",ALUMNOS!E484,"'")</f>
        <v>'miriamalejandra.rodriguezmartinez'</v>
      </c>
      <c r="D481" t="str">
        <f>CONCATENATE(ALUMNOS!F484,"'")</f>
        <v>'111824'</v>
      </c>
      <c r="E481" t="s">
        <v>2723</v>
      </c>
      <c r="F481" t="str">
        <f>CONCATENATE("'",ALUMNOS!H484,"'")</f>
        <v>'RODRIGUEZ MARTINEZ MIRIAM ALEJANDRA'</v>
      </c>
      <c r="G481" t="str">
        <f>CONCATENATE("'",ALUMNOS!I484,"'")</f>
        <v>'NUTRICION Y GASTRONOMIA'</v>
      </c>
      <c r="H481" t="str">
        <f>CONCATENATE("'",ALUMNOS!J484,"'")</f>
        <v>'2do'</v>
      </c>
      <c r="I481" t="str">
        <f>CONCATENATE("'",ALUMNOS!K484,"'")</f>
        <v>'Femenino'</v>
      </c>
      <c r="J481" t="str">
        <f>CONCATENATE("'",ALUMNOS!L484,"'")</f>
        <v>'Activo'</v>
      </c>
      <c r="K481" t="str">
        <f t="shared" si="29"/>
        <v>1480,'LICENCIATURA','miriamalejandra.rodriguezmartinez','111824','TOMAR DEL SND','RODRIGUEZ MARTINEZ MIRIAM ALEJANDRA','NUTRICION Y GASTRONOMIA','2do','FEMENINO','ACTIVO','',0,0,'','ALUMNO'</v>
      </c>
      <c r="L481" t="str">
        <f t="shared" si="28"/>
        <v>INSERT INTO participantes (id,nivel,correo,matricula,clave,nombre,carrera,grado,sexo,situacion,evaluados,num_evaluados,total_evaluaciones,ultimo_acceso,nivel_acceso) VALUES (1480,'LICENCIATURA','miriamalejandra.rodriguezmartinez','111824','TOMAR DEL SND','RODRIGUEZ MARTINEZ MIRIAM ALEJANDRA','NUTRICION Y GASTRONOMIA','2do','FEMENINO','ACTIVO','',0,0,'','ALUMNO');</v>
      </c>
      <c r="M481" t="str">
        <f t="shared" si="30"/>
        <v>update participantes set correo='miriamalejandra.rodriguezmartinez' where id=1480;</v>
      </c>
    </row>
    <row r="482" spans="1:13" x14ac:dyDescent="0.25">
      <c r="A482">
        <f t="shared" si="31"/>
        <v>1481</v>
      </c>
      <c r="B482" s="3" t="s">
        <v>2103</v>
      </c>
      <c r="C482" t="str">
        <f>CONCATENATE("'",ALUMNOS!E485,"'")</f>
        <v>'monicaalejandra.gonzalezblanco'</v>
      </c>
      <c r="D482" t="str">
        <f>CONCATENATE(ALUMNOS!F485,"'")</f>
        <v>'007662'</v>
      </c>
      <c r="E482" t="s">
        <v>2723</v>
      </c>
      <c r="F482" t="str">
        <f>CONCATENATE("'",ALUMNOS!H485,"'")</f>
        <v>'GONZALEZ BLANCO MONICA ALEJANDRA'</v>
      </c>
      <c r="G482" t="str">
        <f>CONCATENATE("'",ALUMNOS!I485,"'")</f>
        <v>'ANIMACION DIGITAL Y VIDEOJUEGOS'</v>
      </c>
      <c r="H482" t="str">
        <f>CONCATENATE("'",ALUMNOS!J485,"'")</f>
        <v>'4to'</v>
      </c>
      <c r="I482" t="str">
        <f>CONCATENATE("'",ALUMNOS!K485,"'")</f>
        <v>'Femenino'</v>
      </c>
      <c r="J482" t="str">
        <f>CONCATENATE("'",ALUMNOS!L485,"'")</f>
        <v>'Activo'</v>
      </c>
      <c r="K482" t="str">
        <f t="shared" si="29"/>
        <v>1481,'LICENCIATURA','monicaalejandra.gonzalezblanco','007662','TOMAR DEL SND','GONZALEZ BLANCO MONICA ALEJANDRA','ANIMACION DIGITAL Y VIDEOJUEGOS','4to','FEMENINO','ACTIVO','',0,0,'','ALUMNO'</v>
      </c>
      <c r="L482" t="str">
        <f t="shared" si="28"/>
        <v>INSERT INTO participantes (id,nivel,correo,matricula,clave,nombre,carrera,grado,sexo,situacion,evaluados,num_evaluados,total_evaluaciones,ultimo_acceso,nivel_acceso) VALUES (1481,'LICENCIATURA','monicaalejandra.gonzalezblanco','007662','TOMAR DEL SND','GONZALEZ BLANCO MONICA ALEJANDRA','ANIMACION DIGITAL Y VIDEOJUEGOS','4to','FEMENINO','ACTIVO','',0,0,'','ALUMNO');</v>
      </c>
      <c r="M482" t="str">
        <f t="shared" si="30"/>
        <v>update participantes set correo='monicaalejandra.gonzalezblanco' where id=1481;</v>
      </c>
    </row>
    <row r="483" spans="1:13" x14ac:dyDescent="0.25">
      <c r="A483">
        <f t="shared" si="31"/>
        <v>1482</v>
      </c>
      <c r="B483" s="3" t="s">
        <v>2103</v>
      </c>
      <c r="C483" t="str">
        <f>CONCATENATE("'",ALUMNOS!E486,"'")</f>
        <v>'martinmontserrat.gvaldivia'</v>
      </c>
      <c r="D483" t="str">
        <f>CONCATENATE(ALUMNOS!F486,"'")</f>
        <v>'109854'</v>
      </c>
      <c r="E483" t="s">
        <v>2723</v>
      </c>
      <c r="F483" t="str">
        <f>CONCATENATE("'",ALUMNOS!H486,"'")</f>
        <v>'G VALDIVIA MARTIN MONTSERRAT'</v>
      </c>
      <c r="G483" t="str">
        <f>CONCATENATE("'",ALUMNOS!I486,"'")</f>
        <v>'ADMINISTRACION Y DIRECCION DE NEGOCIOS'</v>
      </c>
      <c r="H483" t="str">
        <f>CONCATENATE("'",ALUMNOS!J486,"'")</f>
        <v>'8vo'</v>
      </c>
      <c r="I483" t="str">
        <f>CONCATENATE("'",ALUMNOS!K486,"'")</f>
        <v>'Femenino'</v>
      </c>
      <c r="J483" t="str">
        <f>CONCATENATE("'",ALUMNOS!L486,"'")</f>
        <v>'Activo'</v>
      </c>
      <c r="K483" t="str">
        <f t="shared" si="29"/>
        <v>1482,'LICENCIATURA','martinmontserrat.gvaldivia','109854','TOMAR DEL SND','G VALDIVIA MARTIN MONTSERRAT','ADMINISTRACION Y DIRECCION DE NEGOCIOS','8vo','FEMENINO','ACTIVO','',0,0,'','ALUMNO'</v>
      </c>
      <c r="L483" t="str">
        <f t="shared" si="28"/>
        <v>INSERT INTO participantes (id,nivel,correo,matricula,clave,nombre,carrera,grado,sexo,situacion,evaluados,num_evaluados,total_evaluaciones,ultimo_acceso,nivel_acceso) VALUES (1482,'LICENCIATURA','martinmontserrat.gvaldivia','109854','TOMAR DEL SND','G VALDIVIA MARTIN MONTSERRAT','ADMINISTRACION Y DIRECCION DE NEGOCIOS','8vo','FEMENINO','ACTIVO','',0,0,'','ALUMNO');</v>
      </c>
      <c r="M483" t="str">
        <f t="shared" si="30"/>
        <v>update participantes set correo='martinmontserrat.gvaldivia' where id=1482;</v>
      </c>
    </row>
    <row r="484" spans="1:13" x14ac:dyDescent="0.25">
      <c r="A484">
        <f t="shared" si="31"/>
        <v>1483</v>
      </c>
      <c r="B484" s="3" t="s">
        <v>2103</v>
      </c>
      <c r="C484" t="str">
        <f>CONCATENATE("'",ALUMNOS!E487,"'")</f>
        <v>'montserrat.herreradueñas'</v>
      </c>
      <c r="D484" t="str">
        <f>CONCATENATE(ALUMNOS!F487,"'")</f>
        <v>'110443'</v>
      </c>
      <c r="E484" t="s">
        <v>2723</v>
      </c>
      <c r="F484" t="str">
        <f>CONCATENATE("'",ALUMNOS!H487,"'")</f>
        <v>'HERRERA DUEÑAS MONTSERRAT'</v>
      </c>
      <c r="G484" t="str">
        <f>CONCATENATE("'",ALUMNOS!I487,"'")</f>
        <v>'PSICOLOGIA'</v>
      </c>
      <c r="H484" t="str">
        <f>CONCATENATE("'",ALUMNOS!J487,"'")</f>
        <v>'6to'</v>
      </c>
      <c r="I484" t="str">
        <f>CONCATENATE("'",ALUMNOS!K487,"'")</f>
        <v>'Femenino'</v>
      </c>
      <c r="J484" t="str">
        <f>CONCATENATE("'",ALUMNOS!L487,"'")</f>
        <v>'Activo'</v>
      </c>
      <c r="K484" t="str">
        <f t="shared" si="29"/>
        <v>1483,'LICENCIATURA','montserrat.herreradueñas','110443','TOMAR DEL SND','HERRERA DUEÑAS MONTSERRAT','PSICOLOGIA','6to','FEMENINO','ACTIVO','',0,0,'','ALUMNO'</v>
      </c>
      <c r="L484" t="str">
        <f t="shared" si="28"/>
        <v>INSERT INTO participantes (id,nivel,correo,matricula,clave,nombre,carrera,grado,sexo,situacion,evaluados,num_evaluados,total_evaluaciones,ultimo_acceso,nivel_acceso) VALUES (1483,'LICENCIATURA','montserrat.herreradueñas','110443','TOMAR DEL SND','HERRERA DUEÑAS MONTSERRAT','PSICOLOGIA','6to','FEMENINO','ACTIVO','',0,0,'','ALUMNO');</v>
      </c>
      <c r="M484" t="str">
        <f t="shared" si="30"/>
        <v>update participantes set correo='montserrat.herreradueñas' where id=1483;</v>
      </c>
    </row>
    <row r="485" spans="1:13" x14ac:dyDescent="0.25">
      <c r="A485">
        <f t="shared" si="31"/>
        <v>1484</v>
      </c>
      <c r="B485" s="3" t="s">
        <v>2103</v>
      </c>
      <c r="C485" t="str">
        <f>CONCATENATE("'",ALUMNOS!E488,"'")</f>
        <v>'montserrat.mirandadiaz'</v>
      </c>
      <c r="D485" t="str">
        <f>CONCATENATE(ALUMNOS!F488,"'")</f>
        <v>'110426'</v>
      </c>
      <c r="E485" t="s">
        <v>2723</v>
      </c>
      <c r="F485" t="str">
        <f>CONCATENATE("'",ALUMNOS!H488,"'")</f>
        <v>'MIRANDA DIAZ MONTSERRAT'</v>
      </c>
      <c r="G485" t="str">
        <f>CONCATENATE("'",ALUMNOS!I488,"'")</f>
        <v>'ANIMACION DIGITAL Y VIDEOJUEGOS'</v>
      </c>
      <c r="H485" t="str">
        <f>CONCATENATE("'",ALUMNOS!J488,"'")</f>
        <v>'6to'</v>
      </c>
      <c r="I485" t="str">
        <f>CONCATENATE("'",ALUMNOS!K488,"'")</f>
        <v>'Femenino'</v>
      </c>
      <c r="J485" t="str">
        <f>CONCATENATE("'",ALUMNOS!L488,"'")</f>
        <v>'Activo'</v>
      </c>
      <c r="K485" t="str">
        <f t="shared" si="29"/>
        <v>1484,'LICENCIATURA','montserrat.mirandadiaz','110426','TOMAR DEL SND','MIRANDA DIAZ MONTSERRAT','ANIMACION DIGITAL Y VIDEOJUEGOS','6to','FEMENINO','ACTIVO','',0,0,'','ALUMNO'</v>
      </c>
      <c r="L485" t="str">
        <f t="shared" si="28"/>
        <v>INSERT INTO participantes (id,nivel,correo,matricula,clave,nombre,carrera,grado,sexo,situacion,evaluados,num_evaluados,total_evaluaciones,ultimo_acceso,nivel_acceso) VALUES (1484,'LICENCIATURA','montserrat.mirandadiaz','110426','TOMAR DEL SND','MIRANDA DIAZ MONTSERRAT','ANIMACION DIGITAL Y VIDEOJUEGOS','6to','FEMENINO','ACTIVO','',0,0,'','ALUMNO');</v>
      </c>
      <c r="M485" t="str">
        <f t="shared" si="30"/>
        <v>update participantes set correo='montserrat.mirandadiaz' where id=1484;</v>
      </c>
    </row>
    <row r="486" spans="1:13" x14ac:dyDescent="0.25">
      <c r="A486">
        <f t="shared" si="31"/>
        <v>1485</v>
      </c>
      <c r="B486" s="3" t="s">
        <v>2103</v>
      </c>
      <c r="C486" t="str">
        <f>CONCATENATE("'",ALUMNOS!E489,"'")</f>
        <v>'myriamsofia.esquivelencarnacion'</v>
      </c>
      <c r="D486" t="str">
        <f>CONCATENATE(ALUMNOS!F489,"'")</f>
        <v>'111028'</v>
      </c>
      <c r="E486" t="s">
        <v>2723</v>
      </c>
      <c r="F486" t="str">
        <f>CONCATENATE("'",ALUMNOS!H489,"'")</f>
        <v>'ESQUIVEL ENCARNACION MYRIAM SOFIA'</v>
      </c>
      <c r="G486" t="str">
        <f>CONCATENATE("'",ALUMNOS!I489,"'")</f>
        <v>'ARQUITECTURA'</v>
      </c>
      <c r="H486" t="str">
        <f>CONCATENATE("'",ALUMNOS!J489,"'")</f>
        <v>'4to'</v>
      </c>
      <c r="I486" t="str">
        <f>CONCATENATE("'",ALUMNOS!K489,"'")</f>
        <v>'Femenino'</v>
      </c>
      <c r="J486" t="str">
        <f>CONCATENATE("'",ALUMNOS!L489,"'")</f>
        <v>'Activo'</v>
      </c>
      <c r="K486" t="str">
        <f t="shared" si="29"/>
        <v>1485,'LICENCIATURA','myriamsofia.esquivelencarnacion','111028','TOMAR DEL SND','ESQUIVEL ENCARNACION MYRIAM SOFIA','ARQUITECTURA','4to','FEMENINO','ACTIVO','',0,0,'','ALUMNO'</v>
      </c>
      <c r="L486" t="str">
        <f t="shared" si="28"/>
        <v>INSERT INTO participantes (id,nivel,correo,matricula,clave,nombre,carrera,grado,sexo,situacion,evaluados,num_evaluados,total_evaluaciones,ultimo_acceso,nivel_acceso) VALUES (1485,'LICENCIATURA','myriamsofia.esquivelencarnacion','111028','TOMAR DEL SND','ESQUIVEL ENCARNACION MYRIAM SOFIA','ARQUITECTURA','4to','FEMENINO','ACTIVO','',0,0,'','ALUMNO');</v>
      </c>
      <c r="M486" t="str">
        <f t="shared" si="30"/>
        <v>update participantes set correo='myriamsofia.esquivelencarnacion' where id=1485;</v>
      </c>
    </row>
    <row r="487" spans="1:13" x14ac:dyDescent="0.25">
      <c r="A487">
        <f t="shared" si="31"/>
        <v>1486</v>
      </c>
      <c r="B487" s="3" t="s">
        <v>2103</v>
      </c>
      <c r="C487" t="str">
        <f>CONCATENATE("'",ALUMNOS!E490,"'")</f>
        <v>'naomijimena.hernandezgarcia'</v>
      </c>
      <c r="D487" t="str">
        <f>CONCATENATE(ALUMNOS!F490,"'")</f>
        <v>'110645'</v>
      </c>
      <c r="E487" t="s">
        <v>2723</v>
      </c>
      <c r="F487" t="str">
        <f>CONCATENATE("'",ALUMNOS!H490,"'")</f>
        <v>'HERNANDEZ GARCIA NAOMI JIMENA'</v>
      </c>
      <c r="G487" t="str">
        <f>CONCATENATE("'",ALUMNOS!I490,"'")</f>
        <v>'PSICOLOGIA'</v>
      </c>
      <c r="H487" t="str">
        <f>CONCATENATE("'",ALUMNOS!J490,"'")</f>
        <v>'6to'</v>
      </c>
      <c r="I487" t="str">
        <f>CONCATENATE("'",ALUMNOS!K490,"'")</f>
        <v>'Femenino'</v>
      </c>
      <c r="J487" t="str">
        <f>CONCATENATE("'",ALUMNOS!L490,"'")</f>
        <v>'Activo'</v>
      </c>
      <c r="K487" t="str">
        <f t="shared" si="29"/>
        <v>1486,'LICENCIATURA','naomijimena.hernandezgarcia','110645','TOMAR DEL SND','HERNANDEZ GARCIA NAOMI JIMENA','PSICOLOGIA','6to','FEMENINO','ACTIVO','',0,0,'','ALUMNO'</v>
      </c>
      <c r="L487" t="str">
        <f t="shared" si="28"/>
        <v>INSERT INTO participantes (id,nivel,correo,matricula,clave,nombre,carrera,grado,sexo,situacion,evaluados,num_evaluados,total_evaluaciones,ultimo_acceso,nivel_acceso) VALUES (1486,'LICENCIATURA','naomijimena.hernandezgarcia','110645','TOMAR DEL SND','HERNANDEZ GARCIA NAOMI JIMENA','PSICOLOGIA','6to','FEMENINO','ACTIVO','',0,0,'','ALUMNO');</v>
      </c>
      <c r="M487" t="str">
        <f t="shared" si="30"/>
        <v>update participantes set correo='naomijimena.hernandezgarcia' where id=1486;</v>
      </c>
    </row>
    <row r="488" spans="1:13" x14ac:dyDescent="0.25">
      <c r="A488">
        <f t="shared" si="31"/>
        <v>1487</v>
      </c>
      <c r="B488" s="3" t="s">
        <v>2103</v>
      </c>
      <c r="C488" t="str">
        <f>CONCATENATE("'",ALUMNOS!E491,"'")</f>
        <v>'natalia.esquerquintanilla'</v>
      </c>
      <c r="D488" t="str">
        <f>CONCATENATE(ALUMNOS!F491,"'")</f>
        <v>'111122'</v>
      </c>
      <c r="E488" t="s">
        <v>2723</v>
      </c>
      <c r="F488" t="str">
        <f>CONCATENATE("'",ALUMNOS!H491,"'")</f>
        <v>'ESQUER QUINTANILLA NATALIA'</v>
      </c>
      <c r="G488" t="str">
        <f>CONCATENATE("'",ALUMNOS!I491,"'")</f>
        <v>'NUTRICION Y GASTRONOMIA'</v>
      </c>
      <c r="H488" t="str">
        <f>CONCATENATE("'",ALUMNOS!J491,"'")</f>
        <v>'4to'</v>
      </c>
      <c r="I488" t="str">
        <f>CONCATENATE("'",ALUMNOS!K491,"'")</f>
        <v>'Femenino'</v>
      </c>
      <c r="J488" t="str">
        <f>CONCATENATE("'",ALUMNOS!L491,"'")</f>
        <v>'Activo'</v>
      </c>
      <c r="K488" t="str">
        <f t="shared" si="29"/>
        <v>1487,'LICENCIATURA','natalia.esquerquintanilla','111122','TOMAR DEL SND','ESQUER QUINTANILLA NATALIA','NUTRICION Y GASTRONOMIA','4to','FEMENINO','ACTIVO','',0,0,'','ALUMNO'</v>
      </c>
      <c r="L488" t="str">
        <f t="shared" si="28"/>
        <v>INSERT INTO participantes (id,nivel,correo,matricula,clave,nombre,carrera,grado,sexo,situacion,evaluados,num_evaluados,total_evaluaciones,ultimo_acceso,nivel_acceso) VALUES (1487,'LICENCIATURA','natalia.esquerquintanilla','111122','TOMAR DEL SND','ESQUER QUINTANILLA NATALIA','NUTRICION Y GASTRONOMIA','4to','FEMENINO','ACTIVO','',0,0,'','ALUMNO');</v>
      </c>
      <c r="M488" t="str">
        <f t="shared" si="30"/>
        <v>update participantes set correo='natalia.esquerquintanilla' where id=1487;</v>
      </c>
    </row>
    <row r="489" spans="1:13" x14ac:dyDescent="0.25">
      <c r="A489">
        <f t="shared" si="31"/>
        <v>1488</v>
      </c>
      <c r="B489" s="3" t="s">
        <v>2103</v>
      </c>
      <c r="C489" t="str">
        <f>CONCATENATE("'",ALUMNOS!E492,"'")</f>
        <v>'natalia.izquierdomartinez'</v>
      </c>
      <c r="D489" t="str">
        <f>CONCATENATE(ALUMNOS!F492,"'")</f>
        <v>'111063'</v>
      </c>
      <c r="E489" t="s">
        <v>2723</v>
      </c>
      <c r="F489" t="str">
        <f>CONCATENATE("'",ALUMNOS!H492,"'")</f>
        <v>'IZQUIERDO MARTINEZ NATALIA'</v>
      </c>
      <c r="G489" t="str">
        <f>CONCATENATE("'",ALUMNOS!I492,"'")</f>
        <v>'ANIMACION DIGITAL Y VIDEOJUEGOS'</v>
      </c>
      <c r="H489" t="str">
        <f>CONCATENATE("'",ALUMNOS!J492,"'")</f>
        <v>'4to'</v>
      </c>
      <c r="I489" t="str">
        <f>CONCATENATE("'",ALUMNOS!K492,"'")</f>
        <v>'Femenino'</v>
      </c>
      <c r="J489" t="str">
        <f>CONCATENATE("'",ALUMNOS!L492,"'")</f>
        <v>'Activo'</v>
      </c>
      <c r="K489" t="str">
        <f t="shared" si="29"/>
        <v>1488,'LICENCIATURA','natalia.izquierdomartinez','111063','TOMAR DEL SND','IZQUIERDO MARTINEZ NATALIA','ANIMACION DIGITAL Y VIDEOJUEGOS','4to','FEMENINO','ACTIVO','',0,0,'','ALUMNO'</v>
      </c>
      <c r="L489" t="str">
        <f t="shared" si="28"/>
        <v>INSERT INTO participantes (id,nivel,correo,matricula,clave,nombre,carrera,grado,sexo,situacion,evaluados,num_evaluados,total_evaluaciones,ultimo_acceso,nivel_acceso) VALUES (1488,'LICENCIATURA','natalia.izquierdomartinez','111063','TOMAR DEL SND','IZQUIERDO MARTINEZ NATALIA','ANIMACION DIGITAL Y VIDEOJUEGOS','4to','FEMENINO','ACTIVO','',0,0,'','ALUMNO');</v>
      </c>
      <c r="M489" t="str">
        <f t="shared" si="30"/>
        <v>update participantes set correo='natalia.izquierdomartinez' where id=1488;</v>
      </c>
    </row>
    <row r="490" spans="1:13" x14ac:dyDescent="0.25">
      <c r="A490">
        <f t="shared" si="31"/>
        <v>1489</v>
      </c>
      <c r="B490" s="3" t="s">
        <v>2103</v>
      </c>
      <c r="C490" t="str">
        <f>CONCATENATE("'",ALUMNOS!E493,"'")</f>
        <v>'natalia.ortizlopez'</v>
      </c>
      <c r="D490" t="str">
        <f>CONCATENATE(ALUMNOS!F493,"'")</f>
        <v>'111777'</v>
      </c>
      <c r="E490" t="s">
        <v>2723</v>
      </c>
      <c r="F490" t="str">
        <f>CONCATENATE("'",ALUMNOS!H493,"'")</f>
        <v>'ORTIZ LOPEZ NATALIA'</v>
      </c>
      <c r="G490" t="str">
        <f>CONCATENATE("'",ALUMNOS!I493,"'")</f>
        <v>'PSICOLOGIA'</v>
      </c>
      <c r="H490" t="str">
        <f>CONCATENATE("'",ALUMNOS!J493,"'")</f>
        <v>'2do'</v>
      </c>
      <c r="I490" t="str">
        <f>CONCATENATE("'",ALUMNOS!K493,"'")</f>
        <v>'Femenino'</v>
      </c>
      <c r="J490" t="str">
        <f>CONCATENATE("'",ALUMNOS!L493,"'")</f>
        <v>'Activo'</v>
      </c>
      <c r="K490" t="str">
        <f t="shared" si="29"/>
        <v>1489,'LICENCIATURA','natalia.ortizlopez','111777','TOMAR DEL SND','ORTIZ LOPEZ NATALIA','PSICOLOGIA','2do','FEMENINO','ACTIVO','',0,0,'','ALUMNO'</v>
      </c>
      <c r="L490" t="str">
        <f t="shared" si="28"/>
        <v>INSERT INTO participantes (id,nivel,correo,matricula,clave,nombre,carrera,grado,sexo,situacion,evaluados,num_evaluados,total_evaluaciones,ultimo_acceso,nivel_acceso) VALUES (1489,'LICENCIATURA','natalia.ortizlopez','111777','TOMAR DEL SND','ORTIZ LOPEZ NATALIA','PSICOLOGIA','2do','FEMENINO','ACTIVO','',0,0,'','ALUMNO');</v>
      </c>
      <c r="M490" t="str">
        <f t="shared" si="30"/>
        <v>update participantes set correo='natalia.ortizlopez' where id=1489;</v>
      </c>
    </row>
    <row r="491" spans="1:13" x14ac:dyDescent="0.25">
      <c r="A491">
        <f t="shared" si="31"/>
        <v>1490</v>
      </c>
      <c r="B491" s="3" t="s">
        <v>2103</v>
      </c>
      <c r="C491" t="str">
        <f>CONCATENATE("'",ALUMNOS!E494,"'")</f>
        <v>'nataliaguadalupe.alcazarolmos'</v>
      </c>
      <c r="D491" t="str">
        <f>CONCATENATE(ALUMNOS!F494,"'")</f>
        <v>'109817'</v>
      </c>
      <c r="E491" t="s">
        <v>2723</v>
      </c>
      <c r="F491" t="str">
        <f>CONCATENATE("'",ALUMNOS!H494,"'")</f>
        <v>'ALCAZAR OLMOS NATALIA GUADALUPE'</v>
      </c>
      <c r="G491" t="str">
        <f>CONCATENATE("'",ALUMNOS!I494,"'")</f>
        <v>'MERCADOTECNIA Y PUBLICIDAD'</v>
      </c>
      <c r="H491" t="str">
        <f>CONCATENATE("'",ALUMNOS!J494,"'")</f>
        <v>'8vo'</v>
      </c>
      <c r="I491" t="str">
        <f>CONCATENATE("'",ALUMNOS!K494,"'")</f>
        <v>'Femenino'</v>
      </c>
      <c r="J491" t="str">
        <f>CONCATENATE("'",ALUMNOS!L494,"'")</f>
        <v>'Activo'</v>
      </c>
      <c r="K491" t="str">
        <f t="shared" si="29"/>
        <v>1490,'LICENCIATURA','nataliaguadalupe.alcazarolmos','109817','TOMAR DEL SND','ALCAZAR OLMOS NATALIA GUADALUPE','MERCADOTECNIA Y PUBLICIDAD','8vo','FEMENINO','ACTIVO','',0,0,'','ALUMNO'</v>
      </c>
      <c r="L491" t="str">
        <f t="shared" si="28"/>
        <v>INSERT INTO participantes (id,nivel,correo,matricula,clave,nombre,carrera,grado,sexo,situacion,evaluados,num_evaluados,total_evaluaciones,ultimo_acceso,nivel_acceso) VALUES (1490,'LICENCIATURA','nataliaguadalupe.alcazarolmos','109817','TOMAR DEL SND','ALCAZAR OLMOS NATALIA GUADALUPE','MERCADOTECNIA Y PUBLICIDAD','8vo','FEMENINO','ACTIVO','',0,0,'','ALUMNO');</v>
      </c>
      <c r="M491" t="str">
        <f t="shared" si="30"/>
        <v>update participantes set correo='nataliaguadalupe.alcazarolmos' where id=1490;</v>
      </c>
    </row>
    <row r="492" spans="1:13" x14ac:dyDescent="0.25">
      <c r="A492">
        <f t="shared" si="31"/>
        <v>1491</v>
      </c>
      <c r="B492" s="3" t="s">
        <v>2103</v>
      </c>
      <c r="C492" t="str">
        <f>CONCATENATE("'",ALUMNOS!E495,"'")</f>
        <v>'nayelielizabeth.navarrozapata'</v>
      </c>
      <c r="D492" t="str">
        <f>CONCATENATE(ALUMNOS!F495,"'")</f>
        <v>'109418'</v>
      </c>
      <c r="E492" t="s">
        <v>2723</v>
      </c>
      <c r="F492" t="str">
        <f>CONCATENATE("'",ALUMNOS!H495,"'")</f>
        <v>'NAVARRO ZAPATA NAYELI ELIZABETH'</v>
      </c>
      <c r="G492" t="str">
        <f>CONCATENATE("'",ALUMNOS!I495,"'")</f>
        <v>'INGENIERIA AEROESPACIAL'</v>
      </c>
      <c r="H492" t="str">
        <f>CONCATENATE("'",ALUMNOS!J495,"'")</f>
        <v>'10mo'</v>
      </c>
      <c r="I492" t="str">
        <f>CONCATENATE("'",ALUMNOS!K495,"'")</f>
        <v>'Femenino'</v>
      </c>
      <c r="J492" t="str">
        <f>CONCATENATE("'",ALUMNOS!L495,"'")</f>
        <v>'Activo'</v>
      </c>
      <c r="K492" t="str">
        <f t="shared" si="29"/>
        <v>1491,'LICENCIATURA','nayelielizabeth.navarrozapata','109418','TOMAR DEL SND','NAVARRO ZAPATA NAYELI ELIZABETH','INGENIERIA AEROESPACIAL','10mo','FEMENINO','ACTIVO','',0,0,'','ALUMNO'</v>
      </c>
      <c r="L492" t="str">
        <f t="shared" si="28"/>
        <v>INSERT INTO participantes (id,nivel,correo,matricula,clave,nombre,carrera,grado,sexo,situacion,evaluados,num_evaluados,total_evaluaciones,ultimo_acceso,nivel_acceso) VALUES (1491,'LICENCIATURA','nayelielizabeth.navarrozapata','109418','TOMAR DEL SND','NAVARRO ZAPATA NAYELI ELIZABETH','INGENIERIA AEROESPACIAL','10mo','FEMENINO','ACTIVO','',0,0,'','ALUMNO');</v>
      </c>
      <c r="M492" t="str">
        <f t="shared" si="30"/>
        <v>update participantes set correo='nayelielizabeth.navarrozapata' where id=1491;</v>
      </c>
    </row>
    <row r="493" spans="1:13" x14ac:dyDescent="0.25">
      <c r="A493">
        <f t="shared" si="31"/>
        <v>1492</v>
      </c>
      <c r="B493" s="3" t="s">
        <v>2103</v>
      </c>
      <c r="C493" t="str">
        <f>CONCATENATE("'",ALUMNOS!E496,"'")</f>
        <v>'neizerjesus.martinezortega'</v>
      </c>
      <c r="D493" t="str">
        <f>CONCATENATE(ALUMNOS!F496,"'")</f>
        <v>'111092'</v>
      </c>
      <c r="E493" t="s">
        <v>2723</v>
      </c>
      <c r="F493" t="str">
        <f>CONCATENATE("'",ALUMNOS!H496,"'")</f>
        <v>'MARTINEZ ORTEGA NEIZER JESUS'</v>
      </c>
      <c r="G493" t="str">
        <f>CONCATENATE("'",ALUMNOS!I496,"'")</f>
        <v>'INGENIERIA AEROESPACIAL'</v>
      </c>
      <c r="H493" t="str">
        <f>CONCATENATE("'",ALUMNOS!J496,"'")</f>
        <v>'4to'</v>
      </c>
      <c r="I493" t="str">
        <f>CONCATENATE("'",ALUMNOS!K496,"'")</f>
        <v>'Masculino'</v>
      </c>
      <c r="J493" t="str">
        <f>CONCATENATE("'",ALUMNOS!L496,"'")</f>
        <v>'Activo'</v>
      </c>
      <c r="K493" t="str">
        <f t="shared" si="29"/>
        <v>1492,'LICENCIATURA','neizerjesus.martinezortega','111092','TOMAR DEL SND','MARTINEZ ORTEGA NEIZER JESUS','INGENIERIA AEROESPACIAL','4to','MASCULINO','ACTIVO','',0,0,'','ALUMNO'</v>
      </c>
      <c r="L493" t="str">
        <f t="shared" si="28"/>
        <v>INSERT INTO participantes (id,nivel,correo,matricula,clave,nombre,carrera,grado,sexo,situacion,evaluados,num_evaluados,total_evaluaciones,ultimo_acceso,nivel_acceso) VALUES (1492,'LICENCIATURA','neizerjesus.martinezortega','111092','TOMAR DEL SND','MARTINEZ ORTEGA NEIZER JESUS','INGENIERIA AEROESPACIAL','4to','MASCULINO','ACTIVO','',0,0,'','ALUMNO');</v>
      </c>
      <c r="M493" t="str">
        <f t="shared" si="30"/>
        <v>update participantes set correo='neizerjesus.martinezortega' where id=1492;</v>
      </c>
    </row>
    <row r="494" spans="1:13" x14ac:dyDescent="0.25">
      <c r="A494">
        <f t="shared" si="31"/>
        <v>1493</v>
      </c>
      <c r="B494" s="3" t="s">
        <v>2103</v>
      </c>
      <c r="C494" t="str">
        <f>CONCATENATE("'",ALUMNOS!E497,"'")</f>
        <v>'nelly.barrosopaz'</v>
      </c>
      <c r="D494" t="str">
        <f>CONCATENATE(ALUMNOS!F497,"'")</f>
        <v>'110466'</v>
      </c>
      <c r="E494" t="s">
        <v>2723</v>
      </c>
      <c r="F494" t="str">
        <f>CONCATENATE("'",ALUMNOS!H497,"'")</f>
        <v>'BARROSO PAZ NELLY'</v>
      </c>
      <c r="G494" t="str">
        <f>CONCATENATE("'",ALUMNOS!I497,"'")</f>
        <v>'ANIMACION DIGITAL Y VIDEOJUEGOS'</v>
      </c>
      <c r="H494" t="str">
        <f>CONCATENATE("'",ALUMNOS!J497,"'")</f>
        <v>'6to'</v>
      </c>
      <c r="I494" t="str">
        <f>CONCATENATE("'",ALUMNOS!K497,"'")</f>
        <v>'Femenino'</v>
      </c>
      <c r="J494" t="str">
        <f>CONCATENATE("'",ALUMNOS!L497,"'")</f>
        <v>'Activo'</v>
      </c>
      <c r="K494" t="str">
        <f t="shared" si="29"/>
        <v>1493,'LICENCIATURA','nelly.barrosopaz','110466','TOMAR DEL SND','BARROSO PAZ NELLY','ANIMACION DIGITAL Y VIDEOJUEGOS','6to','FEMENINO','ACTIVO','',0,0,'','ALUMNO'</v>
      </c>
      <c r="L494" t="str">
        <f t="shared" si="28"/>
        <v>INSERT INTO participantes (id,nivel,correo,matricula,clave,nombre,carrera,grado,sexo,situacion,evaluados,num_evaluados,total_evaluaciones,ultimo_acceso,nivel_acceso) VALUES (1493,'LICENCIATURA','nelly.barrosopaz','110466','TOMAR DEL SND','BARROSO PAZ NELLY','ANIMACION DIGITAL Y VIDEOJUEGOS','6to','FEMENINO','ACTIVO','',0,0,'','ALUMNO');</v>
      </c>
      <c r="M494" t="str">
        <f t="shared" si="30"/>
        <v>update participantes set correo='nelly.barrosopaz' where id=1493;</v>
      </c>
    </row>
    <row r="495" spans="1:13" x14ac:dyDescent="0.25">
      <c r="A495">
        <f t="shared" si="31"/>
        <v>1494</v>
      </c>
      <c r="B495" s="3" t="s">
        <v>2103</v>
      </c>
      <c r="C495" t="str">
        <f>CONCATENATE("'",ALUMNOS!E498,"'")</f>
        <v>'nicolguadalupe.hermosillomexia'</v>
      </c>
      <c r="D495" t="str">
        <f>CONCATENATE(ALUMNOS!F498,"'")</f>
        <v>'109849'</v>
      </c>
      <c r="E495" t="s">
        <v>2723</v>
      </c>
      <c r="F495" t="str">
        <f>CONCATENATE("'",ALUMNOS!H498,"'")</f>
        <v>'HERMOSILLO MEXIA NICOL GUADALUPE'</v>
      </c>
      <c r="G495" t="str">
        <f>CONCATENATE("'",ALUMNOS!I498,"'")</f>
        <v>'INGENIERIA AEROESPACIAL'</v>
      </c>
      <c r="H495" t="str">
        <f>CONCATENATE("'",ALUMNOS!J498,"'")</f>
        <v>'8vo'</v>
      </c>
      <c r="I495" t="str">
        <f>CONCATENATE("'",ALUMNOS!K498,"'")</f>
        <v>'Femenino'</v>
      </c>
      <c r="J495" t="str">
        <f>CONCATENATE("'",ALUMNOS!L498,"'")</f>
        <v>'Activo'</v>
      </c>
      <c r="K495" t="str">
        <f t="shared" si="29"/>
        <v>1494,'LICENCIATURA','nicolguadalupe.hermosillomexia','109849','TOMAR DEL SND','HERMOSILLO MEXIA NICOL GUADALUPE','INGENIERIA AEROESPACIAL','8vo','FEMENINO','ACTIVO','',0,0,'','ALUMNO'</v>
      </c>
      <c r="L495" t="str">
        <f t="shared" si="28"/>
        <v>INSERT INTO participantes (id,nivel,correo,matricula,clave,nombre,carrera,grado,sexo,situacion,evaluados,num_evaluados,total_evaluaciones,ultimo_acceso,nivel_acceso) VALUES (1494,'LICENCIATURA','nicolguadalupe.hermosillomexia','109849','TOMAR DEL SND','HERMOSILLO MEXIA NICOL GUADALUPE','INGENIERIA AEROESPACIAL','8vo','FEMENINO','ACTIVO','',0,0,'','ALUMNO');</v>
      </c>
      <c r="M495" t="str">
        <f t="shared" si="30"/>
        <v>update participantes set correo='nicolguadalupe.hermosillomexia' where id=1494;</v>
      </c>
    </row>
    <row r="496" spans="1:13" x14ac:dyDescent="0.25">
      <c r="A496">
        <f t="shared" si="31"/>
        <v>1495</v>
      </c>
      <c r="B496" s="3" t="s">
        <v>2103</v>
      </c>
      <c r="C496" t="str">
        <f>CONCATENATE("'",ALUMNOS!E499,"'")</f>
        <v>'nicolas.floresavila'</v>
      </c>
      <c r="D496" t="str">
        <f>CONCATENATE(ALUMNOS!F499,"'")</f>
        <v>'007240'</v>
      </c>
      <c r="E496" t="s">
        <v>2723</v>
      </c>
      <c r="F496" t="str">
        <f>CONCATENATE("'",ALUMNOS!H499,"'")</f>
        <v>'FLORES AVILA NICOLAS'</v>
      </c>
      <c r="G496" t="str">
        <f>CONCATENATE("'",ALUMNOS!I499,"'")</f>
        <v>'INGENIERIA CIBERNETICA Y EN SISTEMAS COMPUTACIONALES'</v>
      </c>
      <c r="H496" t="str">
        <f>CONCATENATE("'",ALUMNOS!J499,"'")</f>
        <v>'8vo'</v>
      </c>
      <c r="I496" t="str">
        <f>CONCATENATE("'",ALUMNOS!K499,"'")</f>
        <v>'Masculino'</v>
      </c>
      <c r="J496" t="str">
        <f>CONCATENATE("'",ALUMNOS!L499,"'")</f>
        <v>'Activo'</v>
      </c>
      <c r="K496" t="str">
        <f t="shared" si="29"/>
        <v>1495,'LICENCIATURA','nicolas.floresavila','007240','TOMAR DEL SND','FLORES AVILA NICOLAS','INGENIERIA CIBERNETICA Y EN SISTEMAS COMPUTACIONALES','8vo','MASCULINO','ACTIVO','',0,0,'','ALUMNO'</v>
      </c>
      <c r="L496" t="str">
        <f t="shared" si="28"/>
        <v>INSERT INTO participantes (id,nivel,correo,matricula,clave,nombre,carrera,grado,sexo,situacion,evaluados,num_evaluados,total_evaluaciones,ultimo_acceso,nivel_acceso) VALUES (1495,'LICENCIATURA','nicolas.floresavila','007240','TOMAR DEL SND','FLORES AVILA NICOLAS','INGENIERIA CIBERNETICA Y EN SISTEMAS COMPUTACIONALES','8vo','MASCULINO','ACTIVO','',0,0,'','ALUMNO');</v>
      </c>
      <c r="M496" t="str">
        <f t="shared" si="30"/>
        <v>update participantes set correo='nicolas.floresavila' where id=1495;</v>
      </c>
    </row>
    <row r="497" spans="1:13" x14ac:dyDescent="0.25">
      <c r="A497">
        <f t="shared" si="31"/>
        <v>1496</v>
      </c>
      <c r="B497" s="3" t="s">
        <v>2103</v>
      </c>
      <c r="C497" t="str">
        <f>CONCATENATE("'",ALUMNOS!E500,"'")</f>
        <v>'lanenicole.jimenezmc'</v>
      </c>
      <c r="D497" t="str">
        <f>CONCATENATE(ALUMNOS!F500,"'")</f>
        <v>'111186'</v>
      </c>
      <c r="E497" t="s">
        <v>2723</v>
      </c>
      <c r="F497" t="str">
        <f>CONCATENATE("'",ALUMNOS!H500,"'")</f>
        <v>'JIMENEZ MC LANE NICOLE'</v>
      </c>
      <c r="G497" t="str">
        <f>CONCATENATE("'",ALUMNOS!I500,"'")</f>
        <v>'ADMINISTRACION Y DIRECCION DE NEGOCIOS'</v>
      </c>
      <c r="H497" t="str">
        <f>CONCATENATE("'",ALUMNOS!J500,"'")</f>
        <v>'4to'</v>
      </c>
      <c r="I497" t="str">
        <f>CONCATENATE("'",ALUMNOS!K500,"'")</f>
        <v>'Femenino'</v>
      </c>
      <c r="J497" t="str">
        <f>CONCATENATE("'",ALUMNOS!L500,"'")</f>
        <v>'Activo'</v>
      </c>
      <c r="K497" t="str">
        <f t="shared" si="29"/>
        <v>1496,'LICENCIATURA','lanenicole.jimenezmc','111186','TOMAR DEL SND','JIMENEZ MC LANE NICOLE','ADMINISTRACION Y DIRECCION DE NEGOCIOS','4to','FEMENINO','ACTIVO','',0,0,'','ALUMNO'</v>
      </c>
      <c r="L497" t="str">
        <f t="shared" si="28"/>
        <v>INSERT INTO participantes (id,nivel,correo,matricula,clave,nombre,carrera,grado,sexo,situacion,evaluados,num_evaluados,total_evaluaciones,ultimo_acceso,nivel_acceso) VALUES (1496,'LICENCIATURA','lanenicole.jimenezmc','111186','TOMAR DEL SND','JIMENEZ MC LANE NICOLE','ADMINISTRACION Y DIRECCION DE NEGOCIOS','4to','FEMENINO','ACTIVO','',0,0,'','ALUMNO');</v>
      </c>
      <c r="M497" t="str">
        <f t="shared" si="30"/>
        <v>update participantes set correo='lanenicole.jimenezmc' where id=1496;</v>
      </c>
    </row>
    <row r="498" spans="1:13" x14ac:dyDescent="0.25">
      <c r="A498">
        <f t="shared" si="31"/>
        <v>1497</v>
      </c>
      <c r="B498" s="3" t="s">
        <v>2103</v>
      </c>
      <c r="C498" t="str">
        <f>CONCATENATE("'",ALUMNOS!E501,"'")</f>
        <v>'noemijocelyn.gonzalezaguirre'</v>
      </c>
      <c r="D498" t="str">
        <f>CONCATENATE(ALUMNOS!F501,"'")</f>
        <v>'110463'</v>
      </c>
      <c r="E498" t="s">
        <v>2723</v>
      </c>
      <c r="F498" t="str">
        <f>CONCATENATE("'",ALUMNOS!H501,"'")</f>
        <v>'GONZALEZ AGUIRRE NOEMI JOCELYN'</v>
      </c>
      <c r="G498" t="str">
        <f>CONCATENATE("'",ALUMNOS!I501,"'")</f>
        <v>'MERCADOTECNIA Y PUBLICIDAD'</v>
      </c>
      <c r="H498" t="str">
        <f>CONCATENATE("'",ALUMNOS!J501,"'")</f>
        <v>'6to'</v>
      </c>
      <c r="I498" t="str">
        <f>CONCATENATE("'",ALUMNOS!K501,"'")</f>
        <v>'Femenino'</v>
      </c>
      <c r="J498" t="str">
        <f>CONCATENATE("'",ALUMNOS!L501,"'")</f>
        <v>'Activo'</v>
      </c>
      <c r="K498" t="str">
        <f t="shared" si="29"/>
        <v>1497,'LICENCIATURA','noemijocelyn.gonzalezaguirre','110463','TOMAR DEL SND','GONZALEZ AGUIRRE NOEMI JOCELYN','MERCADOTECNIA Y PUBLICIDAD','6to','FEMENINO','ACTIVO','',0,0,'','ALUMNO'</v>
      </c>
      <c r="L498" t="str">
        <f t="shared" si="28"/>
        <v>INSERT INTO participantes (id,nivel,correo,matricula,clave,nombre,carrera,grado,sexo,situacion,evaluados,num_evaluados,total_evaluaciones,ultimo_acceso,nivel_acceso) VALUES (1497,'LICENCIATURA','noemijocelyn.gonzalezaguirre','110463','TOMAR DEL SND','GONZALEZ AGUIRRE NOEMI JOCELYN','MERCADOTECNIA Y PUBLICIDAD','6to','FEMENINO','ACTIVO','',0,0,'','ALUMNO');</v>
      </c>
      <c r="M498" t="str">
        <f t="shared" si="30"/>
        <v>update participantes set correo='noemijocelyn.gonzalezaguirre' where id=1497;</v>
      </c>
    </row>
    <row r="499" spans="1:13" x14ac:dyDescent="0.25">
      <c r="A499">
        <f t="shared" si="31"/>
        <v>1498</v>
      </c>
      <c r="B499" s="3" t="s">
        <v>2103</v>
      </c>
      <c r="C499" t="str">
        <f>CONCATENATE("'",ALUMNOS!E502,"'")</f>
        <v>'oliver.rochagarcia'</v>
      </c>
      <c r="D499" t="str">
        <f>CONCATENATE(ALUMNOS!F502,"'")</f>
        <v>'111788'</v>
      </c>
      <c r="E499" t="s">
        <v>2723</v>
      </c>
      <c r="F499" t="str">
        <f>CONCATENATE("'",ALUMNOS!H502,"'")</f>
        <v>'ROCHA GARCIA OLIVER'</v>
      </c>
      <c r="G499" t="str">
        <f>CONCATENATE("'",ALUMNOS!I502,"'")</f>
        <v>'PSICOLOGIA'</v>
      </c>
      <c r="H499" t="str">
        <f>CONCATENATE("'",ALUMNOS!J502,"'")</f>
        <v>'2do'</v>
      </c>
      <c r="I499" t="str">
        <f>CONCATENATE("'",ALUMNOS!K502,"'")</f>
        <v>'Masculino'</v>
      </c>
      <c r="J499" t="str">
        <f>CONCATENATE("'",ALUMNOS!L502,"'")</f>
        <v>'Activo'</v>
      </c>
      <c r="K499" t="str">
        <f t="shared" si="29"/>
        <v>1498,'LICENCIATURA','oliver.rochagarcia','111788','TOMAR DEL SND','ROCHA GARCIA OLIVER','PSICOLOGIA','2do','MASCULINO','ACTIVO','',0,0,'','ALUMNO'</v>
      </c>
      <c r="L499" t="str">
        <f t="shared" si="28"/>
        <v>INSERT INTO participantes (id,nivel,correo,matricula,clave,nombre,carrera,grado,sexo,situacion,evaluados,num_evaluados,total_evaluaciones,ultimo_acceso,nivel_acceso) VALUES (1498,'LICENCIATURA','oliver.rochagarcia','111788','TOMAR DEL SND','ROCHA GARCIA OLIVER','PSICOLOGIA','2do','MASCULINO','ACTIVO','',0,0,'','ALUMNO');</v>
      </c>
      <c r="M499" t="str">
        <f t="shared" si="30"/>
        <v>update participantes set correo='oliver.rochagarcia' where id=1498;</v>
      </c>
    </row>
    <row r="500" spans="1:13" x14ac:dyDescent="0.25">
      <c r="A500">
        <f t="shared" si="31"/>
        <v>1499</v>
      </c>
      <c r="B500" s="3" t="s">
        <v>2103</v>
      </c>
      <c r="C500" t="str">
        <f>CONCATENATE("'",ALUMNOS!E503,"'")</f>
        <v>'omaralejandro.marinhernandez'</v>
      </c>
      <c r="D500" t="str">
        <f>CONCATENATE(ALUMNOS!F503,"'")</f>
        <v>'110016'</v>
      </c>
      <c r="E500" t="s">
        <v>2723</v>
      </c>
      <c r="F500" t="str">
        <f>CONCATENATE("'",ALUMNOS!H503,"'")</f>
        <v>'MARIN HERNANDEZ OMAR ALEJANDRO'</v>
      </c>
      <c r="G500" t="str">
        <f>CONCATENATE("'",ALUMNOS!I503,"'")</f>
        <v>'COMERCIO INTERNACIONAL'</v>
      </c>
      <c r="H500" t="str">
        <f>CONCATENATE("'",ALUMNOS!J503,"'")</f>
        <v>'8vo'</v>
      </c>
      <c r="I500" t="str">
        <f>CONCATENATE("'",ALUMNOS!K503,"'")</f>
        <v>'Masculino'</v>
      </c>
      <c r="J500" t="str">
        <f>CONCATENATE("'",ALUMNOS!L503,"'")</f>
        <v>'Activo'</v>
      </c>
      <c r="K500" t="str">
        <f t="shared" si="29"/>
        <v>1499,'LICENCIATURA','omaralejandro.marinhernandez','110016','TOMAR DEL SND','MARIN HERNANDEZ OMAR ALEJANDRO','COMERCIO INTERNACIONAL','8vo','MASCULINO','ACTIVO','',0,0,'','ALUMNO'</v>
      </c>
      <c r="L500" t="str">
        <f t="shared" si="28"/>
        <v>INSERT INTO participantes (id,nivel,correo,matricula,clave,nombre,carrera,grado,sexo,situacion,evaluados,num_evaluados,total_evaluaciones,ultimo_acceso,nivel_acceso) VALUES (1499,'LICENCIATURA','omaralejandro.marinhernandez','110016','TOMAR DEL SND','MARIN HERNANDEZ OMAR ALEJANDRO','COMERCIO INTERNACIONAL','8vo','MASCULINO','ACTIVO','',0,0,'','ALUMNO');</v>
      </c>
      <c r="M500" t="str">
        <f t="shared" si="30"/>
        <v>update participantes set correo='omaralejandro.marinhernandez' where id=1499;</v>
      </c>
    </row>
    <row r="501" spans="1:13" x14ac:dyDescent="0.25">
      <c r="A501">
        <f t="shared" si="31"/>
        <v>1500</v>
      </c>
      <c r="B501" s="3" t="s">
        <v>2103</v>
      </c>
      <c r="C501" t="str">
        <f>CONCATENATE("'",ALUMNOS!E504,"'")</f>
        <v>'orlandobaru.muñozrodriguez'</v>
      </c>
      <c r="D501" t="str">
        <f>CONCATENATE(ALUMNOS!F504,"'")</f>
        <v>'111168'</v>
      </c>
      <c r="E501" t="s">
        <v>2723</v>
      </c>
      <c r="F501" t="str">
        <f>CONCATENATE("'",ALUMNOS!H504,"'")</f>
        <v>'MUÑOZ RODRIGUEZ ORLANDO BARU'</v>
      </c>
      <c r="G501" t="str">
        <f>CONCATENATE("'",ALUMNOS!I504,"'")</f>
        <v>'INGENIERÍA AUTOMOTRIZ'</v>
      </c>
      <c r="H501" t="str">
        <f>CONCATENATE("'",ALUMNOS!J504,"'")</f>
        <v>'4to'</v>
      </c>
      <c r="I501" t="str">
        <f>CONCATENATE("'",ALUMNOS!K504,"'")</f>
        <v>'Masculino'</v>
      </c>
      <c r="J501" t="str">
        <f>CONCATENATE("'",ALUMNOS!L504,"'")</f>
        <v>'Activo'</v>
      </c>
      <c r="K501" t="str">
        <f t="shared" si="29"/>
        <v>1500,'LICENCIATURA','orlandobaru.muñozrodriguez','111168','TOMAR DEL SND','MUÑOZ RODRIGUEZ ORLANDO BARU','INGENIERÍA AUTOMOTRIZ','4to','MASCULINO','ACTIVO','',0,0,'','ALUMNO'</v>
      </c>
      <c r="L501" t="str">
        <f t="shared" si="28"/>
        <v>INSERT INTO participantes (id,nivel,correo,matricula,clave,nombre,carrera,grado,sexo,situacion,evaluados,num_evaluados,total_evaluaciones,ultimo_acceso,nivel_acceso) VALUES (1500,'LICENCIATURA','orlandobaru.muñozrodriguez','111168','TOMAR DEL SND','MUÑOZ RODRIGUEZ ORLANDO BARU','INGENIERÍA AUTOMOTRIZ','4to','MASCULINO','ACTIVO','',0,0,'','ALUMNO');</v>
      </c>
      <c r="M501" t="str">
        <f t="shared" si="30"/>
        <v>update participantes set correo='orlandobaru.muñozrodriguez' where id=1500;</v>
      </c>
    </row>
    <row r="502" spans="1:13" x14ac:dyDescent="0.25">
      <c r="A502">
        <f t="shared" si="31"/>
        <v>1501</v>
      </c>
      <c r="B502" s="3" t="s">
        <v>2103</v>
      </c>
      <c r="C502" t="str">
        <f>CONCATENATE("'",ALUMNOS!E505,"'")</f>
        <v>'oscar.gomezgonzalez'</v>
      </c>
      <c r="D502" t="str">
        <f>CONCATENATE(ALUMNOS!F505,"'")</f>
        <v>'109834'</v>
      </c>
      <c r="E502" t="s">
        <v>2723</v>
      </c>
      <c r="F502" t="str">
        <f>CONCATENATE("'",ALUMNOS!H505,"'")</f>
        <v>'GOMEZ GONZALEZ OSCAR'</v>
      </c>
      <c r="G502" t="str">
        <f>CONCATENATE("'",ALUMNOS!I505,"'")</f>
        <v>'INGENIERIA AEROESPACIAL'</v>
      </c>
      <c r="H502" t="str">
        <f>CONCATENATE("'",ALUMNOS!J505,"'")</f>
        <v>'8vo'</v>
      </c>
      <c r="I502" t="str">
        <f>CONCATENATE("'",ALUMNOS!K505,"'")</f>
        <v>'Masculino'</v>
      </c>
      <c r="J502" t="str">
        <f>CONCATENATE("'",ALUMNOS!L505,"'")</f>
        <v>'Activo'</v>
      </c>
      <c r="K502" t="str">
        <f t="shared" si="29"/>
        <v>1501,'LICENCIATURA','oscar.gomezgonzalez','109834','TOMAR DEL SND','GOMEZ GONZALEZ OSCAR','INGENIERIA AEROESPACIAL','8vo','MASCULINO','ACTIVO','',0,0,'','ALUMNO'</v>
      </c>
      <c r="L502" t="str">
        <f t="shared" si="28"/>
        <v>INSERT INTO participantes (id,nivel,correo,matricula,clave,nombre,carrera,grado,sexo,situacion,evaluados,num_evaluados,total_evaluaciones,ultimo_acceso,nivel_acceso) VALUES (1501,'LICENCIATURA','oscar.gomezgonzalez','109834','TOMAR DEL SND','GOMEZ GONZALEZ OSCAR','INGENIERIA AEROESPACIAL','8vo','MASCULINO','ACTIVO','',0,0,'','ALUMNO');</v>
      </c>
      <c r="M502" t="str">
        <f t="shared" si="30"/>
        <v>update participantes set correo='oscar.gomezgonzalez' where id=1501;</v>
      </c>
    </row>
    <row r="503" spans="1:13" x14ac:dyDescent="0.25">
      <c r="A503">
        <f t="shared" si="31"/>
        <v>1502</v>
      </c>
      <c r="B503" s="3" t="s">
        <v>2103</v>
      </c>
      <c r="C503" t="str">
        <f>CONCATENATE("'",ALUMNOS!E506,"'")</f>
        <v>'oscarandrei.valeriogonzalez'</v>
      </c>
      <c r="D503" t="str">
        <f>CONCATENATE(ALUMNOS!F506,"'")</f>
        <v>'109822'</v>
      </c>
      <c r="E503" t="s">
        <v>2723</v>
      </c>
      <c r="F503" t="str">
        <f>CONCATENATE("'",ALUMNOS!H506,"'")</f>
        <v>'VALERIO GONZALEZ OSCAR ANDREI'</v>
      </c>
      <c r="G503" t="str">
        <f>CONCATENATE("'",ALUMNOS!I506,"'")</f>
        <v>'ADMINISTRACION Y DIRECCION DE NEGOCIOS'</v>
      </c>
      <c r="H503" t="str">
        <f>CONCATENATE("'",ALUMNOS!J506,"'")</f>
        <v>'8vo'</v>
      </c>
      <c r="I503" t="str">
        <f>CONCATENATE("'",ALUMNOS!K506,"'")</f>
        <v>'Masculino'</v>
      </c>
      <c r="J503" t="str">
        <f>CONCATENATE("'",ALUMNOS!L506,"'")</f>
        <v>'Activo'</v>
      </c>
      <c r="K503" t="str">
        <f t="shared" si="29"/>
        <v>1502,'LICENCIATURA','oscarandrei.valeriogonzalez','109822','TOMAR DEL SND','VALERIO GONZALEZ OSCAR ANDREI','ADMINISTRACION Y DIRECCION DE NEGOCIOS','8vo','MASCULINO','ACTIVO','',0,0,'','ALUMNO'</v>
      </c>
      <c r="L503" t="str">
        <f t="shared" si="28"/>
        <v>INSERT INTO participantes (id,nivel,correo,matricula,clave,nombre,carrera,grado,sexo,situacion,evaluados,num_evaluados,total_evaluaciones,ultimo_acceso,nivel_acceso) VALUES (1502,'LICENCIATURA','oscarandrei.valeriogonzalez','109822','TOMAR DEL SND','VALERIO GONZALEZ OSCAR ANDREI','ADMINISTRACION Y DIRECCION DE NEGOCIOS','8vo','MASCULINO','ACTIVO','',0,0,'','ALUMNO');</v>
      </c>
      <c r="M503" t="str">
        <f t="shared" si="30"/>
        <v>update participantes set correo='oscarandrei.valeriogonzalez' where id=1502;</v>
      </c>
    </row>
    <row r="504" spans="1:13" x14ac:dyDescent="0.25">
      <c r="A504">
        <f t="shared" si="31"/>
        <v>1503</v>
      </c>
      <c r="B504" s="3" t="s">
        <v>2103</v>
      </c>
      <c r="C504" t="str">
        <f>CONCATENATE("'",ALUMNOS!E507,"'")</f>
        <v>'oscardaniel.tiburciofabian'</v>
      </c>
      <c r="D504" t="str">
        <f>CONCATENATE(ALUMNOS!F507,"'")</f>
        <v>'110482'</v>
      </c>
      <c r="E504" t="s">
        <v>2723</v>
      </c>
      <c r="F504" t="str">
        <f>CONCATENATE("'",ALUMNOS!H507,"'")</f>
        <v>'TIBURCIO FABIAN OSCAR DANIEL'</v>
      </c>
      <c r="G504" t="str">
        <f>CONCATENATE("'",ALUMNOS!I507,"'")</f>
        <v>'INGENIERIA AEROESPACIAL'</v>
      </c>
      <c r="H504" t="str">
        <f>CONCATENATE("'",ALUMNOS!J507,"'")</f>
        <v>'6to'</v>
      </c>
      <c r="I504" t="str">
        <f>CONCATENATE("'",ALUMNOS!K507,"'")</f>
        <v>'Masculino'</v>
      </c>
      <c r="J504" t="str">
        <f>CONCATENATE("'",ALUMNOS!L507,"'")</f>
        <v>'Activo'</v>
      </c>
      <c r="K504" t="str">
        <f t="shared" si="29"/>
        <v>1503,'LICENCIATURA','oscardaniel.tiburciofabian','110482','TOMAR DEL SND','TIBURCIO FABIAN OSCAR DANIEL','INGENIERIA AEROESPACIAL','6to','MASCULINO','ACTIVO','',0,0,'','ALUMNO'</v>
      </c>
      <c r="L504" t="str">
        <f t="shared" si="28"/>
        <v>INSERT INTO participantes (id,nivel,correo,matricula,clave,nombre,carrera,grado,sexo,situacion,evaluados,num_evaluados,total_evaluaciones,ultimo_acceso,nivel_acceso) VALUES (1503,'LICENCIATURA','oscardaniel.tiburciofabian','110482','TOMAR DEL SND','TIBURCIO FABIAN OSCAR DANIEL','INGENIERIA AEROESPACIAL','6to','MASCULINO','ACTIVO','',0,0,'','ALUMNO');</v>
      </c>
      <c r="M504" t="str">
        <f t="shared" si="30"/>
        <v>update participantes set correo='oscardaniel.tiburciofabian' where id=1503;</v>
      </c>
    </row>
    <row r="505" spans="1:13" x14ac:dyDescent="0.25">
      <c r="A505">
        <f t="shared" si="31"/>
        <v>1504</v>
      </c>
      <c r="B505" s="3" t="s">
        <v>2103</v>
      </c>
      <c r="C505" t="str">
        <f>CONCATENATE("'",ALUMNOS!E508,"'")</f>
        <v>'oscardaniel.tinocoavila'</v>
      </c>
      <c r="D505" t="str">
        <f>CONCATENATE(ALUMNOS!F508,"'")</f>
        <v>'110450'</v>
      </c>
      <c r="E505" t="s">
        <v>2723</v>
      </c>
      <c r="F505" t="str">
        <f>CONCATENATE("'",ALUMNOS!H508,"'")</f>
        <v>'TINOCO AVILA OSCAR DANIEL'</v>
      </c>
      <c r="G505" t="str">
        <f>CONCATENATE("'",ALUMNOS!I508,"'")</f>
        <v>'INGENIERIA AEROESPACIAL'</v>
      </c>
      <c r="H505" t="str">
        <f>CONCATENATE("'",ALUMNOS!J508,"'")</f>
        <v>'6to'</v>
      </c>
      <c r="I505" t="str">
        <f>CONCATENATE("'",ALUMNOS!K508,"'")</f>
        <v>'Masculino'</v>
      </c>
      <c r="J505" t="str">
        <f>CONCATENATE("'",ALUMNOS!L508,"'")</f>
        <v>'Activo'</v>
      </c>
      <c r="K505" t="str">
        <f t="shared" si="29"/>
        <v>1504,'LICENCIATURA','oscardaniel.tinocoavila','110450','TOMAR DEL SND','TINOCO AVILA OSCAR DANIEL','INGENIERIA AEROESPACIAL','6to','MASCULINO','ACTIVO','',0,0,'','ALUMNO'</v>
      </c>
      <c r="L505" t="str">
        <f t="shared" si="28"/>
        <v>INSERT INTO participantes (id,nivel,correo,matricula,clave,nombre,carrera,grado,sexo,situacion,evaluados,num_evaluados,total_evaluaciones,ultimo_acceso,nivel_acceso) VALUES (1504,'LICENCIATURA','oscardaniel.tinocoavila','110450','TOMAR DEL SND','TINOCO AVILA OSCAR DANIEL','INGENIERIA AEROESPACIAL','6to','MASCULINO','ACTIVO','',0,0,'','ALUMNO');</v>
      </c>
      <c r="M505" t="str">
        <f t="shared" si="30"/>
        <v>update participantes set correo='oscardaniel.tinocoavila' where id=1504;</v>
      </c>
    </row>
    <row r="506" spans="1:13" x14ac:dyDescent="0.25">
      <c r="A506">
        <f t="shared" si="31"/>
        <v>1505</v>
      </c>
      <c r="B506" s="3" t="s">
        <v>2103</v>
      </c>
      <c r="C506" t="str">
        <f>CONCATENATE("'",ALUMNOS!E509,"'")</f>
        <v>'oscardiego.velazquezreyes'</v>
      </c>
      <c r="D506" t="str">
        <f>CONCATENATE(ALUMNOS!F509,"'")</f>
        <v>'110432'</v>
      </c>
      <c r="E506" t="s">
        <v>2723</v>
      </c>
      <c r="F506" t="str">
        <f>CONCATENATE("'",ALUMNOS!H509,"'")</f>
        <v>'VELAZQUEZ REYES OSCAR DIEGO'</v>
      </c>
      <c r="G506" t="str">
        <f>CONCATENATE("'",ALUMNOS!I509,"'")</f>
        <v>'ARQUITECTURA'</v>
      </c>
      <c r="H506" t="str">
        <f>CONCATENATE("'",ALUMNOS!J509,"'")</f>
        <v>'6to'</v>
      </c>
      <c r="I506" t="str">
        <f>CONCATENATE("'",ALUMNOS!K509,"'")</f>
        <v>'Masculino'</v>
      </c>
      <c r="J506" t="str">
        <f>CONCATENATE("'",ALUMNOS!L509,"'")</f>
        <v>'Activo'</v>
      </c>
      <c r="K506" t="str">
        <f t="shared" si="29"/>
        <v>1505,'LICENCIATURA','oscardiego.velazquezreyes','110432','TOMAR DEL SND','VELAZQUEZ REYES OSCAR DIEGO','ARQUITECTURA','6to','MASCULINO','ACTIVO','',0,0,'','ALUMNO'</v>
      </c>
      <c r="L506" t="str">
        <f t="shared" si="28"/>
        <v>INSERT INTO participantes (id,nivel,correo,matricula,clave,nombre,carrera,grado,sexo,situacion,evaluados,num_evaluados,total_evaluaciones,ultimo_acceso,nivel_acceso) VALUES (1505,'LICENCIATURA','oscardiego.velazquezreyes','110432','TOMAR DEL SND','VELAZQUEZ REYES OSCAR DIEGO','ARQUITECTURA','6to','MASCULINO','ACTIVO','',0,0,'','ALUMNO');</v>
      </c>
      <c r="M506" t="str">
        <f t="shared" si="30"/>
        <v>update participantes set correo='oscardiego.velazquezreyes' where id=1505;</v>
      </c>
    </row>
    <row r="507" spans="1:13" x14ac:dyDescent="0.25">
      <c r="A507">
        <f t="shared" si="31"/>
        <v>1506</v>
      </c>
      <c r="B507" s="3" t="s">
        <v>2103</v>
      </c>
      <c r="C507" t="str">
        <f>CONCATENATE("'",ALUMNOS!E510,"'")</f>
        <v>'oscaremilio.cayodiaz'</v>
      </c>
      <c r="D507" t="str">
        <f>CONCATENATE(ALUMNOS!F510,"'")</f>
        <v>'111049'</v>
      </c>
      <c r="E507" t="s">
        <v>2723</v>
      </c>
      <c r="F507" t="str">
        <f>CONCATENATE("'",ALUMNOS!H510,"'")</f>
        <v>'CAYO DIAZ OSCAR EMILIO'</v>
      </c>
      <c r="G507" t="str">
        <f>CONCATENATE("'",ALUMNOS!I510,"'")</f>
        <v>'ADMINISTRACION Y DIRECCION DE NEGOCIOS'</v>
      </c>
      <c r="H507" t="str">
        <f>CONCATENATE("'",ALUMNOS!J510,"'")</f>
        <v>'4to'</v>
      </c>
      <c r="I507" t="str">
        <f>CONCATENATE("'",ALUMNOS!K510,"'")</f>
        <v>'Masculino'</v>
      </c>
      <c r="J507" t="str">
        <f>CONCATENATE("'",ALUMNOS!L510,"'")</f>
        <v>'Activo'</v>
      </c>
      <c r="K507" t="str">
        <f t="shared" si="29"/>
        <v>1506,'LICENCIATURA','oscaremilio.cayodiaz','111049','TOMAR DEL SND','CAYO DIAZ OSCAR EMILIO','ADMINISTRACION Y DIRECCION DE NEGOCIOS','4to','MASCULINO','ACTIVO','',0,0,'','ALUMNO'</v>
      </c>
      <c r="L507" t="str">
        <f t="shared" si="28"/>
        <v>INSERT INTO participantes (id,nivel,correo,matricula,clave,nombre,carrera,grado,sexo,situacion,evaluados,num_evaluados,total_evaluaciones,ultimo_acceso,nivel_acceso) VALUES (1506,'LICENCIATURA','oscaremilio.cayodiaz','111049','TOMAR DEL SND','CAYO DIAZ OSCAR EMILIO','ADMINISTRACION Y DIRECCION DE NEGOCIOS','4to','MASCULINO','ACTIVO','',0,0,'','ALUMNO');</v>
      </c>
      <c r="M507" t="str">
        <f t="shared" si="30"/>
        <v>update participantes set correo='oscaremilio.cayodiaz' where id=1506;</v>
      </c>
    </row>
    <row r="508" spans="1:13" x14ac:dyDescent="0.25">
      <c r="A508">
        <f t="shared" si="31"/>
        <v>1507</v>
      </c>
      <c r="B508" s="3" t="s">
        <v>2103</v>
      </c>
      <c r="C508" t="str">
        <f>CONCATENATE("'",ALUMNOS!E511,"'")</f>
        <v>'oscarnassem.ariasgomez'</v>
      </c>
      <c r="D508" t="str">
        <f>CONCATENATE(ALUMNOS!F511,"'")</f>
        <v>'109327'</v>
      </c>
      <c r="E508" t="s">
        <v>2723</v>
      </c>
      <c r="F508" t="str">
        <f>CONCATENATE("'",ALUMNOS!H511,"'")</f>
        <v>'ARIAS GOMEZ OSCAR NASSEM'</v>
      </c>
      <c r="G508" t="str">
        <f>CONCATENATE("'",ALUMNOS!I511,"'")</f>
        <v>'INGENIERIA AEROESPACIAL'</v>
      </c>
      <c r="H508" t="str">
        <f>CONCATENATE("'",ALUMNOS!J511,"'")</f>
        <v>'10mo'</v>
      </c>
      <c r="I508" t="str">
        <f>CONCATENATE("'",ALUMNOS!K511,"'")</f>
        <v>'Masculino'</v>
      </c>
      <c r="J508" t="str">
        <f>CONCATENATE("'",ALUMNOS!L511,"'")</f>
        <v>'Activo'</v>
      </c>
      <c r="K508" t="str">
        <f t="shared" si="29"/>
        <v>1507,'LICENCIATURA','oscarnassem.ariasgomez','109327','TOMAR DEL SND','ARIAS GOMEZ OSCAR NASSEM','INGENIERIA AEROESPACIAL','10mo','MASCULINO','ACTIVO','',0,0,'','ALUMNO'</v>
      </c>
      <c r="L508" t="str">
        <f t="shared" si="28"/>
        <v>INSERT INTO participantes (id,nivel,correo,matricula,clave,nombre,carrera,grado,sexo,situacion,evaluados,num_evaluados,total_evaluaciones,ultimo_acceso,nivel_acceso) VALUES (1507,'LICENCIATURA','oscarnassem.ariasgomez','109327','TOMAR DEL SND','ARIAS GOMEZ OSCAR NASSEM','INGENIERIA AEROESPACIAL','10mo','MASCULINO','ACTIVO','',0,0,'','ALUMNO');</v>
      </c>
      <c r="M508" t="str">
        <f t="shared" si="30"/>
        <v>update participantes set correo='oscarnassem.ariasgomez' where id=1507;</v>
      </c>
    </row>
    <row r="509" spans="1:13" x14ac:dyDescent="0.25">
      <c r="A509">
        <f t="shared" si="31"/>
        <v>1508</v>
      </c>
      <c r="B509" s="3" t="s">
        <v>2103</v>
      </c>
      <c r="C509" t="str">
        <f>CONCATENATE("'",ALUMNOS!E512,"'")</f>
        <v>'oscarosvaldo.ballesterosgalvan'</v>
      </c>
      <c r="D509" t="str">
        <f>CONCATENATE(ALUMNOS!F512,"'")</f>
        <v>'007492'</v>
      </c>
      <c r="E509" t="s">
        <v>2723</v>
      </c>
      <c r="F509" t="str">
        <f>CONCATENATE("'",ALUMNOS!H512,"'")</f>
        <v>'BALLESTEROS GALVAN OSCAR OSVALDO'</v>
      </c>
      <c r="G509" t="str">
        <f>CONCATENATE("'",ALUMNOS!I512,"'")</f>
        <v>'INGENIERIA AEROESPACIAL'</v>
      </c>
      <c r="H509" t="str">
        <f>CONCATENATE("'",ALUMNOS!J512,"'")</f>
        <v>'4to'</v>
      </c>
      <c r="I509" t="str">
        <f>CONCATENATE("'",ALUMNOS!K512,"'")</f>
        <v>'Masculino'</v>
      </c>
      <c r="J509" t="str">
        <f>CONCATENATE("'",ALUMNOS!L512,"'")</f>
        <v>'Activo'</v>
      </c>
      <c r="K509" t="str">
        <f t="shared" si="29"/>
        <v>1508,'LICENCIATURA','oscarosvaldo.ballesterosgalvan','007492','TOMAR DEL SND','BALLESTEROS GALVAN OSCAR OSVALDO','INGENIERIA AEROESPACIAL','4to','MASCULINO','ACTIVO','',0,0,'','ALUMNO'</v>
      </c>
      <c r="L509" t="str">
        <f t="shared" si="28"/>
        <v>INSERT INTO participantes (id,nivel,correo,matricula,clave,nombre,carrera,grado,sexo,situacion,evaluados,num_evaluados,total_evaluaciones,ultimo_acceso,nivel_acceso) VALUES (1508,'LICENCIATURA','oscarosvaldo.ballesterosgalvan','007492','TOMAR DEL SND','BALLESTEROS GALVAN OSCAR OSVALDO','INGENIERIA AEROESPACIAL','4to','MASCULINO','ACTIVO','',0,0,'','ALUMNO');</v>
      </c>
      <c r="M509" t="str">
        <f t="shared" si="30"/>
        <v>update participantes set correo='oscarosvaldo.ballesterosgalvan' where id=1508;</v>
      </c>
    </row>
    <row r="510" spans="1:13" x14ac:dyDescent="0.25">
      <c r="A510">
        <f t="shared" si="31"/>
        <v>1509</v>
      </c>
      <c r="B510" s="3" t="s">
        <v>2103</v>
      </c>
      <c r="C510" t="str">
        <f>CONCATENATE("'",ALUMNOS!E513,"'")</f>
        <v>'oscarroberto.gonzalezcampos'</v>
      </c>
      <c r="D510" t="str">
        <f>CONCATENATE(ALUMNOS!F513,"'")</f>
        <v>'111822'</v>
      </c>
      <c r="E510" t="s">
        <v>2723</v>
      </c>
      <c r="F510" t="str">
        <f>CONCATENATE("'",ALUMNOS!H513,"'")</f>
        <v>'GONZALEZ CAMPOS OSCAR ROBERTO'</v>
      </c>
      <c r="G510" t="str">
        <f>CONCATENATE("'",ALUMNOS!I513,"'")</f>
        <v>'INGENIERÍA AUTOMOTRIZ'</v>
      </c>
      <c r="H510" t="str">
        <f>CONCATENATE("'",ALUMNOS!J513,"'")</f>
        <v>'2do'</v>
      </c>
      <c r="I510" t="str">
        <f>CONCATENATE("'",ALUMNOS!K513,"'")</f>
        <v>'Masculino'</v>
      </c>
      <c r="J510" t="str">
        <f>CONCATENATE("'",ALUMNOS!L513,"'")</f>
        <v>'Activo'</v>
      </c>
      <c r="K510" t="str">
        <f t="shared" si="29"/>
        <v>1509,'LICENCIATURA','oscarroberto.gonzalezcampos','111822','TOMAR DEL SND','GONZALEZ CAMPOS OSCAR ROBERTO','INGENIERÍA AUTOMOTRIZ','2do','MASCULINO','ACTIVO','',0,0,'','ALUMNO'</v>
      </c>
      <c r="L510" t="str">
        <f t="shared" si="28"/>
        <v>INSERT INTO participantes (id,nivel,correo,matricula,clave,nombre,carrera,grado,sexo,situacion,evaluados,num_evaluados,total_evaluaciones,ultimo_acceso,nivel_acceso) VALUES (1509,'LICENCIATURA','oscarroberto.gonzalezcampos','111822','TOMAR DEL SND','GONZALEZ CAMPOS OSCAR ROBERTO','INGENIERÍA AUTOMOTRIZ','2do','MASCULINO','ACTIVO','',0,0,'','ALUMNO');</v>
      </c>
      <c r="M510" t="str">
        <f t="shared" si="30"/>
        <v>update participantes set correo='oscarroberto.gonzalezcampos' where id=1509;</v>
      </c>
    </row>
    <row r="511" spans="1:13" x14ac:dyDescent="0.25">
      <c r="A511">
        <f t="shared" si="31"/>
        <v>1510</v>
      </c>
      <c r="B511" s="3" t="s">
        <v>2103</v>
      </c>
      <c r="C511" t="str">
        <f>CONCATENATE("'",ALUMNOS!E514,"'")</f>
        <v>'osmarandrey.figueroanuño'</v>
      </c>
      <c r="D511" t="str">
        <f>CONCATENATE(ALUMNOS!F514,"'")</f>
        <v>'111191'</v>
      </c>
      <c r="E511" t="s">
        <v>2723</v>
      </c>
      <c r="F511" t="str">
        <f>CONCATENATE("'",ALUMNOS!H514,"'")</f>
        <v>'FIGUEROA NUÑO OSMAR ANDREY'</v>
      </c>
      <c r="G511" t="str">
        <f>CONCATENATE("'",ALUMNOS!I514,"'")</f>
        <v>'INGENIERÍA AUTOMOTRIZ'</v>
      </c>
      <c r="H511" t="str">
        <f>CONCATENATE("'",ALUMNOS!J514,"'")</f>
        <v>'4to'</v>
      </c>
      <c r="I511" t="str">
        <f>CONCATENATE("'",ALUMNOS!K514,"'")</f>
        <v>'Masculino'</v>
      </c>
      <c r="J511" t="str">
        <f>CONCATENATE("'",ALUMNOS!L514,"'")</f>
        <v>'Activo'</v>
      </c>
      <c r="K511" t="str">
        <f t="shared" si="29"/>
        <v>1510,'LICENCIATURA','osmarandrey.figueroanuño','111191','TOMAR DEL SND','FIGUEROA NUÑO OSMAR ANDREY','INGENIERÍA AUTOMOTRIZ','4to','MASCULINO','ACTIVO','',0,0,'','ALUMNO'</v>
      </c>
      <c r="L511" t="str">
        <f t="shared" si="28"/>
        <v>INSERT INTO participantes (id,nivel,correo,matricula,clave,nombre,carrera,grado,sexo,situacion,evaluados,num_evaluados,total_evaluaciones,ultimo_acceso,nivel_acceso) VALUES (1510,'LICENCIATURA','osmarandrey.figueroanuño','111191','TOMAR DEL SND','FIGUEROA NUÑO OSMAR ANDREY','INGENIERÍA AUTOMOTRIZ','4to','MASCULINO','ACTIVO','',0,0,'','ALUMNO');</v>
      </c>
      <c r="M511" t="str">
        <f t="shared" si="30"/>
        <v>update participantes set correo='osmarandrey.figueroanuño' where id=1510;</v>
      </c>
    </row>
    <row r="512" spans="1:13" x14ac:dyDescent="0.25">
      <c r="A512">
        <f t="shared" si="31"/>
        <v>1511</v>
      </c>
      <c r="B512" s="3" t="s">
        <v>2103</v>
      </c>
      <c r="C512" t="str">
        <f>CONCATENATE("'",ALUMNOS!E515,"'")</f>
        <v>'pablo.marquezgonzalez'</v>
      </c>
      <c r="D512" t="str">
        <f>CONCATENATE(ALUMNOS!F515,"'")</f>
        <v>'111176'</v>
      </c>
      <c r="E512" t="s">
        <v>2723</v>
      </c>
      <c r="F512" t="str">
        <f>CONCATENATE("'",ALUMNOS!H515,"'")</f>
        <v>'MARQUEZ GONZALEZ PABLO'</v>
      </c>
      <c r="G512" t="str">
        <f>CONCATENATE("'",ALUMNOS!I515,"'")</f>
        <v>'INGENIERIA AEROESPACIAL'</v>
      </c>
      <c r="H512" t="str">
        <f>CONCATENATE("'",ALUMNOS!J515,"'")</f>
        <v>'4to'</v>
      </c>
      <c r="I512" t="str">
        <f>CONCATENATE("'",ALUMNOS!K515,"'")</f>
        <v>'Masculino'</v>
      </c>
      <c r="J512" t="str">
        <f>CONCATENATE("'",ALUMNOS!L515,"'")</f>
        <v>'Activo'</v>
      </c>
      <c r="K512" t="str">
        <f t="shared" si="29"/>
        <v>1511,'LICENCIATURA','pablo.marquezgonzalez','111176','TOMAR DEL SND','MARQUEZ GONZALEZ PABLO','INGENIERIA AEROESPACIAL','4to','MASCULINO','ACTIVO','',0,0,'','ALUMNO'</v>
      </c>
      <c r="L512" t="str">
        <f t="shared" si="28"/>
        <v>INSERT INTO participantes (id,nivel,correo,matricula,clave,nombre,carrera,grado,sexo,situacion,evaluados,num_evaluados,total_evaluaciones,ultimo_acceso,nivel_acceso) VALUES (1511,'LICENCIATURA','pablo.marquezgonzalez','111176','TOMAR DEL SND','MARQUEZ GONZALEZ PABLO','INGENIERIA AEROESPACIAL','4to','MASCULINO','ACTIVO','',0,0,'','ALUMNO');</v>
      </c>
      <c r="M512" t="str">
        <f t="shared" si="30"/>
        <v>update participantes set correo='pablo.marquezgonzalez' where id=1511;</v>
      </c>
    </row>
    <row r="513" spans="1:13" x14ac:dyDescent="0.25">
      <c r="A513">
        <f t="shared" si="31"/>
        <v>1512</v>
      </c>
      <c r="B513" s="3" t="s">
        <v>2103</v>
      </c>
      <c r="C513" t="str">
        <f>CONCATENATE("'",ALUMNOS!E516,"'")</f>
        <v>'pablodomingo.encinossantiz'</v>
      </c>
      <c r="D513" t="str">
        <f>CONCATENATE(ALUMNOS!F516,"'")</f>
        <v>'109982'</v>
      </c>
      <c r="E513" t="s">
        <v>2723</v>
      </c>
      <c r="F513" t="str">
        <f>CONCATENATE("'",ALUMNOS!H516,"'")</f>
        <v>'ENCINOS SANTIZ PABLO DOMINGO'</v>
      </c>
      <c r="G513" t="str">
        <f>CONCATENATE("'",ALUMNOS!I516,"'")</f>
        <v>'INGENIERIA AEROESPACIAL'</v>
      </c>
      <c r="H513" t="str">
        <f>CONCATENATE("'",ALUMNOS!J516,"'")</f>
        <v>'8vo'</v>
      </c>
      <c r="I513" t="str">
        <f>CONCATENATE("'",ALUMNOS!K516,"'")</f>
        <v>'Masculino'</v>
      </c>
      <c r="J513" t="str">
        <f>CONCATENATE("'",ALUMNOS!L516,"'")</f>
        <v>'Activo'</v>
      </c>
      <c r="K513" t="str">
        <f t="shared" si="29"/>
        <v>1512,'LICENCIATURA','pablodomingo.encinossantiz','109982','TOMAR DEL SND','ENCINOS SANTIZ PABLO DOMINGO','INGENIERIA AEROESPACIAL','8vo','MASCULINO','ACTIVO','',0,0,'','ALUMNO'</v>
      </c>
      <c r="L513" t="str">
        <f t="shared" si="28"/>
        <v>INSERT INTO participantes (id,nivel,correo,matricula,clave,nombre,carrera,grado,sexo,situacion,evaluados,num_evaluados,total_evaluaciones,ultimo_acceso,nivel_acceso) VALUES (1512,'LICENCIATURA','pablodomingo.encinossantiz','109982','TOMAR DEL SND','ENCINOS SANTIZ PABLO DOMINGO','INGENIERIA AEROESPACIAL','8vo','MASCULINO','ACTIVO','',0,0,'','ALUMNO');</v>
      </c>
      <c r="M513" t="str">
        <f t="shared" si="30"/>
        <v>update participantes set correo='pablodomingo.encinossantiz' where id=1512;</v>
      </c>
    </row>
    <row r="514" spans="1:13" x14ac:dyDescent="0.25">
      <c r="A514">
        <f t="shared" si="31"/>
        <v>1513</v>
      </c>
      <c r="B514" s="3" t="s">
        <v>2103</v>
      </c>
      <c r="C514" t="str">
        <f>CONCATENATE("'",ALUMNOS!E517,"'")</f>
        <v>'pablojared.orozcobrizuela'</v>
      </c>
      <c r="D514" t="str">
        <f>CONCATENATE(ALUMNOS!F517,"'")</f>
        <v>'110530'</v>
      </c>
      <c r="E514" t="s">
        <v>2723</v>
      </c>
      <c r="F514" t="str">
        <f>CONCATENATE("'",ALUMNOS!H517,"'")</f>
        <v>'OROZCO BRIZUELA PABLO JARED'</v>
      </c>
      <c r="G514" t="str">
        <f>CONCATENATE("'",ALUMNOS!I517,"'")</f>
        <v>'ANIMACION DIGITAL Y VIDEOJUEGOS'</v>
      </c>
      <c r="H514" t="str">
        <f>CONCATENATE("'",ALUMNOS!J517,"'")</f>
        <v>'6to'</v>
      </c>
      <c r="I514" t="str">
        <f>CONCATENATE("'",ALUMNOS!K517,"'")</f>
        <v>'Masculino'</v>
      </c>
      <c r="J514" t="str">
        <f>CONCATENATE("'",ALUMNOS!L517,"'")</f>
        <v>'Activo'</v>
      </c>
      <c r="K514" t="str">
        <f t="shared" si="29"/>
        <v>1513,'LICENCIATURA','pablojared.orozcobrizuela','110530','TOMAR DEL SND','OROZCO BRIZUELA PABLO JARED','ANIMACION DIGITAL Y VIDEOJUEGOS','6to','MASCULINO','ACTIVO','',0,0,'','ALUMNO'</v>
      </c>
      <c r="L514" t="str">
        <f t="shared" ref="L514:L577" si="32">CONCATENATE($K$1,K514,");")</f>
        <v>INSERT INTO participantes (id,nivel,correo,matricula,clave,nombre,carrera,grado,sexo,situacion,evaluados,num_evaluados,total_evaluaciones,ultimo_acceso,nivel_acceso) VALUES (1513,'LICENCIATURA','pablojared.orozcobrizuela','110530','TOMAR DEL SND','OROZCO BRIZUELA PABLO JARED','ANIMACION DIGITAL Y VIDEOJUEGOS','6to','MASCULINO','ACTIVO','',0,0,'','ALUMNO');</v>
      </c>
      <c r="M514" t="str">
        <f t="shared" si="30"/>
        <v>update participantes set correo='pablojared.orozcobrizuela' where id=1513;</v>
      </c>
    </row>
    <row r="515" spans="1:13" x14ac:dyDescent="0.25">
      <c r="A515">
        <f t="shared" si="31"/>
        <v>1514</v>
      </c>
      <c r="B515" s="3" t="s">
        <v>2103</v>
      </c>
      <c r="C515" t="str">
        <f>CONCATENATE("'",ALUMNOS!E518,"'")</f>
        <v>'pabloleonardo.aguirreastorga'</v>
      </c>
      <c r="D515" t="str">
        <f>CONCATENATE(ALUMNOS!F518,"'")</f>
        <v>'109851'</v>
      </c>
      <c r="E515" t="s">
        <v>2723</v>
      </c>
      <c r="F515" t="str">
        <f>CONCATENATE("'",ALUMNOS!H518,"'")</f>
        <v>'AGUIRRE ASTORGA PABLO LEONARDO'</v>
      </c>
      <c r="G515" t="str">
        <f>CONCATENATE("'",ALUMNOS!I518,"'")</f>
        <v>'INGENIERIA AEROESPACIAL'</v>
      </c>
      <c r="H515" t="str">
        <f>CONCATENATE("'",ALUMNOS!J518,"'")</f>
        <v>'4to'</v>
      </c>
      <c r="I515" t="str">
        <f>CONCATENATE("'",ALUMNOS!K518,"'")</f>
        <v>'Masculino'</v>
      </c>
      <c r="J515" t="str">
        <f>CONCATENATE("'",ALUMNOS!L518,"'")</f>
        <v>'Reingreso'</v>
      </c>
      <c r="K515" t="str">
        <f t="shared" ref="K515:K578" si="33">CONCATENATE(A515,",",B515,",",C515,",",D515,",'",E515,",",F515,",",G515,",",H515,",",UPPER(I515),",",UPPER(J515),",'',0,0,'','ALUMNO'")</f>
        <v>1514,'LICENCIATURA','pabloleonardo.aguirreastorga','109851','TOMAR DEL SND','AGUIRRE ASTORGA PABLO LEONARDO','INGENIERIA AEROESPACIAL','4to','MASCULINO','REINGRESO','',0,0,'','ALUMNO'</v>
      </c>
      <c r="L515" t="str">
        <f t="shared" si="32"/>
        <v>INSERT INTO participantes (id,nivel,correo,matricula,clave,nombre,carrera,grado,sexo,situacion,evaluados,num_evaluados,total_evaluaciones,ultimo_acceso,nivel_acceso) VALUES (1514,'LICENCIATURA','pabloleonardo.aguirreastorga','109851','TOMAR DEL SND','AGUIRRE ASTORGA PABLO LEONARDO','INGENIERIA AEROESPACIAL','4to','MASCULINO','REINGRESO','',0,0,'','ALUMNO');</v>
      </c>
      <c r="M515" t="str">
        <f t="shared" ref="M515:M578" si="34">CONCATENATE("update participantes set correo=",C515," where id=",A515,";")</f>
        <v>update participantes set correo='pabloleonardo.aguirreastorga' where id=1514;</v>
      </c>
    </row>
    <row r="516" spans="1:13" x14ac:dyDescent="0.25">
      <c r="A516">
        <f t="shared" ref="A516:A579" si="35">A515+1</f>
        <v>1515</v>
      </c>
      <c r="B516" s="3" t="s">
        <v>2103</v>
      </c>
      <c r="C516" t="str">
        <f>CONCATENATE("'",ALUMNOS!E519,"'")</f>
        <v>'pablomanuel.ruizgomez'</v>
      </c>
      <c r="D516" t="str">
        <f>CONCATENATE(ALUMNOS!F519,"'")</f>
        <v>'111619'</v>
      </c>
      <c r="E516" t="s">
        <v>2723</v>
      </c>
      <c r="F516" t="str">
        <f>CONCATENATE("'",ALUMNOS!H519,"'")</f>
        <v>'RUIZ GOMEZ PABLO MANUEL'</v>
      </c>
      <c r="G516" t="str">
        <f>CONCATENATE("'",ALUMNOS!I519,"'")</f>
        <v>'ARQUITECTURA'</v>
      </c>
      <c r="H516" t="str">
        <f>CONCATENATE("'",ALUMNOS!J519,"'")</f>
        <v>'2do'</v>
      </c>
      <c r="I516" t="str">
        <f>CONCATENATE("'",ALUMNOS!K519,"'")</f>
        <v>'Masculino'</v>
      </c>
      <c r="J516" t="str">
        <f>CONCATENATE("'",ALUMNOS!L519,"'")</f>
        <v>'Activo'</v>
      </c>
      <c r="K516" t="str">
        <f t="shared" si="33"/>
        <v>1515,'LICENCIATURA','pablomanuel.ruizgomez','111619','TOMAR DEL SND','RUIZ GOMEZ PABLO MANUEL','ARQUITECTURA','2do','MASCULINO','ACTIVO','',0,0,'','ALUMNO'</v>
      </c>
      <c r="L516" t="str">
        <f t="shared" si="32"/>
        <v>INSERT INTO participantes (id,nivel,correo,matricula,clave,nombre,carrera,grado,sexo,situacion,evaluados,num_evaluados,total_evaluaciones,ultimo_acceso,nivel_acceso) VALUES (1515,'LICENCIATURA','pablomanuel.ruizgomez','111619','TOMAR DEL SND','RUIZ GOMEZ PABLO MANUEL','ARQUITECTURA','2do','MASCULINO','ACTIVO','',0,0,'','ALUMNO');</v>
      </c>
      <c r="M516" t="str">
        <f t="shared" si="34"/>
        <v>update participantes set correo='pablomanuel.ruizgomez' where id=1515;</v>
      </c>
    </row>
    <row r="517" spans="1:13" x14ac:dyDescent="0.25">
      <c r="A517">
        <f t="shared" si="35"/>
        <v>1516</v>
      </c>
      <c r="B517" s="3" t="s">
        <v>2103</v>
      </c>
      <c r="C517" t="str">
        <f>CONCATENATE("'",ALUMNOS!E520,"'")</f>
        <v>'pablomaria.beccarisjimenez'</v>
      </c>
      <c r="D517" t="str">
        <f>CONCATENATE(ALUMNOS!F520,"'")</f>
        <v>'110473'</v>
      </c>
      <c r="E517" t="s">
        <v>2723</v>
      </c>
      <c r="F517" t="str">
        <f>CONCATENATE("'",ALUMNOS!H520,"'")</f>
        <v>'BECCARIS JIMENEZ PABLO MARIA'</v>
      </c>
      <c r="G517" t="str">
        <f>CONCATENATE("'",ALUMNOS!I520,"'")</f>
        <v>'INGENIERIA AEROESPACIAL'</v>
      </c>
      <c r="H517" t="str">
        <f>CONCATENATE("'",ALUMNOS!J520,"'")</f>
        <v>'6to'</v>
      </c>
      <c r="I517" t="str">
        <f>CONCATENATE("'",ALUMNOS!K520,"'")</f>
        <v>'Masculino'</v>
      </c>
      <c r="J517" t="str">
        <f>CONCATENATE("'",ALUMNOS!L520,"'")</f>
        <v>'Activo'</v>
      </c>
      <c r="K517" t="str">
        <f t="shared" si="33"/>
        <v>1516,'LICENCIATURA','pablomaria.beccarisjimenez','110473','TOMAR DEL SND','BECCARIS JIMENEZ PABLO MARIA','INGENIERIA AEROESPACIAL','6to','MASCULINO','ACTIVO','',0,0,'','ALUMNO'</v>
      </c>
      <c r="L517" t="str">
        <f t="shared" si="32"/>
        <v>INSERT INTO participantes (id,nivel,correo,matricula,clave,nombre,carrera,grado,sexo,situacion,evaluados,num_evaluados,total_evaluaciones,ultimo_acceso,nivel_acceso) VALUES (1516,'LICENCIATURA','pablomaria.beccarisjimenez','110473','TOMAR DEL SND','BECCARIS JIMENEZ PABLO MARIA','INGENIERIA AEROESPACIAL','6to','MASCULINO','ACTIVO','',0,0,'','ALUMNO');</v>
      </c>
      <c r="M517" t="str">
        <f t="shared" si="34"/>
        <v>update participantes set correo='pablomaria.beccarisjimenez' where id=1516;</v>
      </c>
    </row>
    <row r="518" spans="1:13" x14ac:dyDescent="0.25">
      <c r="A518">
        <f t="shared" si="35"/>
        <v>1517</v>
      </c>
      <c r="B518" s="3" t="s">
        <v>2103</v>
      </c>
      <c r="C518" t="str">
        <f>CONCATENATE("'",ALUMNOS!E521,"'")</f>
        <v>'pablooscar.salcidoramos'</v>
      </c>
      <c r="D518" t="str">
        <f>CONCATENATE(ALUMNOS!F521,"'")</f>
        <v>'111853'</v>
      </c>
      <c r="E518" t="s">
        <v>2723</v>
      </c>
      <c r="F518" t="str">
        <f>CONCATENATE("'",ALUMNOS!H521,"'")</f>
        <v>'SALCIDO RAMOS PABLO OSCAR'</v>
      </c>
      <c r="G518" t="str">
        <f>CONCATENATE("'",ALUMNOS!I521,"'")</f>
        <v>'PSICOLOGIA'</v>
      </c>
      <c r="H518" t="str">
        <f>CONCATENATE("'",ALUMNOS!J521,"'")</f>
        <v>'2do'</v>
      </c>
      <c r="I518" t="str">
        <f>CONCATENATE("'",ALUMNOS!K521,"'")</f>
        <v>'Masculino'</v>
      </c>
      <c r="J518" t="str">
        <f>CONCATENATE("'",ALUMNOS!L521,"'")</f>
        <v>'Activo'</v>
      </c>
      <c r="K518" t="str">
        <f t="shared" si="33"/>
        <v>1517,'LICENCIATURA','pablooscar.salcidoramos','111853','TOMAR DEL SND','SALCIDO RAMOS PABLO OSCAR','PSICOLOGIA','2do','MASCULINO','ACTIVO','',0,0,'','ALUMNO'</v>
      </c>
      <c r="L518" t="str">
        <f t="shared" si="32"/>
        <v>INSERT INTO participantes (id,nivel,correo,matricula,clave,nombre,carrera,grado,sexo,situacion,evaluados,num_evaluados,total_evaluaciones,ultimo_acceso,nivel_acceso) VALUES (1517,'LICENCIATURA','pablooscar.salcidoramos','111853','TOMAR DEL SND','SALCIDO RAMOS PABLO OSCAR','PSICOLOGIA','2do','MASCULINO','ACTIVO','',0,0,'','ALUMNO');</v>
      </c>
      <c r="M518" t="str">
        <f t="shared" si="34"/>
        <v>update participantes set correo='pablooscar.salcidoramos' where id=1517;</v>
      </c>
    </row>
    <row r="519" spans="1:13" x14ac:dyDescent="0.25">
      <c r="A519">
        <f t="shared" si="35"/>
        <v>1518</v>
      </c>
      <c r="B519" s="3" t="s">
        <v>2103</v>
      </c>
      <c r="C519" t="str">
        <f>CONCATENATE("'",ALUMNOS!E522,"'")</f>
        <v>'pablosamuel.floresmora'</v>
      </c>
      <c r="D519" t="str">
        <f>CONCATENATE(ALUMNOS!F522,"'")</f>
        <v>'111040'</v>
      </c>
      <c r="E519" t="s">
        <v>2723</v>
      </c>
      <c r="F519" t="str">
        <f>CONCATENATE("'",ALUMNOS!H522,"'")</f>
        <v>'FLORES MORA PABLO SAMUEL'</v>
      </c>
      <c r="G519" t="str">
        <f>CONCATENATE("'",ALUMNOS!I522,"'")</f>
        <v>'INGENIERÍA AUTOMOTRIZ'</v>
      </c>
      <c r="H519" t="str">
        <f>CONCATENATE("'",ALUMNOS!J522,"'")</f>
        <v>'4to'</v>
      </c>
      <c r="I519" t="str">
        <f>CONCATENATE("'",ALUMNOS!K522,"'")</f>
        <v>'Masculino'</v>
      </c>
      <c r="J519" t="str">
        <f>CONCATENATE("'",ALUMNOS!L522,"'")</f>
        <v>'Activo'</v>
      </c>
      <c r="K519" t="str">
        <f t="shared" si="33"/>
        <v>1518,'LICENCIATURA','pablosamuel.floresmora','111040','TOMAR DEL SND','FLORES MORA PABLO SAMUEL','INGENIERÍA AUTOMOTRIZ','4to','MASCULINO','ACTIVO','',0,0,'','ALUMNO'</v>
      </c>
      <c r="L519" t="str">
        <f t="shared" si="32"/>
        <v>INSERT INTO participantes (id,nivel,correo,matricula,clave,nombre,carrera,grado,sexo,situacion,evaluados,num_evaluados,total_evaluaciones,ultimo_acceso,nivel_acceso) VALUES (1518,'LICENCIATURA','pablosamuel.floresmora','111040','TOMAR DEL SND','FLORES MORA PABLO SAMUEL','INGENIERÍA AUTOMOTRIZ','4to','MASCULINO','ACTIVO','',0,0,'','ALUMNO');</v>
      </c>
      <c r="M519" t="str">
        <f t="shared" si="34"/>
        <v>update participantes set correo='pablosamuel.floresmora' where id=1518;</v>
      </c>
    </row>
    <row r="520" spans="1:13" x14ac:dyDescent="0.25">
      <c r="A520">
        <f t="shared" si="35"/>
        <v>1519</v>
      </c>
      <c r="B520" s="3" t="s">
        <v>2103</v>
      </c>
      <c r="C520" t="str">
        <f>CONCATENATE("'",ALUMNOS!E524,"'")</f>
        <v>'palomamichelle.cosiolopez'</v>
      </c>
      <c r="D520" t="str">
        <f>CONCATENATE(ALUMNOS!F524,"'")</f>
        <v>'110495'</v>
      </c>
      <c r="E520" t="s">
        <v>2723</v>
      </c>
      <c r="F520" t="str">
        <f>CONCATENATE("'",ALUMNOS!H524,"'")</f>
        <v>'COSIO LOPEZ PALOMA MICHELLE'</v>
      </c>
      <c r="G520" t="str">
        <f>CONCATENATE("'",ALUMNOS!I524,"'")</f>
        <v>'NUTRICION Y GASTRONOMIA'</v>
      </c>
      <c r="H520" t="str">
        <f>CONCATENATE("'",ALUMNOS!J524,"'")</f>
        <v>'6to'</v>
      </c>
      <c r="I520" t="str">
        <f>CONCATENATE("'",ALUMNOS!K524,"'")</f>
        <v>'Femenino'</v>
      </c>
      <c r="J520" t="str">
        <f>CONCATENATE("'",ALUMNOS!L524,"'")</f>
        <v>'Activo'</v>
      </c>
      <c r="K520" t="str">
        <f t="shared" si="33"/>
        <v>1519,'LICENCIATURA','palomamichelle.cosiolopez','110495','TOMAR DEL SND','COSIO LOPEZ PALOMA MICHELLE','NUTRICION Y GASTRONOMIA','6to','FEMENINO','ACTIVO','',0,0,'','ALUMNO'</v>
      </c>
      <c r="L520" t="str">
        <f t="shared" si="32"/>
        <v>INSERT INTO participantes (id,nivel,correo,matricula,clave,nombre,carrera,grado,sexo,situacion,evaluados,num_evaluados,total_evaluaciones,ultimo_acceso,nivel_acceso) VALUES (1519,'LICENCIATURA','palomamichelle.cosiolopez','110495','TOMAR DEL SND','COSIO LOPEZ PALOMA MICHELLE','NUTRICION Y GASTRONOMIA','6to','FEMENINO','ACTIVO','',0,0,'','ALUMNO');</v>
      </c>
      <c r="M520" t="str">
        <f t="shared" si="34"/>
        <v>update participantes set correo='palomamichelle.cosiolopez' where id=1519;</v>
      </c>
    </row>
    <row r="521" spans="1:13" x14ac:dyDescent="0.25">
      <c r="A521">
        <f t="shared" si="35"/>
        <v>1520</v>
      </c>
      <c r="B521" s="3" t="s">
        <v>2103</v>
      </c>
      <c r="C521" t="str">
        <f>CONCATENATE("'",ALUMNOS!E525,"'")</f>
        <v>'paola.gutierrezrenteria'</v>
      </c>
      <c r="D521" t="str">
        <f>CONCATENATE(ALUMNOS!F525,"'")</f>
        <v>'110529'</v>
      </c>
      <c r="E521" t="s">
        <v>2723</v>
      </c>
      <c r="F521" t="str">
        <f>CONCATENATE("'",ALUMNOS!H525,"'")</f>
        <v>'GUTIERREZ RENTERIA PAOLA'</v>
      </c>
      <c r="G521" t="str">
        <f>CONCATENATE("'",ALUMNOS!I525,"'")</f>
        <v>'ANIMACION DIGITAL Y VIDEOJUEGOS'</v>
      </c>
      <c r="H521" t="str">
        <f>CONCATENATE("'",ALUMNOS!J525,"'")</f>
        <v>'6to'</v>
      </c>
      <c r="I521" t="str">
        <f>CONCATENATE("'",ALUMNOS!K525,"'")</f>
        <v>'Femenino'</v>
      </c>
      <c r="J521" t="str">
        <f>CONCATENATE("'",ALUMNOS!L525,"'")</f>
        <v>'Activo'</v>
      </c>
      <c r="K521" t="str">
        <f t="shared" si="33"/>
        <v>1520,'LICENCIATURA','paola.gutierrezrenteria','110529','TOMAR DEL SND','GUTIERREZ RENTERIA PAOLA','ANIMACION DIGITAL Y VIDEOJUEGOS','6to','FEMENINO','ACTIVO','',0,0,'','ALUMNO'</v>
      </c>
      <c r="L521" t="str">
        <f t="shared" si="32"/>
        <v>INSERT INTO participantes (id,nivel,correo,matricula,clave,nombre,carrera,grado,sexo,situacion,evaluados,num_evaluados,total_evaluaciones,ultimo_acceso,nivel_acceso) VALUES (1520,'LICENCIATURA','paola.gutierrezrenteria','110529','TOMAR DEL SND','GUTIERREZ RENTERIA PAOLA','ANIMACION DIGITAL Y VIDEOJUEGOS','6to','FEMENINO','ACTIVO','',0,0,'','ALUMNO');</v>
      </c>
      <c r="M521" t="str">
        <f t="shared" si="34"/>
        <v>update participantes set correo='paola.gutierrezrenteria' where id=1520;</v>
      </c>
    </row>
    <row r="522" spans="1:13" x14ac:dyDescent="0.25">
      <c r="A522">
        <f t="shared" si="35"/>
        <v>1521</v>
      </c>
      <c r="B522" s="3" t="s">
        <v>2103</v>
      </c>
      <c r="C522" t="str">
        <f>CONCATENATE("'",ALUMNOS!E526,"'")</f>
        <v>'paolabridget.godinavaldivia'</v>
      </c>
      <c r="D522" t="str">
        <f>CONCATENATE(ALUMNOS!F526,"'")</f>
        <v>'109844'</v>
      </c>
      <c r="E522" t="s">
        <v>2723</v>
      </c>
      <c r="F522" t="str">
        <f>CONCATENATE("'",ALUMNOS!H526,"'")</f>
        <v>'GODINA VALDIVIA PAOLA BRIDGET'</v>
      </c>
      <c r="G522" t="str">
        <f>CONCATENATE("'",ALUMNOS!I526,"'")</f>
        <v>'ARQUITECTURA'</v>
      </c>
      <c r="H522" t="str">
        <f>CONCATENATE("'",ALUMNOS!J526,"'")</f>
        <v>'8vo'</v>
      </c>
      <c r="I522" t="str">
        <f>CONCATENATE("'",ALUMNOS!K526,"'")</f>
        <v>'Femenino'</v>
      </c>
      <c r="J522" t="str">
        <f>CONCATENATE("'",ALUMNOS!L526,"'")</f>
        <v>'Activo'</v>
      </c>
      <c r="K522" t="str">
        <f t="shared" si="33"/>
        <v>1521,'LICENCIATURA','paolabridget.godinavaldivia','109844','TOMAR DEL SND','GODINA VALDIVIA PAOLA BRIDGET','ARQUITECTURA','8vo','FEMENINO','ACTIVO','',0,0,'','ALUMNO'</v>
      </c>
      <c r="L522" t="str">
        <f t="shared" si="32"/>
        <v>INSERT INTO participantes (id,nivel,correo,matricula,clave,nombre,carrera,grado,sexo,situacion,evaluados,num_evaluados,total_evaluaciones,ultimo_acceso,nivel_acceso) VALUES (1521,'LICENCIATURA','paolabridget.godinavaldivia','109844','TOMAR DEL SND','GODINA VALDIVIA PAOLA BRIDGET','ARQUITECTURA','8vo','FEMENINO','ACTIVO','',0,0,'','ALUMNO');</v>
      </c>
      <c r="M522" t="str">
        <f t="shared" si="34"/>
        <v>update participantes set correo='paolabridget.godinavaldivia' where id=1521;</v>
      </c>
    </row>
    <row r="523" spans="1:13" x14ac:dyDescent="0.25">
      <c r="A523">
        <f t="shared" si="35"/>
        <v>1522</v>
      </c>
      <c r="B523" s="3" t="s">
        <v>2103</v>
      </c>
      <c r="C523" t="str">
        <f>CONCATENATE("'",ALUMNOS!E527,"'")</f>
        <v>'paoladenice.pandurosolis'</v>
      </c>
      <c r="D523" t="str">
        <f>CONCATENATE(ALUMNOS!F527,"'")</f>
        <v>'110695'</v>
      </c>
      <c r="E523" t="s">
        <v>2723</v>
      </c>
      <c r="F523" t="str">
        <f>CONCATENATE("'",ALUMNOS!H527,"'")</f>
        <v>'PANDURO SOLIS PAOLA DENICE'</v>
      </c>
      <c r="G523" t="str">
        <f>CONCATENATE("'",ALUMNOS!I527,"'")</f>
        <v>'PSICOLOGIA'</v>
      </c>
      <c r="H523" t="str">
        <f>CONCATENATE("'",ALUMNOS!J527,"'")</f>
        <v>'6to'</v>
      </c>
      <c r="I523" t="str">
        <f>CONCATENATE("'",ALUMNOS!K527,"'")</f>
        <v>'Femenino'</v>
      </c>
      <c r="J523" t="str">
        <f>CONCATENATE("'",ALUMNOS!L527,"'")</f>
        <v>'Activo'</v>
      </c>
      <c r="K523" t="str">
        <f t="shared" si="33"/>
        <v>1522,'LICENCIATURA','paoladenice.pandurosolis','110695','TOMAR DEL SND','PANDURO SOLIS PAOLA DENICE','PSICOLOGIA','6to','FEMENINO','ACTIVO','',0,0,'','ALUMNO'</v>
      </c>
      <c r="L523" t="str">
        <f t="shared" si="32"/>
        <v>INSERT INTO participantes (id,nivel,correo,matricula,clave,nombre,carrera,grado,sexo,situacion,evaluados,num_evaluados,total_evaluaciones,ultimo_acceso,nivel_acceso) VALUES (1522,'LICENCIATURA','paoladenice.pandurosolis','110695','TOMAR DEL SND','PANDURO SOLIS PAOLA DENICE','PSICOLOGIA','6to','FEMENINO','ACTIVO','',0,0,'','ALUMNO');</v>
      </c>
      <c r="M523" t="str">
        <f t="shared" si="34"/>
        <v>update participantes set correo='paoladenice.pandurosolis' where id=1522;</v>
      </c>
    </row>
    <row r="524" spans="1:13" x14ac:dyDescent="0.25">
      <c r="A524">
        <f t="shared" si="35"/>
        <v>1523</v>
      </c>
      <c r="B524" s="3" t="s">
        <v>2103</v>
      </c>
      <c r="C524" t="str">
        <f>CONCATENATE("'",ALUMNOS!E528,"'")</f>
        <v>'patricia.pereztorres'</v>
      </c>
      <c r="D524" t="str">
        <f>CONCATENATE(ALUMNOS!F528,"'")</f>
        <v>'007595'</v>
      </c>
      <c r="E524" t="s">
        <v>2723</v>
      </c>
      <c r="F524" t="str">
        <f>CONCATENATE("'",ALUMNOS!H528,"'")</f>
        <v>'PEREZ TORRES PATRICIA'</v>
      </c>
      <c r="G524" t="str">
        <f>CONCATENATE("'",ALUMNOS!I528,"'")</f>
        <v>'INGENIERIA INDUSTRIAL Y EN SISTEMAS ORGANIZACIONALES'</v>
      </c>
      <c r="H524" t="str">
        <f>CONCATENATE("'",ALUMNOS!J528,"'")</f>
        <v>'4to'</v>
      </c>
      <c r="I524" t="str">
        <f>CONCATENATE("'",ALUMNOS!K528,"'")</f>
        <v>'Femenino'</v>
      </c>
      <c r="J524" t="str">
        <f>CONCATENATE("'",ALUMNOS!L528,"'")</f>
        <v>'Activo'</v>
      </c>
      <c r="K524" t="str">
        <f t="shared" si="33"/>
        <v>1523,'LICENCIATURA','patricia.pereztorres','007595','TOMAR DEL SND','PEREZ TORRES PATRICIA','INGENIERIA INDUSTRIAL Y EN SISTEMAS ORGANIZACIONALES','4to','FEMENINO','ACTIVO','',0,0,'','ALUMNO'</v>
      </c>
      <c r="L524" t="str">
        <f t="shared" si="32"/>
        <v>INSERT INTO participantes (id,nivel,correo,matricula,clave,nombre,carrera,grado,sexo,situacion,evaluados,num_evaluados,total_evaluaciones,ultimo_acceso,nivel_acceso) VALUES (1523,'LICENCIATURA','patricia.pereztorres','007595','TOMAR DEL SND','PEREZ TORRES PATRICIA','INGENIERIA INDUSTRIAL Y EN SISTEMAS ORGANIZACIONALES','4to','FEMENINO','ACTIVO','',0,0,'','ALUMNO');</v>
      </c>
      <c r="M524" t="str">
        <f t="shared" si="34"/>
        <v>update participantes set correo='patricia.pereztorres' where id=1523;</v>
      </c>
    </row>
    <row r="525" spans="1:13" x14ac:dyDescent="0.25">
      <c r="A525">
        <f t="shared" si="35"/>
        <v>1524</v>
      </c>
      <c r="B525" s="3" t="s">
        <v>2103</v>
      </c>
      <c r="C525" t="str">
        <f>CONCATENATE("'",ALUMNOS!E529,"'")</f>
        <v>'paulaalejandra.castrogomez'</v>
      </c>
      <c r="D525" t="str">
        <f>CONCATENATE(ALUMNOS!F529,"'")</f>
        <v>'109850'</v>
      </c>
      <c r="E525" t="s">
        <v>2723</v>
      </c>
      <c r="F525" t="str">
        <f>CONCATENATE("'",ALUMNOS!H529,"'")</f>
        <v>'CASTRO GOMEZ PAULA ALEJANDRA'</v>
      </c>
      <c r="G525" t="str">
        <f>CONCATENATE("'",ALUMNOS!I529,"'")</f>
        <v>'DERECHO'</v>
      </c>
      <c r="H525" t="str">
        <f>CONCATENATE("'",ALUMNOS!J529,"'")</f>
        <v>'8vo'</v>
      </c>
      <c r="I525" t="str">
        <f>CONCATENATE("'",ALUMNOS!K529,"'")</f>
        <v>'Femenino'</v>
      </c>
      <c r="J525" t="str">
        <f>CONCATENATE("'",ALUMNOS!L529,"'")</f>
        <v>'Activo'</v>
      </c>
      <c r="K525" t="str">
        <f t="shared" si="33"/>
        <v>1524,'LICENCIATURA','paulaalejandra.castrogomez','109850','TOMAR DEL SND','CASTRO GOMEZ PAULA ALEJANDRA','DERECHO','8vo','FEMENINO','ACTIVO','',0,0,'','ALUMNO'</v>
      </c>
      <c r="L525" t="str">
        <f t="shared" si="32"/>
        <v>INSERT INTO participantes (id,nivel,correo,matricula,clave,nombre,carrera,grado,sexo,situacion,evaluados,num_evaluados,total_evaluaciones,ultimo_acceso,nivel_acceso) VALUES (1524,'LICENCIATURA','paulaalejandra.castrogomez','109850','TOMAR DEL SND','CASTRO GOMEZ PAULA ALEJANDRA','DERECHO','8vo','FEMENINO','ACTIVO','',0,0,'','ALUMNO');</v>
      </c>
      <c r="M525" t="str">
        <f t="shared" si="34"/>
        <v>update participantes set correo='paulaalejandra.castrogomez' where id=1524;</v>
      </c>
    </row>
    <row r="526" spans="1:13" x14ac:dyDescent="0.25">
      <c r="A526">
        <f t="shared" si="35"/>
        <v>1525</v>
      </c>
      <c r="B526" s="3" t="s">
        <v>2103</v>
      </c>
      <c r="C526" t="str">
        <f>CONCATENATE("'",ALUMNOS!E530,"'")</f>
        <v>'naranjopaulavictoria.brizuelaamador'</v>
      </c>
      <c r="D526" t="str">
        <f>CONCATENATE(ALUMNOS!F530,"'")</f>
        <v>'109893'</v>
      </c>
      <c r="E526" t="s">
        <v>2723</v>
      </c>
      <c r="F526" t="str">
        <f>CONCATENATE("'",ALUMNOS!H530,"'")</f>
        <v>'BRIZUELA AMADOR NARANJO PAULA VICTORIA'</v>
      </c>
      <c r="G526" t="str">
        <f>CONCATENATE("'",ALUMNOS!I530,"'")</f>
        <v>'NUTRICION Y GASTRONOMIA'</v>
      </c>
      <c r="H526" t="str">
        <f>CONCATENATE("'",ALUMNOS!J530,"'")</f>
        <v>'8vo'</v>
      </c>
      <c r="I526" t="str">
        <f>CONCATENATE("'",ALUMNOS!K530,"'")</f>
        <v>'Femenino'</v>
      </c>
      <c r="J526" t="str">
        <f>CONCATENATE("'",ALUMNOS!L530,"'")</f>
        <v>'Activo'</v>
      </c>
      <c r="K526" t="str">
        <f t="shared" si="33"/>
        <v>1525,'LICENCIATURA','naranjopaulavictoria.brizuelaamador','109893','TOMAR DEL SND','BRIZUELA AMADOR NARANJO PAULA VICTORIA','NUTRICION Y GASTRONOMIA','8vo','FEMENINO','ACTIVO','',0,0,'','ALUMNO'</v>
      </c>
      <c r="L526" t="str">
        <f t="shared" si="32"/>
        <v>INSERT INTO participantes (id,nivel,correo,matricula,clave,nombre,carrera,grado,sexo,situacion,evaluados,num_evaluados,total_evaluaciones,ultimo_acceso,nivel_acceso) VALUES (1525,'LICENCIATURA','naranjopaulavictoria.brizuelaamador','109893','TOMAR DEL SND','BRIZUELA AMADOR NARANJO PAULA VICTORIA','NUTRICION Y GASTRONOMIA','8vo','FEMENINO','ACTIVO','',0,0,'','ALUMNO');</v>
      </c>
      <c r="M526" t="str">
        <f t="shared" si="34"/>
        <v>update participantes set correo='naranjopaulavictoria.brizuelaamador' where id=1525;</v>
      </c>
    </row>
    <row r="527" spans="1:13" x14ac:dyDescent="0.25">
      <c r="A527">
        <f t="shared" si="35"/>
        <v>1526</v>
      </c>
      <c r="B527" s="3" t="s">
        <v>2103</v>
      </c>
      <c r="C527" t="str">
        <f>CONCATENATE("'",ALUMNOS!E531,"'")</f>
        <v>'paulina.aguayocamacho'</v>
      </c>
      <c r="D527" t="str">
        <f>CONCATENATE(ALUMNOS!F531,"'")</f>
        <v>'109861'</v>
      </c>
      <c r="E527" t="s">
        <v>2723</v>
      </c>
      <c r="F527" t="str">
        <f>CONCATENATE("'",ALUMNOS!H531,"'")</f>
        <v>'AGUAYO CAMACHO PAULINA'</v>
      </c>
      <c r="G527" t="str">
        <f>CONCATENATE("'",ALUMNOS!I531,"'")</f>
        <v>'INGENIERIA AEROESPACIAL'</v>
      </c>
      <c r="H527" t="str">
        <f>CONCATENATE("'",ALUMNOS!J531,"'")</f>
        <v>'8vo'</v>
      </c>
      <c r="I527" t="str">
        <f>CONCATENATE("'",ALUMNOS!K531,"'")</f>
        <v>'Femenino'</v>
      </c>
      <c r="J527" t="str">
        <f>CONCATENATE("'",ALUMNOS!L531,"'")</f>
        <v>'Activo'</v>
      </c>
      <c r="K527" t="str">
        <f t="shared" si="33"/>
        <v>1526,'LICENCIATURA','paulina.aguayocamacho','109861','TOMAR DEL SND','AGUAYO CAMACHO PAULINA','INGENIERIA AEROESPACIAL','8vo','FEMENINO','ACTIVO','',0,0,'','ALUMNO'</v>
      </c>
      <c r="L527" t="str">
        <f t="shared" si="32"/>
        <v>INSERT INTO participantes (id,nivel,correo,matricula,clave,nombre,carrera,grado,sexo,situacion,evaluados,num_evaluados,total_evaluaciones,ultimo_acceso,nivel_acceso) VALUES (1526,'LICENCIATURA','paulina.aguayocamacho','109861','TOMAR DEL SND','AGUAYO CAMACHO PAULINA','INGENIERIA AEROESPACIAL','8vo','FEMENINO','ACTIVO','',0,0,'','ALUMNO');</v>
      </c>
      <c r="M527" t="str">
        <f t="shared" si="34"/>
        <v>update participantes set correo='paulina.aguayocamacho' where id=1526;</v>
      </c>
    </row>
    <row r="528" spans="1:13" x14ac:dyDescent="0.25">
      <c r="A528">
        <f t="shared" si="35"/>
        <v>1527</v>
      </c>
      <c r="B528" s="3" t="s">
        <v>2103</v>
      </c>
      <c r="C528" t="str">
        <f>CONCATENATE("'",ALUMNOS!E532,"'")</f>
        <v>'paulinanataly.valadezrivera'</v>
      </c>
      <c r="D528" t="str">
        <f>CONCATENATE(ALUMNOS!F532,"'")</f>
        <v>'111203'</v>
      </c>
      <c r="E528" t="s">
        <v>2723</v>
      </c>
      <c r="F528" t="str">
        <f>CONCATENATE("'",ALUMNOS!H532,"'")</f>
        <v>'VALADEZ RIVERA PAULINA NATALY'</v>
      </c>
      <c r="G528" t="str">
        <f>CONCATENATE("'",ALUMNOS!I532,"'")</f>
        <v>'ARQUITECTURA'</v>
      </c>
      <c r="H528" t="str">
        <f>CONCATENATE("'",ALUMNOS!J532,"'")</f>
        <v>'4to'</v>
      </c>
      <c r="I528" t="str">
        <f>CONCATENATE("'",ALUMNOS!K532,"'")</f>
        <v>'Femenino'</v>
      </c>
      <c r="J528" t="str">
        <f>CONCATENATE("'",ALUMNOS!L532,"'")</f>
        <v>'Activo'</v>
      </c>
      <c r="K528" t="str">
        <f t="shared" si="33"/>
        <v>1527,'LICENCIATURA','paulinanataly.valadezrivera','111203','TOMAR DEL SND','VALADEZ RIVERA PAULINA NATALY','ARQUITECTURA','4to','FEMENINO','ACTIVO','',0,0,'','ALUMNO'</v>
      </c>
      <c r="L528" t="str">
        <f t="shared" si="32"/>
        <v>INSERT INTO participantes (id,nivel,correo,matricula,clave,nombre,carrera,grado,sexo,situacion,evaluados,num_evaluados,total_evaluaciones,ultimo_acceso,nivel_acceso) VALUES (1527,'LICENCIATURA','paulinanataly.valadezrivera','111203','TOMAR DEL SND','VALADEZ RIVERA PAULINA NATALY','ARQUITECTURA','4to','FEMENINO','ACTIVO','',0,0,'','ALUMNO');</v>
      </c>
      <c r="M528" t="str">
        <f t="shared" si="34"/>
        <v>update participantes set correo='paulinanataly.valadezrivera' where id=1527;</v>
      </c>
    </row>
    <row r="529" spans="1:13" x14ac:dyDescent="0.25">
      <c r="A529">
        <f t="shared" si="35"/>
        <v>1528</v>
      </c>
      <c r="B529" s="3" t="s">
        <v>2103</v>
      </c>
      <c r="C529" t="str">
        <f>CONCATENATE("'",ALUMNOS!E533,"'")</f>
        <v>'paulinapatricia.garciamacias'</v>
      </c>
      <c r="D529" t="str">
        <f>CONCATENATE(ALUMNOS!F533,"'")</f>
        <v>'109974'</v>
      </c>
      <c r="E529" t="s">
        <v>2723</v>
      </c>
      <c r="F529" t="str">
        <f>CONCATENATE("'",ALUMNOS!H533,"'")</f>
        <v>'GARCIA MACIAS PAULINA PATRICIA'</v>
      </c>
      <c r="G529" t="str">
        <f>CONCATENATE("'",ALUMNOS!I533,"'")</f>
        <v>'DERECHO'</v>
      </c>
      <c r="H529" t="str">
        <f>CONCATENATE("'",ALUMNOS!J533,"'")</f>
        <v>'8vo'</v>
      </c>
      <c r="I529" t="str">
        <f>CONCATENATE("'",ALUMNOS!K533,"'")</f>
        <v>'Femenino'</v>
      </c>
      <c r="J529" t="str">
        <f>CONCATENATE("'",ALUMNOS!L533,"'")</f>
        <v>'Activo'</v>
      </c>
      <c r="K529" t="str">
        <f t="shared" si="33"/>
        <v>1528,'LICENCIATURA','paulinapatricia.garciamacias','109974','TOMAR DEL SND','GARCIA MACIAS PAULINA PATRICIA','DERECHO','8vo','FEMENINO','ACTIVO','',0,0,'','ALUMNO'</v>
      </c>
      <c r="L529" t="str">
        <f t="shared" si="32"/>
        <v>INSERT INTO participantes (id,nivel,correo,matricula,clave,nombre,carrera,grado,sexo,situacion,evaluados,num_evaluados,total_evaluaciones,ultimo_acceso,nivel_acceso) VALUES (1528,'LICENCIATURA','paulinapatricia.garciamacias','109974','TOMAR DEL SND','GARCIA MACIAS PAULINA PATRICIA','DERECHO','8vo','FEMENINO','ACTIVO','',0,0,'','ALUMNO');</v>
      </c>
      <c r="M529" t="str">
        <f t="shared" si="34"/>
        <v>update participantes set correo='paulinapatricia.garciamacias' where id=1528;</v>
      </c>
    </row>
    <row r="530" spans="1:13" x14ac:dyDescent="0.25">
      <c r="A530">
        <f t="shared" si="35"/>
        <v>1529</v>
      </c>
      <c r="B530" s="3" t="s">
        <v>2103</v>
      </c>
      <c r="C530" t="str">
        <f>CONCATENATE("'",ALUMNOS!E534,"'")</f>
        <v>'paulo.garcianavarro'</v>
      </c>
      <c r="D530" t="str">
        <f>CONCATENATE(ALUMNOS!F534,"'")</f>
        <v>'110025'</v>
      </c>
      <c r="E530" t="s">
        <v>2723</v>
      </c>
      <c r="F530" t="str">
        <f>CONCATENATE("'",ALUMNOS!H534,"'")</f>
        <v>'GARCIA NAVARRO PAULO'</v>
      </c>
      <c r="G530" t="str">
        <f>CONCATENATE("'",ALUMNOS!I534,"'")</f>
        <v>'PSICOLOGIA'</v>
      </c>
      <c r="H530" t="str">
        <f>CONCATENATE("'",ALUMNOS!J534,"'")</f>
        <v>'8vo'</v>
      </c>
      <c r="I530" t="str">
        <f>CONCATENATE("'",ALUMNOS!K534,"'")</f>
        <v>'Masculino'</v>
      </c>
      <c r="J530" t="str">
        <f>CONCATENATE("'",ALUMNOS!L534,"'")</f>
        <v>'Activo'</v>
      </c>
      <c r="K530" t="str">
        <f t="shared" si="33"/>
        <v>1529,'LICENCIATURA','paulo.garcianavarro','110025','TOMAR DEL SND','GARCIA NAVARRO PAULO','PSICOLOGIA','8vo','MASCULINO','ACTIVO','',0,0,'','ALUMNO'</v>
      </c>
      <c r="L530" t="str">
        <f t="shared" si="32"/>
        <v>INSERT INTO participantes (id,nivel,correo,matricula,clave,nombre,carrera,grado,sexo,situacion,evaluados,num_evaluados,total_evaluaciones,ultimo_acceso,nivel_acceso) VALUES (1529,'LICENCIATURA','paulo.garcianavarro','110025','TOMAR DEL SND','GARCIA NAVARRO PAULO','PSICOLOGIA','8vo','MASCULINO','ACTIVO','',0,0,'','ALUMNO');</v>
      </c>
      <c r="M530" t="str">
        <f t="shared" si="34"/>
        <v>update participantes set correo='paulo.garcianavarro' where id=1529;</v>
      </c>
    </row>
    <row r="531" spans="1:13" x14ac:dyDescent="0.25">
      <c r="A531">
        <f t="shared" si="35"/>
        <v>1530</v>
      </c>
      <c r="B531" s="3" t="s">
        <v>2103</v>
      </c>
      <c r="C531" t="str">
        <f>CONCATENATE("'",ALUMNOS!E535,"'")</f>
        <v>'pedroemiliano.rubioortiz'</v>
      </c>
      <c r="D531" t="str">
        <f>CONCATENATE(ALUMNOS!F535,"'")</f>
        <v>'111743'</v>
      </c>
      <c r="E531" t="s">
        <v>2723</v>
      </c>
      <c r="F531" t="str">
        <f>CONCATENATE("'",ALUMNOS!H535,"'")</f>
        <v>'RUBIO ORTIZ PEDRO EMILIANO'</v>
      </c>
      <c r="G531" t="str">
        <f>CONCATENATE("'",ALUMNOS!I535,"'")</f>
        <v>'INGENIERIA AEROESPACIAL'</v>
      </c>
      <c r="H531" t="str">
        <f>CONCATENATE("'",ALUMNOS!J535,"'")</f>
        <v>'2do'</v>
      </c>
      <c r="I531" t="str">
        <f>CONCATENATE("'",ALUMNOS!K535,"'")</f>
        <v>'Masculino'</v>
      </c>
      <c r="J531" t="str">
        <f>CONCATENATE("'",ALUMNOS!L535,"'")</f>
        <v>'Activo'</v>
      </c>
      <c r="K531" t="str">
        <f t="shared" si="33"/>
        <v>1530,'LICENCIATURA','pedroemiliano.rubioortiz','111743','TOMAR DEL SND','RUBIO ORTIZ PEDRO EMILIANO','INGENIERIA AEROESPACIAL','2do','MASCULINO','ACTIVO','',0,0,'','ALUMNO'</v>
      </c>
      <c r="L531" t="str">
        <f t="shared" si="32"/>
        <v>INSERT INTO participantes (id,nivel,correo,matricula,clave,nombre,carrera,grado,sexo,situacion,evaluados,num_evaluados,total_evaluaciones,ultimo_acceso,nivel_acceso) VALUES (1530,'LICENCIATURA','pedroemiliano.rubioortiz','111743','TOMAR DEL SND','RUBIO ORTIZ PEDRO EMILIANO','INGENIERIA AEROESPACIAL','2do','MASCULINO','ACTIVO','',0,0,'','ALUMNO');</v>
      </c>
      <c r="M531" t="str">
        <f t="shared" si="34"/>
        <v>update participantes set correo='pedroemiliano.rubioortiz' where id=1530;</v>
      </c>
    </row>
    <row r="532" spans="1:13" x14ac:dyDescent="0.25">
      <c r="A532">
        <f t="shared" si="35"/>
        <v>1531</v>
      </c>
      <c r="B532" s="3" t="s">
        <v>2103</v>
      </c>
      <c r="C532" t="str">
        <f>CONCATENATE("'",ALUMNOS!E536,"'")</f>
        <v>'pedroiker.solaeguihernandez'</v>
      </c>
      <c r="D532" t="str">
        <f>CONCATENATE(ALUMNOS!F536,"'")</f>
        <v>'007758'</v>
      </c>
      <c r="E532" t="s">
        <v>2723</v>
      </c>
      <c r="F532" t="str">
        <f>CONCATENATE("'",ALUMNOS!H536,"'")</f>
        <v>'SOLAEGUI HERNANDEZ PEDRO IKER'</v>
      </c>
      <c r="G532" t="str">
        <f>CONCATENATE("'",ALUMNOS!I536,"'")</f>
        <v>'ANIMACION DIGITAL Y VIDEOJUEGOS'</v>
      </c>
      <c r="H532" t="str">
        <f>CONCATENATE("'",ALUMNOS!J536,"'")</f>
        <v>'2do'</v>
      </c>
      <c r="I532" t="str">
        <f>CONCATENATE("'",ALUMNOS!K536,"'")</f>
        <v>'Masculino'</v>
      </c>
      <c r="J532" t="str">
        <f>CONCATENATE("'",ALUMNOS!L536,"'")</f>
        <v>'Activo'</v>
      </c>
      <c r="K532" t="str">
        <f t="shared" si="33"/>
        <v>1531,'LICENCIATURA','pedroiker.solaeguihernandez','007758','TOMAR DEL SND','SOLAEGUI HERNANDEZ PEDRO IKER','ANIMACION DIGITAL Y VIDEOJUEGOS','2do','MASCULINO','ACTIVO','',0,0,'','ALUMNO'</v>
      </c>
      <c r="L532" t="str">
        <f t="shared" si="32"/>
        <v>INSERT INTO participantes (id,nivel,correo,matricula,clave,nombre,carrera,grado,sexo,situacion,evaluados,num_evaluados,total_evaluaciones,ultimo_acceso,nivel_acceso) VALUES (1531,'LICENCIATURA','pedroiker.solaeguihernandez','007758','TOMAR DEL SND','SOLAEGUI HERNANDEZ PEDRO IKER','ANIMACION DIGITAL Y VIDEOJUEGOS','2do','MASCULINO','ACTIVO','',0,0,'','ALUMNO');</v>
      </c>
      <c r="M532" t="str">
        <f t="shared" si="34"/>
        <v>update participantes set correo='pedroiker.solaeguihernandez' where id=1531;</v>
      </c>
    </row>
    <row r="533" spans="1:13" x14ac:dyDescent="0.25">
      <c r="A533">
        <f t="shared" si="35"/>
        <v>1532</v>
      </c>
      <c r="B533" s="3" t="s">
        <v>2103</v>
      </c>
      <c r="C533" t="str">
        <f>CONCATENATE("'",ALUMNOS!E537,"'")</f>
        <v>'perlabeatriz.avilesbretado'</v>
      </c>
      <c r="D533" t="str">
        <f>CONCATENATE(ALUMNOS!F537,"'")</f>
        <v>'111760'</v>
      </c>
      <c r="E533" t="s">
        <v>2723</v>
      </c>
      <c r="F533" t="str">
        <f>CONCATENATE("'",ALUMNOS!H537,"'")</f>
        <v>'AVILES BRETADO PERLA BEATRIZ'</v>
      </c>
      <c r="G533" t="str">
        <f>CONCATENATE("'",ALUMNOS!I537,"'")</f>
        <v>'PSICOLOGIA'</v>
      </c>
      <c r="H533" t="str">
        <f>CONCATENATE("'",ALUMNOS!J537,"'")</f>
        <v>'2do'</v>
      </c>
      <c r="I533" t="str">
        <f>CONCATENATE("'",ALUMNOS!K537,"'")</f>
        <v>'Femenino'</v>
      </c>
      <c r="J533" t="str">
        <f>CONCATENATE("'",ALUMNOS!L537,"'")</f>
        <v>'Activo'</v>
      </c>
      <c r="K533" t="str">
        <f t="shared" si="33"/>
        <v>1532,'LICENCIATURA','perlabeatriz.avilesbretado','111760','TOMAR DEL SND','AVILES BRETADO PERLA BEATRIZ','PSICOLOGIA','2do','FEMENINO','ACTIVO','',0,0,'','ALUMNO'</v>
      </c>
      <c r="L533" t="str">
        <f t="shared" si="32"/>
        <v>INSERT INTO participantes (id,nivel,correo,matricula,clave,nombre,carrera,grado,sexo,situacion,evaluados,num_evaluados,total_evaluaciones,ultimo_acceso,nivel_acceso) VALUES (1532,'LICENCIATURA','perlabeatriz.avilesbretado','111760','TOMAR DEL SND','AVILES BRETADO PERLA BEATRIZ','PSICOLOGIA','2do','FEMENINO','ACTIVO','',0,0,'','ALUMNO');</v>
      </c>
      <c r="M533" t="str">
        <f t="shared" si="34"/>
        <v>update participantes set correo='perlabeatriz.avilesbretado' where id=1532;</v>
      </c>
    </row>
    <row r="534" spans="1:13" x14ac:dyDescent="0.25">
      <c r="A534">
        <f t="shared" si="35"/>
        <v>1533</v>
      </c>
      <c r="B534" s="3" t="s">
        <v>2103</v>
      </c>
      <c r="C534" t="str">
        <f>CONCATENATE("'",ALUMNOS!E538,"'")</f>
        <v>'quiltzintanya.hernandezramirez'</v>
      </c>
      <c r="D534" t="str">
        <f>CONCATENATE(ALUMNOS!F538,"'")</f>
        <v>'006861'</v>
      </c>
      <c r="E534" t="s">
        <v>2723</v>
      </c>
      <c r="F534" t="str">
        <f>CONCATENATE("'",ALUMNOS!H538,"'")</f>
        <v>'HERNANDEZ RAMIREZ QUILTZIN TANYA'</v>
      </c>
      <c r="G534" t="str">
        <f>CONCATENATE("'",ALUMNOS!I538,"'")</f>
        <v>'INGENIERIA CIBERNETICA Y EN SISTEMAS COMPUTACIONALES'</v>
      </c>
      <c r="H534" t="str">
        <f>CONCATENATE("'",ALUMNOS!J538,"'")</f>
        <v>'8vo'</v>
      </c>
      <c r="I534" t="str">
        <f>CONCATENATE("'",ALUMNOS!K538,"'")</f>
        <v>'Femenino'</v>
      </c>
      <c r="J534" t="str">
        <f>CONCATENATE("'",ALUMNOS!L538,"'")</f>
        <v>'Activo'</v>
      </c>
      <c r="K534" t="str">
        <f t="shared" si="33"/>
        <v>1533,'LICENCIATURA','quiltzintanya.hernandezramirez','006861','TOMAR DEL SND','HERNANDEZ RAMIREZ QUILTZIN TANYA','INGENIERIA CIBERNETICA Y EN SISTEMAS COMPUTACIONALES','8vo','FEMENINO','ACTIVO','',0,0,'','ALUMNO'</v>
      </c>
      <c r="L534" t="str">
        <f t="shared" si="32"/>
        <v>INSERT INTO participantes (id,nivel,correo,matricula,clave,nombre,carrera,grado,sexo,situacion,evaluados,num_evaluados,total_evaluaciones,ultimo_acceso,nivel_acceso) VALUES (1533,'LICENCIATURA','quiltzintanya.hernandezramirez','006861','TOMAR DEL SND','HERNANDEZ RAMIREZ QUILTZIN TANYA','INGENIERIA CIBERNETICA Y EN SISTEMAS COMPUTACIONALES','8vo','FEMENINO','ACTIVO','',0,0,'','ALUMNO');</v>
      </c>
      <c r="M534" t="str">
        <f t="shared" si="34"/>
        <v>update participantes set correo='quiltzintanya.hernandezramirez' where id=1533;</v>
      </c>
    </row>
    <row r="535" spans="1:13" x14ac:dyDescent="0.25">
      <c r="A535">
        <f t="shared" si="35"/>
        <v>1534</v>
      </c>
      <c r="B535" s="3" t="s">
        <v>2103</v>
      </c>
      <c r="C535" t="str">
        <f>CONCATENATE("'",ALUMNOS!E539,"'")</f>
        <v>'regina.lopezalvarez'</v>
      </c>
      <c r="D535" t="str">
        <f>CONCATENATE(ALUMNOS!F539,"'")</f>
        <v>'111767'</v>
      </c>
      <c r="E535" t="s">
        <v>2723</v>
      </c>
      <c r="F535" t="str">
        <f>CONCATENATE("'",ALUMNOS!H539,"'")</f>
        <v>'LOPEZ ALVAREZ REGINA'</v>
      </c>
      <c r="G535" t="str">
        <f>CONCATENATE("'",ALUMNOS!I539,"'")</f>
        <v>'ARQUITECTURA'</v>
      </c>
      <c r="H535" t="str">
        <f>CONCATENATE("'",ALUMNOS!J539,"'")</f>
        <v>'2do'</v>
      </c>
      <c r="I535" t="str">
        <f>CONCATENATE("'",ALUMNOS!K539,"'")</f>
        <v>'Femenino'</v>
      </c>
      <c r="J535" t="str">
        <f>CONCATENATE("'",ALUMNOS!L539,"'")</f>
        <v>'Activo'</v>
      </c>
      <c r="K535" t="str">
        <f t="shared" si="33"/>
        <v>1534,'LICENCIATURA','regina.lopezalvarez','111767','TOMAR DEL SND','LOPEZ ALVAREZ REGINA','ARQUITECTURA','2do','FEMENINO','ACTIVO','',0,0,'','ALUMNO'</v>
      </c>
      <c r="L535" t="str">
        <f t="shared" si="32"/>
        <v>INSERT INTO participantes (id,nivel,correo,matricula,clave,nombre,carrera,grado,sexo,situacion,evaluados,num_evaluados,total_evaluaciones,ultimo_acceso,nivel_acceso) VALUES (1534,'LICENCIATURA','regina.lopezalvarez','111767','TOMAR DEL SND','LOPEZ ALVAREZ REGINA','ARQUITECTURA','2do','FEMENINO','ACTIVO','',0,0,'','ALUMNO');</v>
      </c>
      <c r="M535" t="str">
        <f t="shared" si="34"/>
        <v>update participantes set correo='regina.lopezalvarez' where id=1534;</v>
      </c>
    </row>
    <row r="536" spans="1:13" x14ac:dyDescent="0.25">
      <c r="A536">
        <f t="shared" si="35"/>
        <v>1535</v>
      </c>
      <c r="B536" s="3" t="s">
        <v>2103</v>
      </c>
      <c r="C536" t="str">
        <f>CONCATENATE("'",ALUMNOS!E540,"'")</f>
        <v>'reginamargarita.arellanobañuelos'</v>
      </c>
      <c r="D536" t="str">
        <f>CONCATENATE(ALUMNOS!F540,"'")</f>
        <v>'111336'</v>
      </c>
      <c r="E536" t="s">
        <v>2723</v>
      </c>
      <c r="F536" t="str">
        <f>CONCATENATE("'",ALUMNOS!H540,"'")</f>
        <v>'ARELLANO BAÑUELOS REGINA MARGARITA'</v>
      </c>
      <c r="G536" t="str">
        <f>CONCATENATE("'",ALUMNOS!I540,"'")</f>
        <v>'ARQUITECTURA'</v>
      </c>
      <c r="H536" t="str">
        <f>CONCATENATE("'",ALUMNOS!J540,"'")</f>
        <v>'4to'</v>
      </c>
      <c r="I536" t="str">
        <f>CONCATENATE("'",ALUMNOS!K540,"'")</f>
        <v>'Femenino'</v>
      </c>
      <c r="J536" t="str">
        <f>CONCATENATE("'",ALUMNOS!L540,"'")</f>
        <v>'Activo'</v>
      </c>
      <c r="K536" t="str">
        <f t="shared" si="33"/>
        <v>1535,'LICENCIATURA','reginamargarita.arellanobañuelos','111336','TOMAR DEL SND','ARELLANO BAÑUELOS REGINA MARGARITA','ARQUITECTURA','4to','FEMENINO','ACTIVO','',0,0,'','ALUMNO'</v>
      </c>
      <c r="L536" t="str">
        <f t="shared" si="32"/>
        <v>INSERT INTO participantes (id,nivel,correo,matricula,clave,nombre,carrera,grado,sexo,situacion,evaluados,num_evaluados,total_evaluaciones,ultimo_acceso,nivel_acceso) VALUES (1535,'LICENCIATURA','reginamargarita.arellanobañuelos','111336','TOMAR DEL SND','ARELLANO BAÑUELOS REGINA MARGARITA','ARQUITECTURA','4to','FEMENINO','ACTIVO','',0,0,'','ALUMNO');</v>
      </c>
      <c r="M536" t="str">
        <f t="shared" si="34"/>
        <v>update participantes set correo='reginamargarita.arellanobañuelos' where id=1535;</v>
      </c>
    </row>
    <row r="537" spans="1:13" x14ac:dyDescent="0.25">
      <c r="A537">
        <f t="shared" si="35"/>
        <v>1536</v>
      </c>
      <c r="B537" s="3" t="s">
        <v>2103</v>
      </c>
      <c r="C537" t="str">
        <f>CONCATENATE("'",ALUMNOS!E541,"'")</f>
        <v>'renata.pichardojaime'</v>
      </c>
      <c r="D537" t="str">
        <f>CONCATENATE(ALUMNOS!F541,"'")</f>
        <v>'109902'</v>
      </c>
      <c r="E537" t="s">
        <v>2723</v>
      </c>
      <c r="F537" t="str">
        <f>CONCATENATE("'",ALUMNOS!H541,"'")</f>
        <v>'PICHARDO JAIME RENATA'</v>
      </c>
      <c r="G537" t="str">
        <f>CONCATENATE("'",ALUMNOS!I541,"'")</f>
        <v>'INGENIERIA AEROESPACIAL'</v>
      </c>
      <c r="H537" t="str">
        <f>CONCATENATE("'",ALUMNOS!J541,"'")</f>
        <v>'8vo'</v>
      </c>
      <c r="I537" t="str">
        <f>CONCATENATE("'",ALUMNOS!K541,"'")</f>
        <v>'Femenino'</v>
      </c>
      <c r="J537" t="str">
        <f>CONCATENATE("'",ALUMNOS!L541,"'")</f>
        <v>'Activo'</v>
      </c>
      <c r="K537" t="str">
        <f t="shared" si="33"/>
        <v>1536,'LICENCIATURA','renata.pichardojaime','109902','TOMAR DEL SND','PICHARDO JAIME RENATA','INGENIERIA AEROESPACIAL','8vo','FEMENINO','ACTIVO','',0,0,'','ALUMNO'</v>
      </c>
      <c r="L537" t="str">
        <f t="shared" si="32"/>
        <v>INSERT INTO participantes (id,nivel,correo,matricula,clave,nombre,carrera,grado,sexo,situacion,evaluados,num_evaluados,total_evaluaciones,ultimo_acceso,nivel_acceso) VALUES (1536,'LICENCIATURA','renata.pichardojaime','109902','TOMAR DEL SND','PICHARDO JAIME RENATA','INGENIERIA AEROESPACIAL','8vo','FEMENINO','ACTIVO','',0,0,'','ALUMNO');</v>
      </c>
      <c r="M537" t="str">
        <f t="shared" si="34"/>
        <v>update participantes set correo='renata.pichardojaime' where id=1536;</v>
      </c>
    </row>
    <row r="538" spans="1:13" x14ac:dyDescent="0.25">
      <c r="A538">
        <f t="shared" si="35"/>
        <v>1537</v>
      </c>
      <c r="B538" s="3" t="s">
        <v>2103</v>
      </c>
      <c r="C538" t="str">
        <f>CONCATENATE("'",ALUMNOS!E542,"'")</f>
        <v>'ricardo.fernandezsaldaña'</v>
      </c>
      <c r="D538" t="str">
        <f>CONCATENATE(ALUMNOS!F542,"'")</f>
        <v>'109962'</v>
      </c>
      <c r="E538" t="s">
        <v>2723</v>
      </c>
      <c r="F538" t="str">
        <f>CONCATENATE("'",ALUMNOS!H542,"'")</f>
        <v>'FERNANDEZ SALDAÑA RICARDO'</v>
      </c>
      <c r="G538" t="str">
        <f>CONCATENATE("'",ALUMNOS!I542,"'")</f>
        <v>'DISEÑO GRAFICO Y DIGITAL'</v>
      </c>
      <c r="H538" t="str">
        <f>CONCATENATE("'",ALUMNOS!J542,"'")</f>
        <v>'8vo'</v>
      </c>
      <c r="I538" t="str">
        <f>CONCATENATE("'",ALUMNOS!K542,"'")</f>
        <v>'Masculino'</v>
      </c>
      <c r="J538" t="str">
        <f>CONCATENATE("'",ALUMNOS!L542,"'")</f>
        <v>'Activo'</v>
      </c>
      <c r="K538" t="str">
        <f t="shared" si="33"/>
        <v>1537,'LICENCIATURA','ricardo.fernandezsaldaña','109962','TOMAR DEL SND','FERNANDEZ SALDAÑA RICARDO','DISEÑO GRAFICO Y DIGITAL','8vo','MASCULINO','ACTIVO','',0,0,'','ALUMNO'</v>
      </c>
      <c r="L538" t="str">
        <f t="shared" si="32"/>
        <v>INSERT INTO participantes (id,nivel,correo,matricula,clave,nombre,carrera,grado,sexo,situacion,evaluados,num_evaluados,total_evaluaciones,ultimo_acceso,nivel_acceso) VALUES (1537,'LICENCIATURA','ricardo.fernandezsaldaña','109962','TOMAR DEL SND','FERNANDEZ SALDAÑA RICARDO','DISEÑO GRAFICO Y DIGITAL','8vo','MASCULINO','ACTIVO','',0,0,'','ALUMNO');</v>
      </c>
      <c r="M538" t="str">
        <f t="shared" si="34"/>
        <v>update participantes set correo='ricardo.fernandezsaldaña' where id=1537;</v>
      </c>
    </row>
    <row r="539" spans="1:13" x14ac:dyDescent="0.25">
      <c r="A539">
        <f t="shared" si="35"/>
        <v>1538</v>
      </c>
      <c r="B539" s="3" t="s">
        <v>2103</v>
      </c>
      <c r="C539" t="str">
        <f>CONCATENATE("'",ALUMNOS!E543,"'")</f>
        <v>'ricardo.lopezsilva'</v>
      </c>
      <c r="D539" t="str">
        <f>CONCATENATE(ALUMNOS!F543,"'")</f>
        <v>'110496'</v>
      </c>
      <c r="E539" t="s">
        <v>2723</v>
      </c>
      <c r="F539" t="str">
        <f>CONCATENATE("'",ALUMNOS!H543,"'")</f>
        <v>'LOPEZ SILVA RICARDO'</v>
      </c>
      <c r="G539" t="str">
        <f>CONCATENATE("'",ALUMNOS!I543,"'")</f>
        <v>'ANIMACION DIGITAL Y VIDEOJUEGOS'</v>
      </c>
      <c r="H539" t="str">
        <f>CONCATENATE("'",ALUMNOS!J543,"'")</f>
        <v>'6to'</v>
      </c>
      <c r="I539" t="str">
        <f>CONCATENATE("'",ALUMNOS!K543,"'")</f>
        <v>'Masculino'</v>
      </c>
      <c r="J539" t="str">
        <f>CONCATENATE("'",ALUMNOS!L543,"'")</f>
        <v>'Activo'</v>
      </c>
      <c r="K539" t="str">
        <f t="shared" si="33"/>
        <v>1538,'LICENCIATURA','ricardo.lopezsilva','110496','TOMAR DEL SND','LOPEZ SILVA RICARDO','ANIMACION DIGITAL Y VIDEOJUEGOS','6to','MASCULINO','ACTIVO','',0,0,'','ALUMNO'</v>
      </c>
      <c r="L539" t="str">
        <f t="shared" si="32"/>
        <v>INSERT INTO participantes (id,nivel,correo,matricula,clave,nombre,carrera,grado,sexo,situacion,evaluados,num_evaluados,total_evaluaciones,ultimo_acceso,nivel_acceso) VALUES (1538,'LICENCIATURA','ricardo.lopezsilva','110496','TOMAR DEL SND','LOPEZ SILVA RICARDO','ANIMACION DIGITAL Y VIDEOJUEGOS','6to','MASCULINO','ACTIVO','',0,0,'','ALUMNO');</v>
      </c>
      <c r="M539" t="str">
        <f t="shared" si="34"/>
        <v>update participantes set correo='ricardo.lopezsilva' where id=1538;</v>
      </c>
    </row>
    <row r="540" spans="1:13" x14ac:dyDescent="0.25">
      <c r="A540">
        <f t="shared" si="35"/>
        <v>1539</v>
      </c>
      <c r="B540" s="3" t="s">
        <v>2103</v>
      </c>
      <c r="C540" t="str">
        <f>CONCATENATE("'",ALUMNOS!E544,"'")</f>
        <v>'ricardoalberto.garciacazares'</v>
      </c>
      <c r="D540" t="str">
        <f>CONCATENATE(ALUMNOS!F544,"'")</f>
        <v>'111733'</v>
      </c>
      <c r="E540" t="s">
        <v>2723</v>
      </c>
      <c r="F540" t="str">
        <f>CONCATENATE("'",ALUMNOS!H544,"'")</f>
        <v>'GARCIA CAZARES RICARDO ALBERTO'</v>
      </c>
      <c r="G540" t="str">
        <f>CONCATENATE("'",ALUMNOS!I544,"'")</f>
        <v>'NUTRICION Y GASTRONOMIA'</v>
      </c>
      <c r="H540" t="str">
        <f>CONCATENATE("'",ALUMNOS!J544,"'")</f>
        <v>'2do'</v>
      </c>
      <c r="I540" t="str">
        <f>CONCATENATE("'",ALUMNOS!K544,"'")</f>
        <v>'Masculino'</v>
      </c>
      <c r="J540" t="str">
        <f>CONCATENATE("'",ALUMNOS!L544,"'")</f>
        <v>'Activo'</v>
      </c>
      <c r="K540" t="str">
        <f t="shared" si="33"/>
        <v>1539,'LICENCIATURA','ricardoalberto.garciacazares','111733','TOMAR DEL SND','GARCIA CAZARES RICARDO ALBERTO','NUTRICION Y GASTRONOMIA','2do','MASCULINO','ACTIVO','',0,0,'','ALUMNO'</v>
      </c>
      <c r="L540" t="str">
        <f t="shared" si="32"/>
        <v>INSERT INTO participantes (id,nivel,correo,matricula,clave,nombre,carrera,grado,sexo,situacion,evaluados,num_evaluados,total_evaluaciones,ultimo_acceso,nivel_acceso) VALUES (1539,'LICENCIATURA','ricardoalberto.garciacazares','111733','TOMAR DEL SND','GARCIA CAZARES RICARDO ALBERTO','NUTRICION Y GASTRONOMIA','2do','MASCULINO','ACTIVO','',0,0,'','ALUMNO');</v>
      </c>
      <c r="M540" t="str">
        <f t="shared" si="34"/>
        <v>update participantes set correo='ricardoalberto.garciacazares' where id=1539;</v>
      </c>
    </row>
    <row r="541" spans="1:13" x14ac:dyDescent="0.25">
      <c r="A541">
        <f t="shared" si="35"/>
        <v>1540</v>
      </c>
      <c r="B541" s="3" t="s">
        <v>2103</v>
      </c>
      <c r="C541" t="str">
        <f>CONCATENATE("'",ALUMNOS!E545,"'")</f>
        <v>'roberto.tinocoariceaga'</v>
      </c>
      <c r="D541" t="str">
        <f>CONCATENATE(ALUMNOS!F545,"'")</f>
        <v>'111661'</v>
      </c>
      <c r="E541" t="s">
        <v>2723</v>
      </c>
      <c r="F541" t="str">
        <f>CONCATENATE("'",ALUMNOS!H545,"'")</f>
        <v>'TINOCO ARICEAGA ROBERTO'</v>
      </c>
      <c r="G541" t="str">
        <f>CONCATENATE("'",ALUMNOS!I545,"'")</f>
        <v>'INGENIERIA AEROESPACIAL'</v>
      </c>
      <c r="H541" t="str">
        <f>CONCATENATE("'",ALUMNOS!J545,"'")</f>
        <v>'2do'</v>
      </c>
      <c r="I541" t="str">
        <f>CONCATENATE("'",ALUMNOS!K545,"'")</f>
        <v>'Masculino'</v>
      </c>
      <c r="J541" t="str">
        <f>CONCATENATE("'",ALUMNOS!L545,"'")</f>
        <v>'Activo'</v>
      </c>
      <c r="K541" t="str">
        <f t="shared" si="33"/>
        <v>1540,'LICENCIATURA','roberto.tinocoariceaga','111661','TOMAR DEL SND','TINOCO ARICEAGA ROBERTO','INGENIERIA AEROESPACIAL','2do','MASCULINO','ACTIVO','',0,0,'','ALUMNO'</v>
      </c>
      <c r="L541" t="str">
        <f t="shared" si="32"/>
        <v>INSERT INTO participantes (id,nivel,correo,matricula,clave,nombre,carrera,grado,sexo,situacion,evaluados,num_evaluados,total_evaluaciones,ultimo_acceso,nivel_acceso) VALUES (1540,'LICENCIATURA','roberto.tinocoariceaga','111661','TOMAR DEL SND','TINOCO ARICEAGA ROBERTO','INGENIERIA AEROESPACIAL','2do','MASCULINO','ACTIVO','',0,0,'','ALUMNO');</v>
      </c>
      <c r="M541" t="str">
        <f t="shared" si="34"/>
        <v>update participantes set correo='roberto.tinocoariceaga' where id=1540;</v>
      </c>
    </row>
    <row r="542" spans="1:13" x14ac:dyDescent="0.25">
      <c r="A542">
        <f t="shared" si="35"/>
        <v>1541</v>
      </c>
      <c r="B542" s="3" t="s">
        <v>2103</v>
      </c>
      <c r="C542" t="str">
        <f>CONCATENATE("'",ALUMNOS!E546,"'")</f>
        <v>'rodrigo.alvarezespinosa'</v>
      </c>
      <c r="D542" t="str">
        <f>CONCATENATE(ALUMNOS!F546,"'")</f>
        <v>'111094'</v>
      </c>
      <c r="E542" t="s">
        <v>2723</v>
      </c>
      <c r="F542" t="str">
        <f>CONCATENATE("'",ALUMNOS!H546,"'")</f>
        <v>'ALVAREZ ESPINOSA RODRIGO'</v>
      </c>
      <c r="G542" t="str">
        <f>CONCATENATE("'",ALUMNOS!I546,"'")</f>
        <v>'PSICOLOGIA'</v>
      </c>
      <c r="H542" t="str">
        <f>CONCATENATE("'",ALUMNOS!J546,"'")</f>
        <v>'4to'</v>
      </c>
      <c r="I542" t="str">
        <f>CONCATENATE("'",ALUMNOS!K546,"'")</f>
        <v>'Masculino'</v>
      </c>
      <c r="J542" t="str">
        <f>CONCATENATE("'",ALUMNOS!L546,"'")</f>
        <v>'Activo'</v>
      </c>
      <c r="K542" t="str">
        <f t="shared" si="33"/>
        <v>1541,'LICENCIATURA','rodrigo.alvarezespinosa','111094','TOMAR DEL SND','ALVAREZ ESPINOSA RODRIGO','PSICOLOGIA','4to','MASCULINO','ACTIVO','',0,0,'','ALUMNO'</v>
      </c>
      <c r="L542" t="str">
        <f t="shared" si="32"/>
        <v>INSERT INTO participantes (id,nivel,correo,matricula,clave,nombre,carrera,grado,sexo,situacion,evaluados,num_evaluados,total_evaluaciones,ultimo_acceso,nivel_acceso) VALUES (1541,'LICENCIATURA','rodrigo.alvarezespinosa','111094','TOMAR DEL SND','ALVAREZ ESPINOSA RODRIGO','PSICOLOGIA','4to','MASCULINO','ACTIVO','',0,0,'','ALUMNO');</v>
      </c>
      <c r="M542" t="str">
        <f t="shared" si="34"/>
        <v>update participantes set correo='rodrigo.alvarezespinosa' where id=1541;</v>
      </c>
    </row>
    <row r="543" spans="1:13" x14ac:dyDescent="0.25">
      <c r="A543">
        <f t="shared" si="35"/>
        <v>1542</v>
      </c>
      <c r="B543" s="3" t="s">
        <v>2103</v>
      </c>
      <c r="C543" t="str">
        <f>CONCATENATE("'",ALUMNOS!E547,"'")</f>
        <v>'rodrigo.davalosblanco'</v>
      </c>
      <c r="D543" t="str">
        <f>CONCATENATE(ALUMNOS!F547,"'")</f>
        <v>'109828'</v>
      </c>
      <c r="E543" t="s">
        <v>2723</v>
      </c>
      <c r="F543" t="str">
        <f>CONCATENATE("'",ALUMNOS!H547,"'")</f>
        <v>'DAVALOS BLANCO RODRIGO'</v>
      </c>
      <c r="G543" t="str">
        <f>CONCATENATE("'",ALUMNOS!I547,"'")</f>
        <v>'MERCADOTECNIA Y PUBLICIDAD'</v>
      </c>
      <c r="H543" t="str">
        <f>CONCATENATE("'",ALUMNOS!J547,"'")</f>
        <v>'8vo'</v>
      </c>
      <c r="I543" t="str">
        <f>CONCATENATE("'",ALUMNOS!K547,"'")</f>
        <v>'Masculino'</v>
      </c>
      <c r="J543" t="str">
        <f>CONCATENATE("'",ALUMNOS!L547,"'")</f>
        <v>'Activo'</v>
      </c>
      <c r="K543" t="str">
        <f t="shared" si="33"/>
        <v>1542,'LICENCIATURA','rodrigo.davalosblanco','109828','TOMAR DEL SND','DAVALOS BLANCO RODRIGO','MERCADOTECNIA Y PUBLICIDAD','8vo','MASCULINO','ACTIVO','',0,0,'','ALUMNO'</v>
      </c>
      <c r="L543" t="str">
        <f t="shared" si="32"/>
        <v>INSERT INTO participantes (id,nivel,correo,matricula,clave,nombre,carrera,grado,sexo,situacion,evaluados,num_evaluados,total_evaluaciones,ultimo_acceso,nivel_acceso) VALUES (1542,'LICENCIATURA','rodrigo.davalosblanco','109828','TOMAR DEL SND','DAVALOS BLANCO RODRIGO','MERCADOTECNIA Y PUBLICIDAD','8vo','MASCULINO','ACTIVO','',0,0,'','ALUMNO');</v>
      </c>
      <c r="M543" t="str">
        <f t="shared" si="34"/>
        <v>update participantes set correo='rodrigo.davalosblanco' where id=1542;</v>
      </c>
    </row>
    <row r="544" spans="1:13" x14ac:dyDescent="0.25">
      <c r="A544">
        <f t="shared" si="35"/>
        <v>1543</v>
      </c>
      <c r="B544" s="3" t="s">
        <v>2103</v>
      </c>
      <c r="C544" t="str">
        <f>CONCATENATE("'",ALUMNOS!E548,"'")</f>
        <v>'rodrigo.martinezcastellanos'</v>
      </c>
      <c r="D544" t="str">
        <f>CONCATENATE(ALUMNOS!F548,"'")</f>
        <v>'110526'</v>
      </c>
      <c r="E544" t="s">
        <v>2723</v>
      </c>
      <c r="F544" t="str">
        <f>CONCATENATE("'",ALUMNOS!H548,"'")</f>
        <v>'MARTINEZ CASTELLANOS RODRIGO'</v>
      </c>
      <c r="G544" t="str">
        <f>CONCATENATE("'",ALUMNOS!I548,"'")</f>
        <v>'ANIMACION DIGITAL Y VIDEOJUEGOS'</v>
      </c>
      <c r="H544" t="str">
        <f>CONCATENATE("'",ALUMNOS!J548,"'")</f>
        <v>'6to'</v>
      </c>
      <c r="I544" t="str">
        <f>CONCATENATE("'",ALUMNOS!K548,"'")</f>
        <v>'Masculino'</v>
      </c>
      <c r="J544" t="str">
        <f>CONCATENATE("'",ALUMNOS!L548,"'")</f>
        <v>'Activo'</v>
      </c>
      <c r="K544" t="str">
        <f t="shared" si="33"/>
        <v>1543,'LICENCIATURA','rodrigo.martinezcastellanos','110526','TOMAR DEL SND','MARTINEZ CASTELLANOS RODRIGO','ANIMACION DIGITAL Y VIDEOJUEGOS','6to','MASCULINO','ACTIVO','',0,0,'','ALUMNO'</v>
      </c>
      <c r="L544" t="str">
        <f t="shared" si="32"/>
        <v>INSERT INTO participantes (id,nivel,correo,matricula,clave,nombre,carrera,grado,sexo,situacion,evaluados,num_evaluados,total_evaluaciones,ultimo_acceso,nivel_acceso) VALUES (1543,'LICENCIATURA','rodrigo.martinezcastellanos','110526','TOMAR DEL SND','MARTINEZ CASTELLANOS RODRIGO','ANIMACION DIGITAL Y VIDEOJUEGOS','6to','MASCULINO','ACTIVO','',0,0,'','ALUMNO');</v>
      </c>
      <c r="M544" t="str">
        <f t="shared" si="34"/>
        <v>update participantes set correo='rodrigo.martinezcastellanos' where id=1543;</v>
      </c>
    </row>
    <row r="545" spans="1:13" x14ac:dyDescent="0.25">
      <c r="A545">
        <f t="shared" si="35"/>
        <v>1544</v>
      </c>
      <c r="B545" s="3" t="s">
        <v>2103</v>
      </c>
      <c r="C545" t="str">
        <f>CONCATENATE("'",ALUMNOS!E549,"'")</f>
        <v>'rodrigo.martinezmartinez'</v>
      </c>
      <c r="D545" t="str">
        <f>CONCATENATE(ALUMNOS!F549,"'")</f>
        <v>'110674'</v>
      </c>
      <c r="E545" t="s">
        <v>2723</v>
      </c>
      <c r="F545" t="str">
        <f>CONCATENATE("'",ALUMNOS!H549,"'")</f>
        <v>'MARTINEZ MARTINEZ RODRIGO'</v>
      </c>
      <c r="G545" t="str">
        <f>CONCATENATE("'",ALUMNOS!I549,"'")</f>
        <v>'INGENIERIA CIBERNETICA Y EN SISTEMAS COMPUTACIONALES'</v>
      </c>
      <c r="H545" t="str">
        <f>CONCATENATE("'",ALUMNOS!J549,"'")</f>
        <v>'6to'</v>
      </c>
      <c r="I545" t="str">
        <f>CONCATENATE("'",ALUMNOS!K549,"'")</f>
        <v>'Masculino'</v>
      </c>
      <c r="J545" t="str">
        <f>CONCATENATE("'",ALUMNOS!L549,"'")</f>
        <v>'Activo'</v>
      </c>
      <c r="K545" t="str">
        <f t="shared" si="33"/>
        <v>1544,'LICENCIATURA','rodrigo.martinezmartinez','110674','TOMAR DEL SND','MARTINEZ MARTINEZ RODRIGO','INGENIERIA CIBERNETICA Y EN SISTEMAS COMPUTACIONALES','6to','MASCULINO','ACTIVO','',0,0,'','ALUMNO'</v>
      </c>
      <c r="L545" t="str">
        <f t="shared" si="32"/>
        <v>INSERT INTO participantes (id,nivel,correo,matricula,clave,nombre,carrera,grado,sexo,situacion,evaluados,num_evaluados,total_evaluaciones,ultimo_acceso,nivel_acceso) VALUES (1544,'LICENCIATURA','rodrigo.martinezmartinez','110674','TOMAR DEL SND','MARTINEZ MARTINEZ RODRIGO','INGENIERIA CIBERNETICA Y EN SISTEMAS COMPUTACIONALES','6to','MASCULINO','ACTIVO','',0,0,'','ALUMNO');</v>
      </c>
      <c r="M545" t="str">
        <f t="shared" si="34"/>
        <v>update participantes set correo='rodrigo.martinezmartinez' where id=1544;</v>
      </c>
    </row>
    <row r="546" spans="1:13" x14ac:dyDescent="0.25">
      <c r="A546">
        <f t="shared" si="35"/>
        <v>1545</v>
      </c>
      <c r="B546" s="3" t="s">
        <v>2103</v>
      </c>
      <c r="C546" t="str">
        <f>CONCATENATE("'",ALUMNOS!E550,"'")</f>
        <v>'rodrigo.medranoorta'</v>
      </c>
      <c r="D546" t="str">
        <f>CONCATENATE(ALUMNOS!F550,"'")</f>
        <v>'110527'</v>
      </c>
      <c r="E546" t="s">
        <v>2723</v>
      </c>
      <c r="F546" t="str">
        <f>CONCATENATE("'",ALUMNOS!H550,"'")</f>
        <v>'MEDRANO ORTA RODRIGO'</v>
      </c>
      <c r="G546" t="str">
        <f>CONCATENATE("'",ALUMNOS!I550,"'")</f>
        <v>'INGENIERIA CIBERNETICA Y EN SISTEMAS COMPUTACIONALES'</v>
      </c>
      <c r="H546" t="str">
        <f>CONCATENATE("'",ALUMNOS!J550,"'")</f>
        <v>'6to'</v>
      </c>
      <c r="I546" t="str">
        <f>CONCATENATE("'",ALUMNOS!K550,"'")</f>
        <v>'Masculino'</v>
      </c>
      <c r="J546" t="str">
        <f>CONCATENATE("'",ALUMNOS!L550,"'")</f>
        <v>'Activo'</v>
      </c>
      <c r="K546" t="str">
        <f t="shared" si="33"/>
        <v>1545,'LICENCIATURA','rodrigo.medranoorta','110527','TOMAR DEL SND','MEDRANO ORTA RODRIGO','INGENIERIA CIBERNETICA Y EN SISTEMAS COMPUTACIONALES','6to','MASCULINO','ACTIVO','',0,0,'','ALUMNO'</v>
      </c>
      <c r="L546" t="str">
        <f t="shared" si="32"/>
        <v>INSERT INTO participantes (id,nivel,correo,matricula,clave,nombre,carrera,grado,sexo,situacion,evaluados,num_evaluados,total_evaluaciones,ultimo_acceso,nivel_acceso) VALUES (1545,'LICENCIATURA','rodrigo.medranoorta','110527','TOMAR DEL SND','MEDRANO ORTA RODRIGO','INGENIERIA CIBERNETICA Y EN SISTEMAS COMPUTACIONALES','6to','MASCULINO','ACTIVO','',0,0,'','ALUMNO');</v>
      </c>
      <c r="M546" t="str">
        <f t="shared" si="34"/>
        <v>update participantes set correo='rodrigo.medranoorta' where id=1545;</v>
      </c>
    </row>
    <row r="547" spans="1:13" x14ac:dyDescent="0.25">
      <c r="A547">
        <f t="shared" si="35"/>
        <v>1546</v>
      </c>
      <c r="B547" s="3" t="s">
        <v>2103</v>
      </c>
      <c r="C547" t="str">
        <f>CONCATENATE("'",ALUMNOS!E551,"'")</f>
        <v>'rodrigo.riveravillaseñor'</v>
      </c>
      <c r="D547" t="str">
        <f>CONCATENATE(ALUMNOS!F551,"'")</f>
        <v>'110564'</v>
      </c>
      <c r="E547" t="s">
        <v>2723</v>
      </c>
      <c r="F547" t="str">
        <f>CONCATENATE("'",ALUMNOS!H551,"'")</f>
        <v>'RIVERA VILLASEÑOR RODRIGO'</v>
      </c>
      <c r="G547" t="str">
        <f>CONCATENATE("'",ALUMNOS!I551,"'")</f>
        <v>'ANIMACION DIGITAL Y VIDEOJUEGOS'</v>
      </c>
      <c r="H547" t="str">
        <f>CONCATENATE("'",ALUMNOS!J551,"'")</f>
        <v>'6to'</v>
      </c>
      <c r="I547" t="str">
        <f>CONCATENATE("'",ALUMNOS!K551,"'")</f>
        <v>'Masculino'</v>
      </c>
      <c r="J547" t="str">
        <f>CONCATENATE("'",ALUMNOS!L551,"'")</f>
        <v>'Activo'</v>
      </c>
      <c r="K547" t="str">
        <f t="shared" si="33"/>
        <v>1546,'LICENCIATURA','rodrigo.riveravillaseñor','110564','TOMAR DEL SND','RIVERA VILLASEÑOR RODRIGO','ANIMACION DIGITAL Y VIDEOJUEGOS','6to','MASCULINO','ACTIVO','',0,0,'','ALUMNO'</v>
      </c>
      <c r="L547" t="str">
        <f t="shared" si="32"/>
        <v>INSERT INTO participantes (id,nivel,correo,matricula,clave,nombre,carrera,grado,sexo,situacion,evaluados,num_evaluados,total_evaluaciones,ultimo_acceso,nivel_acceso) VALUES (1546,'LICENCIATURA','rodrigo.riveravillaseñor','110564','TOMAR DEL SND','RIVERA VILLASEÑOR RODRIGO','ANIMACION DIGITAL Y VIDEOJUEGOS','6to','MASCULINO','ACTIVO','',0,0,'','ALUMNO');</v>
      </c>
      <c r="M547" t="str">
        <f t="shared" si="34"/>
        <v>update participantes set correo='rodrigo.riveravillaseñor' where id=1546;</v>
      </c>
    </row>
    <row r="548" spans="1:13" x14ac:dyDescent="0.25">
      <c r="A548">
        <f t="shared" si="35"/>
        <v>1547</v>
      </c>
      <c r="B548" s="3" t="s">
        <v>2103</v>
      </c>
      <c r="C548" t="str">
        <f>CONCATENATE("'",ALUMNOS!E552,"'")</f>
        <v>'rodrigo.salcedoromero'</v>
      </c>
      <c r="D548" t="str">
        <f>CONCATENATE(ALUMNOS!F552,"'")</f>
        <v>'111775'</v>
      </c>
      <c r="E548" t="s">
        <v>2723</v>
      </c>
      <c r="F548" t="str">
        <f>CONCATENATE("'",ALUMNOS!H552,"'")</f>
        <v>'SALCEDO ROMERO RODRIGO'</v>
      </c>
      <c r="G548" t="str">
        <f>CONCATENATE("'",ALUMNOS!I552,"'")</f>
        <v>'INGENIERÍA AUTOMOTRIZ'</v>
      </c>
      <c r="H548" t="str">
        <f>CONCATENATE("'",ALUMNOS!J552,"'")</f>
        <v>'2do'</v>
      </c>
      <c r="I548" t="str">
        <f>CONCATENATE("'",ALUMNOS!K552,"'")</f>
        <v>'Masculino'</v>
      </c>
      <c r="J548" t="str">
        <f>CONCATENATE("'",ALUMNOS!L552,"'")</f>
        <v>'Activo'</v>
      </c>
      <c r="K548" t="str">
        <f t="shared" si="33"/>
        <v>1547,'LICENCIATURA','rodrigo.salcedoromero','111775','TOMAR DEL SND','SALCEDO ROMERO RODRIGO','INGENIERÍA AUTOMOTRIZ','2do','MASCULINO','ACTIVO','',0,0,'','ALUMNO'</v>
      </c>
      <c r="L548" t="str">
        <f t="shared" si="32"/>
        <v>INSERT INTO participantes (id,nivel,correo,matricula,clave,nombre,carrera,grado,sexo,situacion,evaluados,num_evaluados,total_evaluaciones,ultimo_acceso,nivel_acceso) VALUES (1547,'LICENCIATURA','rodrigo.salcedoromero','111775','TOMAR DEL SND','SALCEDO ROMERO RODRIGO','INGENIERÍA AUTOMOTRIZ','2do','MASCULINO','ACTIVO','',0,0,'','ALUMNO');</v>
      </c>
      <c r="M548" t="str">
        <f t="shared" si="34"/>
        <v>update participantes set correo='rodrigo.salcedoromero' where id=1547;</v>
      </c>
    </row>
    <row r="549" spans="1:13" x14ac:dyDescent="0.25">
      <c r="A549">
        <f t="shared" si="35"/>
        <v>1548</v>
      </c>
      <c r="B549" s="3" t="s">
        <v>2103</v>
      </c>
      <c r="C549" t="str">
        <f>CONCATENATE("'",ALUMNOS!E553,"'")</f>
        <v>'rodrigosaul.lopezalferez'</v>
      </c>
      <c r="D549" t="str">
        <f>CONCATENATE(ALUMNOS!F553,"'")</f>
        <v>'111102'</v>
      </c>
      <c r="E549" t="s">
        <v>2723</v>
      </c>
      <c r="F549" t="str">
        <f>CONCATENATE("'",ALUMNOS!H553,"'")</f>
        <v>'LOPEZ ALFEREZ RODRIGO SAUL'</v>
      </c>
      <c r="G549" t="str">
        <f>CONCATENATE("'",ALUMNOS!I553,"'")</f>
        <v>'ARQUITECTURA'</v>
      </c>
      <c r="H549" t="str">
        <f>CONCATENATE("'",ALUMNOS!J553,"'")</f>
        <v>'4to'</v>
      </c>
      <c r="I549" t="str">
        <f>CONCATENATE("'",ALUMNOS!K553,"'")</f>
        <v>'Masculino'</v>
      </c>
      <c r="J549" t="str">
        <f>CONCATENATE("'",ALUMNOS!L553,"'")</f>
        <v>'Activo'</v>
      </c>
      <c r="K549" t="str">
        <f t="shared" si="33"/>
        <v>1548,'LICENCIATURA','rodrigosaul.lopezalferez','111102','TOMAR DEL SND','LOPEZ ALFEREZ RODRIGO SAUL','ARQUITECTURA','4to','MASCULINO','ACTIVO','',0,0,'','ALUMNO'</v>
      </c>
      <c r="L549" t="str">
        <f t="shared" si="32"/>
        <v>INSERT INTO participantes (id,nivel,correo,matricula,clave,nombre,carrera,grado,sexo,situacion,evaluados,num_evaluados,total_evaluaciones,ultimo_acceso,nivel_acceso) VALUES (1548,'LICENCIATURA','rodrigosaul.lopezalferez','111102','TOMAR DEL SND','LOPEZ ALFEREZ RODRIGO SAUL','ARQUITECTURA','4to','MASCULINO','ACTIVO','',0,0,'','ALUMNO');</v>
      </c>
      <c r="M549" t="str">
        <f t="shared" si="34"/>
        <v>update participantes set correo='rodrigosaul.lopezalferez' where id=1548;</v>
      </c>
    </row>
    <row r="550" spans="1:13" x14ac:dyDescent="0.25">
      <c r="A550">
        <f t="shared" si="35"/>
        <v>1549</v>
      </c>
      <c r="B550" s="3" t="s">
        <v>2103</v>
      </c>
      <c r="C550" t="str">
        <f>CONCATENATE("'",ALUMNOS!E554,"'")</f>
        <v>'rodrigosebastian.perezramos'</v>
      </c>
      <c r="D550" t="str">
        <f>CONCATENATE(ALUMNOS!F554,"'")</f>
        <v>'111831'</v>
      </c>
      <c r="E550" t="s">
        <v>2723</v>
      </c>
      <c r="F550" t="str">
        <f>CONCATENATE("'",ALUMNOS!H554,"'")</f>
        <v>'PEREZ RAMOS RODRIGO SEBASTIAN'</v>
      </c>
      <c r="G550" t="str">
        <f>CONCATENATE("'",ALUMNOS!I554,"'")</f>
        <v>'INGENIERÍA AUTOMOTRIZ'</v>
      </c>
      <c r="H550" t="str">
        <f>CONCATENATE("'",ALUMNOS!J554,"'")</f>
        <v>'2do'</v>
      </c>
      <c r="I550" t="str">
        <f>CONCATENATE("'",ALUMNOS!K554,"'")</f>
        <v>'Masculino'</v>
      </c>
      <c r="J550" t="str">
        <f>CONCATENATE("'",ALUMNOS!L554,"'")</f>
        <v>'Activo'</v>
      </c>
      <c r="K550" t="str">
        <f t="shared" si="33"/>
        <v>1549,'LICENCIATURA','rodrigosebastian.perezramos','111831','TOMAR DEL SND','PEREZ RAMOS RODRIGO SEBASTIAN','INGENIERÍA AUTOMOTRIZ','2do','MASCULINO','ACTIVO','',0,0,'','ALUMNO'</v>
      </c>
      <c r="L550" t="str">
        <f t="shared" si="32"/>
        <v>INSERT INTO participantes (id,nivel,correo,matricula,clave,nombre,carrera,grado,sexo,situacion,evaluados,num_evaluados,total_evaluaciones,ultimo_acceso,nivel_acceso) VALUES (1549,'LICENCIATURA','rodrigosebastian.perezramos','111831','TOMAR DEL SND','PEREZ RAMOS RODRIGO SEBASTIAN','INGENIERÍA AUTOMOTRIZ','2do','MASCULINO','ACTIVO','',0,0,'','ALUMNO');</v>
      </c>
      <c r="M550" t="str">
        <f t="shared" si="34"/>
        <v>update participantes set correo='rodrigosebastian.perezramos' where id=1549;</v>
      </c>
    </row>
    <row r="551" spans="1:13" x14ac:dyDescent="0.25">
      <c r="A551">
        <f t="shared" si="35"/>
        <v>1550</v>
      </c>
      <c r="B551" s="3" t="s">
        <v>2103</v>
      </c>
      <c r="C551" t="str">
        <f>CONCATENATE("'",ALUMNOS!E555,"'")</f>
        <v>'romina.lopezmagaña'</v>
      </c>
      <c r="D551" t="str">
        <f>CONCATENATE(ALUMNOS!F555,"'")</f>
        <v>'110494'</v>
      </c>
      <c r="E551" t="s">
        <v>2723</v>
      </c>
      <c r="F551" t="str">
        <f>CONCATENATE("'",ALUMNOS!H555,"'")</f>
        <v>'LOPEZ MAGAÑA ROMINA'</v>
      </c>
      <c r="G551" t="str">
        <f>CONCATENATE("'",ALUMNOS!I555,"'")</f>
        <v>'PSICOLOGIA'</v>
      </c>
      <c r="H551" t="str">
        <f>CONCATENATE("'",ALUMNOS!J555,"'")</f>
        <v>'6to'</v>
      </c>
      <c r="I551" t="str">
        <f>CONCATENATE("'",ALUMNOS!K555,"'")</f>
        <v>'Femenino'</v>
      </c>
      <c r="J551" t="str">
        <f>CONCATENATE("'",ALUMNOS!L555,"'")</f>
        <v>'Activo'</v>
      </c>
      <c r="K551" t="str">
        <f t="shared" si="33"/>
        <v>1550,'LICENCIATURA','romina.lopezmagaña','110494','TOMAR DEL SND','LOPEZ MAGAÑA ROMINA','PSICOLOGIA','6to','FEMENINO','ACTIVO','',0,0,'','ALUMNO'</v>
      </c>
      <c r="L551" t="str">
        <f t="shared" si="32"/>
        <v>INSERT INTO participantes (id,nivel,correo,matricula,clave,nombre,carrera,grado,sexo,situacion,evaluados,num_evaluados,total_evaluaciones,ultimo_acceso,nivel_acceso) VALUES (1550,'LICENCIATURA','romina.lopezmagaña','110494','TOMAR DEL SND','LOPEZ MAGAÑA ROMINA','PSICOLOGIA','6to','FEMENINO','ACTIVO','',0,0,'','ALUMNO');</v>
      </c>
      <c r="M551" t="str">
        <f t="shared" si="34"/>
        <v>update participantes set correo='romina.lopezmagaña' where id=1550;</v>
      </c>
    </row>
    <row r="552" spans="1:13" x14ac:dyDescent="0.25">
      <c r="A552">
        <f t="shared" si="35"/>
        <v>1551</v>
      </c>
      <c r="B552" s="3" t="s">
        <v>2103</v>
      </c>
      <c r="C552" t="str">
        <f>CONCATENATE("'",ALUMNOS!E556,"'")</f>
        <v>'rosario.rosasperez'</v>
      </c>
      <c r="D552" t="str">
        <f>CONCATENATE(ALUMNOS!F556,"'")</f>
        <v>'110612'</v>
      </c>
      <c r="E552" t="s">
        <v>2723</v>
      </c>
      <c r="F552" t="str">
        <f>CONCATENATE("'",ALUMNOS!H556,"'")</f>
        <v>'ROSAS PEREZ ROSARIO'</v>
      </c>
      <c r="G552" t="str">
        <f>CONCATENATE("'",ALUMNOS!I556,"'")</f>
        <v>'INGENIERIA CIBERNETICA Y EN SISTEMAS COMPUTACIONALES'</v>
      </c>
      <c r="H552" t="str">
        <f>CONCATENATE("'",ALUMNOS!J556,"'")</f>
        <v>'6to'</v>
      </c>
      <c r="I552" t="str">
        <f>CONCATENATE("'",ALUMNOS!K556,"'")</f>
        <v>'Femenino'</v>
      </c>
      <c r="J552" t="str">
        <f>CONCATENATE("'",ALUMNOS!L556,"'")</f>
        <v>'Activo'</v>
      </c>
      <c r="K552" t="str">
        <f t="shared" si="33"/>
        <v>1551,'LICENCIATURA','rosario.rosasperez','110612','TOMAR DEL SND','ROSAS PEREZ ROSARIO','INGENIERIA CIBERNETICA Y EN SISTEMAS COMPUTACIONALES','6to','FEMENINO','ACTIVO','',0,0,'','ALUMNO'</v>
      </c>
      <c r="L552" t="str">
        <f t="shared" si="32"/>
        <v>INSERT INTO participantes (id,nivel,correo,matricula,clave,nombre,carrera,grado,sexo,situacion,evaluados,num_evaluados,total_evaluaciones,ultimo_acceso,nivel_acceso) VALUES (1551,'LICENCIATURA','rosario.rosasperez','110612','TOMAR DEL SND','ROSAS PEREZ ROSARIO','INGENIERIA CIBERNETICA Y EN SISTEMAS COMPUTACIONALES','6to','FEMENINO','ACTIVO','',0,0,'','ALUMNO');</v>
      </c>
      <c r="M552" t="str">
        <f t="shared" si="34"/>
        <v>update participantes set correo='rosario.rosasperez' where id=1551;</v>
      </c>
    </row>
    <row r="553" spans="1:13" x14ac:dyDescent="0.25">
      <c r="A553">
        <f t="shared" si="35"/>
        <v>1552</v>
      </c>
      <c r="B553" s="3" t="s">
        <v>2103</v>
      </c>
      <c r="C553" t="str">
        <f>CONCATENATE("'",ALUMNOS!E557,"'")</f>
        <v>'ruthemilia.garciavillanueva'</v>
      </c>
      <c r="D553" t="str">
        <f>CONCATENATE(ALUMNOS!F557,"'")</f>
        <v>'109823'</v>
      </c>
      <c r="E553" t="s">
        <v>2723</v>
      </c>
      <c r="F553" t="str">
        <f>CONCATENATE("'",ALUMNOS!H557,"'")</f>
        <v>'GARCIA VILLANUEVA RUTH EMILIA'</v>
      </c>
      <c r="G553" t="str">
        <f>CONCATENATE("'",ALUMNOS!I557,"'")</f>
        <v>'INGENIERIA INDUSTRIAL Y EN SISTEMAS ORGANIZACIONALES'</v>
      </c>
      <c r="H553" t="str">
        <f>CONCATENATE("'",ALUMNOS!J557,"'")</f>
        <v>'8vo'</v>
      </c>
      <c r="I553" t="str">
        <f>CONCATENATE("'",ALUMNOS!K557,"'")</f>
        <v>'Femenino'</v>
      </c>
      <c r="J553" t="str">
        <f>CONCATENATE("'",ALUMNOS!L557,"'")</f>
        <v>'Activo'</v>
      </c>
      <c r="K553" t="str">
        <f t="shared" si="33"/>
        <v>1552,'LICENCIATURA','ruthemilia.garciavillanueva','109823','TOMAR DEL SND','GARCIA VILLANUEVA RUTH EMILIA','INGENIERIA INDUSTRIAL Y EN SISTEMAS ORGANIZACIONALES','8vo','FEMENINO','ACTIVO','',0,0,'','ALUMNO'</v>
      </c>
      <c r="L553" t="str">
        <f t="shared" si="32"/>
        <v>INSERT INTO participantes (id,nivel,correo,matricula,clave,nombre,carrera,grado,sexo,situacion,evaluados,num_evaluados,total_evaluaciones,ultimo_acceso,nivel_acceso) VALUES (1552,'LICENCIATURA','ruthemilia.garciavillanueva','109823','TOMAR DEL SND','GARCIA VILLANUEVA RUTH EMILIA','INGENIERIA INDUSTRIAL Y EN SISTEMAS ORGANIZACIONALES','8vo','FEMENINO','ACTIVO','',0,0,'','ALUMNO');</v>
      </c>
      <c r="M553" t="str">
        <f t="shared" si="34"/>
        <v>update participantes set correo='ruthemilia.garciavillanueva' where id=1552;</v>
      </c>
    </row>
    <row r="554" spans="1:13" x14ac:dyDescent="0.25">
      <c r="A554">
        <f t="shared" si="35"/>
        <v>1553</v>
      </c>
      <c r="B554" s="3" t="s">
        <v>2103</v>
      </c>
      <c r="C554" t="str">
        <f>CONCATENATE("'",ALUMNOS!E558,"'")</f>
        <v>'ruthpaola.hernandezroman'</v>
      </c>
      <c r="D554" t="str">
        <f>CONCATENATE(ALUMNOS!F558,"'")</f>
        <v>'110437'</v>
      </c>
      <c r="E554" t="s">
        <v>2723</v>
      </c>
      <c r="F554" t="str">
        <f>CONCATENATE("'",ALUMNOS!H558,"'")</f>
        <v>'HERNANDEZ ROMAN RUTH PAOLA'</v>
      </c>
      <c r="G554" t="str">
        <f>CONCATENATE("'",ALUMNOS!I558,"'")</f>
        <v>'ANIMACION DIGITAL Y VIDEOJUEGOS'</v>
      </c>
      <c r="H554" t="str">
        <f>CONCATENATE("'",ALUMNOS!J558,"'")</f>
        <v>'6to'</v>
      </c>
      <c r="I554" t="str">
        <f>CONCATENATE("'",ALUMNOS!K558,"'")</f>
        <v>'Femenino'</v>
      </c>
      <c r="J554" t="str">
        <f>CONCATENATE("'",ALUMNOS!L558,"'")</f>
        <v>'Activo'</v>
      </c>
      <c r="K554" t="str">
        <f t="shared" si="33"/>
        <v>1553,'LICENCIATURA','ruthpaola.hernandezroman','110437','TOMAR DEL SND','HERNANDEZ ROMAN RUTH PAOLA','ANIMACION DIGITAL Y VIDEOJUEGOS','6to','FEMENINO','ACTIVO','',0,0,'','ALUMNO'</v>
      </c>
      <c r="L554" t="str">
        <f t="shared" si="32"/>
        <v>INSERT INTO participantes (id,nivel,correo,matricula,clave,nombre,carrera,grado,sexo,situacion,evaluados,num_evaluados,total_evaluaciones,ultimo_acceso,nivel_acceso) VALUES (1553,'LICENCIATURA','ruthpaola.hernandezroman','110437','TOMAR DEL SND','HERNANDEZ ROMAN RUTH PAOLA','ANIMACION DIGITAL Y VIDEOJUEGOS','6to','FEMENINO','ACTIVO','',0,0,'','ALUMNO');</v>
      </c>
      <c r="M554" t="str">
        <f t="shared" si="34"/>
        <v>update participantes set correo='ruthpaola.hernandezroman' where id=1553;</v>
      </c>
    </row>
    <row r="555" spans="1:13" x14ac:dyDescent="0.25">
      <c r="A555">
        <f t="shared" si="35"/>
        <v>1554</v>
      </c>
      <c r="B555" s="3" t="s">
        <v>2103</v>
      </c>
      <c r="C555" t="str">
        <f>CONCATENATE("'",ALUMNOS!E559,"'")</f>
        <v>'salvadornicolas.piñoncaro'</v>
      </c>
      <c r="D555" t="str">
        <f>CONCATENATE(ALUMNOS!F559,"'")</f>
        <v>'110643'</v>
      </c>
      <c r="E555" t="s">
        <v>2723</v>
      </c>
      <c r="F555" t="str">
        <f>CONCATENATE("'",ALUMNOS!H559,"'")</f>
        <v>'PIÑON CARO SALVADOR NICOLAS'</v>
      </c>
      <c r="G555" t="str">
        <f>CONCATENATE("'",ALUMNOS!I559,"'")</f>
        <v>'ADMINISTRACION Y DIRECCION DE NEGOCIOS'</v>
      </c>
      <c r="H555" t="str">
        <f>CONCATENATE("'",ALUMNOS!J559,"'")</f>
        <v>'4to'</v>
      </c>
      <c r="I555" t="str">
        <f>CONCATENATE("'",ALUMNOS!K559,"'")</f>
        <v>'Masculino'</v>
      </c>
      <c r="J555" t="str">
        <f>CONCATENATE("'",ALUMNOS!L559,"'")</f>
        <v>'Activo'</v>
      </c>
      <c r="K555" t="str">
        <f t="shared" si="33"/>
        <v>1554,'LICENCIATURA','salvadornicolas.piñoncaro','110643','TOMAR DEL SND','PIÑON CARO SALVADOR NICOLAS','ADMINISTRACION Y DIRECCION DE NEGOCIOS','4to','MASCULINO','ACTIVO','',0,0,'','ALUMNO'</v>
      </c>
      <c r="L555" t="str">
        <f t="shared" si="32"/>
        <v>INSERT INTO participantes (id,nivel,correo,matricula,clave,nombre,carrera,grado,sexo,situacion,evaluados,num_evaluados,total_evaluaciones,ultimo_acceso,nivel_acceso) VALUES (1554,'LICENCIATURA','salvadornicolas.piñoncaro','110643','TOMAR DEL SND','PIÑON CARO SALVADOR NICOLAS','ADMINISTRACION Y DIRECCION DE NEGOCIOS','4to','MASCULINO','ACTIVO','',0,0,'','ALUMNO');</v>
      </c>
      <c r="M555" t="str">
        <f t="shared" si="34"/>
        <v>update participantes set correo='salvadornicolas.piñoncaro' where id=1554;</v>
      </c>
    </row>
    <row r="556" spans="1:13" x14ac:dyDescent="0.25">
      <c r="A556">
        <f t="shared" si="35"/>
        <v>1555</v>
      </c>
      <c r="B556" s="3" t="s">
        <v>2103</v>
      </c>
      <c r="C556" t="str">
        <f>CONCATENATE("'",ALUMNOS!E560,"'")</f>
        <v>'samuelalejandro.montessaldate'</v>
      </c>
      <c r="D556" t="str">
        <f>CONCATENATE(ALUMNOS!F560,"'")</f>
        <v>'109891'</v>
      </c>
      <c r="E556" t="s">
        <v>2723</v>
      </c>
      <c r="F556" t="str">
        <f>CONCATENATE("'",ALUMNOS!H560,"'")</f>
        <v>'MONTES SALDATE SAMUEL ALEJANDRO'</v>
      </c>
      <c r="G556" t="str">
        <f>CONCATENATE("'",ALUMNOS!I560,"'")</f>
        <v>'INGENIERIA AEROESPACIAL'</v>
      </c>
      <c r="H556" t="str">
        <f>CONCATENATE("'",ALUMNOS!J560,"'")</f>
        <v>'8vo'</v>
      </c>
      <c r="I556" t="str">
        <f>CONCATENATE("'",ALUMNOS!K560,"'")</f>
        <v>'Masculino'</v>
      </c>
      <c r="J556" t="str">
        <f>CONCATENATE("'",ALUMNOS!L560,"'")</f>
        <v>'Activo'</v>
      </c>
      <c r="K556" t="str">
        <f t="shared" si="33"/>
        <v>1555,'LICENCIATURA','samuelalejandro.montessaldate','109891','TOMAR DEL SND','MONTES SALDATE SAMUEL ALEJANDRO','INGENIERIA AEROESPACIAL','8vo','MASCULINO','ACTIVO','',0,0,'','ALUMNO'</v>
      </c>
      <c r="L556" t="str">
        <f t="shared" si="32"/>
        <v>INSERT INTO participantes (id,nivel,correo,matricula,clave,nombre,carrera,grado,sexo,situacion,evaluados,num_evaluados,total_evaluaciones,ultimo_acceso,nivel_acceso) VALUES (1555,'LICENCIATURA','samuelalejandro.montessaldate','109891','TOMAR DEL SND','MONTES SALDATE SAMUEL ALEJANDRO','INGENIERIA AEROESPACIAL','8vo','MASCULINO','ACTIVO','',0,0,'','ALUMNO');</v>
      </c>
      <c r="M556" t="str">
        <f t="shared" si="34"/>
        <v>update participantes set correo='samuelalejandro.montessaldate' where id=1555;</v>
      </c>
    </row>
    <row r="557" spans="1:13" x14ac:dyDescent="0.25">
      <c r="A557">
        <f t="shared" si="35"/>
        <v>1556</v>
      </c>
      <c r="B557" s="3" t="s">
        <v>2103</v>
      </c>
      <c r="C557" t="str">
        <f>CONCATENATE("'",ALUMNOS!E561,"'")</f>
        <v>'larosasamuelricardo.verade'</v>
      </c>
      <c r="D557" t="str">
        <f>CONCATENATE(ALUMNOS!F561,"'")</f>
        <v>'111729'</v>
      </c>
      <c r="E557" t="s">
        <v>2723</v>
      </c>
      <c r="F557" t="str">
        <f>CONCATENATE("'",ALUMNOS!H561,"'")</f>
        <v>'VERA DE LA ROSA SAMUEL RICARDO'</v>
      </c>
      <c r="G557" t="str">
        <f>CONCATENATE("'",ALUMNOS!I561,"'")</f>
        <v>'INGENIERIA AEROESPACIAL'</v>
      </c>
      <c r="H557" t="str">
        <f>CONCATENATE("'",ALUMNOS!J561,"'")</f>
        <v>'2do'</v>
      </c>
      <c r="I557" t="str">
        <f>CONCATENATE("'",ALUMNOS!K561,"'")</f>
        <v>'Masculino'</v>
      </c>
      <c r="J557" t="str">
        <f>CONCATENATE("'",ALUMNOS!L561,"'")</f>
        <v>'Activo'</v>
      </c>
      <c r="K557" t="str">
        <f t="shared" si="33"/>
        <v>1556,'LICENCIATURA','larosasamuelricardo.verade','111729','TOMAR DEL SND','VERA DE LA ROSA SAMUEL RICARDO','INGENIERIA AEROESPACIAL','2do','MASCULINO','ACTIVO','',0,0,'','ALUMNO'</v>
      </c>
      <c r="L557" t="str">
        <f t="shared" si="32"/>
        <v>INSERT INTO participantes (id,nivel,correo,matricula,clave,nombre,carrera,grado,sexo,situacion,evaluados,num_evaluados,total_evaluaciones,ultimo_acceso,nivel_acceso) VALUES (1556,'LICENCIATURA','larosasamuelricardo.verade','111729','TOMAR DEL SND','VERA DE LA ROSA SAMUEL RICARDO','INGENIERIA AEROESPACIAL','2do','MASCULINO','ACTIVO','',0,0,'','ALUMNO');</v>
      </c>
      <c r="M557" t="str">
        <f t="shared" si="34"/>
        <v>update participantes set correo='larosasamuelricardo.verade' where id=1556;</v>
      </c>
    </row>
    <row r="558" spans="1:13" x14ac:dyDescent="0.25">
      <c r="A558">
        <f t="shared" si="35"/>
        <v>1557</v>
      </c>
      <c r="B558" s="3" t="s">
        <v>2103</v>
      </c>
      <c r="C558" t="str">
        <f>CONCATENATE("'",ALUMNOS!E562,"'")</f>
        <v>'sandra.martineznavarro'</v>
      </c>
      <c r="D558" t="str">
        <f>CONCATENATE(ALUMNOS!F562,"'")</f>
        <v>'111688'</v>
      </c>
      <c r="E558" t="s">
        <v>2723</v>
      </c>
      <c r="F558" t="str">
        <f>CONCATENATE("'",ALUMNOS!H562,"'")</f>
        <v>'MARTINEZ NAVARRO SANDRA'</v>
      </c>
      <c r="G558" t="str">
        <f>CONCATENATE("'",ALUMNOS!I562,"'")</f>
        <v>'NUTRICION Y GASTRONOMIA'</v>
      </c>
      <c r="H558" t="str">
        <f>CONCATENATE("'",ALUMNOS!J562,"'")</f>
        <v>'2do'</v>
      </c>
      <c r="I558" t="str">
        <f>CONCATENATE("'",ALUMNOS!K562,"'")</f>
        <v>'Femenino'</v>
      </c>
      <c r="J558" t="str">
        <f>CONCATENATE("'",ALUMNOS!L562,"'")</f>
        <v>'Activo'</v>
      </c>
      <c r="K558" t="str">
        <f t="shared" si="33"/>
        <v>1557,'LICENCIATURA','sandra.martineznavarro','111688','TOMAR DEL SND','MARTINEZ NAVARRO SANDRA','NUTRICION Y GASTRONOMIA','2do','FEMENINO','ACTIVO','',0,0,'','ALUMNO'</v>
      </c>
      <c r="L558" t="str">
        <f t="shared" si="32"/>
        <v>INSERT INTO participantes (id,nivel,correo,matricula,clave,nombre,carrera,grado,sexo,situacion,evaluados,num_evaluados,total_evaluaciones,ultimo_acceso,nivel_acceso) VALUES (1557,'LICENCIATURA','sandra.martineznavarro','111688','TOMAR DEL SND','MARTINEZ NAVARRO SANDRA','NUTRICION Y GASTRONOMIA','2do','FEMENINO','ACTIVO','',0,0,'','ALUMNO');</v>
      </c>
      <c r="M558" t="str">
        <f t="shared" si="34"/>
        <v>update participantes set correo='sandra.martineznavarro' where id=1557;</v>
      </c>
    </row>
    <row r="559" spans="1:13" x14ac:dyDescent="0.25">
      <c r="A559">
        <f t="shared" si="35"/>
        <v>1558</v>
      </c>
      <c r="B559" s="3" t="s">
        <v>2103</v>
      </c>
      <c r="C559" t="str">
        <f>CONCATENATE("'",ALUMNOS!E563,"'")</f>
        <v>'sandrabeatriz.guerrerogrimaldo'</v>
      </c>
      <c r="D559" t="str">
        <f>CONCATENATE(ALUMNOS!F563,"'")</f>
        <v>'111690'</v>
      </c>
      <c r="E559" t="s">
        <v>2723</v>
      </c>
      <c r="F559" t="str">
        <f>CONCATENATE("'",ALUMNOS!H563,"'")</f>
        <v>'GUERRERO GRIMALDO SANDRA BEATRIZ'</v>
      </c>
      <c r="G559" t="str">
        <f>CONCATENATE("'",ALUMNOS!I563,"'")</f>
        <v>'INGENIERÍA EN INTELIGENCIA ARTIFICIAL'</v>
      </c>
      <c r="H559" t="str">
        <f>CONCATENATE("'",ALUMNOS!J563,"'")</f>
        <v>'2do'</v>
      </c>
      <c r="I559" t="str">
        <f>CONCATENATE("'",ALUMNOS!K563,"'")</f>
        <v>'Femenino'</v>
      </c>
      <c r="J559" t="str">
        <f>CONCATENATE("'",ALUMNOS!L563,"'")</f>
        <v>'Activo'</v>
      </c>
      <c r="K559" t="str">
        <f t="shared" si="33"/>
        <v>1558,'LICENCIATURA','sandrabeatriz.guerrerogrimaldo','111690','TOMAR DEL SND','GUERRERO GRIMALDO SANDRA BEATRIZ','INGENIERÍA EN INTELIGENCIA ARTIFICIAL','2do','FEMENINO','ACTIVO','',0,0,'','ALUMNO'</v>
      </c>
      <c r="L559" t="str">
        <f t="shared" si="32"/>
        <v>INSERT INTO participantes (id,nivel,correo,matricula,clave,nombre,carrera,grado,sexo,situacion,evaluados,num_evaluados,total_evaluaciones,ultimo_acceso,nivel_acceso) VALUES (1558,'LICENCIATURA','sandrabeatriz.guerrerogrimaldo','111690','TOMAR DEL SND','GUERRERO GRIMALDO SANDRA BEATRIZ','INGENIERÍA EN INTELIGENCIA ARTIFICIAL','2do','FEMENINO','ACTIVO','',0,0,'','ALUMNO');</v>
      </c>
      <c r="M559" t="str">
        <f t="shared" si="34"/>
        <v>update participantes set correo='sandrabeatriz.guerrerogrimaldo' where id=1558;</v>
      </c>
    </row>
    <row r="560" spans="1:13" x14ac:dyDescent="0.25">
      <c r="A560">
        <f t="shared" si="35"/>
        <v>1559</v>
      </c>
      <c r="B560" s="3" t="s">
        <v>2103</v>
      </c>
      <c r="C560" t="str">
        <f>CONCATENATE("'",ALUMNOS!E564,"'")</f>
        <v>'santiago.pelayoespinosa'</v>
      </c>
      <c r="D560" t="str">
        <f>CONCATENATE(ALUMNOS!F564,"'")</f>
        <v>'111121'</v>
      </c>
      <c r="E560" t="s">
        <v>2723</v>
      </c>
      <c r="F560" t="str">
        <f>CONCATENATE("'",ALUMNOS!H564,"'")</f>
        <v>'PELAYO ESPINOSA SANTIAGO'</v>
      </c>
      <c r="G560" t="str">
        <f>CONCATENATE("'",ALUMNOS!I564,"'")</f>
        <v>'PSICOLOGIA'</v>
      </c>
      <c r="H560" t="str">
        <f>CONCATENATE("'",ALUMNOS!J564,"'")</f>
        <v>'4to'</v>
      </c>
      <c r="I560" t="str">
        <f>CONCATENATE("'",ALUMNOS!K564,"'")</f>
        <v>'Masculino'</v>
      </c>
      <c r="J560" t="str">
        <f>CONCATENATE("'",ALUMNOS!L564,"'")</f>
        <v>'Activo'</v>
      </c>
      <c r="K560" t="str">
        <f t="shared" si="33"/>
        <v>1559,'LICENCIATURA','santiago.pelayoespinosa','111121','TOMAR DEL SND','PELAYO ESPINOSA SANTIAGO','PSICOLOGIA','4to','MASCULINO','ACTIVO','',0,0,'','ALUMNO'</v>
      </c>
      <c r="L560" t="str">
        <f t="shared" si="32"/>
        <v>INSERT INTO participantes (id,nivel,correo,matricula,clave,nombre,carrera,grado,sexo,situacion,evaluados,num_evaluados,total_evaluaciones,ultimo_acceso,nivel_acceso) VALUES (1559,'LICENCIATURA','santiago.pelayoespinosa','111121','TOMAR DEL SND','PELAYO ESPINOSA SANTIAGO','PSICOLOGIA','4to','MASCULINO','ACTIVO','',0,0,'','ALUMNO');</v>
      </c>
      <c r="M560" t="str">
        <f t="shared" si="34"/>
        <v>update participantes set correo='santiago.pelayoespinosa' where id=1559;</v>
      </c>
    </row>
    <row r="561" spans="1:13" x14ac:dyDescent="0.25">
      <c r="A561">
        <f t="shared" si="35"/>
        <v>1560</v>
      </c>
      <c r="B561" s="3" t="s">
        <v>2103</v>
      </c>
      <c r="C561" t="str">
        <f>CONCATENATE("'",ALUMNOS!E565,"'")</f>
        <v>'santiagoalejandro.ruvalcabanavarro'</v>
      </c>
      <c r="D561" t="str">
        <f>CONCATENATE(ALUMNOS!F565,"'")</f>
        <v>'109979'</v>
      </c>
      <c r="E561" t="s">
        <v>2723</v>
      </c>
      <c r="F561" t="str">
        <f>CONCATENATE("'",ALUMNOS!H565,"'")</f>
        <v>'RUVALCABA NAVARRO SANTIAGO ALEJANDRO'</v>
      </c>
      <c r="G561" t="str">
        <f>CONCATENATE("'",ALUMNOS!I565,"'")</f>
        <v>'PSICOLOGIA'</v>
      </c>
      <c r="H561" t="str">
        <f>CONCATENATE("'",ALUMNOS!J565,"'")</f>
        <v>'8vo'</v>
      </c>
      <c r="I561" t="str">
        <f>CONCATENATE("'",ALUMNOS!K565,"'")</f>
        <v>'Masculino'</v>
      </c>
      <c r="J561" t="str">
        <f>CONCATENATE("'",ALUMNOS!L565,"'")</f>
        <v>'Activo'</v>
      </c>
      <c r="K561" t="str">
        <f t="shared" si="33"/>
        <v>1560,'LICENCIATURA','santiagoalejandro.ruvalcabanavarro','109979','TOMAR DEL SND','RUVALCABA NAVARRO SANTIAGO ALEJANDRO','PSICOLOGIA','8vo','MASCULINO','ACTIVO','',0,0,'','ALUMNO'</v>
      </c>
      <c r="L561" t="str">
        <f t="shared" si="32"/>
        <v>INSERT INTO participantes (id,nivel,correo,matricula,clave,nombre,carrera,grado,sexo,situacion,evaluados,num_evaluados,total_evaluaciones,ultimo_acceso,nivel_acceso) VALUES (1560,'LICENCIATURA','santiagoalejandro.ruvalcabanavarro','109979','TOMAR DEL SND','RUVALCABA NAVARRO SANTIAGO ALEJANDRO','PSICOLOGIA','8vo','MASCULINO','ACTIVO','',0,0,'','ALUMNO');</v>
      </c>
      <c r="M561" t="str">
        <f t="shared" si="34"/>
        <v>update participantes set correo='santiagoalejandro.ruvalcabanavarro' where id=1560;</v>
      </c>
    </row>
    <row r="562" spans="1:13" x14ac:dyDescent="0.25">
      <c r="A562">
        <f t="shared" si="35"/>
        <v>1561</v>
      </c>
      <c r="B562" s="3" t="s">
        <v>2103</v>
      </c>
      <c r="C562" t="str">
        <f>CONCATENATE("'",ALUMNOS!E566,"'")</f>
        <v>'larosasantiagorene.mejiade'</v>
      </c>
      <c r="D562" t="str">
        <f>CONCATENATE(ALUMNOS!F566,"'")</f>
        <v>'111236'</v>
      </c>
      <c r="E562" t="s">
        <v>2723</v>
      </c>
      <c r="F562" t="str">
        <f>CONCATENATE("'",ALUMNOS!H566,"'")</f>
        <v>'MEJIA DE LA ROSA SANTIAGO RENE'</v>
      </c>
      <c r="G562" t="str">
        <f>CONCATENATE("'",ALUMNOS!I566,"'")</f>
        <v>'INGENIERÍA AUTOMOTRIZ'</v>
      </c>
      <c r="H562" t="str">
        <f>CONCATENATE("'",ALUMNOS!J566,"'")</f>
        <v>'4to'</v>
      </c>
      <c r="I562" t="str">
        <f>CONCATENATE("'",ALUMNOS!K566,"'")</f>
        <v>'Masculino'</v>
      </c>
      <c r="J562" t="str">
        <f>CONCATENATE("'",ALUMNOS!L566,"'")</f>
        <v>'Activo'</v>
      </c>
      <c r="K562" t="str">
        <f t="shared" si="33"/>
        <v>1561,'LICENCIATURA','larosasantiagorene.mejiade','111236','TOMAR DEL SND','MEJIA DE LA ROSA SANTIAGO RENE','INGENIERÍA AUTOMOTRIZ','4to','MASCULINO','ACTIVO','',0,0,'','ALUMNO'</v>
      </c>
      <c r="L562" t="str">
        <f t="shared" si="32"/>
        <v>INSERT INTO participantes (id,nivel,correo,matricula,clave,nombre,carrera,grado,sexo,situacion,evaluados,num_evaluados,total_evaluaciones,ultimo_acceso,nivel_acceso) VALUES (1561,'LICENCIATURA','larosasantiagorene.mejiade','111236','TOMAR DEL SND','MEJIA DE LA ROSA SANTIAGO RENE','INGENIERÍA AUTOMOTRIZ','4to','MASCULINO','ACTIVO','',0,0,'','ALUMNO');</v>
      </c>
      <c r="M562" t="str">
        <f t="shared" si="34"/>
        <v>update participantes set correo='larosasantiagorene.mejiade' where id=1561;</v>
      </c>
    </row>
    <row r="563" spans="1:13" x14ac:dyDescent="0.25">
      <c r="A563">
        <f t="shared" si="35"/>
        <v>1562</v>
      </c>
      <c r="B563" s="3" t="s">
        <v>2103</v>
      </c>
      <c r="C563" t="str">
        <f>CONCATENATE("'",ALUMNOS!E567,"'")</f>
        <v>'saraagali.cajeroeinung'</v>
      </c>
      <c r="D563" t="str">
        <f>CONCATENATE(ALUMNOS!F567,"'")</f>
        <v>'111366'</v>
      </c>
      <c r="E563" t="s">
        <v>2723</v>
      </c>
      <c r="F563" t="str">
        <f>CONCATENATE("'",ALUMNOS!H567,"'")</f>
        <v>'CAJERO EINUNG SARA AGALI'</v>
      </c>
      <c r="G563" t="str">
        <f>CONCATENATE("'",ALUMNOS!I567,"'")</f>
        <v>'INGENIERIA CIBERNETICA Y EN SISTEMAS COMPUTACIONALES'</v>
      </c>
      <c r="H563" t="str">
        <f>CONCATENATE("'",ALUMNOS!J567,"'")</f>
        <v>'4to'</v>
      </c>
      <c r="I563" t="str">
        <f>CONCATENATE("'",ALUMNOS!K567,"'")</f>
        <v>'Femenino'</v>
      </c>
      <c r="J563" t="str">
        <f>CONCATENATE("'",ALUMNOS!L567,"'")</f>
        <v>'Activo'</v>
      </c>
      <c r="K563" t="str">
        <f t="shared" si="33"/>
        <v>1562,'LICENCIATURA','saraagali.cajeroeinung','111366','TOMAR DEL SND','CAJERO EINUNG SARA AGALI','INGENIERIA CIBERNETICA Y EN SISTEMAS COMPUTACIONALES','4to','FEMENINO','ACTIVO','',0,0,'','ALUMNO'</v>
      </c>
      <c r="L563" t="str">
        <f t="shared" si="32"/>
        <v>INSERT INTO participantes (id,nivel,correo,matricula,clave,nombre,carrera,grado,sexo,situacion,evaluados,num_evaluados,total_evaluaciones,ultimo_acceso,nivel_acceso) VALUES (1562,'LICENCIATURA','saraagali.cajeroeinung','111366','TOMAR DEL SND','CAJERO EINUNG SARA AGALI','INGENIERIA CIBERNETICA Y EN SISTEMAS COMPUTACIONALES','4to','FEMENINO','ACTIVO','',0,0,'','ALUMNO');</v>
      </c>
      <c r="M563" t="str">
        <f t="shared" si="34"/>
        <v>update participantes set correo='saraagali.cajeroeinung' where id=1562;</v>
      </c>
    </row>
    <row r="564" spans="1:13" x14ac:dyDescent="0.25">
      <c r="A564">
        <f t="shared" si="35"/>
        <v>1563</v>
      </c>
      <c r="B564" s="3" t="s">
        <v>2103</v>
      </c>
      <c r="C564" t="str">
        <f>CONCATENATE("'",ALUMNOS!E568,"'")</f>
        <v>'sarahi.bajoperez'</v>
      </c>
      <c r="D564" t="str">
        <f>CONCATENATE(ALUMNOS!F568,"'")</f>
        <v>'111250'</v>
      </c>
      <c r="E564" t="s">
        <v>2723</v>
      </c>
      <c r="F564" t="str">
        <f>CONCATENATE("'",ALUMNOS!H568,"'")</f>
        <v>'BAJO PEREZ SARAHI'</v>
      </c>
      <c r="G564" t="str">
        <f>CONCATENATE("'",ALUMNOS!I568,"'")</f>
        <v>'PSICOLOGIA'</v>
      </c>
      <c r="H564" t="str">
        <f>CONCATENATE("'",ALUMNOS!J568,"'")</f>
        <v>'4to'</v>
      </c>
      <c r="I564" t="str">
        <f>CONCATENATE("'",ALUMNOS!K568,"'")</f>
        <v>'Femenino'</v>
      </c>
      <c r="J564" t="str">
        <f>CONCATENATE("'",ALUMNOS!L568,"'")</f>
        <v>'Activo'</v>
      </c>
      <c r="K564" t="str">
        <f t="shared" si="33"/>
        <v>1563,'LICENCIATURA','sarahi.bajoperez','111250','TOMAR DEL SND','BAJO PEREZ SARAHI','PSICOLOGIA','4to','FEMENINO','ACTIVO','',0,0,'','ALUMNO'</v>
      </c>
      <c r="L564" t="str">
        <f t="shared" si="32"/>
        <v>INSERT INTO participantes (id,nivel,correo,matricula,clave,nombre,carrera,grado,sexo,situacion,evaluados,num_evaluados,total_evaluaciones,ultimo_acceso,nivel_acceso) VALUES (1563,'LICENCIATURA','sarahi.bajoperez','111250','TOMAR DEL SND','BAJO PEREZ SARAHI','PSICOLOGIA','4to','FEMENINO','ACTIVO','',0,0,'','ALUMNO');</v>
      </c>
      <c r="M564" t="str">
        <f t="shared" si="34"/>
        <v>update participantes set correo='sarahi.bajoperez' where id=1563;</v>
      </c>
    </row>
    <row r="565" spans="1:13" x14ac:dyDescent="0.25">
      <c r="A565">
        <f t="shared" si="35"/>
        <v>1564</v>
      </c>
      <c r="B565" s="3" t="s">
        <v>2103</v>
      </c>
      <c r="C565" t="str">
        <f>CONCATENATE("'",ALUMNOS!E569,"'")</f>
        <v>'sauldejesus.villaloboscarrillo'</v>
      </c>
      <c r="D565" t="str">
        <f>CONCATENATE(ALUMNOS!F569,"'")</f>
        <v>'111532'</v>
      </c>
      <c r="E565" t="s">
        <v>2723</v>
      </c>
      <c r="F565" t="str">
        <f>CONCATENATE("'",ALUMNOS!H569,"'")</f>
        <v>'VILLALOBOS CARRILLO SAUL DE JESUS'</v>
      </c>
      <c r="G565" t="str">
        <f>CONCATENATE("'",ALUMNOS!I569,"'")</f>
        <v>'INGENIERIA AEROESPACIAL'</v>
      </c>
      <c r="H565" t="str">
        <f>CONCATENATE("'",ALUMNOS!J569,"'")</f>
        <v>'2do'</v>
      </c>
      <c r="I565" t="str">
        <f>CONCATENATE("'",ALUMNOS!K569,"'")</f>
        <v>'Masculino'</v>
      </c>
      <c r="J565" t="str">
        <f>CONCATENATE("'",ALUMNOS!L569,"'")</f>
        <v>'Activo'</v>
      </c>
      <c r="K565" t="str">
        <f t="shared" si="33"/>
        <v>1564,'LICENCIATURA','sauldejesus.villaloboscarrillo','111532','TOMAR DEL SND','VILLALOBOS CARRILLO SAUL DE JESUS','INGENIERIA AEROESPACIAL','2do','MASCULINO','ACTIVO','',0,0,'','ALUMNO'</v>
      </c>
      <c r="L565" t="str">
        <f t="shared" si="32"/>
        <v>INSERT INTO participantes (id,nivel,correo,matricula,clave,nombre,carrera,grado,sexo,situacion,evaluados,num_evaluados,total_evaluaciones,ultimo_acceso,nivel_acceso) VALUES (1564,'LICENCIATURA','sauldejesus.villaloboscarrillo','111532','TOMAR DEL SND','VILLALOBOS CARRILLO SAUL DE JESUS','INGENIERIA AEROESPACIAL','2do','MASCULINO','ACTIVO','',0,0,'','ALUMNO');</v>
      </c>
      <c r="M565" t="str">
        <f t="shared" si="34"/>
        <v>update participantes set correo='sauldejesus.villaloboscarrillo' where id=1564;</v>
      </c>
    </row>
    <row r="566" spans="1:13" x14ac:dyDescent="0.25">
      <c r="A566">
        <f t="shared" si="35"/>
        <v>1565</v>
      </c>
      <c r="B566" s="3" t="s">
        <v>2103</v>
      </c>
      <c r="C566" t="str">
        <f>CONCATENATE("'",ALUMNOS!E570,"'")</f>
        <v>'saulfernando.manzocuevas'</v>
      </c>
      <c r="D566" t="str">
        <f>CONCATENATE(ALUMNOS!F570,"'")</f>
        <v>'109514'</v>
      </c>
      <c r="E566" t="s">
        <v>2723</v>
      </c>
      <c r="F566" t="str">
        <f>CONCATENATE("'",ALUMNOS!H570,"'")</f>
        <v>'MANZO CUEVAS SAUL FERNANDO'</v>
      </c>
      <c r="G566" t="str">
        <f>CONCATENATE("'",ALUMNOS!I570,"'")</f>
        <v>'INGENIERIA AEROESPACIAL'</v>
      </c>
      <c r="H566" t="str">
        <f>CONCATENATE("'",ALUMNOS!J570,"'")</f>
        <v>'10mo'</v>
      </c>
      <c r="I566" t="str">
        <f>CONCATENATE("'",ALUMNOS!K570,"'")</f>
        <v>'Masculino'</v>
      </c>
      <c r="J566" t="str">
        <f>CONCATENATE("'",ALUMNOS!L570,"'")</f>
        <v>'Activo'</v>
      </c>
      <c r="K566" t="str">
        <f t="shared" si="33"/>
        <v>1565,'LICENCIATURA','saulfernando.manzocuevas','109514','TOMAR DEL SND','MANZO CUEVAS SAUL FERNANDO','INGENIERIA AEROESPACIAL','10mo','MASCULINO','ACTIVO','',0,0,'','ALUMNO'</v>
      </c>
      <c r="L566" t="str">
        <f t="shared" si="32"/>
        <v>INSERT INTO participantes (id,nivel,correo,matricula,clave,nombre,carrera,grado,sexo,situacion,evaluados,num_evaluados,total_evaluaciones,ultimo_acceso,nivel_acceso) VALUES (1565,'LICENCIATURA','saulfernando.manzocuevas','109514','TOMAR DEL SND','MANZO CUEVAS SAUL FERNANDO','INGENIERIA AEROESPACIAL','10mo','MASCULINO','ACTIVO','',0,0,'','ALUMNO');</v>
      </c>
      <c r="M566" t="str">
        <f t="shared" si="34"/>
        <v>update participantes set correo='saulfernando.manzocuevas' where id=1565;</v>
      </c>
    </row>
    <row r="567" spans="1:13" x14ac:dyDescent="0.25">
      <c r="A567">
        <f t="shared" si="35"/>
        <v>1566</v>
      </c>
      <c r="B567" s="3" t="s">
        <v>2103</v>
      </c>
      <c r="C567" t="str">
        <f>CONCATENATE("'",ALUMNOS!E571,"'")</f>
        <v>'sebastian.garciamejia'</v>
      </c>
      <c r="D567" t="str">
        <f>CONCATENATE(ALUMNOS!F571,"'")</f>
        <v>'111093'</v>
      </c>
      <c r="E567" t="s">
        <v>2723</v>
      </c>
      <c r="F567" t="str">
        <f>CONCATENATE("'",ALUMNOS!H571,"'")</f>
        <v>'GARCIA MEJIA SEBASTIAN'</v>
      </c>
      <c r="G567" t="str">
        <f>CONCATENATE("'",ALUMNOS!I571,"'")</f>
        <v>'INGENIERIA AEROESPACIAL'</v>
      </c>
      <c r="H567" t="str">
        <f>CONCATENATE("'",ALUMNOS!J571,"'")</f>
        <v>'4to'</v>
      </c>
      <c r="I567" t="str">
        <f>CONCATENATE("'",ALUMNOS!K571,"'")</f>
        <v>'Masculino'</v>
      </c>
      <c r="J567" t="str">
        <f>CONCATENATE("'",ALUMNOS!L571,"'")</f>
        <v>'Activo'</v>
      </c>
      <c r="K567" t="str">
        <f t="shared" si="33"/>
        <v>1566,'LICENCIATURA','sebastian.garciamejia','111093','TOMAR DEL SND','GARCIA MEJIA SEBASTIAN','INGENIERIA AEROESPACIAL','4to','MASCULINO','ACTIVO','',0,0,'','ALUMNO'</v>
      </c>
      <c r="L567" t="str">
        <f t="shared" si="32"/>
        <v>INSERT INTO participantes (id,nivel,correo,matricula,clave,nombre,carrera,grado,sexo,situacion,evaluados,num_evaluados,total_evaluaciones,ultimo_acceso,nivel_acceso) VALUES (1566,'LICENCIATURA','sebastian.garciamejia','111093','TOMAR DEL SND','GARCIA MEJIA SEBASTIAN','INGENIERIA AEROESPACIAL','4to','MASCULINO','ACTIVO','',0,0,'','ALUMNO');</v>
      </c>
      <c r="M567" t="str">
        <f t="shared" si="34"/>
        <v>update participantes set correo='sebastian.garciamejia' where id=1566;</v>
      </c>
    </row>
    <row r="568" spans="1:13" x14ac:dyDescent="0.25">
      <c r="A568">
        <f t="shared" si="35"/>
        <v>1567</v>
      </c>
      <c r="B568" s="3" t="s">
        <v>2103</v>
      </c>
      <c r="C568" t="str">
        <f>CONCATENATE("'",ALUMNOS!E572,"'")</f>
        <v>'sebastian.martincampos'</v>
      </c>
      <c r="D568" t="str">
        <f>CONCATENATE(ALUMNOS!F572,"'")</f>
        <v>'109812'</v>
      </c>
      <c r="E568" t="s">
        <v>2723</v>
      </c>
      <c r="F568" t="str">
        <f>CONCATENATE("'",ALUMNOS!H572,"'")</f>
        <v>'MARTIN CAMPOS SEBASTIAN'</v>
      </c>
      <c r="G568" t="str">
        <f>CONCATENATE("'",ALUMNOS!I572,"'")</f>
        <v>'INGENIERIA AEROESPACIAL'</v>
      </c>
      <c r="H568" t="str">
        <f>CONCATENATE("'",ALUMNOS!J572,"'")</f>
        <v>'8vo'</v>
      </c>
      <c r="I568" t="str">
        <f>CONCATENATE("'",ALUMNOS!K572,"'")</f>
        <v>'Masculino'</v>
      </c>
      <c r="J568" t="str">
        <f>CONCATENATE("'",ALUMNOS!L572,"'")</f>
        <v>'Activo'</v>
      </c>
      <c r="K568" t="str">
        <f t="shared" si="33"/>
        <v>1567,'LICENCIATURA','sebastian.martincampos','109812','TOMAR DEL SND','MARTIN CAMPOS SEBASTIAN','INGENIERIA AEROESPACIAL','8vo','MASCULINO','ACTIVO','',0,0,'','ALUMNO'</v>
      </c>
      <c r="L568" t="str">
        <f t="shared" si="32"/>
        <v>INSERT INTO participantes (id,nivel,correo,matricula,clave,nombre,carrera,grado,sexo,situacion,evaluados,num_evaluados,total_evaluaciones,ultimo_acceso,nivel_acceso) VALUES (1567,'LICENCIATURA','sebastian.martincampos','109812','TOMAR DEL SND','MARTIN CAMPOS SEBASTIAN','INGENIERIA AEROESPACIAL','8vo','MASCULINO','ACTIVO','',0,0,'','ALUMNO');</v>
      </c>
      <c r="M568" t="str">
        <f t="shared" si="34"/>
        <v>update participantes set correo='sebastian.martincampos' where id=1567;</v>
      </c>
    </row>
    <row r="569" spans="1:13" x14ac:dyDescent="0.25">
      <c r="A569">
        <f t="shared" si="35"/>
        <v>1568</v>
      </c>
      <c r="B569" s="3" t="s">
        <v>2103</v>
      </c>
      <c r="C569" t="str">
        <f>CONCATENATE("'",ALUMNOS!E573,"'")</f>
        <v>'sebastian.rochalozano'</v>
      </c>
      <c r="D569" t="str">
        <f>CONCATENATE(ALUMNOS!F573,"'")</f>
        <v>'111127'</v>
      </c>
      <c r="E569" t="s">
        <v>2723</v>
      </c>
      <c r="F569" t="str">
        <f>CONCATENATE("'",ALUMNOS!H573,"'")</f>
        <v>'ROCHA LOZANO SEBASTIAN'</v>
      </c>
      <c r="G569" t="str">
        <f>CONCATENATE("'",ALUMNOS!I573,"'")</f>
        <v>'INGENIERÍA AUTOMOTRIZ'</v>
      </c>
      <c r="H569" t="str">
        <f>CONCATENATE("'",ALUMNOS!J573,"'")</f>
        <v>'4to'</v>
      </c>
      <c r="I569" t="str">
        <f>CONCATENATE("'",ALUMNOS!K573,"'")</f>
        <v>'Masculino'</v>
      </c>
      <c r="J569" t="str">
        <f>CONCATENATE("'",ALUMNOS!L573,"'")</f>
        <v>'Activo'</v>
      </c>
      <c r="K569" t="str">
        <f t="shared" si="33"/>
        <v>1568,'LICENCIATURA','sebastian.rochalozano','111127','TOMAR DEL SND','ROCHA LOZANO SEBASTIAN','INGENIERÍA AUTOMOTRIZ','4to','MASCULINO','ACTIVO','',0,0,'','ALUMNO'</v>
      </c>
      <c r="L569" t="str">
        <f t="shared" si="32"/>
        <v>INSERT INTO participantes (id,nivel,correo,matricula,clave,nombre,carrera,grado,sexo,situacion,evaluados,num_evaluados,total_evaluaciones,ultimo_acceso,nivel_acceso) VALUES (1568,'LICENCIATURA','sebastian.rochalozano','111127','TOMAR DEL SND','ROCHA LOZANO SEBASTIAN','INGENIERÍA AUTOMOTRIZ','4to','MASCULINO','ACTIVO','',0,0,'','ALUMNO');</v>
      </c>
      <c r="M569" t="str">
        <f t="shared" si="34"/>
        <v>update participantes set correo='sebastian.rochalozano' where id=1568;</v>
      </c>
    </row>
    <row r="570" spans="1:13" x14ac:dyDescent="0.25">
      <c r="A570">
        <f t="shared" si="35"/>
        <v>1569</v>
      </c>
      <c r="B570" s="3" t="s">
        <v>2103</v>
      </c>
      <c r="C570" t="str">
        <f>CONCATENATE("'",ALUMNOS!E574,"'")</f>
        <v>'sebastianemiliano.apontenavarro'</v>
      </c>
      <c r="D570" t="str">
        <f>CONCATENATE(ALUMNOS!F574,"'")</f>
        <v>'111226'</v>
      </c>
      <c r="E570" t="s">
        <v>2723</v>
      </c>
      <c r="F570" t="str">
        <f>CONCATENATE("'",ALUMNOS!H574,"'")</f>
        <v>'APONTE NAVARRO SEBASTIAN EMILIANO'</v>
      </c>
      <c r="G570" t="str">
        <f>CONCATENATE("'",ALUMNOS!I574,"'")</f>
        <v>'ADMINISTRACION Y DIRECCION DE NEGOCIOS'</v>
      </c>
      <c r="H570" t="str">
        <f>CONCATENATE("'",ALUMNOS!J574,"'")</f>
        <v>'4to'</v>
      </c>
      <c r="I570" t="str">
        <f>CONCATENATE("'",ALUMNOS!K574,"'")</f>
        <v>'Masculino'</v>
      </c>
      <c r="J570" t="str">
        <f>CONCATENATE("'",ALUMNOS!L574,"'")</f>
        <v>'Activo'</v>
      </c>
      <c r="K570" t="str">
        <f t="shared" si="33"/>
        <v>1569,'LICENCIATURA','sebastianemiliano.apontenavarro','111226','TOMAR DEL SND','APONTE NAVARRO SEBASTIAN EMILIANO','ADMINISTRACION Y DIRECCION DE NEGOCIOS','4to','MASCULINO','ACTIVO','',0,0,'','ALUMNO'</v>
      </c>
      <c r="L570" t="str">
        <f t="shared" si="32"/>
        <v>INSERT INTO participantes (id,nivel,correo,matricula,clave,nombre,carrera,grado,sexo,situacion,evaluados,num_evaluados,total_evaluaciones,ultimo_acceso,nivel_acceso) VALUES (1569,'LICENCIATURA','sebastianemiliano.apontenavarro','111226','TOMAR DEL SND','APONTE NAVARRO SEBASTIAN EMILIANO','ADMINISTRACION Y DIRECCION DE NEGOCIOS','4to','MASCULINO','ACTIVO','',0,0,'','ALUMNO');</v>
      </c>
      <c r="M570" t="str">
        <f t="shared" si="34"/>
        <v>update participantes set correo='sebastianemiliano.apontenavarro' where id=1569;</v>
      </c>
    </row>
    <row r="571" spans="1:13" x14ac:dyDescent="0.25">
      <c r="A571">
        <f t="shared" si="35"/>
        <v>1570</v>
      </c>
      <c r="B571" s="3" t="s">
        <v>2103</v>
      </c>
      <c r="C571" t="str">
        <f>CONCATENATE("'",ALUMNOS!E575,"'")</f>
        <v>'sergio.martinezcastillo'</v>
      </c>
      <c r="D571" t="str">
        <f>CONCATENATE(ALUMNOS!F575,"'")</f>
        <v>'109990'</v>
      </c>
      <c r="E571" t="s">
        <v>2723</v>
      </c>
      <c r="F571" t="str">
        <f>CONCATENATE("'",ALUMNOS!H575,"'")</f>
        <v>'MARTINEZ CASTILLO SERGIO'</v>
      </c>
      <c r="G571" t="str">
        <f>CONCATENATE("'",ALUMNOS!I575,"'")</f>
        <v>'ARQUITECTURA'</v>
      </c>
      <c r="H571" t="str">
        <f>CONCATENATE("'",ALUMNOS!J575,"'")</f>
        <v>'8vo'</v>
      </c>
      <c r="I571" t="str">
        <f>CONCATENATE("'",ALUMNOS!K575,"'")</f>
        <v>'Masculino'</v>
      </c>
      <c r="J571" t="str">
        <f>CONCATENATE("'",ALUMNOS!L575,"'")</f>
        <v>'Activo'</v>
      </c>
      <c r="K571" t="str">
        <f t="shared" si="33"/>
        <v>1570,'LICENCIATURA','sergio.martinezcastillo','109990','TOMAR DEL SND','MARTINEZ CASTILLO SERGIO','ARQUITECTURA','8vo','MASCULINO','ACTIVO','',0,0,'','ALUMNO'</v>
      </c>
      <c r="L571" t="str">
        <f t="shared" si="32"/>
        <v>INSERT INTO participantes (id,nivel,correo,matricula,clave,nombre,carrera,grado,sexo,situacion,evaluados,num_evaluados,total_evaluaciones,ultimo_acceso,nivel_acceso) VALUES (1570,'LICENCIATURA','sergio.martinezcastillo','109990','TOMAR DEL SND','MARTINEZ CASTILLO SERGIO','ARQUITECTURA','8vo','MASCULINO','ACTIVO','',0,0,'','ALUMNO');</v>
      </c>
      <c r="M571" t="str">
        <f t="shared" si="34"/>
        <v>update participantes set correo='sergio.martinezcastillo' where id=1570;</v>
      </c>
    </row>
    <row r="572" spans="1:13" x14ac:dyDescent="0.25">
      <c r="A572">
        <f t="shared" si="35"/>
        <v>1571</v>
      </c>
      <c r="B572" s="3" t="s">
        <v>2103</v>
      </c>
      <c r="C572" t="str">
        <f>CONCATENATE("'",ALUMNOS!E576,"'")</f>
        <v>'sergiojose.gallegosramos'</v>
      </c>
      <c r="D572" t="str">
        <f>CONCATENATE(ALUMNOS!F576,"'")</f>
        <v>'109836'</v>
      </c>
      <c r="E572" t="s">
        <v>2723</v>
      </c>
      <c r="F572" t="str">
        <f>CONCATENATE("'",ALUMNOS!H576,"'")</f>
        <v>'GALLEGOS RAMOS SERGIO JOSE'</v>
      </c>
      <c r="G572" t="str">
        <f>CONCATENATE("'",ALUMNOS!I576,"'")</f>
        <v>'PSICOLOGIA'</v>
      </c>
      <c r="H572" t="str">
        <f>CONCATENATE("'",ALUMNOS!J576,"'")</f>
        <v>'6to'</v>
      </c>
      <c r="I572" t="str">
        <f>CONCATENATE("'",ALUMNOS!K576,"'")</f>
        <v>'Masculino'</v>
      </c>
      <c r="J572" t="str">
        <f>CONCATENATE("'",ALUMNOS!L576,"'")</f>
        <v>'Activo'</v>
      </c>
      <c r="K572" t="str">
        <f t="shared" si="33"/>
        <v>1571,'LICENCIATURA','sergiojose.gallegosramos','109836','TOMAR DEL SND','GALLEGOS RAMOS SERGIO JOSE','PSICOLOGIA','6to','MASCULINO','ACTIVO','',0,0,'','ALUMNO'</v>
      </c>
      <c r="L572" t="str">
        <f t="shared" si="32"/>
        <v>INSERT INTO participantes (id,nivel,correo,matricula,clave,nombre,carrera,grado,sexo,situacion,evaluados,num_evaluados,total_evaluaciones,ultimo_acceso,nivel_acceso) VALUES (1571,'LICENCIATURA','sergiojose.gallegosramos','109836','TOMAR DEL SND','GALLEGOS RAMOS SERGIO JOSE','PSICOLOGIA','6to','MASCULINO','ACTIVO','',0,0,'','ALUMNO');</v>
      </c>
      <c r="M572" t="str">
        <f t="shared" si="34"/>
        <v>update participantes set correo='sergiojose.gallegosramos' where id=1571;</v>
      </c>
    </row>
    <row r="573" spans="1:13" x14ac:dyDescent="0.25">
      <c r="A573">
        <f t="shared" si="35"/>
        <v>1572</v>
      </c>
      <c r="B573" s="3" t="s">
        <v>2103</v>
      </c>
      <c r="C573" t="str">
        <f>CONCATENATE("'",ALUMNOS!E577,"'")</f>
        <v>'sharonsofia.vazquezrodriguez'</v>
      </c>
      <c r="D573" t="str">
        <f>CONCATENATE(ALUMNOS!F577,"'")</f>
        <v>'111183'</v>
      </c>
      <c r="E573" t="s">
        <v>2723</v>
      </c>
      <c r="F573" t="str">
        <f>CONCATENATE("'",ALUMNOS!H577,"'")</f>
        <v>'VAZQUEZ RODRIGUEZ SHARON SOFIA'</v>
      </c>
      <c r="G573" t="str">
        <f>CONCATENATE("'",ALUMNOS!I577,"'")</f>
        <v>'ANIMACION DIGITAL Y VIDEOJUEGOS'</v>
      </c>
      <c r="H573" t="str">
        <f>CONCATENATE("'",ALUMNOS!J577,"'")</f>
        <v>'4to'</v>
      </c>
      <c r="I573" t="str">
        <f>CONCATENATE("'",ALUMNOS!K577,"'")</f>
        <v>'Femenino'</v>
      </c>
      <c r="J573" t="str">
        <f>CONCATENATE("'",ALUMNOS!L577,"'")</f>
        <v>'Activo'</v>
      </c>
      <c r="K573" t="str">
        <f t="shared" si="33"/>
        <v>1572,'LICENCIATURA','sharonsofia.vazquezrodriguez','111183','TOMAR DEL SND','VAZQUEZ RODRIGUEZ SHARON SOFIA','ANIMACION DIGITAL Y VIDEOJUEGOS','4to','FEMENINO','ACTIVO','',0,0,'','ALUMNO'</v>
      </c>
      <c r="L573" t="str">
        <f t="shared" si="32"/>
        <v>INSERT INTO participantes (id,nivel,correo,matricula,clave,nombre,carrera,grado,sexo,situacion,evaluados,num_evaluados,total_evaluaciones,ultimo_acceso,nivel_acceso) VALUES (1572,'LICENCIATURA','sharonsofia.vazquezrodriguez','111183','TOMAR DEL SND','VAZQUEZ RODRIGUEZ SHARON SOFIA','ANIMACION DIGITAL Y VIDEOJUEGOS','4to','FEMENINO','ACTIVO','',0,0,'','ALUMNO');</v>
      </c>
      <c r="M573" t="str">
        <f t="shared" si="34"/>
        <v>update participantes set correo='sharonsofia.vazquezrodriguez' where id=1572;</v>
      </c>
    </row>
    <row r="574" spans="1:13" x14ac:dyDescent="0.25">
      <c r="A574">
        <f t="shared" si="35"/>
        <v>1573</v>
      </c>
      <c r="B574" s="3" t="s">
        <v>2103</v>
      </c>
      <c r="C574" t="str">
        <f>CONCATENATE("'",ALUMNOS!E578,"'")</f>
        <v>'sofia.mancillapavia'</v>
      </c>
      <c r="D574" t="str">
        <f>CONCATENATE(ALUMNOS!F578,"'")</f>
        <v>'007080'</v>
      </c>
      <c r="E574" t="s">
        <v>2723</v>
      </c>
      <c r="F574" t="str">
        <f>CONCATENATE("'",ALUMNOS!H578,"'")</f>
        <v>'MANCILLA PAVIA SOFIA'</v>
      </c>
      <c r="G574" t="str">
        <f>CONCATENATE("'",ALUMNOS!I578,"'")</f>
        <v>'DISEÑO GRAFICO Y DIGITAL'</v>
      </c>
      <c r="H574" t="str">
        <f>CONCATENATE("'",ALUMNOS!J578,"'")</f>
        <v>'6to'</v>
      </c>
      <c r="I574" t="str">
        <f>CONCATENATE("'",ALUMNOS!K578,"'")</f>
        <v>'Femenino'</v>
      </c>
      <c r="J574" t="str">
        <f>CONCATENATE("'",ALUMNOS!L578,"'")</f>
        <v>'Activo'</v>
      </c>
      <c r="K574" t="str">
        <f t="shared" si="33"/>
        <v>1573,'LICENCIATURA','sofia.mancillapavia','007080','TOMAR DEL SND','MANCILLA PAVIA SOFIA','DISEÑO GRAFICO Y DIGITAL','6to','FEMENINO','ACTIVO','',0,0,'','ALUMNO'</v>
      </c>
      <c r="L574" t="str">
        <f t="shared" si="32"/>
        <v>INSERT INTO participantes (id,nivel,correo,matricula,clave,nombre,carrera,grado,sexo,situacion,evaluados,num_evaluados,total_evaluaciones,ultimo_acceso,nivel_acceso) VALUES (1573,'LICENCIATURA','sofia.mancillapavia','007080','TOMAR DEL SND','MANCILLA PAVIA SOFIA','DISEÑO GRAFICO Y DIGITAL','6to','FEMENINO','ACTIVO','',0,0,'','ALUMNO');</v>
      </c>
      <c r="M574" t="str">
        <f t="shared" si="34"/>
        <v>update participantes set correo='sofia.mancillapavia' where id=1573;</v>
      </c>
    </row>
    <row r="575" spans="1:13" x14ac:dyDescent="0.25">
      <c r="A575">
        <f t="shared" si="35"/>
        <v>1574</v>
      </c>
      <c r="B575" s="3" t="s">
        <v>2103</v>
      </c>
      <c r="C575" t="str">
        <f>CONCATENATE("'",ALUMNOS!E579,"'")</f>
        <v>'sofia.partidabarba'</v>
      </c>
      <c r="D575" t="str">
        <f>CONCATENATE(ALUMNOS!F579,"'")</f>
        <v>'110504'</v>
      </c>
      <c r="E575" t="s">
        <v>2723</v>
      </c>
      <c r="F575" t="str">
        <f>CONCATENATE("'",ALUMNOS!H579,"'")</f>
        <v>'PARTIDA BARBA SOFIA'</v>
      </c>
      <c r="G575" t="str">
        <f>CONCATENATE("'",ALUMNOS!I579,"'")</f>
        <v>'NUTRICION Y GASTRONOMIA'</v>
      </c>
      <c r="H575" t="str">
        <f>CONCATENATE("'",ALUMNOS!J579,"'")</f>
        <v>'6to'</v>
      </c>
      <c r="I575" t="str">
        <f>CONCATENATE("'",ALUMNOS!K579,"'")</f>
        <v>'Femenino'</v>
      </c>
      <c r="J575" t="str">
        <f>CONCATENATE("'",ALUMNOS!L579,"'")</f>
        <v>'Activo'</v>
      </c>
      <c r="K575" t="str">
        <f t="shared" si="33"/>
        <v>1574,'LICENCIATURA','sofia.partidabarba','110504','TOMAR DEL SND','PARTIDA BARBA SOFIA','NUTRICION Y GASTRONOMIA','6to','FEMENINO','ACTIVO','',0,0,'','ALUMNO'</v>
      </c>
      <c r="L575" t="str">
        <f t="shared" si="32"/>
        <v>INSERT INTO participantes (id,nivel,correo,matricula,clave,nombre,carrera,grado,sexo,situacion,evaluados,num_evaluados,total_evaluaciones,ultimo_acceso,nivel_acceso) VALUES (1574,'LICENCIATURA','sofia.partidabarba','110504','TOMAR DEL SND','PARTIDA BARBA SOFIA','NUTRICION Y GASTRONOMIA','6to','FEMENINO','ACTIVO','',0,0,'','ALUMNO');</v>
      </c>
      <c r="M575" t="str">
        <f t="shared" si="34"/>
        <v>update participantes set correo='sofia.partidabarba' where id=1574;</v>
      </c>
    </row>
    <row r="576" spans="1:13" x14ac:dyDescent="0.25">
      <c r="A576">
        <f t="shared" si="35"/>
        <v>1575</v>
      </c>
      <c r="B576" s="3" t="s">
        <v>2103</v>
      </c>
      <c r="C576" t="str">
        <f>CONCATENATE("'",ALUMNOS!E580,"'")</f>
        <v>'sofia.solaeguihernandez'</v>
      </c>
      <c r="D576" t="str">
        <f>CONCATENATE(ALUMNOS!F580,"'")</f>
        <v>'110569'</v>
      </c>
      <c r="E576" t="s">
        <v>2723</v>
      </c>
      <c r="F576" t="str">
        <f>CONCATENATE("'",ALUMNOS!H580,"'")</f>
        <v>'SOLAEGUI HERNANDEZ SOFIA'</v>
      </c>
      <c r="G576" t="str">
        <f>CONCATENATE("'",ALUMNOS!I580,"'")</f>
        <v>'PSICOLOGIA'</v>
      </c>
      <c r="H576" t="str">
        <f>CONCATENATE("'",ALUMNOS!J580,"'")</f>
        <v>'6to'</v>
      </c>
      <c r="I576" t="str">
        <f>CONCATENATE("'",ALUMNOS!K580,"'")</f>
        <v>'Femenino'</v>
      </c>
      <c r="J576" t="str">
        <f>CONCATENATE("'",ALUMNOS!L580,"'")</f>
        <v>'Activo'</v>
      </c>
      <c r="K576" t="str">
        <f t="shared" si="33"/>
        <v>1575,'LICENCIATURA','sofia.solaeguihernandez','110569','TOMAR DEL SND','SOLAEGUI HERNANDEZ SOFIA','PSICOLOGIA','6to','FEMENINO','ACTIVO','',0,0,'','ALUMNO'</v>
      </c>
      <c r="L576" t="str">
        <f t="shared" si="32"/>
        <v>INSERT INTO participantes (id,nivel,correo,matricula,clave,nombre,carrera,grado,sexo,situacion,evaluados,num_evaluados,total_evaluaciones,ultimo_acceso,nivel_acceso) VALUES (1575,'LICENCIATURA','sofia.solaeguihernandez','110569','TOMAR DEL SND','SOLAEGUI HERNANDEZ SOFIA','PSICOLOGIA','6to','FEMENINO','ACTIVO','',0,0,'','ALUMNO');</v>
      </c>
      <c r="M576" t="str">
        <f t="shared" si="34"/>
        <v>update participantes set correo='sofia.solaeguihernandez' where id=1575;</v>
      </c>
    </row>
    <row r="577" spans="1:13" x14ac:dyDescent="0.25">
      <c r="A577">
        <f t="shared" si="35"/>
        <v>1576</v>
      </c>
      <c r="B577" s="3" t="s">
        <v>2103</v>
      </c>
      <c r="C577" t="str">
        <f>CONCATENATE("'",ALUMNOS!E581,"'")</f>
        <v>'sofiamichelle.naresgutierrez'</v>
      </c>
      <c r="D577" t="str">
        <f>CONCATENATE(ALUMNOS!F581,"'")</f>
        <v>'109862'</v>
      </c>
      <c r="E577" t="s">
        <v>2723</v>
      </c>
      <c r="F577" t="str">
        <f>CONCATENATE("'",ALUMNOS!H581,"'")</f>
        <v>'NARES GUTIERREZ SOFIA MICHELLE'</v>
      </c>
      <c r="G577" t="str">
        <f>CONCATENATE("'",ALUMNOS!I581,"'")</f>
        <v>'ARQUITECTURA'</v>
      </c>
      <c r="H577" t="str">
        <f>CONCATENATE("'",ALUMNOS!J581,"'")</f>
        <v>'8vo'</v>
      </c>
      <c r="I577" t="str">
        <f>CONCATENATE("'",ALUMNOS!K581,"'")</f>
        <v>'Femenino'</v>
      </c>
      <c r="J577" t="str">
        <f>CONCATENATE("'",ALUMNOS!L581,"'")</f>
        <v>'Activo'</v>
      </c>
      <c r="K577" t="str">
        <f t="shared" si="33"/>
        <v>1576,'LICENCIATURA','sofiamichelle.naresgutierrez','109862','TOMAR DEL SND','NARES GUTIERREZ SOFIA MICHELLE','ARQUITECTURA','8vo','FEMENINO','ACTIVO','',0,0,'','ALUMNO'</v>
      </c>
      <c r="L577" t="str">
        <f t="shared" si="32"/>
        <v>INSERT INTO participantes (id,nivel,correo,matricula,clave,nombre,carrera,grado,sexo,situacion,evaluados,num_evaluados,total_evaluaciones,ultimo_acceso,nivel_acceso) VALUES (1576,'LICENCIATURA','sofiamichelle.naresgutierrez','109862','TOMAR DEL SND','NARES GUTIERREZ SOFIA MICHELLE','ARQUITECTURA','8vo','FEMENINO','ACTIVO','',0,0,'','ALUMNO');</v>
      </c>
      <c r="M577" t="str">
        <f t="shared" si="34"/>
        <v>update participantes set correo='sofiamichelle.naresgutierrez' where id=1576;</v>
      </c>
    </row>
    <row r="578" spans="1:13" x14ac:dyDescent="0.25">
      <c r="A578">
        <f t="shared" si="35"/>
        <v>1577</v>
      </c>
      <c r="B578" s="3" t="s">
        <v>2103</v>
      </c>
      <c r="C578" t="str">
        <f>CONCATENATE("'",ALUMNOS!E582,"'")</f>
        <v>'soniaximena.marmolejorodriguez'</v>
      </c>
      <c r="D578" t="str">
        <f>CONCATENATE(ALUMNOS!F582,"'")</f>
        <v>'111088'</v>
      </c>
      <c r="E578" t="s">
        <v>2723</v>
      </c>
      <c r="F578" t="str">
        <f>CONCATENATE("'",ALUMNOS!H582,"'")</f>
        <v>'MARMOLEJO RODRIGUEZ SONIA XIMENA'</v>
      </c>
      <c r="G578" t="str">
        <f>CONCATENATE("'",ALUMNOS!I582,"'")</f>
        <v>'ADMINISTRACION Y DIRECCION DE NEGOCIOS'</v>
      </c>
      <c r="H578" t="str">
        <f>CONCATENATE("'",ALUMNOS!J582,"'")</f>
        <v>'4to'</v>
      </c>
      <c r="I578" t="str">
        <f>CONCATENATE("'",ALUMNOS!K582,"'")</f>
        <v>'Femenino'</v>
      </c>
      <c r="J578" t="str">
        <f>CONCATENATE("'",ALUMNOS!L582,"'")</f>
        <v>'Activo'</v>
      </c>
      <c r="K578" t="str">
        <f t="shared" si="33"/>
        <v>1577,'LICENCIATURA','soniaximena.marmolejorodriguez','111088','TOMAR DEL SND','MARMOLEJO RODRIGUEZ SONIA XIMENA','ADMINISTRACION Y DIRECCION DE NEGOCIOS','4to','FEMENINO','ACTIVO','',0,0,'','ALUMNO'</v>
      </c>
      <c r="L578" t="str">
        <f t="shared" ref="L578:L615" si="36">CONCATENATE($K$1,K578,");")</f>
        <v>INSERT INTO participantes (id,nivel,correo,matricula,clave,nombre,carrera,grado,sexo,situacion,evaluados,num_evaluados,total_evaluaciones,ultimo_acceso,nivel_acceso) VALUES (1577,'LICENCIATURA','soniaximena.marmolejorodriguez','111088','TOMAR DEL SND','MARMOLEJO RODRIGUEZ SONIA XIMENA','ADMINISTRACION Y DIRECCION DE NEGOCIOS','4to','FEMENINO','ACTIVO','',0,0,'','ALUMNO');</v>
      </c>
      <c r="M578" t="str">
        <f t="shared" si="34"/>
        <v>update participantes set correo='soniaximena.marmolejorodriguez' where id=1577;</v>
      </c>
    </row>
    <row r="579" spans="1:13" x14ac:dyDescent="0.25">
      <c r="A579">
        <f t="shared" si="35"/>
        <v>1578</v>
      </c>
      <c r="B579" s="3" t="s">
        <v>2103</v>
      </c>
      <c r="C579" t="str">
        <f>CONCATENATE("'",ALUMNOS!E584,"'")</f>
        <v>'taniadelosangeles.contrerassanchez'</v>
      </c>
      <c r="D579" t="str">
        <f>CONCATENATE(ALUMNOS!F584,"'")</f>
        <v>'111075'</v>
      </c>
      <c r="E579" t="s">
        <v>2723</v>
      </c>
      <c r="F579" t="str">
        <f>CONCATENATE("'",ALUMNOS!H584,"'")</f>
        <v>'CONTRERAS SANCHEZ TANIA DE LOS ANGELES'</v>
      </c>
      <c r="G579" t="str">
        <f>CONCATENATE("'",ALUMNOS!I584,"'")</f>
        <v>'INGENIERIA AEROESPACIAL'</v>
      </c>
      <c r="H579" t="str">
        <f>CONCATENATE("'",ALUMNOS!J584,"'")</f>
        <v>'4to'</v>
      </c>
      <c r="I579" t="str">
        <f>CONCATENATE("'",ALUMNOS!K584,"'")</f>
        <v>'Femenino'</v>
      </c>
      <c r="J579" t="str">
        <f>CONCATENATE("'",ALUMNOS!L584,"'")</f>
        <v>'Activo'</v>
      </c>
      <c r="K579" t="str">
        <f t="shared" ref="K579:K615" si="37">CONCATENATE(A579,",",B579,",",C579,",",D579,",'",E579,",",F579,",",G579,",",H579,",",UPPER(I579),",",UPPER(J579),",'',0,0,'','ALUMNO'")</f>
        <v>1578,'LICENCIATURA','taniadelosangeles.contrerassanchez','111075','TOMAR DEL SND','CONTRERAS SANCHEZ TANIA DE LOS ANGELES','INGENIERIA AEROESPACIAL','4to','FEMENINO','ACTIVO','',0,0,'','ALUMNO'</v>
      </c>
      <c r="L579" t="str">
        <f t="shared" si="36"/>
        <v>INSERT INTO participantes (id,nivel,correo,matricula,clave,nombre,carrera,grado,sexo,situacion,evaluados,num_evaluados,total_evaluaciones,ultimo_acceso,nivel_acceso) VALUES (1578,'LICENCIATURA','taniadelosangeles.contrerassanchez','111075','TOMAR DEL SND','CONTRERAS SANCHEZ TANIA DE LOS ANGELES','INGENIERIA AEROESPACIAL','4to','FEMENINO','ACTIVO','',0,0,'','ALUMNO');</v>
      </c>
      <c r="M579" t="str">
        <f t="shared" ref="M579:M615" si="38">CONCATENATE("update participantes set correo=",C579," where id=",A579,";")</f>
        <v>update participantes set correo='taniadelosangeles.contrerassanchez' where id=1578;</v>
      </c>
    </row>
    <row r="580" spans="1:13" x14ac:dyDescent="0.25">
      <c r="A580">
        <f t="shared" ref="A580:A615" si="39">A579+1</f>
        <v>1579</v>
      </c>
      <c r="B580" s="3" t="s">
        <v>2103</v>
      </c>
      <c r="C580" t="str">
        <f>CONCATENATE("'",ALUMNOS!E585,"'")</f>
        <v>'tatiana.gallimartinez'</v>
      </c>
      <c r="D580" t="str">
        <f>CONCATENATE(ALUMNOS!F585,"'")</f>
        <v>'111165'</v>
      </c>
      <c r="E580" t="s">
        <v>2723</v>
      </c>
      <c r="F580" t="str">
        <f>CONCATENATE("'",ALUMNOS!H585,"'")</f>
        <v>'GALLI MARTINEZ TATIANA'</v>
      </c>
      <c r="G580" t="str">
        <f>CONCATENATE("'",ALUMNOS!I585,"'")</f>
        <v>'PSICOLOGIA'</v>
      </c>
      <c r="H580" t="str">
        <f>CONCATENATE("'",ALUMNOS!J585,"'")</f>
        <v>'4to'</v>
      </c>
      <c r="I580" t="str">
        <f>CONCATENATE("'",ALUMNOS!K585,"'")</f>
        <v>'Femenino'</v>
      </c>
      <c r="J580" t="str">
        <f>CONCATENATE("'",ALUMNOS!L585,"'")</f>
        <v>'Activo'</v>
      </c>
      <c r="K580" t="str">
        <f t="shared" si="37"/>
        <v>1579,'LICENCIATURA','tatiana.gallimartinez','111165','TOMAR DEL SND','GALLI MARTINEZ TATIANA','PSICOLOGIA','4to','FEMENINO','ACTIVO','',0,0,'','ALUMNO'</v>
      </c>
      <c r="L580" t="str">
        <f t="shared" si="36"/>
        <v>INSERT INTO participantes (id,nivel,correo,matricula,clave,nombre,carrera,grado,sexo,situacion,evaluados,num_evaluados,total_evaluaciones,ultimo_acceso,nivel_acceso) VALUES (1579,'LICENCIATURA','tatiana.gallimartinez','111165','TOMAR DEL SND','GALLI MARTINEZ TATIANA','PSICOLOGIA','4to','FEMENINO','ACTIVO','',0,0,'','ALUMNO');</v>
      </c>
      <c r="M580" t="str">
        <f t="shared" si="38"/>
        <v>update participantes set correo='tatiana.gallimartinez' where id=1579;</v>
      </c>
    </row>
    <row r="581" spans="1:13" x14ac:dyDescent="0.25">
      <c r="A581">
        <f t="shared" si="39"/>
        <v>1580</v>
      </c>
      <c r="B581" s="3" t="s">
        <v>2103</v>
      </c>
      <c r="C581" t="str">
        <f>CONCATENATE("'",ALUMNOS!E586,"'")</f>
        <v>'ulisesjosell.gonzalezlopez'</v>
      </c>
      <c r="D581" t="str">
        <f>CONCATENATE(ALUMNOS!F586,"'")</f>
        <v>'110667'</v>
      </c>
      <c r="E581" t="s">
        <v>2723</v>
      </c>
      <c r="F581" t="str">
        <f>CONCATENATE("'",ALUMNOS!H586,"'")</f>
        <v>'GONZALEZ LOPEZ ULISES JOSELL'</v>
      </c>
      <c r="G581" t="str">
        <f>CONCATENATE("'",ALUMNOS!I586,"'")</f>
        <v>'INGENIERIA CIBERNETICA Y EN SISTEMAS COMPUTACIONALES'</v>
      </c>
      <c r="H581" t="str">
        <f>CONCATENATE("'",ALUMNOS!J586,"'")</f>
        <v>'6to'</v>
      </c>
      <c r="I581" t="str">
        <f>CONCATENATE("'",ALUMNOS!K586,"'")</f>
        <v>'Masculino'</v>
      </c>
      <c r="J581" t="str">
        <f>CONCATENATE("'",ALUMNOS!L586,"'")</f>
        <v>'Activo'</v>
      </c>
      <c r="K581" t="str">
        <f t="shared" si="37"/>
        <v>1580,'LICENCIATURA','ulisesjosell.gonzalezlopez','110667','TOMAR DEL SND','GONZALEZ LOPEZ ULISES JOSELL','INGENIERIA CIBERNETICA Y EN SISTEMAS COMPUTACIONALES','6to','MASCULINO','ACTIVO','',0,0,'','ALUMNO'</v>
      </c>
      <c r="L581" t="str">
        <f t="shared" si="36"/>
        <v>INSERT INTO participantes (id,nivel,correo,matricula,clave,nombre,carrera,grado,sexo,situacion,evaluados,num_evaluados,total_evaluaciones,ultimo_acceso,nivel_acceso) VALUES (1580,'LICENCIATURA','ulisesjosell.gonzalezlopez','110667','TOMAR DEL SND','GONZALEZ LOPEZ ULISES JOSELL','INGENIERIA CIBERNETICA Y EN SISTEMAS COMPUTACIONALES','6to','MASCULINO','ACTIVO','',0,0,'','ALUMNO');</v>
      </c>
      <c r="M581" t="str">
        <f t="shared" si="38"/>
        <v>update participantes set correo='ulisesjosell.gonzalezlopez' where id=1580;</v>
      </c>
    </row>
    <row r="582" spans="1:13" x14ac:dyDescent="0.25">
      <c r="A582">
        <f t="shared" si="39"/>
        <v>1581</v>
      </c>
      <c r="B582" s="3" t="s">
        <v>2103</v>
      </c>
      <c r="C582" t="str">
        <f>CONCATENATE("'",ALUMNOS!E587,"'")</f>
        <v>'valentina.escalanteramirez'</v>
      </c>
      <c r="D582" t="str">
        <f>CONCATENATE(ALUMNOS!F587,"'")</f>
        <v>'111664'</v>
      </c>
      <c r="E582" t="s">
        <v>2723</v>
      </c>
      <c r="F582" t="str">
        <f>CONCATENATE("'",ALUMNOS!H587,"'")</f>
        <v>'ESCALANTE RAMIREZ VALENTINA'</v>
      </c>
      <c r="G582" t="str">
        <f>CONCATENATE("'",ALUMNOS!I587,"'")</f>
        <v>'INGENIERIA AEROESPACIAL'</v>
      </c>
      <c r="H582" t="str">
        <f>CONCATENATE("'",ALUMNOS!J587,"'")</f>
        <v>'2do'</v>
      </c>
      <c r="I582" t="str">
        <f>CONCATENATE("'",ALUMNOS!K587,"'")</f>
        <v>'Femenino'</v>
      </c>
      <c r="J582" t="str">
        <f>CONCATENATE("'",ALUMNOS!L587,"'")</f>
        <v>'Activo'</v>
      </c>
      <c r="K582" t="str">
        <f t="shared" si="37"/>
        <v>1581,'LICENCIATURA','valentina.escalanteramirez','111664','TOMAR DEL SND','ESCALANTE RAMIREZ VALENTINA','INGENIERIA AEROESPACIAL','2do','FEMENINO','ACTIVO','',0,0,'','ALUMNO'</v>
      </c>
      <c r="L582" t="str">
        <f t="shared" si="36"/>
        <v>INSERT INTO participantes (id,nivel,correo,matricula,clave,nombre,carrera,grado,sexo,situacion,evaluados,num_evaluados,total_evaluaciones,ultimo_acceso,nivel_acceso) VALUES (1581,'LICENCIATURA','valentina.escalanteramirez','111664','TOMAR DEL SND','ESCALANTE RAMIREZ VALENTINA','INGENIERIA AEROESPACIAL','2do','FEMENINO','ACTIVO','',0,0,'','ALUMNO');</v>
      </c>
      <c r="M582" t="str">
        <f t="shared" si="38"/>
        <v>update participantes set correo='valentina.escalanteramirez' where id=1581;</v>
      </c>
    </row>
    <row r="583" spans="1:13" x14ac:dyDescent="0.25">
      <c r="A583">
        <f t="shared" si="39"/>
        <v>1582</v>
      </c>
      <c r="B583" s="3" t="s">
        <v>2103</v>
      </c>
      <c r="C583" t="str">
        <f>CONCATENATE("'",ALUMNOS!E588,"'")</f>
        <v>'valentino.elizaldequintero'</v>
      </c>
      <c r="D583" t="str">
        <f>CONCATENATE(ALUMNOS!F588,"'")</f>
        <v>'111808'</v>
      </c>
      <c r="E583" t="s">
        <v>2723</v>
      </c>
      <c r="F583" t="str">
        <f>CONCATENATE("'",ALUMNOS!H588,"'")</f>
        <v>'ELIZALDE QUINTERO VALENTINO'</v>
      </c>
      <c r="G583" t="str">
        <f>CONCATENATE("'",ALUMNOS!I588,"'")</f>
        <v>'INGENIERIA AEROESPACIAL'</v>
      </c>
      <c r="H583" t="str">
        <f>CONCATENATE("'",ALUMNOS!J588,"'")</f>
        <v>'2do'</v>
      </c>
      <c r="I583" t="str">
        <f>CONCATENATE("'",ALUMNOS!K588,"'")</f>
        <v>'Masculino'</v>
      </c>
      <c r="J583" t="str">
        <f>CONCATENATE("'",ALUMNOS!L588,"'")</f>
        <v>'Activo'</v>
      </c>
      <c r="K583" t="str">
        <f t="shared" si="37"/>
        <v>1582,'LICENCIATURA','valentino.elizaldequintero','111808','TOMAR DEL SND','ELIZALDE QUINTERO VALENTINO','INGENIERIA AEROESPACIAL','2do','MASCULINO','ACTIVO','',0,0,'','ALUMNO'</v>
      </c>
      <c r="L583" t="str">
        <f t="shared" si="36"/>
        <v>INSERT INTO participantes (id,nivel,correo,matricula,clave,nombre,carrera,grado,sexo,situacion,evaluados,num_evaluados,total_evaluaciones,ultimo_acceso,nivel_acceso) VALUES (1582,'LICENCIATURA','valentino.elizaldequintero','111808','TOMAR DEL SND','ELIZALDE QUINTERO VALENTINO','INGENIERIA AEROESPACIAL','2do','MASCULINO','ACTIVO','',0,0,'','ALUMNO');</v>
      </c>
      <c r="M583" t="str">
        <f t="shared" si="38"/>
        <v>update participantes set correo='valentino.elizaldequintero' where id=1582;</v>
      </c>
    </row>
    <row r="584" spans="1:13" x14ac:dyDescent="0.25">
      <c r="A584">
        <f t="shared" si="39"/>
        <v>1583</v>
      </c>
      <c r="B584" s="3" t="s">
        <v>2103</v>
      </c>
      <c r="C584" t="str">
        <f>CONCATENATE("'",ALUMNOS!E589,"'")</f>
        <v>'valeria.alejogonzalez'</v>
      </c>
      <c r="D584" t="str">
        <f>CONCATENATE(ALUMNOS!F589,"'")</f>
        <v>'111238'</v>
      </c>
      <c r="E584" t="s">
        <v>2723</v>
      </c>
      <c r="F584" t="str">
        <f>CONCATENATE("'",ALUMNOS!H589,"'")</f>
        <v>'ALEJO GONZALEZ VALERIA'</v>
      </c>
      <c r="G584" t="str">
        <f>CONCATENATE("'",ALUMNOS!I589,"'")</f>
        <v>'ARQUITECTURA'</v>
      </c>
      <c r="H584" t="str">
        <f>CONCATENATE("'",ALUMNOS!J589,"'")</f>
        <v>'4to'</v>
      </c>
      <c r="I584" t="str">
        <f>CONCATENATE("'",ALUMNOS!K589,"'")</f>
        <v>'Femenino'</v>
      </c>
      <c r="J584" t="str">
        <f>CONCATENATE("'",ALUMNOS!L589,"'")</f>
        <v>'Activo'</v>
      </c>
      <c r="K584" t="str">
        <f t="shared" si="37"/>
        <v>1583,'LICENCIATURA','valeria.alejogonzalez','111238','TOMAR DEL SND','ALEJO GONZALEZ VALERIA','ARQUITECTURA','4to','FEMENINO','ACTIVO','',0,0,'','ALUMNO'</v>
      </c>
      <c r="L584" t="str">
        <f t="shared" si="36"/>
        <v>INSERT INTO participantes (id,nivel,correo,matricula,clave,nombre,carrera,grado,sexo,situacion,evaluados,num_evaluados,total_evaluaciones,ultimo_acceso,nivel_acceso) VALUES (1583,'LICENCIATURA','valeria.alejogonzalez','111238','TOMAR DEL SND','ALEJO GONZALEZ VALERIA','ARQUITECTURA','4to','FEMENINO','ACTIVO','',0,0,'','ALUMNO');</v>
      </c>
      <c r="M584" t="str">
        <f t="shared" si="38"/>
        <v>update participantes set correo='valeria.alejogonzalez' where id=1583;</v>
      </c>
    </row>
    <row r="585" spans="1:13" x14ac:dyDescent="0.25">
      <c r="A585">
        <f t="shared" si="39"/>
        <v>1584</v>
      </c>
      <c r="B585" s="3" t="s">
        <v>2103</v>
      </c>
      <c r="C585" t="str">
        <f>CONCATENATE("'",ALUMNOS!E590,"'")</f>
        <v>'valeria.bañuelosmonteverde'</v>
      </c>
      <c r="D585" t="str">
        <f>CONCATENATE(ALUMNOS!F590,"'")</f>
        <v>'007093'</v>
      </c>
      <c r="E585" t="s">
        <v>2723</v>
      </c>
      <c r="F585" t="str">
        <f>CONCATENATE("'",ALUMNOS!H590,"'")</f>
        <v>'BAÑUELOS MONTEVERDE VALERIA'</v>
      </c>
      <c r="G585" t="str">
        <f>CONCATENATE("'",ALUMNOS!I590,"'")</f>
        <v>'INGENIERIA CIBERNETICA Y EN SISTEMAS COMPUTACIONALES'</v>
      </c>
      <c r="H585" t="str">
        <f>CONCATENATE("'",ALUMNOS!J590,"'")</f>
        <v>'6to'</v>
      </c>
      <c r="I585" t="str">
        <f>CONCATENATE("'",ALUMNOS!K590,"'")</f>
        <v>'Femenino'</v>
      </c>
      <c r="J585" t="str">
        <f>CONCATENATE("'",ALUMNOS!L590,"'")</f>
        <v>'Activo'</v>
      </c>
      <c r="K585" t="str">
        <f t="shared" si="37"/>
        <v>1584,'LICENCIATURA','valeria.bañuelosmonteverde','007093','TOMAR DEL SND','BAÑUELOS MONTEVERDE VALERIA','INGENIERIA CIBERNETICA Y EN SISTEMAS COMPUTACIONALES','6to','FEMENINO','ACTIVO','',0,0,'','ALUMNO'</v>
      </c>
      <c r="L585" t="str">
        <f t="shared" si="36"/>
        <v>INSERT INTO participantes (id,nivel,correo,matricula,clave,nombre,carrera,grado,sexo,situacion,evaluados,num_evaluados,total_evaluaciones,ultimo_acceso,nivel_acceso) VALUES (1584,'LICENCIATURA','valeria.bañuelosmonteverde','007093','TOMAR DEL SND','BAÑUELOS MONTEVERDE VALERIA','INGENIERIA CIBERNETICA Y EN SISTEMAS COMPUTACIONALES','6to','FEMENINO','ACTIVO','',0,0,'','ALUMNO');</v>
      </c>
      <c r="M585" t="str">
        <f t="shared" si="38"/>
        <v>update participantes set correo='valeria.bañuelosmonteverde' where id=1584;</v>
      </c>
    </row>
    <row r="586" spans="1:13" x14ac:dyDescent="0.25">
      <c r="A586">
        <f t="shared" si="39"/>
        <v>1585</v>
      </c>
      <c r="B586" s="3" t="s">
        <v>2103</v>
      </c>
      <c r="C586" t="str">
        <f>CONCATENATE("'",ALUMNOS!E591,"'")</f>
        <v>'valeria.buitronvalencia'</v>
      </c>
      <c r="D586" t="str">
        <f>CONCATENATE(ALUMNOS!F591,"'")</f>
        <v>'111386'</v>
      </c>
      <c r="E586" t="s">
        <v>2723</v>
      </c>
      <c r="F586" t="str">
        <f>CONCATENATE("'",ALUMNOS!H591,"'")</f>
        <v>'BUITRON VALENCIA VALERIA'</v>
      </c>
      <c r="G586" t="str">
        <f>CONCATENATE("'",ALUMNOS!I591,"'")</f>
        <v>'PSICOLOGIA'</v>
      </c>
      <c r="H586" t="str">
        <f>CONCATENATE("'",ALUMNOS!J591,"'")</f>
        <v>'6to'</v>
      </c>
      <c r="I586" t="str">
        <f>CONCATENATE("'",ALUMNOS!K591,"'")</f>
        <v>'Femenino'</v>
      </c>
      <c r="J586" t="str">
        <f>CONCATENATE("'",ALUMNOS!L591,"'")</f>
        <v>'Activo'</v>
      </c>
      <c r="K586" t="str">
        <f t="shared" si="37"/>
        <v>1585,'LICENCIATURA','valeria.buitronvalencia','111386','TOMAR DEL SND','BUITRON VALENCIA VALERIA','PSICOLOGIA','6to','FEMENINO','ACTIVO','',0,0,'','ALUMNO'</v>
      </c>
      <c r="L586" t="str">
        <f t="shared" si="36"/>
        <v>INSERT INTO participantes (id,nivel,correo,matricula,clave,nombre,carrera,grado,sexo,situacion,evaluados,num_evaluados,total_evaluaciones,ultimo_acceso,nivel_acceso) VALUES (1585,'LICENCIATURA','valeria.buitronvalencia','111386','TOMAR DEL SND','BUITRON VALENCIA VALERIA','PSICOLOGIA','6to','FEMENINO','ACTIVO','',0,0,'','ALUMNO');</v>
      </c>
      <c r="M586" t="str">
        <f t="shared" si="38"/>
        <v>update participantes set correo='valeria.buitronvalencia' where id=1585;</v>
      </c>
    </row>
    <row r="587" spans="1:13" x14ac:dyDescent="0.25">
      <c r="A587">
        <f t="shared" si="39"/>
        <v>1586</v>
      </c>
      <c r="B587" s="3" t="s">
        <v>2103</v>
      </c>
      <c r="C587" t="str">
        <f>CONCATENATE("'",ALUMNOS!E592,"'")</f>
        <v>'valeria.castillolopez'</v>
      </c>
      <c r="D587" t="str">
        <f>CONCATENATE(ALUMNOS!F592,"'")</f>
        <v>'111816'</v>
      </c>
      <c r="E587" t="s">
        <v>2723</v>
      </c>
      <c r="F587" t="str">
        <f>CONCATENATE("'",ALUMNOS!H592,"'")</f>
        <v>'CASTILLO LOPEZ VALERIA'</v>
      </c>
      <c r="G587" t="str">
        <f>CONCATENATE("'",ALUMNOS!I592,"'")</f>
        <v>'ADMINISTRACION Y DIRECCION DE NEGOCIOS'</v>
      </c>
      <c r="H587" t="str">
        <f>CONCATENATE("'",ALUMNOS!J592,"'")</f>
        <v>'2do'</v>
      </c>
      <c r="I587" t="str">
        <f>CONCATENATE("'",ALUMNOS!K592,"'")</f>
        <v>'Femenino'</v>
      </c>
      <c r="J587" t="str">
        <f>CONCATENATE("'",ALUMNOS!L592,"'")</f>
        <v>'Activo'</v>
      </c>
      <c r="K587" t="str">
        <f t="shared" si="37"/>
        <v>1586,'LICENCIATURA','valeria.castillolopez','111816','TOMAR DEL SND','CASTILLO LOPEZ VALERIA','ADMINISTRACION Y DIRECCION DE NEGOCIOS','2do','FEMENINO','ACTIVO','',0,0,'','ALUMNO'</v>
      </c>
      <c r="L587" t="str">
        <f t="shared" si="36"/>
        <v>INSERT INTO participantes (id,nivel,correo,matricula,clave,nombre,carrera,grado,sexo,situacion,evaluados,num_evaluados,total_evaluaciones,ultimo_acceso,nivel_acceso) VALUES (1586,'LICENCIATURA','valeria.castillolopez','111816','TOMAR DEL SND','CASTILLO LOPEZ VALERIA','ADMINISTRACION Y DIRECCION DE NEGOCIOS','2do','FEMENINO','ACTIVO','',0,0,'','ALUMNO');</v>
      </c>
      <c r="M587" t="str">
        <f t="shared" si="38"/>
        <v>update participantes set correo='valeria.castillolopez' where id=1586;</v>
      </c>
    </row>
    <row r="588" spans="1:13" x14ac:dyDescent="0.25">
      <c r="A588">
        <f t="shared" si="39"/>
        <v>1587</v>
      </c>
      <c r="B588" s="3" t="s">
        <v>2103</v>
      </c>
      <c r="C588" t="str">
        <f>CONCATENATE("'",ALUMNOS!E593,"'")</f>
        <v>'valeria.galloaceves'</v>
      </c>
      <c r="D588" t="str">
        <f>CONCATENATE(ALUMNOS!F593,"'")</f>
        <v>'110630'</v>
      </c>
      <c r="E588" t="s">
        <v>2723</v>
      </c>
      <c r="F588" t="str">
        <f>CONCATENATE("'",ALUMNOS!H593,"'")</f>
        <v>'GALLO ACEVES VALERIA'</v>
      </c>
      <c r="G588" t="str">
        <f>CONCATENATE("'",ALUMNOS!I593,"'")</f>
        <v>'DERECHO'</v>
      </c>
      <c r="H588" t="str">
        <f>CONCATENATE("'",ALUMNOS!J593,"'")</f>
        <v>'6to'</v>
      </c>
      <c r="I588" t="str">
        <f>CONCATENATE("'",ALUMNOS!K593,"'")</f>
        <v>'Femenino'</v>
      </c>
      <c r="J588" t="str">
        <f>CONCATENATE("'",ALUMNOS!L593,"'")</f>
        <v>'Activo'</v>
      </c>
      <c r="K588" t="str">
        <f t="shared" si="37"/>
        <v>1587,'LICENCIATURA','valeria.galloaceves','110630','TOMAR DEL SND','GALLO ACEVES VALERIA','DERECHO','6to','FEMENINO','ACTIVO','',0,0,'','ALUMNO'</v>
      </c>
      <c r="L588" t="str">
        <f t="shared" si="36"/>
        <v>INSERT INTO participantes (id,nivel,correo,matricula,clave,nombre,carrera,grado,sexo,situacion,evaluados,num_evaluados,total_evaluaciones,ultimo_acceso,nivel_acceso) VALUES (1587,'LICENCIATURA','valeria.galloaceves','110630','TOMAR DEL SND','GALLO ACEVES VALERIA','DERECHO','6to','FEMENINO','ACTIVO','',0,0,'','ALUMNO');</v>
      </c>
      <c r="M588" t="str">
        <f t="shared" si="38"/>
        <v>update participantes set correo='valeria.galloaceves' where id=1587;</v>
      </c>
    </row>
    <row r="589" spans="1:13" x14ac:dyDescent="0.25">
      <c r="A589">
        <f t="shared" si="39"/>
        <v>1588</v>
      </c>
      <c r="B589" s="3" t="s">
        <v>2103</v>
      </c>
      <c r="C589" t="str">
        <f>CONCATENATE("'",ALUMNOS!E594,"'")</f>
        <v>'valeria.galvezdiaz'</v>
      </c>
      <c r="D589" t="str">
        <f>CONCATENATE(ALUMNOS!F594,"'")</f>
        <v>'110458'</v>
      </c>
      <c r="E589" t="s">
        <v>2723</v>
      </c>
      <c r="F589" t="str">
        <f>CONCATENATE("'",ALUMNOS!H594,"'")</f>
        <v>'GALVEZ DIAZ VALERIA'</v>
      </c>
      <c r="G589" t="str">
        <f>CONCATENATE("'",ALUMNOS!I594,"'")</f>
        <v>'INGENIERIA AEROESPACIAL'</v>
      </c>
      <c r="H589" t="str">
        <f>CONCATENATE("'",ALUMNOS!J594,"'")</f>
        <v>'6to'</v>
      </c>
      <c r="I589" t="str">
        <f>CONCATENATE("'",ALUMNOS!K594,"'")</f>
        <v>'Femenino'</v>
      </c>
      <c r="J589" t="str">
        <f>CONCATENATE("'",ALUMNOS!L594,"'")</f>
        <v>'Activo'</v>
      </c>
      <c r="K589" t="str">
        <f t="shared" si="37"/>
        <v>1588,'LICENCIATURA','valeria.galvezdiaz','110458','TOMAR DEL SND','GALVEZ DIAZ VALERIA','INGENIERIA AEROESPACIAL','6to','FEMENINO','ACTIVO','',0,0,'','ALUMNO'</v>
      </c>
      <c r="L589" t="str">
        <f t="shared" si="36"/>
        <v>INSERT INTO participantes (id,nivel,correo,matricula,clave,nombre,carrera,grado,sexo,situacion,evaluados,num_evaluados,total_evaluaciones,ultimo_acceso,nivel_acceso) VALUES (1588,'LICENCIATURA','valeria.galvezdiaz','110458','TOMAR DEL SND','GALVEZ DIAZ VALERIA','INGENIERIA AEROESPACIAL','6to','FEMENINO','ACTIVO','',0,0,'','ALUMNO');</v>
      </c>
      <c r="M589" t="str">
        <f t="shared" si="38"/>
        <v>update participantes set correo='valeria.galvezdiaz' where id=1588;</v>
      </c>
    </row>
    <row r="590" spans="1:13" x14ac:dyDescent="0.25">
      <c r="A590">
        <f t="shared" si="39"/>
        <v>1589</v>
      </c>
      <c r="B590" s="3" t="s">
        <v>2103</v>
      </c>
      <c r="C590" t="str">
        <f>CONCATENATE("'",ALUMNOS!E595,"'")</f>
        <v>'valeria.ortegacano'</v>
      </c>
      <c r="D590" t="str">
        <f>CONCATENATE(ALUMNOS!F595,"'")</f>
        <v>'110624'</v>
      </c>
      <c r="E590" t="s">
        <v>2723</v>
      </c>
      <c r="F590" t="str">
        <f>CONCATENATE("'",ALUMNOS!H595,"'")</f>
        <v>'ORTEGA CANO VALERIA'</v>
      </c>
      <c r="G590" t="str">
        <f>CONCATENATE("'",ALUMNOS!I595,"'")</f>
        <v>'MERCADOTECNIA Y PUBLICIDAD'</v>
      </c>
      <c r="H590" t="str">
        <f>CONCATENATE("'",ALUMNOS!J595,"'")</f>
        <v>'6to'</v>
      </c>
      <c r="I590" t="str">
        <f>CONCATENATE("'",ALUMNOS!K595,"'")</f>
        <v>'Femenino'</v>
      </c>
      <c r="J590" t="str">
        <f>CONCATENATE("'",ALUMNOS!L595,"'")</f>
        <v>'Activo'</v>
      </c>
      <c r="K590" t="str">
        <f t="shared" si="37"/>
        <v>1589,'LICENCIATURA','valeria.ortegacano','110624','TOMAR DEL SND','ORTEGA CANO VALERIA','MERCADOTECNIA Y PUBLICIDAD','6to','FEMENINO','ACTIVO','',0,0,'','ALUMNO'</v>
      </c>
      <c r="L590" t="str">
        <f t="shared" si="36"/>
        <v>INSERT INTO participantes (id,nivel,correo,matricula,clave,nombre,carrera,grado,sexo,situacion,evaluados,num_evaluados,total_evaluaciones,ultimo_acceso,nivel_acceso) VALUES (1589,'LICENCIATURA','valeria.ortegacano','110624','TOMAR DEL SND','ORTEGA CANO VALERIA','MERCADOTECNIA Y PUBLICIDAD','6to','FEMENINO','ACTIVO','',0,0,'','ALUMNO');</v>
      </c>
      <c r="M590" t="str">
        <f t="shared" si="38"/>
        <v>update participantes set correo='valeria.ortegacano' where id=1589;</v>
      </c>
    </row>
    <row r="591" spans="1:13" x14ac:dyDescent="0.25">
      <c r="A591">
        <f t="shared" si="39"/>
        <v>1590</v>
      </c>
      <c r="B591" s="3" t="s">
        <v>2103</v>
      </c>
      <c r="C591" t="str">
        <f>CONCATENATE("'",ALUMNOS!E596,"'")</f>
        <v>'valeria.torresfarias'</v>
      </c>
      <c r="D591" t="str">
        <f>CONCATENATE(ALUMNOS!F596,"'")</f>
        <v>'111785'</v>
      </c>
      <c r="E591" t="s">
        <v>2723</v>
      </c>
      <c r="F591" t="str">
        <f>CONCATENATE("'",ALUMNOS!H596,"'")</f>
        <v>'TORRES FARIAS VALERIA'</v>
      </c>
      <c r="G591" t="str">
        <f>CONCATENATE("'",ALUMNOS!I596,"'")</f>
        <v>'ANIMACION DIGITAL Y VIDEOJUEGOS'</v>
      </c>
      <c r="H591" t="str">
        <f>CONCATENATE("'",ALUMNOS!J596,"'")</f>
        <v>'2do'</v>
      </c>
      <c r="I591" t="str">
        <f>CONCATENATE("'",ALUMNOS!K596,"'")</f>
        <v>'Femenino'</v>
      </c>
      <c r="J591" t="str">
        <f>CONCATENATE("'",ALUMNOS!L596,"'")</f>
        <v>'Activo'</v>
      </c>
      <c r="K591" t="str">
        <f t="shared" si="37"/>
        <v>1590,'LICENCIATURA','valeria.torresfarias','111785','TOMAR DEL SND','TORRES FARIAS VALERIA','ANIMACION DIGITAL Y VIDEOJUEGOS','2do','FEMENINO','ACTIVO','',0,0,'','ALUMNO'</v>
      </c>
      <c r="L591" t="str">
        <f t="shared" si="36"/>
        <v>INSERT INTO participantes (id,nivel,correo,matricula,clave,nombre,carrera,grado,sexo,situacion,evaluados,num_evaluados,total_evaluaciones,ultimo_acceso,nivel_acceso) VALUES (1590,'LICENCIATURA','valeria.torresfarias','111785','TOMAR DEL SND','TORRES FARIAS VALERIA','ANIMACION DIGITAL Y VIDEOJUEGOS','2do','FEMENINO','ACTIVO','',0,0,'','ALUMNO');</v>
      </c>
      <c r="M591" t="str">
        <f t="shared" si="38"/>
        <v>update participantes set correo='valeria.torresfarias' where id=1590;</v>
      </c>
    </row>
    <row r="592" spans="1:13" x14ac:dyDescent="0.25">
      <c r="A592">
        <f t="shared" si="39"/>
        <v>1591</v>
      </c>
      <c r="B592" s="3" t="s">
        <v>2103</v>
      </c>
      <c r="C592" t="str">
        <f>CONCATENATE("'",ALUMNOS!E597,"'")</f>
        <v>'valeriaalejandra.estradagil'</v>
      </c>
      <c r="D592" t="str">
        <f>CONCATENATE(ALUMNOS!F597,"'")</f>
        <v>'111778'</v>
      </c>
      <c r="E592" t="s">
        <v>2723</v>
      </c>
      <c r="F592" t="str">
        <f>CONCATENATE("'",ALUMNOS!H597,"'")</f>
        <v>'ESTRADA GIL VALERIA ALEJANDRA'</v>
      </c>
      <c r="G592" t="str">
        <f>CONCATENATE("'",ALUMNOS!I597,"'")</f>
        <v>'ADMINISTRACION Y DIRECCION DE NEGOCIOS'</v>
      </c>
      <c r="H592" t="str">
        <f>CONCATENATE("'",ALUMNOS!J597,"'")</f>
        <v>'2do'</v>
      </c>
      <c r="I592" t="str">
        <f>CONCATENATE("'",ALUMNOS!K597,"'")</f>
        <v>'Femenino'</v>
      </c>
      <c r="J592" t="str">
        <f>CONCATENATE("'",ALUMNOS!L597,"'")</f>
        <v>'Activo'</v>
      </c>
      <c r="K592" t="str">
        <f t="shared" si="37"/>
        <v>1591,'LICENCIATURA','valeriaalejandra.estradagil','111778','TOMAR DEL SND','ESTRADA GIL VALERIA ALEJANDRA','ADMINISTRACION Y DIRECCION DE NEGOCIOS','2do','FEMENINO','ACTIVO','',0,0,'','ALUMNO'</v>
      </c>
      <c r="L592" t="str">
        <f t="shared" si="36"/>
        <v>INSERT INTO participantes (id,nivel,correo,matricula,clave,nombre,carrera,grado,sexo,situacion,evaluados,num_evaluados,total_evaluaciones,ultimo_acceso,nivel_acceso) VALUES (1591,'LICENCIATURA','valeriaalejandra.estradagil','111778','TOMAR DEL SND','ESTRADA GIL VALERIA ALEJANDRA','ADMINISTRACION Y DIRECCION DE NEGOCIOS','2do','FEMENINO','ACTIVO','',0,0,'','ALUMNO');</v>
      </c>
      <c r="M592" t="str">
        <f t="shared" si="38"/>
        <v>update participantes set correo='valeriaalejandra.estradagil' where id=1591;</v>
      </c>
    </row>
    <row r="593" spans="1:13" x14ac:dyDescent="0.25">
      <c r="A593">
        <f t="shared" si="39"/>
        <v>1592</v>
      </c>
      <c r="B593" s="3" t="s">
        <v>2103</v>
      </c>
      <c r="C593" t="str">
        <f>CONCATENATE("'",ALUMNOS!E598,"'")</f>
        <v>'valeriaestefania.velezramirez'</v>
      </c>
      <c r="D593" t="str">
        <f>CONCATENATE(ALUMNOS!F598,"'")</f>
        <v>'111683'</v>
      </c>
      <c r="E593" t="s">
        <v>2723</v>
      </c>
      <c r="F593" t="str">
        <f>CONCATENATE("'",ALUMNOS!H598,"'")</f>
        <v>'VELEZ RAMIREZ VALERIA ESTEFANIA'</v>
      </c>
      <c r="G593" t="str">
        <f>CONCATENATE("'",ALUMNOS!I598,"'")</f>
        <v>'INGENIERIA AEROESPACIAL'</v>
      </c>
      <c r="H593" t="str">
        <f>CONCATENATE("'",ALUMNOS!J598,"'")</f>
        <v>'2do'</v>
      </c>
      <c r="I593" t="str">
        <f>CONCATENATE("'",ALUMNOS!K598,"'")</f>
        <v>'Femenino'</v>
      </c>
      <c r="J593" t="str">
        <f>CONCATENATE("'",ALUMNOS!L598,"'")</f>
        <v>'Activo'</v>
      </c>
      <c r="K593" t="str">
        <f t="shared" si="37"/>
        <v>1592,'LICENCIATURA','valeriaestefania.velezramirez','111683','TOMAR DEL SND','VELEZ RAMIREZ VALERIA ESTEFANIA','INGENIERIA AEROESPACIAL','2do','FEMENINO','ACTIVO','',0,0,'','ALUMNO'</v>
      </c>
      <c r="L593" t="str">
        <f t="shared" si="36"/>
        <v>INSERT INTO participantes (id,nivel,correo,matricula,clave,nombre,carrera,grado,sexo,situacion,evaluados,num_evaluados,total_evaluaciones,ultimo_acceso,nivel_acceso) VALUES (1592,'LICENCIATURA','valeriaestefania.velezramirez','111683','TOMAR DEL SND','VELEZ RAMIREZ VALERIA ESTEFANIA','INGENIERIA AEROESPACIAL','2do','FEMENINO','ACTIVO','',0,0,'','ALUMNO');</v>
      </c>
      <c r="M593" t="str">
        <f t="shared" si="38"/>
        <v>update participantes set correo='valeriaestefania.velezramirez' where id=1592;</v>
      </c>
    </row>
    <row r="594" spans="1:13" x14ac:dyDescent="0.25">
      <c r="A594">
        <f t="shared" si="39"/>
        <v>1593</v>
      </c>
      <c r="B594" s="3" t="s">
        <v>2103</v>
      </c>
      <c r="C594" t="str">
        <f>CONCATENATE("'",ALUMNOS!E599,"'")</f>
        <v>'valeriafernanda.casillascastellanos'</v>
      </c>
      <c r="D594" t="str">
        <f>CONCATENATE(ALUMNOS!F599,"'")</f>
        <v>'109873'</v>
      </c>
      <c r="E594" t="s">
        <v>2723</v>
      </c>
      <c r="F594" t="str">
        <f>CONCATENATE("'",ALUMNOS!H599,"'")</f>
        <v>'CASILLAS CASTELLANOS VALERIA FERNANDA'</v>
      </c>
      <c r="G594" t="str">
        <f>CONCATENATE("'",ALUMNOS!I599,"'")</f>
        <v>'NUTRICION Y GASTRONOMIA'</v>
      </c>
      <c r="H594" t="str">
        <f>CONCATENATE("'",ALUMNOS!J599,"'")</f>
        <v>'8vo'</v>
      </c>
      <c r="I594" t="str">
        <f>CONCATENATE("'",ALUMNOS!K599,"'")</f>
        <v>'Femenino'</v>
      </c>
      <c r="J594" t="str">
        <f>CONCATENATE("'",ALUMNOS!L599,"'")</f>
        <v>'Activo'</v>
      </c>
      <c r="K594" t="str">
        <f t="shared" si="37"/>
        <v>1593,'LICENCIATURA','valeriafernanda.casillascastellanos','109873','TOMAR DEL SND','CASILLAS CASTELLANOS VALERIA FERNANDA','NUTRICION Y GASTRONOMIA','8vo','FEMENINO','ACTIVO','',0,0,'','ALUMNO'</v>
      </c>
      <c r="L594" t="str">
        <f t="shared" si="36"/>
        <v>INSERT INTO participantes (id,nivel,correo,matricula,clave,nombre,carrera,grado,sexo,situacion,evaluados,num_evaluados,total_evaluaciones,ultimo_acceso,nivel_acceso) VALUES (1593,'LICENCIATURA','valeriafernanda.casillascastellanos','109873','TOMAR DEL SND','CASILLAS CASTELLANOS VALERIA FERNANDA','NUTRICION Y GASTRONOMIA','8vo','FEMENINO','ACTIVO','',0,0,'','ALUMNO');</v>
      </c>
      <c r="M594" t="str">
        <f t="shared" si="38"/>
        <v>update participantes set correo='valeriafernanda.casillascastellanos' where id=1593;</v>
      </c>
    </row>
    <row r="595" spans="1:13" x14ac:dyDescent="0.25">
      <c r="A595">
        <f t="shared" si="39"/>
        <v>1594</v>
      </c>
      <c r="B595" s="3" t="s">
        <v>2103</v>
      </c>
      <c r="C595" t="str">
        <f>CONCATENATE("'",ALUMNOS!E600,"'")</f>
        <v>'valeriasofia.ochoareyes'</v>
      </c>
      <c r="D595" t="str">
        <f>CONCATENATE(ALUMNOS!F600,"'")</f>
        <v>'111680'</v>
      </c>
      <c r="E595" t="s">
        <v>2723</v>
      </c>
      <c r="F595" t="str">
        <f>CONCATENATE("'",ALUMNOS!H600,"'")</f>
        <v>'OCHOA REYES VALERIA SOFIA'</v>
      </c>
      <c r="G595" t="str">
        <f>CONCATENATE("'",ALUMNOS!I600,"'")</f>
        <v>'INGENIERIA AEROESPACIAL'</v>
      </c>
      <c r="H595" t="str">
        <f>CONCATENATE("'",ALUMNOS!J600,"'")</f>
        <v>'2do'</v>
      </c>
      <c r="I595" t="str">
        <f>CONCATENATE("'",ALUMNOS!K600,"'")</f>
        <v>'Femenino'</v>
      </c>
      <c r="J595" t="str">
        <f>CONCATENATE("'",ALUMNOS!L600,"'")</f>
        <v>'Activo'</v>
      </c>
      <c r="K595" t="str">
        <f t="shared" si="37"/>
        <v>1594,'LICENCIATURA','valeriasofia.ochoareyes','111680','TOMAR DEL SND','OCHOA REYES VALERIA SOFIA','INGENIERIA AEROESPACIAL','2do','FEMENINO','ACTIVO','',0,0,'','ALUMNO'</v>
      </c>
      <c r="L595" t="str">
        <f t="shared" si="36"/>
        <v>INSERT INTO participantes (id,nivel,correo,matricula,clave,nombre,carrera,grado,sexo,situacion,evaluados,num_evaluados,total_evaluaciones,ultimo_acceso,nivel_acceso) VALUES (1594,'LICENCIATURA','valeriasofia.ochoareyes','111680','TOMAR DEL SND','OCHOA REYES VALERIA SOFIA','INGENIERIA AEROESPACIAL','2do','FEMENINO','ACTIVO','',0,0,'','ALUMNO');</v>
      </c>
      <c r="M595" t="str">
        <f t="shared" si="38"/>
        <v>update participantes set correo='valeriasofia.ochoareyes' where id=1594;</v>
      </c>
    </row>
    <row r="596" spans="1:13" x14ac:dyDescent="0.25">
      <c r="A596">
        <f t="shared" si="39"/>
        <v>1595</v>
      </c>
      <c r="B596" s="3" t="s">
        <v>2103</v>
      </c>
      <c r="C596" t="str">
        <f>CONCATENATE("'",ALUMNOS!E601,"'")</f>
        <v>'veronicavianney.galvansanchez'</v>
      </c>
      <c r="D596" t="str">
        <f>CONCATENATE(ALUMNOS!F601,"'")</f>
        <v>'109687'</v>
      </c>
      <c r="E596" t="s">
        <v>2723</v>
      </c>
      <c r="F596" t="str">
        <f>CONCATENATE("'",ALUMNOS!H601,"'")</f>
        <v>'GALVAN SANCHEZ VERONICA VIANNEY'</v>
      </c>
      <c r="G596" t="str">
        <f>CONCATENATE("'",ALUMNOS!I601,"'")</f>
        <v>'INGENIERIA AEROESPACIAL'</v>
      </c>
      <c r="H596" t="str">
        <f>CONCATENATE("'",ALUMNOS!J601,"'")</f>
        <v>'10mo'</v>
      </c>
      <c r="I596" t="str">
        <f>CONCATENATE("'",ALUMNOS!K601,"'")</f>
        <v>'Femenino'</v>
      </c>
      <c r="J596" t="str">
        <f>CONCATENATE("'",ALUMNOS!L601,"'")</f>
        <v>'Activo'</v>
      </c>
      <c r="K596" t="str">
        <f t="shared" si="37"/>
        <v>1595,'LICENCIATURA','veronicavianney.galvansanchez','109687','TOMAR DEL SND','GALVAN SANCHEZ VERONICA VIANNEY','INGENIERIA AEROESPACIAL','10mo','FEMENINO','ACTIVO','',0,0,'','ALUMNO'</v>
      </c>
      <c r="L596" t="str">
        <f t="shared" si="36"/>
        <v>INSERT INTO participantes (id,nivel,correo,matricula,clave,nombre,carrera,grado,sexo,situacion,evaluados,num_evaluados,total_evaluaciones,ultimo_acceso,nivel_acceso) VALUES (1595,'LICENCIATURA','veronicavianney.galvansanchez','109687','TOMAR DEL SND','GALVAN SANCHEZ VERONICA VIANNEY','INGENIERIA AEROESPACIAL','10mo','FEMENINO','ACTIVO','',0,0,'','ALUMNO');</v>
      </c>
      <c r="M596" t="str">
        <f t="shared" si="38"/>
        <v>update participantes set correo='veronicavianney.galvansanchez' where id=1595;</v>
      </c>
    </row>
    <row r="597" spans="1:13" x14ac:dyDescent="0.25">
      <c r="A597">
        <f t="shared" si="39"/>
        <v>1596</v>
      </c>
      <c r="B597" s="3" t="s">
        <v>2103</v>
      </c>
      <c r="C597" t="str">
        <f>CONCATENATE("'",ALUMNOS!E602,"'")</f>
        <v>'victorhugo.francomendez'</v>
      </c>
      <c r="D597" t="str">
        <f>CONCATENATE(ALUMNOS!F602,"'")</f>
        <v>'111030'</v>
      </c>
      <c r="E597" t="s">
        <v>2723</v>
      </c>
      <c r="F597" t="str">
        <f>CONCATENATE("'",ALUMNOS!H602,"'")</f>
        <v>'FRANCO MENDEZ VICTOR HUGO'</v>
      </c>
      <c r="G597" t="str">
        <f>CONCATENATE("'",ALUMNOS!I602,"'")</f>
        <v>'PSICOLOGIA'</v>
      </c>
      <c r="H597" t="str">
        <f>CONCATENATE("'",ALUMNOS!J602,"'")</f>
        <v>'4to'</v>
      </c>
      <c r="I597" t="str">
        <f>CONCATENATE("'",ALUMNOS!K602,"'")</f>
        <v>'Masculino'</v>
      </c>
      <c r="J597" t="str">
        <f>CONCATENATE("'",ALUMNOS!L602,"'")</f>
        <v>'Activo'</v>
      </c>
      <c r="K597" t="str">
        <f t="shared" si="37"/>
        <v>1596,'LICENCIATURA','victorhugo.francomendez','111030','TOMAR DEL SND','FRANCO MENDEZ VICTOR HUGO','PSICOLOGIA','4to','MASCULINO','ACTIVO','',0,0,'','ALUMNO'</v>
      </c>
      <c r="L597" t="str">
        <f t="shared" si="36"/>
        <v>INSERT INTO participantes (id,nivel,correo,matricula,clave,nombre,carrera,grado,sexo,situacion,evaluados,num_evaluados,total_evaluaciones,ultimo_acceso,nivel_acceso) VALUES (1596,'LICENCIATURA','victorhugo.francomendez','111030','TOMAR DEL SND','FRANCO MENDEZ VICTOR HUGO','PSICOLOGIA','4to','MASCULINO','ACTIVO','',0,0,'','ALUMNO');</v>
      </c>
      <c r="M597" t="str">
        <f t="shared" si="38"/>
        <v>update participantes set correo='victorhugo.francomendez' where id=1596;</v>
      </c>
    </row>
    <row r="598" spans="1:13" x14ac:dyDescent="0.25">
      <c r="A598">
        <f t="shared" si="39"/>
        <v>1597</v>
      </c>
      <c r="B598" s="3" t="s">
        <v>2103</v>
      </c>
      <c r="C598" t="str">
        <f>CONCATENATE("'",ALUMNOS!E603,"'")</f>
        <v>'victormanuel.cervantespanduro'</v>
      </c>
      <c r="D598" t="str">
        <f>CONCATENATE(ALUMNOS!F603,"'")</f>
        <v>'111166'</v>
      </c>
      <c r="E598" t="s">
        <v>2723</v>
      </c>
      <c r="F598" t="str">
        <f>CONCATENATE("'",ALUMNOS!H603,"'")</f>
        <v>'CERVANTES PANDURO VICTOR MANUEL'</v>
      </c>
      <c r="G598" t="str">
        <f>CONCATENATE("'",ALUMNOS!I603,"'")</f>
        <v>'PSICOLOGIA'</v>
      </c>
      <c r="H598" t="str">
        <f>CONCATENATE("'",ALUMNOS!J603,"'")</f>
        <v>'4to'</v>
      </c>
      <c r="I598" t="str">
        <f>CONCATENATE("'",ALUMNOS!K603,"'")</f>
        <v>'Masculino'</v>
      </c>
      <c r="J598" t="str">
        <f>CONCATENATE("'",ALUMNOS!L603,"'")</f>
        <v>'Activo'</v>
      </c>
      <c r="K598" t="str">
        <f t="shared" si="37"/>
        <v>1597,'LICENCIATURA','victormanuel.cervantespanduro','111166','TOMAR DEL SND','CERVANTES PANDURO VICTOR MANUEL','PSICOLOGIA','4to','MASCULINO','ACTIVO','',0,0,'','ALUMNO'</v>
      </c>
      <c r="L598" t="str">
        <f t="shared" si="36"/>
        <v>INSERT INTO participantes (id,nivel,correo,matricula,clave,nombre,carrera,grado,sexo,situacion,evaluados,num_evaluados,total_evaluaciones,ultimo_acceso,nivel_acceso) VALUES (1597,'LICENCIATURA','victormanuel.cervantespanduro','111166','TOMAR DEL SND','CERVANTES PANDURO VICTOR MANUEL','PSICOLOGIA','4to','MASCULINO','ACTIVO','',0,0,'','ALUMNO');</v>
      </c>
      <c r="M598" t="str">
        <f t="shared" si="38"/>
        <v>update participantes set correo='victormanuel.cervantespanduro' where id=1597;</v>
      </c>
    </row>
    <row r="599" spans="1:13" x14ac:dyDescent="0.25">
      <c r="A599">
        <f t="shared" si="39"/>
        <v>1598</v>
      </c>
      <c r="B599" s="3" t="s">
        <v>2103</v>
      </c>
      <c r="C599" t="str">
        <f>CONCATENATE("'",ALUMNOS!E604,"'")</f>
        <v>'victormanuel.martinezvazquez'</v>
      </c>
      <c r="D599" t="str">
        <f>CONCATENATE(ALUMNOS!F604,"'")</f>
        <v>'111071'</v>
      </c>
      <c r="E599" t="s">
        <v>2723</v>
      </c>
      <c r="F599" t="str">
        <f>CONCATENATE("'",ALUMNOS!H604,"'")</f>
        <v>'MARTINEZ VAZQUEZ VICTOR MANUEL'</v>
      </c>
      <c r="G599" t="str">
        <f>CONCATENATE("'",ALUMNOS!I604,"'")</f>
        <v>'ANIMACION DIGITAL Y VIDEOJUEGOS'</v>
      </c>
      <c r="H599" t="str">
        <f>CONCATENATE("'",ALUMNOS!J604,"'")</f>
        <v>'4to'</v>
      </c>
      <c r="I599" t="str">
        <f>CONCATENATE("'",ALUMNOS!K604,"'")</f>
        <v>'Masculino'</v>
      </c>
      <c r="J599" t="str">
        <f>CONCATENATE("'",ALUMNOS!L604,"'")</f>
        <v>'Activo'</v>
      </c>
      <c r="K599" t="str">
        <f t="shared" si="37"/>
        <v>1598,'LICENCIATURA','victormanuel.martinezvazquez','111071','TOMAR DEL SND','MARTINEZ VAZQUEZ VICTOR MANUEL','ANIMACION DIGITAL Y VIDEOJUEGOS','4to','MASCULINO','ACTIVO','',0,0,'','ALUMNO'</v>
      </c>
      <c r="L599" t="str">
        <f t="shared" si="36"/>
        <v>INSERT INTO participantes (id,nivel,correo,matricula,clave,nombre,carrera,grado,sexo,situacion,evaluados,num_evaluados,total_evaluaciones,ultimo_acceso,nivel_acceso) VALUES (1598,'LICENCIATURA','victormanuel.martinezvazquez','111071','TOMAR DEL SND','MARTINEZ VAZQUEZ VICTOR MANUEL','ANIMACION DIGITAL Y VIDEOJUEGOS','4to','MASCULINO','ACTIVO','',0,0,'','ALUMNO');</v>
      </c>
      <c r="M599" t="str">
        <f t="shared" si="38"/>
        <v>update participantes set correo='victormanuel.martinezvazquez' where id=1598;</v>
      </c>
    </row>
    <row r="600" spans="1:13" x14ac:dyDescent="0.25">
      <c r="A600">
        <f t="shared" si="39"/>
        <v>1599</v>
      </c>
      <c r="B600" s="3" t="s">
        <v>2103</v>
      </c>
      <c r="C600" t="str">
        <f>CONCATENATE("'",ALUMNOS!E605,"'")</f>
        <v>'victoria.guerreroflores'</v>
      </c>
      <c r="D600" t="str">
        <f>CONCATENATE(ALUMNOS!F605,"'")</f>
        <v>'111221'</v>
      </c>
      <c r="E600" t="s">
        <v>2723</v>
      </c>
      <c r="F600" t="str">
        <f>CONCATENATE("'",ALUMNOS!H605,"'")</f>
        <v>'GUERRERO FLORES VICTORIA'</v>
      </c>
      <c r="G600" t="str">
        <f>CONCATENATE("'",ALUMNOS!I605,"'")</f>
        <v>'NUTRICION Y GASTRONOMIA'</v>
      </c>
      <c r="H600" t="str">
        <f>CONCATENATE("'",ALUMNOS!J605,"'")</f>
        <v>'4to'</v>
      </c>
      <c r="I600" t="str">
        <f>CONCATENATE("'",ALUMNOS!K605,"'")</f>
        <v>'Femenino'</v>
      </c>
      <c r="J600" t="str">
        <f>CONCATENATE("'",ALUMNOS!L605,"'")</f>
        <v>'Activo'</v>
      </c>
      <c r="K600" t="str">
        <f t="shared" si="37"/>
        <v>1599,'LICENCIATURA','victoria.guerreroflores','111221','TOMAR DEL SND','GUERRERO FLORES VICTORIA','NUTRICION Y GASTRONOMIA','4to','FEMENINO','ACTIVO','',0,0,'','ALUMNO'</v>
      </c>
      <c r="L600" t="str">
        <f t="shared" si="36"/>
        <v>INSERT INTO participantes (id,nivel,correo,matricula,clave,nombre,carrera,grado,sexo,situacion,evaluados,num_evaluados,total_evaluaciones,ultimo_acceso,nivel_acceso) VALUES (1599,'LICENCIATURA','victoria.guerreroflores','111221','TOMAR DEL SND','GUERRERO FLORES VICTORIA','NUTRICION Y GASTRONOMIA','4to','FEMENINO','ACTIVO','',0,0,'','ALUMNO');</v>
      </c>
      <c r="M600" t="str">
        <f t="shared" si="38"/>
        <v>update participantes set correo='victoria.guerreroflores' where id=1599;</v>
      </c>
    </row>
    <row r="601" spans="1:13" x14ac:dyDescent="0.25">
      <c r="A601">
        <f t="shared" si="39"/>
        <v>1600</v>
      </c>
      <c r="B601" s="3" t="s">
        <v>2103</v>
      </c>
      <c r="C601" t="str">
        <f>CONCATENATE("'",ALUMNOS!E606,"'")</f>
        <v>'victoria.romerogomez'</v>
      </c>
      <c r="D601" t="str">
        <f>CONCATENATE(ALUMNOS!F606,"'")</f>
        <v>'111807'</v>
      </c>
      <c r="E601" t="s">
        <v>2723</v>
      </c>
      <c r="F601" t="str">
        <f>CONCATENATE("'",ALUMNOS!H606,"'")</f>
        <v>'ROMERO GOMEZ VICTORIA'</v>
      </c>
      <c r="G601" t="str">
        <f>CONCATENATE("'",ALUMNOS!I606,"'")</f>
        <v>'NUTRICION Y GASTRONOMIA'</v>
      </c>
      <c r="H601" t="str">
        <f>CONCATENATE("'",ALUMNOS!J606,"'")</f>
        <v>'2do'</v>
      </c>
      <c r="I601" t="str">
        <f>CONCATENATE("'",ALUMNOS!K606,"'")</f>
        <v>'Femenino'</v>
      </c>
      <c r="J601" t="str">
        <f>CONCATENATE("'",ALUMNOS!L606,"'")</f>
        <v>'Activo'</v>
      </c>
      <c r="K601" t="str">
        <f t="shared" si="37"/>
        <v>1600,'LICENCIATURA','victoria.romerogomez','111807','TOMAR DEL SND','ROMERO GOMEZ VICTORIA','NUTRICION Y GASTRONOMIA','2do','FEMENINO','ACTIVO','',0,0,'','ALUMNO'</v>
      </c>
      <c r="L601" t="str">
        <f t="shared" si="36"/>
        <v>INSERT INTO participantes (id,nivel,correo,matricula,clave,nombre,carrera,grado,sexo,situacion,evaluados,num_evaluados,total_evaluaciones,ultimo_acceso,nivel_acceso) VALUES (1600,'LICENCIATURA','victoria.romerogomez','111807','TOMAR DEL SND','ROMERO GOMEZ VICTORIA','NUTRICION Y GASTRONOMIA','2do','FEMENINO','ACTIVO','',0,0,'','ALUMNO');</v>
      </c>
      <c r="M601" t="str">
        <f t="shared" si="38"/>
        <v>update participantes set correo='victoria.romerogomez' where id=1600;</v>
      </c>
    </row>
    <row r="602" spans="1:13" x14ac:dyDescent="0.25">
      <c r="A602">
        <f t="shared" si="39"/>
        <v>1601</v>
      </c>
      <c r="B602" s="3" t="s">
        <v>2103</v>
      </c>
      <c r="C602" t="str">
        <f>CONCATENATE("'",ALUMNOS!E607,"'")</f>
        <v>'wilhelm.stobschinskifranz'</v>
      </c>
      <c r="D602" t="str">
        <f>CONCATENATE(ALUMNOS!F607,"'")</f>
        <v>'007076'</v>
      </c>
      <c r="E602" t="s">
        <v>2723</v>
      </c>
      <c r="F602" t="str">
        <f>CONCATENATE("'",ALUMNOS!H607,"'")</f>
        <v>'STOBSCHINSKI FRANZ WILHELM'</v>
      </c>
      <c r="G602" t="str">
        <f>CONCATENATE("'",ALUMNOS!I607,"'")</f>
        <v>'COMERCIO INTERNACIONAL'</v>
      </c>
      <c r="H602" t="str">
        <f>CONCATENATE("'",ALUMNOS!J607,"'")</f>
        <v>'6to'</v>
      </c>
      <c r="I602" t="str">
        <f>CONCATENATE("'",ALUMNOS!K607,"'")</f>
        <v>'Masculino'</v>
      </c>
      <c r="J602" t="str">
        <f>CONCATENATE("'",ALUMNOS!L607,"'")</f>
        <v>'Activo'</v>
      </c>
      <c r="K602" t="str">
        <f t="shared" si="37"/>
        <v>1601,'LICENCIATURA','wilhelm.stobschinskifranz','007076','TOMAR DEL SND','STOBSCHINSKI FRANZ WILHELM','COMERCIO INTERNACIONAL','6to','MASCULINO','ACTIVO','',0,0,'','ALUMNO'</v>
      </c>
      <c r="L602" t="str">
        <f t="shared" si="36"/>
        <v>INSERT INTO participantes (id,nivel,correo,matricula,clave,nombre,carrera,grado,sexo,situacion,evaluados,num_evaluados,total_evaluaciones,ultimo_acceso,nivel_acceso) VALUES (1601,'LICENCIATURA','wilhelm.stobschinskifranz','007076','TOMAR DEL SND','STOBSCHINSKI FRANZ WILHELM','COMERCIO INTERNACIONAL','6to','MASCULINO','ACTIVO','',0,0,'','ALUMNO');</v>
      </c>
      <c r="M602" t="str">
        <f t="shared" si="38"/>
        <v>update participantes set correo='wilhelm.stobschinskifranz' where id=1601;</v>
      </c>
    </row>
    <row r="603" spans="1:13" x14ac:dyDescent="0.25">
      <c r="A603">
        <f t="shared" si="39"/>
        <v>1602</v>
      </c>
      <c r="B603" s="3" t="s">
        <v>2103</v>
      </c>
      <c r="C603" t="str">
        <f>CONCATENATE("'",ALUMNOS!E608,"'")</f>
        <v>'ximena.cardenasgarcia'</v>
      </c>
      <c r="D603" t="str">
        <f>CONCATENATE(ALUMNOS!F608,"'")</f>
        <v>'110662'</v>
      </c>
      <c r="E603" t="s">
        <v>2723</v>
      </c>
      <c r="F603" t="str">
        <f>CONCATENATE("'",ALUMNOS!H608,"'")</f>
        <v>'CARDENAS GARCIA XIMENA'</v>
      </c>
      <c r="G603" t="str">
        <f>CONCATENATE("'",ALUMNOS!I608,"'")</f>
        <v>'PSICOLOGIA'</v>
      </c>
      <c r="H603" t="str">
        <f>CONCATENATE("'",ALUMNOS!J608,"'")</f>
        <v>'6to'</v>
      </c>
      <c r="I603" t="str">
        <f>CONCATENATE("'",ALUMNOS!K608,"'")</f>
        <v>'Femenino'</v>
      </c>
      <c r="J603" t="str">
        <f>CONCATENATE("'",ALUMNOS!L608,"'")</f>
        <v>'Activo'</v>
      </c>
      <c r="K603" t="str">
        <f t="shared" si="37"/>
        <v>1602,'LICENCIATURA','ximena.cardenasgarcia','110662','TOMAR DEL SND','CARDENAS GARCIA XIMENA','PSICOLOGIA','6to','FEMENINO','ACTIVO','',0,0,'','ALUMNO'</v>
      </c>
      <c r="L603" t="str">
        <f t="shared" si="36"/>
        <v>INSERT INTO participantes (id,nivel,correo,matricula,clave,nombre,carrera,grado,sexo,situacion,evaluados,num_evaluados,total_evaluaciones,ultimo_acceso,nivel_acceso) VALUES (1602,'LICENCIATURA','ximena.cardenasgarcia','110662','TOMAR DEL SND','CARDENAS GARCIA XIMENA','PSICOLOGIA','6to','FEMENINO','ACTIVO','',0,0,'','ALUMNO');</v>
      </c>
      <c r="M603" t="str">
        <f t="shared" si="38"/>
        <v>update participantes set correo='ximena.cardenasgarcia' where id=1602;</v>
      </c>
    </row>
    <row r="604" spans="1:13" x14ac:dyDescent="0.25">
      <c r="A604">
        <f t="shared" si="39"/>
        <v>1603</v>
      </c>
      <c r="B604" s="3" t="s">
        <v>2103</v>
      </c>
      <c r="C604" t="str">
        <f>CONCATENATE("'",ALUMNOS!E609,"'")</f>
        <v>'ximena.covarrubiaslimon'</v>
      </c>
      <c r="D604" t="str">
        <f>CONCATENATE(ALUMNOS!F609,"'")</f>
        <v>'111178'</v>
      </c>
      <c r="E604" t="s">
        <v>2723</v>
      </c>
      <c r="F604" t="str">
        <f>CONCATENATE("'",ALUMNOS!H609,"'")</f>
        <v>'COVARRUBIAS LIMON XIMENA'</v>
      </c>
      <c r="G604" t="str">
        <f>CONCATENATE("'",ALUMNOS!I609,"'")</f>
        <v>'PSICOLOGIA'</v>
      </c>
      <c r="H604" t="str">
        <f>CONCATENATE("'",ALUMNOS!J609,"'")</f>
        <v>'4to'</v>
      </c>
      <c r="I604" t="str">
        <f>CONCATENATE("'",ALUMNOS!K609,"'")</f>
        <v>'Femenino'</v>
      </c>
      <c r="J604" t="str">
        <f>CONCATENATE("'",ALUMNOS!L609,"'")</f>
        <v>'Activo'</v>
      </c>
      <c r="K604" t="str">
        <f t="shared" si="37"/>
        <v>1603,'LICENCIATURA','ximena.covarrubiaslimon','111178','TOMAR DEL SND','COVARRUBIAS LIMON XIMENA','PSICOLOGIA','4to','FEMENINO','ACTIVO','',0,0,'','ALUMNO'</v>
      </c>
      <c r="L604" t="str">
        <f t="shared" si="36"/>
        <v>INSERT INTO participantes (id,nivel,correo,matricula,clave,nombre,carrera,grado,sexo,situacion,evaluados,num_evaluados,total_evaluaciones,ultimo_acceso,nivel_acceso) VALUES (1603,'LICENCIATURA','ximena.covarrubiaslimon','111178','TOMAR DEL SND','COVARRUBIAS LIMON XIMENA','PSICOLOGIA','4to','FEMENINO','ACTIVO','',0,0,'','ALUMNO');</v>
      </c>
      <c r="M604" t="str">
        <f t="shared" si="38"/>
        <v>update participantes set correo='ximena.covarrubiaslimon' where id=1603;</v>
      </c>
    </row>
    <row r="605" spans="1:13" x14ac:dyDescent="0.25">
      <c r="A605">
        <f t="shared" si="39"/>
        <v>1604</v>
      </c>
      <c r="B605" s="3" t="s">
        <v>2103</v>
      </c>
      <c r="C605" t="str">
        <f>CONCATENATE("'",ALUMNOS!E610,"'")</f>
        <v>'ximenamonserrath.padillavazquez'</v>
      </c>
      <c r="D605" t="str">
        <f>CONCATENATE(ALUMNOS!F610,"'")</f>
        <v>'007165'</v>
      </c>
      <c r="E605" t="s">
        <v>2723</v>
      </c>
      <c r="F605" t="str">
        <f>CONCATENATE("'",ALUMNOS!H610,"'")</f>
        <v>'PADILLA VAZQUEZ XIMENA MONSERRATH'</v>
      </c>
      <c r="G605" t="str">
        <f>CONCATENATE("'",ALUMNOS!I610,"'")</f>
        <v>'DISEÑO GRAFICO Y DIGITAL'</v>
      </c>
      <c r="H605" t="str">
        <f>CONCATENATE("'",ALUMNOS!J610,"'")</f>
        <v>'8vo'</v>
      </c>
      <c r="I605" t="str">
        <f>CONCATENATE("'",ALUMNOS!K610,"'")</f>
        <v>'Femenino'</v>
      </c>
      <c r="J605" t="str">
        <f>CONCATENATE("'",ALUMNOS!L610,"'")</f>
        <v>'Activo'</v>
      </c>
      <c r="K605" t="str">
        <f t="shared" si="37"/>
        <v>1604,'LICENCIATURA','ximenamonserrath.padillavazquez','007165','TOMAR DEL SND','PADILLA VAZQUEZ XIMENA MONSERRATH','DISEÑO GRAFICO Y DIGITAL','8vo','FEMENINO','ACTIVO','',0,0,'','ALUMNO'</v>
      </c>
      <c r="L605" t="str">
        <f t="shared" si="36"/>
        <v>INSERT INTO participantes (id,nivel,correo,matricula,clave,nombre,carrera,grado,sexo,situacion,evaluados,num_evaluados,total_evaluaciones,ultimo_acceso,nivel_acceso) VALUES (1604,'LICENCIATURA','ximenamonserrath.padillavazquez','007165','TOMAR DEL SND','PADILLA VAZQUEZ XIMENA MONSERRATH','DISEÑO GRAFICO Y DIGITAL','8vo','FEMENINO','ACTIVO','',0,0,'','ALUMNO');</v>
      </c>
      <c r="M605" t="str">
        <f t="shared" si="38"/>
        <v>update participantes set correo='ximenamonserrath.padillavazquez' where id=1604;</v>
      </c>
    </row>
    <row r="606" spans="1:13" x14ac:dyDescent="0.25">
      <c r="A606">
        <f t="shared" si="39"/>
        <v>1605</v>
      </c>
      <c r="B606" s="3" t="s">
        <v>2103</v>
      </c>
      <c r="C606" t="str">
        <f>CONCATENATE("'",ALUMNOS!E611,"'")</f>
        <v>'yaelalejandro.hernandezgonzalez'</v>
      </c>
      <c r="D606" t="str">
        <f>CONCATENATE(ALUMNOS!F611,"'")</f>
        <v>'110483'</v>
      </c>
      <c r="E606" t="s">
        <v>2723</v>
      </c>
      <c r="F606" t="str">
        <f>CONCATENATE("'",ALUMNOS!H611,"'")</f>
        <v>'HERNANDEZ GONZALEZ YAEL ALEJANDRO'</v>
      </c>
      <c r="G606" t="str">
        <f>CONCATENATE("'",ALUMNOS!I611,"'")</f>
        <v>'COMERCIO INTERNACIONAL'</v>
      </c>
      <c r="H606" t="str">
        <f>CONCATENATE("'",ALUMNOS!J611,"'")</f>
        <v>'6to'</v>
      </c>
      <c r="I606" t="str">
        <f>CONCATENATE("'",ALUMNOS!K611,"'")</f>
        <v>'Masculino'</v>
      </c>
      <c r="J606" t="str">
        <f>CONCATENATE("'",ALUMNOS!L611,"'")</f>
        <v>'Activo'</v>
      </c>
      <c r="K606" t="str">
        <f t="shared" si="37"/>
        <v>1605,'LICENCIATURA','yaelalejandro.hernandezgonzalez','110483','TOMAR DEL SND','HERNANDEZ GONZALEZ YAEL ALEJANDRO','COMERCIO INTERNACIONAL','6to','MASCULINO','ACTIVO','',0,0,'','ALUMNO'</v>
      </c>
      <c r="L606" t="str">
        <f t="shared" si="36"/>
        <v>INSERT INTO participantes (id,nivel,correo,matricula,clave,nombre,carrera,grado,sexo,situacion,evaluados,num_evaluados,total_evaluaciones,ultimo_acceso,nivel_acceso) VALUES (1605,'LICENCIATURA','yaelalejandro.hernandezgonzalez','110483','TOMAR DEL SND','HERNANDEZ GONZALEZ YAEL ALEJANDRO','COMERCIO INTERNACIONAL','6to','MASCULINO','ACTIVO','',0,0,'','ALUMNO');</v>
      </c>
      <c r="M606" t="str">
        <f t="shared" si="38"/>
        <v>update participantes set correo='yaelalejandro.hernandezgonzalez' where id=1605;</v>
      </c>
    </row>
    <row r="607" spans="1:13" x14ac:dyDescent="0.25">
      <c r="A607">
        <f t="shared" si="39"/>
        <v>1606</v>
      </c>
      <c r="B607" s="3" t="s">
        <v>2103</v>
      </c>
      <c r="C607" t="str">
        <f>CONCATENATE("'",ALUMNOS!E612,"'")</f>
        <v>'yaeldejesus.lunasanchez'</v>
      </c>
      <c r="D607" t="str">
        <f>CONCATENATE(ALUMNOS!F612,"'")</f>
        <v>'111679'</v>
      </c>
      <c r="E607" t="s">
        <v>2723</v>
      </c>
      <c r="F607" t="str">
        <f>CONCATENATE("'",ALUMNOS!H612,"'")</f>
        <v>'LUNA SANCHEZ YAEL DE JESUS'</v>
      </c>
      <c r="G607" t="str">
        <f>CONCATENATE("'",ALUMNOS!I612,"'")</f>
        <v>'ANIMACION DIGITAL Y VIDEOJUEGOS'</v>
      </c>
      <c r="H607" t="str">
        <f>CONCATENATE("'",ALUMNOS!J612,"'")</f>
        <v>'2do'</v>
      </c>
      <c r="I607" t="str">
        <f>CONCATENATE("'",ALUMNOS!K612,"'")</f>
        <v>'Masculino'</v>
      </c>
      <c r="J607" t="str">
        <f>CONCATENATE("'",ALUMNOS!L612,"'")</f>
        <v>'Activo'</v>
      </c>
      <c r="K607" t="str">
        <f t="shared" si="37"/>
        <v>1606,'LICENCIATURA','yaeldejesus.lunasanchez','111679','TOMAR DEL SND','LUNA SANCHEZ YAEL DE JESUS','ANIMACION DIGITAL Y VIDEOJUEGOS','2do','MASCULINO','ACTIVO','',0,0,'','ALUMNO'</v>
      </c>
      <c r="L607" t="str">
        <f t="shared" si="36"/>
        <v>INSERT INTO participantes (id,nivel,correo,matricula,clave,nombre,carrera,grado,sexo,situacion,evaluados,num_evaluados,total_evaluaciones,ultimo_acceso,nivel_acceso) VALUES (1606,'LICENCIATURA','yaeldejesus.lunasanchez','111679','TOMAR DEL SND','LUNA SANCHEZ YAEL DE JESUS','ANIMACION DIGITAL Y VIDEOJUEGOS','2do','MASCULINO','ACTIVO','',0,0,'','ALUMNO');</v>
      </c>
      <c r="M607" t="str">
        <f t="shared" si="38"/>
        <v>update participantes set correo='yaeldejesus.lunasanchez' where id=1606;</v>
      </c>
    </row>
    <row r="608" spans="1:13" x14ac:dyDescent="0.25">
      <c r="A608">
        <f t="shared" si="39"/>
        <v>1607</v>
      </c>
      <c r="B608" s="3" t="s">
        <v>2103</v>
      </c>
      <c r="C608" t="str">
        <f>CONCATENATE("'",ALUMNOS!E613,"'")</f>
        <v>'yaeldejesus.medinarodriguez'</v>
      </c>
      <c r="D608" t="str">
        <f>CONCATENATE(ALUMNOS!F613,"'")</f>
        <v>'110448'</v>
      </c>
      <c r="E608" t="s">
        <v>2723</v>
      </c>
      <c r="F608" t="str">
        <f>CONCATENATE("'",ALUMNOS!H613,"'")</f>
        <v>'MEDINA RODRIGUEZ YAEL DE JESUS'</v>
      </c>
      <c r="G608" t="str">
        <f>CONCATENATE("'",ALUMNOS!I613,"'")</f>
        <v>'INGENIERIA AEROESPACIAL'</v>
      </c>
      <c r="H608" t="str">
        <f>CONCATENATE("'",ALUMNOS!J613,"'")</f>
        <v>'6to'</v>
      </c>
      <c r="I608" t="str">
        <f>CONCATENATE("'",ALUMNOS!K613,"'")</f>
        <v>'Masculino'</v>
      </c>
      <c r="J608" t="str">
        <f>CONCATENATE("'",ALUMNOS!L613,"'")</f>
        <v>'Activo'</v>
      </c>
      <c r="K608" t="str">
        <f t="shared" si="37"/>
        <v>1607,'LICENCIATURA','yaeldejesus.medinarodriguez','110448','TOMAR DEL SND','MEDINA RODRIGUEZ YAEL DE JESUS','INGENIERIA AEROESPACIAL','6to','MASCULINO','ACTIVO','',0,0,'','ALUMNO'</v>
      </c>
      <c r="L608" t="str">
        <f t="shared" si="36"/>
        <v>INSERT INTO participantes (id,nivel,correo,matricula,clave,nombre,carrera,grado,sexo,situacion,evaluados,num_evaluados,total_evaluaciones,ultimo_acceso,nivel_acceso) VALUES (1607,'LICENCIATURA','yaeldejesus.medinarodriguez','110448','TOMAR DEL SND','MEDINA RODRIGUEZ YAEL DE JESUS','INGENIERIA AEROESPACIAL','6to','MASCULINO','ACTIVO','',0,0,'','ALUMNO');</v>
      </c>
      <c r="M608" t="str">
        <f t="shared" si="38"/>
        <v>update participantes set correo='yaeldejesus.medinarodriguez' where id=1607;</v>
      </c>
    </row>
    <row r="609" spans="1:13" x14ac:dyDescent="0.25">
      <c r="A609">
        <f t="shared" si="39"/>
        <v>1608</v>
      </c>
      <c r="B609" s="3" t="s">
        <v>2103</v>
      </c>
      <c r="C609" t="str">
        <f>CONCATENATE("'",ALUMNOS!E614,"'")</f>
        <v>'yamilalejandro.garciaibarra'</v>
      </c>
      <c r="D609" t="str">
        <f>CONCATENATE(ALUMNOS!F614,"'")</f>
        <v>'007782'</v>
      </c>
      <c r="E609" t="s">
        <v>2723</v>
      </c>
      <c r="F609" t="str">
        <f>CONCATENATE("'",ALUMNOS!H614,"'")</f>
        <v>'GARCIA IBARRA YAMIL ALEJANDRO'</v>
      </c>
      <c r="G609" t="str">
        <f>CONCATENATE("'",ALUMNOS!I614,"'")</f>
        <v>'INGENIERÍA EN INTELIGENCIA ARTIFICIAL'</v>
      </c>
      <c r="H609" t="str">
        <f>CONCATENATE("'",ALUMNOS!J614,"'")</f>
        <v>'2do'</v>
      </c>
      <c r="I609" t="str">
        <f>CONCATENATE("'",ALUMNOS!K614,"'")</f>
        <v>'Masculino'</v>
      </c>
      <c r="J609" t="str">
        <f>CONCATENATE("'",ALUMNOS!L614,"'")</f>
        <v>'Activo'</v>
      </c>
      <c r="K609" t="str">
        <f t="shared" si="37"/>
        <v>1608,'LICENCIATURA','yamilalejandro.garciaibarra','007782','TOMAR DEL SND','GARCIA IBARRA YAMIL ALEJANDRO','INGENIERÍA EN INTELIGENCIA ARTIFICIAL','2do','MASCULINO','ACTIVO','',0,0,'','ALUMNO'</v>
      </c>
      <c r="L609" t="str">
        <f t="shared" si="36"/>
        <v>INSERT INTO participantes (id,nivel,correo,matricula,clave,nombre,carrera,grado,sexo,situacion,evaluados,num_evaluados,total_evaluaciones,ultimo_acceso,nivel_acceso) VALUES (1608,'LICENCIATURA','yamilalejandro.garciaibarra','007782','TOMAR DEL SND','GARCIA IBARRA YAMIL ALEJANDRO','INGENIERÍA EN INTELIGENCIA ARTIFICIAL','2do','MASCULINO','ACTIVO','',0,0,'','ALUMNO');</v>
      </c>
      <c r="M609" t="str">
        <f t="shared" si="38"/>
        <v>update participantes set correo='yamilalejandro.garciaibarra' where id=1608;</v>
      </c>
    </row>
    <row r="610" spans="1:13" x14ac:dyDescent="0.25">
      <c r="A610">
        <f t="shared" si="39"/>
        <v>1609</v>
      </c>
      <c r="B610" s="3" t="s">
        <v>2103</v>
      </c>
      <c r="C610" t="str">
        <f>CONCATENATE("'",ALUMNOS!E615,"'")</f>
        <v>'yazmingabriela.garciaibarra'</v>
      </c>
      <c r="D610" t="str">
        <f>CONCATENATE(ALUMNOS!F615,"'")</f>
        <v>'110610'</v>
      </c>
      <c r="E610" t="s">
        <v>2723</v>
      </c>
      <c r="F610" t="str">
        <f>CONCATENATE("'",ALUMNOS!H615,"'")</f>
        <v>'GARCIA IBARRA YAZMIN GABRIELA'</v>
      </c>
      <c r="G610" t="str">
        <f>CONCATENATE("'",ALUMNOS!I615,"'")</f>
        <v>'ANIMACION DIGITAL Y VIDEOJUEGOS'</v>
      </c>
      <c r="H610" t="str">
        <f>CONCATENATE("'",ALUMNOS!J615,"'")</f>
        <v>'6to'</v>
      </c>
      <c r="I610" t="str">
        <f>CONCATENATE("'",ALUMNOS!K615,"'")</f>
        <v>'Femenino'</v>
      </c>
      <c r="J610" t="str">
        <f>CONCATENATE("'",ALUMNOS!L615,"'")</f>
        <v>'Activo'</v>
      </c>
      <c r="K610" t="str">
        <f t="shared" si="37"/>
        <v>1609,'LICENCIATURA','yazmingabriela.garciaibarra','110610','TOMAR DEL SND','GARCIA IBARRA YAZMIN GABRIELA','ANIMACION DIGITAL Y VIDEOJUEGOS','6to','FEMENINO','ACTIVO','',0,0,'','ALUMNO'</v>
      </c>
      <c r="L610" t="str">
        <f t="shared" si="36"/>
        <v>INSERT INTO participantes (id,nivel,correo,matricula,clave,nombre,carrera,grado,sexo,situacion,evaluados,num_evaluados,total_evaluaciones,ultimo_acceso,nivel_acceso) VALUES (1609,'LICENCIATURA','yazmingabriela.garciaibarra','110610','TOMAR DEL SND','GARCIA IBARRA YAZMIN GABRIELA','ANIMACION DIGITAL Y VIDEOJUEGOS','6to','FEMENINO','ACTIVO','',0,0,'','ALUMNO');</v>
      </c>
      <c r="M610" t="str">
        <f t="shared" si="38"/>
        <v>update participantes set correo='yazmingabriela.garciaibarra' where id=1609;</v>
      </c>
    </row>
    <row r="611" spans="1:13" x14ac:dyDescent="0.25">
      <c r="A611">
        <f t="shared" si="39"/>
        <v>1610</v>
      </c>
      <c r="B611" s="3" t="s">
        <v>2103</v>
      </c>
      <c r="C611" t="str">
        <f>CONCATENATE("'",ALUMNOS!E616,"'")</f>
        <v>'yerikroberto.renterialozano'</v>
      </c>
      <c r="D611" t="str">
        <f>CONCATENATE(ALUMNOS!F616,"'")</f>
        <v>'109883'</v>
      </c>
      <c r="E611" t="s">
        <v>2723</v>
      </c>
      <c r="F611" t="str">
        <f>CONCATENATE("'",ALUMNOS!H616,"'")</f>
        <v>'RENTERIA LOZANO YERIK ROBERTO'</v>
      </c>
      <c r="G611" t="str">
        <f>CONCATENATE("'",ALUMNOS!I616,"'")</f>
        <v>'ARQUITECTURA'</v>
      </c>
      <c r="H611" t="str">
        <f>CONCATENATE("'",ALUMNOS!J616,"'")</f>
        <v>'8vo'</v>
      </c>
      <c r="I611" t="str">
        <f>CONCATENATE("'",ALUMNOS!K616,"'")</f>
        <v>'Masculino'</v>
      </c>
      <c r="J611" t="str">
        <f>CONCATENATE("'",ALUMNOS!L616,"'")</f>
        <v>'Activo'</v>
      </c>
      <c r="K611" t="str">
        <f t="shared" si="37"/>
        <v>1610,'LICENCIATURA','yerikroberto.renterialozano','109883','TOMAR DEL SND','RENTERIA LOZANO YERIK ROBERTO','ARQUITECTURA','8vo','MASCULINO','ACTIVO','',0,0,'','ALUMNO'</v>
      </c>
      <c r="L611" t="str">
        <f t="shared" si="36"/>
        <v>INSERT INTO participantes (id,nivel,correo,matricula,clave,nombre,carrera,grado,sexo,situacion,evaluados,num_evaluados,total_evaluaciones,ultimo_acceso,nivel_acceso) VALUES (1610,'LICENCIATURA','yerikroberto.renterialozano','109883','TOMAR DEL SND','RENTERIA LOZANO YERIK ROBERTO','ARQUITECTURA','8vo','MASCULINO','ACTIVO','',0,0,'','ALUMNO');</v>
      </c>
      <c r="M611" t="str">
        <f t="shared" si="38"/>
        <v>update participantes set correo='yerikroberto.renterialozano' where id=1610;</v>
      </c>
    </row>
    <row r="612" spans="1:13" x14ac:dyDescent="0.25">
      <c r="A612">
        <f t="shared" si="39"/>
        <v>1611</v>
      </c>
      <c r="B612" s="3" t="s">
        <v>2103</v>
      </c>
      <c r="C612" t="str">
        <f>CONCATENATE("'",ALUMNOS!E617,"'")</f>
        <v>'yesicajaneth.mariaosuna'</v>
      </c>
      <c r="D612" t="str">
        <f>CONCATENATE(ALUMNOS!F617,"'")</f>
        <v>'109965'</v>
      </c>
      <c r="E612" t="s">
        <v>2723</v>
      </c>
      <c r="F612" t="str">
        <f>CONCATENATE("'",ALUMNOS!H617,"'")</f>
        <v>'MARIA OSUNA YESICA JANETH'</v>
      </c>
      <c r="G612" t="str">
        <f>CONCATENATE("'",ALUMNOS!I617,"'")</f>
        <v>'INGENIERIA INDUSTRIAL Y EN SISTEMAS ORGANIZACIONALES'</v>
      </c>
      <c r="H612" t="str">
        <f>CONCATENATE("'",ALUMNOS!J617,"'")</f>
        <v>'8vo'</v>
      </c>
      <c r="I612" t="str">
        <f>CONCATENATE("'",ALUMNOS!K617,"'")</f>
        <v>'Femenino'</v>
      </c>
      <c r="J612" t="str">
        <f>CONCATENATE("'",ALUMNOS!L617,"'")</f>
        <v>'Activo'</v>
      </c>
      <c r="K612" t="str">
        <f t="shared" si="37"/>
        <v>1611,'LICENCIATURA','yesicajaneth.mariaosuna','109965','TOMAR DEL SND','MARIA OSUNA YESICA JANETH','INGENIERIA INDUSTRIAL Y EN SISTEMAS ORGANIZACIONALES','8vo','FEMENINO','ACTIVO','',0,0,'','ALUMNO'</v>
      </c>
      <c r="L612" t="str">
        <f t="shared" si="36"/>
        <v>INSERT INTO participantes (id,nivel,correo,matricula,clave,nombre,carrera,grado,sexo,situacion,evaluados,num_evaluados,total_evaluaciones,ultimo_acceso,nivel_acceso) VALUES (1611,'LICENCIATURA','yesicajaneth.mariaosuna','109965','TOMAR DEL SND','MARIA OSUNA YESICA JANETH','INGENIERIA INDUSTRIAL Y EN SISTEMAS ORGANIZACIONALES','8vo','FEMENINO','ACTIVO','',0,0,'','ALUMNO');</v>
      </c>
      <c r="M612" t="str">
        <f t="shared" si="38"/>
        <v>update participantes set correo='yesicajaneth.mariaosuna' where id=1611;</v>
      </c>
    </row>
    <row r="613" spans="1:13" x14ac:dyDescent="0.25">
      <c r="A613">
        <f t="shared" si="39"/>
        <v>1612</v>
      </c>
      <c r="B613" s="3" t="s">
        <v>2103</v>
      </c>
      <c r="C613" t="str">
        <f>CONCATENATE("'",ALUMNOS!E618,"'")</f>
        <v>'zahidlievich.guillenhernandez'</v>
      </c>
      <c r="D613" t="str">
        <f>CONCATENATE(ALUMNOS!F618,"'")</f>
        <v>'111667'</v>
      </c>
      <c r="E613" t="s">
        <v>2723</v>
      </c>
      <c r="F613" t="str">
        <f>CONCATENATE("'",ALUMNOS!H618,"'")</f>
        <v>'GUILLEN HERNANDEZ ZAHID LIEVICH'</v>
      </c>
      <c r="G613" t="str">
        <f>CONCATENATE("'",ALUMNOS!I618,"'")</f>
        <v>'INGENIERIA AEROESPACIAL'</v>
      </c>
      <c r="H613" t="str">
        <f>CONCATENATE("'",ALUMNOS!J618,"'")</f>
        <v>'2do'</v>
      </c>
      <c r="I613" t="str">
        <f>CONCATENATE("'",ALUMNOS!K618,"'")</f>
        <v>'Masculino'</v>
      </c>
      <c r="J613" t="str">
        <f>CONCATENATE("'",ALUMNOS!L618,"'")</f>
        <v>'Activo'</v>
      </c>
      <c r="K613" t="str">
        <f t="shared" si="37"/>
        <v>1612,'LICENCIATURA','zahidlievich.guillenhernandez','111667','TOMAR DEL SND','GUILLEN HERNANDEZ ZAHID LIEVICH','INGENIERIA AEROESPACIAL','2do','MASCULINO','ACTIVO','',0,0,'','ALUMNO'</v>
      </c>
      <c r="L613" t="str">
        <f t="shared" si="36"/>
        <v>INSERT INTO participantes (id,nivel,correo,matricula,clave,nombre,carrera,grado,sexo,situacion,evaluados,num_evaluados,total_evaluaciones,ultimo_acceso,nivel_acceso) VALUES (1612,'LICENCIATURA','zahidlievich.guillenhernandez','111667','TOMAR DEL SND','GUILLEN HERNANDEZ ZAHID LIEVICH','INGENIERIA AEROESPACIAL','2do','MASCULINO','ACTIVO','',0,0,'','ALUMNO');</v>
      </c>
      <c r="M613" t="str">
        <f t="shared" si="38"/>
        <v>update participantes set correo='zahidlievich.guillenhernandez' where id=1612;</v>
      </c>
    </row>
    <row r="614" spans="1:13" x14ac:dyDescent="0.25">
      <c r="A614">
        <f t="shared" si="39"/>
        <v>1613</v>
      </c>
      <c r="B614" s="3" t="s">
        <v>2103</v>
      </c>
      <c r="C614" t="str">
        <f>CONCATENATE("'",ALUMNOS!E619,"'")</f>
        <v>'zahirapaulette.enriquezsanchez'</v>
      </c>
      <c r="D614" t="str">
        <f>CONCATENATE(ALUMNOS!F619,"'")</f>
        <v>'111811'</v>
      </c>
      <c r="E614" t="s">
        <v>2723</v>
      </c>
      <c r="F614" t="str">
        <f>CONCATENATE("'",ALUMNOS!H619,"'")</f>
        <v>'ENRIQUEZ SANCHEZ ZAHIRA PAULETTE'</v>
      </c>
      <c r="G614" t="str">
        <f>CONCATENATE("'",ALUMNOS!I619,"'")</f>
        <v>'ADMINISTRACION Y DIRECCION DE NEGOCIOS'</v>
      </c>
      <c r="H614" t="str">
        <f>CONCATENATE("'",ALUMNOS!J619,"'")</f>
        <v>'2do'</v>
      </c>
      <c r="I614" t="str">
        <f>CONCATENATE("'",ALUMNOS!K619,"'")</f>
        <v>'Femenino'</v>
      </c>
      <c r="J614" t="str">
        <f>CONCATENATE("'",ALUMNOS!L619,"'")</f>
        <v>'Activo'</v>
      </c>
      <c r="K614" t="str">
        <f t="shared" si="37"/>
        <v>1613,'LICENCIATURA','zahirapaulette.enriquezsanchez','111811','TOMAR DEL SND','ENRIQUEZ SANCHEZ ZAHIRA PAULETTE','ADMINISTRACION Y DIRECCION DE NEGOCIOS','2do','FEMENINO','ACTIVO','',0,0,'','ALUMNO'</v>
      </c>
      <c r="L614" t="str">
        <f t="shared" si="36"/>
        <v>INSERT INTO participantes (id,nivel,correo,matricula,clave,nombre,carrera,grado,sexo,situacion,evaluados,num_evaluados,total_evaluaciones,ultimo_acceso,nivel_acceso) VALUES (1613,'LICENCIATURA','zahirapaulette.enriquezsanchez','111811','TOMAR DEL SND','ENRIQUEZ SANCHEZ ZAHIRA PAULETTE','ADMINISTRACION Y DIRECCION DE NEGOCIOS','2do','FEMENINO','ACTIVO','',0,0,'','ALUMNO');</v>
      </c>
      <c r="M614" t="str">
        <f t="shared" si="38"/>
        <v>update participantes set correo='zahirapaulette.enriquezsanchez' where id=1613;</v>
      </c>
    </row>
    <row r="615" spans="1:13" x14ac:dyDescent="0.25">
      <c r="A615">
        <f t="shared" si="39"/>
        <v>1614</v>
      </c>
      <c r="B615" s="3" t="s">
        <v>2103</v>
      </c>
      <c r="C615" t="str">
        <f>CONCATENATE("'",ALUMNOS!E620,"'")</f>
        <v>'zarasofia.montañoambrocio'</v>
      </c>
      <c r="D615" t="str">
        <f>CONCATENATE(ALUMNOS!F620,"'")</f>
        <v>'111628'</v>
      </c>
      <c r="E615" t="s">
        <v>2723</v>
      </c>
      <c r="F615" t="str">
        <f>CONCATENATE("'",ALUMNOS!H620,"'")</f>
        <v>'MONTAÑO AMBROCIO ZARA SOFIA'</v>
      </c>
      <c r="G615" t="str">
        <f>CONCATENATE("'",ALUMNOS!I620,"'")</f>
        <v>'INGENIERÍA AUTOMOTRIZ'</v>
      </c>
      <c r="H615" t="str">
        <f>CONCATENATE("'",ALUMNOS!J620,"'")</f>
        <v>'2do'</v>
      </c>
      <c r="I615" t="str">
        <f>CONCATENATE("'",ALUMNOS!K620,"'")</f>
        <v>'Femenino'</v>
      </c>
      <c r="J615" t="str">
        <f>CONCATENATE("'",ALUMNOS!L620,"'")</f>
        <v>'Activo'</v>
      </c>
      <c r="K615" t="str">
        <f t="shared" si="37"/>
        <v>1614,'LICENCIATURA','zarasofia.montañoambrocio','111628','TOMAR DEL SND','MONTAÑO AMBROCIO ZARA SOFIA','INGENIERÍA AUTOMOTRIZ','2do','FEMENINO','ACTIVO','',0,0,'','ALUMNO'</v>
      </c>
      <c r="L615" t="str">
        <f t="shared" si="36"/>
        <v>INSERT INTO participantes (id,nivel,correo,matricula,clave,nombre,carrera,grado,sexo,situacion,evaluados,num_evaluados,total_evaluaciones,ultimo_acceso,nivel_acceso) VALUES (1614,'LICENCIATURA','zarasofia.montañoambrocio','111628','TOMAR DEL SND','MONTAÑO AMBROCIO ZARA SOFIA','INGENIERÍA AUTOMOTRIZ','2do','FEMENINO','ACTIVO','',0,0,'','ALUMNO');</v>
      </c>
      <c r="M615" t="str">
        <f t="shared" si="38"/>
        <v>update participantes set correo='zarasofia.montañoambrocio' where id=1614;</v>
      </c>
    </row>
    <row r="616" spans="1:13" x14ac:dyDescent="0.25">
      <c r="B6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</vt:lpstr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2026-03-23T03:03:06Z</dcterms:modified>
</cp:coreProperties>
</file>