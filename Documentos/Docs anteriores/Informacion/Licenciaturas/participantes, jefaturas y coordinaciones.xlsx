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os\Usuarios\SOPORTEYDESARROLLO\Documents\MEGA\eva2025ii\Documentos\Informacion\"/>
    </mc:Choice>
  </mc:AlternateContent>
  <xr:revisionPtr revIDLastSave="0" documentId="13_ncr:1_{8350F8BC-2053-449D-8EDE-ECC9537B7FF5}" xr6:coauthVersionLast="47" xr6:coauthVersionMax="47" xr10:uidLastSave="{00000000-0000-0000-0000-000000000000}"/>
  <bookViews>
    <workbookView xWindow="-108" yWindow="-108" windowWidth="23256" windowHeight="12456" activeTab="2" xr2:uid="{78388E45-1137-47E2-9FF7-396331A59127}"/>
  </bookViews>
  <sheets>
    <sheet name="PARTICIPANTES" sheetId="1" r:id="rId1"/>
    <sheet name="COORDINADORES" sheetId="2" r:id="rId2"/>
    <sheet name="JEFATURA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5" i="1" l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24" i="1"/>
  <c r="E3" i="3"/>
  <c r="E4" i="3"/>
  <c r="E5" i="3"/>
  <c r="E6" i="3"/>
  <c r="E2" i="3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2" i="2"/>
  <c r="L24" i="1" l="1"/>
  <c r="L31" i="1"/>
  <c r="L32" i="1"/>
  <c r="L33" i="1"/>
  <c r="L35" i="1"/>
  <c r="L25" i="1"/>
  <c r="L26" i="1"/>
  <c r="L27" i="1"/>
  <c r="L28" i="1"/>
  <c r="L29" i="1"/>
  <c r="L30" i="1"/>
  <c r="L34" i="1"/>
  <c r="L36" i="1"/>
  <c r="L37" i="1"/>
  <c r="L38" i="1"/>
  <c r="L39" i="1"/>
  <c r="L40" i="1"/>
  <c r="L41" i="1"/>
</calcChain>
</file>

<file path=xl/sharedStrings.xml><?xml version="1.0" encoding="utf-8"?>
<sst xmlns="http://schemas.openxmlformats.org/spreadsheetml/2006/main" count="342" uniqueCount="105">
  <si>
    <t>id</t>
  </si>
  <si>
    <t>nivel</t>
  </si>
  <si>
    <t>correo</t>
  </si>
  <si>
    <t>matricula</t>
  </si>
  <si>
    <t>clave</t>
  </si>
  <si>
    <t>nombre</t>
  </si>
  <si>
    <t>carrera</t>
  </si>
  <si>
    <t>grado</t>
  </si>
  <si>
    <t>sexo</t>
  </si>
  <si>
    <t>situacion</t>
  </si>
  <si>
    <t>evaluados</t>
  </si>
  <si>
    <t>num_evaluados</t>
  </si>
  <si>
    <t>total_evaluaciones</t>
  </si>
  <si>
    <t>ultimo_acceso</t>
  </si>
  <si>
    <t>nivel_acceso</t>
  </si>
  <si>
    <t>SUPERUSUARIO</t>
  </si>
  <si>
    <t>soporteydesarrollo</t>
  </si>
  <si>
    <t>IT</t>
  </si>
  <si>
    <t>TOMAR DEL SND</t>
  </si>
  <si>
    <t>INFORMATICA Y TELECOMUNICACIONES</t>
  </si>
  <si>
    <t>MASCULINO</t>
  </si>
  <si>
    <t>rectoria</t>
  </si>
  <si>
    <t>RECTORIA</t>
  </si>
  <si>
    <t>GARCIA BADO ROSA ALEJANDRA</t>
  </si>
  <si>
    <t>administracion</t>
  </si>
  <si>
    <t>ADMINISTRACION</t>
  </si>
  <si>
    <t>ZENDEJAS SAMARTIN FABIAN EFRAIM</t>
  </si>
  <si>
    <t>ADMINISTRADOR</t>
  </si>
  <si>
    <t>LICENCIATURA</t>
  </si>
  <si>
    <t>subdireccion.operacionesacademicas</t>
  </si>
  <si>
    <t>JEFATURA.DA</t>
  </si>
  <si>
    <t>REVISOR</t>
  </si>
  <si>
    <t>proyectos.da</t>
  </si>
  <si>
    <t>PROYECTOS.DA</t>
  </si>
  <si>
    <t>NAVARRO SOTO MARIA DOLORES</t>
  </si>
  <si>
    <t>FEMENINO</t>
  </si>
  <si>
    <t>OLIVARES LIRA JOSE LUIS</t>
  </si>
  <si>
    <t>direccion.academica</t>
  </si>
  <si>
    <t>DIRECCION.ACADEMICA</t>
  </si>
  <si>
    <t>RUIZ ESPARZA MORALES ELSA</t>
  </si>
  <si>
    <t>jefatura.materiassello</t>
  </si>
  <si>
    <t>MATERIAS.INSTITUCIONALES</t>
  </si>
  <si>
    <t>OCEGUERA LOPEZ BEATRIZ ALEJANDRA</t>
  </si>
  <si>
    <t>COORDINADOR</t>
  </si>
  <si>
    <t>profesor.cea</t>
  </si>
  <si>
    <t>JEFATURA.CEA</t>
  </si>
  <si>
    <t>TORRES FERNANDEZ CLAUDIA CECILIA</t>
  </si>
  <si>
    <t>jefatura.cshs</t>
  </si>
  <si>
    <t>JEFATURA.CSALUD</t>
  </si>
  <si>
    <t>CALERA SUAREZ ALEJANDRO</t>
  </si>
  <si>
    <t>coordinacion.nutricion</t>
  </si>
  <si>
    <t>COORDINACION.NUTRICION</t>
  </si>
  <si>
    <t>PEÑA CAMACHO RODRIGO</t>
  </si>
  <si>
    <t>profesor.derecho</t>
  </si>
  <si>
    <t>COORDINACION.DERECHO</t>
  </si>
  <si>
    <t>PINTO POMPA JULIO CESAR</t>
  </si>
  <si>
    <t>coordinacion.ingenierias</t>
  </si>
  <si>
    <t>COORDINACION.INGENIERIAS</t>
  </si>
  <si>
    <t>TEJEDA DAVALOS FABIOLA</t>
  </si>
  <si>
    <t>jefatura.ada</t>
  </si>
  <si>
    <t>COORDINACION.ARQUITECTURA</t>
  </si>
  <si>
    <t>DEL RIO MACIAS MARIELA GUADALUPE</t>
  </si>
  <si>
    <t>coordinacion.animacion</t>
  </si>
  <si>
    <t>COORDINACION.ANIMACION</t>
  </si>
  <si>
    <t>VAZQUEZ CARRASCO CHRISTIAN ALAIN</t>
  </si>
  <si>
    <t>jefatura.ingenierias</t>
  </si>
  <si>
    <t>JEFATURA.INGENIERIAS</t>
  </si>
  <si>
    <t>RIVERA ROMAN EDWIN CHRISTIAN</t>
  </si>
  <si>
    <t>coordinacion.aeroespacial</t>
  </si>
  <si>
    <t>COORDINACION.AEROESPACIAL</t>
  </si>
  <si>
    <t>SANTANA ROSAS JUAN MANUEL</t>
  </si>
  <si>
    <t>departamento</t>
  </si>
  <si>
    <t>coordinador</t>
  </si>
  <si>
    <t>sello</t>
  </si>
  <si>
    <t>CIENCIAS ECONOMICO ADMINISTRATIVAS</t>
  </si>
  <si>
    <t>ADMINISTRACION Y DIRECCION DE NEGOCIOS</t>
  </si>
  <si>
    <t>COMERCIO INTERNACIONAL</t>
  </si>
  <si>
    <t>MERCADOTECNIA Y PUBLICIDAD</t>
  </si>
  <si>
    <t>CIENCIAS SOCIALES, HUMANIDADES Y DE LA SALUD</t>
  </si>
  <si>
    <t>DERECHO</t>
  </si>
  <si>
    <t>NUTRICION Y GASTRONOMIA</t>
  </si>
  <si>
    <t>PSICOLOGIA</t>
  </si>
  <si>
    <t>DISEÑO Y ARQUITECTURA</t>
  </si>
  <si>
    <t>ANIMACION DIGITAL Y VIDEOJUEGOS</t>
  </si>
  <si>
    <t>ARQUITECTURA</t>
  </si>
  <si>
    <t>DISEÑO GRAFICO Y DIGITAL</t>
  </si>
  <si>
    <t>INGENIERIAS</t>
  </si>
  <si>
    <t>INGENIERIA AEROESPACIAL</t>
  </si>
  <si>
    <t>INGENIERIA CIBERNETICA Y EN SISTEMAS COMPUTACIONAL...</t>
  </si>
  <si>
    <t>INGENIERIA INDUSTRIAL Y EN SISTEMAS ORGANIZACIONAL...</t>
  </si>
  <si>
    <t>MATERIAS INSTITUCIONALES</t>
  </si>
  <si>
    <t>INGENIERIA EN INTELIGENCIA ARTIFICIAL</t>
  </si>
  <si>
    <t>INGENIERIA AUTOMOTRIZ</t>
  </si>
  <si>
    <t>jefe</t>
  </si>
  <si>
    <t>PENDIENTE DE ASIGNAR</t>
  </si>
  <si>
    <t>COORDINACION.IDIOMAS</t>
  </si>
  <si>
    <t>internacional</t>
  </si>
  <si>
    <t>QUIROZ ZEPEDA JUAN PABLO</t>
  </si>
  <si>
    <t>calidadeinnovacion</t>
  </si>
  <si>
    <t>CALIDAD.INNOVACION</t>
  </si>
  <si>
    <t>IDIOMAS</t>
  </si>
  <si>
    <t>''</t>
  </si>
  <si>
    <t>'LICENCIATURA'</t>
  </si>
  <si>
    <t>INSERT INTO participantes (id,nivel,correo,matricula,clave,nombre,carrera,grado,sexo,situacion,evaluados,num_evaluados,total_evaluaciones,ultimo_acceso,nivel_acceso) VALUES (</t>
  </si>
  <si>
    <t>TOMAR DEL SND'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</si>
</sst>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/>
    <xf numFmtId="0" fontId="2" fillId="0" borderId="0" xfId="0" applyFont="1"/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07286-6BC0-438E-A9F8-E9880218DEA1}">
  <dimension ref="A1:O41"/>
  <sheetViews>
    <sheetView topLeftCell="B4" workbookViewId="0">
      <selection activeCell="L24" sqref="L24:L41"/>
    </sheetView>
  </sheetViews>
  <sheetFormatPr baseColWidth="10" defaultRowHeight="14.4" x14ac:dyDescent="0.3"/>
  <cols>
    <col min="1" max="1" width="5" bestFit="1" customWidth="1"/>
    <col min="2" max="2" width="13.5546875" bestFit="1" customWidth="1"/>
    <col min="3" max="3" width="33.44140625" bestFit="1" customWidth="1"/>
    <col min="4" max="4" width="29" bestFit="1" customWidth="1"/>
    <col min="5" max="5" width="14.88671875" bestFit="1" customWidth="1"/>
    <col min="6" max="6" width="35.44140625" bestFit="1" customWidth="1"/>
    <col min="7" max="7" width="6.88671875" bestFit="1" customWidth="1"/>
    <col min="8" max="8" width="5.77734375" bestFit="1" customWidth="1"/>
    <col min="9" max="9" width="11.33203125" bestFit="1" customWidth="1"/>
    <col min="10" max="10" width="8.77734375" bestFit="1" customWidth="1"/>
    <col min="11" max="11" width="9.6640625" bestFit="1" customWidth="1"/>
    <col min="12" max="12" width="14.5546875" bestFit="1" customWidth="1"/>
    <col min="13" max="13" width="17.33203125" bestFit="1" customWidth="1"/>
    <col min="14" max="14" width="13.33203125" bestFit="1" customWidth="1"/>
    <col min="15" max="15" width="15.7773437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2">
        <v>1</v>
      </c>
      <c r="B2" s="2"/>
      <c r="C2" s="2" t="s">
        <v>16</v>
      </c>
      <c r="D2" s="2" t="s">
        <v>17</v>
      </c>
      <c r="E2" s="2" t="s">
        <v>18</v>
      </c>
      <c r="F2" s="2" t="s">
        <v>19</v>
      </c>
      <c r="G2" s="2"/>
      <c r="H2" s="2"/>
      <c r="I2" s="2" t="s">
        <v>20</v>
      </c>
      <c r="J2" s="2"/>
      <c r="K2" s="2"/>
      <c r="L2" s="2">
        <v>0</v>
      </c>
      <c r="M2" s="2">
        <v>0</v>
      </c>
      <c r="N2" s="2"/>
      <c r="O2" s="2" t="s">
        <v>15</v>
      </c>
    </row>
    <row r="3" spans="1:15" x14ac:dyDescent="0.3">
      <c r="A3" s="2">
        <v>2</v>
      </c>
      <c r="B3" s="2"/>
      <c r="C3" s="2" t="s">
        <v>21</v>
      </c>
      <c r="D3" s="2" t="s">
        <v>22</v>
      </c>
      <c r="E3" s="2" t="s">
        <v>18</v>
      </c>
      <c r="F3" s="2" t="s">
        <v>23</v>
      </c>
      <c r="G3" s="2"/>
      <c r="H3" s="2"/>
      <c r="I3" s="2" t="s">
        <v>20</v>
      </c>
      <c r="J3" s="2"/>
      <c r="K3" s="2"/>
      <c r="L3" s="2">
        <v>0</v>
      </c>
      <c r="M3" s="2">
        <v>0</v>
      </c>
      <c r="N3" s="2"/>
      <c r="O3" s="2" t="s">
        <v>15</v>
      </c>
    </row>
    <row r="4" spans="1:15" x14ac:dyDescent="0.3">
      <c r="A4" s="2">
        <v>3</v>
      </c>
      <c r="B4" s="2"/>
      <c r="C4" s="2" t="s">
        <v>24</v>
      </c>
      <c r="D4" s="2" t="s">
        <v>25</v>
      </c>
      <c r="E4" s="2" t="s">
        <v>18</v>
      </c>
      <c r="F4" s="2" t="s">
        <v>26</v>
      </c>
      <c r="G4" s="2"/>
      <c r="H4" s="2"/>
      <c r="I4" s="2" t="s">
        <v>20</v>
      </c>
      <c r="J4" s="2"/>
      <c r="K4" s="2"/>
      <c r="L4" s="2">
        <v>0</v>
      </c>
      <c r="M4" s="2">
        <v>0</v>
      </c>
      <c r="N4" s="2"/>
      <c r="O4" s="2" t="s">
        <v>27</v>
      </c>
    </row>
    <row r="5" spans="1:15" x14ac:dyDescent="0.3">
      <c r="A5" s="3">
        <v>4</v>
      </c>
      <c r="B5" s="3" t="s">
        <v>28</v>
      </c>
      <c r="C5" s="3" t="s">
        <v>29</v>
      </c>
      <c r="D5" s="3" t="s">
        <v>30</v>
      </c>
      <c r="E5" s="3" t="s">
        <v>18</v>
      </c>
      <c r="F5" s="3" t="s">
        <v>94</v>
      </c>
      <c r="G5" s="3"/>
      <c r="H5" s="3"/>
      <c r="I5" s="3" t="s">
        <v>20</v>
      </c>
      <c r="J5" s="3"/>
      <c r="K5" s="3"/>
      <c r="L5" s="3">
        <v>0</v>
      </c>
      <c r="M5" s="3">
        <v>0</v>
      </c>
      <c r="N5" s="3"/>
      <c r="O5" s="3" t="s">
        <v>31</v>
      </c>
    </row>
    <row r="6" spans="1:15" x14ac:dyDescent="0.3">
      <c r="A6" s="2">
        <v>5</v>
      </c>
      <c r="B6" s="2" t="s">
        <v>28</v>
      </c>
      <c r="C6" s="2" t="s">
        <v>32</v>
      </c>
      <c r="D6" s="2" t="s">
        <v>33</v>
      </c>
      <c r="E6" s="2" t="s">
        <v>18</v>
      </c>
      <c r="F6" s="2" t="s">
        <v>34</v>
      </c>
      <c r="G6" s="2"/>
      <c r="H6" s="2"/>
      <c r="I6" s="2" t="s">
        <v>35</v>
      </c>
      <c r="J6" s="2"/>
      <c r="K6" s="2"/>
      <c r="L6" s="2">
        <v>0</v>
      </c>
      <c r="M6" s="2">
        <v>0</v>
      </c>
      <c r="N6" s="2"/>
      <c r="O6" s="2" t="s">
        <v>31</v>
      </c>
    </row>
    <row r="7" spans="1:15" x14ac:dyDescent="0.3">
      <c r="A7" s="2">
        <v>6</v>
      </c>
      <c r="B7" s="2" t="s">
        <v>28</v>
      </c>
      <c r="C7" s="2" t="s">
        <v>98</v>
      </c>
      <c r="D7" s="2" t="s">
        <v>99</v>
      </c>
      <c r="E7" s="2" t="s">
        <v>18</v>
      </c>
      <c r="F7" s="2" t="s">
        <v>36</v>
      </c>
      <c r="G7" s="2"/>
      <c r="H7" s="2"/>
      <c r="I7" s="2" t="s">
        <v>20</v>
      </c>
      <c r="J7" s="2"/>
      <c r="K7" s="2"/>
      <c r="L7" s="2">
        <v>0</v>
      </c>
      <c r="M7" s="2">
        <v>0</v>
      </c>
      <c r="N7" s="2"/>
      <c r="O7" s="2" t="s">
        <v>31</v>
      </c>
    </row>
    <row r="8" spans="1:15" x14ac:dyDescent="0.3">
      <c r="A8" s="2">
        <v>7</v>
      </c>
      <c r="B8" s="2" t="s">
        <v>28</v>
      </c>
      <c r="C8" s="2" t="s">
        <v>37</v>
      </c>
      <c r="D8" s="2" t="s">
        <v>38</v>
      </c>
      <c r="E8" s="2" t="s">
        <v>18</v>
      </c>
      <c r="F8" s="2" t="s">
        <v>39</v>
      </c>
      <c r="G8" s="2"/>
      <c r="H8" s="2"/>
      <c r="I8" s="2" t="s">
        <v>35</v>
      </c>
      <c r="J8" s="2"/>
      <c r="K8" s="2"/>
      <c r="L8" s="2">
        <v>0</v>
      </c>
      <c r="M8" s="2">
        <v>0</v>
      </c>
      <c r="N8" s="2"/>
      <c r="O8" s="2" t="s">
        <v>31</v>
      </c>
    </row>
    <row r="9" spans="1:15" x14ac:dyDescent="0.3">
      <c r="A9" s="2">
        <v>902</v>
      </c>
      <c r="B9" s="2" t="s">
        <v>28</v>
      </c>
      <c r="C9" s="2" t="s">
        <v>40</v>
      </c>
      <c r="D9" s="2" t="s">
        <v>41</v>
      </c>
      <c r="E9" s="2" t="s">
        <v>18</v>
      </c>
      <c r="F9" s="2" t="s">
        <v>42</v>
      </c>
      <c r="G9" s="2"/>
      <c r="H9" s="2"/>
      <c r="I9" s="2" t="s">
        <v>35</v>
      </c>
      <c r="J9" s="2"/>
      <c r="K9" s="2"/>
      <c r="L9" s="2">
        <v>0</v>
      </c>
      <c r="M9" s="2">
        <v>0</v>
      </c>
      <c r="N9" s="2"/>
      <c r="O9" s="2" t="s">
        <v>43</v>
      </c>
    </row>
    <row r="10" spans="1:15" x14ac:dyDescent="0.3">
      <c r="A10" s="2">
        <v>903</v>
      </c>
      <c r="B10" s="2" t="s">
        <v>28</v>
      </c>
      <c r="C10" s="2" t="s">
        <v>44</v>
      </c>
      <c r="D10" s="2" t="s">
        <v>45</v>
      </c>
      <c r="E10" s="2" t="s">
        <v>18</v>
      </c>
      <c r="F10" s="2" t="s">
        <v>46</v>
      </c>
      <c r="G10" s="2"/>
      <c r="H10" s="2"/>
      <c r="I10" s="2" t="s">
        <v>35</v>
      </c>
      <c r="J10" s="2"/>
      <c r="K10" s="2"/>
      <c r="L10" s="2">
        <v>0</v>
      </c>
      <c r="M10" s="2">
        <v>0</v>
      </c>
      <c r="N10" s="2"/>
      <c r="O10" s="2" t="s">
        <v>43</v>
      </c>
    </row>
    <row r="11" spans="1:15" x14ac:dyDescent="0.3">
      <c r="A11" s="2">
        <v>904</v>
      </c>
      <c r="B11" s="2" t="s">
        <v>28</v>
      </c>
      <c r="C11" s="2" t="s">
        <v>47</v>
      </c>
      <c r="D11" s="2" t="s">
        <v>48</v>
      </c>
      <c r="E11" s="2" t="s">
        <v>18</v>
      </c>
      <c r="F11" s="2" t="s">
        <v>49</v>
      </c>
      <c r="G11" s="2"/>
      <c r="H11" s="2"/>
      <c r="I11" s="2" t="s">
        <v>20</v>
      </c>
      <c r="J11" s="2"/>
      <c r="K11" s="2"/>
      <c r="L11" s="2">
        <v>0</v>
      </c>
      <c r="M11" s="2">
        <v>0</v>
      </c>
      <c r="N11" s="2"/>
      <c r="O11" s="2" t="s">
        <v>43</v>
      </c>
    </row>
    <row r="12" spans="1:15" x14ac:dyDescent="0.3">
      <c r="A12" s="2">
        <v>905</v>
      </c>
      <c r="B12" s="2" t="s">
        <v>28</v>
      </c>
      <c r="C12" s="2" t="s">
        <v>50</v>
      </c>
      <c r="D12" s="2" t="s">
        <v>51</v>
      </c>
      <c r="E12" s="2" t="s">
        <v>18</v>
      </c>
      <c r="F12" s="2" t="s">
        <v>52</v>
      </c>
      <c r="G12" s="2"/>
      <c r="H12" s="2"/>
      <c r="I12" s="2" t="s">
        <v>20</v>
      </c>
      <c r="J12" s="2"/>
      <c r="K12" s="2"/>
      <c r="L12" s="2">
        <v>0</v>
      </c>
      <c r="M12" s="2">
        <v>0</v>
      </c>
      <c r="N12" s="2"/>
      <c r="O12" s="2" t="s">
        <v>43</v>
      </c>
    </row>
    <row r="13" spans="1:15" x14ac:dyDescent="0.3">
      <c r="A13" s="2">
        <v>906</v>
      </c>
      <c r="B13" s="2" t="s">
        <v>28</v>
      </c>
      <c r="C13" s="2" t="s">
        <v>53</v>
      </c>
      <c r="D13" s="2" t="s">
        <v>54</v>
      </c>
      <c r="E13" s="2" t="s">
        <v>18</v>
      </c>
      <c r="F13" s="2" t="s">
        <v>55</v>
      </c>
      <c r="G13" s="2"/>
      <c r="H13" s="2"/>
      <c r="I13" s="2" t="s">
        <v>20</v>
      </c>
      <c r="J13" s="2"/>
      <c r="K13" s="2"/>
      <c r="L13" s="2">
        <v>0</v>
      </c>
      <c r="M13" s="2">
        <v>0</v>
      </c>
      <c r="N13" s="2"/>
      <c r="O13" s="2" t="s">
        <v>43</v>
      </c>
    </row>
    <row r="14" spans="1:15" x14ac:dyDescent="0.3">
      <c r="A14" s="2">
        <v>907</v>
      </c>
      <c r="B14" s="2" t="s">
        <v>28</v>
      </c>
      <c r="C14" s="2" t="s">
        <v>56</v>
      </c>
      <c r="D14" s="2" t="s">
        <v>57</v>
      </c>
      <c r="E14" s="2" t="s">
        <v>18</v>
      </c>
      <c r="F14" s="2" t="s">
        <v>58</v>
      </c>
      <c r="G14" s="2"/>
      <c r="H14" s="2"/>
      <c r="I14" s="2" t="s">
        <v>35</v>
      </c>
      <c r="J14" s="2"/>
      <c r="K14" s="2"/>
      <c r="L14" s="2">
        <v>0</v>
      </c>
      <c r="M14" s="2">
        <v>0</v>
      </c>
      <c r="N14" s="2"/>
      <c r="O14" s="2" t="s">
        <v>43</v>
      </c>
    </row>
    <row r="15" spans="1:15" x14ac:dyDescent="0.3">
      <c r="A15" s="2">
        <v>908</v>
      </c>
      <c r="B15" s="2" t="s">
        <v>28</v>
      </c>
      <c r="C15" s="2" t="s">
        <v>59</v>
      </c>
      <c r="D15" s="2" t="s">
        <v>60</v>
      </c>
      <c r="E15" s="2" t="s">
        <v>18</v>
      </c>
      <c r="F15" s="2" t="s">
        <v>61</v>
      </c>
      <c r="G15" s="2"/>
      <c r="H15" s="2"/>
      <c r="I15" s="2" t="s">
        <v>35</v>
      </c>
      <c r="J15" s="2"/>
      <c r="K15" s="2"/>
      <c r="L15" s="2">
        <v>0</v>
      </c>
      <c r="M15" s="2">
        <v>0</v>
      </c>
      <c r="N15" s="2"/>
      <c r="O15" s="2" t="s">
        <v>43</v>
      </c>
    </row>
    <row r="16" spans="1:15" x14ac:dyDescent="0.3">
      <c r="A16" s="2">
        <v>909</v>
      </c>
      <c r="B16" s="2" t="s">
        <v>28</v>
      </c>
      <c r="C16" s="2" t="s">
        <v>62</v>
      </c>
      <c r="D16" s="2" t="s">
        <v>63</v>
      </c>
      <c r="E16" s="2" t="s">
        <v>18</v>
      </c>
      <c r="F16" s="2" t="s">
        <v>64</v>
      </c>
      <c r="G16" s="2"/>
      <c r="H16" s="2"/>
      <c r="I16" s="2" t="s">
        <v>20</v>
      </c>
      <c r="J16" s="2"/>
      <c r="K16" s="2"/>
      <c r="L16" s="2">
        <v>0</v>
      </c>
      <c r="M16" s="2">
        <v>0</v>
      </c>
      <c r="N16" s="2"/>
      <c r="O16" s="2" t="s">
        <v>43</v>
      </c>
    </row>
    <row r="17" spans="1:15" x14ac:dyDescent="0.3">
      <c r="A17" s="2">
        <v>910</v>
      </c>
      <c r="B17" s="2" t="s">
        <v>28</v>
      </c>
      <c r="C17" s="2" t="s">
        <v>65</v>
      </c>
      <c r="D17" s="2" t="s">
        <v>66</v>
      </c>
      <c r="E17" s="2" t="s">
        <v>18</v>
      </c>
      <c r="F17" s="2" t="s">
        <v>67</v>
      </c>
      <c r="G17" s="2"/>
      <c r="H17" s="2"/>
      <c r="I17" s="2" t="s">
        <v>20</v>
      </c>
      <c r="J17" s="2"/>
      <c r="K17" s="2"/>
      <c r="L17" s="2">
        <v>0</v>
      </c>
      <c r="M17" s="2">
        <v>0</v>
      </c>
      <c r="N17" s="2"/>
      <c r="O17" s="2" t="s">
        <v>43</v>
      </c>
    </row>
    <row r="18" spans="1:15" x14ac:dyDescent="0.3">
      <c r="A18" s="2">
        <v>911</v>
      </c>
      <c r="B18" s="2" t="s">
        <v>28</v>
      </c>
      <c r="C18" s="2" t="s">
        <v>68</v>
      </c>
      <c r="D18" s="2" t="s">
        <v>69</v>
      </c>
      <c r="E18" s="2" t="s">
        <v>18</v>
      </c>
      <c r="F18" s="2" t="s">
        <v>70</v>
      </c>
      <c r="G18" s="2"/>
      <c r="H18" s="2"/>
      <c r="I18" s="2" t="s">
        <v>20</v>
      </c>
      <c r="J18" s="2"/>
      <c r="K18" s="2"/>
      <c r="L18" s="2">
        <v>0</v>
      </c>
      <c r="M18" s="2">
        <v>0</v>
      </c>
      <c r="N18" s="2"/>
      <c r="O18" s="2" t="s">
        <v>43</v>
      </c>
    </row>
    <row r="19" spans="1:15" x14ac:dyDescent="0.3">
      <c r="A19" s="2">
        <v>912</v>
      </c>
      <c r="B19" s="2" t="s">
        <v>28</v>
      </c>
      <c r="C19" s="2" t="s">
        <v>96</v>
      </c>
      <c r="D19" s="2" t="s">
        <v>95</v>
      </c>
      <c r="E19" s="2" t="s">
        <v>18</v>
      </c>
      <c r="F19" s="2" t="s">
        <v>97</v>
      </c>
      <c r="G19" s="2"/>
      <c r="H19" s="2"/>
      <c r="I19" s="2" t="s">
        <v>20</v>
      </c>
      <c r="J19" s="2"/>
      <c r="K19" s="2"/>
      <c r="L19" s="2">
        <v>0</v>
      </c>
      <c r="M19" s="2">
        <v>0</v>
      </c>
      <c r="N19" s="2"/>
      <c r="O19" s="2" t="s">
        <v>43</v>
      </c>
    </row>
    <row r="23" spans="1:15" x14ac:dyDescent="0.3">
      <c r="A23" s="2" t="s">
        <v>0</v>
      </c>
      <c r="B23" s="2" t="s">
        <v>1</v>
      </c>
      <c r="C23" s="2" t="s">
        <v>2</v>
      </c>
      <c r="D23" s="2" t="s">
        <v>3</v>
      </c>
      <c r="E23" s="2" t="s">
        <v>4</v>
      </c>
      <c r="F23" s="2" t="s">
        <v>5</v>
      </c>
      <c r="G23" s="2" t="s">
        <v>6</v>
      </c>
      <c r="H23" s="2" t="s">
        <v>7</v>
      </c>
      <c r="I23" s="2" t="s">
        <v>8</v>
      </c>
      <c r="J23" s="2" t="s">
        <v>9</v>
      </c>
      <c r="K23" t="s">
        <v>103</v>
      </c>
    </row>
    <row r="24" spans="1:15" x14ac:dyDescent="0.3">
      <c r="A24" s="2">
        <v>1</v>
      </c>
      <c r="B24" s="5" t="s">
        <v>101</v>
      </c>
      <c r="C24" s="2" t="s">
        <v>16</v>
      </c>
      <c r="D24" s="2" t="s">
        <v>17</v>
      </c>
      <c r="E24" s="2" t="s">
        <v>104</v>
      </c>
      <c r="F24" s="2" t="s">
        <v>19</v>
      </c>
      <c r="G24" s="2"/>
      <c r="H24" s="2"/>
      <c r="I24" s="2" t="s">
        <v>20</v>
      </c>
      <c r="J24" s="2"/>
      <c r="K24" t="str">
        <f>CONCATENATE(A24,",",B24,",'",C24,"','",D24,"','",E24,",'",F24,"','",G24,"','",H24,"','",UPPER(I24),"','",UPPER(J24),"','',0,0,'','",O2,"'")</f>
        <v>1,'','soporteydesarrollo','IT','TOMAR DEL SND','INFORMATICA Y TELECOMUNICACIONES','','','MASCULINO','','',0,0,'','SUPERUSUARIO'</v>
      </c>
      <c r="L24" t="str">
        <f>CONCATENATE($K$23,K24,");")</f>
        <v>INSERT INTO participantes (id,nivel,correo,matricula,clave,nombre,carrera,grado,sexo,situacion,evaluados,num_evaluados,total_evaluaciones,ultimo_acceso,nivel_acceso) VALUES (1,'','soporteydesarrollo','IT','TOMAR DEL SND','INFORMATICA Y TELECOMUNICACIONES','','','MASCULINO','','',0,0,'','SUPERUSUARIO');</v>
      </c>
      <c r="M24" s="4"/>
    </row>
    <row r="25" spans="1:15" x14ac:dyDescent="0.3">
      <c r="A25" s="2">
        <v>2</v>
      </c>
      <c r="B25" s="5" t="s">
        <v>101</v>
      </c>
      <c r="C25" s="2" t="s">
        <v>21</v>
      </c>
      <c r="D25" s="2" t="s">
        <v>22</v>
      </c>
      <c r="E25" s="2" t="s">
        <v>104</v>
      </c>
      <c r="F25" s="2" t="s">
        <v>23</v>
      </c>
      <c r="G25" s="2"/>
      <c r="H25" s="2"/>
      <c r="I25" s="2" t="s">
        <v>20</v>
      </c>
      <c r="J25" s="2"/>
      <c r="K25" t="str">
        <f t="shared" ref="K25:K41" si="0">CONCATENATE(A25,",",B25,",'",C25,"','",D25,"','",E25,",'",F25,"','",G25,"','",H25,"','",UPPER(I25),"','",UPPER(J25),"','',0,0,'','",O3,"'")</f>
        <v>2,'','rectoria','RECTORIA','TOMAR DEL SND','GARCIA BADO ROSA ALEJANDRA','','','MASCULINO','','',0,0,'','SUPERUSUARIO'</v>
      </c>
      <c r="L25" t="str">
        <f t="shared" ref="L25:L41" si="1">CONCATENATE($K$23,K25,");")</f>
        <v>INSERT INTO participantes (id,nivel,correo,matricula,clave,nombre,carrera,grado,sexo,situacion,evaluados,num_evaluados,total_evaluaciones,ultimo_acceso,nivel_acceso) VALUES (2,'','rectoria','RECTORIA','TOMAR DEL SND','GARCIA BADO ROSA ALEJANDRA','','','MASCULINO','','',0,0,'','SUPERUSUARIO');</v>
      </c>
    </row>
    <row r="26" spans="1:15" x14ac:dyDescent="0.3">
      <c r="A26" s="2">
        <v>3</v>
      </c>
      <c r="B26" s="5" t="s">
        <v>101</v>
      </c>
      <c r="C26" s="2" t="s">
        <v>24</v>
      </c>
      <c r="D26" s="2" t="s">
        <v>25</v>
      </c>
      <c r="E26" s="2" t="s">
        <v>104</v>
      </c>
      <c r="F26" s="2" t="s">
        <v>26</v>
      </c>
      <c r="G26" s="2"/>
      <c r="H26" s="2"/>
      <c r="I26" s="2" t="s">
        <v>20</v>
      </c>
      <c r="J26" s="2"/>
      <c r="K26" t="str">
        <f t="shared" si="0"/>
        <v>3,'','administracion','ADMINISTRACION','TOMAR DEL SND','ZENDEJAS SAMARTIN FABIAN EFRAIM','','','MASCULINO','','',0,0,'','ADMINISTRADOR'</v>
      </c>
      <c r="L26" t="str">
        <f t="shared" si="1"/>
        <v>INSERT INTO participantes (id,nivel,correo,matricula,clave,nombre,carrera,grado,sexo,situacion,evaluados,num_evaluados,total_evaluaciones,ultimo_acceso,nivel_acceso) VALUES (3,'','administracion','ADMINISTRACION','TOMAR DEL SND','ZENDEJAS SAMARTIN FABIAN EFRAIM','','','MASCULINO','','',0,0,'','ADMINISTRADOR');</v>
      </c>
    </row>
    <row r="27" spans="1:15" x14ac:dyDescent="0.3">
      <c r="A27" s="3">
        <v>4</v>
      </c>
      <c r="B27" t="s">
        <v>102</v>
      </c>
      <c r="C27" s="3" t="s">
        <v>29</v>
      </c>
      <c r="D27" s="3" t="s">
        <v>30</v>
      </c>
      <c r="E27" s="2" t="s">
        <v>104</v>
      </c>
      <c r="F27" s="3" t="s">
        <v>94</v>
      </c>
      <c r="G27" s="3"/>
      <c r="H27" s="3"/>
      <c r="I27" s="3" t="s">
        <v>20</v>
      </c>
      <c r="J27" s="3"/>
      <c r="K27" t="str">
        <f t="shared" si="0"/>
        <v>4,'LICENCIATURA','subdireccion.operacionesacademicas','JEFATURA.DA','TOMAR DEL SND','PENDIENTE DE ASIGNAR','','','MASCULINO','','',0,0,'','REVISOR'</v>
      </c>
      <c r="L27" t="str">
        <f t="shared" si="1"/>
        <v>INSERT INTO participantes (id,nivel,correo,matricula,clave,nombre,carrera,grado,sexo,situacion,evaluados,num_evaluados,total_evaluaciones,ultimo_acceso,nivel_acceso) VALUES (4,'LICENCIATURA','subdireccion.operacionesacademicas','JEFATURA.DA','TOMAR DEL SND','PENDIENTE DE ASIGNAR','','','MASCULINO','','',0,0,'','REVISOR');</v>
      </c>
    </row>
    <row r="28" spans="1:15" x14ac:dyDescent="0.3">
      <c r="A28" s="2">
        <v>5</v>
      </c>
      <c r="B28" t="s">
        <v>102</v>
      </c>
      <c r="C28" s="2" t="s">
        <v>32</v>
      </c>
      <c r="D28" s="2" t="s">
        <v>33</v>
      </c>
      <c r="E28" s="2" t="s">
        <v>104</v>
      </c>
      <c r="F28" s="2" t="s">
        <v>34</v>
      </c>
      <c r="G28" s="2"/>
      <c r="H28" s="2"/>
      <c r="I28" s="2" t="s">
        <v>35</v>
      </c>
      <c r="J28" s="2"/>
      <c r="K28" t="str">
        <f t="shared" si="0"/>
        <v>5,'LICENCIATURA','proyectos.da','PROYECTOS.DA','TOMAR DEL SND','NAVARRO SOTO MARIA DOLORES','','','FEMENINO','','',0,0,'','REVISOR'</v>
      </c>
      <c r="L28" t="str">
        <f t="shared" si="1"/>
        <v>INSERT INTO participantes (id,nivel,correo,matricula,clave,nombre,carrera,grado,sexo,situacion,evaluados,num_evaluados,total_evaluaciones,ultimo_acceso,nivel_acceso) VALUES (5,'LICENCIATURA','proyectos.da','PROYECTOS.DA','TOMAR DEL SND','NAVARRO SOTO MARIA DOLORES','','','FEMENINO','','',0,0,'','REVISOR');</v>
      </c>
    </row>
    <row r="29" spans="1:15" x14ac:dyDescent="0.3">
      <c r="A29" s="2">
        <v>6</v>
      </c>
      <c r="B29" t="s">
        <v>102</v>
      </c>
      <c r="C29" s="2" t="s">
        <v>98</v>
      </c>
      <c r="D29" s="2" t="s">
        <v>99</v>
      </c>
      <c r="E29" s="2" t="s">
        <v>104</v>
      </c>
      <c r="F29" s="2" t="s">
        <v>36</v>
      </c>
      <c r="G29" s="2"/>
      <c r="H29" s="2"/>
      <c r="I29" s="2" t="s">
        <v>20</v>
      </c>
      <c r="J29" s="2"/>
      <c r="K29" t="str">
        <f t="shared" si="0"/>
        <v>6,'LICENCIATURA','calidadeinnovacion','CALIDAD.INNOVACION','TOMAR DEL SND','OLIVARES LIRA JOSE LUIS','','','MASCULINO','','',0,0,'','REVISOR'</v>
      </c>
      <c r="L29" t="str">
        <f t="shared" si="1"/>
        <v>INSERT INTO participantes (id,nivel,correo,matricula,clave,nombre,carrera,grado,sexo,situacion,evaluados,num_evaluados,total_evaluaciones,ultimo_acceso,nivel_acceso) VALUES (6,'LICENCIATURA','calidadeinnovacion','CALIDAD.INNOVACION','TOMAR DEL SND','OLIVARES LIRA JOSE LUIS','','','MASCULINO','','',0,0,'','REVISOR');</v>
      </c>
    </row>
    <row r="30" spans="1:15" x14ac:dyDescent="0.3">
      <c r="A30" s="2">
        <v>7</v>
      </c>
      <c r="B30" t="s">
        <v>102</v>
      </c>
      <c r="C30" s="2" t="s">
        <v>37</v>
      </c>
      <c r="D30" s="2" t="s">
        <v>38</v>
      </c>
      <c r="E30" s="2" t="s">
        <v>104</v>
      </c>
      <c r="F30" s="2" t="s">
        <v>39</v>
      </c>
      <c r="G30" s="2"/>
      <c r="H30" s="2"/>
      <c r="I30" s="2" t="s">
        <v>35</v>
      </c>
      <c r="J30" s="2"/>
      <c r="K30" t="str">
        <f t="shared" si="0"/>
        <v>7,'LICENCIATURA','direccion.academica','DIRECCION.ACADEMICA','TOMAR DEL SND','RUIZ ESPARZA MORALES ELSA','','','FEMENINO','','',0,0,'','REVISOR'</v>
      </c>
      <c r="L30" t="str">
        <f t="shared" si="1"/>
        <v>INSERT INTO participantes (id,nivel,correo,matricula,clave,nombre,carrera,grado,sexo,situacion,evaluados,num_evaluados,total_evaluaciones,ultimo_acceso,nivel_acceso) VALUES (7,'LICENCIATURA','direccion.academica','DIRECCION.ACADEMICA','TOMAR DEL SND','RUIZ ESPARZA MORALES ELSA','','','FEMENINO','','',0,0,'','REVISOR');</v>
      </c>
    </row>
    <row r="31" spans="1:15" x14ac:dyDescent="0.3">
      <c r="A31" s="2">
        <v>902</v>
      </c>
      <c r="B31" t="s">
        <v>102</v>
      </c>
      <c r="C31" s="2" t="s">
        <v>40</v>
      </c>
      <c r="D31" s="2" t="s">
        <v>41</v>
      </c>
      <c r="E31" s="2" t="s">
        <v>104</v>
      </c>
      <c r="F31" s="2" t="s">
        <v>42</v>
      </c>
      <c r="G31" s="2"/>
      <c r="H31" s="2"/>
      <c r="I31" s="2" t="s">
        <v>35</v>
      </c>
      <c r="J31" s="2"/>
      <c r="K31" t="str">
        <f t="shared" si="0"/>
        <v>902,'LICENCIATURA','jefatura.materiassello','MATERIAS.INSTITUCIONALES','TOMAR DEL SND','OCEGUERA LOPEZ BEATRIZ ALEJANDRA','','','FEMENINO','','',0,0,'','COORDINADOR'</v>
      </c>
      <c r="L31" t="str">
        <f t="shared" si="1"/>
        <v>INSERT INTO participantes (id,nivel,correo,matricula,clave,nombre,carrera,grado,sexo,situacion,evaluados,num_evaluados,total_evaluaciones,ultimo_acceso,nivel_acceso) VALUES (902,'LICENCIATURA','jefatura.materiassello','MATERIAS.INSTITUCIONALES','TOMAR DEL SND','OCEGUERA LOPEZ BEATRIZ ALEJANDRA','','','FEMENINO','','',0,0,'','COORDINADOR');</v>
      </c>
    </row>
    <row r="32" spans="1:15" x14ac:dyDescent="0.3">
      <c r="A32" s="2">
        <v>903</v>
      </c>
      <c r="B32" t="s">
        <v>102</v>
      </c>
      <c r="C32" s="2" t="s">
        <v>44</v>
      </c>
      <c r="D32" s="2" t="s">
        <v>45</v>
      </c>
      <c r="E32" s="2" t="s">
        <v>104</v>
      </c>
      <c r="F32" s="2" t="s">
        <v>46</v>
      </c>
      <c r="G32" s="2"/>
      <c r="H32" s="2"/>
      <c r="I32" s="2" t="s">
        <v>35</v>
      </c>
      <c r="J32" s="2"/>
      <c r="K32" t="str">
        <f t="shared" si="0"/>
        <v>903,'LICENCIATURA','profesor.cea','JEFATURA.CEA','TOMAR DEL SND','TORRES FERNANDEZ CLAUDIA CECILIA','','','FEMENINO','','',0,0,'','COORDINADOR'</v>
      </c>
      <c r="L32" t="str">
        <f t="shared" si="1"/>
        <v>INSERT INTO participantes (id,nivel,correo,matricula,clave,nombre,carrera,grado,sexo,situacion,evaluados,num_evaluados,total_evaluaciones,ultimo_acceso,nivel_acceso) VALUES (903,'LICENCIATURA','profesor.cea','JEFATURA.CEA','TOMAR DEL SND','TORRES FERNANDEZ CLAUDIA CECILIA','','','FEMENINO','','',0,0,'','COORDINADOR');</v>
      </c>
    </row>
    <row r="33" spans="1:12" x14ac:dyDescent="0.3">
      <c r="A33" s="2">
        <v>904</v>
      </c>
      <c r="B33" t="s">
        <v>102</v>
      </c>
      <c r="C33" s="2" t="s">
        <v>47</v>
      </c>
      <c r="D33" s="2" t="s">
        <v>48</v>
      </c>
      <c r="E33" s="2" t="s">
        <v>104</v>
      </c>
      <c r="F33" s="2" t="s">
        <v>49</v>
      </c>
      <c r="G33" s="2"/>
      <c r="H33" s="2"/>
      <c r="I33" s="2" t="s">
        <v>20</v>
      </c>
      <c r="J33" s="2"/>
      <c r="K33" t="str">
        <f t="shared" si="0"/>
        <v>904,'LICENCIATURA','jefatura.cshs','JEFATURA.CSALUD','TOMAR DEL SND','CALERA SUAREZ ALEJANDRO','','','MASCULINO','','',0,0,'','COORDINADOR'</v>
      </c>
      <c r="L33" t="str">
        <f t="shared" si="1"/>
        <v>INSERT INTO participantes (id,nivel,correo,matricula,clave,nombre,carrera,grado,sexo,situacion,evaluados,num_evaluados,total_evaluaciones,ultimo_acceso,nivel_acceso) VALUES (904,'LICENCIATURA','jefatura.cshs','JEFATURA.CSALUD','TOMAR DEL SND','CALERA SUAREZ ALEJANDRO','','','MASCULINO','','',0,0,'','COORDINADOR');</v>
      </c>
    </row>
    <row r="34" spans="1:12" x14ac:dyDescent="0.3">
      <c r="A34" s="2">
        <v>905</v>
      </c>
      <c r="B34" t="s">
        <v>102</v>
      </c>
      <c r="C34" s="2" t="s">
        <v>50</v>
      </c>
      <c r="D34" s="2" t="s">
        <v>51</v>
      </c>
      <c r="E34" s="2" t="s">
        <v>104</v>
      </c>
      <c r="F34" s="2" t="s">
        <v>52</v>
      </c>
      <c r="G34" s="2"/>
      <c r="H34" s="2"/>
      <c r="I34" s="2" t="s">
        <v>20</v>
      </c>
      <c r="J34" s="2"/>
      <c r="K34" t="str">
        <f t="shared" si="0"/>
        <v>905,'LICENCIATURA','coordinacion.nutricion','COORDINACION.NUTRICION','TOMAR DEL SND','PEÑA CAMACHO RODRIGO','','','MASCULINO','','',0,0,'','COORDINADOR'</v>
      </c>
      <c r="L34" t="str">
        <f t="shared" si="1"/>
        <v>INSERT INTO participantes (id,nivel,correo,matricula,clave,nombre,carrera,grado,sexo,situacion,evaluados,num_evaluados,total_evaluaciones,ultimo_acceso,nivel_acceso) VALUES (905,'LICENCIATURA','coordinacion.nutricion','COORDINACION.NUTRICION','TOMAR DEL SND','PEÑA CAMACHO RODRIGO','','','MASCULINO','','',0,0,'','COORDINADOR');</v>
      </c>
    </row>
    <row r="35" spans="1:12" x14ac:dyDescent="0.3">
      <c r="A35" s="2">
        <v>906</v>
      </c>
      <c r="B35" t="s">
        <v>102</v>
      </c>
      <c r="C35" s="2" t="s">
        <v>53</v>
      </c>
      <c r="D35" s="2" t="s">
        <v>54</v>
      </c>
      <c r="E35" s="2" t="s">
        <v>104</v>
      </c>
      <c r="F35" s="2" t="s">
        <v>55</v>
      </c>
      <c r="G35" s="2"/>
      <c r="H35" s="2"/>
      <c r="I35" s="2" t="s">
        <v>20</v>
      </c>
      <c r="J35" s="2"/>
      <c r="K35" t="str">
        <f t="shared" si="0"/>
        <v>906,'LICENCIATURA','profesor.derecho','COORDINACION.DERECHO','TOMAR DEL SND','PINTO POMPA JULIO CESAR','','','MASCULINO','','',0,0,'','COORDINADOR'</v>
      </c>
      <c r="L35" t="str">
        <f t="shared" si="1"/>
        <v>INSERT INTO participantes (id,nivel,correo,matricula,clave,nombre,carrera,grado,sexo,situacion,evaluados,num_evaluados,total_evaluaciones,ultimo_acceso,nivel_acceso) VALUES (906,'LICENCIATURA','profesor.derecho','COORDINACION.DERECHO','TOMAR DEL SND','PINTO POMPA JULIO CESAR','','','MASCULINO','','',0,0,'','COORDINADOR');</v>
      </c>
    </row>
    <row r="36" spans="1:12" x14ac:dyDescent="0.3">
      <c r="A36" s="2">
        <v>907</v>
      </c>
      <c r="B36" t="s">
        <v>102</v>
      </c>
      <c r="C36" s="2" t="s">
        <v>56</v>
      </c>
      <c r="D36" s="2" t="s">
        <v>57</v>
      </c>
      <c r="E36" s="2" t="s">
        <v>104</v>
      </c>
      <c r="F36" s="2" t="s">
        <v>58</v>
      </c>
      <c r="G36" s="2"/>
      <c r="H36" s="2"/>
      <c r="I36" s="2" t="s">
        <v>35</v>
      </c>
      <c r="J36" s="2"/>
      <c r="K36" t="str">
        <f t="shared" si="0"/>
        <v>907,'LICENCIATURA','coordinacion.ingenierias','COORDINACION.INGENIERIAS','TOMAR DEL SND','TEJEDA DAVALOS FABIOLA','','','FEMENINO','','',0,0,'','COORDINADOR'</v>
      </c>
      <c r="L36" t="str">
        <f t="shared" si="1"/>
        <v>INSERT INTO participantes (id,nivel,correo,matricula,clave,nombre,carrera,grado,sexo,situacion,evaluados,num_evaluados,total_evaluaciones,ultimo_acceso,nivel_acceso) VALUES (907,'LICENCIATURA','coordinacion.ingenierias','COORDINACION.INGENIERIAS','TOMAR DEL SND','TEJEDA DAVALOS FABIOLA','','','FEMENINO','','',0,0,'','COORDINADOR');</v>
      </c>
    </row>
    <row r="37" spans="1:12" x14ac:dyDescent="0.3">
      <c r="A37" s="2">
        <v>908</v>
      </c>
      <c r="B37" t="s">
        <v>102</v>
      </c>
      <c r="C37" s="2" t="s">
        <v>59</v>
      </c>
      <c r="D37" s="2" t="s">
        <v>60</v>
      </c>
      <c r="E37" s="2" t="s">
        <v>104</v>
      </c>
      <c r="F37" s="2" t="s">
        <v>61</v>
      </c>
      <c r="G37" s="2"/>
      <c r="H37" s="2"/>
      <c r="I37" s="2" t="s">
        <v>35</v>
      </c>
      <c r="J37" s="2"/>
      <c r="K37" t="str">
        <f t="shared" si="0"/>
        <v>908,'LICENCIATURA','jefatura.ada','COORDINACION.ARQUITECTURA','TOMAR DEL SND','DEL RIO MACIAS MARIELA GUADALUPE','','','FEMENINO','','',0,0,'','COORDINADOR'</v>
      </c>
      <c r="L37" t="str">
        <f t="shared" si="1"/>
        <v>INSERT INTO participantes (id,nivel,correo,matricula,clave,nombre,carrera,grado,sexo,situacion,evaluados,num_evaluados,total_evaluaciones,ultimo_acceso,nivel_acceso) VALUES (908,'LICENCIATURA','jefatura.ada','COORDINACION.ARQUITECTURA','TOMAR DEL SND','DEL RIO MACIAS MARIELA GUADALUPE','','','FEMENINO','','',0,0,'','COORDINADOR');</v>
      </c>
    </row>
    <row r="38" spans="1:12" x14ac:dyDescent="0.3">
      <c r="A38" s="2">
        <v>909</v>
      </c>
      <c r="B38" t="s">
        <v>102</v>
      </c>
      <c r="C38" s="2" t="s">
        <v>62</v>
      </c>
      <c r="D38" s="2" t="s">
        <v>63</v>
      </c>
      <c r="E38" s="2" t="s">
        <v>104</v>
      </c>
      <c r="F38" s="2" t="s">
        <v>64</v>
      </c>
      <c r="G38" s="2"/>
      <c r="H38" s="2"/>
      <c r="I38" s="2" t="s">
        <v>20</v>
      </c>
      <c r="J38" s="2"/>
      <c r="K38" t="str">
        <f t="shared" si="0"/>
        <v>909,'LICENCIATURA','coordinacion.animacion','COORDINACION.ANIMACION','TOMAR DEL SND','VAZQUEZ CARRASCO CHRISTIAN ALAIN','','','MASCULINO','','',0,0,'','COORDINADOR'</v>
      </c>
      <c r="L38" t="str">
        <f t="shared" si="1"/>
        <v>INSERT INTO participantes (id,nivel,correo,matricula,clave,nombre,carrera,grado,sexo,situacion,evaluados,num_evaluados,total_evaluaciones,ultimo_acceso,nivel_acceso) VALUES (909,'LICENCIATURA','coordinacion.animacion','COORDINACION.ANIMACION','TOMAR DEL SND','VAZQUEZ CARRASCO CHRISTIAN ALAIN','','','MASCULINO','','',0,0,'','COORDINADOR');</v>
      </c>
    </row>
    <row r="39" spans="1:12" x14ac:dyDescent="0.3">
      <c r="A39" s="2">
        <v>910</v>
      </c>
      <c r="B39" t="s">
        <v>102</v>
      </c>
      <c r="C39" s="2" t="s">
        <v>65</v>
      </c>
      <c r="D39" s="2" t="s">
        <v>66</v>
      </c>
      <c r="E39" s="2" t="s">
        <v>104</v>
      </c>
      <c r="F39" s="2" t="s">
        <v>67</v>
      </c>
      <c r="G39" s="2"/>
      <c r="H39" s="2"/>
      <c r="I39" s="2" t="s">
        <v>20</v>
      </c>
      <c r="J39" s="2"/>
      <c r="K39" t="str">
        <f t="shared" si="0"/>
        <v>910,'LICENCIATURA','jefatura.ingenierias','JEFATURA.INGENIERIAS','TOMAR DEL SND','RIVERA ROMAN EDWIN CHRISTIAN','','','MASCULINO','','',0,0,'','COORDINADOR'</v>
      </c>
      <c r="L39" t="str">
        <f t="shared" si="1"/>
        <v>INSERT INTO participantes (id,nivel,correo,matricula,clave,nombre,carrera,grado,sexo,situacion,evaluados,num_evaluados,total_evaluaciones,ultimo_acceso,nivel_acceso) VALUES (910,'LICENCIATURA','jefatura.ingenierias','JEFATURA.INGENIERIAS','TOMAR DEL SND','RIVERA ROMAN EDWIN CHRISTIAN','','','MASCULINO','','',0,0,'','COORDINADOR');</v>
      </c>
    </row>
    <row r="40" spans="1:12" x14ac:dyDescent="0.3">
      <c r="A40" s="2">
        <v>911</v>
      </c>
      <c r="B40" t="s">
        <v>102</v>
      </c>
      <c r="C40" s="2" t="s">
        <v>68</v>
      </c>
      <c r="D40" s="2" t="s">
        <v>69</v>
      </c>
      <c r="E40" s="2" t="s">
        <v>104</v>
      </c>
      <c r="F40" s="2" t="s">
        <v>70</v>
      </c>
      <c r="G40" s="2"/>
      <c r="H40" s="2"/>
      <c r="I40" s="2" t="s">
        <v>20</v>
      </c>
      <c r="J40" s="2"/>
      <c r="K40" t="str">
        <f t="shared" si="0"/>
        <v>911,'LICENCIATURA','coordinacion.aeroespacial','COORDINACION.AEROESPACIAL','TOMAR DEL SND','SANTANA ROSAS JUAN MANUEL','','','MASCULINO','','',0,0,'','COORDINADOR'</v>
      </c>
      <c r="L40" t="str">
        <f t="shared" si="1"/>
        <v>INSERT INTO participantes (id,nivel,correo,matricula,clave,nombre,carrera,grado,sexo,situacion,evaluados,num_evaluados,total_evaluaciones,ultimo_acceso,nivel_acceso) VALUES (911,'LICENCIATURA','coordinacion.aeroespacial','COORDINACION.AEROESPACIAL','TOMAR DEL SND','SANTANA ROSAS JUAN MANUEL','','','MASCULINO','','',0,0,'','COORDINADOR');</v>
      </c>
    </row>
    <row r="41" spans="1:12" x14ac:dyDescent="0.3">
      <c r="A41" s="2">
        <v>912</v>
      </c>
      <c r="B41" t="s">
        <v>102</v>
      </c>
      <c r="C41" s="2" t="s">
        <v>96</v>
      </c>
      <c r="D41" s="2" t="s">
        <v>95</v>
      </c>
      <c r="E41" s="2" t="s">
        <v>104</v>
      </c>
      <c r="F41" s="2" t="s">
        <v>97</v>
      </c>
      <c r="G41" s="2"/>
      <c r="H41" s="2"/>
      <c r="I41" s="2" t="s">
        <v>20</v>
      </c>
      <c r="J41" s="2"/>
      <c r="K41" t="str">
        <f t="shared" si="0"/>
        <v>912,'LICENCIATURA','internacional','COORDINACION.IDIOMAS','TOMAR DEL SND','QUIROZ ZEPEDA JUAN PABLO','','','MASCULINO','','',0,0,'','COORDINADOR'</v>
      </c>
      <c r="L41" t="str">
        <f t="shared" si="1"/>
        <v>INSERT INTO participantes (id,nivel,correo,matricula,clave,nombre,carrera,grado,sexo,situacion,evaluados,num_evaluados,total_evaluaciones,ultimo_acceso,nivel_acceso) VALUES (912,'LICENCIATURA','internacional','COORDINACION.IDIOMAS','TOMAR DEL SND','QUIROZ ZEPEDA JUAN PABLO','','','MASCULINO','','',0,0,'','COORDINADOR');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90EBE-4636-4B20-9FC5-90AFAA027A7F}">
  <dimension ref="A1:G16"/>
  <sheetViews>
    <sheetView workbookViewId="0">
      <selection activeCell="G2" sqref="G2:G16"/>
    </sheetView>
  </sheetViews>
  <sheetFormatPr baseColWidth="10" defaultRowHeight="14.4" x14ac:dyDescent="0.3"/>
  <cols>
    <col min="1" max="1" width="3" bestFit="1" customWidth="1"/>
    <col min="2" max="2" width="44.6640625" bestFit="1" customWidth="1"/>
    <col min="3" max="3" width="53.88671875" bestFit="1" customWidth="1"/>
    <col min="4" max="4" width="34.5546875" bestFit="1" customWidth="1"/>
    <col min="5" max="5" width="11.33203125" bestFit="1" customWidth="1"/>
    <col min="6" max="6" width="5.109375" bestFit="1" customWidth="1"/>
  </cols>
  <sheetData>
    <row r="1" spans="1:7" x14ac:dyDescent="0.3">
      <c r="A1" s="2" t="s">
        <v>0</v>
      </c>
      <c r="B1" s="2" t="s">
        <v>71</v>
      </c>
      <c r="C1" s="2" t="s">
        <v>6</v>
      </c>
      <c r="D1" s="2" t="s">
        <v>72</v>
      </c>
      <c r="E1" s="2" t="s">
        <v>8</v>
      </c>
      <c r="F1" s="2" t="s">
        <v>73</v>
      </c>
    </row>
    <row r="2" spans="1:7" x14ac:dyDescent="0.3">
      <c r="A2" s="2">
        <v>1</v>
      </c>
      <c r="B2" s="2" t="s">
        <v>74</v>
      </c>
      <c r="C2" s="2" t="s">
        <v>75</v>
      </c>
      <c r="D2" s="2" t="s">
        <v>46</v>
      </c>
      <c r="E2" s="2" t="s">
        <v>35</v>
      </c>
      <c r="F2" s="2">
        <v>0</v>
      </c>
      <c r="G2" t="str">
        <f>CONCATENATE("INSERT INTO carreras (id,departamento,carrera,coordinador,sexo,sello) VALUES (",A2,",'",B2,"','",C2,"','",D2,"','",E2,"',",F2,");")</f>
        <v>INSERT INTO carreras (id,departamento,carrera,coordinador,sexo,sello) VALUES (1,'CIENCIAS ECONOMICO ADMINISTRATIVAS','ADMINISTRACION Y DIRECCION DE NEGOCIOS','TORRES FERNANDEZ CLAUDIA CECILIA','FEMENINO',0);</v>
      </c>
    </row>
    <row r="3" spans="1:7" x14ac:dyDescent="0.3">
      <c r="A3" s="2">
        <v>2</v>
      </c>
      <c r="B3" s="2" t="s">
        <v>74</v>
      </c>
      <c r="C3" s="2" t="s">
        <v>76</v>
      </c>
      <c r="D3" s="2" t="s">
        <v>46</v>
      </c>
      <c r="E3" s="2" t="s">
        <v>35</v>
      </c>
      <c r="F3" s="2">
        <v>0</v>
      </c>
      <c r="G3" t="str">
        <f t="shared" ref="G3:G16" si="0">CONCATENATE("INSERT INTO carreras (id,departamento,carrera,coordinador,sexo,sello) VALUES (",A3,",'",B3,"','",C3,"','",D3,"','",E3,"',",F3,");")</f>
        <v>INSERT INTO carreras (id,departamento,carrera,coordinador,sexo,sello) VALUES (2,'CIENCIAS ECONOMICO ADMINISTRATIVAS','COMERCIO INTERNACIONAL','TORRES FERNANDEZ CLAUDIA CECILIA','FEMENINO',0);</v>
      </c>
    </row>
    <row r="4" spans="1:7" x14ac:dyDescent="0.3">
      <c r="A4" s="2">
        <v>3</v>
      </c>
      <c r="B4" s="2" t="s">
        <v>74</v>
      </c>
      <c r="C4" s="2" t="s">
        <v>77</v>
      </c>
      <c r="D4" s="2" t="s">
        <v>46</v>
      </c>
      <c r="E4" s="2" t="s">
        <v>35</v>
      </c>
      <c r="F4" s="2">
        <v>0</v>
      </c>
      <c r="G4" t="str">
        <f t="shared" si="0"/>
        <v>INSERT INTO carreras (id,departamento,carrera,coordinador,sexo,sello) VALUES (3,'CIENCIAS ECONOMICO ADMINISTRATIVAS','MERCADOTECNIA Y PUBLICIDAD','TORRES FERNANDEZ CLAUDIA CECILIA','FEMENINO',0);</v>
      </c>
    </row>
    <row r="5" spans="1:7" x14ac:dyDescent="0.3">
      <c r="A5" s="2">
        <v>4</v>
      </c>
      <c r="B5" s="2" t="s">
        <v>78</v>
      </c>
      <c r="C5" s="2" t="s">
        <v>79</v>
      </c>
      <c r="D5" s="2" t="s">
        <v>55</v>
      </c>
      <c r="E5" s="2" t="s">
        <v>20</v>
      </c>
      <c r="F5" s="2">
        <v>0</v>
      </c>
      <c r="G5" t="str">
        <f t="shared" si="0"/>
        <v>INSERT INTO carreras (id,departamento,carrera,coordinador,sexo,sello) VALUES (4,'CIENCIAS SOCIALES, HUMANIDADES Y DE LA SALUD','DERECHO','PINTO POMPA JULIO CESAR','MASCULINO',0);</v>
      </c>
    </row>
    <row r="6" spans="1:7" x14ac:dyDescent="0.3">
      <c r="A6" s="2">
        <v>5</v>
      </c>
      <c r="B6" s="2" t="s">
        <v>78</v>
      </c>
      <c r="C6" s="2" t="s">
        <v>80</v>
      </c>
      <c r="D6" s="2" t="s">
        <v>52</v>
      </c>
      <c r="E6" s="2" t="s">
        <v>20</v>
      </c>
      <c r="F6" s="2">
        <v>0</v>
      </c>
      <c r="G6" t="str">
        <f t="shared" si="0"/>
        <v>INSERT INTO carreras (id,departamento,carrera,coordinador,sexo,sello) VALUES (5,'CIENCIAS SOCIALES, HUMANIDADES Y DE LA SALUD','NUTRICION Y GASTRONOMIA','PEÑA CAMACHO RODRIGO','MASCULINO',0);</v>
      </c>
    </row>
    <row r="7" spans="1:7" x14ac:dyDescent="0.3">
      <c r="A7" s="2">
        <v>6</v>
      </c>
      <c r="B7" s="2" t="s">
        <v>78</v>
      </c>
      <c r="C7" s="2" t="s">
        <v>81</v>
      </c>
      <c r="D7" s="2" t="s">
        <v>49</v>
      </c>
      <c r="E7" s="2" t="s">
        <v>20</v>
      </c>
      <c r="F7" s="2">
        <v>0</v>
      </c>
      <c r="G7" t="str">
        <f t="shared" si="0"/>
        <v>INSERT INTO carreras (id,departamento,carrera,coordinador,sexo,sello) VALUES (6,'CIENCIAS SOCIALES, HUMANIDADES Y DE LA SALUD','PSICOLOGIA','CALERA SUAREZ ALEJANDRO','MASCULINO',0);</v>
      </c>
    </row>
    <row r="8" spans="1:7" x14ac:dyDescent="0.3">
      <c r="A8" s="2">
        <v>7</v>
      </c>
      <c r="B8" s="2" t="s">
        <v>82</v>
      </c>
      <c r="C8" s="2" t="s">
        <v>83</v>
      </c>
      <c r="D8" s="2" t="s">
        <v>64</v>
      </c>
      <c r="E8" s="2" t="s">
        <v>20</v>
      </c>
      <c r="F8" s="2">
        <v>0</v>
      </c>
      <c r="G8" t="str">
        <f t="shared" si="0"/>
        <v>INSERT INTO carreras (id,departamento,carrera,coordinador,sexo,sello) VALUES (7,'DISEÑO Y ARQUITECTURA','ANIMACION DIGITAL Y VIDEOJUEGOS','VAZQUEZ CARRASCO CHRISTIAN ALAIN','MASCULINO',0);</v>
      </c>
    </row>
    <row r="9" spans="1:7" x14ac:dyDescent="0.3">
      <c r="A9" s="2">
        <v>8</v>
      </c>
      <c r="B9" s="2" t="s">
        <v>82</v>
      </c>
      <c r="C9" s="2" t="s">
        <v>84</v>
      </c>
      <c r="D9" s="2" t="s">
        <v>61</v>
      </c>
      <c r="E9" s="2" t="s">
        <v>35</v>
      </c>
      <c r="F9" s="2">
        <v>0</v>
      </c>
      <c r="G9" t="str">
        <f t="shared" si="0"/>
        <v>INSERT INTO carreras (id,departamento,carrera,coordinador,sexo,sello) VALUES (8,'DISEÑO Y ARQUITECTURA','ARQUITECTURA','DEL RIO MACIAS MARIELA GUADALUPE','FEMENINO',0);</v>
      </c>
    </row>
    <row r="10" spans="1:7" x14ac:dyDescent="0.3">
      <c r="A10" s="2">
        <v>9</v>
      </c>
      <c r="B10" s="2" t="s">
        <v>82</v>
      </c>
      <c r="C10" s="2" t="s">
        <v>85</v>
      </c>
      <c r="D10" s="2" t="s">
        <v>61</v>
      </c>
      <c r="E10" s="2" t="s">
        <v>35</v>
      </c>
      <c r="F10" s="2">
        <v>0</v>
      </c>
      <c r="G10" t="str">
        <f t="shared" si="0"/>
        <v>INSERT INTO carreras (id,departamento,carrera,coordinador,sexo,sello) VALUES (9,'DISEÑO Y ARQUITECTURA','DISEÑO GRAFICO Y DIGITAL','DEL RIO MACIAS MARIELA GUADALUPE','FEMENINO',0);</v>
      </c>
    </row>
    <row r="11" spans="1:7" x14ac:dyDescent="0.3">
      <c r="A11" s="2">
        <v>10</v>
      </c>
      <c r="B11" s="2" t="s">
        <v>86</v>
      </c>
      <c r="C11" s="2" t="s">
        <v>87</v>
      </c>
      <c r="D11" s="2" t="s">
        <v>70</v>
      </c>
      <c r="E11" s="2" t="s">
        <v>20</v>
      </c>
      <c r="F11" s="2">
        <v>0</v>
      </c>
      <c r="G11" t="str">
        <f t="shared" si="0"/>
        <v>INSERT INTO carreras (id,departamento,carrera,coordinador,sexo,sello) VALUES (10,'INGENIERIAS','INGENIERIA AEROESPACIAL','SANTANA ROSAS JUAN MANUEL','MASCULINO',0);</v>
      </c>
    </row>
    <row r="12" spans="1:7" x14ac:dyDescent="0.3">
      <c r="A12" s="2">
        <v>11</v>
      </c>
      <c r="B12" s="2" t="s">
        <v>86</v>
      </c>
      <c r="C12" s="2" t="s">
        <v>88</v>
      </c>
      <c r="D12" s="2" t="s">
        <v>58</v>
      </c>
      <c r="E12" s="2" t="s">
        <v>35</v>
      </c>
      <c r="F12" s="2">
        <v>0</v>
      </c>
      <c r="G12" t="str">
        <f t="shared" si="0"/>
        <v>INSERT INTO carreras (id,departamento,carrera,coordinador,sexo,sello) VALUES (11,'INGENIERIAS','INGENIERIA CIBERNETICA Y EN SISTEMAS COMPUTACIONAL...','TEJEDA DAVALOS FABIOLA','FEMENINO',0);</v>
      </c>
    </row>
    <row r="13" spans="1:7" x14ac:dyDescent="0.3">
      <c r="A13" s="2">
        <v>12</v>
      </c>
      <c r="B13" s="2" t="s">
        <v>86</v>
      </c>
      <c r="C13" s="2" t="s">
        <v>89</v>
      </c>
      <c r="D13" s="2" t="s">
        <v>58</v>
      </c>
      <c r="E13" s="2" t="s">
        <v>35</v>
      </c>
      <c r="F13" s="2">
        <v>0</v>
      </c>
      <c r="G13" t="str">
        <f t="shared" si="0"/>
        <v>INSERT INTO carreras (id,departamento,carrera,coordinador,sexo,sello) VALUES (12,'INGENIERIAS','INGENIERIA INDUSTRIAL Y EN SISTEMAS ORGANIZACIONAL...','TEJEDA DAVALOS FABIOLA','FEMENINO',0);</v>
      </c>
    </row>
    <row r="14" spans="1:7" x14ac:dyDescent="0.3">
      <c r="A14" s="2">
        <v>13</v>
      </c>
      <c r="B14" s="2" t="s">
        <v>86</v>
      </c>
      <c r="C14" s="2" t="s">
        <v>91</v>
      </c>
      <c r="D14" s="2" t="s">
        <v>58</v>
      </c>
      <c r="E14" s="2" t="s">
        <v>35</v>
      </c>
      <c r="F14" s="2">
        <v>0</v>
      </c>
      <c r="G14" t="str">
        <f t="shared" si="0"/>
        <v>INSERT INTO carreras (id,departamento,carrera,coordinador,sexo,sello) VALUES (13,'INGENIERIAS','INGENIERIA EN INTELIGENCIA ARTIFICIAL','TEJEDA DAVALOS FABIOLA','FEMENINO',0);</v>
      </c>
    </row>
    <row r="15" spans="1:7" x14ac:dyDescent="0.3">
      <c r="A15" s="2">
        <v>14</v>
      </c>
      <c r="B15" s="2" t="s">
        <v>86</v>
      </c>
      <c r="C15" s="2" t="s">
        <v>92</v>
      </c>
      <c r="D15" s="2" t="s">
        <v>58</v>
      </c>
      <c r="E15" s="2" t="s">
        <v>35</v>
      </c>
      <c r="F15" s="2">
        <v>0</v>
      </c>
      <c r="G15" t="str">
        <f t="shared" si="0"/>
        <v>INSERT INTO carreras (id,departamento,carrera,coordinador,sexo,sello) VALUES (14,'INGENIERIAS','INGENIERIA AUTOMOTRIZ','TEJEDA DAVALOS FABIOLA','FEMENINO',0);</v>
      </c>
    </row>
    <row r="16" spans="1:7" x14ac:dyDescent="0.3">
      <c r="A16" s="2">
        <v>15</v>
      </c>
      <c r="B16" s="2" t="s">
        <v>90</v>
      </c>
      <c r="C16" s="2" t="s">
        <v>100</v>
      </c>
      <c r="D16" s="2" t="s">
        <v>97</v>
      </c>
      <c r="E16" s="2" t="s">
        <v>20</v>
      </c>
      <c r="F16" s="2">
        <v>1</v>
      </c>
      <c r="G16" t="str">
        <f t="shared" si="0"/>
        <v>INSERT INTO carreras (id,departamento,carrera,coordinador,sexo,sello) VALUES (15,'MATERIAS INSTITUCIONALES','IDIOMAS','QUIROZ ZEPEDA JUAN PABLO','MASCULINO',1);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C2970-CFF2-4B0A-ADCE-4676CF80372B}">
  <dimension ref="A1:F19"/>
  <sheetViews>
    <sheetView tabSelected="1" workbookViewId="0">
      <selection activeCell="E2" sqref="E2:E6"/>
    </sheetView>
  </sheetViews>
  <sheetFormatPr baseColWidth="10" defaultRowHeight="14.4" x14ac:dyDescent="0.3"/>
  <cols>
    <col min="1" max="1" width="2.6640625" bestFit="1" customWidth="1"/>
    <col min="2" max="2" width="44.6640625" bestFit="1" customWidth="1"/>
    <col min="3" max="3" width="34.109375" bestFit="1" customWidth="1"/>
    <col min="4" max="4" width="11.33203125" bestFit="1" customWidth="1"/>
  </cols>
  <sheetData>
    <row r="1" spans="1:5" x14ac:dyDescent="0.3">
      <c r="A1" s="1" t="s">
        <v>0</v>
      </c>
      <c r="B1" s="1" t="s">
        <v>71</v>
      </c>
      <c r="C1" s="1" t="s">
        <v>93</v>
      </c>
      <c r="D1" s="1" t="s">
        <v>8</v>
      </c>
    </row>
    <row r="2" spans="1:5" x14ac:dyDescent="0.3">
      <c r="A2" s="2">
        <v>1</v>
      </c>
      <c r="B2" s="2" t="s">
        <v>74</v>
      </c>
      <c r="C2" s="2" t="s">
        <v>67</v>
      </c>
      <c r="D2" s="2" t="s">
        <v>20</v>
      </c>
      <c r="E2" t="str">
        <f>CONCATENATE("INSERT INTO departamentos (id,departamento,jefe,sexo) VALUES (",A2,",'",B2,"','",C2,"','",D2,"');")</f>
        <v>INSERT INTO departamentos (id,departamento,jefe,sexo) VALUES (1,'CIENCIAS ECONOMICO ADMINISTRATIVAS','RIVERA ROMAN EDWIN CHRISTIAN','MASCULINO');</v>
      </c>
    </row>
    <row r="3" spans="1:5" x14ac:dyDescent="0.3">
      <c r="A3" s="2">
        <v>2</v>
      </c>
      <c r="B3" s="2" t="s">
        <v>78</v>
      </c>
      <c r="C3" s="2" t="s">
        <v>49</v>
      </c>
      <c r="D3" s="2" t="s">
        <v>20</v>
      </c>
      <c r="E3" t="str">
        <f t="shared" ref="E3:E6" si="0">CONCATENATE("INSERT INTO departamentos (id,departamento,jefe,sexo) VALUES (",A3,",'",B3,"','",C3,"','",D3,"');")</f>
        <v>INSERT INTO departamentos (id,departamento,jefe,sexo) VALUES (2,'CIENCIAS SOCIALES, HUMANIDADES Y DE LA SALUD','CALERA SUAREZ ALEJANDRO','MASCULINO');</v>
      </c>
    </row>
    <row r="4" spans="1:5" x14ac:dyDescent="0.3">
      <c r="A4" s="2">
        <v>3</v>
      </c>
      <c r="B4" s="2" t="s">
        <v>82</v>
      </c>
      <c r="C4" s="2" t="s">
        <v>61</v>
      </c>
      <c r="D4" s="2" t="s">
        <v>35</v>
      </c>
      <c r="E4" t="str">
        <f t="shared" si="0"/>
        <v>INSERT INTO departamentos (id,departamento,jefe,sexo) VALUES (3,'DISEÑO Y ARQUITECTURA','DEL RIO MACIAS MARIELA GUADALUPE','FEMENINO');</v>
      </c>
    </row>
    <row r="5" spans="1:5" x14ac:dyDescent="0.3">
      <c r="A5" s="2">
        <v>4</v>
      </c>
      <c r="B5" s="2" t="s">
        <v>86</v>
      </c>
      <c r="C5" s="2" t="s">
        <v>67</v>
      </c>
      <c r="D5" s="2" t="s">
        <v>20</v>
      </c>
      <c r="E5" t="str">
        <f t="shared" si="0"/>
        <v>INSERT INTO departamentos (id,departamento,jefe,sexo) VALUES (4,'INGENIERIAS','RIVERA ROMAN EDWIN CHRISTIAN','MASCULINO');</v>
      </c>
    </row>
    <row r="6" spans="1:5" x14ac:dyDescent="0.3">
      <c r="A6" s="2">
        <v>5</v>
      </c>
      <c r="B6" s="2" t="s">
        <v>90</v>
      </c>
      <c r="C6" s="2" t="s">
        <v>42</v>
      </c>
      <c r="D6" s="2" t="s">
        <v>35</v>
      </c>
      <c r="E6" t="str">
        <f t="shared" si="0"/>
        <v>INSERT INTO departamentos (id,departamento,jefe,sexo) VALUES (5,'MATERIAS INSTITUCIONALES','OCEGUERA LOPEZ BEATRIZ ALEJANDRA','FEMENINO');</v>
      </c>
    </row>
    <row r="19" spans="6:6" x14ac:dyDescent="0.3">
      <c r="F19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PARTICIPANTES</vt:lpstr>
      <vt:lpstr>COORDINADORES</vt:lpstr>
      <vt:lpstr>JEFATURAS</vt:lpstr>
    </vt:vector>
  </TitlesOfParts>
  <Company>Educacion Superior Marista, A.C.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HECTOR MANUEL GARCIA ESCOBAR</dc:creator>
  <cp:lastModifiedBy>HECTOR MANUEL GARCIA ESCOBAR</cp:lastModifiedBy>
  <dcterms:created xsi:type="dcterms:W3CDTF">2025-03-20T17:51:02Z</dcterms:created>
  <dcterms:modified xsi:type="dcterms:W3CDTF">2025-03-25T17:54:58Z</dcterms:modified>
</cp:coreProperties>
</file>