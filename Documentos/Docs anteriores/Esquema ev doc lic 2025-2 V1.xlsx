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eva2025ii\Documentos\"/>
    </mc:Choice>
  </mc:AlternateContent>
  <xr:revisionPtr revIDLastSave="0" documentId="13_ncr:1_{20D291AF-89B1-44F2-B14E-4F3EF9DDB283}" xr6:coauthVersionLast="47" xr6:coauthVersionMax="47" xr10:uidLastSave="{00000000-0000-0000-0000-000000000000}"/>
  <bookViews>
    <workbookView xWindow="28680" yWindow="-120" windowWidth="29040" windowHeight="15720" tabRatio="928" activeTab="5" xr2:uid="{00000000-000D-0000-FFFF-FFFF00000000}"/>
  </bookViews>
  <sheets>
    <sheet name="BD ESTUDIANTES" sheetId="16" r:id="rId1"/>
    <sheet name="BD AUTOEVALUACIÓN" sheetId="14" r:id="rId2"/>
    <sheet name="BD COORDINACION" sheetId="15" r:id="rId3"/>
    <sheet name="REPORTE PARA DOCENTE (SC)" sheetId="17" r:id="rId4"/>
    <sheet name="REPORTE PARA DOCENTE (CC)" sheetId="29" r:id="rId5"/>
    <sheet name="REPORTE PA-SUBD" sheetId="19" r:id="rId6"/>
  </sheets>
  <definedNames>
    <definedName name="_xlnm._FilterDatabase" localSheetId="1" hidden="1">'BD AUTOEVALUACIÓN'!$A$1:$Q$8</definedName>
    <definedName name="_xlnm._FilterDatabase" localSheetId="0" hidden="1">'BD ESTUDIANTES'!$A$1:$N$10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4" i="29" l="1"/>
  <c r="G35" i="29"/>
  <c r="E23" i="29"/>
  <c r="F20" i="29"/>
  <c r="F19" i="29"/>
  <c r="F18" i="29"/>
  <c r="D6" i="29"/>
  <c r="D5" i="29"/>
  <c r="E70" i="17"/>
  <c r="E22" i="17"/>
  <c r="F19" i="17"/>
  <c r="F18" i="17"/>
  <c r="F17" i="17"/>
  <c r="M4" i="15"/>
  <c r="L4" i="15"/>
  <c r="K4" i="15"/>
  <c r="F17" i="29" s="1"/>
  <c r="D6" i="17"/>
  <c r="D5" i="17"/>
  <c r="F4" i="15"/>
  <c r="F5" i="15" s="1"/>
  <c r="G4" i="15"/>
  <c r="G5" i="15" s="1"/>
  <c r="H4" i="15"/>
  <c r="I4" i="15"/>
  <c r="I5" i="15" s="1"/>
  <c r="G34" i="17" s="1"/>
  <c r="H5" i="15"/>
  <c r="F16" i="17" l="1"/>
  <c r="E4" i="15"/>
  <c r="E5" i="15" s="1"/>
  <c r="K10" i="14"/>
  <c r="G9" i="14"/>
  <c r="G10" i="14" s="1"/>
  <c r="H9" i="14"/>
  <c r="H10" i="14" s="1"/>
  <c r="I9" i="14"/>
  <c r="I10" i="14" s="1"/>
  <c r="J9" i="14"/>
  <c r="J10" i="14" s="1"/>
  <c r="K9" i="14"/>
  <c r="L9" i="14"/>
  <c r="L10" i="14" s="1"/>
  <c r="M9" i="14"/>
  <c r="M10" i="14" s="1"/>
  <c r="N9" i="14"/>
  <c r="N10" i="14" s="1"/>
  <c r="O9" i="14"/>
  <c r="O10" i="14" s="1"/>
  <c r="F9" i="14"/>
  <c r="F10" i="14" s="1"/>
  <c r="F32" i="17" l="1"/>
  <c r="F33" i="29"/>
  <c r="F35" i="29"/>
  <c r="H35" i="29" s="1"/>
  <c r="F34" i="17"/>
  <c r="H34" i="17" s="1"/>
  <c r="F34" i="29"/>
  <c r="F33" i="17"/>
  <c r="F32" i="29"/>
  <c r="F31" i="17"/>
  <c r="G33" i="17"/>
  <c r="G35" i="17" s="1"/>
  <c r="F21" i="17" s="1"/>
  <c r="G34" i="29"/>
  <c r="G36" i="29" s="1"/>
  <c r="F22" i="29" s="1"/>
  <c r="F29" i="29"/>
  <c r="F28" i="17"/>
  <c r="F35" i="17" s="1"/>
  <c r="F20" i="17" s="1"/>
  <c r="F22" i="17" s="1"/>
  <c r="D7" i="17" s="1"/>
  <c r="F30" i="17"/>
  <c r="H30" i="17" s="1"/>
  <c r="F31" i="29"/>
  <c r="H31" i="29" s="1"/>
  <c r="F29" i="17"/>
  <c r="F30" i="29"/>
  <c r="I9" i="16"/>
  <c r="I10" i="16" s="1"/>
  <c r="J9" i="16"/>
  <c r="J10" i="16" s="1"/>
  <c r="K9" i="16"/>
  <c r="K10" i="16" s="1"/>
  <c r="L9" i="16"/>
  <c r="L10" i="16" s="1"/>
  <c r="M9" i="16"/>
  <c r="M10" i="16" s="1"/>
  <c r="E32" i="17" l="1"/>
  <c r="H32" i="17" s="1"/>
  <c r="E33" i="29"/>
  <c r="H33" i="29" s="1"/>
  <c r="F36" i="29"/>
  <c r="F21" i="29" s="1"/>
  <c r="F23" i="29" s="1"/>
  <c r="D7" i="29" s="1"/>
  <c r="E30" i="29"/>
  <c r="H30" i="29" s="1"/>
  <c r="E29" i="17"/>
  <c r="H29" i="17" s="1"/>
  <c r="E31" i="17"/>
  <c r="H31" i="17" s="1"/>
  <c r="E32" i="29"/>
  <c r="H32" i="29" s="1"/>
  <c r="E34" i="29"/>
  <c r="H34" i="29" s="1"/>
  <c r="E33" i="17"/>
  <c r="H33" i="17" s="1"/>
  <c r="E29" i="29"/>
  <c r="E28" i="17"/>
  <c r="H28" i="17" l="1"/>
  <c r="H35" i="17" s="1"/>
  <c r="E35" i="17"/>
  <c r="H29" i="29"/>
  <c r="H36" i="29" s="1"/>
  <c r="E36" i="29"/>
</calcChain>
</file>

<file path=xl/sharedStrings.xml><?xml version="1.0" encoding="utf-8"?>
<sst xmlns="http://schemas.openxmlformats.org/spreadsheetml/2006/main" count="471" uniqueCount="204">
  <si>
    <t>NOMBRE</t>
  </si>
  <si>
    <t>IDIOMAS</t>
  </si>
  <si>
    <t>7mo</t>
  </si>
  <si>
    <t>GENERAL</t>
  </si>
  <si>
    <t>ANIMACION DIGITAL Y VIDEOJUEGOS</t>
  </si>
  <si>
    <t>FEMENINO</t>
  </si>
  <si>
    <t>DERECHO</t>
  </si>
  <si>
    <t>ARQUITECTURA</t>
  </si>
  <si>
    <t>ADMINISTRACION Y DIRECCION DE NEGOCIOS</t>
  </si>
  <si>
    <t>COMERCIO INTERNACIONAL</t>
  </si>
  <si>
    <t>MERCADOTECNIA Y PUBLICIDAD</t>
  </si>
  <si>
    <t>nada</t>
  </si>
  <si>
    <t>ADMON 7�</t>
  </si>
  <si>
    <t>TC0503 3</t>
  </si>
  <si>
    <t>TC0103 8</t>
  </si>
  <si>
    <t>TC0101 8</t>
  </si>
  <si>
    <t>TC0503 4</t>
  </si>
  <si>
    <t>TC0703 2</t>
  </si>
  <si>
    <t>TC0101 2</t>
  </si>
  <si>
    <t>TC0103 2</t>
  </si>
  <si>
    <t>Marivi es una maestra incre�ble, me gusta que sea mi maestra.</t>
  </si>
  <si>
    <t>ADQUISICIONES Y ABASTECIMIENTO</t>
  </si>
  <si>
    <t>Excelente maestra, nos apoya para seguir aprendiendo y comprendiendo los temas</t>
  </si>
  <si>
    <t>Muy buena maestra. Tiene mucha experiencia en su �rea.</t>
  </si>
  <si>
    <t>GRADO</t>
  </si>
  <si>
    <t>CARRERA</t>
  </si>
  <si>
    <t>GRUPO</t>
  </si>
  <si>
    <t>#</t>
  </si>
  <si>
    <t>SEXO</t>
  </si>
  <si>
    <t>TIPO</t>
  </si>
  <si>
    <t>MATERIA</t>
  </si>
  <si>
    <t>Poner l�mites m�s firmes, de forma clara y tranquila, sobre todo con alumnos que no realicen tareas, asistan a clase, etc</t>
  </si>
  <si>
    <t>Paciencia, fomentar espacios de reflexi�n y di�logo, diversidad de herramientas</t>
  </si>
  <si>
    <t>Poner l�mites m�s firmes, de forma clara y tranquila, sobre todo con alumnos que no realicen tareas, asistan a clase, etc.</t>
  </si>
  <si>
    <t>Mantener el orden en las actividades de di�logo o que se realicen de forma m�s l�dica</t>
  </si>
  <si>
    <t>Flexibilidad con mis estudiantes, usar herramientas y m�todos a partir de sus necesidades, buscar conocimiento actualizado</t>
  </si>
  <si>
    <t>Mantener m�s el orden en las actividades de di�logo o que se realicen de forma m�s l�dica</t>
  </si>
  <si>
    <t>Hacer la clase din�mica, ser flexible con el alumnado, incluir herramientas o m�todos acordes a sus necesidades</t>
  </si>
  <si>
    <t>Seguirme capacitando como docente</t>
  </si>
  <si>
    <t>Escucha a mis alumnos, constante actualizaci�n, diversidad de herramientas para el aprendizaje en clase</t>
  </si>
  <si>
    <t>Muy responsable y excelente maestra.</t>
  </si>
  <si>
    <t>CAPACITACIÓN</t>
  </si>
  <si>
    <t>COMPETENCIA</t>
  </si>
  <si>
    <t>DESCRIPCIÓN</t>
  </si>
  <si>
    <t>ESTUDIANTE</t>
  </si>
  <si>
    <t>DOCENTE</t>
  </si>
  <si>
    <t>COORDINACIÓN</t>
  </si>
  <si>
    <t>COMENTARIOS DE LA COORDINACIÓN</t>
  </si>
  <si>
    <t>Fecha</t>
  </si>
  <si>
    <t>Logo UMG</t>
  </si>
  <si>
    <t>REPORTE DE DOCENTES</t>
  </si>
  <si>
    <t>Ciclo 2025-II</t>
  </si>
  <si>
    <t xml:space="preserve">DOCENTE: </t>
  </si>
  <si>
    <t xml:space="preserve">CARRERA: </t>
  </si>
  <si>
    <t xml:space="preserve">CA.LIFICACIÓN GENERAL: </t>
  </si>
  <si>
    <t>1.Dominio de la disciplina</t>
  </si>
  <si>
    <t xml:space="preserve">Conoce y explica a profundidad los conceptos, teorías, modelos, principios o prácticas del campo disciplinar de su especialidad. </t>
  </si>
  <si>
    <t xml:space="preserve">Tiene experiencia en su campo profesional y la relaciona con los procesos de aprendizaje de las y los estudiantes. </t>
  </si>
  <si>
    <t xml:space="preserve">Se comunica eficazmente con el grupo. </t>
  </si>
  <si>
    <t xml:space="preserve">En su actividad en el aula demuestra manejo de grupo, organización, liderazgo, capacidad de implementar actividades y recursos diversos y congruentes con los objetivos de aprendizaje. </t>
  </si>
  <si>
    <t xml:space="preserve">Anticipa y presenta criterios de evaluación claros, evalúa de manera integral y brinda retroalimentación oportuna. </t>
  </si>
  <si>
    <t xml:space="preserve">Promueve un ambiente respetuoso y libre de violencias, lo que favorece el diálogo y la sana convivencia . Se conduce con respeto hacia todas las personas de la comunidad educativa. </t>
  </si>
  <si>
    <t xml:space="preserve">Promueve los valores maristas, se conduce con honorabilidad e integridad, participa en reuniones, cumple compromisos administrativos y académicos. </t>
  </si>
  <si>
    <t>Promedio de todos los resultados obtenidos</t>
  </si>
  <si>
    <t>Porcentaje alcanzado</t>
  </si>
  <si>
    <t>(1E) El o la docente domina la materia, explica, da ejemplos, resuelve dudas.</t>
  </si>
  <si>
    <t xml:space="preserve">(2E) El o la docente sabe relacionar su experiencia y saberes con mi formación profesional y me invita a vivir los valores maristas. </t>
  </si>
  <si>
    <t xml:space="preserve">(3E) El o la docente sabe enseñar y aprendo cosas útiles que me harán más competente en mi profesión.   </t>
  </si>
  <si>
    <t>(4E) El o la docente me evalúa no solo los conocimientos sino también las habilidades, es decir, lo que debo saber hacer respecto a mi profesión.  decir, lo que debo saber hacer respecto a mi profesión</t>
  </si>
  <si>
    <t>(5E) El o la docente promueve un ambiente respetuoso, motivante y confiable, lo que permite el intercambio de ideas y la sana convivencia.</t>
  </si>
  <si>
    <t>(6E) Comentarios, felicitaciones, sugerencias al docente.</t>
  </si>
  <si>
    <t>(11D) Mis fortalezas como docente son</t>
  </si>
  <si>
    <t>(12D) Mis áreas de mejora como docente son</t>
  </si>
  <si>
    <t>(6C) Comentarios, felicitaciones, sugerencias al docente.</t>
  </si>
  <si>
    <t>¿DE DÓNDE SALIERON LOS NÚMEROS?</t>
  </si>
  <si>
    <t>Resultados de pregunta 1E</t>
  </si>
  <si>
    <t>Promedio de la competencia 1</t>
  </si>
  <si>
    <t>Promedio de la competencia 2</t>
  </si>
  <si>
    <t>Promedio de la competencia 3</t>
  </si>
  <si>
    <t>Promedio de la competencia 4</t>
  </si>
  <si>
    <t>Promedio de la competencia 5</t>
  </si>
  <si>
    <t>Promedio de la competencia 6</t>
  </si>
  <si>
    <t>Promedio de la competencia 7</t>
  </si>
  <si>
    <t>Resultados de pregunta 2E</t>
  </si>
  <si>
    <t>Resultados de pregunta 3E</t>
  </si>
  <si>
    <t>Resultados de pregunta 4E</t>
  </si>
  <si>
    <t>Resultados de pregunta 5E</t>
  </si>
  <si>
    <t>Resultados de pregunta 1D</t>
  </si>
  <si>
    <t>Resultados de pregunta 2D</t>
  </si>
  <si>
    <t>Resultados de pregunta  3D</t>
  </si>
  <si>
    <t>Resultados de pregunta  5D</t>
  </si>
  <si>
    <t>Resultados de pregunta 6D</t>
  </si>
  <si>
    <t>Resultados de pregunta 7D</t>
  </si>
  <si>
    <t>Promedio de los resultados de las preguntas 4D, 8D, 9D y 10D</t>
  </si>
  <si>
    <t>Resultados de pregunta 1C</t>
  </si>
  <si>
    <t>Promedio de los resultados de las preguntas 2C, 3C, 4C y 5C</t>
  </si>
  <si>
    <t>ABREU GÓMEZ DIANA CAROLINA</t>
  </si>
  <si>
    <t>ABREU GOMEZ DIANA CAROLINA</t>
  </si>
  <si>
    <t>ADMINISTRACIÓN Y DIRECCIÓN DE NEGOCIOS</t>
  </si>
  <si>
    <t>COMENTARIOS DE ESTUDIANTES</t>
  </si>
  <si>
    <t>COMENTARIOS DE LA O EL DOCENTE</t>
  </si>
  <si>
    <t>FORTALEZAS</t>
  </si>
  <si>
    <t>ÁREAS DE MEJORA</t>
  </si>
  <si>
    <t xml:space="preserve">Muy buena maestra. Tiene mucha experiencia en su �rea.
Excelente maestra, nos apoya para seguir aprendiendo y comprendiendo los temas
Marivi es una maestra incre�ble, me gusta que sea mi maestra.
</t>
  </si>
  <si>
    <t xml:space="preserve">Escucha a mis alumnos, constante actualizaci�n, diversidad de herramientas para el aprendizaje en clase
Hacer la clase din�mica, ser flexible con el alumnado, incluir herramientas o m�todos acordes a sus necesidades
Flexibilidad con mis estudiantes, usar herramientas y m�todos a partir de sus necesidades, buscar conocimiento actualizado
Paciencia, fomentar espacios de reflexi�n y di�logo, diversidad de herramientas
</t>
  </si>
  <si>
    <t xml:space="preserve">Seguirme capacitando como docente
Mantener el orden en las actividades de di�logo o que se realicen de forma m�s l�dica
Poner l�mites m�s firmes, de forma clara y tranquila, sobre todo con alumnos que no realicen tareas, asistan a clase, etc.
</t>
  </si>
  <si>
    <t>De las respuestas a la pregunta 6E</t>
  </si>
  <si>
    <t>De las respuestas a la pregunta 11D</t>
  </si>
  <si>
    <t>De las respuestas a la pregunta 12D</t>
  </si>
  <si>
    <t>De las respuestas a la pregunta 6C</t>
  </si>
  <si>
    <t xml:space="preserve">REPORTE DE DOCENTES PARA SUBDIRECCIÓN </t>
  </si>
  <si>
    <t>PARTICIPACIÓN</t>
  </si>
  <si>
    <t>INTELIGENCIA ARTIFICIAL</t>
  </si>
  <si>
    <t>INDUSTRIAL Y EN SISTEMAS ORGANIZACIONALES</t>
  </si>
  <si>
    <t>CIBERNÉTICA Y EN SISTEMAS COMPUTACIONALES</t>
  </si>
  <si>
    <t>AUTOMOTRIZ</t>
  </si>
  <si>
    <t>AEROESPACIAL</t>
  </si>
  <si>
    <t>PSICOLOGÍA</t>
  </si>
  <si>
    <t>NUTRICIÓN Y GASTRONOMÍA</t>
  </si>
  <si>
    <t>DISEÑO GRÁFICO Y DIGITAL</t>
  </si>
  <si>
    <t>ANIMACIÓN DIGITAL Y VIDEOJUEGOS</t>
  </si>
  <si>
    <t>PORCENTAJE DE PARTICIPACIÓN DE ESTUDIANTES</t>
  </si>
  <si>
    <t>AUTOEVALUACIÓN</t>
  </si>
  <si>
    <t>RESULTADOS</t>
  </si>
  <si>
    <t>TOTALES</t>
  </si>
  <si>
    <t>|</t>
  </si>
  <si>
    <t>EVALUACIÓN INTEGRADA</t>
  </si>
  <si>
    <t>ENTREGA Y EVALUACIÓN DE LA PLANEACIÓN DIDÁCTICA</t>
  </si>
  <si>
    <t>ACOMPAÑAMEINTO DEL PROCESO ENSEÑANZA APRENDIZAJE</t>
  </si>
  <si>
    <t>EVALUACIÓN POR PARTE DE ESTUDIANTES</t>
  </si>
  <si>
    <t xml:space="preserve">EVALUACIÓN POR PARTE DE LA COORDINACIÓN </t>
  </si>
  <si>
    <t>PONDERACIÓN</t>
  </si>
  <si>
    <t xml:space="preserve">RESULTADOS OBTENIDOS </t>
  </si>
  <si>
    <t>Se captura calificación máxima de 10</t>
  </si>
  <si>
    <t>Se captura calificación máxima de 15</t>
  </si>
  <si>
    <t>Se captura calificación máxima de 20</t>
  </si>
  <si>
    <t>TOTAL</t>
  </si>
  <si>
    <t xml:space="preserve">RESULTADO DE EVALUACIÓN INTEGRADA: </t>
  </si>
  <si>
    <t>RESULTADOS POR COMPETENCIA</t>
  </si>
  <si>
    <t xml:space="preserve">2.Vinculación profesional </t>
  </si>
  <si>
    <t xml:space="preserve">3.Comunicación </t>
  </si>
  <si>
    <t xml:space="preserve">4.Mediación de los aprendizajes </t>
  </si>
  <si>
    <t>6.Generación de ambientes seguros</t>
  </si>
  <si>
    <t>7.Compromiso institucional</t>
  </si>
  <si>
    <t>5.Evaluación de los aprendizajes</t>
  </si>
  <si>
    <t>7. Compromiso institucional</t>
  </si>
  <si>
    <t>Promedio de calificaciones dadas por el docente en su autoevaluación.</t>
  </si>
  <si>
    <t xml:space="preserve">Promedio de calificaciones dadas por la coordinación </t>
  </si>
  <si>
    <t>Promedio de resultados de todas las competencias</t>
  </si>
  <si>
    <t>Dato directo de la pregunta 7C</t>
  </si>
  <si>
    <t>Dato directo de la pregunta 8C</t>
  </si>
  <si>
    <t>Dato directo de la pregunta 9C</t>
  </si>
  <si>
    <t xml:space="preserve">Promedio de calificaciones dadas por estudiantes </t>
  </si>
  <si>
    <t xml:space="preserve">Promedio de calificaciones dadas por estudiantes a un docente, por 20 entre 100 (regla de 3) </t>
  </si>
  <si>
    <t xml:space="preserve">Promedio de calificaciones dadas por el docente en su autoevaluación, por 10 entre 100 (regla de 3) </t>
  </si>
  <si>
    <t xml:space="preserve">Promedio de calificaciones dadas por la coordinación a un docente, por 25 entre 100 (regla de 3) </t>
  </si>
  <si>
    <t xml:space="preserve">SUMA de resultados obtenidos </t>
  </si>
  <si>
    <t>Suma final de la tabla "evaluación integrada"</t>
  </si>
  <si>
    <t>EVALUACIÓN POR COMPETENCIAS</t>
  </si>
  <si>
    <t xml:space="preserve">le invitamos a reflexionar sobre estos resultados y a identificar posibles áreas de mejora como una oportunidad para fortalecer su práctica docente. En la parte inferior encontrará un espacio destinado a la formulación de sus compromisos para la mejora integral. 
Agradecemos profundamente su compromiso con la excelencia educativa. Quedamos a su disposición para brindarle el apoyo adicional que considere necesario. </t>
  </si>
  <si>
    <t xml:space="preserve">Atentamente, </t>
  </si>
  <si>
    <t xml:space="preserve">Nombre de la Jefatura académica </t>
  </si>
  <si>
    <t xml:space="preserve">Compromisos para la mejora integral: </t>
  </si>
  <si>
    <t xml:space="preserve">La evaluación integrada presenta los resultados obtenidos en cada una de las etapas de la Ruta de Desarrollo Integral Docente. Puede haber variaciones respecto a la evaluación de competencias debido a la ponderación diferenciada. </t>
  </si>
  <si>
    <t xml:space="preserve">Le invitamos a reflexionar sobre estos resultados y a identificar posibles áreas de mejora como una oportunidad para fortalecer su práctica docente. En la parte inferior encontrará un espacio destinado a la formulación de sus compromisos para la mejora integral. 
Agradecemos profundamente su compromiso con la excelencia educativa. Quedamos a su disposición para brindarle el apoyo adicional que considere necesario. </t>
  </si>
  <si>
    <t>Capacitación</t>
  </si>
  <si>
    <t>Entrega y evaluación de la planeación didáctica</t>
  </si>
  <si>
    <t>Acompañamiento del proceso enseñanza-aprendizaje</t>
  </si>
  <si>
    <t>Evaluación por parte de las y los estudiantes</t>
  </si>
  <si>
    <t>Autoevaluación</t>
  </si>
  <si>
    <t>Evaluación por parte de  la coordinación</t>
  </si>
  <si>
    <t>ETAPA RUDID</t>
  </si>
  <si>
    <t>Número de docentes que respondieron en su totalidad, entre número total de estudiantes, por cien</t>
  </si>
  <si>
    <t>Número de estudiantes que respondieron en su totalidad, entre número total de estudiantes, por cien</t>
  </si>
  <si>
    <t>PORCENTAJE DE PARTICIPACIÓN DE DOCENTES</t>
  </si>
  <si>
    <t>PORCENTAJE DE DOCENTES EVALUADOS POR LA COORDINACIÓN</t>
  </si>
  <si>
    <t>Número de evaluaciones respondidas en su totalidad entre número de docentes del área, por cien.</t>
  </si>
  <si>
    <t>Promedio de resultados de 7C</t>
  </si>
  <si>
    <t>Promedio de resultados de 8C</t>
  </si>
  <si>
    <t>Promedio de resultados de 9C</t>
  </si>
  <si>
    <t xml:space="preserve">Promedio de calificaciones dadas por estudiantes de una carrera, a un docente, por 20 entre 100 (regla de 3). O bien, promedio de los resultados de la tabla Evaluación integrada" por carrera. </t>
  </si>
  <si>
    <t xml:space="preserve">Promedio de calificaciones dadas por la coordinación a un docente, por 25 entre 100 (regla de 3). O bien, promedio de los resultados de la tabla Evaluación integrada" por carrera. </t>
  </si>
  <si>
    <t xml:space="preserve">Promedio de calificaciones dadas por el docente en su autoevaluación, por 10 entre 100 (regla de 3). O bien, promedio de los resultados de la tabla Evaluación integrada" por carrera. </t>
  </si>
  <si>
    <t>Promedio de los resultados de la tabla evaluación por competencias, por carrera.</t>
  </si>
  <si>
    <t>NO CONVERTIR A PORCENTAJE</t>
  </si>
  <si>
    <t>(1D) Tengo dominio sobre los contenidos de aprendizaje de la materia a mi cargo:  conceptos, teorías, modelos, principios, prácticas, dentro de mi campo profesional.</t>
  </si>
  <si>
    <t>(2D) Relaciono mi experiencia profesional con los procesos de aprendizaje para la inserción laboral o social de las y los estudiantes.</t>
  </si>
  <si>
    <t>(3D) Me comunico eficientemente con mis estudiantes. Si la materia así lo exige, utilizo tecnologías de la información y comunicación.</t>
  </si>
  <si>
    <t>(4D) Comunico e invito a mis estudiantes a conducirse con ética profesional.</t>
  </si>
  <si>
    <t>(5D) Aplico estrategias metodológicas acordes con las características de los estudiantes y los objetivos de aprendizaje.</t>
  </si>
  <si>
    <t>(6D) Aplico estrategias, criterios y mecanismos de evaluación de forma integral y con perspectiva formativa.</t>
  </si>
  <si>
    <t>(7D) Promuevo con mis estudiantes un ambiente respetuoso, motivante y confiable, lo que permite el intercambio de ideas, el diálogo académico y la sana convivencia.</t>
  </si>
  <si>
    <t>(8D) Me conduzco eficaz y oportunamente en los entornos físicos, en las relaciones interpersonales y en los procesos relacionados con la función docente atendiendo las disposiciones institucionales y contribuyendo en los procesos de mejora continua.</t>
  </si>
  <si>
    <t>(9D) Me conduzco con honorabilidad, respeto a los derechos humanos y sentido de contribución con el logro de los valores institucionales.</t>
  </si>
  <si>
    <t>(10D) Participo en las reuniones de colegio de docentes. Si por razones de causa mayor no puedo asistir, solicito la información compartida.</t>
  </si>
  <si>
    <t>(1C) El o la docente se conduce de manera respetuosa al relacionarse con las personas de todas las áreas de la Universidad, sin tener registro a la fecha de algún reporte de comportamiento inadecuado.</t>
  </si>
  <si>
    <t>(2C) El o la docente  se conduce siempre bajo los principios de integridad académica.</t>
  </si>
  <si>
    <t>(3C) El o la docente  cumple asiduamente sus compromisos como prestador de servicios: puntualidad/asistencia, atención a solicitudes administrativas como entrega de documentación, etc.</t>
  </si>
  <si>
    <t>(4C) El o la docente  cumple asiduamente sus compromisos en procesos académicos, como captura de calificaciones, entrega de planeaciones, entre otros.</t>
  </si>
  <si>
    <t>(5C) El o la docente  participa en reuniones del colegio de carrera.</t>
  </si>
  <si>
    <t>(7C) Calificación de capacitación (solo dígitos, máximo 10)</t>
  </si>
  <si>
    <t>(8C) Calificación de planeación didáctica (solo dígitos, máximo 15)</t>
  </si>
  <si>
    <t>(9C) Calificación de acompañamiento proceso enseñanza aprendizaje (solo dígitos, máximo 20)</t>
  </si>
  <si>
    <t>SELLO (INSTITUCIONALES)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</si>
</sst>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name val="Calibri"/>
    </font>
    <font>
      <sz val="11"/>
      <name val="Calibri"/>
      <family val="2"/>
    </font>
    <font>
      <sz val="5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sz val="11"/>
      <color rgb="FF000000"/>
      <name val="Aptos Narrow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 applyFont="1" applyFill="1" applyBorder="1"/>
    <xf numFmtId="0" fontId="0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1" fillId="0" borderId="1" xfId="0" applyFont="1" applyFill="1" applyBorder="1"/>
    <xf numFmtId="0" fontId="0" fillId="0" borderId="1" xfId="0" applyFont="1" applyFill="1" applyBorder="1"/>
    <xf numFmtId="0" fontId="2" fillId="0" borderId="1" xfId="0" applyFont="1" applyFill="1" applyBorder="1" applyAlignment="1">
      <alignment wrapText="1"/>
    </xf>
    <xf numFmtId="1" fontId="0" fillId="0" borderId="0" xfId="0" applyNumberFormat="1" applyFont="1" applyFill="1" applyBorder="1"/>
    <xf numFmtId="0" fontId="4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164" fontId="0" fillId="0" borderId="0" xfId="0" applyNumberFormat="1" applyFont="1" applyFill="1" applyBorder="1"/>
    <xf numFmtId="0" fontId="0" fillId="0" borderId="3" xfId="0" applyFont="1" applyFill="1" applyBorder="1"/>
    <xf numFmtId="0" fontId="3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0" fillId="0" borderId="0" xfId="0" applyFont="1" applyFill="1" applyBorder="1"/>
    <xf numFmtId="1" fontId="0" fillId="0" borderId="1" xfId="0" applyNumberFormat="1" applyFont="1" applyFill="1" applyBorder="1"/>
    <xf numFmtId="0" fontId="4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wrapText="1"/>
    </xf>
    <xf numFmtId="0" fontId="6" fillId="0" borderId="8" xfId="0" applyFont="1" applyFill="1" applyBorder="1" applyAlignment="1">
      <alignment wrapText="1"/>
    </xf>
    <xf numFmtId="0" fontId="6" fillId="0" borderId="5" xfId="0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1" xfId="0" applyFont="1" applyFill="1" applyBorder="1"/>
    <xf numFmtId="0" fontId="1" fillId="0" borderId="1" xfId="0" applyFont="1" applyFill="1" applyBorder="1" applyAlignment="1">
      <alignment wrapText="1"/>
    </xf>
    <xf numFmtId="164" fontId="0" fillId="0" borderId="1" xfId="0" applyNumberFormat="1" applyFont="1" applyFill="1" applyBorder="1"/>
    <xf numFmtId="0" fontId="0" fillId="2" borderId="0" xfId="0" applyFont="1" applyFill="1" applyBorder="1"/>
    <xf numFmtId="164" fontId="0" fillId="2" borderId="0" xfId="0" applyNumberFormat="1" applyFont="1" applyFill="1" applyBorder="1"/>
    <xf numFmtId="1" fontId="0" fillId="2" borderId="0" xfId="0" applyNumberFormat="1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wrapText="1"/>
    </xf>
    <xf numFmtId="1" fontId="0" fillId="0" borderId="3" xfId="0" applyNumberFormat="1" applyFont="1" applyFill="1" applyBorder="1"/>
    <xf numFmtId="0" fontId="2" fillId="0" borderId="3" xfId="0" applyFont="1" applyFill="1" applyBorder="1" applyAlignment="1">
      <alignment wrapText="1"/>
    </xf>
    <xf numFmtId="2" fontId="0" fillId="2" borderId="0" xfId="0" applyNumberFormat="1" applyFont="1" applyFill="1" applyBorder="1"/>
    <xf numFmtId="1" fontId="7" fillId="0" borderId="1" xfId="0" applyNumberFormat="1" applyFont="1" applyFill="1" applyBorder="1" applyAlignment="1">
      <alignment wrapText="1"/>
    </xf>
    <xf numFmtId="0" fontId="7" fillId="4" borderId="1" xfId="0" applyFont="1" applyFill="1" applyBorder="1"/>
    <xf numFmtId="0" fontId="1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left" wrapText="1"/>
    </xf>
    <xf numFmtId="0" fontId="6" fillId="0" borderId="11" xfId="0" applyFont="1" applyFill="1" applyBorder="1" applyAlignment="1">
      <alignment wrapText="1"/>
    </xf>
    <xf numFmtId="0" fontId="0" fillId="3" borderId="0" xfId="0" applyFont="1" applyFill="1" applyBorder="1"/>
    <xf numFmtId="9" fontId="0" fillId="0" borderId="1" xfId="0" applyNumberFormat="1" applyFont="1" applyFill="1" applyBorder="1"/>
    <xf numFmtId="164" fontId="1" fillId="2" borderId="0" xfId="0" applyNumberFormat="1" applyFont="1" applyFill="1" applyBorder="1" applyAlignment="1">
      <alignment wrapText="1"/>
    </xf>
    <xf numFmtId="0" fontId="0" fillId="3" borderId="1" xfId="0" applyFont="1" applyFill="1" applyBorder="1"/>
    <xf numFmtId="0" fontId="0" fillId="3" borderId="3" xfId="0" applyFont="1" applyFill="1" applyBorder="1"/>
    <xf numFmtId="164" fontId="7" fillId="0" borderId="1" xfId="0" applyNumberFormat="1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164" fontId="1" fillId="0" borderId="0" xfId="0" applyNumberFormat="1" applyFont="1" applyFill="1" applyBorder="1"/>
    <xf numFmtId="0" fontId="8" fillId="0" borderId="0" xfId="0" applyFont="1" applyFill="1" applyBorder="1"/>
    <xf numFmtId="164" fontId="7" fillId="0" borderId="0" xfId="0" applyNumberFormat="1" applyFont="1" applyFill="1" applyBorder="1"/>
    <xf numFmtId="164" fontId="4" fillId="0" borderId="1" xfId="0" applyNumberFormat="1" applyFont="1" applyFill="1" applyBorder="1"/>
    <xf numFmtId="0" fontId="1" fillId="0" borderId="1" xfId="0" applyFont="1" applyFill="1" applyBorder="1" applyAlignment="1">
      <alignment horizontal="center" wrapText="1"/>
    </xf>
    <xf numFmtId="0" fontId="0" fillId="0" borderId="6" xfId="0" applyFont="1" applyFill="1" applyBorder="1"/>
    <xf numFmtId="0" fontId="1" fillId="0" borderId="1" xfId="0" applyFont="1" applyFill="1" applyBorder="1" applyAlignment="1">
      <alignment textRotation="90" wrapText="1"/>
    </xf>
    <xf numFmtId="0" fontId="4" fillId="0" borderId="6" xfId="0" applyFont="1" applyFill="1" applyBorder="1"/>
    <xf numFmtId="0" fontId="4" fillId="0" borderId="6" xfId="0" applyFont="1" applyFill="1" applyBorder="1" applyAlignment="1">
      <alignment horizontal="left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0" fillId="5" borderId="1" xfId="0" applyFont="1" applyFill="1" applyBorder="1"/>
    <xf numFmtId="0" fontId="6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1" fontId="7" fillId="4" borderId="1" xfId="0" applyNumberFormat="1" applyFont="1" applyFill="1" applyBorder="1" applyAlignment="1">
      <alignment wrapText="1"/>
    </xf>
    <xf numFmtId="0" fontId="1" fillId="2" borderId="0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12" xfId="0" applyFont="1" applyFill="1" applyBorder="1" applyAlignment="1">
      <alignment horizontal="left" vertical="top"/>
    </xf>
    <xf numFmtId="0" fontId="0" fillId="0" borderId="13" xfId="0" applyFont="1" applyFill="1" applyBorder="1" applyAlignment="1">
      <alignment horizontal="left" vertical="top"/>
    </xf>
    <xf numFmtId="0" fontId="0" fillId="0" borderId="14" xfId="0" applyFont="1" applyFill="1" applyBorder="1" applyAlignment="1">
      <alignment horizontal="left" vertical="top"/>
    </xf>
    <xf numFmtId="0" fontId="0" fillId="0" borderId="15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16" xfId="0" applyFont="1" applyFill="1" applyBorder="1" applyAlignment="1">
      <alignment horizontal="left" vertical="top"/>
    </xf>
    <xf numFmtId="0" fontId="0" fillId="0" borderId="17" xfId="0" applyFont="1" applyFill="1" applyBorder="1" applyAlignment="1">
      <alignment horizontal="left" vertical="top"/>
    </xf>
    <xf numFmtId="0" fontId="0" fillId="0" borderId="18" xfId="0" applyFont="1" applyFill="1" applyBorder="1" applyAlignment="1">
      <alignment horizontal="left" vertical="top"/>
    </xf>
    <xf numFmtId="0" fontId="0" fillId="0" borderId="19" xfId="0" applyFont="1" applyFill="1" applyBorder="1" applyAlignment="1">
      <alignment horizontal="left" vertical="top"/>
    </xf>
    <xf numFmtId="0" fontId="6" fillId="0" borderId="6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 wrapText="1"/>
    </xf>
    <xf numFmtId="0" fontId="0" fillId="0" borderId="9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293077</xdr:colOff>
      <xdr:row>26</xdr:row>
      <xdr:rowOff>18318</xdr:rowOff>
    </xdr:from>
    <xdr:to>
      <xdr:col>7</xdr:col>
      <xdr:colOff>1099039</xdr:colOff>
      <xdr:row>29</xdr:row>
      <xdr:rowOff>128221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B46B5EF-21A0-4842-9D3F-35273C7247A0}"/>
            </a:ext>
          </a:extLst>
        </xdr:cNvPr>
        <xdr:cNvSpPr txBox="1"/>
      </xdr:nvSpPr>
      <xdr:spPr>
        <a:xfrm>
          <a:off x="3590192" y="7748222"/>
          <a:ext cx="7418510" cy="6594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solidFill>
                <a:srgbClr val="FF0000"/>
              </a:solidFill>
            </a:rPr>
            <a:t>Lo que está en rojo se repite en el resto de la tabla, según la carrera</a:t>
          </a:r>
          <a:r>
            <a:rPr lang="es-MX" sz="1400" baseline="0">
              <a:solidFill>
                <a:srgbClr val="FF0000"/>
              </a:solidFill>
            </a:rPr>
            <a:t> de la que se trate. </a:t>
          </a:r>
          <a:endParaRPr lang="es-MX" sz="14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="70" zoomScaleNormal="70" workbookViewId="0">
      <selection activeCell="A14" sqref="A14"/>
    </sheetView>
  </sheetViews>
  <sheetFormatPr baseColWidth="10" defaultColWidth="11.5546875" defaultRowHeight="14.4"/>
  <cols>
    <col min="1" max="1" width="10.109375" style="14" customWidth="1"/>
    <col min="2" max="2" width="13.44140625" style="14" customWidth="1"/>
    <col min="3" max="3" width="32.5546875" style="14" customWidth="1"/>
    <col min="4" max="4" width="36.109375" style="14" customWidth="1"/>
    <col min="5" max="5" width="11.21875" style="14" customWidth="1"/>
    <col min="6" max="6" width="12.109375" style="14" customWidth="1"/>
    <col min="7" max="7" width="72.6640625" style="14" customWidth="1"/>
    <col min="8" max="8" width="6.6640625" style="14" customWidth="1"/>
    <col min="9" max="13" width="20.6640625" style="14" customWidth="1"/>
    <col min="14" max="14" width="54" style="2" customWidth="1"/>
    <col min="15" max="15" width="48.44140625" style="14" customWidth="1"/>
    <col min="16" max="16384" width="11.5546875" style="14"/>
  </cols>
  <sheetData>
    <row r="1" spans="1:14" ht="158.4">
      <c r="A1" s="22" t="s">
        <v>27</v>
      </c>
      <c r="B1" s="22" t="s">
        <v>26</v>
      </c>
      <c r="C1" s="22" t="s">
        <v>0</v>
      </c>
      <c r="D1" s="22" t="s">
        <v>30</v>
      </c>
      <c r="E1" s="22" t="s">
        <v>29</v>
      </c>
      <c r="F1" s="22" t="s">
        <v>28</v>
      </c>
      <c r="G1" s="22" t="s">
        <v>25</v>
      </c>
      <c r="H1" s="22" t="s">
        <v>24</v>
      </c>
      <c r="I1" s="60" t="s">
        <v>65</v>
      </c>
      <c r="J1" s="60" t="s">
        <v>66</v>
      </c>
      <c r="K1" s="60" t="s">
        <v>67</v>
      </c>
      <c r="L1" s="60" t="s">
        <v>68</v>
      </c>
      <c r="M1" s="60" t="s">
        <v>69</v>
      </c>
      <c r="N1" s="60" t="s">
        <v>70</v>
      </c>
    </row>
    <row r="2" spans="1:14">
      <c r="A2" s="15">
        <v>294</v>
      </c>
      <c r="B2" s="4" t="s">
        <v>12</v>
      </c>
      <c r="C2" s="3" t="s">
        <v>96</v>
      </c>
      <c r="D2" s="4" t="s">
        <v>21</v>
      </c>
      <c r="E2" s="4" t="s">
        <v>3</v>
      </c>
      <c r="F2" s="4" t="s">
        <v>5</v>
      </c>
      <c r="G2" s="4" t="s">
        <v>8</v>
      </c>
      <c r="H2" s="4" t="s">
        <v>2</v>
      </c>
      <c r="I2" s="15">
        <v>4</v>
      </c>
      <c r="J2" s="15">
        <v>4</v>
      </c>
      <c r="K2" s="15">
        <v>4</v>
      </c>
      <c r="L2" s="15">
        <v>4</v>
      </c>
      <c r="M2" s="15">
        <v>4</v>
      </c>
      <c r="N2" s="5"/>
    </row>
    <row r="3" spans="1:14">
      <c r="A3" s="15">
        <v>1874</v>
      </c>
      <c r="B3" s="4" t="s">
        <v>12</v>
      </c>
      <c r="C3" s="3" t="s">
        <v>96</v>
      </c>
      <c r="D3" s="4" t="s">
        <v>21</v>
      </c>
      <c r="E3" s="4" t="s">
        <v>3</v>
      </c>
      <c r="F3" s="4" t="s">
        <v>5</v>
      </c>
      <c r="G3" s="4" t="s">
        <v>8</v>
      </c>
      <c r="H3" s="4" t="s">
        <v>2</v>
      </c>
      <c r="I3" s="15">
        <v>4</v>
      </c>
      <c r="J3" s="15">
        <v>4</v>
      </c>
      <c r="K3" s="15">
        <v>4</v>
      </c>
      <c r="L3" s="15">
        <v>4</v>
      </c>
      <c r="M3" s="15">
        <v>4</v>
      </c>
      <c r="N3" s="5" t="s">
        <v>23</v>
      </c>
    </row>
    <row r="4" spans="1:14">
      <c r="A4" s="15">
        <v>2059</v>
      </c>
      <c r="B4" s="4" t="s">
        <v>12</v>
      </c>
      <c r="C4" s="3" t="s">
        <v>96</v>
      </c>
      <c r="D4" s="4" t="s">
        <v>21</v>
      </c>
      <c r="E4" s="4" t="s">
        <v>3</v>
      </c>
      <c r="F4" s="4" t="s">
        <v>5</v>
      </c>
      <c r="G4" s="4" t="s">
        <v>8</v>
      </c>
      <c r="H4" s="4" t="s">
        <v>2</v>
      </c>
      <c r="I4" s="15">
        <v>3</v>
      </c>
      <c r="J4" s="15">
        <v>2</v>
      </c>
      <c r="K4" s="15">
        <v>2</v>
      </c>
      <c r="L4" s="15">
        <v>1</v>
      </c>
      <c r="M4" s="15">
        <v>2</v>
      </c>
      <c r="N4" s="5"/>
    </row>
    <row r="5" spans="1:14">
      <c r="A5" s="15">
        <v>2066</v>
      </c>
      <c r="B5" s="4" t="s">
        <v>12</v>
      </c>
      <c r="C5" s="3" t="s">
        <v>96</v>
      </c>
      <c r="D5" s="4" t="s">
        <v>21</v>
      </c>
      <c r="E5" s="4" t="s">
        <v>3</v>
      </c>
      <c r="F5" s="4" t="s">
        <v>5</v>
      </c>
      <c r="G5" s="4" t="s">
        <v>8</v>
      </c>
      <c r="H5" s="4" t="s">
        <v>2</v>
      </c>
      <c r="I5" s="15">
        <v>4</v>
      </c>
      <c r="J5" s="15">
        <v>4</v>
      </c>
      <c r="K5" s="15">
        <v>4</v>
      </c>
      <c r="L5" s="15">
        <v>4</v>
      </c>
      <c r="M5" s="15">
        <v>4</v>
      </c>
      <c r="N5" s="5" t="s">
        <v>22</v>
      </c>
    </row>
    <row r="6" spans="1:14">
      <c r="A6" s="15">
        <v>2075</v>
      </c>
      <c r="B6" s="4" t="s">
        <v>12</v>
      </c>
      <c r="C6" s="3" t="s">
        <v>96</v>
      </c>
      <c r="D6" s="4" t="s">
        <v>21</v>
      </c>
      <c r="E6" s="4" t="s">
        <v>3</v>
      </c>
      <c r="F6" s="4" t="s">
        <v>5</v>
      </c>
      <c r="G6" s="4" t="s">
        <v>8</v>
      </c>
      <c r="H6" s="4" t="s">
        <v>2</v>
      </c>
      <c r="I6" s="15">
        <v>4</v>
      </c>
      <c r="J6" s="15">
        <v>4</v>
      </c>
      <c r="K6" s="15">
        <v>4</v>
      </c>
      <c r="L6" s="15">
        <v>4</v>
      </c>
      <c r="M6" s="15">
        <v>4</v>
      </c>
      <c r="N6" s="5"/>
    </row>
    <row r="7" spans="1:14">
      <c r="A7" s="15">
        <v>2080</v>
      </c>
      <c r="B7" s="4" t="s">
        <v>12</v>
      </c>
      <c r="C7" s="3" t="s">
        <v>96</v>
      </c>
      <c r="D7" s="4" t="s">
        <v>21</v>
      </c>
      <c r="E7" s="4" t="s">
        <v>3</v>
      </c>
      <c r="F7" s="4" t="s">
        <v>5</v>
      </c>
      <c r="G7" s="4" t="s">
        <v>8</v>
      </c>
      <c r="H7" s="4" t="s">
        <v>2</v>
      </c>
      <c r="I7" s="15">
        <v>4</v>
      </c>
      <c r="J7" s="15">
        <v>4</v>
      </c>
      <c r="K7" s="15">
        <v>4</v>
      </c>
      <c r="L7" s="15">
        <v>4</v>
      </c>
      <c r="M7" s="15">
        <v>4</v>
      </c>
      <c r="N7" s="5"/>
    </row>
    <row r="8" spans="1:14">
      <c r="A8" s="30">
        <v>2097</v>
      </c>
      <c r="B8" s="11" t="s">
        <v>12</v>
      </c>
      <c r="C8" s="3" t="s">
        <v>96</v>
      </c>
      <c r="D8" s="11" t="s">
        <v>21</v>
      </c>
      <c r="E8" s="11" t="s">
        <v>3</v>
      </c>
      <c r="F8" s="11" t="s">
        <v>5</v>
      </c>
      <c r="G8" s="11" t="s">
        <v>8</v>
      </c>
      <c r="H8" s="11" t="s">
        <v>2</v>
      </c>
      <c r="I8" s="30">
        <v>4</v>
      </c>
      <c r="J8" s="30">
        <v>4</v>
      </c>
      <c r="K8" s="30">
        <v>4</v>
      </c>
      <c r="L8" s="30">
        <v>4</v>
      </c>
      <c r="M8" s="30">
        <v>4</v>
      </c>
      <c r="N8" s="31" t="s">
        <v>20</v>
      </c>
    </row>
    <row r="9" spans="1:14">
      <c r="A9" s="6"/>
      <c r="G9" s="28" t="s">
        <v>63</v>
      </c>
      <c r="H9" s="25"/>
      <c r="I9" s="32">
        <f>AVERAGE(I2:I8)</f>
        <v>3.8571428571428572</v>
      </c>
      <c r="J9" s="32">
        <f>AVERAGE(J2:J8)</f>
        <v>3.7142857142857144</v>
      </c>
      <c r="K9" s="32">
        <f>AVERAGE(K2:K8)</f>
        <v>3.7142857142857144</v>
      </c>
      <c r="L9" s="32">
        <f>AVERAGE(L2:L8)</f>
        <v>3.5714285714285716</v>
      </c>
      <c r="M9" s="32">
        <f>AVERAGE(M2:M8)</f>
        <v>3.7142857142857144</v>
      </c>
    </row>
    <row r="10" spans="1:14">
      <c r="A10" s="6"/>
      <c r="G10" s="29" t="s">
        <v>64</v>
      </c>
      <c r="H10" s="25"/>
      <c r="I10" s="27">
        <f>(I9/4)*100</f>
        <v>96.428571428571431</v>
      </c>
      <c r="J10" s="27">
        <f t="shared" ref="J10:M10" si="0">(J9/4)*100</f>
        <v>92.857142857142861</v>
      </c>
      <c r="K10" s="27">
        <f t="shared" si="0"/>
        <v>92.857142857142861</v>
      </c>
      <c r="L10" s="27">
        <f t="shared" si="0"/>
        <v>89.285714285714292</v>
      </c>
      <c r="M10" s="27">
        <f t="shared" si="0"/>
        <v>92.857142857142861</v>
      </c>
    </row>
  </sheetData>
  <autoFilter ref="A1:N10" xr:uid="{00000000-0009-0000-0000-000000000000}"/>
  <sortState xmlns:xlrd2="http://schemas.microsoft.com/office/spreadsheetml/2017/richdata2" ref="A2:N10">
    <sortCondition ref="C2:C1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zoomScale="70" zoomScaleNormal="70" workbookViewId="0">
      <selection activeCell="A21" sqref="A21"/>
    </sheetView>
  </sheetViews>
  <sheetFormatPr baseColWidth="10" defaultColWidth="11.5546875" defaultRowHeight="14.4"/>
  <cols>
    <col min="1" max="1" width="32.77734375" style="1" customWidth="1"/>
    <col min="2" max="2" width="12.109375" style="1" customWidth="1"/>
    <col min="3" max="3" width="44.6640625" style="1" customWidth="1"/>
    <col min="4" max="4" width="36.77734375" style="1" customWidth="1"/>
    <col min="5" max="5" width="13.44140625" style="1" customWidth="1"/>
    <col min="6" max="15" width="20.6640625" style="1" customWidth="1"/>
    <col min="16" max="16" width="27.109375" style="9" customWidth="1"/>
    <col min="17" max="17" width="32.44140625" style="2" customWidth="1"/>
    <col min="18" max="16384" width="11.5546875" style="1"/>
  </cols>
  <sheetData>
    <row r="1" spans="1:17" s="12" customFormat="1" ht="213.75" customHeight="1">
      <c r="A1" s="13" t="s">
        <v>0</v>
      </c>
      <c r="B1" s="13" t="s">
        <v>28</v>
      </c>
      <c r="C1" s="13" t="s">
        <v>25</v>
      </c>
      <c r="D1" s="13" t="s">
        <v>30</v>
      </c>
      <c r="E1" s="13" t="s">
        <v>26</v>
      </c>
      <c r="F1" s="61" t="s">
        <v>185</v>
      </c>
      <c r="G1" s="61" t="s">
        <v>186</v>
      </c>
      <c r="H1" s="61" t="s">
        <v>187</v>
      </c>
      <c r="I1" s="61" t="s">
        <v>188</v>
      </c>
      <c r="J1" s="61" t="s">
        <v>189</v>
      </c>
      <c r="K1" s="61" t="s">
        <v>190</v>
      </c>
      <c r="L1" s="61" t="s">
        <v>191</v>
      </c>
      <c r="M1" s="61" t="s">
        <v>192</v>
      </c>
      <c r="N1" s="61" t="s">
        <v>193</v>
      </c>
      <c r="O1" s="61" t="s">
        <v>194</v>
      </c>
      <c r="P1" s="13" t="s">
        <v>71</v>
      </c>
      <c r="Q1" s="13" t="s">
        <v>72</v>
      </c>
    </row>
    <row r="2" spans="1:17">
      <c r="A2" s="8" t="s">
        <v>97</v>
      </c>
      <c r="B2" s="1" t="s">
        <v>5</v>
      </c>
      <c r="C2" s="8" t="s">
        <v>98</v>
      </c>
      <c r="D2" s="8" t="s">
        <v>21</v>
      </c>
      <c r="E2" s="1" t="s">
        <v>17</v>
      </c>
      <c r="F2" s="6">
        <v>3</v>
      </c>
      <c r="G2" s="6">
        <v>4</v>
      </c>
      <c r="H2" s="6">
        <v>4</v>
      </c>
      <c r="I2" s="6">
        <v>4</v>
      </c>
      <c r="J2" s="6">
        <v>3</v>
      </c>
      <c r="K2" s="6">
        <v>4</v>
      </c>
      <c r="L2" s="6">
        <v>4</v>
      </c>
      <c r="M2" s="6">
        <v>4</v>
      </c>
      <c r="N2" s="6">
        <v>4</v>
      </c>
      <c r="O2" s="6">
        <v>4</v>
      </c>
      <c r="P2" s="9" t="s">
        <v>39</v>
      </c>
      <c r="Q2" s="2" t="s">
        <v>38</v>
      </c>
    </row>
    <row r="3" spans="1:17" ht="15">
      <c r="A3" s="8" t="s">
        <v>97</v>
      </c>
      <c r="B3" s="1" t="s">
        <v>5</v>
      </c>
      <c r="C3" s="8" t="s">
        <v>98</v>
      </c>
      <c r="D3" s="8" t="s">
        <v>21</v>
      </c>
      <c r="E3" s="1" t="s">
        <v>13</v>
      </c>
      <c r="F3" s="6">
        <v>3</v>
      </c>
      <c r="G3" s="6">
        <v>4</v>
      </c>
      <c r="H3" s="6">
        <v>4</v>
      </c>
      <c r="I3" s="6">
        <v>4</v>
      </c>
      <c r="J3" s="6">
        <v>4</v>
      </c>
      <c r="K3" s="6">
        <v>3</v>
      </c>
      <c r="L3" s="6">
        <v>4</v>
      </c>
      <c r="M3" s="6">
        <v>4</v>
      </c>
      <c r="N3" s="6">
        <v>4</v>
      </c>
      <c r="O3" s="6">
        <v>4</v>
      </c>
      <c r="P3" s="9" t="s">
        <v>37</v>
      </c>
      <c r="Q3" s="2" t="s">
        <v>36</v>
      </c>
    </row>
    <row r="4" spans="1:17" ht="15">
      <c r="A4" s="8" t="s">
        <v>97</v>
      </c>
      <c r="B4" s="1" t="s">
        <v>5</v>
      </c>
      <c r="C4" s="8" t="s">
        <v>98</v>
      </c>
      <c r="D4" s="8" t="s">
        <v>21</v>
      </c>
      <c r="E4" s="1" t="s">
        <v>16</v>
      </c>
      <c r="F4" s="6">
        <v>3</v>
      </c>
      <c r="G4" s="6">
        <v>4</v>
      </c>
      <c r="H4" s="6">
        <v>4</v>
      </c>
      <c r="I4" s="6">
        <v>4</v>
      </c>
      <c r="J4" s="6">
        <v>4</v>
      </c>
      <c r="K4" s="6">
        <v>3</v>
      </c>
      <c r="L4" s="6">
        <v>4</v>
      </c>
      <c r="M4" s="6">
        <v>4</v>
      </c>
      <c r="N4" s="6">
        <v>4</v>
      </c>
      <c r="O4" s="6">
        <v>4</v>
      </c>
      <c r="P4" s="9" t="s">
        <v>35</v>
      </c>
      <c r="Q4" s="2" t="s">
        <v>34</v>
      </c>
    </row>
    <row r="5" spans="1:17" ht="15">
      <c r="A5" s="8" t="s">
        <v>97</v>
      </c>
      <c r="B5" s="1" t="s">
        <v>5</v>
      </c>
      <c r="C5" s="8" t="s">
        <v>98</v>
      </c>
      <c r="D5" s="8" t="s">
        <v>21</v>
      </c>
      <c r="E5" s="1" t="s">
        <v>19</v>
      </c>
      <c r="F5" s="6">
        <v>4</v>
      </c>
      <c r="G5" s="6">
        <v>4</v>
      </c>
      <c r="H5" s="6">
        <v>4</v>
      </c>
      <c r="I5" s="6">
        <v>4</v>
      </c>
      <c r="J5" s="6">
        <v>3</v>
      </c>
      <c r="K5" s="6">
        <v>3</v>
      </c>
      <c r="L5" s="6">
        <v>4</v>
      </c>
      <c r="M5" s="6">
        <v>4</v>
      </c>
      <c r="N5" s="6">
        <v>4</v>
      </c>
      <c r="O5" s="6">
        <v>4</v>
      </c>
      <c r="P5" s="9" t="s">
        <v>32</v>
      </c>
      <c r="Q5" s="2" t="s">
        <v>33</v>
      </c>
    </row>
    <row r="6" spans="1:17" ht="15">
      <c r="A6" s="8" t="s">
        <v>97</v>
      </c>
      <c r="B6" s="1" t="s">
        <v>5</v>
      </c>
      <c r="C6" s="8" t="s">
        <v>98</v>
      </c>
      <c r="D6" s="8" t="s">
        <v>21</v>
      </c>
      <c r="E6" s="1" t="s">
        <v>14</v>
      </c>
      <c r="F6" s="6">
        <v>4</v>
      </c>
      <c r="G6" s="6">
        <v>4</v>
      </c>
      <c r="H6" s="6">
        <v>4</v>
      </c>
      <c r="I6" s="6">
        <v>4</v>
      </c>
      <c r="J6" s="6">
        <v>3</v>
      </c>
      <c r="K6" s="6">
        <v>3</v>
      </c>
      <c r="L6" s="6">
        <v>4</v>
      </c>
      <c r="M6" s="6">
        <v>4</v>
      </c>
      <c r="N6" s="6">
        <v>4</v>
      </c>
      <c r="O6" s="6">
        <v>4</v>
      </c>
      <c r="P6" s="9" t="s">
        <v>32</v>
      </c>
      <c r="Q6" s="2" t="s">
        <v>31</v>
      </c>
    </row>
    <row r="7" spans="1:17" ht="15">
      <c r="A7" s="8" t="s">
        <v>97</v>
      </c>
      <c r="B7" s="1" t="s">
        <v>5</v>
      </c>
      <c r="C7" s="8" t="s">
        <v>98</v>
      </c>
      <c r="D7" s="8" t="s">
        <v>21</v>
      </c>
      <c r="E7" s="1" t="s">
        <v>18</v>
      </c>
      <c r="F7" s="6">
        <v>4</v>
      </c>
      <c r="G7" s="6">
        <v>4</v>
      </c>
      <c r="H7" s="6">
        <v>4</v>
      </c>
      <c r="I7" s="6">
        <v>4</v>
      </c>
      <c r="J7" s="6">
        <v>3</v>
      </c>
      <c r="K7" s="6">
        <v>3</v>
      </c>
      <c r="L7" s="6">
        <v>4</v>
      </c>
      <c r="M7" s="6">
        <v>4</v>
      </c>
      <c r="N7" s="6">
        <v>4</v>
      </c>
      <c r="O7" s="6">
        <v>4</v>
      </c>
      <c r="P7" s="9" t="s">
        <v>32</v>
      </c>
      <c r="Q7" s="2" t="s">
        <v>31</v>
      </c>
    </row>
    <row r="8" spans="1:17" ht="15">
      <c r="A8" s="8" t="s">
        <v>97</v>
      </c>
      <c r="B8" s="1" t="s">
        <v>5</v>
      </c>
      <c r="C8" s="8" t="s">
        <v>98</v>
      </c>
      <c r="D8" s="8" t="s">
        <v>21</v>
      </c>
      <c r="E8" s="1" t="s">
        <v>15</v>
      </c>
      <c r="F8" s="6">
        <v>4</v>
      </c>
      <c r="G8" s="6">
        <v>4</v>
      </c>
      <c r="H8" s="6">
        <v>4</v>
      </c>
      <c r="I8" s="6">
        <v>4</v>
      </c>
      <c r="J8" s="6">
        <v>3</v>
      </c>
      <c r="K8" s="6">
        <v>3</v>
      </c>
      <c r="L8" s="6">
        <v>4</v>
      </c>
      <c r="M8" s="6">
        <v>4</v>
      </c>
      <c r="N8" s="6">
        <v>4</v>
      </c>
      <c r="O8" s="6">
        <v>4</v>
      </c>
      <c r="P8" s="9" t="s">
        <v>32</v>
      </c>
      <c r="Q8" s="2" t="s">
        <v>31</v>
      </c>
    </row>
    <row r="9" spans="1:17">
      <c r="D9" s="28" t="s">
        <v>63</v>
      </c>
      <c r="E9" s="25"/>
      <c r="F9" s="26">
        <f>AVERAGE(F2:F8)</f>
        <v>3.5714285714285716</v>
      </c>
      <c r="G9" s="26">
        <f t="shared" ref="G9:O9" si="0">AVERAGE(G2:G8)</f>
        <v>4</v>
      </c>
      <c r="H9" s="26">
        <f t="shared" si="0"/>
        <v>4</v>
      </c>
      <c r="I9" s="26">
        <f t="shared" si="0"/>
        <v>4</v>
      </c>
      <c r="J9" s="26">
        <f t="shared" si="0"/>
        <v>3.2857142857142856</v>
      </c>
      <c r="K9" s="26">
        <f t="shared" si="0"/>
        <v>3.1428571428571428</v>
      </c>
      <c r="L9" s="26">
        <f t="shared" si="0"/>
        <v>4</v>
      </c>
      <c r="M9" s="26">
        <f t="shared" si="0"/>
        <v>4</v>
      </c>
      <c r="N9" s="26">
        <f t="shared" si="0"/>
        <v>4</v>
      </c>
      <c r="O9" s="26">
        <f t="shared" si="0"/>
        <v>4</v>
      </c>
    </row>
    <row r="10" spans="1:17">
      <c r="D10" s="29" t="s">
        <v>64</v>
      </c>
      <c r="E10" s="25"/>
      <c r="F10" s="27">
        <f>(F9/4)*100</f>
        <v>89.285714285714292</v>
      </c>
      <c r="G10" s="27">
        <f t="shared" ref="G10:O10" si="1">(G9/4)*100</f>
        <v>100</v>
      </c>
      <c r="H10" s="27">
        <f t="shared" si="1"/>
        <v>100</v>
      </c>
      <c r="I10" s="27">
        <f t="shared" si="1"/>
        <v>100</v>
      </c>
      <c r="J10" s="27">
        <f t="shared" si="1"/>
        <v>82.142857142857139</v>
      </c>
      <c r="K10" s="27">
        <f t="shared" si="1"/>
        <v>78.571428571428569</v>
      </c>
      <c r="L10" s="27">
        <f t="shared" si="1"/>
        <v>100</v>
      </c>
      <c r="M10" s="27">
        <f t="shared" si="1"/>
        <v>100</v>
      </c>
      <c r="N10" s="27">
        <f t="shared" si="1"/>
        <v>100</v>
      </c>
      <c r="O10" s="27">
        <f t="shared" si="1"/>
        <v>100</v>
      </c>
    </row>
  </sheetData>
  <autoFilter ref="A1:Q8" xr:uid="{00000000-0009-0000-0000-000001000000}"/>
  <sortState xmlns:xlrd2="http://schemas.microsoft.com/office/spreadsheetml/2017/richdata2" ref="A3:S353">
    <sortCondition ref="A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zoomScale="70" zoomScaleNormal="70" workbookViewId="0">
      <selection activeCell="E8" sqref="E8"/>
    </sheetView>
  </sheetViews>
  <sheetFormatPr baseColWidth="10" defaultColWidth="11.5546875" defaultRowHeight="14.4"/>
  <cols>
    <col min="1" max="1" width="6" style="1" customWidth="1"/>
    <col min="2" max="2" width="33" style="1" customWidth="1"/>
    <col min="3" max="3" width="12.109375" style="1" customWidth="1"/>
    <col min="4" max="4" width="36.44140625" style="1" customWidth="1"/>
    <col min="5" max="10" width="54" style="1" customWidth="1"/>
    <col min="11" max="11" width="37.88671875" style="1" customWidth="1"/>
    <col min="12" max="12" width="35.109375" style="1" customWidth="1"/>
    <col min="13" max="13" width="40.44140625" style="1" customWidth="1"/>
    <col min="14" max="16384" width="11.5546875" style="1"/>
  </cols>
  <sheetData>
    <row r="1" spans="1:13" ht="121.5" customHeight="1">
      <c r="A1" s="7" t="s">
        <v>27</v>
      </c>
      <c r="B1" s="7" t="s">
        <v>0</v>
      </c>
      <c r="C1" s="7" t="s">
        <v>28</v>
      </c>
      <c r="D1" s="7" t="s">
        <v>25</v>
      </c>
      <c r="E1" s="62" t="s">
        <v>195</v>
      </c>
      <c r="F1" s="62" t="s">
        <v>196</v>
      </c>
      <c r="G1" s="62" t="s">
        <v>197</v>
      </c>
      <c r="H1" s="62" t="s">
        <v>198</v>
      </c>
      <c r="I1" s="62" t="s">
        <v>199</v>
      </c>
      <c r="J1" s="62" t="s">
        <v>73</v>
      </c>
      <c r="K1" s="62" t="s">
        <v>200</v>
      </c>
      <c r="L1" s="62" t="s">
        <v>201</v>
      </c>
      <c r="M1" s="62" t="s">
        <v>202</v>
      </c>
    </row>
    <row r="2" spans="1:13">
      <c r="A2" s="6">
        <v>2</v>
      </c>
      <c r="B2" s="8" t="s">
        <v>97</v>
      </c>
      <c r="C2" s="1" t="s">
        <v>5</v>
      </c>
      <c r="D2" s="1" t="s">
        <v>4</v>
      </c>
      <c r="E2" s="6">
        <v>3</v>
      </c>
      <c r="F2" s="6">
        <v>4</v>
      </c>
      <c r="G2" s="6">
        <v>4</v>
      </c>
      <c r="H2" s="6">
        <v>4</v>
      </c>
      <c r="I2" s="6">
        <v>4</v>
      </c>
      <c r="J2" s="1" t="s">
        <v>11</v>
      </c>
      <c r="K2" s="6">
        <v>10</v>
      </c>
      <c r="L2" s="6">
        <v>15</v>
      </c>
      <c r="M2" s="6">
        <v>20</v>
      </c>
    </row>
    <row r="3" spans="1:13">
      <c r="A3" s="6">
        <v>4</v>
      </c>
      <c r="B3" s="8" t="s">
        <v>97</v>
      </c>
      <c r="C3" s="1" t="s">
        <v>5</v>
      </c>
      <c r="D3" s="1" t="s">
        <v>4</v>
      </c>
      <c r="E3" s="6">
        <v>4</v>
      </c>
      <c r="F3" s="6">
        <v>4</v>
      </c>
      <c r="G3" s="6">
        <v>4</v>
      </c>
      <c r="H3" s="6">
        <v>4</v>
      </c>
      <c r="I3" s="6">
        <v>4</v>
      </c>
      <c r="J3" s="1" t="s">
        <v>40</v>
      </c>
      <c r="K3" s="6">
        <v>9</v>
      </c>
      <c r="L3" s="6">
        <v>12</v>
      </c>
      <c r="M3" s="6">
        <v>19</v>
      </c>
    </row>
    <row r="4" spans="1:13">
      <c r="D4" s="28" t="s">
        <v>63</v>
      </c>
      <c r="E4" s="26">
        <f>AVERAGE(E2:E3)</f>
        <v>3.5</v>
      </c>
      <c r="F4" s="26">
        <f t="shared" ref="F4:I4" si="0">AVERAGE(F2:F3)</f>
        <v>4</v>
      </c>
      <c r="G4" s="26">
        <f t="shared" si="0"/>
        <v>4</v>
      </c>
      <c r="H4" s="26">
        <f t="shared" si="0"/>
        <v>4</v>
      </c>
      <c r="I4" s="26">
        <f t="shared" si="0"/>
        <v>4</v>
      </c>
      <c r="K4" s="42">
        <f>AVERAGE(K2:K3)</f>
        <v>9.5</v>
      </c>
      <c r="L4" s="42">
        <f>AVERAGE(L2:L3)</f>
        <v>13.5</v>
      </c>
      <c r="M4" s="42">
        <f>AVERAGE(M2:M3)</f>
        <v>19.5</v>
      </c>
    </row>
    <row r="5" spans="1:13">
      <c r="D5" s="29" t="s">
        <v>64</v>
      </c>
      <c r="E5" s="25">
        <f>(E4/4)*100</f>
        <v>87.5</v>
      </c>
      <c r="F5" s="25">
        <f t="shared" ref="F5:I5" si="1">(F4/4)*100</f>
        <v>100</v>
      </c>
      <c r="G5" s="25">
        <f t="shared" si="1"/>
        <v>100</v>
      </c>
      <c r="H5" s="25">
        <f t="shared" si="1"/>
        <v>100</v>
      </c>
      <c r="I5" s="25">
        <f t="shared" si="1"/>
        <v>100</v>
      </c>
      <c r="K5" s="42" t="s">
        <v>133</v>
      </c>
      <c r="L5" s="42" t="s">
        <v>134</v>
      </c>
      <c r="M5" s="42" t="s">
        <v>135</v>
      </c>
    </row>
    <row r="6" spans="1:13">
      <c r="K6" s="64" t="s">
        <v>184</v>
      </c>
      <c r="L6" s="64"/>
      <c r="M6" s="64"/>
    </row>
  </sheetData>
  <sortState xmlns:xlrd2="http://schemas.microsoft.com/office/spreadsheetml/2017/richdata2" ref="A2:M207">
    <sortCondition ref="B2:B207"/>
  </sortState>
  <mergeCells count="1">
    <mergeCell ref="K6: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C1:M84"/>
  <sheetViews>
    <sheetView topLeftCell="A52" zoomScaleNormal="100" workbookViewId="0">
      <selection activeCell="C44" sqref="C44:H51"/>
    </sheetView>
  </sheetViews>
  <sheetFormatPr baseColWidth="10" defaultRowHeight="14.4"/>
  <cols>
    <col min="3" max="3" width="30.6640625" customWidth="1"/>
    <col min="4" max="4" width="74.6640625" customWidth="1"/>
    <col min="5" max="5" width="17" customWidth="1"/>
    <col min="6" max="6" width="16.44140625" customWidth="1"/>
    <col min="7" max="7" width="22.109375" customWidth="1"/>
    <col min="8" max="8" width="24.88671875" customWidth="1"/>
  </cols>
  <sheetData>
    <row r="1" spans="3:6" s="14" customFormat="1">
      <c r="C1" s="8" t="s">
        <v>48</v>
      </c>
    </row>
    <row r="2" spans="3:6" s="14" customFormat="1">
      <c r="C2" s="8" t="s">
        <v>49</v>
      </c>
      <c r="D2" s="8" t="s">
        <v>50</v>
      </c>
    </row>
    <row r="3" spans="3:6" s="14" customFormat="1">
      <c r="C3" s="8"/>
      <c r="D3" s="8" t="s">
        <v>51</v>
      </c>
    </row>
    <row r="4" spans="3:6" s="14" customFormat="1">
      <c r="C4" s="8"/>
    </row>
    <row r="5" spans="3:6" s="14" customFormat="1">
      <c r="C5" s="8" t="s">
        <v>52</v>
      </c>
      <c r="D5" s="14" t="str">
        <f>'BD ESTUDIANTES'!C2</f>
        <v>ABREU GÓMEZ DIANA CAROLINA</v>
      </c>
    </row>
    <row r="6" spans="3:6" s="14" customFormat="1">
      <c r="C6" s="8" t="s">
        <v>53</v>
      </c>
      <c r="D6" s="14" t="str">
        <f>'BD ESTUDIANTES'!G2</f>
        <v>ADMINISTRACION Y DIRECCION DE NEGOCIOS</v>
      </c>
    </row>
    <row r="7" spans="3:6" s="14" customFormat="1" ht="28.8">
      <c r="C7" s="35" t="s">
        <v>137</v>
      </c>
      <c r="D7" s="10">
        <f>F22</f>
        <v>93.823214285714286</v>
      </c>
    </row>
    <row r="8" spans="3:6" s="14" customFormat="1">
      <c r="C8" s="35"/>
      <c r="D8" s="10"/>
    </row>
    <row r="9" spans="3:6" s="14" customFormat="1">
      <c r="C9" s="35"/>
      <c r="D9" s="10"/>
    </row>
    <row r="10" spans="3:6" s="14" customFormat="1">
      <c r="C10" s="35"/>
      <c r="D10" s="36" t="s">
        <v>126</v>
      </c>
      <c r="E10" s="6"/>
      <c r="F10" s="6"/>
    </row>
    <row r="11" spans="3:6" s="14" customFormat="1">
      <c r="C11" s="35"/>
      <c r="D11" s="65" t="s">
        <v>163</v>
      </c>
      <c r="E11" s="66"/>
      <c r="F11" s="67"/>
    </row>
    <row r="12" spans="3:6" s="14" customFormat="1">
      <c r="C12" s="35"/>
      <c r="D12" s="68"/>
      <c r="E12" s="69"/>
      <c r="F12" s="70"/>
    </row>
    <row r="13" spans="3:6" s="14" customFormat="1">
      <c r="C13" s="35"/>
      <c r="D13" s="71"/>
      <c r="E13" s="72"/>
      <c r="F13" s="73"/>
    </row>
    <row r="14" spans="3:6" s="14" customFormat="1">
      <c r="C14" s="35"/>
      <c r="D14" s="8"/>
    </row>
    <row r="15" spans="3:6" s="14" customFormat="1" ht="28.8">
      <c r="C15" s="35"/>
      <c r="E15" s="3" t="s">
        <v>131</v>
      </c>
      <c r="F15" s="23" t="s">
        <v>132</v>
      </c>
    </row>
    <row r="16" spans="3:6" s="14" customFormat="1">
      <c r="C16" s="35"/>
      <c r="D16" s="23" t="s">
        <v>41</v>
      </c>
      <c r="E16" s="41">
        <v>0.1</v>
      </c>
      <c r="F16" s="4">
        <f>'BD COORDINACION'!K4</f>
        <v>9.5</v>
      </c>
    </row>
    <row r="17" spans="3:13" s="14" customFormat="1">
      <c r="C17" s="35"/>
      <c r="D17" s="23" t="s">
        <v>127</v>
      </c>
      <c r="E17" s="41">
        <v>0.15</v>
      </c>
      <c r="F17" s="4">
        <f>'BD COORDINACION'!L4</f>
        <v>13.5</v>
      </c>
    </row>
    <row r="18" spans="3:13" s="14" customFormat="1">
      <c r="C18" s="35"/>
      <c r="D18" s="23" t="s">
        <v>128</v>
      </c>
      <c r="E18" s="41">
        <v>0.2</v>
      </c>
      <c r="F18" s="4">
        <f>'BD COORDINACION'!M4</f>
        <v>19.5</v>
      </c>
    </row>
    <row r="19" spans="3:13" s="14" customFormat="1">
      <c r="C19" s="35"/>
      <c r="D19" s="23" t="s">
        <v>129</v>
      </c>
      <c r="E19" s="41">
        <v>0.2</v>
      </c>
      <c r="F19" s="4">
        <f>(93*20)/100</f>
        <v>18.600000000000001</v>
      </c>
    </row>
    <row r="20" spans="3:13" s="14" customFormat="1">
      <c r="C20" s="35"/>
      <c r="D20" s="23" t="s">
        <v>122</v>
      </c>
      <c r="E20" s="41">
        <v>0.1</v>
      </c>
      <c r="F20" s="24">
        <f>(F35*10)/100</f>
        <v>9.2857142857142865</v>
      </c>
    </row>
    <row r="21" spans="3:13" s="14" customFormat="1">
      <c r="C21" s="35"/>
      <c r="D21" s="23" t="s">
        <v>130</v>
      </c>
      <c r="E21" s="41">
        <v>0.25</v>
      </c>
      <c r="F21" s="24">
        <f>(G35*25)/100</f>
        <v>23.4375</v>
      </c>
    </row>
    <row r="22" spans="3:13" s="14" customFormat="1">
      <c r="C22" s="35"/>
      <c r="D22" s="23" t="s">
        <v>136</v>
      </c>
      <c r="E22" s="41">
        <f>SUM(E16:E21)</f>
        <v>1</v>
      </c>
      <c r="F22" s="24">
        <f>SUM(F16:F21)</f>
        <v>93.823214285714286</v>
      </c>
    </row>
    <row r="23" spans="3:13" s="14" customFormat="1">
      <c r="C23" s="35"/>
      <c r="D23" s="10"/>
    </row>
    <row r="24" spans="3:13" s="14" customFormat="1">
      <c r="C24" s="35"/>
      <c r="D24" s="10"/>
    </row>
    <row r="25" spans="3:13" s="14" customFormat="1">
      <c r="C25" s="35"/>
      <c r="D25" s="47" t="s">
        <v>158</v>
      </c>
    </row>
    <row r="27" spans="3:13" ht="28.8">
      <c r="C27" s="16" t="s">
        <v>42</v>
      </c>
      <c r="D27" s="17" t="s">
        <v>43</v>
      </c>
      <c r="E27" s="16" t="s">
        <v>44</v>
      </c>
      <c r="F27" s="16" t="s">
        <v>45</v>
      </c>
      <c r="G27" s="16" t="s">
        <v>46</v>
      </c>
      <c r="H27" s="37" t="s">
        <v>138</v>
      </c>
    </row>
    <row r="28" spans="3:13" ht="37.950000000000003" customHeight="1">
      <c r="C28" s="20" t="s">
        <v>55</v>
      </c>
      <c r="D28" s="18" t="s">
        <v>56</v>
      </c>
      <c r="E28" s="15">
        <f>'BD ESTUDIANTES'!I10</f>
        <v>96.428571428571431</v>
      </c>
      <c r="F28" s="15">
        <f>'BD AUTOEVALUACIÓN'!F10</f>
        <v>89.285714285714292</v>
      </c>
      <c r="G28" s="43"/>
      <c r="H28" s="15">
        <f>AVERAGE(E28:G28)</f>
        <v>92.857142857142861</v>
      </c>
    </row>
    <row r="29" spans="3:13" ht="33.6" customHeight="1">
      <c r="C29" s="21" t="s">
        <v>139</v>
      </c>
      <c r="D29" s="19" t="s">
        <v>57</v>
      </c>
      <c r="E29" s="15">
        <f>'BD ESTUDIANTES'!J10</f>
        <v>92.857142857142861</v>
      </c>
      <c r="F29" s="15">
        <f>'BD AUTOEVALUACIÓN'!G10</f>
        <v>100</v>
      </c>
      <c r="G29" s="43"/>
      <c r="H29" s="15">
        <f t="shared" ref="H29:H34" si="0">AVERAGE(E29:G29)</f>
        <v>96.428571428571431</v>
      </c>
    </row>
    <row r="30" spans="3:13" ht="28.95" customHeight="1">
      <c r="C30" s="21" t="s">
        <v>140</v>
      </c>
      <c r="D30" s="19" t="s">
        <v>58</v>
      </c>
      <c r="E30" s="43"/>
      <c r="F30" s="15">
        <f>'BD AUTOEVALUACIÓN'!H10</f>
        <v>100</v>
      </c>
      <c r="G30" s="43"/>
      <c r="H30" s="15">
        <f t="shared" si="0"/>
        <v>100</v>
      </c>
    </row>
    <row r="31" spans="3:13" ht="48.6" customHeight="1">
      <c r="C31" s="21" t="s">
        <v>141</v>
      </c>
      <c r="D31" s="19" t="s">
        <v>59</v>
      </c>
      <c r="E31" s="15">
        <f>'BD ESTUDIANTES'!K10</f>
        <v>92.857142857142861</v>
      </c>
      <c r="F31" s="15">
        <f>'BD AUTOEVALUACIÓN'!J10</f>
        <v>82.142857142857139</v>
      </c>
      <c r="G31" s="40"/>
      <c r="H31" s="15">
        <f>AVERAGE(E31:G31)</f>
        <v>87.5</v>
      </c>
      <c r="M31" s="8" t="s">
        <v>125</v>
      </c>
    </row>
    <row r="32" spans="3:13" ht="37.200000000000003" customHeight="1">
      <c r="C32" s="21" t="s">
        <v>144</v>
      </c>
      <c r="D32" s="19" t="s">
        <v>60</v>
      </c>
      <c r="E32" s="15">
        <f>'BD ESTUDIANTES'!L10</f>
        <v>89.285714285714292</v>
      </c>
      <c r="F32" s="15">
        <f>'BD AUTOEVALUACIÓN'!K10</f>
        <v>78.571428571428569</v>
      </c>
      <c r="G32" s="43"/>
      <c r="H32" s="15">
        <f t="shared" si="0"/>
        <v>83.928571428571431</v>
      </c>
    </row>
    <row r="33" spans="3:8" ht="45.6" customHeight="1">
      <c r="C33" s="21" t="s">
        <v>142</v>
      </c>
      <c r="D33" s="19" t="s">
        <v>61</v>
      </c>
      <c r="E33" s="15">
        <f>'BD ESTUDIANTES'!M10</f>
        <v>92.857142857142861</v>
      </c>
      <c r="F33" s="15">
        <f>'BD AUTOEVALUACIÓN'!L10</f>
        <v>100</v>
      </c>
      <c r="G33" s="4">
        <f>'BD COORDINACION'!E5</f>
        <v>87.5</v>
      </c>
      <c r="H33" s="15">
        <f t="shared" si="0"/>
        <v>93.452380952380963</v>
      </c>
    </row>
    <row r="34" spans="3:8" ht="34.200000000000003" customHeight="1">
      <c r="C34" s="38" t="s">
        <v>143</v>
      </c>
      <c r="D34" s="39" t="s">
        <v>62</v>
      </c>
      <c r="E34" s="44"/>
      <c r="F34" s="30">
        <f>AVERAGE('BD AUTOEVALUACIÓN'!I10,'BD AUTOEVALUACIÓN'!M10,'BD AUTOEVALUACIÓN'!N10,'BD AUTOEVALUACIÓN'!O10)</f>
        <v>100</v>
      </c>
      <c r="G34" s="11">
        <f>AVERAGE('BD COORDINACION'!I5,'BD COORDINACION'!F5,'BD COORDINACION'!G5,'BD COORDINACION'!H5,'BD COORDINACION'!I5)</f>
        <v>100</v>
      </c>
      <c r="H34" s="30">
        <f t="shared" si="0"/>
        <v>100</v>
      </c>
    </row>
    <row r="35" spans="3:8">
      <c r="C35" s="84" t="s">
        <v>124</v>
      </c>
      <c r="D35" s="85"/>
      <c r="E35" s="15">
        <f>AVERAGE(E28,E29,E31,E32,E33)</f>
        <v>92.857142857142847</v>
      </c>
      <c r="F35" s="15">
        <f>AVERAGE(F28,F29,F30,F31,F32,F33,F34)</f>
        <v>92.857142857142861</v>
      </c>
      <c r="G35" s="24">
        <f>AVERAGE(G33,G34)</f>
        <v>93.75</v>
      </c>
      <c r="H35" s="15">
        <f>AVERAGE(H28:H34)</f>
        <v>93.452380952380963</v>
      </c>
    </row>
    <row r="36" spans="3:8" s="14" customFormat="1"/>
    <row r="37" spans="3:8" s="14" customFormat="1">
      <c r="C37" s="36"/>
      <c r="E37" s="6"/>
      <c r="F37" s="6"/>
    </row>
    <row r="38" spans="3:8" s="14" customFormat="1" ht="61.2" customHeight="1">
      <c r="C38" s="74" t="s">
        <v>159</v>
      </c>
      <c r="D38" s="74"/>
      <c r="E38" s="74"/>
      <c r="F38" s="74"/>
      <c r="G38" s="74"/>
      <c r="H38" s="74"/>
    </row>
    <row r="39" spans="3:8" s="14" customFormat="1"/>
    <row r="40" spans="3:8" s="14" customFormat="1">
      <c r="D40" s="8" t="s">
        <v>160</v>
      </c>
    </row>
    <row r="41" spans="3:8" s="14" customFormat="1"/>
    <row r="42" spans="3:8" s="14" customFormat="1">
      <c r="D42" s="8" t="s">
        <v>161</v>
      </c>
    </row>
    <row r="43" spans="3:8" s="14" customFormat="1"/>
    <row r="44" spans="3:8" s="14" customFormat="1">
      <c r="C44" s="75" t="s">
        <v>162</v>
      </c>
      <c r="D44" s="76"/>
      <c r="E44" s="76"/>
      <c r="F44" s="76"/>
      <c r="G44" s="76"/>
      <c r="H44" s="77"/>
    </row>
    <row r="45" spans="3:8" s="14" customFormat="1">
      <c r="C45" s="78"/>
      <c r="D45" s="79"/>
      <c r="E45" s="79"/>
      <c r="F45" s="79"/>
      <c r="G45" s="79"/>
      <c r="H45" s="80"/>
    </row>
    <row r="46" spans="3:8" s="14" customFormat="1">
      <c r="C46" s="78"/>
      <c r="D46" s="79"/>
      <c r="E46" s="79"/>
      <c r="F46" s="79"/>
      <c r="G46" s="79"/>
      <c r="H46" s="80"/>
    </row>
    <row r="47" spans="3:8">
      <c r="C47" s="78"/>
      <c r="D47" s="79"/>
      <c r="E47" s="79"/>
      <c r="F47" s="79"/>
      <c r="G47" s="79"/>
      <c r="H47" s="80"/>
    </row>
    <row r="48" spans="3:8">
      <c r="C48" s="78"/>
      <c r="D48" s="79"/>
      <c r="E48" s="79"/>
      <c r="F48" s="79"/>
      <c r="G48" s="79"/>
      <c r="H48" s="80"/>
    </row>
    <row r="49" spans="3:8" s="14" customFormat="1">
      <c r="C49" s="78"/>
      <c r="D49" s="79"/>
      <c r="E49" s="79"/>
      <c r="F49" s="79"/>
      <c r="G49" s="79"/>
      <c r="H49" s="80"/>
    </row>
    <row r="50" spans="3:8" s="14" customFormat="1">
      <c r="C50" s="78"/>
      <c r="D50" s="79"/>
      <c r="E50" s="79"/>
      <c r="F50" s="79"/>
      <c r="G50" s="79"/>
      <c r="H50" s="80"/>
    </row>
    <row r="51" spans="3:8" s="14" customFormat="1">
      <c r="C51" s="81"/>
      <c r="D51" s="82"/>
      <c r="E51" s="82"/>
      <c r="F51" s="82"/>
      <c r="G51" s="82"/>
      <c r="H51" s="83"/>
    </row>
    <row r="52" spans="3:8" s="14" customFormat="1"/>
    <row r="53" spans="3:8" s="14" customFormat="1"/>
    <row r="54" spans="3:8" s="14" customFormat="1"/>
    <row r="55" spans="3:8" s="14" customFormat="1"/>
    <row r="56" spans="3:8">
      <c r="C56" s="48" t="s">
        <v>74</v>
      </c>
      <c r="D56" s="48"/>
    </row>
    <row r="57" spans="3:8" s="14" customFormat="1">
      <c r="C57" s="48"/>
      <c r="D57" s="48"/>
    </row>
    <row r="58" spans="3:8" s="14" customFormat="1">
      <c r="C58" s="48"/>
      <c r="D58" s="48"/>
    </row>
    <row r="59" spans="3:8" s="14" customFormat="1" ht="28.8">
      <c r="C59" s="35" t="s">
        <v>137</v>
      </c>
      <c r="D59" s="49" t="s">
        <v>157</v>
      </c>
    </row>
    <row r="60" spans="3:8" s="14" customFormat="1"/>
    <row r="61" spans="3:8" s="14" customFormat="1">
      <c r="D61" s="36" t="s">
        <v>126</v>
      </c>
    </row>
    <row r="62" spans="3:8" s="14" customFormat="1">
      <c r="C62" s="48"/>
    </row>
    <row r="63" spans="3:8" s="14" customFormat="1" ht="28.8">
      <c r="C63" s="48"/>
      <c r="E63" s="3" t="s">
        <v>131</v>
      </c>
      <c r="F63" s="23" t="s">
        <v>132</v>
      </c>
    </row>
    <row r="64" spans="3:8" s="14" customFormat="1" ht="28.8">
      <c r="C64" s="48"/>
      <c r="D64" s="23" t="s">
        <v>41</v>
      </c>
      <c r="E64" s="41">
        <v>0.1</v>
      </c>
      <c r="F64" s="46" t="s">
        <v>149</v>
      </c>
    </row>
    <row r="65" spans="3:8" s="14" customFormat="1" ht="28.8">
      <c r="C65" s="48"/>
      <c r="D65" s="23" t="s">
        <v>127</v>
      </c>
      <c r="E65" s="41">
        <v>0.15</v>
      </c>
      <c r="F65" s="46" t="s">
        <v>150</v>
      </c>
    </row>
    <row r="66" spans="3:8" s="14" customFormat="1" ht="28.8">
      <c r="C66" s="48"/>
      <c r="D66" s="23" t="s">
        <v>128</v>
      </c>
      <c r="E66" s="41">
        <v>0.2</v>
      </c>
      <c r="F66" s="46" t="s">
        <v>151</v>
      </c>
    </row>
    <row r="67" spans="3:8" s="14" customFormat="1" ht="100.8">
      <c r="C67" s="48"/>
      <c r="D67" s="23" t="s">
        <v>129</v>
      </c>
      <c r="E67" s="41">
        <v>0.2</v>
      </c>
      <c r="F67" s="46" t="s">
        <v>153</v>
      </c>
    </row>
    <row r="68" spans="3:8" s="14" customFormat="1" ht="100.8">
      <c r="C68" s="48"/>
      <c r="D68" s="23" t="s">
        <v>122</v>
      </c>
      <c r="E68" s="41">
        <v>0.1</v>
      </c>
      <c r="F68" s="46" t="s">
        <v>154</v>
      </c>
    </row>
    <row r="69" spans="3:8" s="14" customFormat="1" ht="100.8">
      <c r="C69" s="48"/>
      <c r="D69" s="23" t="s">
        <v>130</v>
      </c>
      <c r="E69" s="41">
        <v>0.25</v>
      </c>
      <c r="F69" s="46" t="s">
        <v>155</v>
      </c>
    </row>
    <row r="70" spans="3:8" s="14" customFormat="1" ht="43.2">
      <c r="C70" s="48"/>
      <c r="D70" s="23" t="s">
        <v>136</v>
      </c>
      <c r="E70" s="41">
        <f>SUM(E64:E69)</f>
        <v>1</v>
      </c>
      <c r="F70" s="45" t="s">
        <v>156</v>
      </c>
    </row>
    <row r="71" spans="3:8" s="14" customFormat="1">
      <c r="C71" s="48"/>
      <c r="D71" s="48"/>
    </row>
    <row r="72" spans="3:8" s="14" customFormat="1">
      <c r="C72" s="48"/>
      <c r="D72" s="48"/>
    </row>
    <row r="74" spans="3:8">
      <c r="C74" s="35"/>
      <c r="D74" s="47"/>
      <c r="E74" s="14"/>
      <c r="F74" s="14"/>
      <c r="G74" s="14"/>
      <c r="H74" s="14"/>
    </row>
    <row r="75" spans="3:8">
      <c r="C75" s="14"/>
      <c r="D75" s="14"/>
      <c r="E75" s="14"/>
      <c r="F75" s="14"/>
      <c r="G75" s="14"/>
      <c r="H75" s="14"/>
    </row>
    <row r="76" spans="3:8" ht="28.8">
      <c r="C76" s="16" t="s">
        <v>42</v>
      </c>
      <c r="D76" s="17" t="s">
        <v>43</v>
      </c>
      <c r="E76" s="16" t="s">
        <v>44</v>
      </c>
      <c r="F76" s="16" t="s">
        <v>45</v>
      </c>
      <c r="G76" s="16" t="s">
        <v>46</v>
      </c>
      <c r="H76" s="37" t="s">
        <v>138</v>
      </c>
    </row>
    <row r="77" spans="3:8" ht="28.8">
      <c r="C77" s="20" t="s">
        <v>55</v>
      </c>
      <c r="D77" s="18" t="s">
        <v>56</v>
      </c>
      <c r="E77" s="33" t="s">
        <v>75</v>
      </c>
      <c r="F77" s="33" t="s">
        <v>87</v>
      </c>
      <c r="G77" s="34"/>
      <c r="H77" s="33" t="s">
        <v>76</v>
      </c>
    </row>
    <row r="78" spans="3:8" ht="28.8">
      <c r="C78" s="21" t="s">
        <v>139</v>
      </c>
      <c r="D78" s="19" t="s">
        <v>57</v>
      </c>
      <c r="E78" s="33" t="s">
        <v>83</v>
      </c>
      <c r="F78" s="33" t="s">
        <v>88</v>
      </c>
      <c r="G78" s="34"/>
      <c r="H78" s="33" t="s">
        <v>77</v>
      </c>
    </row>
    <row r="79" spans="3:8" ht="28.8">
      <c r="C79" s="21" t="s">
        <v>140</v>
      </c>
      <c r="D79" s="19" t="s">
        <v>58</v>
      </c>
      <c r="E79" s="34"/>
      <c r="F79" s="33" t="s">
        <v>89</v>
      </c>
      <c r="G79" s="34"/>
      <c r="H79" s="33" t="s">
        <v>78</v>
      </c>
    </row>
    <row r="80" spans="3:8" ht="42">
      <c r="C80" s="21" t="s">
        <v>141</v>
      </c>
      <c r="D80" s="19" t="s">
        <v>59</v>
      </c>
      <c r="E80" s="33" t="s">
        <v>84</v>
      </c>
      <c r="F80" s="33" t="s">
        <v>90</v>
      </c>
      <c r="G80" s="63"/>
      <c r="H80" s="33" t="s">
        <v>79</v>
      </c>
    </row>
    <row r="81" spans="3:8" ht="28.8">
      <c r="C81" s="21" t="s">
        <v>144</v>
      </c>
      <c r="D81" s="19" t="s">
        <v>60</v>
      </c>
      <c r="E81" s="33" t="s">
        <v>85</v>
      </c>
      <c r="F81" s="33" t="s">
        <v>91</v>
      </c>
      <c r="G81" s="34"/>
      <c r="H81" s="33" t="s">
        <v>80</v>
      </c>
    </row>
    <row r="82" spans="3:8" ht="42">
      <c r="C82" s="21" t="s">
        <v>142</v>
      </c>
      <c r="D82" s="19" t="s">
        <v>61</v>
      </c>
      <c r="E82" s="33" t="s">
        <v>86</v>
      </c>
      <c r="F82" s="33" t="s">
        <v>92</v>
      </c>
      <c r="G82" s="33" t="s">
        <v>94</v>
      </c>
      <c r="H82" s="33" t="s">
        <v>81</v>
      </c>
    </row>
    <row r="83" spans="3:8" ht="98.25" customHeight="1">
      <c r="C83" s="21" t="s">
        <v>145</v>
      </c>
      <c r="D83" s="19" t="s">
        <v>62</v>
      </c>
      <c r="E83" s="34"/>
      <c r="F83" s="33" t="s">
        <v>93</v>
      </c>
      <c r="G83" s="33" t="s">
        <v>95</v>
      </c>
      <c r="H83" s="33" t="s">
        <v>82</v>
      </c>
    </row>
    <row r="84" spans="3:8" ht="78" customHeight="1">
      <c r="C84" s="84" t="s">
        <v>124</v>
      </c>
      <c r="D84" s="85"/>
      <c r="E84" s="33" t="s">
        <v>152</v>
      </c>
      <c r="F84" s="33" t="s">
        <v>146</v>
      </c>
      <c r="G84" s="45" t="s">
        <v>147</v>
      </c>
      <c r="H84" s="33" t="s">
        <v>148</v>
      </c>
    </row>
  </sheetData>
  <mergeCells count="5">
    <mergeCell ref="D11:F13"/>
    <mergeCell ref="C38:H38"/>
    <mergeCell ref="C44:H51"/>
    <mergeCell ref="C35:D35"/>
    <mergeCell ref="C84:D8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C1:M110"/>
  <sheetViews>
    <sheetView topLeftCell="A25" zoomScale="90" zoomScaleNormal="90" workbookViewId="0">
      <selection activeCell="C45" sqref="C45:H45"/>
    </sheetView>
  </sheetViews>
  <sheetFormatPr baseColWidth="10" defaultColWidth="11.5546875" defaultRowHeight="14.4"/>
  <cols>
    <col min="1" max="2" width="11.5546875" style="14"/>
    <col min="3" max="3" width="30.6640625" style="14" customWidth="1"/>
    <col min="4" max="4" width="74.6640625" style="14" customWidth="1"/>
    <col min="5" max="5" width="17" style="14" customWidth="1"/>
    <col min="6" max="6" width="16.44140625" style="14" customWidth="1"/>
    <col min="7" max="7" width="19" style="14" customWidth="1"/>
    <col min="8" max="8" width="24.88671875" style="14" customWidth="1"/>
    <col min="9" max="16384" width="11.5546875" style="14"/>
  </cols>
  <sheetData>
    <row r="1" spans="3:6">
      <c r="C1" s="8" t="s">
        <v>48</v>
      </c>
    </row>
    <row r="2" spans="3:6">
      <c r="C2" s="8" t="s">
        <v>49</v>
      </c>
      <c r="D2" s="8" t="s">
        <v>50</v>
      </c>
    </row>
    <row r="3" spans="3:6">
      <c r="C3" s="8"/>
      <c r="D3" s="8" t="s">
        <v>51</v>
      </c>
    </row>
    <row r="4" spans="3:6">
      <c r="C4" s="8"/>
    </row>
    <row r="5" spans="3:6">
      <c r="C5" s="8" t="s">
        <v>52</v>
      </c>
      <c r="D5" s="14" t="str">
        <f>'BD ESTUDIANTES'!C2</f>
        <v>ABREU GÓMEZ DIANA CAROLINA</v>
      </c>
    </row>
    <row r="6" spans="3:6">
      <c r="C6" s="8" t="s">
        <v>53</v>
      </c>
      <c r="D6" s="14" t="str">
        <f>'BD ESTUDIANTES'!G2</f>
        <v>ADMINISTRACION Y DIRECCION DE NEGOCIOS</v>
      </c>
    </row>
    <row r="7" spans="3:6" ht="28.8">
      <c r="C7" s="35" t="s">
        <v>137</v>
      </c>
      <c r="D7" s="10">
        <f>F23</f>
        <v>93.823214285714286</v>
      </c>
    </row>
    <row r="8" spans="3:6">
      <c r="C8" s="35"/>
      <c r="D8" s="10"/>
    </row>
    <row r="9" spans="3:6">
      <c r="C9" s="35"/>
      <c r="D9" s="10"/>
    </row>
    <row r="10" spans="3:6">
      <c r="C10" s="35"/>
      <c r="D10" s="36" t="s">
        <v>126</v>
      </c>
      <c r="E10" s="6"/>
      <c r="F10" s="6"/>
    </row>
    <row r="11" spans="3:6">
      <c r="C11" s="35"/>
      <c r="D11" s="36"/>
      <c r="E11" s="6"/>
      <c r="F11" s="6"/>
    </row>
    <row r="12" spans="3:6">
      <c r="C12" s="35"/>
      <c r="D12" s="65" t="s">
        <v>163</v>
      </c>
      <c r="E12" s="66"/>
      <c r="F12" s="67"/>
    </row>
    <row r="13" spans="3:6">
      <c r="C13" s="35"/>
      <c r="D13" s="68"/>
      <c r="E13" s="69"/>
      <c r="F13" s="70"/>
    </row>
    <row r="14" spans="3:6">
      <c r="C14" s="35"/>
      <c r="D14" s="71"/>
      <c r="E14" s="72"/>
      <c r="F14" s="73"/>
    </row>
    <row r="15" spans="3:6">
      <c r="C15" s="35"/>
      <c r="D15" s="8"/>
    </row>
    <row r="16" spans="3:6" ht="28.8">
      <c r="C16" s="35"/>
      <c r="E16" s="3" t="s">
        <v>131</v>
      </c>
      <c r="F16" s="23" t="s">
        <v>132</v>
      </c>
    </row>
    <row r="17" spans="3:13">
      <c r="C17" s="35"/>
      <c r="D17" s="23" t="s">
        <v>165</v>
      </c>
      <c r="E17" s="41">
        <v>0.1</v>
      </c>
      <c r="F17" s="4">
        <f>'BD COORDINACION'!K4</f>
        <v>9.5</v>
      </c>
    </row>
    <row r="18" spans="3:13">
      <c r="C18" s="35"/>
      <c r="D18" s="23" t="s">
        <v>166</v>
      </c>
      <c r="E18" s="41">
        <v>0.15</v>
      </c>
      <c r="F18" s="4">
        <f>'BD COORDINACION'!L4</f>
        <v>13.5</v>
      </c>
    </row>
    <row r="19" spans="3:13">
      <c r="C19" s="35"/>
      <c r="D19" s="23" t="s">
        <v>167</v>
      </c>
      <c r="E19" s="41">
        <v>0.2</v>
      </c>
      <c r="F19" s="4">
        <f>'BD COORDINACION'!M4</f>
        <v>19.5</v>
      </c>
    </row>
    <row r="20" spans="3:13">
      <c r="C20" s="35"/>
      <c r="D20" s="23" t="s">
        <v>168</v>
      </c>
      <c r="E20" s="41">
        <v>0.2</v>
      </c>
      <c r="F20" s="4">
        <f>(93*20)/100</f>
        <v>18.600000000000001</v>
      </c>
    </row>
    <row r="21" spans="3:13">
      <c r="C21" s="35"/>
      <c r="D21" s="23" t="s">
        <v>169</v>
      </c>
      <c r="E21" s="41">
        <v>0.1</v>
      </c>
      <c r="F21" s="24">
        <f>(F36*10)/100</f>
        <v>9.2857142857142865</v>
      </c>
    </row>
    <row r="22" spans="3:13">
      <c r="C22" s="35"/>
      <c r="D22" s="23" t="s">
        <v>170</v>
      </c>
      <c r="E22" s="41">
        <v>0.25</v>
      </c>
      <c r="F22" s="24">
        <f>(G36*25)/100</f>
        <v>23.4375</v>
      </c>
    </row>
    <row r="23" spans="3:13">
      <c r="C23" s="35"/>
      <c r="D23" s="23" t="s">
        <v>136</v>
      </c>
      <c r="E23" s="41">
        <f>SUM(E17:E22)</f>
        <v>1</v>
      </c>
      <c r="F23" s="50">
        <f>SUM(F17:F22)</f>
        <v>93.823214285714286</v>
      </c>
    </row>
    <row r="24" spans="3:13">
      <c r="C24" s="35"/>
      <c r="D24" s="10"/>
    </row>
    <row r="25" spans="3:13">
      <c r="C25" s="35"/>
      <c r="D25" s="10"/>
    </row>
    <row r="26" spans="3:13">
      <c r="C26" s="35"/>
      <c r="D26" s="47" t="s">
        <v>158</v>
      </c>
    </row>
    <row r="28" spans="3:13" ht="28.8">
      <c r="C28" s="16" t="s">
        <v>42</v>
      </c>
      <c r="D28" s="17" t="s">
        <v>43</v>
      </c>
      <c r="E28" s="16" t="s">
        <v>44</v>
      </c>
      <c r="F28" s="16" t="s">
        <v>45</v>
      </c>
      <c r="G28" s="16" t="s">
        <v>46</v>
      </c>
      <c r="H28" s="37" t="s">
        <v>138</v>
      </c>
    </row>
    <row r="29" spans="3:13" ht="37.950000000000003" customHeight="1">
      <c r="C29" s="20" t="s">
        <v>55</v>
      </c>
      <c r="D29" s="18" t="s">
        <v>56</v>
      </c>
      <c r="E29" s="15">
        <f>'BD ESTUDIANTES'!I10</f>
        <v>96.428571428571431</v>
      </c>
      <c r="F29" s="15">
        <f>'BD AUTOEVALUACIÓN'!F10</f>
        <v>89.285714285714292</v>
      </c>
      <c r="G29" s="43"/>
      <c r="H29" s="15">
        <f>AVERAGE(E29:G29)</f>
        <v>92.857142857142861</v>
      </c>
    </row>
    <row r="30" spans="3:13" ht="33.6" customHeight="1">
      <c r="C30" s="21" t="s">
        <v>139</v>
      </c>
      <c r="D30" s="19" t="s">
        <v>57</v>
      </c>
      <c r="E30" s="15">
        <f>'BD ESTUDIANTES'!J10</f>
        <v>92.857142857142861</v>
      </c>
      <c r="F30" s="15">
        <f>'BD AUTOEVALUACIÓN'!G10</f>
        <v>100</v>
      </c>
      <c r="G30" s="43"/>
      <c r="H30" s="15">
        <f t="shared" ref="H30:H35" si="0">AVERAGE(E30:G30)</f>
        <v>96.428571428571431</v>
      </c>
    </row>
    <row r="31" spans="3:13" ht="28.95" customHeight="1">
      <c r="C31" s="21" t="s">
        <v>140</v>
      </c>
      <c r="D31" s="19" t="s">
        <v>58</v>
      </c>
      <c r="E31" s="43"/>
      <c r="F31" s="15">
        <f>'BD AUTOEVALUACIÓN'!H10</f>
        <v>100</v>
      </c>
      <c r="G31" s="43"/>
      <c r="H31" s="15">
        <f t="shared" si="0"/>
        <v>100</v>
      </c>
    </row>
    <row r="32" spans="3:13" ht="48.6" customHeight="1">
      <c r="C32" s="21" t="s">
        <v>141</v>
      </c>
      <c r="D32" s="19" t="s">
        <v>59</v>
      </c>
      <c r="E32" s="15">
        <f>'BD ESTUDIANTES'!K10</f>
        <v>92.857142857142861</v>
      </c>
      <c r="F32" s="15">
        <f>'BD AUTOEVALUACIÓN'!J10</f>
        <v>82.142857142857139</v>
      </c>
      <c r="G32" s="40"/>
      <c r="H32" s="15">
        <f>AVERAGE(E32:G32)</f>
        <v>87.5</v>
      </c>
      <c r="M32" s="8" t="s">
        <v>125</v>
      </c>
    </row>
    <row r="33" spans="3:8" ht="37.200000000000003" customHeight="1">
      <c r="C33" s="21" t="s">
        <v>144</v>
      </c>
      <c r="D33" s="19" t="s">
        <v>60</v>
      </c>
      <c r="E33" s="15">
        <f>'BD ESTUDIANTES'!L10</f>
        <v>89.285714285714292</v>
      </c>
      <c r="F33" s="15">
        <f>'BD AUTOEVALUACIÓN'!K10</f>
        <v>78.571428571428569</v>
      </c>
      <c r="G33" s="43"/>
      <c r="H33" s="15">
        <f t="shared" si="0"/>
        <v>83.928571428571431</v>
      </c>
    </row>
    <row r="34" spans="3:8" ht="45.6" customHeight="1">
      <c r="C34" s="21" t="s">
        <v>142</v>
      </c>
      <c r="D34" s="19" t="s">
        <v>61</v>
      </c>
      <c r="E34" s="15">
        <f>'BD ESTUDIANTES'!M10</f>
        <v>92.857142857142861</v>
      </c>
      <c r="F34" s="15">
        <f>'BD AUTOEVALUACIÓN'!L10</f>
        <v>100</v>
      </c>
      <c r="G34" s="4">
        <f>'BD COORDINACION'!E5</f>
        <v>87.5</v>
      </c>
      <c r="H34" s="15">
        <f t="shared" si="0"/>
        <v>93.452380952380963</v>
      </c>
    </row>
    <row r="35" spans="3:8" ht="34.200000000000003" customHeight="1">
      <c r="C35" s="38" t="s">
        <v>143</v>
      </c>
      <c r="D35" s="39" t="s">
        <v>62</v>
      </c>
      <c r="E35" s="44"/>
      <c r="F35" s="30">
        <f>AVERAGE('BD AUTOEVALUACIÓN'!I10,'BD AUTOEVALUACIÓN'!M10,'BD AUTOEVALUACIÓN'!N10,'BD AUTOEVALUACIÓN'!O10)</f>
        <v>100</v>
      </c>
      <c r="G35" s="11">
        <f>AVERAGE('BD COORDINACION'!I5,'BD COORDINACION'!F5,'BD COORDINACION'!G5,'BD COORDINACION'!H5,'BD COORDINACION'!I5)</f>
        <v>100</v>
      </c>
      <c r="H35" s="30">
        <f t="shared" si="0"/>
        <v>100</v>
      </c>
    </row>
    <row r="36" spans="3:8">
      <c r="C36" s="84" t="s">
        <v>124</v>
      </c>
      <c r="D36" s="85"/>
      <c r="E36" s="15">
        <f>AVERAGE(E29,E30,E32,E33,E34)</f>
        <v>92.857142857142847</v>
      </c>
      <c r="F36" s="15">
        <f>AVERAGE(F29,F30,F31,F32,F33,F34,F35)</f>
        <v>92.857142857142861</v>
      </c>
      <c r="G36" s="24">
        <f>AVERAGE(G34,G35)</f>
        <v>93.75</v>
      </c>
      <c r="H36" s="15">
        <f>AVERAGE(H29:H35)</f>
        <v>93.452380952380963</v>
      </c>
    </row>
    <row r="37" spans="3:8">
      <c r="C37" s="36"/>
      <c r="D37" s="36"/>
      <c r="E37" s="6"/>
      <c r="F37" s="6"/>
      <c r="G37" s="10"/>
      <c r="H37" s="6"/>
    </row>
    <row r="38" spans="3:8">
      <c r="C38" s="36"/>
      <c r="D38" s="36"/>
      <c r="E38" s="6"/>
      <c r="F38" s="6"/>
      <c r="G38" s="10"/>
      <c r="H38" s="6"/>
    </row>
    <row r="39" spans="3:8">
      <c r="C39" s="36"/>
      <c r="D39" s="36"/>
      <c r="E39" s="6"/>
      <c r="F39" s="6"/>
      <c r="G39" s="10"/>
      <c r="H39" s="6"/>
    </row>
    <row r="40" spans="3:8">
      <c r="C40" s="88" t="s">
        <v>99</v>
      </c>
      <c r="D40" s="89"/>
      <c r="E40" s="89"/>
      <c r="F40" s="89"/>
      <c r="G40" s="89"/>
      <c r="H40" s="89"/>
    </row>
    <row r="41" spans="3:8">
      <c r="C41" s="93" t="s">
        <v>103</v>
      </c>
      <c r="D41" s="94"/>
      <c r="E41" s="94"/>
      <c r="F41" s="94"/>
      <c r="G41" s="94"/>
      <c r="H41" s="94"/>
    </row>
    <row r="42" spans="3:8">
      <c r="C42" s="88" t="s">
        <v>100</v>
      </c>
      <c r="D42" s="89"/>
      <c r="E42" s="89"/>
      <c r="F42" s="89"/>
      <c r="G42" s="89"/>
      <c r="H42" s="89"/>
    </row>
    <row r="43" spans="3:8">
      <c r="C43" s="88" t="s">
        <v>101</v>
      </c>
      <c r="D43" s="89"/>
      <c r="E43" s="89"/>
      <c r="F43" s="89"/>
      <c r="G43" s="89"/>
      <c r="H43" s="89"/>
    </row>
    <row r="44" spans="3:8">
      <c r="C44" s="93" t="s">
        <v>104</v>
      </c>
      <c r="D44" s="94"/>
      <c r="E44" s="94"/>
      <c r="F44" s="94"/>
      <c r="G44" s="94"/>
      <c r="H44" s="94"/>
    </row>
    <row r="45" spans="3:8">
      <c r="C45" s="88" t="s">
        <v>102</v>
      </c>
      <c r="D45" s="89"/>
      <c r="E45" s="89"/>
      <c r="F45" s="89"/>
      <c r="G45" s="89"/>
      <c r="H45" s="89"/>
    </row>
    <row r="46" spans="3:8">
      <c r="C46" s="95" t="s">
        <v>105</v>
      </c>
      <c r="D46" s="96"/>
      <c r="E46" s="96"/>
      <c r="F46" s="96"/>
      <c r="G46" s="96"/>
      <c r="H46" s="97"/>
    </row>
    <row r="47" spans="3:8">
      <c r="C47" s="90" t="s">
        <v>47</v>
      </c>
      <c r="D47" s="91"/>
      <c r="E47" s="91"/>
      <c r="F47" s="91"/>
      <c r="G47" s="91"/>
      <c r="H47" s="92"/>
    </row>
    <row r="48" spans="3:8">
      <c r="C48" s="98" t="s">
        <v>40</v>
      </c>
      <c r="D48" s="96"/>
      <c r="E48" s="96"/>
      <c r="F48" s="96"/>
      <c r="G48" s="96"/>
      <c r="H48" s="97"/>
    </row>
    <row r="49" spans="3:8">
      <c r="C49" s="36"/>
      <c r="D49" s="36"/>
      <c r="E49" s="6"/>
      <c r="F49" s="6"/>
      <c r="G49" s="10"/>
      <c r="H49" s="6"/>
    </row>
    <row r="51" spans="3:8">
      <c r="C51" s="36"/>
      <c r="E51" s="6"/>
      <c r="F51" s="6"/>
    </row>
    <row r="52" spans="3:8" ht="61.2" customHeight="1">
      <c r="C52" s="74" t="s">
        <v>164</v>
      </c>
      <c r="D52" s="74"/>
      <c r="E52" s="74"/>
      <c r="F52" s="74"/>
      <c r="G52" s="74"/>
      <c r="H52" s="74"/>
    </row>
    <row r="54" spans="3:8">
      <c r="D54" s="8" t="s">
        <v>160</v>
      </c>
    </row>
    <row r="56" spans="3:8">
      <c r="D56" s="8" t="s">
        <v>161</v>
      </c>
    </row>
    <row r="58" spans="3:8">
      <c r="C58" s="75" t="s">
        <v>162</v>
      </c>
      <c r="D58" s="76"/>
      <c r="E58" s="76"/>
      <c r="F58" s="76"/>
      <c r="G58" s="76"/>
      <c r="H58" s="77"/>
    </row>
    <row r="59" spans="3:8">
      <c r="C59" s="78"/>
      <c r="D59" s="79"/>
      <c r="E59" s="79"/>
      <c r="F59" s="79"/>
      <c r="G59" s="79"/>
      <c r="H59" s="80"/>
    </row>
    <row r="60" spans="3:8">
      <c r="C60" s="78"/>
      <c r="D60" s="79"/>
      <c r="E60" s="79"/>
      <c r="F60" s="79"/>
      <c r="G60" s="79"/>
      <c r="H60" s="80"/>
    </row>
    <row r="61" spans="3:8">
      <c r="C61" s="78"/>
      <c r="D61" s="79"/>
      <c r="E61" s="79"/>
      <c r="F61" s="79"/>
      <c r="G61" s="79"/>
      <c r="H61" s="80"/>
    </row>
    <row r="62" spans="3:8">
      <c r="C62" s="78"/>
      <c r="D62" s="79"/>
      <c r="E62" s="79"/>
      <c r="F62" s="79"/>
      <c r="G62" s="79"/>
      <c r="H62" s="80"/>
    </row>
    <row r="63" spans="3:8">
      <c r="C63" s="78"/>
      <c r="D63" s="79"/>
      <c r="E63" s="79"/>
      <c r="F63" s="79"/>
      <c r="G63" s="79"/>
      <c r="H63" s="80"/>
    </row>
    <row r="64" spans="3:8">
      <c r="C64" s="78"/>
      <c r="D64" s="79"/>
      <c r="E64" s="79"/>
      <c r="F64" s="79"/>
      <c r="G64" s="79"/>
      <c r="H64" s="80"/>
    </row>
    <row r="65" spans="3:8">
      <c r="C65" s="81"/>
      <c r="D65" s="82"/>
      <c r="E65" s="82"/>
      <c r="F65" s="82"/>
      <c r="G65" s="82"/>
      <c r="H65" s="83"/>
    </row>
    <row r="70" spans="3:8">
      <c r="C70" s="48" t="s">
        <v>74</v>
      </c>
      <c r="D70" s="48"/>
    </row>
    <row r="73" spans="3:8" ht="28.8">
      <c r="C73" s="35" t="s">
        <v>137</v>
      </c>
      <c r="D73" s="49" t="s">
        <v>157</v>
      </c>
    </row>
    <row r="75" spans="3:8">
      <c r="D75" s="36" t="s">
        <v>126</v>
      </c>
      <c r="E75" s="6"/>
      <c r="F75" s="6"/>
    </row>
    <row r="77" spans="3:8" ht="28.8">
      <c r="E77" s="3" t="s">
        <v>131</v>
      </c>
      <c r="F77" s="23" t="s">
        <v>132</v>
      </c>
    </row>
    <row r="78" spans="3:8" ht="28.8">
      <c r="D78" s="23" t="s">
        <v>41</v>
      </c>
      <c r="E78" s="41">
        <v>0.1</v>
      </c>
      <c r="F78" s="46" t="s">
        <v>149</v>
      </c>
    </row>
    <row r="79" spans="3:8" ht="28.8">
      <c r="D79" s="23" t="s">
        <v>127</v>
      </c>
      <c r="E79" s="41">
        <v>0.15</v>
      </c>
      <c r="F79" s="46" t="s">
        <v>150</v>
      </c>
    </row>
    <row r="80" spans="3:8" ht="28.8">
      <c r="D80" s="23" t="s">
        <v>128</v>
      </c>
      <c r="E80" s="41">
        <v>0.2</v>
      </c>
      <c r="F80" s="46" t="s">
        <v>151</v>
      </c>
    </row>
    <row r="81" spans="3:8" ht="100.8">
      <c r="D81" s="23" t="s">
        <v>129</v>
      </c>
      <c r="E81" s="41">
        <v>0.2</v>
      </c>
      <c r="F81" s="46" t="s">
        <v>153</v>
      </c>
    </row>
    <row r="82" spans="3:8" ht="100.8">
      <c r="D82" s="23" t="s">
        <v>122</v>
      </c>
      <c r="E82" s="41">
        <v>0.1</v>
      </c>
      <c r="F82" s="46" t="s">
        <v>154</v>
      </c>
    </row>
    <row r="83" spans="3:8" ht="100.8">
      <c r="D83" s="23" t="s">
        <v>130</v>
      </c>
      <c r="E83" s="41">
        <v>0.25</v>
      </c>
      <c r="F83" s="46" t="s">
        <v>155</v>
      </c>
    </row>
    <row r="84" spans="3:8" ht="43.2">
      <c r="D84" s="23" t="s">
        <v>136</v>
      </c>
      <c r="E84" s="41">
        <f>SUM(E78:E83)</f>
        <v>1</v>
      </c>
      <c r="F84" s="45" t="s">
        <v>156</v>
      </c>
    </row>
    <row r="87" spans="3:8">
      <c r="D87" s="47" t="s">
        <v>158</v>
      </c>
    </row>
    <row r="90" spans="3:8" ht="28.8">
      <c r="C90" s="16" t="s">
        <v>42</v>
      </c>
      <c r="D90" s="17" t="s">
        <v>43</v>
      </c>
      <c r="E90" s="16" t="s">
        <v>44</v>
      </c>
      <c r="F90" s="16" t="s">
        <v>45</v>
      </c>
      <c r="G90" s="16" t="s">
        <v>46</v>
      </c>
      <c r="H90" s="37" t="s">
        <v>138</v>
      </c>
    </row>
    <row r="91" spans="3:8" ht="28.8">
      <c r="C91" s="20" t="s">
        <v>55</v>
      </c>
      <c r="D91" s="18" t="s">
        <v>56</v>
      </c>
      <c r="E91" s="33" t="s">
        <v>75</v>
      </c>
      <c r="F91" s="33" t="s">
        <v>87</v>
      </c>
      <c r="G91" s="34"/>
      <c r="H91" s="33" t="s">
        <v>76</v>
      </c>
    </row>
    <row r="92" spans="3:8" ht="28.8">
      <c r="C92" s="21" t="s">
        <v>139</v>
      </c>
      <c r="D92" s="19" t="s">
        <v>57</v>
      </c>
      <c r="E92" s="33" t="s">
        <v>83</v>
      </c>
      <c r="F92" s="33" t="s">
        <v>88</v>
      </c>
      <c r="G92" s="34"/>
      <c r="H92" s="33" t="s">
        <v>77</v>
      </c>
    </row>
    <row r="93" spans="3:8" ht="28.8">
      <c r="C93" s="21" t="s">
        <v>140</v>
      </c>
      <c r="D93" s="19" t="s">
        <v>58</v>
      </c>
      <c r="E93" s="34"/>
      <c r="F93" s="33" t="s">
        <v>89</v>
      </c>
      <c r="G93" s="34"/>
      <c r="H93" s="33" t="s">
        <v>78</v>
      </c>
    </row>
    <row r="94" spans="3:8" ht="42">
      <c r="C94" s="21" t="s">
        <v>141</v>
      </c>
      <c r="D94" s="19" t="s">
        <v>59</v>
      </c>
      <c r="E94" s="33" t="s">
        <v>84</v>
      </c>
      <c r="F94" s="33" t="s">
        <v>90</v>
      </c>
      <c r="G94" s="63"/>
      <c r="H94" s="33" t="s">
        <v>79</v>
      </c>
    </row>
    <row r="95" spans="3:8" ht="28.8">
      <c r="C95" s="21" t="s">
        <v>144</v>
      </c>
      <c r="D95" s="19" t="s">
        <v>60</v>
      </c>
      <c r="E95" s="33" t="s">
        <v>85</v>
      </c>
      <c r="F95" s="33" t="s">
        <v>91</v>
      </c>
      <c r="G95" s="34"/>
      <c r="H95" s="33" t="s">
        <v>80</v>
      </c>
    </row>
    <row r="96" spans="3:8" ht="42">
      <c r="C96" s="21" t="s">
        <v>142</v>
      </c>
      <c r="D96" s="19" t="s">
        <v>61</v>
      </c>
      <c r="E96" s="33" t="s">
        <v>86</v>
      </c>
      <c r="F96" s="33" t="s">
        <v>92</v>
      </c>
      <c r="G96" s="33" t="s">
        <v>94</v>
      </c>
      <c r="H96" s="33" t="s">
        <v>81</v>
      </c>
    </row>
    <row r="97" spans="3:8" ht="57.6">
      <c r="C97" s="21" t="s">
        <v>145</v>
      </c>
      <c r="D97" s="19" t="s">
        <v>62</v>
      </c>
      <c r="E97" s="34"/>
      <c r="F97" s="33" t="s">
        <v>93</v>
      </c>
      <c r="G97" s="33" t="s">
        <v>95</v>
      </c>
      <c r="H97" s="33" t="s">
        <v>82</v>
      </c>
    </row>
    <row r="98" spans="3:8" ht="78" customHeight="1">
      <c r="C98" s="84" t="s">
        <v>124</v>
      </c>
      <c r="D98" s="85"/>
      <c r="E98" s="33" t="s">
        <v>152</v>
      </c>
      <c r="F98" s="33" t="s">
        <v>146</v>
      </c>
      <c r="G98" s="45" t="s">
        <v>147</v>
      </c>
      <c r="H98" s="33" t="s">
        <v>148</v>
      </c>
    </row>
    <row r="102" spans="3:8">
      <c r="C102" s="88" t="s">
        <v>99</v>
      </c>
      <c r="D102" s="89"/>
      <c r="E102" s="89"/>
      <c r="F102" s="89"/>
      <c r="G102" s="89"/>
      <c r="H102" s="89"/>
    </row>
    <row r="103" spans="3:8">
      <c r="C103" s="86" t="s">
        <v>106</v>
      </c>
      <c r="D103" s="87"/>
      <c r="E103" s="87"/>
      <c r="F103" s="87"/>
      <c r="G103" s="87"/>
      <c r="H103" s="87"/>
    </row>
    <row r="104" spans="3:8">
      <c r="C104" s="88" t="s">
        <v>100</v>
      </c>
      <c r="D104" s="89"/>
      <c r="E104" s="89"/>
      <c r="F104" s="89"/>
      <c r="G104" s="89"/>
      <c r="H104" s="89"/>
    </row>
    <row r="105" spans="3:8">
      <c r="C105" s="88" t="s">
        <v>101</v>
      </c>
      <c r="D105" s="89"/>
      <c r="E105" s="89"/>
      <c r="F105" s="89"/>
      <c r="G105" s="89"/>
      <c r="H105" s="89"/>
    </row>
    <row r="106" spans="3:8">
      <c r="C106" s="86" t="s">
        <v>107</v>
      </c>
      <c r="D106" s="87"/>
      <c r="E106" s="87"/>
      <c r="F106" s="87"/>
      <c r="G106" s="87"/>
      <c r="H106" s="87"/>
    </row>
    <row r="107" spans="3:8">
      <c r="C107" s="88" t="s">
        <v>102</v>
      </c>
      <c r="D107" s="89"/>
      <c r="E107" s="89"/>
      <c r="F107" s="89"/>
      <c r="G107" s="89"/>
      <c r="H107" s="89"/>
    </row>
    <row r="108" spans="3:8">
      <c r="C108" s="86" t="s">
        <v>108</v>
      </c>
      <c r="D108" s="87"/>
      <c r="E108" s="87"/>
      <c r="F108" s="87"/>
      <c r="G108" s="87"/>
      <c r="H108" s="87"/>
    </row>
    <row r="109" spans="3:8">
      <c r="C109" s="90" t="s">
        <v>47</v>
      </c>
      <c r="D109" s="91"/>
      <c r="E109" s="91"/>
      <c r="F109" s="91"/>
      <c r="G109" s="91"/>
      <c r="H109" s="92"/>
    </row>
    <row r="110" spans="3:8">
      <c r="C110" s="86" t="s">
        <v>109</v>
      </c>
      <c r="D110" s="87"/>
      <c r="E110" s="87"/>
      <c r="F110" s="87"/>
      <c r="G110" s="87"/>
      <c r="H110" s="87"/>
    </row>
  </sheetData>
  <mergeCells count="23">
    <mergeCell ref="C103:H103"/>
    <mergeCell ref="D12:F14"/>
    <mergeCell ref="C36:D36"/>
    <mergeCell ref="C52:H52"/>
    <mergeCell ref="C58:H65"/>
    <mergeCell ref="C98:D98"/>
    <mergeCell ref="C40:H40"/>
    <mergeCell ref="C41:H41"/>
    <mergeCell ref="C42:H42"/>
    <mergeCell ref="C43:H43"/>
    <mergeCell ref="C44:H44"/>
    <mergeCell ref="C45:H45"/>
    <mergeCell ref="C46:H46"/>
    <mergeCell ref="C47:H47"/>
    <mergeCell ref="C48:H48"/>
    <mergeCell ref="C102:H102"/>
    <mergeCell ref="C110:H110"/>
    <mergeCell ref="C104:H104"/>
    <mergeCell ref="C105:H105"/>
    <mergeCell ref="C106:H106"/>
    <mergeCell ref="C107:H107"/>
    <mergeCell ref="C108:H108"/>
    <mergeCell ref="C109:H10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7"/>
  <sheetViews>
    <sheetView tabSelected="1" topLeftCell="A4" zoomScaleNormal="100" workbookViewId="0">
      <selection activeCell="D10" sqref="D10"/>
    </sheetView>
  </sheetViews>
  <sheetFormatPr baseColWidth="10" defaultColWidth="11.5546875" defaultRowHeight="14.4"/>
  <cols>
    <col min="1" max="2" width="11.5546875" style="14"/>
    <col min="3" max="3" width="26.33203125" style="14" customWidth="1"/>
    <col min="4" max="4" width="31.5546875" style="14" customWidth="1"/>
    <col min="5" max="5" width="27.6640625" style="14" customWidth="1"/>
    <col min="6" max="6" width="21.88671875" style="14" bestFit="1" customWidth="1"/>
    <col min="7" max="7" width="17.88671875" style="14" bestFit="1" customWidth="1"/>
    <col min="8" max="8" width="20.33203125" style="14" bestFit="1" customWidth="1"/>
    <col min="9" max="9" width="17.33203125" style="14" bestFit="1" customWidth="1"/>
    <col min="10" max="10" width="20.109375" style="14" bestFit="1" customWidth="1"/>
    <col min="11" max="11" width="20.6640625" style="14" bestFit="1" customWidth="1"/>
    <col min="12" max="16384" width="11.5546875" style="14"/>
  </cols>
  <sheetData>
    <row r="1" spans="3:6">
      <c r="C1" s="8" t="s">
        <v>48</v>
      </c>
    </row>
    <row r="2" spans="3:6">
      <c r="C2" s="8" t="s">
        <v>49</v>
      </c>
      <c r="D2" s="8" t="s">
        <v>110</v>
      </c>
    </row>
    <row r="3" spans="3:6">
      <c r="C3" s="8"/>
      <c r="D3" s="8" t="s">
        <v>51</v>
      </c>
    </row>
    <row r="4" spans="3:6">
      <c r="C4" s="8"/>
    </row>
    <row r="5" spans="3:6">
      <c r="C5" s="8" t="s">
        <v>54</v>
      </c>
    </row>
    <row r="8" spans="3:6">
      <c r="C8" s="14" t="s">
        <v>111</v>
      </c>
    </row>
    <row r="9" spans="3:6" ht="43.2">
      <c r="C9" s="4"/>
      <c r="D9" s="51" t="s">
        <v>121</v>
      </c>
      <c r="E9" s="51" t="s">
        <v>174</v>
      </c>
      <c r="F9" s="51" t="s">
        <v>175</v>
      </c>
    </row>
    <row r="10" spans="3:6" ht="97.5" customHeight="1">
      <c r="C10" s="23" t="s">
        <v>98</v>
      </c>
      <c r="D10" s="23" t="s">
        <v>173</v>
      </c>
      <c r="E10" s="23" t="s">
        <v>172</v>
      </c>
      <c r="F10" s="23" t="s">
        <v>176</v>
      </c>
    </row>
    <row r="11" spans="3:6">
      <c r="C11" s="23" t="s">
        <v>116</v>
      </c>
      <c r="D11" s="4"/>
      <c r="E11" s="4"/>
      <c r="F11" s="4"/>
    </row>
    <row r="12" spans="3:6" ht="28.8">
      <c r="C12" s="23" t="s">
        <v>120</v>
      </c>
      <c r="D12" s="4"/>
      <c r="E12" s="4"/>
      <c r="F12" s="4"/>
    </row>
    <row r="13" spans="3:6">
      <c r="C13" s="23" t="s">
        <v>7</v>
      </c>
      <c r="D13" s="4"/>
      <c r="E13" s="4"/>
      <c r="F13" s="4"/>
    </row>
    <row r="14" spans="3:6" ht="22.5" customHeight="1">
      <c r="C14" s="23" t="s">
        <v>115</v>
      </c>
      <c r="D14" s="4"/>
      <c r="E14" s="4"/>
      <c r="F14" s="4"/>
    </row>
    <row r="15" spans="3:6" ht="28.8">
      <c r="C15" s="23" t="s">
        <v>114</v>
      </c>
      <c r="D15" s="4"/>
      <c r="E15" s="4"/>
      <c r="F15" s="4"/>
    </row>
    <row r="16" spans="3:6">
      <c r="C16" s="23" t="s">
        <v>9</v>
      </c>
      <c r="D16" s="4"/>
      <c r="E16" s="4"/>
      <c r="F16" s="4"/>
    </row>
    <row r="17" spans="1:19">
      <c r="C17" s="23" t="s">
        <v>6</v>
      </c>
      <c r="D17" s="4"/>
      <c r="E17" s="4"/>
      <c r="F17" s="4"/>
    </row>
    <row r="18" spans="1:19">
      <c r="C18" s="23" t="s">
        <v>119</v>
      </c>
      <c r="D18" s="4"/>
      <c r="E18" s="4"/>
      <c r="F18" s="4"/>
    </row>
    <row r="19" spans="1:19">
      <c r="A19" s="8"/>
      <c r="C19" s="23" t="s">
        <v>1</v>
      </c>
      <c r="D19" s="4"/>
      <c r="E19" s="4"/>
      <c r="F19" s="4"/>
    </row>
    <row r="20" spans="1:19" ht="28.8">
      <c r="C20" s="23" t="s">
        <v>113</v>
      </c>
      <c r="D20" s="4"/>
      <c r="E20" s="4"/>
      <c r="F20" s="4"/>
    </row>
    <row r="21" spans="1:19" ht="30.75" customHeight="1">
      <c r="C21" s="23" t="s">
        <v>112</v>
      </c>
      <c r="D21" s="4"/>
      <c r="E21" s="4"/>
      <c r="F21" s="4"/>
    </row>
    <row r="22" spans="1:19" ht="28.8">
      <c r="C22" s="23" t="s">
        <v>10</v>
      </c>
      <c r="D22" s="4"/>
      <c r="E22" s="4"/>
      <c r="F22" s="4"/>
    </row>
    <row r="23" spans="1:19">
      <c r="C23" s="23" t="s">
        <v>118</v>
      </c>
      <c r="D23" s="4"/>
      <c r="E23" s="4"/>
      <c r="F23" s="4"/>
    </row>
    <row r="24" spans="1:19">
      <c r="C24" s="23" t="s">
        <v>117</v>
      </c>
      <c r="D24" s="4"/>
      <c r="E24" s="4"/>
      <c r="F24" s="4"/>
    </row>
    <row r="25" spans="1:19" ht="36.75" customHeight="1">
      <c r="C25" s="23" t="s">
        <v>203</v>
      </c>
      <c r="D25" s="4"/>
      <c r="E25" s="4"/>
      <c r="F25" s="4"/>
    </row>
    <row r="31" spans="1:19">
      <c r="C31" s="8" t="s">
        <v>123</v>
      </c>
    </row>
    <row r="32" spans="1:19" ht="130.94999999999999" customHeight="1">
      <c r="C32" s="52"/>
      <c r="D32" s="53" t="s">
        <v>98</v>
      </c>
      <c r="E32" s="53" t="s">
        <v>116</v>
      </c>
      <c r="F32" s="53" t="s">
        <v>120</v>
      </c>
      <c r="G32" s="53" t="s">
        <v>7</v>
      </c>
      <c r="H32" s="53" t="s">
        <v>115</v>
      </c>
      <c r="I32" s="53" t="s">
        <v>114</v>
      </c>
      <c r="J32" s="53" t="s">
        <v>9</v>
      </c>
      <c r="K32" s="53" t="s">
        <v>6</v>
      </c>
      <c r="L32" s="53" t="s">
        <v>119</v>
      </c>
      <c r="M32" s="53" t="s">
        <v>1</v>
      </c>
      <c r="N32" s="53" t="s">
        <v>113</v>
      </c>
      <c r="O32" s="53" t="s">
        <v>112</v>
      </c>
      <c r="P32" s="53" t="s">
        <v>10</v>
      </c>
      <c r="Q32" s="53" t="s">
        <v>118</v>
      </c>
      <c r="R32" s="53" t="s">
        <v>117</v>
      </c>
      <c r="S32" s="53" t="s">
        <v>203</v>
      </c>
    </row>
    <row r="33" spans="3:19" ht="15" customHeight="1">
      <c r="C33" s="54" t="s">
        <v>171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</row>
    <row r="34" spans="3:19" ht="15" customHeight="1">
      <c r="C34" s="23" t="s">
        <v>165</v>
      </c>
      <c r="D34" s="46" t="s">
        <v>177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3:19" ht="30" customHeight="1">
      <c r="C35" s="23" t="s">
        <v>166</v>
      </c>
      <c r="D35" s="46" t="s">
        <v>178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3:19" ht="43.95" customHeight="1">
      <c r="C36" s="23" t="s">
        <v>167</v>
      </c>
      <c r="D36" s="46" t="s">
        <v>179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3:19" ht="118.95" customHeight="1">
      <c r="C37" s="23" t="s">
        <v>168</v>
      </c>
      <c r="D37" s="46" t="s">
        <v>180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3:19" ht="125.25" customHeight="1">
      <c r="C38" s="23" t="s">
        <v>169</v>
      </c>
      <c r="D38" s="46" t="s">
        <v>182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3:19" ht="107.25" customHeight="1">
      <c r="C39" s="23" t="s">
        <v>170</v>
      </c>
      <c r="D39" s="46" t="s">
        <v>181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3:19" ht="15" customHeight="1">
      <c r="C40" s="55" t="s">
        <v>42</v>
      </c>
      <c r="D40" s="57"/>
      <c r="E40" s="57"/>
      <c r="F40" s="57"/>
      <c r="G40" s="57"/>
      <c r="H40" s="57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</row>
    <row r="41" spans="3:19" ht="85.5" customHeight="1">
      <c r="C41" s="20" t="s">
        <v>55</v>
      </c>
      <c r="D41" s="46" t="s">
        <v>183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3:19" ht="29.25" customHeight="1">
      <c r="C42" s="21" t="s">
        <v>139</v>
      </c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3:19" ht="27.75" customHeight="1">
      <c r="C43" s="21" t="s">
        <v>140</v>
      </c>
      <c r="D43" s="4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3:19" ht="32.4" customHeight="1">
      <c r="C44" s="21" t="s">
        <v>141</v>
      </c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3:19" ht="41.25" customHeight="1">
      <c r="C45" s="21" t="s">
        <v>144</v>
      </c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3:19" ht="40.5" customHeight="1">
      <c r="C46" s="38" t="s">
        <v>142</v>
      </c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3:19" ht="42.75" customHeight="1">
      <c r="C47" s="59" t="s">
        <v>143</v>
      </c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</sheetData>
  <sortState xmlns:xlrd2="http://schemas.microsoft.com/office/spreadsheetml/2017/richdata2" ref="C11:C24">
    <sortCondition ref="C11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BD ESTUDIANTES</vt:lpstr>
      <vt:lpstr>BD AUTOEVALUACIÓN</vt:lpstr>
      <vt:lpstr>BD COORDINACION</vt:lpstr>
      <vt:lpstr>REPORTE PARA DOCENTE (SC)</vt:lpstr>
      <vt:lpstr>REPORTE PARA DOCENTE (CC)</vt:lpstr>
      <vt:lpstr>REPORTE PA-SUBD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DOLORES NAVARRO SOTO</dc:creator>
  <cp:lastModifiedBy>HECTOR MANUEL GARCIA ESCOBAR</cp:lastModifiedBy>
  <dcterms:created xsi:type="dcterms:W3CDTF">2024-11-14T18:59:24Z</dcterms:created>
  <dcterms:modified xsi:type="dcterms:W3CDTF">2025-03-15T19:40:44Z</dcterms:modified>
</cp:coreProperties>
</file>