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HECTORMANUELGARCIAES\Documents\proyectos\test.evaluaciones.umg.edu.mx\eva2026ii\Documentos\preparatoria\"/>
    </mc:Choice>
  </mc:AlternateContent>
  <xr:revisionPtr revIDLastSave="0" documentId="13_ncr:1_{D9B54EC9-4359-4123-AC93-260973DAC7F5}" xr6:coauthVersionLast="47" xr6:coauthVersionMax="47" xr10:uidLastSave="{00000000-0000-0000-0000-000000000000}"/>
  <bookViews>
    <workbookView xWindow="38280" yWindow="-120" windowWidth="29040" windowHeight="15720" activeTab="1" xr2:uid="{B8044EB5-163E-4131-9D7A-1B4BAB649333}"/>
  </bookViews>
  <sheets>
    <sheet name="ALUMNOS" sheetId="2" r:id="rId1"/>
    <sheet name="MATERIAS" sheetId="4" r:id="rId2"/>
    <sheet name="GRUPOS" sheetId="5" r:id="rId3"/>
    <sheet name="ACUDE" sheetId="1" r:id="rId4"/>
    <sheet name="TITULARES" sheetId="3" r:id="rId5"/>
  </sheets>
  <definedNames>
    <definedName name="_xlnm._FilterDatabase" localSheetId="1" hidden="1">MATERIAS!$B$1:$G$148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J7" i="4" s="1"/>
  <c r="I8" i="4"/>
  <c r="J8" i="4" s="1"/>
  <c r="I9" i="4"/>
  <c r="J9" i="4" s="1"/>
  <c r="I10" i="4"/>
  <c r="J10" i="4" s="1"/>
  <c r="I11" i="4"/>
  <c r="J11" i="4" s="1"/>
  <c r="I12" i="4"/>
  <c r="I13" i="4"/>
  <c r="I14" i="4"/>
  <c r="I15" i="4"/>
  <c r="I16" i="4"/>
  <c r="J16" i="4" s="1"/>
  <c r="I17" i="4"/>
  <c r="J17" i="4" s="1"/>
  <c r="I18" i="4"/>
  <c r="I19" i="4"/>
  <c r="I20" i="4"/>
  <c r="I21" i="4"/>
  <c r="I22" i="4"/>
  <c r="J22" i="4" s="1"/>
  <c r="I23" i="4"/>
  <c r="I24" i="4"/>
  <c r="I25" i="4"/>
  <c r="I26" i="4"/>
  <c r="I27" i="4"/>
  <c r="I28" i="4"/>
  <c r="I29" i="4"/>
  <c r="I30" i="4"/>
  <c r="I31" i="4"/>
  <c r="I32" i="4"/>
  <c r="I33" i="4"/>
  <c r="J33" i="4" s="1"/>
  <c r="I34" i="4"/>
  <c r="J34" i="4" s="1"/>
  <c r="I35" i="4"/>
  <c r="J35" i="4" s="1"/>
  <c r="I36" i="4"/>
  <c r="J36" i="4" s="1"/>
  <c r="I37" i="4"/>
  <c r="J37" i="4" s="1"/>
  <c r="I38" i="4"/>
  <c r="J38" i="4" s="1"/>
  <c r="I39" i="4"/>
  <c r="J39" i="4" s="1"/>
  <c r="I40" i="4"/>
  <c r="J40" i="4" s="1"/>
  <c r="I41" i="4"/>
  <c r="J41" i="4" s="1"/>
  <c r="I42" i="4"/>
  <c r="J42" i="4" s="1"/>
  <c r="I43" i="4"/>
  <c r="I44" i="4"/>
  <c r="I45" i="4"/>
  <c r="I46" i="4"/>
  <c r="I47" i="4"/>
  <c r="I48" i="4"/>
  <c r="J48" i="4" s="1"/>
  <c r="I49" i="4"/>
  <c r="J49" i="4" s="1"/>
  <c r="I50" i="4"/>
  <c r="J50" i="4" s="1"/>
  <c r="I51" i="4"/>
  <c r="J51" i="4" s="1"/>
  <c r="I52" i="4"/>
  <c r="I53" i="4"/>
  <c r="I54" i="4"/>
  <c r="I55" i="4"/>
  <c r="I56" i="4"/>
  <c r="I57" i="4"/>
  <c r="I58" i="4"/>
  <c r="J58" i="4" s="1"/>
  <c r="I59" i="4"/>
  <c r="J59" i="4" s="1"/>
  <c r="I60" i="4"/>
  <c r="J60" i="4" s="1"/>
  <c r="I61" i="4"/>
  <c r="J61" i="4" s="1"/>
  <c r="I62" i="4"/>
  <c r="J62" i="4" s="1"/>
  <c r="I63" i="4"/>
  <c r="I64" i="4"/>
  <c r="I65" i="4"/>
  <c r="J65" i="4" s="1"/>
  <c r="I66" i="4"/>
  <c r="J66" i="4" s="1"/>
  <c r="I67" i="4"/>
  <c r="J67" i="4" s="1"/>
  <c r="I68" i="4"/>
  <c r="J68" i="4" s="1"/>
  <c r="I69" i="4"/>
  <c r="J69" i="4" s="1"/>
  <c r="I70" i="4"/>
  <c r="J70" i="4" s="1"/>
  <c r="I71" i="4"/>
  <c r="J71" i="4" s="1"/>
  <c r="I72" i="4"/>
  <c r="I73" i="4"/>
  <c r="I74" i="4"/>
  <c r="J74" i="4" s="1"/>
  <c r="I75" i="4"/>
  <c r="J75" i="4" s="1"/>
  <c r="I76" i="4"/>
  <c r="J76" i="4" s="1"/>
  <c r="I77" i="4"/>
  <c r="J77" i="4" s="1"/>
  <c r="I78" i="4"/>
  <c r="J78" i="4" s="1"/>
  <c r="I79" i="4"/>
  <c r="J79" i="4" s="1"/>
  <c r="I80" i="4"/>
  <c r="J80" i="4" s="1"/>
  <c r="I81" i="4"/>
  <c r="J81" i="4" s="1"/>
  <c r="I82" i="4"/>
  <c r="J82" i="4" s="1"/>
  <c r="I83" i="4"/>
  <c r="I84" i="4"/>
  <c r="I85" i="4"/>
  <c r="I86" i="4"/>
  <c r="I87" i="4"/>
  <c r="I88" i="4"/>
  <c r="I89" i="4"/>
  <c r="I90" i="4"/>
  <c r="I91" i="4"/>
  <c r="J91" i="4" s="1"/>
  <c r="I92" i="4"/>
  <c r="J92" i="4" s="1"/>
  <c r="I93" i="4"/>
  <c r="J93" i="4" s="1"/>
  <c r="I94" i="4"/>
  <c r="J94" i="4" s="1"/>
  <c r="I95" i="4"/>
  <c r="J95" i="4" s="1"/>
  <c r="I96" i="4"/>
  <c r="J96" i="4" s="1"/>
  <c r="I97" i="4"/>
  <c r="J97" i="4" s="1"/>
  <c r="I98" i="4"/>
  <c r="J98" i="4" s="1"/>
  <c r="I99" i="4"/>
  <c r="J99" i="4" s="1"/>
  <c r="I100" i="4"/>
  <c r="J100" i="4" s="1"/>
  <c r="I101" i="4"/>
  <c r="J101" i="4" s="1"/>
  <c r="I102" i="4"/>
  <c r="J102" i="4" s="1"/>
  <c r="I103" i="4"/>
  <c r="I104" i="4"/>
  <c r="I105" i="4"/>
  <c r="I106" i="4"/>
  <c r="J106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J118" i="4" s="1"/>
  <c r="I119" i="4"/>
  <c r="J119" i="4" s="1"/>
  <c r="I120" i="4"/>
  <c r="J120" i="4" s="1"/>
  <c r="I121" i="4"/>
  <c r="J121" i="4" s="1"/>
  <c r="I122" i="4"/>
  <c r="J122" i="4" s="1"/>
  <c r="I123" i="4"/>
  <c r="I124" i="4"/>
  <c r="J124" i="4" s="1"/>
  <c r="I125" i="4"/>
  <c r="J125" i="4" s="1"/>
  <c r="I126" i="4"/>
  <c r="J126" i="4" s="1"/>
  <c r="I127" i="4"/>
  <c r="J127" i="4" s="1"/>
  <c r="I128" i="4"/>
  <c r="J128" i="4" s="1"/>
  <c r="I129" i="4"/>
  <c r="J129" i="4" s="1"/>
  <c r="I130" i="4"/>
  <c r="J130" i="4" s="1"/>
  <c r="I131" i="4"/>
  <c r="J131" i="4" s="1"/>
  <c r="I132" i="4"/>
  <c r="I133" i="4"/>
  <c r="I134" i="4"/>
  <c r="I135" i="4"/>
  <c r="J135" i="4" s="1"/>
  <c r="I136" i="4"/>
  <c r="J136" i="4" s="1"/>
  <c r="I137" i="4"/>
  <c r="J137" i="4" s="1"/>
  <c r="I138" i="4"/>
  <c r="J138" i="4" s="1"/>
  <c r="I139" i="4"/>
  <c r="J139" i="4" s="1"/>
  <c r="I140" i="4"/>
  <c r="J140" i="4" s="1"/>
  <c r="I141" i="4"/>
  <c r="J141" i="4" s="1"/>
  <c r="I142" i="4"/>
  <c r="J142" i="4" s="1"/>
  <c r="I143" i="4"/>
  <c r="I144" i="4"/>
  <c r="I145" i="4"/>
  <c r="I146" i="4"/>
  <c r="I147" i="4"/>
  <c r="I148" i="4"/>
  <c r="I2" i="4"/>
  <c r="J132" i="4"/>
  <c r="J133" i="4"/>
  <c r="J145" i="4"/>
  <c r="J146" i="4"/>
  <c r="J147" i="4"/>
  <c r="J148" i="4"/>
  <c r="J113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2" i="3"/>
  <c r="F2" i="3"/>
  <c r="F3" i="1"/>
  <c r="F4" i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F17" i="1"/>
  <c r="F18" i="1"/>
  <c r="F19" i="1"/>
  <c r="F20" i="1"/>
  <c r="G20" i="1" s="1"/>
  <c r="F21" i="1"/>
  <c r="G21" i="1" s="1"/>
  <c r="F22" i="1"/>
  <c r="G22" i="1" s="1"/>
  <c r="F2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2" i="5"/>
  <c r="J18" i="4"/>
  <c r="J19" i="4"/>
  <c r="J20" i="4"/>
  <c r="J21" i="4"/>
  <c r="J23" i="4"/>
  <c r="J43" i="4"/>
  <c r="J63" i="4"/>
  <c r="J83" i="4"/>
  <c r="J103" i="4"/>
  <c r="J123" i="4"/>
  <c r="J143" i="4"/>
  <c r="J3" i="4"/>
  <c r="J4" i="4"/>
  <c r="J5" i="4"/>
  <c r="J6" i="4"/>
  <c r="J12" i="4"/>
  <c r="J13" i="4"/>
  <c r="J14" i="4"/>
  <c r="J15" i="4"/>
  <c r="J24" i="4"/>
  <c r="J25" i="4"/>
  <c r="J26" i="4"/>
  <c r="J27" i="4"/>
  <c r="J28" i="4"/>
  <c r="J29" i="4"/>
  <c r="J30" i="4"/>
  <c r="J31" i="4"/>
  <c r="J32" i="4"/>
  <c r="J44" i="4"/>
  <c r="J45" i="4"/>
  <c r="J46" i="4"/>
  <c r="J47" i="4"/>
  <c r="J52" i="4"/>
  <c r="J53" i="4"/>
  <c r="J54" i="4"/>
  <c r="J55" i="4"/>
  <c r="J56" i="4"/>
  <c r="J57" i="4"/>
  <c r="J64" i="4"/>
  <c r="J72" i="4"/>
  <c r="J73" i="4"/>
  <c r="J84" i="4"/>
  <c r="J85" i="4"/>
  <c r="J86" i="4"/>
  <c r="J87" i="4"/>
  <c r="J88" i="4"/>
  <c r="J89" i="4"/>
  <c r="J90" i="4"/>
  <c r="J104" i="4"/>
  <c r="J105" i="4"/>
  <c r="J107" i="4"/>
  <c r="J108" i="4"/>
  <c r="J109" i="4"/>
  <c r="J110" i="4"/>
  <c r="J111" i="4"/>
  <c r="J112" i="4"/>
  <c r="J114" i="4"/>
  <c r="J115" i="4"/>
  <c r="J116" i="4"/>
  <c r="J117" i="4"/>
  <c r="J134" i="4"/>
  <c r="J144" i="4"/>
  <c r="J2" i="4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2" i="5"/>
  <c r="L6" i="2" l="1"/>
  <c r="L7" i="2"/>
  <c r="L8" i="2"/>
  <c r="L9" i="2"/>
  <c r="L10" i="2"/>
  <c r="L15" i="2"/>
  <c r="L16" i="2"/>
  <c r="L17" i="2"/>
  <c r="L18" i="2"/>
  <c r="L19" i="2"/>
  <c r="L20" i="2"/>
  <c r="L21" i="2"/>
  <c r="L22" i="2"/>
  <c r="L23" i="2"/>
  <c r="L26" i="2"/>
  <c r="L27" i="2"/>
  <c r="L28" i="2"/>
  <c r="L29" i="2"/>
  <c r="L30" i="2"/>
  <c r="L35" i="2"/>
  <c r="L36" i="2"/>
  <c r="L37" i="2"/>
  <c r="L38" i="2"/>
  <c r="L39" i="2"/>
  <c r="L40" i="2"/>
  <c r="L41" i="2"/>
  <c r="L42" i="2"/>
  <c r="L43" i="2"/>
  <c r="L46" i="2"/>
  <c r="L47" i="2"/>
  <c r="L48" i="2"/>
  <c r="L49" i="2"/>
  <c r="L50" i="2"/>
  <c r="L55" i="2"/>
  <c r="L56" i="2"/>
  <c r="L57" i="2"/>
  <c r="L58" i="2"/>
  <c r="L59" i="2"/>
  <c r="L60" i="2"/>
  <c r="L61" i="2"/>
  <c r="L62" i="2"/>
  <c r="L63" i="2"/>
  <c r="L66" i="2"/>
  <c r="L67" i="2"/>
  <c r="L68" i="2"/>
  <c r="L69" i="2"/>
  <c r="L70" i="2"/>
  <c r="L75" i="2"/>
  <c r="L76" i="2"/>
  <c r="L77" i="2"/>
  <c r="L78" i="2"/>
  <c r="L79" i="2"/>
  <c r="L80" i="2"/>
  <c r="L81" i="2"/>
  <c r="L82" i="2"/>
  <c r="L83" i="2"/>
  <c r="L86" i="2"/>
  <c r="L87" i="2"/>
  <c r="L88" i="2"/>
  <c r="L89" i="2"/>
  <c r="L90" i="2"/>
  <c r="L95" i="2"/>
  <c r="L96" i="2"/>
  <c r="L97" i="2"/>
  <c r="L98" i="2"/>
  <c r="L99" i="2"/>
  <c r="L100" i="2"/>
  <c r="L101" i="2"/>
  <c r="L102" i="2"/>
  <c r="L103" i="2"/>
  <c r="L106" i="2"/>
  <c r="L107" i="2"/>
  <c r="L108" i="2"/>
  <c r="L109" i="2"/>
  <c r="L110" i="2"/>
  <c r="L115" i="2"/>
  <c r="L116" i="2"/>
  <c r="L117" i="2"/>
  <c r="L118" i="2"/>
  <c r="L119" i="2"/>
  <c r="L120" i="2"/>
  <c r="L121" i="2"/>
  <c r="L122" i="2"/>
  <c r="L123" i="2"/>
  <c r="L126" i="2"/>
  <c r="L127" i="2"/>
  <c r="L128" i="2"/>
  <c r="L129" i="2"/>
  <c r="L130" i="2"/>
  <c r="L135" i="2"/>
  <c r="L136" i="2"/>
  <c r="L137" i="2"/>
  <c r="L138" i="2"/>
  <c r="L139" i="2"/>
  <c r="L140" i="2"/>
  <c r="L141" i="2"/>
  <c r="L142" i="2"/>
  <c r="L143" i="2"/>
  <c r="L146" i="2"/>
  <c r="L147" i="2"/>
  <c r="L148" i="2"/>
  <c r="L149" i="2"/>
  <c r="L150" i="2"/>
  <c r="L155" i="2"/>
  <c r="L156" i="2"/>
  <c r="L157" i="2"/>
  <c r="L158" i="2"/>
  <c r="L159" i="2"/>
  <c r="L160" i="2"/>
  <c r="L161" i="2"/>
  <c r="L162" i="2"/>
  <c r="L163" i="2"/>
  <c r="L166" i="2"/>
  <c r="L167" i="2"/>
  <c r="L168" i="2"/>
  <c r="L169" i="2"/>
  <c r="L170" i="2"/>
  <c r="L175" i="2"/>
  <c r="L176" i="2"/>
  <c r="L177" i="2"/>
  <c r="L178" i="2"/>
  <c r="L179" i="2"/>
  <c r="L180" i="2"/>
  <c r="L181" i="2"/>
  <c r="L182" i="2"/>
  <c r="L183" i="2"/>
  <c r="L186" i="2"/>
  <c r="L187" i="2"/>
  <c r="L188" i="2"/>
  <c r="L189" i="2"/>
  <c r="L190" i="2"/>
  <c r="L195" i="2"/>
  <c r="L196" i="2"/>
  <c r="L197" i="2"/>
  <c r="L198" i="2"/>
  <c r="L199" i="2"/>
  <c r="L200" i="2"/>
  <c r="L201" i="2"/>
  <c r="L202" i="2"/>
  <c r="L203" i="2"/>
  <c r="L206" i="2"/>
  <c r="L207" i="2"/>
  <c r="L208" i="2"/>
  <c r="L209" i="2"/>
  <c r="L210" i="2"/>
  <c r="L215" i="2"/>
  <c r="L216" i="2"/>
  <c r="L217" i="2"/>
  <c r="L218" i="2"/>
  <c r="L219" i="2"/>
  <c r="L220" i="2"/>
  <c r="L221" i="2"/>
  <c r="L222" i="2"/>
  <c r="L223" i="2"/>
  <c r="L226" i="2"/>
  <c r="L227" i="2"/>
  <c r="L228" i="2"/>
  <c r="L229" i="2"/>
  <c r="L230" i="2"/>
  <c r="L235" i="2"/>
  <c r="L236" i="2"/>
  <c r="L237" i="2"/>
  <c r="L238" i="2"/>
  <c r="L239" i="2"/>
  <c r="L240" i="2"/>
  <c r="L241" i="2"/>
  <c r="L242" i="2"/>
  <c r="L243" i="2"/>
  <c r="L246" i="2"/>
  <c r="L247" i="2"/>
  <c r="L248" i="2"/>
  <c r="L249" i="2"/>
  <c r="L250" i="2"/>
  <c r="L255" i="2"/>
  <c r="L256" i="2"/>
  <c r="L257" i="2"/>
  <c r="L258" i="2"/>
  <c r="L259" i="2"/>
  <c r="L260" i="2"/>
  <c r="L261" i="2"/>
  <c r="L262" i="2"/>
  <c r="L263" i="2"/>
  <c r="L266" i="2"/>
  <c r="L267" i="2"/>
  <c r="L268" i="2"/>
  <c r="L269" i="2"/>
  <c r="L270" i="2"/>
  <c r="L275" i="2"/>
  <c r="L276" i="2"/>
  <c r="L277" i="2"/>
  <c r="L278" i="2"/>
  <c r="L279" i="2"/>
  <c r="L280" i="2"/>
  <c r="L281" i="2"/>
  <c r="L282" i="2"/>
  <c r="L283" i="2"/>
  <c r="L286" i="2"/>
  <c r="L287" i="2"/>
  <c r="L288" i="2"/>
  <c r="L289" i="2"/>
  <c r="L290" i="2"/>
  <c r="L295" i="2"/>
  <c r="L296" i="2"/>
  <c r="L297" i="2"/>
  <c r="L298" i="2"/>
  <c r="L299" i="2"/>
  <c r="L300" i="2"/>
  <c r="L301" i="2"/>
  <c r="L302" i="2"/>
  <c r="L303" i="2"/>
  <c r="L306" i="2"/>
  <c r="L307" i="2"/>
  <c r="L308" i="2"/>
  <c r="L309" i="2"/>
  <c r="L310" i="2"/>
  <c r="L315" i="2"/>
  <c r="L316" i="2"/>
  <c r="L317" i="2"/>
  <c r="L318" i="2"/>
  <c r="L319" i="2"/>
  <c r="L320" i="2"/>
  <c r="L321" i="2"/>
  <c r="L322" i="2"/>
  <c r="L323" i="2"/>
  <c r="L326" i="2"/>
  <c r="L327" i="2"/>
  <c r="L328" i="2"/>
  <c r="L329" i="2"/>
  <c r="L330" i="2"/>
  <c r="L335" i="2"/>
  <c r="L336" i="2"/>
  <c r="L337" i="2"/>
  <c r="L338" i="2"/>
  <c r="L339" i="2"/>
  <c r="L340" i="2"/>
  <c r="L341" i="2"/>
  <c r="L342" i="2"/>
  <c r="L343" i="2"/>
  <c r="L346" i="2"/>
  <c r="L347" i="2"/>
  <c r="L348" i="2"/>
  <c r="L349" i="2"/>
  <c r="L350" i="2"/>
  <c r="L355" i="2"/>
  <c r="L356" i="2"/>
  <c r="L357" i="2"/>
  <c r="L358" i="2"/>
  <c r="L359" i="2"/>
  <c r="L360" i="2"/>
  <c r="L361" i="2"/>
  <c r="L362" i="2"/>
  <c r="L363" i="2"/>
  <c r="L366" i="2"/>
  <c r="L367" i="2"/>
  <c r="L368" i="2"/>
  <c r="L369" i="2"/>
  <c r="L370" i="2"/>
  <c r="L375" i="2"/>
  <c r="L376" i="2"/>
  <c r="L377" i="2"/>
  <c r="L378" i="2"/>
  <c r="L379" i="2"/>
  <c r="L380" i="2"/>
  <c r="L381" i="2"/>
  <c r="L382" i="2"/>
  <c r="L383" i="2"/>
  <c r="L386" i="2"/>
  <c r="L387" i="2"/>
  <c r="L388" i="2"/>
  <c r="L389" i="2"/>
  <c r="L390" i="2"/>
  <c r="L395" i="2"/>
  <c r="L396" i="2"/>
  <c r="L397" i="2"/>
  <c r="L398" i="2"/>
  <c r="L399" i="2"/>
  <c r="L400" i="2"/>
  <c r="K3" i="2"/>
  <c r="L3" i="2" s="1"/>
  <c r="K4" i="2"/>
  <c r="L4" i="2" s="1"/>
  <c r="K5" i="2"/>
  <c r="L5" i="2" s="1"/>
  <c r="K6" i="2"/>
  <c r="K7" i="2"/>
  <c r="K8" i="2"/>
  <c r="K9" i="2"/>
  <c r="K10" i="2"/>
  <c r="K11" i="2"/>
  <c r="L11" i="2" s="1"/>
  <c r="K12" i="2"/>
  <c r="L12" i="2" s="1"/>
  <c r="K13" i="2"/>
  <c r="L13" i="2" s="1"/>
  <c r="K14" i="2"/>
  <c r="L14" i="2" s="1"/>
  <c r="K15" i="2"/>
  <c r="K16" i="2"/>
  <c r="K17" i="2"/>
  <c r="K18" i="2"/>
  <c r="K19" i="2"/>
  <c r="K20" i="2"/>
  <c r="K21" i="2"/>
  <c r="K22" i="2"/>
  <c r="K23" i="2"/>
  <c r="K24" i="2"/>
  <c r="L24" i="2" s="1"/>
  <c r="K25" i="2"/>
  <c r="L25" i="2" s="1"/>
  <c r="K26" i="2"/>
  <c r="K27" i="2"/>
  <c r="K28" i="2"/>
  <c r="K29" i="2"/>
  <c r="K30" i="2"/>
  <c r="K31" i="2"/>
  <c r="L31" i="2" s="1"/>
  <c r="K32" i="2"/>
  <c r="L32" i="2" s="1"/>
  <c r="K33" i="2"/>
  <c r="L33" i="2" s="1"/>
  <c r="K34" i="2"/>
  <c r="L34" i="2" s="1"/>
  <c r="K35" i="2"/>
  <c r="K36" i="2"/>
  <c r="K37" i="2"/>
  <c r="K38" i="2"/>
  <c r="K39" i="2"/>
  <c r="K40" i="2"/>
  <c r="K41" i="2"/>
  <c r="K42" i="2"/>
  <c r="K43" i="2"/>
  <c r="K44" i="2"/>
  <c r="L44" i="2" s="1"/>
  <c r="K45" i="2"/>
  <c r="L45" i="2" s="1"/>
  <c r="K46" i="2"/>
  <c r="K47" i="2"/>
  <c r="K48" i="2"/>
  <c r="K49" i="2"/>
  <c r="K50" i="2"/>
  <c r="K51" i="2"/>
  <c r="L51" i="2" s="1"/>
  <c r="K52" i="2"/>
  <c r="L52" i="2" s="1"/>
  <c r="K53" i="2"/>
  <c r="L53" i="2" s="1"/>
  <c r="K54" i="2"/>
  <c r="L54" i="2" s="1"/>
  <c r="K55" i="2"/>
  <c r="K56" i="2"/>
  <c r="K57" i="2"/>
  <c r="K58" i="2"/>
  <c r="K59" i="2"/>
  <c r="K60" i="2"/>
  <c r="K61" i="2"/>
  <c r="K62" i="2"/>
  <c r="K63" i="2"/>
  <c r="K64" i="2"/>
  <c r="L64" i="2" s="1"/>
  <c r="K65" i="2"/>
  <c r="L65" i="2" s="1"/>
  <c r="K66" i="2"/>
  <c r="K67" i="2"/>
  <c r="K68" i="2"/>
  <c r="K69" i="2"/>
  <c r="K70" i="2"/>
  <c r="K71" i="2"/>
  <c r="L71" i="2" s="1"/>
  <c r="K72" i="2"/>
  <c r="L72" i="2" s="1"/>
  <c r="K73" i="2"/>
  <c r="L73" i="2" s="1"/>
  <c r="K74" i="2"/>
  <c r="L74" i="2" s="1"/>
  <c r="K75" i="2"/>
  <c r="K76" i="2"/>
  <c r="K77" i="2"/>
  <c r="K78" i="2"/>
  <c r="K79" i="2"/>
  <c r="K80" i="2"/>
  <c r="K81" i="2"/>
  <c r="K82" i="2"/>
  <c r="K83" i="2"/>
  <c r="K84" i="2"/>
  <c r="L84" i="2" s="1"/>
  <c r="K85" i="2"/>
  <c r="L85" i="2" s="1"/>
  <c r="K86" i="2"/>
  <c r="K87" i="2"/>
  <c r="K88" i="2"/>
  <c r="K89" i="2"/>
  <c r="K90" i="2"/>
  <c r="K91" i="2"/>
  <c r="L91" i="2" s="1"/>
  <c r="K92" i="2"/>
  <c r="L92" i="2" s="1"/>
  <c r="K93" i="2"/>
  <c r="L93" i="2" s="1"/>
  <c r="K94" i="2"/>
  <c r="L94" i="2" s="1"/>
  <c r="K95" i="2"/>
  <c r="K96" i="2"/>
  <c r="K97" i="2"/>
  <c r="K98" i="2"/>
  <c r="K99" i="2"/>
  <c r="K100" i="2"/>
  <c r="K101" i="2"/>
  <c r="K102" i="2"/>
  <c r="K103" i="2"/>
  <c r="K104" i="2"/>
  <c r="L104" i="2" s="1"/>
  <c r="K105" i="2"/>
  <c r="L105" i="2" s="1"/>
  <c r="K106" i="2"/>
  <c r="K107" i="2"/>
  <c r="K108" i="2"/>
  <c r="K109" i="2"/>
  <c r="K110" i="2"/>
  <c r="K111" i="2"/>
  <c r="L111" i="2" s="1"/>
  <c r="K112" i="2"/>
  <c r="L112" i="2" s="1"/>
  <c r="K113" i="2"/>
  <c r="L113" i="2" s="1"/>
  <c r="K114" i="2"/>
  <c r="L114" i="2" s="1"/>
  <c r="K115" i="2"/>
  <c r="K116" i="2"/>
  <c r="K117" i="2"/>
  <c r="K118" i="2"/>
  <c r="K119" i="2"/>
  <c r="K120" i="2"/>
  <c r="K121" i="2"/>
  <c r="K122" i="2"/>
  <c r="K123" i="2"/>
  <c r="K124" i="2"/>
  <c r="L124" i="2" s="1"/>
  <c r="K125" i="2"/>
  <c r="L125" i="2" s="1"/>
  <c r="K126" i="2"/>
  <c r="K127" i="2"/>
  <c r="K128" i="2"/>
  <c r="K129" i="2"/>
  <c r="K130" i="2"/>
  <c r="K131" i="2"/>
  <c r="L131" i="2" s="1"/>
  <c r="K132" i="2"/>
  <c r="L132" i="2" s="1"/>
  <c r="K133" i="2"/>
  <c r="L133" i="2" s="1"/>
  <c r="K134" i="2"/>
  <c r="L134" i="2" s="1"/>
  <c r="K135" i="2"/>
  <c r="K136" i="2"/>
  <c r="K137" i="2"/>
  <c r="K138" i="2"/>
  <c r="K139" i="2"/>
  <c r="K140" i="2"/>
  <c r="K141" i="2"/>
  <c r="K142" i="2"/>
  <c r="K143" i="2"/>
  <c r="K144" i="2"/>
  <c r="L144" i="2" s="1"/>
  <c r="K145" i="2"/>
  <c r="L145" i="2" s="1"/>
  <c r="K146" i="2"/>
  <c r="K147" i="2"/>
  <c r="K148" i="2"/>
  <c r="K149" i="2"/>
  <c r="K150" i="2"/>
  <c r="K151" i="2"/>
  <c r="L151" i="2" s="1"/>
  <c r="K152" i="2"/>
  <c r="L152" i="2" s="1"/>
  <c r="K153" i="2"/>
  <c r="L153" i="2" s="1"/>
  <c r="K154" i="2"/>
  <c r="L154" i="2" s="1"/>
  <c r="K155" i="2"/>
  <c r="K156" i="2"/>
  <c r="K157" i="2"/>
  <c r="K158" i="2"/>
  <c r="K159" i="2"/>
  <c r="K160" i="2"/>
  <c r="K161" i="2"/>
  <c r="K162" i="2"/>
  <c r="K163" i="2"/>
  <c r="K164" i="2"/>
  <c r="L164" i="2" s="1"/>
  <c r="K165" i="2"/>
  <c r="L165" i="2" s="1"/>
  <c r="K166" i="2"/>
  <c r="K167" i="2"/>
  <c r="K168" i="2"/>
  <c r="K169" i="2"/>
  <c r="K170" i="2"/>
  <c r="K171" i="2"/>
  <c r="L171" i="2" s="1"/>
  <c r="K172" i="2"/>
  <c r="L172" i="2" s="1"/>
  <c r="K173" i="2"/>
  <c r="L173" i="2" s="1"/>
  <c r="K174" i="2"/>
  <c r="L174" i="2" s="1"/>
  <c r="K175" i="2"/>
  <c r="K176" i="2"/>
  <c r="K177" i="2"/>
  <c r="K178" i="2"/>
  <c r="K179" i="2"/>
  <c r="K180" i="2"/>
  <c r="K181" i="2"/>
  <c r="K182" i="2"/>
  <c r="K183" i="2"/>
  <c r="K184" i="2"/>
  <c r="L184" i="2" s="1"/>
  <c r="K185" i="2"/>
  <c r="L185" i="2" s="1"/>
  <c r="K186" i="2"/>
  <c r="K187" i="2"/>
  <c r="K188" i="2"/>
  <c r="K189" i="2"/>
  <c r="K190" i="2"/>
  <c r="K191" i="2"/>
  <c r="L191" i="2" s="1"/>
  <c r="K192" i="2"/>
  <c r="L192" i="2" s="1"/>
  <c r="K193" i="2"/>
  <c r="L193" i="2" s="1"/>
  <c r="K194" i="2"/>
  <c r="L194" i="2" s="1"/>
  <c r="K195" i="2"/>
  <c r="K196" i="2"/>
  <c r="K197" i="2"/>
  <c r="K198" i="2"/>
  <c r="K199" i="2"/>
  <c r="K200" i="2"/>
  <c r="K201" i="2"/>
  <c r="K202" i="2"/>
  <c r="K203" i="2"/>
  <c r="K204" i="2"/>
  <c r="L204" i="2" s="1"/>
  <c r="K205" i="2"/>
  <c r="L205" i="2" s="1"/>
  <c r="K206" i="2"/>
  <c r="K207" i="2"/>
  <c r="K208" i="2"/>
  <c r="K209" i="2"/>
  <c r="K210" i="2"/>
  <c r="K211" i="2"/>
  <c r="L211" i="2" s="1"/>
  <c r="K212" i="2"/>
  <c r="L212" i="2" s="1"/>
  <c r="K213" i="2"/>
  <c r="L213" i="2" s="1"/>
  <c r="K214" i="2"/>
  <c r="L214" i="2" s="1"/>
  <c r="K215" i="2"/>
  <c r="K216" i="2"/>
  <c r="K217" i="2"/>
  <c r="K218" i="2"/>
  <c r="K219" i="2"/>
  <c r="K220" i="2"/>
  <c r="K221" i="2"/>
  <c r="K222" i="2"/>
  <c r="K223" i="2"/>
  <c r="K224" i="2"/>
  <c r="L224" i="2" s="1"/>
  <c r="K225" i="2"/>
  <c r="L225" i="2" s="1"/>
  <c r="K226" i="2"/>
  <c r="K227" i="2"/>
  <c r="K228" i="2"/>
  <c r="K229" i="2"/>
  <c r="K230" i="2"/>
  <c r="K231" i="2"/>
  <c r="L231" i="2" s="1"/>
  <c r="K232" i="2"/>
  <c r="L232" i="2" s="1"/>
  <c r="K233" i="2"/>
  <c r="L233" i="2" s="1"/>
  <c r="K234" i="2"/>
  <c r="L234" i="2" s="1"/>
  <c r="K235" i="2"/>
  <c r="K236" i="2"/>
  <c r="K237" i="2"/>
  <c r="K238" i="2"/>
  <c r="K239" i="2"/>
  <c r="K240" i="2"/>
  <c r="K241" i="2"/>
  <c r="K242" i="2"/>
  <c r="K243" i="2"/>
  <c r="K244" i="2"/>
  <c r="L244" i="2" s="1"/>
  <c r="K245" i="2"/>
  <c r="L245" i="2" s="1"/>
  <c r="K246" i="2"/>
  <c r="K247" i="2"/>
  <c r="K248" i="2"/>
  <c r="K249" i="2"/>
  <c r="K250" i="2"/>
  <c r="K251" i="2"/>
  <c r="L251" i="2" s="1"/>
  <c r="K252" i="2"/>
  <c r="L252" i="2" s="1"/>
  <c r="K253" i="2"/>
  <c r="L253" i="2" s="1"/>
  <c r="K254" i="2"/>
  <c r="L254" i="2" s="1"/>
  <c r="K255" i="2"/>
  <c r="K256" i="2"/>
  <c r="K257" i="2"/>
  <c r="K258" i="2"/>
  <c r="K259" i="2"/>
  <c r="K260" i="2"/>
  <c r="K261" i="2"/>
  <c r="K262" i="2"/>
  <c r="K263" i="2"/>
  <c r="K264" i="2"/>
  <c r="L264" i="2" s="1"/>
  <c r="K265" i="2"/>
  <c r="L265" i="2" s="1"/>
  <c r="K266" i="2"/>
  <c r="K267" i="2"/>
  <c r="K268" i="2"/>
  <c r="K269" i="2"/>
  <c r="K270" i="2"/>
  <c r="K271" i="2"/>
  <c r="L271" i="2" s="1"/>
  <c r="K272" i="2"/>
  <c r="L272" i="2" s="1"/>
  <c r="K273" i="2"/>
  <c r="L273" i="2" s="1"/>
  <c r="K274" i="2"/>
  <c r="L274" i="2" s="1"/>
  <c r="K275" i="2"/>
  <c r="K276" i="2"/>
  <c r="K277" i="2"/>
  <c r="K278" i="2"/>
  <c r="K279" i="2"/>
  <c r="K280" i="2"/>
  <c r="K281" i="2"/>
  <c r="K282" i="2"/>
  <c r="K283" i="2"/>
  <c r="K284" i="2"/>
  <c r="L284" i="2" s="1"/>
  <c r="K285" i="2"/>
  <c r="L285" i="2" s="1"/>
  <c r="K286" i="2"/>
  <c r="K287" i="2"/>
  <c r="K288" i="2"/>
  <c r="K289" i="2"/>
  <c r="K290" i="2"/>
  <c r="K291" i="2"/>
  <c r="L291" i="2" s="1"/>
  <c r="K292" i="2"/>
  <c r="L292" i="2" s="1"/>
  <c r="K293" i="2"/>
  <c r="L293" i="2" s="1"/>
  <c r="K294" i="2"/>
  <c r="L294" i="2" s="1"/>
  <c r="K295" i="2"/>
  <c r="K296" i="2"/>
  <c r="K297" i="2"/>
  <c r="K298" i="2"/>
  <c r="K299" i="2"/>
  <c r="K300" i="2"/>
  <c r="K301" i="2"/>
  <c r="K302" i="2"/>
  <c r="K303" i="2"/>
  <c r="K304" i="2"/>
  <c r="L304" i="2" s="1"/>
  <c r="K305" i="2"/>
  <c r="L305" i="2" s="1"/>
  <c r="K306" i="2"/>
  <c r="K307" i="2"/>
  <c r="K308" i="2"/>
  <c r="K309" i="2"/>
  <c r="K310" i="2"/>
  <c r="K311" i="2"/>
  <c r="L311" i="2" s="1"/>
  <c r="K312" i="2"/>
  <c r="L312" i="2" s="1"/>
  <c r="K313" i="2"/>
  <c r="L313" i="2" s="1"/>
  <c r="K314" i="2"/>
  <c r="L314" i="2" s="1"/>
  <c r="K315" i="2"/>
  <c r="K316" i="2"/>
  <c r="K317" i="2"/>
  <c r="K318" i="2"/>
  <c r="K319" i="2"/>
  <c r="K320" i="2"/>
  <c r="K321" i="2"/>
  <c r="K322" i="2"/>
  <c r="K323" i="2"/>
  <c r="K324" i="2"/>
  <c r="L324" i="2" s="1"/>
  <c r="K325" i="2"/>
  <c r="L325" i="2" s="1"/>
  <c r="K326" i="2"/>
  <c r="K327" i="2"/>
  <c r="K328" i="2"/>
  <c r="K329" i="2"/>
  <c r="K330" i="2"/>
  <c r="K331" i="2"/>
  <c r="L331" i="2" s="1"/>
  <c r="K332" i="2"/>
  <c r="L332" i="2" s="1"/>
  <c r="K333" i="2"/>
  <c r="L333" i="2" s="1"/>
  <c r="K334" i="2"/>
  <c r="L334" i="2" s="1"/>
  <c r="K335" i="2"/>
  <c r="K336" i="2"/>
  <c r="K337" i="2"/>
  <c r="K338" i="2"/>
  <c r="K339" i="2"/>
  <c r="K340" i="2"/>
  <c r="K341" i="2"/>
  <c r="K342" i="2"/>
  <c r="K343" i="2"/>
  <c r="K344" i="2"/>
  <c r="L344" i="2" s="1"/>
  <c r="K345" i="2"/>
  <c r="L345" i="2" s="1"/>
  <c r="K346" i="2"/>
  <c r="K347" i="2"/>
  <c r="K348" i="2"/>
  <c r="K349" i="2"/>
  <c r="K350" i="2"/>
  <c r="K351" i="2"/>
  <c r="L351" i="2" s="1"/>
  <c r="K352" i="2"/>
  <c r="L352" i="2" s="1"/>
  <c r="K353" i="2"/>
  <c r="L353" i="2" s="1"/>
  <c r="K354" i="2"/>
  <c r="L354" i="2" s="1"/>
  <c r="K355" i="2"/>
  <c r="K356" i="2"/>
  <c r="K357" i="2"/>
  <c r="K358" i="2"/>
  <c r="K359" i="2"/>
  <c r="K360" i="2"/>
  <c r="K361" i="2"/>
  <c r="K362" i="2"/>
  <c r="K363" i="2"/>
  <c r="K364" i="2"/>
  <c r="L364" i="2" s="1"/>
  <c r="K365" i="2"/>
  <c r="L365" i="2" s="1"/>
  <c r="K366" i="2"/>
  <c r="K367" i="2"/>
  <c r="K368" i="2"/>
  <c r="K369" i="2"/>
  <c r="K370" i="2"/>
  <c r="K371" i="2"/>
  <c r="L371" i="2" s="1"/>
  <c r="K372" i="2"/>
  <c r="L372" i="2" s="1"/>
  <c r="K373" i="2"/>
  <c r="L373" i="2" s="1"/>
  <c r="K374" i="2"/>
  <c r="L374" i="2" s="1"/>
  <c r="K375" i="2"/>
  <c r="K376" i="2"/>
  <c r="K377" i="2"/>
  <c r="K378" i="2"/>
  <c r="K379" i="2"/>
  <c r="K380" i="2"/>
  <c r="K381" i="2"/>
  <c r="K382" i="2"/>
  <c r="K383" i="2"/>
  <c r="K384" i="2"/>
  <c r="L384" i="2" s="1"/>
  <c r="K385" i="2"/>
  <c r="L385" i="2" s="1"/>
  <c r="K386" i="2"/>
  <c r="K387" i="2"/>
  <c r="K388" i="2"/>
  <c r="K389" i="2"/>
  <c r="K390" i="2"/>
  <c r="K391" i="2"/>
  <c r="L391" i="2" s="1"/>
  <c r="K392" i="2"/>
  <c r="L392" i="2" s="1"/>
  <c r="K393" i="2"/>
  <c r="L393" i="2" s="1"/>
  <c r="K394" i="2"/>
  <c r="L394" i="2" s="1"/>
  <c r="K395" i="2"/>
  <c r="K396" i="2"/>
  <c r="K397" i="2"/>
  <c r="K398" i="2"/>
  <c r="K399" i="2"/>
  <c r="K400" i="2"/>
  <c r="K2" i="2"/>
  <c r="K1" i="2"/>
  <c r="L2" i="2" l="1"/>
</calcChain>
</file>

<file path=xl/sharedStrings.xml><?xml version="1.0" encoding="utf-8"?>
<sst xmlns="http://schemas.openxmlformats.org/spreadsheetml/2006/main" count="6900" uniqueCount="1453">
  <si>
    <t>id</t>
  </si>
  <si>
    <t>actividad</t>
  </si>
  <si>
    <t>tipo</t>
  </si>
  <si>
    <t>profesor</t>
  </si>
  <si>
    <t>sexo</t>
  </si>
  <si>
    <t>BALONCESTO</t>
  </si>
  <si>
    <t>GENERAL</t>
  </si>
  <si>
    <t>HURTADO CUEVAS HIRAM</t>
  </si>
  <si>
    <t>MASCULINO</t>
  </si>
  <si>
    <t>FEMENIL SELECCIÓN</t>
  </si>
  <si>
    <t>GUTIERREZ CHAVEZ OSCAR ARMANDO</t>
  </si>
  <si>
    <t>VARONIL SELECCION</t>
  </si>
  <si>
    <t>DEBATE Y ORATORIA</t>
  </si>
  <si>
    <t>SELECCION</t>
  </si>
  <si>
    <t>ORTIZ VELAZQUEZ CARLOS ALBERTO</t>
  </si>
  <si>
    <t>FUTBOL</t>
  </si>
  <si>
    <t>FEMENIL GENERAL</t>
  </si>
  <si>
    <t>RAMIREZ CORTES RAUL</t>
  </si>
  <si>
    <t>FEMENIL SELECCION</t>
  </si>
  <si>
    <t>FERNANDEZ MENA ALEJANDRO</t>
  </si>
  <si>
    <t>VARONIL GENERAL 1</t>
  </si>
  <si>
    <t>VARONIL GENERAL 2 Y 3</t>
  </si>
  <si>
    <t>VARONIL SELECCION A</t>
  </si>
  <si>
    <t>NAJAR PERFECTO CÉSAR</t>
  </si>
  <si>
    <t>MUSICA</t>
  </si>
  <si>
    <t>ESPINOSA GARCÍA ERICK RUBEN</t>
  </si>
  <si>
    <t>HIP HOP</t>
  </si>
  <si>
    <t>CAMPA ARRIOLA JUAN CARLOS</t>
  </si>
  <si>
    <t>HUERTO ORGANICO</t>
  </si>
  <si>
    <t>ALONSO OROZCO LETICIA SARAHI</t>
  </si>
  <si>
    <t>FEMENINO</t>
  </si>
  <si>
    <t>PRODUCCION AUDIOVISUAL</t>
  </si>
  <si>
    <t>TEATRO</t>
  </si>
  <si>
    <t>BAYARDO DÍAZ TANIA SINAHÍ</t>
  </si>
  <si>
    <t>VOLEIBOL</t>
  </si>
  <si>
    <t>VARONIL GENERAL</t>
  </si>
  <si>
    <t>VALDIVIA GONZALEZ ALEJANDRO CESAR G.</t>
  </si>
  <si>
    <t>FEMENIL SELECCION A</t>
  </si>
  <si>
    <t>FEMENIL SELECCION B</t>
  </si>
  <si>
    <t>OROZCO PARRA ALEJANDRO</t>
  </si>
  <si>
    <t>DIBUJO Y PINTURA</t>
  </si>
  <si>
    <t>grupo</t>
  </si>
  <si>
    <t>nombre</t>
  </si>
  <si>
    <t>BACHILLERATO</t>
  </si>
  <si>
    <t>B 111</t>
  </si>
  <si>
    <t>ARANA RAMIREZ MONICA CECILIA</t>
  </si>
  <si>
    <t>ARELLANO LOPEZ CESAR</t>
  </si>
  <si>
    <t>HERNANDEZ NAVARRO ROBERTO</t>
  </si>
  <si>
    <t>HERNANDEZ NAVARRO ULISES</t>
  </si>
  <si>
    <t>LOPEZ ORTEGA SALVADOR</t>
  </si>
  <si>
    <t>QUIROZ QUINTERO LAURA</t>
  </si>
  <si>
    <t>SANCHEZ DIAZ DURAN VERONICA AVRIL</t>
  </si>
  <si>
    <t>B 112</t>
  </si>
  <si>
    <t>BEJAR VELASCO JESSICA YUNUEN</t>
  </si>
  <si>
    <t>CANO DE DIOS ANDREA GORETTI</t>
  </si>
  <si>
    <t>GRAJEDA ALVARADO ANA ISABEL</t>
  </si>
  <si>
    <t>B 113</t>
  </si>
  <si>
    <t>B 114</t>
  </si>
  <si>
    <t>RODRIGUEZ CADENA SANDRA LUZ</t>
  </si>
  <si>
    <t>B 21A</t>
  </si>
  <si>
    <t>LEYVA LEON ERICK</t>
  </si>
  <si>
    <t>B 21B</t>
  </si>
  <si>
    <t>B 221</t>
  </si>
  <si>
    <t>CORTES MORA FERNANDO</t>
  </si>
  <si>
    <t>GUTIERREZ MEDINA PAOLA CAROLINA</t>
  </si>
  <si>
    <t>PONCE LEMUS YAZMIN</t>
  </si>
  <si>
    <t>SANTOS JIMENEZ FAUSTO VINICIO</t>
  </si>
  <si>
    <t>VAZQUEZ GONZALEZ JOSE VALENTIN</t>
  </si>
  <si>
    <t>B 222</t>
  </si>
  <si>
    <t>B 223</t>
  </si>
  <si>
    <t>BRACAMONTES GARCIA EVA VIRIDIANA</t>
  </si>
  <si>
    <t>B 224</t>
  </si>
  <si>
    <t>B 225</t>
  </si>
  <si>
    <t>AVILA TORRES MANUEL ANDRES</t>
  </si>
  <si>
    <t>B 22A</t>
  </si>
  <si>
    <t>RAMIREZ ORTIZ LUIS ALFONSO</t>
  </si>
  <si>
    <t>RIOS CORONADO VERONICA</t>
  </si>
  <si>
    <t>B 22B</t>
  </si>
  <si>
    <t>B 23</t>
  </si>
  <si>
    <t>B 24</t>
  </si>
  <si>
    <t>B 32A</t>
  </si>
  <si>
    <t>B 32B</t>
  </si>
  <si>
    <t>B 33</t>
  </si>
  <si>
    <t>B 331</t>
  </si>
  <si>
    <t>ESPARZA ESTRADA CARLOS ISMAEL</t>
  </si>
  <si>
    <t>GUZMAN VERA MOISES GREGORIO</t>
  </si>
  <si>
    <t>RUANOVA LABRA FERNANDO</t>
  </si>
  <si>
    <t>B 332</t>
  </si>
  <si>
    <t>B 333</t>
  </si>
  <si>
    <t>B 334</t>
  </si>
  <si>
    <t>B 335</t>
  </si>
  <si>
    <t>B 34</t>
  </si>
  <si>
    <t>B 35</t>
  </si>
  <si>
    <t>B ESTADISA</t>
  </si>
  <si>
    <t>B ESTADISB</t>
  </si>
  <si>
    <t>B MATFIN A</t>
  </si>
  <si>
    <t>B MATFIN B</t>
  </si>
  <si>
    <t>MERCADO BRIZUELA TERESA ISABEL</t>
  </si>
  <si>
    <t>Situación</t>
  </si>
  <si>
    <t>Sexo</t>
  </si>
  <si>
    <t>Grado</t>
  </si>
  <si>
    <t>Carrera</t>
  </si>
  <si>
    <t>Nombre</t>
  </si>
  <si>
    <t>Matrícula</t>
  </si>
  <si>
    <t>correo</t>
  </si>
  <si>
    <t>Nivel</t>
  </si>
  <si>
    <t>Nível</t>
  </si>
  <si>
    <t>Grupo</t>
  </si>
  <si>
    <t>Materia</t>
  </si>
  <si>
    <t>COMUNICACIÓN DE LA EMPRESA</t>
  </si>
  <si>
    <t>PROYECTO EMPRENDEDOR</t>
  </si>
  <si>
    <t>MATEMÁTICAS FINANCIERAS II</t>
  </si>
  <si>
    <t>MERCADOTECNIA</t>
  </si>
  <si>
    <t>LEGALIDAD EMPRESARIAL</t>
  </si>
  <si>
    <t>COMUNICACIÓN ORGANIZACIONAL</t>
  </si>
  <si>
    <t>PRODUCCIÓN AUDIOVISUAL</t>
  </si>
  <si>
    <t>DISEÑO DE PRODUCTO SUSTENTABLE</t>
  </si>
  <si>
    <t>PRODUCTOS DE DIFUSIÓN MASIVA</t>
  </si>
  <si>
    <t>PROBABILIDAD Y ESTADISTICA II</t>
  </si>
  <si>
    <t>TEORÍA DEL COLOR</t>
  </si>
  <si>
    <t>TIPOGRAFÍA Y PRODUCTOS EDITORIALES</t>
  </si>
  <si>
    <t>INTRODUCCIÓN AL CONTROL INDUSTRIAL</t>
  </si>
  <si>
    <t>INTRODUCCIÓN AL DISEÑO INDUSTRIAL E IMPRESIÓN 3D</t>
  </si>
  <si>
    <t xml:space="preserve">CÁLCULO INTEGRAL </t>
  </si>
  <si>
    <t>ANÁLISIS DE CIRCUITOS ANALÓGICOS</t>
  </si>
  <si>
    <t>SEMICONDUCTORES</t>
  </si>
  <si>
    <t>TÉCNICAS CLÍNICAS II</t>
  </si>
  <si>
    <t xml:space="preserve">JIMENEZ HERNANDEZ DULCE ADEI </t>
  </si>
  <si>
    <t>CUIDADO DEL PACIENTE GERIÁTRICO</t>
  </si>
  <si>
    <t>SALUD PÚBLICA</t>
  </si>
  <si>
    <t>NUTRICIÓN</t>
  </si>
  <si>
    <t>LITERATURA II</t>
  </si>
  <si>
    <t>ORIENTACIÓN VOCACIONAL Y PROFESIONAL II</t>
  </si>
  <si>
    <t>FÍSICA II</t>
  </si>
  <si>
    <t>TALLER DE FORMACIÓN HUMANA Y CRISTIANA II</t>
  </si>
  <si>
    <t>BIOLOGÍA II.</t>
  </si>
  <si>
    <t>MATEMÁTICAS IV</t>
  </si>
  <si>
    <t>HISTORIA DE MÉXICO II.</t>
  </si>
  <si>
    <t>ARELLANO RAMIREZ STEPHANY PAULINA</t>
  </si>
  <si>
    <t>ECOLOGÍA Y MEDIO AMBIENTE</t>
  </si>
  <si>
    <t>FILOSOFÍA</t>
  </si>
  <si>
    <t>TALLER DE INTEGRACIÓN SOCIAL II</t>
  </si>
  <si>
    <t>ETIMOLOGÍAS GRECOLATINAS II</t>
  </si>
  <si>
    <t>HISTORIA UNIVERSAL CONTEMPORÁNEA</t>
  </si>
  <si>
    <t>SOCIOLOGÍA II</t>
  </si>
  <si>
    <t>PSICOLOGÍA II</t>
  </si>
  <si>
    <t>LENGUA ADICIONAL AL ESPAÑOL VI</t>
  </si>
  <si>
    <t>B6° 3A-II1</t>
  </si>
  <si>
    <t>B6° 3A-II2</t>
  </si>
  <si>
    <t>B6° 3B-II2</t>
  </si>
  <si>
    <t>B6° 4A-II1</t>
  </si>
  <si>
    <t>B6° 4B-II1</t>
  </si>
  <si>
    <t>B6° 4B-II2</t>
  </si>
  <si>
    <t>INGLÉS IV</t>
  </si>
  <si>
    <t>FORMACIÓN SOCIOEMOCIONAL II</t>
  </si>
  <si>
    <t>HUMANIDADES II</t>
  </si>
  <si>
    <t>LENGUA Y COMUNICACIÓN II</t>
  </si>
  <si>
    <t>CONSERVACIÓN DE LA ENERGIA Y SUS INTERACCIONES CON LA MATERIA</t>
  </si>
  <si>
    <t>CULTURA DIGITAL II</t>
  </si>
  <si>
    <t>TALLER DE CIENCIAS I</t>
  </si>
  <si>
    <t>PENSAMIENTO MATEMÁTICO II</t>
  </si>
  <si>
    <t>CIENCIAS SOCIALES II</t>
  </si>
  <si>
    <t>INGLÉS II</t>
  </si>
  <si>
    <t>B CALINTE</t>
  </si>
  <si>
    <t>B 31A</t>
  </si>
  <si>
    <t>B334</t>
  </si>
  <si>
    <t>B335</t>
  </si>
  <si>
    <t>B4° 3A-II</t>
  </si>
  <si>
    <t>B4° 3B-II</t>
  </si>
  <si>
    <t>B4° 4A-II</t>
  </si>
  <si>
    <t>B2° 2B-II</t>
  </si>
  <si>
    <t>B2° 3A-II</t>
  </si>
  <si>
    <t>B2° 4A-II</t>
  </si>
  <si>
    <t>Clave</t>
  </si>
  <si>
    <t>TOMAR DEL SND'</t>
  </si>
  <si>
    <t>DISEÑO GRÁFICO</t>
  </si>
  <si>
    <t>ADMINISTRACIÓN</t>
  </si>
  <si>
    <t>HIGIENE Y SALUD COMUNITARIA</t>
  </si>
  <si>
    <t>ELECTRÓNICA</t>
  </si>
  <si>
    <t>COMUNICACIÓN</t>
  </si>
  <si>
    <t>ADMINISTRACIÓNA</t>
  </si>
  <si>
    <t>HIGIENE Y SALUD COMUNITARIAA</t>
  </si>
  <si>
    <t>DISEÑO GRÁFICOA</t>
  </si>
  <si>
    <t>ELECTRÓNICAA</t>
  </si>
  <si>
    <t>TRONCO COMÚN</t>
  </si>
  <si>
    <t>'BACHILLERATO'</t>
  </si>
  <si>
    <t>'andreamichelle.sandovalcardenas'</t>
  </si>
  <si>
    <t>'valeria.garateguadarrama'</t>
  </si>
  <si>
    <t>'irvingandrei.galvanzendejas'</t>
  </si>
  <si>
    <t>'jordisebastian.sansinenasanchez'</t>
  </si>
  <si>
    <t>'aurayuliana.suarezcaballero'</t>
  </si>
  <si>
    <t>'carlossaid.carrenoarias'</t>
  </si>
  <si>
    <t>'karlasofia.hernandez'</t>
  </si>
  <si>
    <t>'blancajazmin.arellanosanchez'</t>
  </si>
  <si>
    <t>'anna.gottschalkmercado'</t>
  </si>
  <si>
    <t>'franciscojavier.labastidasandoval'</t>
  </si>
  <si>
    <t>'ximenamichel.rojobeltran'</t>
  </si>
  <si>
    <t>'jorgeemilio.arroyoceja'</t>
  </si>
  <si>
    <t>'maurogonzalo.huertadiaz'</t>
  </si>
  <si>
    <t>'fernandoantonio.cejamanzano'</t>
  </si>
  <si>
    <t>'saraabigail.arellanoestrada'</t>
  </si>
  <si>
    <t>'paolaelizabeth.vicunajuarez'</t>
  </si>
  <si>
    <t>'luisa.rangelramirezgamiz'</t>
  </si>
  <si>
    <t>'anapaola.romeroarceo'</t>
  </si>
  <si>
    <t>'sabrina.morasanchez'</t>
  </si>
  <si>
    <t>'aldoalfredo.plascenciamadrid'</t>
  </si>
  <si>
    <t>'danavaleria.vallegarcia'</t>
  </si>
  <si>
    <t>'sofiasarahi.lopezgutierrez'</t>
  </si>
  <si>
    <t>'michelle.lopezplasencia'</t>
  </si>
  <si>
    <t>'valentina.lopezplasencia'</t>
  </si>
  <si>
    <t>'isaac.santiagovalenzuela'</t>
  </si>
  <si>
    <t>'emiliano.aguirresolis'</t>
  </si>
  <si>
    <t>'diego.lopezdominguez'</t>
  </si>
  <si>
    <t>'diegoemilio.ramirezhernandez'</t>
  </si>
  <si>
    <t>'lucia.mezagodoy'</t>
  </si>
  <si>
    <t>'malena.mezagodoy'</t>
  </si>
  <si>
    <t>'andreamichelle.oregelmora'</t>
  </si>
  <si>
    <t>'cristianyael.vazquezperez'</t>
  </si>
  <si>
    <t>'cesardaniel.velazquezgutierrez'</t>
  </si>
  <si>
    <t>'mariafernanda.avilarobles'</t>
  </si>
  <si>
    <t>'inaki.ronderolarranaga'</t>
  </si>
  <si>
    <t>'davidemmanuel.esparzaochoa'</t>
  </si>
  <si>
    <t>'kendrapaola.rodriguezramirez'</t>
  </si>
  <si>
    <t>'osvaldo.ibarraaceves'</t>
  </si>
  <si>
    <t>'valentina.luishernandez'</t>
  </si>
  <si>
    <t>'josealejandro.larioscasillas'</t>
  </si>
  <si>
    <t>'luisenrique.mendozarodriguez'</t>
  </si>
  <si>
    <t>'alansantiago.hernandezmaya'</t>
  </si>
  <si>
    <t>'karinaelizabeth.nuckollsdeleon'</t>
  </si>
  <si>
    <t>'emiliano.valderramaalvarez'</t>
  </si>
  <si>
    <t>'irvingeduardo.delgadorivas'</t>
  </si>
  <si>
    <t>'samanthabo.bolanosmargeli'</t>
  </si>
  <si>
    <t>'mateo.moramartinez'</t>
  </si>
  <si>
    <t>'karlacristina.gonzalezamador'</t>
  </si>
  <si>
    <t>'nicolasfrancis.walsh'</t>
  </si>
  <si>
    <t>'inaki.dorantesmercado'</t>
  </si>
  <si>
    <t>'daniel.salazarvalencia'</t>
  </si>
  <si>
    <t>'estefanializbeth.ramirezespinoza'</t>
  </si>
  <si>
    <t>'luisdaniel.vasquezavila'</t>
  </si>
  <si>
    <t>'alejandra.villasenordelgado'</t>
  </si>
  <si>
    <t>'camilalizeth.cervantesperez'</t>
  </si>
  <si>
    <t>'samuel.pachecojuarez'</t>
  </si>
  <si>
    <t>'anapaula.sierragarnica'</t>
  </si>
  <si>
    <t>'alvaro.navarropadilla'</t>
  </si>
  <si>
    <t>'ximena.rojaslopez'</t>
  </si>
  <si>
    <t>'jecsanalejandro.orozcocamacho'</t>
  </si>
  <si>
    <t>'alexadaniela.gonzalezjimenez'</t>
  </si>
  <si>
    <t>'juanbosco.orozcoramirez'</t>
  </si>
  <si>
    <t>'mariana.ornelascarrillo'</t>
  </si>
  <si>
    <t>'anasofia.trejoochoa'</t>
  </si>
  <si>
    <t>'ana.guzmancampos'</t>
  </si>
  <si>
    <t>'derekhakim.saavedraramirez'</t>
  </si>
  <si>
    <t>'arathnicolas.alatorrevergara'</t>
  </si>
  <si>
    <t>'karlanereida.ramirezmondragon'</t>
  </si>
  <si>
    <t>'andresalejandro.acevescastillo'</t>
  </si>
  <si>
    <t>'gisel.moralesbarajas'</t>
  </si>
  <si>
    <t>'adrian.micheljimenez'</t>
  </si>
  <si>
    <t>'rodolfojavier.barbaramos'</t>
  </si>
  <si>
    <t>'sarafernanda.perezmora'</t>
  </si>
  <si>
    <t>'ivannapaola.navarromorett'</t>
  </si>
  <si>
    <t>'ikerdamian.jimenezbecerra'</t>
  </si>
  <si>
    <t>'surinicole.perezvaldezramirez'</t>
  </si>
  <si>
    <t>'nicolas.penarodriguez'</t>
  </si>
  <si>
    <t>'paulasofia.medinaorozco'</t>
  </si>
  <si>
    <t>'flordemaria.gonzalezdiaz'</t>
  </si>
  <si>
    <t>'juanmanuel.perezmartinez'</t>
  </si>
  <si>
    <t>'danielalinette.quirozserafiotorres'</t>
  </si>
  <si>
    <t>'valeria.zunigacabrera'</t>
  </si>
  <si>
    <t>'esteban.orozcolopez'</t>
  </si>
  <si>
    <t>'karenguadalupe.preciadovirgen'</t>
  </si>
  <si>
    <t>'josegael.santoyomedina'</t>
  </si>
  <si>
    <t>'pauladariana.ruizjimenez'</t>
  </si>
  <si>
    <t>'ferranantonio.coronadomaroun'</t>
  </si>
  <si>
    <t>'vaniaromina.floressuarez'</t>
  </si>
  <si>
    <t>'leonardosaul.curielgomez'</t>
  </si>
  <si>
    <t>'andrea.delgadomena'</t>
  </si>
  <si>
    <t>'sebastianemiliano.garciaperez'</t>
  </si>
  <si>
    <t>'danafernanda.ochoaacosta'</t>
  </si>
  <si>
    <t>'diegoalejandro.ruizventura'</t>
  </si>
  <si>
    <t>'maximiliano.castellanoscazares'</t>
  </si>
  <si>
    <t>'regina.barajasmariscal'</t>
  </si>
  <si>
    <t>'anettemichell.esparzavillalobos'</t>
  </si>
  <si>
    <t>'perlapaola.ramosflores'</t>
  </si>
  <si>
    <t>'guadalupejoseline.hernandezdoroteo'</t>
  </si>
  <si>
    <t>'marianadesiree.moralesvazquez'</t>
  </si>
  <si>
    <t>'dannapaola.torrecillasamezcua'</t>
  </si>
  <si>
    <t>'victorhugo.barragantome'</t>
  </si>
  <si>
    <t>'ikersantiago.diegocervantes'</t>
  </si>
  <si>
    <t>'marioangel.gonzalezlopez'</t>
  </si>
  <si>
    <t>'mariapaula.lunamacias'</t>
  </si>
  <si>
    <t>'sergio.ramirezgomez'</t>
  </si>
  <si>
    <t>'analia.gutierrezmunoz'</t>
  </si>
  <si>
    <t>'paola.guzmanparragrajeda'</t>
  </si>
  <si>
    <t>'isabella.manzanokuan'</t>
  </si>
  <si>
    <t>'josemiguel.leonardocamacho'</t>
  </si>
  <si>
    <t>'juancarlos.cornejoconchas'</t>
  </si>
  <si>
    <t>'ximenagiselle.shafernoriega'</t>
  </si>
  <si>
    <t>'victoriascarlett.munozmoreno'</t>
  </si>
  <si>
    <t>'regina.garcialopez'</t>
  </si>
  <si>
    <t>'cesaralfredo.badillosanchez'</t>
  </si>
  <si>
    <t>'sergioabraham.garciateran'</t>
  </si>
  <si>
    <t>'alexaximena.delatorreibarra'</t>
  </si>
  <si>
    <t>'julieta.lomelisolano'</t>
  </si>
  <si>
    <t>'fatimamarcela.ruizaceves'</t>
  </si>
  <si>
    <t>'carlosemilio.garciatrasvina'</t>
  </si>
  <si>
    <t>'eduardoalfonso.gomezreynoso'</t>
  </si>
  <si>
    <t>'luciano.arrazatecastillo'</t>
  </si>
  <si>
    <t>'mateo.vallartaparga'</t>
  </si>
  <si>
    <t>'constanza.perezmartinez'</t>
  </si>
  <si>
    <t>'camila.garciaavila'</t>
  </si>
  <si>
    <t>'angelanathalie.guerreroharo'</t>
  </si>
  <si>
    <t>'mariafernanda.avinamichel'</t>
  </si>
  <si>
    <t>'josefarid.gonzalezgarcia'</t>
  </si>
  <si>
    <t>'angelgael.aguilarmunoz'</t>
  </si>
  <si>
    <t>'sofia.magallanesmonteon'</t>
  </si>
  <si>
    <t>'valentina.canelaparra'</t>
  </si>
  <si>
    <t>'lizette.gonzalezramirez'</t>
  </si>
  <si>
    <t>'karendaniela.hernandezhernandez'</t>
  </si>
  <si>
    <t>'mariafernanda.espinozagonzalez'</t>
  </si>
  <si>
    <t>'gabrielantonio.oliveraequihua'</t>
  </si>
  <si>
    <t>'gaelalejandro.gonzalezgarcia'</t>
  </si>
  <si>
    <t>'isabela.delatorreparada'</t>
  </si>
  <si>
    <t>'diego.lepesandoval'</t>
  </si>
  <si>
    <t>'daniel.garciacorpus'</t>
  </si>
  <si>
    <t>'alexavictoria.ruizjara'</t>
  </si>
  <si>
    <t>'dario.herrerasanchez'</t>
  </si>
  <si>
    <t>'yaretzi.arteagacuautli'</t>
  </si>
  <si>
    <t>'saraelisa.lopezmartinez'</t>
  </si>
  <si>
    <t>'matiasaldair.sandovalcardenas'</t>
  </si>
  <si>
    <t>'valeriadanielle.ramirezpozos'</t>
  </si>
  <si>
    <t>'anapaula.garnsjimenez'</t>
  </si>
  <si>
    <t>'valentina.hernandezhernandez'</t>
  </si>
  <si>
    <t>'mariam.veganavarro'</t>
  </si>
  <si>
    <t>'mariajose.perezlopez'</t>
  </si>
  <si>
    <t>'andreleonardo.escotogonzalez'</t>
  </si>
  <si>
    <t>'andresemiliano.rodriguezguzman'</t>
  </si>
  <si>
    <t>'mauriciogabriel.garciaduenas'</t>
  </si>
  <si>
    <t>'isabella.gonzalezpont'</t>
  </si>
  <si>
    <t>'valentinapaloma.aranareyna'</t>
  </si>
  <si>
    <t>'patriciadennisse.aguayocamberos'</t>
  </si>
  <si>
    <t>'sebastian.dominguezvillalvazo'</t>
  </si>
  <si>
    <t>'ivana.aguilarnavarro'</t>
  </si>
  <si>
    <t>'briandavalentina.delgadogarcia'</t>
  </si>
  <si>
    <t>'vanessa.mercadoortega'</t>
  </si>
  <si>
    <t>'ilsesarahi.morenonunez'</t>
  </si>
  <si>
    <t>'jimenamariana.mendozaarceo'</t>
  </si>
  <si>
    <t>'fernanda.lujanmaciel'</t>
  </si>
  <si>
    <t>'maximilianosalvador.cardenasdeanda'</t>
  </si>
  <si>
    <t>'mariajose.bautistamanzo'</t>
  </si>
  <si>
    <t>'karlarenee.valenciafelix'</t>
  </si>
  <si>
    <t>'carlosgael.villalobosmartinez'</t>
  </si>
  <si>
    <t>'maria.rangelramirezgamiz'</t>
  </si>
  <si>
    <t>'david.sanchezgallardo'</t>
  </si>
  <si>
    <t>'juanandres.gonzalezlopez'</t>
  </si>
  <si>
    <t>'marcoantonio.arteagacuautli'</t>
  </si>
  <si>
    <t>'victoria.monteroreynoso'</t>
  </si>
  <si>
    <t>'juanpablo.nerieguiarte'</t>
  </si>
  <si>
    <t>'regina.zatarainosuna'</t>
  </si>
  <si>
    <t>'ximena.preciadogarcia'</t>
  </si>
  <si>
    <t>'dannapaola.gaytanibanez'</t>
  </si>
  <si>
    <t>'luisangel.garcianuno'</t>
  </si>
  <si>
    <t>'megan.guerreroiniguez'</t>
  </si>
  <si>
    <t>'pauloantonio.gonzalezibarra'</t>
  </si>
  <si>
    <t>'jorgenavid.ramirezespinoza'</t>
  </si>
  <si>
    <t>'daniel.moranrodriguez'</t>
  </si>
  <si>
    <t>'emilioisaac.villalobosuribe'</t>
  </si>
  <si>
    <t>'gerardoemiliano.iniguezmoreno'</t>
  </si>
  <si>
    <t>'jimenapaulette.vargashernandez'</t>
  </si>
  <si>
    <t>'fernandamonserrat.valdiviahernandez'</t>
  </si>
  <si>
    <t>'luispaulo.sanchezmartinez'</t>
  </si>
  <si>
    <t>'santiagouriel.reyeshermosillo'</t>
  </si>
  <si>
    <t>'claudiogabriel.francoberzunza'</t>
  </si>
  <si>
    <t>'fernanda.rochamoreno'</t>
  </si>
  <si>
    <t>'anaruth.perezbermea'</t>
  </si>
  <si>
    <t>'valentina.acevesamezcua'</t>
  </si>
  <si>
    <t>'oscarisrael.olivarespulido'</t>
  </si>
  <si>
    <t>'mauriciorafael.huizarduran'</t>
  </si>
  <si>
    <t>'valentina.varelagarcia'</t>
  </si>
  <si>
    <t>'katia.medranogarciatorres'</t>
  </si>
  <si>
    <t>'valeria.araizasantana'</t>
  </si>
  <si>
    <t>'renataalejandra.medinagutierrez'</t>
  </si>
  <si>
    <t>'ricardoalexis.lomeligarcia'</t>
  </si>
  <si>
    <t>'juliafernanda.chavezbecerril'</t>
  </si>
  <si>
    <t>'joseangel.medinamoreno'</t>
  </si>
  <si>
    <t>'roberto.gontesramirez'</t>
  </si>
  <si>
    <t>'karen.encarnaciongomez'</t>
  </si>
  <si>
    <t>'dianapaola.llamasdeanda'</t>
  </si>
  <si>
    <t>'edsonobed.garciaescalera'</t>
  </si>
  <si>
    <t>'cesararturo.martinezgutierrezsolana'</t>
  </si>
  <si>
    <t>'taniapaulina.castillomartin'</t>
  </si>
  <si>
    <t>'claudiaalejandra.riveraorozco'</t>
  </si>
  <si>
    <t>'paularenata.perezcastillo'</t>
  </si>
  <si>
    <t>'linette.garciazenteno'</t>
  </si>
  <si>
    <t>'daniela.zendejasgonzalez'</t>
  </si>
  <si>
    <t>'armando.muruazermeno'</t>
  </si>
  <si>
    <t>'danielmaximiliano.castrocalleja'</t>
  </si>
  <si>
    <t>'yaretzicloe.gonzaleztoscano'</t>
  </si>
  <si>
    <t>'abrilnahomi.alcalacamacho'</t>
  </si>
  <si>
    <t>'camila.morenohernandez'</t>
  </si>
  <si>
    <t>'victoriaalheli.becerragomez'</t>
  </si>
  <si>
    <t>'nicolas.albarrandominguez'</t>
  </si>
  <si>
    <t>'vivianamonserrat.ramirezvallejo'</t>
  </si>
  <si>
    <t>'ozmharavalentina.ramirezpelayo'</t>
  </si>
  <si>
    <t>'naomisofia.reglabadillo'</t>
  </si>
  <si>
    <t>'miapaolina.alvarezgonzalez'</t>
  </si>
  <si>
    <t>'juanpablo.hernandezrosas'</t>
  </si>
  <si>
    <t>'daphnevaleria.zendejasabundis'</t>
  </si>
  <si>
    <t>'jorgedamian.sandovalalvaradojr'</t>
  </si>
  <si>
    <t>'santiago.garciatrillo'</t>
  </si>
  <si>
    <t>'pauloaimar.esparzagonzalez'</t>
  </si>
  <si>
    <t>'ruben.iretaduarte'</t>
  </si>
  <si>
    <t>'nathalieanahi.guzmanmichel'</t>
  </si>
  <si>
    <t>'ernesto.gallegoslopez'</t>
  </si>
  <si>
    <t>'emiliomiguel.morenovillasana'</t>
  </si>
  <si>
    <t>'vicente.godinezrosales'</t>
  </si>
  <si>
    <t>'andrea.casillasdiaz'</t>
  </si>
  <si>
    <t>'andres.cuevasortega'</t>
  </si>
  <si>
    <t>'gael.jimenezsegura'</t>
  </si>
  <si>
    <t>'rafaeloctavio.vazquezgutierrez'</t>
  </si>
  <si>
    <t>'ivan.vazquezahumada'</t>
  </si>
  <si>
    <t>'brendavanesa.hernandezalfaro'</t>
  </si>
  <si>
    <t>'josealfredo.enriquezmacias'</t>
  </si>
  <si>
    <t>'ximenagiselle.castroresendiz'</t>
  </si>
  <si>
    <t>'mariaestefania.rosasestrada'</t>
  </si>
  <si>
    <t>'renata.deandamerlo'</t>
  </si>
  <si>
    <t>'andres.deltorosandoval'</t>
  </si>
  <si>
    <t>'karime.alcarazlozano'</t>
  </si>
  <si>
    <t>'carlosalexis.solanoorozco'</t>
  </si>
  <si>
    <t>'elisa.ramosaceves'</t>
  </si>
  <si>
    <t>'andrea.castroescamilla'</t>
  </si>
  <si>
    <t>'antoniodali.villalobosnavarro'</t>
  </si>
  <si>
    <t>'zeus.villalobosnavarro'</t>
  </si>
  <si>
    <t>'josemanuel.alvaradomoreno'</t>
  </si>
  <si>
    <t>'alexandra.hernandez'</t>
  </si>
  <si>
    <t>'pablodamian.castillolopez'</t>
  </si>
  <si>
    <t>'danielasofia.jaureguiramirez'</t>
  </si>
  <si>
    <t>'leon.floressaiffenavarro'</t>
  </si>
  <si>
    <t>'josue.alvarezvelez'</t>
  </si>
  <si>
    <t>'anakaren.valdiviavillalobos'</t>
  </si>
  <si>
    <t>'dianayanelli.garciajimenez'</t>
  </si>
  <si>
    <t>'mariafernanda.paezarandia'</t>
  </si>
  <si>
    <t>'lailasofia.trinidadmartin'</t>
  </si>
  <si>
    <t>'saulemiliano.llacareyna'</t>
  </si>
  <si>
    <t>'mariajose.chavezrivas'</t>
  </si>
  <si>
    <t>'andre.maganagomez'</t>
  </si>
  <si>
    <t>'heliosfarid.gonzalezbarranco'</t>
  </si>
  <si>
    <t>'diegojavier.diazcamelo'</t>
  </si>
  <si>
    <t>'santiagoantonio.lepebecerra'</t>
  </si>
  <si>
    <t>'ximenajoselyn.morazepeda'</t>
  </si>
  <si>
    <t>'santiago.ornelaschavez'</t>
  </si>
  <si>
    <t>'claudiapaola.cruzsuarez'</t>
  </si>
  <si>
    <t>'anaisabel.herrerarojas'</t>
  </si>
  <si>
    <t>'brendaroberta.velazquezcastro'</t>
  </si>
  <si>
    <t>'dianaalejandra.gallardoespinoza'</t>
  </si>
  <si>
    <t>'uzielantonio.garciagomez'</t>
  </si>
  <si>
    <t>'sofiaalejandra.garciadejesus'</t>
  </si>
  <si>
    <t>'paola.quezadamontero'</t>
  </si>
  <si>
    <t>'mariana.alvarezmojica'</t>
  </si>
  <si>
    <t>'daniel.santanavela'</t>
  </si>
  <si>
    <t>'mirandathais.floresortiz'</t>
  </si>
  <si>
    <t>'renata.gonzalezlopeznegrete'</t>
  </si>
  <si>
    <t>'erickmathias.varelatorres'</t>
  </si>
  <si>
    <t>'jimenanaomi.cervantesperez'</t>
  </si>
  <si>
    <t>'sofia.riveraramirez'</t>
  </si>
  <si>
    <t>'dianasofia.lopezdeleon'</t>
  </si>
  <si>
    <t>'karlabernardeth.brisenocarlos'</t>
  </si>
  <si>
    <t>'matias.coronaruvalcaba'</t>
  </si>
  <si>
    <t>'fernandavalentina.castrohernandez'</t>
  </si>
  <si>
    <t>'matias.zuloagasardo'</t>
  </si>
  <si>
    <t>'bibiana.fernandezalfaro'</t>
  </si>
  <si>
    <t>'diegoalejandro.hernandezgonzalez'</t>
  </si>
  <si>
    <t>'alejandro.velazquezcabezadevaca'</t>
  </si>
  <si>
    <t>'iker.caleralevi'</t>
  </si>
  <si>
    <t>'valentina.gonzalezgalindo'</t>
  </si>
  <si>
    <t>'jenniferjanett.barreraperez'</t>
  </si>
  <si>
    <t>'valentina.ordazsalcedo'</t>
  </si>
  <si>
    <t>'luisadrian.moyarobles'</t>
  </si>
  <si>
    <t>'carmina.gonzalezgutierrez'</t>
  </si>
  <si>
    <t>'natalia.barbabuendia'</t>
  </si>
  <si>
    <t>'anniaregina.riverajauregui'</t>
  </si>
  <si>
    <t>'carlos.avinamichel'</t>
  </si>
  <si>
    <t>'estefania.suarezvazquez'</t>
  </si>
  <si>
    <t>'carlaflorenciavalentina.ramirezalvarez'</t>
  </si>
  <si>
    <t>'juanricardo.delatorrelopez'</t>
  </si>
  <si>
    <t>'santiago.ortegalomeli'</t>
  </si>
  <si>
    <t>'ivana.realalvarado'</t>
  </si>
  <si>
    <t>'dianacamila.gutierrezlugo'</t>
  </si>
  <si>
    <t>'natalia.manzanorojas'</t>
  </si>
  <si>
    <t>'juanangel.rodriguezorozco'</t>
  </si>
  <si>
    <t>'mariajose.zamorasalazar'</t>
  </si>
  <si>
    <t>'miriamceleste.ruizjimenez'</t>
  </si>
  <si>
    <t>'luisjesus.hernandezgutierrez'</t>
  </si>
  <si>
    <t>'dannaleah.zavalarobles'</t>
  </si>
  <si>
    <t>'andre.gomezaceves'</t>
  </si>
  <si>
    <t>'sebastian.benavidesmacias'</t>
  </si>
  <si>
    <t>'alexianicole.sosachavoya'</t>
  </si>
  <si>
    <t>'heliossantiago.lopezortiz'</t>
  </si>
  <si>
    <t>'kimberlyveronica.mezacastro'</t>
  </si>
  <si>
    <t>'marcoantonio.sotoramirez'</t>
  </si>
  <si>
    <t>'matias.floreslucio'</t>
  </si>
  <si>
    <t>'lisa.wuwang'</t>
  </si>
  <si>
    <t>'alanandres.deandavargas'</t>
  </si>
  <si>
    <t>'ivan.ortegaabbadie'</t>
  </si>
  <si>
    <t>'america.torresruizvelasco'</t>
  </si>
  <si>
    <t>'andresnicolas.aviladelfin'</t>
  </si>
  <si>
    <t>'ricardodavid.mercadoramirez'</t>
  </si>
  <si>
    <t>'nancysofia.valerianoarreola'</t>
  </si>
  <si>
    <t>'eunicesarahi.enriquezmacias'</t>
  </si>
  <si>
    <t>'aranzaguadalupe.ruizsantibanez'</t>
  </si>
  <si>
    <t>'matteo.vegaamezcua'</t>
  </si>
  <si>
    <t>'jorgegael.garciadealba'</t>
  </si>
  <si>
    <t>'blancadaniela.torresserratos'</t>
  </si>
  <si>
    <t>'saulsalvador.castellanoscisneros'</t>
  </si>
  <si>
    <t>'amelieromina.ramirezgonzalez'</t>
  </si>
  <si>
    <t>'cristiangibrani.coronasanchez'</t>
  </si>
  <si>
    <t>'gretaregina.duranestrada'</t>
  </si>
  <si>
    <t>'ikerpaulo.colmenerosramos'</t>
  </si>
  <si>
    <t>'josedejesus.florespena'</t>
  </si>
  <si>
    <t>'maiteastrid.lozanooyarvide'</t>
  </si>
  <si>
    <t>'mariafernanda.ortegaramirez'</t>
  </si>
  <si>
    <t>'scarlet.avilapartida'</t>
  </si>
  <si>
    <t>'ianricardo.morenosalazar'</t>
  </si>
  <si>
    <t>'ethanxavier.cisnerosledezma'</t>
  </si>
  <si>
    <t>'darioleonardo.escobedopreciado'</t>
  </si>
  <si>
    <t>'sylvana.romerovicke'</t>
  </si>
  <si>
    <t>'saragabriela.romerosalim'</t>
  </si>
  <si>
    <t>'valentineleazar.ochoaveronica'</t>
  </si>
  <si>
    <t>'miranda.sanchezparga'</t>
  </si>
  <si>
    <t>'santiago.pantojaespinosadelosmonteros'</t>
  </si>
  <si>
    <t>'zoegeraldine.aboytesreyes'</t>
  </si>
  <si>
    <t>'valeriarosario.gomezjimenez'</t>
  </si>
  <si>
    <t>'christianakira.minakatarodriguez'</t>
  </si>
  <si>
    <t>'gillianlynel.mombrunleyva'</t>
  </si>
  <si>
    <t>'joseeduardo.olivareshermosillo'</t>
  </si>
  <si>
    <t>'mariana.palaciosrodriguez'</t>
  </si>
  <si>
    <t>'nataliaguadalupe.olivarespulido'</t>
  </si>
  <si>
    <t>'mariadelourdes.padillapegueros'</t>
  </si>
  <si>
    <t>'diego.reyesbeas'</t>
  </si>
  <si>
    <t>'lucia.uribehernandez'</t>
  </si>
  <si>
    <t>'sofiafernanda.romerovidrio'</t>
  </si>
  <si>
    <t>'sofia.morannolasco'</t>
  </si>
  <si>
    <t>'valeria.vazquezmares'</t>
  </si>
  <si>
    <t>'lucia.lomelisolano'</t>
  </si>
  <si>
    <t>'regina.orozcomuro'</t>
  </si>
  <si>
    <t>'julieta.vazquezlopez'</t>
  </si>
  <si>
    <t>'josemaria.koyamadiaz'</t>
  </si>
  <si>
    <t>'emilianoisaias.barajasortega'</t>
  </si>
  <si>
    <t>'josemauricio.oteroaguilar'</t>
  </si>
  <si>
    <t>'julioisaias.delacruzmoya'</t>
  </si>
  <si>
    <t>'paolaalessandra.mirandasedano'</t>
  </si>
  <si>
    <t>'pablo.gallegosvera'</t>
  </si>
  <si>
    <t>'isabella.gutierrezencarnacion'</t>
  </si>
  <si>
    <t>'camila.munozcovarrubias'</t>
  </si>
  <si>
    <t>'aranzanathali.floresrodriguez'</t>
  </si>
  <si>
    <t>'rominastefania.rodriguezalfaro'</t>
  </si>
  <si>
    <t>'sebastian.avilaherrera'</t>
  </si>
  <si>
    <t>'nataliamarbella.rojobeltran'</t>
  </si>
  <si>
    <t>'sebastian.camaramora'</t>
  </si>
  <si>
    <t>'enriquevidal.gonzalezgarcia'</t>
  </si>
  <si>
    <t>'antonellacalai.mendozagomez'</t>
  </si>
  <si>
    <t>'paloma.sanchezortega'</t>
  </si>
  <si>
    <t>'raniavalentina.lugoviveros'</t>
  </si>
  <si>
    <t>'carlosalberto.delabravivian'</t>
  </si>
  <si>
    <t>'joseruben.torresmagallon'</t>
  </si>
  <si>
    <t>'dianeestefania.perezhurtado'</t>
  </si>
  <si>
    <t>'fatima.lopezrodriguez'</t>
  </si>
  <si>
    <t>'christian.rodriguezmartinez'</t>
  </si>
  <si>
    <t>'paulamilena.garcialeon'</t>
  </si>
  <si>
    <t>'luisasofia.rivasaguilar'</t>
  </si>
  <si>
    <t>'santiago.garciacornejo'</t>
  </si>
  <si>
    <t>'elena.buongarzonilissmann'</t>
  </si>
  <si>
    <t>'anasofia.canelaparra'</t>
  </si>
  <si>
    <t>'josefernando.macielcuervo'</t>
  </si>
  <si>
    <t>'mariajose.garciaramirez'</t>
  </si>
  <si>
    <t>'reginaantonia.galvezcontreras'</t>
  </si>
  <si>
    <t>'veronicarenata.celislopez'</t>
  </si>
  <si>
    <t>'karolmaria.anguianomartinez'</t>
  </si>
  <si>
    <t>'mayaalexa.acevesguerra'</t>
  </si>
  <si>
    <t>'valeriaestefania.cortesmeza'</t>
  </si>
  <si>
    <t>'sarahjulieta.cuevasgonzalez'</t>
  </si>
  <si>
    <t>'ieridominique.reynosogonzalez'</t>
  </si>
  <si>
    <t>'dafnesophia.garciavazquez'</t>
  </si>
  <si>
    <t>'cristianemmanuel.gonzalezlomeli'</t>
  </si>
  <si>
    <t>'007954'</t>
  </si>
  <si>
    <t>'007955'</t>
  </si>
  <si>
    <t>'007956'</t>
  </si>
  <si>
    <t>'007957'</t>
  </si>
  <si>
    <t>'007958'</t>
  </si>
  <si>
    <t>'007959'</t>
  </si>
  <si>
    <t>'007960'</t>
  </si>
  <si>
    <t>'007961'</t>
  </si>
  <si>
    <t>'007962'</t>
  </si>
  <si>
    <t>'007963'</t>
  </si>
  <si>
    <t>'007964'</t>
  </si>
  <si>
    <t>'007965'</t>
  </si>
  <si>
    <t>'007967'</t>
  </si>
  <si>
    <t>'007968'</t>
  </si>
  <si>
    <t>'007969'</t>
  </si>
  <si>
    <t>'007970'</t>
  </si>
  <si>
    <t>'007971'</t>
  </si>
  <si>
    <t>'007973'</t>
  </si>
  <si>
    <t>'007974'</t>
  </si>
  <si>
    <t>'007975'</t>
  </si>
  <si>
    <t>'007976'</t>
  </si>
  <si>
    <t>'007977'</t>
  </si>
  <si>
    <t>'007978'</t>
  </si>
  <si>
    <t>'007979'</t>
  </si>
  <si>
    <t>'007980'</t>
  </si>
  <si>
    <t>'007983'</t>
  </si>
  <si>
    <t>'007984'</t>
  </si>
  <si>
    <t>'007985'</t>
  </si>
  <si>
    <t>'007986'</t>
  </si>
  <si>
    <t>'007987'</t>
  </si>
  <si>
    <t>'007988'</t>
  </si>
  <si>
    <t>'007989'</t>
  </si>
  <si>
    <t>'007990'</t>
  </si>
  <si>
    <t>'007991'</t>
  </si>
  <si>
    <t>'007993'</t>
  </si>
  <si>
    <t>'007994'</t>
  </si>
  <si>
    <t>'007995'</t>
  </si>
  <si>
    <t>'007996'</t>
  </si>
  <si>
    <t>'007997'</t>
  </si>
  <si>
    <t>'007998'</t>
  </si>
  <si>
    <t>'007999'</t>
  </si>
  <si>
    <t>'008001'</t>
  </si>
  <si>
    <t>'008002'</t>
  </si>
  <si>
    <t>'008003'</t>
  </si>
  <si>
    <t>'008004'</t>
  </si>
  <si>
    <t>'008005'</t>
  </si>
  <si>
    <t>'008006'</t>
  </si>
  <si>
    <t>'008007'</t>
  </si>
  <si>
    <t>'008008'</t>
  </si>
  <si>
    <t>'008009'</t>
  </si>
  <si>
    <t>'008010'</t>
  </si>
  <si>
    <t>'008013'</t>
  </si>
  <si>
    <t>'008015'</t>
  </si>
  <si>
    <t>'008016'</t>
  </si>
  <si>
    <t>'008017'</t>
  </si>
  <si>
    <t>'008019'</t>
  </si>
  <si>
    <t>'008020'</t>
  </si>
  <si>
    <t>'008021'</t>
  </si>
  <si>
    <t>'008022'</t>
  </si>
  <si>
    <t>'008023'</t>
  </si>
  <si>
    <t>'008024'</t>
  </si>
  <si>
    <t>'008025'</t>
  </si>
  <si>
    <t>'008026'</t>
  </si>
  <si>
    <t>'008027'</t>
  </si>
  <si>
    <t>'008028'</t>
  </si>
  <si>
    <t>'008029'</t>
  </si>
  <si>
    <t>'008030'</t>
  </si>
  <si>
    <t>'008031'</t>
  </si>
  <si>
    <t>'008032'</t>
  </si>
  <si>
    <t>'008033'</t>
  </si>
  <si>
    <t>'008034'</t>
  </si>
  <si>
    <t>'008036'</t>
  </si>
  <si>
    <t>'008037'</t>
  </si>
  <si>
    <t>'008038'</t>
  </si>
  <si>
    <t>'008039'</t>
  </si>
  <si>
    <t>'008040'</t>
  </si>
  <si>
    <t>'008042'</t>
  </si>
  <si>
    <t>'008043'</t>
  </si>
  <si>
    <t>'008044'</t>
  </si>
  <si>
    <t>'008046'</t>
  </si>
  <si>
    <t>'008047'</t>
  </si>
  <si>
    <t>'008048'</t>
  </si>
  <si>
    <t>'008049'</t>
  </si>
  <si>
    <t>'008051'</t>
  </si>
  <si>
    <t>'008052'</t>
  </si>
  <si>
    <t>'008053'</t>
  </si>
  <si>
    <t>'008054'</t>
  </si>
  <si>
    <t>'008055'</t>
  </si>
  <si>
    <t>'008056'</t>
  </si>
  <si>
    <t>'008057'</t>
  </si>
  <si>
    <t>'008059'</t>
  </si>
  <si>
    <t>'008062'</t>
  </si>
  <si>
    <t>'008063'</t>
  </si>
  <si>
    <t>'008065'</t>
  </si>
  <si>
    <t>'008066'</t>
  </si>
  <si>
    <t>'008067'</t>
  </si>
  <si>
    <t>'008068'</t>
  </si>
  <si>
    <t>'008069'</t>
  </si>
  <si>
    <t>'008072'</t>
  </si>
  <si>
    <t>'008074'</t>
  </si>
  <si>
    <t>'008075'</t>
  </si>
  <si>
    <t>'008076'</t>
  </si>
  <si>
    <t>'008077'</t>
  </si>
  <si>
    <t>'008079'</t>
  </si>
  <si>
    <t>'008081'</t>
  </si>
  <si>
    <t>'008083'</t>
  </si>
  <si>
    <t>'008084'</t>
  </si>
  <si>
    <t>'008086'</t>
  </si>
  <si>
    <t>'008087'</t>
  </si>
  <si>
    <t>'008088'</t>
  </si>
  <si>
    <t>'008089'</t>
  </si>
  <si>
    <t>'008091'</t>
  </si>
  <si>
    <t>'008092'</t>
  </si>
  <si>
    <t>'008093'</t>
  </si>
  <si>
    <t>'008094'</t>
  </si>
  <si>
    <t>'008095'</t>
  </si>
  <si>
    <t>'008096'</t>
  </si>
  <si>
    <t>'008099'</t>
  </si>
  <si>
    <t>'008100'</t>
  </si>
  <si>
    <t>'008101'</t>
  </si>
  <si>
    <t>'008102'</t>
  </si>
  <si>
    <t>'008103'</t>
  </si>
  <si>
    <t>'008104'</t>
  </si>
  <si>
    <t>'008105'</t>
  </si>
  <si>
    <t>'008106'</t>
  </si>
  <si>
    <t>'008108'</t>
  </si>
  <si>
    <t>'008111'</t>
  </si>
  <si>
    <t>'008116'</t>
  </si>
  <si>
    <t>'008117'</t>
  </si>
  <si>
    <t>'008118'</t>
  </si>
  <si>
    <t>'008121'</t>
  </si>
  <si>
    <t>'008122'</t>
  </si>
  <si>
    <t>'008123'</t>
  </si>
  <si>
    <t>'008125'</t>
  </si>
  <si>
    <t>'008127'</t>
  </si>
  <si>
    <t>'008128'</t>
  </si>
  <si>
    <t>'008129'</t>
  </si>
  <si>
    <t>'008130'</t>
  </si>
  <si>
    <t>'008132'</t>
  </si>
  <si>
    <t>'008134'</t>
  </si>
  <si>
    <t>'008135'</t>
  </si>
  <si>
    <t>'008140'</t>
  </si>
  <si>
    <t>'008143'</t>
  </si>
  <si>
    <t>'008144'</t>
  </si>
  <si>
    <t>'008146'</t>
  </si>
  <si>
    <t>'008147'</t>
  </si>
  <si>
    <t>'008148'</t>
  </si>
  <si>
    <t>'008149'</t>
  </si>
  <si>
    <t>'008150'</t>
  </si>
  <si>
    <t>'008151'</t>
  </si>
  <si>
    <t>'008152'</t>
  </si>
  <si>
    <t>'008153'</t>
  </si>
  <si>
    <t>'008154'</t>
  </si>
  <si>
    <t>'008156'</t>
  </si>
  <si>
    <t>'008157'</t>
  </si>
  <si>
    <t>'008158'</t>
  </si>
  <si>
    <t>'008159'</t>
  </si>
  <si>
    <t>'008160'</t>
  </si>
  <si>
    <t>'008161'</t>
  </si>
  <si>
    <t>'008162'</t>
  </si>
  <si>
    <t>'008163'</t>
  </si>
  <si>
    <t>'008165'</t>
  </si>
  <si>
    <t>'008166'</t>
  </si>
  <si>
    <t>'008167'</t>
  </si>
  <si>
    <t>'008169'</t>
  </si>
  <si>
    <t>'008170'</t>
  </si>
  <si>
    <t>'008171'</t>
  </si>
  <si>
    <t>'008172'</t>
  </si>
  <si>
    <t>'008174'</t>
  </si>
  <si>
    <t>'008175'</t>
  </si>
  <si>
    <t>'008176'</t>
  </si>
  <si>
    <t>'008177'</t>
  </si>
  <si>
    <t>'008178'</t>
  </si>
  <si>
    <t>'008179'</t>
  </si>
  <si>
    <t>'008180'</t>
  </si>
  <si>
    <t>'008181'</t>
  </si>
  <si>
    <t>'008182'</t>
  </si>
  <si>
    <t>'008183'</t>
  </si>
  <si>
    <t>'008184'</t>
  </si>
  <si>
    <t>'008185'</t>
  </si>
  <si>
    <t>'008186'</t>
  </si>
  <si>
    <t>'008187'</t>
  </si>
  <si>
    <t>'008188'</t>
  </si>
  <si>
    <t>'008189'</t>
  </si>
  <si>
    <t>'008190'</t>
  </si>
  <si>
    <t>'008191'</t>
  </si>
  <si>
    <t>'008192'</t>
  </si>
  <si>
    <t>'008193'</t>
  </si>
  <si>
    <t>'008194'</t>
  </si>
  <si>
    <t>'008197'</t>
  </si>
  <si>
    <t>'008198'</t>
  </si>
  <si>
    <t>'008200'</t>
  </si>
  <si>
    <t>'008201'</t>
  </si>
  <si>
    <t>'008202'</t>
  </si>
  <si>
    <t>'008203'</t>
  </si>
  <si>
    <t>'008205'</t>
  </si>
  <si>
    <t>'008206'</t>
  </si>
  <si>
    <t>'008208'</t>
  </si>
  <si>
    <t>'008210'</t>
  </si>
  <si>
    <t>'008211'</t>
  </si>
  <si>
    <t>'008212'</t>
  </si>
  <si>
    <t>'008213'</t>
  </si>
  <si>
    <t>'008214'</t>
  </si>
  <si>
    <t>'008215'</t>
  </si>
  <si>
    <t>'008217'</t>
  </si>
  <si>
    <t>'008219'</t>
  </si>
  <si>
    <t>'008220'</t>
  </si>
  <si>
    <t>'008222'</t>
  </si>
  <si>
    <t>'008223'</t>
  </si>
  <si>
    <t>'008224'</t>
  </si>
  <si>
    <t>'008225'</t>
  </si>
  <si>
    <t>'008226'</t>
  </si>
  <si>
    <t>'008227'</t>
  </si>
  <si>
    <t>'008229'</t>
  </si>
  <si>
    <t>'008230'</t>
  </si>
  <si>
    <t>'008231'</t>
  </si>
  <si>
    <t>'008232'</t>
  </si>
  <si>
    <t>'008233'</t>
  </si>
  <si>
    <t>'008234'</t>
  </si>
  <si>
    <t>'008236'</t>
  </si>
  <si>
    <t>'008237'</t>
  </si>
  <si>
    <t>'008238'</t>
  </si>
  <si>
    <t>'008239'</t>
  </si>
  <si>
    <t>'008240'</t>
  </si>
  <si>
    <t>'008241'</t>
  </si>
  <si>
    <t>'008242'</t>
  </si>
  <si>
    <t>'008243'</t>
  </si>
  <si>
    <t>'008244'</t>
  </si>
  <si>
    <t>'008245'</t>
  </si>
  <si>
    <t>'008246'</t>
  </si>
  <si>
    <t>'008247'</t>
  </si>
  <si>
    <t>'008248'</t>
  </si>
  <si>
    <t>'008249'</t>
  </si>
  <si>
    <t>'008254'</t>
  </si>
  <si>
    <t>'008255'</t>
  </si>
  <si>
    <t>'008256'</t>
  </si>
  <si>
    <t>'008258'</t>
  </si>
  <si>
    <t>'008259'</t>
  </si>
  <si>
    <t>'008260'</t>
  </si>
  <si>
    <t>'008261'</t>
  </si>
  <si>
    <t>'008262'</t>
  </si>
  <si>
    <t>'008264'</t>
  </si>
  <si>
    <t>'008266'</t>
  </si>
  <si>
    <t>'008267'</t>
  </si>
  <si>
    <t>'008270'</t>
  </si>
  <si>
    <t>'008271'</t>
  </si>
  <si>
    <t>'008272'</t>
  </si>
  <si>
    <t>'008273'</t>
  </si>
  <si>
    <t>'008274'</t>
  </si>
  <si>
    <t>'008276'</t>
  </si>
  <si>
    <t>'008278'</t>
  </si>
  <si>
    <t>'008280'</t>
  </si>
  <si>
    <t>'008281'</t>
  </si>
  <si>
    <t>'008283'</t>
  </si>
  <si>
    <t>'008284'</t>
  </si>
  <si>
    <t>'008285'</t>
  </si>
  <si>
    <t>'008286'</t>
  </si>
  <si>
    <t>'008287'</t>
  </si>
  <si>
    <t>'008289'</t>
  </si>
  <si>
    <t>'008292'</t>
  </si>
  <si>
    <t>'008293'</t>
  </si>
  <si>
    <t>'008294'</t>
  </si>
  <si>
    <t>'008295'</t>
  </si>
  <si>
    <t>'008296'</t>
  </si>
  <si>
    <t>'008297'</t>
  </si>
  <si>
    <t>'008299'</t>
  </si>
  <si>
    <t>'008301'</t>
  </si>
  <si>
    <t>'008304'</t>
  </si>
  <si>
    <t>'008305'</t>
  </si>
  <si>
    <t>'008306'</t>
  </si>
  <si>
    <t>'008309'</t>
  </si>
  <si>
    <t>'008310'</t>
  </si>
  <si>
    <t>'008311'</t>
  </si>
  <si>
    <t>'008312'</t>
  </si>
  <si>
    <t>'008313'</t>
  </si>
  <si>
    <t>'008314'</t>
  </si>
  <si>
    <t>'008315'</t>
  </si>
  <si>
    <t>'008316'</t>
  </si>
  <si>
    <t>'008317'</t>
  </si>
  <si>
    <t>'008318'</t>
  </si>
  <si>
    <t>'008319'</t>
  </si>
  <si>
    <t>'008320'</t>
  </si>
  <si>
    <t>'008321'</t>
  </si>
  <si>
    <t>'008324'</t>
  </si>
  <si>
    <t>'008325'</t>
  </si>
  <si>
    <t>'008326'</t>
  </si>
  <si>
    <t>'008327'</t>
  </si>
  <si>
    <t>'008328'</t>
  </si>
  <si>
    <t>'008329'</t>
  </si>
  <si>
    <t>'008330'</t>
  </si>
  <si>
    <t>'008331'</t>
  </si>
  <si>
    <t>'008332'</t>
  </si>
  <si>
    <t>'008333'</t>
  </si>
  <si>
    <t>'008334'</t>
  </si>
  <si>
    <t>'008335'</t>
  </si>
  <si>
    <t>'008336'</t>
  </si>
  <si>
    <t>'008337'</t>
  </si>
  <si>
    <t>'008338'</t>
  </si>
  <si>
    <t>'008339'</t>
  </si>
  <si>
    <t>'008340'</t>
  </si>
  <si>
    <t>'008341'</t>
  </si>
  <si>
    <t>'008342'</t>
  </si>
  <si>
    <t>'008343'</t>
  </si>
  <si>
    <t>'008344'</t>
  </si>
  <si>
    <t>'008345'</t>
  </si>
  <si>
    <t>'008346'</t>
  </si>
  <si>
    <t>'008347'</t>
  </si>
  <si>
    <t>'008348'</t>
  </si>
  <si>
    <t>'008349'</t>
  </si>
  <si>
    <t>'008350'</t>
  </si>
  <si>
    <t>'008351'</t>
  </si>
  <si>
    <t>'008352'</t>
  </si>
  <si>
    <t>'008353'</t>
  </si>
  <si>
    <t>'008354'</t>
  </si>
  <si>
    <t>'008355'</t>
  </si>
  <si>
    <t>'008356'</t>
  </si>
  <si>
    <t>'008358'</t>
  </si>
  <si>
    <t>'008359'</t>
  </si>
  <si>
    <t>'008360'</t>
  </si>
  <si>
    <t>'008362'</t>
  </si>
  <si>
    <t>'008363'</t>
  </si>
  <si>
    <t>'008364'</t>
  </si>
  <si>
    <t>'008365'</t>
  </si>
  <si>
    <t>'008366'</t>
  </si>
  <si>
    <t>'008369'</t>
  </si>
  <si>
    <t>'008370'</t>
  </si>
  <si>
    <t>'008371'</t>
  </si>
  <si>
    <t>'008372'</t>
  </si>
  <si>
    <t>'008373'</t>
  </si>
  <si>
    <t>'008374'</t>
  </si>
  <si>
    <t>'008375'</t>
  </si>
  <si>
    <t>'008376'</t>
  </si>
  <si>
    <t>'008377'</t>
  </si>
  <si>
    <t>'008378'</t>
  </si>
  <si>
    <t>'008379'</t>
  </si>
  <si>
    <t>'008380'</t>
  </si>
  <si>
    <t>'008381'</t>
  </si>
  <si>
    <t>'008382'</t>
  </si>
  <si>
    <t>'008383'</t>
  </si>
  <si>
    <t>'008384'</t>
  </si>
  <si>
    <t>'008385'</t>
  </si>
  <si>
    <t>'008386'</t>
  </si>
  <si>
    <t>'008387'</t>
  </si>
  <si>
    <t>'008388'</t>
  </si>
  <si>
    <t>'008389'</t>
  </si>
  <si>
    <t>'008390'</t>
  </si>
  <si>
    <t>'008391'</t>
  </si>
  <si>
    <t>'008392'</t>
  </si>
  <si>
    <t>'008393'</t>
  </si>
  <si>
    <t>'008394'</t>
  </si>
  <si>
    <t>'008395'</t>
  </si>
  <si>
    <t>'008396'</t>
  </si>
  <si>
    <t>'008397'</t>
  </si>
  <si>
    <t>'008398'</t>
  </si>
  <si>
    <t>'008399'</t>
  </si>
  <si>
    <t>'008400'</t>
  </si>
  <si>
    <t>'008401'</t>
  </si>
  <si>
    <t>'008402'</t>
  </si>
  <si>
    <t>'008403'</t>
  </si>
  <si>
    <t>'008404'</t>
  </si>
  <si>
    <t>'008405'</t>
  </si>
  <si>
    <t>'008406'</t>
  </si>
  <si>
    <t>'008407'</t>
  </si>
  <si>
    <t>'008408'</t>
  </si>
  <si>
    <t>'008409'</t>
  </si>
  <si>
    <t>'008411'</t>
  </si>
  <si>
    <t>'008412'</t>
  </si>
  <si>
    <t>'008413'</t>
  </si>
  <si>
    <t>'008414'</t>
  </si>
  <si>
    <t>'008415'</t>
  </si>
  <si>
    <t>'008416'</t>
  </si>
  <si>
    <t>'008417'</t>
  </si>
  <si>
    <t>'008418'</t>
  </si>
  <si>
    <t>'008419'</t>
  </si>
  <si>
    <t>'008420'</t>
  </si>
  <si>
    <t>'008421'</t>
  </si>
  <si>
    <t>'008422'</t>
  </si>
  <si>
    <t>'008423'</t>
  </si>
  <si>
    <t>'008424'</t>
  </si>
  <si>
    <t>'008425'</t>
  </si>
  <si>
    <t>'008427'</t>
  </si>
  <si>
    <t>'008428'</t>
  </si>
  <si>
    <t>'008430'</t>
  </si>
  <si>
    <t>'008431'</t>
  </si>
  <si>
    <t>'008433'</t>
  </si>
  <si>
    <t>'008434'</t>
  </si>
  <si>
    <t>'008436'</t>
  </si>
  <si>
    <t>'008437'</t>
  </si>
  <si>
    <t>'008438'</t>
  </si>
  <si>
    <t>'008439'</t>
  </si>
  <si>
    <t>'008441'</t>
  </si>
  <si>
    <t>'008443'</t>
  </si>
  <si>
    <t>'008444'</t>
  </si>
  <si>
    <t>'008445'</t>
  </si>
  <si>
    <t>'008446'</t>
  </si>
  <si>
    <t>'008447'</t>
  </si>
  <si>
    <t>'008448'</t>
  </si>
  <si>
    <t>'008449'</t>
  </si>
  <si>
    <t>'008450'</t>
  </si>
  <si>
    <t>'SANDOVAL CARDENAS ANDREA MICHELLE'</t>
  </si>
  <si>
    <t>'GARATE GUADARRAMA VALERIA'</t>
  </si>
  <si>
    <t>'GALVAN ZENDEJAS IRVING ANDREI'</t>
  </si>
  <si>
    <t>'SANSINENA SANCHEZ JORDI SEBASTIAN'</t>
  </si>
  <si>
    <t>'SUAREZ CABALLERO AURA YULIANA'</t>
  </si>
  <si>
    <t>'CARREÑO ARIAS CARLOS SAID'</t>
  </si>
  <si>
    <t>'HERNANDEZ  KARLA SOFIA'</t>
  </si>
  <si>
    <t>'ARELLANO SANCHEZ BLANCA JAZMIN'</t>
  </si>
  <si>
    <t>'GOTTSCHALK MERCADO ANNA'</t>
  </si>
  <si>
    <t>'LABASTIDA SANDOVAL FRANCISCO JAVIER'</t>
  </si>
  <si>
    <t>'ROJO BELTRAN XIMENA MICHEL'</t>
  </si>
  <si>
    <t>'ARROYO CEJA JORGE EMILIO'</t>
  </si>
  <si>
    <t>'HUERTA DIAZ MAURO GONZALO'</t>
  </si>
  <si>
    <t>'CEJA MANZANO FERNANDO ANTONIO'</t>
  </si>
  <si>
    <t>'ARELLANO ESTRADA SARA ABIGAIL'</t>
  </si>
  <si>
    <t>'VICUÑA JUAREZ PAOLA ELIZABETH'</t>
  </si>
  <si>
    <t>'RANGEL RAMIREZ GAMIZ LUISA'</t>
  </si>
  <si>
    <t>'ROMERO ARCEO ANA PAOLA'</t>
  </si>
  <si>
    <t>'MORA SANCHEZ SABRINA'</t>
  </si>
  <si>
    <t>'PLASCENCIA MADRID ALDO ALFREDO'</t>
  </si>
  <si>
    <t>'VALLE GARCIA DANA VALERIA'</t>
  </si>
  <si>
    <t>'LOPEZ GUTIERREZ SOFIA SARAHI'</t>
  </si>
  <si>
    <t>'LOPEZ PLASENCIA MICHELLE'</t>
  </si>
  <si>
    <t>'LOPEZ PLASENCIA VALENTINA'</t>
  </si>
  <si>
    <t>'SANTIAGO VALENZUELA ISAAC'</t>
  </si>
  <si>
    <t>'AGUIRRE SOLIS EMILIANO'</t>
  </si>
  <si>
    <t>'LOPEZ DOMINGUEZ DIEGO'</t>
  </si>
  <si>
    <t>'RAMIREZ HERNANDEZ DIEGO EMILIO'</t>
  </si>
  <si>
    <t>'MEZA GODOY LUCIA'</t>
  </si>
  <si>
    <t>'MEZA GODOY MALENA'</t>
  </si>
  <si>
    <t>'OREGEL MORA ANDREA MICHELLE'</t>
  </si>
  <si>
    <t>'VAZQUEZ PEREZ CRISTIAN YAEL'</t>
  </si>
  <si>
    <t>'VELAZQUEZ GUTIERREZ CESAR DANIEL'</t>
  </si>
  <si>
    <t>'AVILA ROBLES MARIA FERNANDA'</t>
  </si>
  <si>
    <t>'RONDERO LARRAÑAGA IÑAKI'</t>
  </si>
  <si>
    <t>'ESPARZA OCHOA DAVID EMMANUEL'</t>
  </si>
  <si>
    <t>'RODRIGUEZ RAMIREZ KENDRA PAOLA'</t>
  </si>
  <si>
    <t>'IBARRA ACEVES OSVALDO'</t>
  </si>
  <si>
    <t>'LUIS HERNANDEZ VALENTINA'</t>
  </si>
  <si>
    <t>'LARIOS CASILLAS JOSE ALEJANDRO'</t>
  </si>
  <si>
    <t>'MENDOZA RODRIGUEZ LUIS ENRIQUE'</t>
  </si>
  <si>
    <t>'HERNANDEZ MAYA ALAN SANTIAGO'</t>
  </si>
  <si>
    <t>'NUCKOLLS DE LEON KARINA ELIZABETH'</t>
  </si>
  <si>
    <t>'VALDERRAMA ALVAREZ EMILIANO'</t>
  </si>
  <si>
    <t>'DELGADO RIVAS IRVING EDUARDO'</t>
  </si>
  <si>
    <t>'BOLAÑOS MARGELI SAMANTHA BO'</t>
  </si>
  <si>
    <t>'MORA MARTINEZ MATEO'</t>
  </si>
  <si>
    <t>'GONZALEZ AMADOR KARLA CRISTINA'</t>
  </si>
  <si>
    <t>'WALSH  NICOLAS FRANCIS'</t>
  </si>
  <si>
    <t>'DORANTES MERCADO IÑAKI'</t>
  </si>
  <si>
    <t>'SALAZAR VALENCIA DANIEL'</t>
  </si>
  <si>
    <t>'RAMIREZ ESPINOZA ESTEFANIA LIZBETH'</t>
  </si>
  <si>
    <t>'VASQUEZ AVILA LUIS DANIEL'</t>
  </si>
  <si>
    <t>'VILLASEÑOR DELGADO ALEJANDRA'</t>
  </si>
  <si>
    <t>'CERVANTES PEREZ CAMILA LIZETH'</t>
  </si>
  <si>
    <t>'PACHECO JUAREZ SAMUEL'</t>
  </si>
  <si>
    <t>'SIERRA GARNICA ANA PAULA'</t>
  </si>
  <si>
    <t>'NAVARRO PADILLA ALVARO'</t>
  </si>
  <si>
    <t>'ROJAS LOPEZ XIMENA'</t>
  </si>
  <si>
    <t>'OROZCO CAMACHO JECSAN ALEJANDRO'</t>
  </si>
  <si>
    <t>'GONZALEZ JIMENEZ ALEXA DANIELA'</t>
  </si>
  <si>
    <t>'OROZCO RAMIREZ JUAN BOSCO'</t>
  </si>
  <si>
    <t>'ORNELAS CARRILLO MARIANA'</t>
  </si>
  <si>
    <t>'TREJO OCHOA ANA SOFIA'</t>
  </si>
  <si>
    <t>'GUZMAN CAMPOS ANA'</t>
  </si>
  <si>
    <t>'SAAVEDRA RAMIREZ DEREK HAKIM'</t>
  </si>
  <si>
    <t>'ALATORRE VERGARA ARATH NICOLAS'</t>
  </si>
  <si>
    <t>'RAMIREZ MONDRAGON KARLA NEREIDA'</t>
  </si>
  <si>
    <t>'ACEVES CASTILLO ANDRES ALEJANDRO'</t>
  </si>
  <si>
    <t>'MORALES BARAJAS GISEL'</t>
  </si>
  <si>
    <t>'MICHEL JIMENEZ ADRIAN'</t>
  </si>
  <si>
    <t>'BARBA RAMOS RODOLFO JAVIER'</t>
  </si>
  <si>
    <t>'PEREZ MORA SARA FERNANDA'</t>
  </si>
  <si>
    <t>'NAVARRO MORETT IVANNA PAOLA'</t>
  </si>
  <si>
    <t>'JIMENEZ BECERRA IKER DAMIAN'</t>
  </si>
  <si>
    <t>'PEREZ VALDEZ RAMIREZ SURI NICOLE'</t>
  </si>
  <si>
    <t>'PEÑA RODRIGUEZ NICOLAS'</t>
  </si>
  <si>
    <t>'MEDINA OROZCO PAULA SOFIA'</t>
  </si>
  <si>
    <t>'GONZALEZ DIAZ FLOR DE MARIA'</t>
  </si>
  <si>
    <t>'PEREZ MARTINEZ JUAN MANUEL'</t>
  </si>
  <si>
    <t>'QUIROZ SERAFIO TORRES DANIELA LINETTE'</t>
  </si>
  <si>
    <t>'ZUÑIGA CABRERA VALERIA'</t>
  </si>
  <si>
    <t>'OROZCO LOPEZ ESTEBAN'</t>
  </si>
  <si>
    <t>'PRECIADO VIRGEN KAREN GUADALUPE'</t>
  </si>
  <si>
    <t>'SANTOYO MEDINA JOSE GAEL'</t>
  </si>
  <si>
    <t>'RUIZ JIMENEZ PAULA DARIANA'</t>
  </si>
  <si>
    <t>'CORONADO MAROUN FERRAN ANTONIO'</t>
  </si>
  <si>
    <t>'FLORES SUAREZ VANIA ROMINA'</t>
  </si>
  <si>
    <t>'CURIEL GOMEZ LEONARDO SAUL'</t>
  </si>
  <si>
    <t>'DELGADO MENA ANDREA'</t>
  </si>
  <si>
    <t>'GARCIA PEREZ SEBASTIAN EMILIANO'</t>
  </si>
  <si>
    <t>'OCHOA ACOSTA DANA FERNANDA'</t>
  </si>
  <si>
    <t>'RUIZ VENTURA DIEGO ALEJANDRO'</t>
  </si>
  <si>
    <t>'CASTELLANOS CAZARES MAXIMILIANO'</t>
  </si>
  <si>
    <t>'BARAJAS MARISCAL REGINA'</t>
  </si>
  <si>
    <t>'ESPARZA VILLALOBOS ANETTE MICHELL'</t>
  </si>
  <si>
    <t>'RAMOS FLORES PERLA PAOLA'</t>
  </si>
  <si>
    <t>'HERNANDEZ DOROTEO GUADALUPE JOSELINE'</t>
  </si>
  <si>
    <t>'MORALES VAZQUEZ MARIANA DESIREE'</t>
  </si>
  <si>
    <t>'TORRECILLAS AMEZCUA DANNA PAOLA'</t>
  </si>
  <si>
    <t>'BARRAGAN TOME VICTOR HUGO'</t>
  </si>
  <si>
    <t>'DIEGO CERVANTES IKER SANTIAGO'</t>
  </si>
  <si>
    <t>'GONZALEZ LOPEZ MARIO ANGEL'</t>
  </si>
  <si>
    <t>'LUNA MACIAS MARIA PAULA'</t>
  </si>
  <si>
    <t>'RAMIREZ GOMEZ SERGIO'</t>
  </si>
  <si>
    <t>'GUTIERREZ MUÑOZ ANA LIA'</t>
  </si>
  <si>
    <t>'GUZMAN PARRA GRAJEDA PAOLA'</t>
  </si>
  <si>
    <t>'MANZANO KUAN ISABELLA'</t>
  </si>
  <si>
    <t>'LEONARDO CAMACHO JOSE MIGUEL'</t>
  </si>
  <si>
    <t>'CORNEJO CONCHAS JUAN CARLOS'</t>
  </si>
  <si>
    <t>'SHAFER NORIEGA XIMENA GISELLE'</t>
  </si>
  <si>
    <t>'MUÑOZ MORENO VICTORIA SCARLETT'</t>
  </si>
  <si>
    <t>'GARCIA LOPEZ REGINA'</t>
  </si>
  <si>
    <t>'BADILLO SANCHEZ CESAR ALFREDO'</t>
  </si>
  <si>
    <t>'GARCIA TERAN SERGIO ABRAHAM'</t>
  </si>
  <si>
    <t>'DE LA TORRE IBARRA ALEXA XIMENA'</t>
  </si>
  <si>
    <t>'LOMELI SOLANO JULIETA'</t>
  </si>
  <si>
    <t>'RUIZ ACEVES FATIMA MARCELA'</t>
  </si>
  <si>
    <t>'GARCIA TRASVIÑA CARLOS EMILIO'</t>
  </si>
  <si>
    <t>'GOMEZ REYNOSO EDUARDO ALFONSO'</t>
  </si>
  <si>
    <t>'ARRAZATE CASTILLO LUCIANO'</t>
  </si>
  <si>
    <t>'VALLARTA PARGA MATEO'</t>
  </si>
  <si>
    <t>'PEREZ MARTINEZ CONSTANZA'</t>
  </si>
  <si>
    <t>'GARCIA AVILA CAMILA'</t>
  </si>
  <si>
    <t>'GUERRERO HARO ANGELA NATHALIE'</t>
  </si>
  <si>
    <t>'AVIÑA MICHEL MARIA FERNANDA'</t>
  </si>
  <si>
    <t>'GONZALEZ GARCIA JOSE FARID'</t>
  </si>
  <si>
    <t>'AGUILAR MUÑOZ ANGEL GAEL'</t>
  </si>
  <si>
    <t>'MAGALLANES MONTEON SOFIA'</t>
  </si>
  <si>
    <t>'CANELA PARRA VALENTINA'</t>
  </si>
  <si>
    <t>'GONZALEZ RAMIREZ LIZETTE'</t>
  </si>
  <si>
    <t>'HERNANDEZ HERNANDEZ KAREN DANIELA'</t>
  </si>
  <si>
    <t>'ESPINOZA GONZALEZ MARIA FERNANDA'</t>
  </si>
  <si>
    <t>'OLIVERA EQUIHUA GABRIEL ANTONIO'</t>
  </si>
  <si>
    <t>'GONZALEZ GARCIA GAEL ALEJANDRO'</t>
  </si>
  <si>
    <t>'DE LA TORRE PARADA ISABELA'</t>
  </si>
  <si>
    <t>'LEPE SANDOVAL DIEGO'</t>
  </si>
  <si>
    <t>'GARCIA CORPUS DANIEL'</t>
  </si>
  <si>
    <t>'RUIZ JARA ALEXA VICTORIA'</t>
  </si>
  <si>
    <t>'HERRERA SANCHEZ DARIO'</t>
  </si>
  <si>
    <t>'ARTEAGA CUAUTLI YARETZI'</t>
  </si>
  <si>
    <t>'LOPEZ MARTINEZ SARA ELISA'</t>
  </si>
  <si>
    <t>'SANDOVAL CARDENAS MATIAS ALDAIR'</t>
  </si>
  <si>
    <t>'RAMIREZ POZOS VALERIA DANIELLE'</t>
  </si>
  <si>
    <t>'GARNS JIMENEZ ANA PAULA'</t>
  </si>
  <si>
    <t>'HERNANDEZ HERNANDEZ VALENTINA'</t>
  </si>
  <si>
    <t>'VEGA NAVARRO MARIAM'</t>
  </si>
  <si>
    <t>'PEREZ LOPEZ MARIA JOSE'</t>
  </si>
  <si>
    <t>'ESCOTO GONZALEZ ANDRE LEONARDO'</t>
  </si>
  <si>
    <t>'RODRIGUEZ GUZMAN ANDRES EMILIANO'</t>
  </si>
  <si>
    <t>'GARCIA DUEÑAS MAURICIO GABRIEL'</t>
  </si>
  <si>
    <t>'GONZALEZ PONT ISABELLA'</t>
  </si>
  <si>
    <t>'ARANA REYNA VALENTINA PALOMA'</t>
  </si>
  <si>
    <t>'AGUAYO CAMBEROS PATRICIA DENNISSE'</t>
  </si>
  <si>
    <t>'DOMINGUEZ VILLALVAZO SEBASTIAN'</t>
  </si>
  <si>
    <t>'AGUILAR NAVARRO IVANA'</t>
  </si>
  <si>
    <t>'DELGADO GARCIA BRIANDA VALENTINA'</t>
  </si>
  <si>
    <t>'MERCADO ORTEGA VANESSA'</t>
  </si>
  <si>
    <t>'MORENO NUÑEZ ILSE SARAHI'</t>
  </si>
  <si>
    <t>'MENDOZA ARCEO JIMENA MARIANA'</t>
  </si>
  <si>
    <t>'LUJAN MACIEL FERNANDA'</t>
  </si>
  <si>
    <t>'CARDENAS DE ANDA MAXIMILIANO SALVADOR'</t>
  </si>
  <si>
    <t>'BAUTISTA MANZO MARIA JOSE'</t>
  </si>
  <si>
    <t>'VALENCIA FELIX KARLA RENEE'</t>
  </si>
  <si>
    <t>'VILLALOBOS MARTINEZ CARLOS GAEL'</t>
  </si>
  <si>
    <t>'RANGEL RAMIREZ GAMIZ MARIA'</t>
  </si>
  <si>
    <t>'SANCHEZ GALLARDO DAVID'</t>
  </si>
  <si>
    <t>'GONZALEZ LOPEZ JUAN ANDRES'</t>
  </si>
  <si>
    <t>'ARTEAGA CUAUTLI MARCO ANTONIO'</t>
  </si>
  <si>
    <t>'MONTERO REYNOSO VICTORIA'</t>
  </si>
  <si>
    <t>'NERI EGUIARTE JUAN PABLO'</t>
  </si>
  <si>
    <t>'ZATARAIN OSUNA REGINA'</t>
  </si>
  <si>
    <t>'PRECIADO GARCIA XIMENA'</t>
  </si>
  <si>
    <t>'GAYTAN IBAÑEZ DANNA PAOLA'</t>
  </si>
  <si>
    <t>'GARCIA NUÑO LUIS ANGEL'</t>
  </si>
  <si>
    <t>'GUERRERO IÑIGUEZ MEGAN'</t>
  </si>
  <si>
    <t>'GONZALEZ IBARRA PAULO ANTONIO'</t>
  </si>
  <si>
    <t>'RAMIREZ ESPINOZA JORGE NAVID'</t>
  </si>
  <si>
    <t>'MORAN RODRIGUEZ DANIEL'</t>
  </si>
  <si>
    <t>'VILLALOBOS URIBE EMILIO ISAAC'</t>
  </si>
  <si>
    <t>'IÑIGUEZ MORENO GERARDO EMILIANO'</t>
  </si>
  <si>
    <t>'VARGAS HERNANDEZ JIMENA PAULETTE'</t>
  </si>
  <si>
    <t>'VALDIVIA HERNANDEZ FERNANDA MONSERRAT'</t>
  </si>
  <si>
    <t>'SANCHEZ MARTINEZ LUIS PAULO'</t>
  </si>
  <si>
    <t>'REYES HERMOSILLO SANTIAGO  URIEL'</t>
  </si>
  <si>
    <t>'FRANCO BERZUNZA CLAUDIO GABRIEL'</t>
  </si>
  <si>
    <t>'ROCHA MORENO FERNANDA'</t>
  </si>
  <si>
    <t>'PEREZ BERMEA ANA RUTH'</t>
  </si>
  <si>
    <t>'ACEVES AMEZCUA VALENTINA'</t>
  </si>
  <si>
    <t>'OLIVARES PULIDO OSCAR ISRAEL'</t>
  </si>
  <si>
    <t>'HUIZAR DURAN MAURICIO RAFAEL'</t>
  </si>
  <si>
    <t>'VARELA GARCIA VALENTINA'</t>
  </si>
  <si>
    <t>'MEDRANO GARCIA TORRES KATIA'</t>
  </si>
  <si>
    <t>'ARAIZA SANTANA VALERIA'</t>
  </si>
  <si>
    <t>'MEDINA GUTIERREZ RENATA ALEJANDRA'</t>
  </si>
  <si>
    <t>'LOMELI GARCIA RICARDO ALEXIS'</t>
  </si>
  <si>
    <t>'CHAVEZ BECERRIL JULIA FERNANDA'</t>
  </si>
  <si>
    <t>'MEDINA MORENO JOSE ANGEL'</t>
  </si>
  <si>
    <t>'GONTES RAMIREZ ROBERTO'</t>
  </si>
  <si>
    <t>'ENCARNACION GOMEZ KAREN'</t>
  </si>
  <si>
    <t>'LLAMAS DE ANDA DIANA PAOLA'</t>
  </si>
  <si>
    <t>'GARCIA ESCALERA EDSON OBED'</t>
  </si>
  <si>
    <t>'MARTINEZ GUTIERREZ SOLANA CESAR ARTURO'</t>
  </si>
  <si>
    <t>'CASTILLO MARTIN TANIA PAULINA'</t>
  </si>
  <si>
    <t>'RIVERA OROZCO CLAUDIA ALEJANDRA'</t>
  </si>
  <si>
    <t>'PEREZ CASTILLO PAULA RENATA'</t>
  </si>
  <si>
    <t>'GARCIA ZENTENO LINETTE'</t>
  </si>
  <si>
    <t>'ZENDEJAS GONZALEZ DANIELA'</t>
  </si>
  <si>
    <t>'MURUA ZERMEÑO ARMANDO'</t>
  </si>
  <si>
    <t>'CASTRO CALLEJA DANIEL MAXIMILIANO'</t>
  </si>
  <si>
    <t>'GONZALEZ TOSCANO YARETZI CLOE'</t>
  </si>
  <si>
    <t>'ALCALA CAMACHO ABRIL NAHOMI'</t>
  </si>
  <si>
    <t>'MORENO HERNANDEZ CAMILA'</t>
  </si>
  <si>
    <t>'BECERRA GOMEZ VICTORIA ALHELI'</t>
  </si>
  <si>
    <t>'ALBARRAN DOMINGUEZ NICOLAS'</t>
  </si>
  <si>
    <t>'RAMIREZ VALLEJO VIVIANA MONSERRAT'</t>
  </si>
  <si>
    <t>'RAMIREZ PELAYO OZMHARA VALENTINA'</t>
  </si>
  <si>
    <t>'GUERRERO ORTIZ KEYRA VALENTINA'</t>
  </si>
  <si>
    <t>'REGLA BADILLO NAOMI SOFIA'</t>
  </si>
  <si>
    <t>'ALVAREZ GONZALEZ MIA PAOLINA'</t>
  </si>
  <si>
    <t>'HERNANDEZ ROSAS JUAN PABLO'</t>
  </si>
  <si>
    <t>'ZENDEJAS ABUNDIS DAPHNE VALERIA'</t>
  </si>
  <si>
    <t>'SANDOVAL ALVARADO JR JORGE DAMIAN'</t>
  </si>
  <si>
    <t>'GARCIA TRILLO SANTIAGO'</t>
  </si>
  <si>
    <t>'ESPARZA GONZALEZ PAULO AIMAR'</t>
  </si>
  <si>
    <t>'IRETA DUARTE RUBEN'</t>
  </si>
  <si>
    <t>'GUZMAN MICHEL NATHALIE ANAHI'</t>
  </si>
  <si>
    <t>'GALLEGOS LOPEZ ERNESTO'</t>
  </si>
  <si>
    <t>'MORENO VILLASANA EMILIO MIGUEL'</t>
  </si>
  <si>
    <t>'GODINEZ ROSALES VICENTE'</t>
  </si>
  <si>
    <t>'CASILLAS DIAZ ANDREA'</t>
  </si>
  <si>
    <t>'CUEVAS ORTEGA ANDRES'</t>
  </si>
  <si>
    <t>'JIMENEZ SEGURA GAEL'</t>
  </si>
  <si>
    <t>'VAZQUEZ GUTIERREZ RAFAEL OCTAVIO'</t>
  </si>
  <si>
    <t>'VAZQUEZ AHUMADA IVAN'</t>
  </si>
  <si>
    <t>'HERNANDEZ ALFARO BRENDA VANESA'</t>
  </si>
  <si>
    <t>'ENRIQUEZ MACIAS JOSE ALFREDO'</t>
  </si>
  <si>
    <t>'CASTRO RESENDIZ XIMENA GISELLE'</t>
  </si>
  <si>
    <t>'ROSAS ESTRADA MARIA ESTEFANIA'</t>
  </si>
  <si>
    <t>'DE ANDA MERLO RENATA'</t>
  </si>
  <si>
    <t>'DEL TORO SANDOVAL ANDRES'</t>
  </si>
  <si>
    <t>'ALCARAZ LOZANO KARIME'</t>
  </si>
  <si>
    <t>'SOLANO OROZCO CARLOS ALEXIS'</t>
  </si>
  <si>
    <t>'RAMOS ACEVES ELISA'</t>
  </si>
  <si>
    <t>'CASTRO ESCAMILLA ANDREA'</t>
  </si>
  <si>
    <t>'VILLALOBOS NAVARRO ANTONIO DALI'</t>
  </si>
  <si>
    <t>'VILLALOBOS NAVARRO ZEUS'</t>
  </si>
  <si>
    <t>'ALVARADO MORENO JOSE MANUEL'</t>
  </si>
  <si>
    <t>'HERNANDEZ  ALEXANDRA'</t>
  </si>
  <si>
    <t>'CASTILLO LOPEZ PABLO DAMIAN'</t>
  </si>
  <si>
    <t>'JAUREGUI RAMIREZ DANIELA SOFIA'</t>
  </si>
  <si>
    <t>'FLORES SAIFFE NAVARRO LEON'</t>
  </si>
  <si>
    <t>'ALVAREZ VELEZ JOSUE'</t>
  </si>
  <si>
    <t>'VALDIVIA VILLALOBOS ANA KAREN'</t>
  </si>
  <si>
    <t>'GARCIA JIMENEZ DIANA YANELLI'</t>
  </si>
  <si>
    <t>'PAEZ ARANDIA MARIA FERNANDA'</t>
  </si>
  <si>
    <t>'TRINIDAD MARTIN LAILA SOFIA'</t>
  </si>
  <si>
    <t>'LLACA REYNA SAUL EMILIANO'</t>
  </si>
  <si>
    <t>'CHAVEZ RIVAS MARIA JOSE'</t>
  </si>
  <si>
    <t>'MAGAÑA GOMEZ ANDRE'</t>
  </si>
  <si>
    <t>'GONZALEZ BARRANCO HELIOS FARID'</t>
  </si>
  <si>
    <t>'DIAZ CAMELO DIEGO JAVIER'</t>
  </si>
  <si>
    <t>'LEPE BECERRA SANTIAGO ANTONIO'</t>
  </si>
  <si>
    <t>'MORA ZEPEDA XIMENA JOSELYN'</t>
  </si>
  <si>
    <t>'ORNELAS CHAVEZ SANTIAGO'</t>
  </si>
  <si>
    <t>'CRUZ SUAREZ CLAUDIA PAOLA'</t>
  </si>
  <si>
    <t>'HERRERA ROJAS ANA ISABEL'</t>
  </si>
  <si>
    <t>'VELAZQUEZ CASTRO BRENDA ROBERTA'</t>
  </si>
  <si>
    <t>'GALLARDO ESPINOZA DIANA ALEJANDRA'</t>
  </si>
  <si>
    <t>'GARCIA GOMEZ UZIEL ANTONIO'</t>
  </si>
  <si>
    <t>'GARCIA DE JESUS SOFIA ALEJANDRA'</t>
  </si>
  <si>
    <t>'QUEZADA MONTERO PAOLA'</t>
  </si>
  <si>
    <t>'ALVAREZ MOJICA MARIANA'</t>
  </si>
  <si>
    <t>'SANTANA VELA DANIEL'</t>
  </si>
  <si>
    <t>'FLORES ORTIZ MIRANDA THAIS'</t>
  </si>
  <si>
    <t>'LLAMAS ARIAS CLAUDIA PAOLA'</t>
  </si>
  <si>
    <t>'GONZALEZ LOPEZ NEGRETE RENATA'</t>
  </si>
  <si>
    <t>'VARELA TORRES ERICK MATHIAS'</t>
  </si>
  <si>
    <t>'CERVANTES PEREZ JIMENA NAOMI'</t>
  </si>
  <si>
    <t>'RIVERA RAMIREZ SOFIA'</t>
  </si>
  <si>
    <t>'LOPEZ DE LEON DIANA SOFIA'</t>
  </si>
  <si>
    <t>'BRISEÑO CARLOS KARLA BERNARDETH'</t>
  </si>
  <si>
    <t>'CORONA RUVALCABA MATIAS'</t>
  </si>
  <si>
    <t>'CASTRO HERNANDEZ FERNANDA VALENTINA'</t>
  </si>
  <si>
    <t>'ZULOAGA SARDO MATIAS'</t>
  </si>
  <si>
    <t>'FERNANDEZ ALFARO BIBIANA'</t>
  </si>
  <si>
    <t>'HERNANDEZ GONZALEZ DIEGO ALEJANDRO'</t>
  </si>
  <si>
    <t>'VELAZQUEZ CABEZA DE VACA ALEJANDRO'</t>
  </si>
  <si>
    <t>'CALERA LEVI IKER'</t>
  </si>
  <si>
    <t>'GONZALEZ GALINDO VALENTINA'</t>
  </si>
  <si>
    <t>'BARRERA PEREZ JENNIFER JANETT'</t>
  </si>
  <si>
    <t>'ORDAZ SALCEDO VALENTINA'</t>
  </si>
  <si>
    <t>'MOYA ROBLES LUIS ADRIAN'</t>
  </si>
  <si>
    <t>'GONZALEZ GUTIERREZ CARMINA'</t>
  </si>
  <si>
    <t>'BARBA BUENDIA NATALIA'</t>
  </si>
  <si>
    <t>'RIVERA JAUREGUI ANNIA REGINA'</t>
  </si>
  <si>
    <t>'AVIÑA MICHEL CARLOS'</t>
  </si>
  <si>
    <t>'SUAREZ VAZQUEZ ESTEFANIA'</t>
  </si>
  <si>
    <t>'RAMIREZ ALVAREZ CARLA FLORENCIA VALENTINA'</t>
  </si>
  <si>
    <t>'DE LA TORRE LOPEZ JUAN RICARDO'</t>
  </si>
  <si>
    <t>'ORTEGA LOMELI SANTIAGO'</t>
  </si>
  <si>
    <t>'REAL ALVARADO IVANA'</t>
  </si>
  <si>
    <t>'GUTIERREZ LUGO DIANA CAMILA'</t>
  </si>
  <si>
    <t>'MANZANO ROJAS NATALIA'</t>
  </si>
  <si>
    <t>'RODRIGUEZ OROZCO JUAN ANGEL'</t>
  </si>
  <si>
    <t>'ZAMORA SALAZAR MARIA JOSE'</t>
  </si>
  <si>
    <t>'RUIZ JIMENEZ MIRIAM CELESTE'</t>
  </si>
  <si>
    <t>'HERNANDEZ GUTIERREZ LUIS  JESUS'</t>
  </si>
  <si>
    <t>'ZAVALA ROBLES DANNA LEAH'</t>
  </si>
  <si>
    <t>'GOMEZ ACEVES ANDRE'</t>
  </si>
  <si>
    <t>'BENAVIDES MACIAS SEBASTIAN'</t>
  </si>
  <si>
    <t>'SOSA CHAVOYA ALEXIA NICOLE'</t>
  </si>
  <si>
    <t>'LOPEZ ORTIZ HELIOS SANTIAGO'</t>
  </si>
  <si>
    <t>'MEZA CASTRO KIMBERLY VERONICA'</t>
  </si>
  <si>
    <t>'SOTO RAMIREZ MARCO ANTONIO'</t>
  </si>
  <si>
    <t>'FLORES LUCIO MATIAS'</t>
  </si>
  <si>
    <t>'WU WANG LISA'</t>
  </si>
  <si>
    <t>'DE ANDA VARGAS ALAN ANDRES'</t>
  </si>
  <si>
    <t>'ORTEGA ABBADIE IVAN'</t>
  </si>
  <si>
    <t>'TORRES RUIZ VELASCO AMERICA'</t>
  </si>
  <si>
    <t>'AVILA DELFIN ANDRES NICOLAS'</t>
  </si>
  <si>
    <t>'MERCADO RAMIREZ RICARDO DAVID'</t>
  </si>
  <si>
    <t>'VALERIANO ARREOLA NANCY SOFIA'</t>
  </si>
  <si>
    <t>'ENRIQUEZ MACIAS EUNICE SARAHI'</t>
  </si>
  <si>
    <t>'RUIZ SANTIBAÑEZ ARANZA GUADALUPE'</t>
  </si>
  <si>
    <t>'VEGA AMEZCUA MATTEO'</t>
  </si>
  <si>
    <t>'GARCIA DE ALBA JORGE GAEL'</t>
  </si>
  <si>
    <t>'TORRES SERRATOS BLANCA DANIELA'</t>
  </si>
  <si>
    <t>'CASTELLANOS CISNEROS SAUL SALVADOR'</t>
  </si>
  <si>
    <t>'RAMIREZ GONZALEZ AMELIE ROMINA'</t>
  </si>
  <si>
    <t>'CORONA SANCHEZ CRISTIAN GIBRANI'</t>
  </si>
  <si>
    <t>'DURAN ESTRADA GRETA REGINA'</t>
  </si>
  <si>
    <t>'COLMENEROS RAMOS IKER PAULO'</t>
  </si>
  <si>
    <t>'FLORES PEÑA JOSE DE JESUS'</t>
  </si>
  <si>
    <t>'LOZANO OYARVIDE MAITE ASTRID'</t>
  </si>
  <si>
    <t>'ORTEGA RAMIREZ MARIA FERNANDA'</t>
  </si>
  <si>
    <t>'AVILA PARTIDA SCARLET'</t>
  </si>
  <si>
    <t>'MORENO SALAZAR IAN RICARDO'</t>
  </si>
  <si>
    <t>'CISNEROS LEDEZMA ETHAN XAVIER'</t>
  </si>
  <si>
    <t>'ESCOBEDO PRECIADO DARIO LEONARDO'</t>
  </si>
  <si>
    <t>'ROMERO VICKE SYLVANA'</t>
  </si>
  <si>
    <t>'ROMERO SALIM SARA GABRIELA'</t>
  </si>
  <si>
    <t>'OCHOA VERONICA VALENTIN ELEAZAR'</t>
  </si>
  <si>
    <t>'SANCHEZ PARGA MIRANDA'</t>
  </si>
  <si>
    <t>'PANTOJA ESPINOSA DE LOS MONTEROS SANTIAGO'</t>
  </si>
  <si>
    <t>'ABOYTES REYES ZOE GERALDINE'</t>
  </si>
  <si>
    <t>'GOMEZ JIMENEZ VALERIA ROSARIO'</t>
  </si>
  <si>
    <t>'MINAKATA RODRIGUEZ CHRISTIAN AKIRA'</t>
  </si>
  <si>
    <t>'MOMBRUN LEYVA GILLIAN LYNEL'</t>
  </si>
  <si>
    <t>'OLIVARES HERMOSILLO JOSE EDUARDO'</t>
  </si>
  <si>
    <t>'PALACIOS RODRIGUEZ MARIANA'</t>
  </si>
  <si>
    <t>'OLIVARES PULIDO NATALIA GUADALUPE'</t>
  </si>
  <si>
    <t>'PADILLA PEGUEROS MARIA DE LOURDES'</t>
  </si>
  <si>
    <t>'REYES BEAS DIEGO'</t>
  </si>
  <si>
    <t>'URIBE HERNANDEZ LUCIA'</t>
  </si>
  <si>
    <t>'ROMERO VIDRIO SOFIA FERNANDA'</t>
  </si>
  <si>
    <t>'MORAN NOLASCO SOFIA'</t>
  </si>
  <si>
    <t>'VAZQUEZ MARES VALERIA'</t>
  </si>
  <si>
    <t>'LOMELI SOLANO LUCIA'</t>
  </si>
  <si>
    <t>'OROZCO MURO REGINA'</t>
  </si>
  <si>
    <t>'VAZQUEZ LOPEZ JULIETA'</t>
  </si>
  <si>
    <t>'KOYAMA DIAZ JOSE MARIA'</t>
  </si>
  <si>
    <t>'BARAJAS ORTEGA EMILIANO ISAIAS'</t>
  </si>
  <si>
    <t>'OTERO AGUILAR JOSE MAURICIO'</t>
  </si>
  <si>
    <t>'DE LA CRUZ MOYA JULIO ISAIAS'</t>
  </si>
  <si>
    <t>'MIRANDA SEDANO PAOLA ALESSANDRA'</t>
  </si>
  <si>
    <t>'GALLEGOS VERA PABLO'</t>
  </si>
  <si>
    <t>'GUTIERREZ ENCARNACION ISABELLA'</t>
  </si>
  <si>
    <t>'MUÑOZ COVARRUBIAS CAMILA'</t>
  </si>
  <si>
    <t>'FLORES RODRIGUEZ ARANZA NATHALI'</t>
  </si>
  <si>
    <t>'RODRIGUEZ ALFARO ROMINA STEFANIA'</t>
  </si>
  <si>
    <t>'AVILA HERRERA SEBASTIAN'</t>
  </si>
  <si>
    <t>'ROJO BELTRAN NATALIA MARBELLA'</t>
  </si>
  <si>
    <t>'CAMARA MORA SEBASTIAN'</t>
  </si>
  <si>
    <t>'GONZALEZ GARCIA ENRIQUE VIDAL'</t>
  </si>
  <si>
    <t>'MENDOZA GOMEZ ANTONELLA CALAI'</t>
  </si>
  <si>
    <t>'SANCHEZ ORTEGA PALOMA'</t>
  </si>
  <si>
    <t>'LUGO VIVEROS RANIA VALENTINA'</t>
  </si>
  <si>
    <t>'DE LABRA VIVIAN CARLOS ALBERTO'</t>
  </si>
  <si>
    <t>'TORRES MAGALLON JOSE RUBEN'</t>
  </si>
  <si>
    <t>'PEREZ HURTADO DIANE ESTEFANIA'</t>
  </si>
  <si>
    <t>'LOPEZ RODRIGUEZ FATIMA'</t>
  </si>
  <si>
    <t>'RODRIGUEZ MARTINEZ CHRISTIAN'</t>
  </si>
  <si>
    <t>'GARCIA LEON PAULA MILENA'</t>
  </si>
  <si>
    <t>'RIVAS AGUILAR LUISA SOFIA'</t>
  </si>
  <si>
    <t>'GARCIA CORNEJO SANTIAGO'</t>
  </si>
  <si>
    <t>'BUONGARZONI LISSMANN ELENA'</t>
  </si>
  <si>
    <t>'CANELA PARRA ANA SOFIA'</t>
  </si>
  <si>
    <t>'MACIEL CUERVO JOSE FERNANDO'</t>
  </si>
  <si>
    <t>'GARCIA RAMIREZ MARIA JOSE'</t>
  </si>
  <si>
    <t>'GALVEZ CONTRERAS REGINA ANTONIA'</t>
  </si>
  <si>
    <t>'CELIS LOPEZ VERONICA RENATA'</t>
  </si>
  <si>
    <t>'ANGUIANO MARTINEZ KAROL MARIA'</t>
  </si>
  <si>
    <t>'ACEVES GUERRA MAYA ALEXA'</t>
  </si>
  <si>
    <t>'CORTES MEZA VALERIA ESTEFANIA'</t>
  </si>
  <si>
    <t>'CUEVAS GONZALEZ SARAH JULIETA'</t>
  </si>
  <si>
    <t>'REYNOSO GONZALEZ IERI DOMINIQUE'</t>
  </si>
  <si>
    <t>'GARCIA VAZQUEZ DAFNE SOPHIA'</t>
  </si>
  <si>
    <t>'GONZALEZ LOMELI CRISTIAN EMMANUEL'</t>
  </si>
  <si>
    <t>'DISEÑO GRÁFICO'</t>
  </si>
  <si>
    <t>'ADMINISTRACIÓN'</t>
  </si>
  <si>
    <t>'HIGIENE Y SALUD COMUNITARIA'</t>
  </si>
  <si>
    <t>'ELECTRÓNICA'</t>
  </si>
  <si>
    <t>'COMUNICACIÓN'</t>
  </si>
  <si>
    <t>'ADMINISTRACIÓNA'</t>
  </si>
  <si>
    <t>'HIGIENE Y SALUD COMUNITARIAA'</t>
  </si>
  <si>
    <t>'DISEÑO GRÁFICOA'</t>
  </si>
  <si>
    <t>'ELECTRÓNICAA'</t>
  </si>
  <si>
    <t>'TRONCO COMÚN'</t>
  </si>
  <si>
    <t>'6to'</t>
  </si>
  <si>
    <t>'4to'</t>
  </si>
  <si>
    <t>'2do'</t>
  </si>
  <si>
    <t>'Femenino'</t>
  </si>
  <si>
    <t>'Masculino'</t>
  </si>
  <si>
    <t>'ACTIVO'</t>
  </si>
  <si>
    <t>'REINGRESO'</t>
  </si>
  <si>
    <t>'BLOQUEADO'</t>
  </si>
  <si>
    <t>id,nivel,correo,matricula,clave,nombre,carrera,grado,sexo,situacion,evaluados,num_evaluados,total_evaluaciones,ultimo_acceso,nivel_acceso</t>
  </si>
  <si>
    <t>'008357'</t>
  </si>
  <si>
    <t>'008426'</t>
  </si>
  <si>
    <t>'B 33'</t>
  </si>
  <si>
    <t>'B ESTADISC'</t>
  </si>
  <si>
    <t>'B334'</t>
  </si>
  <si>
    <t>'B6° 4B-II2'</t>
  </si>
  <si>
    <t>'B 32A'</t>
  </si>
  <si>
    <t>'B MATFIN A'</t>
  </si>
  <si>
    <t>'B ESTADISB'</t>
  </si>
  <si>
    <t>'B335'</t>
  </si>
  <si>
    <t>'B 31A'</t>
  </si>
  <si>
    <t>'B ESTADISA'</t>
  </si>
  <si>
    <t>'B 333'</t>
  </si>
  <si>
    <t>'B6° 4A-II1'</t>
  </si>
  <si>
    <t>'B 32B'</t>
  </si>
  <si>
    <t>'B MATFIN B'</t>
  </si>
  <si>
    <t>'B6° 3B-II2'</t>
  </si>
  <si>
    <t>'B 331'</t>
  </si>
  <si>
    <t>'B 35'</t>
  </si>
  <si>
    <t>'B CALINTE'</t>
  </si>
  <si>
    <t>'B6° 3A-II2'</t>
  </si>
  <si>
    <t>'B 332'</t>
  </si>
  <si>
    <t>'B 34'</t>
  </si>
  <si>
    <t>'B6° 3A-II1'</t>
  </si>
  <si>
    <t>'B6° 4B-II1'</t>
  </si>
  <si>
    <t>'B 223'</t>
  </si>
  <si>
    <t>'B 22A'</t>
  </si>
  <si>
    <t>'B4° 4A-II'</t>
  </si>
  <si>
    <t>'B 222'</t>
  </si>
  <si>
    <t>'B 225'</t>
  </si>
  <si>
    <t>'B 22B'</t>
  </si>
  <si>
    <t>'B 21B'</t>
  </si>
  <si>
    <t>'B 221'</t>
  </si>
  <si>
    <t>'B 23'</t>
  </si>
  <si>
    <t>'B4° 3B-II'</t>
  </si>
  <si>
    <t>'B 24'</t>
  </si>
  <si>
    <t>'B 224'</t>
  </si>
  <si>
    <t>'B 21A'</t>
  </si>
  <si>
    <t>'B4° 3A-II'</t>
  </si>
  <si>
    <t>'B 114'</t>
  </si>
  <si>
    <t>'B2° 3A-II'</t>
  </si>
  <si>
    <t>'B 113'</t>
  </si>
  <si>
    <t>'B2° 2B-II'</t>
  </si>
  <si>
    <t>'B 111'</t>
  </si>
  <si>
    <t>'B 112'</t>
  </si>
  <si>
    <t>'B2° 4A-II'</t>
  </si>
  <si>
    <t>ID</t>
  </si>
  <si>
    <t>INSERT INTO grupos (id,matricula,grupo) values (</t>
  </si>
  <si>
    <t>TRONCO COMÚNA</t>
  </si>
  <si>
    <t>Sello</t>
  </si>
  <si>
    <t>INSERT INTO profesores (id,nivel,carrera,grupo,nombre,materia,sexo,sello) VALUES (</t>
  </si>
  <si>
    <t>INSERT INTO acude (actividad,tipo,profesor,sexo) values (</t>
  </si>
  <si>
    <t>INSERT INTO titulares (grupo,nombre,sexo)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</si>
</sst>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1" fillId="0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CCD7-2A4D-4E4A-8EAD-6CE543832133}">
  <dimension ref="A1:L400"/>
  <sheetViews>
    <sheetView workbookViewId="0">
      <selection activeCell="L2" sqref="L2:L400"/>
    </sheetView>
  </sheetViews>
  <sheetFormatPr baseColWidth="10" defaultRowHeight="14.5" x14ac:dyDescent="0.35"/>
  <cols>
    <col min="1" max="1" width="4.81640625" bestFit="1" customWidth="1"/>
    <col min="2" max="2" width="13.36328125" bestFit="1" customWidth="1"/>
    <col min="3" max="3" width="36" bestFit="1" customWidth="1"/>
    <col min="4" max="4" width="8.7265625" bestFit="1" customWidth="1"/>
    <col min="5" max="5" width="8.7265625" customWidth="1"/>
    <col min="6" max="6" width="44" bestFit="1" customWidth="1"/>
    <col min="7" max="7" width="33.81640625" bestFit="1" customWidth="1"/>
    <col min="8" max="8" width="6" bestFit="1" customWidth="1"/>
    <col min="9" max="9" width="9.54296875" bestFit="1" customWidth="1"/>
    <col min="10" max="10" width="10.08984375" bestFit="1" customWidth="1"/>
  </cols>
  <sheetData>
    <row r="1" spans="1:12" x14ac:dyDescent="0.35">
      <c r="A1" t="s">
        <v>0</v>
      </c>
      <c r="B1" s="2" t="s">
        <v>105</v>
      </c>
      <c r="C1" s="2" t="s">
        <v>104</v>
      </c>
      <c r="D1" s="2" t="s">
        <v>103</v>
      </c>
      <c r="E1" s="5" t="s">
        <v>173</v>
      </c>
      <c r="F1" s="2" t="s">
        <v>102</v>
      </c>
      <c r="G1" s="2" t="s">
        <v>101</v>
      </c>
      <c r="H1" s="2" t="s">
        <v>100</v>
      </c>
      <c r="I1" s="2" t="s">
        <v>99</v>
      </c>
      <c r="J1" s="2" t="s">
        <v>98</v>
      </c>
      <c r="K1" s="6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7" t="s">
        <v>1399</v>
      </c>
    </row>
    <row r="2" spans="1:12" x14ac:dyDescent="0.35">
      <c r="A2">
        <v>3000</v>
      </c>
      <c r="B2" s="1" t="s">
        <v>185</v>
      </c>
      <c r="C2" s="1" t="s">
        <v>186</v>
      </c>
      <c r="D2" s="3" t="s">
        <v>583</v>
      </c>
      <c r="E2" s="6" t="s">
        <v>174</v>
      </c>
      <c r="F2" s="1" t="s">
        <v>982</v>
      </c>
      <c r="G2" s="1" t="s">
        <v>1381</v>
      </c>
      <c r="H2" s="1" t="s">
        <v>1391</v>
      </c>
      <c r="I2" s="1" t="s">
        <v>1394</v>
      </c>
      <c r="J2" s="1" t="s">
        <v>1396</v>
      </c>
      <c r="K2" s="6" t="str">
        <f t="shared" ref="K2:K65" si="0">CONCATENATE(A2,",",B2,",",C2,",",D2,",'",E2,",",F2,",",G2,",",H2,",",UPPER(I2),",",UPPER(J2),",'',0,0,'','ALUMNO'")</f>
        <v>3000,'BACHILLERATO','andreamichelle.sandovalcardenas','007954','TOMAR DEL SND','SANDOVAL CARDENAS ANDREA MICHELLE','DISEÑO GRÁFICO','6to','FEMENINO','ACTIVO','',0,0,'','ALUMNO'</v>
      </c>
      <c r="L2" s="6" t="str">
        <f t="shared" ref="L2:L65" si="1">CONCATENATE($K$1,K2,");")</f>
        <v>INSERT INTO participantes (id,nivel,correo,matricula,clave,nombre,carrera,grado,sexo,situacion,evaluados,num_evaluados,total_evaluaciones,ultimo_acceso,nivel_acceso) VALUES (3000,'BACHILLERATO','andreamichelle.sandovalcardenas','007954','TOMAR DEL SND','SANDOVAL CARDENAS ANDREA MICHELLE','DISEÑO GRÁFICO','6to','FEMENINO','ACTIVO','',0,0,'','ALUMNO');</v>
      </c>
    </row>
    <row r="3" spans="1:12" x14ac:dyDescent="0.35">
      <c r="A3">
        <v>3001</v>
      </c>
      <c r="B3" s="1" t="s">
        <v>185</v>
      </c>
      <c r="C3" s="1" t="s">
        <v>187</v>
      </c>
      <c r="D3" s="3" t="s">
        <v>584</v>
      </c>
      <c r="E3" s="6" t="s">
        <v>174</v>
      </c>
      <c r="F3" s="1" t="s">
        <v>983</v>
      </c>
      <c r="G3" s="1" t="s">
        <v>1382</v>
      </c>
      <c r="H3" s="1" t="s">
        <v>1391</v>
      </c>
      <c r="I3" s="1" t="s">
        <v>1394</v>
      </c>
      <c r="J3" s="1" t="s">
        <v>1396</v>
      </c>
      <c r="K3" s="6" t="str">
        <f t="shared" si="0"/>
        <v>3001,'BACHILLERATO','valeria.garateguadarrama','007955','TOMAR DEL SND','GARATE GUADARRAMA VALERIA','ADMINISTRACIÓN','6to','FEMENINO','ACTIVO','',0,0,'','ALUMNO'</v>
      </c>
      <c r="L3" s="6" t="str">
        <f t="shared" si="1"/>
        <v>INSERT INTO participantes (id,nivel,correo,matricula,clave,nombre,carrera,grado,sexo,situacion,evaluados,num_evaluados,total_evaluaciones,ultimo_acceso,nivel_acceso) VALUES (3001,'BACHILLERATO','valeria.garateguadarrama','007955','TOMAR DEL SND','GARATE GUADARRAMA VALERIA','ADMINISTRACIÓN','6to','FEMENINO','ACTIVO','',0,0,'','ALUMNO');</v>
      </c>
    </row>
    <row r="4" spans="1:12" x14ac:dyDescent="0.35">
      <c r="A4">
        <v>3002</v>
      </c>
      <c r="B4" s="1" t="s">
        <v>185</v>
      </c>
      <c r="C4" s="1" t="s">
        <v>188</v>
      </c>
      <c r="D4" s="3" t="s">
        <v>585</v>
      </c>
      <c r="E4" s="6" t="s">
        <v>174</v>
      </c>
      <c r="F4" s="1" t="s">
        <v>984</v>
      </c>
      <c r="G4" s="1" t="s">
        <v>1381</v>
      </c>
      <c r="H4" s="1" t="s">
        <v>1391</v>
      </c>
      <c r="I4" s="1" t="s">
        <v>1395</v>
      </c>
      <c r="J4" s="1" t="s">
        <v>1396</v>
      </c>
      <c r="K4" s="6" t="str">
        <f t="shared" si="0"/>
        <v>3002,'BACHILLERATO','irvingandrei.galvanzendejas','007956','TOMAR DEL SND','GALVAN ZENDEJAS IRVING ANDREI','DISEÑO GRÁFICO','6to','MASCULINO','ACTIVO','',0,0,'','ALUMNO'</v>
      </c>
      <c r="L4" s="6" t="str">
        <f t="shared" si="1"/>
        <v>INSERT INTO participantes (id,nivel,correo,matricula,clave,nombre,carrera,grado,sexo,situacion,evaluados,num_evaluados,total_evaluaciones,ultimo_acceso,nivel_acceso) VALUES (3002,'BACHILLERATO','irvingandrei.galvanzendejas','007956','TOMAR DEL SND','GALVAN ZENDEJAS IRVING ANDREI','DISEÑO GRÁFICO','6to','MASCULINO','ACTIVO','',0,0,'','ALUMNO');</v>
      </c>
    </row>
    <row r="5" spans="1:12" x14ac:dyDescent="0.35">
      <c r="A5">
        <v>3003</v>
      </c>
      <c r="B5" s="1" t="s">
        <v>185</v>
      </c>
      <c r="C5" s="1" t="s">
        <v>189</v>
      </c>
      <c r="D5" s="1" t="s">
        <v>586</v>
      </c>
      <c r="E5" s="6" t="s">
        <v>174</v>
      </c>
      <c r="F5" s="1" t="s">
        <v>985</v>
      </c>
      <c r="G5" s="1" t="s">
        <v>1383</v>
      </c>
      <c r="H5" s="1" t="s">
        <v>1391</v>
      </c>
      <c r="I5" s="1" t="s">
        <v>1395</v>
      </c>
      <c r="J5" s="1" t="s">
        <v>1396</v>
      </c>
      <c r="K5" s="6" t="str">
        <f t="shared" si="0"/>
        <v>3003,'BACHILLERATO','jordisebastian.sansinenasanchez','007957','TOMAR DEL SND','SANSINENA SANCHEZ JORDI SEBASTIAN','HIGIENE Y SALUD COMUNITARIA','6to','MASCULINO','ACTIVO','',0,0,'','ALUMNO'</v>
      </c>
      <c r="L5" s="6" t="str">
        <f t="shared" si="1"/>
        <v>INSERT INTO participantes (id,nivel,correo,matricula,clave,nombre,carrera,grado,sexo,situacion,evaluados,num_evaluados,total_evaluaciones,ultimo_acceso,nivel_acceso) VALUES (3003,'BACHILLERATO','jordisebastian.sansinenasanchez','007957','TOMAR DEL SND','SANSINENA SANCHEZ JORDI SEBASTIAN','HIGIENE Y SALUD COMUNITARIA','6to','MASCULINO','ACTIVO','',0,0,'','ALUMNO');</v>
      </c>
    </row>
    <row r="6" spans="1:12" x14ac:dyDescent="0.35">
      <c r="A6">
        <v>3004</v>
      </c>
      <c r="B6" s="1" t="s">
        <v>185</v>
      </c>
      <c r="C6" s="1" t="s">
        <v>190</v>
      </c>
      <c r="D6" s="1" t="s">
        <v>587</v>
      </c>
      <c r="E6" s="6" t="s">
        <v>174</v>
      </c>
      <c r="F6" s="1" t="s">
        <v>986</v>
      </c>
      <c r="G6" s="1" t="s">
        <v>1382</v>
      </c>
      <c r="H6" s="1" t="s">
        <v>1391</v>
      </c>
      <c r="I6" s="1" t="s">
        <v>1394</v>
      </c>
      <c r="J6" s="1" t="s">
        <v>1396</v>
      </c>
      <c r="K6" s="6" t="str">
        <f t="shared" si="0"/>
        <v>3004,'BACHILLERATO','aurayuliana.suarezcaballero','007958','TOMAR DEL SND','SUAREZ CABALLERO AURA YULIANA','ADMINISTRACIÓN','6to','FEMENINO','ACTIVO','',0,0,'','ALUMNO'</v>
      </c>
      <c r="L6" s="6" t="str">
        <f t="shared" si="1"/>
        <v>INSERT INTO participantes (id,nivel,correo,matricula,clave,nombre,carrera,grado,sexo,situacion,evaluados,num_evaluados,total_evaluaciones,ultimo_acceso,nivel_acceso) VALUES (3004,'BACHILLERATO','aurayuliana.suarezcaballero','007958','TOMAR DEL SND','SUAREZ CABALLERO AURA YULIANA','ADMINISTRACIÓN','6to','FEMENINO','ACTIVO','',0,0,'','ALUMNO');</v>
      </c>
    </row>
    <row r="7" spans="1:12" x14ac:dyDescent="0.35">
      <c r="A7">
        <v>3005</v>
      </c>
      <c r="B7" s="1" t="s">
        <v>185</v>
      </c>
      <c r="C7" s="1" t="s">
        <v>191</v>
      </c>
      <c r="D7" s="1" t="s">
        <v>588</v>
      </c>
      <c r="E7" s="6" t="s">
        <v>174</v>
      </c>
      <c r="F7" s="1" t="s">
        <v>987</v>
      </c>
      <c r="G7" s="1" t="s">
        <v>1382</v>
      </c>
      <c r="H7" s="1" t="s">
        <v>1391</v>
      </c>
      <c r="I7" s="1" t="s">
        <v>1395</v>
      </c>
      <c r="J7" s="1" t="s">
        <v>1396</v>
      </c>
      <c r="K7" s="6" t="str">
        <f t="shared" si="0"/>
        <v>3005,'BACHILLERATO','carlossaid.carrenoarias','007959','TOMAR DEL SND','CARREÑO ARIAS CARLOS SAID','ADMINISTRACIÓN','6to','MASCULINO','ACTIVO','',0,0,'','ALUMNO'</v>
      </c>
      <c r="L7" s="6" t="str">
        <f t="shared" si="1"/>
        <v>INSERT INTO participantes (id,nivel,correo,matricula,clave,nombre,carrera,grado,sexo,situacion,evaluados,num_evaluados,total_evaluaciones,ultimo_acceso,nivel_acceso) VALUES (3005,'BACHILLERATO','carlossaid.carrenoarias','007959','TOMAR DEL SND','CARREÑO ARIAS CARLOS SAID','ADMINISTRACIÓN','6to','MASCULINO','ACTIVO','',0,0,'','ALUMNO');</v>
      </c>
    </row>
    <row r="8" spans="1:12" x14ac:dyDescent="0.35">
      <c r="A8">
        <v>3006</v>
      </c>
      <c r="B8" s="1" t="s">
        <v>185</v>
      </c>
      <c r="C8" s="1" t="s">
        <v>192</v>
      </c>
      <c r="D8" s="1" t="s">
        <v>589</v>
      </c>
      <c r="E8" s="6" t="s">
        <v>174</v>
      </c>
      <c r="F8" s="1" t="s">
        <v>988</v>
      </c>
      <c r="G8" s="1" t="s">
        <v>1382</v>
      </c>
      <c r="H8" s="1" t="s">
        <v>1391</v>
      </c>
      <c r="I8" s="1" t="s">
        <v>1394</v>
      </c>
      <c r="J8" s="1" t="s">
        <v>1396</v>
      </c>
      <c r="K8" s="6" t="str">
        <f t="shared" si="0"/>
        <v>3006,'BACHILLERATO','karlasofia.hernandez','007960','TOMAR DEL SND','HERNANDEZ  KARLA SOFIA','ADMINISTRACIÓN','6to','FEMENINO','ACTIVO','',0,0,'','ALUMNO'</v>
      </c>
      <c r="L8" s="6" t="str">
        <f t="shared" si="1"/>
        <v>INSERT INTO participantes (id,nivel,correo,matricula,clave,nombre,carrera,grado,sexo,situacion,evaluados,num_evaluados,total_evaluaciones,ultimo_acceso,nivel_acceso) VALUES (3006,'BACHILLERATO','karlasofia.hernandez','007960','TOMAR DEL SND','HERNANDEZ  KARLA SOFIA','ADMINISTRACIÓN','6to','FEMENINO','ACTIVO','',0,0,'','ALUMNO');</v>
      </c>
    </row>
    <row r="9" spans="1:12" x14ac:dyDescent="0.35">
      <c r="A9">
        <v>3007</v>
      </c>
      <c r="B9" s="1" t="s">
        <v>185</v>
      </c>
      <c r="C9" s="1" t="s">
        <v>193</v>
      </c>
      <c r="D9" s="1" t="s">
        <v>590</v>
      </c>
      <c r="E9" s="6" t="s">
        <v>174</v>
      </c>
      <c r="F9" s="1" t="s">
        <v>989</v>
      </c>
      <c r="G9" s="1" t="s">
        <v>1383</v>
      </c>
      <c r="H9" s="1" t="s">
        <v>1391</v>
      </c>
      <c r="I9" s="1" t="s">
        <v>1394</v>
      </c>
      <c r="J9" s="1" t="s">
        <v>1396</v>
      </c>
      <c r="K9" s="6" t="str">
        <f t="shared" si="0"/>
        <v>3007,'BACHILLERATO','blancajazmin.arellanosanchez','007961','TOMAR DEL SND','ARELLANO SANCHEZ BLANCA JAZMIN','HIGIENE Y SALUD COMUNITARIA','6to','FEMENINO','ACTIVO','',0,0,'','ALUMNO'</v>
      </c>
      <c r="L9" s="6" t="str">
        <f t="shared" si="1"/>
        <v>INSERT INTO participantes (id,nivel,correo,matricula,clave,nombre,carrera,grado,sexo,situacion,evaluados,num_evaluados,total_evaluaciones,ultimo_acceso,nivel_acceso) VALUES (3007,'BACHILLERATO','blancajazmin.arellanosanchez','007961','TOMAR DEL SND','ARELLANO SANCHEZ BLANCA JAZMIN','HIGIENE Y SALUD COMUNITARIA','6to','FEMENINO','ACTIVO','',0,0,'','ALUMNO');</v>
      </c>
    </row>
    <row r="10" spans="1:12" x14ac:dyDescent="0.35">
      <c r="A10">
        <v>3008</v>
      </c>
      <c r="B10" s="1" t="s">
        <v>185</v>
      </c>
      <c r="C10" s="1" t="s">
        <v>194</v>
      </c>
      <c r="D10" s="1" t="s">
        <v>591</v>
      </c>
      <c r="E10" s="6" t="s">
        <v>174</v>
      </c>
      <c r="F10" s="1" t="s">
        <v>990</v>
      </c>
      <c r="G10" s="1" t="s">
        <v>1384</v>
      </c>
      <c r="H10" s="1" t="s">
        <v>1391</v>
      </c>
      <c r="I10" s="1" t="s">
        <v>1394</v>
      </c>
      <c r="J10" s="1" t="s">
        <v>1396</v>
      </c>
      <c r="K10" s="6" t="str">
        <f t="shared" si="0"/>
        <v>3008,'BACHILLERATO','anna.gottschalkmercado','007962','TOMAR DEL SND','GOTTSCHALK MERCADO ANNA','ELECTRÓNICA','6to','FEMENINO','ACTIVO','',0,0,'','ALUMNO'</v>
      </c>
      <c r="L10" s="6" t="str">
        <f t="shared" si="1"/>
        <v>INSERT INTO participantes (id,nivel,correo,matricula,clave,nombre,carrera,grado,sexo,situacion,evaluados,num_evaluados,total_evaluaciones,ultimo_acceso,nivel_acceso) VALUES (3008,'BACHILLERATO','anna.gottschalkmercado','007962','TOMAR DEL SND','GOTTSCHALK MERCADO ANNA','ELECTRÓNICA','6to','FEMENINO','ACTIVO','',0,0,'','ALUMNO');</v>
      </c>
    </row>
    <row r="11" spans="1:12" x14ac:dyDescent="0.35">
      <c r="A11">
        <v>3009</v>
      </c>
      <c r="B11" s="1" t="s">
        <v>185</v>
      </c>
      <c r="C11" s="1" t="s">
        <v>195</v>
      </c>
      <c r="D11" s="1" t="s">
        <v>592</v>
      </c>
      <c r="E11" s="6" t="s">
        <v>174</v>
      </c>
      <c r="F11" s="1" t="s">
        <v>991</v>
      </c>
      <c r="G11" s="1" t="s">
        <v>1382</v>
      </c>
      <c r="H11" s="1" t="s">
        <v>1391</v>
      </c>
      <c r="I11" s="1" t="s">
        <v>1395</v>
      </c>
      <c r="J11" s="1" t="s">
        <v>1396</v>
      </c>
      <c r="K11" s="6" t="str">
        <f t="shared" si="0"/>
        <v>3009,'BACHILLERATO','franciscojavier.labastidasandoval','007963','TOMAR DEL SND','LABASTIDA SANDOVAL FRANCISCO JAVIER','ADMINISTRACIÓN','6to','MASCULINO','ACTIVO','',0,0,'','ALUMNO'</v>
      </c>
      <c r="L11" s="6" t="str">
        <f t="shared" si="1"/>
        <v>INSERT INTO participantes (id,nivel,correo,matricula,clave,nombre,carrera,grado,sexo,situacion,evaluados,num_evaluados,total_evaluaciones,ultimo_acceso,nivel_acceso) VALUES (3009,'BACHILLERATO','franciscojavier.labastidasandoval','007963','TOMAR DEL SND','LABASTIDA SANDOVAL FRANCISCO JAVIER','ADMINISTRACIÓN','6to','MASCULINO','ACTIVO','',0,0,'','ALUMNO');</v>
      </c>
    </row>
    <row r="12" spans="1:12" x14ac:dyDescent="0.35">
      <c r="A12">
        <v>3010</v>
      </c>
      <c r="B12" s="1" t="s">
        <v>185</v>
      </c>
      <c r="C12" s="1" t="s">
        <v>196</v>
      </c>
      <c r="D12" s="1" t="s">
        <v>593</v>
      </c>
      <c r="E12" s="6" t="s">
        <v>174</v>
      </c>
      <c r="F12" s="1" t="s">
        <v>992</v>
      </c>
      <c r="G12" s="1" t="s">
        <v>1382</v>
      </c>
      <c r="H12" s="1" t="s">
        <v>1391</v>
      </c>
      <c r="I12" s="1" t="s">
        <v>1394</v>
      </c>
      <c r="J12" s="1" t="s">
        <v>1396</v>
      </c>
      <c r="K12" s="6" t="str">
        <f t="shared" si="0"/>
        <v>3010,'BACHILLERATO','ximenamichel.rojobeltran','007964','TOMAR DEL SND','ROJO BELTRAN XIMENA MICHEL','ADMINISTRACIÓN','6to','FEMENINO','ACTIVO','',0,0,'','ALUMNO'</v>
      </c>
      <c r="L12" s="6" t="str">
        <f t="shared" si="1"/>
        <v>INSERT INTO participantes (id,nivel,correo,matricula,clave,nombre,carrera,grado,sexo,situacion,evaluados,num_evaluados,total_evaluaciones,ultimo_acceso,nivel_acceso) VALUES (3010,'BACHILLERATO','ximenamichel.rojobeltran','007964','TOMAR DEL SND','ROJO BELTRAN XIMENA MICHEL','ADMINISTRACIÓN','6to','FEMENINO','ACTIVO','',0,0,'','ALUMNO');</v>
      </c>
    </row>
    <row r="13" spans="1:12" x14ac:dyDescent="0.35">
      <c r="A13">
        <v>3011</v>
      </c>
      <c r="B13" s="1" t="s">
        <v>185</v>
      </c>
      <c r="C13" s="1" t="s">
        <v>197</v>
      </c>
      <c r="D13" s="1" t="s">
        <v>594</v>
      </c>
      <c r="E13" s="6" t="s">
        <v>174</v>
      </c>
      <c r="F13" s="1" t="s">
        <v>993</v>
      </c>
      <c r="G13" s="1" t="s">
        <v>1381</v>
      </c>
      <c r="H13" s="1" t="s">
        <v>1391</v>
      </c>
      <c r="I13" s="1" t="s">
        <v>1395</v>
      </c>
      <c r="J13" s="1" t="s">
        <v>1396</v>
      </c>
      <c r="K13" s="6" t="str">
        <f t="shared" si="0"/>
        <v>3011,'BACHILLERATO','jorgeemilio.arroyoceja','007965','TOMAR DEL SND','ARROYO CEJA JORGE EMILIO','DISEÑO GRÁFICO','6to','MASCULINO','ACTIVO','',0,0,'','ALUMNO'</v>
      </c>
      <c r="L13" s="6" t="str">
        <f t="shared" si="1"/>
        <v>INSERT INTO participantes (id,nivel,correo,matricula,clave,nombre,carrera,grado,sexo,situacion,evaluados,num_evaluados,total_evaluaciones,ultimo_acceso,nivel_acceso) VALUES (3011,'BACHILLERATO','jorgeemilio.arroyoceja','007965','TOMAR DEL SND','ARROYO CEJA JORGE EMILIO','DISEÑO GRÁFICO','6to','MASCULINO','ACTIVO','',0,0,'','ALUMNO');</v>
      </c>
    </row>
    <row r="14" spans="1:12" x14ac:dyDescent="0.35">
      <c r="A14">
        <v>3012</v>
      </c>
      <c r="B14" s="1" t="s">
        <v>185</v>
      </c>
      <c r="C14" s="1" t="s">
        <v>198</v>
      </c>
      <c r="D14" s="1" t="s">
        <v>595</v>
      </c>
      <c r="E14" s="6" t="s">
        <v>174</v>
      </c>
      <c r="F14" s="1" t="s">
        <v>994</v>
      </c>
      <c r="G14" s="1" t="s">
        <v>1382</v>
      </c>
      <c r="H14" s="1" t="s">
        <v>1391</v>
      </c>
      <c r="I14" s="1" t="s">
        <v>1395</v>
      </c>
      <c r="J14" s="1" t="s">
        <v>1396</v>
      </c>
      <c r="K14" s="6" t="str">
        <f t="shared" si="0"/>
        <v>3012,'BACHILLERATO','maurogonzalo.huertadiaz','007967','TOMAR DEL SND','HUERTA DIAZ MAURO GONZALO','ADMINISTRACIÓN','6to','MASCULINO','ACTIVO','',0,0,'','ALUMNO'</v>
      </c>
      <c r="L14" s="6" t="str">
        <f t="shared" si="1"/>
        <v>INSERT INTO participantes (id,nivel,correo,matricula,clave,nombre,carrera,grado,sexo,situacion,evaluados,num_evaluados,total_evaluaciones,ultimo_acceso,nivel_acceso) VALUES (3012,'BACHILLERATO','maurogonzalo.huertadiaz','007967','TOMAR DEL SND','HUERTA DIAZ MAURO GONZALO','ADMINISTRACIÓN','6to','MASCULINO','ACTIVO','',0,0,'','ALUMNO');</v>
      </c>
    </row>
    <row r="15" spans="1:12" x14ac:dyDescent="0.35">
      <c r="A15">
        <v>3013</v>
      </c>
      <c r="B15" s="1" t="s">
        <v>185</v>
      </c>
      <c r="C15" s="1" t="s">
        <v>199</v>
      </c>
      <c r="D15" s="1" t="s">
        <v>596</v>
      </c>
      <c r="E15" s="6" t="s">
        <v>174</v>
      </c>
      <c r="F15" s="1" t="s">
        <v>995</v>
      </c>
      <c r="G15" s="1" t="s">
        <v>1382</v>
      </c>
      <c r="H15" s="1" t="s">
        <v>1391</v>
      </c>
      <c r="I15" s="1" t="s">
        <v>1395</v>
      </c>
      <c r="J15" s="1" t="s">
        <v>1396</v>
      </c>
      <c r="K15" s="6" t="str">
        <f t="shared" si="0"/>
        <v>3013,'BACHILLERATO','fernandoantonio.cejamanzano','007968','TOMAR DEL SND','CEJA MANZANO FERNANDO ANTONIO','ADMINISTRACIÓN','6to','MASCULINO','ACTIVO','',0,0,'','ALUMNO'</v>
      </c>
      <c r="L15" s="6" t="str">
        <f t="shared" si="1"/>
        <v>INSERT INTO participantes (id,nivel,correo,matricula,clave,nombre,carrera,grado,sexo,situacion,evaluados,num_evaluados,total_evaluaciones,ultimo_acceso,nivel_acceso) VALUES (3013,'BACHILLERATO','fernandoantonio.cejamanzano','007968','TOMAR DEL SND','CEJA MANZANO FERNANDO ANTONIO','ADMINISTRACIÓN','6to','MASCULINO','ACTIVO','',0,0,'','ALUMNO');</v>
      </c>
    </row>
    <row r="16" spans="1:12" x14ac:dyDescent="0.35">
      <c r="A16">
        <v>3014</v>
      </c>
      <c r="B16" s="1" t="s">
        <v>185</v>
      </c>
      <c r="C16" s="1" t="s">
        <v>200</v>
      </c>
      <c r="D16" s="1" t="s">
        <v>597</v>
      </c>
      <c r="E16" s="6" t="s">
        <v>174</v>
      </c>
      <c r="F16" s="1" t="s">
        <v>996</v>
      </c>
      <c r="G16" s="1" t="s">
        <v>1381</v>
      </c>
      <c r="H16" s="1" t="s">
        <v>1391</v>
      </c>
      <c r="I16" s="1" t="s">
        <v>1394</v>
      </c>
      <c r="J16" s="1" t="s">
        <v>1396</v>
      </c>
      <c r="K16" s="6" t="str">
        <f t="shared" si="0"/>
        <v>3014,'BACHILLERATO','saraabigail.arellanoestrada','007969','TOMAR DEL SND','ARELLANO ESTRADA SARA ABIGAIL','DISEÑO GRÁFICO','6to','FEMENINO','ACTIVO','',0,0,'','ALUMNO'</v>
      </c>
      <c r="L16" s="6" t="str">
        <f t="shared" si="1"/>
        <v>INSERT INTO participantes (id,nivel,correo,matricula,clave,nombre,carrera,grado,sexo,situacion,evaluados,num_evaluados,total_evaluaciones,ultimo_acceso,nivel_acceso) VALUES (3014,'BACHILLERATO','saraabigail.arellanoestrada','007969','TOMAR DEL SND','ARELLANO ESTRADA SARA ABIGAIL','DISEÑO GRÁFICO','6to','FEMENINO','ACTIVO','',0,0,'','ALUMNO');</v>
      </c>
    </row>
    <row r="17" spans="1:12" x14ac:dyDescent="0.35">
      <c r="A17">
        <v>3015</v>
      </c>
      <c r="B17" s="1" t="s">
        <v>185</v>
      </c>
      <c r="C17" s="1" t="s">
        <v>201</v>
      </c>
      <c r="D17" s="1" t="s">
        <v>598</v>
      </c>
      <c r="E17" s="6" t="s">
        <v>174</v>
      </c>
      <c r="F17" s="1" t="s">
        <v>997</v>
      </c>
      <c r="G17" s="1" t="s">
        <v>1383</v>
      </c>
      <c r="H17" s="1" t="s">
        <v>1391</v>
      </c>
      <c r="I17" s="1" t="s">
        <v>1394</v>
      </c>
      <c r="J17" s="1" t="s">
        <v>1396</v>
      </c>
      <c r="K17" s="6" t="str">
        <f t="shared" si="0"/>
        <v>3015,'BACHILLERATO','paolaelizabeth.vicunajuarez','007970','TOMAR DEL SND','VICUÑA JUAREZ PAOLA ELIZABETH','HIGIENE Y SALUD COMUNITARIA','6to','FEMENINO','ACTIVO','',0,0,'','ALUMNO'</v>
      </c>
      <c r="L17" s="6" t="str">
        <f t="shared" si="1"/>
        <v>INSERT INTO participantes (id,nivel,correo,matricula,clave,nombre,carrera,grado,sexo,situacion,evaluados,num_evaluados,total_evaluaciones,ultimo_acceso,nivel_acceso) VALUES (3015,'BACHILLERATO','paolaelizabeth.vicunajuarez','007970','TOMAR DEL SND','VICUÑA JUAREZ PAOLA ELIZABETH','HIGIENE Y SALUD COMUNITARIA','6to','FEMENINO','ACTIVO','',0,0,'','ALUMNO');</v>
      </c>
    </row>
    <row r="18" spans="1:12" x14ac:dyDescent="0.35">
      <c r="A18">
        <v>3016</v>
      </c>
      <c r="B18" s="1" t="s">
        <v>185</v>
      </c>
      <c r="C18" s="1" t="s">
        <v>202</v>
      </c>
      <c r="D18" s="1" t="s">
        <v>599</v>
      </c>
      <c r="E18" s="6" t="s">
        <v>174</v>
      </c>
      <c r="F18" s="1" t="s">
        <v>998</v>
      </c>
      <c r="G18" s="1" t="s">
        <v>1383</v>
      </c>
      <c r="H18" s="1" t="s">
        <v>1391</v>
      </c>
      <c r="I18" s="1" t="s">
        <v>1394</v>
      </c>
      <c r="J18" s="1" t="s">
        <v>1396</v>
      </c>
      <c r="K18" s="6" t="str">
        <f t="shared" si="0"/>
        <v>3016,'BACHILLERATO','luisa.rangelramirezgamiz','007971','TOMAR DEL SND','RANGEL RAMIREZ GAMIZ LUISA','HIGIENE Y SALUD COMUNITARIA','6to','FEMENINO','ACTIVO','',0,0,'','ALUMNO'</v>
      </c>
      <c r="L18" s="6" t="str">
        <f t="shared" si="1"/>
        <v>INSERT INTO participantes (id,nivel,correo,matricula,clave,nombre,carrera,grado,sexo,situacion,evaluados,num_evaluados,total_evaluaciones,ultimo_acceso,nivel_acceso) VALUES (3016,'BACHILLERATO','luisa.rangelramirezgamiz','007971','TOMAR DEL SND','RANGEL RAMIREZ GAMIZ LUISA','HIGIENE Y SALUD COMUNITARIA','6to','FEMENINO','ACTIVO','',0,0,'','ALUMNO');</v>
      </c>
    </row>
    <row r="19" spans="1:12" x14ac:dyDescent="0.35">
      <c r="A19">
        <v>3017</v>
      </c>
      <c r="B19" s="1" t="s">
        <v>185</v>
      </c>
      <c r="C19" s="1" t="s">
        <v>203</v>
      </c>
      <c r="D19" s="1" t="s">
        <v>600</v>
      </c>
      <c r="E19" s="6" t="s">
        <v>174</v>
      </c>
      <c r="F19" s="1" t="s">
        <v>999</v>
      </c>
      <c r="G19" s="1" t="s">
        <v>1382</v>
      </c>
      <c r="H19" s="1" t="s">
        <v>1391</v>
      </c>
      <c r="I19" s="1" t="s">
        <v>1394</v>
      </c>
      <c r="J19" s="1" t="s">
        <v>1396</v>
      </c>
      <c r="K19" s="6" t="str">
        <f t="shared" si="0"/>
        <v>3017,'BACHILLERATO','anapaola.romeroarceo','007973','TOMAR DEL SND','ROMERO ARCEO ANA PAOLA','ADMINISTRACIÓN','6to','FEMENINO','ACTIVO','',0,0,'','ALUMNO'</v>
      </c>
      <c r="L19" s="6" t="str">
        <f t="shared" si="1"/>
        <v>INSERT INTO participantes (id,nivel,correo,matricula,clave,nombre,carrera,grado,sexo,situacion,evaluados,num_evaluados,total_evaluaciones,ultimo_acceso,nivel_acceso) VALUES (3017,'BACHILLERATO','anapaola.romeroarceo','007973','TOMAR DEL SND','ROMERO ARCEO ANA PAOLA','ADMINISTRACIÓN','6to','FEMENINO','ACTIVO','',0,0,'','ALUMNO');</v>
      </c>
    </row>
    <row r="20" spans="1:12" x14ac:dyDescent="0.35">
      <c r="A20">
        <v>3018</v>
      </c>
      <c r="B20" s="1" t="s">
        <v>185</v>
      </c>
      <c r="C20" s="1" t="s">
        <v>204</v>
      </c>
      <c r="D20" s="1" t="s">
        <v>601</v>
      </c>
      <c r="E20" s="6" t="s">
        <v>174</v>
      </c>
      <c r="F20" s="1" t="s">
        <v>1000</v>
      </c>
      <c r="G20" s="1" t="s">
        <v>1385</v>
      </c>
      <c r="H20" s="1" t="s">
        <v>1391</v>
      </c>
      <c r="I20" s="1" t="s">
        <v>1394</v>
      </c>
      <c r="J20" s="1" t="s">
        <v>1396</v>
      </c>
      <c r="K20" s="6" t="str">
        <f t="shared" si="0"/>
        <v>3018,'BACHILLERATO','sabrina.morasanchez','007974','TOMAR DEL SND','MORA SANCHEZ SABRINA','COMUNICACIÓN','6to','FEMENINO','ACTIVO','',0,0,'','ALUMNO'</v>
      </c>
      <c r="L20" s="6" t="str">
        <f t="shared" si="1"/>
        <v>INSERT INTO participantes (id,nivel,correo,matricula,clave,nombre,carrera,grado,sexo,situacion,evaluados,num_evaluados,total_evaluaciones,ultimo_acceso,nivel_acceso) VALUES (3018,'BACHILLERATO','sabrina.morasanchez','007974','TOMAR DEL SND','MORA SANCHEZ SABRINA','COMUNICACIÓN','6to','FEMENINO','ACTIVO','',0,0,'','ALUMNO');</v>
      </c>
    </row>
    <row r="21" spans="1:12" x14ac:dyDescent="0.35">
      <c r="A21">
        <v>3019</v>
      </c>
      <c r="B21" s="1" t="s">
        <v>185</v>
      </c>
      <c r="C21" s="1" t="s">
        <v>205</v>
      </c>
      <c r="D21" s="1" t="s">
        <v>602</v>
      </c>
      <c r="E21" s="6" t="s">
        <v>174</v>
      </c>
      <c r="F21" s="1" t="s">
        <v>1001</v>
      </c>
      <c r="G21" s="1" t="s">
        <v>1382</v>
      </c>
      <c r="H21" s="1" t="s">
        <v>1391</v>
      </c>
      <c r="I21" s="1" t="s">
        <v>1395</v>
      </c>
      <c r="J21" s="1" t="s">
        <v>1396</v>
      </c>
      <c r="K21" s="6" t="str">
        <f t="shared" si="0"/>
        <v>3019,'BACHILLERATO','aldoalfredo.plascenciamadrid','007975','TOMAR DEL SND','PLASCENCIA MADRID ALDO ALFREDO','ADMINISTRACIÓN','6to','MASCULINO','ACTIVO','',0,0,'','ALUMNO'</v>
      </c>
      <c r="L21" s="6" t="str">
        <f t="shared" si="1"/>
        <v>INSERT INTO participantes (id,nivel,correo,matricula,clave,nombre,carrera,grado,sexo,situacion,evaluados,num_evaluados,total_evaluaciones,ultimo_acceso,nivel_acceso) VALUES (3019,'BACHILLERATO','aldoalfredo.plascenciamadrid','007975','TOMAR DEL SND','PLASCENCIA MADRID ALDO ALFREDO','ADMINISTRACIÓN','6to','MASCULINO','ACTIVO','',0,0,'','ALUMNO');</v>
      </c>
    </row>
    <row r="22" spans="1:12" x14ac:dyDescent="0.35">
      <c r="A22">
        <v>3020</v>
      </c>
      <c r="B22" s="1" t="s">
        <v>185</v>
      </c>
      <c r="C22" s="1" t="s">
        <v>206</v>
      </c>
      <c r="D22" s="1" t="s">
        <v>603</v>
      </c>
      <c r="E22" s="6" t="s">
        <v>174</v>
      </c>
      <c r="F22" s="1" t="s">
        <v>1002</v>
      </c>
      <c r="G22" s="1" t="s">
        <v>1381</v>
      </c>
      <c r="H22" s="1" t="s">
        <v>1391</v>
      </c>
      <c r="I22" s="1" t="s">
        <v>1394</v>
      </c>
      <c r="J22" s="1" t="s">
        <v>1396</v>
      </c>
      <c r="K22" s="6" t="str">
        <f t="shared" si="0"/>
        <v>3020,'BACHILLERATO','danavaleria.vallegarcia','007976','TOMAR DEL SND','VALLE GARCIA DANA VALERIA','DISEÑO GRÁFICO','6to','FEMENINO','ACTIVO','',0,0,'','ALUMNO'</v>
      </c>
      <c r="L22" s="6" t="str">
        <f t="shared" si="1"/>
        <v>INSERT INTO participantes (id,nivel,correo,matricula,clave,nombre,carrera,grado,sexo,situacion,evaluados,num_evaluados,total_evaluaciones,ultimo_acceso,nivel_acceso) VALUES (3020,'BACHILLERATO','danavaleria.vallegarcia','007976','TOMAR DEL SND','VALLE GARCIA DANA VALERIA','DISEÑO GRÁFICO','6to','FEMENINO','ACTIVO','',0,0,'','ALUMNO');</v>
      </c>
    </row>
    <row r="23" spans="1:12" x14ac:dyDescent="0.35">
      <c r="A23">
        <v>3021</v>
      </c>
      <c r="B23" s="1" t="s">
        <v>185</v>
      </c>
      <c r="C23" s="1" t="s">
        <v>207</v>
      </c>
      <c r="D23" s="1" t="s">
        <v>604</v>
      </c>
      <c r="E23" s="6" t="s">
        <v>174</v>
      </c>
      <c r="F23" s="1" t="s">
        <v>1003</v>
      </c>
      <c r="G23" s="1" t="s">
        <v>1383</v>
      </c>
      <c r="H23" s="1" t="s">
        <v>1391</v>
      </c>
      <c r="I23" s="1" t="s">
        <v>1394</v>
      </c>
      <c r="J23" s="1" t="s">
        <v>1396</v>
      </c>
      <c r="K23" s="6" t="str">
        <f t="shared" si="0"/>
        <v>3021,'BACHILLERATO','sofiasarahi.lopezgutierrez','007977','TOMAR DEL SND','LOPEZ GUTIERREZ SOFIA SARAHI','HIGIENE Y SALUD COMUNITARIA','6to','FEMENINO','ACTIVO','',0,0,'','ALUMNO'</v>
      </c>
      <c r="L23" s="6" t="str">
        <f t="shared" si="1"/>
        <v>INSERT INTO participantes (id,nivel,correo,matricula,clave,nombre,carrera,grado,sexo,situacion,evaluados,num_evaluados,total_evaluaciones,ultimo_acceso,nivel_acceso) VALUES (3021,'BACHILLERATO','sofiasarahi.lopezgutierrez','007977','TOMAR DEL SND','LOPEZ GUTIERREZ SOFIA SARAHI','HIGIENE Y SALUD COMUNITARIA','6to','FEMENINO','ACTIVO','',0,0,'','ALUMNO');</v>
      </c>
    </row>
    <row r="24" spans="1:12" x14ac:dyDescent="0.35">
      <c r="A24">
        <v>3022</v>
      </c>
      <c r="B24" s="1" t="s">
        <v>185</v>
      </c>
      <c r="C24" s="1" t="s">
        <v>208</v>
      </c>
      <c r="D24" s="1" t="s">
        <v>605</v>
      </c>
      <c r="E24" s="6" t="s">
        <v>174</v>
      </c>
      <c r="F24" s="1" t="s">
        <v>1004</v>
      </c>
      <c r="G24" s="1" t="s">
        <v>1382</v>
      </c>
      <c r="H24" s="1" t="s">
        <v>1391</v>
      </c>
      <c r="I24" s="1" t="s">
        <v>1394</v>
      </c>
      <c r="J24" s="1" t="s">
        <v>1396</v>
      </c>
      <c r="K24" s="6" t="str">
        <f t="shared" si="0"/>
        <v>3022,'BACHILLERATO','michelle.lopezplasencia','007978','TOMAR DEL SND','LOPEZ PLASENCIA MICHELLE','ADMINISTRACIÓN','6to','FEMENINO','ACTIVO','',0,0,'','ALUMNO'</v>
      </c>
      <c r="L24" s="6" t="str">
        <f t="shared" si="1"/>
        <v>INSERT INTO participantes (id,nivel,correo,matricula,clave,nombre,carrera,grado,sexo,situacion,evaluados,num_evaluados,total_evaluaciones,ultimo_acceso,nivel_acceso) VALUES (3022,'BACHILLERATO','michelle.lopezplasencia','007978','TOMAR DEL SND','LOPEZ PLASENCIA MICHELLE','ADMINISTRACIÓN','6to','FEMENINO','ACTIVO','',0,0,'','ALUMNO');</v>
      </c>
    </row>
    <row r="25" spans="1:12" x14ac:dyDescent="0.35">
      <c r="A25">
        <v>3023</v>
      </c>
      <c r="B25" s="1" t="s">
        <v>185</v>
      </c>
      <c r="C25" s="1" t="s">
        <v>209</v>
      </c>
      <c r="D25" s="1" t="s">
        <v>606</v>
      </c>
      <c r="E25" s="6" t="s">
        <v>174</v>
      </c>
      <c r="F25" s="1" t="s">
        <v>1005</v>
      </c>
      <c r="G25" s="1" t="s">
        <v>1382</v>
      </c>
      <c r="H25" s="1" t="s">
        <v>1391</v>
      </c>
      <c r="I25" s="1" t="s">
        <v>1394</v>
      </c>
      <c r="J25" s="1" t="s">
        <v>1396</v>
      </c>
      <c r="K25" s="6" t="str">
        <f t="shared" si="0"/>
        <v>3023,'BACHILLERATO','valentina.lopezplasencia','007979','TOMAR DEL SND','LOPEZ PLASENCIA VALENTINA','ADMINISTRACIÓN','6to','FEMENINO','ACTIVO','',0,0,'','ALUMNO'</v>
      </c>
      <c r="L25" s="6" t="str">
        <f t="shared" si="1"/>
        <v>INSERT INTO participantes (id,nivel,correo,matricula,clave,nombre,carrera,grado,sexo,situacion,evaluados,num_evaluados,total_evaluaciones,ultimo_acceso,nivel_acceso) VALUES (3023,'BACHILLERATO','valentina.lopezplasencia','007979','TOMAR DEL SND','LOPEZ PLASENCIA VALENTINA','ADMINISTRACIÓN','6to','FEMENINO','ACTIVO','',0,0,'','ALUMNO');</v>
      </c>
    </row>
    <row r="26" spans="1:12" x14ac:dyDescent="0.35">
      <c r="A26">
        <v>3024</v>
      </c>
      <c r="B26" s="1" t="s">
        <v>185</v>
      </c>
      <c r="C26" s="1" t="s">
        <v>210</v>
      </c>
      <c r="D26" s="1" t="s">
        <v>607</v>
      </c>
      <c r="E26" s="6" t="s">
        <v>174</v>
      </c>
      <c r="F26" s="1" t="s">
        <v>1006</v>
      </c>
      <c r="G26" s="1" t="s">
        <v>1382</v>
      </c>
      <c r="H26" s="1" t="s">
        <v>1391</v>
      </c>
      <c r="I26" s="1" t="s">
        <v>1395</v>
      </c>
      <c r="J26" s="1" t="s">
        <v>1396</v>
      </c>
      <c r="K26" s="6" t="str">
        <f t="shared" si="0"/>
        <v>3024,'BACHILLERATO','isaac.santiagovalenzuela','007980','TOMAR DEL SND','SANTIAGO VALENZUELA ISAAC','ADMINISTRACIÓN','6to','MASCULINO','ACTIVO','',0,0,'','ALUMNO'</v>
      </c>
      <c r="L26" s="6" t="str">
        <f t="shared" si="1"/>
        <v>INSERT INTO participantes (id,nivel,correo,matricula,clave,nombre,carrera,grado,sexo,situacion,evaluados,num_evaluados,total_evaluaciones,ultimo_acceso,nivel_acceso) VALUES (3024,'BACHILLERATO','isaac.santiagovalenzuela','007980','TOMAR DEL SND','SANTIAGO VALENZUELA ISAAC','ADMINISTRACIÓN','6to','MASCULINO','ACTIVO','',0,0,'','ALUMNO');</v>
      </c>
    </row>
    <row r="27" spans="1:12" x14ac:dyDescent="0.35">
      <c r="A27">
        <v>3025</v>
      </c>
      <c r="B27" s="1" t="s">
        <v>185</v>
      </c>
      <c r="C27" s="1" t="s">
        <v>211</v>
      </c>
      <c r="D27" s="1" t="s">
        <v>608</v>
      </c>
      <c r="E27" s="6" t="s">
        <v>174</v>
      </c>
      <c r="F27" s="1" t="s">
        <v>1007</v>
      </c>
      <c r="G27" s="1" t="s">
        <v>1382</v>
      </c>
      <c r="H27" s="1" t="s">
        <v>1391</v>
      </c>
      <c r="I27" s="1" t="s">
        <v>1395</v>
      </c>
      <c r="J27" s="1" t="s">
        <v>1396</v>
      </c>
      <c r="K27" s="6" t="str">
        <f t="shared" si="0"/>
        <v>3025,'BACHILLERATO','emiliano.aguirresolis','007983','TOMAR DEL SND','AGUIRRE SOLIS EMILIANO','ADMINISTRACIÓN','6to','MASCULINO','ACTIVO','',0,0,'','ALUMNO'</v>
      </c>
      <c r="L27" s="6" t="str">
        <f t="shared" si="1"/>
        <v>INSERT INTO participantes (id,nivel,correo,matricula,clave,nombre,carrera,grado,sexo,situacion,evaluados,num_evaluados,total_evaluaciones,ultimo_acceso,nivel_acceso) VALUES (3025,'BACHILLERATO','emiliano.aguirresolis','007983','TOMAR DEL SND','AGUIRRE SOLIS EMILIANO','ADMINISTRACIÓN','6to','MASCULINO','ACTIVO','',0,0,'','ALUMNO');</v>
      </c>
    </row>
    <row r="28" spans="1:12" x14ac:dyDescent="0.35">
      <c r="A28">
        <v>3026</v>
      </c>
      <c r="B28" s="1" t="s">
        <v>185</v>
      </c>
      <c r="C28" s="1" t="s">
        <v>212</v>
      </c>
      <c r="D28" s="1" t="s">
        <v>609</v>
      </c>
      <c r="E28" s="6" t="s">
        <v>174</v>
      </c>
      <c r="F28" s="1" t="s">
        <v>1008</v>
      </c>
      <c r="G28" s="1" t="s">
        <v>1382</v>
      </c>
      <c r="H28" s="1" t="s">
        <v>1391</v>
      </c>
      <c r="I28" s="1" t="s">
        <v>1395</v>
      </c>
      <c r="J28" s="1" t="s">
        <v>1396</v>
      </c>
      <c r="K28" s="6" t="str">
        <f t="shared" si="0"/>
        <v>3026,'BACHILLERATO','diego.lopezdominguez','007984','TOMAR DEL SND','LOPEZ DOMINGUEZ DIEGO','ADMINISTRACIÓN','6to','MASCULINO','ACTIVO','',0,0,'','ALUMNO'</v>
      </c>
      <c r="L28" s="6" t="str">
        <f t="shared" si="1"/>
        <v>INSERT INTO participantes (id,nivel,correo,matricula,clave,nombre,carrera,grado,sexo,situacion,evaluados,num_evaluados,total_evaluaciones,ultimo_acceso,nivel_acceso) VALUES (3026,'BACHILLERATO','diego.lopezdominguez','007984','TOMAR DEL SND','LOPEZ DOMINGUEZ DIEGO','ADMINISTRACIÓN','6to','MASCULINO','ACTIVO','',0,0,'','ALUMNO');</v>
      </c>
    </row>
    <row r="29" spans="1:12" x14ac:dyDescent="0.35">
      <c r="A29">
        <v>3027</v>
      </c>
      <c r="B29" s="1" t="s">
        <v>185</v>
      </c>
      <c r="C29" s="1" t="s">
        <v>213</v>
      </c>
      <c r="D29" s="1" t="s">
        <v>610</v>
      </c>
      <c r="E29" s="6" t="s">
        <v>174</v>
      </c>
      <c r="F29" s="1" t="s">
        <v>1009</v>
      </c>
      <c r="G29" s="1" t="s">
        <v>1382</v>
      </c>
      <c r="H29" s="1" t="s">
        <v>1391</v>
      </c>
      <c r="I29" s="1" t="s">
        <v>1395</v>
      </c>
      <c r="J29" s="1" t="s">
        <v>1396</v>
      </c>
      <c r="K29" s="6" t="str">
        <f t="shared" si="0"/>
        <v>3027,'BACHILLERATO','diegoemilio.ramirezhernandez','007985','TOMAR DEL SND','RAMIREZ HERNANDEZ DIEGO EMILIO','ADMINISTRACIÓN','6to','MASCULINO','ACTIVO','',0,0,'','ALUMNO'</v>
      </c>
      <c r="L29" s="6" t="str">
        <f t="shared" si="1"/>
        <v>INSERT INTO participantes (id,nivel,correo,matricula,clave,nombre,carrera,grado,sexo,situacion,evaluados,num_evaluados,total_evaluaciones,ultimo_acceso,nivel_acceso) VALUES (3027,'BACHILLERATO','diegoemilio.ramirezhernandez','007985','TOMAR DEL SND','RAMIREZ HERNANDEZ DIEGO EMILIO','ADMINISTRACIÓN','6to','MASCULINO','ACTIVO','',0,0,'','ALUMNO');</v>
      </c>
    </row>
    <row r="30" spans="1:12" x14ac:dyDescent="0.35">
      <c r="A30">
        <v>3028</v>
      </c>
      <c r="B30" s="1" t="s">
        <v>185</v>
      </c>
      <c r="C30" s="1" t="s">
        <v>214</v>
      </c>
      <c r="D30" s="1" t="s">
        <v>611</v>
      </c>
      <c r="E30" s="6" t="s">
        <v>174</v>
      </c>
      <c r="F30" s="1" t="s">
        <v>1010</v>
      </c>
      <c r="G30" s="1" t="s">
        <v>1382</v>
      </c>
      <c r="H30" s="1" t="s">
        <v>1391</v>
      </c>
      <c r="I30" s="1" t="s">
        <v>1394</v>
      </c>
      <c r="J30" s="1" t="s">
        <v>1396</v>
      </c>
      <c r="K30" s="6" t="str">
        <f t="shared" si="0"/>
        <v>3028,'BACHILLERATO','lucia.mezagodoy','007986','TOMAR DEL SND','MEZA GODOY LUCIA','ADMINISTRACIÓN','6to','FEMENINO','ACTIVO','',0,0,'','ALUMNO'</v>
      </c>
      <c r="L30" s="6" t="str">
        <f t="shared" si="1"/>
        <v>INSERT INTO participantes (id,nivel,correo,matricula,clave,nombre,carrera,grado,sexo,situacion,evaluados,num_evaluados,total_evaluaciones,ultimo_acceso,nivel_acceso) VALUES (3028,'BACHILLERATO','lucia.mezagodoy','007986','TOMAR DEL SND','MEZA GODOY LUCIA','ADMINISTRACIÓN','6to','FEMENINO','ACTIVO','',0,0,'','ALUMNO');</v>
      </c>
    </row>
    <row r="31" spans="1:12" x14ac:dyDescent="0.35">
      <c r="A31">
        <v>3029</v>
      </c>
      <c r="B31" s="1" t="s">
        <v>185</v>
      </c>
      <c r="C31" s="1" t="s">
        <v>215</v>
      </c>
      <c r="D31" s="1" t="s">
        <v>612</v>
      </c>
      <c r="E31" s="6" t="s">
        <v>174</v>
      </c>
      <c r="F31" s="1" t="s">
        <v>1011</v>
      </c>
      <c r="G31" s="1" t="s">
        <v>1381</v>
      </c>
      <c r="H31" s="1" t="s">
        <v>1391</v>
      </c>
      <c r="I31" s="1" t="s">
        <v>1394</v>
      </c>
      <c r="J31" s="1" t="s">
        <v>1396</v>
      </c>
      <c r="K31" s="6" t="str">
        <f t="shared" si="0"/>
        <v>3029,'BACHILLERATO','malena.mezagodoy','007987','TOMAR DEL SND','MEZA GODOY MALENA','DISEÑO GRÁFICO','6to','FEMENINO','ACTIVO','',0,0,'','ALUMNO'</v>
      </c>
      <c r="L31" s="6" t="str">
        <f t="shared" si="1"/>
        <v>INSERT INTO participantes (id,nivel,correo,matricula,clave,nombre,carrera,grado,sexo,situacion,evaluados,num_evaluados,total_evaluaciones,ultimo_acceso,nivel_acceso) VALUES (3029,'BACHILLERATO','malena.mezagodoy','007987','TOMAR DEL SND','MEZA GODOY MALENA','DISEÑO GRÁFICO','6to','FEMENINO','ACTIVO','',0,0,'','ALUMNO');</v>
      </c>
    </row>
    <row r="32" spans="1:12" x14ac:dyDescent="0.35">
      <c r="A32">
        <v>3030</v>
      </c>
      <c r="B32" s="1" t="s">
        <v>185</v>
      </c>
      <c r="C32" s="1" t="s">
        <v>216</v>
      </c>
      <c r="D32" s="1" t="s">
        <v>613</v>
      </c>
      <c r="E32" s="6" t="s">
        <v>174</v>
      </c>
      <c r="F32" s="1" t="s">
        <v>1012</v>
      </c>
      <c r="G32" s="1" t="s">
        <v>1382</v>
      </c>
      <c r="H32" s="1" t="s">
        <v>1391</v>
      </c>
      <c r="I32" s="1" t="s">
        <v>1394</v>
      </c>
      <c r="J32" s="1" t="s">
        <v>1396</v>
      </c>
      <c r="K32" s="6" t="str">
        <f t="shared" si="0"/>
        <v>3030,'BACHILLERATO','andreamichelle.oregelmora','007988','TOMAR DEL SND','OREGEL MORA ANDREA MICHELLE','ADMINISTRACIÓN','6to','FEMENINO','ACTIVO','',0,0,'','ALUMNO'</v>
      </c>
      <c r="L32" s="6" t="str">
        <f t="shared" si="1"/>
        <v>INSERT INTO participantes (id,nivel,correo,matricula,clave,nombre,carrera,grado,sexo,situacion,evaluados,num_evaluados,total_evaluaciones,ultimo_acceso,nivel_acceso) VALUES (3030,'BACHILLERATO','andreamichelle.oregelmora','007988','TOMAR DEL SND','OREGEL MORA ANDREA MICHELLE','ADMINISTRACIÓN','6to','FEMENINO','ACTIVO','',0,0,'','ALUMNO');</v>
      </c>
    </row>
    <row r="33" spans="1:12" x14ac:dyDescent="0.35">
      <c r="A33">
        <v>3031</v>
      </c>
      <c r="B33" s="1" t="s">
        <v>185</v>
      </c>
      <c r="C33" s="1" t="s">
        <v>217</v>
      </c>
      <c r="D33" s="1" t="s">
        <v>614</v>
      </c>
      <c r="E33" s="6" t="s">
        <v>174</v>
      </c>
      <c r="F33" s="1" t="s">
        <v>1013</v>
      </c>
      <c r="G33" s="1" t="s">
        <v>1382</v>
      </c>
      <c r="H33" s="1" t="s">
        <v>1391</v>
      </c>
      <c r="I33" s="1" t="s">
        <v>1395</v>
      </c>
      <c r="J33" s="1" t="s">
        <v>1396</v>
      </c>
      <c r="K33" s="6" t="str">
        <f t="shared" si="0"/>
        <v>3031,'BACHILLERATO','cristianyael.vazquezperez','007989','TOMAR DEL SND','VAZQUEZ PEREZ CRISTIAN YAEL','ADMINISTRACIÓN','6to','MASCULINO','ACTIVO','',0,0,'','ALUMNO'</v>
      </c>
      <c r="L33" s="6" t="str">
        <f t="shared" si="1"/>
        <v>INSERT INTO participantes (id,nivel,correo,matricula,clave,nombre,carrera,grado,sexo,situacion,evaluados,num_evaluados,total_evaluaciones,ultimo_acceso,nivel_acceso) VALUES (3031,'BACHILLERATO','cristianyael.vazquezperez','007989','TOMAR DEL SND','VAZQUEZ PEREZ CRISTIAN YAEL','ADMINISTRACIÓN','6to','MASCULINO','ACTIVO','',0,0,'','ALUMNO');</v>
      </c>
    </row>
    <row r="34" spans="1:12" x14ac:dyDescent="0.35">
      <c r="A34">
        <v>3032</v>
      </c>
      <c r="B34" s="1" t="s">
        <v>185</v>
      </c>
      <c r="C34" s="1" t="s">
        <v>218</v>
      </c>
      <c r="D34" s="1" t="s">
        <v>615</v>
      </c>
      <c r="E34" s="6" t="s">
        <v>174</v>
      </c>
      <c r="F34" s="1" t="s">
        <v>1014</v>
      </c>
      <c r="G34" s="1" t="s">
        <v>1381</v>
      </c>
      <c r="H34" s="1" t="s">
        <v>1391</v>
      </c>
      <c r="I34" s="1" t="s">
        <v>1395</v>
      </c>
      <c r="J34" s="1" t="s">
        <v>1396</v>
      </c>
      <c r="K34" s="6" t="str">
        <f t="shared" si="0"/>
        <v>3032,'BACHILLERATO','cesardaniel.velazquezgutierrez','007990','TOMAR DEL SND','VELAZQUEZ GUTIERREZ CESAR DANIEL','DISEÑO GRÁFICO','6to','MASCULINO','ACTIVO','',0,0,'','ALUMNO'</v>
      </c>
      <c r="L34" s="6" t="str">
        <f t="shared" si="1"/>
        <v>INSERT INTO participantes (id,nivel,correo,matricula,clave,nombre,carrera,grado,sexo,situacion,evaluados,num_evaluados,total_evaluaciones,ultimo_acceso,nivel_acceso) VALUES (3032,'BACHILLERATO','cesardaniel.velazquezgutierrez','007990','TOMAR DEL SND','VELAZQUEZ GUTIERREZ CESAR DANIEL','DISEÑO GRÁFICO','6to','MASCULINO','ACTIVO','',0,0,'','ALUMNO');</v>
      </c>
    </row>
    <row r="35" spans="1:12" x14ac:dyDescent="0.35">
      <c r="A35">
        <v>3033</v>
      </c>
      <c r="B35" s="1" t="s">
        <v>185</v>
      </c>
      <c r="C35" s="1" t="s">
        <v>219</v>
      </c>
      <c r="D35" s="1" t="s">
        <v>616</v>
      </c>
      <c r="E35" s="6" t="s">
        <v>174</v>
      </c>
      <c r="F35" s="1" t="s">
        <v>1015</v>
      </c>
      <c r="G35" s="1" t="s">
        <v>1382</v>
      </c>
      <c r="H35" s="1" t="s">
        <v>1391</v>
      </c>
      <c r="I35" s="1" t="s">
        <v>1394</v>
      </c>
      <c r="J35" s="1" t="s">
        <v>1396</v>
      </c>
      <c r="K35" s="6" t="str">
        <f t="shared" si="0"/>
        <v>3033,'BACHILLERATO','mariafernanda.avilarobles','007991','TOMAR DEL SND','AVILA ROBLES MARIA FERNANDA','ADMINISTRACIÓN','6to','FEMENINO','ACTIVO','',0,0,'','ALUMNO'</v>
      </c>
      <c r="L35" s="6" t="str">
        <f t="shared" si="1"/>
        <v>INSERT INTO participantes (id,nivel,correo,matricula,clave,nombre,carrera,grado,sexo,situacion,evaluados,num_evaluados,total_evaluaciones,ultimo_acceso,nivel_acceso) VALUES (3033,'BACHILLERATO','mariafernanda.avilarobles','007991','TOMAR DEL SND','AVILA ROBLES MARIA FERNANDA','ADMINISTRACIÓN','6to','FEMENINO','ACTIVO','',0,0,'','ALUMNO');</v>
      </c>
    </row>
    <row r="36" spans="1:12" x14ac:dyDescent="0.35">
      <c r="A36">
        <v>3034</v>
      </c>
      <c r="B36" s="1" t="s">
        <v>185</v>
      </c>
      <c r="C36" s="1" t="s">
        <v>220</v>
      </c>
      <c r="D36" s="1" t="s">
        <v>617</v>
      </c>
      <c r="E36" s="6" t="s">
        <v>174</v>
      </c>
      <c r="F36" s="1" t="s">
        <v>1016</v>
      </c>
      <c r="G36" s="1" t="s">
        <v>1382</v>
      </c>
      <c r="H36" s="1" t="s">
        <v>1391</v>
      </c>
      <c r="I36" s="1" t="s">
        <v>1395</v>
      </c>
      <c r="J36" s="1" t="s">
        <v>1396</v>
      </c>
      <c r="K36" s="6" t="str">
        <f t="shared" si="0"/>
        <v>3034,'BACHILLERATO','inaki.ronderolarranaga','007993','TOMAR DEL SND','RONDERO LARRAÑAGA IÑAKI','ADMINISTRACIÓN','6to','MASCULINO','ACTIVO','',0,0,'','ALUMNO'</v>
      </c>
      <c r="L36" s="6" t="str">
        <f t="shared" si="1"/>
        <v>INSERT INTO participantes (id,nivel,correo,matricula,clave,nombre,carrera,grado,sexo,situacion,evaluados,num_evaluados,total_evaluaciones,ultimo_acceso,nivel_acceso) VALUES (3034,'BACHILLERATO','inaki.ronderolarranaga','007993','TOMAR DEL SND','RONDERO LARRAÑAGA IÑAKI','ADMINISTRACIÓN','6to','MASCULINO','ACTIVO','',0,0,'','ALUMNO');</v>
      </c>
    </row>
    <row r="37" spans="1:12" x14ac:dyDescent="0.35">
      <c r="A37">
        <v>3035</v>
      </c>
      <c r="B37" s="1" t="s">
        <v>185</v>
      </c>
      <c r="C37" s="1" t="s">
        <v>221</v>
      </c>
      <c r="D37" s="1" t="s">
        <v>618</v>
      </c>
      <c r="E37" s="6" t="s">
        <v>174</v>
      </c>
      <c r="F37" s="1" t="s">
        <v>1017</v>
      </c>
      <c r="G37" s="1" t="s">
        <v>1382</v>
      </c>
      <c r="H37" s="1" t="s">
        <v>1391</v>
      </c>
      <c r="I37" s="1" t="s">
        <v>1395</v>
      </c>
      <c r="J37" s="1" t="s">
        <v>1396</v>
      </c>
      <c r="K37" s="6" t="str">
        <f t="shared" si="0"/>
        <v>3035,'BACHILLERATO','davidemmanuel.esparzaochoa','007994','TOMAR DEL SND','ESPARZA OCHOA DAVID EMMANUEL','ADMINISTRACIÓN','6to','MASCULINO','ACTIVO','',0,0,'','ALUMNO'</v>
      </c>
      <c r="L37" s="6" t="str">
        <f t="shared" si="1"/>
        <v>INSERT INTO participantes (id,nivel,correo,matricula,clave,nombre,carrera,grado,sexo,situacion,evaluados,num_evaluados,total_evaluaciones,ultimo_acceso,nivel_acceso) VALUES (3035,'BACHILLERATO','davidemmanuel.esparzaochoa','007994','TOMAR DEL SND','ESPARZA OCHOA DAVID EMMANUEL','ADMINISTRACIÓN','6to','MASCULINO','ACTIVO','',0,0,'','ALUMNO');</v>
      </c>
    </row>
    <row r="38" spans="1:12" x14ac:dyDescent="0.35">
      <c r="A38">
        <v>3036</v>
      </c>
      <c r="B38" s="1" t="s">
        <v>185</v>
      </c>
      <c r="C38" s="1" t="s">
        <v>222</v>
      </c>
      <c r="D38" s="1" t="s">
        <v>619</v>
      </c>
      <c r="E38" s="6" t="s">
        <v>174</v>
      </c>
      <c r="F38" s="1" t="s">
        <v>1018</v>
      </c>
      <c r="G38" s="1" t="s">
        <v>1385</v>
      </c>
      <c r="H38" s="1" t="s">
        <v>1391</v>
      </c>
      <c r="I38" s="1" t="s">
        <v>1394</v>
      </c>
      <c r="J38" s="1" t="s">
        <v>1396</v>
      </c>
      <c r="K38" s="6" t="str">
        <f t="shared" si="0"/>
        <v>3036,'BACHILLERATO','kendrapaola.rodriguezramirez','007995','TOMAR DEL SND','RODRIGUEZ RAMIREZ KENDRA PAOLA','COMUNICACIÓN','6to','FEMENINO','ACTIVO','',0,0,'','ALUMNO'</v>
      </c>
      <c r="L38" s="6" t="str">
        <f t="shared" si="1"/>
        <v>INSERT INTO participantes (id,nivel,correo,matricula,clave,nombre,carrera,grado,sexo,situacion,evaluados,num_evaluados,total_evaluaciones,ultimo_acceso,nivel_acceso) VALUES (3036,'BACHILLERATO','kendrapaola.rodriguezramirez','007995','TOMAR DEL SND','RODRIGUEZ RAMIREZ KENDRA PAOLA','COMUNICACIÓN','6to','FEMENINO','ACTIVO','',0,0,'','ALUMNO');</v>
      </c>
    </row>
    <row r="39" spans="1:12" x14ac:dyDescent="0.35">
      <c r="A39">
        <v>3037</v>
      </c>
      <c r="B39" s="1" t="s">
        <v>185</v>
      </c>
      <c r="C39" s="1" t="s">
        <v>223</v>
      </c>
      <c r="D39" s="1" t="s">
        <v>620</v>
      </c>
      <c r="E39" s="6" t="s">
        <v>174</v>
      </c>
      <c r="F39" s="1" t="s">
        <v>1019</v>
      </c>
      <c r="G39" s="1" t="s">
        <v>1382</v>
      </c>
      <c r="H39" s="1" t="s">
        <v>1391</v>
      </c>
      <c r="I39" s="1" t="s">
        <v>1395</v>
      </c>
      <c r="J39" s="1" t="s">
        <v>1396</v>
      </c>
      <c r="K39" s="6" t="str">
        <f t="shared" si="0"/>
        <v>3037,'BACHILLERATO','osvaldo.ibarraaceves','007996','TOMAR DEL SND','IBARRA ACEVES OSVALDO','ADMINISTRACIÓN','6to','MASCULINO','ACTIVO','',0,0,'','ALUMNO'</v>
      </c>
      <c r="L39" s="6" t="str">
        <f t="shared" si="1"/>
        <v>INSERT INTO participantes (id,nivel,correo,matricula,clave,nombre,carrera,grado,sexo,situacion,evaluados,num_evaluados,total_evaluaciones,ultimo_acceso,nivel_acceso) VALUES (3037,'BACHILLERATO','osvaldo.ibarraaceves','007996','TOMAR DEL SND','IBARRA ACEVES OSVALDO','ADMINISTRACIÓN','6to','MASCULINO','ACTIVO','',0,0,'','ALUMNO');</v>
      </c>
    </row>
    <row r="40" spans="1:12" x14ac:dyDescent="0.35">
      <c r="A40">
        <v>3038</v>
      </c>
      <c r="B40" s="1" t="s">
        <v>185</v>
      </c>
      <c r="C40" s="1" t="s">
        <v>224</v>
      </c>
      <c r="D40" s="1" t="s">
        <v>621</v>
      </c>
      <c r="E40" s="6" t="s">
        <v>174</v>
      </c>
      <c r="F40" s="1" t="s">
        <v>1020</v>
      </c>
      <c r="G40" s="1" t="s">
        <v>1383</v>
      </c>
      <c r="H40" s="1" t="s">
        <v>1391</v>
      </c>
      <c r="I40" s="1" t="s">
        <v>1394</v>
      </c>
      <c r="J40" s="1" t="s">
        <v>1396</v>
      </c>
      <c r="K40" s="6" t="str">
        <f t="shared" si="0"/>
        <v>3038,'BACHILLERATO','valentina.luishernandez','007997','TOMAR DEL SND','LUIS HERNANDEZ VALENTINA','HIGIENE Y SALUD COMUNITARIA','6to','FEMENINO','ACTIVO','',0,0,'','ALUMNO'</v>
      </c>
      <c r="L40" s="6" t="str">
        <f t="shared" si="1"/>
        <v>INSERT INTO participantes (id,nivel,correo,matricula,clave,nombre,carrera,grado,sexo,situacion,evaluados,num_evaluados,total_evaluaciones,ultimo_acceso,nivel_acceso) VALUES (3038,'BACHILLERATO','valentina.luishernandez','007997','TOMAR DEL SND','LUIS HERNANDEZ VALENTINA','HIGIENE Y SALUD COMUNITARIA','6to','FEMENINO','ACTIVO','',0,0,'','ALUMNO');</v>
      </c>
    </row>
    <row r="41" spans="1:12" x14ac:dyDescent="0.35">
      <c r="A41">
        <v>3039</v>
      </c>
      <c r="B41" s="1" t="s">
        <v>185</v>
      </c>
      <c r="C41" s="1" t="s">
        <v>225</v>
      </c>
      <c r="D41" s="1" t="s">
        <v>622</v>
      </c>
      <c r="E41" s="6" t="s">
        <v>174</v>
      </c>
      <c r="F41" s="1" t="s">
        <v>1021</v>
      </c>
      <c r="G41" s="1" t="s">
        <v>1386</v>
      </c>
      <c r="H41" s="1" t="s">
        <v>1392</v>
      </c>
      <c r="I41" s="1" t="s">
        <v>1395</v>
      </c>
      <c r="J41" s="1" t="s">
        <v>1397</v>
      </c>
      <c r="K41" s="6" t="str">
        <f t="shared" si="0"/>
        <v>3039,'BACHILLERATO','josealejandro.larioscasillas','007998','TOMAR DEL SND','LARIOS CASILLAS JOSE ALEJANDRO','ADMINISTRACIÓNA','4to','MASCULINO','REINGRESO','',0,0,'','ALUMNO'</v>
      </c>
      <c r="L41" s="6" t="str">
        <f t="shared" si="1"/>
        <v>INSERT INTO participantes (id,nivel,correo,matricula,clave,nombre,carrera,grado,sexo,situacion,evaluados,num_evaluados,total_evaluaciones,ultimo_acceso,nivel_acceso) VALUES (3039,'BACHILLERATO','josealejandro.larioscasillas','007998','TOMAR DEL SND','LARIOS CASILLAS JOSE ALEJANDRO','ADMINISTRACIÓNA','4to','MASCULINO','REINGRESO','',0,0,'','ALUMNO');</v>
      </c>
    </row>
    <row r="42" spans="1:12" x14ac:dyDescent="0.35">
      <c r="A42">
        <v>3040</v>
      </c>
      <c r="B42" s="1" t="s">
        <v>185</v>
      </c>
      <c r="C42" s="1" t="s">
        <v>226</v>
      </c>
      <c r="D42" s="1" t="s">
        <v>623</v>
      </c>
      <c r="E42" s="6" t="s">
        <v>174</v>
      </c>
      <c r="F42" s="1" t="s">
        <v>1022</v>
      </c>
      <c r="G42" s="1" t="s">
        <v>1384</v>
      </c>
      <c r="H42" s="1" t="s">
        <v>1391</v>
      </c>
      <c r="I42" s="1" t="s">
        <v>1395</v>
      </c>
      <c r="J42" s="1" t="s">
        <v>1396</v>
      </c>
      <c r="K42" s="6" t="str">
        <f t="shared" si="0"/>
        <v>3040,'BACHILLERATO','luisenrique.mendozarodriguez','007999','TOMAR DEL SND','MENDOZA RODRIGUEZ LUIS ENRIQUE','ELECTRÓNICA','6to','MASCULINO','ACTIVO','',0,0,'','ALUMNO'</v>
      </c>
      <c r="L42" s="6" t="str">
        <f t="shared" si="1"/>
        <v>INSERT INTO participantes (id,nivel,correo,matricula,clave,nombre,carrera,grado,sexo,situacion,evaluados,num_evaluados,total_evaluaciones,ultimo_acceso,nivel_acceso) VALUES (3040,'BACHILLERATO','luisenrique.mendozarodriguez','007999','TOMAR DEL SND','MENDOZA RODRIGUEZ LUIS ENRIQUE','ELECTRÓNICA','6to','MASCULINO','ACTIVO','',0,0,'','ALUMNO');</v>
      </c>
    </row>
    <row r="43" spans="1:12" x14ac:dyDescent="0.35">
      <c r="A43">
        <v>3041</v>
      </c>
      <c r="B43" s="1" t="s">
        <v>185</v>
      </c>
      <c r="C43" s="1" t="s">
        <v>227</v>
      </c>
      <c r="D43" s="1" t="s">
        <v>624</v>
      </c>
      <c r="E43" s="6" t="s">
        <v>174</v>
      </c>
      <c r="F43" s="1" t="s">
        <v>1023</v>
      </c>
      <c r="G43" s="1" t="s">
        <v>1382</v>
      </c>
      <c r="H43" s="1" t="s">
        <v>1391</v>
      </c>
      <c r="I43" s="1" t="s">
        <v>1395</v>
      </c>
      <c r="J43" s="1" t="s">
        <v>1396</v>
      </c>
      <c r="K43" s="6" t="str">
        <f t="shared" si="0"/>
        <v>3041,'BACHILLERATO','alansantiago.hernandezmaya','008001','TOMAR DEL SND','HERNANDEZ MAYA ALAN SANTIAGO','ADMINISTRACIÓN','6to','MASCULINO','ACTIVO','',0,0,'','ALUMNO'</v>
      </c>
      <c r="L43" s="6" t="str">
        <f t="shared" si="1"/>
        <v>INSERT INTO participantes (id,nivel,correo,matricula,clave,nombre,carrera,grado,sexo,situacion,evaluados,num_evaluados,total_evaluaciones,ultimo_acceso,nivel_acceso) VALUES (3041,'BACHILLERATO','alansantiago.hernandezmaya','008001','TOMAR DEL SND','HERNANDEZ MAYA ALAN SANTIAGO','ADMINISTRACIÓN','6to','MASCULINO','ACTIVO','',0,0,'','ALUMNO');</v>
      </c>
    </row>
    <row r="44" spans="1:12" x14ac:dyDescent="0.35">
      <c r="A44">
        <v>3042</v>
      </c>
      <c r="B44" s="1" t="s">
        <v>185</v>
      </c>
      <c r="C44" s="1" t="s">
        <v>228</v>
      </c>
      <c r="D44" s="1" t="s">
        <v>625</v>
      </c>
      <c r="E44" s="6" t="s">
        <v>174</v>
      </c>
      <c r="F44" s="1" t="s">
        <v>1024</v>
      </c>
      <c r="G44" s="1" t="s">
        <v>1382</v>
      </c>
      <c r="H44" s="1" t="s">
        <v>1391</v>
      </c>
      <c r="I44" s="1" t="s">
        <v>1394</v>
      </c>
      <c r="J44" s="1" t="s">
        <v>1396</v>
      </c>
      <c r="K44" s="6" t="str">
        <f t="shared" si="0"/>
        <v>3042,'BACHILLERATO','karinaelizabeth.nuckollsdeleon','008002','TOMAR DEL SND','NUCKOLLS DE LEON KARINA ELIZABETH','ADMINISTRACIÓN','6to','FEMENINO','ACTIVO','',0,0,'','ALUMNO'</v>
      </c>
      <c r="L44" s="6" t="str">
        <f t="shared" si="1"/>
        <v>INSERT INTO participantes (id,nivel,correo,matricula,clave,nombre,carrera,grado,sexo,situacion,evaluados,num_evaluados,total_evaluaciones,ultimo_acceso,nivel_acceso) VALUES (3042,'BACHILLERATO','karinaelizabeth.nuckollsdeleon','008002','TOMAR DEL SND','NUCKOLLS DE LEON KARINA ELIZABETH','ADMINISTRACIÓN','6to','FEMENINO','ACTIVO','',0,0,'','ALUMNO');</v>
      </c>
    </row>
    <row r="45" spans="1:12" x14ac:dyDescent="0.35">
      <c r="A45">
        <v>3043</v>
      </c>
      <c r="B45" s="1" t="s">
        <v>185</v>
      </c>
      <c r="C45" s="1" t="s">
        <v>229</v>
      </c>
      <c r="D45" s="1" t="s">
        <v>626</v>
      </c>
      <c r="E45" s="6" t="s">
        <v>174</v>
      </c>
      <c r="F45" s="1" t="s">
        <v>1025</v>
      </c>
      <c r="G45" s="1" t="s">
        <v>1382</v>
      </c>
      <c r="H45" s="1" t="s">
        <v>1391</v>
      </c>
      <c r="I45" s="1" t="s">
        <v>1395</v>
      </c>
      <c r="J45" s="1" t="s">
        <v>1396</v>
      </c>
      <c r="K45" s="6" t="str">
        <f t="shared" si="0"/>
        <v>3043,'BACHILLERATO','emiliano.valderramaalvarez','008003','TOMAR DEL SND','VALDERRAMA ALVAREZ EMILIANO','ADMINISTRACIÓN','6to','MASCULINO','ACTIVO','',0,0,'','ALUMNO'</v>
      </c>
      <c r="L45" s="6" t="str">
        <f t="shared" si="1"/>
        <v>INSERT INTO participantes (id,nivel,correo,matricula,clave,nombre,carrera,grado,sexo,situacion,evaluados,num_evaluados,total_evaluaciones,ultimo_acceso,nivel_acceso) VALUES (3043,'BACHILLERATO','emiliano.valderramaalvarez','008003','TOMAR DEL SND','VALDERRAMA ALVAREZ EMILIANO','ADMINISTRACIÓN','6to','MASCULINO','ACTIVO','',0,0,'','ALUMNO');</v>
      </c>
    </row>
    <row r="46" spans="1:12" x14ac:dyDescent="0.35">
      <c r="A46">
        <v>3044</v>
      </c>
      <c r="B46" s="1" t="s">
        <v>185</v>
      </c>
      <c r="C46" s="1" t="s">
        <v>230</v>
      </c>
      <c r="D46" s="1" t="s">
        <v>627</v>
      </c>
      <c r="E46" s="6" t="s">
        <v>174</v>
      </c>
      <c r="F46" s="1" t="s">
        <v>1026</v>
      </c>
      <c r="G46" s="1" t="s">
        <v>1381</v>
      </c>
      <c r="H46" s="1" t="s">
        <v>1391</v>
      </c>
      <c r="I46" s="1" t="s">
        <v>1395</v>
      </c>
      <c r="J46" s="1" t="s">
        <v>1396</v>
      </c>
      <c r="K46" s="6" t="str">
        <f t="shared" si="0"/>
        <v>3044,'BACHILLERATO','irvingeduardo.delgadorivas','008004','TOMAR DEL SND','DELGADO RIVAS IRVING EDUARDO','DISEÑO GRÁFICO','6to','MASCULINO','ACTIVO','',0,0,'','ALUMNO'</v>
      </c>
      <c r="L46" s="6" t="str">
        <f t="shared" si="1"/>
        <v>INSERT INTO participantes (id,nivel,correo,matricula,clave,nombre,carrera,grado,sexo,situacion,evaluados,num_evaluados,total_evaluaciones,ultimo_acceso,nivel_acceso) VALUES (3044,'BACHILLERATO','irvingeduardo.delgadorivas','008004','TOMAR DEL SND','DELGADO RIVAS IRVING EDUARDO','DISEÑO GRÁFICO','6to','MASCULINO','ACTIVO','',0,0,'','ALUMNO');</v>
      </c>
    </row>
    <row r="47" spans="1:12" x14ac:dyDescent="0.35">
      <c r="A47">
        <v>3045</v>
      </c>
      <c r="B47" s="1" t="s">
        <v>185</v>
      </c>
      <c r="C47" s="1" t="s">
        <v>231</v>
      </c>
      <c r="D47" s="1" t="s">
        <v>628</v>
      </c>
      <c r="E47" s="6" t="s">
        <v>174</v>
      </c>
      <c r="F47" s="1" t="s">
        <v>1027</v>
      </c>
      <c r="G47" s="1" t="s">
        <v>1385</v>
      </c>
      <c r="H47" s="1" t="s">
        <v>1391</v>
      </c>
      <c r="I47" s="1" t="s">
        <v>1394</v>
      </c>
      <c r="J47" s="1" t="s">
        <v>1396</v>
      </c>
      <c r="K47" s="6" t="str">
        <f t="shared" si="0"/>
        <v>3045,'BACHILLERATO','samanthabo.bolanosmargeli','008005','TOMAR DEL SND','BOLAÑOS MARGELI SAMANTHA BO','COMUNICACIÓN','6to','FEMENINO','ACTIVO','',0,0,'','ALUMNO'</v>
      </c>
      <c r="L47" s="6" t="str">
        <f t="shared" si="1"/>
        <v>INSERT INTO participantes (id,nivel,correo,matricula,clave,nombre,carrera,grado,sexo,situacion,evaluados,num_evaluados,total_evaluaciones,ultimo_acceso,nivel_acceso) VALUES (3045,'BACHILLERATO','samanthabo.bolanosmargeli','008005','TOMAR DEL SND','BOLAÑOS MARGELI SAMANTHA BO','COMUNICACIÓN','6to','FEMENINO','ACTIVO','',0,0,'','ALUMNO');</v>
      </c>
    </row>
    <row r="48" spans="1:12" x14ac:dyDescent="0.35">
      <c r="A48">
        <v>3046</v>
      </c>
      <c r="B48" s="1" t="s">
        <v>185</v>
      </c>
      <c r="C48" s="1" t="s">
        <v>232</v>
      </c>
      <c r="D48" s="1" t="s">
        <v>629</v>
      </c>
      <c r="E48" s="6" t="s">
        <v>174</v>
      </c>
      <c r="F48" s="1" t="s">
        <v>1028</v>
      </c>
      <c r="G48" s="1" t="s">
        <v>1382</v>
      </c>
      <c r="H48" s="1" t="s">
        <v>1391</v>
      </c>
      <c r="I48" s="1" t="s">
        <v>1395</v>
      </c>
      <c r="J48" s="1" t="s">
        <v>1396</v>
      </c>
      <c r="K48" s="6" t="str">
        <f t="shared" si="0"/>
        <v>3046,'BACHILLERATO','mateo.moramartinez','008006','TOMAR DEL SND','MORA MARTINEZ MATEO','ADMINISTRACIÓN','6to','MASCULINO','ACTIVO','',0,0,'','ALUMNO'</v>
      </c>
      <c r="L48" s="6" t="str">
        <f t="shared" si="1"/>
        <v>INSERT INTO participantes (id,nivel,correo,matricula,clave,nombre,carrera,grado,sexo,situacion,evaluados,num_evaluados,total_evaluaciones,ultimo_acceso,nivel_acceso) VALUES (3046,'BACHILLERATO','mateo.moramartinez','008006','TOMAR DEL SND','MORA MARTINEZ MATEO','ADMINISTRACIÓN','6to','MASCULINO','ACTIVO','',0,0,'','ALUMNO');</v>
      </c>
    </row>
    <row r="49" spans="1:12" x14ac:dyDescent="0.35">
      <c r="A49">
        <v>3047</v>
      </c>
      <c r="B49" s="1" t="s">
        <v>185</v>
      </c>
      <c r="C49" s="1" t="s">
        <v>233</v>
      </c>
      <c r="D49" s="1" t="s">
        <v>630</v>
      </c>
      <c r="E49" s="6" t="s">
        <v>174</v>
      </c>
      <c r="F49" s="1" t="s">
        <v>1029</v>
      </c>
      <c r="G49" s="1" t="s">
        <v>1381</v>
      </c>
      <c r="H49" s="1" t="s">
        <v>1391</v>
      </c>
      <c r="I49" s="1" t="s">
        <v>1394</v>
      </c>
      <c r="J49" s="1" t="s">
        <v>1396</v>
      </c>
      <c r="K49" s="6" t="str">
        <f t="shared" si="0"/>
        <v>3047,'BACHILLERATO','karlacristina.gonzalezamador','008007','TOMAR DEL SND','GONZALEZ AMADOR KARLA CRISTINA','DISEÑO GRÁFICO','6to','FEMENINO','ACTIVO','',0,0,'','ALUMNO'</v>
      </c>
      <c r="L49" s="6" t="str">
        <f t="shared" si="1"/>
        <v>INSERT INTO participantes (id,nivel,correo,matricula,clave,nombre,carrera,grado,sexo,situacion,evaluados,num_evaluados,total_evaluaciones,ultimo_acceso,nivel_acceso) VALUES (3047,'BACHILLERATO','karlacristina.gonzalezamador','008007','TOMAR DEL SND','GONZALEZ AMADOR KARLA CRISTINA','DISEÑO GRÁFICO','6to','FEMENINO','ACTIVO','',0,0,'','ALUMNO');</v>
      </c>
    </row>
    <row r="50" spans="1:12" x14ac:dyDescent="0.35">
      <c r="A50">
        <v>3048</v>
      </c>
      <c r="B50" s="1" t="s">
        <v>185</v>
      </c>
      <c r="C50" s="1" t="s">
        <v>234</v>
      </c>
      <c r="D50" s="1" t="s">
        <v>631</v>
      </c>
      <c r="E50" s="6" t="s">
        <v>174</v>
      </c>
      <c r="F50" s="1" t="s">
        <v>1030</v>
      </c>
      <c r="G50" s="1" t="s">
        <v>1382</v>
      </c>
      <c r="H50" s="1" t="s">
        <v>1391</v>
      </c>
      <c r="I50" s="1" t="s">
        <v>1395</v>
      </c>
      <c r="J50" s="1" t="s">
        <v>1396</v>
      </c>
      <c r="K50" s="6" t="str">
        <f t="shared" si="0"/>
        <v>3048,'BACHILLERATO','nicolasfrancis.walsh','008008','TOMAR DEL SND','WALSH  NICOLAS FRANCIS','ADMINISTRACIÓN','6to','MASCULINO','ACTIVO','',0,0,'','ALUMNO'</v>
      </c>
      <c r="L50" s="6" t="str">
        <f t="shared" si="1"/>
        <v>INSERT INTO participantes (id,nivel,correo,matricula,clave,nombre,carrera,grado,sexo,situacion,evaluados,num_evaluados,total_evaluaciones,ultimo_acceso,nivel_acceso) VALUES (3048,'BACHILLERATO','nicolasfrancis.walsh','008008','TOMAR DEL SND','WALSH  NICOLAS FRANCIS','ADMINISTRACIÓN','6to','MASCULINO','ACTIVO','',0,0,'','ALUMNO');</v>
      </c>
    </row>
    <row r="51" spans="1:12" x14ac:dyDescent="0.35">
      <c r="A51">
        <v>3049</v>
      </c>
      <c r="B51" s="1" t="s">
        <v>185</v>
      </c>
      <c r="C51" s="1" t="s">
        <v>235</v>
      </c>
      <c r="D51" s="1" t="s">
        <v>632</v>
      </c>
      <c r="E51" s="6" t="s">
        <v>174</v>
      </c>
      <c r="F51" s="1" t="s">
        <v>1031</v>
      </c>
      <c r="G51" s="1" t="s">
        <v>1384</v>
      </c>
      <c r="H51" s="1" t="s">
        <v>1391</v>
      </c>
      <c r="I51" s="1" t="s">
        <v>1395</v>
      </c>
      <c r="J51" s="1" t="s">
        <v>1396</v>
      </c>
      <c r="K51" s="6" t="str">
        <f t="shared" si="0"/>
        <v>3049,'BACHILLERATO','inaki.dorantesmercado','008009','TOMAR DEL SND','DORANTES MERCADO IÑAKI','ELECTRÓNICA','6to','MASCULINO','ACTIVO','',0,0,'','ALUMNO'</v>
      </c>
      <c r="L51" s="6" t="str">
        <f t="shared" si="1"/>
        <v>INSERT INTO participantes (id,nivel,correo,matricula,clave,nombre,carrera,grado,sexo,situacion,evaluados,num_evaluados,total_evaluaciones,ultimo_acceso,nivel_acceso) VALUES (3049,'BACHILLERATO','inaki.dorantesmercado','008009','TOMAR DEL SND','DORANTES MERCADO IÑAKI','ELECTRÓNICA','6to','MASCULINO','ACTIVO','',0,0,'','ALUMNO');</v>
      </c>
    </row>
    <row r="52" spans="1:12" x14ac:dyDescent="0.35">
      <c r="A52">
        <v>3050</v>
      </c>
      <c r="B52" s="1" t="s">
        <v>185</v>
      </c>
      <c r="C52" s="1" t="s">
        <v>236</v>
      </c>
      <c r="D52" s="1" t="s">
        <v>633</v>
      </c>
      <c r="E52" s="6" t="s">
        <v>174</v>
      </c>
      <c r="F52" s="1" t="s">
        <v>1032</v>
      </c>
      <c r="G52" s="1" t="s">
        <v>1381</v>
      </c>
      <c r="H52" s="1" t="s">
        <v>1391</v>
      </c>
      <c r="I52" s="1" t="s">
        <v>1395</v>
      </c>
      <c r="J52" s="1" t="s">
        <v>1396</v>
      </c>
      <c r="K52" s="6" t="str">
        <f t="shared" si="0"/>
        <v>3050,'BACHILLERATO','daniel.salazarvalencia','008010','TOMAR DEL SND','SALAZAR VALENCIA DANIEL','DISEÑO GRÁFICO','6to','MASCULINO','ACTIVO','',0,0,'','ALUMNO'</v>
      </c>
      <c r="L52" s="6" t="str">
        <f t="shared" si="1"/>
        <v>INSERT INTO participantes (id,nivel,correo,matricula,clave,nombre,carrera,grado,sexo,situacion,evaluados,num_evaluados,total_evaluaciones,ultimo_acceso,nivel_acceso) VALUES (3050,'BACHILLERATO','daniel.salazarvalencia','008010','TOMAR DEL SND','SALAZAR VALENCIA DANIEL','DISEÑO GRÁFICO','6to','MASCULINO','ACTIVO','',0,0,'','ALUMNO');</v>
      </c>
    </row>
    <row r="53" spans="1:12" x14ac:dyDescent="0.35">
      <c r="A53">
        <v>3051</v>
      </c>
      <c r="B53" s="1" t="s">
        <v>185</v>
      </c>
      <c r="C53" s="1" t="s">
        <v>237</v>
      </c>
      <c r="D53" s="1" t="s">
        <v>634</v>
      </c>
      <c r="E53" s="6" t="s">
        <v>174</v>
      </c>
      <c r="F53" s="1" t="s">
        <v>1033</v>
      </c>
      <c r="G53" s="1" t="s">
        <v>1381</v>
      </c>
      <c r="H53" s="1" t="s">
        <v>1391</v>
      </c>
      <c r="I53" s="1" t="s">
        <v>1394</v>
      </c>
      <c r="J53" s="1" t="s">
        <v>1396</v>
      </c>
      <c r="K53" s="6" t="str">
        <f t="shared" si="0"/>
        <v>3051,'BACHILLERATO','estefanializbeth.ramirezespinoza','008013','TOMAR DEL SND','RAMIREZ ESPINOZA ESTEFANIA LIZBETH','DISEÑO GRÁFICO','6to','FEMENINO','ACTIVO','',0,0,'','ALUMNO'</v>
      </c>
      <c r="L53" s="6" t="str">
        <f t="shared" si="1"/>
        <v>INSERT INTO participantes (id,nivel,correo,matricula,clave,nombre,carrera,grado,sexo,situacion,evaluados,num_evaluados,total_evaluaciones,ultimo_acceso,nivel_acceso) VALUES (3051,'BACHILLERATO','estefanializbeth.ramirezespinoza','008013','TOMAR DEL SND','RAMIREZ ESPINOZA ESTEFANIA LIZBETH','DISEÑO GRÁFICO','6to','FEMENINO','ACTIVO','',0,0,'','ALUMNO');</v>
      </c>
    </row>
    <row r="54" spans="1:12" x14ac:dyDescent="0.35">
      <c r="A54">
        <v>3052</v>
      </c>
      <c r="B54" s="1" t="s">
        <v>185</v>
      </c>
      <c r="C54" s="1" t="s">
        <v>238</v>
      </c>
      <c r="D54" s="1" t="s">
        <v>635</v>
      </c>
      <c r="E54" s="6" t="s">
        <v>174</v>
      </c>
      <c r="F54" s="1" t="s">
        <v>1034</v>
      </c>
      <c r="G54" s="1" t="s">
        <v>1382</v>
      </c>
      <c r="H54" s="1" t="s">
        <v>1391</v>
      </c>
      <c r="I54" s="1" t="s">
        <v>1395</v>
      </c>
      <c r="J54" s="1" t="s">
        <v>1396</v>
      </c>
      <c r="K54" s="6" t="str">
        <f t="shared" si="0"/>
        <v>3052,'BACHILLERATO','luisdaniel.vasquezavila','008015','TOMAR DEL SND','VASQUEZ AVILA LUIS DANIEL','ADMINISTRACIÓN','6to','MASCULINO','ACTIVO','',0,0,'','ALUMNO'</v>
      </c>
      <c r="L54" s="6" t="str">
        <f t="shared" si="1"/>
        <v>INSERT INTO participantes (id,nivel,correo,matricula,clave,nombre,carrera,grado,sexo,situacion,evaluados,num_evaluados,total_evaluaciones,ultimo_acceso,nivel_acceso) VALUES (3052,'BACHILLERATO','luisdaniel.vasquezavila','008015','TOMAR DEL SND','VASQUEZ AVILA LUIS DANIEL','ADMINISTRACIÓN','6to','MASCULINO','ACTIVO','',0,0,'','ALUMNO');</v>
      </c>
    </row>
    <row r="55" spans="1:12" x14ac:dyDescent="0.35">
      <c r="A55">
        <v>3053</v>
      </c>
      <c r="B55" s="1" t="s">
        <v>185</v>
      </c>
      <c r="C55" s="1" t="s">
        <v>239</v>
      </c>
      <c r="D55" s="1" t="s">
        <v>636</v>
      </c>
      <c r="E55" s="6" t="s">
        <v>174</v>
      </c>
      <c r="F55" s="1" t="s">
        <v>1035</v>
      </c>
      <c r="G55" s="1" t="s">
        <v>1383</v>
      </c>
      <c r="H55" s="1" t="s">
        <v>1391</v>
      </c>
      <c r="I55" s="1" t="s">
        <v>1394</v>
      </c>
      <c r="J55" s="1" t="s">
        <v>1396</v>
      </c>
      <c r="K55" s="6" t="str">
        <f t="shared" si="0"/>
        <v>3053,'BACHILLERATO','alejandra.villasenordelgado','008016','TOMAR DEL SND','VILLASEÑOR DELGADO ALEJANDRA','HIGIENE Y SALUD COMUNITARIA','6to','FEMENINO','ACTIVO','',0,0,'','ALUMNO'</v>
      </c>
      <c r="L55" s="6" t="str">
        <f t="shared" si="1"/>
        <v>INSERT INTO participantes (id,nivel,correo,matricula,clave,nombre,carrera,grado,sexo,situacion,evaluados,num_evaluados,total_evaluaciones,ultimo_acceso,nivel_acceso) VALUES (3053,'BACHILLERATO','alejandra.villasenordelgado','008016','TOMAR DEL SND','VILLASEÑOR DELGADO ALEJANDRA','HIGIENE Y SALUD COMUNITARIA','6to','FEMENINO','ACTIVO','',0,0,'','ALUMNO');</v>
      </c>
    </row>
    <row r="56" spans="1:12" x14ac:dyDescent="0.35">
      <c r="A56">
        <v>3054</v>
      </c>
      <c r="B56" s="1" t="s">
        <v>185</v>
      </c>
      <c r="C56" s="1" t="s">
        <v>240</v>
      </c>
      <c r="D56" s="1" t="s">
        <v>637</v>
      </c>
      <c r="E56" s="6" t="s">
        <v>174</v>
      </c>
      <c r="F56" s="1" t="s">
        <v>1036</v>
      </c>
      <c r="G56" s="1" t="s">
        <v>1383</v>
      </c>
      <c r="H56" s="1" t="s">
        <v>1391</v>
      </c>
      <c r="I56" s="1" t="s">
        <v>1394</v>
      </c>
      <c r="J56" s="1" t="s">
        <v>1396</v>
      </c>
      <c r="K56" s="6" t="str">
        <f t="shared" si="0"/>
        <v>3054,'BACHILLERATO','camilalizeth.cervantesperez','008017','TOMAR DEL SND','CERVANTES PEREZ CAMILA LIZETH','HIGIENE Y SALUD COMUNITARIA','6to','FEMENINO','ACTIVO','',0,0,'','ALUMNO'</v>
      </c>
      <c r="L56" s="6" t="str">
        <f t="shared" si="1"/>
        <v>INSERT INTO participantes (id,nivel,correo,matricula,clave,nombre,carrera,grado,sexo,situacion,evaluados,num_evaluados,total_evaluaciones,ultimo_acceso,nivel_acceso) VALUES (3054,'BACHILLERATO','camilalizeth.cervantesperez','008017','TOMAR DEL SND','CERVANTES PEREZ CAMILA LIZETH','HIGIENE Y SALUD COMUNITARIA','6to','FEMENINO','ACTIVO','',0,0,'','ALUMNO');</v>
      </c>
    </row>
    <row r="57" spans="1:12" x14ac:dyDescent="0.35">
      <c r="A57">
        <v>3055</v>
      </c>
      <c r="B57" s="1" t="s">
        <v>185</v>
      </c>
      <c r="C57" s="1" t="s">
        <v>241</v>
      </c>
      <c r="D57" s="1" t="s">
        <v>638</v>
      </c>
      <c r="E57" s="6" t="s">
        <v>174</v>
      </c>
      <c r="F57" s="1" t="s">
        <v>1037</v>
      </c>
      <c r="G57" s="1" t="s">
        <v>1382</v>
      </c>
      <c r="H57" s="1" t="s">
        <v>1391</v>
      </c>
      <c r="I57" s="1" t="s">
        <v>1395</v>
      </c>
      <c r="J57" s="1" t="s">
        <v>1396</v>
      </c>
      <c r="K57" s="6" t="str">
        <f t="shared" si="0"/>
        <v>3055,'BACHILLERATO','samuel.pachecojuarez','008019','TOMAR DEL SND','PACHECO JUAREZ SAMUEL','ADMINISTRACIÓN','6to','MASCULINO','ACTIVO','',0,0,'','ALUMNO'</v>
      </c>
      <c r="L57" s="6" t="str">
        <f t="shared" si="1"/>
        <v>INSERT INTO participantes (id,nivel,correo,matricula,clave,nombre,carrera,grado,sexo,situacion,evaluados,num_evaluados,total_evaluaciones,ultimo_acceso,nivel_acceso) VALUES (3055,'BACHILLERATO','samuel.pachecojuarez','008019','TOMAR DEL SND','PACHECO JUAREZ SAMUEL','ADMINISTRACIÓN','6to','MASCULINO','ACTIVO','',0,0,'','ALUMNO');</v>
      </c>
    </row>
    <row r="58" spans="1:12" x14ac:dyDescent="0.35">
      <c r="A58">
        <v>3056</v>
      </c>
      <c r="B58" s="1" t="s">
        <v>185</v>
      </c>
      <c r="C58" s="1" t="s">
        <v>242</v>
      </c>
      <c r="D58" s="1" t="s">
        <v>639</v>
      </c>
      <c r="E58" s="6" t="s">
        <v>174</v>
      </c>
      <c r="F58" s="1" t="s">
        <v>1038</v>
      </c>
      <c r="G58" s="1" t="s">
        <v>1383</v>
      </c>
      <c r="H58" s="1" t="s">
        <v>1391</v>
      </c>
      <c r="I58" s="1" t="s">
        <v>1394</v>
      </c>
      <c r="J58" s="1" t="s">
        <v>1396</v>
      </c>
      <c r="K58" s="6" t="str">
        <f t="shared" si="0"/>
        <v>3056,'BACHILLERATO','anapaula.sierragarnica','008020','TOMAR DEL SND','SIERRA GARNICA ANA PAULA','HIGIENE Y SALUD COMUNITARIA','6to','FEMENINO','ACTIVO','',0,0,'','ALUMNO'</v>
      </c>
      <c r="L58" s="6" t="str">
        <f t="shared" si="1"/>
        <v>INSERT INTO participantes (id,nivel,correo,matricula,clave,nombre,carrera,grado,sexo,situacion,evaluados,num_evaluados,total_evaluaciones,ultimo_acceso,nivel_acceso) VALUES (3056,'BACHILLERATO','anapaula.sierragarnica','008020','TOMAR DEL SND','SIERRA GARNICA ANA PAULA','HIGIENE Y SALUD COMUNITARIA','6to','FEMENINO','ACTIVO','',0,0,'','ALUMNO');</v>
      </c>
    </row>
    <row r="59" spans="1:12" x14ac:dyDescent="0.35">
      <c r="A59">
        <v>3057</v>
      </c>
      <c r="B59" s="1" t="s">
        <v>185</v>
      </c>
      <c r="C59" s="1" t="s">
        <v>243</v>
      </c>
      <c r="D59" s="1" t="s">
        <v>640</v>
      </c>
      <c r="E59" s="6" t="s">
        <v>174</v>
      </c>
      <c r="F59" s="1" t="s">
        <v>1039</v>
      </c>
      <c r="G59" s="1" t="s">
        <v>1383</v>
      </c>
      <c r="H59" s="1" t="s">
        <v>1391</v>
      </c>
      <c r="I59" s="1" t="s">
        <v>1395</v>
      </c>
      <c r="J59" s="1" t="s">
        <v>1396</v>
      </c>
      <c r="K59" s="6" t="str">
        <f t="shared" si="0"/>
        <v>3057,'BACHILLERATO','alvaro.navarropadilla','008021','TOMAR DEL SND','NAVARRO PADILLA ALVARO','HIGIENE Y SALUD COMUNITARIA','6to','MASCULINO','ACTIVO','',0,0,'','ALUMNO'</v>
      </c>
      <c r="L59" s="6" t="str">
        <f t="shared" si="1"/>
        <v>INSERT INTO participantes (id,nivel,correo,matricula,clave,nombre,carrera,grado,sexo,situacion,evaluados,num_evaluados,total_evaluaciones,ultimo_acceso,nivel_acceso) VALUES (3057,'BACHILLERATO','alvaro.navarropadilla','008021','TOMAR DEL SND','NAVARRO PADILLA ALVARO','HIGIENE Y SALUD COMUNITARIA','6to','MASCULINO','ACTIVO','',0,0,'','ALUMNO');</v>
      </c>
    </row>
    <row r="60" spans="1:12" x14ac:dyDescent="0.35">
      <c r="A60">
        <v>3058</v>
      </c>
      <c r="B60" s="1" t="s">
        <v>185</v>
      </c>
      <c r="C60" s="1" t="s">
        <v>244</v>
      </c>
      <c r="D60" s="1" t="s">
        <v>641</v>
      </c>
      <c r="E60" s="6" t="s">
        <v>174</v>
      </c>
      <c r="F60" s="1" t="s">
        <v>1040</v>
      </c>
      <c r="G60" s="1" t="s">
        <v>1383</v>
      </c>
      <c r="H60" s="1" t="s">
        <v>1391</v>
      </c>
      <c r="I60" s="1" t="s">
        <v>1394</v>
      </c>
      <c r="J60" s="1" t="s">
        <v>1396</v>
      </c>
      <c r="K60" s="6" t="str">
        <f t="shared" si="0"/>
        <v>3058,'BACHILLERATO','ximena.rojaslopez','008022','TOMAR DEL SND','ROJAS LOPEZ XIMENA','HIGIENE Y SALUD COMUNITARIA','6to','FEMENINO','ACTIVO','',0,0,'','ALUMNO'</v>
      </c>
      <c r="L60" s="6" t="str">
        <f t="shared" si="1"/>
        <v>INSERT INTO participantes (id,nivel,correo,matricula,clave,nombre,carrera,grado,sexo,situacion,evaluados,num_evaluados,total_evaluaciones,ultimo_acceso,nivel_acceso) VALUES (3058,'BACHILLERATO','ximena.rojaslopez','008022','TOMAR DEL SND','ROJAS LOPEZ XIMENA','HIGIENE Y SALUD COMUNITARIA','6to','FEMENINO','ACTIVO','',0,0,'','ALUMNO');</v>
      </c>
    </row>
    <row r="61" spans="1:12" x14ac:dyDescent="0.35">
      <c r="A61">
        <v>3059</v>
      </c>
      <c r="B61" s="1" t="s">
        <v>185</v>
      </c>
      <c r="C61" s="1" t="s">
        <v>245</v>
      </c>
      <c r="D61" s="1" t="s">
        <v>642</v>
      </c>
      <c r="E61" s="6" t="s">
        <v>174</v>
      </c>
      <c r="F61" s="1" t="s">
        <v>1041</v>
      </c>
      <c r="G61" s="1" t="s">
        <v>1382</v>
      </c>
      <c r="H61" s="1" t="s">
        <v>1391</v>
      </c>
      <c r="I61" s="1" t="s">
        <v>1395</v>
      </c>
      <c r="J61" s="1" t="s">
        <v>1396</v>
      </c>
      <c r="K61" s="6" t="str">
        <f t="shared" si="0"/>
        <v>3059,'BACHILLERATO','jecsanalejandro.orozcocamacho','008023','TOMAR DEL SND','OROZCO CAMACHO JECSAN ALEJANDRO','ADMINISTRACIÓN','6to','MASCULINO','ACTIVO','',0,0,'','ALUMNO'</v>
      </c>
      <c r="L61" s="6" t="str">
        <f t="shared" si="1"/>
        <v>INSERT INTO participantes (id,nivel,correo,matricula,clave,nombre,carrera,grado,sexo,situacion,evaluados,num_evaluados,total_evaluaciones,ultimo_acceso,nivel_acceso) VALUES (3059,'BACHILLERATO','jecsanalejandro.orozcocamacho','008023','TOMAR DEL SND','OROZCO CAMACHO JECSAN ALEJANDRO','ADMINISTRACIÓN','6to','MASCULINO','ACTIVO','',0,0,'','ALUMNO');</v>
      </c>
    </row>
    <row r="62" spans="1:12" x14ac:dyDescent="0.35">
      <c r="A62">
        <v>3060</v>
      </c>
      <c r="B62" s="1" t="s">
        <v>185</v>
      </c>
      <c r="C62" s="1" t="s">
        <v>246</v>
      </c>
      <c r="D62" s="1" t="s">
        <v>643</v>
      </c>
      <c r="E62" s="6" t="s">
        <v>174</v>
      </c>
      <c r="F62" s="1" t="s">
        <v>1042</v>
      </c>
      <c r="G62" s="1" t="s">
        <v>1383</v>
      </c>
      <c r="H62" s="1" t="s">
        <v>1391</v>
      </c>
      <c r="I62" s="1" t="s">
        <v>1394</v>
      </c>
      <c r="J62" s="1" t="s">
        <v>1396</v>
      </c>
      <c r="K62" s="6" t="str">
        <f t="shared" si="0"/>
        <v>3060,'BACHILLERATO','alexadaniela.gonzalezjimenez','008024','TOMAR DEL SND','GONZALEZ JIMENEZ ALEXA DANIELA','HIGIENE Y SALUD COMUNITARIA','6to','FEMENINO','ACTIVO','',0,0,'','ALUMNO'</v>
      </c>
      <c r="L62" s="6" t="str">
        <f t="shared" si="1"/>
        <v>INSERT INTO participantes (id,nivel,correo,matricula,clave,nombre,carrera,grado,sexo,situacion,evaluados,num_evaluados,total_evaluaciones,ultimo_acceso,nivel_acceso) VALUES (3060,'BACHILLERATO','alexadaniela.gonzalezjimenez','008024','TOMAR DEL SND','GONZALEZ JIMENEZ ALEXA DANIELA','HIGIENE Y SALUD COMUNITARIA','6to','FEMENINO','ACTIVO','',0,0,'','ALUMNO');</v>
      </c>
    </row>
    <row r="63" spans="1:12" x14ac:dyDescent="0.35">
      <c r="A63">
        <v>3061</v>
      </c>
      <c r="B63" s="1" t="s">
        <v>185</v>
      </c>
      <c r="C63" s="1" t="s">
        <v>247</v>
      </c>
      <c r="D63" s="1" t="s">
        <v>644</v>
      </c>
      <c r="E63" s="6" t="s">
        <v>174</v>
      </c>
      <c r="F63" s="1" t="s">
        <v>1043</v>
      </c>
      <c r="G63" s="1" t="s">
        <v>1382</v>
      </c>
      <c r="H63" s="1" t="s">
        <v>1391</v>
      </c>
      <c r="I63" s="1" t="s">
        <v>1395</v>
      </c>
      <c r="J63" s="1" t="s">
        <v>1396</v>
      </c>
      <c r="K63" s="6" t="str">
        <f t="shared" si="0"/>
        <v>3061,'BACHILLERATO','juanbosco.orozcoramirez','008025','TOMAR DEL SND','OROZCO RAMIREZ JUAN BOSCO','ADMINISTRACIÓN','6to','MASCULINO','ACTIVO','',0,0,'','ALUMNO'</v>
      </c>
      <c r="L63" s="6" t="str">
        <f t="shared" si="1"/>
        <v>INSERT INTO participantes (id,nivel,correo,matricula,clave,nombre,carrera,grado,sexo,situacion,evaluados,num_evaluados,total_evaluaciones,ultimo_acceso,nivel_acceso) VALUES (3061,'BACHILLERATO','juanbosco.orozcoramirez','008025','TOMAR DEL SND','OROZCO RAMIREZ JUAN BOSCO','ADMINISTRACIÓN','6to','MASCULINO','ACTIVO','',0,0,'','ALUMNO');</v>
      </c>
    </row>
    <row r="64" spans="1:12" x14ac:dyDescent="0.35">
      <c r="A64">
        <v>3062</v>
      </c>
      <c r="B64" s="1" t="s">
        <v>185</v>
      </c>
      <c r="C64" s="1" t="s">
        <v>248</v>
      </c>
      <c r="D64" s="1" t="s">
        <v>645</v>
      </c>
      <c r="E64" s="6" t="s">
        <v>174</v>
      </c>
      <c r="F64" s="1" t="s">
        <v>1044</v>
      </c>
      <c r="G64" s="1" t="s">
        <v>1385</v>
      </c>
      <c r="H64" s="1" t="s">
        <v>1391</v>
      </c>
      <c r="I64" s="1" t="s">
        <v>1394</v>
      </c>
      <c r="J64" s="1" t="s">
        <v>1396</v>
      </c>
      <c r="K64" s="6" t="str">
        <f t="shared" si="0"/>
        <v>3062,'BACHILLERATO','mariana.ornelascarrillo','008026','TOMAR DEL SND','ORNELAS CARRILLO MARIANA','COMUNICACIÓN','6to','FEMENINO','ACTIVO','',0,0,'','ALUMNO'</v>
      </c>
      <c r="L64" s="6" t="str">
        <f t="shared" si="1"/>
        <v>INSERT INTO participantes (id,nivel,correo,matricula,clave,nombre,carrera,grado,sexo,situacion,evaluados,num_evaluados,total_evaluaciones,ultimo_acceso,nivel_acceso) VALUES (3062,'BACHILLERATO','mariana.ornelascarrillo','008026','TOMAR DEL SND','ORNELAS CARRILLO MARIANA','COMUNICACIÓN','6to','FEMENINO','ACTIVO','',0,0,'','ALUMNO');</v>
      </c>
    </row>
    <row r="65" spans="1:12" x14ac:dyDescent="0.35">
      <c r="A65">
        <v>3063</v>
      </c>
      <c r="B65" s="1" t="s">
        <v>185</v>
      </c>
      <c r="C65" s="1" t="s">
        <v>249</v>
      </c>
      <c r="D65" s="1" t="s">
        <v>646</v>
      </c>
      <c r="E65" s="6" t="s">
        <v>174</v>
      </c>
      <c r="F65" s="1" t="s">
        <v>1045</v>
      </c>
      <c r="G65" s="1" t="s">
        <v>1381</v>
      </c>
      <c r="H65" s="1" t="s">
        <v>1391</v>
      </c>
      <c r="I65" s="1" t="s">
        <v>1394</v>
      </c>
      <c r="J65" s="1" t="s">
        <v>1396</v>
      </c>
      <c r="K65" s="6" t="str">
        <f t="shared" si="0"/>
        <v>3063,'BACHILLERATO','anasofia.trejoochoa','008027','TOMAR DEL SND','TREJO OCHOA ANA SOFIA','DISEÑO GRÁFICO','6to','FEMENINO','ACTIVO','',0,0,'','ALUMNO'</v>
      </c>
      <c r="L65" s="6" t="str">
        <f t="shared" si="1"/>
        <v>INSERT INTO participantes (id,nivel,correo,matricula,clave,nombre,carrera,grado,sexo,situacion,evaluados,num_evaluados,total_evaluaciones,ultimo_acceso,nivel_acceso) VALUES (3063,'BACHILLERATO','anasofia.trejoochoa','008027','TOMAR DEL SND','TREJO OCHOA ANA SOFIA','DISEÑO GRÁFICO','6to','FEMENINO','ACTIVO','',0,0,'','ALUMNO');</v>
      </c>
    </row>
    <row r="66" spans="1:12" x14ac:dyDescent="0.35">
      <c r="A66">
        <v>3064</v>
      </c>
      <c r="B66" s="1" t="s">
        <v>185</v>
      </c>
      <c r="C66" s="1" t="s">
        <v>250</v>
      </c>
      <c r="D66" s="1" t="s">
        <v>647</v>
      </c>
      <c r="E66" s="6" t="s">
        <v>174</v>
      </c>
      <c r="F66" s="1" t="s">
        <v>1046</v>
      </c>
      <c r="G66" s="1" t="s">
        <v>1383</v>
      </c>
      <c r="H66" s="1" t="s">
        <v>1391</v>
      </c>
      <c r="I66" s="1" t="s">
        <v>1394</v>
      </c>
      <c r="J66" s="1" t="s">
        <v>1396</v>
      </c>
      <c r="K66" s="6" t="str">
        <f t="shared" ref="K66:K129" si="2">CONCATENATE(A66,",",B66,",",C66,",",D66,",'",E66,",",F66,",",G66,",",H66,",",UPPER(I66),",",UPPER(J66),",'',0,0,'','ALUMNO'")</f>
        <v>3064,'BACHILLERATO','ana.guzmancampos','008028','TOMAR DEL SND','GUZMAN CAMPOS ANA','HIGIENE Y SALUD COMUNITARIA','6to','FEMENINO','ACTIVO','',0,0,'','ALUMNO'</v>
      </c>
      <c r="L66" s="6" t="str">
        <f t="shared" ref="L66:L129" si="3">CONCATENATE($K$1,K66,");")</f>
        <v>INSERT INTO participantes (id,nivel,correo,matricula,clave,nombre,carrera,grado,sexo,situacion,evaluados,num_evaluados,total_evaluaciones,ultimo_acceso,nivel_acceso) VALUES (3064,'BACHILLERATO','ana.guzmancampos','008028','TOMAR DEL SND','GUZMAN CAMPOS ANA','HIGIENE Y SALUD COMUNITARIA','6to','FEMENINO','ACTIVO','',0,0,'','ALUMNO');</v>
      </c>
    </row>
    <row r="67" spans="1:12" x14ac:dyDescent="0.35">
      <c r="A67">
        <v>3065</v>
      </c>
      <c r="B67" s="1" t="s">
        <v>185</v>
      </c>
      <c r="C67" s="1" t="s">
        <v>251</v>
      </c>
      <c r="D67" s="1" t="s">
        <v>648</v>
      </c>
      <c r="E67" s="6" t="s">
        <v>174</v>
      </c>
      <c r="F67" s="1" t="s">
        <v>1047</v>
      </c>
      <c r="G67" s="1" t="s">
        <v>1384</v>
      </c>
      <c r="H67" s="1" t="s">
        <v>1391</v>
      </c>
      <c r="I67" s="1" t="s">
        <v>1395</v>
      </c>
      <c r="J67" s="1" t="s">
        <v>1396</v>
      </c>
      <c r="K67" s="6" t="str">
        <f t="shared" si="2"/>
        <v>3065,'BACHILLERATO','derekhakim.saavedraramirez','008029','TOMAR DEL SND','SAAVEDRA RAMIREZ DEREK HAKIM','ELECTRÓNICA','6to','MASCULINO','ACTIVO','',0,0,'','ALUMNO'</v>
      </c>
      <c r="L67" s="6" t="str">
        <f t="shared" si="3"/>
        <v>INSERT INTO participantes (id,nivel,correo,matricula,clave,nombre,carrera,grado,sexo,situacion,evaluados,num_evaluados,total_evaluaciones,ultimo_acceso,nivel_acceso) VALUES (3065,'BACHILLERATO','derekhakim.saavedraramirez','008029','TOMAR DEL SND','SAAVEDRA RAMIREZ DEREK HAKIM','ELECTRÓNICA','6to','MASCULINO','ACTIVO','',0,0,'','ALUMNO');</v>
      </c>
    </row>
    <row r="68" spans="1:12" x14ac:dyDescent="0.35">
      <c r="A68">
        <v>3066</v>
      </c>
      <c r="B68" s="1" t="s">
        <v>185</v>
      </c>
      <c r="C68" s="1" t="s">
        <v>252</v>
      </c>
      <c r="D68" s="1" t="s">
        <v>649</v>
      </c>
      <c r="E68" s="6" t="s">
        <v>174</v>
      </c>
      <c r="F68" s="1" t="s">
        <v>1048</v>
      </c>
      <c r="G68" s="1" t="s">
        <v>1381</v>
      </c>
      <c r="H68" s="1" t="s">
        <v>1391</v>
      </c>
      <c r="I68" s="1" t="s">
        <v>1395</v>
      </c>
      <c r="J68" s="1" t="s">
        <v>1396</v>
      </c>
      <c r="K68" s="6" t="str">
        <f t="shared" si="2"/>
        <v>3066,'BACHILLERATO','arathnicolas.alatorrevergara','008030','TOMAR DEL SND','ALATORRE VERGARA ARATH NICOLAS','DISEÑO GRÁFICO','6to','MASCULINO','ACTIVO','',0,0,'','ALUMNO'</v>
      </c>
      <c r="L68" s="6" t="str">
        <f t="shared" si="3"/>
        <v>INSERT INTO participantes (id,nivel,correo,matricula,clave,nombre,carrera,grado,sexo,situacion,evaluados,num_evaluados,total_evaluaciones,ultimo_acceso,nivel_acceso) VALUES (3066,'BACHILLERATO','arathnicolas.alatorrevergara','008030','TOMAR DEL SND','ALATORRE VERGARA ARATH NICOLAS','DISEÑO GRÁFICO','6to','MASCULINO','ACTIVO','',0,0,'','ALUMNO');</v>
      </c>
    </row>
    <row r="69" spans="1:12" x14ac:dyDescent="0.35">
      <c r="A69">
        <v>3067</v>
      </c>
      <c r="B69" s="1" t="s">
        <v>185</v>
      </c>
      <c r="C69" s="1" t="s">
        <v>253</v>
      </c>
      <c r="D69" s="1" t="s">
        <v>650</v>
      </c>
      <c r="E69" s="6" t="s">
        <v>174</v>
      </c>
      <c r="F69" s="1" t="s">
        <v>1049</v>
      </c>
      <c r="G69" s="1" t="s">
        <v>1382</v>
      </c>
      <c r="H69" s="1" t="s">
        <v>1391</v>
      </c>
      <c r="I69" s="1" t="s">
        <v>1394</v>
      </c>
      <c r="J69" s="1" t="s">
        <v>1396</v>
      </c>
      <c r="K69" s="6" t="str">
        <f t="shared" si="2"/>
        <v>3067,'BACHILLERATO','karlanereida.ramirezmondragon','008031','TOMAR DEL SND','RAMIREZ MONDRAGON KARLA NEREIDA','ADMINISTRACIÓN','6to','FEMENINO','ACTIVO','',0,0,'','ALUMNO'</v>
      </c>
      <c r="L69" s="6" t="str">
        <f t="shared" si="3"/>
        <v>INSERT INTO participantes (id,nivel,correo,matricula,clave,nombre,carrera,grado,sexo,situacion,evaluados,num_evaluados,total_evaluaciones,ultimo_acceso,nivel_acceso) VALUES (3067,'BACHILLERATO','karlanereida.ramirezmondragon','008031','TOMAR DEL SND','RAMIREZ MONDRAGON KARLA NEREIDA','ADMINISTRACIÓN','6to','FEMENINO','ACTIVO','',0,0,'','ALUMNO');</v>
      </c>
    </row>
    <row r="70" spans="1:12" x14ac:dyDescent="0.35">
      <c r="A70">
        <v>3068</v>
      </c>
      <c r="B70" s="1" t="s">
        <v>185</v>
      </c>
      <c r="C70" s="1" t="s">
        <v>254</v>
      </c>
      <c r="D70" s="1" t="s">
        <v>651</v>
      </c>
      <c r="E70" s="6" t="s">
        <v>174</v>
      </c>
      <c r="F70" s="1" t="s">
        <v>1050</v>
      </c>
      <c r="G70" s="1" t="s">
        <v>1382</v>
      </c>
      <c r="H70" s="1" t="s">
        <v>1391</v>
      </c>
      <c r="I70" s="1" t="s">
        <v>1395</v>
      </c>
      <c r="J70" s="1" t="s">
        <v>1396</v>
      </c>
      <c r="K70" s="6" t="str">
        <f t="shared" si="2"/>
        <v>3068,'BACHILLERATO','andresalejandro.acevescastillo','008032','TOMAR DEL SND','ACEVES CASTILLO ANDRES ALEJANDRO','ADMINISTRACIÓN','6to','MASCULINO','ACTIVO','',0,0,'','ALUMNO'</v>
      </c>
      <c r="L70" s="6" t="str">
        <f t="shared" si="3"/>
        <v>INSERT INTO participantes (id,nivel,correo,matricula,clave,nombre,carrera,grado,sexo,situacion,evaluados,num_evaluados,total_evaluaciones,ultimo_acceso,nivel_acceso) VALUES (3068,'BACHILLERATO','andresalejandro.acevescastillo','008032','TOMAR DEL SND','ACEVES CASTILLO ANDRES ALEJANDRO','ADMINISTRACIÓN','6to','MASCULINO','ACTIVO','',0,0,'','ALUMNO');</v>
      </c>
    </row>
    <row r="71" spans="1:12" x14ac:dyDescent="0.35">
      <c r="A71">
        <v>3069</v>
      </c>
      <c r="B71" s="1" t="s">
        <v>185</v>
      </c>
      <c r="C71" s="1" t="s">
        <v>255</v>
      </c>
      <c r="D71" s="1" t="s">
        <v>652</v>
      </c>
      <c r="E71" s="6" t="s">
        <v>174</v>
      </c>
      <c r="F71" s="1" t="s">
        <v>1051</v>
      </c>
      <c r="G71" s="1" t="s">
        <v>1382</v>
      </c>
      <c r="H71" s="1" t="s">
        <v>1391</v>
      </c>
      <c r="I71" s="1" t="s">
        <v>1394</v>
      </c>
      <c r="J71" s="1" t="s">
        <v>1396</v>
      </c>
      <c r="K71" s="6" t="str">
        <f t="shared" si="2"/>
        <v>3069,'BACHILLERATO','gisel.moralesbarajas','008033','TOMAR DEL SND','MORALES BARAJAS GISEL','ADMINISTRACIÓN','6to','FEMENINO','ACTIVO','',0,0,'','ALUMNO'</v>
      </c>
      <c r="L71" s="6" t="str">
        <f t="shared" si="3"/>
        <v>INSERT INTO participantes (id,nivel,correo,matricula,clave,nombre,carrera,grado,sexo,situacion,evaluados,num_evaluados,total_evaluaciones,ultimo_acceso,nivel_acceso) VALUES (3069,'BACHILLERATO','gisel.moralesbarajas','008033','TOMAR DEL SND','MORALES BARAJAS GISEL','ADMINISTRACIÓN','6to','FEMENINO','ACTIVO','',0,0,'','ALUMNO');</v>
      </c>
    </row>
    <row r="72" spans="1:12" x14ac:dyDescent="0.35">
      <c r="A72">
        <v>3070</v>
      </c>
      <c r="B72" s="1" t="s">
        <v>185</v>
      </c>
      <c r="C72" s="1" t="s">
        <v>256</v>
      </c>
      <c r="D72" s="1" t="s">
        <v>653</v>
      </c>
      <c r="E72" s="6" t="s">
        <v>174</v>
      </c>
      <c r="F72" s="1" t="s">
        <v>1052</v>
      </c>
      <c r="G72" s="1" t="s">
        <v>1384</v>
      </c>
      <c r="H72" s="1" t="s">
        <v>1391</v>
      </c>
      <c r="I72" s="1" t="s">
        <v>1395</v>
      </c>
      <c r="J72" s="1" t="s">
        <v>1396</v>
      </c>
      <c r="K72" s="6" t="str">
        <f t="shared" si="2"/>
        <v>3070,'BACHILLERATO','adrian.micheljimenez','008034','TOMAR DEL SND','MICHEL JIMENEZ ADRIAN','ELECTRÓNICA','6to','MASCULINO','ACTIVO','',0,0,'','ALUMNO'</v>
      </c>
      <c r="L72" s="6" t="str">
        <f t="shared" si="3"/>
        <v>INSERT INTO participantes (id,nivel,correo,matricula,clave,nombre,carrera,grado,sexo,situacion,evaluados,num_evaluados,total_evaluaciones,ultimo_acceso,nivel_acceso) VALUES (3070,'BACHILLERATO','adrian.micheljimenez','008034','TOMAR DEL SND','MICHEL JIMENEZ ADRIAN','ELECTRÓNICA','6to','MASCULINO','ACTIVO','',0,0,'','ALUMNO');</v>
      </c>
    </row>
    <row r="73" spans="1:12" x14ac:dyDescent="0.35">
      <c r="A73">
        <v>3071</v>
      </c>
      <c r="B73" s="1" t="s">
        <v>185</v>
      </c>
      <c r="C73" s="1" t="s">
        <v>257</v>
      </c>
      <c r="D73" s="1" t="s">
        <v>654</v>
      </c>
      <c r="E73" s="6" t="s">
        <v>174</v>
      </c>
      <c r="F73" s="1" t="s">
        <v>1053</v>
      </c>
      <c r="G73" s="1" t="s">
        <v>1383</v>
      </c>
      <c r="H73" s="1" t="s">
        <v>1391</v>
      </c>
      <c r="I73" s="1" t="s">
        <v>1395</v>
      </c>
      <c r="J73" s="1" t="s">
        <v>1396</v>
      </c>
      <c r="K73" s="6" t="str">
        <f t="shared" si="2"/>
        <v>3071,'BACHILLERATO','rodolfojavier.barbaramos','008036','TOMAR DEL SND','BARBA RAMOS RODOLFO JAVIER','HIGIENE Y SALUD COMUNITARIA','6to','MASCULINO','ACTIVO','',0,0,'','ALUMNO'</v>
      </c>
      <c r="L73" s="6" t="str">
        <f t="shared" si="3"/>
        <v>INSERT INTO participantes (id,nivel,correo,matricula,clave,nombre,carrera,grado,sexo,situacion,evaluados,num_evaluados,total_evaluaciones,ultimo_acceso,nivel_acceso) VALUES (3071,'BACHILLERATO','rodolfojavier.barbaramos','008036','TOMAR DEL SND','BARBA RAMOS RODOLFO JAVIER','HIGIENE Y SALUD COMUNITARIA','6to','MASCULINO','ACTIVO','',0,0,'','ALUMNO');</v>
      </c>
    </row>
    <row r="74" spans="1:12" x14ac:dyDescent="0.35">
      <c r="A74">
        <v>3072</v>
      </c>
      <c r="B74" s="1" t="s">
        <v>185</v>
      </c>
      <c r="C74" s="1" t="s">
        <v>258</v>
      </c>
      <c r="D74" s="1" t="s">
        <v>655</v>
      </c>
      <c r="E74" s="6" t="s">
        <v>174</v>
      </c>
      <c r="F74" s="1" t="s">
        <v>1054</v>
      </c>
      <c r="G74" s="1" t="s">
        <v>1383</v>
      </c>
      <c r="H74" s="1" t="s">
        <v>1391</v>
      </c>
      <c r="I74" s="1" t="s">
        <v>1394</v>
      </c>
      <c r="J74" s="1" t="s">
        <v>1396</v>
      </c>
      <c r="K74" s="6" t="str">
        <f t="shared" si="2"/>
        <v>3072,'BACHILLERATO','sarafernanda.perezmora','008037','TOMAR DEL SND','PEREZ MORA SARA FERNANDA','HIGIENE Y SALUD COMUNITARIA','6to','FEMENINO','ACTIVO','',0,0,'','ALUMNO'</v>
      </c>
      <c r="L74" s="6" t="str">
        <f t="shared" si="3"/>
        <v>INSERT INTO participantes (id,nivel,correo,matricula,clave,nombre,carrera,grado,sexo,situacion,evaluados,num_evaluados,total_evaluaciones,ultimo_acceso,nivel_acceso) VALUES (3072,'BACHILLERATO','sarafernanda.perezmora','008037','TOMAR DEL SND','PEREZ MORA SARA FERNANDA','HIGIENE Y SALUD COMUNITARIA','6to','FEMENINO','ACTIVO','',0,0,'','ALUMNO');</v>
      </c>
    </row>
    <row r="75" spans="1:12" x14ac:dyDescent="0.35">
      <c r="A75">
        <v>3073</v>
      </c>
      <c r="B75" s="1" t="s">
        <v>185</v>
      </c>
      <c r="C75" s="1" t="s">
        <v>259</v>
      </c>
      <c r="D75" s="1" t="s">
        <v>656</v>
      </c>
      <c r="E75" s="6" t="s">
        <v>174</v>
      </c>
      <c r="F75" s="1" t="s">
        <v>1055</v>
      </c>
      <c r="G75" s="1" t="s">
        <v>1382</v>
      </c>
      <c r="H75" s="1" t="s">
        <v>1391</v>
      </c>
      <c r="I75" s="1" t="s">
        <v>1394</v>
      </c>
      <c r="J75" s="1" t="s">
        <v>1396</v>
      </c>
      <c r="K75" s="6" t="str">
        <f t="shared" si="2"/>
        <v>3073,'BACHILLERATO','ivannapaola.navarromorett','008038','TOMAR DEL SND','NAVARRO MORETT IVANNA PAOLA','ADMINISTRACIÓN','6to','FEMENINO','ACTIVO','',0,0,'','ALUMNO'</v>
      </c>
      <c r="L75" s="6" t="str">
        <f t="shared" si="3"/>
        <v>INSERT INTO participantes (id,nivel,correo,matricula,clave,nombre,carrera,grado,sexo,situacion,evaluados,num_evaluados,total_evaluaciones,ultimo_acceso,nivel_acceso) VALUES (3073,'BACHILLERATO','ivannapaola.navarromorett','008038','TOMAR DEL SND','NAVARRO MORETT IVANNA PAOLA','ADMINISTRACIÓN','6to','FEMENINO','ACTIVO','',0,0,'','ALUMNO');</v>
      </c>
    </row>
    <row r="76" spans="1:12" x14ac:dyDescent="0.35">
      <c r="A76">
        <v>3074</v>
      </c>
      <c r="B76" s="1" t="s">
        <v>185</v>
      </c>
      <c r="C76" s="1" t="s">
        <v>260</v>
      </c>
      <c r="D76" s="1" t="s">
        <v>657</v>
      </c>
      <c r="E76" s="6" t="s">
        <v>174</v>
      </c>
      <c r="F76" s="1" t="s">
        <v>1056</v>
      </c>
      <c r="G76" s="1" t="s">
        <v>1382</v>
      </c>
      <c r="H76" s="1" t="s">
        <v>1391</v>
      </c>
      <c r="I76" s="1" t="s">
        <v>1395</v>
      </c>
      <c r="J76" s="1" t="s">
        <v>1396</v>
      </c>
      <c r="K76" s="6" t="str">
        <f t="shared" si="2"/>
        <v>3074,'BACHILLERATO','ikerdamian.jimenezbecerra','008039','TOMAR DEL SND','JIMENEZ BECERRA IKER DAMIAN','ADMINISTRACIÓN','6to','MASCULINO','ACTIVO','',0,0,'','ALUMNO'</v>
      </c>
      <c r="L76" s="6" t="str">
        <f t="shared" si="3"/>
        <v>INSERT INTO participantes (id,nivel,correo,matricula,clave,nombre,carrera,grado,sexo,situacion,evaluados,num_evaluados,total_evaluaciones,ultimo_acceso,nivel_acceso) VALUES (3074,'BACHILLERATO','ikerdamian.jimenezbecerra','008039','TOMAR DEL SND','JIMENEZ BECERRA IKER DAMIAN','ADMINISTRACIÓN','6to','MASCULINO','ACTIVO','',0,0,'','ALUMNO');</v>
      </c>
    </row>
    <row r="77" spans="1:12" x14ac:dyDescent="0.35">
      <c r="A77">
        <v>3075</v>
      </c>
      <c r="B77" s="1" t="s">
        <v>185</v>
      </c>
      <c r="C77" s="1" t="s">
        <v>261</v>
      </c>
      <c r="D77" s="1" t="s">
        <v>658</v>
      </c>
      <c r="E77" s="6" t="s">
        <v>174</v>
      </c>
      <c r="F77" s="1" t="s">
        <v>1057</v>
      </c>
      <c r="G77" s="1" t="s">
        <v>1382</v>
      </c>
      <c r="H77" s="1" t="s">
        <v>1391</v>
      </c>
      <c r="I77" s="1" t="s">
        <v>1394</v>
      </c>
      <c r="J77" s="1" t="s">
        <v>1396</v>
      </c>
      <c r="K77" s="6" t="str">
        <f t="shared" si="2"/>
        <v>3075,'BACHILLERATO','surinicole.perezvaldezramirez','008040','TOMAR DEL SND','PEREZ VALDEZ RAMIREZ SURI NICOLE','ADMINISTRACIÓN','6to','FEMENINO','ACTIVO','',0,0,'','ALUMNO'</v>
      </c>
      <c r="L77" s="6" t="str">
        <f t="shared" si="3"/>
        <v>INSERT INTO participantes (id,nivel,correo,matricula,clave,nombre,carrera,grado,sexo,situacion,evaluados,num_evaluados,total_evaluaciones,ultimo_acceso,nivel_acceso) VALUES (3075,'BACHILLERATO','surinicole.perezvaldezramirez','008040','TOMAR DEL SND','PEREZ VALDEZ RAMIREZ SURI NICOLE','ADMINISTRACIÓN','6to','FEMENINO','ACTIVO','',0,0,'','ALUMNO');</v>
      </c>
    </row>
    <row r="78" spans="1:12" x14ac:dyDescent="0.35">
      <c r="A78">
        <v>3076</v>
      </c>
      <c r="B78" s="1" t="s">
        <v>185</v>
      </c>
      <c r="C78" s="1" t="s">
        <v>262</v>
      </c>
      <c r="D78" s="1" t="s">
        <v>659</v>
      </c>
      <c r="E78" s="6" t="s">
        <v>174</v>
      </c>
      <c r="F78" s="1" t="s">
        <v>1058</v>
      </c>
      <c r="G78" s="1" t="s">
        <v>1382</v>
      </c>
      <c r="H78" s="1" t="s">
        <v>1391</v>
      </c>
      <c r="I78" s="1" t="s">
        <v>1395</v>
      </c>
      <c r="J78" s="1" t="s">
        <v>1396</v>
      </c>
      <c r="K78" s="6" t="str">
        <f t="shared" si="2"/>
        <v>3076,'BACHILLERATO','nicolas.penarodriguez','008042','TOMAR DEL SND','PEÑA RODRIGUEZ NICOLAS','ADMINISTRACIÓN','6to','MASCULINO','ACTIVO','',0,0,'','ALUMNO'</v>
      </c>
      <c r="L78" s="6" t="str">
        <f t="shared" si="3"/>
        <v>INSERT INTO participantes (id,nivel,correo,matricula,clave,nombre,carrera,grado,sexo,situacion,evaluados,num_evaluados,total_evaluaciones,ultimo_acceso,nivel_acceso) VALUES (3076,'BACHILLERATO','nicolas.penarodriguez','008042','TOMAR DEL SND','PEÑA RODRIGUEZ NICOLAS','ADMINISTRACIÓN','6to','MASCULINO','ACTIVO','',0,0,'','ALUMNO');</v>
      </c>
    </row>
    <row r="79" spans="1:12" x14ac:dyDescent="0.35">
      <c r="A79">
        <v>3077</v>
      </c>
      <c r="B79" s="1" t="s">
        <v>185</v>
      </c>
      <c r="C79" s="1" t="s">
        <v>263</v>
      </c>
      <c r="D79" s="1" t="s">
        <v>660</v>
      </c>
      <c r="E79" s="6" t="s">
        <v>174</v>
      </c>
      <c r="F79" s="1" t="s">
        <v>1059</v>
      </c>
      <c r="G79" s="1" t="s">
        <v>1385</v>
      </c>
      <c r="H79" s="1" t="s">
        <v>1391</v>
      </c>
      <c r="I79" s="1" t="s">
        <v>1394</v>
      </c>
      <c r="J79" s="1" t="s">
        <v>1396</v>
      </c>
      <c r="K79" s="6" t="str">
        <f t="shared" si="2"/>
        <v>3077,'BACHILLERATO','paulasofia.medinaorozco','008043','TOMAR DEL SND','MEDINA OROZCO PAULA SOFIA','COMUNICACIÓN','6to','FEMENINO','ACTIVO','',0,0,'','ALUMNO'</v>
      </c>
      <c r="L79" s="6" t="str">
        <f t="shared" si="3"/>
        <v>INSERT INTO participantes (id,nivel,correo,matricula,clave,nombre,carrera,grado,sexo,situacion,evaluados,num_evaluados,total_evaluaciones,ultimo_acceso,nivel_acceso) VALUES (3077,'BACHILLERATO','paulasofia.medinaorozco','008043','TOMAR DEL SND','MEDINA OROZCO PAULA SOFIA','COMUNICACIÓN','6to','FEMENINO','ACTIVO','',0,0,'','ALUMNO');</v>
      </c>
    </row>
    <row r="80" spans="1:12" x14ac:dyDescent="0.35">
      <c r="A80">
        <v>3078</v>
      </c>
      <c r="B80" s="1" t="s">
        <v>185</v>
      </c>
      <c r="C80" s="1" t="s">
        <v>264</v>
      </c>
      <c r="D80" s="1" t="s">
        <v>661</v>
      </c>
      <c r="E80" s="6" t="s">
        <v>174</v>
      </c>
      <c r="F80" s="1" t="s">
        <v>1060</v>
      </c>
      <c r="G80" s="1" t="s">
        <v>1381</v>
      </c>
      <c r="H80" s="1" t="s">
        <v>1391</v>
      </c>
      <c r="I80" s="1" t="s">
        <v>1394</v>
      </c>
      <c r="J80" s="1" t="s">
        <v>1396</v>
      </c>
      <c r="K80" s="6" t="str">
        <f t="shared" si="2"/>
        <v>3078,'BACHILLERATO','flordemaria.gonzalezdiaz','008044','TOMAR DEL SND','GONZALEZ DIAZ FLOR DE MARIA','DISEÑO GRÁFICO','6to','FEMENINO','ACTIVO','',0,0,'','ALUMNO'</v>
      </c>
      <c r="L80" s="6" t="str">
        <f t="shared" si="3"/>
        <v>INSERT INTO participantes (id,nivel,correo,matricula,clave,nombre,carrera,grado,sexo,situacion,evaluados,num_evaluados,total_evaluaciones,ultimo_acceso,nivel_acceso) VALUES (3078,'BACHILLERATO','flordemaria.gonzalezdiaz','008044','TOMAR DEL SND','GONZALEZ DIAZ FLOR DE MARIA','DISEÑO GRÁFICO','6to','FEMENINO','ACTIVO','',0,0,'','ALUMNO');</v>
      </c>
    </row>
    <row r="81" spans="1:12" x14ac:dyDescent="0.35">
      <c r="A81">
        <v>3079</v>
      </c>
      <c r="B81" s="1" t="s">
        <v>185</v>
      </c>
      <c r="C81" s="1" t="s">
        <v>265</v>
      </c>
      <c r="D81" s="1" t="s">
        <v>662</v>
      </c>
      <c r="E81" s="6" t="s">
        <v>174</v>
      </c>
      <c r="F81" s="1" t="s">
        <v>1061</v>
      </c>
      <c r="G81" s="1" t="s">
        <v>1384</v>
      </c>
      <c r="H81" s="1" t="s">
        <v>1391</v>
      </c>
      <c r="I81" s="1" t="s">
        <v>1395</v>
      </c>
      <c r="J81" s="1" t="s">
        <v>1396</v>
      </c>
      <c r="K81" s="6" t="str">
        <f t="shared" si="2"/>
        <v>3079,'BACHILLERATO','juanmanuel.perezmartinez','008046','TOMAR DEL SND','PEREZ MARTINEZ JUAN MANUEL','ELECTRÓNICA','6to','MASCULINO','ACTIVO','',0,0,'','ALUMNO'</v>
      </c>
      <c r="L81" s="6" t="str">
        <f t="shared" si="3"/>
        <v>INSERT INTO participantes (id,nivel,correo,matricula,clave,nombre,carrera,grado,sexo,situacion,evaluados,num_evaluados,total_evaluaciones,ultimo_acceso,nivel_acceso) VALUES (3079,'BACHILLERATO','juanmanuel.perezmartinez','008046','TOMAR DEL SND','PEREZ MARTINEZ JUAN MANUEL','ELECTRÓNICA','6to','MASCULINO','ACTIVO','',0,0,'','ALUMNO');</v>
      </c>
    </row>
    <row r="82" spans="1:12" x14ac:dyDescent="0.35">
      <c r="A82">
        <v>3080</v>
      </c>
      <c r="B82" s="1" t="s">
        <v>185</v>
      </c>
      <c r="C82" s="1" t="s">
        <v>266</v>
      </c>
      <c r="D82" s="1" t="s">
        <v>663</v>
      </c>
      <c r="E82" s="6" t="s">
        <v>174</v>
      </c>
      <c r="F82" s="1" t="s">
        <v>1062</v>
      </c>
      <c r="G82" s="1" t="s">
        <v>1383</v>
      </c>
      <c r="H82" s="1" t="s">
        <v>1391</v>
      </c>
      <c r="I82" s="1" t="s">
        <v>1394</v>
      </c>
      <c r="J82" s="1" t="s">
        <v>1396</v>
      </c>
      <c r="K82" s="6" t="str">
        <f t="shared" si="2"/>
        <v>3080,'BACHILLERATO','danielalinette.quirozserafiotorres','008047','TOMAR DEL SND','QUIROZ SERAFIO TORRES DANIELA LINETTE','HIGIENE Y SALUD COMUNITARIA','6to','FEMENINO','ACTIVO','',0,0,'','ALUMNO'</v>
      </c>
      <c r="L82" s="6" t="str">
        <f t="shared" si="3"/>
        <v>INSERT INTO participantes (id,nivel,correo,matricula,clave,nombre,carrera,grado,sexo,situacion,evaluados,num_evaluados,total_evaluaciones,ultimo_acceso,nivel_acceso) VALUES (3080,'BACHILLERATO','danielalinette.quirozserafiotorres','008047','TOMAR DEL SND','QUIROZ SERAFIO TORRES DANIELA LINETTE','HIGIENE Y SALUD COMUNITARIA','6to','FEMENINO','ACTIVO','',0,0,'','ALUMNO');</v>
      </c>
    </row>
    <row r="83" spans="1:12" x14ac:dyDescent="0.35">
      <c r="A83">
        <v>3081</v>
      </c>
      <c r="B83" s="1" t="s">
        <v>185</v>
      </c>
      <c r="C83" s="1" t="s">
        <v>267</v>
      </c>
      <c r="D83" s="1" t="s">
        <v>664</v>
      </c>
      <c r="E83" s="6" t="s">
        <v>174</v>
      </c>
      <c r="F83" s="1" t="s">
        <v>1063</v>
      </c>
      <c r="G83" s="1" t="s">
        <v>1381</v>
      </c>
      <c r="H83" s="1" t="s">
        <v>1391</v>
      </c>
      <c r="I83" s="1" t="s">
        <v>1394</v>
      </c>
      <c r="J83" s="1" t="s">
        <v>1396</v>
      </c>
      <c r="K83" s="6" t="str">
        <f t="shared" si="2"/>
        <v>3081,'BACHILLERATO','valeria.zunigacabrera','008048','TOMAR DEL SND','ZUÑIGA CABRERA VALERIA','DISEÑO GRÁFICO','6to','FEMENINO','ACTIVO','',0,0,'','ALUMNO'</v>
      </c>
      <c r="L83" s="6" t="str">
        <f t="shared" si="3"/>
        <v>INSERT INTO participantes (id,nivel,correo,matricula,clave,nombre,carrera,grado,sexo,situacion,evaluados,num_evaluados,total_evaluaciones,ultimo_acceso,nivel_acceso) VALUES (3081,'BACHILLERATO','valeria.zunigacabrera','008048','TOMAR DEL SND','ZUÑIGA CABRERA VALERIA','DISEÑO GRÁFICO','6to','FEMENINO','ACTIVO','',0,0,'','ALUMNO');</v>
      </c>
    </row>
    <row r="84" spans="1:12" x14ac:dyDescent="0.35">
      <c r="A84">
        <v>3082</v>
      </c>
      <c r="B84" s="1" t="s">
        <v>185</v>
      </c>
      <c r="C84" s="1" t="s">
        <v>268</v>
      </c>
      <c r="D84" s="1" t="s">
        <v>665</v>
      </c>
      <c r="E84" s="6" t="s">
        <v>174</v>
      </c>
      <c r="F84" s="1" t="s">
        <v>1064</v>
      </c>
      <c r="G84" s="1" t="s">
        <v>1383</v>
      </c>
      <c r="H84" s="1" t="s">
        <v>1391</v>
      </c>
      <c r="I84" s="1" t="s">
        <v>1395</v>
      </c>
      <c r="J84" s="1" t="s">
        <v>1396</v>
      </c>
      <c r="K84" s="6" t="str">
        <f t="shared" si="2"/>
        <v>3082,'BACHILLERATO','esteban.orozcolopez','008049','TOMAR DEL SND','OROZCO LOPEZ ESTEBAN','HIGIENE Y SALUD COMUNITARIA','6to','MASCULINO','ACTIVO','',0,0,'','ALUMNO'</v>
      </c>
      <c r="L84" s="6" t="str">
        <f t="shared" si="3"/>
        <v>INSERT INTO participantes (id,nivel,correo,matricula,clave,nombre,carrera,grado,sexo,situacion,evaluados,num_evaluados,total_evaluaciones,ultimo_acceso,nivel_acceso) VALUES (3082,'BACHILLERATO','esteban.orozcolopez','008049','TOMAR DEL SND','OROZCO LOPEZ ESTEBAN','HIGIENE Y SALUD COMUNITARIA','6to','MASCULINO','ACTIVO','',0,0,'','ALUMNO');</v>
      </c>
    </row>
    <row r="85" spans="1:12" x14ac:dyDescent="0.35">
      <c r="A85">
        <v>3083</v>
      </c>
      <c r="B85" s="1" t="s">
        <v>185</v>
      </c>
      <c r="C85" s="1" t="s">
        <v>269</v>
      </c>
      <c r="D85" s="1" t="s">
        <v>666</v>
      </c>
      <c r="E85" s="6" t="s">
        <v>174</v>
      </c>
      <c r="F85" s="1" t="s">
        <v>1065</v>
      </c>
      <c r="G85" s="1" t="s">
        <v>1383</v>
      </c>
      <c r="H85" s="1" t="s">
        <v>1391</v>
      </c>
      <c r="I85" s="1" t="s">
        <v>1394</v>
      </c>
      <c r="J85" s="1" t="s">
        <v>1396</v>
      </c>
      <c r="K85" s="6" t="str">
        <f t="shared" si="2"/>
        <v>3083,'BACHILLERATO','karenguadalupe.preciadovirgen','008051','TOMAR DEL SND','PRECIADO VIRGEN KAREN GUADALUPE','HIGIENE Y SALUD COMUNITARIA','6to','FEMENINO','ACTIVO','',0,0,'','ALUMNO'</v>
      </c>
      <c r="L85" s="6" t="str">
        <f t="shared" si="3"/>
        <v>INSERT INTO participantes (id,nivel,correo,matricula,clave,nombre,carrera,grado,sexo,situacion,evaluados,num_evaluados,total_evaluaciones,ultimo_acceso,nivel_acceso) VALUES (3083,'BACHILLERATO','karenguadalupe.preciadovirgen','008051','TOMAR DEL SND','PRECIADO VIRGEN KAREN GUADALUPE','HIGIENE Y SALUD COMUNITARIA','6to','FEMENINO','ACTIVO','',0,0,'','ALUMNO');</v>
      </c>
    </row>
    <row r="86" spans="1:12" x14ac:dyDescent="0.35">
      <c r="A86">
        <v>3084</v>
      </c>
      <c r="B86" s="1" t="s">
        <v>185</v>
      </c>
      <c r="C86" s="1" t="s">
        <v>270</v>
      </c>
      <c r="D86" s="1" t="s">
        <v>667</v>
      </c>
      <c r="E86" s="6" t="s">
        <v>174</v>
      </c>
      <c r="F86" s="1" t="s">
        <v>1066</v>
      </c>
      <c r="G86" s="1" t="s">
        <v>1383</v>
      </c>
      <c r="H86" s="1" t="s">
        <v>1391</v>
      </c>
      <c r="I86" s="1" t="s">
        <v>1395</v>
      </c>
      <c r="J86" s="1" t="s">
        <v>1396</v>
      </c>
      <c r="K86" s="6" t="str">
        <f t="shared" si="2"/>
        <v>3084,'BACHILLERATO','josegael.santoyomedina','008052','TOMAR DEL SND','SANTOYO MEDINA JOSE GAEL','HIGIENE Y SALUD COMUNITARIA','6to','MASCULINO','ACTIVO','',0,0,'','ALUMNO'</v>
      </c>
      <c r="L86" s="6" t="str">
        <f t="shared" si="3"/>
        <v>INSERT INTO participantes (id,nivel,correo,matricula,clave,nombre,carrera,grado,sexo,situacion,evaluados,num_evaluados,total_evaluaciones,ultimo_acceso,nivel_acceso) VALUES (3084,'BACHILLERATO','josegael.santoyomedina','008052','TOMAR DEL SND','SANTOYO MEDINA JOSE GAEL','HIGIENE Y SALUD COMUNITARIA','6to','MASCULINO','ACTIVO','',0,0,'','ALUMNO');</v>
      </c>
    </row>
    <row r="87" spans="1:12" x14ac:dyDescent="0.35">
      <c r="A87">
        <v>3085</v>
      </c>
      <c r="B87" s="1" t="s">
        <v>185</v>
      </c>
      <c r="C87" s="1" t="s">
        <v>271</v>
      </c>
      <c r="D87" s="1" t="s">
        <v>668</v>
      </c>
      <c r="E87" s="6" t="s">
        <v>174</v>
      </c>
      <c r="F87" s="1" t="s">
        <v>1067</v>
      </c>
      <c r="G87" s="1" t="s">
        <v>1383</v>
      </c>
      <c r="H87" s="1" t="s">
        <v>1391</v>
      </c>
      <c r="I87" s="1" t="s">
        <v>1394</v>
      </c>
      <c r="J87" s="1" t="s">
        <v>1396</v>
      </c>
      <c r="K87" s="6" t="str">
        <f t="shared" si="2"/>
        <v>3085,'BACHILLERATO','pauladariana.ruizjimenez','008053','TOMAR DEL SND','RUIZ JIMENEZ PAULA DARIANA','HIGIENE Y SALUD COMUNITARIA','6to','FEMENINO','ACTIVO','',0,0,'','ALUMNO'</v>
      </c>
      <c r="L87" s="6" t="str">
        <f t="shared" si="3"/>
        <v>INSERT INTO participantes (id,nivel,correo,matricula,clave,nombre,carrera,grado,sexo,situacion,evaluados,num_evaluados,total_evaluaciones,ultimo_acceso,nivel_acceso) VALUES (3085,'BACHILLERATO','pauladariana.ruizjimenez','008053','TOMAR DEL SND','RUIZ JIMENEZ PAULA DARIANA','HIGIENE Y SALUD COMUNITARIA','6to','FEMENINO','ACTIVO','',0,0,'','ALUMNO');</v>
      </c>
    </row>
    <row r="88" spans="1:12" x14ac:dyDescent="0.35">
      <c r="A88">
        <v>3086</v>
      </c>
      <c r="B88" s="1" t="s">
        <v>185</v>
      </c>
      <c r="C88" s="1" t="s">
        <v>272</v>
      </c>
      <c r="D88" s="1" t="s">
        <v>669</v>
      </c>
      <c r="E88" s="6" t="s">
        <v>174</v>
      </c>
      <c r="F88" s="1" t="s">
        <v>1068</v>
      </c>
      <c r="G88" s="1" t="s">
        <v>1386</v>
      </c>
      <c r="H88" s="1" t="s">
        <v>1392</v>
      </c>
      <c r="I88" s="1" t="s">
        <v>1395</v>
      </c>
      <c r="J88" s="1" t="s">
        <v>1397</v>
      </c>
      <c r="K88" s="6" t="str">
        <f t="shared" si="2"/>
        <v>3086,'BACHILLERATO','ferranantonio.coronadomaroun','008054','TOMAR DEL SND','CORONADO MAROUN FERRAN ANTONIO','ADMINISTRACIÓNA','4to','MASCULINO','REINGRESO','',0,0,'','ALUMNO'</v>
      </c>
      <c r="L88" s="6" t="str">
        <f t="shared" si="3"/>
        <v>INSERT INTO participantes (id,nivel,correo,matricula,clave,nombre,carrera,grado,sexo,situacion,evaluados,num_evaluados,total_evaluaciones,ultimo_acceso,nivel_acceso) VALUES (3086,'BACHILLERATO','ferranantonio.coronadomaroun','008054','TOMAR DEL SND','CORONADO MAROUN FERRAN ANTONIO','ADMINISTRACIÓNA','4to','MASCULINO','REINGRESO','',0,0,'','ALUMNO');</v>
      </c>
    </row>
    <row r="89" spans="1:12" x14ac:dyDescent="0.35">
      <c r="A89">
        <v>3087</v>
      </c>
      <c r="B89" s="1" t="s">
        <v>185</v>
      </c>
      <c r="C89" s="1" t="s">
        <v>273</v>
      </c>
      <c r="D89" s="1" t="s">
        <v>670</v>
      </c>
      <c r="E89" s="6" t="s">
        <v>174</v>
      </c>
      <c r="F89" s="1" t="s">
        <v>1069</v>
      </c>
      <c r="G89" s="1" t="s">
        <v>1383</v>
      </c>
      <c r="H89" s="1" t="s">
        <v>1391</v>
      </c>
      <c r="I89" s="1" t="s">
        <v>1394</v>
      </c>
      <c r="J89" s="1" t="s">
        <v>1396</v>
      </c>
      <c r="K89" s="6" t="str">
        <f t="shared" si="2"/>
        <v>3087,'BACHILLERATO','vaniaromina.floressuarez','008055','TOMAR DEL SND','FLORES SUAREZ VANIA ROMINA','HIGIENE Y SALUD COMUNITARIA','6to','FEMENINO','ACTIVO','',0,0,'','ALUMNO'</v>
      </c>
      <c r="L89" s="6" t="str">
        <f t="shared" si="3"/>
        <v>INSERT INTO participantes (id,nivel,correo,matricula,clave,nombre,carrera,grado,sexo,situacion,evaluados,num_evaluados,total_evaluaciones,ultimo_acceso,nivel_acceso) VALUES (3087,'BACHILLERATO','vaniaromina.floressuarez','008055','TOMAR DEL SND','FLORES SUAREZ VANIA ROMINA','HIGIENE Y SALUD COMUNITARIA','6to','FEMENINO','ACTIVO','',0,0,'','ALUMNO');</v>
      </c>
    </row>
    <row r="90" spans="1:12" x14ac:dyDescent="0.35">
      <c r="A90">
        <v>3088</v>
      </c>
      <c r="B90" s="1" t="s">
        <v>185</v>
      </c>
      <c r="C90" s="1" t="s">
        <v>274</v>
      </c>
      <c r="D90" s="1" t="s">
        <v>671</v>
      </c>
      <c r="E90" s="6" t="s">
        <v>174</v>
      </c>
      <c r="F90" s="1" t="s">
        <v>1070</v>
      </c>
      <c r="G90" s="1" t="s">
        <v>1382</v>
      </c>
      <c r="H90" s="1" t="s">
        <v>1391</v>
      </c>
      <c r="I90" s="1" t="s">
        <v>1395</v>
      </c>
      <c r="J90" s="1" t="s">
        <v>1396</v>
      </c>
      <c r="K90" s="6" t="str">
        <f t="shared" si="2"/>
        <v>3088,'BACHILLERATO','leonardosaul.curielgomez','008056','TOMAR DEL SND','CURIEL GOMEZ LEONARDO SAUL','ADMINISTRACIÓN','6to','MASCULINO','ACTIVO','',0,0,'','ALUMNO'</v>
      </c>
      <c r="L90" s="6" t="str">
        <f t="shared" si="3"/>
        <v>INSERT INTO participantes (id,nivel,correo,matricula,clave,nombre,carrera,grado,sexo,situacion,evaluados,num_evaluados,total_evaluaciones,ultimo_acceso,nivel_acceso) VALUES (3088,'BACHILLERATO','leonardosaul.curielgomez','008056','TOMAR DEL SND','CURIEL GOMEZ LEONARDO SAUL','ADMINISTRACIÓN','6to','MASCULINO','ACTIVO','',0,0,'','ALUMNO');</v>
      </c>
    </row>
    <row r="91" spans="1:12" x14ac:dyDescent="0.35">
      <c r="A91">
        <v>3089</v>
      </c>
      <c r="B91" s="1" t="s">
        <v>185</v>
      </c>
      <c r="C91" s="1" t="s">
        <v>275</v>
      </c>
      <c r="D91" s="1" t="s">
        <v>672</v>
      </c>
      <c r="E91" s="6" t="s">
        <v>174</v>
      </c>
      <c r="F91" s="1" t="s">
        <v>1071</v>
      </c>
      <c r="G91" s="1" t="s">
        <v>1381</v>
      </c>
      <c r="H91" s="1" t="s">
        <v>1391</v>
      </c>
      <c r="I91" s="1" t="s">
        <v>1394</v>
      </c>
      <c r="J91" s="1" t="s">
        <v>1396</v>
      </c>
      <c r="K91" s="6" t="str">
        <f t="shared" si="2"/>
        <v>3089,'BACHILLERATO','andrea.delgadomena','008057','TOMAR DEL SND','DELGADO MENA ANDREA','DISEÑO GRÁFICO','6to','FEMENINO','ACTIVO','',0,0,'','ALUMNO'</v>
      </c>
      <c r="L91" s="6" t="str">
        <f t="shared" si="3"/>
        <v>INSERT INTO participantes (id,nivel,correo,matricula,clave,nombre,carrera,grado,sexo,situacion,evaluados,num_evaluados,total_evaluaciones,ultimo_acceso,nivel_acceso) VALUES (3089,'BACHILLERATO','andrea.delgadomena','008057','TOMAR DEL SND','DELGADO MENA ANDREA','DISEÑO GRÁFICO','6to','FEMENINO','ACTIVO','',0,0,'','ALUMNO');</v>
      </c>
    </row>
    <row r="92" spans="1:12" x14ac:dyDescent="0.35">
      <c r="A92">
        <v>3090</v>
      </c>
      <c r="B92" s="1" t="s">
        <v>185</v>
      </c>
      <c r="C92" s="1" t="s">
        <v>276</v>
      </c>
      <c r="D92" s="1" t="s">
        <v>673</v>
      </c>
      <c r="E92" s="6" t="s">
        <v>174</v>
      </c>
      <c r="F92" s="1" t="s">
        <v>1072</v>
      </c>
      <c r="G92" s="1" t="s">
        <v>1384</v>
      </c>
      <c r="H92" s="1" t="s">
        <v>1391</v>
      </c>
      <c r="I92" s="1" t="s">
        <v>1395</v>
      </c>
      <c r="J92" s="1" t="s">
        <v>1396</v>
      </c>
      <c r="K92" s="6" t="str">
        <f t="shared" si="2"/>
        <v>3090,'BACHILLERATO','sebastianemiliano.garciaperez','008059','TOMAR DEL SND','GARCIA PEREZ SEBASTIAN EMILIANO','ELECTRÓNICA','6to','MASCULINO','ACTIVO','',0,0,'','ALUMNO'</v>
      </c>
      <c r="L92" s="6" t="str">
        <f t="shared" si="3"/>
        <v>INSERT INTO participantes (id,nivel,correo,matricula,clave,nombre,carrera,grado,sexo,situacion,evaluados,num_evaluados,total_evaluaciones,ultimo_acceso,nivel_acceso) VALUES (3090,'BACHILLERATO','sebastianemiliano.garciaperez','008059','TOMAR DEL SND','GARCIA PEREZ SEBASTIAN EMILIANO','ELECTRÓNICA','6to','MASCULINO','ACTIVO','',0,0,'','ALUMNO');</v>
      </c>
    </row>
    <row r="93" spans="1:12" x14ac:dyDescent="0.35">
      <c r="A93">
        <v>3091</v>
      </c>
      <c r="B93" s="1" t="s">
        <v>185</v>
      </c>
      <c r="C93" s="1" t="s">
        <v>277</v>
      </c>
      <c r="D93" s="1" t="s">
        <v>674</v>
      </c>
      <c r="E93" s="6" t="s">
        <v>174</v>
      </c>
      <c r="F93" s="1" t="s">
        <v>1073</v>
      </c>
      <c r="G93" s="1" t="s">
        <v>1385</v>
      </c>
      <c r="H93" s="1" t="s">
        <v>1391</v>
      </c>
      <c r="I93" s="1" t="s">
        <v>1394</v>
      </c>
      <c r="J93" s="1" t="s">
        <v>1396</v>
      </c>
      <c r="K93" s="6" t="str">
        <f t="shared" si="2"/>
        <v>3091,'BACHILLERATO','danafernanda.ochoaacosta','008062','TOMAR DEL SND','OCHOA ACOSTA DANA FERNANDA','COMUNICACIÓN','6to','FEMENINO','ACTIVO','',0,0,'','ALUMNO'</v>
      </c>
      <c r="L93" s="6" t="str">
        <f t="shared" si="3"/>
        <v>INSERT INTO participantes (id,nivel,correo,matricula,clave,nombre,carrera,grado,sexo,situacion,evaluados,num_evaluados,total_evaluaciones,ultimo_acceso,nivel_acceso) VALUES (3091,'BACHILLERATO','danafernanda.ochoaacosta','008062','TOMAR DEL SND','OCHOA ACOSTA DANA FERNANDA','COMUNICACIÓN','6to','FEMENINO','ACTIVO','',0,0,'','ALUMNO');</v>
      </c>
    </row>
    <row r="94" spans="1:12" x14ac:dyDescent="0.35">
      <c r="A94">
        <v>3092</v>
      </c>
      <c r="B94" s="1" t="s">
        <v>185</v>
      </c>
      <c r="C94" s="1" t="s">
        <v>278</v>
      </c>
      <c r="D94" s="1" t="s">
        <v>675</v>
      </c>
      <c r="E94" s="6" t="s">
        <v>174</v>
      </c>
      <c r="F94" s="1" t="s">
        <v>1074</v>
      </c>
      <c r="G94" s="1" t="s">
        <v>1383</v>
      </c>
      <c r="H94" s="1" t="s">
        <v>1391</v>
      </c>
      <c r="I94" s="1" t="s">
        <v>1395</v>
      </c>
      <c r="J94" s="1" t="s">
        <v>1396</v>
      </c>
      <c r="K94" s="6" t="str">
        <f t="shared" si="2"/>
        <v>3092,'BACHILLERATO','diegoalejandro.ruizventura','008063','TOMAR DEL SND','RUIZ VENTURA DIEGO ALEJANDRO','HIGIENE Y SALUD COMUNITARIA','6to','MASCULINO','ACTIVO','',0,0,'','ALUMNO'</v>
      </c>
      <c r="L94" s="6" t="str">
        <f t="shared" si="3"/>
        <v>INSERT INTO participantes (id,nivel,correo,matricula,clave,nombre,carrera,grado,sexo,situacion,evaluados,num_evaluados,total_evaluaciones,ultimo_acceso,nivel_acceso) VALUES (3092,'BACHILLERATO','diegoalejandro.ruizventura','008063','TOMAR DEL SND','RUIZ VENTURA DIEGO ALEJANDRO','HIGIENE Y SALUD COMUNITARIA','6to','MASCULINO','ACTIVO','',0,0,'','ALUMNO');</v>
      </c>
    </row>
    <row r="95" spans="1:12" x14ac:dyDescent="0.35">
      <c r="A95">
        <v>3093</v>
      </c>
      <c r="B95" s="1" t="s">
        <v>185</v>
      </c>
      <c r="C95" s="1" t="s">
        <v>279</v>
      </c>
      <c r="D95" s="1" t="s">
        <v>676</v>
      </c>
      <c r="E95" s="6" t="s">
        <v>174</v>
      </c>
      <c r="F95" s="1" t="s">
        <v>1075</v>
      </c>
      <c r="G95" s="1" t="s">
        <v>1382</v>
      </c>
      <c r="H95" s="1" t="s">
        <v>1391</v>
      </c>
      <c r="I95" s="1" t="s">
        <v>1395</v>
      </c>
      <c r="J95" s="1" t="s">
        <v>1396</v>
      </c>
      <c r="K95" s="6" t="str">
        <f t="shared" si="2"/>
        <v>3093,'BACHILLERATO','maximiliano.castellanoscazares','008065','TOMAR DEL SND','CASTELLANOS CAZARES MAXIMILIANO','ADMINISTRACIÓN','6to','MASCULINO','ACTIVO','',0,0,'','ALUMNO'</v>
      </c>
      <c r="L95" s="6" t="str">
        <f t="shared" si="3"/>
        <v>INSERT INTO participantes (id,nivel,correo,matricula,clave,nombre,carrera,grado,sexo,situacion,evaluados,num_evaluados,total_evaluaciones,ultimo_acceso,nivel_acceso) VALUES (3093,'BACHILLERATO','maximiliano.castellanoscazares','008065','TOMAR DEL SND','CASTELLANOS CAZARES MAXIMILIANO','ADMINISTRACIÓN','6to','MASCULINO','ACTIVO','',0,0,'','ALUMNO');</v>
      </c>
    </row>
    <row r="96" spans="1:12" x14ac:dyDescent="0.35">
      <c r="A96">
        <v>3094</v>
      </c>
      <c r="B96" s="1" t="s">
        <v>185</v>
      </c>
      <c r="C96" s="1" t="s">
        <v>280</v>
      </c>
      <c r="D96" s="1" t="s">
        <v>677</v>
      </c>
      <c r="E96" s="6" t="s">
        <v>174</v>
      </c>
      <c r="F96" s="1" t="s">
        <v>1076</v>
      </c>
      <c r="G96" s="1" t="s">
        <v>1385</v>
      </c>
      <c r="H96" s="1" t="s">
        <v>1391</v>
      </c>
      <c r="I96" s="1" t="s">
        <v>1394</v>
      </c>
      <c r="J96" s="1" t="s">
        <v>1396</v>
      </c>
      <c r="K96" s="6" t="str">
        <f t="shared" si="2"/>
        <v>3094,'BACHILLERATO','regina.barajasmariscal','008066','TOMAR DEL SND','BARAJAS MARISCAL REGINA','COMUNICACIÓN','6to','FEMENINO','ACTIVO','',0,0,'','ALUMNO'</v>
      </c>
      <c r="L96" s="6" t="str">
        <f t="shared" si="3"/>
        <v>INSERT INTO participantes (id,nivel,correo,matricula,clave,nombre,carrera,grado,sexo,situacion,evaluados,num_evaluados,total_evaluaciones,ultimo_acceso,nivel_acceso) VALUES (3094,'BACHILLERATO','regina.barajasmariscal','008066','TOMAR DEL SND','BARAJAS MARISCAL REGINA','COMUNICACIÓN','6to','FEMENINO','ACTIVO','',0,0,'','ALUMNO');</v>
      </c>
    </row>
    <row r="97" spans="1:12" x14ac:dyDescent="0.35">
      <c r="A97">
        <v>3095</v>
      </c>
      <c r="B97" s="1" t="s">
        <v>185</v>
      </c>
      <c r="C97" s="1" t="s">
        <v>281</v>
      </c>
      <c r="D97" s="1" t="s">
        <v>678</v>
      </c>
      <c r="E97" s="6" t="s">
        <v>174</v>
      </c>
      <c r="F97" s="1" t="s">
        <v>1077</v>
      </c>
      <c r="G97" s="1" t="s">
        <v>1383</v>
      </c>
      <c r="H97" s="1" t="s">
        <v>1391</v>
      </c>
      <c r="I97" s="1" t="s">
        <v>1394</v>
      </c>
      <c r="J97" s="1" t="s">
        <v>1396</v>
      </c>
      <c r="K97" s="6" t="str">
        <f t="shared" si="2"/>
        <v>3095,'BACHILLERATO','anettemichell.esparzavillalobos','008067','TOMAR DEL SND','ESPARZA VILLALOBOS ANETTE MICHELL','HIGIENE Y SALUD COMUNITARIA','6to','FEMENINO','ACTIVO','',0,0,'','ALUMNO'</v>
      </c>
      <c r="L97" s="6" t="str">
        <f t="shared" si="3"/>
        <v>INSERT INTO participantes (id,nivel,correo,matricula,clave,nombre,carrera,grado,sexo,situacion,evaluados,num_evaluados,total_evaluaciones,ultimo_acceso,nivel_acceso) VALUES (3095,'BACHILLERATO','anettemichell.esparzavillalobos','008067','TOMAR DEL SND','ESPARZA VILLALOBOS ANETTE MICHELL','HIGIENE Y SALUD COMUNITARIA','6to','FEMENINO','ACTIVO','',0,0,'','ALUMNO');</v>
      </c>
    </row>
    <row r="98" spans="1:12" x14ac:dyDescent="0.35">
      <c r="A98">
        <v>3096</v>
      </c>
      <c r="B98" s="1" t="s">
        <v>185</v>
      </c>
      <c r="C98" s="1" t="s">
        <v>282</v>
      </c>
      <c r="D98" s="1" t="s">
        <v>679</v>
      </c>
      <c r="E98" s="6" t="s">
        <v>174</v>
      </c>
      <c r="F98" s="1" t="s">
        <v>1078</v>
      </c>
      <c r="G98" s="1" t="s">
        <v>1381</v>
      </c>
      <c r="H98" s="1" t="s">
        <v>1391</v>
      </c>
      <c r="I98" s="1" t="s">
        <v>1394</v>
      </c>
      <c r="J98" s="1" t="s">
        <v>1396</v>
      </c>
      <c r="K98" s="6" t="str">
        <f t="shared" si="2"/>
        <v>3096,'BACHILLERATO','perlapaola.ramosflores','008068','TOMAR DEL SND','RAMOS FLORES PERLA PAOLA','DISEÑO GRÁFICO','6to','FEMENINO','ACTIVO','',0,0,'','ALUMNO'</v>
      </c>
      <c r="L98" s="6" t="str">
        <f t="shared" si="3"/>
        <v>INSERT INTO participantes (id,nivel,correo,matricula,clave,nombre,carrera,grado,sexo,situacion,evaluados,num_evaluados,total_evaluaciones,ultimo_acceso,nivel_acceso) VALUES (3096,'BACHILLERATO','perlapaola.ramosflores','008068','TOMAR DEL SND','RAMOS FLORES PERLA PAOLA','DISEÑO GRÁFICO','6to','FEMENINO','ACTIVO','',0,0,'','ALUMNO');</v>
      </c>
    </row>
    <row r="99" spans="1:12" x14ac:dyDescent="0.35">
      <c r="A99">
        <v>3097</v>
      </c>
      <c r="B99" s="1" t="s">
        <v>185</v>
      </c>
      <c r="C99" s="1" t="s">
        <v>283</v>
      </c>
      <c r="D99" s="1" t="s">
        <v>680</v>
      </c>
      <c r="E99" s="6" t="s">
        <v>174</v>
      </c>
      <c r="F99" s="1" t="s">
        <v>1079</v>
      </c>
      <c r="G99" s="1" t="s">
        <v>1385</v>
      </c>
      <c r="H99" s="1" t="s">
        <v>1391</v>
      </c>
      <c r="I99" s="1" t="s">
        <v>1394</v>
      </c>
      <c r="J99" s="1" t="s">
        <v>1396</v>
      </c>
      <c r="K99" s="6" t="str">
        <f t="shared" si="2"/>
        <v>3097,'BACHILLERATO','guadalupejoseline.hernandezdoroteo','008069','TOMAR DEL SND','HERNANDEZ DOROTEO GUADALUPE JOSELINE','COMUNICACIÓN','6to','FEMENINO','ACTIVO','',0,0,'','ALUMNO'</v>
      </c>
      <c r="L99" s="6" t="str">
        <f t="shared" si="3"/>
        <v>INSERT INTO participantes (id,nivel,correo,matricula,clave,nombre,carrera,grado,sexo,situacion,evaluados,num_evaluados,total_evaluaciones,ultimo_acceso,nivel_acceso) VALUES (3097,'BACHILLERATO','guadalupejoseline.hernandezdoroteo','008069','TOMAR DEL SND','HERNANDEZ DOROTEO GUADALUPE JOSELINE','COMUNICACIÓN','6to','FEMENINO','ACTIVO','',0,0,'','ALUMNO');</v>
      </c>
    </row>
    <row r="100" spans="1:12" x14ac:dyDescent="0.35">
      <c r="A100">
        <v>3098</v>
      </c>
      <c r="B100" s="1" t="s">
        <v>185</v>
      </c>
      <c r="C100" s="1" t="s">
        <v>284</v>
      </c>
      <c r="D100" s="1" t="s">
        <v>681</v>
      </c>
      <c r="E100" s="6" t="s">
        <v>174</v>
      </c>
      <c r="F100" s="1" t="s">
        <v>1080</v>
      </c>
      <c r="G100" s="1" t="s">
        <v>1382</v>
      </c>
      <c r="H100" s="1" t="s">
        <v>1391</v>
      </c>
      <c r="I100" s="1" t="s">
        <v>1394</v>
      </c>
      <c r="J100" s="1" t="s">
        <v>1396</v>
      </c>
      <c r="K100" s="6" t="str">
        <f t="shared" si="2"/>
        <v>3098,'BACHILLERATO','marianadesiree.moralesvazquez','008072','TOMAR DEL SND','MORALES VAZQUEZ MARIANA DESIREE','ADMINISTRACIÓN','6to','FEMENINO','ACTIVO','',0,0,'','ALUMNO'</v>
      </c>
      <c r="L100" s="6" t="str">
        <f t="shared" si="3"/>
        <v>INSERT INTO participantes (id,nivel,correo,matricula,clave,nombre,carrera,grado,sexo,situacion,evaluados,num_evaluados,total_evaluaciones,ultimo_acceso,nivel_acceso) VALUES (3098,'BACHILLERATO','marianadesiree.moralesvazquez','008072','TOMAR DEL SND','MORALES VAZQUEZ MARIANA DESIREE','ADMINISTRACIÓN','6to','FEMENINO','ACTIVO','',0,0,'','ALUMNO');</v>
      </c>
    </row>
    <row r="101" spans="1:12" x14ac:dyDescent="0.35">
      <c r="A101">
        <v>3099</v>
      </c>
      <c r="B101" s="1" t="s">
        <v>185</v>
      </c>
      <c r="C101" s="1" t="s">
        <v>285</v>
      </c>
      <c r="D101" s="1" t="s">
        <v>682</v>
      </c>
      <c r="E101" s="6" t="s">
        <v>174</v>
      </c>
      <c r="F101" s="1" t="s">
        <v>1081</v>
      </c>
      <c r="G101" s="1" t="s">
        <v>1381</v>
      </c>
      <c r="H101" s="1" t="s">
        <v>1391</v>
      </c>
      <c r="I101" s="1" t="s">
        <v>1394</v>
      </c>
      <c r="J101" s="1" t="s">
        <v>1397</v>
      </c>
      <c r="K101" s="6" t="str">
        <f t="shared" si="2"/>
        <v>3099,'BACHILLERATO','dannapaola.torrecillasamezcua','008074','TOMAR DEL SND','TORRECILLAS AMEZCUA DANNA PAOLA','DISEÑO GRÁFICO','6to','FEMENINO','REINGRESO','',0,0,'','ALUMNO'</v>
      </c>
      <c r="L101" s="6" t="str">
        <f t="shared" si="3"/>
        <v>INSERT INTO participantes (id,nivel,correo,matricula,clave,nombre,carrera,grado,sexo,situacion,evaluados,num_evaluados,total_evaluaciones,ultimo_acceso,nivel_acceso) VALUES (3099,'BACHILLERATO','dannapaola.torrecillasamezcua','008074','TOMAR DEL SND','TORRECILLAS AMEZCUA DANNA PAOLA','DISEÑO GRÁFICO','6to','FEMENINO','REINGRESO','',0,0,'','ALUMNO');</v>
      </c>
    </row>
    <row r="102" spans="1:12" x14ac:dyDescent="0.35">
      <c r="A102">
        <v>3100</v>
      </c>
      <c r="B102" s="1" t="s">
        <v>185</v>
      </c>
      <c r="C102" s="1" t="s">
        <v>286</v>
      </c>
      <c r="D102" s="1" t="s">
        <v>683</v>
      </c>
      <c r="E102" s="6" t="s">
        <v>174</v>
      </c>
      <c r="F102" s="1" t="s">
        <v>1082</v>
      </c>
      <c r="G102" s="1" t="s">
        <v>1382</v>
      </c>
      <c r="H102" s="1" t="s">
        <v>1391</v>
      </c>
      <c r="I102" s="1" t="s">
        <v>1395</v>
      </c>
      <c r="J102" s="1" t="s">
        <v>1396</v>
      </c>
      <c r="K102" s="6" t="str">
        <f t="shared" si="2"/>
        <v>3100,'BACHILLERATO','victorhugo.barragantome','008075','TOMAR DEL SND','BARRAGAN TOME VICTOR HUGO','ADMINISTRACIÓN','6to','MASCULINO','ACTIVO','',0,0,'','ALUMNO'</v>
      </c>
      <c r="L102" s="6" t="str">
        <f t="shared" si="3"/>
        <v>INSERT INTO participantes (id,nivel,correo,matricula,clave,nombre,carrera,grado,sexo,situacion,evaluados,num_evaluados,total_evaluaciones,ultimo_acceso,nivel_acceso) VALUES (3100,'BACHILLERATO','victorhugo.barragantome','008075','TOMAR DEL SND','BARRAGAN TOME VICTOR HUGO','ADMINISTRACIÓN','6to','MASCULINO','ACTIVO','',0,0,'','ALUMNO');</v>
      </c>
    </row>
    <row r="103" spans="1:12" x14ac:dyDescent="0.35">
      <c r="A103">
        <v>3101</v>
      </c>
      <c r="B103" s="1" t="s">
        <v>185</v>
      </c>
      <c r="C103" s="1" t="s">
        <v>287</v>
      </c>
      <c r="D103" s="1" t="s">
        <v>684</v>
      </c>
      <c r="E103" s="6" t="s">
        <v>174</v>
      </c>
      <c r="F103" s="1" t="s">
        <v>1083</v>
      </c>
      <c r="G103" s="1" t="s">
        <v>1381</v>
      </c>
      <c r="H103" s="1" t="s">
        <v>1391</v>
      </c>
      <c r="I103" s="1" t="s">
        <v>1395</v>
      </c>
      <c r="J103" s="1" t="s">
        <v>1396</v>
      </c>
      <c r="K103" s="6" t="str">
        <f t="shared" si="2"/>
        <v>3101,'BACHILLERATO','ikersantiago.diegocervantes','008076','TOMAR DEL SND','DIEGO CERVANTES IKER SANTIAGO','DISEÑO GRÁFICO','6to','MASCULINO','ACTIVO','',0,0,'','ALUMNO'</v>
      </c>
      <c r="L103" s="6" t="str">
        <f t="shared" si="3"/>
        <v>INSERT INTO participantes (id,nivel,correo,matricula,clave,nombre,carrera,grado,sexo,situacion,evaluados,num_evaluados,total_evaluaciones,ultimo_acceso,nivel_acceso) VALUES (3101,'BACHILLERATO','ikersantiago.diegocervantes','008076','TOMAR DEL SND','DIEGO CERVANTES IKER SANTIAGO','DISEÑO GRÁFICO','6to','MASCULINO','ACTIVO','',0,0,'','ALUMNO');</v>
      </c>
    </row>
    <row r="104" spans="1:12" x14ac:dyDescent="0.35">
      <c r="A104">
        <v>3102</v>
      </c>
      <c r="B104" s="1" t="s">
        <v>185</v>
      </c>
      <c r="C104" s="1" t="s">
        <v>288</v>
      </c>
      <c r="D104" s="1" t="s">
        <v>685</v>
      </c>
      <c r="E104" s="6" t="s">
        <v>174</v>
      </c>
      <c r="F104" s="1" t="s">
        <v>1084</v>
      </c>
      <c r="G104" s="1" t="s">
        <v>1383</v>
      </c>
      <c r="H104" s="1" t="s">
        <v>1391</v>
      </c>
      <c r="I104" s="1" t="s">
        <v>1395</v>
      </c>
      <c r="J104" s="1" t="s">
        <v>1396</v>
      </c>
      <c r="K104" s="6" t="str">
        <f t="shared" si="2"/>
        <v>3102,'BACHILLERATO','marioangel.gonzalezlopez','008077','TOMAR DEL SND','GONZALEZ LOPEZ MARIO ANGEL','HIGIENE Y SALUD COMUNITARIA','6to','MASCULINO','ACTIVO','',0,0,'','ALUMNO'</v>
      </c>
      <c r="L104" s="6" t="str">
        <f t="shared" si="3"/>
        <v>INSERT INTO participantes (id,nivel,correo,matricula,clave,nombre,carrera,grado,sexo,situacion,evaluados,num_evaluados,total_evaluaciones,ultimo_acceso,nivel_acceso) VALUES (3102,'BACHILLERATO','marioangel.gonzalezlopez','008077','TOMAR DEL SND','GONZALEZ LOPEZ MARIO ANGEL','HIGIENE Y SALUD COMUNITARIA','6to','MASCULINO','ACTIVO','',0,0,'','ALUMNO');</v>
      </c>
    </row>
    <row r="105" spans="1:12" x14ac:dyDescent="0.35">
      <c r="A105">
        <v>3103</v>
      </c>
      <c r="B105" s="1" t="s">
        <v>185</v>
      </c>
      <c r="C105" s="1" t="s">
        <v>289</v>
      </c>
      <c r="D105" s="1" t="s">
        <v>686</v>
      </c>
      <c r="E105" s="6" t="s">
        <v>174</v>
      </c>
      <c r="F105" s="1" t="s">
        <v>1085</v>
      </c>
      <c r="G105" s="1" t="s">
        <v>1385</v>
      </c>
      <c r="H105" s="1" t="s">
        <v>1391</v>
      </c>
      <c r="I105" s="1" t="s">
        <v>1394</v>
      </c>
      <c r="J105" s="1" t="s">
        <v>1396</v>
      </c>
      <c r="K105" s="6" t="str">
        <f t="shared" si="2"/>
        <v>3103,'BACHILLERATO','mariapaula.lunamacias','008079','TOMAR DEL SND','LUNA MACIAS MARIA PAULA','COMUNICACIÓN','6to','FEMENINO','ACTIVO','',0,0,'','ALUMNO'</v>
      </c>
      <c r="L105" s="6" t="str">
        <f t="shared" si="3"/>
        <v>INSERT INTO participantes (id,nivel,correo,matricula,clave,nombre,carrera,grado,sexo,situacion,evaluados,num_evaluados,total_evaluaciones,ultimo_acceso,nivel_acceso) VALUES (3103,'BACHILLERATO','mariapaula.lunamacias','008079','TOMAR DEL SND','LUNA MACIAS MARIA PAULA','COMUNICACIÓN','6to','FEMENINO','ACTIVO','',0,0,'','ALUMNO');</v>
      </c>
    </row>
    <row r="106" spans="1:12" x14ac:dyDescent="0.35">
      <c r="A106">
        <v>3104</v>
      </c>
      <c r="B106" s="1" t="s">
        <v>185</v>
      </c>
      <c r="C106" s="1" t="s">
        <v>290</v>
      </c>
      <c r="D106" s="1" t="s">
        <v>687</v>
      </c>
      <c r="E106" s="6" t="s">
        <v>174</v>
      </c>
      <c r="F106" s="1" t="s">
        <v>1086</v>
      </c>
      <c r="G106" s="1" t="s">
        <v>1381</v>
      </c>
      <c r="H106" s="1" t="s">
        <v>1391</v>
      </c>
      <c r="I106" s="1" t="s">
        <v>1395</v>
      </c>
      <c r="J106" s="1" t="s">
        <v>1396</v>
      </c>
      <c r="K106" s="6" t="str">
        <f t="shared" si="2"/>
        <v>3104,'BACHILLERATO','sergio.ramirezgomez','008081','TOMAR DEL SND','RAMIREZ GOMEZ SERGIO','DISEÑO GRÁFICO','6to','MASCULINO','ACTIVO','',0,0,'','ALUMNO'</v>
      </c>
      <c r="L106" s="6" t="str">
        <f t="shared" si="3"/>
        <v>INSERT INTO participantes (id,nivel,correo,matricula,clave,nombre,carrera,grado,sexo,situacion,evaluados,num_evaluados,total_evaluaciones,ultimo_acceso,nivel_acceso) VALUES (3104,'BACHILLERATO','sergio.ramirezgomez','008081','TOMAR DEL SND','RAMIREZ GOMEZ SERGIO','DISEÑO GRÁFICO','6to','MASCULINO','ACTIVO','',0,0,'','ALUMNO');</v>
      </c>
    </row>
    <row r="107" spans="1:12" x14ac:dyDescent="0.35">
      <c r="A107">
        <v>3105</v>
      </c>
      <c r="B107" s="1" t="s">
        <v>185</v>
      </c>
      <c r="C107" s="1" t="s">
        <v>291</v>
      </c>
      <c r="D107" s="1" t="s">
        <v>688</v>
      </c>
      <c r="E107" s="6" t="s">
        <v>174</v>
      </c>
      <c r="F107" s="1" t="s">
        <v>1087</v>
      </c>
      <c r="G107" s="1" t="s">
        <v>1382</v>
      </c>
      <c r="H107" s="1" t="s">
        <v>1391</v>
      </c>
      <c r="I107" s="1" t="s">
        <v>1394</v>
      </c>
      <c r="J107" s="1" t="s">
        <v>1396</v>
      </c>
      <c r="K107" s="6" t="str">
        <f t="shared" si="2"/>
        <v>3105,'BACHILLERATO','analia.gutierrezmunoz','008083','TOMAR DEL SND','GUTIERREZ MUÑOZ ANA LIA','ADMINISTRACIÓN','6to','FEMENINO','ACTIVO','',0,0,'','ALUMNO'</v>
      </c>
      <c r="L107" s="6" t="str">
        <f t="shared" si="3"/>
        <v>INSERT INTO participantes (id,nivel,correo,matricula,clave,nombre,carrera,grado,sexo,situacion,evaluados,num_evaluados,total_evaluaciones,ultimo_acceso,nivel_acceso) VALUES (3105,'BACHILLERATO','analia.gutierrezmunoz','008083','TOMAR DEL SND','GUTIERREZ MUÑOZ ANA LIA','ADMINISTRACIÓN','6to','FEMENINO','ACTIVO','',0,0,'','ALUMNO');</v>
      </c>
    </row>
    <row r="108" spans="1:12" x14ac:dyDescent="0.35">
      <c r="A108">
        <v>3106</v>
      </c>
      <c r="B108" s="1" t="s">
        <v>185</v>
      </c>
      <c r="C108" s="1" t="s">
        <v>292</v>
      </c>
      <c r="D108" s="1" t="s">
        <v>689</v>
      </c>
      <c r="E108" s="6" t="s">
        <v>174</v>
      </c>
      <c r="F108" s="1" t="s">
        <v>1088</v>
      </c>
      <c r="G108" s="1" t="s">
        <v>1385</v>
      </c>
      <c r="H108" s="1" t="s">
        <v>1391</v>
      </c>
      <c r="I108" s="1" t="s">
        <v>1394</v>
      </c>
      <c r="J108" s="1" t="s">
        <v>1396</v>
      </c>
      <c r="K108" s="6" t="str">
        <f t="shared" si="2"/>
        <v>3106,'BACHILLERATO','paola.guzmanparragrajeda','008084','TOMAR DEL SND','GUZMAN PARRA GRAJEDA PAOLA','COMUNICACIÓN','6to','FEMENINO','ACTIVO','',0,0,'','ALUMNO'</v>
      </c>
      <c r="L108" s="6" t="str">
        <f t="shared" si="3"/>
        <v>INSERT INTO participantes (id,nivel,correo,matricula,clave,nombre,carrera,grado,sexo,situacion,evaluados,num_evaluados,total_evaluaciones,ultimo_acceso,nivel_acceso) VALUES (3106,'BACHILLERATO','paola.guzmanparragrajeda','008084','TOMAR DEL SND','GUZMAN PARRA GRAJEDA PAOLA','COMUNICACIÓN','6to','FEMENINO','ACTIVO','',0,0,'','ALUMNO');</v>
      </c>
    </row>
    <row r="109" spans="1:12" x14ac:dyDescent="0.35">
      <c r="A109">
        <v>3107</v>
      </c>
      <c r="B109" s="1" t="s">
        <v>185</v>
      </c>
      <c r="C109" s="1" t="s">
        <v>293</v>
      </c>
      <c r="D109" s="1" t="s">
        <v>690</v>
      </c>
      <c r="E109" s="6" t="s">
        <v>174</v>
      </c>
      <c r="F109" s="1" t="s">
        <v>1089</v>
      </c>
      <c r="G109" s="1" t="s">
        <v>1381</v>
      </c>
      <c r="H109" s="1" t="s">
        <v>1391</v>
      </c>
      <c r="I109" s="1" t="s">
        <v>1394</v>
      </c>
      <c r="J109" s="1" t="s">
        <v>1396</v>
      </c>
      <c r="K109" s="6" t="str">
        <f t="shared" si="2"/>
        <v>3107,'BACHILLERATO','isabella.manzanokuan','008086','TOMAR DEL SND','MANZANO KUAN ISABELLA','DISEÑO GRÁFICO','6to','FEMENINO','ACTIVO','',0,0,'','ALUMNO'</v>
      </c>
      <c r="L109" s="6" t="str">
        <f t="shared" si="3"/>
        <v>INSERT INTO participantes (id,nivel,correo,matricula,clave,nombre,carrera,grado,sexo,situacion,evaluados,num_evaluados,total_evaluaciones,ultimo_acceso,nivel_acceso) VALUES (3107,'BACHILLERATO','isabella.manzanokuan','008086','TOMAR DEL SND','MANZANO KUAN ISABELLA','DISEÑO GRÁFICO','6to','FEMENINO','ACTIVO','',0,0,'','ALUMNO');</v>
      </c>
    </row>
    <row r="110" spans="1:12" x14ac:dyDescent="0.35">
      <c r="A110">
        <v>3108</v>
      </c>
      <c r="B110" s="1" t="s">
        <v>185</v>
      </c>
      <c r="C110" s="1" t="s">
        <v>294</v>
      </c>
      <c r="D110" s="1" t="s">
        <v>691</v>
      </c>
      <c r="E110" s="6" t="s">
        <v>174</v>
      </c>
      <c r="F110" s="1" t="s">
        <v>1090</v>
      </c>
      <c r="G110" s="1" t="s">
        <v>1382</v>
      </c>
      <c r="H110" s="1" t="s">
        <v>1391</v>
      </c>
      <c r="I110" s="1" t="s">
        <v>1395</v>
      </c>
      <c r="J110" s="1" t="s">
        <v>1396</v>
      </c>
      <c r="K110" s="6" t="str">
        <f t="shared" si="2"/>
        <v>3108,'BACHILLERATO','josemiguel.leonardocamacho','008087','TOMAR DEL SND','LEONARDO CAMACHO JOSE MIGUEL','ADMINISTRACIÓN','6to','MASCULINO','ACTIVO','',0,0,'','ALUMNO'</v>
      </c>
      <c r="L110" s="6" t="str">
        <f t="shared" si="3"/>
        <v>INSERT INTO participantes (id,nivel,correo,matricula,clave,nombre,carrera,grado,sexo,situacion,evaluados,num_evaluados,total_evaluaciones,ultimo_acceso,nivel_acceso) VALUES (3108,'BACHILLERATO','josemiguel.leonardocamacho','008087','TOMAR DEL SND','LEONARDO CAMACHO JOSE MIGUEL','ADMINISTRACIÓN','6to','MASCULINO','ACTIVO','',0,0,'','ALUMNO');</v>
      </c>
    </row>
    <row r="111" spans="1:12" x14ac:dyDescent="0.35">
      <c r="A111">
        <v>3109</v>
      </c>
      <c r="B111" s="1" t="s">
        <v>185</v>
      </c>
      <c r="C111" s="1" t="s">
        <v>295</v>
      </c>
      <c r="D111" s="1" t="s">
        <v>692</v>
      </c>
      <c r="E111" s="6" t="s">
        <v>174</v>
      </c>
      <c r="F111" s="1" t="s">
        <v>1091</v>
      </c>
      <c r="G111" s="1" t="s">
        <v>1382</v>
      </c>
      <c r="H111" s="1" t="s">
        <v>1391</v>
      </c>
      <c r="I111" s="1" t="s">
        <v>1395</v>
      </c>
      <c r="J111" s="1" t="s">
        <v>1396</v>
      </c>
      <c r="K111" s="6" t="str">
        <f t="shared" si="2"/>
        <v>3109,'BACHILLERATO','juancarlos.cornejoconchas','008088','TOMAR DEL SND','CORNEJO CONCHAS JUAN CARLOS','ADMINISTRACIÓN','6to','MASCULINO','ACTIVO','',0,0,'','ALUMNO'</v>
      </c>
      <c r="L111" s="6" t="str">
        <f t="shared" si="3"/>
        <v>INSERT INTO participantes (id,nivel,correo,matricula,clave,nombre,carrera,grado,sexo,situacion,evaluados,num_evaluados,total_evaluaciones,ultimo_acceso,nivel_acceso) VALUES (3109,'BACHILLERATO','juancarlos.cornejoconchas','008088','TOMAR DEL SND','CORNEJO CONCHAS JUAN CARLOS','ADMINISTRACIÓN','6to','MASCULINO','ACTIVO','',0,0,'','ALUMNO');</v>
      </c>
    </row>
    <row r="112" spans="1:12" x14ac:dyDescent="0.35">
      <c r="A112">
        <v>3110</v>
      </c>
      <c r="B112" s="1" t="s">
        <v>185</v>
      </c>
      <c r="C112" s="1" t="s">
        <v>296</v>
      </c>
      <c r="D112" s="1" t="s">
        <v>693</v>
      </c>
      <c r="E112" s="6" t="s">
        <v>174</v>
      </c>
      <c r="F112" s="1" t="s">
        <v>1092</v>
      </c>
      <c r="G112" s="1" t="s">
        <v>1383</v>
      </c>
      <c r="H112" s="1" t="s">
        <v>1391</v>
      </c>
      <c r="I112" s="1" t="s">
        <v>1394</v>
      </c>
      <c r="J112" s="1" t="s">
        <v>1396</v>
      </c>
      <c r="K112" s="6" t="str">
        <f t="shared" si="2"/>
        <v>3110,'BACHILLERATO','ximenagiselle.shafernoriega','008089','TOMAR DEL SND','SHAFER NORIEGA XIMENA GISELLE','HIGIENE Y SALUD COMUNITARIA','6to','FEMENINO','ACTIVO','',0,0,'','ALUMNO'</v>
      </c>
      <c r="L112" s="6" t="str">
        <f t="shared" si="3"/>
        <v>INSERT INTO participantes (id,nivel,correo,matricula,clave,nombre,carrera,grado,sexo,situacion,evaluados,num_evaluados,total_evaluaciones,ultimo_acceso,nivel_acceso) VALUES (3110,'BACHILLERATO','ximenagiselle.shafernoriega','008089','TOMAR DEL SND','SHAFER NORIEGA XIMENA GISELLE','HIGIENE Y SALUD COMUNITARIA','6to','FEMENINO','ACTIVO','',0,0,'','ALUMNO');</v>
      </c>
    </row>
    <row r="113" spans="1:12" x14ac:dyDescent="0.35">
      <c r="A113">
        <v>3111</v>
      </c>
      <c r="B113" s="1" t="s">
        <v>185</v>
      </c>
      <c r="C113" s="1" t="s">
        <v>297</v>
      </c>
      <c r="D113" s="1" t="s">
        <v>694</v>
      </c>
      <c r="E113" s="6" t="s">
        <v>174</v>
      </c>
      <c r="F113" s="1" t="s">
        <v>1093</v>
      </c>
      <c r="G113" s="1" t="s">
        <v>1381</v>
      </c>
      <c r="H113" s="1" t="s">
        <v>1391</v>
      </c>
      <c r="I113" s="1" t="s">
        <v>1394</v>
      </c>
      <c r="J113" s="1" t="s">
        <v>1396</v>
      </c>
      <c r="K113" s="6" t="str">
        <f t="shared" si="2"/>
        <v>3111,'BACHILLERATO','victoriascarlett.munozmoreno','008091','TOMAR DEL SND','MUÑOZ MORENO VICTORIA SCARLETT','DISEÑO GRÁFICO','6to','FEMENINO','ACTIVO','',0,0,'','ALUMNO'</v>
      </c>
      <c r="L113" s="6" t="str">
        <f t="shared" si="3"/>
        <v>INSERT INTO participantes (id,nivel,correo,matricula,clave,nombre,carrera,grado,sexo,situacion,evaluados,num_evaluados,total_evaluaciones,ultimo_acceso,nivel_acceso) VALUES (3111,'BACHILLERATO','victoriascarlett.munozmoreno','008091','TOMAR DEL SND','MUÑOZ MORENO VICTORIA SCARLETT','DISEÑO GRÁFICO','6to','FEMENINO','ACTIVO','',0,0,'','ALUMNO');</v>
      </c>
    </row>
    <row r="114" spans="1:12" x14ac:dyDescent="0.35">
      <c r="A114">
        <v>3112</v>
      </c>
      <c r="B114" s="1" t="s">
        <v>185</v>
      </c>
      <c r="C114" s="1" t="s">
        <v>298</v>
      </c>
      <c r="D114" s="1" t="s">
        <v>695</v>
      </c>
      <c r="E114" s="6" t="s">
        <v>174</v>
      </c>
      <c r="F114" s="1" t="s">
        <v>1094</v>
      </c>
      <c r="G114" s="1" t="s">
        <v>1382</v>
      </c>
      <c r="H114" s="1" t="s">
        <v>1391</v>
      </c>
      <c r="I114" s="1" t="s">
        <v>1394</v>
      </c>
      <c r="J114" s="1" t="s">
        <v>1396</v>
      </c>
      <c r="K114" s="6" t="str">
        <f t="shared" si="2"/>
        <v>3112,'BACHILLERATO','regina.garcialopez','008092','TOMAR DEL SND','GARCIA LOPEZ REGINA','ADMINISTRACIÓN','6to','FEMENINO','ACTIVO','',0,0,'','ALUMNO'</v>
      </c>
      <c r="L114" s="6" t="str">
        <f t="shared" si="3"/>
        <v>INSERT INTO participantes (id,nivel,correo,matricula,clave,nombre,carrera,grado,sexo,situacion,evaluados,num_evaluados,total_evaluaciones,ultimo_acceso,nivel_acceso) VALUES (3112,'BACHILLERATO','regina.garcialopez','008092','TOMAR DEL SND','GARCIA LOPEZ REGINA','ADMINISTRACIÓN','6to','FEMENINO','ACTIVO','',0,0,'','ALUMNO');</v>
      </c>
    </row>
    <row r="115" spans="1:12" x14ac:dyDescent="0.35">
      <c r="A115">
        <v>3113</v>
      </c>
      <c r="B115" s="1" t="s">
        <v>185</v>
      </c>
      <c r="C115" s="1" t="s">
        <v>299</v>
      </c>
      <c r="D115" s="1" t="s">
        <v>696</v>
      </c>
      <c r="E115" s="6" t="s">
        <v>174</v>
      </c>
      <c r="F115" s="1" t="s">
        <v>1095</v>
      </c>
      <c r="G115" s="1" t="s">
        <v>1384</v>
      </c>
      <c r="H115" s="1" t="s">
        <v>1391</v>
      </c>
      <c r="I115" s="1" t="s">
        <v>1395</v>
      </c>
      <c r="J115" s="1" t="s">
        <v>1396</v>
      </c>
      <c r="K115" s="6" t="str">
        <f t="shared" si="2"/>
        <v>3113,'BACHILLERATO','cesaralfredo.badillosanchez','008093','TOMAR DEL SND','BADILLO SANCHEZ CESAR ALFREDO','ELECTRÓNICA','6to','MASCULINO','ACTIVO','',0,0,'','ALUMNO'</v>
      </c>
      <c r="L115" s="6" t="str">
        <f t="shared" si="3"/>
        <v>INSERT INTO participantes (id,nivel,correo,matricula,clave,nombre,carrera,grado,sexo,situacion,evaluados,num_evaluados,total_evaluaciones,ultimo_acceso,nivel_acceso) VALUES (3113,'BACHILLERATO','cesaralfredo.badillosanchez','008093','TOMAR DEL SND','BADILLO SANCHEZ CESAR ALFREDO','ELECTRÓNICA','6to','MASCULINO','ACTIVO','',0,0,'','ALUMNO');</v>
      </c>
    </row>
    <row r="116" spans="1:12" x14ac:dyDescent="0.35">
      <c r="A116">
        <v>3114</v>
      </c>
      <c r="B116" s="1" t="s">
        <v>185</v>
      </c>
      <c r="C116" s="1" t="s">
        <v>300</v>
      </c>
      <c r="D116" s="1" t="s">
        <v>697</v>
      </c>
      <c r="E116" s="6" t="s">
        <v>174</v>
      </c>
      <c r="F116" s="1" t="s">
        <v>1096</v>
      </c>
      <c r="G116" s="1" t="s">
        <v>1384</v>
      </c>
      <c r="H116" s="1" t="s">
        <v>1391</v>
      </c>
      <c r="I116" s="1" t="s">
        <v>1395</v>
      </c>
      <c r="J116" s="1" t="s">
        <v>1396</v>
      </c>
      <c r="K116" s="6" t="str">
        <f t="shared" si="2"/>
        <v>3114,'BACHILLERATO','sergioabraham.garciateran','008094','TOMAR DEL SND','GARCIA TERAN SERGIO ABRAHAM','ELECTRÓNICA','6to','MASCULINO','ACTIVO','',0,0,'','ALUMNO'</v>
      </c>
      <c r="L116" s="6" t="str">
        <f t="shared" si="3"/>
        <v>INSERT INTO participantes (id,nivel,correo,matricula,clave,nombre,carrera,grado,sexo,situacion,evaluados,num_evaluados,total_evaluaciones,ultimo_acceso,nivel_acceso) VALUES (3114,'BACHILLERATO','sergioabraham.garciateran','008094','TOMAR DEL SND','GARCIA TERAN SERGIO ABRAHAM','ELECTRÓNICA','6to','MASCULINO','ACTIVO','',0,0,'','ALUMNO');</v>
      </c>
    </row>
    <row r="117" spans="1:12" x14ac:dyDescent="0.35">
      <c r="A117">
        <v>3115</v>
      </c>
      <c r="B117" s="1" t="s">
        <v>185</v>
      </c>
      <c r="C117" s="1" t="s">
        <v>301</v>
      </c>
      <c r="D117" s="1" t="s">
        <v>698</v>
      </c>
      <c r="E117" s="6" t="s">
        <v>174</v>
      </c>
      <c r="F117" s="1" t="s">
        <v>1097</v>
      </c>
      <c r="G117" s="1" t="s">
        <v>1385</v>
      </c>
      <c r="H117" s="1" t="s">
        <v>1391</v>
      </c>
      <c r="I117" s="1" t="s">
        <v>1394</v>
      </c>
      <c r="J117" s="1" t="s">
        <v>1396</v>
      </c>
      <c r="K117" s="6" t="str">
        <f t="shared" si="2"/>
        <v>3115,'BACHILLERATO','alexaximena.delatorreibarra','008095','TOMAR DEL SND','DE LA TORRE IBARRA ALEXA XIMENA','COMUNICACIÓN','6to','FEMENINO','ACTIVO','',0,0,'','ALUMNO'</v>
      </c>
      <c r="L117" s="6" t="str">
        <f t="shared" si="3"/>
        <v>INSERT INTO participantes (id,nivel,correo,matricula,clave,nombre,carrera,grado,sexo,situacion,evaluados,num_evaluados,total_evaluaciones,ultimo_acceso,nivel_acceso) VALUES (3115,'BACHILLERATO','alexaximena.delatorreibarra','008095','TOMAR DEL SND','DE LA TORRE IBARRA ALEXA XIMENA','COMUNICACIÓN','6to','FEMENINO','ACTIVO','',0,0,'','ALUMNO');</v>
      </c>
    </row>
    <row r="118" spans="1:12" x14ac:dyDescent="0.35">
      <c r="A118">
        <v>3116</v>
      </c>
      <c r="B118" s="1" t="s">
        <v>185</v>
      </c>
      <c r="C118" s="1" t="s">
        <v>302</v>
      </c>
      <c r="D118" s="1" t="s">
        <v>699</v>
      </c>
      <c r="E118" s="6" t="s">
        <v>174</v>
      </c>
      <c r="F118" s="1" t="s">
        <v>1098</v>
      </c>
      <c r="G118" s="1" t="s">
        <v>1383</v>
      </c>
      <c r="H118" s="1" t="s">
        <v>1391</v>
      </c>
      <c r="I118" s="1" t="s">
        <v>1394</v>
      </c>
      <c r="J118" s="1" t="s">
        <v>1396</v>
      </c>
      <c r="K118" s="6" t="str">
        <f t="shared" si="2"/>
        <v>3116,'BACHILLERATO','julieta.lomelisolano','008096','TOMAR DEL SND','LOMELI SOLANO JULIETA','HIGIENE Y SALUD COMUNITARIA','6to','FEMENINO','ACTIVO','',0,0,'','ALUMNO'</v>
      </c>
      <c r="L118" s="6" t="str">
        <f t="shared" si="3"/>
        <v>INSERT INTO participantes (id,nivel,correo,matricula,clave,nombre,carrera,grado,sexo,situacion,evaluados,num_evaluados,total_evaluaciones,ultimo_acceso,nivel_acceso) VALUES (3116,'BACHILLERATO','julieta.lomelisolano','008096','TOMAR DEL SND','LOMELI SOLANO JULIETA','HIGIENE Y SALUD COMUNITARIA','6to','FEMENINO','ACTIVO','',0,0,'','ALUMNO');</v>
      </c>
    </row>
    <row r="119" spans="1:12" x14ac:dyDescent="0.35">
      <c r="A119">
        <v>3117</v>
      </c>
      <c r="B119" s="1" t="s">
        <v>185</v>
      </c>
      <c r="C119" s="1" t="s">
        <v>303</v>
      </c>
      <c r="D119" s="1" t="s">
        <v>700</v>
      </c>
      <c r="E119" s="6" t="s">
        <v>174</v>
      </c>
      <c r="F119" s="1" t="s">
        <v>1099</v>
      </c>
      <c r="G119" s="1" t="s">
        <v>1385</v>
      </c>
      <c r="H119" s="1" t="s">
        <v>1391</v>
      </c>
      <c r="I119" s="1" t="s">
        <v>1394</v>
      </c>
      <c r="J119" s="1" t="s">
        <v>1396</v>
      </c>
      <c r="K119" s="6" t="str">
        <f t="shared" si="2"/>
        <v>3117,'BACHILLERATO','fatimamarcela.ruizaceves','008099','TOMAR DEL SND','RUIZ ACEVES FATIMA MARCELA','COMUNICACIÓN','6to','FEMENINO','ACTIVO','',0,0,'','ALUMNO'</v>
      </c>
      <c r="L119" s="6" t="str">
        <f t="shared" si="3"/>
        <v>INSERT INTO participantes (id,nivel,correo,matricula,clave,nombre,carrera,grado,sexo,situacion,evaluados,num_evaluados,total_evaluaciones,ultimo_acceso,nivel_acceso) VALUES (3117,'BACHILLERATO','fatimamarcela.ruizaceves','008099','TOMAR DEL SND','RUIZ ACEVES FATIMA MARCELA','COMUNICACIÓN','6to','FEMENINO','ACTIVO','',0,0,'','ALUMNO');</v>
      </c>
    </row>
    <row r="120" spans="1:12" x14ac:dyDescent="0.35">
      <c r="A120">
        <v>3118</v>
      </c>
      <c r="B120" s="1" t="s">
        <v>185</v>
      </c>
      <c r="C120" s="1" t="s">
        <v>304</v>
      </c>
      <c r="D120" s="1" t="s">
        <v>701</v>
      </c>
      <c r="E120" s="6" t="s">
        <v>174</v>
      </c>
      <c r="F120" s="1" t="s">
        <v>1100</v>
      </c>
      <c r="G120" s="1" t="s">
        <v>1382</v>
      </c>
      <c r="H120" s="1" t="s">
        <v>1391</v>
      </c>
      <c r="I120" s="1" t="s">
        <v>1395</v>
      </c>
      <c r="J120" s="1" t="s">
        <v>1396</v>
      </c>
      <c r="K120" s="6" t="str">
        <f t="shared" si="2"/>
        <v>3118,'BACHILLERATO','carlosemilio.garciatrasvina','008100','TOMAR DEL SND','GARCIA TRASVIÑA CARLOS EMILIO','ADMINISTRACIÓN','6to','MASCULINO','ACTIVO','',0,0,'','ALUMNO'</v>
      </c>
      <c r="L120" s="6" t="str">
        <f t="shared" si="3"/>
        <v>INSERT INTO participantes (id,nivel,correo,matricula,clave,nombre,carrera,grado,sexo,situacion,evaluados,num_evaluados,total_evaluaciones,ultimo_acceso,nivel_acceso) VALUES (3118,'BACHILLERATO','carlosemilio.garciatrasvina','008100','TOMAR DEL SND','GARCIA TRASVIÑA CARLOS EMILIO','ADMINISTRACIÓN','6to','MASCULINO','ACTIVO','',0,0,'','ALUMNO');</v>
      </c>
    </row>
    <row r="121" spans="1:12" x14ac:dyDescent="0.35">
      <c r="A121">
        <v>3119</v>
      </c>
      <c r="B121" s="1" t="s">
        <v>185</v>
      </c>
      <c r="C121" s="1" t="s">
        <v>305</v>
      </c>
      <c r="D121" s="1" t="s">
        <v>702</v>
      </c>
      <c r="E121" s="6" t="s">
        <v>174</v>
      </c>
      <c r="F121" s="1" t="s">
        <v>1101</v>
      </c>
      <c r="G121" s="1" t="s">
        <v>1385</v>
      </c>
      <c r="H121" s="1" t="s">
        <v>1391</v>
      </c>
      <c r="I121" s="1" t="s">
        <v>1395</v>
      </c>
      <c r="J121" s="1" t="s">
        <v>1396</v>
      </c>
      <c r="K121" s="6" t="str">
        <f t="shared" si="2"/>
        <v>3119,'BACHILLERATO','eduardoalfonso.gomezreynoso','008101','TOMAR DEL SND','GOMEZ REYNOSO EDUARDO ALFONSO','COMUNICACIÓN','6to','MASCULINO','ACTIVO','',0,0,'','ALUMNO'</v>
      </c>
      <c r="L121" s="6" t="str">
        <f t="shared" si="3"/>
        <v>INSERT INTO participantes (id,nivel,correo,matricula,clave,nombre,carrera,grado,sexo,situacion,evaluados,num_evaluados,total_evaluaciones,ultimo_acceso,nivel_acceso) VALUES (3119,'BACHILLERATO','eduardoalfonso.gomezreynoso','008101','TOMAR DEL SND','GOMEZ REYNOSO EDUARDO ALFONSO','COMUNICACIÓN','6to','MASCULINO','ACTIVO','',0,0,'','ALUMNO');</v>
      </c>
    </row>
    <row r="122" spans="1:12" x14ac:dyDescent="0.35">
      <c r="A122">
        <v>3120</v>
      </c>
      <c r="B122" s="1" t="s">
        <v>185</v>
      </c>
      <c r="C122" s="1" t="s">
        <v>306</v>
      </c>
      <c r="D122" s="1" t="s">
        <v>703</v>
      </c>
      <c r="E122" s="6" t="s">
        <v>174</v>
      </c>
      <c r="F122" s="1" t="s">
        <v>1102</v>
      </c>
      <c r="G122" s="1" t="s">
        <v>1383</v>
      </c>
      <c r="H122" s="1" t="s">
        <v>1391</v>
      </c>
      <c r="I122" s="1" t="s">
        <v>1395</v>
      </c>
      <c r="J122" s="1" t="s">
        <v>1396</v>
      </c>
      <c r="K122" s="6" t="str">
        <f t="shared" si="2"/>
        <v>3120,'BACHILLERATO','luciano.arrazatecastillo','008102','TOMAR DEL SND','ARRAZATE CASTILLO LUCIANO','HIGIENE Y SALUD COMUNITARIA','6to','MASCULINO','ACTIVO','',0,0,'','ALUMNO'</v>
      </c>
      <c r="L122" s="6" t="str">
        <f t="shared" si="3"/>
        <v>INSERT INTO participantes (id,nivel,correo,matricula,clave,nombre,carrera,grado,sexo,situacion,evaluados,num_evaluados,total_evaluaciones,ultimo_acceso,nivel_acceso) VALUES (3120,'BACHILLERATO','luciano.arrazatecastillo','008102','TOMAR DEL SND','ARRAZATE CASTILLO LUCIANO','HIGIENE Y SALUD COMUNITARIA','6to','MASCULINO','ACTIVO','',0,0,'','ALUMNO');</v>
      </c>
    </row>
    <row r="123" spans="1:12" x14ac:dyDescent="0.35">
      <c r="A123">
        <v>3121</v>
      </c>
      <c r="B123" s="1" t="s">
        <v>185</v>
      </c>
      <c r="C123" s="1" t="s">
        <v>307</v>
      </c>
      <c r="D123" s="1" t="s">
        <v>704</v>
      </c>
      <c r="E123" s="6" t="s">
        <v>174</v>
      </c>
      <c r="F123" s="1" t="s">
        <v>1103</v>
      </c>
      <c r="G123" s="1" t="s">
        <v>1382</v>
      </c>
      <c r="H123" s="1" t="s">
        <v>1391</v>
      </c>
      <c r="I123" s="1" t="s">
        <v>1395</v>
      </c>
      <c r="J123" s="1" t="s">
        <v>1396</v>
      </c>
      <c r="K123" s="6" t="str">
        <f t="shared" si="2"/>
        <v>3121,'BACHILLERATO','mateo.vallartaparga','008103','TOMAR DEL SND','VALLARTA PARGA MATEO','ADMINISTRACIÓN','6to','MASCULINO','ACTIVO','',0,0,'','ALUMNO'</v>
      </c>
      <c r="L123" s="6" t="str">
        <f t="shared" si="3"/>
        <v>INSERT INTO participantes (id,nivel,correo,matricula,clave,nombre,carrera,grado,sexo,situacion,evaluados,num_evaluados,total_evaluaciones,ultimo_acceso,nivel_acceso) VALUES (3121,'BACHILLERATO','mateo.vallartaparga','008103','TOMAR DEL SND','VALLARTA PARGA MATEO','ADMINISTRACIÓN','6to','MASCULINO','ACTIVO','',0,0,'','ALUMNO');</v>
      </c>
    </row>
    <row r="124" spans="1:12" x14ac:dyDescent="0.35">
      <c r="A124">
        <v>3122</v>
      </c>
      <c r="B124" s="1" t="s">
        <v>185</v>
      </c>
      <c r="C124" s="1" t="s">
        <v>308</v>
      </c>
      <c r="D124" s="1" t="s">
        <v>705</v>
      </c>
      <c r="E124" s="6" t="s">
        <v>174</v>
      </c>
      <c r="F124" s="1" t="s">
        <v>1104</v>
      </c>
      <c r="G124" s="1" t="s">
        <v>1383</v>
      </c>
      <c r="H124" s="1" t="s">
        <v>1391</v>
      </c>
      <c r="I124" s="1" t="s">
        <v>1394</v>
      </c>
      <c r="J124" s="1" t="s">
        <v>1396</v>
      </c>
      <c r="K124" s="6" t="str">
        <f t="shared" si="2"/>
        <v>3122,'BACHILLERATO','constanza.perezmartinez','008104','TOMAR DEL SND','PEREZ MARTINEZ CONSTANZA','HIGIENE Y SALUD COMUNITARIA','6to','FEMENINO','ACTIVO','',0,0,'','ALUMNO'</v>
      </c>
      <c r="L124" s="6" t="str">
        <f t="shared" si="3"/>
        <v>INSERT INTO participantes (id,nivel,correo,matricula,clave,nombre,carrera,grado,sexo,situacion,evaluados,num_evaluados,total_evaluaciones,ultimo_acceso,nivel_acceso) VALUES (3122,'BACHILLERATO','constanza.perezmartinez','008104','TOMAR DEL SND','PEREZ MARTINEZ CONSTANZA','HIGIENE Y SALUD COMUNITARIA','6to','FEMENINO','ACTIVO','',0,0,'','ALUMNO');</v>
      </c>
    </row>
    <row r="125" spans="1:12" x14ac:dyDescent="0.35">
      <c r="A125">
        <v>3123</v>
      </c>
      <c r="B125" s="1" t="s">
        <v>185</v>
      </c>
      <c r="C125" s="1" t="s">
        <v>309</v>
      </c>
      <c r="D125" s="1" t="s">
        <v>706</v>
      </c>
      <c r="E125" s="6" t="s">
        <v>174</v>
      </c>
      <c r="F125" s="1" t="s">
        <v>1105</v>
      </c>
      <c r="G125" s="1" t="s">
        <v>1381</v>
      </c>
      <c r="H125" s="1" t="s">
        <v>1391</v>
      </c>
      <c r="I125" s="1" t="s">
        <v>1394</v>
      </c>
      <c r="J125" s="1" t="s">
        <v>1396</v>
      </c>
      <c r="K125" s="6" t="str">
        <f t="shared" si="2"/>
        <v>3123,'BACHILLERATO','camila.garciaavila','008105','TOMAR DEL SND','GARCIA AVILA CAMILA','DISEÑO GRÁFICO','6to','FEMENINO','ACTIVO','',0,0,'','ALUMNO'</v>
      </c>
      <c r="L125" s="6" t="str">
        <f t="shared" si="3"/>
        <v>INSERT INTO participantes (id,nivel,correo,matricula,clave,nombre,carrera,grado,sexo,situacion,evaluados,num_evaluados,total_evaluaciones,ultimo_acceso,nivel_acceso) VALUES (3123,'BACHILLERATO','camila.garciaavila','008105','TOMAR DEL SND','GARCIA AVILA CAMILA','DISEÑO GRÁFICO','6to','FEMENINO','ACTIVO','',0,0,'','ALUMNO');</v>
      </c>
    </row>
    <row r="126" spans="1:12" x14ac:dyDescent="0.35">
      <c r="A126">
        <v>3124</v>
      </c>
      <c r="B126" s="1" t="s">
        <v>185</v>
      </c>
      <c r="C126" s="1" t="s">
        <v>310</v>
      </c>
      <c r="D126" s="1" t="s">
        <v>707</v>
      </c>
      <c r="E126" s="6" t="s">
        <v>174</v>
      </c>
      <c r="F126" s="1" t="s">
        <v>1106</v>
      </c>
      <c r="G126" s="1" t="s">
        <v>1382</v>
      </c>
      <c r="H126" s="1" t="s">
        <v>1391</v>
      </c>
      <c r="I126" s="1" t="s">
        <v>1394</v>
      </c>
      <c r="J126" s="1" t="s">
        <v>1396</v>
      </c>
      <c r="K126" s="6" t="str">
        <f t="shared" si="2"/>
        <v>3124,'BACHILLERATO','angelanathalie.guerreroharo','008106','TOMAR DEL SND','GUERRERO HARO ANGELA NATHALIE','ADMINISTRACIÓN','6to','FEMENINO','ACTIVO','',0,0,'','ALUMNO'</v>
      </c>
      <c r="L126" s="6" t="str">
        <f t="shared" si="3"/>
        <v>INSERT INTO participantes (id,nivel,correo,matricula,clave,nombre,carrera,grado,sexo,situacion,evaluados,num_evaluados,total_evaluaciones,ultimo_acceso,nivel_acceso) VALUES (3124,'BACHILLERATO','angelanathalie.guerreroharo','008106','TOMAR DEL SND','GUERRERO HARO ANGELA NATHALIE','ADMINISTRACIÓN','6to','FEMENINO','ACTIVO','',0,0,'','ALUMNO');</v>
      </c>
    </row>
    <row r="127" spans="1:12" x14ac:dyDescent="0.35">
      <c r="A127">
        <v>3125</v>
      </c>
      <c r="B127" s="1" t="s">
        <v>185</v>
      </c>
      <c r="C127" s="1" t="s">
        <v>311</v>
      </c>
      <c r="D127" s="1" t="s">
        <v>708</v>
      </c>
      <c r="E127" s="6" t="s">
        <v>174</v>
      </c>
      <c r="F127" s="1" t="s">
        <v>1107</v>
      </c>
      <c r="G127" s="1" t="s">
        <v>1382</v>
      </c>
      <c r="H127" s="1" t="s">
        <v>1391</v>
      </c>
      <c r="I127" s="1" t="s">
        <v>1394</v>
      </c>
      <c r="J127" s="1" t="s">
        <v>1396</v>
      </c>
      <c r="K127" s="6" t="str">
        <f t="shared" si="2"/>
        <v>3125,'BACHILLERATO','mariafernanda.avinamichel','008108','TOMAR DEL SND','AVIÑA MICHEL MARIA FERNANDA','ADMINISTRACIÓN','6to','FEMENINO','ACTIVO','',0,0,'','ALUMNO'</v>
      </c>
      <c r="L127" s="6" t="str">
        <f t="shared" si="3"/>
        <v>INSERT INTO participantes (id,nivel,correo,matricula,clave,nombre,carrera,grado,sexo,situacion,evaluados,num_evaluados,total_evaluaciones,ultimo_acceso,nivel_acceso) VALUES (3125,'BACHILLERATO','mariafernanda.avinamichel','008108','TOMAR DEL SND','AVIÑA MICHEL MARIA FERNANDA','ADMINISTRACIÓN','6to','FEMENINO','ACTIVO','',0,0,'','ALUMNO');</v>
      </c>
    </row>
    <row r="128" spans="1:12" x14ac:dyDescent="0.35">
      <c r="A128">
        <v>3126</v>
      </c>
      <c r="B128" s="1" t="s">
        <v>185</v>
      </c>
      <c r="C128" s="1" t="s">
        <v>312</v>
      </c>
      <c r="D128" s="1" t="s">
        <v>709</v>
      </c>
      <c r="E128" s="6" t="s">
        <v>174</v>
      </c>
      <c r="F128" s="1" t="s">
        <v>1108</v>
      </c>
      <c r="G128" s="1" t="s">
        <v>1382</v>
      </c>
      <c r="H128" s="1" t="s">
        <v>1391</v>
      </c>
      <c r="I128" s="1" t="s">
        <v>1395</v>
      </c>
      <c r="J128" s="1" t="s">
        <v>1396</v>
      </c>
      <c r="K128" s="6" t="str">
        <f t="shared" si="2"/>
        <v>3126,'BACHILLERATO','josefarid.gonzalezgarcia','008111','TOMAR DEL SND','GONZALEZ GARCIA JOSE FARID','ADMINISTRACIÓN','6to','MASCULINO','ACTIVO','',0,0,'','ALUMNO'</v>
      </c>
      <c r="L128" s="6" t="str">
        <f t="shared" si="3"/>
        <v>INSERT INTO participantes (id,nivel,correo,matricula,clave,nombre,carrera,grado,sexo,situacion,evaluados,num_evaluados,total_evaluaciones,ultimo_acceso,nivel_acceso) VALUES (3126,'BACHILLERATO','josefarid.gonzalezgarcia','008111','TOMAR DEL SND','GONZALEZ GARCIA JOSE FARID','ADMINISTRACIÓN','6to','MASCULINO','ACTIVO','',0,0,'','ALUMNO');</v>
      </c>
    </row>
    <row r="129" spans="1:12" x14ac:dyDescent="0.35">
      <c r="A129">
        <v>3127</v>
      </c>
      <c r="B129" s="1" t="s">
        <v>185</v>
      </c>
      <c r="C129" s="1" t="s">
        <v>313</v>
      </c>
      <c r="D129" s="1" t="s">
        <v>710</v>
      </c>
      <c r="E129" s="6" t="s">
        <v>174</v>
      </c>
      <c r="F129" s="1" t="s">
        <v>1109</v>
      </c>
      <c r="G129" s="1" t="s">
        <v>1383</v>
      </c>
      <c r="H129" s="1" t="s">
        <v>1391</v>
      </c>
      <c r="I129" s="1" t="s">
        <v>1395</v>
      </c>
      <c r="J129" s="1" t="s">
        <v>1396</v>
      </c>
      <c r="K129" s="6" t="str">
        <f t="shared" si="2"/>
        <v>3127,'BACHILLERATO','angelgael.aguilarmunoz','008116','TOMAR DEL SND','AGUILAR MUÑOZ ANGEL GAEL','HIGIENE Y SALUD COMUNITARIA','6to','MASCULINO','ACTIVO','',0,0,'','ALUMNO'</v>
      </c>
      <c r="L129" s="6" t="str">
        <f t="shared" si="3"/>
        <v>INSERT INTO participantes (id,nivel,correo,matricula,clave,nombre,carrera,grado,sexo,situacion,evaluados,num_evaluados,total_evaluaciones,ultimo_acceso,nivel_acceso) VALUES (3127,'BACHILLERATO','angelgael.aguilarmunoz','008116','TOMAR DEL SND','AGUILAR MUÑOZ ANGEL GAEL','HIGIENE Y SALUD COMUNITARIA','6to','MASCULINO','ACTIVO','',0,0,'','ALUMNO');</v>
      </c>
    </row>
    <row r="130" spans="1:12" x14ac:dyDescent="0.35">
      <c r="A130">
        <v>3128</v>
      </c>
      <c r="B130" s="1" t="s">
        <v>185</v>
      </c>
      <c r="C130" s="1" t="s">
        <v>314</v>
      </c>
      <c r="D130" s="1" t="s">
        <v>711</v>
      </c>
      <c r="E130" s="6" t="s">
        <v>174</v>
      </c>
      <c r="F130" s="1" t="s">
        <v>1110</v>
      </c>
      <c r="G130" s="1" t="s">
        <v>1381</v>
      </c>
      <c r="H130" s="1" t="s">
        <v>1391</v>
      </c>
      <c r="I130" s="1" t="s">
        <v>1394</v>
      </c>
      <c r="J130" s="1" t="s">
        <v>1396</v>
      </c>
      <c r="K130" s="6" t="str">
        <f t="shared" ref="K130:K193" si="4">CONCATENATE(A130,",",B130,",",C130,",",D130,",'",E130,",",F130,",",G130,",",H130,",",UPPER(I130),",",UPPER(J130),",'',0,0,'','ALUMNO'")</f>
        <v>3128,'BACHILLERATO','sofia.magallanesmonteon','008117','TOMAR DEL SND','MAGALLANES MONTEON SOFIA','DISEÑO GRÁFICO','6to','FEMENINO','ACTIVO','',0,0,'','ALUMNO'</v>
      </c>
      <c r="L130" s="6" t="str">
        <f t="shared" ref="L130:L193" si="5">CONCATENATE($K$1,K130,");")</f>
        <v>INSERT INTO participantes (id,nivel,correo,matricula,clave,nombre,carrera,grado,sexo,situacion,evaluados,num_evaluados,total_evaluaciones,ultimo_acceso,nivel_acceso) VALUES (3128,'BACHILLERATO','sofia.magallanesmonteon','008117','TOMAR DEL SND','MAGALLANES MONTEON SOFIA','DISEÑO GRÁFICO','6to','FEMENINO','ACTIVO','',0,0,'','ALUMNO');</v>
      </c>
    </row>
    <row r="131" spans="1:12" x14ac:dyDescent="0.35">
      <c r="A131">
        <v>3129</v>
      </c>
      <c r="B131" s="1" t="s">
        <v>185</v>
      </c>
      <c r="C131" s="1" t="s">
        <v>315</v>
      </c>
      <c r="D131" s="1" t="s">
        <v>712</v>
      </c>
      <c r="E131" s="6" t="s">
        <v>174</v>
      </c>
      <c r="F131" s="1" t="s">
        <v>1111</v>
      </c>
      <c r="G131" s="1" t="s">
        <v>1381</v>
      </c>
      <c r="H131" s="1" t="s">
        <v>1391</v>
      </c>
      <c r="I131" s="1" t="s">
        <v>1394</v>
      </c>
      <c r="J131" s="1" t="s">
        <v>1396</v>
      </c>
      <c r="K131" s="6" t="str">
        <f t="shared" si="4"/>
        <v>3129,'BACHILLERATO','valentina.canelaparra','008118','TOMAR DEL SND','CANELA PARRA VALENTINA','DISEÑO GRÁFICO','6to','FEMENINO','ACTIVO','',0,0,'','ALUMNO'</v>
      </c>
      <c r="L131" s="6" t="str">
        <f t="shared" si="5"/>
        <v>INSERT INTO participantes (id,nivel,correo,matricula,clave,nombre,carrera,grado,sexo,situacion,evaluados,num_evaluados,total_evaluaciones,ultimo_acceso,nivel_acceso) VALUES (3129,'BACHILLERATO','valentina.canelaparra','008118','TOMAR DEL SND','CANELA PARRA VALENTINA','DISEÑO GRÁFICO','6to','FEMENINO','ACTIVO','',0,0,'','ALUMNO');</v>
      </c>
    </row>
    <row r="132" spans="1:12" x14ac:dyDescent="0.35">
      <c r="A132">
        <v>3130</v>
      </c>
      <c r="B132" s="1" t="s">
        <v>185</v>
      </c>
      <c r="C132" s="1" t="s">
        <v>316</v>
      </c>
      <c r="D132" s="1" t="s">
        <v>713</v>
      </c>
      <c r="E132" s="6" t="s">
        <v>174</v>
      </c>
      <c r="F132" s="1" t="s">
        <v>1112</v>
      </c>
      <c r="G132" s="1" t="s">
        <v>1383</v>
      </c>
      <c r="H132" s="1" t="s">
        <v>1391</v>
      </c>
      <c r="I132" s="1" t="s">
        <v>1394</v>
      </c>
      <c r="J132" s="1" t="s">
        <v>1396</v>
      </c>
      <c r="K132" s="6" t="str">
        <f t="shared" si="4"/>
        <v>3130,'BACHILLERATO','lizette.gonzalezramirez','008121','TOMAR DEL SND','GONZALEZ RAMIREZ LIZETTE','HIGIENE Y SALUD COMUNITARIA','6to','FEMENINO','ACTIVO','',0,0,'','ALUMNO'</v>
      </c>
      <c r="L132" s="6" t="str">
        <f t="shared" si="5"/>
        <v>INSERT INTO participantes (id,nivel,correo,matricula,clave,nombre,carrera,grado,sexo,situacion,evaluados,num_evaluados,total_evaluaciones,ultimo_acceso,nivel_acceso) VALUES (3130,'BACHILLERATO','lizette.gonzalezramirez','008121','TOMAR DEL SND','GONZALEZ RAMIREZ LIZETTE','HIGIENE Y SALUD COMUNITARIA','6to','FEMENINO','ACTIVO','',0,0,'','ALUMNO');</v>
      </c>
    </row>
    <row r="133" spans="1:12" x14ac:dyDescent="0.35">
      <c r="A133">
        <v>3131</v>
      </c>
      <c r="B133" s="1" t="s">
        <v>185</v>
      </c>
      <c r="C133" s="1" t="s">
        <v>317</v>
      </c>
      <c r="D133" s="1" t="s">
        <v>714</v>
      </c>
      <c r="E133" s="6" t="s">
        <v>174</v>
      </c>
      <c r="F133" s="1" t="s">
        <v>1113</v>
      </c>
      <c r="G133" s="1" t="s">
        <v>1383</v>
      </c>
      <c r="H133" s="1" t="s">
        <v>1391</v>
      </c>
      <c r="I133" s="1" t="s">
        <v>1394</v>
      </c>
      <c r="J133" s="1" t="s">
        <v>1396</v>
      </c>
      <c r="K133" s="6" t="str">
        <f t="shared" si="4"/>
        <v>3131,'BACHILLERATO','karendaniela.hernandezhernandez','008122','TOMAR DEL SND','HERNANDEZ HERNANDEZ KAREN DANIELA','HIGIENE Y SALUD COMUNITARIA','6to','FEMENINO','ACTIVO','',0,0,'','ALUMNO'</v>
      </c>
      <c r="L133" s="6" t="str">
        <f t="shared" si="5"/>
        <v>INSERT INTO participantes (id,nivel,correo,matricula,clave,nombre,carrera,grado,sexo,situacion,evaluados,num_evaluados,total_evaluaciones,ultimo_acceso,nivel_acceso) VALUES (3131,'BACHILLERATO','karendaniela.hernandezhernandez','008122','TOMAR DEL SND','HERNANDEZ HERNANDEZ KAREN DANIELA','HIGIENE Y SALUD COMUNITARIA','6to','FEMENINO','ACTIVO','',0,0,'','ALUMNO');</v>
      </c>
    </row>
    <row r="134" spans="1:12" x14ac:dyDescent="0.35">
      <c r="A134">
        <v>3132</v>
      </c>
      <c r="B134" s="1" t="s">
        <v>185</v>
      </c>
      <c r="C134" s="1" t="s">
        <v>318</v>
      </c>
      <c r="D134" s="1" t="s">
        <v>715</v>
      </c>
      <c r="E134" s="6" t="s">
        <v>174</v>
      </c>
      <c r="F134" s="1" t="s">
        <v>1114</v>
      </c>
      <c r="G134" s="1" t="s">
        <v>1385</v>
      </c>
      <c r="H134" s="1" t="s">
        <v>1391</v>
      </c>
      <c r="I134" s="1" t="s">
        <v>1394</v>
      </c>
      <c r="J134" s="1" t="s">
        <v>1396</v>
      </c>
      <c r="K134" s="6" t="str">
        <f t="shared" si="4"/>
        <v>3132,'BACHILLERATO','mariafernanda.espinozagonzalez','008123','TOMAR DEL SND','ESPINOZA GONZALEZ MARIA FERNANDA','COMUNICACIÓN','6to','FEMENINO','ACTIVO','',0,0,'','ALUMNO'</v>
      </c>
      <c r="L134" s="6" t="str">
        <f t="shared" si="5"/>
        <v>INSERT INTO participantes (id,nivel,correo,matricula,clave,nombre,carrera,grado,sexo,situacion,evaluados,num_evaluados,total_evaluaciones,ultimo_acceso,nivel_acceso) VALUES (3132,'BACHILLERATO','mariafernanda.espinozagonzalez','008123','TOMAR DEL SND','ESPINOZA GONZALEZ MARIA FERNANDA','COMUNICACIÓN','6to','FEMENINO','ACTIVO','',0,0,'','ALUMNO');</v>
      </c>
    </row>
    <row r="135" spans="1:12" x14ac:dyDescent="0.35">
      <c r="A135">
        <v>3133</v>
      </c>
      <c r="B135" s="1" t="s">
        <v>185</v>
      </c>
      <c r="C135" s="1" t="s">
        <v>319</v>
      </c>
      <c r="D135" s="1" t="s">
        <v>716</v>
      </c>
      <c r="E135" s="6" t="s">
        <v>174</v>
      </c>
      <c r="F135" s="1" t="s">
        <v>1115</v>
      </c>
      <c r="G135" s="1" t="s">
        <v>1382</v>
      </c>
      <c r="H135" s="1" t="s">
        <v>1391</v>
      </c>
      <c r="I135" s="1" t="s">
        <v>1395</v>
      </c>
      <c r="J135" s="1" t="s">
        <v>1396</v>
      </c>
      <c r="K135" s="6" t="str">
        <f t="shared" si="4"/>
        <v>3133,'BACHILLERATO','gabrielantonio.oliveraequihua','008125','TOMAR DEL SND','OLIVERA EQUIHUA GABRIEL ANTONIO','ADMINISTRACIÓN','6to','MASCULINO','ACTIVO','',0,0,'','ALUMNO'</v>
      </c>
      <c r="L135" s="6" t="str">
        <f t="shared" si="5"/>
        <v>INSERT INTO participantes (id,nivel,correo,matricula,clave,nombre,carrera,grado,sexo,situacion,evaluados,num_evaluados,total_evaluaciones,ultimo_acceso,nivel_acceso) VALUES (3133,'BACHILLERATO','gabrielantonio.oliveraequihua','008125','TOMAR DEL SND','OLIVERA EQUIHUA GABRIEL ANTONIO','ADMINISTRACIÓN','6to','MASCULINO','ACTIVO','',0,0,'','ALUMNO');</v>
      </c>
    </row>
    <row r="136" spans="1:12" x14ac:dyDescent="0.35">
      <c r="A136">
        <v>3134</v>
      </c>
      <c r="B136" s="1" t="s">
        <v>185</v>
      </c>
      <c r="C136" s="1" t="s">
        <v>320</v>
      </c>
      <c r="D136" s="1" t="s">
        <v>717</v>
      </c>
      <c r="E136" s="6" t="s">
        <v>174</v>
      </c>
      <c r="F136" s="1" t="s">
        <v>1116</v>
      </c>
      <c r="G136" s="1" t="s">
        <v>1384</v>
      </c>
      <c r="H136" s="1" t="s">
        <v>1391</v>
      </c>
      <c r="I136" s="1" t="s">
        <v>1395</v>
      </c>
      <c r="J136" s="1" t="s">
        <v>1396</v>
      </c>
      <c r="K136" s="6" t="str">
        <f t="shared" si="4"/>
        <v>3134,'BACHILLERATO','gaelalejandro.gonzalezgarcia','008127','TOMAR DEL SND','GONZALEZ GARCIA GAEL ALEJANDRO','ELECTRÓNICA','6to','MASCULINO','ACTIVO','',0,0,'','ALUMNO'</v>
      </c>
      <c r="L136" s="6" t="str">
        <f t="shared" si="5"/>
        <v>INSERT INTO participantes (id,nivel,correo,matricula,clave,nombre,carrera,grado,sexo,situacion,evaluados,num_evaluados,total_evaluaciones,ultimo_acceso,nivel_acceso) VALUES (3134,'BACHILLERATO','gaelalejandro.gonzalezgarcia','008127','TOMAR DEL SND','GONZALEZ GARCIA GAEL ALEJANDRO','ELECTRÓNICA','6to','MASCULINO','ACTIVO','',0,0,'','ALUMNO');</v>
      </c>
    </row>
    <row r="137" spans="1:12" x14ac:dyDescent="0.35">
      <c r="A137">
        <v>3135</v>
      </c>
      <c r="B137" s="1" t="s">
        <v>185</v>
      </c>
      <c r="C137" s="1" t="s">
        <v>321</v>
      </c>
      <c r="D137" s="1" t="s">
        <v>718</v>
      </c>
      <c r="E137" s="6" t="s">
        <v>174</v>
      </c>
      <c r="F137" s="1" t="s">
        <v>1117</v>
      </c>
      <c r="G137" s="1" t="s">
        <v>1381</v>
      </c>
      <c r="H137" s="1" t="s">
        <v>1391</v>
      </c>
      <c r="I137" s="1" t="s">
        <v>1394</v>
      </c>
      <c r="J137" s="1" t="s">
        <v>1396</v>
      </c>
      <c r="K137" s="6" t="str">
        <f t="shared" si="4"/>
        <v>3135,'BACHILLERATO','isabela.delatorreparada','008128','TOMAR DEL SND','DE LA TORRE PARADA ISABELA','DISEÑO GRÁFICO','6to','FEMENINO','ACTIVO','',0,0,'','ALUMNO'</v>
      </c>
      <c r="L137" s="6" t="str">
        <f t="shared" si="5"/>
        <v>INSERT INTO participantes (id,nivel,correo,matricula,clave,nombre,carrera,grado,sexo,situacion,evaluados,num_evaluados,total_evaluaciones,ultimo_acceso,nivel_acceso) VALUES (3135,'BACHILLERATO','isabela.delatorreparada','008128','TOMAR DEL SND','DE LA TORRE PARADA ISABELA','DISEÑO GRÁFICO','6to','FEMENINO','ACTIVO','',0,0,'','ALUMNO');</v>
      </c>
    </row>
    <row r="138" spans="1:12" x14ac:dyDescent="0.35">
      <c r="A138">
        <v>3136</v>
      </c>
      <c r="B138" s="1" t="s">
        <v>185</v>
      </c>
      <c r="C138" s="1" t="s">
        <v>322</v>
      </c>
      <c r="D138" s="1" t="s">
        <v>719</v>
      </c>
      <c r="E138" s="6" t="s">
        <v>174</v>
      </c>
      <c r="F138" s="1" t="s">
        <v>1118</v>
      </c>
      <c r="G138" s="1" t="s">
        <v>1382</v>
      </c>
      <c r="H138" s="1" t="s">
        <v>1391</v>
      </c>
      <c r="I138" s="1" t="s">
        <v>1395</v>
      </c>
      <c r="J138" s="1" t="s">
        <v>1396</v>
      </c>
      <c r="K138" s="6" t="str">
        <f t="shared" si="4"/>
        <v>3136,'BACHILLERATO','diego.lepesandoval','008129','TOMAR DEL SND','LEPE SANDOVAL DIEGO','ADMINISTRACIÓN','6to','MASCULINO','ACTIVO','',0,0,'','ALUMNO'</v>
      </c>
      <c r="L138" s="6" t="str">
        <f t="shared" si="5"/>
        <v>INSERT INTO participantes (id,nivel,correo,matricula,clave,nombre,carrera,grado,sexo,situacion,evaluados,num_evaluados,total_evaluaciones,ultimo_acceso,nivel_acceso) VALUES (3136,'BACHILLERATO','diego.lepesandoval','008129','TOMAR DEL SND','LEPE SANDOVAL DIEGO','ADMINISTRACIÓN','6to','MASCULINO','ACTIVO','',0,0,'','ALUMNO');</v>
      </c>
    </row>
    <row r="139" spans="1:12" x14ac:dyDescent="0.35">
      <c r="A139">
        <v>3137</v>
      </c>
      <c r="B139" s="1" t="s">
        <v>185</v>
      </c>
      <c r="C139" s="1" t="s">
        <v>323</v>
      </c>
      <c r="D139" s="1" t="s">
        <v>720</v>
      </c>
      <c r="E139" s="6" t="s">
        <v>174</v>
      </c>
      <c r="F139" s="1" t="s">
        <v>1119</v>
      </c>
      <c r="G139" s="1" t="s">
        <v>1382</v>
      </c>
      <c r="H139" s="1" t="s">
        <v>1391</v>
      </c>
      <c r="I139" s="1" t="s">
        <v>1395</v>
      </c>
      <c r="J139" s="1" t="s">
        <v>1396</v>
      </c>
      <c r="K139" s="6" t="str">
        <f t="shared" si="4"/>
        <v>3137,'BACHILLERATO','daniel.garciacorpus','008130','TOMAR DEL SND','GARCIA CORPUS DANIEL','ADMINISTRACIÓN','6to','MASCULINO','ACTIVO','',0,0,'','ALUMNO'</v>
      </c>
      <c r="L139" s="6" t="str">
        <f t="shared" si="5"/>
        <v>INSERT INTO participantes (id,nivel,correo,matricula,clave,nombre,carrera,grado,sexo,situacion,evaluados,num_evaluados,total_evaluaciones,ultimo_acceso,nivel_acceso) VALUES (3137,'BACHILLERATO','daniel.garciacorpus','008130','TOMAR DEL SND','GARCIA CORPUS DANIEL','ADMINISTRACIÓN','6to','MASCULINO','ACTIVO','',0,0,'','ALUMNO');</v>
      </c>
    </row>
    <row r="140" spans="1:12" x14ac:dyDescent="0.35">
      <c r="A140">
        <v>3138</v>
      </c>
      <c r="B140" s="1" t="s">
        <v>185</v>
      </c>
      <c r="C140" s="1" t="s">
        <v>324</v>
      </c>
      <c r="D140" s="1" t="s">
        <v>721</v>
      </c>
      <c r="E140" s="6" t="s">
        <v>174</v>
      </c>
      <c r="F140" s="1" t="s">
        <v>1120</v>
      </c>
      <c r="G140" s="1" t="s">
        <v>1381</v>
      </c>
      <c r="H140" s="1" t="s">
        <v>1391</v>
      </c>
      <c r="I140" s="1" t="s">
        <v>1394</v>
      </c>
      <c r="J140" s="1" t="s">
        <v>1396</v>
      </c>
      <c r="K140" s="6" t="str">
        <f t="shared" si="4"/>
        <v>3138,'BACHILLERATO','alexavictoria.ruizjara','008132','TOMAR DEL SND','RUIZ JARA ALEXA VICTORIA','DISEÑO GRÁFICO','6to','FEMENINO','ACTIVO','',0,0,'','ALUMNO'</v>
      </c>
      <c r="L140" s="6" t="str">
        <f t="shared" si="5"/>
        <v>INSERT INTO participantes (id,nivel,correo,matricula,clave,nombre,carrera,grado,sexo,situacion,evaluados,num_evaluados,total_evaluaciones,ultimo_acceso,nivel_acceso) VALUES (3138,'BACHILLERATO','alexavictoria.ruizjara','008132','TOMAR DEL SND','RUIZ JARA ALEXA VICTORIA','DISEÑO GRÁFICO','6to','FEMENINO','ACTIVO','',0,0,'','ALUMNO');</v>
      </c>
    </row>
    <row r="141" spans="1:12" x14ac:dyDescent="0.35">
      <c r="A141">
        <v>3139</v>
      </c>
      <c r="B141" s="1" t="s">
        <v>185</v>
      </c>
      <c r="C141" s="1" t="s">
        <v>325</v>
      </c>
      <c r="D141" s="1" t="s">
        <v>722</v>
      </c>
      <c r="E141" s="6" t="s">
        <v>174</v>
      </c>
      <c r="F141" s="1" t="s">
        <v>1121</v>
      </c>
      <c r="G141" s="1" t="s">
        <v>1382</v>
      </c>
      <c r="H141" s="1" t="s">
        <v>1391</v>
      </c>
      <c r="I141" s="1" t="s">
        <v>1395</v>
      </c>
      <c r="J141" s="1" t="s">
        <v>1396</v>
      </c>
      <c r="K141" s="6" t="str">
        <f t="shared" si="4"/>
        <v>3139,'BACHILLERATO','dario.herrerasanchez','008134','TOMAR DEL SND','HERRERA SANCHEZ DARIO','ADMINISTRACIÓN','6to','MASCULINO','ACTIVO','',0,0,'','ALUMNO'</v>
      </c>
      <c r="L141" s="6" t="str">
        <f t="shared" si="5"/>
        <v>INSERT INTO participantes (id,nivel,correo,matricula,clave,nombre,carrera,grado,sexo,situacion,evaluados,num_evaluados,total_evaluaciones,ultimo_acceso,nivel_acceso) VALUES (3139,'BACHILLERATO','dario.herrerasanchez','008134','TOMAR DEL SND','HERRERA SANCHEZ DARIO','ADMINISTRACIÓN','6to','MASCULINO','ACTIVO','',0,0,'','ALUMNO');</v>
      </c>
    </row>
    <row r="142" spans="1:12" x14ac:dyDescent="0.35">
      <c r="A142">
        <v>3140</v>
      </c>
      <c r="B142" s="1" t="s">
        <v>185</v>
      </c>
      <c r="C142" s="1" t="s">
        <v>326</v>
      </c>
      <c r="D142" s="1" t="s">
        <v>723</v>
      </c>
      <c r="E142" s="6" t="s">
        <v>174</v>
      </c>
      <c r="F142" s="1" t="s">
        <v>1122</v>
      </c>
      <c r="G142" s="1" t="s">
        <v>1383</v>
      </c>
      <c r="H142" s="1" t="s">
        <v>1391</v>
      </c>
      <c r="I142" s="1" t="s">
        <v>1394</v>
      </c>
      <c r="J142" s="1" t="s">
        <v>1396</v>
      </c>
      <c r="K142" s="6" t="str">
        <f t="shared" si="4"/>
        <v>3140,'BACHILLERATO','yaretzi.arteagacuautli','008135','TOMAR DEL SND','ARTEAGA CUAUTLI YARETZI','HIGIENE Y SALUD COMUNITARIA','6to','FEMENINO','ACTIVO','',0,0,'','ALUMNO'</v>
      </c>
      <c r="L142" s="6" t="str">
        <f t="shared" si="5"/>
        <v>INSERT INTO participantes (id,nivel,correo,matricula,clave,nombre,carrera,grado,sexo,situacion,evaluados,num_evaluados,total_evaluaciones,ultimo_acceso,nivel_acceso) VALUES (3140,'BACHILLERATO','yaretzi.arteagacuautli','008135','TOMAR DEL SND','ARTEAGA CUAUTLI YARETZI','HIGIENE Y SALUD COMUNITARIA','6to','FEMENINO','ACTIVO','',0,0,'','ALUMNO');</v>
      </c>
    </row>
    <row r="143" spans="1:12" x14ac:dyDescent="0.35">
      <c r="A143">
        <v>3141</v>
      </c>
      <c r="B143" s="1" t="s">
        <v>185</v>
      </c>
      <c r="C143" s="1" t="s">
        <v>327</v>
      </c>
      <c r="D143" s="1" t="s">
        <v>724</v>
      </c>
      <c r="E143" s="6" t="s">
        <v>174</v>
      </c>
      <c r="F143" s="1" t="s">
        <v>1123</v>
      </c>
      <c r="G143" s="1" t="s">
        <v>1381</v>
      </c>
      <c r="H143" s="1" t="s">
        <v>1391</v>
      </c>
      <c r="I143" s="1" t="s">
        <v>1394</v>
      </c>
      <c r="J143" s="1" t="s">
        <v>1396</v>
      </c>
      <c r="K143" s="6" t="str">
        <f t="shared" si="4"/>
        <v>3141,'BACHILLERATO','saraelisa.lopezmartinez','008140','TOMAR DEL SND','LOPEZ MARTINEZ SARA ELISA','DISEÑO GRÁFICO','6to','FEMENINO','ACTIVO','',0,0,'','ALUMNO'</v>
      </c>
      <c r="L143" s="6" t="str">
        <f t="shared" si="5"/>
        <v>INSERT INTO participantes (id,nivel,correo,matricula,clave,nombre,carrera,grado,sexo,situacion,evaluados,num_evaluados,total_evaluaciones,ultimo_acceso,nivel_acceso) VALUES (3141,'BACHILLERATO','saraelisa.lopezmartinez','008140','TOMAR DEL SND','LOPEZ MARTINEZ SARA ELISA','DISEÑO GRÁFICO','6to','FEMENINO','ACTIVO','',0,0,'','ALUMNO');</v>
      </c>
    </row>
    <row r="144" spans="1:12" x14ac:dyDescent="0.35">
      <c r="A144">
        <v>3142</v>
      </c>
      <c r="B144" s="1" t="s">
        <v>185</v>
      </c>
      <c r="C144" s="1" t="s">
        <v>328</v>
      </c>
      <c r="D144" s="1" t="s">
        <v>725</v>
      </c>
      <c r="E144" s="6" t="s">
        <v>174</v>
      </c>
      <c r="F144" s="1" t="s">
        <v>1124</v>
      </c>
      <c r="G144" s="1" t="s">
        <v>1386</v>
      </c>
      <c r="H144" s="1" t="s">
        <v>1392</v>
      </c>
      <c r="I144" s="1" t="s">
        <v>1395</v>
      </c>
      <c r="J144" s="1" t="s">
        <v>1396</v>
      </c>
      <c r="K144" s="6" t="str">
        <f t="shared" si="4"/>
        <v>3142,'BACHILLERATO','matiasaldair.sandovalcardenas','008143','TOMAR DEL SND','SANDOVAL CARDENAS MATIAS ALDAIR','ADMINISTRACIÓNA','4to','MASCULINO','ACTIVO','',0,0,'','ALUMNO'</v>
      </c>
      <c r="L144" s="6" t="str">
        <f t="shared" si="5"/>
        <v>INSERT INTO participantes (id,nivel,correo,matricula,clave,nombre,carrera,grado,sexo,situacion,evaluados,num_evaluados,total_evaluaciones,ultimo_acceso,nivel_acceso) VALUES (3142,'BACHILLERATO','matiasaldair.sandovalcardenas','008143','TOMAR DEL SND','SANDOVAL CARDENAS MATIAS ALDAIR','ADMINISTRACIÓNA','4to','MASCULINO','ACTIVO','',0,0,'','ALUMNO');</v>
      </c>
    </row>
    <row r="145" spans="1:12" x14ac:dyDescent="0.35">
      <c r="A145">
        <v>3143</v>
      </c>
      <c r="B145" s="1" t="s">
        <v>185</v>
      </c>
      <c r="C145" s="1" t="s">
        <v>329</v>
      </c>
      <c r="D145" s="1" t="s">
        <v>726</v>
      </c>
      <c r="E145" s="6" t="s">
        <v>174</v>
      </c>
      <c r="F145" s="1" t="s">
        <v>1125</v>
      </c>
      <c r="G145" s="1" t="s">
        <v>1387</v>
      </c>
      <c r="H145" s="1" t="s">
        <v>1392</v>
      </c>
      <c r="I145" s="1" t="s">
        <v>1394</v>
      </c>
      <c r="J145" s="1" t="s">
        <v>1396</v>
      </c>
      <c r="K145" s="6" t="str">
        <f t="shared" si="4"/>
        <v>3143,'BACHILLERATO','valeriadanielle.ramirezpozos','008144','TOMAR DEL SND','RAMIREZ POZOS VALERIA DANIELLE','HIGIENE Y SALUD COMUNITARIAA','4to','FEMENINO','ACTIVO','',0,0,'','ALUMNO'</v>
      </c>
      <c r="L145" s="6" t="str">
        <f t="shared" si="5"/>
        <v>INSERT INTO participantes (id,nivel,correo,matricula,clave,nombre,carrera,grado,sexo,situacion,evaluados,num_evaluados,total_evaluaciones,ultimo_acceso,nivel_acceso) VALUES (3143,'BACHILLERATO','valeriadanielle.ramirezpozos','008144','TOMAR DEL SND','RAMIREZ POZOS VALERIA DANIELLE','HIGIENE Y SALUD COMUNITARIAA','4to','FEMENINO','ACTIVO','',0,0,'','ALUMNO');</v>
      </c>
    </row>
    <row r="146" spans="1:12" x14ac:dyDescent="0.35">
      <c r="A146">
        <v>3144</v>
      </c>
      <c r="B146" s="1" t="s">
        <v>185</v>
      </c>
      <c r="C146" s="1" t="s">
        <v>330</v>
      </c>
      <c r="D146" s="1" t="s">
        <v>727</v>
      </c>
      <c r="E146" s="6" t="s">
        <v>174</v>
      </c>
      <c r="F146" s="1" t="s">
        <v>1126</v>
      </c>
      <c r="G146" s="1" t="s">
        <v>1386</v>
      </c>
      <c r="H146" s="1" t="s">
        <v>1392</v>
      </c>
      <c r="I146" s="1" t="s">
        <v>1394</v>
      </c>
      <c r="J146" s="1" t="s">
        <v>1396</v>
      </c>
      <c r="K146" s="6" t="str">
        <f t="shared" si="4"/>
        <v>3144,'BACHILLERATO','anapaula.garnsjimenez','008146','TOMAR DEL SND','GARNS JIMENEZ ANA PAULA','ADMINISTRACIÓNA','4to','FEMENINO','ACTIVO','',0,0,'','ALUMNO'</v>
      </c>
      <c r="L146" s="6" t="str">
        <f t="shared" si="5"/>
        <v>INSERT INTO participantes (id,nivel,correo,matricula,clave,nombre,carrera,grado,sexo,situacion,evaluados,num_evaluados,total_evaluaciones,ultimo_acceso,nivel_acceso) VALUES (3144,'BACHILLERATO','anapaula.garnsjimenez','008146','TOMAR DEL SND','GARNS JIMENEZ ANA PAULA','ADMINISTRACIÓNA','4to','FEMENINO','ACTIVO','',0,0,'','ALUMNO');</v>
      </c>
    </row>
    <row r="147" spans="1:12" x14ac:dyDescent="0.35">
      <c r="A147">
        <v>3145</v>
      </c>
      <c r="B147" s="1" t="s">
        <v>185</v>
      </c>
      <c r="C147" s="1" t="s">
        <v>331</v>
      </c>
      <c r="D147" s="1" t="s">
        <v>728</v>
      </c>
      <c r="E147" s="6" t="s">
        <v>174</v>
      </c>
      <c r="F147" s="1" t="s">
        <v>1127</v>
      </c>
      <c r="G147" s="1" t="s">
        <v>1387</v>
      </c>
      <c r="H147" s="1" t="s">
        <v>1392</v>
      </c>
      <c r="I147" s="1" t="s">
        <v>1394</v>
      </c>
      <c r="J147" s="1" t="s">
        <v>1396</v>
      </c>
      <c r="K147" s="6" t="str">
        <f t="shared" si="4"/>
        <v>3145,'BACHILLERATO','valentina.hernandezhernandez','008147','TOMAR DEL SND','HERNANDEZ HERNANDEZ VALENTINA','HIGIENE Y SALUD COMUNITARIAA','4to','FEMENINO','ACTIVO','',0,0,'','ALUMNO'</v>
      </c>
      <c r="L147" s="6" t="str">
        <f t="shared" si="5"/>
        <v>INSERT INTO participantes (id,nivel,correo,matricula,clave,nombre,carrera,grado,sexo,situacion,evaluados,num_evaluados,total_evaluaciones,ultimo_acceso,nivel_acceso) VALUES (3145,'BACHILLERATO','valentina.hernandezhernandez','008147','TOMAR DEL SND','HERNANDEZ HERNANDEZ VALENTINA','HIGIENE Y SALUD COMUNITARIAA','4to','FEMENINO','ACTIVO','',0,0,'','ALUMNO');</v>
      </c>
    </row>
    <row r="148" spans="1:12" x14ac:dyDescent="0.35">
      <c r="A148">
        <v>3146</v>
      </c>
      <c r="B148" s="1" t="s">
        <v>185</v>
      </c>
      <c r="C148" s="1" t="s">
        <v>332</v>
      </c>
      <c r="D148" s="1" t="s">
        <v>729</v>
      </c>
      <c r="E148" s="6" t="s">
        <v>174</v>
      </c>
      <c r="F148" s="1" t="s">
        <v>1128</v>
      </c>
      <c r="G148" s="1" t="s">
        <v>1388</v>
      </c>
      <c r="H148" s="1" t="s">
        <v>1392</v>
      </c>
      <c r="I148" s="1" t="s">
        <v>1394</v>
      </c>
      <c r="J148" s="1" t="s">
        <v>1396</v>
      </c>
      <c r="K148" s="6" t="str">
        <f t="shared" si="4"/>
        <v>3146,'BACHILLERATO','mariam.veganavarro','008148','TOMAR DEL SND','VEGA NAVARRO MARIAM','DISEÑO GRÁFICOA','4to','FEMENINO','ACTIVO','',0,0,'','ALUMNO'</v>
      </c>
      <c r="L148" s="6" t="str">
        <f t="shared" si="5"/>
        <v>INSERT INTO participantes (id,nivel,correo,matricula,clave,nombre,carrera,grado,sexo,situacion,evaluados,num_evaluados,total_evaluaciones,ultimo_acceso,nivel_acceso) VALUES (3146,'BACHILLERATO','mariam.veganavarro','008148','TOMAR DEL SND','VEGA NAVARRO MARIAM','DISEÑO GRÁFICOA','4to','FEMENINO','ACTIVO','',0,0,'','ALUMNO');</v>
      </c>
    </row>
    <row r="149" spans="1:12" x14ac:dyDescent="0.35">
      <c r="A149">
        <v>3147</v>
      </c>
      <c r="B149" s="1" t="s">
        <v>185</v>
      </c>
      <c r="C149" s="1" t="s">
        <v>333</v>
      </c>
      <c r="D149" s="1" t="s">
        <v>730</v>
      </c>
      <c r="E149" s="6" t="s">
        <v>174</v>
      </c>
      <c r="F149" s="1" t="s">
        <v>1129</v>
      </c>
      <c r="G149" s="1" t="s">
        <v>1386</v>
      </c>
      <c r="H149" s="1" t="s">
        <v>1392</v>
      </c>
      <c r="I149" s="1" t="s">
        <v>1394</v>
      </c>
      <c r="J149" s="1" t="s">
        <v>1396</v>
      </c>
      <c r="K149" s="6" t="str">
        <f t="shared" si="4"/>
        <v>3147,'BACHILLERATO','mariajose.perezlopez','008149','TOMAR DEL SND','PEREZ LOPEZ MARIA JOSE','ADMINISTRACIÓNA','4to','FEMENINO','ACTIVO','',0,0,'','ALUMNO'</v>
      </c>
      <c r="L149" s="6" t="str">
        <f t="shared" si="5"/>
        <v>INSERT INTO participantes (id,nivel,correo,matricula,clave,nombre,carrera,grado,sexo,situacion,evaluados,num_evaluados,total_evaluaciones,ultimo_acceso,nivel_acceso) VALUES (3147,'BACHILLERATO','mariajose.perezlopez','008149','TOMAR DEL SND','PEREZ LOPEZ MARIA JOSE','ADMINISTRACIÓNA','4to','FEMENINO','ACTIVO','',0,0,'','ALUMNO');</v>
      </c>
    </row>
    <row r="150" spans="1:12" x14ac:dyDescent="0.35">
      <c r="A150">
        <v>3148</v>
      </c>
      <c r="B150" s="1" t="s">
        <v>185</v>
      </c>
      <c r="C150" s="1" t="s">
        <v>334</v>
      </c>
      <c r="D150" s="1" t="s">
        <v>731</v>
      </c>
      <c r="E150" s="6" t="s">
        <v>174</v>
      </c>
      <c r="F150" s="1" t="s">
        <v>1130</v>
      </c>
      <c r="G150" s="1" t="s">
        <v>1386</v>
      </c>
      <c r="H150" s="1" t="s">
        <v>1392</v>
      </c>
      <c r="I150" s="1" t="s">
        <v>1395</v>
      </c>
      <c r="J150" s="1" t="s">
        <v>1396</v>
      </c>
      <c r="K150" s="6" t="str">
        <f t="shared" si="4"/>
        <v>3148,'BACHILLERATO','andreleonardo.escotogonzalez','008150','TOMAR DEL SND','ESCOTO GONZALEZ ANDRE LEONARDO','ADMINISTRACIÓNA','4to','MASCULINO','ACTIVO','',0,0,'','ALUMNO'</v>
      </c>
      <c r="L150" s="6" t="str">
        <f t="shared" si="5"/>
        <v>INSERT INTO participantes (id,nivel,correo,matricula,clave,nombre,carrera,grado,sexo,situacion,evaluados,num_evaluados,total_evaluaciones,ultimo_acceso,nivel_acceso) VALUES (3148,'BACHILLERATO','andreleonardo.escotogonzalez','008150','TOMAR DEL SND','ESCOTO GONZALEZ ANDRE LEONARDO','ADMINISTRACIÓNA','4to','MASCULINO','ACTIVO','',0,0,'','ALUMNO');</v>
      </c>
    </row>
    <row r="151" spans="1:12" x14ac:dyDescent="0.35">
      <c r="A151">
        <v>3149</v>
      </c>
      <c r="B151" s="1" t="s">
        <v>185</v>
      </c>
      <c r="C151" s="1" t="s">
        <v>335</v>
      </c>
      <c r="D151" s="1" t="s">
        <v>732</v>
      </c>
      <c r="E151" s="6" t="s">
        <v>174</v>
      </c>
      <c r="F151" s="1" t="s">
        <v>1131</v>
      </c>
      <c r="G151" s="1" t="s">
        <v>1389</v>
      </c>
      <c r="H151" s="1" t="s">
        <v>1392</v>
      </c>
      <c r="I151" s="1" t="s">
        <v>1395</v>
      </c>
      <c r="J151" s="1" t="s">
        <v>1396</v>
      </c>
      <c r="K151" s="6" t="str">
        <f t="shared" si="4"/>
        <v>3149,'BACHILLERATO','andresemiliano.rodriguezguzman','008151','TOMAR DEL SND','RODRIGUEZ GUZMAN ANDRES EMILIANO','ELECTRÓNICAA','4to','MASCULINO','ACTIVO','',0,0,'','ALUMNO'</v>
      </c>
      <c r="L151" s="6" t="str">
        <f t="shared" si="5"/>
        <v>INSERT INTO participantes (id,nivel,correo,matricula,clave,nombre,carrera,grado,sexo,situacion,evaluados,num_evaluados,total_evaluaciones,ultimo_acceso,nivel_acceso) VALUES (3149,'BACHILLERATO','andresemiliano.rodriguezguzman','008151','TOMAR DEL SND','RODRIGUEZ GUZMAN ANDRES EMILIANO','ELECTRÓNICAA','4to','MASCULINO','ACTIVO','',0,0,'','ALUMNO');</v>
      </c>
    </row>
    <row r="152" spans="1:12" x14ac:dyDescent="0.35">
      <c r="A152">
        <v>3150</v>
      </c>
      <c r="B152" s="1" t="s">
        <v>185</v>
      </c>
      <c r="C152" s="1" t="s">
        <v>336</v>
      </c>
      <c r="D152" s="1" t="s">
        <v>733</v>
      </c>
      <c r="E152" s="6" t="s">
        <v>174</v>
      </c>
      <c r="F152" s="1" t="s">
        <v>1132</v>
      </c>
      <c r="G152" s="1" t="s">
        <v>1389</v>
      </c>
      <c r="H152" s="1" t="s">
        <v>1392</v>
      </c>
      <c r="I152" s="1" t="s">
        <v>1395</v>
      </c>
      <c r="J152" s="1" t="s">
        <v>1396</v>
      </c>
      <c r="K152" s="6" t="str">
        <f t="shared" si="4"/>
        <v>3150,'BACHILLERATO','mauriciogabriel.garciaduenas','008152','TOMAR DEL SND','GARCIA DUEÑAS MAURICIO GABRIEL','ELECTRÓNICAA','4to','MASCULINO','ACTIVO','',0,0,'','ALUMNO'</v>
      </c>
      <c r="L152" s="6" t="str">
        <f t="shared" si="5"/>
        <v>INSERT INTO participantes (id,nivel,correo,matricula,clave,nombre,carrera,grado,sexo,situacion,evaluados,num_evaluados,total_evaluaciones,ultimo_acceso,nivel_acceso) VALUES (3150,'BACHILLERATO','mauriciogabriel.garciaduenas','008152','TOMAR DEL SND','GARCIA DUEÑAS MAURICIO GABRIEL','ELECTRÓNICAA','4to','MASCULINO','ACTIVO','',0,0,'','ALUMNO');</v>
      </c>
    </row>
    <row r="153" spans="1:12" x14ac:dyDescent="0.35">
      <c r="A153">
        <v>3151</v>
      </c>
      <c r="B153" s="1" t="s">
        <v>185</v>
      </c>
      <c r="C153" s="1" t="s">
        <v>337</v>
      </c>
      <c r="D153" s="1" t="s">
        <v>734</v>
      </c>
      <c r="E153" s="6" t="s">
        <v>174</v>
      </c>
      <c r="F153" s="1" t="s">
        <v>1133</v>
      </c>
      <c r="G153" s="1" t="s">
        <v>1386</v>
      </c>
      <c r="H153" s="1" t="s">
        <v>1392</v>
      </c>
      <c r="I153" s="1" t="s">
        <v>1394</v>
      </c>
      <c r="J153" s="1" t="s">
        <v>1396</v>
      </c>
      <c r="K153" s="6" t="str">
        <f t="shared" si="4"/>
        <v>3151,'BACHILLERATO','isabella.gonzalezpont','008153','TOMAR DEL SND','GONZALEZ PONT ISABELLA','ADMINISTRACIÓNA','4to','FEMENINO','ACTIVO','',0,0,'','ALUMNO'</v>
      </c>
      <c r="L153" s="6" t="str">
        <f t="shared" si="5"/>
        <v>INSERT INTO participantes (id,nivel,correo,matricula,clave,nombre,carrera,grado,sexo,situacion,evaluados,num_evaluados,total_evaluaciones,ultimo_acceso,nivel_acceso) VALUES (3151,'BACHILLERATO','isabella.gonzalezpont','008153','TOMAR DEL SND','GONZALEZ PONT ISABELLA','ADMINISTRACIÓNA','4to','FEMENINO','ACTIVO','',0,0,'','ALUMNO');</v>
      </c>
    </row>
    <row r="154" spans="1:12" x14ac:dyDescent="0.35">
      <c r="A154">
        <v>3152</v>
      </c>
      <c r="B154" s="1" t="s">
        <v>185</v>
      </c>
      <c r="C154" s="1" t="s">
        <v>338</v>
      </c>
      <c r="D154" s="1" t="s">
        <v>735</v>
      </c>
      <c r="E154" s="6" t="s">
        <v>174</v>
      </c>
      <c r="F154" s="1" t="s">
        <v>1134</v>
      </c>
      <c r="G154" s="1" t="s">
        <v>1386</v>
      </c>
      <c r="H154" s="1" t="s">
        <v>1392</v>
      </c>
      <c r="I154" s="1" t="s">
        <v>1394</v>
      </c>
      <c r="J154" s="1" t="s">
        <v>1396</v>
      </c>
      <c r="K154" s="6" t="str">
        <f t="shared" si="4"/>
        <v>3152,'BACHILLERATO','valentinapaloma.aranareyna','008154','TOMAR DEL SND','ARANA REYNA VALENTINA PALOMA','ADMINISTRACIÓNA','4to','FEMENINO','ACTIVO','',0,0,'','ALUMNO'</v>
      </c>
      <c r="L154" s="6" t="str">
        <f t="shared" si="5"/>
        <v>INSERT INTO participantes (id,nivel,correo,matricula,clave,nombre,carrera,grado,sexo,situacion,evaluados,num_evaluados,total_evaluaciones,ultimo_acceso,nivel_acceso) VALUES (3152,'BACHILLERATO','valentinapaloma.aranareyna','008154','TOMAR DEL SND','ARANA REYNA VALENTINA PALOMA','ADMINISTRACIÓNA','4to','FEMENINO','ACTIVO','',0,0,'','ALUMNO');</v>
      </c>
    </row>
    <row r="155" spans="1:12" x14ac:dyDescent="0.35">
      <c r="A155">
        <v>3153</v>
      </c>
      <c r="B155" s="1" t="s">
        <v>185</v>
      </c>
      <c r="C155" s="1" t="s">
        <v>339</v>
      </c>
      <c r="D155" s="1" t="s">
        <v>736</v>
      </c>
      <c r="E155" s="6" t="s">
        <v>174</v>
      </c>
      <c r="F155" s="1" t="s">
        <v>1135</v>
      </c>
      <c r="G155" s="1" t="s">
        <v>1389</v>
      </c>
      <c r="H155" s="1" t="s">
        <v>1392</v>
      </c>
      <c r="I155" s="1" t="s">
        <v>1394</v>
      </c>
      <c r="J155" s="1" t="s">
        <v>1396</v>
      </c>
      <c r="K155" s="6" t="str">
        <f t="shared" si="4"/>
        <v>3153,'BACHILLERATO','patriciadennisse.aguayocamberos','008156','TOMAR DEL SND','AGUAYO CAMBEROS PATRICIA DENNISSE','ELECTRÓNICAA','4to','FEMENINO','ACTIVO','',0,0,'','ALUMNO'</v>
      </c>
      <c r="L155" s="6" t="str">
        <f t="shared" si="5"/>
        <v>INSERT INTO participantes (id,nivel,correo,matricula,clave,nombre,carrera,grado,sexo,situacion,evaluados,num_evaluados,total_evaluaciones,ultimo_acceso,nivel_acceso) VALUES (3153,'BACHILLERATO','patriciadennisse.aguayocamberos','008156','TOMAR DEL SND','AGUAYO CAMBEROS PATRICIA DENNISSE','ELECTRÓNICAA','4to','FEMENINO','ACTIVO','',0,0,'','ALUMNO');</v>
      </c>
    </row>
    <row r="156" spans="1:12" x14ac:dyDescent="0.35">
      <c r="A156">
        <v>3154</v>
      </c>
      <c r="B156" s="1" t="s">
        <v>185</v>
      </c>
      <c r="C156" s="1" t="s">
        <v>340</v>
      </c>
      <c r="D156" s="1" t="s">
        <v>737</v>
      </c>
      <c r="E156" s="6" t="s">
        <v>174</v>
      </c>
      <c r="F156" s="1" t="s">
        <v>1136</v>
      </c>
      <c r="G156" s="1" t="s">
        <v>1386</v>
      </c>
      <c r="H156" s="1" t="s">
        <v>1392</v>
      </c>
      <c r="I156" s="1" t="s">
        <v>1395</v>
      </c>
      <c r="J156" s="1" t="s">
        <v>1396</v>
      </c>
      <c r="K156" s="6" t="str">
        <f t="shared" si="4"/>
        <v>3154,'BACHILLERATO','sebastian.dominguezvillalvazo','008157','TOMAR DEL SND','DOMINGUEZ VILLALVAZO SEBASTIAN','ADMINISTRACIÓNA','4to','MASCULINO','ACTIVO','',0,0,'','ALUMNO'</v>
      </c>
      <c r="L156" s="6" t="str">
        <f t="shared" si="5"/>
        <v>INSERT INTO participantes (id,nivel,correo,matricula,clave,nombre,carrera,grado,sexo,situacion,evaluados,num_evaluados,total_evaluaciones,ultimo_acceso,nivel_acceso) VALUES (3154,'BACHILLERATO','sebastian.dominguezvillalvazo','008157','TOMAR DEL SND','DOMINGUEZ VILLALVAZO SEBASTIAN','ADMINISTRACIÓNA','4to','MASCULINO','ACTIVO','',0,0,'','ALUMNO');</v>
      </c>
    </row>
    <row r="157" spans="1:12" x14ac:dyDescent="0.35">
      <c r="A157">
        <v>3155</v>
      </c>
      <c r="B157" s="1" t="s">
        <v>185</v>
      </c>
      <c r="C157" s="1" t="s">
        <v>341</v>
      </c>
      <c r="D157" s="1" t="s">
        <v>738</v>
      </c>
      <c r="E157" s="6" t="s">
        <v>174</v>
      </c>
      <c r="F157" s="1" t="s">
        <v>1137</v>
      </c>
      <c r="G157" s="1" t="s">
        <v>1386</v>
      </c>
      <c r="H157" s="1" t="s">
        <v>1392</v>
      </c>
      <c r="I157" s="1" t="s">
        <v>1394</v>
      </c>
      <c r="J157" s="1" t="s">
        <v>1396</v>
      </c>
      <c r="K157" s="6" t="str">
        <f t="shared" si="4"/>
        <v>3155,'BACHILLERATO','ivana.aguilarnavarro','008158','TOMAR DEL SND','AGUILAR NAVARRO IVANA','ADMINISTRACIÓNA','4to','FEMENINO','ACTIVO','',0,0,'','ALUMNO'</v>
      </c>
      <c r="L157" s="6" t="str">
        <f t="shared" si="5"/>
        <v>INSERT INTO participantes (id,nivel,correo,matricula,clave,nombre,carrera,grado,sexo,situacion,evaluados,num_evaluados,total_evaluaciones,ultimo_acceso,nivel_acceso) VALUES (3155,'BACHILLERATO','ivana.aguilarnavarro','008158','TOMAR DEL SND','AGUILAR NAVARRO IVANA','ADMINISTRACIÓNA','4to','FEMENINO','ACTIVO','',0,0,'','ALUMNO');</v>
      </c>
    </row>
    <row r="158" spans="1:12" x14ac:dyDescent="0.35">
      <c r="A158">
        <v>3156</v>
      </c>
      <c r="B158" s="1" t="s">
        <v>185</v>
      </c>
      <c r="C158" s="1" t="s">
        <v>342</v>
      </c>
      <c r="D158" s="1" t="s">
        <v>739</v>
      </c>
      <c r="E158" s="6" t="s">
        <v>174</v>
      </c>
      <c r="F158" s="1" t="s">
        <v>1138</v>
      </c>
      <c r="G158" s="1" t="s">
        <v>1387</v>
      </c>
      <c r="H158" s="1" t="s">
        <v>1392</v>
      </c>
      <c r="I158" s="1" t="s">
        <v>1394</v>
      </c>
      <c r="J158" s="1" t="s">
        <v>1396</v>
      </c>
      <c r="K158" s="6" t="str">
        <f t="shared" si="4"/>
        <v>3156,'BACHILLERATO','briandavalentina.delgadogarcia','008159','TOMAR DEL SND','DELGADO GARCIA BRIANDA VALENTINA','HIGIENE Y SALUD COMUNITARIAA','4to','FEMENINO','ACTIVO','',0,0,'','ALUMNO'</v>
      </c>
      <c r="L158" s="6" t="str">
        <f t="shared" si="5"/>
        <v>INSERT INTO participantes (id,nivel,correo,matricula,clave,nombre,carrera,grado,sexo,situacion,evaluados,num_evaluados,total_evaluaciones,ultimo_acceso,nivel_acceso) VALUES (3156,'BACHILLERATO','briandavalentina.delgadogarcia','008159','TOMAR DEL SND','DELGADO GARCIA BRIANDA VALENTINA','HIGIENE Y SALUD COMUNITARIAA','4to','FEMENINO','ACTIVO','',0,0,'','ALUMNO');</v>
      </c>
    </row>
    <row r="159" spans="1:12" x14ac:dyDescent="0.35">
      <c r="A159">
        <v>3157</v>
      </c>
      <c r="B159" s="1" t="s">
        <v>185</v>
      </c>
      <c r="C159" s="1" t="s">
        <v>343</v>
      </c>
      <c r="D159" s="1" t="s">
        <v>740</v>
      </c>
      <c r="E159" s="6" t="s">
        <v>174</v>
      </c>
      <c r="F159" s="1" t="s">
        <v>1139</v>
      </c>
      <c r="G159" s="1" t="s">
        <v>1387</v>
      </c>
      <c r="H159" s="1" t="s">
        <v>1392</v>
      </c>
      <c r="I159" s="1" t="s">
        <v>1394</v>
      </c>
      <c r="J159" s="1" t="s">
        <v>1396</v>
      </c>
      <c r="K159" s="6" t="str">
        <f t="shared" si="4"/>
        <v>3157,'BACHILLERATO','vanessa.mercadoortega','008160','TOMAR DEL SND','MERCADO ORTEGA VANESSA','HIGIENE Y SALUD COMUNITARIAA','4to','FEMENINO','ACTIVO','',0,0,'','ALUMNO'</v>
      </c>
      <c r="L159" s="6" t="str">
        <f t="shared" si="5"/>
        <v>INSERT INTO participantes (id,nivel,correo,matricula,clave,nombre,carrera,grado,sexo,situacion,evaluados,num_evaluados,total_evaluaciones,ultimo_acceso,nivel_acceso) VALUES (3157,'BACHILLERATO','vanessa.mercadoortega','008160','TOMAR DEL SND','MERCADO ORTEGA VANESSA','HIGIENE Y SALUD COMUNITARIAA','4to','FEMENINO','ACTIVO','',0,0,'','ALUMNO');</v>
      </c>
    </row>
    <row r="160" spans="1:12" x14ac:dyDescent="0.35">
      <c r="A160">
        <v>3158</v>
      </c>
      <c r="B160" s="1" t="s">
        <v>185</v>
      </c>
      <c r="C160" s="1" t="s">
        <v>344</v>
      </c>
      <c r="D160" s="1" t="s">
        <v>741</v>
      </c>
      <c r="E160" s="6" t="s">
        <v>174</v>
      </c>
      <c r="F160" s="1" t="s">
        <v>1140</v>
      </c>
      <c r="G160" s="1" t="s">
        <v>1388</v>
      </c>
      <c r="H160" s="1" t="s">
        <v>1392</v>
      </c>
      <c r="I160" s="1" t="s">
        <v>1394</v>
      </c>
      <c r="J160" s="1" t="s">
        <v>1396</v>
      </c>
      <c r="K160" s="6" t="str">
        <f t="shared" si="4"/>
        <v>3158,'BACHILLERATO','ilsesarahi.morenonunez','008161','TOMAR DEL SND','MORENO NUÑEZ ILSE SARAHI','DISEÑO GRÁFICOA','4to','FEMENINO','ACTIVO','',0,0,'','ALUMNO'</v>
      </c>
      <c r="L160" s="6" t="str">
        <f t="shared" si="5"/>
        <v>INSERT INTO participantes (id,nivel,correo,matricula,clave,nombre,carrera,grado,sexo,situacion,evaluados,num_evaluados,total_evaluaciones,ultimo_acceso,nivel_acceso) VALUES (3158,'BACHILLERATO','ilsesarahi.morenonunez','008161','TOMAR DEL SND','MORENO NUÑEZ ILSE SARAHI','DISEÑO GRÁFICOA','4to','FEMENINO','ACTIVO','',0,0,'','ALUMNO');</v>
      </c>
    </row>
    <row r="161" spans="1:12" x14ac:dyDescent="0.35">
      <c r="A161">
        <v>3159</v>
      </c>
      <c r="B161" s="1" t="s">
        <v>185</v>
      </c>
      <c r="C161" s="1" t="s">
        <v>345</v>
      </c>
      <c r="D161" s="1" t="s">
        <v>742</v>
      </c>
      <c r="E161" s="6" t="s">
        <v>174</v>
      </c>
      <c r="F161" s="1" t="s">
        <v>1141</v>
      </c>
      <c r="G161" s="1" t="s">
        <v>1387</v>
      </c>
      <c r="H161" s="1" t="s">
        <v>1392</v>
      </c>
      <c r="I161" s="1" t="s">
        <v>1394</v>
      </c>
      <c r="J161" s="1" t="s">
        <v>1396</v>
      </c>
      <c r="K161" s="6" t="str">
        <f t="shared" si="4"/>
        <v>3159,'BACHILLERATO','jimenamariana.mendozaarceo','008162','TOMAR DEL SND','MENDOZA ARCEO JIMENA MARIANA','HIGIENE Y SALUD COMUNITARIAA','4to','FEMENINO','ACTIVO','',0,0,'','ALUMNO'</v>
      </c>
      <c r="L161" s="6" t="str">
        <f t="shared" si="5"/>
        <v>INSERT INTO participantes (id,nivel,correo,matricula,clave,nombre,carrera,grado,sexo,situacion,evaluados,num_evaluados,total_evaluaciones,ultimo_acceso,nivel_acceso) VALUES (3159,'BACHILLERATO','jimenamariana.mendozaarceo','008162','TOMAR DEL SND','MENDOZA ARCEO JIMENA MARIANA','HIGIENE Y SALUD COMUNITARIAA','4to','FEMENINO','ACTIVO','',0,0,'','ALUMNO');</v>
      </c>
    </row>
    <row r="162" spans="1:12" x14ac:dyDescent="0.35">
      <c r="A162">
        <v>3160</v>
      </c>
      <c r="B162" s="1" t="s">
        <v>185</v>
      </c>
      <c r="C162" s="1" t="s">
        <v>346</v>
      </c>
      <c r="D162" s="1" t="s">
        <v>743</v>
      </c>
      <c r="E162" s="6" t="s">
        <v>174</v>
      </c>
      <c r="F162" s="1" t="s">
        <v>1142</v>
      </c>
      <c r="G162" s="1" t="s">
        <v>1387</v>
      </c>
      <c r="H162" s="1" t="s">
        <v>1392</v>
      </c>
      <c r="I162" s="1" t="s">
        <v>1394</v>
      </c>
      <c r="J162" s="1" t="s">
        <v>1396</v>
      </c>
      <c r="K162" s="6" t="str">
        <f t="shared" si="4"/>
        <v>3160,'BACHILLERATO','fernanda.lujanmaciel','008163','TOMAR DEL SND','LUJAN MACIEL FERNANDA','HIGIENE Y SALUD COMUNITARIAA','4to','FEMENINO','ACTIVO','',0,0,'','ALUMNO'</v>
      </c>
      <c r="L162" s="6" t="str">
        <f t="shared" si="5"/>
        <v>INSERT INTO participantes (id,nivel,correo,matricula,clave,nombre,carrera,grado,sexo,situacion,evaluados,num_evaluados,total_evaluaciones,ultimo_acceso,nivel_acceso) VALUES (3160,'BACHILLERATO','fernanda.lujanmaciel','008163','TOMAR DEL SND','LUJAN MACIEL FERNANDA','HIGIENE Y SALUD COMUNITARIAA','4to','FEMENINO','ACTIVO','',0,0,'','ALUMNO');</v>
      </c>
    </row>
    <row r="163" spans="1:12" x14ac:dyDescent="0.35">
      <c r="A163">
        <v>3161</v>
      </c>
      <c r="B163" s="1" t="s">
        <v>185</v>
      </c>
      <c r="C163" s="1" t="s">
        <v>347</v>
      </c>
      <c r="D163" s="1" t="s">
        <v>744</v>
      </c>
      <c r="E163" s="6" t="s">
        <v>174</v>
      </c>
      <c r="F163" s="1" t="s">
        <v>1143</v>
      </c>
      <c r="G163" s="1" t="s">
        <v>1386</v>
      </c>
      <c r="H163" s="1" t="s">
        <v>1392</v>
      </c>
      <c r="I163" s="1" t="s">
        <v>1395</v>
      </c>
      <c r="J163" s="1" t="s">
        <v>1396</v>
      </c>
      <c r="K163" s="6" t="str">
        <f t="shared" si="4"/>
        <v>3161,'BACHILLERATO','maximilianosalvador.cardenasdeanda','008165','TOMAR DEL SND','CARDENAS DE ANDA MAXIMILIANO SALVADOR','ADMINISTRACIÓNA','4to','MASCULINO','ACTIVO','',0,0,'','ALUMNO'</v>
      </c>
      <c r="L163" s="6" t="str">
        <f t="shared" si="5"/>
        <v>INSERT INTO participantes (id,nivel,correo,matricula,clave,nombre,carrera,grado,sexo,situacion,evaluados,num_evaluados,total_evaluaciones,ultimo_acceso,nivel_acceso) VALUES (3161,'BACHILLERATO','maximilianosalvador.cardenasdeanda','008165','TOMAR DEL SND','CARDENAS DE ANDA MAXIMILIANO SALVADOR','ADMINISTRACIÓNA','4to','MASCULINO','ACTIVO','',0,0,'','ALUMNO');</v>
      </c>
    </row>
    <row r="164" spans="1:12" x14ac:dyDescent="0.35">
      <c r="A164">
        <v>3162</v>
      </c>
      <c r="B164" s="1" t="s">
        <v>185</v>
      </c>
      <c r="C164" s="1" t="s">
        <v>348</v>
      </c>
      <c r="D164" s="1" t="s">
        <v>745</v>
      </c>
      <c r="E164" s="6" t="s">
        <v>174</v>
      </c>
      <c r="F164" s="1" t="s">
        <v>1144</v>
      </c>
      <c r="G164" s="1" t="s">
        <v>1387</v>
      </c>
      <c r="H164" s="1" t="s">
        <v>1392</v>
      </c>
      <c r="I164" s="1" t="s">
        <v>1394</v>
      </c>
      <c r="J164" s="1" t="s">
        <v>1396</v>
      </c>
      <c r="K164" s="6" t="str">
        <f t="shared" si="4"/>
        <v>3162,'BACHILLERATO','mariajose.bautistamanzo','008166','TOMAR DEL SND','BAUTISTA MANZO MARIA JOSE','HIGIENE Y SALUD COMUNITARIAA','4to','FEMENINO','ACTIVO','',0,0,'','ALUMNO'</v>
      </c>
      <c r="L164" s="6" t="str">
        <f t="shared" si="5"/>
        <v>INSERT INTO participantes (id,nivel,correo,matricula,clave,nombre,carrera,grado,sexo,situacion,evaluados,num_evaluados,total_evaluaciones,ultimo_acceso,nivel_acceso) VALUES (3162,'BACHILLERATO','mariajose.bautistamanzo','008166','TOMAR DEL SND','BAUTISTA MANZO MARIA JOSE','HIGIENE Y SALUD COMUNITARIAA','4to','FEMENINO','ACTIVO','',0,0,'','ALUMNO');</v>
      </c>
    </row>
    <row r="165" spans="1:12" x14ac:dyDescent="0.35">
      <c r="A165">
        <v>3163</v>
      </c>
      <c r="B165" s="1" t="s">
        <v>185</v>
      </c>
      <c r="C165" s="1" t="s">
        <v>349</v>
      </c>
      <c r="D165" s="1" t="s">
        <v>746</v>
      </c>
      <c r="E165" s="6" t="s">
        <v>174</v>
      </c>
      <c r="F165" s="1" t="s">
        <v>1145</v>
      </c>
      <c r="G165" s="1" t="s">
        <v>1387</v>
      </c>
      <c r="H165" s="1" t="s">
        <v>1392</v>
      </c>
      <c r="I165" s="1" t="s">
        <v>1394</v>
      </c>
      <c r="J165" s="1" t="s">
        <v>1396</v>
      </c>
      <c r="K165" s="6" t="str">
        <f t="shared" si="4"/>
        <v>3163,'BACHILLERATO','karlarenee.valenciafelix','008167','TOMAR DEL SND','VALENCIA FELIX KARLA RENEE','HIGIENE Y SALUD COMUNITARIAA','4to','FEMENINO','ACTIVO','',0,0,'','ALUMNO'</v>
      </c>
      <c r="L165" s="6" t="str">
        <f t="shared" si="5"/>
        <v>INSERT INTO participantes (id,nivel,correo,matricula,clave,nombre,carrera,grado,sexo,situacion,evaluados,num_evaluados,total_evaluaciones,ultimo_acceso,nivel_acceso) VALUES (3163,'BACHILLERATO','karlarenee.valenciafelix','008167','TOMAR DEL SND','VALENCIA FELIX KARLA RENEE','HIGIENE Y SALUD COMUNITARIAA','4to','FEMENINO','ACTIVO','',0,0,'','ALUMNO');</v>
      </c>
    </row>
    <row r="166" spans="1:12" x14ac:dyDescent="0.35">
      <c r="A166">
        <v>3164</v>
      </c>
      <c r="B166" s="1" t="s">
        <v>185</v>
      </c>
      <c r="C166" s="1" t="s">
        <v>350</v>
      </c>
      <c r="D166" s="1" t="s">
        <v>747</v>
      </c>
      <c r="E166" s="6" t="s">
        <v>174</v>
      </c>
      <c r="F166" s="1" t="s">
        <v>1146</v>
      </c>
      <c r="G166" s="1" t="s">
        <v>1386</v>
      </c>
      <c r="H166" s="1" t="s">
        <v>1392</v>
      </c>
      <c r="I166" s="1" t="s">
        <v>1395</v>
      </c>
      <c r="J166" s="1" t="s">
        <v>1396</v>
      </c>
      <c r="K166" s="6" t="str">
        <f t="shared" si="4"/>
        <v>3164,'BACHILLERATO','carlosgael.villalobosmartinez','008169','TOMAR DEL SND','VILLALOBOS MARTINEZ CARLOS GAEL','ADMINISTRACIÓNA','4to','MASCULINO','ACTIVO','',0,0,'','ALUMNO'</v>
      </c>
      <c r="L166" s="6" t="str">
        <f t="shared" si="5"/>
        <v>INSERT INTO participantes (id,nivel,correo,matricula,clave,nombre,carrera,grado,sexo,situacion,evaluados,num_evaluados,total_evaluaciones,ultimo_acceso,nivel_acceso) VALUES (3164,'BACHILLERATO','carlosgael.villalobosmartinez','008169','TOMAR DEL SND','VILLALOBOS MARTINEZ CARLOS GAEL','ADMINISTRACIÓNA','4to','MASCULINO','ACTIVO','',0,0,'','ALUMNO');</v>
      </c>
    </row>
    <row r="167" spans="1:12" x14ac:dyDescent="0.35">
      <c r="A167">
        <v>3165</v>
      </c>
      <c r="B167" s="1" t="s">
        <v>185</v>
      </c>
      <c r="C167" s="1" t="s">
        <v>351</v>
      </c>
      <c r="D167" s="1" t="s">
        <v>748</v>
      </c>
      <c r="E167" s="6" t="s">
        <v>174</v>
      </c>
      <c r="F167" s="1" t="s">
        <v>1147</v>
      </c>
      <c r="G167" s="1" t="s">
        <v>1387</v>
      </c>
      <c r="H167" s="1" t="s">
        <v>1392</v>
      </c>
      <c r="I167" s="1" t="s">
        <v>1394</v>
      </c>
      <c r="J167" s="1" t="s">
        <v>1396</v>
      </c>
      <c r="K167" s="6" t="str">
        <f t="shared" si="4"/>
        <v>3165,'BACHILLERATO','maria.rangelramirezgamiz','008170','TOMAR DEL SND','RANGEL RAMIREZ GAMIZ MARIA','HIGIENE Y SALUD COMUNITARIAA','4to','FEMENINO','ACTIVO','',0,0,'','ALUMNO'</v>
      </c>
      <c r="L167" s="6" t="str">
        <f t="shared" si="5"/>
        <v>INSERT INTO participantes (id,nivel,correo,matricula,clave,nombre,carrera,grado,sexo,situacion,evaluados,num_evaluados,total_evaluaciones,ultimo_acceso,nivel_acceso) VALUES (3165,'BACHILLERATO','maria.rangelramirezgamiz','008170','TOMAR DEL SND','RANGEL RAMIREZ GAMIZ MARIA','HIGIENE Y SALUD COMUNITARIAA','4to','FEMENINO','ACTIVO','',0,0,'','ALUMNO');</v>
      </c>
    </row>
    <row r="168" spans="1:12" x14ac:dyDescent="0.35">
      <c r="A168">
        <v>3166</v>
      </c>
      <c r="B168" s="1" t="s">
        <v>185</v>
      </c>
      <c r="C168" s="1" t="s">
        <v>352</v>
      </c>
      <c r="D168" s="1" t="s">
        <v>749</v>
      </c>
      <c r="E168" s="6" t="s">
        <v>174</v>
      </c>
      <c r="F168" s="1" t="s">
        <v>1148</v>
      </c>
      <c r="G168" s="1" t="s">
        <v>1386</v>
      </c>
      <c r="H168" s="1" t="s">
        <v>1392</v>
      </c>
      <c r="I168" s="1" t="s">
        <v>1395</v>
      </c>
      <c r="J168" s="1" t="s">
        <v>1396</v>
      </c>
      <c r="K168" s="6" t="str">
        <f t="shared" si="4"/>
        <v>3166,'BACHILLERATO','david.sanchezgallardo','008171','TOMAR DEL SND','SANCHEZ GALLARDO DAVID','ADMINISTRACIÓNA','4to','MASCULINO','ACTIVO','',0,0,'','ALUMNO'</v>
      </c>
      <c r="L168" s="6" t="str">
        <f t="shared" si="5"/>
        <v>INSERT INTO participantes (id,nivel,correo,matricula,clave,nombre,carrera,grado,sexo,situacion,evaluados,num_evaluados,total_evaluaciones,ultimo_acceso,nivel_acceso) VALUES (3166,'BACHILLERATO','david.sanchezgallardo','008171','TOMAR DEL SND','SANCHEZ GALLARDO DAVID','ADMINISTRACIÓNA','4to','MASCULINO','ACTIVO','',0,0,'','ALUMNO');</v>
      </c>
    </row>
    <row r="169" spans="1:12" x14ac:dyDescent="0.35">
      <c r="A169">
        <v>3167</v>
      </c>
      <c r="B169" s="1" t="s">
        <v>185</v>
      </c>
      <c r="C169" s="1" t="s">
        <v>353</v>
      </c>
      <c r="D169" s="1" t="s">
        <v>750</v>
      </c>
      <c r="E169" s="6" t="s">
        <v>174</v>
      </c>
      <c r="F169" s="1" t="s">
        <v>1149</v>
      </c>
      <c r="G169" s="1" t="s">
        <v>1388</v>
      </c>
      <c r="H169" s="1" t="s">
        <v>1392</v>
      </c>
      <c r="I169" s="1" t="s">
        <v>1395</v>
      </c>
      <c r="J169" s="1" t="s">
        <v>1396</v>
      </c>
      <c r="K169" s="6" t="str">
        <f t="shared" si="4"/>
        <v>3167,'BACHILLERATO','juanandres.gonzalezlopez','008172','TOMAR DEL SND','GONZALEZ LOPEZ JUAN ANDRES','DISEÑO GRÁFICOA','4to','MASCULINO','ACTIVO','',0,0,'','ALUMNO'</v>
      </c>
      <c r="L169" s="6" t="str">
        <f t="shared" si="5"/>
        <v>INSERT INTO participantes (id,nivel,correo,matricula,clave,nombre,carrera,grado,sexo,situacion,evaluados,num_evaluados,total_evaluaciones,ultimo_acceso,nivel_acceso) VALUES (3167,'BACHILLERATO','juanandres.gonzalezlopez','008172','TOMAR DEL SND','GONZALEZ LOPEZ JUAN ANDRES','DISEÑO GRÁFICOA','4to','MASCULINO','ACTIVO','',0,0,'','ALUMNO');</v>
      </c>
    </row>
    <row r="170" spans="1:12" x14ac:dyDescent="0.35">
      <c r="A170">
        <v>3168</v>
      </c>
      <c r="B170" s="1" t="s">
        <v>185</v>
      </c>
      <c r="C170" s="1" t="s">
        <v>354</v>
      </c>
      <c r="D170" s="1" t="s">
        <v>751</v>
      </c>
      <c r="E170" s="6" t="s">
        <v>174</v>
      </c>
      <c r="F170" s="1" t="s">
        <v>1150</v>
      </c>
      <c r="G170" s="1" t="s">
        <v>1386</v>
      </c>
      <c r="H170" s="1" t="s">
        <v>1392</v>
      </c>
      <c r="I170" s="1" t="s">
        <v>1395</v>
      </c>
      <c r="J170" s="1" t="s">
        <v>1396</v>
      </c>
      <c r="K170" s="6" t="str">
        <f t="shared" si="4"/>
        <v>3168,'BACHILLERATO','marcoantonio.arteagacuautli','008174','TOMAR DEL SND','ARTEAGA CUAUTLI MARCO ANTONIO','ADMINISTRACIÓNA','4to','MASCULINO','ACTIVO','',0,0,'','ALUMNO'</v>
      </c>
      <c r="L170" s="6" t="str">
        <f t="shared" si="5"/>
        <v>INSERT INTO participantes (id,nivel,correo,matricula,clave,nombre,carrera,grado,sexo,situacion,evaluados,num_evaluados,total_evaluaciones,ultimo_acceso,nivel_acceso) VALUES (3168,'BACHILLERATO','marcoantonio.arteagacuautli','008174','TOMAR DEL SND','ARTEAGA CUAUTLI MARCO ANTONIO','ADMINISTRACIÓNA','4to','MASCULINO','ACTIVO','',0,0,'','ALUMNO');</v>
      </c>
    </row>
    <row r="171" spans="1:12" x14ac:dyDescent="0.35">
      <c r="A171">
        <v>3169</v>
      </c>
      <c r="B171" s="1" t="s">
        <v>185</v>
      </c>
      <c r="C171" s="1" t="s">
        <v>355</v>
      </c>
      <c r="D171" s="1" t="s">
        <v>752</v>
      </c>
      <c r="E171" s="6" t="s">
        <v>174</v>
      </c>
      <c r="F171" s="1" t="s">
        <v>1151</v>
      </c>
      <c r="G171" s="1" t="s">
        <v>1387</v>
      </c>
      <c r="H171" s="1" t="s">
        <v>1392</v>
      </c>
      <c r="I171" s="1" t="s">
        <v>1394</v>
      </c>
      <c r="J171" s="1" t="s">
        <v>1396</v>
      </c>
      <c r="K171" s="6" t="str">
        <f t="shared" si="4"/>
        <v>3169,'BACHILLERATO','victoria.monteroreynoso','008175','TOMAR DEL SND','MONTERO REYNOSO VICTORIA','HIGIENE Y SALUD COMUNITARIAA','4to','FEMENINO','ACTIVO','',0,0,'','ALUMNO'</v>
      </c>
      <c r="L171" s="6" t="str">
        <f t="shared" si="5"/>
        <v>INSERT INTO participantes (id,nivel,correo,matricula,clave,nombre,carrera,grado,sexo,situacion,evaluados,num_evaluados,total_evaluaciones,ultimo_acceso,nivel_acceso) VALUES (3169,'BACHILLERATO','victoria.monteroreynoso','008175','TOMAR DEL SND','MONTERO REYNOSO VICTORIA','HIGIENE Y SALUD COMUNITARIAA','4to','FEMENINO','ACTIVO','',0,0,'','ALUMNO');</v>
      </c>
    </row>
    <row r="172" spans="1:12" x14ac:dyDescent="0.35">
      <c r="A172">
        <v>3170</v>
      </c>
      <c r="B172" s="1" t="s">
        <v>185</v>
      </c>
      <c r="C172" s="1" t="s">
        <v>356</v>
      </c>
      <c r="D172" s="1" t="s">
        <v>753</v>
      </c>
      <c r="E172" s="6" t="s">
        <v>174</v>
      </c>
      <c r="F172" s="1" t="s">
        <v>1152</v>
      </c>
      <c r="G172" s="1" t="s">
        <v>1386</v>
      </c>
      <c r="H172" s="1" t="s">
        <v>1392</v>
      </c>
      <c r="I172" s="1" t="s">
        <v>1395</v>
      </c>
      <c r="J172" s="1" t="s">
        <v>1396</v>
      </c>
      <c r="K172" s="6" t="str">
        <f t="shared" si="4"/>
        <v>3170,'BACHILLERATO','juanpablo.nerieguiarte','008176','TOMAR DEL SND','NERI EGUIARTE JUAN PABLO','ADMINISTRACIÓNA','4to','MASCULINO','ACTIVO','',0,0,'','ALUMNO'</v>
      </c>
      <c r="L172" s="6" t="str">
        <f t="shared" si="5"/>
        <v>INSERT INTO participantes (id,nivel,correo,matricula,clave,nombre,carrera,grado,sexo,situacion,evaluados,num_evaluados,total_evaluaciones,ultimo_acceso,nivel_acceso) VALUES (3170,'BACHILLERATO','juanpablo.nerieguiarte','008176','TOMAR DEL SND','NERI EGUIARTE JUAN PABLO','ADMINISTRACIÓNA','4to','MASCULINO','ACTIVO','',0,0,'','ALUMNO');</v>
      </c>
    </row>
    <row r="173" spans="1:12" x14ac:dyDescent="0.35">
      <c r="A173">
        <v>3171</v>
      </c>
      <c r="B173" s="1" t="s">
        <v>185</v>
      </c>
      <c r="C173" s="1" t="s">
        <v>357</v>
      </c>
      <c r="D173" s="1" t="s">
        <v>754</v>
      </c>
      <c r="E173" s="6" t="s">
        <v>174</v>
      </c>
      <c r="F173" s="1" t="s">
        <v>1153</v>
      </c>
      <c r="G173" s="1" t="s">
        <v>1387</v>
      </c>
      <c r="H173" s="1" t="s">
        <v>1392</v>
      </c>
      <c r="I173" s="1" t="s">
        <v>1394</v>
      </c>
      <c r="J173" s="1" t="s">
        <v>1396</v>
      </c>
      <c r="K173" s="6" t="str">
        <f t="shared" si="4"/>
        <v>3171,'BACHILLERATO','regina.zatarainosuna','008177','TOMAR DEL SND','ZATARAIN OSUNA REGINA','HIGIENE Y SALUD COMUNITARIAA','4to','FEMENINO','ACTIVO','',0,0,'','ALUMNO'</v>
      </c>
      <c r="L173" s="6" t="str">
        <f t="shared" si="5"/>
        <v>INSERT INTO participantes (id,nivel,correo,matricula,clave,nombre,carrera,grado,sexo,situacion,evaluados,num_evaluados,total_evaluaciones,ultimo_acceso,nivel_acceso) VALUES (3171,'BACHILLERATO','regina.zatarainosuna','008177','TOMAR DEL SND','ZATARAIN OSUNA REGINA','HIGIENE Y SALUD COMUNITARIAA','4to','FEMENINO','ACTIVO','',0,0,'','ALUMNO');</v>
      </c>
    </row>
    <row r="174" spans="1:12" x14ac:dyDescent="0.35">
      <c r="A174">
        <v>3172</v>
      </c>
      <c r="B174" s="1" t="s">
        <v>185</v>
      </c>
      <c r="C174" s="1" t="s">
        <v>358</v>
      </c>
      <c r="D174" s="1" t="s">
        <v>755</v>
      </c>
      <c r="E174" s="6" t="s">
        <v>174</v>
      </c>
      <c r="F174" s="1" t="s">
        <v>1154</v>
      </c>
      <c r="G174" s="1" t="s">
        <v>1388</v>
      </c>
      <c r="H174" s="1" t="s">
        <v>1392</v>
      </c>
      <c r="I174" s="1" t="s">
        <v>1394</v>
      </c>
      <c r="J174" s="1" t="s">
        <v>1396</v>
      </c>
      <c r="K174" s="6" t="str">
        <f t="shared" si="4"/>
        <v>3172,'BACHILLERATO','ximena.preciadogarcia','008178','TOMAR DEL SND','PRECIADO GARCIA XIMENA','DISEÑO GRÁFICOA','4to','FEMENINO','ACTIVO','',0,0,'','ALUMNO'</v>
      </c>
      <c r="L174" s="6" t="str">
        <f t="shared" si="5"/>
        <v>INSERT INTO participantes (id,nivel,correo,matricula,clave,nombre,carrera,grado,sexo,situacion,evaluados,num_evaluados,total_evaluaciones,ultimo_acceso,nivel_acceso) VALUES (3172,'BACHILLERATO','ximena.preciadogarcia','008178','TOMAR DEL SND','PRECIADO GARCIA XIMENA','DISEÑO GRÁFICOA','4to','FEMENINO','ACTIVO','',0,0,'','ALUMNO');</v>
      </c>
    </row>
    <row r="175" spans="1:12" x14ac:dyDescent="0.35">
      <c r="A175">
        <v>3173</v>
      </c>
      <c r="B175" s="1" t="s">
        <v>185</v>
      </c>
      <c r="C175" s="1" t="s">
        <v>359</v>
      </c>
      <c r="D175" s="1" t="s">
        <v>756</v>
      </c>
      <c r="E175" s="6" t="s">
        <v>174</v>
      </c>
      <c r="F175" s="1" t="s">
        <v>1155</v>
      </c>
      <c r="G175" s="1" t="s">
        <v>1387</v>
      </c>
      <c r="H175" s="1" t="s">
        <v>1392</v>
      </c>
      <c r="I175" s="1" t="s">
        <v>1394</v>
      </c>
      <c r="J175" s="1" t="s">
        <v>1396</v>
      </c>
      <c r="K175" s="6" t="str">
        <f t="shared" si="4"/>
        <v>3173,'BACHILLERATO','dannapaola.gaytanibanez','008179','TOMAR DEL SND','GAYTAN IBAÑEZ DANNA PAOLA','HIGIENE Y SALUD COMUNITARIAA','4to','FEMENINO','ACTIVO','',0,0,'','ALUMNO'</v>
      </c>
      <c r="L175" s="6" t="str">
        <f t="shared" si="5"/>
        <v>INSERT INTO participantes (id,nivel,correo,matricula,clave,nombre,carrera,grado,sexo,situacion,evaluados,num_evaluados,total_evaluaciones,ultimo_acceso,nivel_acceso) VALUES (3173,'BACHILLERATO','dannapaola.gaytanibanez','008179','TOMAR DEL SND','GAYTAN IBAÑEZ DANNA PAOLA','HIGIENE Y SALUD COMUNITARIAA','4to','FEMENINO','ACTIVO','',0,0,'','ALUMNO');</v>
      </c>
    </row>
    <row r="176" spans="1:12" x14ac:dyDescent="0.35">
      <c r="A176">
        <v>3174</v>
      </c>
      <c r="B176" s="1" t="s">
        <v>185</v>
      </c>
      <c r="C176" s="1" t="s">
        <v>360</v>
      </c>
      <c r="D176" s="1" t="s">
        <v>757</v>
      </c>
      <c r="E176" s="6" t="s">
        <v>174</v>
      </c>
      <c r="F176" s="1" t="s">
        <v>1156</v>
      </c>
      <c r="G176" s="1" t="s">
        <v>1386</v>
      </c>
      <c r="H176" s="1" t="s">
        <v>1392</v>
      </c>
      <c r="I176" s="1" t="s">
        <v>1395</v>
      </c>
      <c r="J176" s="1" t="s">
        <v>1396</v>
      </c>
      <c r="K176" s="6" t="str">
        <f t="shared" si="4"/>
        <v>3174,'BACHILLERATO','luisangel.garcianuno','008180','TOMAR DEL SND','GARCIA NUÑO LUIS ANGEL','ADMINISTRACIÓNA','4to','MASCULINO','ACTIVO','',0,0,'','ALUMNO'</v>
      </c>
      <c r="L176" s="6" t="str">
        <f t="shared" si="5"/>
        <v>INSERT INTO participantes (id,nivel,correo,matricula,clave,nombre,carrera,grado,sexo,situacion,evaluados,num_evaluados,total_evaluaciones,ultimo_acceso,nivel_acceso) VALUES (3174,'BACHILLERATO','luisangel.garcianuno','008180','TOMAR DEL SND','GARCIA NUÑO LUIS ANGEL','ADMINISTRACIÓNA','4to','MASCULINO','ACTIVO','',0,0,'','ALUMNO');</v>
      </c>
    </row>
    <row r="177" spans="1:12" x14ac:dyDescent="0.35">
      <c r="A177">
        <v>3175</v>
      </c>
      <c r="B177" s="1" t="s">
        <v>185</v>
      </c>
      <c r="C177" s="1" t="s">
        <v>361</v>
      </c>
      <c r="D177" s="1" t="s">
        <v>758</v>
      </c>
      <c r="E177" s="6" t="s">
        <v>174</v>
      </c>
      <c r="F177" s="1" t="s">
        <v>1157</v>
      </c>
      <c r="G177" s="1" t="s">
        <v>1387</v>
      </c>
      <c r="H177" s="1" t="s">
        <v>1392</v>
      </c>
      <c r="I177" s="1" t="s">
        <v>1394</v>
      </c>
      <c r="J177" s="1" t="s">
        <v>1396</v>
      </c>
      <c r="K177" s="6" t="str">
        <f t="shared" si="4"/>
        <v>3175,'BACHILLERATO','megan.guerreroiniguez','008181','TOMAR DEL SND','GUERRERO IÑIGUEZ MEGAN','HIGIENE Y SALUD COMUNITARIAA','4to','FEMENINO','ACTIVO','',0,0,'','ALUMNO'</v>
      </c>
      <c r="L177" s="6" t="str">
        <f t="shared" si="5"/>
        <v>INSERT INTO participantes (id,nivel,correo,matricula,clave,nombre,carrera,grado,sexo,situacion,evaluados,num_evaluados,total_evaluaciones,ultimo_acceso,nivel_acceso) VALUES (3175,'BACHILLERATO','megan.guerreroiniguez','008181','TOMAR DEL SND','GUERRERO IÑIGUEZ MEGAN','HIGIENE Y SALUD COMUNITARIAA','4to','FEMENINO','ACTIVO','',0,0,'','ALUMNO');</v>
      </c>
    </row>
    <row r="178" spans="1:12" x14ac:dyDescent="0.35">
      <c r="A178">
        <v>3176</v>
      </c>
      <c r="B178" s="1" t="s">
        <v>185</v>
      </c>
      <c r="C178" s="1" t="s">
        <v>362</v>
      </c>
      <c r="D178" s="1" t="s">
        <v>759</v>
      </c>
      <c r="E178" s="6" t="s">
        <v>174</v>
      </c>
      <c r="F178" s="1" t="s">
        <v>1158</v>
      </c>
      <c r="G178" s="1" t="s">
        <v>1386</v>
      </c>
      <c r="H178" s="1" t="s">
        <v>1392</v>
      </c>
      <c r="I178" s="1" t="s">
        <v>1395</v>
      </c>
      <c r="J178" s="1" t="s">
        <v>1396</v>
      </c>
      <c r="K178" s="6" t="str">
        <f t="shared" si="4"/>
        <v>3176,'BACHILLERATO','pauloantonio.gonzalezibarra','008182','TOMAR DEL SND','GONZALEZ IBARRA PAULO ANTONIO','ADMINISTRACIÓNA','4to','MASCULINO','ACTIVO','',0,0,'','ALUMNO'</v>
      </c>
      <c r="L178" s="6" t="str">
        <f t="shared" si="5"/>
        <v>INSERT INTO participantes (id,nivel,correo,matricula,clave,nombre,carrera,grado,sexo,situacion,evaluados,num_evaluados,total_evaluaciones,ultimo_acceso,nivel_acceso) VALUES (3176,'BACHILLERATO','pauloantonio.gonzalezibarra','008182','TOMAR DEL SND','GONZALEZ IBARRA PAULO ANTONIO','ADMINISTRACIÓNA','4to','MASCULINO','ACTIVO','',0,0,'','ALUMNO');</v>
      </c>
    </row>
    <row r="179" spans="1:12" x14ac:dyDescent="0.35">
      <c r="A179">
        <v>3177</v>
      </c>
      <c r="B179" s="1" t="s">
        <v>185</v>
      </c>
      <c r="C179" s="1" t="s">
        <v>363</v>
      </c>
      <c r="D179" s="1" t="s">
        <v>760</v>
      </c>
      <c r="E179" s="6" t="s">
        <v>174</v>
      </c>
      <c r="F179" s="1" t="s">
        <v>1159</v>
      </c>
      <c r="G179" s="1" t="s">
        <v>1386</v>
      </c>
      <c r="H179" s="1" t="s">
        <v>1392</v>
      </c>
      <c r="I179" s="1" t="s">
        <v>1395</v>
      </c>
      <c r="J179" s="1" t="s">
        <v>1396</v>
      </c>
      <c r="K179" s="6" t="str">
        <f t="shared" si="4"/>
        <v>3177,'BACHILLERATO','jorgenavid.ramirezespinoza','008183','TOMAR DEL SND','RAMIREZ ESPINOZA JORGE NAVID','ADMINISTRACIÓNA','4to','MASCULINO','ACTIVO','',0,0,'','ALUMNO'</v>
      </c>
      <c r="L179" s="6" t="str">
        <f t="shared" si="5"/>
        <v>INSERT INTO participantes (id,nivel,correo,matricula,clave,nombre,carrera,grado,sexo,situacion,evaluados,num_evaluados,total_evaluaciones,ultimo_acceso,nivel_acceso) VALUES (3177,'BACHILLERATO','jorgenavid.ramirezespinoza','008183','TOMAR DEL SND','RAMIREZ ESPINOZA JORGE NAVID','ADMINISTRACIÓNA','4to','MASCULINO','ACTIVO','',0,0,'','ALUMNO');</v>
      </c>
    </row>
    <row r="180" spans="1:12" x14ac:dyDescent="0.35">
      <c r="A180">
        <v>3178</v>
      </c>
      <c r="B180" s="1" t="s">
        <v>185</v>
      </c>
      <c r="C180" s="1" t="s">
        <v>364</v>
      </c>
      <c r="D180" s="1" t="s">
        <v>761</v>
      </c>
      <c r="E180" s="6" t="s">
        <v>174</v>
      </c>
      <c r="F180" s="1" t="s">
        <v>1160</v>
      </c>
      <c r="G180" s="1" t="s">
        <v>1386</v>
      </c>
      <c r="H180" s="1" t="s">
        <v>1392</v>
      </c>
      <c r="I180" s="1" t="s">
        <v>1395</v>
      </c>
      <c r="J180" s="1" t="s">
        <v>1396</v>
      </c>
      <c r="K180" s="6" t="str">
        <f t="shared" si="4"/>
        <v>3178,'BACHILLERATO','daniel.moranrodriguez','008184','TOMAR DEL SND','MORAN RODRIGUEZ DANIEL','ADMINISTRACIÓNA','4to','MASCULINO','ACTIVO','',0,0,'','ALUMNO'</v>
      </c>
      <c r="L180" s="6" t="str">
        <f t="shared" si="5"/>
        <v>INSERT INTO participantes (id,nivel,correo,matricula,clave,nombre,carrera,grado,sexo,situacion,evaluados,num_evaluados,total_evaluaciones,ultimo_acceso,nivel_acceso) VALUES (3178,'BACHILLERATO','daniel.moranrodriguez','008184','TOMAR DEL SND','MORAN RODRIGUEZ DANIEL','ADMINISTRACIÓNA','4to','MASCULINO','ACTIVO','',0,0,'','ALUMNO');</v>
      </c>
    </row>
    <row r="181" spans="1:12" x14ac:dyDescent="0.35">
      <c r="A181">
        <v>3179</v>
      </c>
      <c r="B181" s="1" t="s">
        <v>185</v>
      </c>
      <c r="C181" s="1" t="s">
        <v>365</v>
      </c>
      <c r="D181" s="1" t="s">
        <v>762</v>
      </c>
      <c r="E181" s="6" t="s">
        <v>174</v>
      </c>
      <c r="F181" s="1" t="s">
        <v>1161</v>
      </c>
      <c r="G181" s="1" t="s">
        <v>1388</v>
      </c>
      <c r="H181" s="1" t="s">
        <v>1392</v>
      </c>
      <c r="I181" s="1" t="s">
        <v>1395</v>
      </c>
      <c r="J181" s="1" t="s">
        <v>1396</v>
      </c>
      <c r="K181" s="6" t="str">
        <f t="shared" si="4"/>
        <v>3179,'BACHILLERATO','emilioisaac.villalobosuribe','008185','TOMAR DEL SND','VILLALOBOS URIBE EMILIO ISAAC','DISEÑO GRÁFICOA','4to','MASCULINO','ACTIVO','',0,0,'','ALUMNO'</v>
      </c>
      <c r="L181" s="6" t="str">
        <f t="shared" si="5"/>
        <v>INSERT INTO participantes (id,nivel,correo,matricula,clave,nombre,carrera,grado,sexo,situacion,evaluados,num_evaluados,total_evaluaciones,ultimo_acceso,nivel_acceso) VALUES (3179,'BACHILLERATO','emilioisaac.villalobosuribe','008185','TOMAR DEL SND','VILLALOBOS URIBE EMILIO ISAAC','DISEÑO GRÁFICOA','4to','MASCULINO','ACTIVO','',0,0,'','ALUMNO');</v>
      </c>
    </row>
    <row r="182" spans="1:12" x14ac:dyDescent="0.35">
      <c r="A182">
        <v>3180</v>
      </c>
      <c r="B182" s="1" t="s">
        <v>185</v>
      </c>
      <c r="C182" s="1" t="s">
        <v>366</v>
      </c>
      <c r="D182" s="1" t="s">
        <v>763</v>
      </c>
      <c r="E182" s="6" t="s">
        <v>174</v>
      </c>
      <c r="F182" s="1" t="s">
        <v>1162</v>
      </c>
      <c r="G182" s="1" t="s">
        <v>1387</v>
      </c>
      <c r="H182" s="1" t="s">
        <v>1392</v>
      </c>
      <c r="I182" s="1" t="s">
        <v>1395</v>
      </c>
      <c r="J182" s="1" t="s">
        <v>1396</v>
      </c>
      <c r="K182" s="6" t="str">
        <f t="shared" si="4"/>
        <v>3180,'BACHILLERATO','gerardoemiliano.iniguezmoreno','008186','TOMAR DEL SND','IÑIGUEZ MORENO GERARDO EMILIANO','HIGIENE Y SALUD COMUNITARIAA','4to','MASCULINO','ACTIVO','',0,0,'','ALUMNO'</v>
      </c>
      <c r="L182" s="6" t="str">
        <f t="shared" si="5"/>
        <v>INSERT INTO participantes (id,nivel,correo,matricula,clave,nombre,carrera,grado,sexo,situacion,evaluados,num_evaluados,total_evaluaciones,ultimo_acceso,nivel_acceso) VALUES (3180,'BACHILLERATO','gerardoemiliano.iniguezmoreno','008186','TOMAR DEL SND','IÑIGUEZ MORENO GERARDO EMILIANO','HIGIENE Y SALUD COMUNITARIAA','4to','MASCULINO','ACTIVO','',0,0,'','ALUMNO');</v>
      </c>
    </row>
    <row r="183" spans="1:12" x14ac:dyDescent="0.35">
      <c r="A183">
        <v>3181</v>
      </c>
      <c r="B183" s="1" t="s">
        <v>185</v>
      </c>
      <c r="C183" s="1" t="s">
        <v>367</v>
      </c>
      <c r="D183" s="1" t="s">
        <v>764</v>
      </c>
      <c r="E183" s="6" t="s">
        <v>174</v>
      </c>
      <c r="F183" s="1" t="s">
        <v>1163</v>
      </c>
      <c r="G183" s="1" t="s">
        <v>1388</v>
      </c>
      <c r="H183" s="1" t="s">
        <v>1392</v>
      </c>
      <c r="I183" s="1" t="s">
        <v>1394</v>
      </c>
      <c r="J183" s="1" t="s">
        <v>1396</v>
      </c>
      <c r="K183" s="6" t="str">
        <f t="shared" si="4"/>
        <v>3181,'BACHILLERATO','jimenapaulette.vargashernandez','008187','TOMAR DEL SND','VARGAS HERNANDEZ JIMENA PAULETTE','DISEÑO GRÁFICOA','4to','FEMENINO','ACTIVO','',0,0,'','ALUMNO'</v>
      </c>
      <c r="L183" s="6" t="str">
        <f t="shared" si="5"/>
        <v>INSERT INTO participantes (id,nivel,correo,matricula,clave,nombre,carrera,grado,sexo,situacion,evaluados,num_evaluados,total_evaluaciones,ultimo_acceso,nivel_acceso) VALUES (3181,'BACHILLERATO','jimenapaulette.vargashernandez','008187','TOMAR DEL SND','VARGAS HERNANDEZ JIMENA PAULETTE','DISEÑO GRÁFICOA','4to','FEMENINO','ACTIVO','',0,0,'','ALUMNO');</v>
      </c>
    </row>
    <row r="184" spans="1:12" x14ac:dyDescent="0.35">
      <c r="A184">
        <v>3182</v>
      </c>
      <c r="B184" s="1" t="s">
        <v>185</v>
      </c>
      <c r="C184" s="1" t="s">
        <v>368</v>
      </c>
      <c r="D184" s="1" t="s">
        <v>765</v>
      </c>
      <c r="E184" s="6" t="s">
        <v>174</v>
      </c>
      <c r="F184" s="1" t="s">
        <v>1164</v>
      </c>
      <c r="G184" s="1" t="s">
        <v>1387</v>
      </c>
      <c r="H184" s="1" t="s">
        <v>1392</v>
      </c>
      <c r="I184" s="1" t="s">
        <v>1394</v>
      </c>
      <c r="J184" s="1" t="s">
        <v>1396</v>
      </c>
      <c r="K184" s="6" t="str">
        <f t="shared" si="4"/>
        <v>3182,'BACHILLERATO','fernandamonserrat.valdiviahernandez','008188','TOMAR DEL SND','VALDIVIA HERNANDEZ FERNANDA MONSERRAT','HIGIENE Y SALUD COMUNITARIAA','4to','FEMENINO','ACTIVO','',0,0,'','ALUMNO'</v>
      </c>
      <c r="L184" s="6" t="str">
        <f t="shared" si="5"/>
        <v>INSERT INTO participantes (id,nivel,correo,matricula,clave,nombre,carrera,grado,sexo,situacion,evaluados,num_evaluados,total_evaluaciones,ultimo_acceso,nivel_acceso) VALUES (3182,'BACHILLERATO','fernandamonserrat.valdiviahernandez','008188','TOMAR DEL SND','VALDIVIA HERNANDEZ FERNANDA MONSERRAT','HIGIENE Y SALUD COMUNITARIAA','4to','FEMENINO','ACTIVO','',0,0,'','ALUMNO');</v>
      </c>
    </row>
    <row r="185" spans="1:12" x14ac:dyDescent="0.35">
      <c r="A185">
        <v>3183</v>
      </c>
      <c r="B185" s="1" t="s">
        <v>185</v>
      </c>
      <c r="C185" s="1" t="s">
        <v>369</v>
      </c>
      <c r="D185" s="1" t="s">
        <v>766</v>
      </c>
      <c r="E185" s="6" t="s">
        <v>174</v>
      </c>
      <c r="F185" s="1" t="s">
        <v>1165</v>
      </c>
      <c r="G185" s="1" t="s">
        <v>1387</v>
      </c>
      <c r="H185" s="1" t="s">
        <v>1392</v>
      </c>
      <c r="I185" s="1" t="s">
        <v>1395</v>
      </c>
      <c r="J185" s="1" t="s">
        <v>1396</v>
      </c>
      <c r="K185" s="6" t="str">
        <f t="shared" si="4"/>
        <v>3183,'BACHILLERATO','luispaulo.sanchezmartinez','008189','TOMAR DEL SND','SANCHEZ MARTINEZ LUIS PAULO','HIGIENE Y SALUD COMUNITARIAA','4to','MASCULINO','ACTIVO','',0,0,'','ALUMNO'</v>
      </c>
      <c r="L185" s="6" t="str">
        <f t="shared" si="5"/>
        <v>INSERT INTO participantes (id,nivel,correo,matricula,clave,nombre,carrera,grado,sexo,situacion,evaluados,num_evaluados,total_evaluaciones,ultimo_acceso,nivel_acceso) VALUES (3183,'BACHILLERATO','luispaulo.sanchezmartinez','008189','TOMAR DEL SND','SANCHEZ MARTINEZ LUIS PAULO','HIGIENE Y SALUD COMUNITARIAA','4to','MASCULINO','ACTIVO','',0,0,'','ALUMNO');</v>
      </c>
    </row>
    <row r="186" spans="1:12" x14ac:dyDescent="0.35">
      <c r="A186">
        <v>3184</v>
      </c>
      <c r="B186" s="1" t="s">
        <v>185</v>
      </c>
      <c r="C186" s="1" t="s">
        <v>370</v>
      </c>
      <c r="D186" s="1" t="s">
        <v>767</v>
      </c>
      <c r="E186" s="6" t="s">
        <v>174</v>
      </c>
      <c r="F186" s="1" t="s">
        <v>1166</v>
      </c>
      <c r="G186" s="1" t="s">
        <v>1386</v>
      </c>
      <c r="H186" s="1" t="s">
        <v>1392</v>
      </c>
      <c r="I186" s="1" t="s">
        <v>1395</v>
      </c>
      <c r="J186" s="1" t="s">
        <v>1396</v>
      </c>
      <c r="K186" s="6" t="str">
        <f t="shared" si="4"/>
        <v>3184,'BACHILLERATO','santiagouriel.reyeshermosillo','008190','TOMAR DEL SND','REYES HERMOSILLO SANTIAGO  URIEL','ADMINISTRACIÓNA','4to','MASCULINO','ACTIVO','',0,0,'','ALUMNO'</v>
      </c>
      <c r="L186" s="6" t="str">
        <f t="shared" si="5"/>
        <v>INSERT INTO participantes (id,nivel,correo,matricula,clave,nombre,carrera,grado,sexo,situacion,evaluados,num_evaluados,total_evaluaciones,ultimo_acceso,nivel_acceso) VALUES (3184,'BACHILLERATO','santiagouriel.reyeshermosillo','008190','TOMAR DEL SND','REYES HERMOSILLO SANTIAGO  URIEL','ADMINISTRACIÓNA','4to','MASCULINO','ACTIVO','',0,0,'','ALUMNO');</v>
      </c>
    </row>
    <row r="187" spans="1:12" x14ac:dyDescent="0.35">
      <c r="A187">
        <v>3185</v>
      </c>
      <c r="B187" s="1" t="s">
        <v>185</v>
      </c>
      <c r="C187" s="1" t="s">
        <v>371</v>
      </c>
      <c r="D187" s="1" t="s">
        <v>768</v>
      </c>
      <c r="E187" s="6" t="s">
        <v>174</v>
      </c>
      <c r="F187" s="1" t="s">
        <v>1167</v>
      </c>
      <c r="G187" s="1" t="s">
        <v>1387</v>
      </c>
      <c r="H187" s="1" t="s">
        <v>1392</v>
      </c>
      <c r="I187" s="1" t="s">
        <v>1395</v>
      </c>
      <c r="J187" s="1" t="s">
        <v>1396</v>
      </c>
      <c r="K187" s="6" t="str">
        <f t="shared" si="4"/>
        <v>3185,'BACHILLERATO','claudiogabriel.francoberzunza','008191','TOMAR DEL SND','FRANCO BERZUNZA CLAUDIO GABRIEL','HIGIENE Y SALUD COMUNITARIAA','4to','MASCULINO','ACTIVO','',0,0,'','ALUMNO'</v>
      </c>
      <c r="L187" s="6" t="str">
        <f t="shared" si="5"/>
        <v>INSERT INTO participantes (id,nivel,correo,matricula,clave,nombre,carrera,grado,sexo,situacion,evaluados,num_evaluados,total_evaluaciones,ultimo_acceso,nivel_acceso) VALUES (3185,'BACHILLERATO','claudiogabriel.francoberzunza','008191','TOMAR DEL SND','FRANCO BERZUNZA CLAUDIO GABRIEL','HIGIENE Y SALUD COMUNITARIAA','4to','MASCULINO','ACTIVO','',0,0,'','ALUMNO');</v>
      </c>
    </row>
    <row r="188" spans="1:12" x14ac:dyDescent="0.35">
      <c r="A188">
        <v>3186</v>
      </c>
      <c r="B188" s="1" t="s">
        <v>185</v>
      </c>
      <c r="C188" s="1" t="s">
        <v>372</v>
      </c>
      <c r="D188" s="1" t="s">
        <v>769</v>
      </c>
      <c r="E188" s="6" t="s">
        <v>174</v>
      </c>
      <c r="F188" s="1" t="s">
        <v>1168</v>
      </c>
      <c r="G188" s="1" t="s">
        <v>1386</v>
      </c>
      <c r="H188" s="1" t="s">
        <v>1392</v>
      </c>
      <c r="I188" s="1" t="s">
        <v>1394</v>
      </c>
      <c r="J188" s="1" t="s">
        <v>1396</v>
      </c>
      <c r="K188" s="6" t="str">
        <f t="shared" si="4"/>
        <v>3186,'BACHILLERATO','fernanda.rochamoreno','008192','TOMAR DEL SND','ROCHA MORENO FERNANDA','ADMINISTRACIÓNA','4to','FEMENINO','ACTIVO','',0,0,'','ALUMNO'</v>
      </c>
      <c r="L188" s="6" t="str">
        <f t="shared" si="5"/>
        <v>INSERT INTO participantes (id,nivel,correo,matricula,clave,nombre,carrera,grado,sexo,situacion,evaluados,num_evaluados,total_evaluaciones,ultimo_acceso,nivel_acceso) VALUES (3186,'BACHILLERATO','fernanda.rochamoreno','008192','TOMAR DEL SND','ROCHA MORENO FERNANDA','ADMINISTRACIÓNA','4to','FEMENINO','ACTIVO','',0,0,'','ALUMNO');</v>
      </c>
    </row>
    <row r="189" spans="1:12" x14ac:dyDescent="0.35">
      <c r="A189">
        <v>3187</v>
      </c>
      <c r="B189" s="1" t="s">
        <v>185</v>
      </c>
      <c r="C189" s="1" t="s">
        <v>373</v>
      </c>
      <c r="D189" s="1" t="s">
        <v>770</v>
      </c>
      <c r="E189" s="6" t="s">
        <v>174</v>
      </c>
      <c r="F189" s="1" t="s">
        <v>1169</v>
      </c>
      <c r="G189" s="1" t="s">
        <v>1388</v>
      </c>
      <c r="H189" s="1" t="s">
        <v>1392</v>
      </c>
      <c r="I189" s="1" t="s">
        <v>1394</v>
      </c>
      <c r="J189" s="1" t="s">
        <v>1396</v>
      </c>
      <c r="K189" s="6" t="str">
        <f t="shared" si="4"/>
        <v>3187,'BACHILLERATO','anaruth.perezbermea','008193','TOMAR DEL SND','PEREZ BERMEA ANA RUTH','DISEÑO GRÁFICOA','4to','FEMENINO','ACTIVO','',0,0,'','ALUMNO'</v>
      </c>
      <c r="L189" s="6" t="str">
        <f t="shared" si="5"/>
        <v>INSERT INTO participantes (id,nivel,correo,matricula,clave,nombre,carrera,grado,sexo,situacion,evaluados,num_evaluados,total_evaluaciones,ultimo_acceso,nivel_acceso) VALUES (3187,'BACHILLERATO','anaruth.perezbermea','008193','TOMAR DEL SND','PEREZ BERMEA ANA RUTH','DISEÑO GRÁFICOA','4to','FEMENINO','ACTIVO','',0,0,'','ALUMNO');</v>
      </c>
    </row>
    <row r="190" spans="1:12" x14ac:dyDescent="0.35">
      <c r="A190">
        <v>3188</v>
      </c>
      <c r="B190" s="1" t="s">
        <v>185</v>
      </c>
      <c r="C190" s="1" t="s">
        <v>374</v>
      </c>
      <c r="D190" s="1" t="s">
        <v>771</v>
      </c>
      <c r="E190" s="6" t="s">
        <v>174</v>
      </c>
      <c r="F190" s="1" t="s">
        <v>1170</v>
      </c>
      <c r="G190" s="1" t="s">
        <v>1387</v>
      </c>
      <c r="H190" s="1" t="s">
        <v>1392</v>
      </c>
      <c r="I190" s="1" t="s">
        <v>1394</v>
      </c>
      <c r="J190" s="1" t="s">
        <v>1396</v>
      </c>
      <c r="K190" s="6" t="str">
        <f t="shared" si="4"/>
        <v>3188,'BACHILLERATO','valentina.acevesamezcua','008194','TOMAR DEL SND','ACEVES AMEZCUA VALENTINA','HIGIENE Y SALUD COMUNITARIAA','4to','FEMENINO','ACTIVO','',0,0,'','ALUMNO'</v>
      </c>
      <c r="L190" s="6" t="str">
        <f t="shared" si="5"/>
        <v>INSERT INTO participantes (id,nivel,correo,matricula,clave,nombre,carrera,grado,sexo,situacion,evaluados,num_evaluados,total_evaluaciones,ultimo_acceso,nivel_acceso) VALUES (3188,'BACHILLERATO','valentina.acevesamezcua','008194','TOMAR DEL SND','ACEVES AMEZCUA VALENTINA','HIGIENE Y SALUD COMUNITARIAA','4to','FEMENINO','ACTIVO','',0,0,'','ALUMNO');</v>
      </c>
    </row>
    <row r="191" spans="1:12" x14ac:dyDescent="0.35">
      <c r="A191">
        <v>3189</v>
      </c>
      <c r="B191" s="1" t="s">
        <v>185</v>
      </c>
      <c r="C191" s="1" t="s">
        <v>375</v>
      </c>
      <c r="D191" s="1" t="s">
        <v>772</v>
      </c>
      <c r="E191" s="6" t="s">
        <v>174</v>
      </c>
      <c r="F191" s="1" t="s">
        <v>1171</v>
      </c>
      <c r="G191" s="1" t="s">
        <v>1386</v>
      </c>
      <c r="H191" s="1" t="s">
        <v>1392</v>
      </c>
      <c r="I191" s="1" t="s">
        <v>1395</v>
      </c>
      <c r="J191" s="1" t="s">
        <v>1396</v>
      </c>
      <c r="K191" s="6" t="str">
        <f t="shared" si="4"/>
        <v>3189,'BACHILLERATO','oscarisrael.olivarespulido','008197','TOMAR DEL SND','OLIVARES PULIDO OSCAR ISRAEL','ADMINISTRACIÓNA','4to','MASCULINO','ACTIVO','',0,0,'','ALUMNO'</v>
      </c>
      <c r="L191" s="6" t="str">
        <f t="shared" si="5"/>
        <v>INSERT INTO participantes (id,nivel,correo,matricula,clave,nombre,carrera,grado,sexo,situacion,evaluados,num_evaluados,total_evaluaciones,ultimo_acceso,nivel_acceso) VALUES (3189,'BACHILLERATO','oscarisrael.olivarespulido','008197','TOMAR DEL SND','OLIVARES PULIDO OSCAR ISRAEL','ADMINISTRACIÓNA','4to','MASCULINO','ACTIVO','',0,0,'','ALUMNO');</v>
      </c>
    </row>
    <row r="192" spans="1:12" x14ac:dyDescent="0.35">
      <c r="A192">
        <v>3190</v>
      </c>
      <c r="B192" s="1" t="s">
        <v>185</v>
      </c>
      <c r="C192" s="1" t="s">
        <v>376</v>
      </c>
      <c r="D192" s="1" t="s">
        <v>773</v>
      </c>
      <c r="E192" s="6" t="s">
        <v>174</v>
      </c>
      <c r="F192" s="1" t="s">
        <v>1172</v>
      </c>
      <c r="G192" s="1" t="s">
        <v>1386</v>
      </c>
      <c r="H192" s="1" t="s">
        <v>1392</v>
      </c>
      <c r="I192" s="1" t="s">
        <v>1395</v>
      </c>
      <c r="J192" s="1" t="s">
        <v>1396</v>
      </c>
      <c r="K192" s="6" t="str">
        <f t="shared" si="4"/>
        <v>3190,'BACHILLERATO','mauriciorafael.huizarduran','008198','TOMAR DEL SND','HUIZAR DURAN MAURICIO RAFAEL','ADMINISTRACIÓNA','4to','MASCULINO','ACTIVO','',0,0,'','ALUMNO'</v>
      </c>
      <c r="L192" s="6" t="str">
        <f t="shared" si="5"/>
        <v>INSERT INTO participantes (id,nivel,correo,matricula,clave,nombre,carrera,grado,sexo,situacion,evaluados,num_evaluados,total_evaluaciones,ultimo_acceso,nivel_acceso) VALUES (3190,'BACHILLERATO','mauriciorafael.huizarduran','008198','TOMAR DEL SND','HUIZAR DURAN MAURICIO RAFAEL','ADMINISTRACIÓNA','4to','MASCULINO','ACTIVO','',0,0,'','ALUMNO');</v>
      </c>
    </row>
    <row r="193" spans="1:12" x14ac:dyDescent="0.35">
      <c r="A193">
        <v>3191</v>
      </c>
      <c r="B193" s="1" t="s">
        <v>185</v>
      </c>
      <c r="C193" s="1" t="s">
        <v>377</v>
      </c>
      <c r="D193" s="1" t="s">
        <v>774</v>
      </c>
      <c r="E193" s="6" t="s">
        <v>174</v>
      </c>
      <c r="F193" s="1" t="s">
        <v>1173</v>
      </c>
      <c r="G193" s="1" t="s">
        <v>1387</v>
      </c>
      <c r="H193" s="1" t="s">
        <v>1392</v>
      </c>
      <c r="I193" s="1" t="s">
        <v>1394</v>
      </c>
      <c r="J193" s="1" t="s">
        <v>1396</v>
      </c>
      <c r="K193" s="6" t="str">
        <f t="shared" si="4"/>
        <v>3191,'BACHILLERATO','valentina.varelagarcia','008200','TOMAR DEL SND','VARELA GARCIA VALENTINA','HIGIENE Y SALUD COMUNITARIAA','4to','FEMENINO','ACTIVO','',0,0,'','ALUMNO'</v>
      </c>
      <c r="L193" s="6" t="str">
        <f t="shared" si="5"/>
        <v>INSERT INTO participantes (id,nivel,correo,matricula,clave,nombre,carrera,grado,sexo,situacion,evaluados,num_evaluados,total_evaluaciones,ultimo_acceso,nivel_acceso) VALUES (3191,'BACHILLERATO','valentina.varelagarcia','008200','TOMAR DEL SND','VARELA GARCIA VALENTINA','HIGIENE Y SALUD COMUNITARIAA','4to','FEMENINO','ACTIVO','',0,0,'','ALUMNO');</v>
      </c>
    </row>
    <row r="194" spans="1:12" x14ac:dyDescent="0.35">
      <c r="A194">
        <v>3192</v>
      </c>
      <c r="B194" s="1" t="s">
        <v>185</v>
      </c>
      <c r="C194" s="1" t="s">
        <v>378</v>
      </c>
      <c r="D194" s="1" t="s">
        <v>775</v>
      </c>
      <c r="E194" s="6" t="s">
        <v>174</v>
      </c>
      <c r="F194" s="1" t="s">
        <v>1174</v>
      </c>
      <c r="G194" s="1" t="s">
        <v>1387</v>
      </c>
      <c r="H194" s="1" t="s">
        <v>1392</v>
      </c>
      <c r="I194" s="1" t="s">
        <v>1394</v>
      </c>
      <c r="J194" s="1" t="s">
        <v>1396</v>
      </c>
      <c r="K194" s="6" t="str">
        <f t="shared" ref="K194:K257" si="6">CONCATENATE(A194,",",B194,",",C194,",",D194,",'",E194,",",F194,",",G194,",",H194,",",UPPER(I194),",",UPPER(J194),",'',0,0,'','ALUMNO'")</f>
        <v>3192,'BACHILLERATO','katia.medranogarciatorres','008201','TOMAR DEL SND','MEDRANO GARCIA TORRES KATIA','HIGIENE Y SALUD COMUNITARIAA','4to','FEMENINO','ACTIVO','',0,0,'','ALUMNO'</v>
      </c>
      <c r="L194" s="6" t="str">
        <f t="shared" ref="L194:L257" si="7">CONCATENATE($K$1,K194,");")</f>
        <v>INSERT INTO participantes (id,nivel,correo,matricula,clave,nombre,carrera,grado,sexo,situacion,evaluados,num_evaluados,total_evaluaciones,ultimo_acceso,nivel_acceso) VALUES (3192,'BACHILLERATO','katia.medranogarciatorres','008201','TOMAR DEL SND','MEDRANO GARCIA TORRES KATIA','HIGIENE Y SALUD COMUNITARIAA','4to','FEMENINO','ACTIVO','',0,0,'','ALUMNO');</v>
      </c>
    </row>
    <row r="195" spans="1:12" x14ac:dyDescent="0.35">
      <c r="A195">
        <v>3193</v>
      </c>
      <c r="B195" s="1" t="s">
        <v>185</v>
      </c>
      <c r="C195" s="1" t="s">
        <v>379</v>
      </c>
      <c r="D195" s="1" t="s">
        <v>776</v>
      </c>
      <c r="E195" s="6" t="s">
        <v>174</v>
      </c>
      <c r="F195" s="1" t="s">
        <v>1175</v>
      </c>
      <c r="G195" s="1" t="s">
        <v>1387</v>
      </c>
      <c r="H195" s="1" t="s">
        <v>1392</v>
      </c>
      <c r="I195" s="1" t="s">
        <v>1394</v>
      </c>
      <c r="J195" s="1" t="s">
        <v>1396</v>
      </c>
      <c r="K195" s="6" t="str">
        <f t="shared" si="6"/>
        <v>3193,'BACHILLERATO','valeria.araizasantana','008202','TOMAR DEL SND','ARAIZA SANTANA VALERIA','HIGIENE Y SALUD COMUNITARIAA','4to','FEMENINO','ACTIVO','',0,0,'','ALUMNO'</v>
      </c>
      <c r="L195" s="6" t="str">
        <f t="shared" si="7"/>
        <v>INSERT INTO participantes (id,nivel,correo,matricula,clave,nombre,carrera,grado,sexo,situacion,evaluados,num_evaluados,total_evaluaciones,ultimo_acceso,nivel_acceso) VALUES (3193,'BACHILLERATO','valeria.araizasantana','008202','TOMAR DEL SND','ARAIZA SANTANA VALERIA','HIGIENE Y SALUD COMUNITARIAA','4to','FEMENINO','ACTIVO','',0,0,'','ALUMNO');</v>
      </c>
    </row>
    <row r="196" spans="1:12" x14ac:dyDescent="0.35">
      <c r="A196">
        <v>3194</v>
      </c>
      <c r="B196" s="1" t="s">
        <v>185</v>
      </c>
      <c r="C196" s="1" t="s">
        <v>380</v>
      </c>
      <c r="D196" s="1" t="s">
        <v>777</v>
      </c>
      <c r="E196" s="6" t="s">
        <v>174</v>
      </c>
      <c r="F196" s="1" t="s">
        <v>1176</v>
      </c>
      <c r="G196" s="1" t="s">
        <v>1387</v>
      </c>
      <c r="H196" s="1" t="s">
        <v>1392</v>
      </c>
      <c r="I196" s="1" t="s">
        <v>1394</v>
      </c>
      <c r="J196" s="1" t="s">
        <v>1396</v>
      </c>
      <c r="K196" s="6" t="str">
        <f t="shared" si="6"/>
        <v>3194,'BACHILLERATO','renataalejandra.medinagutierrez','008203','TOMAR DEL SND','MEDINA GUTIERREZ RENATA ALEJANDRA','HIGIENE Y SALUD COMUNITARIAA','4to','FEMENINO','ACTIVO','',0,0,'','ALUMNO'</v>
      </c>
      <c r="L196" s="6" t="str">
        <f t="shared" si="7"/>
        <v>INSERT INTO participantes (id,nivel,correo,matricula,clave,nombre,carrera,grado,sexo,situacion,evaluados,num_evaluados,total_evaluaciones,ultimo_acceso,nivel_acceso) VALUES (3194,'BACHILLERATO','renataalejandra.medinagutierrez','008203','TOMAR DEL SND','MEDINA GUTIERREZ RENATA ALEJANDRA','HIGIENE Y SALUD COMUNITARIAA','4to','FEMENINO','ACTIVO','',0,0,'','ALUMNO');</v>
      </c>
    </row>
    <row r="197" spans="1:12" x14ac:dyDescent="0.35">
      <c r="A197">
        <v>3195</v>
      </c>
      <c r="B197" s="1" t="s">
        <v>185</v>
      </c>
      <c r="C197" s="1" t="s">
        <v>381</v>
      </c>
      <c r="D197" s="1" t="s">
        <v>778</v>
      </c>
      <c r="E197" s="6" t="s">
        <v>174</v>
      </c>
      <c r="F197" s="1" t="s">
        <v>1177</v>
      </c>
      <c r="G197" s="1" t="s">
        <v>1386</v>
      </c>
      <c r="H197" s="1" t="s">
        <v>1392</v>
      </c>
      <c r="I197" s="1" t="s">
        <v>1395</v>
      </c>
      <c r="J197" s="1" t="s">
        <v>1396</v>
      </c>
      <c r="K197" s="6" t="str">
        <f t="shared" si="6"/>
        <v>3195,'BACHILLERATO','ricardoalexis.lomeligarcia','008205','TOMAR DEL SND','LOMELI GARCIA RICARDO ALEXIS','ADMINISTRACIÓNA','4to','MASCULINO','ACTIVO','',0,0,'','ALUMNO'</v>
      </c>
      <c r="L197" s="6" t="str">
        <f t="shared" si="7"/>
        <v>INSERT INTO participantes (id,nivel,correo,matricula,clave,nombre,carrera,grado,sexo,situacion,evaluados,num_evaluados,total_evaluaciones,ultimo_acceso,nivel_acceso) VALUES (3195,'BACHILLERATO','ricardoalexis.lomeligarcia','008205','TOMAR DEL SND','LOMELI GARCIA RICARDO ALEXIS','ADMINISTRACIÓNA','4to','MASCULINO','ACTIVO','',0,0,'','ALUMNO');</v>
      </c>
    </row>
    <row r="198" spans="1:12" x14ac:dyDescent="0.35">
      <c r="A198">
        <v>3196</v>
      </c>
      <c r="B198" s="1" t="s">
        <v>185</v>
      </c>
      <c r="C198" s="1" t="s">
        <v>382</v>
      </c>
      <c r="D198" s="1" t="s">
        <v>779</v>
      </c>
      <c r="E198" s="6" t="s">
        <v>174</v>
      </c>
      <c r="F198" s="1" t="s">
        <v>1178</v>
      </c>
      <c r="G198" s="1" t="s">
        <v>1388</v>
      </c>
      <c r="H198" s="1" t="s">
        <v>1392</v>
      </c>
      <c r="I198" s="1" t="s">
        <v>1394</v>
      </c>
      <c r="J198" s="1" t="s">
        <v>1396</v>
      </c>
      <c r="K198" s="6" t="str">
        <f t="shared" si="6"/>
        <v>3196,'BACHILLERATO','juliafernanda.chavezbecerril','008206','TOMAR DEL SND','CHAVEZ BECERRIL JULIA FERNANDA','DISEÑO GRÁFICOA','4to','FEMENINO','ACTIVO','',0,0,'','ALUMNO'</v>
      </c>
      <c r="L198" s="6" t="str">
        <f t="shared" si="7"/>
        <v>INSERT INTO participantes (id,nivel,correo,matricula,clave,nombre,carrera,grado,sexo,situacion,evaluados,num_evaluados,total_evaluaciones,ultimo_acceso,nivel_acceso) VALUES (3196,'BACHILLERATO','juliafernanda.chavezbecerril','008206','TOMAR DEL SND','CHAVEZ BECERRIL JULIA FERNANDA','DISEÑO GRÁFICOA','4to','FEMENINO','ACTIVO','',0,0,'','ALUMNO');</v>
      </c>
    </row>
    <row r="199" spans="1:12" x14ac:dyDescent="0.35">
      <c r="A199">
        <v>3197</v>
      </c>
      <c r="B199" s="1" t="s">
        <v>185</v>
      </c>
      <c r="C199" s="1" t="s">
        <v>383</v>
      </c>
      <c r="D199" s="1" t="s">
        <v>780</v>
      </c>
      <c r="E199" s="6" t="s">
        <v>174</v>
      </c>
      <c r="F199" s="1" t="s">
        <v>1179</v>
      </c>
      <c r="G199" s="1" t="s">
        <v>1389</v>
      </c>
      <c r="H199" s="1" t="s">
        <v>1392</v>
      </c>
      <c r="I199" s="1" t="s">
        <v>1395</v>
      </c>
      <c r="J199" s="1" t="s">
        <v>1396</v>
      </c>
      <c r="K199" s="6" t="str">
        <f t="shared" si="6"/>
        <v>3197,'BACHILLERATO','joseangel.medinamoreno','008208','TOMAR DEL SND','MEDINA MORENO JOSE ANGEL','ELECTRÓNICAA','4to','MASCULINO','ACTIVO','',0,0,'','ALUMNO'</v>
      </c>
      <c r="L199" s="6" t="str">
        <f t="shared" si="7"/>
        <v>INSERT INTO participantes (id,nivel,correo,matricula,clave,nombre,carrera,grado,sexo,situacion,evaluados,num_evaluados,total_evaluaciones,ultimo_acceso,nivel_acceso) VALUES (3197,'BACHILLERATO','joseangel.medinamoreno','008208','TOMAR DEL SND','MEDINA MORENO JOSE ANGEL','ELECTRÓNICAA','4to','MASCULINO','ACTIVO','',0,0,'','ALUMNO');</v>
      </c>
    </row>
    <row r="200" spans="1:12" x14ac:dyDescent="0.35">
      <c r="A200">
        <v>3198</v>
      </c>
      <c r="B200" s="1" t="s">
        <v>185</v>
      </c>
      <c r="C200" s="1" t="s">
        <v>384</v>
      </c>
      <c r="D200" s="1" t="s">
        <v>781</v>
      </c>
      <c r="E200" s="6" t="s">
        <v>174</v>
      </c>
      <c r="F200" s="1" t="s">
        <v>1180</v>
      </c>
      <c r="G200" s="1" t="s">
        <v>1386</v>
      </c>
      <c r="H200" s="1" t="s">
        <v>1392</v>
      </c>
      <c r="I200" s="1" t="s">
        <v>1395</v>
      </c>
      <c r="J200" s="1" t="s">
        <v>1396</v>
      </c>
      <c r="K200" s="6" t="str">
        <f t="shared" si="6"/>
        <v>3198,'BACHILLERATO','roberto.gontesramirez','008210','TOMAR DEL SND','GONTES RAMIREZ ROBERTO','ADMINISTRACIÓNA','4to','MASCULINO','ACTIVO','',0,0,'','ALUMNO'</v>
      </c>
      <c r="L200" s="6" t="str">
        <f t="shared" si="7"/>
        <v>INSERT INTO participantes (id,nivel,correo,matricula,clave,nombre,carrera,grado,sexo,situacion,evaluados,num_evaluados,total_evaluaciones,ultimo_acceso,nivel_acceso) VALUES (3198,'BACHILLERATO','roberto.gontesramirez','008210','TOMAR DEL SND','GONTES RAMIREZ ROBERTO','ADMINISTRACIÓNA','4to','MASCULINO','ACTIVO','',0,0,'','ALUMNO');</v>
      </c>
    </row>
    <row r="201" spans="1:12" x14ac:dyDescent="0.35">
      <c r="A201">
        <v>3199</v>
      </c>
      <c r="B201" s="1" t="s">
        <v>185</v>
      </c>
      <c r="C201" s="1" t="s">
        <v>385</v>
      </c>
      <c r="D201" s="1" t="s">
        <v>782</v>
      </c>
      <c r="E201" s="6" t="s">
        <v>174</v>
      </c>
      <c r="F201" s="1" t="s">
        <v>1181</v>
      </c>
      <c r="G201" s="1" t="s">
        <v>1388</v>
      </c>
      <c r="H201" s="1" t="s">
        <v>1392</v>
      </c>
      <c r="I201" s="1" t="s">
        <v>1394</v>
      </c>
      <c r="J201" s="1" t="s">
        <v>1396</v>
      </c>
      <c r="K201" s="6" t="str">
        <f t="shared" si="6"/>
        <v>3199,'BACHILLERATO','karen.encarnaciongomez','008211','TOMAR DEL SND','ENCARNACION GOMEZ KAREN','DISEÑO GRÁFICOA','4to','FEMENINO','ACTIVO','',0,0,'','ALUMNO'</v>
      </c>
      <c r="L201" s="6" t="str">
        <f t="shared" si="7"/>
        <v>INSERT INTO participantes (id,nivel,correo,matricula,clave,nombre,carrera,grado,sexo,situacion,evaluados,num_evaluados,total_evaluaciones,ultimo_acceso,nivel_acceso) VALUES (3199,'BACHILLERATO','karen.encarnaciongomez','008211','TOMAR DEL SND','ENCARNACION GOMEZ KAREN','DISEÑO GRÁFICOA','4to','FEMENINO','ACTIVO','',0,0,'','ALUMNO');</v>
      </c>
    </row>
    <row r="202" spans="1:12" x14ac:dyDescent="0.35">
      <c r="A202">
        <v>3200</v>
      </c>
      <c r="B202" s="1" t="s">
        <v>185</v>
      </c>
      <c r="C202" s="1" t="s">
        <v>386</v>
      </c>
      <c r="D202" s="1" t="s">
        <v>783</v>
      </c>
      <c r="E202" s="6" t="s">
        <v>174</v>
      </c>
      <c r="F202" s="1" t="s">
        <v>1182</v>
      </c>
      <c r="G202" s="1" t="s">
        <v>1387</v>
      </c>
      <c r="H202" s="1" t="s">
        <v>1392</v>
      </c>
      <c r="I202" s="1" t="s">
        <v>1394</v>
      </c>
      <c r="J202" s="1" t="s">
        <v>1396</v>
      </c>
      <c r="K202" s="6" t="str">
        <f t="shared" si="6"/>
        <v>3200,'BACHILLERATO','dianapaola.llamasdeanda','008212','TOMAR DEL SND','LLAMAS DE ANDA DIANA PAOLA','HIGIENE Y SALUD COMUNITARIAA','4to','FEMENINO','ACTIVO','',0,0,'','ALUMNO'</v>
      </c>
      <c r="L202" s="6" t="str">
        <f t="shared" si="7"/>
        <v>INSERT INTO participantes (id,nivel,correo,matricula,clave,nombre,carrera,grado,sexo,situacion,evaluados,num_evaluados,total_evaluaciones,ultimo_acceso,nivel_acceso) VALUES (3200,'BACHILLERATO','dianapaola.llamasdeanda','008212','TOMAR DEL SND','LLAMAS DE ANDA DIANA PAOLA','HIGIENE Y SALUD COMUNITARIAA','4to','FEMENINO','ACTIVO','',0,0,'','ALUMNO');</v>
      </c>
    </row>
    <row r="203" spans="1:12" x14ac:dyDescent="0.35">
      <c r="A203">
        <v>3201</v>
      </c>
      <c r="B203" s="1" t="s">
        <v>185</v>
      </c>
      <c r="C203" s="1" t="s">
        <v>387</v>
      </c>
      <c r="D203" s="1" t="s">
        <v>784</v>
      </c>
      <c r="E203" s="6" t="s">
        <v>174</v>
      </c>
      <c r="F203" s="1" t="s">
        <v>1183</v>
      </c>
      <c r="G203" s="1" t="s">
        <v>1386</v>
      </c>
      <c r="H203" s="1" t="s">
        <v>1392</v>
      </c>
      <c r="I203" s="1" t="s">
        <v>1395</v>
      </c>
      <c r="J203" s="1" t="s">
        <v>1396</v>
      </c>
      <c r="K203" s="6" t="str">
        <f t="shared" si="6"/>
        <v>3201,'BACHILLERATO','edsonobed.garciaescalera','008213','TOMAR DEL SND','GARCIA ESCALERA EDSON OBED','ADMINISTRACIÓNA','4to','MASCULINO','ACTIVO','',0,0,'','ALUMNO'</v>
      </c>
      <c r="L203" s="6" t="str">
        <f t="shared" si="7"/>
        <v>INSERT INTO participantes (id,nivel,correo,matricula,clave,nombre,carrera,grado,sexo,situacion,evaluados,num_evaluados,total_evaluaciones,ultimo_acceso,nivel_acceso) VALUES (3201,'BACHILLERATO','edsonobed.garciaescalera','008213','TOMAR DEL SND','GARCIA ESCALERA EDSON OBED','ADMINISTRACIÓNA','4to','MASCULINO','ACTIVO','',0,0,'','ALUMNO');</v>
      </c>
    </row>
    <row r="204" spans="1:12" x14ac:dyDescent="0.35">
      <c r="A204">
        <v>3202</v>
      </c>
      <c r="B204" s="1" t="s">
        <v>185</v>
      </c>
      <c r="C204" s="1" t="s">
        <v>388</v>
      </c>
      <c r="D204" s="1" t="s">
        <v>785</v>
      </c>
      <c r="E204" s="6" t="s">
        <v>174</v>
      </c>
      <c r="F204" s="1" t="s">
        <v>1184</v>
      </c>
      <c r="G204" s="1" t="s">
        <v>1386</v>
      </c>
      <c r="H204" s="1" t="s">
        <v>1392</v>
      </c>
      <c r="I204" s="1" t="s">
        <v>1395</v>
      </c>
      <c r="J204" s="1" t="s">
        <v>1396</v>
      </c>
      <c r="K204" s="6" t="str">
        <f t="shared" si="6"/>
        <v>3202,'BACHILLERATO','cesararturo.martinezgutierrezsolana','008214','TOMAR DEL SND','MARTINEZ GUTIERREZ SOLANA CESAR ARTURO','ADMINISTRACIÓNA','4to','MASCULINO','ACTIVO','',0,0,'','ALUMNO'</v>
      </c>
      <c r="L204" s="6" t="str">
        <f t="shared" si="7"/>
        <v>INSERT INTO participantes (id,nivel,correo,matricula,clave,nombre,carrera,grado,sexo,situacion,evaluados,num_evaluados,total_evaluaciones,ultimo_acceso,nivel_acceso) VALUES (3202,'BACHILLERATO','cesararturo.martinezgutierrezsolana','008214','TOMAR DEL SND','MARTINEZ GUTIERREZ SOLANA CESAR ARTURO','ADMINISTRACIÓNA','4to','MASCULINO','ACTIVO','',0,0,'','ALUMNO');</v>
      </c>
    </row>
    <row r="205" spans="1:12" x14ac:dyDescent="0.35">
      <c r="A205">
        <v>3203</v>
      </c>
      <c r="B205" s="1" t="s">
        <v>185</v>
      </c>
      <c r="C205" s="1" t="s">
        <v>389</v>
      </c>
      <c r="D205" s="1" t="s">
        <v>786</v>
      </c>
      <c r="E205" s="6" t="s">
        <v>174</v>
      </c>
      <c r="F205" s="1" t="s">
        <v>1185</v>
      </c>
      <c r="G205" s="1" t="s">
        <v>1386</v>
      </c>
      <c r="H205" s="1" t="s">
        <v>1392</v>
      </c>
      <c r="I205" s="1" t="s">
        <v>1394</v>
      </c>
      <c r="J205" s="1" t="s">
        <v>1396</v>
      </c>
      <c r="K205" s="6" t="str">
        <f t="shared" si="6"/>
        <v>3203,'BACHILLERATO','taniapaulina.castillomartin','008215','TOMAR DEL SND','CASTILLO MARTIN TANIA PAULINA','ADMINISTRACIÓNA','4to','FEMENINO','ACTIVO','',0,0,'','ALUMNO'</v>
      </c>
      <c r="L205" s="6" t="str">
        <f t="shared" si="7"/>
        <v>INSERT INTO participantes (id,nivel,correo,matricula,clave,nombre,carrera,grado,sexo,situacion,evaluados,num_evaluados,total_evaluaciones,ultimo_acceso,nivel_acceso) VALUES (3203,'BACHILLERATO','taniapaulina.castillomartin','008215','TOMAR DEL SND','CASTILLO MARTIN TANIA PAULINA','ADMINISTRACIÓNA','4to','FEMENINO','ACTIVO','',0,0,'','ALUMNO');</v>
      </c>
    </row>
    <row r="206" spans="1:12" x14ac:dyDescent="0.35">
      <c r="A206">
        <v>3204</v>
      </c>
      <c r="B206" s="1" t="s">
        <v>185</v>
      </c>
      <c r="C206" s="1" t="s">
        <v>390</v>
      </c>
      <c r="D206" s="1" t="s">
        <v>787</v>
      </c>
      <c r="E206" s="6" t="s">
        <v>174</v>
      </c>
      <c r="F206" s="1" t="s">
        <v>1186</v>
      </c>
      <c r="G206" s="1" t="s">
        <v>1387</v>
      </c>
      <c r="H206" s="1" t="s">
        <v>1392</v>
      </c>
      <c r="I206" s="1" t="s">
        <v>1394</v>
      </c>
      <c r="J206" s="1" t="s">
        <v>1396</v>
      </c>
      <c r="K206" s="6" t="str">
        <f t="shared" si="6"/>
        <v>3204,'BACHILLERATO','claudiaalejandra.riveraorozco','008217','TOMAR DEL SND','RIVERA OROZCO CLAUDIA ALEJANDRA','HIGIENE Y SALUD COMUNITARIAA','4to','FEMENINO','ACTIVO','',0,0,'','ALUMNO'</v>
      </c>
      <c r="L206" s="6" t="str">
        <f t="shared" si="7"/>
        <v>INSERT INTO participantes (id,nivel,correo,matricula,clave,nombre,carrera,grado,sexo,situacion,evaluados,num_evaluados,total_evaluaciones,ultimo_acceso,nivel_acceso) VALUES (3204,'BACHILLERATO','claudiaalejandra.riveraorozco','008217','TOMAR DEL SND','RIVERA OROZCO CLAUDIA ALEJANDRA','HIGIENE Y SALUD COMUNITARIAA','4to','FEMENINO','ACTIVO','',0,0,'','ALUMNO');</v>
      </c>
    </row>
    <row r="207" spans="1:12" x14ac:dyDescent="0.35">
      <c r="A207">
        <v>3205</v>
      </c>
      <c r="B207" s="1" t="s">
        <v>185</v>
      </c>
      <c r="C207" s="1" t="s">
        <v>391</v>
      </c>
      <c r="D207" s="1" t="s">
        <v>788</v>
      </c>
      <c r="E207" s="6" t="s">
        <v>174</v>
      </c>
      <c r="F207" s="1" t="s">
        <v>1187</v>
      </c>
      <c r="G207" s="1" t="s">
        <v>1387</v>
      </c>
      <c r="H207" s="1" t="s">
        <v>1392</v>
      </c>
      <c r="I207" s="1" t="s">
        <v>1394</v>
      </c>
      <c r="J207" s="1" t="s">
        <v>1396</v>
      </c>
      <c r="K207" s="6" t="str">
        <f t="shared" si="6"/>
        <v>3205,'BACHILLERATO','paularenata.perezcastillo','008219','TOMAR DEL SND','PEREZ CASTILLO PAULA RENATA','HIGIENE Y SALUD COMUNITARIAA','4to','FEMENINO','ACTIVO','',0,0,'','ALUMNO'</v>
      </c>
      <c r="L207" s="6" t="str">
        <f t="shared" si="7"/>
        <v>INSERT INTO participantes (id,nivel,correo,matricula,clave,nombre,carrera,grado,sexo,situacion,evaluados,num_evaluados,total_evaluaciones,ultimo_acceso,nivel_acceso) VALUES (3205,'BACHILLERATO','paularenata.perezcastillo','008219','TOMAR DEL SND','PEREZ CASTILLO PAULA RENATA','HIGIENE Y SALUD COMUNITARIAA','4to','FEMENINO','ACTIVO','',0,0,'','ALUMNO');</v>
      </c>
    </row>
    <row r="208" spans="1:12" x14ac:dyDescent="0.35">
      <c r="A208">
        <v>3206</v>
      </c>
      <c r="B208" s="1" t="s">
        <v>185</v>
      </c>
      <c r="C208" s="1" t="s">
        <v>392</v>
      </c>
      <c r="D208" s="1" t="s">
        <v>789</v>
      </c>
      <c r="E208" s="6" t="s">
        <v>174</v>
      </c>
      <c r="F208" s="1" t="s">
        <v>1188</v>
      </c>
      <c r="G208" s="1" t="s">
        <v>1388</v>
      </c>
      <c r="H208" s="1" t="s">
        <v>1392</v>
      </c>
      <c r="I208" s="1" t="s">
        <v>1394</v>
      </c>
      <c r="J208" s="1" t="s">
        <v>1396</v>
      </c>
      <c r="K208" s="6" t="str">
        <f t="shared" si="6"/>
        <v>3206,'BACHILLERATO','linette.garciazenteno','008220','TOMAR DEL SND','GARCIA ZENTENO LINETTE','DISEÑO GRÁFICOA','4to','FEMENINO','ACTIVO','',0,0,'','ALUMNO'</v>
      </c>
      <c r="L208" s="6" t="str">
        <f t="shared" si="7"/>
        <v>INSERT INTO participantes (id,nivel,correo,matricula,clave,nombre,carrera,grado,sexo,situacion,evaluados,num_evaluados,total_evaluaciones,ultimo_acceso,nivel_acceso) VALUES (3206,'BACHILLERATO','linette.garciazenteno','008220','TOMAR DEL SND','GARCIA ZENTENO LINETTE','DISEÑO GRÁFICOA','4to','FEMENINO','ACTIVO','',0,0,'','ALUMNO');</v>
      </c>
    </row>
    <row r="209" spans="1:12" x14ac:dyDescent="0.35">
      <c r="A209">
        <v>3207</v>
      </c>
      <c r="B209" s="1" t="s">
        <v>185</v>
      </c>
      <c r="C209" s="1" t="s">
        <v>393</v>
      </c>
      <c r="D209" s="1" t="s">
        <v>790</v>
      </c>
      <c r="E209" s="6" t="s">
        <v>174</v>
      </c>
      <c r="F209" s="1" t="s">
        <v>1189</v>
      </c>
      <c r="G209" s="1" t="s">
        <v>1387</v>
      </c>
      <c r="H209" s="1" t="s">
        <v>1392</v>
      </c>
      <c r="I209" s="1" t="s">
        <v>1394</v>
      </c>
      <c r="J209" s="1" t="s">
        <v>1396</v>
      </c>
      <c r="K209" s="6" t="str">
        <f t="shared" si="6"/>
        <v>3207,'BACHILLERATO','daniela.zendejasgonzalez','008222','TOMAR DEL SND','ZENDEJAS GONZALEZ DANIELA','HIGIENE Y SALUD COMUNITARIAA','4to','FEMENINO','ACTIVO','',0,0,'','ALUMNO'</v>
      </c>
      <c r="L209" s="6" t="str">
        <f t="shared" si="7"/>
        <v>INSERT INTO participantes (id,nivel,correo,matricula,clave,nombre,carrera,grado,sexo,situacion,evaluados,num_evaluados,total_evaluaciones,ultimo_acceso,nivel_acceso) VALUES (3207,'BACHILLERATO','daniela.zendejasgonzalez','008222','TOMAR DEL SND','ZENDEJAS GONZALEZ DANIELA','HIGIENE Y SALUD COMUNITARIAA','4to','FEMENINO','ACTIVO','',0,0,'','ALUMNO');</v>
      </c>
    </row>
    <row r="210" spans="1:12" x14ac:dyDescent="0.35">
      <c r="A210">
        <v>3208</v>
      </c>
      <c r="B210" s="1" t="s">
        <v>185</v>
      </c>
      <c r="C210" s="1" t="s">
        <v>394</v>
      </c>
      <c r="D210" s="1" t="s">
        <v>791</v>
      </c>
      <c r="E210" s="6" t="s">
        <v>174</v>
      </c>
      <c r="F210" s="1" t="s">
        <v>1190</v>
      </c>
      <c r="G210" s="1" t="s">
        <v>1382</v>
      </c>
      <c r="H210" s="1" t="s">
        <v>1391</v>
      </c>
      <c r="I210" s="1" t="s">
        <v>1395</v>
      </c>
      <c r="J210" s="1" t="s">
        <v>1396</v>
      </c>
      <c r="K210" s="6" t="str">
        <f t="shared" si="6"/>
        <v>3208,'BACHILLERATO','armando.muruazermeno','008223','TOMAR DEL SND','MURUA ZERMEÑO ARMANDO','ADMINISTRACIÓN','6to','MASCULINO','ACTIVO','',0,0,'','ALUMNO'</v>
      </c>
      <c r="L210" s="6" t="str">
        <f t="shared" si="7"/>
        <v>INSERT INTO participantes (id,nivel,correo,matricula,clave,nombre,carrera,grado,sexo,situacion,evaluados,num_evaluados,total_evaluaciones,ultimo_acceso,nivel_acceso) VALUES (3208,'BACHILLERATO','armando.muruazermeno','008223','TOMAR DEL SND','MURUA ZERMEÑO ARMANDO','ADMINISTRACIÓN','6to','MASCULINO','ACTIVO','',0,0,'','ALUMNO');</v>
      </c>
    </row>
    <row r="211" spans="1:12" x14ac:dyDescent="0.35">
      <c r="A211">
        <v>3209</v>
      </c>
      <c r="B211" s="1" t="s">
        <v>185</v>
      </c>
      <c r="C211" s="1" t="s">
        <v>395</v>
      </c>
      <c r="D211" s="1" t="s">
        <v>792</v>
      </c>
      <c r="E211" s="6" t="s">
        <v>174</v>
      </c>
      <c r="F211" s="1" t="s">
        <v>1191</v>
      </c>
      <c r="G211" s="1" t="s">
        <v>1383</v>
      </c>
      <c r="H211" s="1" t="s">
        <v>1391</v>
      </c>
      <c r="I211" s="1" t="s">
        <v>1395</v>
      </c>
      <c r="J211" s="1" t="s">
        <v>1396</v>
      </c>
      <c r="K211" s="6" t="str">
        <f t="shared" si="6"/>
        <v>3209,'BACHILLERATO','danielmaximiliano.castrocalleja','008224','TOMAR DEL SND','CASTRO CALLEJA DANIEL MAXIMILIANO','HIGIENE Y SALUD COMUNITARIA','6to','MASCULINO','ACTIVO','',0,0,'','ALUMNO'</v>
      </c>
      <c r="L211" s="6" t="str">
        <f t="shared" si="7"/>
        <v>INSERT INTO participantes (id,nivel,correo,matricula,clave,nombre,carrera,grado,sexo,situacion,evaluados,num_evaluados,total_evaluaciones,ultimo_acceso,nivel_acceso) VALUES (3209,'BACHILLERATO','danielmaximiliano.castrocalleja','008224','TOMAR DEL SND','CASTRO CALLEJA DANIEL MAXIMILIANO','HIGIENE Y SALUD COMUNITARIA','6to','MASCULINO','ACTIVO','',0,0,'','ALUMNO');</v>
      </c>
    </row>
    <row r="212" spans="1:12" x14ac:dyDescent="0.35">
      <c r="A212">
        <v>3210</v>
      </c>
      <c r="B212" s="1" t="s">
        <v>185</v>
      </c>
      <c r="C212" s="1" t="s">
        <v>396</v>
      </c>
      <c r="D212" s="1" t="s">
        <v>793</v>
      </c>
      <c r="E212" s="6" t="s">
        <v>174</v>
      </c>
      <c r="F212" s="1" t="s">
        <v>1192</v>
      </c>
      <c r="G212" s="1" t="s">
        <v>1387</v>
      </c>
      <c r="H212" s="1" t="s">
        <v>1392</v>
      </c>
      <c r="I212" s="1" t="s">
        <v>1394</v>
      </c>
      <c r="J212" s="1" t="s">
        <v>1396</v>
      </c>
      <c r="K212" s="6" t="str">
        <f t="shared" si="6"/>
        <v>3210,'BACHILLERATO','yaretzicloe.gonzaleztoscano','008225','TOMAR DEL SND','GONZALEZ TOSCANO YARETZI CLOE','HIGIENE Y SALUD COMUNITARIAA','4to','FEMENINO','ACTIVO','',0,0,'','ALUMNO'</v>
      </c>
      <c r="L212" s="6" t="str">
        <f t="shared" si="7"/>
        <v>INSERT INTO participantes (id,nivel,correo,matricula,clave,nombre,carrera,grado,sexo,situacion,evaluados,num_evaluados,total_evaluaciones,ultimo_acceso,nivel_acceso) VALUES (3210,'BACHILLERATO','yaretzicloe.gonzaleztoscano','008225','TOMAR DEL SND','GONZALEZ TOSCANO YARETZI CLOE','HIGIENE Y SALUD COMUNITARIAA','4to','FEMENINO','ACTIVO','',0,0,'','ALUMNO');</v>
      </c>
    </row>
    <row r="213" spans="1:12" x14ac:dyDescent="0.35">
      <c r="A213">
        <v>3211</v>
      </c>
      <c r="B213" s="1" t="s">
        <v>185</v>
      </c>
      <c r="C213" s="1" t="s">
        <v>397</v>
      </c>
      <c r="D213" s="1" t="s">
        <v>794</v>
      </c>
      <c r="E213" s="6" t="s">
        <v>174</v>
      </c>
      <c r="F213" s="1" t="s">
        <v>1193</v>
      </c>
      <c r="G213" s="1" t="s">
        <v>1388</v>
      </c>
      <c r="H213" s="1" t="s">
        <v>1392</v>
      </c>
      <c r="I213" s="1" t="s">
        <v>1394</v>
      </c>
      <c r="J213" s="1" t="s">
        <v>1396</v>
      </c>
      <c r="K213" s="6" t="str">
        <f t="shared" si="6"/>
        <v>3211,'BACHILLERATO','abrilnahomi.alcalacamacho','008226','TOMAR DEL SND','ALCALA CAMACHO ABRIL NAHOMI','DISEÑO GRÁFICOA','4to','FEMENINO','ACTIVO','',0,0,'','ALUMNO'</v>
      </c>
      <c r="L213" s="6" t="str">
        <f t="shared" si="7"/>
        <v>INSERT INTO participantes (id,nivel,correo,matricula,clave,nombre,carrera,grado,sexo,situacion,evaluados,num_evaluados,total_evaluaciones,ultimo_acceso,nivel_acceso) VALUES (3211,'BACHILLERATO','abrilnahomi.alcalacamacho','008226','TOMAR DEL SND','ALCALA CAMACHO ABRIL NAHOMI','DISEÑO GRÁFICOA','4to','FEMENINO','ACTIVO','',0,0,'','ALUMNO');</v>
      </c>
    </row>
    <row r="214" spans="1:12" x14ac:dyDescent="0.35">
      <c r="A214">
        <v>3212</v>
      </c>
      <c r="B214" s="1" t="s">
        <v>185</v>
      </c>
      <c r="C214" s="1" t="s">
        <v>398</v>
      </c>
      <c r="D214" s="1" t="s">
        <v>795</v>
      </c>
      <c r="E214" s="6" t="s">
        <v>174</v>
      </c>
      <c r="F214" s="1" t="s">
        <v>1194</v>
      </c>
      <c r="G214" s="1" t="s">
        <v>1386</v>
      </c>
      <c r="H214" s="1" t="s">
        <v>1392</v>
      </c>
      <c r="I214" s="1" t="s">
        <v>1394</v>
      </c>
      <c r="J214" s="1" t="s">
        <v>1396</v>
      </c>
      <c r="K214" s="6" t="str">
        <f t="shared" si="6"/>
        <v>3212,'BACHILLERATO','camila.morenohernandez','008227','TOMAR DEL SND','MORENO HERNANDEZ CAMILA','ADMINISTRACIÓNA','4to','FEMENINO','ACTIVO','',0,0,'','ALUMNO'</v>
      </c>
      <c r="L214" s="6" t="str">
        <f t="shared" si="7"/>
        <v>INSERT INTO participantes (id,nivel,correo,matricula,clave,nombre,carrera,grado,sexo,situacion,evaluados,num_evaluados,total_evaluaciones,ultimo_acceso,nivel_acceso) VALUES (3212,'BACHILLERATO','camila.morenohernandez','008227','TOMAR DEL SND','MORENO HERNANDEZ CAMILA','ADMINISTRACIÓNA','4to','FEMENINO','ACTIVO','',0,0,'','ALUMNO');</v>
      </c>
    </row>
    <row r="215" spans="1:12" x14ac:dyDescent="0.35">
      <c r="A215">
        <v>3213</v>
      </c>
      <c r="B215" s="1" t="s">
        <v>185</v>
      </c>
      <c r="C215" s="1" t="s">
        <v>399</v>
      </c>
      <c r="D215" s="1" t="s">
        <v>796</v>
      </c>
      <c r="E215" s="6" t="s">
        <v>174</v>
      </c>
      <c r="F215" s="1" t="s">
        <v>1195</v>
      </c>
      <c r="G215" s="1" t="s">
        <v>1387</v>
      </c>
      <c r="H215" s="1" t="s">
        <v>1392</v>
      </c>
      <c r="I215" s="1" t="s">
        <v>1394</v>
      </c>
      <c r="J215" s="1" t="s">
        <v>1396</v>
      </c>
      <c r="K215" s="6" t="str">
        <f t="shared" si="6"/>
        <v>3213,'BACHILLERATO','victoriaalheli.becerragomez','008229','TOMAR DEL SND','BECERRA GOMEZ VICTORIA ALHELI','HIGIENE Y SALUD COMUNITARIAA','4to','FEMENINO','ACTIVO','',0,0,'','ALUMNO'</v>
      </c>
      <c r="L215" s="6" t="str">
        <f t="shared" si="7"/>
        <v>INSERT INTO participantes (id,nivel,correo,matricula,clave,nombre,carrera,grado,sexo,situacion,evaluados,num_evaluados,total_evaluaciones,ultimo_acceso,nivel_acceso) VALUES (3213,'BACHILLERATO','victoriaalheli.becerragomez','008229','TOMAR DEL SND','BECERRA GOMEZ VICTORIA ALHELI','HIGIENE Y SALUD COMUNITARIAA','4to','FEMENINO','ACTIVO','',0,0,'','ALUMNO');</v>
      </c>
    </row>
    <row r="216" spans="1:12" x14ac:dyDescent="0.35">
      <c r="A216">
        <v>3214</v>
      </c>
      <c r="B216" s="1" t="s">
        <v>185</v>
      </c>
      <c r="C216" s="1" t="s">
        <v>400</v>
      </c>
      <c r="D216" s="1" t="s">
        <v>797</v>
      </c>
      <c r="E216" s="6" t="s">
        <v>174</v>
      </c>
      <c r="F216" s="1" t="s">
        <v>1196</v>
      </c>
      <c r="G216" s="1" t="s">
        <v>1386</v>
      </c>
      <c r="H216" s="1" t="s">
        <v>1392</v>
      </c>
      <c r="I216" s="1" t="s">
        <v>1395</v>
      </c>
      <c r="J216" s="1" t="s">
        <v>1396</v>
      </c>
      <c r="K216" s="6" t="str">
        <f t="shared" si="6"/>
        <v>3214,'BACHILLERATO','nicolas.albarrandominguez','008230','TOMAR DEL SND','ALBARRAN DOMINGUEZ NICOLAS','ADMINISTRACIÓNA','4to','MASCULINO','ACTIVO','',0,0,'','ALUMNO'</v>
      </c>
      <c r="L216" s="6" t="str">
        <f t="shared" si="7"/>
        <v>INSERT INTO participantes (id,nivel,correo,matricula,clave,nombre,carrera,grado,sexo,situacion,evaluados,num_evaluados,total_evaluaciones,ultimo_acceso,nivel_acceso) VALUES (3214,'BACHILLERATO','nicolas.albarrandominguez','008230','TOMAR DEL SND','ALBARRAN DOMINGUEZ NICOLAS','ADMINISTRACIÓNA','4to','MASCULINO','ACTIVO','',0,0,'','ALUMNO');</v>
      </c>
    </row>
    <row r="217" spans="1:12" x14ac:dyDescent="0.35">
      <c r="A217">
        <v>3215</v>
      </c>
      <c r="B217" s="1" t="s">
        <v>185</v>
      </c>
      <c r="C217" s="1" t="s">
        <v>401</v>
      </c>
      <c r="D217" s="1" t="s">
        <v>798</v>
      </c>
      <c r="E217" s="6" t="s">
        <v>174</v>
      </c>
      <c r="F217" s="1" t="s">
        <v>1197</v>
      </c>
      <c r="G217" s="1" t="s">
        <v>1388</v>
      </c>
      <c r="H217" s="1" t="s">
        <v>1392</v>
      </c>
      <c r="I217" s="1" t="s">
        <v>1394</v>
      </c>
      <c r="J217" s="1" t="s">
        <v>1396</v>
      </c>
      <c r="K217" s="6" t="str">
        <f t="shared" si="6"/>
        <v>3215,'BACHILLERATO','vivianamonserrat.ramirezvallejo','008231','TOMAR DEL SND','RAMIREZ VALLEJO VIVIANA MONSERRAT','DISEÑO GRÁFICOA','4to','FEMENINO','ACTIVO','',0,0,'','ALUMNO'</v>
      </c>
      <c r="L217" s="6" t="str">
        <f t="shared" si="7"/>
        <v>INSERT INTO participantes (id,nivel,correo,matricula,clave,nombre,carrera,grado,sexo,situacion,evaluados,num_evaluados,total_evaluaciones,ultimo_acceso,nivel_acceso) VALUES (3215,'BACHILLERATO','vivianamonserrat.ramirezvallejo','008231','TOMAR DEL SND','RAMIREZ VALLEJO VIVIANA MONSERRAT','DISEÑO GRÁFICOA','4to','FEMENINO','ACTIVO','',0,0,'','ALUMNO');</v>
      </c>
    </row>
    <row r="218" spans="1:12" x14ac:dyDescent="0.35">
      <c r="A218">
        <v>3216</v>
      </c>
      <c r="B218" s="1" t="s">
        <v>185</v>
      </c>
      <c r="C218" s="1" t="s">
        <v>402</v>
      </c>
      <c r="D218" s="1" t="s">
        <v>799</v>
      </c>
      <c r="E218" s="6" t="s">
        <v>174</v>
      </c>
      <c r="F218" s="1" t="s">
        <v>1198</v>
      </c>
      <c r="G218" s="1" t="s">
        <v>1386</v>
      </c>
      <c r="H218" s="1" t="s">
        <v>1392</v>
      </c>
      <c r="I218" s="1" t="s">
        <v>1394</v>
      </c>
      <c r="J218" s="1" t="s">
        <v>1398</v>
      </c>
      <c r="K218" s="6" t="str">
        <f t="shared" si="6"/>
        <v>3216,'BACHILLERATO','ozmharavalentina.ramirezpelayo','008232','TOMAR DEL SND','RAMIREZ PELAYO OZMHARA VALENTINA','ADMINISTRACIÓNA','4to','FEMENINO','BLOQUEADO','',0,0,'','ALUMNO'</v>
      </c>
      <c r="L218" s="6" t="str">
        <f t="shared" si="7"/>
        <v>INSERT INTO participantes (id,nivel,correo,matricula,clave,nombre,carrera,grado,sexo,situacion,evaluados,num_evaluados,total_evaluaciones,ultimo_acceso,nivel_acceso) VALUES (3216,'BACHILLERATO','ozmharavalentina.ramirezpelayo','008232','TOMAR DEL SND','RAMIREZ PELAYO OZMHARA VALENTINA','ADMINISTRACIÓNA','4to','FEMENINO','BLOQUEADO','',0,0,'','ALUMNO');</v>
      </c>
    </row>
    <row r="219" spans="1:12" x14ac:dyDescent="0.35">
      <c r="A219">
        <v>3217</v>
      </c>
      <c r="B219" s="1" t="s">
        <v>185</v>
      </c>
      <c r="C219" s="1" t="e">
        <v>#N/A</v>
      </c>
      <c r="D219" s="1" t="s">
        <v>800</v>
      </c>
      <c r="E219" s="6" t="s">
        <v>174</v>
      </c>
      <c r="F219" s="1" t="s">
        <v>1199</v>
      </c>
      <c r="G219" s="1" t="s">
        <v>1389</v>
      </c>
      <c r="H219" s="1" t="s">
        <v>1392</v>
      </c>
      <c r="I219" s="1" t="s">
        <v>1394</v>
      </c>
      <c r="J219" s="1" t="s">
        <v>1397</v>
      </c>
      <c r="K219" s="6" t="e">
        <f t="shared" si="6"/>
        <v>#N/A</v>
      </c>
      <c r="L219" s="6" t="e">
        <f t="shared" si="7"/>
        <v>#N/A</v>
      </c>
    </row>
    <row r="220" spans="1:12" x14ac:dyDescent="0.35">
      <c r="A220">
        <v>3218</v>
      </c>
      <c r="B220" s="1" t="s">
        <v>185</v>
      </c>
      <c r="C220" s="1" t="s">
        <v>403</v>
      </c>
      <c r="D220" s="1" t="s">
        <v>801</v>
      </c>
      <c r="E220" s="6" t="s">
        <v>174</v>
      </c>
      <c r="F220" s="1" t="s">
        <v>1200</v>
      </c>
      <c r="G220" s="1" t="s">
        <v>1387</v>
      </c>
      <c r="H220" s="1" t="s">
        <v>1392</v>
      </c>
      <c r="I220" s="1" t="s">
        <v>1394</v>
      </c>
      <c r="J220" s="1" t="s">
        <v>1396</v>
      </c>
      <c r="K220" s="6" t="str">
        <f t="shared" si="6"/>
        <v>3218,'BACHILLERATO','naomisofia.reglabadillo','008234','TOMAR DEL SND','REGLA BADILLO NAOMI SOFIA','HIGIENE Y SALUD COMUNITARIAA','4to','FEMENINO','ACTIVO','',0,0,'','ALUMNO'</v>
      </c>
      <c r="L220" s="6" t="str">
        <f t="shared" si="7"/>
        <v>INSERT INTO participantes (id,nivel,correo,matricula,clave,nombre,carrera,grado,sexo,situacion,evaluados,num_evaluados,total_evaluaciones,ultimo_acceso,nivel_acceso) VALUES (3218,'BACHILLERATO','naomisofia.reglabadillo','008234','TOMAR DEL SND','REGLA BADILLO NAOMI SOFIA','HIGIENE Y SALUD COMUNITARIAA','4to','FEMENINO','ACTIVO','',0,0,'','ALUMNO');</v>
      </c>
    </row>
    <row r="221" spans="1:12" x14ac:dyDescent="0.35">
      <c r="A221">
        <v>3219</v>
      </c>
      <c r="B221" s="1" t="s">
        <v>185</v>
      </c>
      <c r="C221" s="1" t="s">
        <v>404</v>
      </c>
      <c r="D221" s="1" t="s">
        <v>802</v>
      </c>
      <c r="E221" s="6" t="s">
        <v>174</v>
      </c>
      <c r="F221" s="1" t="s">
        <v>1201</v>
      </c>
      <c r="G221" s="1" t="s">
        <v>1386</v>
      </c>
      <c r="H221" s="1" t="s">
        <v>1392</v>
      </c>
      <c r="I221" s="1" t="s">
        <v>1394</v>
      </c>
      <c r="J221" s="1" t="s">
        <v>1396</v>
      </c>
      <c r="K221" s="6" t="str">
        <f t="shared" si="6"/>
        <v>3219,'BACHILLERATO','miapaolina.alvarezgonzalez','008236','TOMAR DEL SND','ALVAREZ GONZALEZ MIA PAOLINA','ADMINISTRACIÓNA','4to','FEMENINO','ACTIVO','',0,0,'','ALUMNO'</v>
      </c>
      <c r="L221" s="6" t="str">
        <f t="shared" si="7"/>
        <v>INSERT INTO participantes (id,nivel,correo,matricula,clave,nombre,carrera,grado,sexo,situacion,evaluados,num_evaluados,total_evaluaciones,ultimo_acceso,nivel_acceso) VALUES (3219,'BACHILLERATO','miapaolina.alvarezgonzalez','008236','TOMAR DEL SND','ALVAREZ GONZALEZ MIA PAOLINA','ADMINISTRACIÓNA','4to','FEMENINO','ACTIVO','',0,0,'','ALUMNO');</v>
      </c>
    </row>
    <row r="222" spans="1:12" x14ac:dyDescent="0.35">
      <c r="A222">
        <v>3220</v>
      </c>
      <c r="B222" s="1" t="s">
        <v>185</v>
      </c>
      <c r="C222" s="1" t="s">
        <v>405</v>
      </c>
      <c r="D222" s="1" t="s">
        <v>803</v>
      </c>
      <c r="E222" s="6" t="s">
        <v>174</v>
      </c>
      <c r="F222" s="1" t="s">
        <v>1202</v>
      </c>
      <c r="G222" s="1" t="s">
        <v>1386</v>
      </c>
      <c r="H222" s="1" t="s">
        <v>1392</v>
      </c>
      <c r="I222" s="1" t="s">
        <v>1395</v>
      </c>
      <c r="J222" s="1" t="s">
        <v>1396</v>
      </c>
      <c r="K222" s="6" t="str">
        <f t="shared" si="6"/>
        <v>3220,'BACHILLERATO','juanpablo.hernandezrosas','008237','TOMAR DEL SND','HERNANDEZ ROSAS JUAN PABLO','ADMINISTRACIÓNA','4to','MASCULINO','ACTIVO','',0,0,'','ALUMNO'</v>
      </c>
      <c r="L222" s="6" t="str">
        <f t="shared" si="7"/>
        <v>INSERT INTO participantes (id,nivel,correo,matricula,clave,nombre,carrera,grado,sexo,situacion,evaluados,num_evaluados,total_evaluaciones,ultimo_acceso,nivel_acceso) VALUES (3220,'BACHILLERATO','juanpablo.hernandezrosas','008237','TOMAR DEL SND','HERNANDEZ ROSAS JUAN PABLO','ADMINISTRACIÓNA','4to','MASCULINO','ACTIVO','',0,0,'','ALUMNO');</v>
      </c>
    </row>
    <row r="223" spans="1:12" x14ac:dyDescent="0.35">
      <c r="A223">
        <v>3221</v>
      </c>
      <c r="B223" s="1" t="s">
        <v>185</v>
      </c>
      <c r="C223" s="1" t="s">
        <v>406</v>
      </c>
      <c r="D223" s="1" t="s">
        <v>804</v>
      </c>
      <c r="E223" s="6" t="s">
        <v>174</v>
      </c>
      <c r="F223" s="1" t="s">
        <v>1203</v>
      </c>
      <c r="G223" s="1" t="s">
        <v>1387</v>
      </c>
      <c r="H223" s="1" t="s">
        <v>1392</v>
      </c>
      <c r="I223" s="1" t="s">
        <v>1394</v>
      </c>
      <c r="J223" s="1" t="s">
        <v>1396</v>
      </c>
      <c r="K223" s="6" t="str">
        <f t="shared" si="6"/>
        <v>3221,'BACHILLERATO','daphnevaleria.zendejasabundis','008238','TOMAR DEL SND','ZENDEJAS ABUNDIS DAPHNE VALERIA','HIGIENE Y SALUD COMUNITARIAA','4to','FEMENINO','ACTIVO','',0,0,'','ALUMNO'</v>
      </c>
      <c r="L223" s="6" t="str">
        <f t="shared" si="7"/>
        <v>INSERT INTO participantes (id,nivel,correo,matricula,clave,nombre,carrera,grado,sexo,situacion,evaluados,num_evaluados,total_evaluaciones,ultimo_acceso,nivel_acceso) VALUES (3221,'BACHILLERATO','daphnevaleria.zendejasabundis','008238','TOMAR DEL SND','ZENDEJAS ABUNDIS DAPHNE VALERIA','HIGIENE Y SALUD COMUNITARIAA','4to','FEMENINO','ACTIVO','',0,0,'','ALUMNO');</v>
      </c>
    </row>
    <row r="224" spans="1:12" x14ac:dyDescent="0.35">
      <c r="A224">
        <v>3222</v>
      </c>
      <c r="B224" s="1" t="s">
        <v>185</v>
      </c>
      <c r="C224" s="1" t="s">
        <v>407</v>
      </c>
      <c r="D224" s="1" t="s">
        <v>805</v>
      </c>
      <c r="E224" s="6" t="s">
        <v>174</v>
      </c>
      <c r="F224" s="1" t="s">
        <v>1204</v>
      </c>
      <c r="G224" s="1" t="s">
        <v>1386</v>
      </c>
      <c r="H224" s="1" t="s">
        <v>1392</v>
      </c>
      <c r="I224" s="1" t="s">
        <v>1395</v>
      </c>
      <c r="J224" s="1" t="s">
        <v>1396</v>
      </c>
      <c r="K224" s="6" t="str">
        <f t="shared" si="6"/>
        <v>3222,'BACHILLERATO','jorgedamian.sandovalalvaradojr','008239','TOMAR DEL SND','SANDOVAL ALVARADO JR JORGE DAMIAN','ADMINISTRACIÓNA','4to','MASCULINO','ACTIVO','',0,0,'','ALUMNO'</v>
      </c>
      <c r="L224" s="6" t="str">
        <f t="shared" si="7"/>
        <v>INSERT INTO participantes (id,nivel,correo,matricula,clave,nombre,carrera,grado,sexo,situacion,evaluados,num_evaluados,total_evaluaciones,ultimo_acceso,nivel_acceso) VALUES (3222,'BACHILLERATO','jorgedamian.sandovalalvaradojr','008239','TOMAR DEL SND','SANDOVAL ALVARADO JR JORGE DAMIAN','ADMINISTRACIÓNA','4to','MASCULINO','ACTIVO','',0,0,'','ALUMNO');</v>
      </c>
    </row>
    <row r="225" spans="1:12" x14ac:dyDescent="0.35">
      <c r="A225">
        <v>3223</v>
      </c>
      <c r="B225" s="1" t="s">
        <v>185</v>
      </c>
      <c r="C225" s="1" t="s">
        <v>408</v>
      </c>
      <c r="D225" s="1" t="s">
        <v>806</v>
      </c>
      <c r="E225" s="6" t="s">
        <v>174</v>
      </c>
      <c r="F225" s="1" t="s">
        <v>1205</v>
      </c>
      <c r="G225" s="1" t="s">
        <v>1386</v>
      </c>
      <c r="H225" s="1" t="s">
        <v>1392</v>
      </c>
      <c r="I225" s="1" t="s">
        <v>1395</v>
      </c>
      <c r="J225" s="1" t="s">
        <v>1396</v>
      </c>
      <c r="K225" s="6" t="str">
        <f t="shared" si="6"/>
        <v>3223,'BACHILLERATO','santiago.garciatrillo','008240','TOMAR DEL SND','GARCIA TRILLO SANTIAGO','ADMINISTRACIÓNA','4to','MASCULINO','ACTIVO','',0,0,'','ALUMNO'</v>
      </c>
      <c r="L225" s="6" t="str">
        <f t="shared" si="7"/>
        <v>INSERT INTO participantes (id,nivel,correo,matricula,clave,nombre,carrera,grado,sexo,situacion,evaluados,num_evaluados,total_evaluaciones,ultimo_acceso,nivel_acceso) VALUES (3223,'BACHILLERATO','santiago.garciatrillo','008240','TOMAR DEL SND','GARCIA TRILLO SANTIAGO','ADMINISTRACIÓNA','4to','MASCULINO','ACTIVO','',0,0,'','ALUMNO');</v>
      </c>
    </row>
    <row r="226" spans="1:12" x14ac:dyDescent="0.35">
      <c r="A226">
        <v>3224</v>
      </c>
      <c r="B226" s="1" t="s">
        <v>185</v>
      </c>
      <c r="C226" s="1" t="s">
        <v>409</v>
      </c>
      <c r="D226" s="1" t="s">
        <v>807</v>
      </c>
      <c r="E226" s="6" t="s">
        <v>174</v>
      </c>
      <c r="F226" s="1" t="s">
        <v>1206</v>
      </c>
      <c r="G226" s="1" t="s">
        <v>1386</v>
      </c>
      <c r="H226" s="1" t="s">
        <v>1392</v>
      </c>
      <c r="I226" s="1" t="s">
        <v>1395</v>
      </c>
      <c r="J226" s="1" t="s">
        <v>1396</v>
      </c>
      <c r="K226" s="6" t="str">
        <f t="shared" si="6"/>
        <v>3224,'BACHILLERATO','pauloaimar.esparzagonzalez','008241','TOMAR DEL SND','ESPARZA GONZALEZ PAULO AIMAR','ADMINISTRACIÓNA','4to','MASCULINO','ACTIVO','',0,0,'','ALUMNO'</v>
      </c>
      <c r="L226" s="6" t="str">
        <f t="shared" si="7"/>
        <v>INSERT INTO participantes (id,nivel,correo,matricula,clave,nombre,carrera,grado,sexo,situacion,evaluados,num_evaluados,total_evaluaciones,ultimo_acceso,nivel_acceso) VALUES (3224,'BACHILLERATO','pauloaimar.esparzagonzalez','008241','TOMAR DEL SND','ESPARZA GONZALEZ PAULO AIMAR','ADMINISTRACIÓNA','4to','MASCULINO','ACTIVO','',0,0,'','ALUMNO');</v>
      </c>
    </row>
    <row r="227" spans="1:12" x14ac:dyDescent="0.35">
      <c r="A227">
        <v>3225</v>
      </c>
      <c r="B227" s="1" t="s">
        <v>185</v>
      </c>
      <c r="C227" s="1" t="s">
        <v>410</v>
      </c>
      <c r="D227" s="1" t="s">
        <v>808</v>
      </c>
      <c r="E227" s="6" t="s">
        <v>174</v>
      </c>
      <c r="F227" s="1" t="s">
        <v>1207</v>
      </c>
      <c r="G227" s="1" t="s">
        <v>1386</v>
      </c>
      <c r="H227" s="1" t="s">
        <v>1392</v>
      </c>
      <c r="I227" s="1" t="s">
        <v>1395</v>
      </c>
      <c r="J227" s="1" t="s">
        <v>1396</v>
      </c>
      <c r="K227" s="6" t="str">
        <f t="shared" si="6"/>
        <v>3225,'BACHILLERATO','ruben.iretaduarte','008242','TOMAR DEL SND','IRETA DUARTE RUBEN','ADMINISTRACIÓNA','4to','MASCULINO','ACTIVO','',0,0,'','ALUMNO'</v>
      </c>
      <c r="L227" s="6" t="str">
        <f t="shared" si="7"/>
        <v>INSERT INTO participantes (id,nivel,correo,matricula,clave,nombre,carrera,grado,sexo,situacion,evaluados,num_evaluados,total_evaluaciones,ultimo_acceso,nivel_acceso) VALUES (3225,'BACHILLERATO','ruben.iretaduarte','008242','TOMAR DEL SND','IRETA DUARTE RUBEN','ADMINISTRACIÓNA','4to','MASCULINO','ACTIVO','',0,0,'','ALUMNO');</v>
      </c>
    </row>
    <row r="228" spans="1:12" x14ac:dyDescent="0.35">
      <c r="A228">
        <v>3226</v>
      </c>
      <c r="B228" s="1" t="s">
        <v>185</v>
      </c>
      <c r="C228" s="1" t="s">
        <v>411</v>
      </c>
      <c r="D228" s="1" t="s">
        <v>809</v>
      </c>
      <c r="E228" s="6" t="s">
        <v>174</v>
      </c>
      <c r="F228" s="1" t="s">
        <v>1208</v>
      </c>
      <c r="G228" s="1" t="s">
        <v>1388</v>
      </c>
      <c r="H228" s="1" t="s">
        <v>1392</v>
      </c>
      <c r="I228" s="1" t="s">
        <v>1394</v>
      </c>
      <c r="J228" s="1" t="s">
        <v>1396</v>
      </c>
      <c r="K228" s="6" t="str">
        <f t="shared" si="6"/>
        <v>3226,'BACHILLERATO','nathalieanahi.guzmanmichel','008243','TOMAR DEL SND','GUZMAN MICHEL NATHALIE ANAHI','DISEÑO GRÁFICOA','4to','FEMENINO','ACTIVO','',0,0,'','ALUMNO'</v>
      </c>
      <c r="L228" s="6" t="str">
        <f t="shared" si="7"/>
        <v>INSERT INTO participantes (id,nivel,correo,matricula,clave,nombre,carrera,grado,sexo,situacion,evaluados,num_evaluados,total_evaluaciones,ultimo_acceso,nivel_acceso) VALUES (3226,'BACHILLERATO','nathalieanahi.guzmanmichel','008243','TOMAR DEL SND','GUZMAN MICHEL NATHALIE ANAHI','DISEÑO GRÁFICOA','4to','FEMENINO','ACTIVO','',0,0,'','ALUMNO');</v>
      </c>
    </row>
    <row r="229" spans="1:12" x14ac:dyDescent="0.35">
      <c r="A229">
        <v>3227</v>
      </c>
      <c r="B229" s="1" t="s">
        <v>185</v>
      </c>
      <c r="C229" s="1" t="s">
        <v>412</v>
      </c>
      <c r="D229" s="1" t="s">
        <v>810</v>
      </c>
      <c r="E229" s="6" t="s">
        <v>174</v>
      </c>
      <c r="F229" s="1" t="s">
        <v>1209</v>
      </c>
      <c r="G229" s="1" t="s">
        <v>1389</v>
      </c>
      <c r="H229" s="1" t="s">
        <v>1392</v>
      </c>
      <c r="I229" s="1" t="s">
        <v>1395</v>
      </c>
      <c r="J229" s="1" t="s">
        <v>1396</v>
      </c>
      <c r="K229" s="6" t="str">
        <f t="shared" si="6"/>
        <v>3227,'BACHILLERATO','ernesto.gallegoslopez','008244','TOMAR DEL SND','GALLEGOS LOPEZ ERNESTO','ELECTRÓNICAA','4to','MASCULINO','ACTIVO','',0,0,'','ALUMNO'</v>
      </c>
      <c r="L229" s="6" t="str">
        <f t="shared" si="7"/>
        <v>INSERT INTO participantes (id,nivel,correo,matricula,clave,nombre,carrera,grado,sexo,situacion,evaluados,num_evaluados,total_evaluaciones,ultimo_acceso,nivel_acceso) VALUES (3227,'BACHILLERATO','ernesto.gallegoslopez','008244','TOMAR DEL SND','GALLEGOS LOPEZ ERNESTO','ELECTRÓNICAA','4to','MASCULINO','ACTIVO','',0,0,'','ALUMNO');</v>
      </c>
    </row>
    <row r="230" spans="1:12" x14ac:dyDescent="0.35">
      <c r="A230">
        <v>3228</v>
      </c>
      <c r="B230" s="1" t="s">
        <v>185</v>
      </c>
      <c r="C230" s="1" t="s">
        <v>413</v>
      </c>
      <c r="D230" s="1" t="s">
        <v>811</v>
      </c>
      <c r="E230" s="6" t="s">
        <v>174</v>
      </c>
      <c r="F230" s="1" t="s">
        <v>1210</v>
      </c>
      <c r="G230" s="1" t="s">
        <v>1386</v>
      </c>
      <c r="H230" s="1" t="s">
        <v>1392</v>
      </c>
      <c r="I230" s="1" t="s">
        <v>1395</v>
      </c>
      <c r="J230" s="1" t="s">
        <v>1396</v>
      </c>
      <c r="K230" s="6" t="str">
        <f t="shared" si="6"/>
        <v>3228,'BACHILLERATO','emiliomiguel.morenovillasana','008245','TOMAR DEL SND','MORENO VILLASANA EMILIO MIGUEL','ADMINISTRACIÓNA','4to','MASCULINO','ACTIVO','',0,0,'','ALUMNO'</v>
      </c>
      <c r="L230" s="6" t="str">
        <f t="shared" si="7"/>
        <v>INSERT INTO participantes (id,nivel,correo,matricula,clave,nombre,carrera,grado,sexo,situacion,evaluados,num_evaluados,total_evaluaciones,ultimo_acceso,nivel_acceso) VALUES (3228,'BACHILLERATO','emiliomiguel.morenovillasana','008245','TOMAR DEL SND','MORENO VILLASANA EMILIO MIGUEL','ADMINISTRACIÓNA','4to','MASCULINO','ACTIVO','',0,0,'','ALUMNO');</v>
      </c>
    </row>
    <row r="231" spans="1:12" x14ac:dyDescent="0.35">
      <c r="A231">
        <v>3229</v>
      </c>
      <c r="B231" s="1" t="s">
        <v>185</v>
      </c>
      <c r="C231" s="1" t="s">
        <v>414</v>
      </c>
      <c r="D231" s="1" t="s">
        <v>812</v>
      </c>
      <c r="E231" s="6" t="s">
        <v>174</v>
      </c>
      <c r="F231" s="1" t="s">
        <v>1211</v>
      </c>
      <c r="G231" s="1" t="s">
        <v>1386</v>
      </c>
      <c r="H231" s="1" t="s">
        <v>1392</v>
      </c>
      <c r="I231" s="1" t="s">
        <v>1395</v>
      </c>
      <c r="J231" s="1" t="s">
        <v>1396</v>
      </c>
      <c r="K231" s="6" t="str">
        <f t="shared" si="6"/>
        <v>3229,'BACHILLERATO','vicente.godinezrosales','008246','TOMAR DEL SND','GODINEZ ROSALES VICENTE','ADMINISTRACIÓNA','4to','MASCULINO','ACTIVO','',0,0,'','ALUMNO'</v>
      </c>
      <c r="L231" s="6" t="str">
        <f t="shared" si="7"/>
        <v>INSERT INTO participantes (id,nivel,correo,matricula,clave,nombre,carrera,grado,sexo,situacion,evaluados,num_evaluados,total_evaluaciones,ultimo_acceso,nivel_acceso) VALUES (3229,'BACHILLERATO','vicente.godinezrosales','008246','TOMAR DEL SND','GODINEZ ROSALES VICENTE','ADMINISTRACIÓNA','4to','MASCULINO','ACTIVO','',0,0,'','ALUMNO');</v>
      </c>
    </row>
    <row r="232" spans="1:12" x14ac:dyDescent="0.35">
      <c r="A232">
        <v>3230</v>
      </c>
      <c r="B232" s="1" t="s">
        <v>185</v>
      </c>
      <c r="C232" s="1" t="s">
        <v>415</v>
      </c>
      <c r="D232" s="1" t="s">
        <v>813</v>
      </c>
      <c r="E232" s="6" t="s">
        <v>174</v>
      </c>
      <c r="F232" s="1" t="s">
        <v>1212</v>
      </c>
      <c r="G232" s="1" t="s">
        <v>1386</v>
      </c>
      <c r="H232" s="1" t="s">
        <v>1392</v>
      </c>
      <c r="I232" s="1" t="s">
        <v>1394</v>
      </c>
      <c r="J232" s="1" t="s">
        <v>1396</v>
      </c>
      <c r="K232" s="6" t="str">
        <f t="shared" si="6"/>
        <v>3230,'BACHILLERATO','andrea.casillasdiaz','008247','TOMAR DEL SND','CASILLAS DIAZ ANDREA','ADMINISTRACIÓNA','4to','FEMENINO','ACTIVO','',0,0,'','ALUMNO'</v>
      </c>
      <c r="L232" s="6" t="str">
        <f t="shared" si="7"/>
        <v>INSERT INTO participantes (id,nivel,correo,matricula,clave,nombre,carrera,grado,sexo,situacion,evaluados,num_evaluados,total_evaluaciones,ultimo_acceso,nivel_acceso) VALUES (3230,'BACHILLERATO','andrea.casillasdiaz','008247','TOMAR DEL SND','CASILLAS DIAZ ANDREA','ADMINISTRACIÓNA','4to','FEMENINO','ACTIVO','',0,0,'','ALUMNO');</v>
      </c>
    </row>
    <row r="233" spans="1:12" x14ac:dyDescent="0.35">
      <c r="A233">
        <v>3231</v>
      </c>
      <c r="B233" s="1" t="s">
        <v>185</v>
      </c>
      <c r="C233" s="1" t="s">
        <v>416</v>
      </c>
      <c r="D233" s="1" t="s">
        <v>814</v>
      </c>
      <c r="E233" s="6" t="s">
        <v>174</v>
      </c>
      <c r="F233" s="1" t="s">
        <v>1213</v>
      </c>
      <c r="G233" s="1" t="s">
        <v>1386</v>
      </c>
      <c r="H233" s="1" t="s">
        <v>1392</v>
      </c>
      <c r="I233" s="1" t="s">
        <v>1395</v>
      </c>
      <c r="J233" s="1" t="s">
        <v>1396</v>
      </c>
      <c r="K233" s="6" t="str">
        <f t="shared" si="6"/>
        <v>3231,'BACHILLERATO','andres.cuevasortega','008248','TOMAR DEL SND','CUEVAS ORTEGA ANDRES','ADMINISTRACIÓNA','4to','MASCULINO','ACTIVO','',0,0,'','ALUMNO'</v>
      </c>
      <c r="L233" s="6" t="str">
        <f t="shared" si="7"/>
        <v>INSERT INTO participantes (id,nivel,correo,matricula,clave,nombre,carrera,grado,sexo,situacion,evaluados,num_evaluados,total_evaluaciones,ultimo_acceso,nivel_acceso) VALUES (3231,'BACHILLERATO','andres.cuevasortega','008248','TOMAR DEL SND','CUEVAS ORTEGA ANDRES','ADMINISTRACIÓNA','4to','MASCULINO','ACTIVO','',0,0,'','ALUMNO');</v>
      </c>
    </row>
    <row r="234" spans="1:12" x14ac:dyDescent="0.35">
      <c r="A234">
        <v>3232</v>
      </c>
      <c r="B234" s="1" t="s">
        <v>185</v>
      </c>
      <c r="C234" s="1" t="s">
        <v>417</v>
      </c>
      <c r="D234" s="1" t="s">
        <v>815</v>
      </c>
      <c r="E234" s="6" t="s">
        <v>174</v>
      </c>
      <c r="F234" s="1" t="s">
        <v>1214</v>
      </c>
      <c r="G234" s="1" t="s">
        <v>1386</v>
      </c>
      <c r="H234" s="1" t="s">
        <v>1392</v>
      </c>
      <c r="I234" s="1" t="s">
        <v>1395</v>
      </c>
      <c r="J234" s="1" t="s">
        <v>1396</v>
      </c>
      <c r="K234" s="6" t="str">
        <f t="shared" si="6"/>
        <v>3232,'BACHILLERATO','gael.jimenezsegura','008249','TOMAR DEL SND','JIMENEZ SEGURA GAEL','ADMINISTRACIÓNA','4to','MASCULINO','ACTIVO','',0,0,'','ALUMNO'</v>
      </c>
      <c r="L234" s="6" t="str">
        <f t="shared" si="7"/>
        <v>INSERT INTO participantes (id,nivel,correo,matricula,clave,nombre,carrera,grado,sexo,situacion,evaluados,num_evaluados,total_evaluaciones,ultimo_acceso,nivel_acceso) VALUES (3232,'BACHILLERATO','gael.jimenezsegura','008249','TOMAR DEL SND','JIMENEZ SEGURA GAEL','ADMINISTRACIÓNA','4to','MASCULINO','ACTIVO','',0,0,'','ALUMNO');</v>
      </c>
    </row>
    <row r="235" spans="1:12" x14ac:dyDescent="0.35">
      <c r="A235">
        <v>3233</v>
      </c>
      <c r="B235" s="1" t="s">
        <v>185</v>
      </c>
      <c r="C235" s="1" t="s">
        <v>418</v>
      </c>
      <c r="D235" s="1" t="s">
        <v>816</v>
      </c>
      <c r="E235" s="6" t="s">
        <v>174</v>
      </c>
      <c r="F235" s="1" t="s">
        <v>1215</v>
      </c>
      <c r="G235" s="1" t="s">
        <v>1386</v>
      </c>
      <c r="H235" s="1" t="s">
        <v>1392</v>
      </c>
      <c r="I235" s="1" t="s">
        <v>1395</v>
      </c>
      <c r="J235" s="1" t="s">
        <v>1396</v>
      </c>
      <c r="K235" s="6" t="str">
        <f t="shared" si="6"/>
        <v>3233,'BACHILLERATO','rafaeloctavio.vazquezgutierrez','008254','TOMAR DEL SND','VAZQUEZ GUTIERREZ RAFAEL OCTAVIO','ADMINISTRACIÓNA','4to','MASCULINO','ACTIVO','',0,0,'','ALUMNO'</v>
      </c>
      <c r="L235" s="6" t="str">
        <f t="shared" si="7"/>
        <v>INSERT INTO participantes (id,nivel,correo,matricula,clave,nombre,carrera,grado,sexo,situacion,evaluados,num_evaluados,total_evaluaciones,ultimo_acceso,nivel_acceso) VALUES (3233,'BACHILLERATO','rafaeloctavio.vazquezgutierrez','008254','TOMAR DEL SND','VAZQUEZ GUTIERREZ RAFAEL OCTAVIO','ADMINISTRACIÓNA','4to','MASCULINO','ACTIVO','',0,0,'','ALUMNO');</v>
      </c>
    </row>
    <row r="236" spans="1:12" x14ac:dyDescent="0.35">
      <c r="A236">
        <v>3234</v>
      </c>
      <c r="B236" s="1" t="s">
        <v>185</v>
      </c>
      <c r="C236" s="1" t="s">
        <v>419</v>
      </c>
      <c r="D236" s="1" t="s">
        <v>817</v>
      </c>
      <c r="E236" s="6" t="s">
        <v>174</v>
      </c>
      <c r="F236" s="1" t="s">
        <v>1216</v>
      </c>
      <c r="G236" s="1" t="s">
        <v>1388</v>
      </c>
      <c r="H236" s="1" t="s">
        <v>1392</v>
      </c>
      <c r="I236" s="1" t="s">
        <v>1395</v>
      </c>
      <c r="J236" s="1" t="s">
        <v>1396</v>
      </c>
      <c r="K236" s="6" t="str">
        <f t="shared" si="6"/>
        <v>3234,'BACHILLERATO','ivan.vazquezahumada','008255','TOMAR DEL SND','VAZQUEZ AHUMADA IVAN','DISEÑO GRÁFICOA','4to','MASCULINO','ACTIVO','',0,0,'','ALUMNO'</v>
      </c>
      <c r="L236" s="6" t="str">
        <f t="shared" si="7"/>
        <v>INSERT INTO participantes (id,nivel,correo,matricula,clave,nombre,carrera,grado,sexo,situacion,evaluados,num_evaluados,total_evaluaciones,ultimo_acceso,nivel_acceso) VALUES (3234,'BACHILLERATO','ivan.vazquezahumada','008255','TOMAR DEL SND','VAZQUEZ AHUMADA IVAN','DISEÑO GRÁFICOA','4to','MASCULINO','ACTIVO','',0,0,'','ALUMNO');</v>
      </c>
    </row>
    <row r="237" spans="1:12" x14ac:dyDescent="0.35">
      <c r="A237">
        <v>3235</v>
      </c>
      <c r="B237" s="1" t="s">
        <v>185</v>
      </c>
      <c r="C237" s="1" t="s">
        <v>420</v>
      </c>
      <c r="D237" s="1" t="s">
        <v>818</v>
      </c>
      <c r="E237" s="6" t="s">
        <v>174</v>
      </c>
      <c r="F237" s="1" t="s">
        <v>1217</v>
      </c>
      <c r="G237" s="1" t="s">
        <v>1387</v>
      </c>
      <c r="H237" s="1" t="s">
        <v>1392</v>
      </c>
      <c r="I237" s="1" t="s">
        <v>1394</v>
      </c>
      <c r="J237" s="1" t="s">
        <v>1396</v>
      </c>
      <c r="K237" s="6" t="str">
        <f t="shared" si="6"/>
        <v>3235,'BACHILLERATO','brendavanesa.hernandezalfaro','008256','TOMAR DEL SND','HERNANDEZ ALFARO BRENDA VANESA','HIGIENE Y SALUD COMUNITARIAA','4to','FEMENINO','ACTIVO','',0,0,'','ALUMNO'</v>
      </c>
      <c r="L237" s="6" t="str">
        <f t="shared" si="7"/>
        <v>INSERT INTO participantes (id,nivel,correo,matricula,clave,nombre,carrera,grado,sexo,situacion,evaluados,num_evaluados,total_evaluaciones,ultimo_acceso,nivel_acceso) VALUES (3235,'BACHILLERATO','brendavanesa.hernandezalfaro','008256','TOMAR DEL SND','HERNANDEZ ALFARO BRENDA VANESA','HIGIENE Y SALUD COMUNITARIAA','4to','FEMENINO','ACTIVO','',0,0,'','ALUMNO');</v>
      </c>
    </row>
    <row r="238" spans="1:12" x14ac:dyDescent="0.35">
      <c r="A238">
        <v>3236</v>
      </c>
      <c r="B238" s="1" t="s">
        <v>185</v>
      </c>
      <c r="C238" s="1" t="s">
        <v>421</v>
      </c>
      <c r="D238" s="1" t="s">
        <v>819</v>
      </c>
      <c r="E238" s="6" t="s">
        <v>174</v>
      </c>
      <c r="F238" s="1" t="s">
        <v>1218</v>
      </c>
      <c r="G238" s="1" t="s">
        <v>1387</v>
      </c>
      <c r="H238" s="1" t="s">
        <v>1392</v>
      </c>
      <c r="I238" s="1" t="s">
        <v>1395</v>
      </c>
      <c r="J238" s="1" t="s">
        <v>1396</v>
      </c>
      <c r="K238" s="6" t="str">
        <f t="shared" si="6"/>
        <v>3236,'BACHILLERATO','josealfredo.enriquezmacias','008258','TOMAR DEL SND','ENRIQUEZ MACIAS JOSE ALFREDO','HIGIENE Y SALUD COMUNITARIAA','4to','MASCULINO','ACTIVO','',0,0,'','ALUMNO'</v>
      </c>
      <c r="L238" s="6" t="str">
        <f t="shared" si="7"/>
        <v>INSERT INTO participantes (id,nivel,correo,matricula,clave,nombre,carrera,grado,sexo,situacion,evaluados,num_evaluados,total_evaluaciones,ultimo_acceso,nivel_acceso) VALUES (3236,'BACHILLERATO','josealfredo.enriquezmacias','008258','TOMAR DEL SND','ENRIQUEZ MACIAS JOSE ALFREDO','HIGIENE Y SALUD COMUNITARIAA','4to','MASCULINO','ACTIVO','',0,0,'','ALUMNO');</v>
      </c>
    </row>
    <row r="239" spans="1:12" x14ac:dyDescent="0.35">
      <c r="A239">
        <v>3237</v>
      </c>
      <c r="B239" s="1" t="s">
        <v>185</v>
      </c>
      <c r="C239" s="1" t="s">
        <v>422</v>
      </c>
      <c r="D239" s="1" t="s">
        <v>820</v>
      </c>
      <c r="E239" s="6" t="s">
        <v>174</v>
      </c>
      <c r="F239" s="1" t="s">
        <v>1219</v>
      </c>
      <c r="G239" s="1" t="s">
        <v>1386</v>
      </c>
      <c r="H239" s="1" t="s">
        <v>1392</v>
      </c>
      <c r="I239" s="1" t="s">
        <v>1394</v>
      </c>
      <c r="J239" s="1" t="s">
        <v>1396</v>
      </c>
      <c r="K239" s="6" t="str">
        <f t="shared" si="6"/>
        <v>3237,'BACHILLERATO','ximenagiselle.castroresendiz','008259','TOMAR DEL SND','CASTRO RESENDIZ XIMENA GISELLE','ADMINISTRACIÓNA','4to','FEMENINO','ACTIVO','',0,0,'','ALUMNO'</v>
      </c>
      <c r="L239" s="6" t="str">
        <f t="shared" si="7"/>
        <v>INSERT INTO participantes (id,nivel,correo,matricula,clave,nombre,carrera,grado,sexo,situacion,evaluados,num_evaluados,total_evaluaciones,ultimo_acceso,nivel_acceso) VALUES (3237,'BACHILLERATO','ximenagiselle.castroresendiz','008259','TOMAR DEL SND','CASTRO RESENDIZ XIMENA GISELLE','ADMINISTRACIÓNA','4to','FEMENINO','ACTIVO','',0,0,'','ALUMNO');</v>
      </c>
    </row>
    <row r="240" spans="1:12" x14ac:dyDescent="0.35">
      <c r="A240">
        <v>3238</v>
      </c>
      <c r="B240" s="1" t="s">
        <v>185</v>
      </c>
      <c r="C240" s="1" t="s">
        <v>423</v>
      </c>
      <c r="D240" s="1" t="s">
        <v>821</v>
      </c>
      <c r="E240" s="6" t="s">
        <v>174</v>
      </c>
      <c r="F240" s="1" t="s">
        <v>1220</v>
      </c>
      <c r="G240" s="1" t="s">
        <v>1382</v>
      </c>
      <c r="H240" s="1" t="s">
        <v>1391</v>
      </c>
      <c r="I240" s="1" t="s">
        <v>1394</v>
      </c>
      <c r="J240" s="1" t="s">
        <v>1396</v>
      </c>
      <c r="K240" s="6" t="str">
        <f t="shared" si="6"/>
        <v>3238,'BACHILLERATO','mariaestefania.rosasestrada','008260','TOMAR DEL SND','ROSAS ESTRADA MARIA ESTEFANIA','ADMINISTRACIÓN','6to','FEMENINO','ACTIVO','',0,0,'','ALUMNO'</v>
      </c>
      <c r="L240" s="6" t="str">
        <f t="shared" si="7"/>
        <v>INSERT INTO participantes (id,nivel,correo,matricula,clave,nombre,carrera,grado,sexo,situacion,evaluados,num_evaluados,total_evaluaciones,ultimo_acceso,nivel_acceso) VALUES (3238,'BACHILLERATO','mariaestefania.rosasestrada','008260','TOMAR DEL SND','ROSAS ESTRADA MARIA ESTEFANIA','ADMINISTRACIÓN','6to','FEMENINO','ACTIVO','',0,0,'','ALUMNO');</v>
      </c>
    </row>
    <row r="241" spans="1:12" x14ac:dyDescent="0.35">
      <c r="A241">
        <v>3239</v>
      </c>
      <c r="B241" s="1" t="s">
        <v>185</v>
      </c>
      <c r="C241" s="1" t="s">
        <v>424</v>
      </c>
      <c r="D241" s="1" t="s">
        <v>822</v>
      </c>
      <c r="E241" s="6" t="s">
        <v>174</v>
      </c>
      <c r="F241" s="1" t="s">
        <v>1221</v>
      </c>
      <c r="G241" s="1" t="s">
        <v>1388</v>
      </c>
      <c r="H241" s="1" t="s">
        <v>1392</v>
      </c>
      <c r="I241" s="1" t="s">
        <v>1394</v>
      </c>
      <c r="J241" s="1" t="s">
        <v>1396</v>
      </c>
      <c r="K241" s="6" t="str">
        <f t="shared" si="6"/>
        <v>3239,'BACHILLERATO','renata.deandamerlo','008261','TOMAR DEL SND','DE ANDA MERLO RENATA','DISEÑO GRÁFICOA','4to','FEMENINO','ACTIVO','',0,0,'','ALUMNO'</v>
      </c>
      <c r="L241" s="6" t="str">
        <f t="shared" si="7"/>
        <v>INSERT INTO participantes (id,nivel,correo,matricula,clave,nombre,carrera,grado,sexo,situacion,evaluados,num_evaluados,total_evaluaciones,ultimo_acceso,nivel_acceso) VALUES (3239,'BACHILLERATO','renata.deandamerlo','008261','TOMAR DEL SND','DE ANDA MERLO RENATA','DISEÑO GRÁFICOA','4to','FEMENINO','ACTIVO','',0,0,'','ALUMNO');</v>
      </c>
    </row>
    <row r="242" spans="1:12" x14ac:dyDescent="0.35">
      <c r="A242">
        <v>3240</v>
      </c>
      <c r="B242" s="1" t="s">
        <v>185</v>
      </c>
      <c r="C242" s="1" t="s">
        <v>425</v>
      </c>
      <c r="D242" s="1" t="s">
        <v>823</v>
      </c>
      <c r="E242" s="6" t="s">
        <v>174</v>
      </c>
      <c r="F242" s="1" t="s">
        <v>1222</v>
      </c>
      <c r="G242" s="1" t="s">
        <v>1382</v>
      </c>
      <c r="H242" s="1" t="s">
        <v>1391</v>
      </c>
      <c r="I242" s="1" t="s">
        <v>1395</v>
      </c>
      <c r="J242" s="1" t="s">
        <v>1396</v>
      </c>
      <c r="K242" s="6" t="str">
        <f t="shared" si="6"/>
        <v>3240,'BACHILLERATO','andres.deltorosandoval','008262','TOMAR DEL SND','DEL TORO SANDOVAL ANDRES','ADMINISTRACIÓN','6to','MASCULINO','ACTIVO','',0,0,'','ALUMNO'</v>
      </c>
      <c r="L242" s="6" t="str">
        <f t="shared" si="7"/>
        <v>INSERT INTO participantes (id,nivel,correo,matricula,clave,nombre,carrera,grado,sexo,situacion,evaluados,num_evaluados,total_evaluaciones,ultimo_acceso,nivel_acceso) VALUES (3240,'BACHILLERATO','andres.deltorosandoval','008262','TOMAR DEL SND','DEL TORO SANDOVAL ANDRES','ADMINISTRACIÓN','6to','MASCULINO','ACTIVO','',0,0,'','ALUMNO');</v>
      </c>
    </row>
    <row r="243" spans="1:12" x14ac:dyDescent="0.35">
      <c r="A243">
        <v>3241</v>
      </c>
      <c r="B243" s="1" t="s">
        <v>185</v>
      </c>
      <c r="C243" s="1" t="s">
        <v>426</v>
      </c>
      <c r="D243" s="1" t="s">
        <v>824</v>
      </c>
      <c r="E243" s="6" t="s">
        <v>174</v>
      </c>
      <c r="F243" s="1" t="s">
        <v>1223</v>
      </c>
      <c r="G243" s="1" t="s">
        <v>1387</v>
      </c>
      <c r="H243" s="1" t="s">
        <v>1392</v>
      </c>
      <c r="I243" s="1" t="s">
        <v>1394</v>
      </c>
      <c r="J243" s="1" t="s">
        <v>1396</v>
      </c>
      <c r="K243" s="6" t="str">
        <f t="shared" si="6"/>
        <v>3241,'BACHILLERATO','karime.alcarazlozano','008264','TOMAR DEL SND','ALCARAZ LOZANO KARIME','HIGIENE Y SALUD COMUNITARIAA','4to','FEMENINO','ACTIVO','',0,0,'','ALUMNO'</v>
      </c>
      <c r="L243" s="6" t="str">
        <f t="shared" si="7"/>
        <v>INSERT INTO participantes (id,nivel,correo,matricula,clave,nombre,carrera,grado,sexo,situacion,evaluados,num_evaluados,total_evaluaciones,ultimo_acceso,nivel_acceso) VALUES (3241,'BACHILLERATO','karime.alcarazlozano','008264','TOMAR DEL SND','ALCARAZ LOZANO KARIME','HIGIENE Y SALUD COMUNITARIAA','4to','FEMENINO','ACTIVO','',0,0,'','ALUMNO');</v>
      </c>
    </row>
    <row r="244" spans="1:12" x14ac:dyDescent="0.35">
      <c r="A244">
        <v>3242</v>
      </c>
      <c r="B244" s="1" t="s">
        <v>185</v>
      </c>
      <c r="C244" s="1" t="s">
        <v>427</v>
      </c>
      <c r="D244" s="1" t="s">
        <v>825</v>
      </c>
      <c r="E244" s="6" t="s">
        <v>174</v>
      </c>
      <c r="F244" s="1" t="s">
        <v>1224</v>
      </c>
      <c r="G244" s="1" t="s">
        <v>1386</v>
      </c>
      <c r="H244" s="1" t="s">
        <v>1392</v>
      </c>
      <c r="I244" s="1" t="s">
        <v>1395</v>
      </c>
      <c r="J244" s="1" t="s">
        <v>1396</v>
      </c>
      <c r="K244" s="6" t="str">
        <f t="shared" si="6"/>
        <v>3242,'BACHILLERATO','carlosalexis.solanoorozco','008266','TOMAR DEL SND','SOLANO OROZCO CARLOS ALEXIS','ADMINISTRACIÓNA','4to','MASCULINO','ACTIVO','',0,0,'','ALUMNO'</v>
      </c>
      <c r="L244" s="6" t="str">
        <f t="shared" si="7"/>
        <v>INSERT INTO participantes (id,nivel,correo,matricula,clave,nombre,carrera,grado,sexo,situacion,evaluados,num_evaluados,total_evaluaciones,ultimo_acceso,nivel_acceso) VALUES (3242,'BACHILLERATO','carlosalexis.solanoorozco','008266','TOMAR DEL SND','SOLANO OROZCO CARLOS ALEXIS','ADMINISTRACIÓNA','4to','MASCULINO','ACTIVO','',0,0,'','ALUMNO');</v>
      </c>
    </row>
    <row r="245" spans="1:12" x14ac:dyDescent="0.35">
      <c r="A245">
        <v>3243</v>
      </c>
      <c r="B245" s="1" t="s">
        <v>185</v>
      </c>
      <c r="C245" s="1" t="s">
        <v>428</v>
      </c>
      <c r="D245" s="1" t="s">
        <v>826</v>
      </c>
      <c r="E245" s="6" t="s">
        <v>174</v>
      </c>
      <c r="F245" s="1" t="s">
        <v>1225</v>
      </c>
      <c r="G245" s="1" t="s">
        <v>1387</v>
      </c>
      <c r="H245" s="1" t="s">
        <v>1392</v>
      </c>
      <c r="I245" s="1" t="s">
        <v>1394</v>
      </c>
      <c r="J245" s="1" t="s">
        <v>1396</v>
      </c>
      <c r="K245" s="6" t="str">
        <f t="shared" si="6"/>
        <v>3243,'BACHILLERATO','elisa.ramosaceves','008267','TOMAR DEL SND','RAMOS ACEVES ELISA','HIGIENE Y SALUD COMUNITARIAA','4to','FEMENINO','ACTIVO','',0,0,'','ALUMNO'</v>
      </c>
      <c r="L245" s="6" t="str">
        <f t="shared" si="7"/>
        <v>INSERT INTO participantes (id,nivel,correo,matricula,clave,nombre,carrera,grado,sexo,situacion,evaluados,num_evaluados,total_evaluaciones,ultimo_acceso,nivel_acceso) VALUES (3243,'BACHILLERATO','elisa.ramosaceves','008267','TOMAR DEL SND','RAMOS ACEVES ELISA','HIGIENE Y SALUD COMUNITARIAA','4to','FEMENINO','ACTIVO','',0,0,'','ALUMNO');</v>
      </c>
    </row>
    <row r="246" spans="1:12" x14ac:dyDescent="0.35">
      <c r="A246">
        <v>3244</v>
      </c>
      <c r="B246" s="1" t="s">
        <v>185</v>
      </c>
      <c r="C246" s="1" t="s">
        <v>429</v>
      </c>
      <c r="D246" s="1" t="s">
        <v>827</v>
      </c>
      <c r="E246" s="6" t="s">
        <v>174</v>
      </c>
      <c r="F246" s="1" t="s">
        <v>1226</v>
      </c>
      <c r="G246" s="1" t="s">
        <v>1387</v>
      </c>
      <c r="H246" s="1" t="s">
        <v>1392</v>
      </c>
      <c r="I246" s="1" t="s">
        <v>1394</v>
      </c>
      <c r="J246" s="1" t="s">
        <v>1396</v>
      </c>
      <c r="K246" s="6" t="str">
        <f t="shared" si="6"/>
        <v>3244,'BACHILLERATO','andrea.castroescamilla','008270','TOMAR DEL SND','CASTRO ESCAMILLA ANDREA','HIGIENE Y SALUD COMUNITARIAA','4to','FEMENINO','ACTIVO','',0,0,'','ALUMNO'</v>
      </c>
      <c r="L246" s="6" t="str">
        <f t="shared" si="7"/>
        <v>INSERT INTO participantes (id,nivel,correo,matricula,clave,nombre,carrera,grado,sexo,situacion,evaluados,num_evaluados,total_evaluaciones,ultimo_acceso,nivel_acceso) VALUES (3244,'BACHILLERATO','andrea.castroescamilla','008270','TOMAR DEL SND','CASTRO ESCAMILLA ANDREA','HIGIENE Y SALUD COMUNITARIAA','4to','FEMENINO','ACTIVO','',0,0,'','ALUMNO');</v>
      </c>
    </row>
    <row r="247" spans="1:12" x14ac:dyDescent="0.35">
      <c r="A247">
        <v>3245</v>
      </c>
      <c r="B247" s="1" t="s">
        <v>185</v>
      </c>
      <c r="C247" s="1" t="s">
        <v>430</v>
      </c>
      <c r="D247" s="1" t="s">
        <v>828</v>
      </c>
      <c r="E247" s="6" t="s">
        <v>174</v>
      </c>
      <c r="F247" s="1" t="s">
        <v>1227</v>
      </c>
      <c r="G247" s="1" t="s">
        <v>1382</v>
      </c>
      <c r="H247" s="1" t="s">
        <v>1391</v>
      </c>
      <c r="I247" s="1" t="s">
        <v>1395</v>
      </c>
      <c r="J247" s="1" t="s">
        <v>1396</v>
      </c>
      <c r="K247" s="6" t="str">
        <f t="shared" si="6"/>
        <v>3245,'BACHILLERATO','antoniodali.villalobosnavarro','008271','TOMAR DEL SND','VILLALOBOS NAVARRO ANTONIO DALI','ADMINISTRACIÓN','6to','MASCULINO','ACTIVO','',0,0,'','ALUMNO'</v>
      </c>
      <c r="L247" s="6" t="str">
        <f t="shared" si="7"/>
        <v>INSERT INTO participantes (id,nivel,correo,matricula,clave,nombre,carrera,grado,sexo,situacion,evaluados,num_evaluados,total_evaluaciones,ultimo_acceso,nivel_acceso) VALUES (3245,'BACHILLERATO','antoniodali.villalobosnavarro','008271','TOMAR DEL SND','VILLALOBOS NAVARRO ANTONIO DALI','ADMINISTRACIÓN','6to','MASCULINO','ACTIVO','',0,0,'','ALUMNO');</v>
      </c>
    </row>
    <row r="248" spans="1:12" x14ac:dyDescent="0.35">
      <c r="A248">
        <v>3246</v>
      </c>
      <c r="B248" s="1" t="s">
        <v>185</v>
      </c>
      <c r="C248" s="1" t="s">
        <v>431</v>
      </c>
      <c r="D248" s="1" t="s">
        <v>829</v>
      </c>
      <c r="E248" s="6" t="s">
        <v>174</v>
      </c>
      <c r="F248" s="1" t="s">
        <v>1228</v>
      </c>
      <c r="G248" s="1" t="s">
        <v>1386</v>
      </c>
      <c r="H248" s="1" t="s">
        <v>1392</v>
      </c>
      <c r="I248" s="1" t="s">
        <v>1395</v>
      </c>
      <c r="J248" s="1" t="s">
        <v>1396</v>
      </c>
      <c r="K248" s="6" t="str">
        <f t="shared" si="6"/>
        <v>3246,'BACHILLERATO','zeus.villalobosnavarro','008272','TOMAR DEL SND','VILLALOBOS NAVARRO ZEUS','ADMINISTRACIÓNA','4to','MASCULINO','ACTIVO','',0,0,'','ALUMNO'</v>
      </c>
      <c r="L248" s="6" t="str">
        <f t="shared" si="7"/>
        <v>INSERT INTO participantes (id,nivel,correo,matricula,clave,nombre,carrera,grado,sexo,situacion,evaluados,num_evaluados,total_evaluaciones,ultimo_acceso,nivel_acceso) VALUES (3246,'BACHILLERATO','zeus.villalobosnavarro','008272','TOMAR DEL SND','VILLALOBOS NAVARRO ZEUS','ADMINISTRACIÓNA','4to','MASCULINO','ACTIVO','',0,0,'','ALUMNO');</v>
      </c>
    </row>
    <row r="249" spans="1:12" x14ac:dyDescent="0.35">
      <c r="A249">
        <v>3247</v>
      </c>
      <c r="B249" s="1" t="s">
        <v>185</v>
      </c>
      <c r="C249" s="1" t="s">
        <v>432</v>
      </c>
      <c r="D249" s="1" t="s">
        <v>830</v>
      </c>
      <c r="E249" s="6" t="s">
        <v>174</v>
      </c>
      <c r="F249" s="1" t="s">
        <v>1229</v>
      </c>
      <c r="G249" s="1" t="s">
        <v>1387</v>
      </c>
      <c r="H249" s="1" t="s">
        <v>1392</v>
      </c>
      <c r="I249" s="1" t="s">
        <v>1395</v>
      </c>
      <c r="J249" s="1" t="s">
        <v>1396</v>
      </c>
      <c r="K249" s="6" t="str">
        <f t="shared" si="6"/>
        <v>3247,'BACHILLERATO','josemanuel.alvaradomoreno','008273','TOMAR DEL SND','ALVARADO MORENO JOSE MANUEL','HIGIENE Y SALUD COMUNITARIAA','4to','MASCULINO','ACTIVO','',0,0,'','ALUMNO'</v>
      </c>
      <c r="L249" s="6" t="str">
        <f t="shared" si="7"/>
        <v>INSERT INTO participantes (id,nivel,correo,matricula,clave,nombre,carrera,grado,sexo,situacion,evaluados,num_evaluados,total_evaluaciones,ultimo_acceso,nivel_acceso) VALUES (3247,'BACHILLERATO','josemanuel.alvaradomoreno','008273','TOMAR DEL SND','ALVARADO MORENO JOSE MANUEL','HIGIENE Y SALUD COMUNITARIAA','4to','MASCULINO','ACTIVO','',0,0,'','ALUMNO');</v>
      </c>
    </row>
    <row r="250" spans="1:12" x14ac:dyDescent="0.35">
      <c r="A250">
        <v>3248</v>
      </c>
      <c r="B250" s="1" t="s">
        <v>185</v>
      </c>
      <c r="C250" s="1" t="s">
        <v>433</v>
      </c>
      <c r="D250" s="1" t="s">
        <v>831</v>
      </c>
      <c r="E250" s="6" t="s">
        <v>174</v>
      </c>
      <c r="F250" s="1" t="s">
        <v>1230</v>
      </c>
      <c r="G250" s="1" t="s">
        <v>1387</v>
      </c>
      <c r="H250" s="1" t="s">
        <v>1392</v>
      </c>
      <c r="I250" s="1" t="s">
        <v>1394</v>
      </c>
      <c r="J250" s="1" t="s">
        <v>1396</v>
      </c>
      <c r="K250" s="6" t="str">
        <f t="shared" si="6"/>
        <v>3248,'BACHILLERATO','alexandra.hernandez','008274','TOMAR DEL SND','HERNANDEZ  ALEXANDRA','HIGIENE Y SALUD COMUNITARIAA','4to','FEMENINO','ACTIVO','',0,0,'','ALUMNO'</v>
      </c>
      <c r="L250" s="6" t="str">
        <f t="shared" si="7"/>
        <v>INSERT INTO participantes (id,nivel,correo,matricula,clave,nombre,carrera,grado,sexo,situacion,evaluados,num_evaluados,total_evaluaciones,ultimo_acceso,nivel_acceso) VALUES (3248,'BACHILLERATO','alexandra.hernandez','008274','TOMAR DEL SND','HERNANDEZ  ALEXANDRA','HIGIENE Y SALUD COMUNITARIAA','4to','FEMENINO','ACTIVO','',0,0,'','ALUMNO');</v>
      </c>
    </row>
    <row r="251" spans="1:12" x14ac:dyDescent="0.35">
      <c r="A251">
        <v>3249</v>
      </c>
      <c r="B251" s="1" t="s">
        <v>185</v>
      </c>
      <c r="C251" s="1" t="s">
        <v>434</v>
      </c>
      <c r="D251" s="1" t="s">
        <v>832</v>
      </c>
      <c r="E251" s="6" t="s">
        <v>174</v>
      </c>
      <c r="F251" s="1" t="s">
        <v>1231</v>
      </c>
      <c r="G251" s="1" t="s">
        <v>1386</v>
      </c>
      <c r="H251" s="1" t="s">
        <v>1392</v>
      </c>
      <c r="I251" s="1" t="s">
        <v>1395</v>
      </c>
      <c r="J251" s="1" t="s">
        <v>1396</v>
      </c>
      <c r="K251" s="6" t="str">
        <f t="shared" si="6"/>
        <v>3249,'BACHILLERATO','pablodamian.castillolopez','008276','TOMAR DEL SND','CASTILLO LOPEZ PABLO DAMIAN','ADMINISTRACIÓNA','4to','MASCULINO','ACTIVO','',0,0,'','ALUMNO'</v>
      </c>
      <c r="L251" s="6" t="str">
        <f t="shared" si="7"/>
        <v>INSERT INTO participantes (id,nivel,correo,matricula,clave,nombre,carrera,grado,sexo,situacion,evaluados,num_evaluados,total_evaluaciones,ultimo_acceso,nivel_acceso) VALUES (3249,'BACHILLERATO','pablodamian.castillolopez','008276','TOMAR DEL SND','CASTILLO LOPEZ PABLO DAMIAN','ADMINISTRACIÓNA','4to','MASCULINO','ACTIVO','',0,0,'','ALUMNO');</v>
      </c>
    </row>
    <row r="252" spans="1:12" x14ac:dyDescent="0.35">
      <c r="A252">
        <v>3250</v>
      </c>
      <c r="B252" s="1" t="s">
        <v>185</v>
      </c>
      <c r="C252" s="1" t="s">
        <v>435</v>
      </c>
      <c r="D252" s="1" t="s">
        <v>833</v>
      </c>
      <c r="E252" s="6" t="s">
        <v>174</v>
      </c>
      <c r="F252" s="1" t="s">
        <v>1232</v>
      </c>
      <c r="G252" s="1" t="s">
        <v>1387</v>
      </c>
      <c r="H252" s="1" t="s">
        <v>1392</v>
      </c>
      <c r="I252" s="1" t="s">
        <v>1394</v>
      </c>
      <c r="J252" s="1" t="s">
        <v>1396</v>
      </c>
      <c r="K252" s="6" t="str">
        <f t="shared" si="6"/>
        <v>3250,'BACHILLERATO','danielasofia.jaureguiramirez','008278','TOMAR DEL SND','JAUREGUI RAMIREZ DANIELA SOFIA','HIGIENE Y SALUD COMUNITARIAA','4to','FEMENINO','ACTIVO','',0,0,'','ALUMNO'</v>
      </c>
      <c r="L252" s="6" t="str">
        <f t="shared" si="7"/>
        <v>INSERT INTO participantes (id,nivel,correo,matricula,clave,nombre,carrera,grado,sexo,situacion,evaluados,num_evaluados,total_evaluaciones,ultimo_acceso,nivel_acceso) VALUES (3250,'BACHILLERATO','danielasofia.jaureguiramirez','008278','TOMAR DEL SND','JAUREGUI RAMIREZ DANIELA SOFIA','HIGIENE Y SALUD COMUNITARIAA','4to','FEMENINO','ACTIVO','',0,0,'','ALUMNO');</v>
      </c>
    </row>
    <row r="253" spans="1:12" x14ac:dyDescent="0.35">
      <c r="A253">
        <v>3251</v>
      </c>
      <c r="B253" s="1" t="s">
        <v>185</v>
      </c>
      <c r="C253" s="1" t="s">
        <v>436</v>
      </c>
      <c r="D253" s="1" t="s">
        <v>834</v>
      </c>
      <c r="E253" s="6" t="s">
        <v>174</v>
      </c>
      <c r="F253" s="1" t="s">
        <v>1233</v>
      </c>
      <c r="G253" s="1" t="s">
        <v>1386</v>
      </c>
      <c r="H253" s="1" t="s">
        <v>1392</v>
      </c>
      <c r="I253" s="1" t="s">
        <v>1395</v>
      </c>
      <c r="J253" s="1" t="s">
        <v>1396</v>
      </c>
      <c r="K253" s="6" t="str">
        <f t="shared" si="6"/>
        <v>3251,'BACHILLERATO','leon.floressaiffenavarro','008280','TOMAR DEL SND','FLORES SAIFFE NAVARRO LEON','ADMINISTRACIÓNA','4to','MASCULINO','ACTIVO','',0,0,'','ALUMNO'</v>
      </c>
      <c r="L253" s="6" t="str">
        <f t="shared" si="7"/>
        <v>INSERT INTO participantes (id,nivel,correo,matricula,clave,nombre,carrera,grado,sexo,situacion,evaluados,num_evaluados,total_evaluaciones,ultimo_acceso,nivel_acceso) VALUES (3251,'BACHILLERATO','leon.floressaiffenavarro','008280','TOMAR DEL SND','FLORES SAIFFE NAVARRO LEON','ADMINISTRACIÓNA','4to','MASCULINO','ACTIVO','',0,0,'','ALUMNO');</v>
      </c>
    </row>
    <row r="254" spans="1:12" x14ac:dyDescent="0.35">
      <c r="A254">
        <v>3252</v>
      </c>
      <c r="B254" s="1" t="s">
        <v>185</v>
      </c>
      <c r="C254" s="1" t="s">
        <v>437</v>
      </c>
      <c r="D254" s="1" t="s">
        <v>835</v>
      </c>
      <c r="E254" s="6" t="s">
        <v>174</v>
      </c>
      <c r="F254" s="1" t="s">
        <v>1234</v>
      </c>
      <c r="G254" s="1" t="s">
        <v>1382</v>
      </c>
      <c r="H254" s="1" t="s">
        <v>1391</v>
      </c>
      <c r="I254" s="1" t="s">
        <v>1395</v>
      </c>
      <c r="J254" s="1" t="s">
        <v>1396</v>
      </c>
      <c r="K254" s="6" t="str">
        <f t="shared" si="6"/>
        <v>3252,'BACHILLERATO','josue.alvarezvelez','008281','TOMAR DEL SND','ALVAREZ VELEZ JOSUE','ADMINISTRACIÓN','6to','MASCULINO','ACTIVO','',0,0,'','ALUMNO'</v>
      </c>
      <c r="L254" s="6" t="str">
        <f t="shared" si="7"/>
        <v>INSERT INTO participantes (id,nivel,correo,matricula,clave,nombre,carrera,grado,sexo,situacion,evaluados,num_evaluados,total_evaluaciones,ultimo_acceso,nivel_acceso) VALUES (3252,'BACHILLERATO','josue.alvarezvelez','008281','TOMAR DEL SND','ALVAREZ VELEZ JOSUE','ADMINISTRACIÓN','6to','MASCULINO','ACTIVO','',0,0,'','ALUMNO');</v>
      </c>
    </row>
    <row r="255" spans="1:12" x14ac:dyDescent="0.35">
      <c r="A255">
        <v>3253</v>
      </c>
      <c r="B255" s="1" t="s">
        <v>185</v>
      </c>
      <c r="C255" s="1" t="s">
        <v>438</v>
      </c>
      <c r="D255" s="1" t="s">
        <v>836</v>
      </c>
      <c r="E255" s="6" t="s">
        <v>174</v>
      </c>
      <c r="F255" s="1" t="s">
        <v>1235</v>
      </c>
      <c r="G255" s="1" t="s">
        <v>1387</v>
      </c>
      <c r="H255" s="1" t="s">
        <v>1392</v>
      </c>
      <c r="I255" s="1" t="s">
        <v>1394</v>
      </c>
      <c r="J255" s="1" t="s">
        <v>1396</v>
      </c>
      <c r="K255" s="6" t="str">
        <f t="shared" si="6"/>
        <v>3253,'BACHILLERATO','anakaren.valdiviavillalobos','008283','TOMAR DEL SND','VALDIVIA VILLALOBOS ANA KAREN','HIGIENE Y SALUD COMUNITARIAA','4to','FEMENINO','ACTIVO','',0,0,'','ALUMNO'</v>
      </c>
      <c r="L255" s="6" t="str">
        <f t="shared" si="7"/>
        <v>INSERT INTO participantes (id,nivel,correo,matricula,clave,nombre,carrera,grado,sexo,situacion,evaluados,num_evaluados,total_evaluaciones,ultimo_acceso,nivel_acceso) VALUES (3253,'BACHILLERATO','anakaren.valdiviavillalobos','008283','TOMAR DEL SND','VALDIVIA VILLALOBOS ANA KAREN','HIGIENE Y SALUD COMUNITARIAA','4to','FEMENINO','ACTIVO','',0,0,'','ALUMNO');</v>
      </c>
    </row>
    <row r="256" spans="1:12" x14ac:dyDescent="0.35">
      <c r="A256">
        <v>3254</v>
      </c>
      <c r="B256" s="1" t="s">
        <v>185</v>
      </c>
      <c r="C256" s="1" t="s">
        <v>439</v>
      </c>
      <c r="D256" s="1" t="s">
        <v>837</v>
      </c>
      <c r="E256" s="6" t="s">
        <v>174</v>
      </c>
      <c r="F256" s="1" t="s">
        <v>1236</v>
      </c>
      <c r="G256" s="1" t="s">
        <v>1387</v>
      </c>
      <c r="H256" s="1" t="s">
        <v>1392</v>
      </c>
      <c r="I256" s="1" t="s">
        <v>1394</v>
      </c>
      <c r="J256" s="1" t="s">
        <v>1396</v>
      </c>
      <c r="K256" s="6" t="str">
        <f t="shared" si="6"/>
        <v>3254,'BACHILLERATO','dianayanelli.garciajimenez','008284','TOMAR DEL SND','GARCIA JIMENEZ DIANA YANELLI','HIGIENE Y SALUD COMUNITARIAA','4to','FEMENINO','ACTIVO','',0,0,'','ALUMNO'</v>
      </c>
      <c r="L256" s="6" t="str">
        <f t="shared" si="7"/>
        <v>INSERT INTO participantes (id,nivel,correo,matricula,clave,nombre,carrera,grado,sexo,situacion,evaluados,num_evaluados,total_evaluaciones,ultimo_acceso,nivel_acceso) VALUES (3254,'BACHILLERATO','dianayanelli.garciajimenez','008284','TOMAR DEL SND','GARCIA JIMENEZ DIANA YANELLI','HIGIENE Y SALUD COMUNITARIAA','4to','FEMENINO','ACTIVO','',0,0,'','ALUMNO');</v>
      </c>
    </row>
    <row r="257" spans="1:12" x14ac:dyDescent="0.35">
      <c r="A257">
        <v>3255</v>
      </c>
      <c r="B257" s="1" t="s">
        <v>185</v>
      </c>
      <c r="C257" s="1" t="s">
        <v>440</v>
      </c>
      <c r="D257" s="1" t="s">
        <v>838</v>
      </c>
      <c r="E257" s="6" t="s">
        <v>174</v>
      </c>
      <c r="F257" s="1" t="s">
        <v>1237</v>
      </c>
      <c r="G257" s="1" t="s">
        <v>1386</v>
      </c>
      <c r="H257" s="1" t="s">
        <v>1392</v>
      </c>
      <c r="I257" s="1" t="s">
        <v>1394</v>
      </c>
      <c r="J257" s="1" t="s">
        <v>1396</v>
      </c>
      <c r="K257" s="6" t="str">
        <f t="shared" si="6"/>
        <v>3255,'BACHILLERATO','mariafernanda.paezarandia','008285','TOMAR DEL SND','PAEZ ARANDIA MARIA FERNANDA','ADMINISTRACIÓNA','4to','FEMENINO','ACTIVO','',0,0,'','ALUMNO'</v>
      </c>
      <c r="L257" s="6" t="str">
        <f t="shared" si="7"/>
        <v>INSERT INTO participantes (id,nivel,correo,matricula,clave,nombre,carrera,grado,sexo,situacion,evaluados,num_evaluados,total_evaluaciones,ultimo_acceso,nivel_acceso) VALUES (3255,'BACHILLERATO','mariafernanda.paezarandia','008285','TOMAR DEL SND','PAEZ ARANDIA MARIA FERNANDA','ADMINISTRACIÓNA','4to','FEMENINO','ACTIVO','',0,0,'','ALUMNO');</v>
      </c>
    </row>
    <row r="258" spans="1:12" x14ac:dyDescent="0.35">
      <c r="A258">
        <v>3256</v>
      </c>
      <c r="B258" s="1" t="s">
        <v>185</v>
      </c>
      <c r="C258" s="1" t="s">
        <v>441</v>
      </c>
      <c r="D258" s="1" t="s">
        <v>839</v>
      </c>
      <c r="E258" s="6" t="s">
        <v>174</v>
      </c>
      <c r="F258" s="1" t="s">
        <v>1238</v>
      </c>
      <c r="G258" s="1" t="s">
        <v>1386</v>
      </c>
      <c r="H258" s="1" t="s">
        <v>1392</v>
      </c>
      <c r="I258" s="1" t="s">
        <v>1394</v>
      </c>
      <c r="J258" s="1" t="s">
        <v>1396</v>
      </c>
      <c r="K258" s="6" t="str">
        <f t="shared" ref="K258:K321" si="8">CONCATENATE(A258,",",B258,",",C258,",",D258,",'",E258,",",F258,",",G258,",",H258,",",UPPER(I258),",",UPPER(J258),",'',0,0,'','ALUMNO'")</f>
        <v>3256,'BACHILLERATO','lailasofia.trinidadmartin','008286','TOMAR DEL SND','TRINIDAD MARTIN LAILA SOFIA','ADMINISTRACIÓNA','4to','FEMENINO','ACTIVO','',0,0,'','ALUMNO'</v>
      </c>
      <c r="L258" s="6" t="str">
        <f t="shared" ref="L258:L321" si="9">CONCATENATE($K$1,K258,");")</f>
        <v>INSERT INTO participantes (id,nivel,correo,matricula,clave,nombre,carrera,grado,sexo,situacion,evaluados,num_evaluados,total_evaluaciones,ultimo_acceso,nivel_acceso) VALUES (3256,'BACHILLERATO','lailasofia.trinidadmartin','008286','TOMAR DEL SND','TRINIDAD MARTIN LAILA SOFIA','ADMINISTRACIÓNA','4to','FEMENINO','ACTIVO','',0,0,'','ALUMNO');</v>
      </c>
    </row>
    <row r="259" spans="1:12" x14ac:dyDescent="0.35">
      <c r="A259">
        <v>3257</v>
      </c>
      <c r="B259" s="1" t="s">
        <v>185</v>
      </c>
      <c r="C259" s="1" t="s">
        <v>442</v>
      </c>
      <c r="D259" s="1" t="s">
        <v>840</v>
      </c>
      <c r="E259" s="6" t="s">
        <v>174</v>
      </c>
      <c r="F259" s="1" t="s">
        <v>1239</v>
      </c>
      <c r="G259" s="1" t="s">
        <v>1386</v>
      </c>
      <c r="H259" s="1" t="s">
        <v>1392</v>
      </c>
      <c r="I259" s="1" t="s">
        <v>1395</v>
      </c>
      <c r="J259" s="1" t="s">
        <v>1396</v>
      </c>
      <c r="K259" s="6" t="str">
        <f t="shared" si="8"/>
        <v>3257,'BACHILLERATO','saulemiliano.llacareyna','008287','TOMAR DEL SND','LLACA REYNA SAUL EMILIANO','ADMINISTRACIÓNA','4to','MASCULINO','ACTIVO','',0,0,'','ALUMNO'</v>
      </c>
      <c r="L259" s="6" t="str">
        <f t="shared" si="9"/>
        <v>INSERT INTO participantes (id,nivel,correo,matricula,clave,nombre,carrera,grado,sexo,situacion,evaluados,num_evaluados,total_evaluaciones,ultimo_acceso,nivel_acceso) VALUES (3257,'BACHILLERATO','saulemiliano.llacareyna','008287','TOMAR DEL SND','LLACA REYNA SAUL EMILIANO','ADMINISTRACIÓNA','4to','MASCULINO','ACTIVO','',0,0,'','ALUMNO');</v>
      </c>
    </row>
    <row r="260" spans="1:12" x14ac:dyDescent="0.35">
      <c r="A260">
        <v>3258</v>
      </c>
      <c r="B260" s="1" t="s">
        <v>185</v>
      </c>
      <c r="C260" s="1" t="s">
        <v>443</v>
      </c>
      <c r="D260" s="1" t="s">
        <v>841</v>
      </c>
      <c r="E260" s="6" t="s">
        <v>174</v>
      </c>
      <c r="F260" s="1" t="s">
        <v>1240</v>
      </c>
      <c r="G260" s="1" t="s">
        <v>1387</v>
      </c>
      <c r="H260" s="1" t="s">
        <v>1392</v>
      </c>
      <c r="I260" s="1" t="s">
        <v>1394</v>
      </c>
      <c r="J260" s="1" t="s">
        <v>1396</v>
      </c>
      <c r="K260" s="6" t="str">
        <f t="shared" si="8"/>
        <v>3258,'BACHILLERATO','mariajose.chavezrivas','008289','TOMAR DEL SND','CHAVEZ RIVAS MARIA JOSE','HIGIENE Y SALUD COMUNITARIAA','4to','FEMENINO','ACTIVO','',0,0,'','ALUMNO'</v>
      </c>
      <c r="L260" s="6" t="str">
        <f t="shared" si="9"/>
        <v>INSERT INTO participantes (id,nivel,correo,matricula,clave,nombre,carrera,grado,sexo,situacion,evaluados,num_evaluados,total_evaluaciones,ultimo_acceso,nivel_acceso) VALUES (3258,'BACHILLERATO','mariajose.chavezrivas','008289','TOMAR DEL SND','CHAVEZ RIVAS MARIA JOSE','HIGIENE Y SALUD COMUNITARIAA','4to','FEMENINO','ACTIVO','',0,0,'','ALUMNO');</v>
      </c>
    </row>
    <row r="261" spans="1:12" x14ac:dyDescent="0.35">
      <c r="A261">
        <v>3259</v>
      </c>
      <c r="B261" s="1" t="s">
        <v>185</v>
      </c>
      <c r="C261" s="1" t="s">
        <v>444</v>
      </c>
      <c r="D261" s="1" t="s">
        <v>842</v>
      </c>
      <c r="E261" s="6" t="s">
        <v>174</v>
      </c>
      <c r="F261" s="1" t="s">
        <v>1241</v>
      </c>
      <c r="G261" s="1" t="s">
        <v>1382</v>
      </c>
      <c r="H261" s="1" t="s">
        <v>1391</v>
      </c>
      <c r="I261" s="1" t="s">
        <v>1395</v>
      </c>
      <c r="J261" s="1" t="s">
        <v>1396</v>
      </c>
      <c r="K261" s="6" t="str">
        <f t="shared" si="8"/>
        <v>3259,'BACHILLERATO','andre.maganagomez','008292','TOMAR DEL SND','MAGAÑA GOMEZ ANDRE','ADMINISTRACIÓN','6to','MASCULINO','ACTIVO','',0,0,'','ALUMNO'</v>
      </c>
      <c r="L261" s="6" t="str">
        <f t="shared" si="9"/>
        <v>INSERT INTO participantes (id,nivel,correo,matricula,clave,nombre,carrera,grado,sexo,situacion,evaluados,num_evaluados,total_evaluaciones,ultimo_acceso,nivel_acceso) VALUES (3259,'BACHILLERATO','andre.maganagomez','008292','TOMAR DEL SND','MAGAÑA GOMEZ ANDRE','ADMINISTRACIÓN','6to','MASCULINO','ACTIVO','',0,0,'','ALUMNO');</v>
      </c>
    </row>
    <row r="262" spans="1:12" x14ac:dyDescent="0.35">
      <c r="A262">
        <v>3260</v>
      </c>
      <c r="B262" s="1" t="s">
        <v>185</v>
      </c>
      <c r="C262" s="1" t="s">
        <v>445</v>
      </c>
      <c r="D262" s="1" t="s">
        <v>843</v>
      </c>
      <c r="E262" s="6" t="s">
        <v>174</v>
      </c>
      <c r="F262" s="1" t="s">
        <v>1242</v>
      </c>
      <c r="G262" s="1" t="s">
        <v>1387</v>
      </c>
      <c r="H262" s="1" t="s">
        <v>1392</v>
      </c>
      <c r="I262" s="1" t="s">
        <v>1395</v>
      </c>
      <c r="J262" s="1" t="s">
        <v>1398</v>
      </c>
      <c r="K262" s="6" t="str">
        <f t="shared" si="8"/>
        <v>3260,'BACHILLERATO','heliosfarid.gonzalezbarranco','008293','TOMAR DEL SND','GONZALEZ BARRANCO HELIOS FARID','HIGIENE Y SALUD COMUNITARIAA','4to','MASCULINO','BLOQUEADO','',0,0,'','ALUMNO'</v>
      </c>
      <c r="L262" s="6" t="str">
        <f t="shared" si="9"/>
        <v>INSERT INTO participantes (id,nivel,correo,matricula,clave,nombre,carrera,grado,sexo,situacion,evaluados,num_evaluados,total_evaluaciones,ultimo_acceso,nivel_acceso) VALUES (3260,'BACHILLERATO','heliosfarid.gonzalezbarranco','008293','TOMAR DEL SND','GONZALEZ BARRANCO HELIOS FARID','HIGIENE Y SALUD COMUNITARIAA','4to','MASCULINO','BLOQUEADO','',0,0,'','ALUMNO');</v>
      </c>
    </row>
    <row r="263" spans="1:12" x14ac:dyDescent="0.35">
      <c r="A263">
        <v>3261</v>
      </c>
      <c r="B263" s="1" t="s">
        <v>185</v>
      </c>
      <c r="C263" s="1" t="s">
        <v>446</v>
      </c>
      <c r="D263" s="1" t="s">
        <v>844</v>
      </c>
      <c r="E263" s="6" t="s">
        <v>174</v>
      </c>
      <c r="F263" s="1" t="s">
        <v>1243</v>
      </c>
      <c r="G263" s="1" t="s">
        <v>1386</v>
      </c>
      <c r="H263" s="1" t="s">
        <v>1392</v>
      </c>
      <c r="I263" s="1" t="s">
        <v>1395</v>
      </c>
      <c r="J263" s="1" t="s">
        <v>1396</v>
      </c>
      <c r="K263" s="6" t="str">
        <f t="shared" si="8"/>
        <v>3261,'BACHILLERATO','diegojavier.diazcamelo','008294','TOMAR DEL SND','DIAZ CAMELO DIEGO JAVIER','ADMINISTRACIÓNA','4to','MASCULINO','ACTIVO','',0,0,'','ALUMNO'</v>
      </c>
      <c r="L263" s="6" t="str">
        <f t="shared" si="9"/>
        <v>INSERT INTO participantes (id,nivel,correo,matricula,clave,nombre,carrera,grado,sexo,situacion,evaluados,num_evaluados,total_evaluaciones,ultimo_acceso,nivel_acceso) VALUES (3261,'BACHILLERATO','diegojavier.diazcamelo','008294','TOMAR DEL SND','DIAZ CAMELO DIEGO JAVIER','ADMINISTRACIÓNA','4to','MASCULINO','ACTIVO','',0,0,'','ALUMNO');</v>
      </c>
    </row>
    <row r="264" spans="1:12" x14ac:dyDescent="0.35">
      <c r="A264">
        <v>3262</v>
      </c>
      <c r="B264" s="1" t="s">
        <v>185</v>
      </c>
      <c r="C264" s="1" t="s">
        <v>447</v>
      </c>
      <c r="D264" s="1" t="s">
        <v>845</v>
      </c>
      <c r="E264" s="6" t="s">
        <v>174</v>
      </c>
      <c r="F264" s="1" t="s">
        <v>1244</v>
      </c>
      <c r="G264" s="1" t="s">
        <v>1389</v>
      </c>
      <c r="H264" s="1" t="s">
        <v>1392</v>
      </c>
      <c r="I264" s="1" t="s">
        <v>1395</v>
      </c>
      <c r="J264" s="1" t="s">
        <v>1396</v>
      </c>
      <c r="K264" s="6" t="str">
        <f t="shared" si="8"/>
        <v>3262,'BACHILLERATO','santiagoantonio.lepebecerra','008295','TOMAR DEL SND','LEPE BECERRA SANTIAGO ANTONIO','ELECTRÓNICAA','4to','MASCULINO','ACTIVO','',0,0,'','ALUMNO'</v>
      </c>
      <c r="L264" s="6" t="str">
        <f t="shared" si="9"/>
        <v>INSERT INTO participantes (id,nivel,correo,matricula,clave,nombre,carrera,grado,sexo,situacion,evaluados,num_evaluados,total_evaluaciones,ultimo_acceso,nivel_acceso) VALUES (3262,'BACHILLERATO','santiagoantonio.lepebecerra','008295','TOMAR DEL SND','LEPE BECERRA SANTIAGO ANTONIO','ELECTRÓNICAA','4to','MASCULINO','ACTIVO','',0,0,'','ALUMNO');</v>
      </c>
    </row>
    <row r="265" spans="1:12" x14ac:dyDescent="0.35">
      <c r="A265">
        <v>3263</v>
      </c>
      <c r="B265" s="1" t="s">
        <v>185</v>
      </c>
      <c r="C265" s="1" t="s">
        <v>448</v>
      </c>
      <c r="D265" s="1" t="s">
        <v>846</v>
      </c>
      <c r="E265" s="6" t="s">
        <v>174</v>
      </c>
      <c r="F265" s="1" t="s">
        <v>1245</v>
      </c>
      <c r="G265" s="1" t="s">
        <v>1388</v>
      </c>
      <c r="H265" s="1" t="s">
        <v>1392</v>
      </c>
      <c r="I265" s="1" t="s">
        <v>1394</v>
      </c>
      <c r="J265" s="1" t="s">
        <v>1396</v>
      </c>
      <c r="K265" s="6" t="str">
        <f t="shared" si="8"/>
        <v>3263,'BACHILLERATO','ximenajoselyn.morazepeda','008296','TOMAR DEL SND','MORA ZEPEDA XIMENA JOSELYN','DISEÑO GRÁFICOA','4to','FEMENINO','ACTIVO','',0,0,'','ALUMNO'</v>
      </c>
      <c r="L265" s="6" t="str">
        <f t="shared" si="9"/>
        <v>INSERT INTO participantes (id,nivel,correo,matricula,clave,nombre,carrera,grado,sexo,situacion,evaluados,num_evaluados,total_evaluaciones,ultimo_acceso,nivel_acceso) VALUES (3263,'BACHILLERATO','ximenajoselyn.morazepeda','008296','TOMAR DEL SND','MORA ZEPEDA XIMENA JOSELYN','DISEÑO GRÁFICOA','4to','FEMENINO','ACTIVO','',0,0,'','ALUMNO');</v>
      </c>
    </row>
    <row r="266" spans="1:12" x14ac:dyDescent="0.35">
      <c r="A266">
        <v>3264</v>
      </c>
      <c r="B266" s="1" t="s">
        <v>185</v>
      </c>
      <c r="C266" s="1" t="s">
        <v>449</v>
      </c>
      <c r="D266" s="1" t="s">
        <v>847</v>
      </c>
      <c r="E266" s="6" t="s">
        <v>174</v>
      </c>
      <c r="F266" s="1" t="s">
        <v>1246</v>
      </c>
      <c r="G266" s="1" t="s">
        <v>1386</v>
      </c>
      <c r="H266" s="1" t="s">
        <v>1392</v>
      </c>
      <c r="I266" s="1" t="s">
        <v>1395</v>
      </c>
      <c r="J266" s="1" t="s">
        <v>1396</v>
      </c>
      <c r="K266" s="6" t="str">
        <f t="shared" si="8"/>
        <v>3264,'BACHILLERATO','santiago.ornelaschavez','008297','TOMAR DEL SND','ORNELAS CHAVEZ SANTIAGO','ADMINISTRACIÓNA','4to','MASCULINO','ACTIVO','',0,0,'','ALUMNO'</v>
      </c>
      <c r="L266" s="6" t="str">
        <f t="shared" si="9"/>
        <v>INSERT INTO participantes (id,nivel,correo,matricula,clave,nombre,carrera,grado,sexo,situacion,evaluados,num_evaluados,total_evaluaciones,ultimo_acceso,nivel_acceso) VALUES (3264,'BACHILLERATO','santiago.ornelaschavez','008297','TOMAR DEL SND','ORNELAS CHAVEZ SANTIAGO','ADMINISTRACIÓNA','4to','MASCULINO','ACTIVO','',0,0,'','ALUMNO');</v>
      </c>
    </row>
    <row r="267" spans="1:12" x14ac:dyDescent="0.35">
      <c r="A267">
        <v>3265</v>
      </c>
      <c r="B267" s="1" t="s">
        <v>185</v>
      </c>
      <c r="C267" s="1" t="s">
        <v>450</v>
      </c>
      <c r="D267" s="1" t="s">
        <v>848</v>
      </c>
      <c r="E267" s="6" t="s">
        <v>174</v>
      </c>
      <c r="F267" s="1" t="s">
        <v>1247</v>
      </c>
      <c r="G267" s="1" t="s">
        <v>1383</v>
      </c>
      <c r="H267" s="1" t="s">
        <v>1391</v>
      </c>
      <c r="I267" s="1" t="s">
        <v>1394</v>
      </c>
      <c r="J267" s="1" t="s">
        <v>1396</v>
      </c>
      <c r="K267" s="6" t="str">
        <f t="shared" si="8"/>
        <v>3265,'BACHILLERATO','claudiapaola.cruzsuarez','008299','TOMAR DEL SND','CRUZ SUAREZ CLAUDIA PAOLA','HIGIENE Y SALUD COMUNITARIA','6to','FEMENINO','ACTIVO','',0,0,'','ALUMNO'</v>
      </c>
      <c r="L267" s="6" t="str">
        <f t="shared" si="9"/>
        <v>INSERT INTO participantes (id,nivel,correo,matricula,clave,nombre,carrera,grado,sexo,situacion,evaluados,num_evaluados,total_evaluaciones,ultimo_acceso,nivel_acceso) VALUES (3265,'BACHILLERATO','claudiapaola.cruzsuarez','008299','TOMAR DEL SND','CRUZ SUAREZ CLAUDIA PAOLA','HIGIENE Y SALUD COMUNITARIA','6to','FEMENINO','ACTIVO','',0,0,'','ALUMNO');</v>
      </c>
    </row>
    <row r="268" spans="1:12" x14ac:dyDescent="0.35">
      <c r="A268">
        <v>3266</v>
      </c>
      <c r="B268" s="1" t="s">
        <v>185</v>
      </c>
      <c r="C268" s="1" t="s">
        <v>451</v>
      </c>
      <c r="D268" s="1" t="s">
        <v>849</v>
      </c>
      <c r="E268" s="6" t="s">
        <v>174</v>
      </c>
      <c r="F268" s="1" t="s">
        <v>1248</v>
      </c>
      <c r="G268" s="1" t="s">
        <v>1387</v>
      </c>
      <c r="H268" s="1" t="s">
        <v>1392</v>
      </c>
      <c r="I268" s="1" t="s">
        <v>1394</v>
      </c>
      <c r="J268" s="1" t="s">
        <v>1396</v>
      </c>
      <c r="K268" s="6" t="str">
        <f t="shared" si="8"/>
        <v>3266,'BACHILLERATO','anaisabel.herrerarojas','008301','TOMAR DEL SND','HERRERA ROJAS ANA ISABEL','HIGIENE Y SALUD COMUNITARIAA','4to','FEMENINO','ACTIVO','',0,0,'','ALUMNO'</v>
      </c>
      <c r="L268" s="6" t="str">
        <f t="shared" si="9"/>
        <v>INSERT INTO participantes (id,nivel,correo,matricula,clave,nombre,carrera,grado,sexo,situacion,evaluados,num_evaluados,total_evaluaciones,ultimo_acceso,nivel_acceso) VALUES (3266,'BACHILLERATO','anaisabel.herrerarojas','008301','TOMAR DEL SND','HERRERA ROJAS ANA ISABEL','HIGIENE Y SALUD COMUNITARIAA','4to','FEMENINO','ACTIVO','',0,0,'','ALUMNO');</v>
      </c>
    </row>
    <row r="269" spans="1:12" x14ac:dyDescent="0.35">
      <c r="A269">
        <v>3267</v>
      </c>
      <c r="B269" s="1" t="s">
        <v>185</v>
      </c>
      <c r="C269" s="1" t="s">
        <v>452</v>
      </c>
      <c r="D269" s="1" t="s">
        <v>850</v>
      </c>
      <c r="E269" s="6" t="s">
        <v>174</v>
      </c>
      <c r="F269" s="1" t="s">
        <v>1249</v>
      </c>
      <c r="G269" s="1" t="s">
        <v>1387</v>
      </c>
      <c r="H269" s="1" t="s">
        <v>1392</v>
      </c>
      <c r="I269" s="1" t="s">
        <v>1394</v>
      </c>
      <c r="J269" s="1" t="s">
        <v>1396</v>
      </c>
      <c r="K269" s="6" t="str">
        <f t="shared" si="8"/>
        <v>3267,'BACHILLERATO','brendaroberta.velazquezcastro','008304','TOMAR DEL SND','VELAZQUEZ CASTRO BRENDA ROBERTA','HIGIENE Y SALUD COMUNITARIAA','4to','FEMENINO','ACTIVO','',0,0,'','ALUMNO'</v>
      </c>
      <c r="L269" s="6" t="str">
        <f t="shared" si="9"/>
        <v>INSERT INTO participantes (id,nivel,correo,matricula,clave,nombre,carrera,grado,sexo,situacion,evaluados,num_evaluados,total_evaluaciones,ultimo_acceso,nivel_acceso) VALUES (3267,'BACHILLERATO','brendaroberta.velazquezcastro','008304','TOMAR DEL SND','VELAZQUEZ CASTRO BRENDA ROBERTA','HIGIENE Y SALUD COMUNITARIAA','4to','FEMENINO','ACTIVO','',0,0,'','ALUMNO');</v>
      </c>
    </row>
    <row r="270" spans="1:12" x14ac:dyDescent="0.35">
      <c r="A270">
        <v>3268</v>
      </c>
      <c r="B270" s="1" t="s">
        <v>185</v>
      </c>
      <c r="C270" s="1" t="s">
        <v>453</v>
      </c>
      <c r="D270" s="1" t="s">
        <v>851</v>
      </c>
      <c r="E270" s="6" t="s">
        <v>174</v>
      </c>
      <c r="F270" s="1" t="s">
        <v>1250</v>
      </c>
      <c r="G270" s="1" t="s">
        <v>1388</v>
      </c>
      <c r="H270" s="1" t="s">
        <v>1392</v>
      </c>
      <c r="I270" s="1" t="s">
        <v>1394</v>
      </c>
      <c r="J270" s="1" t="s">
        <v>1396</v>
      </c>
      <c r="K270" s="6" t="str">
        <f t="shared" si="8"/>
        <v>3268,'BACHILLERATO','dianaalejandra.gallardoespinoza','008305','TOMAR DEL SND','GALLARDO ESPINOZA DIANA ALEJANDRA','DISEÑO GRÁFICOA','4to','FEMENINO','ACTIVO','',0,0,'','ALUMNO'</v>
      </c>
      <c r="L270" s="6" t="str">
        <f t="shared" si="9"/>
        <v>INSERT INTO participantes (id,nivel,correo,matricula,clave,nombre,carrera,grado,sexo,situacion,evaluados,num_evaluados,total_evaluaciones,ultimo_acceso,nivel_acceso) VALUES (3268,'BACHILLERATO','dianaalejandra.gallardoespinoza','008305','TOMAR DEL SND','GALLARDO ESPINOZA DIANA ALEJANDRA','DISEÑO GRÁFICOA','4to','FEMENINO','ACTIVO','',0,0,'','ALUMNO');</v>
      </c>
    </row>
    <row r="271" spans="1:12" x14ac:dyDescent="0.35">
      <c r="A271">
        <v>3269</v>
      </c>
      <c r="B271" s="1" t="s">
        <v>185</v>
      </c>
      <c r="C271" s="1" t="s">
        <v>454</v>
      </c>
      <c r="D271" s="1" t="s">
        <v>852</v>
      </c>
      <c r="E271" s="6" t="s">
        <v>174</v>
      </c>
      <c r="F271" s="1" t="s">
        <v>1251</v>
      </c>
      <c r="G271" s="1" t="s">
        <v>1389</v>
      </c>
      <c r="H271" s="1" t="s">
        <v>1392</v>
      </c>
      <c r="I271" s="1" t="s">
        <v>1395</v>
      </c>
      <c r="J271" s="1" t="s">
        <v>1396</v>
      </c>
      <c r="K271" s="6" t="str">
        <f t="shared" si="8"/>
        <v>3269,'BACHILLERATO','uzielantonio.garciagomez','008306','TOMAR DEL SND','GARCIA GOMEZ UZIEL ANTONIO','ELECTRÓNICAA','4to','MASCULINO','ACTIVO','',0,0,'','ALUMNO'</v>
      </c>
      <c r="L271" s="6" t="str">
        <f t="shared" si="9"/>
        <v>INSERT INTO participantes (id,nivel,correo,matricula,clave,nombre,carrera,grado,sexo,situacion,evaluados,num_evaluados,total_evaluaciones,ultimo_acceso,nivel_acceso) VALUES (3269,'BACHILLERATO','uzielantonio.garciagomez','008306','TOMAR DEL SND','GARCIA GOMEZ UZIEL ANTONIO','ELECTRÓNICAA','4to','MASCULINO','ACTIVO','',0,0,'','ALUMNO');</v>
      </c>
    </row>
    <row r="272" spans="1:12" x14ac:dyDescent="0.35">
      <c r="A272">
        <v>3270</v>
      </c>
      <c r="B272" s="1" t="s">
        <v>185</v>
      </c>
      <c r="C272" s="1" t="s">
        <v>455</v>
      </c>
      <c r="D272" s="1" t="s">
        <v>853</v>
      </c>
      <c r="E272" s="6" t="s">
        <v>174</v>
      </c>
      <c r="F272" s="1" t="s">
        <v>1252</v>
      </c>
      <c r="G272" s="1" t="s">
        <v>1390</v>
      </c>
      <c r="H272" s="1" t="s">
        <v>1393</v>
      </c>
      <c r="I272" s="1" t="s">
        <v>1394</v>
      </c>
      <c r="J272" s="1" t="s">
        <v>1397</v>
      </c>
      <c r="K272" s="6" t="str">
        <f t="shared" si="8"/>
        <v>3270,'BACHILLERATO','sofiaalejandra.garciadejesus','008309','TOMAR DEL SND','GARCIA DE JESUS SOFIA ALEJANDRA','TRONCO COMÚN','2do','FEMENINO','REINGRESO','',0,0,'','ALUMNO'</v>
      </c>
      <c r="L272" s="6" t="str">
        <f t="shared" si="9"/>
        <v>INSERT INTO participantes (id,nivel,correo,matricula,clave,nombre,carrera,grado,sexo,situacion,evaluados,num_evaluados,total_evaluaciones,ultimo_acceso,nivel_acceso) VALUES (3270,'BACHILLERATO','sofiaalejandra.garciadejesus','008309','TOMAR DEL SND','GARCIA DE JESUS SOFIA ALEJANDRA','TRONCO COMÚN','2do','FEMENINO','REINGRESO','',0,0,'','ALUMNO');</v>
      </c>
    </row>
    <row r="273" spans="1:12" x14ac:dyDescent="0.35">
      <c r="A273">
        <v>3271</v>
      </c>
      <c r="B273" s="1" t="s">
        <v>185</v>
      </c>
      <c r="C273" s="1" t="s">
        <v>456</v>
      </c>
      <c r="D273" s="1" t="s">
        <v>854</v>
      </c>
      <c r="E273" s="6" t="s">
        <v>174</v>
      </c>
      <c r="F273" s="1" t="s">
        <v>1253</v>
      </c>
      <c r="G273" s="1" t="s">
        <v>1383</v>
      </c>
      <c r="H273" s="1" t="s">
        <v>1391</v>
      </c>
      <c r="I273" s="1" t="s">
        <v>1394</v>
      </c>
      <c r="J273" s="1" t="s">
        <v>1396</v>
      </c>
      <c r="K273" s="6" t="str">
        <f t="shared" si="8"/>
        <v>3271,'BACHILLERATO','paola.quezadamontero','008310','TOMAR DEL SND','QUEZADA MONTERO PAOLA','HIGIENE Y SALUD COMUNITARIA','6to','FEMENINO','ACTIVO','',0,0,'','ALUMNO'</v>
      </c>
      <c r="L273" s="6" t="str">
        <f t="shared" si="9"/>
        <v>INSERT INTO participantes (id,nivel,correo,matricula,clave,nombre,carrera,grado,sexo,situacion,evaluados,num_evaluados,total_evaluaciones,ultimo_acceso,nivel_acceso) VALUES (3271,'BACHILLERATO','paola.quezadamontero','008310','TOMAR DEL SND','QUEZADA MONTERO PAOLA','HIGIENE Y SALUD COMUNITARIA','6to','FEMENINO','ACTIVO','',0,0,'','ALUMNO');</v>
      </c>
    </row>
    <row r="274" spans="1:12" x14ac:dyDescent="0.35">
      <c r="A274">
        <v>3272</v>
      </c>
      <c r="B274" s="1" t="s">
        <v>185</v>
      </c>
      <c r="C274" s="1" t="s">
        <v>457</v>
      </c>
      <c r="D274" s="1" t="s">
        <v>855</v>
      </c>
      <c r="E274" s="6" t="s">
        <v>174</v>
      </c>
      <c r="F274" s="1" t="s">
        <v>1254</v>
      </c>
      <c r="G274" s="1" t="s">
        <v>1385</v>
      </c>
      <c r="H274" s="1" t="s">
        <v>1391</v>
      </c>
      <c r="I274" s="1" t="s">
        <v>1394</v>
      </c>
      <c r="J274" s="1" t="s">
        <v>1396</v>
      </c>
      <c r="K274" s="6" t="str">
        <f t="shared" si="8"/>
        <v>3272,'BACHILLERATO','mariana.alvarezmojica','008311','TOMAR DEL SND','ALVAREZ MOJICA MARIANA','COMUNICACIÓN','6to','FEMENINO','ACTIVO','',0,0,'','ALUMNO'</v>
      </c>
      <c r="L274" s="6" t="str">
        <f t="shared" si="9"/>
        <v>INSERT INTO participantes (id,nivel,correo,matricula,clave,nombre,carrera,grado,sexo,situacion,evaluados,num_evaluados,total_evaluaciones,ultimo_acceso,nivel_acceso) VALUES (3272,'BACHILLERATO','mariana.alvarezmojica','008311','TOMAR DEL SND','ALVAREZ MOJICA MARIANA','COMUNICACIÓN','6to','FEMENINO','ACTIVO','',0,0,'','ALUMNO');</v>
      </c>
    </row>
    <row r="275" spans="1:12" x14ac:dyDescent="0.35">
      <c r="A275">
        <v>3273</v>
      </c>
      <c r="B275" s="1" t="s">
        <v>185</v>
      </c>
      <c r="C275" s="1" t="s">
        <v>458</v>
      </c>
      <c r="D275" s="1" t="s">
        <v>856</v>
      </c>
      <c r="E275" s="6" t="s">
        <v>174</v>
      </c>
      <c r="F275" s="1" t="s">
        <v>1255</v>
      </c>
      <c r="G275" s="1" t="s">
        <v>1386</v>
      </c>
      <c r="H275" s="1" t="s">
        <v>1392</v>
      </c>
      <c r="I275" s="1" t="s">
        <v>1395</v>
      </c>
      <c r="J275" s="1" t="s">
        <v>1396</v>
      </c>
      <c r="K275" s="6" t="str">
        <f t="shared" si="8"/>
        <v>3273,'BACHILLERATO','daniel.santanavela','008312','TOMAR DEL SND','SANTANA VELA DANIEL','ADMINISTRACIÓNA','4to','MASCULINO','ACTIVO','',0,0,'','ALUMNO'</v>
      </c>
      <c r="L275" s="6" t="str">
        <f t="shared" si="9"/>
        <v>INSERT INTO participantes (id,nivel,correo,matricula,clave,nombre,carrera,grado,sexo,situacion,evaluados,num_evaluados,total_evaluaciones,ultimo_acceso,nivel_acceso) VALUES (3273,'BACHILLERATO','daniel.santanavela','008312','TOMAR DEL SND','SANTANA VELA DANIEL','ADMINISTRACIÓNA','4to','MASCULINO','ACTIVO','',0,0,'','ALUMNO');</v>
      </c>
    </row>
    <row r="276" spans="1:12" x14ac:dyDescent="0.35">
      <c r="A276">
        <v>3274</v>
      </c>
      <c r="B276" s="1" t="s">
        <v>185</v>
      </c>
      <c r="C276" s="1" t="s">
        <v>459</v>
      </c>
      <c r="D276" s="1" t="s">
        <v>857</v>
      </c>
      <c r="E276" s="6" t="s">
        <v>174</v>
      </c>
      <c r="F276" s="1" t="s">
        <v>1256</v>
      </c>
      <c r="G276" s="1" t="s">
        <v>1386</v>
      </c>
      <c r="H276" s="1" t="s">
        <v>1392</v>
      </c>
      <c r="I276" s="1" t="s">
        <v>1394</v>
      </c>
      <c r="J276" s="1" t="s">
        <v>1396</v>
      </c>
      <c r="K276" s="6" t="str">
        <f t="shared" si="8"/>
        <v>3274,'BACHILLERATO','mirandathais.floresortiz','008313','TOMAR DEL SND','FLORES ORTIZ MIRANDA THAIS','ADMINISTRACIÓNA','4to','FEMENINO','ACTIVO','',0,0,'','ALUMNO'</v>
      </c>
      <c r="L276" s="6" t="str">
        <f t="shared" si="9"/>
        <v>INSERT INTO participantes (id,nivel,correo,matricula,clave,nombre,carrera,grado,sexo,situacion,evaluados,num_evaluados,total_evaluaciones,ultimo_acceso,nivel_acceso) VALUES (3274,'BACHILLERATO','mirandathais.floresortiz','008313','TOMAR DEL SND','FLORES ORTIZ MIRANDA THAIS','ADMINISTRACIÓNA','4to','FEMENINO','ACTIVO','',0,0,'','ALUMNO');</v>
      </c>
    </row>
    <row r="277" spans="1:12" x14ac:dyDescent="0.35">
      <c r="A277">
        <v>3275</v>
      </c>
      <c r="B277" s="1" t="s">
        <v>185</v>
      </c>
      <c r="C277" s="1" t="e">
        <v>#N/A</v>
      </c>
      <c r="D277" s="1" t="s">
        <v>858</v>
      </c>
      <c r="E277" s="6" t="s">
        <v>174</v>
      </c>
      <c r="F277" s="1" t="s">
        <v>1257</v>
      </c>
      <c r="G277" s="1" t="s">
        <v>1390</v>
      </c>
      <c r="H277" s="1" t="s">
        <v>1393</v>
      </c>
      <c r="I277" s="1" t="s">
        <v>1394</v>
      </c>
      <c r="J277" s="1" t="s">
        <v>1397</v>
      </c>
      <c r="K277" s="6" t="e">
        <f t="shared" si="8"/>
        <v>#N/A</v>
      </c>
      <c r="L277" s="6" t="e">
        <f t="shared" si="9"/>
        <v>#N/A</v>
      </c>
    </row>
    <row r="278" spans="1:12" x14ac:dyDescent="0.35">
      <c r="A278">
        <v>3276</v>
      </c>
      <c r="B278" s="1" t="s">
        <v>185</v>
      </c>
      <c r="C278" s="1" t="s">
        <v>460</v>
      </c>
      <c r="D278" s="1" t="s">
        <v>859</v>
      </c>
      <c r="E278" s="6" t="s">
        <v>174</v>
      </c>
      <c r="F278" s="1" t="s">
        <v>1258</v>
      </c>
      <c r="G278" s="1" t="s">
        <v>1382</v>
      </c>
      <c r="H278" s="1" t="s">
        <v>1391</v>
      </c>
      <c r="I278" s="1" t="s">
        <v>1394</v>
      </c>
      <c r="J278" s="1" t="s">
        <v>1396</v>
      </c>
      <c r="K278" s="6" t="str">
        <f t="shared" si="8"/>
        <v>3276,'BACHILLERATO','renata.gonzalezlopeznegrete','008315','TOMAR DEL SND','GONZALEZ LOPEZ NEGRETE RENATA','ADMINISTRACIÓN','6to','FEMENINO','ACTIVO','',0,0,'','ALUMNO'</v>
      </c>
      <c r="L278" s="6" t="str">
        <f t="shared" si="9"/>
        <v>INSERT INTO participantes (id,nivel,correo,matricula,clave,nombre,carrera,grado,sexo,situacion,evaluados,num_evaluados,total_evaluaciones,ultimo_acceso,nivel_acceso) VALUES (3276,'BACHILLERATO','renata.gonzalezlopeznegrete','008315','TOMAR DEL SND','GONZALEZ LOPEZ NEGRETE RENATA','ADMINISTRACIÓN','6to','FEMENINO','ACTIVO','',0,0,'','ALUMNO');</v>
      </c>
    </row>
    <row r="279" spans="1:12" x14ac:dyDescent="0.35">
      <c r="A279">
        <v>3277</v>
      </c>
      <c r="B279" s="1" t="s">
        <v>185</v>
      </c>
      <c r="C279" s="1" t="s">
        <v>461</v>
      </c>
      <c r="D279" s="1" t="s">
        <v>860</v>
      </c>
      <c r="E279" s="6" t="s">
        <v>174</v>
      </c>
      <c r="F279" s="1" t="s">
        <v>1259</v>
      </c>
      <c r="G279" s="1" t="s">
        <v>1390</v>
      </c>
      <c r="H279" s="1" t="s">
        <v>1393</v>
      </c>
      <c r="I279" s="1" t="s">
        <v>1395</v>
      </c>
      <c r="J279" s="1" t="s">
        <v>1396</v>
      </c>
      <c r="K279" s="6" t="str">
        <f t="shared" si="8"/>
        <v>3277,'BACHILLERATO','erickmathias.varelatorres','008316','TOMAR DEL SND','VARELA TORRES ERICK MATHIAS','TRONCO COMÚN','2do','MASCULINO','ACTIVO','',0,0,'','ALUMNO'</v>
      </c>
      <c r="L279" s="6" t="str">
        <f t="shared" si="9"/>
        <v>INSERT INTO participantes (id,nivel,correo,matricula,clave,nombre,carrera,grado,sexo,situacion,evaluados,num_evaluados,total_evaluaciones,ultimo_acceso,nivel_acceso) VALUES (3277,'BACHILLERATO','erickmathias.varelatorres','008316','TOMAR DEL SND','VARELA TORRES ERICK MATHIAS','TRONCO COMÚN','2do','MASCULINO','ACTIVO','',0,0,'','ALUMNO');</v>
      </c>
    </row>
    <row r="280" spans="1:12" x14ac:dyDescent="0.35">
      <c r="A280">
        <v>3278</v>
      </c>
      <c r="B280" s="1" t="s">
        <v>185</v>
      </c>
      <c r="C280" s="1" t="s">
        <v>462</v>
      </c>
      <c r="D280" s="1" t="s">
        <v>861</v>
      </c>
      <c r="E280" s="6" t="s">
        <v>174</v>
      </c>
      <c r="F280" s="1" t="s">
        <v>1260</v>
      </c>
      <c r="G280" s="1" t="s">
        <v>1390</v>
      </c>
      <c r="H280" s="1" t="s">
        <v>1393</v>
      </c>
      <c r="I280" s="1" t="s">
        <v>1394</v>
      </c>
      <c r="J280" s="1" t="s">
        <v>1396</v>
      </c>
      <c r="K280" s="6" t="str">
        <f t="shared" si="8"/>
        <v>3278,'BACHILLERATO','jimenanaomi.cervantesperez','008317','TOMAR DEL SND','CERVANTES PEREZ JIMENA NAOMI','TRONCO COMÚN','2do','FEMENINO','ACTIVO','',0,0,'','ALUMNO'</v>
      </c>
      <c r="L280" s="6" t="str">
        <f t="shared" si="9"/>
        <v>INSERT INTO participantes (id,nivel,correo,matricula,clave,nombre,carrera,grado,sexo,situacion,evaluados,num_evaluados,total_evaluaciones,ultimo_acceso,nivel_acceso) VALUES (3278,'BACHILLERATO','jimenanaomi.cervantesperez','008317','TOMAR DEL SND','CERVANTES PEREZ JIMENA NAOMI','TRONCO COMÚN','2do','FEMENINO','ACTIVO','',0,0,'','ALUMNO');</v>
      </c>
    </row>
    <row r="281" spans="1:12" x14ac:dyDescent="0.35">
      <c r="A281">
        <v>3279</v>
      </c>
      <c r="B281" s="1" t="s">
        <v>185</v>
      </c>
      <c r="C281" s="1" t="s">
        <v>463</v>
      </c>
      <c r="D281" s="1" t="s">
        <v>862</v>
      </c>
      <c r="E281" s="6" t="s">
        <v>174</v>
      </c>
      <c r="F281" s="1" t="s">
        <v>1261</v>
      </c>
      <c r="G281" s="1" t="s">
        <v>1385</v>
      </c>
      <c r="H281" s="1" t="s">
        <v>1391</v>
      </c>
      <c r="I281" s="1" t="s">
        <v>1394</v>
      </c>
      <c r="J281" s="1" t="s">
        <v>1396</v>
      </c>
      <c r="K281" s="6" t="str">
        <f t="shared" si="8"/>
        <v>3279,'BACHILLERATO','sofia.riveraramirez','008318','TOMAR DEL SND','RIVERA RAMIREZ SOFIA','COMUNICACIÓN','6to','FEMENINO','ACTIVO','',0,0,'','ALUMNO'</v>
      </c>
      <c r="L281" s="6" t="str">
        <f t="shared" si="9"/>
        <v>INSERT INTO participantes (id,nivel,correo,matricula,clave,nombre,carrera,grado,sexo,situacion,evaluados,num_evaluados,total_evaluaciones,ultimo_acceso,nivel_acceso) VALUES (3279,'BACHILLERATO','sofia.riveraramirez','008318','TOMAR DEL SND','RIVERA RAMIREZ SOFIA','COMUNICACIÓN','6to','FEMENINO','ACTIVO','',0,0,'','ALUMNO');</v>
      </c>
    </row>
    <row r="282" spans="1:12" x14ac:dyDescent="0.35">
      <c r="A282">
        <v>3280</v>
      </c>
      <c r="B282" s="1" t="s">
        <v>185</v>
      </c>
      <c r="C282" s="1" t="s">
        <v>464</v>
      </c>
      <c r="D282" s="1" t="s">
        <v>863</v>
      </c>
      <c r="E282" s="6" t="s">
        <v>174</v>
      </c>
      <c r="F282" s="1" t="s">
        <v>1262</v>
      </c>
      <c r="G282" s="1" t="s">
        <v>1390</v>
      </c>
      <c r="H282" s="1" t="s">
        <v>1393</v>
      </c>
      <c r="I282" s="1" t="s">
        <v>1394</v>
      </c>
      <c r="J282" s="1" t="s">
        <v>1396</v>
      </c>
      <c r="K282" s="6" t="str">
        <f t="shared" si="8"/>
        <v>3280,'BACHILLERATO','dianasofia.lopezdeleon','008319','TOMAR DEL SND','LOPEZ DE LEON DIANA SOFIA','TRONCO COMÚN','2do','FEMENINO','ACTIVO','',0,0,'','ALUMNO'</v>
      </c>
      <c r="L282" s="6" t="str">
        <f t="shared" si="9"/>
        <v>INSERT INTO participantes (id,nivel,correo,matricula,clave,nombre,carrera,grado,sexo,situacion,evaluados,num_evaluados,total_evaluaciones,ultimo_acceso,nivel_acceso) VALUES (3280,'BACHILLERATO','dianasofia.lopezdeleon','008319','TOMAR DEL SND','LOPEZ DE LEON DIANA SOFIA','TRONCO COMÚN','2do','FEMENINO','ACTIVO','',0,0,'','ALUMNO');</v>
      </c>
    </row>
    <row r="283" spans="1:12" x14ac:dyDescent="0.35">
      <c r="A283">
        <v>3281</v>
      </c>
      <c r="B283" s="1" t="s">
        <v>185</v>
      </c>
      <c r="C283" s="1" t="s">
        <v>465</v>
      </c>
      <c r="D283" s="1" t="s">
        <v>864</v>
      </c>
      <c r="E283" s="6" t="s">
        <v>174</v>
      </c>
      <c r="F283" s="1" t="s">
        <v>1263</v>
      </c>
      <c r="G283" s="1" t="s">
        <v>1390</v>
      </c>
      <c r="H283" s="1" t="s">
        <v>1393</v>
      </c>
      <c r="I283" s="1" t="s">
        <v>1394</v>
      </c>
      <c r="J283" s="1" t="s">
        <v>1396</v>
      </c>
      <c r="K283" s="6" t="str">
        <f t="shared" si="8"/>
        <v>3281,'BACHILLERATO','karlabernardeth.brisenocarlos','008320','TOMAR DEL SND','BRISEÑO CARLOS KARLA BERNARDETH','TRONCO COMÚN','2do','FEMENINO','ACTIVO','',0,0,'','ALUMNO'</v>
      </c>
      <c r="L283" s="6" t="str">
        <f t="shared" si="9"/>
        <v>INSERT INTO participantes (id,nivel,correo,matricula,clave,nombre,carrera,grado,sexo,situacion,evaluados,num_evaluados,total_evaluaciones,ultimo_acceso,nivel_acceso) VALUES (3281,'BACHILLERATO','karlabernardeth.brisenocarlos','008320','TOMAR DEL SND','BRISEÑO CARLOS KARLA BERNARDETH','TRONCO COMÚN','2do','FEMENINO','ACTIVO','',0,0,'','ALUMNO');</v>
      </c>
    </row>
    <row r="284" spans="1:12" x14ac:dyDescent="0.35">
      <c r="A284">
        <v>3282</v>
      </c>
      <c r="B284" s="1" t="s">
        <v>185</v>
      </c>
      <c r="C284" s="1" t="s">
        <v>466</v>
      </c>
      <c r="D284" s="1" t="s">
        <v>865</v>
      </c>
      <c r="E284" s="6" t="s">
        <v>174</v>
      </c>
      <c r="F284" s="1" t="s">
        <v>1264</v>
      </c>
      <c r="G284" s="1" t="s">
        <v>1390</v>
      </c>
      <c r="H284" s="1" t="s">
        <v>1393</v>
      </c>
      <c r="I284" s="1" t="s">
        <v>1395</v>
      </c>
      <c r="J284" s="1" t="s">
        <v>1396</v>
      </c>
      <c r="K284" s="6" t="str">
        <f t="shared" si="8"/>
        <v>3282,'BACHILLERATO','matias.coronaruvalcaba','008321','TOMAR DEL SND','CORONA RUVALCABA MATIAS','TRONCO COMÚN','2do','MASCULINO','ACTIVO','',0,0,'','ALUMNO'</v>
      </c>
      <c r="L284" s="6" t="str">
        <f t="shared" si="9"/>
        <v>INSERT INTO participantes (id,nivel,correo,matricula,clave,nombre,carrera,grado,sexo,situacion,evaluados,num_evaluados,total_evaluaciones,ultimo_acceso,nivel_acceso) VALUES (3282,'BACHILLERATO','matias.coronaruvalcaba','008321','TOMAR DEL SND','CORONA RUVALCABA MATIAS','TRONCO COMÚN','2do','MASCULINO','ACTIVO','',0,0,'','ALUMNO');</v>
      </c>
    </row>
    <row r="285" spans="1:12" x14ac:dyDescent="0.35">
      <c r="A285">
        <v>3283</v>
      </c>
      <c r="B285" s="1" t="s">
        <v>185</v>
      </c>
      <c r="C285" s="1" t="s">
        <v>467</v>
      </c>
      <c r="D285" s="1" t="s">
        <v>866</v>
      </c>
      <c r="E285" s="6" t="s">
        <v>174</v>
      </c>
      <c r="F285" s="1" t="s">
        <v>1265</v>
      </c>
      <c r="G285" s="1" t="s">
        <v>1390</v>
      </c>
      <c r="H285" s="1" t="s">
        <v>1393</v>
      </c>
      <c r="I285" s="1" t="s">
        <v>1394</v>
      </c>
      <c r="J285" s="1" t="s">
        <v>1396</v>
      </c>
      <c r="K285" s="6" t="str">
        <f t="shared" si="8"/>
        <v>3283,'BACHILLERATO','fernandavalentina.castrohernandez','008324','TOMAR DEL SND','CASTRO HERNANDEZ FERNANDA VALENTINA','TRONCO COMÚN','2do','FEMENINO','ACTIVO','',0,0,'','ALUMNO'</v>
      </c>
      <c r="L285" s="6" t="str">
        <f t="shared" si="9"/>
        <v>INSERT INTO participantes (id,nivel,correo,matricula,clave,nombre,carrera,grado,sexo,situacion,evaluados,num_evaluados,total_evaluaciones,ultimo_acceso,nivel_acceso) VALUES (3283,'BACHILLERATO','fernandavalentina.castrohernandez','008324','TOMAR DEL SND','CASTRO HERNANDEZ FERNANDA VALENTINA','TRONCO COMÚN','2do','FEMENINO','ACTIVO','',0,0,'','ALUMNO');</v>
      </c>
    </row>
    <row r="286" spans="1:12" x14ac:dyDescent="0.35">
      <c r="A286">
        <v>3284</v>
      </c>
      <c r="B286" s="1" t="s">
        <v>185</v>
      </c>
      <c r="C286" s="1" t="s">
        <v>468</v>
      </c>
      <c r="D286" s="1" t="s">
        <v>867</v>
      </c>
      <c r="E286" s="6" t="s">
        <v>174</v>
      </c>
      <c r="F286" s="1" t="s">
        <v>1266</v>
      </c>
      <c r="G286" s="1" t="s">
        <v>1390</v>
      </c>
      <c r="H286" s="1" t="s">
        <v>1393</v>
      </c>
      <c r="I286" s="1" t="s">
        <v>1395</v>
      </c>
      <c r="J286" s="1" t="s">
        <v>1396</v>
      </c>
      <c r="K286" s="6" t="str">
        <f t="shared" si="8"/>
        <v>3284,'BACHILLERATO','matias.zuloagasardo','008325','TOMAR DEL SND','ZULOAGA SARDO MATIAS','TRONCO COMÚN','2do','MASCULINO','ACTIVO','',0,0,'','ALUMNO'</v>
      </c>
      <c r="L286" s="6" t="str">
        <f t="shared" si="9"/>
        <v>INSERT INTO participantes (id,nivel,correo,matricula,clave,nombre,carrera,grado,sexo,situacion,evaluados,num_evaluados,total_evaluaciones,ultimo_acceso,nivel_acceso) VALUES (3284,'BACHILLERATO','matias.zuloagasardo','008325','TOMAR DEL SND','ZULOAGA SARDO MATIAS','TRONCO COMÚN','2do','MASCULINO','ACTIVO','',0,0,'','ALUMNO');</v>
      </c>
    </row>
    <row r="287" spans="1:12" x14ac:dyDescent="0.35">
      <c r="A287">
        <v>3285</v>
      </c>
      <c r="B287" s="1" t="s">
        <v>185</v>
      </c>
      <c r="C287" s="1" t="s">
        <v>469</v>
      </c>
      <c r="D287" s="1" t="s">
        <v>868</v>
      </c>
      <c r="E287" s="6" t="s">
        <v>174</v>
      </c>
      <c r="F287" s="1" t="s">
        <v>1267</v>
      </c>
      <c r="G287" s="1" t="s">
        <v>1390</v>
      </c>
      <c r="H287" s="1" t="s">
        <v>1393</v>
      </c>
      <c r="I287" s="1" t="s">
        <v>1394</v>
      </c>
      <c r="J287" s="1" t="s">
        <v>1396</v>
      </c>
      <c r="K287" s="6" t="str">
        <f t="shared" si="8"/>
        <v>3285,'BACHILLERATO','bibiana.fernandezalfaro','008326','TOMAR DEL SND','FERNANDEZ ALFARO BIBIANA','TRONCO COMÚN','2do','FEMENINO','ACTIVO','',0,0,'','ALUMNO'</v>
      </c>
      <c r="L287" s="6" t="str">
        <f t="shared" si="9"/>
        <v>INSERT INTO participantes (id,nivel,correo,matricula,clave,nombre,carrera,grado,sexo,situacion,evaluados,num_evaluados,total_evaluaciones,ultimo_acceso,nivel_acceso) VALUES (3285,'BACHILLERATO','bibiana.fernandezalfaro','008326','TOMAR DEL SND','FERNANDEZ ALFARO BIBIANA','TRONCO COMÚN','2do','FEMENINO','ACTIVO','',0,0,'','ALUMNO');</v>
      </c>
    </row>
    <row r="288" spans="1:12" x14ac:dyDescent="0.35">
      <c r="A288">
        <v>3286</v>
      </c>
      <c r="B288" s="1" t="s">
        <v>185</v>
      </c>
      <c r="C288" s="1" t="s">
        <v>470</v>
      </c>
      <c r="D288" s="1" t="s">
        <v>869</v>
      </c>
      <c r="E288" s="6" t="s">
        <v>174</v>
      </c>
      <c r="F288" s="1" t="s">
        <v>1268</v>
      </c>
      <c r="G288" s="1" t="s">
        <v>1390</v>
      </c>
      <c r="H288" s="1" t="s">
        <v>1393</v>
      </c>
      <c r="I288" s="1" t="s">
        <v>1395</v>
      </c>
      <c r="J288" s="1" t="s">
        <v>1396</v>
      </c>
      <c r="K288" s="6" t="str">
        <f t="shared" si="8"/>
        <v>3286,'BACHILLERATO','diegoalejandro.hernandezgonzalez','008327','TOMAR DEL SND','HERNANDEZ GONZALEZ DIEGO ALEJANDRO','TRONCO COMÚN','2do','MASCULINO','ACTIVO','',0,0,'','ALUMNO'</v>
      </c>
      <c r="L288" s="6" t="str">
        <f t="shared" si="9"/>
        <v>INSERT INTO participantes (id,nivel,correo,matricula,clave,nombre,carrera,grado,sexo,situacion,evaluados,num_evaluados,total_evaluaciones,ultimo_acceso,nivel_acceso) VALUES (3286,'BACHILLERATO','diegoalejandro.hernandezgonzalez','008327','TOMAR DEL SND','HERNANDEZ GONZALEZ DIEGO ALEJANDRO','TRONCO COMÚN','2do','MASCULINO','ACTIVO','',0,0,'','ALUMNO');</v>
      </c>
    </row>
    <row r="289" spans="1:12" x14ac:dyDescent="0.35">
      <c r="A289">
        <v>3287</v>
      </c>
      <c r="B289" s="1" t="s">
        <v>185</v>
      </c>
      <c r="C289" s="1" t="s">
        <v>471</v>
      </c>
      <c r="D289" s="1" t="s">
        <v>870</v>
      </c>
      <c r="E289" s="6" t="s">
        <v>174</v>
      </c>
      <c r="F289" s="1" t="s">
        <v>1269</v>
      </c>
      <c r="G289" s="1" t="s">
        <v>1390</v>
      </c>
      <c r="H289" s="1" t="s">
        <v>1393</v>
      </c>
      <c r="I289" s="1" t="s">
        <v>1395</v>
      </c>
      <c r="J289" s="1" t="s">
        <v>1396</v>
      </c>
      <c r="K289" s="6" t="str">
        <f t="shared" si="8"/>
        <v>3287,'BACHILLERATO','alejandro.velazquezcabezadevaca','008328','TOMAR DEL SND','VELAZQUEZ CABEZA DE VACA ALEJANDRO','TRONCO COMÚN','2do','MASCULINO','ACTIVO','',0,0,'','ALUMNO'</v>
      </c>
      <c r="L289" s="6" t="str">
        <f t="shared" si="9"/>
        <v>INSERT INTO participantes (id,nivel,correo,matricula,clave,nombre,carrera,grado,sexo,situacion,evaluados,num_evaluados,total_evaluaciones,ultimo_acceso,nivel_acceso) VALUES (3287,'BACHILLERATO','alejandro.velazquezcabezadevaca','008328','TOMAR DEL SND','VELAZQUEZ CABEZA DE VACA ALEJANDRO','TRONCO COMÚN','2do','MASCULINO','ACTIVO','',0,0,'','ALUMNO');</v>
      </c>
    </row>
    <row r="290" spans="1:12" x14ac:dyDescent="0.35">
      <c r="A290">
        <v>3288</v>
      </c>
      <c r="B290" s="1" t="s">
        <v>185</v>
      </c>
      <c r="C290" s="1" t="s">
        <v>472</v>
      </c>
      <c r="D290" s="1" t="s">
        <v>871</v>
      </c>
      <c r="E290" s="6" t="s">
        <v>174</v>
      </c>
      <c r="F290" s="1" t="s">
        <v>1270</v>
      </c>
      <c r="G290" s="1" t="s">
        <v>1390</v>
      </c>
      <c r="H290" s="1" t="s">
        <v>1393</v>
      </c>
      <c r="I290" s="1" t="s">
        <v>1395</v>
      </c>
      <c r="J290" s="1" t="s">
        <v>1396</v>
      </c>
      <c r="K290" s="6" t="str">
        <f t="shared" si="8"/>
        <v>3288,'BACHILLERATO','iker.caleralevi','008329','TOMAR DEL SND','CALERA LEVI IKER','TRONCO COMÚN','2do','MASCULINO','ACTIVO','',0,0,'','ALUMNO'</v>
      </c>
      <c r="L290" s="6" t="str">
        <f t="shared" si="9"/>
        <v>INSERT INTO participantes (id,nivel,correo,matricula,clave,nombre,carrera,grado,sexo,situacion,evaluados,num_evaluados,total_evaluaciones,ultimo_acceso,nivel_acceso) VALUES (3288,'BACHILLERATO','iker.caleralevi','008329','TOMAR DEL SND','CALERA LEVI IKER','TRONCO COMÚN','2do','MASCULINO','ACTIVO','',0,0,'','ALUMNO');</v>
      </c>
    </row>
    <row r="291" spans="1:12" x14ac:dyDescent="0.35">
      <c r="A291">
        <v>3289</v>
      </c>
      <c r="B291" s="1" t="s">
        <v>185</v>
      </c>
      <c r="C291" s="1" t="s">
        <v>473</v>
      </c>
      <c r="D291" s="1" t="s">
        <v>872</v>
      </c>
      <c r="E291" s="6" t="s">
        <v>174</v>
      </c>
      <c r="F291" s="1" t="s">
        <v>1271</v>
      </c>
      <c r="G291" s="1" t="s">
        <v>1390</v>
      </c>
      <c r="H291" s="1" t="s">
        <v>1393</v>
      </c>
      <c r="I291" s="1" t="s">
        <v>1394</v>
      </c>
      <c r="J291" s="1" t="s">
        <v>1396</v>
      </c>
      <c r="K291" s="6" t="str">
        <f t="shared" si="8"/>
        <v>3289,'BACHILLERATO','valentina.gonzalezgalindo','008330','TOMAR DEL SND','GONZALEZ GALINDO VALENTINA','TRONCO COMÚN','2do','FEMENINO','ACTIVO','',0,0,'','ALUMNO'</v>
      </c>
      <c r="L291" s="6" t="str">
        <f t="shared" si="9"/>
        <v>INSERT INTO participantes (id,nivel,correo,matricula,clave,nombre,carrera,grado,sexo,situacion,evaluados,num_evaluados,total_evaluaciones,ultimo_acceso,nivel_acceso) VALUES (3289,'BACHILLERATO','valentina.gonzalezgalindo','008330','TOMAR DEL SND','GONZALEZ GALINDO VALENTINA','TRONCO COMÚN','2do','FEMENINO','ACTIVO','',0,0,'','ALUMNO');</v>
      </c>
    </row>
    <row r="292" spans="1:12" x14ac:dyDescent="0.35">
      <c r="A292">
        <v>3290</v>
      </c>
      <c r="B292" s="1" t="s">
        <v>185</v>
      </c>
      <c r="C292" s="1" t="s">
        <v>474</v>
      </c>
      <c r="D292" s="1" t="s">
        <v>873</v>
      </c>
      <c r="E292" s="6" t="s">
        <v>174</v>
      </c>
      <c r="F292" s="1" t="s">
        <v>1272</v>
      </c>
      <c r="G292" s="1" t="s">
        <v>1390</v>
      </c>
      <c r="H292" s="1" t="s">
        <v>1393</v>
      </c>
      <c r="I292" s="1" t="s">
        <v>1394</v>
      </c>
      <c r="J292" s="1" t="s">
        <v>1396</v>
      </c>
      <c r="K292" s="6" t="str">
        <f t="shared" si="8"/>
        <v>3290,'BACHILLERATO','jenniferjanett.barreraperez','008331','TOMAR DEL SND','BARRERA PEREZ JENNIFER JANETT','TRONCO COMÚN','2do','FEMENINO','ACTIVO','',0,0,'','ALUMNO'</v>
      </c>
      <c r="L292" s="6" t="str">
        <f t="shared" si="9"/>
        <v>INSERT INTO participantes (id,nivel,correo,matricula,clave,nombre,carrera,grado,sexo,situacion,evaluados,num_evaluados,total_evaluaciones,ultimo_acceso,nivel_acceso) VALUES (3290,'BACHILLERATO','jenniferjanett.barreraperez','008331','TOMAR DEL SND','BARRERA PEREZ JENNIFER JANETT','TRONCO COMÚN','2do','FEMENINO','ACTIVO','',0,0,'','ALUMNO');</v>
      </c>
    </row>
    <row r="293" spans="1:12" x14ac:dyDescent="0.35">
      <c r="A293">
        <v>3291</v>
      </c>
      <c r="B293" s="1" t="s">
        <v>185</v>
      </c>
      <c r="C293" s="1" t="s">
        <v>475</v>
      </c>
      <c r="D293" s="1" t="s">
        <v>874</v>
      </c>
      <c r="E293" s="6" t="s">
        <v>174</v>
      </c>
      <c r="F293" s="1" t="s">
        <v>1273</v>
      </c>
      <c r="G293" s="1" t="s">
        <v>1390</v>
      </c>
      <c r="H293" s="1" t="s">
        <v>1393</v>
      </c>
      <c r="I293" s="1" t="s">
        <v>1394</v>
      </c>
      <c r="J293" s="1" t="s">
        <v>1396</v>
      </c>
      <c r="K293" s="6" t="str">
        <f t="shared" si="8"/>
        <v>3291,'BACHILLERATO','valentina.ordazsalcedo','008332','TOMAR DEL SND','ORDAZ SALCEDO VALENTINA','TRONCO COMÚN','2do','FEMENINO','ACTIVO','',0,0,'','ALUMNO'</v>
      </c>
      <c r="L293" s="6" t="str">
        <f t="shared" si="9"/>
        <v>INSERT INTO participantes (id,nivel,correo,matricula,clave,nombre,carrera,grado,sexo,situacion,evaluados,num_evaluados,total_evaluaciones,ultimo_acceso,nivel_acceso) VALUES (3291,'BACHILLERATO','valentina.ordazsalcedo','008332','TOMAR DEL SND','ORDAZ SALCEDO VALENTINA','TRONCO COMÚN','2do','FEMENINO','ACTIVO','',0,0,'','ALUMNO');</v>
      </c>
    </row>
    <row r="294" spans="1:12" x14ac:dyDescent="0.35">
      <c r="A294">
        <v>3292</v>
      </c>
      <c r="B294" s="1" t="s">
        <v>185</v>
      </c>
      <c r="C294" s="1" t="s">
        <v>476</v>
      </c>
      <c r="D294" s="1" t="s">
        <v>875</v>
      </c>
      <c r="E294" s="6" t="s">
        <v>174</v>
      </c>
      <c r="F294" s="1" t="s">
        <v>1274</v>
      </c>
      <c r="G294" s="1" t="s">
        <v>1390</v>
      </c>
      <c r="H294" s="1" t="s">
        <v>1393</v>
      </c>
      <c r="I294" s="1" t="s">
        <v>1395</v>
      </c>
      <c r="J294" s="1" t="s">
        <v>1396</v>
      </c>
      <c r="K294" s="6" t="str">
        <f t="shared" si="8"/>
        <v>3292,'BACHILLERATO','luisadrian.moyarobles','008333','TOMAR DEL SND','MOYA ROBLES LUIS ADRIAN','TRONCO COMÚN','2do','MASCULINO','ACTIVO','',0,0,'','ALUMNO'</v>
      </c>
      <c r="L294" s="6" t="str">
        <f t="shared" si="9"/>
        <v>INSERT INTO participantes (id,nivel,correo,matricula,clave,nombre,carrera,grado,sexo,situacion,evaluados,num_evaluados,total_evaluaciones,ultimo_acceso,nivel_acceso) VALUES (3292,'BACHILLERATO','luisadrian.moyarobles','008333','TOMAR DEL SND','MOYA ROBLES LUIS ADRIAN','TRONCO COMÚN','2do','MASCULINO','ACTIVO','',0,0,'','ALUMNO');</v>
      </c>
    </row>
    <row r="295" spans="1:12" x14ac:dyDescent="0.35">
      <c r="A295">
        <v>3293</v>
      </c>
      <c r="B295" s="1" t="s">
        <v>185</v>
      </c>
      <c r="C295" s="1" t="s">
        <v>477</v>
      </c>
      <c r="D295" s="1" t="s">
        <v>876</v>
      </c>
      <c r="E295" s="6" t="s">
        <v>174</v>
      </c>
      <c r="F295" s="1" t="s">
        <v>1275</v>
      </c>
      <c r="G295" s="1" t="s">
        <v>1388</v>
      </c>
      <c r="H295" s="1" t="s">
        <v>1392</v>
      </c>
      <c r="I295" s="1" t="s">
        <v>1394</v>
      </c>
      <c r="J295" s="1" t="s">
        <v>1396</v>
      </c>
      <c r="K295" s="6" t="str">
        <f t="shared" si="8"/>
        <v>3293,'BACHILLERATO','carmina.gonzalezgutierrez','008334','TOMAR DEL SND','GONZALEZ GUTIERREZ CARMINA','DISEÑO GRÁFICOA','4to','FEMENINO','ACTIVO','',0,0,'','ALUMNO'</v>
      </c>
      <c r="L295" s="6" t="str">
        <f t="shared" si="9"/>
        <v>INSERT INTO participantes (id,nivel,correo,matricula,clave,nombre,carrera,grado,sexo,situacion,evaluados,num_evaluados,total_evaluaciones,ultimo_acceso,nivel_acceso) VALUES (3293,'BACHILLERATO','carmina.gonzalezgutierrez','008334','TOMAR DEL SND','GONZALEZ GUTIERREZ CARMINA','DISEÑO GRÁFICOA','4to','FEMENINO','ACTIVO','',0,0,'','ALUMNO');</v>
      </c>
    </row>
    <row r="296" spans="1:12" x14ac:dyDescent="0.35">
      <c r="A296">
        <v>3294</v>
      </c>
      <c r="B296" s="1" t="s">
        <v>185</v>
      </c>
      <c r="C296" s="1" t="s">
        <v>478</v>
      </c>
      <c r="D296" s="1" t="s">
        <v>877</v>
      </c>
      <c r="E296" s="6" t="s">
        <v>174</v>
      </c>
      <c r="F296" s="1" t="s">
        <v>1276</v>
      </c>
      <c r="G296" s="1" t="s">
        <v>1390</v>
      </c>
      <c r="H296" s="1" t="s">
        <v>1393</v>
      </c>
      <c r="I296" s="1" t="s">
        <v>1394</v>
      </c>
      <c r="J296" s="1" t="s">
        <v>1396</v>
      </c>
      <c r="K296" s="6" t="str">
        <f t="shared" si="8"/>
        <v>3294,'BACHILLERATO','natalia.barbabuendia','008335','TOMAR DEL SND','BARBA BUENDIA NATALIA','TRONCO COMÚN','2do','FEMENINO','ACTIVO','',0,0,'','ALUMNO'</v>
      </c>
      <c r="L296" s="6" t="str">
        <f t="shared" si="9"/>
        <v>INSERT INTO participantes (id,nivel,correo,matricula,clave,nombre,carrera,grado,sexo,situacion,evaluados,num_evaluados,total_evaluaciones,ultimo_acceso,nivel_acceso) VALUES (3294,'BACHILLERATO','natalia.barbabuendia','008335','TOMAR DEL SND','BARBA BUENDIA NATALIA','TRONCO COMÚN','2do','FEMENINO','ACTIVO','',0,0,'','ALUMNO');</v>
      </c>
    </row>
    <row r="297" spans="1:12" x14ac:dyDescent="0.35">
      <c r="A297">
        <v>3295</v>
      </c>
      <c r="B297" s="1" t="s">
        <v>185</v>
      </c>
      <c r="C297" s="1" t="s">
        <v>479</v>
      </c>
      <c r="D297" s="1" t="s">
        <v>878</v>
      </c>
      <c r="E297" s="6" t="s">
        <v>174</v>
      </c>
      <c r="F297" s="1" t="s">
        <v>1277</v>
      </c>
      <c r="G297" s="1" t="s">
        <v>1390</v>
      </c>
      <c r="H297" s="1" t="s">
        <v>1393</v>
      </c>
      <c r="I297" s="1" t="s">
        <v>1394</v>
      </c>
      <c r="J297" s="1" t="s">
        <v>1396</v>
      </c>
      <c r="K297" s="6" t="str">
        <f t="shared" si="8"/>
        <v>3295,'BACHILLERATO','anniaregina.riverajauregui','008336','TOMAR DEL SND','RIVERA JAUREGUI ANNIA REGINA','TRONCO COMÚN','2do','FEMENINO','ACTIVO','',0,0,'','ALUMNO'</v>
      </c>
      <c r="L297" s="6" t="str">
        <f t="shared" si="9"/>
        <v>INSERT INTO participantes (id,nivel,correo,matricula,clave,nombre,carrera,grado,sexo,situacion,evaluados,num_evaluados,total_evaluaciones,ultimo_acceso,nivel_acceso) VALUES (3295,'BACHILLERATO','anniaregina.riverajauregui','008336','TOMAR DEL SND','RIVERA JAUREGUI ANNIA REGINA','TRONCO COMÚN','2do','FEMENINO','ACTIVO','',0,0,'','ALUMNO');</v>
      </c>
    </row>
    <row r="298" spans="1:12" x14ac:dyDescent="0.35">
      <c r="A298">
        <v>3296</v>
      </c>
      <c r="B298" s="1" t="s">
        <v>185</v>
      </c>
      <c r="C298" s="1" t="s">
        <v>480</v>
      </c>
      <c r="D298" s="1" t="s">
        <v>879</v>
      </c>
      <c r="E298" s="6" t="s">
        <v>174</v>
      </c>
      <c r="F298" s="1" t="s">
        <v>1278</v>
      </c>
      <c r="G298" s="1" t="s">
        <v>1390</v>
      </c>
      <c r="H298" s="1" t="s">
        <v>1393</v>
      </c>
      <c r="I298" s="1" t="s">
        <v>1395</v>
      </c>
      <c r="J298" s="1" t="s">
        <v>1396</v>
      </c>
      <c r="K298" s="6" t="str">
        <f t="shared" si="8"/>
        <v>3296,'BACHILLERATO','carlos.avinamichel','008337','TOMAR DEL SND','AVIÑA MICHEL CARLOS','TRONCO COMÚN','2do','MASCULINO','ACTIVO','',0,0,'','ALUMNO'</v>
      </c>
      <c r="L298" s="6" t="str">
        <f t="shared" si="9"/>
        <v>INSERT INTO participantes (id,nivel,correo,matricula,clave,nombre,carrera,grado,sexo,situacion,evaluados,num_evaluados,total_evaluaciones,ultimo_acceso,nivel_acceso) VALUES (3296,'BACHILLERATO','carlos.avinamichel','008337','TOMAR DEL SND','AVIÑA MICHEL CARLOS','TRONCO COMÚN','2do','MASCULINO','ACTIVO','',0,0,'','ALUMNO');</v>
      </c>
    </row>
    <row r="299" spans="1:12" x14ac:dyDescent="0.35">
      <c r="A299">
        <v>3297</v>
      </c>
      <c r="B299" s="1" t="s">
        <v>185</v>
      </c>
      <c r="C299" s="1" t="s">
        <v>481</v>
      </c>
      <c r="D299" s="1" t="s">
        <v>880</v>
      </c>
      <c r="E299" s="6" t="s">
        <v>174</v>
      </c>
      <c r="F299" s="1" t="s">
        <v>1279</v>
      </c>
      <c r="G299" s="1" t="s">
        <v>1390</v>
      </c>
      <c r="H299" s="1" t="s">
        <v>1393</v>
      </c>
      <c r="I299" s="1" t="s">
        <v>1394</v>
      </c>
      <c r="J299" s="1" t="s">
        <v>1396</v>
      </c>
      <c r="K299" s="6" t="str">
        <f t="shared" si="8"/>
        <v>3297,'BACHILLERATO','estefania.suarezvazquez','008338','TOMAR DEL SND','SUAREZ VAZQUEZ ESTEFANIA','TRONCO COMÚN','2do','FEMENINO','ACTIVO','',0,0,'','ALUMNO'</v>
      </c>
      <c r="L299" s="6" t="str">
        <f t="shared" si="9"/>
        <v>INSERT INTO participantes (id,nivel,correo,matricula,clave,nombre,carrera,grado,sexo,situacion,evaluados,num_evaluados,total_evaluaciones,ultimo_acceso,nivel_acceso) VALUES (3297,'BACHILLERATO','estefania.suarezvazquez','008338','TOMAR DEL SND','SUAREZ VAZQUEZ ESTEFANIA','TRONCO COMÚN','2do','FEMENINO','ACTIVO','',0,0,'','ALUMNO');</v>
      </c>
    </row>
    <row r="300" spans="1:12" x14ac:dyDescent="0.35">
      <c r="A300">
        <v>3298</v>
      </c>
      <c r="B300" s="1" t="s">
        <v>185</v>
      </c>
      <c r="C300" s="1" t="s">
        <v>482</v>
      </c>
      <c r="D300" s="1" t="s">
        <v>881</v>
      </c>
      <c r="E300" s="6" t="s">
        <v>174</v>
      </c>
      <c r="F300" s="1" t="s">
        <v>1280</v>
      </c>
      <c r="G300" s="1" t="s">
        <v>1390</v>
      </c>
      <c r="H300" s="1" t="s">
        <v>1393</v>
      </c>
      <c r="I300" s="1" t="s">
        <v>1394</v>
      </c>
      <c r="J300" s="1" t="s">
        <v>1396</v>
      </c>
      <c r="K300" s="6" t="str">
        <f t="shared" si="8"/>
        <v>3298,'BACHILLERATO','carlaflorenciavalentina.ramirezalvarez','008339','TOMAR DEL SND','RAMIREZ ALVAREZ CARLA FLORENCIA VALENTINA','TRONCO COMÚN','2do','FEMENINO','ACTIVO','',0,0,'','ALUMNO'</v>
      </c>
      <c r="L300" s="6" t="str">
        <f t="shared" si="9"/>
        <v>INSERT INTO participantes (id,nivel,correo,matricula,clave,nombre,carrera,grado,sexo,situacion,evaluados,num_evaluados,total_evaluaciones,ultimo_acceso,nivel_acceso) VALUES (3298,'BACHILLERATO','carlaflorenciavalentina.ramirezalvarez','008339','TOMAR DEL SND','RAMIREZ ALVAREZ CARLA FLORENCIA VALENTINA','TRONCO COMÚN','2do','FEMENINO','ACTIVO','',0,0,'','ALUMNO');</v>
      </c>
    </row>
    <row r="301" spans="1:12" x14ac:dyDescent="0.35">
      <c r="A301">
        <v>3299</v>
      </c>
      <c r="B301" s="1" t="s">
        <v>185</v>
      </c>
      <c r="C301" s="1" t="s">
        <v>483</v>
      </c>
      <c r="D301" s="1" t="s">
        <v>882</v>
      </c>
      <c r="E301" s="6" t="s">
        <v>174</v>
      </c>
      <c r="F301" s="1" t="s">
        <v>1281</v>
      </c>
      <c r="G301" s="1" t="s">
        <v>1390</v>
      </c>
      <c r="H301" s="1" t="s">
        <v>1393</v>
      </c>
      <c r="I301" s="1" t="s">
        <v>1395</v>
      </c>
      <c r="J301" s="1" t="s">
        <v>1396</v>
      </c>
      <c r="K301" s="6" t="str">
        <f t="shared" si="8"/>
        <v>3299,'BACHILLERATO','juanricardo.delatorrelopez','008340','TOMAR DEL SND','DE LA TORRE LOPEZ JUAN RICARDO','TRONCO COMÚN','2do','MASCULINO','ACTIVO','',0,0,'','ALUMNO'</v>
      </c>
      <c r="L301" s="6" t="str">
        <f t="shared" si="9"/>
        <v>INSERT INTO participantes (id,nivel,correo,matricula,clave,nombre,carrera,grado,sexo,situacion,evaluados,num_evaluados,total_evaluaciones,ultimo_acceso,nivel_acceso) VALUES (3299,'BACHILLERATO','juanricardo.delatorrelopez','008340','TOMAR DEL SND','DE LA TORRE LOPEZ JUAN RICARDO','TRONCO COMÚN','2do','MASCULINO','ACTIVO','',0,0,'','ALUMNO');</v>
      </c>
    </row>
    <row r="302" spans="1:12" x14ac:dyDescent="0.35">
      <c r="A302">
        <v>3300</v>
      </c>
      <c r="B302" s="1" t="s">
        <v>185</v>
      </c>
      <c r="C302" s="1" t="s">
        <v>484</v>
      </c>
      <c r="D302" s="1" t="s">
        <v>883</v>
      </c>
      <c r="E302" s="6" t="s">
        <v>174</v>
      </c>
      <c r="F302" s="1" t="s">
        <v>1282</v>
      </c>
      <c r="G302" s="1" t="s">
        <v>1390</v>
      </c>
      <c r="H302" s="1" t="s">
        <v>1393</v>
      </c>
      <c r="I302" s="1" t="s">
        <v>1395</v>
      </c>
      <c r="J302" s="1" t="s">
        <v>1396</v>
      </c>
      <c r="K302" s="6" t="str">
        <f t="shared" si="8"/>
        <v>3300,'BACHILLERATO','santiago.ortegalomeli','008341','TOMAR DEL SND','ORTEGA LOMELI SANTIAGO','TRONCO COMÚN','2do','MASCULINO','ACTIVO','',0,0,'','ALUMNO'</v>
      </c>
      <c r="L302" s="6" t="str">
        <f t="shared" si="9"/>
        <v>INSERT INTO participantes (id,nivel,correo,matricula,clave,nombre,carrera,grado,sexo,situacion,evaluados,num_evaluados,total_evaluaciones,ultimo_acceso,nivel_acceso) VALUES (3300,'BACHILLERATO','santiago.ortegalomeli','008341','TOMAR DEL SND','ORTEGA LOMELI SANTIAGO','TRONCO COMÚN','2do','MASCULINO','ACTIVO','',0,0,'','ALUMNO');</v>
      </c>
    </row>
    <row r="303" spans="1:12" x14ac:dyDescent="0.35">
      <c r="A303">
        <v>3301</v>
      </c>
      <c r="B303" s="1" t="s">
        <v>185</v>
      </c>
      <c r="C303" s="1" t="s">
        <v>485</v>
      </c>
      <c r="D303" s="1" t="s">
        <v>884</v>
      </c>
      <c r="E303" s="6" t="s">
        <v>174</v>
      </c>
      <c r="F303" s="1" t="s">
        <v>1283</v>
      </c>
      <c r="G303" s="1" t="s">
        <v>1387</v>
      </c>
      <c r="H303" s="1" t="s">
        <v>1392</v>
      </c>
      <c r="I303" s="1" t="s">
        <v>1394</v>
      </c>
      <c r="J303" s="1" t="s">
        <v>1398</v>
      </c>
      <c r="K303" s="6" t="str">
        <f t="shared" si="8"/>
        <v>3301,'BACHILLERATO','ivana.realalvarado','008342','TOMAR DEL SND','REAL ALVARADO IVANA','HIGIENE Y SALUD COMUNITARIAA','4to','FEMENINO','BLOQUEADO','',0,0,'','ALUMNO'</v>
      </c>
      <c r="L303" s="6" t="str">
        <f t="shared" si="9"/>
        <v>INSERT INTO participantes (id,nivel,correo,matricula,clave,nombre,carrera,grado,sexo,situacion,evaluados,num_evaluados,total_evaluaciones,ultimo_acceso,nivel_acceso) VALUES (3301,'BACHILLERATO','ivana.realalvarado','008342','TOMAR DEL SND','REAL ALVARADO IVANA','HIGIENE Y SALUD COMUNITARIAA','4to','FEMENINO','BLOQUEADO','',0,0,'','ALUMNO');</v>
      </c>
    </row>
    <row r="304" spans="1:12" x14ac:dyDescent="0.35">
      <c r="A304">
        <v>3302</v>
      </c>
      <c r="B304" s="1" t="s">
        <v>185</v>
      </c>
      <c r="C304" s="1" t="s">
        <v>486</v>
      </c>
      <c r="D304" s="1" t="s">
        <v>885</v>
      </c>
      <c r="E304" s="6" t="s">
        <v>174</v>
      </c>
      <c r="F304" s="1" t="s">
        <v>1284</v>
      </c>
      <c r="G304" s="1" t="s">
        <v>1385</v>
      </c>
      <c r="H304" s="1" t="s">
        <v>1391</v>
      </c>
      <c r="I304" s="1" t="s">
        <v>1394</v>
      </c>
      <c r="J304" s="1" t="s">
        <v>1396</v>
      </c>
      <c r="K304" s="6" t="str">
        <f t="shared" si="8"/>
        <v>3302,'BACHILLERATO','dianacamila.gutierrezlugo','008343','TOMAR DEL SND','GUTIERREZ LUGO DIANA CAMILA','COMUNICACIÓN','6to','FEMENINO','ACTIVO','',0,0,'','ALUMNO'</v>
      </c>
      <c r="L304" s="6" t="str">
        <f t="shared" si="9"/>
        <v>INSERT INTO participantes (id,nivel,correo,matricula,clave,nombre,carrera,grado,sexo,situacion,evaluados,num_evaluados,total_evaluaciones,ultimo_acceso,nivel_acceso) VALUES (3302,'BACHILLERATO','dianacamila.gutierrezlugo','008343','TOMAR DEL SND','GUTIERREZ LUGO DIANA CAMILA','COMUNICACIÓN','6to','FEMENINO','ACTIVO','',0,0,'','ALUMNO');</v>
      </c>
    </row>
    <row r="305" spans="1:12" x14ac:dyDescent="0.35">
      <c r="A305">
        <v>3303</v>
      </c>
      <c r="B305" s="1" t="s">
        <v>185</v>
      </c>
      <c r="C305" s="1" t="s">
        <v>487</v>
      </c>
      <c r="D305" s="1" t="s">
        <v>886</v>
      </c>
      <c r="E305" s="6" t="s">
        <v>174</v>
      </c>
      <c r="F305" s="1" t="s">
        <v>1285</v>
      </c>
      <c r="G305" s="1" t="s">
        <v>1390</v>
      </c>
      <c r="H305" s="1" t="s">
        <v>1393</v>
      </c>
      <c r="I305" s="1" t="s">
        <v>1394</v>
      </c>
      <c r="J305" s="1" t="s">
        <v>1396</v>
      </c>
      <c r="K305" s="6" t="str">
        <f t="shared" si="8"/>
        <v>3303,'BACHILLERATO','natalia.manzanorojas','008344','TOMAR DEL SND','MANZANO ROJAS NATALIA','TRONCO COMÚN','2do','FEMENINO','ACTIVO','',0,0,'','ALUMNO'</v>
      </c>
      <c r="L305" s="6" t="str">
        <f t="shared" si="9"/>
        <v>INSERT INTO participantes (id,nivel,correo,matricula,clave,nombre,carrera,grado,sexo,situacion,evaluados,num_evaluados,total_evaluaciones,ultimo_acceso,nivel_acceso) VALUES (3303,'BACHILLERATO','natalia.manzanorojas','008344','TOMAR DEL SND','MANZANO ROJAS NATALIA','TRONCO COMÚN','2do','FEMENINO','ACTIVO','',0,0,'','ALUMNO');</v>
      </c>
    </row>
    <row r="306" spans="1:12" x14ac:dyDescent="0.35">
      <c r="A306">
        <v>3304</v>
      </c>
      <c r="B306" s="1" t="s">
        <v>185</v>
      </c>
      <c r="C306" s="1" t="s">
        <v>488</v>
      </c>
      <c r="D306" s="1" t="s">
        <v>887</v>
      </c>
      <c r="E306" s="6" t="s">
        <v>174</v>
      </c>
      <c r="F306" s="1" t="s">
        <v>1286</v>
      </c>
      <c r="G306" s="1" t="s">
        <v>1390</v>
      </c>
      <c r="H306" s="1" t="s">
        <v>1393</v>
      </c>
      <c r="I306" s="1" t="s">
        <v>1395</v>
      </c>
      <c r="J306" s="1" t="s">
        <v>1396</v>
      </c>
      <c r="K306" s="6" t="str">
        <f t="shared" si="8"/>
        <v>3304,'BACHILLERATO','juanangel.rodriguezorozco','008345','TOMAR DEL SND','RODRIGUEZ OROZCO JUAN ANGEL','TRONCO COMÚN','2do','MASCULINO','ACTIVO','',0,0,'','ALUMNO'</v>
      </c>
      <c r="L306" s="6" t="str">
        <f t="shared" si="9"/>
        <v>INSERT INTO participantes (id,nivel,correo,matricula,clave,nombre,carrera,grado,sexo,situacion,evaluados,num_evaluados,total_evaluaciones,ultimo_acceso,nivel_acceso) VALUES (3304,'BACHILLERATO','juanangel.rodriguezorozco','008345','TOMAR DEL SND','RODRIGUEZ OROZCO JUAN ANGEL','TRONCO COMÚN','2do','MASCULINO','ACTIVO','',0,0,'','ALUMNO');</v>
      </c>
    </row>
    <row r="307" spans="1:12" x14ac:dyDescent="0.35">
      <c r="A307">
        <v>3305</v>
      </c>
      <c r="B307" s="1" t="s">
        <v>185</v>
      </c>
      <c r="C307" s="1" t="s">
        <v>489</v>
      </c>
      <c r="D307" s="1" t="s">
        <v>888</v>
      </c>
      <c r="E307" s="6" t="s">
        <v>174</v>
      </c>
      <c r="F307" s="1" t="s">
        <v>1287</v>
      </c>
      <c r="G307" s="1" t="s">
        <v>1390</v>
      </c>
      <c r="H307" s="1" t="s">
        <v>1393</v>
      </c>
      <c r="I307" s="1" t="s">
        <v>1394</v>
      </c>
      <c r="J307" s="1" t="s">
        <v>1396</v>
      </c>
      <c r="K307" s="6" t="str">
        <f t="shared" si="8"/>
        <v>3305,'BACHILLERATO','mariajose.zamorasalazar','008346','TOMAR DEL SND','ZAMORA SALAZAR MARIA JOSE','TRONCO COMÚN','2do','FEMENINO','ACTIVO','',0,0,'','ALUMNO'</v>
      </c>
      <c r="L307" s="6" t="str">
        <f t="shared" si="9"/>
        <v>INSERT INTO participantes (id,nivel,correo,matricula,clave,nombre,carrera,grado,sexo,situacion,evaluados,num_evaluados,total_evaluaciones,ultimo_acceso,nivel_acceso) VALUES (3305,'BACHILLERATO','mariajose.zamorasalazar','008346','TOMAR DEL SND','ZAMORA SALAZAR MARIA JOSE','TRONCO COMÚN','2do','FEMENINO','ACTIVO','',0,0,'','ALUMNO');</v>
      </c>
    </row>
    <row r="308" spans="1:12" x14ac:dyDescent="0.35">
      <c r="A308">
        <v>3306</v>
      </c>
      <c r="B308" s="1" t="s">
        <v>185</v>
      </c>
      <c r="C308" s="1" t="s">
        <v>490</v>
      </c>
      <c r="D308" s="1" t="s">
        <v>889</v>
      </c>
      <c r="E308" s="6" t="s">
        <v>174</v>
      </c>
      <c r="F308" s="1" t="s">
        <v>1288</v>
      </c>
      <c r="G308" s="1" t="s">
        <v>1390</v>
      </c>
      <c r="H308" s="1" t="s">
        <v>1393</v>
      </c>
      <c r="I308" s="1" t="s">
        <v>1394</v>
      </c>
      <c r="J308" s="1" t="s">
        <v>1396</v>
      </c>
      <c r="K308" s="6" t="str">
        <f t="shared" si="8"/>
        <v>3306,'BACHILLERATO','miriamceleste.ruizjimenez','008347','TOMAR DEL SND','RUIZ JIMENEZ MIRIAM CELESTE','TRONCO COMÚN','2do','FEMENINO','ACTIVO','',0,0,'','ALUMNO'</v>
      </c>
      <c r="L308" s="6" t="str">
        <f t="shared" si="9"/>
        <v>INSERT INTO participantes (id,nivel,correo,matricula,clave,nombre,carrera,grado,sexo,situacion,evaluados,num_evaluados,total_evaluaciones,ultimo_acceso,nivel_acceso) VALUES (3306,'BACHILLERATO','miriamceleste.ruizjimenez','008347','TOMAR DEL SND','RUIZ JIMENEZ MIRIAM CELESTE','TRONCO COMÚN','2do','FEMENINO','ACTIVO','',0,0,'','ALUMNO');</v>
      </c>
    </row>
    <row r="309" spans="1:12" x14ac:dyDescent="0.35">
      <c r="A309">
        <v>3307</v>
      </c>
      <c r="B309" s="1" t="s">
        <v>185</v>
      </c>
      <c r="C309" s="1" t="s">
        <v>491</v>
      </c>
      <c r="D309" s="1" t="s">
        <v>890</v>
      </c>
      <c r="E309" s="6" t="s">
        <v>174</v>
      </c>
      <c r="F309" s="1" t="s">
        <v>1289</v>
      </c>
      <c r="G309" s="1" t="s">
        <v>1390</v>
      </c>
      <c r="H309" s="1" t="s">
        <v>1393</v>
      </c>
      <c r="I309" s="1" t="s">
        <v>1395</v>
      </c>
      <c r="J309" s="1" t="s">
        <v>1396</v>
      </c>
      <c r="K309" s="6" t="str">
        <f t="shared" si="8"/>
        <v>3307,'BACHILLERATO','luisjesus.hernandezgutierrez','008348','TOMAR DEL SND','HERNANDEZ GUTIERREZ LUIS  JESUS','TRONCO COMÚN','2do','MASCULINO','ACTIVO','',0,0,'','ALUMNO'</v>
      </c>
      <c r="L309" s="6" t="str">
        <f t="shared" si="9"/>
        <v>INSERT INTO participantes (id,nivel,correo,matricula,clave,nombre,carrera,grado,sexo,situacion,evaluados,num_evaluados,total_evaluaciones,ultimo_acceso,nivel_acceso) VALUES (3307,'BACHILLERATO','luisjesus.hernandezgutierrez','008348','TOMAR DEL SND','HERNANDEZ GUTIERREZ LUIS  JESUS','TRONCO COMÚN','2do','MASCULINO','ACTIVO','',0,0,'','ALUMNO');</v>
      </c>
    </row>
    <row r="310" spans="1:12" x14ac:dyDescent="0.35">
      <c r="A310">
        <v>3308</v>
      </c>
      <c r="B310" s="1" t="s">
        <v>185</v>
      </c>
      <c r="C310" s="1" t="s">
        <v>492</v>
      </c>
      <c r="D310" s="1" t="s">
        <v>891</v>
      </c>
      <c r="E310" s="6" t="s">
        <v>174</v>
      </c>
      <c r="F310" s="1" t="s">
        <v>1290</v>
      </c>
      <c r="G310" s="1" t="s">
        <v>1390</v>
      </c>
      <c r="H310" s="1" t="s">
        <v>1393</v>
      </c>
      <c r="I310" s="1" t="s">
        <v>1394</v>
      </c>
      <c r="J310" s="1" t="s">
        <v>1396</v>
      </c>
      <c r="K310" s="6" t="str">
        <f t="shared" si="8"/>
        <v>3308,'BACHILLERATO','dannaleah.zavalarobles','008349','TOMAR DEL SND','ZAVALA ROBLES DANNA LEAH','TRONCO COMÚN','2do','FEMENINO','ACTIVO','',0,0,'','ALUMNO'</v>
      </c>
      <c r="L310" s="6" t="str">
        <f t="shared" si="9"/>
        <v>INSERT INTO participantes (id,nivel,correo,matricula,clave,nombre,carrera,grado,sexo,situacion,evaluados,num_evaluados,total_evaluaciones,ultimo_acceso,nivel_acceso) VALUES (3308,'BACHILLERATO','dannaleah.zavalarobles','008349','TOMAR DEL SND','ZAVALA ROBLES DANNA LEAH','TRONCO COMÚN','2do','FEMENINO','ACTIVO','',0,0,'','ALUMNO');</v>
      </c>
    </row>
    <row r="311" spans="1:12" x14ac:dyDescent="0.35">
      <c r="A311">
        <v>3309</v>
      </c>
      <c r="B311" s="1" t="s">
        <v>185</v>
      </c>
      <c r="C311" s="1" t="s">
        <v>493</v>
      </c>
      <c r="D311" s="1" t="s">
        <v>892</v>
      </c>
      <c r="E311" s="6" t="s">
        <v>174</v>
      </c>
      <c r="F311" s="1" t="s">
        <v>1291</v>
      </c>
      <c r="G311" s="1" t="s">
        <v>1390</v>
      </c>
      <c r="H311" s="1" t="s">
        <v>1393</v>
      </c>
      <c r="I311" s="1" t="s">
        <v>1395</v>
      </c>
      <c r="J311" s="1" t="s">
        <v>1396</v>
      </c>
      <c r="K311" s="6" t="str">
        <f t="shared" si="8"/>
        <v>3309,'BACHILLERATO','andre.gomezaceves','008350','TOMAR DEL SND','GOMEZ ACEVES ANDRE','TRONCO COMÚN','2do','MASCULINO','ACTIVO','',0,0,'','ALUMNO'</v>
      </c>
      <c r="L311" s="6" t="str">
        <f t="shared" si="9"/>
        <v>INSERT INTO participantes (id,nivel,correo,matricula,clave,nombre,carrera,grado,sexo,situacion,evaluados,num_evaluados,total_evaluaciones,ultimo_acceso,nivel_acceso) VALUES (3309,'BACHILLERATO','andre.gomezaceves','008350','TOMAR DEL SND','GOMEZ ACEVES ANDRE','TRONCO COMÚN','2do','MASCULINO','ACTIVO','',0,0,'','ALUMNO');</v>
      </c>
    </row>
    <row r="312" spans="1:12" x14ac:dyDescent="0.35">
      <c r="A312">
        <v>3310</v>
      </c>
      <c r="B312" s="1" t="s">
        <v>185</v>
      </c>
      <c r="C312" s="1" t="s">
        <v>494</v>
      </c>
      <c r="D312" s="1" t="s">
        <v>893</v>
      </c>
      <c r="E312" s="6" t="s">
        <v>174</v>
      </c>
      <c r="F312" s="1" t="s">
        <v>1292</v>
      </c>
      <c r="G312" s="1" t="s">
        <v>1390</v>
      </c>
      <c r="H312" s="1" t="s">
        <v>1393</v>
      </c>
      <c r="I312" s="1" t="s">
        <v>1395</v>
      </c>
      <c r="J312" s="1" t="s">
        <v>1396</v>
      </c>
      <c r="K312" s="6" t="str">
        <f t="shared" si="8"/>
        <v>3310,'BACHILLERATO','sebastian.benavidesmacias','008351','TOMAR DEL SND','BENAVIDES MACIAS SEBASTIAN','TRONCO COMÚN','2do','MASCULINO','ACTIVO','',0,0,'','ALUMNO'</v>
      </c>
      <c r="L312" s="6" t="str">
        <f t="shared" si="9"/>
        <v>INSERT INTO participantes (id,nivel,correo,matricula,clave,nombre,carrera,grado,sexo,situacion,evaluados,num_evaluados,total_evaluaciones,ultimo_acceso,nivel_acceso) VALUES (3310,'BACHILLERATO','sebastian.benavidesmacias','008351','TOMAR DEL SND','BENAVIDES MACIAS SEBASTIAN','TRONCO COMÚN','2do','MASCULINO','ACTIVO','',0,0,'','ALUMNO');</v>
      </c>
    </row>
    <row r="313" spans="1:12" x14ac:dyDescent="0.35">
      <c r="A313">
        <v>3311</v>
      </c>
      <c r="B313" s="1" t="s">
        <v>185</v>
      </c>
      <c r="C313" s="1" t="s">
        <v>495</v>
      </c>
      <c r="D313" s="1" t="s">
        <v>894</v>
      </c>
      <c r="E313" s="6" t="s">
        <v>174</v>
      </c>
      <c r="F313" s="1" t="s">
        <v>1293</v>
      </c>
      <c r="G313" s="1" t="s">
        <v>1390</v>
      </c>
      <c r="H313" s="1" t="s">
        <v>1393</v>
      </c>
      <c r="I313" s="1" t="s">
        <v>1394</v>
      </c>
      <c r="J313" s="1" t="s">
        <v>1396</v>
      </c>
      <c r="K313" s="6" t="str">
        <f t="shared" si="8"/>
        <v>3311,'BACHILLERATO','alexianicole.sosachavoya','008352','TOMAR DEL SND','SOSA CHAVOYA ALEXIA NICOLE','TRONCO COMÚN','2do','FEMENINO','ACTIVO','',0,0,'','ALUMNO'</v>
      </c>
      <c r="L313" s="6" t="str">
        <f t="shared" si="9"/>
        <v>INSERT INTO participantes (id,nivel,correo,matricula,clave,nombre,carrera,grado,sexo,situacion,evaluados,num_evaluados,total_evaluaciones,ultimo_acceso,nivel_acceso) VALUES (3311,'BACHILLERATO','alexianicole.sosachavoya','008352','TOMAR DEL SND','SOSA CHAVOYA ALEXIA NICOLE','TRONCO COMÚN','2do','FEMENINO','ACTIVO','',0,0,'','ALUMNO');</v>
      </c>
    </row>
    <row r="314" spans="1:12" x14ac:dyDescent="0.35">
      <c r="A314">
        <v>3312</v>
      </c>
      <c r="B314" s="1" t="s">
        <v>185</v>
      </c>
      <c r="C314" s="1" t="s">
        <v>496</v>
      </c>
      <c r="D314" s="1" t="s">
        <v>895</v>
      </c>
      <c r="E314" s="6" t="s">
        <v>174</v>
      </c>
      <c r="F314" s="1" t="s">
        <v>1294</v>
      </c>
      <c r="G314" s="1" t="s">
        <v>1390</v>
      </c>
      <c r="H314" s="1" t="s">
        <v>1393</v>
      </c>
      <c r="I314" s="1" t="s">
        <v>1395</v>
      </c>
      <c r="J314" s="1" t="s">
        <v>1396</v>
      </c>
      <c r="K314" s="6" t="str">
        <f t="shared" si="8"/>
        <v>3312,'BACHILLERATO','heliossantiago.lopezortiz','008353','TOMAR DEL SND','LOPEZ ORTIZ HELIOS SANTIAGO','TRONCO COMÚN','2do','MASCULINO','ACTIVO','',0,0,'','ALUMNO'</v>
      </c>
      <c r="L314" s="6" t="str">
        <f t="shared" si="9"/>
        <v>INSERT INTO participantes (id,nivel,correo,matricula,clave,nombre,carrera,grado,sexo,situacion,evaluados,num_evaluados,total_evaluaciones,ultimo_acceso,nivel_acceso) VALUES (3312,'BACHILLERATO','heliossantiago.lopezortiz','008353','TOMAR DEL SND','LOPEZ ORTIZ HELIOS SANTIAGO','TRONCO COMÚN','2do','MASCULINO','ACTIVO','',0,0,'','ALUMNO');</v>
      </c>
    </row>
    <row r="315" spans="1:12" x14ac:dyDescent="0.35">
      <c r="A315">
        <v>3313</v>
      </c>
      <c r="B315" s="1" t="s">
        <v>185</v>
      </c>
      <c r="C315" s="1" t="s">
        <v>497</v>
      </c>
      <c r="D315" s="1" t="s">
        <v>896</v>
      </c>
      <c r="E315" s="6" t="s">
        <v>174</v>
      </c>
      <c r="F315" s="1" t="s">
        <v>1295</v>
      </c>
      <c r="G315" s="1" t="s">
        <v>1390</v>
      </c>
      <c r="H315" s="1" t="s">
        <v>1393</v>
      </c>
      <c r="I315" s="1" t="s">
        <v>1394</v>
      </c>
      <c r="J315" s="1" t="s">
        <v>1396</v>
      </c>
      <c r="K315" s="6" t="str">
        <f t="shared" si="8"/>
        <v>3313,'BACHILLERATO','kimberlyveronica.mezacastro','008354','TOMAR DEL SND','MEZA CASTRO KIMBERLY VERONICA','TRONCO COMÚN','2do','FEMENINO','ACTIVO','',0,0,'','ALUMNO'</v>
      </c>
      <c r="L315" s="6" t="str">
        <f t="shared" si="9"/>
        <v>INSERT INTO participantes (id,nivel,correo,matricula,clave,nombre,carrera,grado,sexo,situacion,evaluados,num_evaluados,total_evaluaciones,ultimo_acceso,nivel_acceso) VALUES (3313,'BACHILLERATO','kimberlyveronica.mezacastro','008354','TOMAR DEL SND','MEZA CASTRO KIMBERLY VERONICA','TRONCO COMÚN','2do','FEMENINO','ACTIVO','',0,0,'','ALUMNO');</v>
      </c>
    </row>
    <row r="316" spans="1:12" x14ac:dyDescent="0.35">
      <c r="A316">
        <v>3314</v>
      </c>
      <c r="B316" s="1" t="s">
        <v>185</v>
      </c>
      <c r="C316" s="1" t="s">
        <v>498</v>
      </c>
      <c r="D316" s="1" t="s">
        <v>897</v>
      </c>
      <c r="E316" s="6" t="s">
        <v>174</v>
      </c>
      <c r="F316" s="1" t="s">
        <v>1296</v>
      </c>
      <c r="G316" s="1" t="s">
        <v>1390</v>
      </c>
      <c r="H316" s="1" t="s">
        <v>1393</v>
      </c>
      <c r="I316" s="1" t="s">
        <v>1395</v>
      </c>
      <c r="J316" s="1" t="s">
        <v>1396</v>
      </c>
      <c r="K316" s="6" t="str">
        <f t="shared" si="8"/>
        <v>3314,'BACHILLERATO','marcoantonio.sotoramirez','008355','TOMAR DEL SND','SOTO RAMIREZ MARCO ANTONIO','TRONCO COMÚN','2do','MASCULINO','ACTIVO','',0,0,'','ALUMNO'</v>
      </c>
      <c r="L316" s="6" t="str">
        <f t="shared" si="9"/>
        <v>INSERT INTO participantes (id,nivel,correo,matricula,clave,nombre,carrera,grado,sexo,situacion,evaluados,num_evaluados,total_evaluaciones,ultimo_acceso,nivel_acceso) VALUES (3314,'BACHILLERATO','marcoantonio.sotoramirez','008355','TOMAR DEL SND','SOTO RAMIREZ MARCO ANTONIO','TRONCO COMÚN','2do','MASCULINO','ACTIVO','',0,0,'','ALUMNO');</v>
      </c>
    </row>
    <row r="317" spans="1:12" x14ac:dyDescent="0.35">
      <c r="A317">
        <v>3315</v>
      </c>
      <c r="B317" s="1" t="s">
        <v>185</v>
      </c>
      <c r="C317" s="1" t="s">
        <v>499</v>
      </c>
      <c r="D317" s="1" t="s">
        <v>898</v>
      </c>
      <c r="E317" s="6" t="s">
        <v>174</v>
      </c>
      <c r="F317" s="1" t="s">
        <v>1297</v>
      </c>
      <c r="G317" s="1" t="s">
        <v>1390</v>
      </c>
      <c r="H317" s="1" t="s">
        <v>1393</v>
      </c>
      <c r="I317" s="1" t="s">
        <v>1395</v>
      </c>
      <c r="J317" s="1" t="s">
        <v>1396</v>
      </c>
      <c r="K317" s="6" t="str">
        <f t="shared" si="8"/>
        <v>3315,'BACHILLERATO','matias.floreslucio','008356','TOMAR DEL SND','FLORES LUCIO MATIAS','TRONCO COMÚN','2do','MASCULINO','ACTIVO','',0,0,'','ALUMNO'</v>
      </c>
      <c r="L317" s="6" t="str">
        <f t="shared" si="9"/>
        <v>INSERT INTO participantes (id,nivel,correo,matricula,clave,nombre,carrera,grado,sexo,situacion,evaluados,num_evaluados,total_evaluaciones,ultimo_acceso,nivel_acceso) VALUES (3315,'BACHILLERATO','matias.floreslucio','008356','TOMAR DEL SND','FLORES LUCIO MATIAS','TRONCO COMÚN','2do','MASCULINO','ACTIVO','',0,0,'','ALUMNO');</v>
      </c>
    </row>
    <row r="318" spans="1:12" x14ac:dyDescent="0.35">
      <c r="A318">
        <v>3316</v>
      </c>
      <c r="B318" s="1" t="s">
        <v>185</v>
      </c>
      <c r="C318" s="1" t="s">
        <v>500</v>
      </c>
      <c r="D318" s="1" t="s">
        <v>899</v>
      </c>
      <c r="E318" s="6" t="s">
        <v>174</v>
      </c>
      <c r="F318" s="1" t="s">
        <v>1298</v>
      </c>
      <c r="G318" s="1" t="s">
        <v>1390</v>
      </c>
      <c r="H318" s="1" t="s">
        <v>1393</v>
      </c>
      <c r="I318" s="1" t="s">
        <v>1394</v>
      </c>
      <c r="J318" s="1" t="s">
        <v>1396</v>
      </c>
      <c r="K318" s="6" t="str">
        <f t="shared" si="8"/>
        <v>3316,'BACHILLERATO','lisa.wuwang','008358','TOMAR DEL SND','WU WANG LISA','TRONCO COMÚN','2do','FEMENINO','ACTIVO','',0,0,'','ALUMNO'</v>
      </c>
      <c r="L318" s="6" t="str">
        <f t="shared" si="9"/>
        <v>INSERT INTO participantes (id,nivel,correo,matricula,clave,nombre,carrera,grado,sexo,situacion,evaluados,num_evaluados,total_evaluaciones,ultimo_acceso,nivel_acceso) VALUES (3316,'BACHILLERATO','lisa.wuwang','008358','TOMAR DEL SND','WU WANG LISA','TRONCO COMÚN','2do','FEMENINO','ACTIVO','',0,0,'','ALUMNO');</v>
      </c>
    </row>
    <row r="319" spans="1:12" x14ac:dyDescent="0.35">
      <c r="A319">
        <v>3317</v>
      </c>
      <c r="B319" s="1" t="s">
        <v>185</v>
      </c>
      <c r="C319" s="1" t="s">
        <v>501</v>
      </c>
      <c r="D319" s="1" t="s">
        <v>900</v>
      </c>
      <c r="E319" s="6" t="s">
        <v>174</v>
      </c>
      <c r="F319" s="1" t="s">
        <v>1299</v>
      </c>
      <c r="G319" s="1" t="s">
        <v>1390</v>
      </c>
      <c r="H319" s="1" t="s">
        <v>1393</v>
      </c>
      <c r="I319" s="1" t="s">
        <v>1395</v>
      </c>
      <c r="J319" s="1" t="s">
        <v>1396</v>
      </c>
      <c r="K319" s="6" t="str">
        <f t="shared" si="8"/>
        <v>3317,'BACHILLERATO','alanandres.deandavargas','008359','TOMAR DEL SND','DE ANDA VARGAS ALAN ANDRES','TRONCO COMÚN','2do','MASCULINO','ACTIVO','',0,0,'','ALUMNO'</v>
      </c>
      <c r="L319" s="6" t="str">
        <f t="shared" si="9"/>
        <v>INSERT INTO participantes (id,nivel,correo,matricula,clave,nombre,carrera,grado,sexo,situacion,evaluados,num_evaluados,total_evaluaciones,ultimo_acceso,nivel_acceso) VALUES (3317,'BACHILLERATO','alanandres.deandavargas','008359','TOMAR DEL SND','DE ANDA VARGAS ALAN ANDRES','TRONCO COMÚN','2do','MASCULINO','ACTIVO','',0,0,'','ALUMNO');</v>
      </c>
    </row>
    <row r="320" spans="1:12" x14ac:dyDescent="0.35">
      <c r="A320">
        <v>3318</v>
      </c>
      <c r="B320" s="1" t="s">
        <v>185</v>
      </c>
      <c r="C320" s="1" t="s">
        <v>502</v>
      </c>
      <c r="D320" s="1" t="s">
        <v>901</v>
      </c>
      <c r="E320" s="6" t="s">
        <v>174</v>
      </c>
      <c r="F320" s="1" t="s">
        <v>1300</v>
      </c>
      <c r="G320" s="1" t="s">
        <v>1390</v>
      </c>
      <c r="H320" s="1" t="s">
        <v>1393</v>
      </c>
      <c r="I320" s="1" t="s">
        <v>1395</v>
      </c>
      <c r="J320" s="1" t="s">
        <v>1396</v>
      </c>
      <c r="K320" s="6" t="str">
        <f t="shared" si="8"/>
        <v>3318,'BACHILLERATO','ivan.ortegaabbadie','008360','TOMAR DEL SND','ORTEGA ABBADIE IVAN','TRONCO COMÚN','2do','MASCULINO','ACTIVO','',0,0,'','ALUMNO'</v>
      </c>
      <c r="L320" s="6" t="str">
        <f t="shared" si="9"/>
        <v>INSERT INTO participantes (id,nivel,correo,matricula,clave,nombre,carrera,grado,sexo,situacion,evaluados,num_evaluados,total_evaluaciones,ultimo_acceso,nivel_acceso) VALUES (3318,'BACHILLERATO','ivan.ortegaabbadie','008360','TOMAR DEL SND','ORTEGA ABBADIE IVAN','TRONCO COMÚN','2do','MASCULINO','ACTIVO','',0,0,'','ALUMNO');</v>
      </c>
    </row>
    <row r="321" spans="1:12" x14ac:dyDescent="0.35">
      <c r="A321">
        <v>3319</v>
      </c>
      <c r="B321" s="1" t="s">
        <v>185</v>
      </c>
      <c r="C321" s="1" t="s">
        <v>503</v>
      </c>
      <c r="D321" s="1" t="s">
        <v>902</v>
      </c>
      <c r="E321" s="6" t="s">
        <v>174</v>
      </c>
      <c r="F321" s="1" t="s">
        <v>1301</v>
      </c>
      <c r="G321" s="1" t="s">
        <v>1390</v>
      </c>
      <c r="H321" s="1" t="s">
        <v>1393</v>
      </c>
      <c r="I321" s="1" t="s">
        <v>1394</v>
      </c>
      <c r="J321" s="1" t="s">
        <v>1396</v>
      </c>
      <c r="K321" s="6" t="str">
        <f t="shared" si="8"/>
        <v>3319,'BACHILLERATO','america.torresruizvelasco','008362','TOMAR DEL SND','TORRES RUIZ VELASCO AMERICA','TRONCO COMÚN','2do','FEMENINO','ACTIVO','',0,0,'','ALUMNO'</v>
      </c>
      <c r="L321" s="6" t="str">
        <f t="shared" si="9"/>
        <v>INSERT INTO participantes (id,nivel,correo,matricula,clave,nombre,carrera,grado,sexo,situacion,evaluados,num_evaluados,total_evaluaciones,ultimo_acceso,nivel_acceso) VALUES (3319,'BACHILLERATO','america.torresruizvelasco','008362','TOMAR DEL SND','TORRES RUIZ VELASCO AMERICA','TRONCO COMÚN','2do','FEMENINO','ACTIVO','',0,0,'','ALUMNO');</v>
      </c>
    </row>
    <row r="322" spans="1:12" x14ac:dyDescent="0.35">
      <c r="A322">
        <v>3320</v>
      </c>
      <c r="B322" s="1" t="s">
        <v>185</v>
      </c>
      <c r="C322" s="1" t="s">
        <v>504</v>
      </c>
      <c r="D322" s="1" t="s">
        <v>903</v>
      </c>
      <c r="E322" s="6" t="s">
        <v>174</v>
      </c>
      <c r="F322" s="1" t="s">
        <v>1302</v>
      </c>
      <c r="G322" s="1" t="s">
        <v>1390</v>
      </c>
      <c r="H322" s="1" t="s">
        <v>1393</v>
      </c>
      <c r="I322" s="1" t="s">
        <v>1395</v>
      </c>
      <c r="J322" s="1" t="s">
        <v>1396</v>
      </c>
      <c r="K322" s="6" t="str">
        <f t="shared" ref="K322:K385" si="10">CONCATENATE(A322,",",B322,",",C322,",",D322,",'",E322,",",F322,",",G322,",",H322,",",UPPER(I322),",",UPPER(J322),",'',0,0,'','ALUMNO'")</f>
        <v>3320,'BACHILLERATO','andresnicolas.aviladelfin','008363','TOMAR DEL SND','AVILA DELFIN ANDRES NICOLAS','TRONCO COMÚN','2do','MASCULINO','ACTIVO','',0,0,'','ALUMNO'</v>
      </c>
      <c r="L322" s="6" t="str">
        <f t="shared" ref="L322:L385" si="11">CONCATENATE($K$1,K322,");")</f>
        <v>INSERT INTO participantes (id,nivel,correo,matricula,clave,nombre,carrera,grado,sexo,situacion,evaluados,num_evaluados,total_evaluaciones,ultimo_acceso,nivel_acceso) VALUES (3320,'BACHILLERATO','andresnicolas.aviladelfin','008363','TOMAR DEL SND','AVILA DELFIN ANDRES NICOLAS','TRONCO COMÚN','2do','MASCULINO','ACTIVO','',0,0,'','ALUMNO');</v>
      </c>
    </row>
    <row r="323" spans="1:12" x14ac:dyDescent="0.35">
      <c r="A323">
        <v>3321</v>
      </c>
      <c r="B323" s="1" t="s">
        <v>185</v>
      </c>
      <c r="C323" s="1" t="s">
        <v>505</v>
      </c>
      <c r="D323" s="1" t="s">
        <v>904</v>
      </c>
      <c r="E323" s="6" t="s">
        <v>174</v>
      </c>
      <c r="F323" s="1" t="s">
        <v>1303</v>
      </c>
      <c r="G323" s="1" t="s">
        <v>1390</v>
      </c>
      <c r="H323" s="1" t="s">
        <v>1393</v>
      </c>
      <c r="I323" s="1" t="s">
        <v>1395</v>
      </c>
      <c r="J323" s="1" t="s">
        <v>1396</v>
      </c>
      <c r="K323" s="6" t="str">
        <f t="shared" si="10"/>
        <v>3321,'BACHILLERATO','ricardodavid.mercadoramirez','008364','TOMAR DEL SND','MERCADO RAMIREZ RICARDO DAVID','TRONCO COMÚN','2do','MASCULINO','ACTIVO','',0,0,'','ALUMNO'</v>
      </c>
      <c r="L323" s="6" t="str">
        <f t="shared" si="11"/>
        <v>INSERT INTO participantes (id,nivel,correo,matricula,clave,nombre,carrera,grado,sexo,situacion,evaluados,num_evaluados,total_evaluaciones,ultimo_acceso,nivel_acceso) VALUES (3321,'BACHILLERATO','ricardodavid.mercadoramirez','008364','TOMAR DEL SND','MERCADO RAMIREZ RICARDO DAVID','TRONCO COMÚN','2do','MASCULINO','ACTIVO','',0,0,'','ALUMNO');</v>
      </c>
    </row>
    <row r="324" spans="1:12" x14ac:dyDescent="0.35">
      <c r="A324">
        <v>3322</v>
      </c>
      <c r="B324" s="1" t="s">
        <v>185</v>
      </c>
      <c r="C324" s="1" t="s">
        <v>506</v>
      </c>
      <c r="D324" s="1" t="s">
        <v>905</v>
      </c>
      <c r="E324" s="6" t="s">
        <v>174</v>
      </c>
      <c r="F324" s="1" t="s">
        <v>1304</v>
      </c>
      <c r="G324" s="1" t="s">
        <v>1390</v>
      </c>
      <c r="H324" s="1" t="s">
        <v>1393</v>
      </c>
      <c r="I324" s="1" t="s">
        <v>1394</v>
      </c>
      <c r="J324" s="1" t="s">
        <v>1396</v>
      </c>
      <c r="K324" s="6" t="str">
        <f t="shared" si="10"/>
        <v>3322,'BACHILLERATO','nancysofia.valerianoarreola','008365','TOMAR DEL SND','VALERIANO ARREOLA NANCY SOFIA','TRONCO COMÚN','2do','FEMENINO','ACTIVO','',0,0,'','ALUMNO'</v>
      </c>
      <c r="L324" s="6" t="str">
        <f t="shared" si="11"/>
        <v>INSERT INTO participantes (id,nivel,correo,matricula,clave,nombre,carrera,grado,sexo,situacion,evaluados,num_evaluados,total_evaluaciones,ultimo_acceso,nivel_acceso) VALUES (3322,'BACHILLERATO','nancysofia.valerianoarreola','008365','TOMAR DEL SND','VALERIANO ARREOLA NANCY SOFIA','TRONCO COMÚN','2do','FEMENINO','ACTIVO','',0,0,'','ALUMNO');</v>
      </c>
    </row>
    <row r="325" spans="1:12" x14ac:dyDescent="0.35">
      <c r="A325">
        <v>3323</v>
      </c>
      <c r="B325" s="1" t="s">
        <v>185</v>
      </c>
      <c r="C325" s="1" t="s">
        <v>507</v>
      </c>
      <c r="D325" s="1" t="s">
        <v>906</v>
      </c>
      <c r="E325" s="6" t="s">
        <v>174</v>
      </c>
      <c r="F325" s="1" t="s">
        <v>1305</v>
      </c>
      <c r="G325" s="1" t="s">
        <v>1390</v>
      </c>
      <c r="H325" s="1" t="s">
        <v>1393</v>
      </c>
      <c r="I325" s="1" t="s">
        <v>1394</v>
      </c>
      <c r="J325" s="1" t="s">
        <v>1396</v>
      </c>
      <c r="K325" s="6" t="str">
        <f t="shared" si="10"/>
        <v>3323,'BACHILLERATO','eunicesarahi.enriquezmacias','008366','TOMAR DEL SND','ENRIQUEZ MACIAS EUNICE SARAHI','TRONCO COMÚN','2do','FEMENINO','ACTIVO','',0,0,'','ALUMNO'</v>
      </c>
      <c r="L325" s="6" t="str">
        <f t="shared" si="11"/>
        <v>INSERT INTO participantes (id,nivel,correo,matricula,clave,nombre,carrera,grado,sexo,situacion,evaluados,num_evaluados,total_evaluaciones,ultimo_acceso,nivel_acceso) VALUES (3323,'BACHILLERATO','eunicesarahi.enriquezmacias','008366','TOMAR DEL SND','ENRIQUEZ MACIAS EUNICE SARAHI','TRONCO COMÚN','2do','FEMENINO','ACTIVO','',0,0,'','ALUMNO');</v>
      </c>
    </row>
    <row r="326" spans="1:12" x14ac:dyDescent="0.35">
      <c r="A326">
        <v>3324</v>
      </c>
      <c r="B326" s="1" t="s">
        <v>185</v>
      </c>
      <c r="C326" s="1" t="s">
        <v>508</v>
      </c>
      <c r="D326" s="1" t="s">
        <v>907</v>
      </c>
      <c r="E326" s="6" t="s">
        <v>174</v>
      </c>
      <c r="F326" s="1" t="s">
        <v>1306</v>
      </c>
      <c r="G326" s="1" t="s">
        <v>1390</v>
      </c>
      <c r="H326" s="1" t="s">
        <v>1393</v>
      </c>
      <c r="I326" s="1" t="s">
        <v>1394</v>
      </c>
      <c r="J326" s="1" t="s">
        <v>1396</v>
      </c>
      <c r="K326" s="6" t="str">
        <f t="shared" si="10"/>
        <v>3324,'BACHILLERATO','aranzaguadalupe.ruizsantibanez','008369','TOMAR DEL SND','RUIZ SANTIBAÑEZ ARANZA GUADALUPE','TRONCO COMÚN','2do','FEMENINO','ACTIVO','',0,0,'','ALUMNO'</v>
      </c>
      <c r="L326" s="6" t="str">
        <f t="shared" si="11"/>
        <v>INSERT INTO participantes (id,nivel,correo,matricula,clave,nombre,carrera,grado,sexo,situacion,evaluados,num_evaluados,total_evaluaciones,ultimo_acceso,nivel_acceso) VALUES (3324,'BACHILLERATO','aranzaguadalupe.ruizsantibanez','008369','TOMAR DEL SND','RUIZ SANTIBAÑEZ ARANZA GUADALUPE','TRONCO COMÚN','2do','FEMENINO','ACTIVO','',0,0,'','ALUMNO');</v>
      </c>
    </row>
    <row r="327" spans="1:12" x14ac:dyDescent="0.35">
      <c r="A327">
        <v>3325</v>
      </c>
      <c r="B327" s="1" t="s">
        <v>185</v>
      </c>
      <c r="C327" s="1" t="s">
        <v>509</v>
      </c>
      <c r="D327" s="1" t="s">
        <v>908</v>
      </c>
      <c r="E327" s="6" t="s">
        <v>174</v>
      </c>
      <c r="F327" s="1" t="s">
        <v>1307</v>
      </c>
      <c r="G327" s="1" t="s">
        <v>1390</v>
      </c>
      <c r="H327" s="1" t="s">
        <v>1393</v>
      </c>
      <c r="I327" s="1" t="s">
        <v>1395</v>
      </c>
      <c r="J327" s="1" t="s">
        <v>1396</v>
      </c>
      <c r="K327" s="6" t="str">
        <f t="shared" si="10"/>
        <v>3325,'BACHILLERATO','matteo.vegaamezcua','008370','TOMAR DEL SND','VEGA AMEZCUA MATTEO','TRONCO COMÚN','2do','MASCULINO','ACTIVO','',0,0,'','ALUMNO'</v>
      </c>
      <c r="L327" s="6" t="str">
        <f t="shared" si="11"/>
        <v>INSERT INTO participantes (id,nivel,correo,matricula,clave,nombre,carrera,grado,sexo,situacion,evaluados,num_evaluados,total_evaluaciones,ultimo_acceso,nivel_acceso) VALUES (3325,'BACHILLERATO','matteo.vegaamezcua','008370','TOMAR DEL SND','VEGA AMEZCUA MATTEO','TRONCO COMÚN','2do','MASCULINO','ACTIVO','',0,0,'','ALUMNO');</v>
      </c>
    </row>
    <row r="328" spans="1:12" x14ac:dyDescent="0.35">
      <c r="A328">
        <v>3326</v>
      </c>
      <c r="B328" s="1" t="s">
        <v>185</v>
      </c>
      <c r="C328" s="1" t="s">
        <v>510</v>
      </c>
      <c r="D328" s="1" t="s">
        <v>909</v>
      </c>
      <c r="E328" s="6" t="s">
        <v>174</v>
      </c>
      <c r="F328" s="1" t="s">
        <v>1308</v>
      </c>
      <c r="G328" s="1" t="s">
        <v>1390</v>
      </c>
      <c r="H328" s="1" t="s">
        <v>1393</v>
      </c>
      <c r="I328" s="1" t="s">
        <v>1395</v>
      </c>
      <c r="J328" s="1" t="s">
        <v>1396</v>
      </c>
      <c r="K328" s="6" t="str">
        <f t="shared" si="10"/>
        <v>3326,'BACHILLERATO','jorgegael.garciadealba','008371','TOMAR DEL SND','GARCIA DE ALBA JORGE GAEL','TRONCO COMÚN','2do','MASCULINO','ACTIVO','',0,0,'','ALUMNO'</v>
      </c>
      <c r="L328" s="6" t="str">
        <f t="shared" si="11"/>
        <v>INSERT INTO participantes (id,nivel,correo,matricula,clave,nombre,carrera,grado,sexo,situacion,evaluados,num_evaluados,total_evaluaciones,ultimo_acceso,nivel_acceso) VALUES (3326,'BACHILLERATO','jorgegael.garciadealba','008371','TOMAR DEL SND','GARCIA DE ALBA JORGE GAEL','TRONCO COMÚN','2do','MASCULINO','ACTIVO','',0,0,'','ALUMNO');</v>
      </c>
    </row>
    <row r="329" spans="1:12" x14ac:dyDescent="0.35">
      <c r="A329">
        <v>3327</v>
      </c>
      <c r="B329" s="1" t="s">
        <v>185</v>
      </c>
      <c r="C329" s="1" t="s">
        <v>511</v>
      </c>
      <c r="D329" s="1" t="s">
        <v>910</v>
      </c>
      <c r="E329" s="6" t="s">
        <v>174</v>
      </c>
      <c r="F329" s="1" t="s">
        <v>1309</v>
      </c>
      <c r="G329" s="1" t="s">
        <v>1390</v>
      </c>
      <c r="H329" s="1" t="s">
        <v>1393</v>
      </c>
      <c r="I329" s="1" t="s">
        <v>1394</v>
      </c>
      <c r="J329" s="1" t="s">
        <v>1396</v>
      </c>
      <c r="K329" s="6" t="str">
        <f t="shared" si="10"/>
        <v>3327,'BACHILLERATO','blancadaniela.torresserratos','008372','TOMAR DEL SND','TORRES SERRATOS BLANCA DANIELA','TRONCO COMÚN','2do','FEMENINO','ACTIVO','',0,0,'','ALUMNO'</v>
      </c>
      <c r="L329" s="6" t="str">
        <f t="shared" si="11"/>
        <v>INSERT INTO participantes (id,nivel,correo,matricula,clave,nombre,carrera,grado,sexo,situacion,evaluados,num_evaluados,total_evaluaciones,ultimo_acceso,nivel_acceso) VALUES (3327,'BACHILLERATO','blancadaniela.torresserratos','008372','TOMAR DEL SND','TORRES SERRATOS BLANCA DANIELA','TRONCO COMÚN','2do','FEMENINO','ACTIVO','',0,0,'','ALUMNO');</v>
      </c>
    </row>
    <row r="330" spans="1:12" x14ac:dyDescent="0.35">
      <c r="A330">
        <v>3328</v>
      </c>
      <c r="B330" s="1" t="s">
        <v>185</v>
      </c>
      <c r="C330" s="1" t="s">
        <v>512</v>
      </c>
      <c r="D330" s="1" t="s">
        <v>911</v>
      </c>
      <c r="E330" s="6" t="s">
        <v>174</v>
      </c>
      <c r="F330" s="1" t="s">
        <v>1310</v>
      </c>
      <c r="G330" s="1" t="s">
        <v>1390</v>
      </c>
      <c r="H330" s="1" t="s">
        <v>1393</v>
      </c>
      <c r="I330" s="1" t="s">
        <v>1395</v>
      </c>
      <c r="J330" s="1" t="s">
        <v>1396</v>
      </c>
      <c r="K330" s="6" t="str">
        <f t="shared" si="10"/>
        <v>3328,'BACHILLERATO','saulsalvador.castellanoscisneros','008373','TOMAR DEL SND','CASTELLANOS CISNEROS SAUL SALVADOR','TRONCO COMÚN','2do','MASCULINO','ACTIVO','',0,0,'','ALUMNO'</v>
      </c>
      <c r="L330" s="6" t="str">
        <f t="shared" si="11"/>
        <v>INSERT INTO participantes (id,nivel,correo,matricula,clave,nombre,carrera,grado,sexo,situacion,evaluados,num_evaluados,total_evaluaciones,ultimo_acceso,nivel_acceso) VALUES (3328,'BACHILLERATO','saulsalvador.castellanoscisneros','008373','TOMAR DEL SND','CASTELLANOS CISNEROS SAUL SALVADOR','TRONCO COMÚN','2do','MASCULINO','ACTIVO','',0,0,'','ALUMNO');</v>
      </c>
    </row>
    <row r="331" spans="1:12" x14ac:dyDescent="0.35">
      <c r="A331">
        <v>3329</v>
      </c>
      <c r="B331" s="1" t="s">
        <v>185</v>
      </c>
      <c r="C331" s="1" t="s">
        <v>513</v>
      </c>
      <c r="D331" s="1" t="s">
        <v>912</v>
      </c>
      <c r="E331" s="6" t="s">
        <v>174</v>
      </c>
      <c r="F331" s="1" t="s">
        <v>1311</v>
      </c>
      <c r="G331" s="1" t="s">
        <v>1390</v>
      </c>
      <c r="H331" s="1" t="s">
        <v>1393</v>
      </c>
      <c r="I331" s="1" t="s">
        <v>1394</v>
      </c>
      <c r="J331" s="1" t="s">
        <v>1396</v>
      </c>
      <c r="K331" s="6" t="str">
        <f t="shared" si="10"/>
        <v>3329,'BACHILLERATO','amelieromina.ramirezgonzalez','008374','TOMAR DEL SND','RAMIREZ GONZALEZ AMELIE ROMINA','TRONCO COMÚN','2do','FEMENINO','ACTIVO','',0,0,'','ALUMNO'</v>
      </c>
      <c r="L331" s="6" t="str">
        <f t="shared" si="11"/>
        <v>INSERT INTO participantes (id,nivel,correo,matricula,clave,nombre,carrera,grado,sexo,situacion,evaluados,num_evaluados,total_evaluaciones,ultimo_acceso,nivel_acceso) VALUES (3329,'BACHILLERATO','amelieromina.ramirezgonzalez','008374','TOMAR DEL SND','RAMIREZ GONZALEZ AMELIE ROMINA','TRONCO COMÚN','2do','FEMENINO','ACTIVO','',0,0,'','ALUMNO');</v>
      </c>
    </row>
    <row r="332" spans="1:12" x14ac:dyDescent="0.35">
      <c r="A332">
        <v>3330</v>
      </c>
      <c r="B332" s="1" t="s">
        <v>185</v>
      </c>
      <c r="C332" s="1" t="s">
        <v>514</v>
      </c>
      <c r="D332" s="1" t="s">
        <v>913</v>
      </c>
      <c r="E332" s="6" t="s">
        <v>174</v>
      </c>
      <c r="F332" s="1" t="s">
        <v>1312</v>
      </c>
      <c r="G332" s="1" t="s">
        <v>1390</v>
      </c>
      <c r="H332" s="1" t="s">
        <v>1393</v>
      </c>
      <c r="I332" s="1" t="s">
        <v>1395</v>
      </c>
      <c r="J332" s="1" t="s">
        <v>1396</v>
      </c>
      <c r="K332" s="6" t="str">
        <f t="shared" si="10"/>
        <v>3330,'BACHILLERATO','cristiangibrani.coronasanchez','008375','TOMAR DEL SND','CORONA SANCHEZ CRISTIAN GIBRANI','TRONCO COMÚN','2do','MASCULINO','ACTIVO','',0,0,'','ALUMNO'</v>
      </c>
      <c r="L332" s="6" t="str">
        <f t="shared" si="11"/>
        <v>INSERT INTO participantes (id,nivel,correo,matricula,clave,nombre,carrera,grado,sexo,situacion,evaluados,num_evaluados,total_evaluaciones,ultimo_acceso,nivel_acceso) VALUES (3330,'BACHILLERATO','cristiangibrani.coronasanchez','008375','TOMAR DEL SND','CORONA SANCHEZ CRISTIAN GIBRANI','TRONCO COMÚN','2do','MASCULINO','ACTIVO','',0,0,'','ALUMNO');</v>
      </c>
    </row>
    <row r="333" spans="1:12" x14ac:dyDescent="0.35">
      <c r="A333">
        <v>3331</v>
      </c>
      <c r="B333" s="1" t="s">
        <v>185</v>
      </c>
      <c r="C333" s="1" t="s">
        <v>515</v>
      </c>
      <c r="D333" s="1" t="s">
        <v>914</v>
      </c>
      <c r="E333" s="6" t="s">
        <v>174</v>
      </c>
      <c r="F333" s="1" t="s">
        <v>1313</v>
      </c>
      <c r="G333" s="1" t="s">
        <v>1390</v>
      </c>
      <c r="H333" s="1" t="s">
        <v>1393</v>
      </c>
      <c r="I333" s="1" t="s">
        <v>1394</v>
      </c>
      <c r="J333" s="1" t="s">
        <v>1396</v>
      </c>
      <c r="K333" s="6" t="str">
        <f t="shared" si="10"/>
        <v>3331,'BACHILLERATO','gretaregina.duranestrada','008376','TOMAR DEL SND','DURAN ESTRADA GRETA REGINA','TRONCO COMÚN','2do','FEMENINO','ACTIVO','',0,0,'','ALUMNO'</v>
      </c>
      <c r="L333" s="6" t="str">
        <f t="shared" si="11"/>
        <v>INSERT INTO participantes (id,nivel,correo,matricula,clave,nombre,carrera,grado,sexo,situacion,evaluados,num_evaluados,total_evaluaciones,ultimo_acceso,nivel_acceso) VALUES (3331,'BACHILLERATO','gretaregina.duranestrada','008376','TOMAR DEL SND','DURAN ESTRADA GRETA REGINA','TRONCO COMÚN','2do','FEMENINO','ACTIVO','',0,0,'','ALUMNO');</v>
      </c>
    </row>
    <row r="334" spans="1:12" x14ac:dyDescent="0.35">
      <c r="A334">
        <v>3332</v>
      </c>
      <c r="B334" s="1" t="s">
        <v>185</v>
      </c>
      <c r="C334" s="1" t="s">
        <v>516</v>
      </c>
      <c r="D334" s="1" t="s">
        <v>915</v>
      </c>
      <c r="E334" s="6" t="s">
        <v>174</v>
      </c>
      <c r="F334" s="1" t="s">
        <v>1314</v>
      </c>
      <c r="G334" s="1" t="s">
        <v>1390</v>
      </c>
      <c r="H334" s="1" t="s">
        <v>1393</v>
      </c>
      <c r="I334" s="1" t="s">
        <v>1395</v>
      </c>
      <c r="J334" s="1" t="s">
        <v>1396</v>
      </c>
      <c r="K334" s="6" t="str">
        <f t="shared" si="10"/>
        <v>3332,'BACHILLERATO','ikerpaulo.colmenerosramos','008377','TOMAR DEL SND','COLMENEROS RAMOS IKER PAULO','TRONCO COMÚN','2do','MASCULINO','ACTIVO','',0,0,'','ALUMNO'</v>
      </c>
      <c r="L334" s="6" t="str">
        <f t="shared" si="11"/>
        <v>INSERT INTO participantes (id,nivel,correo,matricula,clave,nombre,carrera,grado,sexo,situacion,evaluados,num_evaluados,total_evaluaciones,ultimo_acceso,nivel_acceso) VALUES (3332,'BACHILLERATO','ikerpaulo.colmenerosramos','008377','TOMAR DEL SND','COLMENEROS RAMOS IKER PAULO','TRONCO COMÚN','2do','MASCULINO','ACTIVO','',0,0,'','ALUMNO');</v>
      </c>
    </row>
    <row r="335" spans="1:12" x14ac:dyDescent="0.35">
      <c r="A335">
        <v>3333</v>
      </c>
      <c r="B335" s="1" t="s">
        <v>185</v>
      </c>
      <c r="C335" s="1" t="s">
        <v>517</v>
      </c>
      <c r="D335" s="1" t="s">
        <v>916</v>
      </c>
      <c r="E335" s="6" t="s">
        <v>174</v>
      </c>
      <c r="F335" s="1" t="s">
        <v>1315</v>
      </c>
      <c r="G335" s="1" t="s">
        <v>1390</v>
      </c>
      <c r="H335" s="1" t="s">
        <v>1393</v>
      </c>
      <c r="I335" s="1" t="s">
        <v>1395</v>
      </c>
      <c r="J335" s="1" t="s">
        <v>1396</v>
      </c>
      <c r="K335" s="6" t="str">
        <f t="shared" si="10"/>
        <v>3333,'BACHILLERATO','josedejesus.florespena','008378','TOMAR DEL SND','FLORES PEÑA JOSE DE JESUS','TRONCO COMÚN','2do','MASCULINO','ACTIVO','',0,0,'','ALUMNO'</v>
      </c>
      <c r="L335" s="6" t="str">
        <f t="shared" si="11"/>
        <v>INSERT INTO participantes (id,nivel,correo,matricula,clave,nombre,carrera,grado,sexo,situacion,evaluados,num_evaluados,total_evaluaciones,ultimo_acceso,nivel_acceso) VALUES (3333,'BACHILLERATO','josedejesus.florespena','008378','TOMAR DEL SND','FLORES PEÑA JOSE DE JESUS','TRONCO COMÚN','2do','MASCULINO','ACTIVO','',0,0,'','ALUMNO');</v>
      </c>
    </row>
    <row r="336" spans="1:12" x14ac:dyDescent="0.35">
      <c r="A336">
        <v>3334</v>
      </c>
      <c r="B336" s="1" t="s">
        <v>185</v>
      </c>
      <c r="C336" s="1" t="s">
        <v>518</v>
      </c>
      <c r="D336" s="1" t="s">
        <v>917</v>
      </c>
      <c r="E336" s="6" t="s">
        <v>174</v>
      </c>
      <c r="F336" s="1" t="s">
        <v>1316</v>
      </c>
      <c r="G336" s="1" t="s">
        <v>1390</v>
      </c>
      <c r="H336" s="1" t="s">
        <v>1393</v>
      </c>
      <c r="I336" s="1" t="s">
        <v>1394</v>
      </c>
      <c r="J336" s="1" t="s">
        <v>1396</v>
      </c>
      <c r="K336" s="6" t="str">
        <f t="shared" si="10"/>
        <v>3334,'BACHILLERATO','maiteastrid.lozanooyarvide','008379','TOMAR DEL SND','LOZANO OYARVIDE MAITE ASTRID','TRONCO COMÚN','2do','FEMENINO','ACTIVO','',0,0,'','ALUMNO'</v>
      </c>
      <c r="L336" s="6" t="str">
        <f t="shared" si="11"/>
        <v>INSERT INTO participantes (id,nivel,correo,matricula,clave,nombre,carrera,grado,sexo,situacion,evaluados,num_evaluados,total_evaluaciones,ultimo_acceso,nivel_acceso) VALUES (3334,'BACHILLERATO','maiteastrid.lozanooyarvide','008379','TOMAR DEL SND','LOZANO OYARVIDE MAITE ASTRID','TRONCO COMÚN','2do','FEMENINO','ACTIVO','',0,0,'','ALUMNO');</v>
      </c>
    </row>
    <row r="337" spans="1:12" x14ac:dyDescent="0.35">
      <c r="A337">
        <v>3335</v>
      </c>
      <c r="B337" s="1" t="s">
        <v>185</v>
      </c>
      <c r="C337" s="1" t="s">
        <v>519</v>
      </c>
      <c r="D337" s="1" t="s">
        <v>918</v>
      </c>
      <c r="E337" s="6" t="s">
        <v>174</v>
      </c>
      <c r="F337" s="1" t="s">
        <v>1317</v>
      </c>
      <c r="G337" s="1" t="s">
        <v>1390</v>
      </c>
      <c r="H337" s="1" t="s">
        <v>1393</v>
      </c>
      <c r="I337" s="1" t="s">
        <v>1394</v>
      </c>
      <c r="J337" s="1" t="s">
        <v>1396</v>
      </c>
      <c r="K337" s="6" t="str">
        <f t="shared" si="10"/>
        <v>3335,'BACHILLERATO','mariafernanda.ortegaramirez','008380','TOMAR DEL SND','ORTEGA RAMIREZ MARIA FERNANDA','TRONCO COMÚN','2do','FEMENINO','ACTIVO','',0,0,'','ALUMNO'</v>
      </c>
      <c r="L337" s="6" t="str">
        <f t="shared" si="11"/>
        <v>INSERT INTO participantes (id,nivel,correo,matricula,clave,nombre,carrera,grado,sexo,situacion,evaluados,num_evaluados,total_evaluaciones,ultimo_acceso,nivel_acceso) VALUES (3335,'BACHILLERATO','mariafernanda.ortegaramirez','008380','TOMAR DEL SND','ORTEGA RAMIREZ MARIA FERNANDA','TRONCO COMÚN','2do','FEMENINO','ACTIVO','',0,0,'','ALUMNO');</v>
      </c>
    </row>
    <row r="338" spans="1:12" x14ac:dyDescent="0.35">
      <c r="A338">
        <v>3336</v>
      </c>
      <c r="B338" s="1" t="s">
        <v>185</v>
      </c>
      <c r="C338" s="1" t="s">
        <v>520</v>
      </c>
      <c r="D338" s="1" t="s">
        <v>919</v>
      </c>
      <c r="E338" s="6" t="s">
        <v>174</v>
      </c>
      <c r="F338" s="1" t="s">
        <v>1318</v>
      </c>
      <c r="G338" s="1" t="s">
        <v>1390</v>
      </c>
      <c r="H338" s="1" t="s">
        <v>1393</v>
      </c>
      <c r="I338" s="1" t="s">
        <v>1394</v>
      </c>
      <c r="J338" s="1" t="s">
        <v>1396</v>
      </c>
      <c r="K338" s="6" t="str">
        <f t="shared" si="10"/>
        <v>3336,'BACHILLERATO','scarlet.avilapartida','008381','TOMAR DEL SND','AVILA PARTIDA SCARLET','TRONCO COMÚN','2do','FEMENINO','ACTIVO','',0,0,'','ALUMNO'</v>
      </c>
      <c r="L338" s="6" t="str">
        <f t="shared" si="11"/>
        <v>INSERT INTO participantes (id,nivel,correo,matricula,clave,nombre,carrera,grado,sexo,situacion,evaluados,num_evaluados,total_evaluaciones,ultimo_acceso,nivel_acceso) VALUES (3336,'BACHILLERATO','scarlet.avilapartida','008381','TOMAR DEL SND','AVILA PARTIDA SCARLET','TRONCO COMÚN','2do','FEMENINO','ACTIVO','',0,0,'','ALUMNO');</v>
      </c>
    </row>
    <row r="339" spans="1:12" x14ac:dyDescent="0.35">
      <c r="A339">
        <v>3337</v>
      </c>
      <c r="B339" s="1" t="s">
        <v>185</v>
      </c>
      <c r="C339" s="1" t="s">
        <v>521</v>
      </c>
      <c r="D339" s="1" t="s">
        <v>920</v>
      </c>
      <c r="E339" s="6" t="s">
        <v>174</v>
      </c>
      <c r="F339" s="1" t="s">
        <v>1319</v>
      </c>
      <c r="G339" s="1" t="s">
        <v>1390</v>
      </c>
      <c r="H339" s="1" t="s">
        <v>1393</v>
      </c>
      <c r="I339" s="1" t="s">
        <v>1395</v>
      </c>
      <c r="J339" s="1" t="s">
        <v>1396</v>
      </c>
      <c r="K339" s="6" t="str">
        <f t="shared" si="10"/>
        <v>3337,'BACHILLERATO','ianricardo.morenosalazar','008382','TOMAR DEL SND','MORENO SALAZAR IAN RICARDO','TRONCO COMÚN','2do','MASCULINO','ACTIVO','',0,0,'','ALUMNO'</v>
      </c>
      <c r="L339" s="6" t="str">
        <f t="shared" si="11"/>
        <v>INSERT INTO participantes (id,nivel,correo,matricula,clave,nombre,carrera,grado,sexo,situacion,evaluados,num_evaluados,total_evaluaciones,ultimo_acceso,nivel_acceso) VALUES (3337,'BACHILLERATO','ianricardo.morenosalazar','008382','TOMAR DEL SND','MORENO SALAZAR IAN RICARDO','TRONCO COMÚN','2do','MASCULINO','ACTIVO','',0,0,'','ALUMNO');</v>
      </c>
    </row>
    <row r="340" spans="1:12" x14ac:dyDescent="0.35">
      <c r="A340">
        <v>3338</v>
      </c>
      <c r="B340" s="1" t="s">
        <v>185</v>
      </c>
      <c r="C340" s="1" t="s">
        <v>522</v>
      </c>
      <c r="D340" s="1" t="s">
        <v>921</v>
      </c>
      <c r="E340" s="6" t="s">
        <v>174</v>
      </c>
      <c r="F340" s="1" t="s">
        <v>1320</v>
      </c>
      <c r="G340" s="1" t="s">
        <v>1390</v>
      </c>
      <c r="H340" s="1" t="s">
        <v>1393</v>
      </c>
      <c r="I340" s="1" t="s">
        <v>1395</v>
      </c>
      <c r="J340" s="1" t="s">
        <v>1396</v>
      </c>
      <c r="K340" s="6" t="str">
        <f t="shared" si="10"/>
        <v>3338,'BACHILLERATO','ethanxavier.cisnerosledezma','008383','TOMAR DEL SND','CISNEROS LEDEZMA ETHAN XAVIER','TRONCO COMÚN','2do','MASCULINO','ACTIVO','',0,0,'','ALUMNO'</v>
      </c>
      <c r="L340" s="6" t="str">
        <f t="shared" si="11"/>
        <v>INSERT INTO participantes (id,nivel,correo,matricula,clave,nombre,carrera,grado,sexo,situacion,evaluados,num_evaluados,total_evaluaciones,ultimo_acceso,nivel_acceso) VALUES (3338,'BACHILLERATO','ethanxavier.cisnerosledezma','008383','TOMAR DEL SND','CISNEROS LEDEZMA ETHAN XAVIER','TRONCO COMÚN','2do','MASCULINO','ACTIVO','',0,0,'','ALUMNO');</v>
      </c>
    </row>
    <row r="341" spans="1:12" x14ac:dyDescent="0.35">
      <c r="A341">
        <v>3339</v>
      </c>
      <c r="B341" s="1" t="s">
        <v>185</v>
      </c>
      <c r="C341" s="1" t="s">
        <v>523</v>
      </c>
      <c r="D341" s="1" t="s">
        <v>922</v>
      </c>
      <c r="E341" s="6" t="s">
        <v>174</v>
      </c>
      <c r="F341" s="1" t="s">
        <v>1321</v>
      </c>
      <c r="G341" s="1" t="s">
        <v>1390</v>
      </c>
      <c r="H341" s="1" t="s">
        <v>1393</v>
      </c>
      <c r="I341" s="1" t="s">
        <v>1395</v>
      </c>
      <c r="J341" s="1" t="s">
        <v>1396</v>
      </c>
      <c r="K341" s="6" t="str">
        <f t="shared" si="10"/>
        <v>3339,'BACHILLERATO','darioleonardo.escobedopreciado','008384','TOMAR DEL SND','ESCOBEDO PRECIADO DARIO LEONARDO','TRONCO COMÚN','2do','MASCULINO','ACTIVO','',0,0,'','ALUMNO'</v>
      </c>
      <c r="L341" s="6" t="str">
        <f t="shared" si="11"/>
        <v>INSERT INTO participantes (id,nivel,correo,matricula,clave,nombre,carrera,grado,sexo,situacion,evaluados,num_evaluados,total_evaluaciones,ultimo_acceso,nivel_acceso) VALUES (3339,'BACHILLERATO','darioleonardo.escobedopreciado','008384','TOMAR DEL SND','ESCOBEDO PRECIADO DARIO LEONARDO','TRONCO COMÚN','2do','MASCULINO','ACTIVO','',0,0,'','ALUMNO');</v>
      </c>
    </row>
    <row r="342" spans="1:12" x14ac:dyDescent="0.35">
      <c r="A342">
        <v>3340</v>
      </c>
      <c r="B342" s="1" t="s">
        <v>185</v>
      </c>
      <c r="C342" s="1" t="s">
        <v>524</v>
      </c>
      <c r="D342" s="1" t="s">
        <v>923</v>
      </c>
      <c r="E342" s="6" t="s">
        <v>174</v>
      </c>
      <c r="F342" s="1" t="s">
        <v>1322</v>
      </c>
      <c r="G342" s="1" t="s">
        <v>1390</v>
      </c>
      <c r="H342" s="1" t="s">
        <v>1393</v>
      </c>
      <c r="I342" s="1" t="s">
        <v>1394</v>
      </c>
      <c r="J342" s="1" t="s">
        <v>1396</v>
      </c>
      <c r="K342" s="6" t="str">
        <f t="shared" si="10"/>
        <v>3340,'BACHILLERATO','sylvana.romerovicke','008385','TOMAR DEL SND','ROMERO VICKE SYLVANA','TRONCO COMÚN','2do','FEMENINO','ACTIVO','',0,0,'','ALUMNO'</v>
      </c>
      <c r="L342" s="6" t="str">
        <f t="shared" si="11"/>
        <v>INSERT INTO participantes (id,nivel,correo,matricula,clave,nombre,carrera,grado,sexo,situacion,evaluados,num_evaluados,total_evaluaciones,ultimo_acceso,nivel_acceso) VALUES (3340,'BACHILLERATO','sylvana.romerovicke','008385','TOMAR DEL SND','ROMERO VICKE SYLVANA','TRONCO COMÚN','2do','FEMENINO','ACTIVO','',0,0,'','ALUMNO');</v>
      </c>
    </row>
    <row r="343" spans="1:12" x14ac:dyDescent="0.35">
      <c r="A343">
        <v>3341</v>
      </c>
      <c r="B343" s="1" t="s">
        <v>185</v>
      </c>
      <c r="C343" s="1" t="s">
        <v>525</v>
      </c>
      <c r="D343" s="1" t="s">
        <v>924</v>
      </c>
      <c r="E343" s="6" t="s">
        <v>174</v>
      </c>
      <c r="F343" s="1" t="s">
        <v>1323</v>
      </c>
      <c r="G343" s="1" t="s">
        <v>1390</v>
      </c>
      <c r="H343" s="1" t="s">
        <v>1393</v>
      </c>
      <c r="I343" s="1" t="s">
        <v>1394</v>
      </c>
      <c r="J343" s="1" t="s">
        <v>1396</v>
      </c>
      <c r="K343" s="6" t="str">
        <f t="shared" si="10"/>
        <v>3341,'BACHILLERATO','saragabriela.romerosalim','008386','TOMAR DEL SND','ROMERO SALIM SARA GABRIELA','TRONCO COMÚN','2do','FEMENINO','ACTIVO','',0,0,'','ALUMNO'</v>
      </c>
      <c r="L343" s="6" t="str">
        <f t="shared" si="11"/>
        <v>INSERT INTO participantes (id,nivel,correo,matricula,clave,nombre,carrera,grado,sexo,situacion,evaluados,num_evaluados,total_evaluaciones,ultimo_acceso,nivel_acceso) VALUES (3341,'BACHILLERATO','saragabriela.romerosalim','008386','TOMAR DEL SND','ROMERO SALIM SARA GABRIELA','TRONCO COMÚN','2do','FEMENINO','ACTIVO','',0,0,'','ALUMNO');</v>
      </c>
    </row>
    <row r="344" spans="1:12" x14ac:dyDescent="0.35">
      <c r="A344">
        <v>3342</v>
      </c>
      <c r="B344" s="1" t="s">
        <v>185</v>
      </c>
      <c r="C344" s="1" t="s">
        <v>526</v>
      </c>
      <c r="D344" s="1" t="s">
        <v>925</v>
      </c>
      <c r="E344" s="6" t="s">
        <v>174</v>
      </c>
      <c r="F344" s="1" t="s">
        <v>1324</v>
      </c>
      <c r="G344" s="1" t="s">
        <v>1390</v>
      </c>
      <c r="H344" s="1" t="s">
        <v>1393</v>
      </c>
      <c r="I344" s="1" t="s">
        <v>1395</v>
      </c>
      <c r="J344" s="1" t="s">
        <v>1396</v>
      </c>
      <c r="K344" s="6" t="str">
        <f t="shared" si="10"/>
        <v>3342,'BACHILLERATO','valentineleazar.ochoaveronica','008387','TOMAR DEL SND','OCHOA VERONICA VALENTIN ELEAZAR','TRONCO COMÚN','2do','MASCULINO','ACTIVO','',0,0,'','ALUMNO'</v>
      </c>
      <c r="L344" s="6" t="str">
        <f t="shared" si="11"/>
        <v>INSERT INTO participantes (id,nivel,correo,matricula,clave,nombre,carrera,grado,sexo,situacion,evaluados,num_evaluados,total_evaluaciones,ultimo_acceso,nivel_acceso) VALUES (3342,'BACHILLERATO','valentineleazar.ochoaveronica','008387','TOMAR DEL SND','OCHOA VERONICA VALENTIN ELEAZAR','TRONCO COMÚN','2do','MASCULINO','ACTIVO','',0,0,'','ALUMNO');</v>
      </c>
    </row>
    <row r="345" spans="1:12" x14ac:dyDescent="0.35">
      <c r="A345">
        <v>3343</v>
      </c>
      <c r="B345" s="1" t="s">
        <v>185</v>
      </c>
      <c r="C345" s="1" t="s">
        <v>527</v>
      </c>
      <c r="D345" s="1" t="s">
        <v>926</v>
      </c>
      <c r="E345" s="6" t="s">
        <v>174</v>
      </c>
      <c r="F345" s="1" t="s">
        <v>1325</v>
      </c>
      <c r="G345" s="1" t="s">
        <v>1390</v>
      </c>
      <c r="H345" s="1" t="s">
        <v>1393</v>
      </c>
      <c r="I345" s="1" t="s">
        <v>1394</v>
      </c>
      <c r="J345" s="1" t="s">
        <v>1396</v>
      </c>
      <c r="K345" s="6" t="str">
        <f t="shared" si="10"/>
        <v>3343,'BACHILLERATO','miranda.sanchezparga','008388','TOMAR DEL SND','SANCHEZ PARGA MIRANDA','TRONCO COMÚN','2do','FEMENINO','ACTIVO','',0,0,'','ALUMNO'</v>
      </c>
      <c r="L345" s="6" t="str">
        <f t="shared" si="11"/>
        <v>INSERT INTO participantes (id,nivel,correo,matricula,clave,nombre,carrera,grado,sexo,situacion,evaluados,num_evaluados,total_evaluaciones,ultimo_acceso,nivel_acceso) VALUES (3343,'BACHILLERATO','miranda.sanchezparga','008388','TOMAR DEL SND','SANCHEZ PARGA MIRANDA','TRONCO COMÚN','2do','FEMENINO','ACTIVO','',0,0,'','ALUMNO');</v>
      </c>
    </row>
    <row r="346" spans="1:12" x14ac:dyDescent="0.35">
      <c r="A346">
        <v>3344</v>
      </c>
      <c r="B346" s="1" t="s">
        <v>185</v>
      </c>
      <c r="C346" s="1" t="s">
        <v>528</v>
      </c>
      <c r="D346" s="1" t="s">
        <v>927</v>
      </c>
      <c r="E346" s="6" t="s">
        <v>174</v>
      </c>
      <c r="F346" s="1" t="s">
        <v>1326</v>
      </c>
      <c r="G346" s="1" t="s">
        <v>1390</v>
      </c>
      <c r="H346" s="1" t="s">
        <v>1393</v>
      </c>
      <c r="I346" s="1" t="s">
        <v>1395</v>
      </c>
      <c r="J346" s="1" t="s">
        <v>1396</v>
      </c>
      <c r="K346" s="6" t="str">
        <f t="shared" si="10"/>
        <v>3344,'BACHILLERATO','santiago.pantojaespinosadelosmonteros','008389','TOMAR DEL SND','PANTOJA ESPINOSA DE LOS MONTEROS SANTIAGO','TRONCO COMÚN','2do','MASCULINO','ACTIVO','',0,0,'','ALUMNO'</v>
      </c>
      <c r="L346" s="6" t="str">
        <f t="shared" si="11"/>
        <v>INSERT INTO participantes (id,nivel,correo,matricula,clave,nombre,carrera,grado,sexo,situacion,evaluados,num_evaluados,total_evaluaciones,ultimo_acceso,nivel_acceso) VALUES (3344,'BACHILLERATO','santiago.pantojaespinosadelosmonteros','008389','TOMAR DEL SND','PANTOJA ESPINOSA DE LOS MONTEROS SANTIAGO','TRONCO COMÚN','2do','MASCULINO','ACTIVO','',0,0,'','ALUMNO');</v>
      </c>
    </row>
    <row r="347" spans="1:12" x14ac:dyDescent="0.35">
      <c r="A347">
        <v>3345</v>
      </c>
      <c r="B347" s="1" t="s">
        <v>185</v>
      </c>
      <c r="C347" s="1" t="s">
        <v>529</v>
      </c>
      <c r="D347" s="1" t="s">
        <v>928</v>
      </c>
      <c r="E347" s="6" t="s">
        <v>174</v>
      </c>
      <c r="F347" s="1" t="s">
        <v>1327</v>
      </c>
      <c r="G347" s="1" t="s">
        <v>1390</v>
      </c>
      <c r="H347" s="1" t="s">
        <v>1393</v>
      </c>
      <c r="I347" s="1" t="s">
        <v>1394</v>
      </c>
      <c r="J347" s="1" t="s">
        <v>1396</v>
      </c>
      <c r="K347" s="6" t="str">
        <f t="shared" si="10"/>
        <v>3345,'BACHILLERATO','zoegeraldine.aboytesreyes','008390','TOMAR DEL SND','ABOYTES REYES ZOE GERALDINE','TRONCO COMÚN','2do','FEMENINO','ACTIVO','',0,0,'','ALUMNO'</v>
      </c>
      <c r="L347" s="6" t="str">
        <f t="shared" si="11"/>
        <v>INSERT INTO participantes (id,nivel,correo,matricula,clave,nombre,carrera,grado,sexo,situacion,evaluados,num_evaluados,total_evaluaciones,ultimo_acceso,nivel_acceso) VALUES (3345,'BACHILLERATO','zoegeraldine.aboytesreyes','008390','TOMAR DEL SND','ABOYTES REYES ZOE GERALDINE','TRONCO COMÚN','2do','FEMENINO','ACTIVO','',0,0,'','ALUMNO');</v>
      </c>
    </row>
    <row r="348" spans="1:12" x14ac:dyDescent="0.35">
      <c r="A348">
        <v>3346</v>
      </c>
      <c r="B348" s="1" t="s">
        <v>185</v>
      </c>
      <c r="C348" s="1" t="s">
        <v>530</v>
      </c>
      <c r="D348" s="1" t="s">
        <v>929</v>
      </c>
      <c r="E348" s="6" t="s">
        <v>174</v>
      </c>
      <c r="F348" s="1" t="s">
        <v>1328</v>
      </c>
      <c r="G348" s="1" t="s">
        <v>1390</v>
      </c>
      <c r="H348" s="1" t="s">
        <v>1393</v>
      </c>
      <c r="I348" s="1" t="s">
        <v>1394</v>
      </c>
      <c r="J348" s="1" t="s">
        <v>1396</v>
      </c>
      <c r="K348" s="6" t="str">
        <f t="shared" si="10"/>
        <v>3346,'BACHILLERATO','valeriarosario.gomezjimenez','008391','TOMAR DEL SND','GOMEZ JIMENEZ VALERIA ROSARIO','TRONCO COMÚN','2do','FEMENINO','ACTIVO','',0,0,'','ALUMNO'</v>
      </c>
      <c r="L348" s="6" t="str">
        <f t="shared" si="11"/>
        <v>INSERT INTO participantes (id,nivel,correo,matricula,clave,nombre,carrera,grado,sexo,situacion,evaluados,num_evaluados,total_evaluaciones,ultimo_acceso,nivel_acceso) VALUES (3346,'BACHILLERATO','valeriarosario.gomezjimenez','008391','TOMAR DEL SND','GOMEZ JIMENEZ VALERIA ROSARIO','TRONCO COMÚN','2do','FEMENINO','ACTIVO','',0,0,'','ALUMNO');</v>
      </c>
    </row>
    <row r="349" spans="1:12" x14ac:dyDescent="0.35">
      <c r="A349">
        <v>3347</v>
      </c>
      <c r="B349" s="1" t="s">
        <v>185</v>
      </c>
      <c r="C349" s="1" t="s">
        <v>531</v>
      </c>
      <c r="D349" s="1" t="s">
        <v>930</v>
      </c>
      <c r="E349" s="6" t="s">
        <v>174</v>
      </c>
      <c r="F349" s="1" t="s">
        <v>1329</v>
      </c>
      <c r="G349" s="1" t="s">
        <v>1390</v>
      </c>
      <c r="H349" s="1" t="s">
        <v>1393</v>
      </c>
      <c r="I349" s="1" t="s">
        <v>1395</v>
      </c>
      <c r="J349" s="1" t="s">
        <v>1396</v>
      </c>
      <c r="K349" s="6" t="str">
        <f t="shared" si="10"/>
        <v>3347,'BACHILLERATO','christianakira.minakatarodriguez','008392','TOMAR DEL SND','MINAKATA RODRIGUEZ CHRISTIAN AKIRA','TRONCO COMÚN','2do','MASCULINO','ACTIVO','',0,0,'','ALUMNO'</v>
      </c>
      <c r="L349" s="6" t="str">
        <f t="shared" si="11"/>
        <v>INSERT INTO participantes (id,nivel,correo,matricula,clave,nombre,carrera,grado,sexo,situacion,evaluados,num_evaluados,total_evaluaciones,ultimo_acceso,nivel_acceso) VALUES (3347,'BACHILLERATO','christianakira.minakatarodriguez','008392','TOMAR DEL SND','MINAKATA RODRIGUEZ CHRISTIAN AKIRA','TRONCO COMÚN','2do','MASCULINO','ACTIVO','',0,0,'','ALUMNO');</v>
      </c>
    </row>
    <row r="350" spans="1:12" x14ac:dyDescent="0.35">
      <c r="A350">
        <v>3348</v>
      </c>
      <c r="B350" s="1" t="s">
        <v>185</v>
      </c>
      <c r="C350" s="1" t="s">
        <v>532</v>
      </c>
      <c r="D350" s="1" t="s">
        <v>931</v>
      </c>
      <c r="E350" s="6" t="s">
        <v>174</v>
      </c>
      <c r="F350" s="1" t="s">
        <v>1330</v>
      </c>
      <c r="G350" s="1" t="s">
        <v>1390</v>
      </c>
      <c r="H350" s="1" t="s">
        <v>1393</v>
      </c>
      <c r="I350" s="1" t="s">
        <v>1394</v>
      </c>
      <c r="J350" s="1" t="s">
        <v>1396</v>
      </c>
      <c r="K350" s="6" t="str">
        <f t="shared" si="10"/>
        <v>3348,'BACHILLERATO','gillianlynel.mombrunleyva','008393','TOMAR DEL SND','MOMBRUN LEYVA GILLIAN LYNEL','TRONCO COMÚN','2do','FEMENINO','ACTIVO','',0,0,'','ALUMNO'</v>
      </c>
      <c r="L350" s="6" t="str">
        <f t="shared" si="11"/>
        <v>INSERT INTO participantes (id,nivel,correo,matricula,clave,nombre,carrera,grado,sexo,situacion,evaluados,num_evaluados,total_evaluaciones,ultimo_acceso,nivel_acceso) VALUES (3348,'BACHILLERATO','gillianlynel.mombrunleyva','008393','TOMAR DEL SND','MOMBRUN LEYVA GILLIAN LYNEL','TRONCO COMÚN','2do','FEMENINO','ACTIVO','',0,0,'','ALUMNO');</v>
      </c>
    </row>
    <row r="351" spans="1:12" x14ac:dyDescent="0.35">
      <c r="A351">
        <v>3349</v>
      </c>
      <c r="B351" s="1" t="s">
        <v>185</v>
      </c>
      <c r="C351" s="1" t="s">
        <v>533</v>
      </c>
      <c r="D351" s="1" t="s">
        <v>932</v>
      </c>
      <c r="E351" s="6" t="s">
        <v>174</v>
      </c>
      <c r="F351" s="1" t="s">
        <v>1331</v>
      </c>
      <c r="G351" s="1" t="s">
        <v>1390</v>
      </c>
      <c r="H351" s="1" t="s">
        <v>1393</v>
      </c>
      <c r="I351" s="1" t="s">
        <v>1395</v>
      </c>
      <c r="J351" s="1" t="s">
        <v>1396</v>
      </c>
      <c r="K351" s="6" t="str">
        <f t="shared" si="10"/>
        <v>3349,'BACHILLERATO','joseeduardo.olivareshermosillo','008394','TOMAR DEL SND','OLIVARES HERMOSILLO JOSE EDUARDO','TRONCO COMÚN','2do','MASCULINO','ACTIVO','',0,0,'','ALUMNO'</v>
      </c>
      <c r="L351" s="6" t="str">
        <f t="shared" si="11"/>
        <v>INSERT INTO participantes (id,nivel,correo,matricula,clave,nombre,carrera,grado,sexo,situacion,evaluados,num_evaluados,total_evaluaciones,ultimo_acceso,nivel_acceso) VALUES (3349,'BACHILLERATO','joseeduardo.olivareshermosillo','008394','TOMAR DEL SND','OLIVARES HERMOSILLO JOSE EDUARDO','TRONCO COMÚN','2do','MASCULINO','ACTIVO','',0,0,'','ALUMNO');</v>
      </c>
    </row>
    <row r="352" spans="1:12" x14ac:dyDescent="0.35">
      <c r="A352">
        <v>3350</v>
      </c>
      <c r="B352" s="1" t="s">
        <v>185</v>
      </c>
      <c r="C352" s="1" t="s">
        <v>534</v>
      </c>
      <c r="D352" s="1" t="s">
        <v>933</v>
      </c>
      <c r="E352" s="6" t="s">
        <v>174</v>
      </c>
      <c r="F352" s="1" t="s">
        <v>1332</v>
      </c>
      <c r="G352" s="1" t="s">
        <v>1390</v>
      </c>
      <c r="H352" s="1" t="s">
        <v>1393</v>
      </c>
      <c r="I352" s="1" t="s">
        <v>1394</v>
      </c>
      <c r="J352" s="1" t="s">
        <v>1396</v>
      </c>
      <c r="K352" s="6" t="str">
        <f t="shared" si="10"/>
        <v>3350,'BACHILLERATO','mariana.palaciosrodriguez','008395','TOMAR DEL SND','PALACIOS RODRIGUEZ MARIANA','TRONCO COMÚN','2do','FEMENINO','ACTIVO','',0,0,'','ALUMNO'</v>
      </c>
      <c r="L352" s="6" t="str">
        <f t="shared" si="11"/>
        <v>INSERT INTO participantes (id,nivel,correo,matricula,clave,nombre,carrera,grado,sexo,situacion,evaluados,num_evaluados,total_evaluaciones,ultimo_acceso,nivel_acceso) VALUES (3350,'BACHILLERATO','mariana.palaciosrodriguez','008395','TOMAR DEL SND','PALACIOS RODRIGUEZ MARIANA','TRONCO COMÚN','2do','FEMENINO','ACTIVO','',0,0,'','ALUMNO');</v>
      </c>
    </row>
    <row r="353" spans="1:12" x14ac:dyDescent="0.35">
      <c r="A353">
        <v>3351</v>
      </c>
      <c r="B353" s="1" t="s">
        <v>185</v>
      </c>
      <c r="C353" s="1" t="s">
        <v>535</v>
      </c>
      <c r="D353" s="1" t="s">
        <v>934</v>
      </c>
      <c r="E353" s="6" t="s">
        <v>174</v>
      </c>
      <c r="F353" s="1" t="s">
        <v>1333</v>
      </c>
      <c r="G353" s="1" t="s">
        <v>1390</v>
      </c>
      <c r="H353" s="1" t="s">
        <v>1393</v>
      </c>
      <c r="I353" s="1" t="s">
        <v>1394</v>
      </c>
      <c r="J353" s="1" t="s">
        <v>1396</v>
      </c>
      <c r="K353" s="6" t="str">
        <f t="shared" si="10"/>
        <v>3351,'BACHILLERATO','nataliaguadalupe.olivarespulido','008396','TOMAR DEL SND','OLIVARES PULIDO NATALIA GUADALUPE','TRONCO COMÚN','2do','FEMENINO','ACTIVO','',0,0,'','ALUMNO'</v>
      </c>
      <c r="L353" s="6" t="str">
        <f t="shared" si="11"/>
        <v>INSERT INTO participantes (id,nivel,correo,matricula,clave,nombre,carrera,grado,sexo,situacion,evaluados,num_evaluados,total_evaluaciones,ultimo_acceso,nivel_acceso) VALUES (3351,'BACHILLERATO','nataliaguadalupe.olivarespulido','008396','TOMAR DEL SND','OLIVARES PULIDO NATALIA GUADALUPE','TRONCO COMÚN','2do','FEMENINO','ACTIVO','',0,0,'','ALUMNO');</v>
      </c>
    </row>
    <row r="354" spans="1:12" x14ac:dyDescent="0.35">
      <c r="A354">
        <v>3352</v>
      </c>
      <c r="B354" s="1" t="s">
        <v>185</v>
      </c>
      <c r="C354" s="1" t="s">
        <v>536</v>
      </c>
      <c r="D354" s="1" t="s">
        <v>935</v>
      </c>
      <c r="E354" s="6" t="s">
        <v>174</v>
      </c>
      <c r="F354" s="1" t="s">
        <v>1334</v>
      </c>
      <c r="G354" s="1" t="s">
        <v>1390</v>
      </c>
      <c r="H354" s="1" t="s">
        <v>1393</v>
      </c>
      <c r="I354" s="1" t="s">
        <v>1394</v>
      </c>
      <c r="J354" s="1" t="s">
        <v>1396</v>
      </c>
      <c r="K354" s="6" t="str">
        <f t="shared" si="10"/>
        <v>3352,'BACHILLERATO','mariadelourdes.padillapegueros','008397','TOMAR DEL SND','PADILLA PEGUEROS MARIA DE LOURDES','TRONCO COMÚN','2do','FEMENINO','ACTIVO','',0,0,'','ALUMNO'</v>
      </c>
      <c r="L354" s="6" t="str">
        <f t="shared" si="11"/>
        <v>INSERT INTO participantes (id,nivel,correo,matricula,clave,nombre,carrera,grado,sexo,situacion,evaluados,num_evaluados,total_evaluaciones,ultimo_acceso,nivel_acceso) VALUES (3352,'BACHILLERATO','mariadelourdes.padillapegueros','008397','TOMAR DEL SND','PADILLA PEGUEROS MARIA DE LOURDES','TRONCO COMÚN','2do','FEMENINO','ACTIVO','',0,0,'','ALUMNO');</v>
      </c>
    </row>
    <row r="355" spans="1:12" x14ac:dyDescent="0.35">
      <c r="A355">
        <v>3353</v>
      </c>
      <c r="B355" s="1" t="s">
        <v>185</v>
      </c>
      <c r="C355" s="1" t="s">
        <v>537</v>
      </c>
      <c r="D355" s="1" t="s">
        <v>936</v>
      </c>
      <c r="E355" s="6" t="s">
        <v>174</v>
      </c>
      <c r="F355" s="1" t="s">
        <v>1335</v>
      </c>
      <c r="G355" s="1" t="s">
        <v>1390</v>
      </c>
      <c r="H355" s="1" t="s">
        <v>1393</v>
      </c>
      <c r="I355" s="1" t="s">
        <v>1395</v>
      </c>
      <c r="J355" s="1" t="s">
        <v>1396</v>
      </c>
      <c r="K355" s="6" t="str">
        <f t="shared" si="10"/>
        <v>3353,'BACHILLERATO','diego.reyesbeas','008398','TOMAR DEL SND','REYES BEAS DIEGO','TRONCO COMÚN','2do','MASCULINO','ACTIVO','',0,0,'','ALUMNO'</v>
      </c>
      <c r="L355" s="6" t="str">
        <f t="shared" si="11"/>
        <v>INSERT INTO participantes (id,nivel,correo,matricula,clave,nombre,carrera,grado,sexo,situacion,evaluados,num_evaluados,total_evaluaciones,ultimo_acceso,nivel_acceso) VALUES (3353,'BACHILLERATO','diego.reyesbeas','008398','TOMAR DEL SND','REYES BEAS DIEGO','TRONCO COMÚN','2do','MASCULINO','ACTIVO','',0,0,'','ALUMNO');</v>
      </c>
    </row>
    <row r="356" spans="1:12" x14ac:dyDescent="0.35">
      <c r="A356">
        <v>3354</v>
      </c>
      <c r="B356" s="1" t="s">
        <v>185</v>
      </c>
      <c r="C356" s="1" t="s">
        <v>538</v>
      </c>
      <c r="D356" s="1" t="s">
        <v>937</v>
      </c>
      <c r="E356" s="6" t="s">
        <v>174</v>
      </c>
      <c r="F356" s="1" t="s">
        <v>1336</v>
      </c>
      <c r="G356" s="1" t="s">
        <v>1390</v>
      </c>
      <c r="H356" s="1" t="s">
        <v>1393</v>
      </c>
      <c r="I356" s="1" t="s">
        <v>1394</v>
      </c>
      <c r="J356" s="1" t="s">
        <v>1396</v>
      </c>
      <c r="K356" s="6" t="str">
        <f t="shared" si="10"/>
        <v>3354,'BACHILLERATO','lucia.uribehernandez','008399','TOMAR DEL SND','URIBE HERNANDEZ LUCIA','TRONCO COMÚN','2do','FEMENINO','ACTIVO','',0,0,'','ALUMNO'</v>
      </c>
      <c r="L356" s="6" t="str">
        <f t="shared" si="11"/>
        <v>INSERT INTO participantes (id,nivel,correo,matricula,clave,nombre,carrera,grado,sexo,situacion,evaluados,num_evaluados,total_evaluaciones,ultimo_acceso,nivel_acceso) VALUES (3354,'BACHILLERATO','lucia.uribehernandez','008399','TOMAR DEL SND','URIBE HERNANDEZ LUCIA','TRONCO COMÚN','2do','FEMENINO','ACTIVO','',0,0,'','ALUMNO');</v>
      </c>
    </row>
    <row r="357" spans="1:12" x14ac:dyDescent="0.35">
      <c r="A357">
        <v>3355</v>
      </c>
      <c r="B357" s="1" t="s">
        <v>185</v>
      </c>
      <c r="C357" s="1" t="s">
        <v>539</v>
      </c>
      <c r="D357" s="1" t="s">
        <v>938</v>
      </c>
      <c r="E357" s="6" t="s">
        <v>174</v>
      </c>
      <c r="F357" s="1" t="s">
        <v>1337</v>
      </c>
      <c r="G357" s="1" t="s">
        <v>1390</v>
      </c>
      <c r="H357" s="1" t="s">
        <v>1393</v>
      </c>
      <c r="I357" s="1" t="s">
        <v>1394</v>
      </c>
      <c r="J357" s="1" t="s">
        <v>1396</v>
      </c>
      <c r="K357" s="6" t="str">
        <f t="shared" si="10"/>
        <v>3355,'BACHILLERATO','sofiafernanda.romerovidrio','008400','TOMAR DEL SND','ROMERO VIDRIO SOFIA FERNANDA','TRONCO COMÚN','2do','FEMENINO','ACTIVO','',0,0,'','ALUMNO'</v>
      </c>
      <c r="L357" s="6" t="str">
        <f t="shared" si="11"/>
        <v>INSERT INTO participantes (id,nivel,correo,matricula,clave,nombre,carrera,grado,sexo,situacion,evaluados,num_evaluados,total_evaluaciones,ultimo_acceso,nivel_acceso) VALUES (3355,'BACHILLERATO','sofiafernanda.romerovidrio','008400','TOMAR DEL SND','ROMERO VIDRIO SOFIA FERNANDA','TRONCO COMÚN','2do','FEMENINO','ACTIVO','',0,0,'','ALUMNO');</v>
      </c>
    </row>
    <row r="358" spans="1:12" x14ac:dyDescent="0.35">
      <c r="A358">
        <v>3356</v>
      </c>
      <c r="B358" s="1" t="s">
        <v>185</v>
      </c>
      <c r="C358" s="1" t="s">
        <v>540</v>
      </c>
      <c r="D358" s="1" t="s">
        <v>939</v>
      </c>
      <c r="E358" s="6" t="s">
        <v>174</v>
      </c>
      <c r="F358" s="1" t="s">
        <v>1338</v>
      </c>
      <c r="G358" s="1" t="s">
        <v>1390</v>
      </c>
      <c r="H358" s="1" t="s">
        <v>1393</v>
      </c>
      <c r="I358" s="1" t="s">
        <v>1394</v>
      </c>
      <c r="J358" s="1" t="s">
        <v>1396</v>
      </c>
      <c r="K358" s="6" t="str">
        <f t="shared" si="10"/>
        <v>3356,'BACHILLERATO','sofia.morannolasco','008401','TOMAR DEL SND','MORAN NOLASCO SOFIA','TRONCO COMÚN','2do','FEMENINO','ACTIVO','',0,0,'','ALUMNO'</v>
      </c>
      <c r="L358" s="6" t="str">
        <f t="shared" si="11"/>
        <v>INSERT INTO participantes (id,nivel,correo,matricula,clave,nombre,carrera,grado,sexo,situacion,evaluados,num_evaluados,total_evaluaciones,ultimo_acceso,nivel_acceso) VALUES (3356,'BACHILLERATO','sofia.morannolasco','008401','TOMAR DEL SND','MORAN NOLASCO SOFIA','TRONCO COMÚN','2do','FEMENINO','ACTIVO','',0,0,'','ALUMNO');</v>
      </c>
    </row>
    <row r="359" spans="1:12" x14ac:dyDescent="0.35">
      <c r="A359">
        <v>3357</v>
      </c>
      <c r="B359" s="1" t="s">
        <v>185</v>
      </c>
      <c r="C359" s="1" t="s">
        <v>541</v>
      </c>
      <c r="D359" s="1" t="s">
        <v>940</v>
      </c>
      <c r="E359" s="6" t="s">
        <v>174</v>
      </c>
      <c r="F359" s="1" t="s">
        <v>1339</v>
      </c>
      <c r="G359" s="1" t="s">
        <v>1390</v>
      </c>
      <c r="H359" s="1" t="s">
        <v>1393</v>
      </c>
      <c r="I359" s="1" t="s">
        <v>1394</v>
      </c>
      <c r="J359" s="1" t="s">
        <v>1396</v>
      </c>
      <c r="K359" s="6" t="str">
        <f t="shared" si="10"/>
        <v>3357,'BACHILLERATO','valeria.vazquezmares','008402','TOMAR DEL SND','VAZQUEZ MARES VALERIA','TRONCO COMÚN','2do','FEMENINO','ACTIVO','',0,0,'','ALUMNO'</v>
      </c>
      <c r="L359" s="6" t="str">
        <f t="shared" si="11"/>
        <v>INSERT INTO participantes (id,nivel,correo,matricula,clave,nombre,carrera,grado,sexo,situacion,evaluados,num_evaluados,total_evaluaciones,ultimo_acceso,nivel_acceso) VALUES (3357,'BACHILLERATO','valeria.vazquezmares','008402','TOMAR DEL SND','VAZQUEZ MARES VALERIA','TRONCO COMÚN','2do','FEMENINO','ACTIVO','',0,0,'','ALUMNO');</v>
      </c>
    </row>
    <row r="360" spans="1:12" x14ac:dyDescent="0.35">
      <c r="A360">
        <v>3358</v>
      </c>
      <c r="B360" s="1" t="s">
        <v>185</v>
      </c>
      <c r="C360" s="1" t="s">
        <v>542</v>
      </c>
      <c r="D360" s="1" t="s">
        <v>941</v>
      </c>
      <c r="E360" s="6" t="s">
        <v>174</v>
      </c>
      <c r="F360" s="1" t="s">
        <v>1340</v>
      </c>
      <c r="G360" s="1" t="s">
        <v>1390</v>
      </c>
      <c r="H360" s="1" t="s">
        <v>1393</v>
      </c>
      <c r="I360" s="1" t="s">
        <v>1394</v>
      </c>
      <c r="J360" s="1" t="s">
        <v>1396</v>
      </c>
      <c r="K360" s="6" t="str">
        <f t="shared" si="10"/>
        <v>3358,'BACHILLERATO','lucia.lomelisolano','008403','TOMAR DEL SND','LOMELI SOLANO LUCIA','TRONCO COMÚN','2do','FEMENINO','ACTIVO','',0,0,'','ALUMNO'</v>
      </c>
      <c r="L360" s="6" t="str">
        <f t="shared" si="11"/>
        <v>INSERT INTO participantes (id,nivel,correo,matricula,clave,nombre,carrera,grado,sexo,situacion,evaluados,num_evaluados,total_evaluaciones,ultimo_acceso,nivel_acceso) VALUES (3358,'BACHILLERATO','lucia.lomelisolano','008403','TOMAR DEL SND','LOMELI SOLANO LUCIA','TRONCO COMÚN','2do','FEMENINO','ACTIVO','',0,0,'','ALUMNO');</v>
      </c>
    </row>
    <row r="361" spans="1:12" x14ac:dyDescent="0.35">
      <c r="A361">
        <v>3359</v>
      </c>
      <c r="B361" s="1" t="s">
        <v>185</v>
      </c>
      <c r="C361" s="1" t="s">
        <v>543</v>
      </c>
      <c r="D361" s="1" t="s">
        <v>942</v>
      </c>
      <c r="E361" s="6" t="s">
        <v>174</v>
      </c>
      <c r="F361" s="1" t="s">
        <v>1341</v>
      </c>
      <c r="G361" s="1" t="s">
        <v>1390</v>
      </c>
      <c r="H361" s="1" t="s">
        <v>1393</v>
      </c>
      <c r="I361" s="1" t="s">
        <v>1394</v>
      </c>
      <c r="J361" s="1" t="s">
        <v>1396</v>
      </c>
      <c r="K361" s="6" t="str">
        <f t="shared" si="10"/>
        <v>3359,'BACHILLERATO','regina.orozcomuro','008404','TOMAR DEL SND','OROZCO MURO REGINA','TRONCO COMÚN','2do','FEMENINO','ACTIVO','',0,0,'','ALUMNO'</v>
      </c>
      <c r="L361" s="6" t="str">
        <f t="shared" si="11"/>
        <v>INSERT INTO participantes (id,nivel,correo,matricula,clave,nombre,carrera,grado,sexo,situacion,evaluados,num_evaluados,total_evaluaciones,ultimo_acceso,nivel_acceso) VALUES (3359,'BACHILLERATO','regina.orozcomuro','008404','TOMAR DEL SND','OROZCO MURO REGINA','TRONCO COMÚN','2do','FEMENINO','ACTIVO','',0,0,'','ALUMNO');</v>
      </c>
    </row>
    <row r="362" spans="1:12" x14ac:dyDescent="0.35">
      <c r="A362">
        <v>3360</v>
      </c>
      <c r="B362" s="1" t="s">
        <v>185</v>
      </c>
      <c r="C362" s="1" t="s">
        <v>544</v>
      </c>
      <c r="D362" s="1" t="s">
        <v>943</v>
      </c>
      <c r="E362" s="6" t="s">
        <v>174</v>
      </c>
      <c r="F362" s="1" t="s">
        <v>1342</v>
      </c>
      <c r="G362" s="1" t="s">
        <v>1390</v>
      </c>
      <c r="H362" s="1" t="s">
        <v>1393</v>
      </c>
      <c r="I362" s="1" t="s">
        <v>1394</v>
      </c>
      <c r="J362" s="1" t="s">
        <v>1396</v>
      </c>
      <c r="K362" s="6" t="str">
        <f t="shared" si="10"/>
        <v>3360,'BACHILLERATO','julieta.vazquezlopez','008405','TOMAR DEL SND','VAZQUEZ LOPEZ JULIETA','TRONCO COMÚN','2do','FEMENINO','ACTIVO','',0,0,'','ALUMNO'</v>
      </c>
      <c r="L362" s="6" t="str">
        <f t="shared" si="11"/>
        <v>INSERT INTO participantes (id,nivel,correo,matricula,clave,nombre,carrera,grado,sexo,situacion,evaluados,num_evaluados,total_evaluaciones,ultimo_acceso,nivel_acceso) VALUES (3360,'BACHILLERATO','julieta.vazquezlopez','008405','TOMAR DEL SND','VAZQUEZ LOPEZ JULIETA','TRONCO COMÚN','2do','FEMENINO','ACTIVO','',0,0,'','ALUMNO');</v>
      </c>
    </row>
    <row r="363" spans="1:12" x14ac:dyDescent="0.35">
      <c r="A363">
        <v>3361</v>
      </c>
      <c r="B363" s="1" t="s">
        <v>185</v>
      </c>
      <c r="C363" s="1" t="s">
        <v>545</v>
      </c>
      <c r="D363" s="1" t="s">
        <v>944</v>
      </c>
      <c r="E363" s="6" t="s">
        <v>174</v>
      </c>
      <c r="F363" s="1" t="s">
        <v>1343</v>
      </c>
      <c r="G363" s="1" t="s">
        <v>1390</v>
      </c>
      <c r="H363" s="1" t="s">
        <v>1393</v>
      </c>
      <c r="I363" s="1" t="s">
        <v>1395</v>
      </c>
      <c r="J363" s="1" t="s">
        <v>1396</v>
      </c>
      <c r="K363" s="6" t="str">
        <f t="shared" si="10"/>
        <v>3361,'BACHILLERATO','josemaria.koyamadiaz','008406','TOMAR DEL SND','KOYAMA DIAZ JOSE MARIA','TRONCO COMÚN','2do','MASCULINO','ACTIVO','',0,0,'','ALUMNO'</v>
      </c>
      <c r="L363" s="6" t="str">
        <f t="shared" si="11"/>
        <v>INSERT INTO participantes (id,nivel,correo,matricula,clave,nombre,carrera,grado,sexo,situacion,evaluados,num_evaluados,total_evaluaciones,ultimo_acceso,nivel_acceso) VALUES (3361,'BACHILLERATO','josemaria.koyamadiaz','008406','TOMAR DEL SND','KOYAMA DIAZ JOSE MARIA','TRONCO COMÚN','2do','MASCULINO','ACTIVO','',0,0,'','ALUMNO');</v>
      </c>
    </row>
    <row r="364" spans="1:12" x14ac:dyDescent="0.35">
      <c r="A364">
        <v>3362</v>
      </c>
      <c r="B364" s="1" t="s">
        <v>185</v>
      </c>
      <c r="C364" s="1" t="s">
        <v>546</v>
      </c>
      <c r="D364" s="1" t="s">
        <v>945</v>
      </c>
      <c r="E364" s="6" t="s">
        <v>174</v>
      </c>
      <c r="F364" s="1" t="s">
        <v>1344</v>
      </c>
      <c r="G364" s="1" t="s">
        <v>1388</v>
      </c>
      <c r="H364" s="1" t="s">
        <v>1392</v>
      </c>
      <c r="I364" s="1" t="s">
        <v>1395</v>
      </c>
      <c r="J364" s="1" t="s">
        <v>1396</v>
      </c>
      <c r="K364" s="6" t="str">
        <f t="shared" si="10"/>
        <v>3362,'BACHILLERATO','emilianoisaias.barajasortega','008407','TOMAR DEL SND','BARAJAS ORTEGA EMILIANO ISAIAS','DISEÑO GRÁFICOA','4to','MASCULINO','ACTIVO','',0,0,'','ALUMNO'</v>
      </c>
      <c r="L364" s="6" t="str">
        <f t="shared" si="11"/>
        <v>INSERT INTO participantes (id,nivel,correo,matricula,clave,nombre,carrera,grado,sexo,situacion,evaluados,num_evaluados,total_evaluaciones,ultimo_acceso,nivel_acceso) VALUES (3362,'BACHILLERATO','emilianoisaias.barajasortega','008407','TOMAR DEL SND','BARAJAS ORTEGA EMILIANO ISAIAS','DISEÑO GRÁFICOA','4to','MASCULINO','ACTIVO','',0,0,'','ALUMNO');</v>
      </c>
    </row>
    <row r="365" spans="1:12" x14ac:dyDescent="0.35">
      <c r="A365">
        <v>3363</v>
      </c>
      <c r="B365" s="1" t="s">
        <v>185</v>
      </c>
      <c r="C365" s="1" t="s">
        <v>547</v>
      </c>
      <c r="D365" s="1" t="s">
        <v>946</v>
      </c>
      <c r="E365" s="6" t="s">
        <v>174</v>
      </c>
      <c r="F365" s="1" t="s">
        <v>1345</v>
      </c>
      <c r="G365" s="1" t="s">
        <v>1390</v>
      </c>
      <c r="H365" s="1" t="s">
        <v>1393</v>
      </c>
      <c r="I365" s="1" t="s">
        <v>1395</v>
      </c>
      <c r="J365" s="1" t="s">
        <v>1396</v>
      </c>
      <c r="K365" s="6" t="str">
        <f t="shared" si="10"/>
        <v>3363,'BACHILLERATO','josemauricio.oteroaguilar','008408','TOMAR DEL SND','OTERO AGUILAR JOSE MAURICIO','TRONCO COMÚN','2do','MASCULINO','ACTIVO','',0,0,'','ALUMNO'</v>
      </c>
      <c r="L365" s="6" t="str">
        <f t="shared" si="11"/>
        <v>INSERT INTO participantes (id,nivel,correo,matricula,clave,nombre,carrera,grado,sexo,situacion,evaluados,num_evaluados,total_evaluaciones,ultimo_acceso,nivel_acceso) VALUES (3363,'BACHILLERATO','josemauricio.oteroaguilar','008408','TOMAR DEL SND','OTERO AGUILAR JOSE MAURICIO','TRONCO COMÚN','2do','MASCULINO','ACTIVO','',0,0,'','ALUMNO');</v>
      </c>
    </row>
    <row r="366" spans="1:12" x14ac:dyDescent="0.35">
      <c r="A366">
        <v>3364</v>
      </c>
      <c r="B366" s="1" t="s">
        <v>185</v>
      </c>
      <c r="C366" s="1" t="s">
        <v>548</v>
      </c>
      <c r="D366" s="1" t="s">
        <v>947</v>
      </c>
      <c r="E366" s="6" t="s">
        <v>174</v>
      </c>
      <c r="F366" s="1" t="s">
        <v>1346</v>
      </c>
      <c r="G366" s="1" t="s">
        <v>1390</v>
      </c>
      <c r="H366" s="1" t="s">
        <v>1393</v>
      </c>
      <c r="I366" s="1" t="s">
        <v>1395</v>
      </c>
      <c r="J366" s="1" t="s">
        <v>1396</v>
      </c>
      <c r="K366" s="6" t="str">
        <f t="shared" si="10"/>
        <v>3364,'BACHILLERATO','julioisaias.delacruzmoya','008409','TOMAR DEL SND','DE LA CRUZ MOYA JULIO ISAIAS','TRONCO COMÚN','2do','MASCULINO','ACTIVO','',0,0,'','ALUMNO'</v>
      </c>
      <c r="L366" s="6" t="str">
        <f t="shared" si="11"/>
        <v>INSERT INTO participantes (id,nivel,correo,matricula,clave,nombre,carrera,grado,sexo,situacion,evaluados,num_evaluados,total_evaluaciones,ultimo_acceso,nivel_acceso) VALUES (3364,'BACHILLERATO','julioisaias.delacruzmoya','008409','TOMAR DEL SND','DE LA CRUZ MOYA JULIO ISAIAS','TRONCO COMÚN','2do','MASCULINO','ACTIVO','',0,0,'','ALUMNO');</v>
      </c>
    </row>
    <row r="367" spans="1:12" x14ac:dyDescent="0.35">
      <c r="A367">
        <v>3365</v>
      </c>
      <c r="B367" s="1" t="s">
        <v>185</v>
      </c>
      <c r="C367" s="1" t="s">
        <v>549</v>
      </c>
      <c r="D367" s="1" t="s">
        <v>948</v>
      </c>
      <c r="E367" s="6" t="s">
        <v>174</v>
      </c>
      <c r="F367" s="1" t="s">
        <v>1347</v>
      </c>
      <c r="G367" s="1" t="s">
        <v>1387</v>
      </c>
      <c r="H367" s="1" t="s">
        <v>1392</v>
      </c>
      <c r="I367" s="1" t="s">
        <v>1394</v>
      </c>
      <c r="J367" s="1" t="s">
        <v>1396</v>
      </c>
      <c r="K367" s="6" t="str">
        <f t="shared" si="10"/>
        <v>3365,'BACHILLERATO','paolaalessandra.mirandasedano','008411','TOMAR DEL SND','MIRANDA SEDANO PAOLA ALESSANDRA','HIGIENE Y SALUD COMUNITARIAA','4to','FEMENINO','ACTIVO','',0,0,'','ALUMNO'</v>
      </c>
      <c r="L367" s="6" t="str">
        <f t="shared" si="11"/>
        <v>INSERT INTO participantes (id,nivel,correo,matricula,clave,nombre,carrera,grado,sexo,situacion,evaluados,num_evaluados,total_evaluaciones,ultimo_acceso,nivel_acceso) VALUES (3365,'BACHILLERATO','paolaalessandra.mirandasedano','008411','TOMAR DEL SND','MIRANDA SEDANO PAOLA ALESSANDRA','HIGIENE Y SALUD COMUNITARIAA','4to','FEMENINO','ACTIVO','',0,0,'','ALUMNO');</v>
      </c>
    </row>
    <row r="368" spans="1:12" x14ac:dyDescent="0.35">
      <c r="A368">
        <v>3366</v>
      </c>
      <c r="B368" s="1" t="s">
        <v>185</v>
      </c>
      <c r="C368" s="1" t="s">
        <v>550</v>
      </c>
      <c r="D368" s="1" t="s">
        <v>949</v>
      </c>
      <c r="E368" s="6" t="s">
        <v>174</v>
      </c>
      <c r="F368" s="1" t="s">
        <v>1348</v>
      </c>
      <c r="G368" s="1" t="s">
        <v>1386</v>
      </c>
      <c r="H368" s="1" t="s">
        <v>1392</v>
      </c>
      <c r="I368" s="1" t="s">
        <v>1395</v>
      </c>
      <c r="J368" s="1" t="s">
        <v>1396</v>
      </c>
      <c r="K368" s="6" t="str">
        <f t="shared" si="10"/>
        <v>3366,'BACHILLERATO','pablo.gallegosvera','008412','TOMAR DEL SND','GALLEGOS VERA PABLO','ADMINISTRACIÓNA','4to','MASCULINO','ACTIVO','',0,0,'','ALUMNO'</v>
      </c>
      <c r="L368" s="6" t="str">
        <f t="shared" si="11"/>
        <v>INSERT INTO participantes (id,nivel,correo,matricula,clave,nombre,carrera,grado,sexo,situacion,evaluados,num_evaluados,total_evaluaciones,ultimo_acceso,nivel_acceso) VALUES (3366,'BACHILLERATO','pablo.gallegosvera','008412','TOMAR DEL SND','GALLEGOS VERA PABLO','ADMINISTRACIÓNA','4to','MASCULINO','ACTIVO','',0,0,'','ALUMNO');</v>
      </c>
    </row>
    <row r="369" spans="1:12" x14ac:dyDescent="0.35">
      <c r="A369">
        <v>3367</v>
      </c>
      <c r="B369" s="1" t="s">
        <v>185</v>
      </c>
      <c r="C369" s="1" t="s">
        <v>551</v>
      </c>
      <c r="D369" s="1" t="s">
        <v>950</v>
      </c>
      <c r="E369" s="6" t="s">
        <v>174</v>
      </c>
      <c r="F369" s="1" t="s">
        <v>1349</v>
      </c>
      <c r="G369" s="1" t="s">
        <v>1390</v>
      </c>
      <c r="H369" s="1" t="s">
        <v>1393</v>
      </c>
      <c r="I369" s="1" t="s">
        <v>1394</v>
      </c>
      <c r="J369" s="1" t="s">
        <v>1396</v>
      </c>
      <c r="K369" s="6" t="str">
        <f t="shared" si="10"/>
        <v>3367,'BACHILLERATO','isabella.gutierrezencarnacion','008413','TOMAR DEL SND','GUTIERREZ ENCARNACION ISABELLA','TRONCO COMÚN','2do','FEMENINO','ACTIVO','',0,0,'','ALUMNO'</v>
      </c>
      <c r="L369" s="6" t="str">
        <f t="shared" si="11"/>
        <v>INSERT INTO participantes (id,nivel,correo,matricula,clave,nombre,carrera,grado,sexo,situacion,evaluados,num_evaluados,total_evaluaciones,ultimo_acceso,nivel_acceso) VALUES (3367,'BACHILLERATO','isabella.gutierrezencarnacion','008413','TOMAR DEL SND','GUTIERREZ ENCARNACION ISABELLA','TRONCO COMÚN','2do','FEMENINO','ACTIVO','',0,0,'','ALUMNO');</v>
      </c>
    </row>
    <row r="370" spans="1:12" x14ac:dyDescent="0.35">
      <c r="A370">
        <v>3368</v>
      </c>
      <c r="B370" s="1" t="s">
        <v>185</v>
      </c>
      <c r="C370" s="1" t="s">
        <v>552</v>
      </c>
      <c r="D370" s="1" t="s">
        <v>951</v>
      </c>
      <c r="E370" s="6" t="s">
        <v>174</v>
      </c>
      <c r="F370" s="1" t="s">
        <v>1350</v>
      </c>
      <c r="G370" s="1" t="s">
        <v>1390</v>
      </c>
      <c r="H370" s="1" t="s">
        <v>1393</v>
      </c>
      <c r="I370" s="1" t="s">
        <v>1394</v>
      </c>
      <c r="J370" s="1" t="s">
        <v>1396</v>
      </c>
      <c r="K370" s="6" t="str">
        <f t="shared" si="10"/>
        <v>3368,'BACHILLERATO','camila.munozcovarrubias','008414','TOMAR DEL SND','MUÑOZ COVARRUBIAS CAMILA','TRONCO COMÚN','2do','FEMENINO','ACTIVO','',0,0,'','ALUMNO'</v>
      </c>
      <c r="L370" s="6" t="str">
        <f t="shared" si="11"/>
        <v>INSERT INTO participantes (id,nivel,correo,matricula,clave,nombre,carrera,grado,sexo,situacion,evaluados,num_evaluados,total_evaluaciones,ultimo_acceso,nivel_acceso) VALUES (3368,'BACHILLERATO','camila.munozcovarrubias','008414','TOMAR DEL SND','MUÑOZ COVARRUBIAS CAMILA','TRONCO COMÚN','2do','FEMENINO','ACTIVO','',0,0,'','ALUMNO');</v>
      </c>
    </row>
    <row r="371" spans="1:12" x14ac:dyDescent="0.35">
      <c r="A371">
        <v>3369</v>
      </c>
      <c r="B371" s="1" t="s">
        <v>185</v>
      </c>
      <c r="C371" s="1" t="s">
        <v>553</v>
      </c>
      <c r="D371" s="1" t="s">
        <v>952</v>
      </c>
      <c r="E371" s="6" t="s">
        <v>174</v>
      </c>
      <c r="F371" s="1" t="s">
        <v>1351</v>
      </c>
      <c r="G371" s="1" t="s">
        <v>1390</v>
      </c>
      <c r="H371" s="1" t="s">
        <v>1393</v>
      </c>
      <c r="I371" s="1" t="s">
        <v>1394</v>
      </c>
      <c r="J371" s="1" t="s">
        <v>1396</v>
      </c>
      <c r="K371" s="6" t="str">
        <f t="shared" si="10"/>
        <v>3369,'BACHILLERATO','aranzanathali.floresrodriguez','008415','TOMAR DEL SND','FLORES RODRIGUEZ ARANZA NATHALI','TRONCO COMÚN','2do','FEMENINO','ACTIVO','',0,0,'','ALUMNO'</v>
      </c>
      <c r="L371" s="6" t="str">
        <f t="shared" si="11"/>
        <v>INSERT INTO participantes (id,nivel,correo,matricula,clave,nombre,carrera,grado,sexo,situacion,evaluados,num_evaluados,total_evaluaciones,ultimo_acceso,nivel_acceso) VALUES (3369,'BACHILLERATO','aranzanathali.floresrodriguez','008415','TOMAR DEL SND','FLORES RODRIGUEZ ARANZA NATHALI','TRONCO COMÚN','2do','FEMENINO','ACTIVO','',0,0,'','ALUMNO');</v>
      </c>
    </row>
    <row r="372" spans="1:12" x14ac:dyDescent="0.35">
      <c r="A372">
        <v>3370</v>
      </c>
      <c r="B372" s="1" t="s">
        <v>185</v>
      </c>
      <c r="C372" s="1" t="s">
        <v>554</v>
      </c>
      <c r="D372" s="1" t="s">
        <v>953</v>
      </c>
      <c r="E372" s="6" t="s">
        <v>174</v>
      </c>
      <c r="F372" s="1" t="s">
        <v>1352</v>
      </c>
      <c r="G372" s="1" t="s">
        <v>1390</v>
      </c>
      <c r="H372" s="1" t="s">
        <v>1393</v>
      </c>
      <c r="I372" s="1" t="s">
        <v>1394</v>
      </c>
      <c r="J372" s="1" t="s">
        <v>1396</v>
      </c>
      <c r="K372" s="6" t="str">
        <f t="shared" si="10"/>
        <v>3370,'BACHILLERATO','rominastefania.rodriguezalfaro','008416','TOMAR DEL SND','RODRIGUEZ ALFARO ROMINA STEFANIA','TRONCO COMÚN','2do','FEMENINO','ACTIVO','',0,0,'','ALUMNO'</v>
      </c>
      <c r="L372" s="6" t="str">
        <f t="shared" si="11"/>
        <v>INSERT INTO participantes (id,nivel,correo,matricula,clave,nombre,carrera,grado,sexo,situacion,evaluados,num_evaluados,total_evaluaciones,ultimo_acceso,nivel_acceso) VALUES (3370,'BACHILLERATO','rominastefania.rodriguezalfaro','008416','TOMAR DEL SND','RODRIGUEZ ALFARO ROMINA STEFANIA','TRONCO COMÚN','2do','FEMENINO','ACTIVO','',0,0,'','ALUMNO');</v>
      </c>
    </row>
    <row r="373" spans="1:12" x14ac:dyDescent="0.35">
      <c r="A373">
        <v>3371</v>
      </c>
      <c r="B373" s="1" t="s">
        <v>185</v>
      </c>
      <c r="C373" s="1" t="s">
        <v>555</v>
      </c>
      <c r="D373" s="1" t="s">
        <v>954</v>
      </c>
      <c r="E373" s="6" t="s">
        <v>174</v>
      </c>
      <c r="F373" s="1" t="s">
        <v>1353</v>
      </c>
      <c r="G373" s="1" t="s">
        <v>1390</v>
      </c>
      <c r="H373" s="1" t="s">
        <v>1393</v>
      </c>
      <c r="I373" s="1" t="s">
        <v>1395</v>
      </c>
      <c r="J373" s="1" t="s">
        <v>1396</v>
      </c>
      <c r="K373" s="6" t="str">
        <f t="shared" si="10"/>
        <v>3371,'BACHILLERATO','sebastian.avilaherrera','008417','TOMAR DEL SND','AVILA HERRERA SEBASTIAN','TRONCO COMÚN','2do','MASCULINO','ACTIVO','',0,0,'','ALUMNO'</v>
      </c>
      <c r="L373" s="6" t="str">
        <f t="shared" si="11"/>
        <v>INSERT INTO participantes (id,nivel,correo,matricula,clave,nombre,carrera,grado,sexo,situacion,evaluados,num_evaluados,total_evaluaciones,ultimo_acceso,nivel_acceso) VALUES (3371,'BACHILLERATO','sebastian.avilaherrera','008417','TOMAR DEL SND','AVILA HERRERA SEBASTIAN','TRONCO COMÚN','2do','MASCULINO','ACTIVO','',0,0,'','ALUMNO');</v>
      </c>
    </row>
    <row r="374" spans="1:12" x14ac:dyDescent="0.35">
      <c r="A374">
        <v>3372</v>
      </c>
      <c r="B374" s="1" t="s">
        <v>185</v>
      </c>
      <c r="C374" s="1" t="s">
        <v>556</v>
      </c>
      <c r="D374" s="1" t="s">
        <v>955</v>
      </c>
      <c r="E374" s="6" t="s">
        <v>174</v>
      </c>
      <c r="F374" s="1" t="s">
        <v>1354</v>
      </c>
      <c r="G374" s="1" t="s">
        <v>1390</v>
      </c>
      <c r="H374" s="1" t="s">
        <v>1393</v>
      </c>
      <c r="I374" s="1" t="s">
        <v>1394</v>
      </c>
      <c r="J374" s="1" t="s">
        <v>1396</v>
      </c>
      <c r="K374" s="6" t="str">
        <f t="shared" si="10"/>
        <v>3372,'BACHILLERATO','nataliamarbella.rojobeltran','008418','TOMAR DEL SND','ROJO BELTRAN NATALIA MARBELLA','TRONCO COMÚN','2do','FEMENINO','ACTIVO','',0,0,'','ALUMNO'</v>
      </c>
      <c r="L374" s="6" t="str">
        <f t="shared" si="11"/>
        <v>INSERT INTO participantes (id,nivel,correo,matricula,clave,nombre,carrera,grado,sexo,situacion,evaluados,num_evaluados,total_evaluaciones,ultimo_acceso,nivel_acceso) VALUES (3372,'BACHILLERATO','nataliamarbella.rojobeltran','008418','TOMAR DEL SND','ROJO BELTRAN NATALIA MARBELLA','TRONCO COMÚN','2do','FEMENINO','ACTIVO','',0,0,'','ALUMNO');</v>
      </c>
    </row>
    <row r="375" spans="1:12" x14ac:dyDescent="0.35">
      <c r="A375">
        <v>3373</v>
      </c>
      <c r="B375" s="1" t="s">
        <v>185</v>
      </c>
      <c r="C375" s="1" t="s">
        <v>557</v>
      </c>
      <c r="D375" s="1" t="s">
        <v>956</v>
      </c>
      <c r="E375" s="6" t="s">
        <v>174</v>
      </c>
      <c r="F375" s="1" t="s">
        <v>1355</v>
      </c>
      <c r="G375" s="1" t="s">
        <v>1390</v>
      </c>
      <c r="H375" s="1" t="s">
        <v>1393</v>
      </c>
      <c r="I375" s="1" t="s">
        <v>1395</v>
      </c>
      <c r="J375" s="1" t="s">
        <v>1396</v>
      </c>
      <c r="K375" s="6" t="str">
        <f t="shared" si="10"/>
        <v>3373,'BACHILLERATO','sebastian.camaramora','008419','TOMAR DEL SND','CAMARA MORA SEBASTIAN','TRONCO COMÚN','2do','MASCULINO','ACTIVO','',0,0,'','ALUMNO'</v>
      </c>
      <c r="L375" s="6" t="str">
        <f t="shared" si="11"/>
        <v>INSERT INTO participantes (id,nivel,correo,matricula,clave,nombre,carrera,grado,sexo,situacion,evaluados,num_evaluados,total_evaluaciones,ultimo_acceso,nivel_acceso) VALUES (3373,'BACHILLERATO','sebastian.camaramora','008419','TOMAR DEL SND','CAMARA MORA SEBASTIAN','TRONCO COMÚN','2do','MASCULINO','ACTIVO','',0,0,'','ALUMNO');</v>
      </c>
    </row>
    <row r="376" spans="1:12" x14ac:dyDescent="0.35">
      <c r="A376">
        <v>3374</v>
      </c>
      <c r="B376" s="1" t="s">
        <v>185</v>
      </c>
      <c r="C376" s="1" t="s">
        <v>558</v>
      </c>
      <c r="D376" s="1" t="s">
        <v>957</v>
      </c>
      <c r="E376" s="6" t="s">
        <v>174</v>
      </c>
      <c r="F376" s="1" t="s">
        <v>1356</v>
      </c>
      <c r="G376" s="1" t="s">
        <v>1390</v>
      </c>
      <c r="H376" s="1" t="s">
        <v>1393</v>
      </c>
      <c r="I376" s="1" t="s">
        <v>1395</v>
      </c>
      <c r="J376" s="1" t="s">
        <v>1396</v>
      </c>
      <c r="K376" s="6" t="str">
        <f t="shared" si="10"/>
        <v>3374,'BACHILLERATO','enriquevidal.gonzalezgarcia','008420','TOMAR DEL SND','GONZALEZ GARCIA ENRIQUE VIDAL','TRONCO COMÚN','2do','MASCULINO','ACTIVO','',0,0,'','ALUMNO'</v>
      </c>
      <c r="L376" s="6" t="str">
        <f t="shared" si="11"/>
        <v>INSERT INTO participantes (id,nivel,correo,matricula,clave,nombre,carrera,grado,sexo,situacion,evaluados,num_evaluados,total_evaluaciones,ultimo_acceso,nivel_acceso) VALUES (3374,'BACHILLERATO','enriquevidal.gonzalezgarcia','008420','TOMAR DEL SND','GONZALEZ GARCIA ENRIQUE VIDAL','TRONCO COMÚN','2do','MASCULINO','ACTIVO','',0,0,'','ALUMNO');</v>
      </c>
    </row>
    <row r="377" spans="1:12" x14ac:dyDescent="0.35">
      <c r="A377">
        <v>3375</v>
      </c>
      <c r="B377" s="1" t="s">
        <v>185</v>
      </c>
      <c r="C377" s="1" t="s">
        <v>559</v>
      </c>
      <c r="D377" s="1" t="s">
        <v>958</v>
      </c>
      <c r="E377" s="6" t="s">
        <v>174</v>
      </c>
      <c r="F377" s="1" t="s">
        <v>1357</v>
      </c>
      <c r="G377" s="1" t="s">
        <v>1390</v>
      </c>
      <c r="H377" s="1" t="s">
        <v>1393</v>
      </c>
      <c r="I377" s="1" t="s">
        <v>1394</v>
      </c>
      <c r="J377" s="1" t="s">
        <v>1396</v>
      </c>
      <c r="K377" s="6" t="str">
        <f t="shared" si="10"/>
        <v>3375,'BACHILLERATO','antonellacalai.mendozagomez','008421','TOMAR DEL SND','MENDOZA GOMEZ ANTONELLA CALAI','TRONCO COMÚN','2do','FEMENINO','ACTIVO','',0,0,'','ALUMNO'</v>
      </c>
      <c r="L377" s="6" t="str">
        <f t="shared" si="11"/>
        <v>INSERT INTO participantes (id,nivel,correo,matricula,clave,nombre,carrera,grado,sexo,situacion,evaluados,num_evaluados,total_evaluaciones,ultimo_acceso,nivel_acceso) VALUES (3375,'BACHILLERATO','antonellacalai.mendozagomez','008421','TOMAR DEL SND','MENDOZA GOMEZ ANTONELLA CALAI','TRONCO COMÚN','2do','FEMENINO','ACTIVO','',0,0,'','ALUMNO');</v>
      </c>
    </row>
    <row r="378" spans="1:12" x14ac:dyDescent="0.35">
      <c r="A378">
        <v>3376</v>
      </c>
      <c r="B378" s="1" t="s">
        <v>185</v>
      </c>
      <c r="C378" s="1" t="s">
        <v>560</v>
      </c>
      <c r="D378" s="1" t="s">
        <v>959</v>
      </c>
      <c r="E378" s="6" t="s">
        <v>174</v>
      </c>
      <c r="F378" s="1" t="s">
        <v>1358</v>
      </c>
      <c r="G378" s="1" t="s">
        <v>1390</v>
      </c>
      <c r="H378" s="1" t="s">
        <v>1393</v>
      </c>
      <c r="I378" s="1" t="s">
        <v>1394</v>
      </c>
      <c r="J378" s="1" t="s">
        <v>1396</v>
      </c>
      <c r="K378" s="6" t="str">
        <f t="shared" si="10"/>
        <v>3376,'BACHILLERATO','paloma.sanchezortega','008422','TOMAR DEL SND','SANCHEZ ORTEGA PALOMA','TRONCO COMÚN','2do','FEMENINO','ACTIVO','',0,0,'','ALUMNO'</v>
      </c>
      <c r="L378" s="6" t="str">
        <f t="shared" si="11"/>
        <v>INSERT INTO participantes (id,nivel,correo,matricula,clave,nombre,carrera,grado,sexo,situacion,evaluados,num_evaluados,total_evaluaciones,ultimo_acceso,nivel_acceso) VALUES (3376,'BACHILLERATO','paloma.sanchezortega','008422','TOMAR DEL SND','SANCHEZ ORTEGA PALOMA','TRONCO COMÚN','2do','FEMENINO','ACTIVO','',0,0,'','ALUMNO');</v>
      </c>
    </row>
    <row r="379" spans="1:12" x14ac:dyDescent="0.35">
      <c r="A379">
        <v>3377</v>
      </c>
      <c r="B379" s="1" t="s">
        <v>185</v>
      </c>
      <c r="C379" s="1" t="s">
        <v>561</v>
      </c>
      <c r="D379" s="1" t="s">
        <v>960</v>
      </c>
      <c r="E379" s="6" t="s">
        <v>174</v>
      </c>
      <c r="F379" s="1" t="s">
        <v>1359</v>
      </c>
      <c r="G379" s="1" t="s">
        <v>1390</v>
      </c>
      <c r="H379" s="1" t="s">
        <v>1393</v>
      </c>
      <c r="I379" s="1" t="s">
        <v>1394</v>
      </c>
      <c r="J379" s="1" t="s">
        <v>1398</v>
      </c>
      <c r="K379" s="6" t="str">
        <f t="shared" si="10"/>
        <v>3377,'BACHILLERATO','raniavalentina.lugoviveros','008423','TOMAR DEL SND','LUGO VIVEROS RANIA VALENTINA','TRONCO COMÚN','2do','FEMENINO','BLOQUEADO','',0,0,'','ALUMNO'</v>
      </c>
      <c r="L379" s="6" t="str">
        <f t="shared" si="11"/>
        <v>INSERT INTO participantes (id,nivel,correo,matricula,clave,nombre,carrera,grado,sexo,situacion,evaluados,num_evaluados,total_evaluaciones,ultimo_acceso,nivel_acceso) VALUES (3377,'BACHILLERATO','raniavalentina.lugoviveros','008423','TOMAR DEL SND','LUGO VIVEROS RANIA VALENTINA','TRONCO COMÚN','2do','FEMENINO','BLOQUEADO','',0,0,'','ALUMNO');</v>
      </c>
    </row>
    <row r="380" spans="1:12" x14ac:dyDescent="0.35">
      <c r="A380">
        <v>3378</v>
      </c>
      <c r="B380" s="1" t="s">
        <v>185</v>
      </c>
      <c r="C380" s="1" t="s">
        <v>562</v>
      </c>
      <c r="D380" s="1" t="s">
        <v>961</v>
      </c>
      <c r="E380" s="6" t="s">
        <v>174</v>
      </c>
      <c r="F380" s="1" t="s">
        <v>1360</v>
      </c>
      <c r="G380" s="1" t="s">
        <v>1390</v>
      </c>
      <c r="H380" s="1" t="s">
        <v>1393</v>
      </c>
      <c r="I380" s="1" t="s">
        <v>1395</v>
      </c>
      <c r="J380" s="1" t="s">
        <v>1396</v>
      </c>
      <c r="K380" s="6" t="str">
        <f t="shared" si="10"/>
        <v>3378,'BACHILLERATO','carlosalberto.delabravivian','008424','TOMAR DEL SND','DE LABRA VIVIAN CARLOS ALBERTO','TRONCO COMÚN','2do','MASCULINO','ACTIVO','',0,0,'','ALUMNO'</v>
      </c>
      <c r="L380" s="6" t="str">
        <f t="shared" si="11"/>
        <v>INSERT INTO participantes (id,nivel,correo,matricula,clave,nombre,carrera,grado,sexo,situacion,evaluados,num_evaluados,total_evaluaciones,ultimo_acceso,nivel_acceso) VALUES (3378,'BACHILLERATO','carlosalberto.delabravivian','008424','TOMAR DEL SND','DE LABRA VIVIAN CARLOS ALBERTO','TRONCO COMÚN','2do','MASCULINO','ACTIVO','',0,0,'','ALUMNO');</v>
      </c>
    </row>
    <row r="381" spans="1:12" x14ac:dyDescent="0.35">
      <c r="A381">
        <v>3379</v>
      </c>
      <c r="B381" s="1" t="s">
        <v>185</v>
      </c>
      <c r="C381" s="1" t="s">
        <v>563</v>
      </c>
      <c r="D381" s="1" t="s">
        <v>962</v>
      </c>
      <c r="E381" s="6" t="s">
        <v>174</v>
      </c>
      <c r="F381" s="1" t="s">
        <v>1361</v>
      </c>
      <c r="G381" s="1" t="s">
        <v>1390</v>
      </c>
      <c r="H381" s="1" t="s">
        <v>1393</v>
      </c>
      <c r="I381" s="1" t="s">
        <v>1395</v>
      </c>
      <c r="J381" s="1" t="s">
        <v>1396</v>
      </c>
      <c r="K381" s="6" t="str">
        <f t="shared" si="10"/>
        <v>3379,'BACHILLERATO','joseruben.torresmagallon','008425','TOMAR DEL SND','TORRES MAGALLON JOSE RUBEN','TRONCO COMÚN','2do','MASCULINO','ACTIVO','',0,0,'','ALUMNO'</v>
      </c>
      <c r="L381" s="6" t="str">
        <f t="shared" si="11"/>
        <v>INSERT INTO participantes (id,nivel,correo,matricula,clave,nombre,carrera,grado,sexo,situacion,evaluados,num_evaluados,total_evaluaciones,ultimo_acceso,nivel_acceso) VALUES (3379,'BACHILLERATO','joseruben.torresmagallon','008425','TOMAR DEL SND','TORRES MAGALLON JOSE RUBEN','TRONCO COMÚN','2do','MASCULINO','ACTIVO','',0,0,'','ALUMNO');</v>
      </c>
    </row>
    <row r="382" spans="1:12" x14ac:dyDescent="0.35">
      <c r="A382">
        <v>3380</v>
      </c>
      <c r="B382" s="1" t="s">
        <v>185</v>
      </c>
      <c r="C382" s="1" t="s">
        <v>564</v>
      </c>
      <c r="D382" s="1" t="s">
        <v>963</v>
      </c>
      <c r="E382" s="6" t="s">
        <v>174</v>
      </c>
      <c r="F382" s="1" t="s">
        <v>1362</v>
      </c>
      <c r="G382" s="1" t="s">
        <v>1390</v>
      </c>
      <c r="H382" s="1" t="s">
        <v>1393</v>
      </c>
      <c r="I382" s="1" t="s">
        <v>1394</v>
      </c>
      <c r="J382" s="1" t="s">
        <v>1396</v>
      </c>
      <c r="K382" s="6" t="str">
        <f t="shared" si="10"/>
        <v>3380,'BACHILLERATO','dianeestefania.perezhurtado','008427','TOMAR DEL SND','PEREZ HURTADO DIANE ESTEFANIA','TRONCO COMÚN','2do','FEMENINO','ACTIVO','',0,0,'','ALUMNO'</v>
      </c>
      <c r="L382" s="6" t="str">
        <f t="shared" si="11"/>
        <v>INSERT INTO participantes (id,nivel,correo,matricula,clave,nombre,carrera,grado,sexo,situacion,evaluados,num_evaluados,total_evaluaciones,ultimo_acceso,nivel_acceso) VALUES (3380,'BACHILLERATO','dianeestefania.perezhurtado','008427','TOMAR DEL SND','PEREZ HURTADO DIANE ESTEFANIA','TRONCO COMÚN','2do','FEMENINO','ACTIVO','',0,0,'','ALUMNO');</v>
      </c>
    </row>
    <row r="383" spans="1:12" x14ac:dyDescent="0.35">
      <c r="A383">
        <v>3381</v>
      </c>
      <c r="B383" s="1" t="s">
        <v>185</v>
      </c>
      <c r="C383" s="1" t="s">
        <v>565</v>
      </c>
      <c r="D383" s="1" t="s">
        <v>964</v>
      </c>
      <c r="E383" s="6" t="s">
        <v>174</v>
      </c>
      <c r="F383" s="1" t="s">
        <v>1363</v>
      </c>
      <c r="G383" s="1" t="s">
        <v>1390</v>
      </c>
      <c r="H383" s="1" t="s">
        <v>1393</v>
      </c>
      <c r="I383" s="1" t="s">
        <v>1394</v>
      </c>
      <c r="J383" s="1" t="s">
        <v>1396</v>
      </c>
      <c r="K383" s="6" t="str">
        <f t="shared" si="10"/>
        <v>3381,'BACHILLERATO','fatima.lopezrodriguez','008428','TOMAR DEL SND','LOPEZ RODRIGUEZ FATIMA','TRONCO COMÚN','2do','FEMENINO','ACTIVO','',0,0,'','ALUMNO'</v>
      </c>
      <c r="L383" s="6" t="str">
        <f t="shared" si="11"/>
        <v>INSERT INTO participantes (id,nivel,correo,matricula,clave,nombre,carrera,grado,sexo,situacion,evaluados,num_evaluados,total_evaluaciones,ultimo_acceso,nivel_acceso) VALUES (3381,'BACHILLERATO','fatima.lopezrodriguez','008428','TOMAR DEL SND','LOPEZ RODRIGUEZ FATIMA','TRONCO COMÚN','2do','FEMENINO','ACTIVO','',0,0,'','ALUMNO');</v>
      </c>
    </row>
    <row r="384" spans="1:12" x14ac:dyDescent="0.35">
      <c r="A384">
        <v>3382</v>
      </c>
      <c r="B384" s="1" t="s">
        <v>185</v>
      </c>
      <c r="C384" s="1" t="s">
        <v>566</v>
      </c>
      <c r="D384" s="1" t="s">
        <v>965</v>
      </c>
      <c r="E384" s="6" t="s">
        <v>174</v>
      </c>
      <c r="F384" s="1" t="s">
        <v>1364</v>
      </c>
      <c r="G384" s="1" t="s">
        <v>1390</v>
      </c>
      <c r="H384" s="1" t="s">
        <v>1393</v>
      </c>
      <c r="I384" s="1" t="s">
        <v>1395</v>
      </c>
      <c r="J384" s="1" t="s">
        <v>1396</v>
      </c>
      <c r="K384" s="6" t="str">
        <f t="shared" si="10"/>
        <v>3382,'BACHILLERATO','christian.rodriguezmartinez','008430','TOMAR DEL SND','RODRIGUEZ MARTINEZ CHRISTIAN','TRONCO COMÚN','2do','MASCULINO','ACTIVO','',0,0,'','ALUMNO'</v>
      </c>
      <c r="L384" s="6" t="str">
        <f t="shared" si="11"/>
        <v>INSERT INTO participantes (id,nivel,correo,matricula,clave,nombre,carrera,grado,sexo,situacion,evaluados,num_evaluados,total_evaluaciones,ultimo_acceso,nivel_acceso) VALUES (3382,'BACHILLERATO','christian.rodriguezmartinez','008430','TOMAR DEL SND','RODRIGUEZ MARTINEZ CHRISTIAN','TRONCO COMÚN','2do','MASCULINO','ACTIVO','',0,0,'','ALUMNO');</v>
      </c>
    </row>
    <row r="385" spans="1:12" x14ac:dyDescent="0.35">
      <c r="A385">
        <v>3383</v>
      </c>
      <c r="B385" s="1" t="s">
        <v>185</v>
      </c>
      <c r="C385" s="1" t="s">
        <v>567</v>
      </c>
      <c r="D385" s="1" t="s">
        <v>966</v>
      </c>
      <c r="E385" s="6" t="s">
        <v>174</v>
      </c>
      <c r="F385" s="1" t="s">
        <v>1365</v>
      </c>
      <c r="G385" s="1" t="s">
        <v>1390</v>
      </c>
      <c r="H385" s="1" t="s">
        <v>1393</v>
      </c>
      <c r="I385" s="1" t="s">
        <v>1394</v>
      </c>
      <c r="J385" s="1" t="s">
        <v>1396</v>
      </c>
      <c r="K385" s="6" t="str">
        <f t="shared" si="10"/>
        <v>3383,'BACHILLERATO','paulamilena.garcialeon','008431','TOMAR DEL SND','GARCIA LEON PAULA MILENA','TRONCO COMÚN','2do','FEMENINO','ACTIVO','',0,0,'','ALUMNO'</v>
      </c>
      <c r="L385" s="6" t="str">
        <f t="shared" si="11"/>
        <v>INSERT INTO participantes (id,nivel,correo,matricula,clave,nombre,carrera,grado,sexo,situacion,evaluados,num_evaluados,total_evaluaciones,ultimo_acceso,nivel_acceso) VALUES (3383,'BACHILLERATO','paulamilena.garcialeon','008431','TOMAR DEL SND','GARCIA LEON PAULA MILENA','TRONCO COMÚN','2do','FEMENINO','ACTIVO','',0,0,'','ALUMNO');</v>
      </c>
    </row>
    <row r="386" spans="1:12" x14ac:dyDescent="0.35">
      <c r="A386">
        <v>3384</v>
      </c>
      <c r="B386" s="1" t="s">
        <v>185</v>
      </c>
      <c r="C386" s="1" t="s">
        <v>568</v>
      </c>
      <c r="D386" s="1" t="s">
        <v>967</v>
      </c>
      <c r="E386" s="6" t="s">
        <v>174</v>
      </c>
      <c r="F386" s="1" t="s">
        <v>1366</v>
      </c>
      <c r="G386" s="1" t="s">
        <v>1390</v>
      </c>
      <c r="H386" s="1" t="s">
        <v>1393</v>
      </c>
      <c r="I386" s="1" t="s">
        <v>1394</v>
      </c>
      <c r="J386" s="1" t="s">
        <v>1396</v>
      </c>
      <c r="K386" s="6" t="str">
        <f t="shared" ref="K386:K400" si="12">CONCATENATE(A386,",",B386,",",C386,",",D386,",'",E386,",",F386,",",G386,",",H386,",",UPPER(I386),",",UPPER(J386),",'',0,0,'','ALUMNO'")</f>
        <v>3384,'BACHILLERATO','luisasofia.rivasaguilar','008433','TOMAR DEL SND','RIVAS AGUILAR LUISA SOFIA','TRONCO COMÚN','2do','FEMENINO','ACTIVO','',0,0,'','ALUMNO'</v>
      </c>
      <c r="L386" s="6" t="str">
        <f t="shared" ref="L386:L400" si="13">CONCATENATE($K$1,K386,");")</f>
        <v>INSERT INTO participantes (id,nivel,correo,matricula,clave,nombre,carrera,grado,sexo,situacion,evaluados,num_evaluados,total_evaluaciones,ultimo_acceso,nivel_acceso) VALUES (3384,'BACHILLERATO','luisasofia.rivasaguilar','008433','TOMAR DEL SND','RIVAS AGUILAR LUISA SOFIA','TRONCO COMÚN','2do','FEMENINO','ACTIVO','',0,0,'','ALUMNO');</v>
      </c>
    </row>
    <row r="387" spans="1:12" x14ac:dyDescent="0.35">
      <c r="A387">
        <v>3385</v>
      </c>
      <c r="B387" s="1" t="s">
        <v>185</v>
      </c>
      <c r="C387" s="1" t="s">
        <v>569</v>
      </c>
      <c r="D387" s="1" t="s">
        <v>968</v>
      </c>
      <c r="E387" s="6" t="s">
        <v>174</v>
      </c>
      <c r="F387" s="1" t="s">
        <v>1367</v>
      </c>
      <c r="G387" s="1" t="s">
        <v>1390</v>
      </c>
      <c r="H387" s="1" t="s">
        <v>1393</v>
      </c>
      <c r="I387" s="1" t="s">
        <v>1395</v>
      </c>
      <c r="J387" s="1" t="s">
        <v>1396</v>
      </c>
      <c r="K387" s="6" t="str">
        <f t="shared" si="12"/>
        <v>3385,'BACHILLERATO','santiago.garciacornejo','008434','TOMAR DEL SND','GARCIA CORNEJO SANTIAGO','TRONCO COMÚN','2do','MASCULINO','ACTIVO','',0,0,'','ALUMNO'</v>
      </c>
      <c r="L387" s="6" t="str">
        <f t="shared" si="13"/>
        <v>INSERT INTO participantes (id,nivel,correo,matricula,clave,nombre,carrera,grado,sexo,situacion,evaluados,num_evaluados,total_evaluaciones,ultimo_acceso,nivel_acceso) VALUES (3385,'BACHILLERATO','santiago.garciacornejo','008434','TOMAR DEL SND','GARCIA CORNEJO SANTIAGO','TRONCO COMÚN','2do','MASCULINO','ACTIVO','',0,0,'','ALUMNO');</v>
      </c>
    </row>
    <row r="388" spans="1:12" x14ac:dyDescent="0.35">
      <c r="A388">
        <v>3386</v>
      </c>
      <c r="B388" s="1" t="s">
        <v>185</v>
      </c>
      <c r="C388" s="1" t="s">
        <v>570</v>
      </c>
      <c r="D388" s="1" t="s">
        <v>969</v>
      </c>
      <c r="E388" s="6" t="s">
        <v>174</v>
      </c>
      <c r="F388" s="1" t="s">
        <v>1368</v>
      </c>
      <c r="G388" s="1" t="s">
        <v>1386</v>
      </c>
      <c r="H388" s="1" t="s">
        <v>1392</v>
      </c>
      <c r="I388" s="1" t="s">
        <v>1394</v>
      </c>
      <c r="J388" s="1" t="s">
        <v>1396</v>
      </c>
      <c r="K388" s="6" t="str">
        <f t="shared" si="12"/>
        <v>3386,'BACHILLERATO','elena.buongarzonilissmann','008436','TOMAR DEL SND','BUONGARZONI LISSMANN ELENA','ADMINISTRACIÓNA','4to','FEMENINO','ACTIVO','',0,0,'','ALUMNO'</v>
      </c>
      <c r="L388" s="6" t="str">
        <f t="shared" si="13"/>
        <v>INSERT INTO participantes (id,nivel,correo,matricula,clave,nombre,carrera,grado,sexo,situacion,evaluados,num_evaluados,total_evaluaciones,ultimo_acceso,nivel_acceso) VALUES (3386,'BACHILLERATO','elena.buongarzonilissmann','008436','TOMAR DEL SND','BUONGARZONI LISSMANN ELENA','ADMINISTRACIÓNA','4to','FEMENINO','ACTIVO','',0,0,'','ALUMNO');</v>
      </c>
    </row>
    <row r="389" spans="1:12" x14ac:dyDescent="0.35">
      <c r="A389">
        <v>3387</v>
      </c>
      <c r="B389" s="1" t="s">
        <v>185</v>
      </c>
      <c r="C389" s="1" t="s">
        <v>571</v>
      </c>
      <c r="D389" s="1" t="s">
        <v>970</v>
      </c>
      <c r="E389" s="6" t="s">
        <v>174</v>
      </c>
      <c r="F389" s="1" t="s">
        <v>1369</v>
      </c>
      <c r="G389" s="1" t="s">
        <v>1390</v>
      </c>
      <c r="H389" s="1" t="s">
        <v>1393</v>
      </c>
      <c r="I389" s="1" t="s">
        <v>1394</v>
      </c>
      <c r="J389" s="1" t="s">
        <v>1396</v>
      </c>
      <c r="K389" s="6" t="str">
        <f t="shared" si="12"/>
        <v>3387,'BACHILLERATO','anasofia.canelaparra','008437','TOMAR DEL SND','CANELA PARRA ANA SOFIA','TRONCO COMÚN','2do','FEMENINO','ACTIVO','',0,0,'','ALUMNO'</v>
      </c>
      <c r="L389" s="6" t="str">
        <f t="shared" si="13"/>
        <v>INSERT INTO participantes (id,nivel,correo,matricula,clave,nombre,carrera,grado,sexo,situacion,evaluados,num_evaluados,total_evaluaciones,ultimo_acceso,nivel_acceso) VALUES (3387,'BACHILLERATO','anasofia.canelaparra','008437','TOMAR DEL SND','CANELA PARRA ANA SOFIA','TRONCO COMÚN','2do','FEMENINO','ACTIVO','',0,0,'','ALUMNO');</v>
      </c>
    </row>
    <row r="390" spans="1:12" x14ac:dyDescent="0.35">
      <c r="A390">
        <v>3388</v>
      </c>
      <c r="B390" s="1" t="s">
        <v>185</v>
      </c>
      <c r="C390" s="1" t="s">
        <v>572</v>
      </c>
      <c r="D390" s="1" t="s">
        <v>971</v>
      </c>
      <c r="E390" s="6" t="s">
        <v>174</v>
      </c>
      <c r="F390" s="1" t="s">
        <v>1370</v>
      </c>
      <c r="G390" s="1" t="s">
        <v>1390</v>
      </c>
      <c r="H390" s="1" t="s">
        <v>1393</v>
      </c>
      <c r="I390" s="1" t="s">
        <v>1395</v>
      </c>
      <c r="J390" s="1" t="s">
        <v>1396</v>
      </c>
      <c r="K390" s="6" t="str">
        <f t="shared" si="12"/>
        <v>3388,'BACHILLERATO','josefernando.macielcuervo','008438','TOMAR DEL SND','MACIEL CUERVO JOSE FERNANDO','TRONCO COMÚN','2do','MASCULINO','ACTIVO','',0,0,'','ALUMNO'</v>
      </c>
      <c r="L390" s="6" t="str">
        <f t="shared" si="13"/>
        <v>INSERT INTO participantes (id,nivel,correo,matricula,clave,nombre,carrera,grado,sexo,situacion,evaluados,num_evaluados,total_evaluaciones,ultimo_acceso,nivel_acceso) VALUES (3388,'BACHILLERATO','josefernando.macielcuervo','008438','TOMAR DEL SND','MACIEL CUERVO JOSE FERNANDO','TRONCO COMÚN','2do','MASCULINO','ACTIVO','',0,0,'','ALUMNO');</v>
      </c>
    </row>
    <row r="391" spans="1:12" x14ac:dyDescent="0.35">
      <c r="A391">
        <v>3389</v>
      </c>
      <c r="B391" s="1" t="s">
        <v>185</v>
      </c>
      <c r="C391" s="1" t="s">
        <v>573</v>
      </c>
      <c r="D391" s="1" t="s">
        <v>972</v>
      </c>
      <c r="E391" s="6" t="s">
        <v>174</v>
      </c>
      <c r="F391" s="1" t="s">
        <v>1371</v>
      </c>
      <c r="G391" s="1" t="s">
        <v>1387</v>
      </c>
      <c r="H391" s="1" t="s">
        <v>1392</v>
      </c>
      <c r="I391" s="1" t="s">
        <v>1394</v>
      </c>
      <c r="J391" s="1" t="s">
        <v>1396</v>
      </c>
      <c r="K391" s="6" t="str">
        <f t="shared" si="12"/>
        <v>3389,'BACHILLERATO','mariajose.garciaramirez','008439','TOMAR DEL SND','GARCIA RAMIREZ MARIA JOSE','HIGIENE Y SALUD COMUNITARIAA','4to','FEMENINO','ACTIVO','',0,0,'','ALUMNO'</v>
      </c>
      <c r="L391" s="6" t="str">
        <f t="shared" si="13"/>
        <v>INSERT INTO participantes (id,nivel,correo,matricula,clave,nombre,carrera,grado,sexo,situacion,evaluados,num_evaluados,total_evaluaciones,ultimo_acceso,nivel_acceso) VALUES (3389,'BACHILLERATO','mariajose.garciaramirez','008439','TOMAR DEL SND','GARCIA RAMIREZ MARIA JOSE','HIGIENE Y SALUD COMUNITARIAA','4to','FEMENINO','ACTIVO','',0,0,'','ALUMNO');</v>
      </c>
    </row>
    <row r="392" spans="1:12" x14ac:dyDescent="0.35">
      <c r="A392">
        <v>3390</v>
      </c>
      <c r="B392" s="1" t="s">
        <v>185</v>
      </c>
      <c r="C392" s="1" t="s">
        <v>574</v>
      </c>
      <c r="D392" s="1" t="s">
        <v>973</v>
      </c>
      <c r="E392" s="6" t="s">
        <v>174</v>
      </c>
      <c r="F392" s="1" t="s">
        <v>1372</v>
      </c>
      <c r="G392" s="1" t="s">
        <v>1386</v>
      </c>
      <c r="H392" s="1" t="s">
        <v>1392</v>
      </c>
      <c r="I392" s="1" t="s">
        <v>1394</v>
      </c>
      <c r="J392" s="1" t="s">
        <v>1396</v>
      </c>
      <c r="K392" s="6" t="str">
        <f t="shared" si="12"/>
        <v>3390,'BACHILLERATO','reginaantonia.galvezcontreras','008441','TOMAR DEL SND','GALVEZ CONTRERAS REGINA ANTONIA','ADMINISTRACIÓNA','4to','FEMENINO','ACTIVO','',0,0,'','ALUMNO'</v>
      </c>
      <c r="L392" s="6" t="str">
        <f t="shared" si="13"/>
        <v>INSERT INTO participantes (id,nivel,correo,matricula,clave,nombre,carrera,grado,sexo,situacion,evaluados,num_evaluados,total_evaluaciones,ultimo_acceso,nivel_acceso) VALUES (3390,'BACHILLERATO','reginaantonia.galvezcontreras','008441','TOMAR DEL SND','GALVEZ CONTRERAS REGINA ANTONIA','ADMINISTRACIÓNA','4to','FEMENINO','ACTIVO','',0,0,'','ALUMNO');</v>
      </c>
    </row>
    <row r="393" spans="1:12" x14ac:dyDescent="0.35">
      <c r="A393">
        <v>3391</v>
      </c>
      <c r="B393" s="1" t="s">
        <v>185</v>
      </c>
      <c r="C393" s="1" t="s">
        <v>575</v>
      </c>
      <c r="D393" s="1" t="s">
        <v>974</v>
      </c>
      <c r="E393" s="6" t="s">
        <v>174</v>
      </c>
      <c r="F393" s="1" t="s">
        <v>1373</v>
      </c>
      <c r="G393" s="1" t="s">
        <v>1388</v>
      </c>
      <c r="H393" s="1" t="s">
        <v>1392</v>
      </c>
      <c r="I393" s="1" t="s">
        <v>1394</v>
      </c>
      <c r="J393" s="1" t="s">
        <v>1396</v>
      </c>
      <c r="K393" s="6" t="str">
        <f t="shared" si="12"/>
        <v>3391,'BACHILLERATO','veronicarenata.celislopez','008443','TOMAR DEL SND','CELIS LOPEZ VERONICA RENATA','DISEÑO GRÁFICOA','4to','FEMENINO','ACTIVO','',0,0,'','ALUMNO'</v>
      </c>
      <c r="L393" s="6" t="str">
        <f t="shared" si="13"/>
        <v>INSERT INTO participantes (id,nivel,correo,matricula,clave,nombre,carrera,grado,sexo,situacion,evaluados,num_evaluados,total_evaluaciones,ultimo_acceso,nivel_acceso) VALUES (3391,'BACHILLERATO','veronicarenata.celislopez','008443','TOMAR DEL SND','CELIS LOPEZ VERONICA RENATA','DISEÑO GRÁFICOA','4to','FEMENINO','ACTIVO','',0,0,'','ALUMNO');</v>
      </c>
    </row>
    <row r="394" spans="1:12" x14ac:dyDescent="0.35">
      <c r="A394">
        <v>3392</v>
      </c>
      <c r="B394" s="1" t="s">
        <v>185</v>
      </c>
      <c r="C394" s="1" t="s">
        <v>576</v>
      </c>
      <c r="D394" s="1" t="s">
        <v>975</v>
      </c>
      <c r="E394" s="6" t="s">
        <v>174</v>
      </c>
      <c r="F394" s="1" t="s">
        <v>1374</v>
      </c>
      <c r="G394" s="1" t="s">
        <v>1390</v>
      </c>
      <c r="H394" s="1" t="s">
        <v>1393</v>
      </c>
      <c r="I394" s="1" t="s">
        <v>1394</v>
      </c>
      <c r="J394" s="1" t="s">
        <v>1396</v>
      </c>
      <c r="K394" s="6" t="str">
        <f t="shared" si="12"/>
        <v>3392,'BACHILLERATO','karolmaria.anguianomartinez','008444','TOMAR DEL SND','ANGUIANO MARTINEZ KAROL MARIA','TRONCO COMÚN','2do','FEMENINO','ACTIVO','',0,0,'','ALUMNO'</v>
      </c>
      <c r="L394" s="6" t="str">
        <f t="shared" si="13"/>
        <v>INSERT INTO participantes (id,nivel,correo,matricula,clave,nombre,carrera,grado,sexo,situacion,evaluados,num_evaluados,total_evaluaciones,ultimo_acceso,nivel_acceso) VALUES (3392,'BACHILLERATO','karolmaria.anguianomartinez','008444','TOMAR DEL SND','ANGUIANO MARTINEZ KAROL MARIA','TRONCO COMÚN','2do','FEMENINO','ACTIVO','',0,0,'','ALUMNO');</v>
      </c>
    </row>
    <row r="395" spans="1:12" x14ac:dyDescent="0.35">
      <c r="A395">
        <v>3393</v>
      </c>
      <c r="B395" s="1" t="s">
        <v>185</v>
      </c>
      <c r="C395" s="1" t="s">
        <v>577</v>
      </c>
      <c r="D395" s="1" t="s">
        <v>976</v>
      </c>
      <c r="E395" s="6" t="s">
        <v>174</v>
      </c>
      <c r="F395" s="1" t="s">
        <v>1375</v>
      </c>
      <c r="G395" s="1" t="s">
        <v>1388</v>
      </c>
      <c r="H395" s="1" t="s">
        <v>1392</v>
      </c>
      <c r="I395" s="1" t="s">
        <v>1395</v>
      </c>
      <c r="J395" s="1" t="s">
        <v>1396</v>
      </c>
      <c r="K395" s="6" t="str">
        <f t="shared" si="12"/>
        <v>3393,'BACHILLERATO','mayaalexa.acevesguerra','008445','TOMAR DEL SND','ACEVES GUERRA MAYA ALEXA','DISEÑO GRÁFICOA','4to','MASCULINO','ACTIVO','',0,0,'','ALUMNO'</v>
      </c>
      <c r="L395" s="6" t="str">
        <f t="shared" si="13"/>
        <v>INSERT INTO participantes (id,nivel,correo,matricula,clave,nombre,carrera,grado,sexo,situacion,evaluados,num_evaluados,total_evaluaciones,ultimo_acceso,nivel_acceso) VALUES (3393,'BACHILLERATO','mayaalexa.acevesguerra','008445','TOMAR DEL SND','ACEVES GUERRA MAYA ALEXA','DISEÑO GRÁFICOA','4to','MASCULINO','ACTIVO','',0,0,'','ALUMNO');</v>
      </c>
    </row>
    <row r="396" spans="1:12" x14ac:dyDescent="0.35">
      <c r="A396">
        <v>3394</v>
      </c>
      <c r="B396" s="1" t="s">
        <v>185</v>
      </c>
      <c r="C396" s="1" t="s">
        <v>578</v>
      </c>
      <c r="D396" s="1" t="s">
        <v>977</v>
      </c>
      <c r="E396" s="6" t="s">
        <v>174</v>
      </c>
      <c r="F396" s="1" t="s">
        <v>1376</v>
      </c>
      <c r="G396" s="1" t="s">
        <v>1390</v>
      </c>
      <c r="H396" s="1" t="s">
        <v>1393</v>
      </c>
      <c r="I396" s="1" t="s">
        <v>1394</v>
      </c>
      <c r="J396" s="1" t="s">
        <v>1396</v>
      </c>
      <c r="K396" s="6" t="str">
        <f t="shared" si="12"/>
        <v>3394,'BACHILLERATO','valeriaestefania.cortesmeza','008446','TOMAR DEL SND','CORTES MEZA VALERIA ESTEFANIA','TRONCO COMÚN','2do','FEMENINO','ACTIVO','',0,0,'','ALUMNO'</v>
      </c>
      <c r="L396" s="6" t="str">
        <f t="shared" si="13"/>
        <v>INSERT INTO participantes (id,nivel,correo,matricula,clave,nombre,carrera,grado,sexo,situacion,evaluados,num_evaluados,total_evaluaciones,ultimo_acceso,nivel_acceso) VALUES (3394,'BACHILLERATO','valeriaestefania.cortesmeza','008446','TOMAR DEL SND','CORTES MEZA VALERIA ESTEFANIA','TRONCO COMÚN','2do','FEMENINO','ACTIVO','',0,0,'','ALUMNO');</v>
      </c>
    </row>
    <row r="397" spans="1:12" x14ac:dyDescent="0.35">
      <c r="A397">
        <v>3395</v>
      </c>
      <c r="B397" s="1" t="s">
        <v>185</v>
      </c>
      <c r="C397" s="1" t="s">
        <v>579</v>
      </c>
      <c r="D397" s="1" t="s">
        <v>978</v>
      </c>
      <c r="E397" s="6" t="s">
        <v>174</v>
      </c>
      <c r="F397" s="1" t="s">
        <v>1377</v>
      </c>
      <c r="G397" s="1" t="s">
        <v>1390</v>
      </c>
      <c r="H397" s="1" t="s">
        <v>1393</v>
      </c>
      <c r="I397" s="1" t="s">
        <v>1394</v>
      </c>
      <c r="J397" s="1" t="s">
        <v>1396</v>
      </c>
      <c r="K397" s="6" t="str">
        <f t="shared" si="12"/>
        <v>3395,'BACHILLERATO','sarahjulieta.cuevasgonzalez','008447','TOMAR DEL SND','CUEVAS GONZALEZ SARAH JULIETA','TRONCO COMÚN','2do','FEMENINO','ACTIVO','',0,0,'','ALUMNO'</v>
      </c>
      <c r="L397" s="6" t="str">
        <f t="shared" si="13"/>
        <v>INSERT INTO participantes (id,nivel,correo,matricula,clave,nombre,carrera,grado,sexo,situacion,evaluados,num_evaluados,total_evaluaciones,ultimo_acceso,nivel_acceso) VALUES (3395,'BACHILLERATO','sarahjulieta.cuevasgonzalez','008447','TOMAR DEL SND','CUEVAS GONZALEZ SARAH JULIETA','TRONCO COMÚN','2do','FEMENINO','ACTIVO','',0,0,'','ALUMNO');</v>
      </c>
    </row>
    <row r="398" spans="1:12" x14ac:dyDescent="0.35">
      <c r="A398">
        <v>3396</v>
      </c>
      <c r="B398" s="1" t="s">
        <v>185</v>
      </c>
      <c r="C398" s="1" t="s">
        <v>580</v>
      </c>
      <c r="D398" s="1" t="s">
        <v>979</v>
      </c>
      <c r="E398" s="6" t="s">
        <v>174</v>
      </c>
      <c r="F398" s="1" t="s">
        <v>1378</v>
      </c>
      <c r="G398" s="1" t="s">
        <v>1386</v>
      </c>
      <c r="H398" s="1" t="s">
        <v>1392</v>
      </c>
      <c r="I398" s="1" t="s">
        <v>1394</v>
      </c>
      <c r="J398" s="1" t="s">
        <v>1398</v>
      </c>
      <c r="K398" s="6" t="str">
        <f t="shared" si="12"/>
        <v>3396,'BACHILLERATO','ieridominique.reynosogonzalez','008448','TOMAR DEL SND','REYNOSO GONZALEZ IERI DOMINIQUE','ADMINISTRACIÓNA','4to','FEMENINO','BLOQUEADO','',0,0,'','ALUMNO'</v>
      </c>
      <c r="L398" s="6" t="str">
        <f t="shared" si="13"/>
        <v>INSERT INTO participantes (id,nivel,correo,matricula,clave,nombre,carrera,grado,sexo,situacion,evaluados,num_evaluados,total_evaluaciones,ultimo_acceso,nivel_acceso) VALUES (3396,'BACHILLERATO','ieridominique.reynosogonzalez','008448','TOMAR DEL SND','REYNOSO GONZALEZ IERI DOMINIQUE','ADMINISTRACIÓNA','4to','FEMENINO','BLOQUEADO','',0,0,'','ALUMNO');</v>
      </c>
    </row>
    <row r="399" spans="1:12" x14ac:dyDescent="0.35">
      <c r="A399">
        <v>3397</v>
      </c>
      <c r="B399" s="1" t="s">
        <v>185</v>
      </c>
      <c r="C399" s="1" t="s">
        <v>581</v>
      </c>
      <c r="D399" s="1" t="s">
        <v>980</v>
      </c>
      <c r="E399" s="6" t="s">
        <v>174</v>
      </c>
      <c r="F399" s="1" t="s">
        <v>1379</v>
      </c>
      <c r="G399" s="1" t="s">
        <v>1387</v>
      </c>
      <c r="H399" s="1" t="s">
        <v>1392</v>
      </c>
      <c r="I399" s="1" t="s">
        <v>1394</v>
      </c>
      <c r="J399" s="1" t="s">
        <v>1396</v>
      </c>
      <c r="K399" s="6" t="str">
        <f t="shared" si="12"/>
        <v>3397,'BACHILLERATO','dafnesophia.garciavazquez','008449','TOMAR DEL SND','GARCIA VAZQUEZ DAFNE SOPHIA','HIGIENE Y SALUD COMUNITARIAA','4to','FEMENINO','ACTIVO','',0,0,'','ALUMNO'</v>
      </c>
      <c r="L399" s="6" t="str">
        <f t="shared" si="13"/>
        <v>INSERT INTO participantes (id,nivel,correo,matricula,clave,nombre,carrera,grado,sexo,situacion,evaluados,num_evaluados,total_evaluaciones,ultimo_acceso,nivel_acceso) VALUES (3397,'BACHILLERATO','dafnesophia.garciavazquez','008449','TOMAR DEL SND','GARCIA VAZQUEZ DAFNE SOPHIA','HIGIENE Y SALUD COMUNITARIAA','4to','FEMENINO','ACTIVO','',0,0,'','ALUMNO');</v>
      </c>
    </row>
    <row r="400" spans="1:12" x14ac:dyDescent="0.35">
      <c r="A400">
        <v>3398</v>
      </c>
      <c r="B400" s="1" t="s">
        <v>185</v>
      </c>
      <c r="C400" s="1" t="s">
        <v>582</v>
      </c>
      <c r="D400" s="1" t="s">
        <v>981</v>
      </c>
      <c r="E400" s="6" t="s">
        <v>174</v>
      </c>
      <c r="F400" s="1" t="s">
        <v>1380</v>
      </c>
      <c r="G400" s="1" t="s">
        <v>1386</v>
      </c>
      <c r="H400" s="1" t="s">
        <v>1392</v>
      </c>
      <c r="I400" s="1" t="s">
        <v>1395</v>
      </c>
      <c r="J400" s="1" t="s">
        <v>1396</v>
      </c>
      <c r="K400" s="6" t="str">
        <f t="shared" si="12"/>
        <v>3398,'BACHILLERATO','cristianemmanuel.gonzalezlomeli','008450','TOMAR DEL SND','GONZALEZ LOMELI CRISTIAN EMMANUEL','ADMINISTRACIÓNA','4to','MASCULINO','ACTIVO','',0,0,'','ALUMNO'</v>
      </c>
      <c r="L400" s="6" t="str">
        <f t="shared" si="13"/>
        <v>INSERT INTO participantes (id,nivel,correo,matricula,clave,nombre,carrera,grado,sexo,situacion,evaluados,num_evaluados,total_evaluaciones,ultimo_acceso,nivel_acceso) VALUES (3398,'BACHILLERATO','cristianemmanuel.gonzalezlomeli','008450','TOMAR DEL SND','GONZALEZ LOMELI CRISTIAN EMMANUEL','ADMINISTRACIÓNA','4to','MASCULINO','ACTIVO','',0,0,'','ALUMNO');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EED4-E772-4175-82BE-1BE95983DCE8}">
  <dimension ref="A1:J148"/>
  <sheetViews>
    <sheetView tabSelected="1" topLeftCell="A113" workbookViewId="0">
      <selection activeCell="J2" sqref="J2:J148"/>
    </sheetView>
  </sheetViews>
  <sheetFormatPr baseColWidth="10" defaultRowHeight="14.5" x14ac:dyDescent="0.35"/>
  <cols>
    <col min="1" max="1" width="4.81640625" bestFit="1" customWidth="1"/>
    <col min="2" max="2" width="14.1796875" bestFit="1" customWidth="1"/>
    <col min="3" max="3" width="30.26953125" bestFit="1" customWidth="1"/>
    <col min="4" max="4" width="11.54296875" bestFit="1" customWidth="1"/>
    <col min="5" max="5" width="36.26953125" bestFit="1" customWidth="1"/>
    <col min="6" max="6" width="63.08984375" bestFit="1" customWidth="1"/>
    <col min="7" max="7" width="12" bestFit="1" customWidth="1"/>
  </cols>
  <sheetData>
    <row r="1" spans="1:10" x14ac:dyDescent="0.35">
      <c r="A1" s="1" t="s">
        <v>1446</v>
      </c>
      <c r="B1" s="2" t="s">
        <v>106</v>
      </c>
      <c r="C1" s="2" t="s">
        <v>101</v>
      </c>
      <c r="D1" s="2" t="s">
        <v>107</v>
      </c>
      <c r="E1" s="2" t="s">
        <v>102</v>
      </c>
      <c r="F1" s="2" t="s">
        <v>108</v>
      </c>
      <c r="G1" s="2" t="s">
        <v>99</v>
      </c>
      <c r="H1" s="9" t="s">
        <v>1449</v>
      </c>
      <c r="I1" s="10" t="s">
        <v>1450</v>
      </c>
    </row>
    <row r="2" spans="1:10" x14ac:dyDescent="0.35">
      <c r="A2" s="1">
        <v>2000</v>
      </c>
      <c r="B2" s="1" t="s">
        <v>43</v>
      </c>
      <c r="C2" s="1" t="s">
        <v>175</v>
      </c>
      <c r="D2" s="1" t="s">
        <v>82</v>
      </c>
      <c r="E2" s="1" t="s">
        <v>29</v>
      </c>
      <c r="F2" s="1" t="s">
        <v>116</v>
      </c>
      <c r="G2" s="1" t="s">
        <v>30</v>
      </c>
      <c r="H2" s="1">
        <v>0</v>
      </c>
      <c r="I2" s="1" t="str">
        <f>CONCATENATE(A2,",'",B2,"','",C2,"','",D2,"','",E2,"','",F2,"','",G2,"',",H2)</f>
        <v>2000,'BACHILLERATO','DISEÑO GRÁFICO','B 33','ALONSO OROZCO LETICIA SARAHI','DISEÑO DE PRODUCTO SUSTENTABLE','FEMENINO',0</v>
      </c>
      <c r="J2" t="str">
        <f t="shared" ref="J2:J65" si="0">CONCATENATE($I$1,I2,");")</f>
        <v>INSERT INTO profesores (id,nivel,carrera,grupo,nombre,materia,sexo,sello) VALUES (2000,'BACHILLERATO','DISEÑO GRÁFICO','B 33','ALONSO OROZCO LETICIA SARAHI','DISEÑO DE PRODUCTO SUSTENTABLE','FEMENINO',0);</v>
      </c>
    </row>
    <row r="3" spans="1:10" x14ac:dyDescent="0.35">
      <c r="A3" s="1">
        <v>2001</v>
      </c>
      <c r="B3" s="1" t="s">
        <v>43</v>
      </c>
      <c r="C3" s="1" t="s">
        <v>175</v>
      </c>
      <c r="D3" s="1" t="s">
        <v>82</v>
      </c>
      <c r="E3" s="1" t="s">
        <v>29</v>
      </c>
      <c r="F3" s="1" t="s">
        <v>117</v>
      </c>
      <c r="G3" s="1" t="s">
        <v>30</v>
      </c>
      <c r="H3" s="1">
        <v>0</v>
      </c>
      <c r="I3" s="1" t="str">
        <f t="shared" ref="I3:I66" si="1">CONCATENATE(A3,",'",B3,"','",C3,"','",D3,"','",E3,"','",F3,"','",G3,"',",H3)</f>
        <v>2001,'BACHILLERATO','DISEÑO GRÁFICO','B 33','ALONSO OROZCO LETICIA SARAHI','PRODUCTOS DE DIFUSIÓN MASIVA','FEMENINO',0</v>
      </c>
      <c r="J3" t="str">
        <f t="shared" si="0"/>
        <v>INSERT INTO profesores (id,nivel,carrera,grupo,nombre,materia,sexo,sello) VALUES (2001,'BACHILLERATO','DISEÑO GRÁFICO','B 33','ALONSO OROZCO LETICIA SARAHI','PRODUCTOS DE DIFUSIÓN MASIVA','FEMENINO',0);</v>
      </c>
    </row>
    <row r="4" spans="1:10" x14ac:dyDescent="0.35">
      <c r="A4" s="1">
        <v>2002</v>
      </c>
      <c r="B4" s="1" t="s">
        <v>43</v>
      </c>
      <c r="C4" s="1" t="s">
        <v>182</v>
      </c>
      <c r="D4" s="1" t="s">
        <v>78</v>
      </c>
      <c r="E4" s="1" t="s">
        <v>29</v>
      </c>
      <c r="F4" s="1" t="s">
        <v>119</v>
      </c>
      <c r="G4" s="1" t="s">
        <v>30</v>
      </c>
      <c r="H4" s="1">
        <v>0</v>
      </c>
      <c r="I4" s="1" t="str">
        <f t="shared" si="1"/>
        <v>2002,'BACHILLERATO','DISEÑO GRÁFICOA','B 23','ALONSO OROZCO LETICIA SARAHI','TEORÍA DEL COLOR','FEMENINO',0</v>
      </c>
      <c r="J4" t="str">
        <f t="shared" si="0"/>
        <v>INSERT INTO profesores (id,nivel,carrera,grupo,nombre,materia,sexo,sello) VALUES (2002,'BACHILLERATO','DISEÑO GRÁFICOA','B 23','ALONSO OROZCO LETICIA SARAHI','TEORÍA DEL COLOR','FEMENINO',0);</v>
      </c>
    </row>
    <row r="5" spans="1:10" x14ac:dyDescent="0.35">
      <c r="A5" s="1">
        <v>2003</v>
      </c>
      <c r="B5" s="1" t="s">
        <v>43</v>
      </c>
      <c r="C5" s="1" t="s">
        <v>182</v>
      </c>
      <c r="D5" s="1" t="s">
        <v>78</v>
      </c>
      <c r="E5" s="1" t="s">
        <v>29</v>
      </c>
      <c r="F5" s="1" t="s">
        <v>120</v>
      </c>
      <c r="G5" s="1" t="s">
        <v>30</v>
      </c>
      <c r="H5" s="1">
        <v>0</v>
      </c>
      <c r="I5" s="1" t="str">
        <f t="shared" si="1"/>
        <v>2003,'BACHILLERATO','DISEÑO GRÁFICOA','B 23','ALONSO OROZCO LETICIA SARAHI','TIPOGRAFÍA Y PRODUCTOS EDITORIALES','FEMENINO',0</v>
      </c>
      <c r="J5" t="str">
        <f t="shared" si="0"/>
        <v>INSERT INTO profesores (id,nivel,carrera,grupo,nombre,materia,sexo,sello) VALUES (2003,'BACHILLERATO','DISEÑO GRÁFICOA','B 23','ALONSO OROZCO LETICIA SARAHI','TIPOGRAFÍA Y PRODUCTOS EDITORIALES','FEMENINO',0);</v>
      </c>
    </row>
    <row r="6" spans="1:10" x14ac:dyDescent="0.35">
      <c r="A6" s="1">
        <v>2004</v>
      </c>
      <c r="B6" s="1" t="s">
        <v>43</v>
      </c>
      <c r="C6" s="1" t="s">
        <v>184</v>
      </c>
      <c r="D6" s="1" t="s">
        <v>69</v>
      </c>
      <c r="E6" s="1" t="s">
        <v>45</v>
      </c>
      <c r="F6" s="1" t="s">
        <v>131</v>
      </c>
      <c r="G6" s="1" t="s">
        <v>30</v>
      </c>
      <c r="H6" s="1">
        <v>0</v>
      </c>
      <c r="I6" s="1" t="str">
        <f t="shared" si="1"/>
        <v>2004,'BACHILLERATO','TRONCO COMÚN','B 223','ARANA RAMIREZ MONICA CECILIA','LITERATURA II','FEMENINO',0</v>
      </c>
      <c r="J6" t="str">
        <f t="shared" si="0"/>
        <v>INSERT INTO profesores (id,nivel,carrera,grupo,nombre,materia,sexo,sello) VALUES (2004,'BACHILLERATO','TRONCO COMÚN','B 223','ARANA RAMIREZ MONICA CECILIA','LITERATURA II','FEMENINO',0);</v>
      </c>
    </row>
    <row r="7" spans="1:10" x14ac:dyDescent="0.35">
      <c r="A7" s="1">
        <v>2005</v>
      </c>
      <c r="B7" s="1" t="s">
        <v>43</v>
      </c>
      <c r="C7" s="1" t="s">
        <v>1448</v>
      </c>
      <c r="D7" s="1" t="s">
        <v>71</v>
      </c>
      <c r="E7" s="1" t="s">
        <v>45</v>
      </c>
      <c r="F7" s="1" t="s">
        <v>131</v>
      </c>
      <c r="G7" s="1" t="s">
        <v>30</v>
      </c>
      <c r="H7" s="1">
        <v>0</v>
      </c>
      <c r="I7" s="1" t="str">
        <f t="shared" si="1"/>
        <v>2005,'BACHILLERATO','TRONCO COMÚNA','B 224','ARANA RAMIREZ MONICA CECILIA','LITERATURA II','FEMENINO',0</v>
      </c>
      <c r="J7" t="str">
        <f t="shared" si="0"/>
        <v>INSERT INTO profesores (id,nivel,carrera,grupo,nombre,materia,sexo,sello) VALUES (2005,'BACHILLERATO','TRONCO COMÚNA','B 224','ARANA RAMIREZ MONICA CECILIA','LITERATURA II','FEMENINO',0);</v>
      </c>
    </row>
    <row r="8" spans="1:10" x14ac:dyDescent="0.35">
      <c r="A8" s="1">
        <v>2006</v>
      </c>
      <c r="B8" s="1" t="s">
        <v>43</v>
      </c>
      <c r="C8" s="1" t="s">
        <v>1448</v>
      </c>
      <c r="D8" s="1" t="s">
        <v>72</v>
      </c>
      <c r="E8" s="1" t="s">
        <v>45</v>
      </c>
      <c r="F8" s="1" t="s">
        <v>131</v>
      </c>
      <c r="G8" s="1" t="s">
        <v>30</v>
      </c>
      <c r="H8" s="1">
        <v>0</v>
      </c>
      <c r="I8" s="1" t="str">
        <f t="shared" si="1"/>
        <v>2006,'BACHILLERATO','TRONCO COMÚNA','B 225','ARANA RAMIREZ MONICA CECILIA','LITERATURA II','FEMENINO',0</v>
      </c>
      <c r="J8" t="str">
        <f t="shared" si="0"/>
        <v>INSERT INTO profesores (id,nivel,carrera,grupo,nombre,materia,sexo,sello) VALUES (2006,'BACHILLERATO','TRONCO COMÚNA','B 225','ARANA RAMIREZ MONICA CECILIA','LITERATURA II','FEMENINO',0);</v>
      </c>
    </row>
    <row r="9" spans="1:10" x14ac:dyDescent="0.35">
      <c r="A9" s="1">
        <v>2007</v>
      </c>
      <c r="B9" s="1" t="s">
        <v>43</v>
      </c>
      <c r="C9" s="1" t="s">
        <v>184</v>
      </c>
      <c r="D9" s="1" t="s">
        <v>44</v>
      </c>
      <c r="E9" s="1" t="s">
        <v>45</v>
      </c>
      <c r="F9" s="1" t="s">
        <v>154</v>
      </c>
      <c r="G9" s="1" t="s">
        <v>30</v>
      </c>
      <c r="H9" s="1">
        <v>0</v>
      </c>
      <c r="I9" s="1" t="str">
        <f t="shared" si="1"/>
        <v>2007,'BACHILLERATO','TRONCO COMÚN','B 111','ARANA RAMIREZ MONICA CECILIA','FORMACIÓN SOCIOEMOCIONAL II','FEMENINO',0</v>
      </c>
      <c r="J9" t="str">
        <f t="shared" si="0"/>
        <v>INSERT INTO profesores (id,nivel,carrera,grupo,nombre,materia,sexo,sello) VALUES (2007,'BACHILLERATO','TRONCO COMÚN','B 111','ARANA RAMIREZ MONICA CECILIA','FORMACIÓN SOCIOEMOCIONAL II','FEMENINO',0);</v>
      </c>
    </row>
    <row r="10" spans="1:10" x14ac:dyDescent="0.35">
      <c r="A10" s="1">
        <v>2008</v>
      </c>
      <c r="B10" s="1" t="s">
        <v>43</v>
      </c>
      <c r="C10" s="1" t="s">
        <v>184</v>
      </c>
      <c r="D10" s="1" t="s">
        <v>44</v>
      </c>
      <c r="E10" s="1" t="s">
        <v>45</v>
      </c>
      <c r="F10" s="1" t="s">
        <v>155</v>
      </c>
      <c r="G10" s="1" t="s">
        <v>30</v>
      </c>
      <c r="H10" s="1">
        <v>0</v>
      </c>
      <c r="I10" s="1" t="str">
        <f t="shared" si="1"/>
        <v>2008,'BACHILLERATO','TRONCO COMÚN','B 111','ARANA RAMIREZ MONICA CECILIA','HUMANIDADES II','FEMENINO',0</v>
      </c>
      <c r="J10" t="str">
        <f t="shared" si="0"/>
        <v>INSERT INTO profesores (id,nivel,carrera,grupo,nombre,materia,sexo,sello) VALUES (2008,'BACHILLERATO','TRONCO COMÚN','B 111','ARANA RAMIREZ MONICA CECILIA','HUMANIDADES II','FEMENINO',0);</v>
      </c>
    </row>
    <row r="11" spans="1:10" x14ac:dyDescent="0.35">
      <c r="A11" s="1">
        <v>2009</v>
      </c>
      <c r="B11" s="1" t="s">
        <v>43</v>
      </c>
      <c r="C11" s="1" t="s">
        <v>184</v>
      </c>
      <c r="D11" s="1" t="s">
        <v>44</v>
      </c>
      <c r="E11" s="1" t="s">
        <v>46</v>
      </c>
      <c r="F11" s="1" t="s">
        <v>156</v>
      </c>
      <c r="G11" s="1" t="s">
        <v>8</v>
      </c>
      <c r="H11" s="1">
        <v>0</v>
      </c>
      <c r="I11" s="1" t="str">
        <f t="shared" si="1"/>
        <v>2009,'BACHILLERATO','TRONCO COMÚN','B 111','ARELLANO LOPEZ CESAR','LENGUA Y COMUNICACIÓN II','MASCULINO',0</v>
      </c>
      <c r="J11" t="str">
        <f t="shared" si="0"/>
        <v>INSERT INTO profesores (id,nivel,carrera,grupo,nombre,materia,sexo,sello) VALUES (2009,'BACHILLERATO','TRONCO COMÚN','B 111','ARELLANO LOPEZ CESAR','LENGUA Y COMUNICACIÓN II','MASCULINO',0);</v>
      </c>
    </row>
    <row r="12" spans="1:10" x14ac:dyDescent="0.35">
      <c r="A12" s="1">
        <v>2010</v>
      </c>
      <c r="B12" s="1" t="s">
        <v>43</v>
      </c>
      <c r="C12" s="1" t="s">
        <v>184</v>
      </c>
      <c r="D12" s="1" t="s">
        <v>52</v>
      </c>
      <c r="E12" s="1" t="s">
        <v>46</v>
      </c>
      <c r="F12" s="1" t="s">
        <v>155</v>
      </c>
      <c r="G12" s="1" t="s">
        <v>8</v>
      </c>
      <c r="H12" s="1">
        <v>0</v>
      </c>
      <c r="I12" s="1" t="str">
        <f t="shared" si="1"/>
        <v>2010,'BACHILLERATO','TRONCO COMÚN','B 112','ARELLANO LOPEZ CESAR','HUMANIDADES II','MASCULINO',0</v>
      </c>
      <c r="J12" t="str">
        <f t="shared" si="0"/>
        <v>INSERT INTO profesores (id,nivel,carrera,grupo,nombre,materia,sexo,sello) VALUES (2010,'BACHILLERATO','TRONCO COMÚN','B 112','ARELLANO LOPEZ CESAR','HUMANIDADES II','MASCULINO',0);</v>
      </c>
    </row>
    <row r="13" spans="1:10" x14ac:dyDescent="0.35">
      <c r="A13" s="1">
        <v>2011</v>
      </c>
      <c r="B13" s="1" t="s">
        <v>43</v>
      </c>
      <c r="C13" s="1" t="s">
        <v>184</v>
      </c>
      <c r="D13" s="1" t="s">
        <v>56</v>
      </c>
      <c r="E13" s="1" t="s">
        <v>46</v>
      </c>
      <c r="F13" s="1" t="s">
        <v>154</v>
      </c>
      <c r="G13" s="1" t="s">
        <v>8</v>
      </c>
      <c r="H13" s="1">
        <v>0</v>
      </c>
      <c r="I13" s="1" t="str">
        <f t="shared" si="1"/>
        <v>2011,'BACHILLERATO','TRONCO COMÚN','B 113','ARELLANO LOPEZ CESAR','FORMACIÓN SOCIOEMOCIONAL II','MASCULINO',0</v>
      </c>
      <c r="J13" t="str">
        <f t="shared" si="0"/>
        <v>INSERT INTO profesores (id,nivel,carrera,grupo,nombre,materia,sexo,sello) VALUES (2011,'BACHILLERATO','TRONCO COMÚN','B 113','ARELLANO LOPEZ CESAR','FORMACIÓN SOCIOEMOCIONAL II','MASCULINO',0);</v>
      </c>
    </row>
    <row r="14" spans="1:10" x14ac:dyDescent="0.35">
      <c r="A14" s="1">
        <v>2012</v>
      </c>
      <c r="B14" s="1" t="s">
        <v>43</v>
      </c>
      <c r="C14" s="1" t="s">
        <v>184</v>
      </c>
      <c r="D14" s="1" t="s">
        <v>56</v>
      </c>
      <c r="E14" s="1" t="s">
        <v>46</v>
      </c>
      <c r="F14" s="1" t="s">
        <v>155</v>
      </c>
      <c r="G14" s="1" t="s">
        <v>8</v>
      </c>
      <c r="H14" s="1">
        <v>0</v>
      </c>
      <c r="I14" s="1" t="str">
        <f t="shared" si="1"/>
        <v>2012,'BACHILLERATO','TRONCO COMÚN','B 113','ARELLANO LOPEZ CESAR','HUMANIDADES II','MASCULINO',0</v>
      </c>
      <c r="J14" t="str">
        <f t="shared" si="0"/>
        <v>INSERT INTO profesores (id,nivel,carrera,grupo,nombre,materia,sexo,sello) VALUES (2012,'BACHILLERATO','TRONCO COMÚN','B 113','ARELLANO LOPEZ CESAR','HUMANIDADES II','MASCULINO',0);</v>
      </c>
    </row>
    <row r="15" spans="1:10" x14ac:dyDescent="0.35">
      <c r="A15" s="1">
        <v>2013</v>
      </c>
      <c r="B15" s="1" t="s">
        <v>43</v>
      </c>
      <c r="C15" s="1" t="s">
        <v>184</v>
      </c>
      <c r="D15" s="1" t="s">
        <v>57</v>
      </c>
      <c r="E15" s="1" t="s">
        <v>46</v>
      </c>
      <c r="F15" s="1" t="s">
        <v>155</v>
      </c>
      <c r="G15" s="1" t="s">
        <v>8</v>
      </c>
      <c r="H15" s="1">
        <v>0</v>
      </c>
      <c r="I15" s="1" t="str">
        <f t="shared" si="1"/>
        <v>2013,'BACHILLERATO','TRONCO COMÚN','B 114','ARELLANO LOPEZ CESAR','HUMANIDADES II','MASCULINO',0</v>
      </c>
      <c r="J15" t="str">
        <f t="shared" si="0"/>
        <v>INSERT INTO profesores (id,nivel,carrera,grupo,nombre,materia,sexo,sello) VALUES (2013,'BACHILLERATO','TRONCO COMÚN','B 114','ARELLANO LOPEZ CESAR','HUMANIDADES II','MASCULINO',0);</v>
      </c>
    </row>
    <row r="16" spans="1:10" x14ac:dyDescent="0.35">
      <c r="A16" s="1">
        <v>2014</v>
      </c>
      <c r="B16" s="1" t="s">
        <v>43</v>
      </c>
      <c r="C16" s="1" t="s">
        <v>184</v>
      </c>
      <c r="D16" s="1" t="s">
        <v>83</v>
      </c>
      <c r="E16" s="1" t="s">
        <v>138</v>
      </c>
      <c r="F16" s="1" t="s">
        <v>139</v>
      </c>
      <c r="G16" s="1" t="s">
        <v>30</v>
      </c>
      <c r="H16" s="1">
        <v>0</v>
      </c>
      <c r="I16" s="1" t="str">
        <f t="shared" si="1"/>
        <v>2014,'BACHILLERATO','TRONCO COMÚN','B 331','ARELLANO RAMIREZ STEPHANY PAULINA','ECOLOGÍA Y MEDIO AMBIENTE','FEMENINO',0</v>
      </c>
      <c r="J16" t="str">
        <f t="shared" si="0"/>
        <v>INSERT INTO profesores (id,nivel,carrera,grupo,nombre,materia,sexo,sello) VALUES (2014,'BACHILLERATO','TRONCO COMÚN','B 331','ARELLANO RAMIREZ STEPHANY PAULINA','ECOLOGÍA Y MEDIO AMBIENTE','FEMENINO',0);</v>
      </c>
    </row>
    <row r="17" spans="1:10" x14ac:dyDescent="0.35">
      <c r="A17" s="1">
        <v>2015</v>
      </c>
      <c r="B17" s="1" t="s">
        <v>43</v>
      </c>
      <c r="C17" s="1" t="s">
        <v>184</v>
      </c>
      <c r="D17" s="1" t="s">
        <v>87</v>
      </c>
      <c r="E17" s="1" t="s">
        <v>138</v>
      </c>
      <c r="F17" s="1" t="s">
        <v>139</v>
      </c>
      <c r="G17" s="1" t="s">
        <v>30</v>
      </c>
      <c r="H17" s="1">
        <v>0</v>
      </c>
      <c r="I17" s="1" t="str">
        <f t="shared" si="1"/>
        <v>2015,'BACHILLERATO','TRONCO COMÚN','B 332','ARELLANO RAMIREZ STEPHANY PAULINA','ECOLOGÍA Y MEDIO AMBIENTE','FEMENINO',0</v>
      </c>
      <c r="J17" t="str">
        <f t="shared" si="0"/>
        <v>INSERT INTO profesores (id,nivel,carrera,grupo,nombre,materia,sexo,sello) VALUES (2015,'BACHILLERATO','TRONCO COMÚN','B 332','ARELLANO RAMIREZ STEPHANY PAULINA','ECOLOGÍA Y MEDIO AMBIENTE','FEMENINO',0);</v>
      </c>
    </row>
    <row r="18" spans="1:10" x14ac:dyDescent="0.35">
      <c r="A18" s="1">
        <v>2016</v>
      </c>
      <c r="B18" s="1" t="s">
        <v>43</v>
      </c>
      <c r="C18" s="1" t="s">
        <v>184</v>
      </c>
      <c r="D18" s="1" t="s">
        <v>88</v>
      </c>
      <c r="E18" s="1" t="s">
        <v>138</v>
      </c>
      <c r="F18" s="1" t="s">
        <v>139</v>
      </c>
      <c r="G18" s="1" t="s">
        <v>30</v>
      </c>
      <c r="H18" s="1">
        <v>0</v>
      </c>
      <c r="I18" s="1" t="str">
        <f t="shared" si="1"/>
        <v>2016,'BACHILLERATO','TRONCO COMÚN','B 333','ARELLANO RAMIREZ STEPHANY PAULINA','ECOLOGÍA Y MEDIO AMBIENTE','FEMENINO',0</v>
      </c>
      <c r="J18" t="str">
        <f t="shared" si="0"/>
        <v>INSERT INTO profesores (id,nivel,carrera,grupo,nombre,materia,sexo,sello) VALUES (2016,'BACHILLERATO','TRONCO COMÚN','B 333','ARELLANO RAMIREZ STEPHANY PAULINA','ECOLOGÍA Y MEDIO AMBIENTE','FEMENINO',0);</v>
      </c>
    </row>
    <row r="19" spans="1:10" x14ac:dyDescent="0.35">
      <c r="A19" s="1">
        <v>2017</v>
      </c>
      <c r="B19" s="1" t="s">
        <v>43</v>
      </c>
      <c r="C19" s="1" t="s">
        <v>184</v>
      </c>
      <c r="D19" s="1" t="s">
        <v>165</v>
      </c>
      <c r="E19" s="1" t="s">
        <v>138</v>
      </c>
      <c r="F19" s="1" t="s">
        <v>139</v>
      </c>
      <c r="G19" s="1" t="s">
        <v>30</v>
      </c>
      <c r="H19" s="1">
        <v>0</v>
      </c>
      <c r="I19" s="1" t="str">
        <f t="shared" si="1"/>
        <v>2017,'BACHILLERATO','TRONCO COMÚN','B334','ARELLANO RAMIREZ STEPHANY PAULINA','ECOLOGÍA Y MEDIO AMBIENTE','FEMENINO',0</v>
      </c>
      <c r="J19" t="str">
        <f t="shared" si="0"/>
        <v>INSERT INTO profesores (id,nivel,carrera,grupo,nombre,materia,sexo,sello) VALUES (2017,'BACHILLERATO','TRONCO COMÚN','B334','ARELLANO RAMIREZ STEPHANY PAULINA','ECOLOGÍA Y MEDIO AMBIENTE','FEMENINO',0);</v>
      </c>
    </row>
    <row r="20" spans="1:10" x14ac:dyDescent="0.35">
      <c r="A20" s="1">
        <v>2018</v>
      </c>
      <c r="B20" s="1" t="s">
        <v>43</v>
      </c>
      <c r="C20" s="1" t="s">
        <v>184</v>
      </c>
      <c r="D20" s="1" t="s">
        <v>166</v>
      </c>
      <c r="E20" s="1" t="s">
        <v>138</v>
      </c>
      <c r="F20" s="1" t="s">
        <v>139</v>
      </c>
      <c r="G20" s="1" t="s">
        <v>30</v>
      </c>
      <c r="H20" s="1">
        <v>0</v>
      </c>
      <c r="I20" s="1" t="str">
        <f t="shared" si="1"/>
        <v>2018,'BACHILLERATO','TRONCO COMÚN','B335','ARELLANO RAMIREZ STEPHANY PAULINA','ECOLOGÍA Y MEDIO AMBIENTE','FEMENINO',0</v>
      </c>
      <c r="J20" t="str">
        <f t="shared" si="0"/>
        <v>INSERT INTO profesores (id,nivel,carrera,grupo,nombre,materia,sexo,sello) VALUES (2018,'BACHILLERATO','TRONCO COMÚN','B335','ARELLANO RAMIREZ STEPHANY PAULINA','ECOLOGÍA Y MEDIO AMBIENTE','FEMENINO',0);</v>
      </c>
    </row>
    <row r="21" spans="1:10" x14ac:dyDescent="0.35">
      <c r="A21" s="1">
        <v>2019</v>
      </c>
      <c r="B21" s="1" t="s">
        <v>43</v>
      </c>
      <c r="C21" s="1" t="s">
        <v>184</v>
      </c>
      <c r="D21" s="1" t="s">
        <v>44</v>
      </c>
      <c r="E21" s="1" t="s">
        <v>138</v>
      </c>
      <c r="F21" s="1" t="s">
        <v>157</v>
      </c>
      <c r="G21" s="1" t="s">
        <v>30</v>
      </c>
      <c r="H21" s="1">
        <v>0</v>
      </c>
      <c r="I21" s="1" t="str">
        <f t="shared" si="1"/>
        <v>2019,'BACHILLERATO','TRONCO COMÚN','B 111','ARELLANO RAMIREZ STEPHANY PAULINA','CONSERVACIÓN DE LA ENERGIA Y SUS INTERACCIONES CON LA MATERIA','FEMENINO',0</v>
      </c>
      <c r="J21" t="str">
        <f t="shared" si="0"/>
        <v>INSERT INTO profesores (id,nivel,carrera,grupo,nombre,materia,sexo,sello) VALUES (2019,'BACHILLERATO','TRONCO COMÚN','B 111','ARELLANO RAMIREZ STEPHANY PAULINA','CONSERVACIÓN DE LA ENERGIA Y SUS INTERACCIONES CON LA MATERIA','FEMENINO',0);</v>
      </c>
    </row>
    <row r="22" spans="1:10" x14ac:dyDescent="0.35">
      <c r="A22" s="1">
        <v>2020</v>
      </c>
      <c r="B22" s="1" t="s">
        <v>43</v>
      </c>
      <c r="C22" s="1" t="s">
        <v>178</v>
      </c>
      <c r="D22" s="1" t="s">
        <v>92</v>
      </c>
      <c r="E22" s="1" t="s">
        <v>73</v>
      </c>
      <c r="F22" s="1" t="s">
        <v>121</v>
      </c>
      <c r="G22" s="1" t="s">
        <v>8</v>
      </c>
      <c r="H22" s="1">
        <v>0</v>
      </c>
      <c r="I22" s="1" t="str">
        <f t="shared" si="1"/>
        <v>2020,'BACHILLERATO','ELECTRÓNICA','B 35','AVILA TORRES MANUEL ANDRES','INTRODUCCIÓN AL CONTROL INDUSTRIAL','MASCULINO',0</v>
      </c>
      <c r="J22" t="str">
        <f t="shared" si="0"/>
        <v>INSERT INTO profesores (id,nivel,carrera,grupo,nombre,materia,sexo,sello) VALUES (2020,'BACHILLERATO','ELECTRÓNICA','B 35','AVILA TORRES MANUEL ANDRES','INTRODUCCIÓN AL CONTROL INDUSTRIAL','MASCULINO',0);</v>
      </c>
    </row>
    <row r="23" spans="1:10" x14ac:dyDescent="0.35">
      <c r="A23" s="1">
        <v>2021</v>
      </c>
      <c r="B23" s="1" t="s">
        <v>43</v>
      </c>
      <c r="C23" s="1" t="s">
        <v>178</v>
      </c>
      <c r="D23" s="1" t="s">
        <v>92</v>
      </c>
      <c r="E23" s="1" t="s">
        <v>73</v>
      </c>
      <c r="F23" s="1" t="s">
        <v>122</v>
      </c>
      <c r="G23" s="1" t="s">
        <v>8</v>
      </c>
      <c r="H23" s="1">
        <v>0</v>
      </c>
      <c r="I23" s="1" t="str">
        <f t="shared" si="1"/>
        <v>2021,'BACHILLERATO','ELECTRÓNICA','B 35','AVILA TORRES MANUEL ANDRES','INTRODUCCIÓN AL DISEÑO INDUSTRIAL E IMPRESIÓN 3D','MASCULINO',0</v>
      </c>
      <c r="J23" t="str">
        <f t="shared" si="0"/>
        <v>INSERT INTO profesores (id,nivel,carrera,grupo,nombre,materia,sexo,sello) VALUES (2021,'BACHILLERATO','ELECTRÓNICA','B 35','AVILA TORRES MANUEL ANDRES','INTRODUCCIÓN AL DISEÑO INDUSTRIAL E IMPRESIÓN 3D','MASCULINO',0);</v>
      </c>
    </row>
    <row r="24" spans="1:10" x14ac:dyDescent="0.35">
      <c r="A24" s="1">
        <v>2022</v>
      </c>
      <c r="B24" s="1" t="s">
        <v>43</v>
      </c>
      <c r="C24" s="1" t="s">
        <v>178</v>
      </c>
      <c r="D24" s="1" t="s">
        <v>163</v>
      </c>
      <c r="E24" s="1" t="s">
        <v>73</v>
      </c>
      <c r="F24" s="1" t="s">
        <v>123</v>
      </c>
      <c r="G24" s="1" t="s">
        <v>8</v>
      </c>
      <c r="H24" s="1">
        <v>0</v>
      </c>
      <c r="I24" s="1" t="str">
        <f t="shared" si="1"/>
        <v>2022,'BACHILLERATO','ELECTRÓNICA','B CALINTE','AVILA TORRES MANUEL ANDRES','CÁLCULO INTEGRAL ','MASCULINO',0</v>
      </c>
      <c r="J24" t="str">
        <f t="shared" si="0"/>
        <v>INSERT INTO profesores (id,nivel,carrera,grupo,nombre,materia,sexo,sello) VALUES (2022,'BACHILLERATO','ELECTRÓNICA','B CALINTE','AVILA TORRES MANUEL ANDRES','CÁLCULO INTEGRAL ','MASCULINO',0);</v>
      </c>
    </row>
    <row r="25" spans="1:10" x14ac:dyDescent="0.35">
      <c r="A25" s="1">
        <v>2023</v>
      </c>
      <c r="B25" s="1" t="s">
        <v>43</v>
      </c>
      <c r="C25" s="1" t="s">
        <v>183</v>
      </c>
      <c r="D25" s="1" t="s">
        <v>79</v>
      </c>
      <c r="E25" s="1" t="s">
        <v>73</v>
      </c>
      <c r="F25" s="1" t="s">
        <v>124</v>
      </c>
      <c r="G25" s="1" t="s">
        <v>8</v>
      </c>
      <c r="H25" s="1">
        <v>0</v>
      </c>
      <c r="I25" s="1" t="str">
        <f t="shared" si="1"/>
        <v>2023,'BACHILLERATO','ELECTRÓNICAA','B 24','AVILA TORRES MANUEL ANDRES','ANÁLISIS DE CIRCUITOS ANALÓGICOS','MASCULINO',0</v>
      </c>
      <c r="J25" t="str">
        <f t="shared" si="0"/>
        <v>INSERT INTO profesores (id,nivel,carrera,grupo,nombre,materia,sexo,sello) VALUES (2023,'BACHILLERATO','ELECTRÓNICAA','B 24','AVILA TORRES MANUEL ANDRES','ANÁLISIS DE CIRCUITOS ANALÓGICOS','MASCULINO',0);</v>
      </c>
    </row>
    <row r="26" spans="1:10" x14ac:dyDescent="0.35">
      <c r="A26" s="1">
        <v>2024</v>
      </c>
      <c r="B26" s="1" t="s">
        <v>43</v>
      </c>
      <c r="C26" s="1" t="s">
        <v>183</v>
      </c>
      <c r="D26" s="1" t="s">
        <v>79</v>
      </c>
      <c r="E26" s="1" t="s">
        <v>73</v>
      </c>
      <c r="F26" s="1" t="s">
        <v>125</v>
      </c>
      <c r="G26" s="1" t="s">
        <v>8</v>
      </c>
      <c r="H26" s="1">
        <v>0</v>
      </c>
      <c r="I26" s="1" t="str">
        <f t="shared" si="1"/>
        <v>2024,'BACHILLERATO','ELECTRÓNICAA','B 24','AVILA TORRES MANUEL ANDRES','SEMICONDUCTORES','MASCULINO',0</v>
      </c>
      <c r="J26" t="str">
        <f t="shared" si="0"/>
        <v>INSERT INTO profesores (id,nivel,carrera,grupo,nombre,materia,sexo,sello) VALUES (2024,'BACHILLERATO','ELECTRÓNICAA','B 24','AVILA TORRES MANUEL ANDRES','SEMICONDUCTORES','MASCULINO',0);</v>
      </c>
    </row>
    <row r="27" spans="1:10" x14ac:dyDescent="0.35">
      <c r="A27" s="1">
        <v>2025</v>
      </c>
      <c r="B27" s="1" t="s">
        <v>43</v>
      </c>
      <c r="C27" s="1" t="s">
        <v>184</v>
      </c>
      <c r="D27" s="1" t="s">
        <v>87</v>
      </c>
      <c r="E27" s="1" t="s">
        <v>53</v>
      </c>
      <c r="F27" s="1" t="s">
        <v>141</v>
      </c>
      <c r="G27" s="1" t="s">
        <v>30</v>
      </c>
      <c r="H27" s="1">
        <v>0</v>
      </c>
      <c r="I27" s="1" t="str">
        <f t="shared" si="1"/>
        <v>2025,'BACHILLERATO','TRONCO COMÚN','B 332','BEJAR VELASCO JESSICA YUNUEN','TALLER DE INTEGRACIÓN SOCIAL II','FEMENINO',0</v>
      </c>
      <c r="J27" t="str">
        <f t="shared" si="0"/>
        <v>INSERT INTO profesores (id,nivel,carrera,grupo,nombre,materia,sexo,sello) VALUES (2025,'BACHILLERATO','TRONCO COMÚN','B 332','BEJAR VELASCO JESSICA YUNUEN','TALLER DE INTEGRACIÓN SOCIAL II','FEMENINO',0);</v>
      </c>
    </row>
    <row r="28" spans="1:10" x14ac:dyDescent="0.35">
      <c r="A28" s="1">
        <v>2026</v>
      </c>
      <c r="B28" s="1" t="s">
        <v>43</v>
      </c>
      <c r="C28" s="1" t="s">
        <v>184</v>
      </c>
      <c r="D28" s="1" t="s">
        <v>56</v>
      </c>
      <c r="E28" s="1" t="s">
        <v>53</v>
      </c>
      <c r="F28" s="1" t="s">
        <v>156</v>
      </c>
      <c r="G28" s="1" t="s">
        <v>30</v>
      </c>
      <c r="H28" s="1">
        <v>0</v>
      </c>
      <c r="I28" s="1" t="str">
        <f t="shared" si="1"/>
        <v>2026,'BACHILLERATO','TRONCO COMÚN','B 113','BEJAR VELASCO JESSICA YUNUEN','LENGUA Y COMUNICACIÓN II','FEMENINO',0</v>
      </c>
      <c r="J28" t="str">
        <f t="shared" si="0"/>
        <v>INSERT INTO profesores (id,nivel,carrera,grupo,nombre,materia,sexo,sello) VALUES (2026,'BACHILLERATO','TRONCO COMÚN','B 113','BEJAR VELASCO JESSICA YUNUEN','LENGUA Y COMUNICACIÓN II','FEMENINO',0);</v>
      </c>
    </row>
    <row r="29" spans="1:10" x14ac:dyDescent="0.35">
      <c r="A29" s="1">
        <v>2027</v>
      </c>
      <c r="B29" s="1" t="s">
        <v>43</v>
      </c>
      <c r="C29" s="1" t="s">
        <v>184</v>
      </c>
      <c r="D29" s="1" t="s">
        <v>57</v>
      </c>
      <c r="E29" s="1" t="s">
        <v>53</v>
      </c>
      <c r="F29" s="1" t="s">
        <v>156</v>
      </c>
      <c r="G29" s="1" t="s">
        <v>30</v>
      </c>
      <c r="H29" s="1">
        <v>0</v>
      </c>
      <c r="I29" s="1" t="str">
        <f t="shared" si="1"/>
        <v>2027,'BACHILLERATO','TRONCO COMÚN','B 114','BEJAR VELASCO JESSICA YUNUEN','LENGUA Y COMUNICACIÓN II','FEMENINO',0</v>
      </c>
      <c r="J29" t="str">
        <f t="shared" si="0"/>
        <v>INSERT INTO profesores (id,nivel,carrera,grupo,nombre,materia,sexo,sello) VALUES (2027,'BACHILLERATO','TRONCO COMÚN','B 114','BEJAR VELASCO JESSICA YUNUEN','LENGUA Y COMUNICACIÓN II','FEMENINO',0);</v>
      </c>
    </row>
    <row r="30" spans="1:10" x14ac:dyDescent="0.35">
      <c r="A30" s="1">
        <v>2028</v>
      </c>
      <c r="B30" s="1" t="s">
        <v>43</v>
      </c>
      <c r="C30" s="1" t="s">
        <v>184</v>
      </c>
      <c r="D30" s="1" t="s">
        <v>69</v>
      </c>
      <c r="E30" s="1" t="s">
        <v>70</v>
      </c>
      <c r="F30" s="1" t="s">
        <v>132</v>
      </c>
      <c r="G30" s="1" t="s">
        <v>30</v>
      </c>
      <c r="H30" s="1">
        <v>0</v>
      </c>
      <c r="I30" s="1" t="str">
        <f t="shared" si="1"/>
        <v>2028,'BACHILLERATO','TRONCO COMÚN','B 223','BRACAMONTES GARCIA EVA VIRIDIANA','ORIENTACIÓN VOCACIONAL Y PROFESIONAL II','FEMENINO',0</v>
      </c>
      <c r="J30" t="str">
        <f t="shared" si="0"/>
        <v>INSERT INTO profesores (id,nivel,carrera,grupo,nombre,materia,sexo,sello) VALUES (2028,'BACHILLERATO','TRONCO COMÚN','B 223','BRACAMONTES GARCIA EVA VIRIDIANA','ORIENTACIÓN VOCACIONAL Y PROFESIONAL II','FEMENINO',0);</v>
      </c>
    </row>
    <row r="31" spans="1:10" x14ac:dyDescent="0.35">
      <c r="A31" s="1">
        <v>2029</v>
      </c>
      <c r="B31" s="1" t="s">
        <v>43</v>
      </c>
      <c r="C31" s="1" t="s">
        <v>1448</v>
      </c>
      <c r="D31" s="1" t="s">
        <v>71</v>
      </c>
      <c r="E31" s="1" t="s">
        <v>70</v>
      </c>
      <c r="F31" s="1" t="s">
        <v>132</v>
      </c>
      <c r="G31" s="1" t="s">
        <v>30</v>
      </c>
      <c r="H31" s="1">
        <v>0</v>
      </c>
      <c r="I31" s="1" t="str">
        <f t="shared" si="1"/>
        <v>2029,'BACHILLERATO','TRONCO COMÚNA','B 224','BRACAMONTES GARCIA EVA VIRIDIANA','ORIENTACIÓN VOCACIONAL Y PROFESIONAL II','FEMENINO',0</v>
      </c>
      <c r="J31" t="str">
        <f t="shared" si="0"/>
        <v>INSERT INTO profesores (id,nivel,carrera,grupo,nombre,materia,sexo,sello) VALUES (2029,'BACHILLERATO','TRONCO COMÚNA','B 224','BRACAMONTES GARCIA EVA VIRIDIANA','ORIENTACIÓN VOCACIONAL Y PROFESIONAL II','FEMENINO',0);</v>
      </c>
    </row>
    <row r="32" spans="1:10" x14ac:dyDescent="0.35">
      <c r="A32" s="1">
        <v>2030</v>
      </c>
      <c r="B32" s="1" t="s">
        <v>43</v>
      </c>
      <c r="C32" s="1" t="s">
        <v>1448</v>
      </c>
      <c r="D32" s="1" t="s">
        <v>72</v>
      </c>
      <c r="E32" s="1" t="s">
        <v>70</v>
      </c>
      <c r="F32" s="1" t="s">
        <v>132</v>
      </c>
      <c r="G32" s="1" t="s">
        <v>30</v>
      </c>
      <c r="H32" s="1">
        <v>0</v>
      </c>
      <c r="I32" s="1" t="str">
        <f t="shared" si="1"/>
        <v>2030,'BACHILLERATO','TRONCO COMÚNA','B 225','BRACAMONTES GARCIA EVA VIRIDIANA','ORIENTACIÓN VOCACIONAL Y PROFESIONAL II','FEMENINO',0</v>
      </c>
      <c r="J32" t="str">
        <f t="shared" si="0"/>
        <v>INSERT INTO profesores (id,nivel,carrera,grupo,nombre,materia,sexo,sello) VALUES (2030,'BACHILLERATO','TRONCO COMÚNA','B 225','BRACAMONTES GARCIA EVA VIRIDIANA','ORIENTACIÓN VOCACIONAL Y PROFESIONAL II','FEMENINO',0);</v>
      </c>
    </row>
    <row r="33" spans="1:10" x14ac:dyDescent="0.35">
      <c r="A33" s="1">
        <v>2031</v>
      </c>
      <c r="B33" s="1" t="s">
        <v>43</v>
      </c>
      <c r="C33" s="1" t="s">
        <v>184</v>
      </c>
      <c r="D33" s="1" t="s">
        <v>52</v>
      </c>
      <c r="E33" s="1" t="s">
        <v>70</v>
      </c>
      <c r="F33" s="1" t="s">
        <v>156</v>
      </c>
      <c r="G33" s="1" t="s">
        <v>30</v>
      </c>
      <c r="H33" s="1">
        <v>0</v>
      </c>
      <c r="I33" s="1" t="str">
        <f t="shared" si="1"/>
        <v>2031,'BACHILLERATO','TRONCO COMÚN','B 112','BRACAMONTES GARCIA EVA VIRIDIANA','LENGUA Y COMUNICACIÓN II','FEMENINO',0</v>
      </c>
      <c r="J33" t="str">
        <f t="shared" si="0"/>
        <v>INSERT INTO profesores (id,nivel,carrera,grupo,nombre,materia,sexo,sello) VALUES (2031,'BACHILLERATO','TRONCO COMÚN','B 112','BRACAMONTES GARCIA EVA VIRIDIANA','LENGUA Y COMUNICACIÓN II','FEMENINO',0);</v>
      </c>
    </row>
    <row r="34" spans="1:10" x14ac:dyDescent="0.35">
      <c r="A34" s="1">
        <v>2032</v>
      </c>
      <c r="B34" s="1" t="s">
        <v>43</v>
      </c>
      <c r="C34" s="1" t="s">
        <v>184</v>
      </c>
      <c r="D34" s="1" t="s">
        <v>52</v>
      </c>
      <c r="E34" s="1" t="s">
        <v>54</v>
      </c>
      <c r="F34" s="1" t="s">
        <v>154</v>
      </c>
      <c r="G34" s="1" t="s">
        <v>30</v>
      </c>
      <c r="H34" s="1">
        <v>0</v>
      </c>
      <c r="I34" s="1" t="str">
        <f t="shared" si="1"/>
        <v>2032,'BACHILLERATO','TRONCO COMÚN','B 112','CANO DE DIOS ANDREA GORETTI','FORMACIÓN SOCIOEMOCIONAL II','FEMENINO',0</v>
      </c>
      <c r="J34" t="str">
        <f t="shared" si="0"/>
        <v>INSERT INTO profesores (id,nivel,carrera,grupo,nombre,materia,sexo,sello) VALUES (2032,'BACHILLERATO','TRONCO COMÚN','B 112','CANO DE DIOS ANDREA GORETTI','FORMACIÓN SOCIOEMOCIONAL II','FEMENINO',0);</v>
      </c>
    </row>
    <row r="35" spans="1:10" x14ac:dyDescent="0.35">
      <c r="A35" s="1">
        <v>2033</v>
      </c>
      <c r="B35" s="1" t="s">
        <v>43</v>
      </c>
      <c r="C35" s="1" t="s">
        <v>184</v>
      </c>
      <c r="D35" s="1" t="s">
        <v>69</v>
      </c>
      <c r="E35" s="1" t="s">
        <v>63</v>
      </c>
      <c r="F35" s="1" t="s">
        <v>133</v>
      </c>
      <c r="G35" s="1" t="s">
        <v>8</v>
      </c>
      <c r="H35" s="1">
        <v>0</v>
      </c>
      <c r="I35" s="1" t="str">
        <f t="shared" si="1"/>
        <v>2033,'BACHILLERATO','TRONCO COMÚN','B 223','CORTES MORA FERNANDO','FÍSICA II','MASCULINO',0</v>
      </c>
      <c r="J35" t="str">
        <f t="shared" si="0"/>
        <v>INSERT INTO profesores (id,nivel,carrera,grupo,nombre,materia,sexo,sello) VALUES (2033,'BACHILLERATO','TRONCO COMÚN','B 223','CORTES MORA FERNANDO','FÍSICA II','MASCULINO',0);</v>
      </c>
    </row>
    <row r="36" spans="1:10" x14ac:dyDescent="0.35">
      <c r="A36" s="1">
        <v>2034</v>
      </c>
      <c r="B36" s="1" t="s">
        <v>43</v>
      </c>
      <c r="C36" s="1" t="s">
        <v>184</v>
      </c>
      <c r="D36" s="1" t="s">
        <v>69</v>
      </c>
      <c r="E36" s="1" t="s">
        <v>63</v>
      </c>
      <c r="F36" s="1" t="s">
        <v>134</v>
      </c>
      <c r="G36" s="1" t="s">
        <v>8</v>
      </c>
      <c r="H36" s="1">
        <v>0</v>
      </c>
      <c r="I36" s="1" t="str">
        <f t="shared" si="1"/>
        <v>2034,'BACHILLERATO','TRONCO COMÚN','B 223','CORTES MORA FERNANDO','TALLER DE FORMACIÓN HUMANA Y CRISTIANA II','MASCULINO',0</v>
      </c>
      <c r="J36" t="str">
        <f t="shared" si="0"/>
        <v>INSERT INTO profesores (id,nivel,carrera,grupo,nombre,materia,sexo,sello) VALUES (2034,'BACHILLERATO','TRONCO COMÚN','B 223','CORTES MORA FERNANDO','TALLER DE FORMACIÓN HUMANA Y CRISTIANA II','MASCULINO',0);</v>
      </c>
    </row>
    <row r="37" spans="1:10" x14ac:dyDescent="0.35">
      <c r="A37" s="1">
        <v>2035</v>
      </c>
      <c r="B37" s="1" t="s">
        <v>43</v>
      </c>
      <c r="C37" s="1" t="s">
        <v>1448</v>
      </c>
      <c r="D37" s="1" t="s">
        <v>62</v>
      </c>
      <c r="E37" s="1" t="s">
        <v>63</v>
      </c>
      <c r="F37" s="1" t="s">
        <v>133</v>
      </c>
      <c r="G37" s="1" t="s">
        <v>8</v>
      </c>
      <c r="H37" s="1">
        <v>0</v>
      </c>
      <c r="I37" s="1" t="str">
        <f t="shared" si="1"/>
        <v>2035,'BACHILLERATO','TRONCO COMÚNA','B 221','CORTES MORA FERNANDO','FÍSICA II','MASCULINO',0</v>
      </c>
      <c r="J37" t="str">
        <f t="shared" si="0"/>
        <v>INSERT INTO profesores (id,nivel,carrera,grupo,nombre,materia,sexo,sello) VALUES (2035,'BACHILLERATO','TRONCO COMÚNA','B 221','CORTES MORA FERNANDO','FÍSICA II','MASCULINO',0);</v>
      </c>
    </row>
    <row r="38" spans="1:10" x14ac:dyDescent="0.35">
      <c r="A38" s="1">
        <v>2036</v>
      </c>
      <c r="B38" s="1" t="s">
        <v>43</v>
      </c>
      <c r="C38" s="1" t="s">
        <v>1448</v>
      </c>
      <c r="D38" s="1" t="s">
        <v>68</v>
      </c>
      <c r="E38" s="1" t="s">
        <v>63</v>
      </c>
      <c r="F38" s="1" t="s">
        <v>133</v>
      </c>
      <c r="G38" s="1" t="s">
        <v>8</v>
      </c>
      <c r="H38" s="1">
        <v>0</v>
      </c>
      <c r="I38" s="1" t="str">
        <f t="shared" si="1"/>
        <v>2036,'BACHILLERATO','TRONCO COMÚNA','B 222','CORTES MORA FERNANDO','FÍSICA II','MASCULINO',0</v>
      </c>
      <c r="J38" t="str">
        <f t="shared" si="0"/>
        <v>INSERT INTO profesores (id,nivel,carrera,grupo,nombre,materia,sexo,sello) VALUES (2036,'BACHILLERATO','TRONCO COMÚNA','B 222','CORTES MORA FERNANDO','FÍSICA II','MASCULINO',0);</v>
      </c>
    </row>
    <row r="39" spans="1:10" x14ac:dyDescent="0.35">
      <c r="A39" s="1">
        <v>2037</v>
      </c>
      <c r="B39" s="1" t="s">
        <v>43</v>
      </c>
      <c r="C39" s="1" t="s">
        <v>1448</v>
      </c>
      <c r="D39" s="1" t="s">
        <v>71</v>
      </c>
      <c r="E39" s="1" t="s">
        <v>63</v>
      </c>
      <c r="F39" s="1" t="s">
        <v>133</v>
      </c>
      <c r="G39" s="1" t="s">
        <v>8</v>
      </c>
      <c r="H39" s="1">
        <v>0</v>
      </c>
      <c r="I39" s="1" t="str">
        <f t="shared" si="1"/>
        <v>2037,'BACHILLERATO','TRONCO COMÚNA','B 224','CORTES MORA FERNANDO','FÍSICA II','MASCULINO',0</v>
      </c>
      <c r="J39" t="str">
        <f t="shared" si="0"/>
        <v>INSERT INTO profesores (id,nivel,carrera,grupo,nombre,materia,sexo,sello) VALUES (2037,'BACHILLERATO','TRONCO COMÚNA','B 224','CORTES MORA FERNANDO','FÍSICA II','MASCULINO',0);</v>
      </c>
    </row>
    <row r="40" spans="1:10" x14ac:dyDescent="0.35">
      <c r="A40" s="1">
        <v>2038</v>
      </c>
      <c r="B40" s="1" t="s">
        <v>43</v>
      </c>
      <c r="C40" s="1" t="s">
        <v>1448</v>
      </c>
      <c r="D40" s="1" t="s">
        <v>72</v>
      </c>
      <c r="E40" s="1" t="s">
        <v>63</v>
      </c>
      <c r="F40" s="1" t="s">
        <v>133</v>
      </c>
      <c r="G40" s="1" t="s">
        <v>8</v>
      </c>
      <c r="H40" s="1">
        <v>0</v>
      </c>
      <c r="I40" s="1" t="str">
        <f t="shared" si="1"/>
        <v>2038,'BACHILLERATO','TRONCO COMÚNA','B 225','CORTES MORA FERNANDO','FÍSICA II','MASCULINO',0</v>
      </c>
      <c r="J40" t="str">
        <f t="shared" si="0"/>
        <v>INSERT INTO profesores (id,nivel,carrera,grupo,nombre,materia,sexo,sello) VALUES (2038,'BACHILLERATO','TRONCO COMÚNA','B 225','CORTES MORA FERNANDO','FÍSICA II','MASCULINO',0);</v>
      </c>
    </row>
    <row r="41" spans="1:10" x14ac:dyDescent="0.35">
      <c r="A41" s="1">
        <v>2039</v>
      </c>
      <c r="B41" s="1" t="s">
        <v>43</v>
      </c>
      <c r="C41" s="1" t="s">
        <v>184</v>
      </c>
      <c r="D41" s="1" t="s">
        <v>83</v>
      </c>
      <c r="E41" s="1" t="s">
        <v>84</v>
      </c>
      <c r="F41" s="1" t="s">
        <v>140</v>
      </c>
      <c r="G41" s="1" t="s">
        <v>8</v>
      </c>
      <c r="H41" s="1">
        <v>0</v>
      </c>
      <c r="I41" s="1" t="str">
        <f t="shared" si="1"/>
        <v>2039,'BACHILLERATO','TRONCO COMÚN','B 331','ESPARZA ESTRADA CARLOS ISMAEL','FILOSOFÍA','MASCULINO',0</v>
      </c>
      <c r="J41" t="str">
        <f t="shared" si="0"/>
        <v>INSERT INTO profesores (id,nivel,carrera,grupo,nombre,materia,sexo,sello) VALUES (2039,'BACHILLERATO','TRONCO COMÚN','B 331','ESPARZA ESTRADA CARLOS ISMAEL','FILOSOFÍA','MASCULINO',0);</v>
      </c>
    </row>
    <row r="42" spans="1:10" x14ac:dyDescent="0.35">
      <c r="A42" s="1">
        <v>2040</v>
      </c>
      <c r="B42" s="1" t="s">
        <v>43</v>
      </c>
      <c r="C42" s="1" t="s">
        <v>184</v>
      </c>
      <c r="D42" s="1" t="s">
        <v>83</v>
      </c>
      <c r="E42" s="1" t="s">
        <v>84</v>
      </c>
      <c r="F42" s="1" t="s">
        <v>141</v>
      </c>
      <c r="G42" s="1" t="s">
        <v>8</v>
      </c>
      <c r="H42" s="1">
        <v>0</v>
      </c>
      <c r="I42" s="1" t="str">
        <f t="shared" si="1"/>
        <v>2040,'BACHILLERATO','TRONCO COMÚN','B 331','ESPARZA ESTRADA CARLOS ISMAEL','TALLER DE INTEGRACIÓN SOCIAL II','MASCULINO',0</v>
      </c>
      <c r="J42" t="str">
        <f t="shared" si="0"/>
        <v>INSERT INTO profesores (id,nivel,carrera,grupo,nombre,materia,sexo,sello) VALUES (2040,'BACHILLERATO','TRONCO COMÚN','B 331','ESPARZA ESTRADA CARLOS ISMAEL','TALLER DE INTEGRACIÓN SOCIAL II','MASCULINO',0);</v>
      </c>
    </row>
    <row r="43" spans="1:10" x14ac:dyDescent="0.35">
      <c r="A43" s="1">
        <v>2041</v>
      </c>
      <c r="B43" s="1" t="s">
        <v>43</v>
      </c>
      <c r="C43" s="1" t="s">
        <v>184</v>
      </c>
      <c r="D43" s="1" t="s">
        <v>87</v>
      </c>
      <c r="E43" s="1" t="s">
        <v>84</v>
      </c>
      <c r="F43" s="1" t="s">
        <v>140</v>
      </c>
      <c r="G43" s="1" t="s">
        <v>8</v>
      </c>
      <c r="H43" s="1">
        <v>0</v>
      </c>
      <c r="I43" s="1" t="str">
        <f t="shared" si="1"/>
        <v>2041,'BACHILLERATO','TRONCO COMÚN','B 332','ESPARZA ESTRADA CARLOS ISMAEL','FILOSOFÍA','MASCULINO',0</v>
      </c>
      <c r="J43" t="str">
        <f t="shared" si="0"/>
        <v>INSERT INTO profesores (id,nivel,carrera,grupo,nombre,materia,sexo,sello) VALUES (2041,'BACHILLERATO','TRONCO COMÚN','B 332','ESPARZA ESTRADA CARLOS ISMAEL','FILOSOFÍA','MASCULINO',0);</v>
      </c>
    </row>
    <row r="44" spans="1:10" x14ac:dyDescent="0.35">
      <c r="A44" s="1">
        <v>2042</v>
      </c>
      <c r="B44" s="1" t="s">
        <v>43</v>
      </c>
      <c r="C44" s="1" t="s">
        <v>184</v>
      </c>
      <c r="D44" s="1" t="s">
        <v>88</v>
      </c>
      <c r="E44" s="1" t="s">
        <v>84</v>
      </c>
      <c r="F44" s="1" t="s">
        <v>140</v>
      </c>
      <c r="G44" s="1" t="s">
        <v>8</v>
      </c>
      <c r="H44" s="1">
        <v>0</v>
      </c>
      <c r="I44" s="1" t="str">
        <f t="shared" si="1"/>
        <v>2042,'BACHILLERATO','TRONCO COMÚN','B 333','ESPARZA ESTRADA CARLOS ISMAEL','FILOSOFÍA','MASCULINO',0</v>
      </c>
      <c r="J44" t="str">
        <f t="shared" si="0"/>
        <v>INSERT INTO profesores (id,nivel,carrera,grupo,nombre,materia,sexo,sello) VALUES (2042,'BACHILLERATO','TRONCO COMÚN','B 333','ESPARZA ESTRADA CARLOS ISMAEL','FILOSOFÍA','MASCULINO',0);</v>
      </c>
    </row>
    <row r="45" spans="1:10" x14ac:dyDescent="0.35">
      <c r="A45" s="1">
        <v>2043</v>
      </c>
      <c r="B45" s="1" t="s">
        <v>43</v>
      </c>
      <c r="C45" s="1" t="s">
        <v>184</v>
      </c>
      <c r="D45" s="1" t="s">
        <v>88</v>
      </c>
      <c r="E45" s="1" t="s">
        <v>84</v>
      </c>
      <c r="F45" s="1" t="s">
        <v>144</v>
      </c>
      <c r="G45" s="1" t="s">
        <v>8</v>
      </c>
      <c r="H45" s="1">
        <v>0</v>
      </c>
      <c r="I45" s="1" t="str">
        <f t="shared" si="1"/>
        <v>2043,'BACHILLERATO','TRONCO COMÚN','B 333','ESPARZA ESTRADA CARLOS ISMAEL','SOCIOLOGÍA II','MASCULINO',0</v>
      </c>
      <c r="J45" t="str">
        <f t="shared" si="0"/>
        <v>INSERT INTO profesores (id,nivel,carrera,grupo,nombre,materia,sexo,sello) VALUES (2043,'BACHILLERATO','TRONCO COMÚN','B 333','ESPARZA ESTRADA CARLOS ISMAEL','SOCIOLOGÍA II','MASCULINO',0);</v>
      </c>
    </row>
    <row r="46" spans="1:10" x14ac:dyDescent="0.35">
      <c r="A46" s="1">
        <v>2044</v>
      </c>
      <c r="B46" s="1" t="s">
        <v>43</v>
      </c>
      <c r="C46" s="1" t="s">
        <v>184</v>
      </c>
      <c r="D46" s="1" t="s">
        <v>165</v>
      </c>
      <c r="E46" s="1" t="s">
        <v>84</v>
      </c>
      <c r="F46" s="1" t="s">
        <v>140</v>
      </c>
      <c r="G46" s="1" t="s">
        <v>8</v>
      </c>
      <c r="H46" s="1">
        <v>0</v>
      </c>
      <c r="I46" s="1" t="str">
        <f t="shared" si="1"/>
        <v>2044,'BACHILLERATO','TRONCO COMÚN','B334','ESPARZA ESTRADA CARLOS ISMAEL','FILOSOFÍA','MASCULINO',0</v>
      </c>
      <c r="J46" t="str">
        <f t="shared" si="0"/>
        <v>INSERT INTO profesores (id,nivel,carrera,grupo,nombre,materia,sexo,sello) VALUES (2044,'BACHILLERATO','TRONCO COMÚN','B334','ESPARZA ESTRADA CARLOS ISMAEL','FILOSOFÍA','MASCULINO',0);</v>
      </c>
    </row>
    <row r="47" spans="1:10" x14ac:dyDescent="0.35">
      <c r="A47" s="1">
        <v>2045</v>
      </c>
      <c r="B47" s="1" t="s">
        <v>43</v>
      </c>
      <c r="C47" s="1" t="s">
        <v>184</v>
      </c>
      <c r="D47" s="1" t="s">
        <v>165</v>
      </c>
      <c r="E47" s="1" t="s">
        <v>84</v>
      </c>
      <c r="F47" s="1" t="s">
        <v>144</v>
      </c>
      <c r="G47" s="1" t="s">
        <v>8</v>
      </c>
      <c r="H47" s="1">
        <v>0</v>
      </c>
      <c r="I47" s="1" t="str">
        <f t="shared" si="1"/>
        <v>2045,'BACHILLERATO','TRONCO COMÚN','B334','ESPARZA ESTRADA CARLOS ISMAEL','SOCIOLOGÍA II','MASCULINO',0</v>
      </c>
      <c r="J47" t="str">
        <f t="shared" si="0"/>
        <v>INSERT INTO profesores (id,nivel,carrera,grupo,nombre,materia,sexo,sello) VALUES (2045,'BACHILLERATO','TRONCO COMÚN','B334','ESPARZA ESTRADA CARLOS ISMAEL','SOCIOLOGÍA II','MASCULINO',0);</v>
      </c>
    </row>
    <row r="48" spans="1:10" x14ac:dyDescent="0.35">
      <c r="A48" s="1">
        <v>2046</v>
      </c>
      <c r="B48" s="1" t="s">
        <v>43</v>
      </c>
      <c r="C48" s="1" t="s">
        <v>184</v>
      </c>
      <c r="D48" s="1" t="s">
        <v>166</v>
      </c>
      <c r="E48" s="1" t="s">
        <v>84</v>
      </c>
      <c r="F48" s="1" t="s">
        <v>144</v>
      </c>
      <c r="G48" s="1" t="s">
        <v>8</v>
      </c>
      <c r="H48" s="1">
        <v>0</v>
      </c>
      <c r="I48" s="1" t="str">
        <f t="shared" si="1"/>
        <v>2046,'BACHILLERATO','TRONCO COMÚN','B335','ESPARZA ESTRADA CARLOS ISMAEL','SOCIOLOGÍA II','MASCULINO',0</v>
      </c>
      <c r="J48" t="str">
        <f t="shared" si="0"/>
        <v>INSERT INTO profesores (id,nivel,carrera,grupo,nombre,materia,sexo,sello) VALUES (2046,'BACHILLERATO','TRONCO COMÚN','B335','ESPARZA ESTRADA CARLOS ISMAEL','SOCIOLOGÍA II','MASCULINO',0);</v>
      </c>
    </row>
    <row r="49" spans="1:10" x14ac:dyDescent="0.35">
      <c r="A49" s="1">
        <v>2047</v>
      </c>
      <c r="B49" s="1" t="s">
        <v>43</v>
      </c>
      <c r="C49" s="1" t="s">
        <v>177</v>
      </c>
      <c r="D49" s="1" t="s">
        <v>164</v>
      </c>
      <c r="E49" s="1" t="s">
        <v>55</v>
      </c>
      <c r="F49" s="1" t="s">
        <v>126</v>
      </c>
      <c r="G49" s="1" t="s">
        <v>30</v>
      </c>
      <c r="H49" s="1">
        <v>0</v>
      </c>
      <c r="I49" s="1" t="str">
        <f t="shared" si="1"/>
        <v>2047,'BACHILLERATO','HIGIENE Y SALUD COMUNITARIA','B 31A','GRAJEDA ALVARADO ANA ISABEL','TÉCNICAS CLÍNICAS II','FEMENINO',0</v>
      </c>
      <c r="J49" t="str">
        <f t="shared" si="0"/>
        <v>INSERT INTO profesores (id,nivel,carrera,grupo,nombre,materia,sexo,sello) VALUES (2047,'BACHILLERATO','HIGIENE Y SALUD COMUNITARIA','B 31A','GRAJEDA ALVARADO ANA ISABEL','TÉCNICAS CLÍNICAS II','FEMENINO',0);</v>
      </c>
    </row>
    <row r="50" spans="1:10" x14ac:dyDescent="0.35">
      <c r="A50" s="1">
        <v>2048</v>
      </c>
      <c r="B50" s="1" t="s">
        <v>43</v>
      </c>
      <c r="C50" s="1" t="s">
        <v>177</v>
      </c>
      <c r="D50" s="1" t="s">
        <v>93</v>
      </c>
      <c r="E50" s="1" t="s">
        <v>55</v>
      </c>
      <c r="F50" s="1" t="s">
        <v>118</v>
      </c>
      <c r="G50" s="1" t="s">
        <v>30</v>
      </c>
      <c r="H50" s="1">
        <v>0</v>
      </c>
      <c r="I50" s="1" t="str">
        <f t="shared" si="1"/>
        <v>2048,'BACHILLERATO','HIGIENE Y SALUD COMUNITARIA','B ESTADISA','GRAJEDA ALVARADO ANA ISABEL','PROBABILIDAD Y ESTADISTICA II','FEMENINO',0</v>
      </c>
      <c r="J50" t="str">
        <f t="shared" si="0"/>
        <v>INSERT INTO profesores (id,nivel,carrera,grupo,nombre,materia,sexo,sello) VALUES (2048,'BACHILLERATO','HIGIENE Y SALUD COMUNITARIA','B ESTADISA','GRAJEDA ALVARADO ANA ISABEL','PROBABILIDAD Y ESTADISTICA II','FEMENINO',0);</v>
      </c>
    </row>
    <row r="51" spans="1:10" x14ac:dyDescent="0.35">
      <c r="A51" s="1">
        <v>2049</v>
      </c>
      <c r="B51" s="1" t="s">
        <v>43</v>
      </c>
      <c r="C51" s="1" t="s">
        <v>184</v>
      </c>
      <c r="D51" s="1" t="s">
        <v>52</v>
      </c>
      <c r="E51" s="1" t="s">
        <v>55</v>
      </c>
      <c r="F51" s="1" t="s">
        <v>157</v>
      </c>
      <c r="G51" s="1" t="s">
        <v>30</v>
      </c>
      <c r="H51" s="1">
        <v>0</v>
      </c>
      <c r="I51" s="1" t="str">
        <f t="shared" si="1"/>
        <v>2049,'BACHILLERATO','TRONCO COMÚN','B 112','GRAJEDA ALVARADO ANA ISABEL','CONSERVACIÓN DE LA ENERGIA Y SUS INTERACCIONES CON LA MATERIA','FEMENINO',0</v>
      </c>
      <c r="J51" t="str">
        <f t="shared" si="0"/>
        <v>INSERT INTO profesores (id,nivel,carrera,grupo,nombre,materia,sexo,sello) VALUES (2049,'BACHILLERATO','TRONCO COMÚN','B 112','GRAJEDA ALVARADO ANA ISABEL','CONSERVACIÓN DE LA ENERGIA Y SUS INTERACCIONES CON LA MATERIA','FEMENINO',0);</v>
      </c>
    </row>
    <row r="52" spans="1:10" x14ac:dyDescent="0.35">
      <c r="A52" s="1">
        <v>2050</v>
      </c>
      <c r="B52" s="1" t="s">
        <v>43</v>
      </c>
      <c r="C52" s="1" t="s">
        <v>184</v>
      </c>
      <c r="D52" s="1" t="s">
        <v>56</v>
      </c>
      <c r="E52" s="1" t="s">
        <v>55</v>
      </c>
      <c r="F52" s="1" t="s">
        <v>157</v>
      </c>
      <c r="G52" s="1" t="s">
        <v>30</v>
      </c>
      <c r="H52" s="1">
        <v>0</v>
      </c>
      <c r="I52" s="1" t="str">
        <f t="shared" si="1"/>
        <v>2050,'BACHILLERATO','TRONCO COMÚN','B 113','GRAJEDA ALVARADO ANA ISABEL','CONSERVACIÓN DE LA ENERGIA Y SUS INTERACCIONES CON LA MATERIA','FEMENINO',0</v>
      </c>
      <c r="J52" t="str">
        <f t="shared" si="0"/>
        <v>INSERT INTO profesores (id,nivel,carrera,grupo,nombre,materia,sexo,sello) VALUES (2050,'BACHILLERATO','TRONCO COMÚN','B 113','GRAJEDA ALVARADO ANA ISABEL','CONSERVACIÓN DE LA ENERGIA Y SUS INTERACCIONES CON LA MATERIA','FEMENINO',0);</v>
      </c>
    </row>
    <row r="53" spans="1:10" x14ac:dyDescent="0.35">
      <c r="A53" s="1">
        <v>2051</v>
      </c>
      <c r="B53" s="1" t="s">
        <v>43</v>
      </c>
      <c r="C53" s="1" t="s">
        <v>184</v>
      </c>
      <c r="D53" s="1" t="s">
        <v>57</v>
      </c>
      <c r="E53" s="1" t="s">
        <v>55</v>
      </c>
      <c r="F53" s="1" t="s">
        <v>157</v>
      </c>
      <c r="G53" s="1" t="s">
        <v>30</v>
      </c>
      <c r="H53" s="1">
        <v>0</v>
      </c>
      <c r="I53" s="1" t="str">
        <f t="shared" si="1"/>
        <v>2051,'BACHILLERATO','TRONCO COMÚN','B 114','GRAJEDA ALVARADO ANA ISABEL','CONSERVACIÓN DE LA ENERGIA Y SUS INTERACCIONES CON LA MATERIA','FEMENINO',0</v>
      </c>
      <c r="J53" t="str">
        <f t="shared" si="0"/>
        <v>INSERT INTO profesores (id,nivel,carrera,grupo,nombre,materia,sexo,sello) VALUES (2051,'BACHILLERATO','TRONCO COMÚN','B 114','GRAJEDA ALVARADO ANA ISABEL','CONSERVACIÓN DE LA ENERGIA Y SUS INTERACCIONES CON LA MATERIA','FEMENINO',0);</v>
      </c>
    </row>
    <row r="54" spans="1:10" x14ac:dyDescent="0.35">
      <c r="A54" s="1">
        <v>2052</v>
      </c>
      <c r="B54" s="1" t="s">
        <v>43</v>
      </c>
      <c r="C54" s="1" t="s">
        <v>184</v>
      </c>
      <c r="D54" s="1" t="s">
        <v>151</v>
      </c>
      <c r="E54" s="1" t="s">
        <v>64</v>
      </c>
      <c r="F54" s="1" t="s">
        <v>146</v>
      </c>
      <c r="G54" s="1" t="s">
        <v>30</v>
      </c>
      <c r="H54" s="1">
        <v>0</v>
      </c>
      <c r="I54" s="1" t="str">
        <f t="shared" si="1"/>
        <v>2052,'BACHILLERATO','TRONCO COMÚN','B6° 4B-II1','GUTIERREZ MEDINA PAOLA CAROLINA','LENGUA ADICIONAL AL ESPAÑOL VI','FEMENINO',0</v>
      </c>
      <c r="J54" t="str">
        <f t="shared" si="0"/>
        <v>INSERT INTO profesores (id,nivel,carrera,grupo,nombre,materia,sexo,sello) VALUES (2052,'BACHILLERATO','TRONCO COMÚN','B6° 4B-II1','GUTIERREZ MEDINA PAOLA CAROLINA','LENGUA ADICIONAL AL ESPAÑOL VI','FEMENINO',0);</v>
      </c>
    </row>
    <row r="55" spans="1:10" x14ac:dyDescent="0.35">
      <c r="A55" s="1">
        <v>2053</v>
      </c>
      <c r="B55" s="1" t="s">
        <v>43</v>
      </c>
      <c r="C55" s="1" t="s">
        <v>184</v>
      </c>
      <c r="D55" s="1" t="s">
        <v>152</v>
      </c>
      <c r="E55" s="1" t="s">
        <v>64</v>
      </c>
      <c r="F55" s="1" t="s">
        <v>146</v>
      </c>
      <c r="G55" s="1" t="s">
        <v>30</v>
      </c>
      <c r="H55" s="1">
        <v>0</v>
      </c>
      <c r="I55" s="1" t="str">
        <f t="shared" si="1"/>
        <v>2053,'BACHILLERATO','TRONCO COMÚN','B6° 4B-II2','GUTIERREZ MEDINA PAOLA CAROLINA','LENGUA ADICIONAL AL ESPAÑOL VI','FEMENINO',0</v>
      </c>
      <c r="J55" t="str">
        <f t="shared" si="0"/>
        <v>INSERT INTO profesores (id,nivel,carrera,grupo,nombre,materia,sexo,sello) VALUES (2053,'BACHILLERATO','TRONCO COMÚN','B6° 4B-II2','GUTIERREZ MEDINA PAOLA CAROLINA','LENGUA ADICIONAL AL ESPAÑOL VI','FEMENINO',0);</v>
      </c>
    </row>
    <row r="56" spans="1:10" x14ac:dyDescent="0.35">
      <c r="A56" s="1">
        <v>2054</v>
      </c>
      <c r="B56" s="1" t="s">
        <v>43</v>
      </c>
      <c r="C56" s="1" t="s">
        <v>1448</v>
      </c>
      <c r="D56" s="1" t="s">
        <v>62</v>
      </c>
      <c r="E56" s="1" t="s">
        <v>64</v>
      </c>
      <c r="F56" s="1" t="s">
        <v>132</v>
      </c>
      <c r="G56" s="1" t="s">
        <v>30</v>
      </c>
      <c r="H56" s="1">
        <v>0</v>
      </c>
      <c r="I56" s="1" t="str">
        <f t="shared" si="1"/>
        <v>2054,'BACHILLERATO','TRONCO COMÚNA','B 221','GUTIERREZ MEDINA PAOLA CAROLINA','ORIENTACIÓN VOCACIONAL Y PROFESIONAL II','FEMENINO',0</v>
      </c>
      <c r="J56" t="str">
        <f t="shared" si="0"/>
        <v>INSERT INTO profesores (id,nivel,carrera,grupo,nombre,materia,sexo,sello) VALUES (2054,'BACHILLERATO','TRONCO COMÚNA','B 221','GUTIERREZ MEDINA PAOLA CAROLINA','ORIENTACIÓN VOCACIONAL Y PROFESIONAL II','FEMENINO',0);</v>
      </c>
    </row>
    <row r="57" spans="1:10" x14ac:dyDescent="0.35">
      <c r="A57" s="1">
        <v>2055</v>
      </c>
      <c r="B57" s="1" t="s">
        <v>43</v>
      </c>
      <c r="C57" s="1" t="s">
        <v>1448</v>
      </c>
      <c r="D57" s="1" t="s">
        <v>68</v>
      </c>
      <c r="E57" s="1" t="s">
        <v>64</v>
      </c>
      <c r="F57" s="1" t="s">
        <v>132</v>
      </c>
      <c r="G57" s="1" t="s">
        <v>30</v>
      </c>
      <c r="H57" s="1">
        <v>0</v>
      </c>
      <c r="I57" s="1" t="str">
        <f t="shared" si="1"/>
        <v>2055,'BACHILLERATO','TRONCO COMÚNA','B 222','GUTIERREZ MEDINA PAOLA CAROLINA','ORIENTACIÓN VOCACIONAL Y PROFESIONAL II','FEMENINO',0</v>
      </c>
      <c r="J57" t="str">
        <f t="shared" si="0"/>
        <v>INSERT INTO profesores (id,nivel,carrera,grupo,nombre,materia,sexo,sello) VALUES (2055,'BACHILLERATO','TRONCO COMÚNA','B 222','GUTIERREZ MEDINA PAOLA CAROLINA','ORIENTACIÓN VOCACIONAL Y PROFESIONAL II','FEMENINO',0);</v>
      </c>
    </row>
    <row r="58" spans="1:10" x14ac:dyDescent="0.35">
      <c r="A58" s="1">
        <v>2056</v>
      </c>
      <c r="B58" s="1" t="s">
        <v>43</v>
      </c>
      <c r="C58" s="1" t="s">
        <v>1448</v>
      </c>
      <c r="D58" s="1" t="s">
        <v>168</v>
      </c>
      <c r="E58" s="1" t="s">
        <v>64</v>
      </c>
      <c r="F58" s="1" t="s">
        <v>153</v>
      </c>
      <c r="G58" s="1" t="s">
        <v>30</v>
      </c>
      <c r="H58" s="1">
        <v>0</v>
      </c>
      <c r="I58" s="1" t="str">
        <f t="shared" si="1"/>
        <v>2056,'BACHILLERATO','TRONCO COMÚNA','B4° 3B-II','GUTIERREZ MEDINA PAOLA CAROLINA','INGLÉS IV','FEMENINO',0</v>
      </c>
      <c r="J58" t="str">
        <f t="shared" si="0"/>
        <v>INSERT INTO profesores (id,nivel,carrera,grupo,nombre,materia,sexo,sello) VALUES (2056,'BACHILLERATO','TRONCO COMÚNA','B4° 3B-II','GUTIERREZ MEDINA PAOLA CAROLINA','INGLÉS IV','FEMENINO',0);</v>
      </c>
    </row>
    <row r="59" spans="1:10" x14ac:dyDescent="0.35">
      <c r="A59" s="1">
        <v>2057</v>
      </c>
      <c r="B59" s="1" t="s">
        <v>43</v>
      </c>
      <c r="C59" s="1" t="s">
        <v>184</v>
      </c>
      <c r="D59" s="1" t="s">
        <v>170</v>
      </c>
      <c r="E59" s="1" t="s">
        <v>64</v>
      </c>
      <c r="F59" s="1" t="s">
        <v>162</v>
      </c>
      <c r="G59" s="1" t="s">
        <v>30</v>
      </c>
      <c r="H59" s="1">
        <v>0</v>
      </c>
      <c r="I59" s="1" t="str">
        <f t="shared" si="1"/>
        <v>2057,'BACHILLERATO','TRONCO COMÚN','B2° 2B-II','GUTIERREZ MEDINA PAOLA CAROLINA','INGLÉS II','FEMENINO',0</v>
      </c>
      <c r="J59" t="str">
        <f t="shared" si="0"/>
        <v>INSERT INTO profesores (id,nivel,carrera,grupo,nombre,materia,sexo,sello) VALUES (2057,'BACHILLERATO','TRONCO COMÚN','B2° 2B-II','GUTIERREZ MEDINA PAOLA CAROLINA','INGLÉS II','FEMENINO',0);</v>
      </c>
    </row>
    <row r="60" spans="1:10" x14ac:dyDescent="0.35">
      <c r="A60" s="1">
        <v>2058</v>
      </c>
      <c r="B60" s="1" t="s">
        <v>43</v>
      </c>
      <c r="C60" s="1" t="s">
        <v>184</v>
      </c>
      <c r="D60" s="1" t="s">
        <v>83</v>
      </c>
      <c r="E60" s="1" t="s">
        <v>85</v>
      </c>
      <c r="F60" s="1" t="s">
        <v>142</v>
      </c>
      <c r="G60" s="1" t="s">
        <v>8</v>
      </c>
      <c r="H60" s="1">
        <v>0</v>
      </c>
      <c r="I60" s="1" t="str">
        <f t="shared" si="1"/>
        <v>2058,'BACHILLERATO','TRONCO COMÚN','B 331','GUZMAN VERA MOISES GREGORIO','ETIMOLOGÍAS GRECOLATINAS II','MASCULINO',0</v>
      </c>
      <c r="J60" t="str">
        <f t="shared" si="0"/>
        <v>INSERT INTO profesores (id,nivel,carrera,grupo,nombre,materia,sexo,sello) VALUES (2058,'BACHILLERATO','TRONCO COMÚN','B 331','GUZMAN VERA MOISES GREGORIO','ETIMOLOGÍAS GRECOLATINAS II','MASCULINO',0);</v>
      </c>
    </row>
    <row r="61" spans="1:10" x14ac:dyDescent="0.35">
      <c r="A61" s="1">
        <v>2059</v>
      </c>
      <c r="B61" s="1" t="s">
        <v>43</v>
      </c>
      <c r="C61" s="1" t="s">
        <v>184</v>
      </c>
      <c r="D61" s="1" t="s">
        <v>87</v>
      </c>
      <c r="E61" s="1" t="s">
        <v>85</v>
      </c>
      <c r="F61" s="1" t="s">
        <v>142</v>
      </c>
      <c r="G61" s="1" t="s">
        <v>8</v>
      </c>
      <c r="H61" s="1">
        <v>0</v>
      </c>
      <c r="I61" s="1" t="str">
        <f t="shared" si="1"/>
        <v>2059,'BACHILLERATO','TRONCO COMÚN','B 332','GUZMAN VERA MOISES GREGORIO','ETIMOLOGÍAS GRECOLATINAS II','MASCULINO',0</v>
      </c>
      <c r="J61" t="str">
        <f t="shared" si="0"/>
        <v>INSERT INTO profesores (id,nivel,carrera,grupo,nombre,materia,sexo,sello) VALUES (2059,'BACHILLERATO','TRONCO COMÚN','B 332','GUZMAN VERA MOISES GREGORIO','ETIMOLOGÍAS GRECOLATINAS II','MASCULINO',0);</v>
      </c>
    </row>
    <row r="62" spans="1:10" x14ac:dyDescent="0.35">
      <c r="A62" s="1">
        <v>2060</v>
      </c>
      <c r="B62" s="1" t="s">
        <v>43</v>
      </c>
      <c r="C62" s="1" t="s">
        <v>184</v>
      </c>
      <c r="D62" s="1" t="s">
        <v>87</v>
      </c>
      <c r="E62" s="1" t="s">
        <v>85</v>
      </c>
      <c r="F62" s="1" t="s">
        <v>144</v>
      </c>
      <c r="G62" s="1" t="s">
        <v>8</v>
      </c>
      <c r="H62" s="1">
        <v>0</v>
      </c>
      <c r="I62" s="1" t="str">
        <f t="shared" si="1"/>
        <v>2060,'BACHILLERATO','TRONCO COMÚN','B 332','GUZMAN VERA MOISES GREGORIO','SOCIOLOGÍA II','MASCULINO',0</v>
      </c>
      <c r="J62" t="str">
        <f t="shared" si="0"/>
        <v>INSERT INTO profesores (id,nivel,carrera,grupo,nombre,materia,sexo,sello) VALUES (2060,'BACHILLERATO','TRONCO COMÚN','B 332','GUZMAN VERA MOISES GREGORIO','SOCIOLOGÍA II','MASCULINO',0);</v>
      </c>
    </row>
    <row r="63" spans="1:10" x14ac:dyDescent="0.35">
      <c r="A63" s="1">
        <v>2061</v>
      </c>
      <c r="B63" s="1" t="s">
        <v>43</v>
      </c>
      <c r="C63" s="1" t="s">
        <v>184</v>
      </c>
      <c r="D63" s="1" t="s">
        <v>88</v>
      </c>
      <c r="E63" s="1" t="s">
        <v>85</v>
      </c>
      <c r="F63" s="1" t="s">
        <v>142</v>
      </c>
      <c r="G63" s="1" t="s">
        <v>8</v>
      </c>
      <c r="H63" s="1">
        <v>0</v>
      </c>
      <c r="I63" s="1" t="str">
        <f t="shared" si="1"/>
        <v>2061,'BACHILLERATO','TRONCO COMÚN','B 333','GUZMAN VERA MOISES GREGORIO','ETIMOLOGÍAS GRECOLATINAS II','MASCULINO',0</v>
      </c>
      <c r="J63" t="str">
        <f t="shared" si="0"/>
        <v>INSERT INTO profesores (id,nivel,carrera,grupo,nombre,materia,sexo,sello) VALUES (2061,'BACHILLERATO','TRONCO COMÚN','B 333','GUZMAN VERA MOISES GREGORIO','ETIMOLOGÍAS GRECOLATINAS II','MASCULINO',0);</v>
      </c>
    </row>
    <row r="64" spans="1:10" x14ac:dyDescent="0.35">
      <c r="A64" s="1">
        <v>2062</v>
      </c>
      <c r="B64" s="1" t="s">
        <v>43</v>
      </c>
      <c r="C64" s="1" t="s">
        <v>184</v>
      </c>
      <c r="D64" s="1" t="s">
        <v>88</v>
      </c>
      <c r="E64" s="1" t="s">
        <v>85</v>
      </c>
      <c r="F64" s="1" t="s">
        <v>141</v>
      </c>
      <c r="G64" s="1" t="s">
        <v>8</v>
      </c>
      <c r="H64" s="1">
        <v>0</v>
      </c>
      <c r="I64" s="1" t="str">
        <f t="shared" si="1"/>
        <v>2062,'BACHILLERATO','TRONCO COMÚN','B 333','GUZMAN VERA MOISES GREGORIO','TALLER DE INTEGRACIÓN SOCIAL II','MASCULINO',0</v>
      </c>
      <c r="J64" t="str">
        <f t="shared" si="0"/>
        <v>INSERT INTO profesores (id,nivel,carrera,grupo,nombre,materia,sexo,sello) VALUES (2062,'BACHILLERATO','TRONCO COMÚN','B 333','GUZMAN VERA MOISES GREGORIO','TALLER DE INTEGRACIÓN SOCIAL II','MASCULINO',0);</v>
      </c>
    </row>
    <row r="65" spans="1:10" x14ac:dyDescent="0.35">
      <c r="A65" s="1">
        <v>2063</v>
      </c>
      <c r="B65" s="1" t="s">
        <v>43</v>
      </c>
      <c r="C65" s="1" t="s">
        <v>184</v>
      </c>
      <c r="D65" s="1" t="s">
        <v>165</v>
      </c>
      <c r="E65" s="1" t="s">
        <v>85</v>
      </c>
      <c r="F65" s="1" t="s">
        <v>142</v>
      </c>
      <c r="G65" s="1" t="s">
        <v>8</v>
      </c>
      <c r="H65" s="1">
        <v>0</v>
      </c>
      <c r="I65" s="1" t="str">
        <f t="shared" si="1"/>
        <v>2063,'BACHILLERATO','TRONCO COMÚN','B334','GUZMAN VERA MOISES GREGORIO','ETIMOLOGÍAS GRECOLATINAS II','MASCULINO',0</v>
      </c>
      <c r="J65" t="str">
        <f t="shared" si="0"/>
        <v>INSERT INTO profesores (id,nivel,carrera,grupo,nombre,materia,sexo,sello) VALUES (2063,'BACHILLERATO','TRONCO COMÚN','B334','GUZMAN VERA MOISES GREGORIO','ETIMOLOGÍAS GRECOLATINAS II','MASCULINO',0);</v>
      </c>
    </row>
    <row r="66" spans="1:10" x14ac:dyDescent="0.35">
      <c r="A66" s="1">
        <v>2064</v>
      </c>
      <c r="B66" s="1" t="s">
        <v>43</v>
      </c>
      <c r="C66" s="1" t="s">
        <v>184</v>
      </c>
      <c r="D66" s="1" t="s">
        <v>166</v>
      </c>
      <c r="E66" s="1" t="s">
        <v>85</v>
      </c>
      <c r="F66" s="1" t="s">
        <v>142</v>
      </c>
      <c r="G66" s="1" t="s">
        <v>8</v>
      </c>
      <c r="H66" s="1">
        <v>0</v>
      </c>
      <c r="I66" s="1" t="str">
        <f t="shared" si="1"/>
        <v>2064,'BACHILLERATO','TRONCO COMÚN','B335','GUZMAN VERA MOISES GREGORIO','ETIMOLOGÍAS GRECOLATINAS II','MASCULINO',0</v>
      </c>
      <c r="J66" t="str">
        <f t="shared" ref="J66:J129" si="2">CONCATENATE($I$1,I66,");")</f>
        <v>INSERT INTO profesores (id,nivel,carrera,grupo,nombre,materia,sexo,sello) VALUES (2064,'BACHILLERATO','TRONCO COMÚN','B335','GUZMAN VERA MOISES GREGORIO','ETIMOLOGÍAS GRECOLATINAS II','MASCULINO',0);</v>
      </c>
    </row>
    <row r="67" spans="1:10" x14ac:dyDescent="0.35">
      <c r="A67" s="1">
        <v>2065</v>
      </c>
      <c r="B67" s="1" t="s">
        <v>43</v>
      </c>
      <c r="C67" s="1" t="s">
        <v>184</v>
      </c>
      <c r="D67" s="1" t="s">
        <v>44</v>
      </c>
      <c r="E67" s="1" t="s">
        <v>47</v>
      </c>
      <c r="F67" s="1" t="s">
        <v>158</v>
      </c>
      <c r="G67" s="1" t="s">
        <v>8</v>
      </c>
      <c r="H67" s="1">
        <v>0</v>
      </c>
      <c r="I67" s="1" t="str">
        <f t="shared" ref="I67:I130" si="3">CONCATENATE(A67,",'",B67,"','",C67,"','",D67,"','",E67,"','",F67,"','",G67,"',",H67)</f>
        <v>2065,'BACHILLERATO','TRONCO COMÚN','B 111','HERNANDEZ NAVARRO ROBERTO','CULTURA DIGITAL II','MASCULINO',0</v>
      </c>
      <c r="J67" t="str">
        <f t="shared" si="2"/>
        <v>INSERT INTO profesores (id,nivel,carrera,grupo,nombre,materia,sexo,sello) VALUES (2065,'BACHILLERATO','TRONCO COMÚN','B 111','HERNANDEZ NAVARRO ROBERTO','CULTURA DIGITAL II','MASCULINO',0);</v>
      </c>
    </row>
    <row r="68" spans="1:10" x14ac:dyDescent="0.35">
      <c r="A68" s="1">
        <v>2066</v>
      </c>
      <c r="B68" s="1" t="s">
        <v>43</v>
      </c>
      <c r="C68" s="1" t="s">
        <v>184</v>
      </c>
      <c r="D68" s="1" t="s">
        <v>52</v>
      </c>
      <c r="E68" s="1" t="s">
        <v>47</v>
      </c>
      <c r="F68" s="1" t="s">
        <v>158</v>
      </c>
      <c r="G68" s="1" t="s">
        <v>8</v>
      </c>
      <c r="H68" s="1">
        <v>0</v>
      </c>
      <c r="I68" s="1" t="str">
        <f t="shared" si="3"/>
        <v>2066,'BACHILLERATO','TRONCO COMÚN','B 112','HERNANDEZ NAVARRO ROBERTO','CULTURA DIGITAL II','MASCULINO',0</v>
      </c>
      <c r="J68" t="str">
        <f t="shared" si="2"/>
        <v>INSERT INTO profesores (id,nivel,carrera,grupo,nombre,materia,sexo,sello) VALUES (2066,'BACHILLERATO','TRONCO COMÚN','B 112','HERNANDEZ NAVARRO ROBERTO','CULTURA DIGITAL II','MASCULINO',0);</v>
      </c>
    </row>
    <row r="69" spans="1:10" x14ac:dyDescent="0.35">
      <c r="A69" s="1">
        <v>2067</v>
      </c>
      <c r="B69" s="1" t="s">
        <v>43</v>
      </c>
      <c r="C69" s="1" t="s">
        <v>184</v>
      </c>
      <c r="D69" s="1" t="s">
        <v>56</v>
      </c>
      <c r="E69" s="1" t="s">
        <v>47</v>
      </c>
      <c r="F69" s="1" t="s">
        <v>158</v>
      </c>
      <c r="G69" s="1" t="s">
        <v>8</v>
      </c>
      <c r="H69" s="1">
        <v>0</v>
      </c>
      <c r="I69" s="1" t="str">
        <f t="shared" si="3"/>
        <v>2067,'BACHILLERATO','TRONCO COMÚN','B 113','HERNANDEZ NAVARRO ROBERTO','CULTURA DIGITAL II','MASCULINO',0</v>
      </c>
      <c r="J69" t="str">
        <f t="shared" si="2"/>
        <v>INSERT INTO profesores (id,nivel,carrera,grupo,nombre,materia,sexo,sello) VALUES (2067,'BACHILLERATO','TRONCO COMÚN','B 113','HERNANDEZ NAVARRO ROBERTO','CULTURA DIGITAL II','MASCULINO',0);</v>
      </c>
    </row>
    <row r="70" spans="1:10" x14ac:dyDescent="0.35">
      <c r="A70" s="1">
        <v>2068</v>
      </c>
      <c r="B70" s="1" t="s">
        <v>43</v>
      </c>
      <c r="C70" s="1" t="s">
        <v>184</v>
      </c>
      <c r="D70" s="1" t="s">
        <v>57</v>
      </c>
      <c r="E70" s="1" t="s">
        <v>47</v>
      </c>
      <c r="F70" s="1" t="s">
        <v>158</v>
      </c>
      <c r="G70" s="1" t="s">
        <v>8</v>
      </c>
      <c r="H70" s="1">
        <v>0</v>
      </c>
      <c r="I70" s="1" t="str">
        <f t="shared" si="3"/>
        <v>2068,'BACHILLERATO','TRONCO COMÚN','B 114','HERNANDEZ NAVARRO ROBERTO','CULTURA DIGITAL II','MASCULINO',0</v>
      </c>
      <c r="J70" t="str">
        <f t="shared" si="2"/>
        <v>INSERT INTO profesores (id,nivel,carrera,grupo,nombre,materia,sexo,sello) VALUES (2068,'BACHILLERATO','TRONCO COMÚN','B 114','HERNANDEZ NAVARRO ROBERTO','CULTURA DIGITAL II','MASCULINO',0);</v>
      </c>
    </row>
    <row r="71" spans="1:10" x14ac:dyDescent="0.35">
      <c r="A71" s="1">
        <v>2069</v>
      </c>
      <c r="B71" s="1" t="s">
        <v>43</v>
      </c>
      <c r="C71" s="1" t="s">
        <v>184</v>
      </c>
      <c r="D71" s="1" t="s">
        <v>150</v>
      </c>
      <c r="E71" s="1" t="s">
        <v>48</v>
      </c>
      <c r="F71" s="1" t="s">
        <v>146</v>
      </c>
      <c r="G71" s="1" t="s">
        <v>8</v>
      </c>
      <c r="H71" s="1">
        <v>0</v>
      </c>
      <c r="I71" s="1" t="str">
        <f t="shared" si="3"/>
        <v>2069,'BACHILLERATO','TRONCO COMÚN','B6° 4A-II1','HERNANDEZ NAVARRO ULISES','LENGUA ADICIONAL AL ESPAÑOL VI','MASCULINO',0</v>
      </c>
      <c r="J71" t="str">
        <f t="shared" si="2"/>
        <v>INSERT INTO profesores (id,nivel,carrera,grupo,nombre,materia,sexo,sello) VALUES (2069,'BACHILLERATO','TRONCO COMÚN','B6° 4A-II1','HERNANDEZ NAVARRO ULISES','LENGUA ADICIONAL AL ESPAÑOL VI','MASCULINO',0);</v>
      </c>
    </row>
    <row r="72" spans="1:10" x14ac:dyDescent="0.35">
      <c r="A72" s="1">
        <v>2070</v>
      </c>
      <c r="B72" s="1" t="s">
        <v>43</v>
      </c>
      <c r="C72" s="1" t="s">
        <v>1448</v>
      </c>
      <c r="D72" s="1" t="s">
        <v>68</v>
      </c>
      <c r="E72" s="1" t="s">
        <v>48</v>
      </c>
      <c r="F72" s="1" t="s">
        <v>153</v>
      </c>
      <c r="G72" s="1" t="s">
        <v>8</v>
      </c>
      <c r="H72" s="1">
        <v>0</v>
      </c>
      <c r="I72" s="1" t="str">
        <f t="shared" si="3"/>
        <v>2070,'BACHILLERATO','TRONCO COMÚNA','B 222','HERNANDEZ NAVARRO ULISES','INGLÉS IV','MASCULINO',0</v>
      </c>
      <c r="J72" t="str">
        <f t="shared" si="2"/>
        <v>INSERT INTO profesores (id,nivel,carrera,grupo,nombre,materia,sexo,sello) VALUES (2070,'BACHILLERATO','TRONCO COMÚNA','B 222','HERNANDEZ NAVARRO ULISES','INGLÉS IV','MASCULINO',0);</v>
      </c>
    </row>
    <row r="73" spans="1:10" x14ac:dyDescent="0.35">
      <c r="A73" s="1">
        <v>2071</v>
      </c>
      <c r="B73" s="1" t="s">
        <v>43</v>
      </c>
      <c r="C73" s="1" t="s">
        <v>1448</v>
      </c>
      <c r="D73" s="1" t="s">
        <v>68</v>
      </c>
      <c r="E73" s="1" t="s">
        <v>48</v>
      </c>
      <c r="F73" s="1" t="s">
        <v>134</v>
      </c>
      <c r="G73" s="1" t="s">
        <v>8</v>
      </c>
      <c r="H73" s="1">
        <v>0</v>
      </c>
      <c r="I73" s="1" t="str">
        <f t="shared" si="3"/>
        <v>2071,'BACHILLERATO','TRONCO COMÚNA','B 222','HERNANDEZ NAVARRO ULISES','TALLER DE FORMACIÓN HUMANA Y CRISTIANA II','MASCULINO',0</v>
      </c>
      <c r="J73" t="str">
        <f t="shared" si="2"/>
        <v>INSERT INTO profesores (id,nivel,carrera,grupo,nombre,materia,sexo,sello) VALUES (2071,'BACHILLERATO','TRONCO COMÚNA','B 222','HERNANDEZ NAVARRO ULISES','TALLER DE FORMACIÓN HUMANA Y CRISTIANA II','MASCULINO',0);</v>
      </c>
    </row>
    <row r="74" spans="1:10" x14ac:dyDescent="0.35">
      <c r="A74" s="1">
        <v>2072</v>
      </c>
      <c r="B74" s="1" t="s">
        <v>43</v>
      </c>
      <c r="C74" s="1" t="s">
        <v>1448</v>
      </c>
      <c r="D74" s="1" t="s">
        <v>169</v>
      </c>
      <c r="E74" s="1" t="s">
        <v>48</v>
      </c>
      <c r="F74" s="1" t="s">
        <v>153</v>
      </c>
      <c r="G74" s="1" t="s">
        <v>8</v>
      </c>
      <c r="H74" s="1">
        <v>0</v>
      </c>
      <c r="I74" s="1" t="str">
        <f t="shared" si="3"/>
        <v>2072,'BACHILLERATO','TRONCO COMÚNA','B4° 4A-II','HERNANDEZ NAVARRO ULISES','INGLÉS IV','MASCULINO',0</v>
      </c>
      <c r="J74" t="str">
        <f t="shared" si="2"/>
        <v>INSERT INTO profesores (id,nivel,carrera,grupo,nombre,materia,sexo,sello) VALUES (2072,'BACHILLERATO','TRONCO COMÚNA','B4° 4A-II','HERNANDEZ NAVARRO ULISES','INGLÉS IV','MASCULINO',0);</v>
      </c>
    </row>
    <row r="75" spans="1:10" x14ac:dyDescent="0.35">
      <c r="A75" s="1">
        <v>2073</v>
      </c>
      <c r="B75" s="1" t="s">
        <v>43</v>
      </c>
      <c r="C75" s="1" t="s">
        <v>184</v>
      </c>
      <c r="D75" s="1" t="s">
        <v>172</v>
      </c>
      <c r="E75" s="1" t="s">
        <v>48</v>
      </c>
      <c r="F75" s="1" t="s">
        <v>162</v>
      </c>
      <c r="G75" s="1" t="s">
        <v>8</v>
      </c>
      <c r="H75" s="1">
        <v>0</v>
      </c>
      <c r="I75" s="1" t="str">
        <f t="shared" si="3"/>
        <v>2073,'BACHILLERATO','TRONCO COMÚN','B2° 4A-II','HERNANDEZ NAVARRO ULISES','INGLÉS II','MASCULINO',0</v>
      </c>
      <c r="J75" t="str">
        <f t="shared" si="2"/>
        <v>INSERT INTO profesores (id,nivel,carrera,grupo,nombre,materia,sexo,sello) VALUES (2073,'BACHILLERATO','TRONCO COMÚN','B2° 4A-II','HERNANDEZ NAVARRO ULISES','INGLÉS II','MASCULINO',0);</v>
      </c>
    </row>
    <row r="76" spans="1:10" x14ac:dyDescent="0.35">
      <c r="A76" s="1">
        <v>2074</v>
      </c>
      <c r="B76" s="1" t="s">
        <v>43</v>
      </c>
      <c r="C76" s="1" t="s">
        <v>177</v>
      </c>
      <c r="D76" s="1" t="s">
        <v>164</v>
      </c>
      <c r="E76" s="1" t="s">
        <v>127</v>
      </c>
      <c r="F76" s="1" t="s">
        <v>128</v>
      </c>
      <c r="G76" s="1" t="s">
        <v>30</v>
      </c>
      <c r="H76" s="1">
        <v>0</v>
      </c>
      <c r="I76" s="1" t="str">
        <f t="shared" si="3"/>
        <v>2074,'BACHILLERATO','HIGIENE Y SALUD COMUNITARIA','B 31A','JIMENEZ HERNANDEZ DULCE ADEI ','CUIDADO DEL PACIENTE GERIÁTRICO','FEMENINO',0</v>
      </c>
      <c r="J76" t="str">
        <f t="shared" si="2"/>
        <v>INSERT INTO profesores (id,nivel,carrera,grupo,nombre,materia,sexo,sello) VALUES (2074,'BACHILLERATO','HIGIENE Y SALUD COMUNITARIA','B 31A','JIMENEZ HERNANDEZ DULCE ADEI ','CUIDADO DEL PACIENTE GERIÁTRICO','FEMENINO',0);</v>
      </c>
    </row>
    <row r="77" spans="1:10" x14ac:dyDescent="0.35">
      <c r="A77" s="1">
        <v>2075</v>
      </c>
      <c r="B77" s="1" t="s">
        <v>43</v>
      </c>
      <c r="C77" s="1" t="s">
        <v>181</v>
      </c>
      <c r="D77" s="1" t="s">
        <v>59</v>
      </c>
      <c r="E77" s="1" t="s">
        <v>127</v>
      </c>
      <c r="F77" s="1" t="s">
        <v>129</v>
      </c>
      <c r="G77" s="1" t="s">
        <v>30</v>
      </c>
      <c r="H77" s="1">
        <v>0</v>
      </c>
      <c r="I77" s="1" t="str">
        <f t="shared" si="3"/>
        <v>2075,'BACHILLERATO','HIGIENE Y SALUD COMUNITARIAA','B 21A','JIMENEZ HERNANDEZ DULCE ADEI ','SALUD PÚBLICA','FEMENINO',0</v>
      </c>
      <c r="J77" t="str">
        <f t="shared" si="2"/>
        <v>INSERT INTO profesores (id,nivel,carrera,grupo,nombre,materia,sexo,sello) VALUES (2075,'BACHILLERATO','HIGIENE Y SALUD COMUNITARIAA','B 21A','JIMENEZ HERNANDEZ DULCE ADEI ','SALUD PÚBLICA','FEMENINO',0);</v>
      </c>
    </row>
    <row r="78" spans="1:10" x14ac:dyDescent="0.35">
      <c r="A78" s="1">
        <v>2076</v>
      </c>
      <c r="B78" s="1" t="s">
        <v>43</v>
      </c>
      <c r="C78" s="1" t="s">
        <v>181</v>
      </c>
      <c r="D78" s="1" t="s">
        <v>61</v>
      </c>
      <c r="E78" s="1" t="s">
        <v>127</v>
      </c>
      <c r="F78" s="1" t="s">
        <v>129</v>
      </c>
      <c r="G78" s="1" t="s">
        <v>30</v>
      </c>
      <c r="H78" s="1">
        <v>0</v>
      </c>
      <c r="I78" s="1" t="str">
        <f t="shared" si="3"/>
        <v>2076,'BACHILLERATO','HIGIENE Y SALUD COMUNITARIAA','B 21B','JIMENEZ HERNANDEZ DULCE ADEI ','SALUD PÚBLICA','FEMENINO',0</v>
      </c>
      <c r="J78" t="str">
        <f t="shared" si="2"/>
        <v>INSERT INTO profesores (id,nivel,carrera,grupo,nombre,materia,sexo,sello) VALUES (2076,'BACHILLERATO','HIGIENE Y SALUD COMUNITARIAA','B 21B','JIMENEZ HERNANDEZ DULCE ADEI ','SALUD PÚBLICA','FEMENINO',0);</v>
      </c>
    </row>
    <row r="79" spans="1:10" x14ac:dyDescent="0.35">
      <c r="A79" s="1">
        <v>2077</v>
      </c>
      <c r="B79" s="1" t="s">
        <v>43</v>
      </c>
      <c r="C79" s="1" t="s">
        <v>184</v>
      </c>
      <c r="D79" s="1" t="s">
        <v>69</v>
      </c>
      <c r="E79" s="1" t="s">
        <v>127</v>
      </c>
      <c r="F79" s="1" t="s">
        <v>135</v>
      </c>
      <c r="G79" s="1" t="s">
        <v>30</v>
      </c>
      <c r="H79" s="1">
        <v>0</v>
      </c>
      <c r="I79" s="1" t="str">
        <f t="shared" si="3"/>
        <v>2077,'BACHILLERATO','TRONCO COMÚN','B 223','JIMENEZ HERNANDEZ DULCE ADEI ','BIOLOGÍA II.','FEMENINO',0</v>
      </c>
      <c r="J79" t="str">
        <f t="shared" si="2"/>
        <v>INSERT INTO profesores (id,nivel,carrera,grupo,nombre,materia,sexo,sello) VALUES (2077,'BACHILLERATO','TRONCO COMÚN','B 223','JIMENEZ HERNANDEZ DULCE ADEI ','BIOLOGÍA II.','FEMENINO',0);</v>
      </c>
    </row>
    <row r="80" spans="1:10" x14ac:dyDescent="0.35">
      <c r="A80" s="1">
        <v>2078</v>
      </c>
      <c r="B80" s="1" t="s">
        <v>43</v>
      </c>
      <c r="C80" s="1" t="s">
        <v>1448</v>
      </c>
      <c r="D80" s="1" t="s">
        <v>62</v>
      </c>
      <c r="E80" s="1" t="s">
        <v>127</v>
      </c>
      <c r="F80" s="1" t="s">
        <v>135</v>
      </c>
      <c r="G80" s="1" t="s">
        <v>30</v>
      </c>
      <c r="H80" s="1">
        <v>0</v>
      </c>
      <c r="I80" s="1" t="str">
        <f t="shared" si="3"/>
        <v>2078,'BACHILLERATO','TRONCO COMÚNA','B 221','JIMENEZ HERNANDEZ DULCE ADEI ','BIOLOGÍA II.','FEMENINO',0</v>
      </c>
      <c r="J80" t="str">
        <f t="shared" si="2"/>
        <v>INSERT INTO profesores (id,nivel,carrera,grupo,nombre,materia,sexo,sello) VALUES (2078,'BACHILLERATO','TRONCO COMÚNA','B 221','JIMENEZ HERNANDEZ DULCE ADEI ','BIOLOGÍA II.','FEMENINO',0);</v>
      </c>
    </row>
    <row r="81" spans="1:10" x14ac:dyDescent="0.35">
      <c r="A81" s="1">
        <v>2079</v>
      </c>
      <c r="B81" s="1" t="s">
        <v>43</v>
      </c>
      <c r="C81" s="1" t="s">
        <v>1448</v>
      </c>
      <c r="D81" s="1" t="s">
        <v>68</v>
      </c>
      <c r="E81" s="1" t="s">
        <v>127</v>
      </c>
      <c r="F81" s="1" t="s">
        <v>135</v>
      </c>
      <c r="G81" s="1" t="s">
        <v>30</v>
      </c>
      <c r="H81" s="1">
        <v>0</v>
      </c>
      <c r="I81" s="1" t="str">
        <f t="shared" si="3"/>
        <v>2079,'BACHILLERATO','TRONCO COMÚNA','B 222','JIMENEZ HERNANDEZ DULCE ADEI ','BIOLOGÍA II.','FEMENINO',0</v>
      </c>
      <c r="J81" t="str">
        <f t="shared" si="2"/>
        <v>INSERT INTO profesores (id,nivel,carrera,grupo,nombre,materia,sexo,sello) VALUES (2079,'BACHILLERATO','TRONCO COMÚNA','B 222','JIMENEZ HERNANDEZ DULCE ADEI ','BIOLOGÍA II.','FEMENINO',0);</v>
      </c>
    </row>
    <row r="82" spans="1:10" x14ac:dyDescent="0.35">
      <c r="A82" s="1">
        <v>2080</v>
      </c>
      <c r="B82" s="1" t="s">
        <v>43</v>
      </c>
      <c r="C82" s="1" t="s">
        <v>1448</v>
      </c>
      <c r="D82" s="1" t="s">
        <v>71</v>
      </c>
      <c r="E82" s="1" t="s">
        <v>127</v>
      </c>
      <c r="F82" s="1" t="s">
        <v>135</v>
      </c>
      <c r="G82" s="1" t="s">
        <v>30</v>
      </c>
      <c r="H82" s="1">
        <v>0</v>
      </c>
      <c r="I82" s="1" t="str">
        <f t="shared" si="3"/>
        <v>2080,'BACHILLERATO','TRONCO COMÚNA','B 224','JIMENEZ HERNANDEZ DULCE ADEI ','BIOLOGÍA II.','FEMENINO',0</v>
      </c>
      <c r="J82" t="str">
        <f t="shared" si="2"/>
        <v>INSERT INTO profesores (id,nivel,carrera,grupo,nombre,materia,sexo,sello) VALUES (2080,'BACHILLERATO','TRONCO COMÚNA','B 224','JIMENEZ HERNANDEZ DULCE ADEI ','BIOLOGÍA II.','FEMENINO',0);</v>
      </c>
    </row>
    <row r="83" spans="1:10" x14ac:dyDescent="0.35">
      <c r="A83" s="1">
        <v>2081</v>
      </c>
      <c r="B83" s="1" t="s">
        <v>43</v>
      </c>
      <c r="C83" s="1" t="s">
        <v>1448</v>
      </c>
      <c r="D83" s="1" t="s">
        <v>72</v>
      </c>
      <c r="E83" s="1" t="s">
        <v>127</v>
      </c>
      <c r="F83" s="1" t="s">
        <v>135</v>
      </c>
      <c r="G83" s="1" t="s">
        <v>30</v>
      </c>
      <c r="H83" s="1">
        <v>0</v>
      </c>
      <c r="I83" s="1" t="str">
        <f t="shared" si="3"/>
        <v>2081,'BACHILLERATO','TRONCO COMÚNA','B 225','JIMENEZ HERNANDEZ DULCE ADEI ','BIOLOGÍA II.','FEMENINO',0</v>
      </c>
      <c r="J83" t="str">
        <f t="shared" si="2"/>
        <v>INSERT INTO profesores (id,nivel,carrera,grupo,nombre,materia,sexo,sello) VALUES (2081,'BACHILLERATO','TRONCO COMÚNA','B 225','JIMENEZ HERNANDEZ DULCE ADEI ','BIOLOGÍA II.','FEMENINO',0);</v>
      </c>
    </row>
    <row r="84" spans="1:10" x14ac:dyDescent="0.35">
      <c r="A84" s="1">
        <v>2082</v>
      </c>
      <c r="B84" s="1" t="s">
        <v>43</v>
      </c>
      <c r="C84" s="1" t="s">
        <v>175</v>
      </c>
      <c r="D84" s="1" t="s">
        <v>94</v>
      </c>
      <c r="E84" s="1" t="s">
        <v>60</v>
      </c>
      <c r="F84" s="1" t="s">
        <v>118</v>
      </c>
      <c r="G84" s="1" t="s">
        <v>8</v>
      </c>
      <c r="H84" s="1">
        <v>0</v>
      </c>
      <c r="I84" s="1" t="str">
        <f t="shared" si="3"/>
        <v>2082,'BACHILLERATO','DISEÑO GRÁFICO','B ESTADISB','LEYVA LEON ERICK','PROBABILIDAD Y ESTADISTICA II','MASCULINO',0</v>
      </c>
      <c r="J84" t="str">
        <f t="shared" si="2"/>
        <v>INSERT INTO profesores (id,nivel,carrera,grupo,nombre,materia,sexo,sello) VALUES (2082,'BACHILLERATO','DISEÑO GRÁFICO','B ESTADISB','LEYVA LEON ERICK','PROBABILIDAD Y ESTADISTICA II','MASCULINO',0);</v>
      </c>
    </row>
    <row r="85" spans="1:10" x14ac:dyDescent="0.35">
      <c r="A85" s="1">
        <v>2083</v>
      </c>
      <c r="B85" s="1" t="s">
        <v>43</v>
      </c>
      <c r="C85" s="1" t="s">
        <v>181</v>
      </c>
      <c r="D85" s="1" t="s">
        <v>59</v>
      </c>
      <c r="E85" s="1" t="s">
        <v>60</v>
      </c>
      <c r="F85" s="1" t="s">
        <v>130</v>
      </c>
      <c r="G85" s="1" t="s">
        <v>8</v>
      </c>
      <c r="H85" s="1">
        <v>0</v>
      </c>
      <c r="I85" s="1" t="str">
        <f t="shared" si="3"/>
        <v>2083,'BACHILLERATO','HIGIENE Y SALUD COMUNITARIAA','B 21A','LEYVA LEON ERICK','NUTRICIÓN','MASCULINO',0</v>
      </c>
      <c r="J85" t="str">
        <f t="shared" si="2"/>
        <v>INSERT INTO profesores (id,nivel,carrera,grupo,nombre,materia,sexo,sello) VALUES (2083,'BACHILLERATO','HIGIENE Y SALUD COMUNITARIAA','B 21A','LEYVA LEON ERICK','NUTRICIÓN','MASCULINO',0);</v>
      </c>
    </row>
    <row r="86" spans="1:10" x14ac:dyDescent="0.35">
      <c r="A86" s="1">
        <v>2084</v>
      </c>
      <c r="B86" s="1" t="s">
        <v>43</v>
      </c>
      <c r="C86" s="1" t="s">
        <v>181</v>
      </c>
      <c r="D86" s="1" t="s">
        <v>61</v>
      </c>
      <c r="E86" s="1" t="s">
        <v>60</v>
      </c>
      <c r="F86" s="1" t="s">
        <v>130</v>
      </c>
      <c r="G86" s="1" t="s">
        <v>8</v>
      </c>
      <c r="H86" s="1">
        <v>0</v>
      </c>
      <c r="I86" s="1" t="str">
        <f t="shared" si="3"/>
        <v>2084,'BACHILLERATO','HIGIENE Y SALUD COMUNITARIAA','B 21B','LEYVA LEON ERICK','NUTRICIÓN','MASCULINO',0</v>
      </c>
      <c r="J86" t="str">
        <f t="shared" si="2"/>
        <v>INSERT INTO profesores (id,nivel,carrera,grupo,nombre,materia,sexo,sello) VALUES (2084,'BACHILLERATO','HIGIENE Y SALUD COMUNITARIAA','B 21B','LEYVA LEON ERICK','NUTRICIÓN','MASCULINO',0);</v>
      </c>
    </row>
    <row r="87" spans="1:10" x14ac:dyDescent="0.35">
      <c r="A87" s="1">
        <v>2085</v>
      </c>
      <c r="B87" s="1" t="s">
        <v>43</v>
      </c>
      <c r="C87" s="1" t="s">
        <v>184</v>
      </c>
      <c r="D87" s="1" t="s">
        <v>44</v>
      </c>
      <c r="E87" s="1" t="s">
        <v>60</v>
      </c>
      <c r="F87" s="1" t="s">
        <v>159</v>
      </c>
      <c r="G87" s="1" t="s">
        <v>8</v>
      </c>
      <c r="H87" s="1">
        <v>0</v>
      </c>
      <c r="I87" s="1" t="str">
        <f t="shared" si="3"/>
        <v>2085,'BACHILLERATO','TRONCO COMÚN','B 111','LEYVA LEON ERICK','TALLER DE CIENCIAS I','MASCULINO',0</v>
      </c>
      <c r="J87" t="str">
        <f t="shared" si="2"/>
        <v>INSERT INTO profesores (id,nivel,carrera,grupo,nombre,materia,sexo,sello) VALUES (2085,'BACHILLERATO','TRONCO COMÚN','B 111','LEYVA LEON ERICK','TALLER DE CIENCIAS I','MASCULINO',0);</v>
      </c>
    </row>
    <row r="88" spans="1:10" x14ac:dyDescent="0.35">
      <c r="A88" s="1">
        <v>2086</v>
      </c>
      <c r="B88" s="1" t="s">
        <v>43</v>
      </c>
      <c r="C88" s="1" t="s">
        <v>184</v>
      </c>
      <c r="D88" s="1" t="s">
        <v>52</v>
      </c>
      <c r="E88" s="1" t="s">
        <v>60</v>
      </c>
      <c r="F88" s="1" t="s">
        <v>159</v>
      </c>
      <c r="G88" s="1" t="s">
        <v>8</v>
      </c>
      <c r="H88" s="1">
        <v>0</v>
      </c>
      <c r="I88" s="1" t="str">
        <f t="shared" si="3"/>
        <v>2086,'BACHILLERATO','TRONCO COMÚN','B 112','LEYVA LEON ERICK','TALLER DE CIENCIAS I','MASCULINO',0</v>
      </c>
      <c r="J88" t="str">
        <f t="shared" si="2"/>
        <v>INSERT INTO profesores (id,nivel,carrera,grupo,nombre,materia,sexo,sello) VALUES (2086,'BACHILLERATO','TRONCO COMÚN','B 112','LEYVA LEON ERICK','TALLER DE CIENCIAS I','MASCULINO',0);</v>
      </c>
    </row>
    <row r="89" spans="1:10" x14ac:dyDescent="0.35">
      <c r="A89" s="1">
        <v>2087</v>
      </c>
      <c r="B89" s="1" t="s">
        <v>43</v>
      </c>
      <c r="C89" s="1" t="s">
        <v>184</v>
      </c>
      <c r="D89" s="1" t="s">
        <v>56</v>
      </c>
      <c r="E89" s="1" t="s">
        <v>60</v>
      </c>
      <c r="F89" s="1" t="s">
        <v>159</v>
      </c>
      <c r="G89" s="1" t="s">
        <v>8</v>
      </c>
      <c r="H89" s="1">
        <v>0</v>
      </c>
      <c r="I89" s="1" t="str">
        <f t="shared" si="3"/>
        <v>2087,'BACHILLERATO','TRONCO COMÚN','B 113','LEYVA LEON ERICK','TALLER DE CIENCIAS I','MASCULINO',0</v>
      </c>
      <c r="J89" t="str">
        <f t="shared" si="2"/>
        <v>INSERT INTO profesores (id,nivel,carrera,grupo,nombre,materia,sexo,sello) VALUES (2087,'BACHILLERATO','TRONCO COMÚN','B 113','LEYVA LEON ERICK','TALLER DE CIENCIAS I','MASCULINO',0);</v>
      </c>
    </row>
    <row r="90" spans="1:10" x14ac:dyDescent="0.35">
      <c r="A90" s="1">
        <v>2088</v>
      </c>
      <c r="B90" s="1" t="s">
        <v>43</v>
      </c>
      <c r="C90" s="1" t="s">
        <v>184</v>
      </c>
      <c r="D90" s="1" t="s">
        <v>57</v>
      </c>
      <c r="E90" s="1" t="s">
        <v>60</v>
      </c>
      <c r="F90" s="1" t="s">
        <v>159</v>
      </c>
      <c r="G90" s="1" t="s">
        <v>8</v>
      </c>
      <c r="H90" s="1">
        <v>0</v>
      </c>
      <c r="I90" s="1" t="str">
        <f t="shared" si="3"/>
        <v>2088,'BACHILLERATO','TRONCO COMÚN','B 114','LEYVA LEON ERICK','TALLER DE CIENCIAS I','MASCULINO',0</v>
      </c>
      <c r="J90" t="str">
        <f t="shared" si="2"/>
        <v>INSERT INTO profesores (id,nivel,carrera,grupo,nombre,materia,sexo,sello) VALUES (2088,'BACHILLERATO','TRONCO COMÚN','B 114','LEYVA LEON ERICK','TALLER DE CIENCIAS I','MASCULINO',0);</v>
      </c>
    </row>
    <row r="91" spans="1:10" x14ac:dyDescent="0.35">
      <c r="A91" s="1">
        <v>2089</v>
      </c>
      <c r="B91" s="1" t="s">
        <v>43</v>
      </c>
      <c r="C91" s="1" t="s">
        <v>1448</v>
      </c>
      <c r="D91" s="1" t="s">
        <v>72</v>
      </c>
      <c r="E91" s="1" t="s">
        <v>49</v>
      </c>
      <c r="F91" s="1" t="s">
        <v>134</v>
      </c>
      <c r="G91" s="1" t="s">
        <v>8</v>
      </c>
      <c r="H91" s="1">
        <v>0</v>
      </c>
      <c r="I91" s="1" t="str">
        <f t="shared" si="3"/>
        <v>2089,'BACHILLERATO','TRONCO COMÚNA','B 225','LOPEZ ORTEGA SALVADOR','TALLER DE FORMACIÓN HUMANA Y CRISTIANA II','MASCULINO',0</v>
      </c>
      <c r="J91" t="str">
        <f t="shared" si="2"/>
        <v>INSERT INTO profesores (id,nivel,carrera,grupo,nombre,materia,sexo,sello) VALUES (2089,'BACHILLERATO','TRONCO COMÚNA','B 225','LOPEZ ORTEGA SALVADOR','TALLER DE FORMACIÓN HUMANA Y CRISTIANA II','MASCULINO',0);</v>
      </c>
    </row>
    <row r="92" spans="1:10" x14ac:dyDescent="0.35">
      <c r="A92" s="1">
        <v>2090</v>
      </c>
      <c r="B92" s="1" t="s">
        <v>43</v>
      </c>
      <c r="C92" s="1" t="s">
        <v>184</v>
      </c>
      <c r="D92" s="1" t="s">
        <v>44</v>
      </c>
      <c r="E92" s="1" t="s">
        <v>49</v>
      </c>
      <c r="F92" s="1" t="s">
        <v>160</v>
      </c>
      <c r="G92" s="1" t="s">
        <v>8</v>
      </c>
      <c r="H92" s="1">
        <v>0</v>
      </c>
      <c r="I92" s="1" t="str">
        <f t="shared" si="3"/>
        <v>2090,'BACHILLERATO','TRONCO COMÚN','B 111','LOPEZ ORTEGA SALVADOR','PENSAMIENTO MATEMÁTICO II','MASCULINO',0</v>
      </c>
      <c r="J92" t="str">
        <f t="shared" si="2"/>
        <v>INSERT INTO profesores (id,nivel,carrera,grupo,nombre,materia,sexo,sello) VALUES (2090,'BACHILLERATO','TRONCO COMÚN','B 111','LOPEZ ORTEGA SALVADOR','PENSAMIENTO MATEMÁTICO II','MASCULINO',0);</v>
      </c>
    </row>
    <row r="93" spans="1:10" x14ac:dyDescent="0.35">
      <c r="A93" s="1">
        <v>2091</v>
      </c>
      <c r="B93" s="1" t="s">
        <v>43</v>
      </c>
      <c r="C93" s="1" t="s">
        <v>184</v>
      </c>
      <c r="D93" s="1" t="s">
        <v>52</v>
      </c>
      <c r="E93" s="1" t="s">
        <v>49</v>
      </c>
      <c r="F93" s="1" t="s">
        <v>160</v>
      </c>
      <c r="G93" s="1" t="s">
        <v>8</v>
      </c>
      <c r="H93" s="1">
        <v>0</v>
      </c>
      <c r="I93" s="1" t="str">
        <f t="shared" si="3"/>
        <v>2091,'BACHILLERATO','TRONCO COMÚN','B 112','LOPEZ ORTEGA SALVADOR','PENSAMIENTO MATEMÁTICO II','MASCULINO',0</v>
      </c>
      <c r="J93" t="str">
        <f t="shared" si="2"/>
        <v>INSERT INTO profesores (id,nivel,carrera,grupo,nombre,materia,sexo,sello) VALUES (2091,'BACHILLERATO','TRONCO COMÚN','B 112','LOPEZ ORTEGA SALVADOR','PENSAMIENTO MATEMÁTICO II','MASCULINO',0);</v>
      </c>
    </row>
    <row r="94" spans="1:10" x14ac:dyDescent="0.35">
      <c r="A94" s="1">
        <v>2092</v>
      </c>
      <c r="B94" s="1" t="s">
        <v>43</v>
      </c>
      <c r="C94" s="1" t="s">
        <v>184</v>
      </c>
      <c r="D94" s="1" t="s">
        <v>56</v>
      </c>
      <c r="E94" s="1" t="s">
        <v>49</v>
      </c>
      <c r="F94" s="1" t="s">
        <v>160</v>
      </c>
      <c r="G94" s="1" t="s">
        <v>8</v>
      </c>
      <c r="H94" s="1">
        <v>0</v>
      </c>
      <c r="I94" s="1" t="str">
        <f t="shared" si="3"/>
        <v>2092,'BACHILLERATO','TRONCO COMÚN','B 113','LOPEZ ORTEGA SALVADOR','PENSAMIENTO MATEMÁTICO II','MASCULINO',0</v>
      </c>
      <c r="J94" t="str">
        <f t="shared" si="2"/>
        <v>INSERT INTO profesores (id,nivel,carrera,grupo,nombre,materia,sexo,sello) VALUES (2092,'BACHILLERATO','TRONCO COMÚN','B 113','LOPEZ ORTEGA SALVADOR','PENSAMIENTO MATEMÁTICO II','MASCULINO',0);</v>
      </c>
    </row>
    <row r="95" spans="1:10" x14ac:dyDescent="0.35">
      <c r="A95" s="1">
        <v>2093</v>
      </c>
      <c r="B95" s="1" t="s">
        <v>43</v>
      </c>
      <c r="C95" s="1" t="s">
        <v>184</v>
      </c>
      <c r="D95" s="1" t="s">
        <v>57</v>
      </c>
      <c r="E95" s="1" t="s">
        <v>49</v>
      </c>
      <c r="F95" s="1" t="s">
        <v>160</v>
      </c>
      <c r="G95" s="1" t="s">
        <v>8</v>
      </c>
      <c r="H95" s="1">
        <v>0</v>
      </c>
      <c r="I95" s="1" t="str">
        <f t="shared" si="3"/>
        <v>2093,'BACHILLERATO','TRONCO COMÚN','B 114','LOPEZ ORTEGA SALVADOR','PENSAMIENTO MATEMÁTICO II','MASCULINO',0</v>
      </c>
      <c r="J95" t="str">
        <f t="shared" si="2"/>
        <v>INSERT INTO profesores (id,nivel,carrera,grupo,nombre,materia,sexo,sello) VALUES (2093,'BACHILLERATO','TRONCO COMÚN','B 114','LOPEZ ORTEGA SALVADOR','PENSAMIENTO MATEMÁTICO II','MASCULINO',0);</v>
      </c>
    </row>
    <row r="96" spans="1:10" x14ac:dyDescent="0.35">
      <c r="A96" s="1">
        <v>2094</v>
      </c>
      <c r="B96" s="1" t="s">
        <v>43</v>
      </c>
      <c r="C96" s="1" t="s">
        <v>184</v>
      </c>
      <c r="D96" s="1" t="s">
        <v>149</v>
      </c>
      <c r="E96" s="1" t="s">
        <v>97</v>
      </c>
      <c r="F96" s="1" t="s">
        <v>146</v>
      </c>
      <c r="G96" s="1" t="s">
        <v>30</v>
      </c>
      <c r="H96" s="1">
        <v>0</v>
      </c>
      <c r="I96" s="1" t="str">
        <f t="shared" si="3"/>
        <v>2094,'BACHILLERATO','TRONCO COMÚN','B6° 3B-II2','MERCADO BRIZUELA TERESA ISABEL','LENGUA ADICIONAL AL ESPAÑOL VI','FEMENINO',0</v>
      </c>
      <c r="J96" t="str">
        <f t="shared" si="2"/>
        <v>INSERT INTO profesores (id,nivel,carrera,grupo,nombre,materia,sexo,sello) VALUES (2094,'BACHILLERATO','TRONCO COMÚN','B6° 3B-II2','MERCADO BRIZUELA TERESA ISABEL','LENGUA ADICIONAL AL ESPAÑOL VI','FEMENINO',0);</v>
      </c>
    </row>
    <row r="97" spans="1:10" x14ac:dyDescent="0.35">
      <c r="A97" s="1">
        <v>2095</v>
      </c>
      <c r="B97" s="1" t="s">
        <v>43</v>
      </c>
      <c r="C97" s="1" t="s">
        <v>184</v>
      </c>
      <c r="D97" s="1" t="s">
        <v>69</v>
      </c>
      <c r="E97" s="1" t="s">
        <v>65</v>
      </c>
      <c r="F97" s="1" t="s">
        <v>136</v>
      </c>
      <c r="G97" s="1" t="s">
        <v>30</v>
      </c>
      <c r="H97" s="1">
        <v>0</v>
      </c>
      <c r="I97" s="1" t="str">
        <f t="shared" si="3"/>
        <v>2095,'BACHILLERATO','TRONCO COMÚN','B 223','PONCE LEMUS YAZMIN','MATEMÁTICAS IV','FEMENINO',0</v>
      </c>
      <c r="J97" t="str">
        <f t="shared" si="2"/>
        <v>INSERT INTO profesores (id,nivel,carrera,grupo,nombre,materia,sexo,sello) VALUES (2095,'BACHILLERATO','TRONCO COMÚN','B 223','PONCE LEMUS YAZMIN','MATEMÁTICAS IV','FEMENINO',0);</v>
      </c>
    </row>
    <row r="98" spans="1:10" x14ac:dyDescent="0.35">
      <c r="A98" s="1">
        <v>2096</v>
      </c>
      <c r="B98" s="1" t="s">
        <v>43</v>
      </c>
      <c r="C98" s="1" t="s">
        <v>1448</v>
      </c>
      <c r="D98" s="1" t="s">
        <v>62</v>
      </c>
      <c r="E98" s="1" t="s">
        <v>65</v>
      </c>
      <c r="F98" s="1" t="s">
        <v>136</v>
      </c>
      <c r="G98" s="1" t="s">
        <v>30</v>
      </c>
      <c r="H98" s="1">
        <v>0</v>
      </c>
      <c r="I98" s="1" t="str">
        <f t="shared" si="3"/>
        <v>2096,'BACHILLERATO','TRONCO COMÚNA','B 221','PONCE LEMUS YAZMIN','MATEMÁTICAS IV','FEMENINO',0</v>
      </c>
      <c r="J98" t="str">
        <f t="shared" si="2"/>
        <v>INSERT INTO profesores (id,nivel,carrera,grupo,nombre,materia,sexo,sello) VALUES (2096,'BACHILLERATO','TRONCO COMÚNA','B 221','PONCE LEMUS YAZMIN','MATEMÁTICAS IV','FEMENINO',0);</v>
      </c>
    </row>
    <row r="99" spans="1:10" x14ac:dyDescent="0.35">
      <c r="A99" s="1">
        <v>2097</v>
      </c>
      <c r="B99" s="1" t="s">
        <v>43</v>
      </c>
      <c r="C99" s="1" t="s">
        <v>1448</v>
      </c>
      <c r="D99" s="1" t="s">
        <v>68</v>
      </c>
      <c r="E99" s="1" t="s">
        <v>65</v>
      </c>
      <c r="F99" s="1" t="s">
        <v>136</v>
      </c>
      <c r="G99" s="1" t="s">
        <v>30</v>
      </c>
      <c r="H99" s="1">
        <v>0</v>
      </c>
      <c r="I99" s="1" t="str">
        <f t="shared" si="3"/>
        <v>2097,'BACHILLERATO','TRONCO COMÚNA','B 222','PONCE LEMUS YAZMIN','MATEMÁTICAS IV','FEMENINO',0</v>
      </c>
      <c r="J99" t="str">
        <f t="shared" si="2"/>
        <v>INSERT INTO profesores (id,nivel,carrera,grupo,nombre,materia,sexo,sello) VALUES (2097,'BACHILLERATO','TRONCO COMÚNA','B 222','PONCE LEMUS YAZMIN','MATEMÁTICAS IV','FEMENINO',0);</v>
      </c>
    </row>
    <row r="100" spans="1:10" x14ac:dyDescent="0.35">
      <c r="A100" s="1">
        <v>2098</v>
      </c>
      <c r="B100" s="1" t="s">
        <v>43</v>
      </c>
      <c r="C100" s="1" t="s">
        <v>1448</v>
      </c>
      <c r="D100" s="1" t="s">
        <v>71</v>
      </c>
      <c r="E100" s="1" t="s">
        <v>65</v>
      </c>
      <c r="F100" s="1" t="s">
        <v>136</v>
      </c>
      <c r="G100" s="1" t="s">
        <v>30</v>
      </c>
      <c r="H100" s="1">
        <v>0</v>
      </c>
      <c r="I100" s="1" t="str">
        <f t="shared" si="3"/>
        <v>2098,'BACHILLERATO','TRONCO COMÚNA','B 224','PONCE LEMUS YAZMIN','MATEMÁTICAS IV','FEMENINO',0</v>
      </c>
      <c r="J100" t="str">
        <f t="shared" si="2"/>
        <v>INSERT INTO profesores (id,nivel,carrera,grupo,nombre,materia,sexo,sello) VALUES (2098,'BACHILLERATO','TRONCO COMÚNA','B 224','PONCE LEMUS YAZMIN','MATEMÁTICAS IV','FEMENINO',0);</v>
      </c>
    </row>
    <row r="101" spans="1:10" x14ac:dyDescent="0.35">
      <c r="A101" s="1">
        <v>2099</v>
      </c>
      <c r="B101" s="1" t="s">
        <v>43</v>
      </c>
      <c r="C101" s="1" t="s">
        <v>1448</v>
      </c>
      <c r="D101" s="1" t="s">
        <v>72</v>
      </c>
      <c r="E101" s="1" t="s">
        <v>65</v>
      </c>
      <c r="F101" s="1" t="s">
        <v>136</v>
      </c>
      <c r="G101" s="1" t="s">
        <v>30</v>
      </c>
      <c r="H101" s="1">
        <v>0</v>
      </c>
      <c r="I101" s="1" t="str">
        <f t="shared" si="3"/>
        <v>2099,'BACHILLERATO','TRONCO COMÚNA','B 225','PONCE LEMUS YAZMIN','MATEMÁTICAS IV','FEMENINO',0</v>
      </c>
      <c r="J101" t="str">
        <f t="shared" si="2"/>
        <v>INSERT INTO profesores (id,nivel,carrera,grupo,nombre,materia,sexo,sello) VALUES (2099,'BACHILLERATO','TRONCO COMÚNA','B 225','PONCE LEMUS YAZMIN','MATEMÁTICAS IV','FEMENINO',0);</v>
      </c>
    </row>
    <row r="102" spans="1:10" x14ac:dyDescent="0.35">
      <c r="A102" s="1">
        <v>2100</v>
      </c>
      <c r="B102" s="1" t="s">
        <v>43</v>
      </c>
      <c r="C102" s="1" t="s">
        <v>184</v>
      </c>
      <c r="D102" s="1" t="s">
        <v>83</v>
      </c>
      <c r="E102" s="1" t="s">
        <v>50</v>
      </c>
      <c r="F102" s="1" t="s">
        <v>143</v>
      </c>
      <c r="G102" s="1" t="s">
        <v>30</v>
      </c>
      <c r="H102" s="1">
        <v>0</v>
      </c>
      <c r="I102" s="1" t="str">
        <f t="shared" si="3"/>
        <v>2100,'BACHILLERATO','TRONCO COMÚN','B 331','QUIROZ QUINTERO LAURA','HISTORIA UNIVERSAL CONTEMPORÁNEA','FEMENINO',0</v>
      </c>
      <c r="J102" t="str">
        <f t="shared" si="2"/>
        <v>INSERT INTO profesores (id,nivel,carrera,grupo,nombre,materia,sexo,sello) VALUES (2100,'BACHILLERATO','TRONCO COMÚN','B 331','QUIROZ QUINTERO LAURA','HISTORIA UNIVERSAL CONTEMPORÁNEA','FEMENINO',0);</v>
      </c>
    </row>
    <row r="103" spans="1:10" x14ac:dyDescent="0.35">
      <c r="A103" s="1">
        <v>2101</v>
      </c>
      <c r="B103" s="1" t="s">
        <v>43</v>
      </c>
      <c r="C103" s="1" t="s">
        <v>184</v>
      </c>
      <c r="D103" s="1" t="s">
        <v>83</v>
      </c>
      <c r="E103" s="1" t="s">
        <v>50</v>
      </c>
      <c r="F103" s="1" t="s">
        <v>144</v>
      </c>
      <c r="G103" s="1" t="s">
        <v>30</v>
      </c>
      <c r="H103" s="1">
        <v>0</v>
      </c>
      <c r="I103" s="1" t="str">
        <f t="shared" si="3"/>
        <v>2101,'BACHILLERATO','TRONCO COMÚN','B 331','QUIROZ QUINTERO LAURA','SOCIOLOGÍA II','FEMENINO',0</v>
      </c>
      <c r="J103" t="str">
        <f t="shared" si="2"/>
        <v>INSERT INTO profesores (id,nivel,carrera,grupo,nombre,materia,sexo,sello) VALUES (2101,'BACHILLERATO','TRONCO COMÚN','B 331','QUIROZ QUINTERO LAURA','SOCIOLOGÍA II','FEMENINO',0);</v>
      </c>
    </row>
    <row r="104" spans="1:10" x14ac:dyDescent="0.35">
      <c r="A104" s="1">
        <v>2102</v>
      </c>
      <c r="B104" s="1" t="s">
        <v>43</v>
      </c>
      <c r="C104" s="1" t="s">
        <v>184</v>
      </c>
      <c r="D104" s="1" t="s">
        <v>87</v>
      </c>
      <c r="E104" s="1" t="s">
        <v>50</v>
      </c>
      <c r="F104" s="1" t="s">
        <v>143</v>
      </c>
      <c r="G104" s="1" t="s">
        <v>30</v>
      </c>
      <c r="H104" s="1">
        <v>0</v>
      </c>
      <c r="I104" s="1" t="str">
        <f t="shared" si="3"/>
        <v>2102,'BACHILLERATO','TRONCO COMÚN','B 332','QUIROZ QUINTERO LAURA','HISTORIA UNIVERSAL CONTEMPORÁNEA','FEMENINO',0</v>
      </c>
      <c r="J104" t="str">
        <f t="shared" si="2"/>
        <v>INSERT INTO profesores (id,nivel,carrera,grupo,nombre,materia,sexo,sello) VALUES (2102,'BACHILLERATO','TRONCO COMÚN','B 332','QUIROZ QUINTERO LAURA','HISTORIA UNIVERSAL CONTEMPORÁNEA','FEMENINO',0);</v>
      </c>
    </row>
    <row r="105" spans="1:10" x14ac:dyDescent="0.35">
      <c r="A105" s="1">
        <v>2103</v>
      </c>
      <c r="B105" s="1" t="s">
        <v>43</v>
      </c>
      <c r="C105" s="1" t="s">
        <v>184</v>
      </c>
      <c r="D105" s="1" t="s">
        <v>88</v>
      </c>
      <c r="E105" s="1" t="s">
        <v>50</v>
      </c>
      <c r="F105" s="1" t="s">
        <v>143</v>
      </c>
      <c r="G105" s="1" t="s">
        <v>30</v>
      </c>
      <c r="H105" s="1">
        <v>0</v>
      </c>
      <c r="I105" s="1" t="str">
        <f t="shared" si="3"/>
        <v>2103,'BACHILLERATO','TRONCO COMÚN','B 333','QUIROZ QUINTERO LAURA','HISTORIA UNIVERSAL CONTEMPORÁNEA','FEMENINO',0</v>
      </c>
      <c r="J105" t="str">
        <f t="shared" si="2"/>
        <v>INSERT INTO profesores (id,nivel,carrera,grupo,nombre,materia,sexo,sello) VALUES (2103,'BACHILLERATO','TRONCO COMÚN','B 333','QUIROZ QUINTERO LAURA','HISTORIA UNIVERSAL CONTEMPORÁNEA','FEMENINO',0);</v>
      </c>
    </row>
    <row r="106" spans="1:10" x14ac:dyDescent="0.35">
      <c r="A106" s="1">
        <v>2104</v>
      </c>
      <c r="B106" s="1" t="s">
        <v>43</v>
      </c>
      <c r="C106" s="1" t="s">
        <v>184</v>
      </c>
      <c r="D106" s="1" t="s">
        <v>165</v>
      </c>
      <c r="E106" s="1" t="s">
        <v>50</v>
      </c>
      <c r="F106" s="1" t="s">
        <v>143</v>
      </c>
      <c r="G106" s="1" t="s">
        <v>30</v>
      </c>
      <c r="H106" s="1">
        <v>0</v>
      </c>
      <c r="I106" s="1" t="str">
        <f t="shared" si="3"/>
        <v>2104,'BACHILLERATO','TRONCO COMÚN','B334','QUIROZ QUINTERO LAURA','HISTORIA UNIVERSAL CONTEMPORÁNEA','FEMENINO',0</v>
      </c>
      <c r="J106" t="str">
        <f t="shared" si="2"/>
        <v>INSERT INTO profesores (id,nivel,carrera,grupo,nombre,materia,sexo,sello) VALUES (2104,'BACHILLERATO','TRONCO COMÚN','B334','QUIROZ QUINTERO LAURA','HISTORIA UNIVERSAL CONTEMPORÁNEA','FEMENINO',0);</v>
      </c>
    </row>
    <row r="107" spans="1:10" x14ac:dyDescent="0.35">
      <c r="A107" s="1">
        <v>2105</v>
      </c>
      <c r="B107" s="1" t="s">
        <v>43</v>
      </c>
      <c r="C107" s="1" t="s">
        <v>184</v>
      </c>
      <c r="D107" s="1" t="s">
        <v>166</v>
      </c>
      <c r="E107" s="1" t="s">
        <v>50</v>
      </c>
      <c r="F107" s="1" t="s">
        <v>143</v>
      </c>
      <c r="G107" s="1" t="s">
        <v>30</v>
      </c>
      <c r="H107" s="1">
        <v>0</v>
      </c>
      <c r="I107" s="1" t="str">
        <f t="shared" si="3"/>
        <v>2105,'BACHILLERATO','TRONCO COMÚN','B335','QUIROZ QUINTERO LAURA','HISTORIA UNIVERSAL CONTEMPORÁNEA','FEMENINO',0</v>
      </c>
      <c r="J107" t="str">
        <f t="shared" si="2"/>
        <v>INSERT INTO profesores (id,nivel,carrera,grupo,nombre,materia,sexo,sello) VALUES (2105,'BACHILLERATO','TRONCO COMÚN','B335','QUIROZ QUINTERO LAURA','HISTORIA UNIVERSAL CONTEMPORÁNEA','FEMENINO',0);</v>
      </c>
    </row>
    <row r="108" spans="1:10" x14ac:dyDescent="0.35">
      <c r="A108" s="1">
        <v>2106</v>
      </c>
      <c r="B108" s="1" t="s">
        <v>43</v>
      </c>
      <c r="C108" s="1" t="s">
        <v>1448</v>
      </c>
      <c r="D108" s="1" t="s">
        <v>62</v>
      </c>
      <c r="E108" s="1" t="s">
        <v>50</v>
      </c>
      <c r="F108" s="1" t="s">
        <v>137</v>
      </c>
      <c r="G108" s="1" t="s">
        <v>30</v>
      </c>
      <c r="H108" s="1">
        <v>0</v>
      </c>
      <c r="I108" s="1" t="str">
        <f t="shared" si="3"/>
        <v>2106,'BACHILLERATO','TRONCO COMÚNA','B 221','QUIROZ QUINTERO LAURA','HISTORIA DE MÉXICO II.','FEMENINO',0</v>
      </c>
      <c r="J108" t="str">
        <f t="shared" si="2"/>
        <v>INSERT INTO profesores (id,nivel,carrera,grupo,nombre,materia,sexo,sello) VALUES (2106,'BACHILLERATO','TRONCO COMÚNA','B 221','QUIROZ QUINTERO LAURA','HISTORIA DE MÉXICO II.','FEMENINO',0);</v>
      </c>
    </row>
    <row r="109" spans="1:10" x14ac:dyDescent="0.35">
      <c r="A109" s="1">
        <v>2107</v>
      </c>
      <c r="B109" s="1" t="s">
        <v>43</v>
      </c>
      <c r="C109" s="1" t="s">
        <v>1448</v>
      </c>
      <c r="D109" s="1" t="s">
        <v>68</v>
      </c>
      <c r="E109" s="1" t="s">
        <v>50</v>
      </c>
      <c r="F109" s="1" t="s">
        <v>137</v>
      </c>
      <c r="G109" s="1" t="s">
        <v>30</v>
      </c>
      <c r="H109" s="1">
        <v>0</v>
      </c>
      <c r="I109" s="1" t="str">
        <f t="shared" si="3"/>
        <v>2107,'BACHILLERATO','TRONCO COMÚNA','B 222','QUIROZ QUINTERO LAURA','HISTORIA DE MÉXICO II.','FEMENINO',0</v>
      </c>
      <c r="J109" t="str">
        <f t="shared" si="2"/>
        <v>INSERT INTO profesores (id,nivel,carrera,grupo,nombre,materia,sexo,sello) VALUES (2107,'BACHILLERATO','TRONCO COMÚNA','B 222','QUIROZ QUINTERO LAURA','HISTORIA DE MÉXICO II.','FEMENINO',0);</v>
      </c>
    </row>
    <row r="110" spans="1:10" x14ac:dyDescent="0.35">
      <c r="A110" s="1">
        <v>2108</v>
      </c>
      <c r="B110" s="1" t="s">
        <v>43</v>
      </c>
      <c r="C110" s="1" t="s">
        <v>184</v>
      </c>
      <c r="D110" s="1" t="s">
        <v>44</v>
      </c>
      <c r="E110" s="1" t="s">
        <v>50</v>
      </c>
      <c r="F110" s="1" t="s">
        <v>161</v>
      </c>
      <c r="G110" s="1" t="s">
        <v>30</v>
      </c>
      <c r="H110" s="1">
        <v>0</v>
      </c>
      <c r="I110" s="1" t="str">
        <f t="shared" si="3"/>
        <v>2108,'BACHILLERATO','TRONCO COMÚN','B 111','QUIROZ QUINTERO LAURA','CIENCIAS SOCIALES II','FEMENINO',0</v>
      </c>
      <c r="J110" t="str">
        <f t="shared" si="2"/>
        <v>INSERT INTO profesores (id,nivel,carrera,grupo,nombre,materia,sexo,sello) VALUES (2108,'BACHILLERATO','TRONCO COMÚN','B 111','QUIROZ QUINTERO LAURA','CIENCIAS SOCIALES II','FEMENINO',0);</v>
      </c>
    </row>
    <row r="111" spans="1:10" x14ac:dyDescent="0.35">
      <c r="A111" s="1">
        <v>2109</v>
      </c>
      <c r="B111" s="1" t="s">
        <v>43</v>
      </c>
      <c r="C111" s="1" t="s">
        <v>184</v>
      </c>
      <c r="D111" s="1" t="s">
        <v>52</v>
      </c>
      <c r="E111" s="1" t="s">
        <v>50</v>
      </c>
      <c r="F111" s="1" t="s">
        <v>161</v>
      </c>
      <c r="G111" s="1" t="s">
        <v>30</v>
      </c>
      <c r="H111" s="1">
        <v>0</v>
      </c>
      <c r="I111" s="1" t="str">
        <f t="shared" si="3"/>
        <v>2109,'BACHILLERATO','TRONCO COMÚN','B 112','QUIROZ QUINTERO LAURA','CIENCIAS SOCIALES II','FEMENINO',0</v>
      </c>
      <c r="J111" t="str">
        <f t="shared" si="2"/>
        <v>INSERT INTO profesores (id,nivel,carrera,grupo,nombre,materia,sexo,sello) VALUES (2109,'BACHILLERATO','TRONCO COMÚN','B 112','QUIROZ QUINTERO LAURA','CIENCIAS SOCIALES II','FEMENINO',0);</v>
      </c>
    </row>
    <row r="112" spans="1:10" x14ac:dyDescent="0.35">
      <c r="A112" s="1">
        <v>2110</v>
      </c>
      <c r="B112" s="1" t="s">
        <v>43</v>
      </c>
      <c r="C112" s="1" t="s">
        <v>184</v>
      </c>
      <c r="D112" s="1" t="s">
        <v>56</v>
      </c>
      <c r="E112" s="1" t="s">
        <v>50</v>
      </c>
      <c r="F112" s="1" t="s">
        <v>161</v>
      </c>
      <c r="G112" s="1" t="s">
        <v>30</v>
      </c>
      <c r="H112" s="1">
        <v>0</v>
      </c>
      <c r="I112" s="1" t="str">
        <f t="shared" si="3"/>
        <v>2110,'BACHILLERATO','TRONCO COMÚN','B 113','QUIROZ QUINTERO LAURA','CIENCIAS SOCIALES II','FEMENINO',0</v>
      </c>
      <c r="J112" t="str">
        <f t="shared" si="2"/>
        <v>INSERT INTO profesores (id,nivel,carrera,grupo,nombre,materia,sexo,sello) VALUES (2110,'BACHILLERATO','TRONCO COMÚN','B 113','QUIROZ QUINTERO LAURA','CIENCIAS SOCIALES II','FEMENINO',0);</v>
      </c>
    </row>
    <row r="113" spans="1:10" x14ac:dyDescent="0.35">
      <c r="A113" s="1">
        <v>2111</v>
      </c>
      <c r="B113" s="1" t="s">
        <v>43</v>
      </c>
      <c r="C113" s="1" t="s">
        <v>184</v>
      </c>
      <c r="D113" s="1" t="s">
        <v>57</v>
      </c>
      <c r="E113" s="1" t="s">
        <v>50</v>
      </c>
      <c r="F113" s="1" t="s">
        <v>161</v>
      </c>
      <c r="G113" s="1" t="s">
        <v>30</v>
      </c>
      <c r="H113" s="1">
        <v>0</v>
      </c>
      <c r="I113" s="1" t="str">
        <f t="shared" si="3"/>
        <v>2111,'BACHILLERATO','TRONCO COMÚN','B 114','QUIROZ QUINTERO LAURA','CIENCIAS SOCIALES II','FEMENINO',0</v>
      </c>
      <c r="J113" t="str">
        <f t="shared" si="2"/>
        <v>INSERT INTO profesores (id,nivel,carrera,grupo,nombre,materia,sexo,sello) VALUES (2111,'BACHILLERATO','TRONCO COMÚN','B 114','QUIROZ QUINTERO LAURA','CIENCIAS SOCIALES II','FEMENINO',0);</v>
      </c>
    </row>
    <row r="114" spans="1:10" x14ac:dyDescent="0.35">
      <c r="A114" s="1">
        <v>2112</v>
      </c>
      <c r="B114" s="1" t="s">
        <v>43</v>
      </c>
      <c r="C114" s="1" t="s">
        <v>176</v>
      </c>
      <c r="D114" s="1" t="s">
        <v>80</v>
      </c>
      <c r="E114" s="1" t="s">
        <v>75</v>
      </c>
      <c r="F114" s="1" t="s">
        <v>109</v>
      </c>
      <c r="G114" s="1" t="s">
        <v>8</v>
      </c>
      <c r="H114" s="1">
        <v>0</v>
      </c>
      <c r="I114" s="1" t="str">
        <f t="shared" si="3"/>
        <v>2112,'BACHILLERATO','ADMINISTRACIÓN','B 32A','RAMIREZ ORTIZ LUIS ALFONSO','COMUNICACIÓN DE LA EMPRESA','MASCULINO',0</v>
      </c>
      <c r="J114" t="str">
        <f t="shared" si="2"/>
        <v>INSERT INTO profesores (id,nivel,carrera,grupo,nombre,materia,sexo,sello) VALUES (2112,'BACHILLERATO','ADMINISTRACIÓN','B 32A','RAMIREZ ORTIZ LUIS ALFONSO','COMUNICACIÓN DE LA EMPRESA','MASCULINO',0);</v>
      </c>
    </row>
    <row r="115" spans="1:10" x14ac:dyDescent="0.35">
      <c r="A115" s="1">
        <v>2113</v>
      </c>
      <c r="B115" s="1" t="s">
        <v>43</v>
      </c>
      <c r="C115" s="1" t="s">
        <v>176</v>
      </c>
      <c r="D115" s="1" t="s">
        <v>81</v>
      </c>
      <c r="E115" s="1" t="s">
        <v>75</v>
      </c>
      <c r="F115" s="1" t="s">
        <v>109</v>
      </c>
      <c r="G115" s="1" t="s">
        <v>8</v>
      </c>
      <c r="H115" s="1">
        <v>0</v>
      </c>
      <c r="I115" s="1" t="str">
        <f t="shared" si="3"/>
        <v>2113,'BACHILLERATO','ADMINISTRACIÓN','B 32B','RAMIREZ ORTIZ LUIS ALFONSO','COMUNICACIÓN DE LA EMPRESA','MASCULINO',0</v>
      </c>
      <c r="J115" t="str">
        <f t="shared" si="2"/>
        <v>INSERT INTO profesores (id,nivel,carrera,grupo,nombre,materia,sexo,sello) VALUES (2113,'BACHILLERATO','ADMINISTRACIÓN','B 32B','RAMIREZ ORTIZ LUIS ALFONSO','COMUNICACIÓN DE LA EMPRESA','MASCULINO',0);</v>
      </c>
    </row>
    <row r="116" spans="1:10" x14ac:dyDescent="0.35">
      <c r="A116" s="1">
        <v>2114</v>
      </c>
      <c r="B116" s="1" t="s">
        <v>43</v>
      </c>
      <c r="C116" s="1" t="s">
        <v>176</v>
      </c>
      <c r="D116" s="1" t="s">
        <v>96</v>
      </c>
      <c r="E116" s="1" t="s">
        <v>75</v>
      </c>
      <c r="F116" s="1" t="s">
        <v>111</v>
      </c>
      <c r="G116" s="1" t="s">
        <v>8</v>
      </c>
      <c r="H116" s="1">
        <v>0</v>
      </c>
      <c r="I116" s="1" t="str">
        <f t="shared" si="3"/>
        <v>2114,'BACHILLERATO','ADMINISTRACIÓN','B MATFIN B','RAMIREZ ORTIZ LUIS ALFONSO','MATEMÁTICAS FINANCIERAS II','MASCULINO',0</v>
      </c>
      <c r="J116" t="str">
        <f t="shared" si="2"/>
        <v>INSERT INTO profesores (id,nivel,carrera,grupo,nombre,materia,sexo,sello) VALUES (2114,'BACHILLERATO','ADMINISTRACIÓN','B MATFIN B','RAMIREZ ORTIZ LUIS ALFONSO','MATEMÁTICAS FINANCIERAS II','MASCULINO',0);</v>
      </c>
    </row>
    <row r="117" spans="1:10" x14ac:dyDescent="0.35">
      <c r="A117" s="1">
        <v>2115</v>
      </c>
      <c r="B117" s="1" t="s">
        <v>43</v>
      </c>
      <c r="C117" s="1" t="s">
        <v>180</v>
      </c>
      <c r="D117" s="1" t="s">
        <v>74</v>
      </c>
      <c r="E117" s="1" t="s">
        <v>75</v>
      </c>
      <c r="F117" s="1" t="s">
        <v>112</v>
      </c>
      <c r="G117" s="1" t="s">
        <v>8</v>
      </c>
      <c r="H117" s="1">
        <v>0</v>
      </c>
      <c r="I117" s="1" t="str">
        <f t="shared" si="3"/>
        <v>2115,'BACHILLERATO','ADMINISTRACIÓNA','B 22A','RAMIREZ ORTIZ LUIS ALFONSO','MERCADOTECNIA','MASCULINO',0</v>
      </c>
      <c r="J117" t="str">
        <f t="shared" si="2"/>
        <v>INSERT INTO profesores (id,nivel,carrera,grupo,nombre,materia,sexo,sello) VALUES (2115,'BACHILLERATO','ADMINISTRACIÓNA','B 22A','RAMIREZ ORTIZ LUIS ALFONSO','MERCADOTECNIA','MASCULINO',0);</v>
      </c>
    </row>
    <row r="118" spans="1:10" x14ac:dyDescent="0.35">
      <c r="A118" s="1">
        <v>2116</v>
      </c>
      <c r="B118" s="1" t="s">
        <v>43</v>
      </c>
      <c r="C118" s="1" t="s">
        <v>180</v>
      </c>
      <c r="D118" s="1" t="s">
        <v>77</v>
      </c>
      <c r="E118" s="1" t="s">
        <v>75</v>
      </c>
      <c r="F118" s="1" t="s">
        <v>112</v>
      </c>
      <c r="G118" s="1" t="s">
        <v>8</v>
      </c>
      <c r="H118" s="1">
        <v>0</v>
      </c>
      <c r="I118" s="1" t="str">
        <f t="shared" si="3"/>
        <v>2116,'BACHILLERATO','ADMINISTRACIÓNA','B 22B','RAMIREZ ORTIZ LUIS ALFONSO','MERCADOTECNIA','MASCULINO',0</v>
      </c>
      <c r="J118" t="str">
        <f t="shared" si="2"/>
        <v>INSERT INTO profesores (id,nivel,carrera,grupo,nombre,materia,sexo,sello) VALUES (2116,'BACHILLERATO','ADMINISTRACIÓNA','B 22B','RAMIREZ ORTIZ LUIS ALFONSO','MERCADOTECNIA','MASCULINO',0);</v>
      </c>
    </row>
    <row r="119" spans="1:10" x14ac:dyDescent="0.35">
      <c r="A119" s="1">
        <v>2117</v>
      </c>
      <c r="B119" s="1" t="s">
        <v>43</v>
      </c>
      <c r="C119" s="1" t="s">
        <v>176</v>
      </c>
      <c r="D119" s="1" t="s">
        <v>80</v>
      </c>
      <c r="E119" s="1" t="s">
        <v>76</v>
      </c>
      <c r="F119" s="1" t="s">
        <v>110</v>
      </c>
      <c r="G119" s="1" t="s">
        <v>30</v>
      </c>
      <c r="H119" s="1">
        <v>0</v>
      </c>
      <c r="I119" s="1" t="str">
        <f t="shared" si="3"/>
        <v>2117,'BACHILLERATO','ADMINISTRACIÓN','B 32A','RIOS CORONADO VERONICA','PROYECTO EMPRENDEDOR','FEMENINO',0</v>
      </c>
      <c r="J119" t="str">
        <f t="shared" si="2"/>
        <v>INSERT INTO profesores (id,nivel,carrera,grupo,nombre,materia,sexo,sello) VALUES (2117,'BACHILLERATO','ADMINISTRACIÓN','B 32A','RIOS CORONADO VERONICA','PROYECTO EMPRENDEDOR','FEMENINO',0);</v>
      </c>
    </row>
    <row r="120" spans="1:10" x14ac:dyDescent="0.35">
      <c r="A120" s="1">
        <v>2118</v>
      </c>
      <c r="B120" s="1" t="s">
        <v>43</v>
      </c>
      <c r="C120" s="1" t="s">
        <v>176</v>
      </c>
      <c r="D120" s="1" t="s">
        <v>81</v>
      </c>
      <c r="E120" s="1" t="s">
        <v>76</v>
      </c>
      <c r="F120" s="1" t="s">
        <v>110</v>
      </c>
      <c r="G120" s="1" t="s">
        <v>30</v>
      </c>
      <c r="H120" s="1">
        <v>0</v>
      </c>
      <c r="I120" s="1" t="str">
        <f t="shared" si="3"/>
        <v>2118,'BACHILLERATO','ADMINISTRACIÓN','B 32B','RIOS CORONADO VERONICA','PROYECTO EMPRENDEDOR','FEMENINO',0</v>
      </c>
      <c r="J120" t="str">
        <f t="shared" si="2"/>
        <v>INSERT INTO profesores (id,nivel,carrera,grupo,nombre,materia,sexo,sello) VALUES (2118,'BACHILLERATO','ADMINISTRACIÓN','B 32B','RIOS CORONADO VERONICA','PROYECTO EMPRENDEDOR','FEMENINO',0);</v>
      </c>
    </row>
    <row r="121" spans="1:10" x14ac:dyDescent="0.35">
      <c r="A121" s="1">
        <v>2119</v>
      </c>
      <c r="B121" s="1" t="s">
        <v>43</v>
      </c>
      <c r="C121" s="1" t="s">
        <v>176</v>
      </c>
      <c r="D121" s="1" t="s">
        <v>95</v>
      </c>
      <c r="E121" s="1" t="s">
        <v>76</v>
      </c>
      <c r="F121" s="1" t="s">
        <v>111</v>
      </c>
      <c r="G121" s="1" t="s">
        <v>30</v>
      </c>
      <c r="H121" s="1">
        <v>0</v>
      </c>
      <c r="I121" s="1" t="str">
        <f t="shared" si="3"/>
        <v>2119,'BACHILLERATO','ADMINISTRACIÓN','B MATFIN A','RIOS CORONADO VERONICA','MATEMÁTICAS FINANCIERAS II','FEMENINO',0</v>
      </c>
      <c r="J121" t="str">
        <f t="shared" si="2"/>
        <v>INSERT INTO profesores (id,nivel,carrera,grupo,nombre,materia,sexo,sello) VALUES (2119,'BACHILLERATO','ADMINISTRACIÓN','B MATFIN A','RIOS CORONADO VERONICA','MATEMÁTICAS FINANCIERAS II','FEMENINO',0);</v>
      </c>
    </row>
    <row r="122" spans="1:10" x14ac:dyDescent="0.35">
      <c r="A122" s="1">
        <v>2120</v>
      </c>
      <c r="B122" s="1" t="s">
        <v>43</v>
      </c>
      <c r="C122" s="1" t="s">
        <v>180</v>
      </c>
      <c r="D122" s="1" t="s">
        <v>74</v>
      </c>
      <c r="E122" s="1" t="s">
        <v>76</v>
      </c>
      <c r="F122" s="1" t="s">
        <v>113</v>
      </c>
      <c r="G122" s="1" t="s">
        <v>30</v>
      </c>
      <c r="H122" s="1">
        <v>0</v>
      </c>
      <c r="I122" s="1" t="str">
        <f t="shared" si="3"/>
        <v>2120,'BACHILLERATO','ADMINISTRACIÓNA','B 22A','RIOS CORONADO VERONICA','LEGALIDAD EMPRESARIAL','FEMENINO',0</v>
      </c>
      <c r="J122" t="str">
        <f t="shared" si="2"/>
        <v>INSERT INTO profesores (id,nivel,carrera,grupo,nombre,materia,sexo,sello) VALUES (2120,'BACHILLERATO','ADMINISTRACIÓNA','B 22A','RIOS CORONADO VERONICA','LEGALIDAD EMPRESARIAL','FEMENINO',0);</v>
      </c>
    </row>
    <row r="123" spans="1:10" x14ac:dyDescent="0.35">
      <c r="A123" s="1">
        <v>2121</v>
      </c>
      <c r="B123" s="1" t="s">
        <v>43</v>
      </c>
      <c r="C123" s="1" t="s">
        <v>180</v>
      </c>
      <c r="D123" s="1" t="s">
        <v>77</v>
      </c>
      <c r="E123" s="1" t="s">
        <v>76</v>
      </c>
      <c r="F123" s="1" t="s">
        <v>113</v>
      </c>
      <c r="G123" s="1" t="s">
        <v>30</v>
      </c>
      <c r="H123" s="1">
        <v>0</v>
      </c>
      <c r="I123" s="1" t="str">
        <f t="shared" si="3"/>
        <v>2121,'BACHILLERATO','ADMINISTRACIÓNA','B 22B','RIOS CORONADO VERONICA','LEGALIDAD EMPRESARIAL','FEMENINO',0</v>
      </c>
      <c r="J123" t="str">
        <f t="shared" si="2"/>
        <v>INSERT INTO profesores (id,nivel,carrera,grupo,nombre,materia,sexo,sello) VALUES (2121,'BACHILLERATO','ADMINISTRACIÓNA','B 22B','RIOS CORONADO VERONICA','LEGALIDAD EMPRESARIAL','FEMENINO',0);</v>
      </c>
    </row>
    <row r="124" spans="1:10" x14ac:dyDescent="0.35">
      <c r="A124" s="1">
        <v>2122</v>
      </c>
      <c r="B124" s="1" t="s">
        <v>43</v>
      </c>
      <c r="C124" s="1" t="s">
        <v>184</v>
      </c>
      <c r="D124" s="1" t="s">
        <v>165</v>
      </c>
      <c r="E124" s="1" t="s">
        <v>76</v>
      </c>
      <c r="F124" s="1" t="s">
        <v>141</v>
      </c>
      <c r="G124" s="1" t="s">
        <v>30</v>
      </c>
      <c r="H124" s="1">
        <v>0</v>
      </c>
      <c r="I124" s="1" t="str">
        <f t="shared" si="3"/>
        <v>2122,'BACHILLERATO','TRONCO COMÚN','B334','RIOS CORONADO VERONICA','TALLER DE INTEGRACIÓN SOCIAL II','FEMENINO',0</v>
      </c>
      <c r="J124" t="str">
        <f t="shared" si="2"/>
        <v>INSERT INTO profesores (id,nivel,carrera,grupo,nombre,materia,sexo,sello) VALUES (2122,'BACHILLERATO','TRONCO COMÚN','B334','RIOS CORONADO VERONICA','TALLER DE INTEGRACIÓN SOCIAL II','FEMENINO',0);</v>
      </c>
    </row>
    <row r="125" spans="1:10" x14ac:dyDescent="0.35">
      <c r="A125" s="1">
        <v>2123</v>
      </c>
      <c r="B125" s="1" t="s">
        <v>43</v>
      </c>
      <c r="C125" s="1" t="s">
        <v>184</v>
      </c>
      <c r="D125" s="1" t="s">
        <v>147</v>
      </c>
      <c r="E125" s="1" t="s">
        <v>58</v>
      </c>
      <c r="F125" s="1" t="s">
        <v>146</v>
      </c>
      <c r="G125" s="1" t="s">
        <v>30</v>
      </c>
      <c r="H125" s="1">
        <v>0</v>
      </c>
      <c r="I125" s="1" t="str">
        <f t="shared" si="3"/>
        <v>2123,'BACHILLERATO','TRONCO COMÚN','B6° 3A-II1','RODRIGUEZ CADENA SANDRA LUZ','LENGUA ADICIONAL AL ESPAÑOL VI','FEMENINO',0</v>
      </c>
      <c r="J125" t="str">
        <f t="shared" si="2"/>
        <v>INSERT INTO profesores (id,nivel,carrera,grupo,nombre,materia,sexo,sello) VALUES (2123,'BACHILLERATO','TRONCO COMÚN','B6° 3A-II1','RODRIGUEZ CADENA SANDRA LUZ','LENGUA ADICIONAL AL ESPAÑOL VI','FEMENINO',0);</v>
      </c>
    </row>
    <row r="126" spans="1:10" x14ac:dyDescent="0.35">
      <c r="A126" s="1">
        <v>2124</v>
      </c>
      <c r="B126" s="1" t="s">
        <v>43</v>
      </c>
      <c r="C126" s="1" t="s">
        <v>184</v>
      </c>
      <c r="D126" s="1" t="s">
        <v>148</v>
      </c>
      <c r="E126" s="1" t="s">
        <v>58</v>
      </c>
      <c r="F126" s="1" t="s">
        <v>146</v>
      </c>
      <c r="G126" s="1" t="s">
        <v>30</v>
      </c>
      <c r="H126" s="1">
        <v>0</v>
      </c>
      <c r="I126" s="1" t="str">
        <f t="shared" si="3"/>
        <v>2124,'BACHILLERATO','TRONCO COMÚN','B6° 3A-II2','RODRIGUEZ CADENA SANDRA LUZ','LENGUA ADICIONAL AL ESPAÑOL VI','FEMENINO',0</v>
      </c>
      <c r="J126" t="str">
        <f t="shared" si="2"/>
        <v>INSERT INTO profesores (id,nivel,carrera,grupo,nombre,materia,sexo,sello) VALUES (2124,'BACHILLERATO','TRONCO COMÚN','B6° 3A-II2','RODRIGUEZ CADENA SANDRA LUZ','LENGUA ADICIONAL AL ESPAÑOL VI','FEMENINO',0);</v>
      </c>
    </row>
    <row r="127" spans="1:10" x14ac:dyDescent="0.35">
      <c r="A127" s="1">
        <v>2125</v>
      </c>
      <c r="B127" s="1" t="s">
        <v>43</v>
      </c>
      <c r="C127" s="1" t="s">
        <v>1448</v>
      </c>
      <c r="D127" s="1" t="s">
        <v>167</v>
      </c>
      <c r="E127" s="1" t="s">
        <v>58</v>
      </c>
      <c r="F127" s="1" t="s">
        <v>153</v>
      </c>
      <c r="G127" s="1" t="s">
        <v>30</v>
      </c>
      <c r="H127" s="1">
        <v>0</v>
      </c>
      <c r="I127" s="1" t="str">
        <f t="shared" si="3"/>
        <v>2125,'BACHILLERATO','TRONCO COMÚNA','B4° 3A-II','RODRIGUEZ CADENA SANDRA LUZ','INGLÉS IV','FEMENINO',0</v>
      </c>
      <c r="J127" t="str">
        <f t="shared" si="2"/>
        <v>INSERT INTO profesores (id,nivel,carrera,grupo,nombre,materia,sexo,sello) VALUES (2125,'BACHILLERATO','TRONCO COMÚNA','B4° 3A-II','RODRIGUEZ CADENA SANDRA LUZ','INGLÉS IV','FEMENINO',0);</v>
      </c>
    </row>
    <row r="128" spans="1:10" x14ac:dyDescent="0.35">
      <c r="A128" s="1">
        <v>2126</v>
      </c>
      <c r="B128" s="1" t="s">
        <v>43</v>
      </c>
      <c r="C128" s="1" t="s">
        <v>184</v>
      </c>
      <c r="D128" s="1" t="s">
        <v>57</v>
      </c>
      <c r="E128" s="1" t="s">
        <v>58</v>
      </c>
      <c r="F128" s="1" t="s">
        <v>154</v>
      </c>
      <c r="G128" s="1" t="s">
        <v>30</v>
      </c>
      <c r="H128" s="1">
        <v>0</v>
      </c>
      <c r="I128" s="1" t="str">
        <f t="shared" si="3"/>
        <v>2126,'BACHILLERATO','TRONCO COMÚN','B 114','RODRIGUEZ CADENA SANDRA LUZ','FORMACIÓN SOCIOEMOCIONAL II','FEMENINO',0</v>
      </c>
      <c r="J128" t="str">
        <f t="shared" si="2"/>
        <v>INSERT INTO profesores (id,nivel,carrera,grupo,nombre,materia,sexo,sello) VALUES (2126,'BACHILLERATO','TRONCO COMÚN','B 114','RODRIGUEZ CADENA SANDRA LUZ','FORMACIÓN SOCIOEMOCIONAL II','FEMENINO',0);</v>
      </c>
    </row>
    <row r="129" spans="1:10" x14ac:dyDescent="0.35">
      <c r="A129" s="1">
        <v>2127</v>
      </c>
      <c r="B129" s="1" t="s">
        <v>43</v>
      </c>
      <c r="C129" s="1" t="s">
        <v>184</v>
      </c>
      <c r="D129" s="1" t="s">
        <v>171</v>
      </c>
      <c r="E129" s="1" t="s">
        <v>58</v>
      </c>
      <c r="F129" s="1" t="s">
        <v>162</v>
      </c>
      <c r="G129" s="1" t="s">
        <v>30</v>
      </c>
      <c r="H129" s="1">
        <v>0</v>
      </c>
      <c r="I129" s="1" t="str">
        <f t="shared" si="3"/>
        <v>2127,'BACHILLERATO','TRONCO COMÚN','B2° 3A-II','RODRIGUEZ CADENA SANDRA LUZ','INGLÉS II','FEMENINO',0</v>
      </c>
      <c r="J129" t="str">
        <f t="shared" si="2"/>
        <v>INSERT INTO profesores (id,nivel,carrera,grupo,nombre,materia,sexo,sello) VALUES (2127,'BACHILLERATO','TRONCO COMÚN','B2° 3A-II','RODRIGUEZ CADENA SANDRA LUZ','INGLÉS II','FEMENINO',0);</v>
      </c>
    </row>
    <row r="130" spans="1:10" x14ac:dyDescent="0.35">
      <c r="A130" s="1">
        <v>2128</v>
      </c>
      <c r="B130" s="1" t="s">
        <v>43</v>
      </c>
      <c r="C130" s="1" t="s">
        <v>184</v>
      </c>
      <c r="D130" s="1" t="s">
        <v>83</v>
      </c>
      <c r="E130" s="1" t="s">
        <v>86</v>
      </c>
      <c r="F130" s="1" t="s">
        <v>145</v>
      </c>
      <c r="G130" s="1" t="s">
        <v>8</v>
      </c>
      <c r="H130" s="1">
        <v>0</v>
      </c>
      <c r="I130" s="1" t="str">
        <f t="shared" si="3"/>
        <v>2128,'BACHILLERATO','TRONCO COMÚN','B 331','RUANOVA LABRA FERNANDO','PSICOLOGÍA II','MASCULINO',0</v>
      </c>
      <c r="J130" t="str">
        <f t="shared" ref="J130:J148" si="4">CONCATENATE($I$1,I130,");")</f>
        <v>INSERT INTO profesores (id,nivel,carrera,grupo,nombre,materia,sexo,sello) VALUES (2128,'BACHILLERATO','TRONCO COMÚN','B 331','RUANOVA LABRA FERNANDO','PSICOLOGÍA II','MASCULINO',0);</v>
      </c>
    </row>
    <row r="131" spans="1:10" x14ac:dyDescent="0.35">
      <c r="A131" s="1">
        <v>2129</v>
      </c>
      <c r="B131" s="1" t="s">
        <v>43</v>
      </c>
      <c r="C131" s="1" t="s">
        <v>184</v>
      </c>
      <c r="D131" s="1" t="s">
        <v>87</v>
      </c>
      <c r="E131" s="1" t="s">
        <v>86</v>
      </c>
      <c r="F131" s="1" t="s">
        <v>145</v>
      </c>
      <c r="G131" s="1" t="s">
        <v>8</v>
      </c>
      <c r="H131" s="1">
        <v>0</v>
      </c>
      <c r="I131" s="1" t="str">
        <f t="shared" ref="I131:I148" si="5">CONCATENATE(A131,",'",B131,"','",C131,"','",D131,"','",E131,"','",F131,"','",G131,"',",H131)</f>
        <v>2129,'BACHILLERATO','TRONCO COMÚN','B 332','RUANOVA LABRA FERNANDO','PSICOLOGÍA II','MASCULINO',0</v>
      </c>
      <c r="J131" t="str">
        <f t="shared" si="4"/>
        <v>INSERT INTO profesores (id,nivel,carrera,grupo,nombre,materia,sexo,sello) VALUES (2129,'BACHILLERATO','TRONCO COMÚN','B 332','RUANOVA LABRA FERNANDO','PSICOLOGÍA II','MASCULINO',0);</v>
      </c>
    </row>
    <row r="132" spans="1:10" x14ac:dyDescent="0.35">
      <c r="A132" s="1">
        <v>2130</v>
      </c>
      <c r="B132" s="1" t="s">
        <v>43</v>
      </c>
      <c r="C132" s="1" t="s">
        <v>184</v>
      </c>
      <c r="D132" s="1" t="s">
        <v>88</v>
      </c>
      <c r="E132" s="1" t="s">
        <v>86</v>
      </c>
      <c r="F132" s="1" t="s">
        <v>145</v>
      </c>
      <c r="G132" s="1" t="s">
        <v>8</v>
      </c>
      <c r="H132" s="1">
        <v>0</v>
      </c>
      <c r="I132" s="1" t="str">
        <f t="shared" si="5"/>
        <v>2130,'BACHILLERATO','TRONCO COMÚN','B 333','RUANOVA LABRA FERNANDO','PSICOLOGÍA II','MASCULINO',0</v>
      </c>
      <c r="J132" t="str">
        <f t="shared" si="4"/>
        <v>INSERT INTO profesores (id,nivel,carrera,grupo,nombre,materia,sexo,sello) VALUES (2130,'BACHILLERATO','TRONCO COMÚN','B 333','RUANOVA LABRA FERNANDO','PSICOLOGÍA II','MASCULINO',0);</v>
      </c>
    </row>
    <row r="133" spans="1:10" x14ac:dyDescent="0.35">
      <c r="A133" s="1">
        <v>2131</v>
      </c>
      <c r="B133" s="1" t="s">
        <v>43</v>
      </c>
      <c r="C133" s="1" t="s">
        <v>184</v>
      </c>
      <c r="D133" s="1" t="s">
        <v>165</v>
      </c>
      <c r="E133" s="1" t="s">
        <v>86</v>
      </c>
      <c r="F133" s="1" t="s">
        <v>145</v>
      </c>
      <c r="G133" s="1" t="s">
        <v>8</v>
      </c>
      <c r="H133" s="1">
        <v>0</v>
      </c>
      <c r="I133" s="1" t="str">
        <f t="shared" si="5"/>
        <v>2131,'BACHILLERATO','TRONCO COMÚN','B334','RUANOVA LABRA FERNANDO','PSICOLOGÍA II','MASCULINO',0</v>
      </c>
      <c r="J133" t="str">
        <f t="shared" si="4"/>
        <v>INSERT INTO profesores (id,nivel,carrera,grupo,nombre,materia,sexo,sello) VALUES (2131,'BACHILLERATO','TRONCO COMÚN','B334','RUANOVA LABRA FERNANDO','PSICOLOGÍA II','MASCULINO',0);</v>
      </c>
    </row>
    <row r="134" spans="1:10" x14ac:dyDescent="0.35">
      <c r="A134" s="1">
        <v>2132</v>
      </c>
      <c r="B134" s="1" t="s">
        <v>43</v>
      </c>
      <c r="C134" s="1" t="s">
        <v>184</v>
      </c>
      <c r="D134" s="1" t="s">
        <v>166</v>
      </c>
      <c r="E134" s="1" t="s">
        <v>86</v>
      </c>
      <c r="F134" s="1" t="s">
        <v>145</v>
      </c>
      <c r="G134" s="1" t="s">
        <v>8</v>
      </c>
      <c r="H134" s="1">
        <v>0</v>
      </c>
      <c r="I134" s="1" t="str">
        <f t="shared" si="5"/>
        <v>2132,'BACHILLERATO','TRONCO COMÚN','B335','RUANOVA LABRA FERNANDO','PSICOLOGÍA II','MASCULINO',0</v>
      </c>
      <c r="J134" t="str">
        <f t="shared" si="4"/>
        <v>INSERT INTO profesores (id,nivel,carrera,grupo,nombre,materia,sexo,sello) VALUES (2132,'BACHILLERATO','TRONCO COMÚN','B335','RUANOVA LABRA FERNANDO','PSICOLOGÍA II','MASCULINO',0);</v>
      </c>
    </row>
    <row r="135" spans="1:10" x14ac:dyDescent="0.35">
      <c r="A135" s="1">
        <v>2133</v>
      </c>
      <c r="B135" s="1" t="s">
        <v>43</v>
      </c>
      <c r="C135" s="1" t="s">
        <v>179</v>
      </c>
      <c r="D135" s="1" t="s">
        <v>91</v>
      </c>
      <c r="E135" s="1" t="s">
        <v>51</v>
      </c>
      <c r="F135" s="1" t="s">
        <v>114</v>
      </c>
      <c r="G135" s="1" t="s">
        <v>30</v>
      </c>
      <c r="H135" s="1">
        <v>0</v>
      </c>
      <c r="I135" s="1" t="str">
        <f t="shared" si="5"/>
        <v>2133,'BACHILLERATO','COMUNICACIÓN','B 34','SANCHEZ DIAZ DURAN VERONICA AVRIL','COMUNICACIÓN ORGANIZACIONAL','FEMENINO',0</v>
      </c>
      <c r="J135" t="str">
        <f t="shared" si="4"/>
        <v>INSERT INTO profesores (id,nivel,carrera,grupo,nombre,materia,sexo,sello) VALUES (2133,'BACHILLERATO','COMUNICACIÓN','B 34','SANCHEZ DIAZ DURAN VERONICA AVRIL','COMUNICACIÓN ORGANIZACIONAL','FEMENINO',0);</v>
      </c>
    </row>
    <row r="136" spans="1:10" x14ac:dyDescent="0.35">
      <c r="A136" s="1">
        <v>2134</v>
      </c>
      <c r="B136" s="1" t="s">
        <v>43</v>
      </c>
      <c r="C136" s="1" t="s">
        <v>179</v>
      </c>
      <c r="D136" s="1" t="s">
        <v>91</v>
      </c>
      <c r="E136" s="1" t="s">
        <v>51</v>
      </c>
      <c r="F136" s="1" t="s">
        <v>115</v>
      </c>
      <c r="G136" s="1" t="s">
        <v>30</v>
      </c>
      <c r="H136" s="1">
        <v>0</v>
      </c>
      <c r="I136" s="1" t="str">
        <f t="shared" si="5"/>
        <v>2134,'BACHILLERATO','COMUNICACIÓN','B 34','SANCHEZ DIAZ DURAN VERONICA AVRIL','PRODUCCIÓN AUDIOVISUAL','FEMENINO',0</v>
      </c>
      <c r="J136" t="str">
        <f t="shared" si="4"/>
        <v>INSERT INTO profesores (id,nivel,carrera,grupo,nombre,materia,sexo,sello) VALUES (2134,'BACHILLERATO','COMUNICACIÓN','B 34','SANCHEZ DIAZ DURAN VERONICA AVRIL','PRODUCCIÓN AUDIOVISUAL','FEMENINO',0);</v>
      </c>
    </row>
    <row r="137" spans="1:10" x14ac:dyDescent="0.35">
      <c r="A137" s="1">
        <v>2135</v>
      </c>
      <c r="B137" s="1" t="s">
        <v>43</v>
      </c>
      <c r="C137" s="1" t="s">
        <v>184</v>
      </c>
      <c r="D137" s="1" t="s">
        <v>83</v>
      </c>
      <c r="E137" s="1" t="s">
        <v>51</v>
      </c>
      <c r="F137" s="1" t="s">
        <v>146</v>
      </c>
      <c r="G137" s="1" t="s">
        <v>30</v>
      </c>
      <c r="H137" s="1">
        <v>0</v>
      </c>
      <c r="I137" s="1" t="str">
        <f t="shared" si="5"/>
        <v>2135,'BACHILLERATO','TRONCO COMÚN','B 331','SANCHEZ DIAZ DURAN VERONICA AVRIL','LENGUA ADICIONAL AL ESPAÑOL VI','FEMENINO',0</v>
      </c>
      <c r="J137" t="str">
        <f t="shared" si="4"/>
        <v>INSERT INTO profesores (id,nivel,carrera,grupo,nombre,materia,sexo,sello) VALUES (2135,'BACHILLERATO','TRONCO COMÚN','B 331','SANCHEZ DIAZ DURAN VERONICA AVRIL','LENGUA ADICIONAL AL ESPAÑOL VI','FEMENINO',0);</v>
      </c>
    </row>
    <row r="138" spans="1:10" x14ac:dyDescent="0.35">
      <c r="A138" s="1">
        <v>2136</v>
      </c>
      <c r="B138" s="1" t="s">
        <v>43</v>
      </c>
      <c r="C138" s="1" t="s">
        <v>1448</v>
      </c>
      <c r="D138" s="1" t="s">
        <v>62</v>
      </c>
      <c r="E138" s="1" t="s">
        <v>51</v>
      </c>
      <c r="F138" s="1" t="s">
        <v>153</v>
      </c>
      <c r="G138" s="1" t="s">
        <v>30</v>
      </c>
      <c r="H138" s="1">
        <v>0</v>
      </c>
      <c r="I138" s="1" t="str">
        <f t="shared" si="5"/>
        <v>2136,'BACHILLERATO','TRONCO COMÚNA','B 221','SANCHEZ DIAZ DURAN VERONICA AVRIL','INGLÉS IV','FEMENINO',0</v>
      </c>
      <c r="J138" t="str">
        <f t="shared" si="4"/>
        <v>INSERT INTO profesores (id,nivel,carrera,grupo,nombre,materia,sexo,sello) VALUES (2136,'BACHILLERATO','TRONCO COMÚNA','B 221','SANCHEZ DIAZ DURAN VERONICA AVRIL','INGLÉS IV','FEMENINO',0);</v>
      </c>
    </row>
    <row r="139" spans="1:10" x14ac:dyDescent="0.35">
      <c r="A139" s="1">
        <v>2137</v>
      </c>
      <c r="B139" s="1" t="s">
        <v>43</v>
      </c>
      <c r="C139" s="1" t="s">
        <v>1448</v>
      </c>
      <c r="D139" s="1" t="s">
        <v>62</v>
      </c>
      <c r="E139" s="1" t="s">
        <v>51</v>
      </c>
      <c r="F139" s="1" t="s">
        <v>134</v>
      </c>
      <c r="G139" s="1" t="s">
        <v>30</v>
      </c>
      <c r="H139" s="1">
        <v>0</v>
      </c>
      <c r="I139" s="1" t="str">
        <f t="shared" si="5"/>
        <v>2137,'BACHILLERATO','TRONCO COMÚNA','B 221','SANCHEZ DIAZ DURAN VERONICA AVRIL','TALLER DE FORMACIÓN HUMANA Y CRISTIANA II','FEMENINO',0</v>
      </c>
      <c r="J139" t="str">
        <f t="shared" si="4"/>
        <v>INSERT INTO profesores (id,nivel,carrera,grupo,nombre,materia,sexo,sello) VALUES (2137,'BACHILLERATO','TRONCO COMÚNA','B 221','SANCHEZ DIAZ DURAN VERONICA AVRIL','TALLER DE FORMACIÓN HUMANA Y CRISTIANA II','FEMENINO',0);</v>
      </c>
    </row>
    <row r="140" spans="1:10" x14ac:dyDescent="0.35">
      <c r="A140" s="1">
        <v>2138</v>
      </c>
      <c r="B140" s="1" t="s">
        <v>43</v>
      </c>
      <c r="C140" s="1" t="s">
        <v>184</v>
      </c>
      <c r="D140" s="1" t="s">
        <v>44</v>
      </c>
      <c r="E140" s="1" t="s">
        <v>51</v>
      </c>
      <c r="F140" s="1" t="s">
        <v>162</v>
      </c>
      <c r="G140" s="1" t="s">
        <v>30</v>
      </c>
      <c r="H140" s="1">
        <v>0</v>
      </c>
      <c r="I140" s="1" t="str">
        <f t="shared" si="5"/>
        <v>2138,'BACHILLERATO','TRONCO COMÚN','B 111','SANCHEZ DIAZ DURAN VERONICA AVRIL','INGLÉS II','FEMENINO',0</v>
      </c>
      <c r="J140" t="str">
        <f t="shared" si="4"/>
        <v>INSERT INTO profesores (id,nivel,carrera,grupo,nombre,materia,sexo,sello) VALUES (2138,'BACHILLERATO','TRONCO COMÚN','B 111','SANCHEZ DIAZ DURAN VERONICA AVRIL','INGLÉS II','FEMENINO',0);</v>
      </c>
    </row>
    <row r="141" spans="1:10" x14ac:dyDescent="0.35">
      <c r="A141" s="1">
        <v>2139</v>
      </c>
      <c r="B141" s="1" t="s">
        <v>43</v>
      </c>
      <c r="C141" s="1" t="s">
        <v>184</v>
      </c>
      <c r="D141" s="1" t="s">
        <v>166</v>
      </c>
      <c r="E141" s="1" t="s">
        <v>66</v>
      </c>
      <c r="F141" s="1" t="s">
        <v>140</v>
      </c>
      <c r="G141" s="1" t="s">
        <v>8</v>
      </c>
      <c r="H141" s="1">
        <v>0</v>
      </c>
      <c r="I141" s="1" t="str">
        <f t="shared" si="5"/>
        <v>2139,'BACHILLERATO','TRONCO COMÚN','B335','SANTOS JIMENEZ FAUSTO VINICIO','FILOSOFÍA','MASCULINO',0</v>
      </c>
      <c r="J141" t="str">
        <f t="shared" si="4"/>
        <v>INSERT INTO profesores (id,nivel,carrera,grupo,nombre,materia,sexo,sello) VALUES (2139,'BACHILLERATO','TRONCO COMÚN','B335','SANTOS JIMENEZ FAUSTO VINICIO','FILOSOFÍA','MASCULINO',0);</v>
      </c>
    </row>
    <row r="142" spans="1:10" x14ac:dyDescent="0.35">
      <c r="A142" s="1">
        <v>2140</v>
      </c>
      <c r="B142" s="1" t="s">
        <v>43</v>
      </c>
      <c r="C142" s="1" t="s">
        <v>184</v>
      </c>
      <c r="D142" s="1" t="s">
        <v>166</v>
      </c>
      <c r="E142" s="1" t="s">
        <v>66</v>
      </c>
      <c r="F142" s="1" t="s">
        <v>141</v>
      </c>
      <c r="G142" s="1" t="s">
        <v>8</v>
      </c>
      <c r="H142" s="1">
        <v>0</v>
      </c>
      <c r="I142" s="1" t="str">
        <f t="shared" si="5"/>
        <v>2140,'BACHILLERATO','TRONCO COMÚN','B335','SANTOS JIMENEZ FAUSTO VINICIO','TALLER DE INTEGRACIÓN SOCIAL II','MASCULINO',0</v>
      </c>
      <c r="J142" t="str">
        <f t="shared" si="4"/>
        <v>INSERT INTO profesores (id,nivel,carrera,grupo,nombre,materia,sexo,sello) VALUES (2140,'BACHILLERATO','TRONCO COMÚN','B335','SANTOS JIMENEZ FAUSTO VINICIO','TALLER DE INTEGRACIÓN SOCIAL II','MASCULINO',0);</v>
      </c>
    </row>
    <row r="143" spans="1:10" x14ac:dyDescent="0.35">
      <c r="A143" s="1">
        <v>2141</v>
      </c>
      <c r="B143" s="1" t="s">
        <v>43</v>
      </c>
      <c r="C143" s="1" t="s">
        <v>1448</v>
      </c>
      <c r="D143" s="1" t="s">
        <v>62</v>
      </c>
      <c r="E143" s="1" t="s">
        <v>66</v>
      </c>
      <c r="F143" s="1" t="s">
        <v>131</v>
      </c>
      <c r="G143" s="1" t="s">
        <v>8</v>
      </c>
      <c r="H143" s="1">
        <v>0</v>
      </c>
      <c r="I143" s="1" t="str">
        <f t="shared" si="5"/>
        <v>2141,'BACHILLERATO','TRONCO COMÚNA','B 221','SANTOS JIMENEZ FAUSTO VINICIO','LITERATURA II','MASCULINO',0</v>
      </c>
      <c r="J143" t="str">
        <f t="shared" si="4"/>
        <v>INSERT INTO profesores (id,nivel,carrera,grupo,nombre,materia,sexo,sello) VALUES (2141,'BACHILLERATO','TRONCO COMÚNA','B 221','SANTOS JIMENEZ FAUSTO VINICIO','LITERATURA II','MASCULINO',0);</v>
      </c>
    </row>
    <row r="144" spans="1:10" x14ac:dyDescent="0.35">
      <c r="A144" s="1">
        <v>2142</v>
      </c>
      <c r="B144" s="1" t="s">
        <v>43</v>
      </c>
      <c r="C144" s="1" t="s">
        <v>1448</v>
      </c>
      <c r="D144" s="1" t="s">
        <v>68</v>
      </c>
      <c r="E144" s="1" t="s">
        <v>66</v>
      </c>
      <c r="F144" s="1" t="s">
        <v>131</v>
      </c>
      <c r="G144" s="1" t="s">
        <v>8</v>
      </c>
      <c r="H144" s="1">
        <v>0</v>
      </c>
      <c r="I144" s="1" t="str">
        <f t="shared" si="5"/>
        <v>2142,'BACHILLERATO','TRONCO COMÚNA','B 222','SANTOS JIMENEZ FAUSTO VINICIO','LITERATURA II','MASCULINO',0</v>
      </c>
      <c r="J144" t="str">
        <f t="shared" si="4"/>
        <v>INSERT INTO profesores (id,nivel,carrera,grupo,nombre,materia,sexo,sello) VALUES (2142,'BACHILLERATO','TRONCO COMÚNA','B 222','SANTOS JIMENEZ FAUSTO VINICIO','LITERATURA II','MASCULINO',0);</v>
      </c>
    </row>
    <row r="145" spans="1:10" x14ac:dyDescent="0.35">
      <c r="A145" s="1">
        <v>2143</v>
      </c>
      <c r="B145" s="1" t="s">
        <v>43</v>
      </c>
      <c r="C145" s="1" t="s">
        <v>184</v>
      </c>
      <c r="D145" s="1" t="s">
        <v>69</v>
      </c>
      <c r="E145" s="1" t="s">
        <v>67</v>
      </c>
      <c r="F145" s="1" t="s">
        <v>137</v>
      </c>
      <c r="G145" s="1" t="s">
        <v>8</v>
      </c>
      <c r="H145" s="1">
        <v>0</v>
      </c>
      <c r="I145" s="1" t="str">
        <f t="shared" si="5"/>
        <v>2143,'BACHILLERATO','TRONCO COMÚN','B 223','VAZQUEZ GONZALEZ JOSE VALENTIN','HISTORIA DE MÉXICO II.','MASCULINO',0</v>
      </c>
      <c r="J145" t="str">
        <f t="shared" si="4"/>
        <v>INSERT INTO profesores (id,nivel,carrera,grupo,nombre,materia,sexo,sello) VALUES (2143,'BACHILLERATO','TRONCO COMÚN','B 223','VAZQUEZ GONZALEZ JOSE VALENTIN','HISTORIA DE MÉXICO II.','MASCULINO',0);</v>
      </c>
    </row>
    <row r="146" spans="1:10" x14ac:dyDescent="0.35">
      <c r="A146" s="1">
        <v>2144</v>
      </c>
      <c r="B146" s="1" t="s">
        <v>43</v>
      </c>
      <c r="C146" s="1" t="s">
        <v>1448</v>
      </c>
      <c r="D146" s="1" t="s">
        <v>71</v>
      </c>
      <c r="E146" s="1" t="s">
        <v>67</v>
      </c>
      <c r="F146" s="1" t="s">
        <v>137</v>
      </c>
      <c r="G146" s="1" t="s">
        <v>8</v>
      </c>
      <c r="H146" s="1">
        <v>0</v>
      </c>
      <c r="I146" s="1" t="str">
        <f t="shared" si="5"/>
        <v>2144,'BACHILLERATO','TRONCO COMÚNA','B 224','VAZQUEZ GONZALEZ JOSE VALENTIN','HISTORIA DE MÉXICO II.','MASCULINO',0</v>
      </c>
      <c r="J146" t="str">
        <f t="shared" si="4"/>
        <v>INSERT INTO profesores (id,nivel,carrera,grupo,nombre,materia,sexo,sello) VALUES (2144,'BACHILLERATO','TRONCO COMÚNA','B 224','VAZQUEZ GONZALEZ JOSE VALENTIN','HISTORIA DE MÉXICO II.','MASCULINO',0);</v>
      </c>
    </row>
    <row r="147" spans="1:10" x14ac:dyDescent="0.35">
      <c r="A147" s="1">
        <v>2145</v>
      </c>
      <c r="B147" s="1" t="s">
        <v>43</v>
      </c>
      <c r="C147" s="1" t="s">
        <v>1448</v>
      </c>
      <c r="D147" s="1" t="s">
        <v>71</v>
      </c>
      <c r="E147" s="1" t="s">
        <v>67</v>
      </c>
      <c r="F147" s="1" t="s">
        <v>134</v>
      </c>
      <c r="G147" s="1" t="s">
        <v>8</v>
      </c>
      <c r="H147" s="1">
        <v>0</v>
      </c>
      <c r="I147" s="1" t="str">
        <f t="shared" si="5"/>
        <v>2145,'BACHILLERATO','TRONCO COMÚNA','B 224','VAZQUEZ GONZALEZ JOSE VALENTIN','TALLER DE FORMACIÓN HUMANA Y CRISTIANA II','MASCULINO',0</v>
      </c>
      <c r="J147" t="str">
        <f t="shared" si="4"/>
        <v>INSERT INTO profesores (id,nivel,carrera,grupo,nombre,materia,sexo,sello) VALUES (2145,'BACHILLERATO','TRONCO COMÚNA','B 224','VAZQUEZ GONZALEZ JOSE VALENTIN','TALLER DE FORMACIÓN HUMANA Y CRISTIANA II','MASCULINO',0);</v>
      </c>
    </row>
    <row r="148" spans="1:10" x14ac:dyDescent="0.35">
      <c r="A148" s="1">
        <v>2146</v>
      </c>
      <c r="B148" s="1" t="s">
        <v>43</v>
      </c>
      <c r="C148" s="1" t="s">
        <v>1448</v>
      </c>
      <c r="D148" s="1" t="s">
        <v>72</v>
      </c>
      <c r="E148" s="1" t="s">
        <v>67</v>
      </c>
      <c r="F148" s="1" t="s">
        <v>137</v>
      </c>
      <c r="G148" s="1" t="s">
        <v>8</v>
      </c>
      <c r="H148" s="1">
        <v>0</v>
      </c>
      <c r="I148" s="1" t="str">
        <f t="shared" si="5"/>
        <v>2146,'BACHILLERATO','TRONCO COMÚNA','B 225','VAZQUEZ GONZALEZ JOSE VALENTIN','HISTORIA DE MÉXICO II.','MASCULINO',0</v>
      </c>
      <c r="J148" t="str">
        <f t="shared" si="4"/>
        <v>INSERT INTO profesores (id,nivel,carrera,grupo,nombre,materia,sexo,sello) VALUES (2146,'BACHILLERATO','TRONCO COMÚNA','B 225','VAZQUEZ GONZALEZ JOSE VALENTIN','HISTORIA DE MÉXICO II.','MASCULINO',0);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462B-DDA3-4A11-8302-D2E34122D347}">
  <dimension ref="A1:E1135"/>
  <sheetViews>
    <sheetView topLeftCell="A1100" workbookViewId="0">
      <selection activeCell="E2" sqref="E2:E1135"/>
    </sheetView>
  </sheetViews>
  <sheetFormatPr baseColWidth="10" defaultRowHeight="14.5" x14ac:dyDescent="0.35"/>
  <cols>
    <col min="1" max="1" width="4.81640625" bestFit="1" customWidth="1"/>
    <col min="2" max="2" width="9" bestFit="1" customWidth="1"/>
    <col min="3" max="3" width="11.54296875" bestFit="1" customWidth="1"/>
  </cols>
  <sheetData>
    <row r="1" spans="1:5" x14ac:dyDescent="0.35">
      <c r="A1" t="s">
        <v>1446</v>
      </c>
      <c r="B1" s="2" t="s">
        <v>103</v>
      </c>
      <c r="C1" s="2" t="s">
        <v>107</v>
      </c>
      <c r="D1" s="8" t="s">
        <v>1447</v>
      </c>
    </row>
    <row r="2" spans="1:5" x14ac:dyDescent="0.35">
      <c r="A2">
        <v>3000</v>
      </c>
      <c r="B2" s="1" t="s">
        <v>583</v>
      </c>
      <c r="C2" s="1" t="s">
        <v>1402</v>
      </c>
      <c r="D2" t="str">
        <f>CONCATENATE(A2,",",B2,",",C2,"")</f>
        <v>3000,'007954','B 33'</v>
      </c>
      <c r="E2" t="str">
        <f t="shared" ref="E2:E65" si="0">CONCATENATE($D$1,D2,");")</f>
        <v>INSERT INTO grupos (id,matricula,grupo) values (3000,'007954','B 33');</v>
      </c>
    </row>
    <row r="3" spans="1:5" x14ac:dyDescent="0.35">
      <c r="A3">
        <v>3001</v>
      </c>
      <c r="B3" s="1" t="s">
        <v>583</v>
      </c>
      <c r="C3" s="1" t="s">
        <v>1403</v>
      </c>
      <c r="D3" t="str">
        <f t="shared" ref="D3:D66" si="1">CONCATENATE(A3,",",B3,",",C3,"")</f>
        <v>3001,'007954','B ESTADISC'</v>
      </c>
      <c r="E3" t="str">
        <f t="shared" si="0"/>
        <v>INSERT INTO grupos (id,matricula,grupo) values (3001,'007954','B ESTADISC');</v>
      </c>
    </row>
    <row r="4" spans="1:5" x14ac:dyDescent="0.35">
      <c r="A4">
        <v>3002</v>
      </c>
      <c r="B4" s="1" t="s">
        <v>583</v>
      </c>
      <c r="C4" s="1" t="s">
        <v>1404</v>
      </c>
      <c r="D4" t="str">
        <f t="shared" si="1"/>
        <v>3002,'007954','B334'</v>
      </c>
      <c r="E4" t="str">
        <f t="shared" si="0"/>
        <v>INSERT INTO grupos (id,matricula,grupo) values (3002,'007954','B334');</v>
      </c>
    </row>
    <row r="5" spans="1:5" x14ac:dyDescent="0.35">
      <c r="A5">
        <v>3003</v>
      </c>
      <c r="B5" s="1" t="s">
        <v>583</v>
      </c>
      <c r="C5" s="1" t="s">
        <v>1405</v>
      </c>
      <c r="D5" t="str">
        <f t="shared" si="1"/>
        <v>3003,'007954','B6° 4B-II2'</v>
      </c>
      <c r="E5" t="str">
        <f t="shared" si="0"/>
        <v>INSERT INTO grupos (id,matricula,grupo) values (3003,'007954','B6° 4B-II2');</v>
      </c>
    </row>
    <row r="6" spans="1:5" x14ac:dyDescent="0.35">
      <c r="A6">
        <v>3004</v>
      </c>
      <c r="B6" s="1" t="s">
        <v>584</v>
      </c>
      <c r="C6" s="1" t="s">
        <v>1406</v>
      </c>
      <c r="D6" t="str">
        <f t="shared" si="1"/>
        <v>3004,'007955','B 32A'</v>
      </c>
      <c r="E6" t="str">
        <f t="shared" si="0"/>
        <v>INSERT INTO grupos (id,matricula,grupo) values (3004,'007955','B 32A');</v>
      </c>
    </row>
    <row r="7" spans="1:5" x14ac:dyDescent="0.35">
      <c r="A7">
        <v>3005</v>
      </c>
      <c r="B7" s="1" t="s">
        <v>584</v>
      </c>
      <c r="C7" s="1" t="s">
        <v>1407</v>
      </c>
      <c r="D7" t="str">
        <f t="shared" si="1"/>
        <v>3005,'007955','B MATFIN A'</v>
      </c>
      <c r="E7" t="str">
        <f t="shared" si="0"/>
        <v>INSERT INTO grupos (id,matricula,grupo) values (3005,'007955','B MATFIN A');</v>
      </c>
    </row>
    <row r="8" spans="1:5" x14ac:dyDescent="0.35">
      <c r="A8">
        <v>3006</v>
      </c>
      <c r="B8" s="1" t="s">
        <v>584</v>
      </c>
      <c r="C8" s="1" t="s">
        <v>1404</v>
      </c>
      <c r="D8" t="str">
        <f t="shared" si="1"/>
        <v>3006,'007955','B334'</v>
      </c>
      <c r="E8" t="str">
        <f t="shared" si="0"/>
        <v>INSERT INTO grupos (id,matricula,grupo) values (3006,'007955','B334');</v>
      </c>
    </row>
    <row r="9" spans="1:5" x14ac:dyDescent="0.35">
      <c r="A9">
        <v>3007</v>
      </c>
      <c r="B9" s="1" t="s">
        <v>584</v>
      </c>
      <c r="C9" s="1" t="s">
        <v>1405</v>
      </c>
      <c r="D9" t="str">
        <f t="shared" si="1"/>
        <v>3007,'007955','B6° 4B-II2'</v>
      </c>
      <c r="E9" t="str">
        <f t="shared" si="0"/>
        <v>INSERT INTO grupos (id,matricula,grupo) values (3007,'007955','B6° 4B-II2');</v>
      </c>
    </row>
    <row r="10" spans="1:5" x14ac:dyDescent="0.35">
      <c r="A10">
        <v>3008</v>
      </c>
      <c r="B10" s="1" t="s">
        <v>585</v>
      </c>
      <c r="C10" s="1" t="s">
        <v>1402</v>
      </c>
      <c r="D10" t="str">
        <f t="shared" si="1"/>
        <v>3008,'007956','B 33'</v>
      </c>
      <c r="E10" t="str">
        <f t="shared" si="0"/>
        <v>INSERT INTO grupos (id,matricula,grupo) values (3008,'007956','B 33');</v>
      </c>
    </row>
    <row r="11" spans="1:5" x14ac:dyDescent="0.35">
      <c r="A11">
        <v>3009</v>
      </c>
      <c r="B11" s="1" t="s">
        <v>585</v>
      </c>
      <c r="C11" s="1" t="s">
        <v>1408</v>
      </c>
      <c r="D11" t="str">
        <f t="shared" si="1"/>
        <v>3009,'007956','B ESTADISB'</v>
      </c>
      <c r="E11" t="str">
        <f t="shared" si="0"/>
        <v>INSERT INTO grupos (id,matricula,grupo) values (3009,'007956','B ESTADISB');</v>
      </c>
    </row>
    <row r="12" spans="1:5" x14ac:dyDescent="0.35">
      <c r="A12">
        <v>3010</v>
      </c>
      <c r="B12" s="1" t="s">
        <v>585</v>
      </c>
      <c r="C12" s="1" t="s">
        <v>1409</v>
      </c>
      <c r="D12" t="str">
        <f t="shared" si="1"/>
        <v>3010,'007956','B335'</v>
      </c>
      <c r="E12" t="str">
        <f t="shared" si="0"/>
        <v>INSERT INTO grupos (id,matricula,grupo) values (3010,'007956','B335');</v>
      </c>
    </row>
    <row r="13" spans="1:5" x14ac:dyDescent="0.35">
      <c r="A13">
        <v>3011</v>
      </c>
      <c r="B13" s="1" t="s">
        <v>585</v>
      </c>
      <c r="C13" s="1" t="s">
        <v>1405</v>
      </c>
      <c r="D13" t="str">
        <f t="shared" si="1"/>
        <v>3011,'007956','B6° 4B-II2'</v>
      </c>
      <c r="E13" t="str">
        <f t="shared" si="0"/>
        <v>INSERT INTO grupos (id,matricula,grupo) values (3011,'007956','B6° 4B-II2');</v>
      </c>
    </row>
    <row r="14" spans="1:5" x14ac:dyDescent="0.35">
      <c r="A14">
        <v>3012</v>
      </c>
      <c r="B14" s="1" t="s">
        <v>586</v>
      </c>
      <c r="C14" s="1" t="s">
        <v>1410</v>
      </c>
      <c r="D14" t="str">
        <f t="shared" si="1"/>
        <v>3012,'007957','B 31A'</v>
      </c>
      <c r="E14" t="str">
        <f t="shared" si="0"/>
        <v>INSERT INTO grupos (id,matricula,grupo) values (3012,'007957','B 31A');</v>
      </c>
    </row>
    <row r="15" spans="1:5" x14ac:dyDescent="0.35">
      <c r="A15">
        <v>3013</v>
      </c>
      <c r="B15" s="1" t="s">
        <v>586</v>
      </c>
      <c r="C15" s="1" t="s">
        <v>1411</v>
      </c>
      <c r="D15" t="str">
        <f t="shared" si="1"/>
        <v>3013,'007957','B ESTADISA'</v>
      </c>
      <c r="E15" t="str">
        <f t="shared" si="0"/>
        <v>INSERT INTO grupos (id,matricula,grupo) values (3013,'007957','B ESTADISA');</v>
      </c>
    </row>
    <row r="16" spans="1:5" x14ac:dyDescent="0.35">
      <c r="A16">
        <v>3014</v>
      </c>
      <c r="B16" s="1" t="s">
        <v>586</v>
      </c>
      <c r="C16" s="1" t="s">
        <v>1409</v>
      </c>
      <c r="D16" t="str">
        <f t="shared" si="1"/>
        <v>3014,'007957','B335'</v>
      </c>
      <c r="E16" t="str">
        <f t="shared" si="0"/>
        <v>INSERT INTO grupos (id,matricula,grupo) values (3014,'007957','B335');</v>
      </c>
    </row>
    <row r="17" spans="1:5" x14ac:dyDescent="0.35">
      <c r="A17">
        <v>3015</v>
      </c>
      <c r="B17" s="1" t="s">
        <v>586</v>
      </c>
      <c r="C17" s="1" t="s">
        <v>1405</v>
      </c>
      <c r="D17" t="str">
        <f t="shared" si="1"/>
        <v>3015,'007957','B6° 4B-II2'</v>
      </c>
      <c r="E17" t="str">
        <f t="shared" si="0"/>
        <v>INSERT INTO grupos (id,matricula,grupo) values (3015,'007957','B6° 4B-II2');</v>
      </c>
    </row>
    <row r="18" spans="1:5" x14ac:dyDescent="0.35">
      <c r="A18">
        <v>3016</v>
      </c>
      <c r="B18" s="1" t="s">
        <v>587</v>
      </c>
      <c r="C18" s="1" t="s">
        <v>1406</v>
      </c>
      <c r="D18" t="str">
        <f t="shared" si="1"/>
        <v>3016,'007958','B 32A'</v>
      </c>
      <c r="E18" t="str">
        <f t="shared" si="0"/>
        <v>INSERT INTO grupos (id,matricula,grupo) values (3016,'007958','B 32A');</v>
      </c>
    </row>
    <row r="19" spans="1:5" x14ac:dyDescent="0.35">
      <c r="A19">
        <v>3017</v>
      </c>
      <c r="B19" s="1" t="s">
        <v>587</v>
      </c>
      <c r="C19" s="1" t="s">
        <v>1412</v>
      </c>
      <c r="D19" t="str">
        <f t="shared" si="1"/>
        <v>3017,'007958','B 333'</v>
      </c>
      <c r="E19" t="str">
        <f t="shared" si="0"/>
        <v>INSERT INTO grupos (id,matricula,grupo) values (3017,'007958','B 333');</v>
      </c>
    </row>
    <row r="20" spans="1:5" x14ac:dyDescent="0.35">
      <c r="A20">
        <v>3018</v>
      </c>
      <c r="B20" s="1" t="s">
        <v>587</v>
      </c>
      <c r="C20" s="1" t="s">
        <v>1407</v>
      </c>
      <c r="D20" t="str">
        <f t="shared" si="1"/>
        <v>3018,'007958','B MATFIN A'</v>
      </c>
      <c r="E20" t="str">
        <f t="shared" si="0"/>
        <v>INSERT INTO grupos (id,matricula,grupo) values (3018,'007958','B MATFIN A');</v>
      </c>
    </row>
    <row r="21" spans="1:5" x14ac:dyDescent="0.35">
      <c r="A21">
        <v>3019</v>
      </c>
      <c r="B21" s="1" t="s">
        <v>587</v>
      </c>
      <c r="C21" s="1" t="s">
        <v>1413</v>
      </c>
      <c r="D21" t="str">
        <f t="shared" si="1"/>
        <v>3019,'007958','B6° 4A-II1'</v>
      </c>
      <c r="E21" t="str">
        <f t="shared" si="0"/>
        <v>INSERT INTO grupos (id,matricula,grupo) values (3019,'007958','B6° 4A-II1');</v>
      </c>
    </row>
    <row r="22" spans="1:5" x14ac:dyDescent="0.35">
      <c r="A22">
        <v>3020</v>
      </c>
      <c r="B22" s="1" t="s">
        <v>588</v>
      </c>
      <c r="C22" s="1" t="s">
        <v>1406</v>
      </c>
      <c r="D22" t="str">
        <f t="shared" si="1"/>
        <v>3020,'007959','B 32A'</v>
      </c>
      <c r="E22" t="str">
        <f t="shared" si="0"/>
        <v>INSERT INTO grupos (id,matricula,grupo) values (3020,'007959','B 32A');</v>
      </c>
    </row>
    <row r="23" spans="1:5" x14ac:dyDescent="0.35">
      <c r="A23">
        <v>3021</v>
      </c>
      <c r="B23" s="1" t="s">
        <v>588</v>
      </c>
      <c r="C23" s="1" t="s">
        <v>1407</v>
      </c>
      <c r="D23" t="str">
        <f t="shared" si="1"/>
        <v>3021,'007959','B MATFIN A'</v>
      </c>
      <c r="E23" t="str">
        <f t="shared" si="0"/>
        <v>INSERT INTO grupos (id,matricula,grupo) values (3021,'007959','B MATFIN A');</v>
      </c>
    </row>
    <row r="24" spans="1:5" x14ac:dyDescent="0.35">
      <c r="A24">
        <v>3022</v>
      </c>
      <c r="B24" s="1" t="s">
        <v>588</v>
      </c>
      <c r="C24" s="1" t="s">
        <v>1409</v>
      </c>
      <c r="D24" t="str">
        <f t="shared" si="1"/>
        <v>3022,'007959','B335'</v>
      </c>
      <c r="E24" t="str">
        <f t="shared" si="0"/>
        <v>INSERT INTO grupos (id,matricula,grupo) values (3022,'007959','B335');</v>
      </c>
    </row>
    <row r="25" spans="1:5" x14ac:dyDescent="0.35">
      <c r="A25">
        <v>3023</v>
      </c>
      <c r="B25" s="1" t="s">
        <v>588</v>
      </c>
      <c r="C25" s="1" t="s">
        <v>1405</v>
      </c>
      <c r="D25" t="str">
        <f t="shared" si="1"/>
        <v>3023,'007959','B6° 4B-II2'</v>
      </c>
      <c r="E25" t="str">
        <f t="shared" si="0"/>
        <v>INSERT INTO grupos (id,matricula,grupo) values (3023,'007959','B6° 4B-II2');</v>
      </c>
    </row>
    <row r="26" spans="1:5" x14ac:dyDescent="0.35">
      <c r="A26">
        <v>3024</v>
      </c>
      <c r="B26" s="1" t="s">
        <v>589</v>
      </c>
      <c r="C26" s="1" t="s">
        <v>1414</v>
      </c>
      <c r="D26" t="str">
        <f t="shared" si="1"/>
        <v>3024,'007960','B 32B'</v>
      </c>
      <c r="E26" t="str">
        <f t="shared" si="0"/>
        <v>INSERT INTO grupos (id,matricula,grupo) values (3024,'007960','B 32B');</v>
      </c>
    </row>
    <row r="27" spans="1:5" x14ac:dyDescent="0.35">
      <c r="A27">
        <v>3025</v>
      </c>
      <c r="B27" s="1" t="s">
        <v>589</v>
      </c>
      <c r="C27" s="1" t="s">
        <v>1415</v>
      </c>
      <c r="D27" t="str">
        <f t="shared" si="1"/>
        <v>3025,'007960','B MATFIN B'</v>
      </c>
      <c r="E27" t="str">
        <f t="shared" si="0"/>
        <v>INSERT INTO grupos (id,matricula,grupo) values (3025,'007960','B MATFIN B');</v>
      </c>
    </row>
    <row r="28" spans="1:5" x14ac:dyDescent="0.35">
      <c r="A28">
        <v>3026</v>
      </c>
      <c r="B28" s="1" t="s">
        <v>589</v>
      </c>
      <c r="C28" s="1" t="s">
        <v>1404</v>
      </c>
      <c r="D28" t="str">
        <f t="shared" si="1"/>
        <v>3026,'007960','B334'</v>
      </c>
      <c r="E28" t="str">
        <f t="shared" si="0"/>
        <v>INSERT INTO grupos (id,matricula,grupo) values (3026,'007960','B334');</v>
      </c>
    </row>
    <row r="29" spans="1:5" x14ac:dyDescent="0.35">
      <c r="A29">
        <v>3027</v>
      </c>
      <c r="B29" s="1" t="s">
        <v>589</v>
      </c>
      <c r="C29" s="1" t="s">
        <v>1405</v>
      </c>
      <c r="D29" t="str">
        <f t="shared" si="1"/>
        <v>3027,'007960','B6° 4B-II2'</v>
      </c>
      <c r="E29" t="str">
        <f t="shared" si="0"/>
        <v>INSERT INTO grupos (id,matricula,grupo) values (3027,'007960','B6° 4B-II2');</v>
      </c>
    </row>
    <row r="30" spans="1:5" x14ac:dyDescent="0.35">
      <c r="A30">
        <v>3028</v>
      </c>
      <c r="B30" s="1" t="s">
        <v>590</v>
      </c>
      <c r="C30" s="1" t="s">
        <v>1410</v>
      </c>
      <c r="D30" t="str">
        <f t="shared" si="1"/>
        <v>3028,'007961','B 31A'</v>
      </c>
      <c r="E30" t="str">
        <f t="shared" si="0"/>
        <v>INSERT INTO grupos (id,matricula,grupo) values (3028,'007961','B 31A');</v>
      </c>
    </row>
    <row r="31" spans="1:5" x14ac:dyDescent="0.35">
      <c r="A31">
        <v>3029</v>
      </c>
      <c r="B31" s="1" t="s">
        <v>590</v>
      </c>
      <c r="C31" s="1" t="s">
        <v>1408</v>
      </c>
      <c r="D31" t="str">
        <f t="shared" si="1"/>
        <v>3029,'007961','B ESTADISB'</v>
      </c>
      <c r="E31" t="str">
        <f t="shared" si="0"/>
        <v>INSERT INTO grupos (id,matricula,grupo) values (3029,'007961','B ESTADISB');</v>
      </c>
    </row>
    <row r="32" spans="1:5" x14ac:dyDescent="0.35">
      <c r="A32">
        <v>3030</v>
      </c>
      <c r="B32" s="1" t="s">
        <v>590</v>
      </c>
      <c r="C32" s="1" t="s">
        <v>1404</v>
      </c>
      <c r="D32" t="str">
        <f t="shared" si="1"/>
        <v>3030,'007961','B334'</v>
      </c>
      <c r="E32" t="str">
        <f t="shared" si="0"/>
        <v>INSERT INTO grupos (id,matricula,grupo) values (3030,'007961','B334');</v>
      </c>
    </row>
    <row r="33" spans="1:5" x14ac:dyDescent="0.35">
      <c r="A33">
        <v>3031</v>
      </c>
      <c r="B33" s="1" t="s">
        <v>590</v>
      </c>
      <c r="C33" s="1" t="s">
        <v>1416</v>
      </c>
      <c r="D33" t="str">
        <f t="shared" si="1"/>
        <v>3031,'007961','B6° 3B-II2'</v>
      </c>
      <c r="E33" t="str">
        <f t="shared" si="0"/>
        <v>INSERT INTO grupos (id,matricula,grupo) values (3031,'007961','B6° 3B-II2');</v>
      </c>
    </row>
    <row r="34" spans="1:5" x14ac:dyDescent="0.35">
      <c r="A34">
        <v>3032</v>
      </c>
      <c r="B34" s="1" t="s">
        <v>591</v>
      </c>
      <c r="C34" s="1" t="s">
        <v>1417</v>
      </c>
      <c r="D34" t="str">
        <f t="shared" si="1"/>
        <v>3032,'007962','B 331'</v>
      </c>
      <c r="E34" t="str">
        <f t="shared" si="0"/>
        <v>INSERT INTO grupos (id,matricula,grupo) values (3032,'007962','B 331');</v>
      </c>
    </row>
    <row r="35" spans="1:5" x14ac:dyDescent="0.35">
      <c r="A35">
        <v>3033</v>
      </c>
      <c r="B35" s="1" t="s">
        <v>591</v>
      </c>
      <c r="C35" s="1" t="s">
        <v>1418</v>
      </c>
      <c r="D35" t="str">
        <f t="shared" si="1"/>
        <v>3033,'007962','B 35'</v>
      </c>
      <c r="E35" t="str">
        <f t="shared" si="0"/>
        <v>INSERT INTO grupos (id,matricula,grupo) values (3033,'007962','B 35');</v>
      </c>
    </row>
    <row r="36" spans="1:5" x14ac:dyDescent="0.35">
      <c r="A36">
        <v>3034</v>
      </c>
      <c r="B36" s="1" t="s">
        <v>591</v>
      </c>
      <c r="C36" s="1" t="s">
        <v>1419</v>
      </c>
      <c r="D36" t="str">
        <f t="shared" si="1"/>
        <v>3034,'007962','B CALINTE'</v>
      </c>
      <c r="E36" t="str">
        <f t="shared" si="0"/>
        <v>INSERT INTO grupos (id,matricula,grupo) values (3034,'007962','B CALINTE');</v>
      </c>
    </row>
    <row r="37" spans="1:5" x14ac:dyDescent="0.35">
      <c r="A37">
        <v>3035</v>
      </c>
      <c r="B37" s="1" t="s">
        <v>592</v>
      </c>
      <c r="C37" s="1" t="s">
        <v>1406</v>
      </c>
      <c r="D37" t="str">
        <f t="shared" si="1"/>
        <v>3035,'007963','B 32A'</v>
      </c>
      <c r="E37" t="str">
        <f t="shared" si="0"/>
        <v>INSERT INTO grupos (id,matricula,grupo) values (3035,'007963','B 32A');</v>
      </c>
    </row>
    <row r="38" spans="1:5" x14ac:dyDescent="0.35">
      <c r="A38">
        <v>3036</v>
      </c>
      <c r="B38" s="1" t="s">
        <v>592</v>
      </c>
      <c r="C38" s="1" t="s">
        <v>1407</v>
      </c>
      <c r="D38" t="str">
        <f t="shared" si="1"/>
        <v>3036,'007963','B MATFIN A'</v>
      </c>
      <c r="E38" t="str">
        <f t="shared" si="0"/>
        <v>INSERT INTO grupos (id,matricula,grupo) values (3036,'007963','B MATFIN A');</v>
      </c>
    </row>
    <row r="39" spans="1:5" x14ac:dyDescent="0.35">
      <c r="A39">
        <v>3037</v>
      </c>
      <c r="B39" s="1" t="s">
        <v>592</v>
      </c>
      <c r="C39" s="1" t="s">
        <v>1409</v>
      </c>
      <c r="D39" t="str">
        <f t="shared" si="1"/>
        <v>3037,'007963','B335'</v>
      </c>
      <c r="E39" t="str">
        <f t="shared" si="0"/>
        <v>INSERT INTO grupos (id,matricula,grupo) values (3037,'007963','B335');</v>
      </c>
    </row>
    <row r="40" spans="1:5" x14ac:dyDescent="0.35">
      <c r="A40">
        <v>3038</v>
      </c>
      <c r="B40" s="1" t="s">
        <v>592</v>
      </c>
      <c r="C40" s="1" t="s">
        <v>1420</v>
      </c>
      <c r="D40" t="str">
        <f t="shared" si="1"/>
        <v>3038,'007963','B6° 3A-II2'</v>
      </c>
      <c r="E40" t="str">
        <f t="shared" si="0"/>
        <v>INSERT INTO grupos (id,matricula,grupo) values (3038,'007963','B6° 3A-II2');</v>
      </c>
    </row>
    <row r="41" spans="1:5" x14ac:dyDescent="0.35">
      <c r="A41">
        <v>3039</v>
      </c>
      <c r="B41" s="1" t="s">
        <v>593</v>
      </c>
      <c r="C41" s="1" t="s">
        <v>1406</v>
      </c>
      <c r="D41" t="str">
        <f t="shared" si="1"/>
        <v>3039,'007964','B 32A'</v>
      </c>
      <c r="E41" t="str">
        <f t="shared" si="0"/>
        <v>INSERT INTO grupos (id,matricula,grupo) values (3039,'007964','B 32A');</v>
      </c>
    </row>
    <row r="42" spans="1:5" x14ac:dyDescent="0.35">
      <c r="A42">
        <v>3040</v>
      </c>
      <c r="B42" s="1" t="s">
        <v>593</v>
      </c>
      <c r="C42" s="1" t="s">
        <v>1407</v>
      </c>
      <c r="D42" t="str">
        <f t="shared" si="1"/>
        <v>3040,'007964','B MATFIN A'</v>
      </c>
      <c r="E42" t="str">
        <f t="shared" si="0"/>
        <v>INSERT INTO grupos (id,matricula,grupo) values (3040,'007964','B MATFIN A');</v>
      </c>
    </row>
    <row r="43" spans="1:5" x14ac:dyDescent="0.35">
      <c r="A43">
        <v>3041</v>
      </c>
      <c r="B43" s="1" t="s">
        <v>593</v>
      </c>
      <c r="C43" s="1" t="s">
        <v>1409</v>
      </c>
      <c r="D43" t="str">
        <f t="shared" si="1"/>
        <v>3041,'007964','B335'</v>
      </c>
      <c r="E43" t="str">
        <f t="shared" si="0"/>
        <v>INSERT INTO grupos (id,matricula,grupo) values (3041,'007964','B335');</v>
      </c>
    </row>
    <row r="44" spans="1:5" x14ac:dyDescent="0.35">
      <c r="A44">
        <v>3042</v>
      </c>
      <c r="B44" s="1" t="s">
        <v>593</v>
      </c>
      <c r="C44" s="1" t="s">
        <v>1420</v>
      </c>
      <c r="D44" t="str">
        <f t="shared" si="1"/>
        <v>3042,'007964','B6° 3A-II2'</v>
      </c>
      <c r="E44" t="str">
        <f t="shared" si="0"/>
        <v>INSERT INTO grupos (id,matricula,grupo) values (3042,'007964','B6° 3A-II2');</v>
      </c>
    </row>
    <row r="45" spans="1:5" x14ac:dyDescent="0.35">
      <c r="A45">
        <v>3043</v>
      </c>
      <c r="B45" s="1" t="s">
        <v>594</v>
      </c>
      <c r="C45" s="1" t="s">
        <v>1402</v>
      </c>
      <c r="D45" t="str">
        <f t="shared" si="1"/>
        <v>3043,'007965','B 33'</v>
      </c>
      <c r="E45" t="str">
        <f t="shared" si="0"/>
        <v>INSERT INTO grupos (id,matricula,grupo) values (3043,'007965','B 33');</v>
      </c>
    </row>
    <row r="46" spans="1:5" x14ac:dyDescent="0.35">
      <c r="A46">
        <v>3044</v>
      </c>
      <c r="B46" s="1" t="s">
        <v>594</v>
      </c>
      <c r="C46" s="1" t="s">
        <v>1412</v>
      </c>
      <c r="D46" t="str">
        <f t="shared" si="1"/>
        <v>3044,'007965','B 333'</v>
      </c>
      <c r="E46" t="str">
        <f t="shared" si="0"/>
        <v>INSERT INTO grupos (id,matricula,grupo) values (3044,'007965','B 333');</v>
      </c>
    </row>
    <row r="47" spans="1:5" x14ac:dyDescent="0.35">
      <c r="A47">
        <v>3045</v>
      </c>
      <c r="B47" s="1" t="s">
        <v>594</v>
      </c>
      <c r="C47" s="1" t="s">
        <v>1411</v>
      </c>
      <c r="D47" t="str">
        <f t="shared" si="1"/>
        <v>3045,'007965','B ESTADISA'</v>
      </c>
      <c r="E47" t="str">
        <f t="shared" si="0"/>
        <v>INSERT INTO grupos (id,matricula,grupo) values (3045,'007965','B ESTADISA');</v>
      </c>
    </row>
    <row r="48" spans="1:5" x14ac:dyDescent="0.35">
      <c r="A48">
        <v>3046</v>
      </c>
      <c r="B48" s="1" t="s">
        <v>594</v>
      </c>
      <c r="C48" s="1" t="s">
        <v>1413</v>
      </c>
      <c r="D48" t="str">
        <f t="shared" si="1"/>
        <v>3046,'007965','B6° 4A-II1'</v>
      </c>
      <c r="E48" t="str">
        <f t="shared" si="0"/>
        <v>INSERT INTO grupos (id,matricula,grupo) values (3046,'007965','B6° 4A-II1');</v>
      </c>
    </row>
    <row r="49" spans="1:5" x14ac:dyDescent="0.35">
      <c r="A49">
        <v>3047</v>
      </c>
      <c r="B49" s="1" t="s">
        <v>595</v>
      </c>
      <c r="C49" s="1" t="s">
        <v>1406</v>
      </c>
      <c r="D49" t="str">
        <f t="shared" si="1"/>
        <v>3047,'007967','B 32A'</v>
      </c>
      <c r="E49" t="str">
        <f t="shared" si="0"/>
        <v>INSERT INTO grupos (id,matricula,grupo) values (3047,'007967','B 32A');</v>
      </c>
    </row>
    <row r="50" spans="1:5" x14ac:dyDescent="0.35">
      <c r="A50">
        <v>3048</v>
      </c>
      <c r="B50" s="1" t="s">
        <v>595</v>
      </c>
      <c r="C50" s="1" t="s">
        <v>1407</v>
      </c>
      <c r="D50" t="str">
        <f t="shared" si="1"/>
        <v>3048,'007967','B MATFIN A'</v>
      </c>
      <c r="E50" t="str">
        <f t="shared" si="0"/>
        <v>INSERT INTO grupos (id,matricula,grupo) values (3048,'007967','B MATFIN A');</v>
      </c>
    </row>
    <row r="51" spans="1:5" x14ac:dyDescent="0.35">
      <c r="A51">
        <v>3049</v>
      </c>
      <c r="B51" s="1" t="s">
        <v>595</v>
      </c>
      <c r="C51" s="1" t="s">
        <v>1404</v>
      </c>
      <c r="D51" t="str">
        <f t="shared" si="1"/>
        <v>3049,'007967','B334'</v>
      </c>
      <c r="E51" t="str">
        <f t="shared" si="0"/>
        <v>INSERT INTO grupos (id,matricula,grupo) values (3049,'007967','B334');</v>
      </c>
    </row>
    <row r="52" spans="1:5" x14ac:dyDescent="0.35">
      <c r="A52">
        <v>3050</v>
      </c>
      <c r="B52" s="1" t="s">
        <v>595</v>
      </c>
      <c r="C52" s="1" t="s">
        <v>1405</v>
      </c>
      <c r="D52" t="str">
        <f t="shared" si="1"/>
        <v>3050,'007967','B6° 4B-II2'</v>
      </c>
      <c r="E52" t="str">
        <f t="shared" si="0"/>
        <v>INSERT INTO grupos (id,matricula,grupo) values (3050,'007967','B6° 4B-II2');</v>
      </c>
    </row>
    <row r="53" spans="1:5" x14ac:dyDescent="0.35">
      <c r="A53">
        <v>3051</v>
      </c>
      <c r="B53" s="1" t="s">
        <v>596</v>
      </c>
      <c r="C53" s="1" t="s">
        <v>1406</v>
      </c>
      <c r="D53" t="str">
        <f t="shared" si="1"/>
        <v>3051,'007968','B 32A'</v>
      </c>
      <c r="E53" t="str">
        <f t="shared" si="0"/>
        <v>INSERT INTO grupos (id,matricula,grupo) values (3051,'007968','B 32A');</v>
      </c>
    </row>
    <row r="54" spans="1:5" x14ac:dyDescent="0.35">
      <c r="A54">
        <v>3052</v>
      </c>
      <c r="B54" s="1" t="s">
        <v>596</v>
      </c>
      <c r="C54" s="1" t="s">
        <v>1421</v>
      </c>
      <c r="D54" t="str">
        <f t="shared" si="1"/>
        <v>3052,'007968','B 332'</v>
      </c>
      <c r="E54" t="str">
        <f t="shared" si="0"/>
        <v>INSERT INTO grupos (id,matricula,grupo) values (3052,'007968','B 332');</v>
      </c>
    </row>
    <row r="55" spans="1:5" x14ac:dyDescent="0.35">
      <c r="A55">
        <v>3053</v>
      </c>
      <c r="B55" s="1" t="s">
        <v>596</v>
      </c>
      <c r="C55" s="1" t="s">
        <v>1407</v>
      </c>
      <c r="D55" t="str">
        <f t="shared" si="1"/>
        <v>3053,'007968','B MATFIN A'</v>
      </c>
      <c r="E55" t="str">
        <f t="shared" si="0"/>
        <v>INSERT INTO grupos (id,matricula,grupo) values (3053,'007968','B MATFIN A');</v>
      </c>
    </row>
    <row r="56" spans="1:5" x14ac:dyDescent="0.35">
      <c r="A56">
        <v>3054</v>
      </c>
      <c r="B56" s="1" t="s">
        <v>596</v>
      </c>
      <c r="C56" s="1" t="s">
        <v>1413</v>
      </c>
      <c r="D56" t="str">
        <f t="shared" si="1"/>
        <v>3054,'007968','B6° 4A-II1'</v>
      </c>
      <c r="E56" t="str">
        <f t="shared" si="0"/>
        <v>INSERT INTO grupos (id,matricula,grupo) values (3054,'007968','B6° 4A-II1');</v>
      </c>
    </row>
    <row r="57" spans="1:5" x14ac:dyDescent="0.35">
      <c r="A57">
        <v>3055</v>
      </c>
      <c r="B57" s="1" t="s">
        <v>597</v>
      </c>
      <c r="C57" s="1" t="s">
        <v>1402</v>
      </c>
      <c r="D57" t="str">
        <f t="shared" si="1"/>
        <v>3055,'007969','B 33'</v>
      </c>
      <c r="E57" t="str">
        <f t="shared" si="0"/>
        <v>INSERT INTO grupos (id,matricula,grupo) values (3055,'007969','B 33');</v>
      </c>
    </row>
    <row r="58" spans="1:5" x14ac:dyDescent="0.35">
      <c r="A58">
        <v>3056</v>
      </c>
      <c r="B58" s="1" t="s">
        <v>597</v>
      </c>
      <c r="C58" s="1" t="s">
        <v>1417</v>
      </c>
      <c r="D58" t="str">
        <f t="shared" si="1"/>
        <v>3056,'007969','B 331'</v>
      </c>
      <c r="E58" t="str">
        <f t="shared" si="0"/>
        <v>INSERT INTO grupos (id,matricula,grupo) values (3056,'007969','B 331');</v>
      </c>
    </row>
    <row r="59" spans="1:5" x14ac:dyDescent="0.35">
      <c r="A59">
        <v>3057</v>
      </c>
      <c r="B59" s="1" t="s">
        <v>597</v>
      </c>
      <c r="C59" s="1" t="s">
        <v>1411</v>
      </c>
      <c r="D59" t="str">
        <f t="shared" si="1"/>
        <v>3057,'007969','B ESTADISA'</v>
      </c>
      <c r="E59" t="str">
        <f t="shared" si="0"/>
        <v>INSERT INTO grupos (id,matricula,grupo) values (3057,'007969','B ESTADISA');</v>
      </c>
    </row>
    <row r="60" spans="1:5" x14ac:dyDescent="0.35">
      <c r="A60">
        <v>3058</v>
      </c>
      <c r="B60" s="1" t="s">
        <v>598</v>
      </c>
      <c r="C60" s="1" t="s">
        <v>1410</v>
      </c>
      <c r="D60" t="str">
        <f t="shared" si="1"/>
        <v>3058,'007970','B 31A'</v>
      </c>
      <c r="E60" t="str">
        <f t="shared" si="0"/>
        <v>INSERT INTO grupos (id,matricula,grupo) values (3058,'007970','B 31A');</v>
      </c>
    </row>
    <row r="61" spans="1:5" x14ac:dyDescent="0.35">
      <c r="A61">
        <v>3059</v>
      </c>
      <c r="B61" s="1" t="s">
        <v>598</v>
      </c>
      <c r="C61" s="1" t="s">
        <v>1411</v>
      </c>
      <c r="D61" t="str">
        <f t="shared" si="1"/>
        <v>3059,'007970','B ESTADISA'</v>
      </c>
      <c r="E61" t="str">
        <f t="shared" si="0"/>
        <v>INSERT INTO grupos (id,matricula,grupo) values (3059,'007970','B ESTADISA');</v>
      </c>
    </row>
    <row r="62" spans="1:5" x14ac:dyDescent="0.35">
      <c r="A62">
        <v>3060</v>
      </c>
      <c r="B62" s="1" t="s">
        <v>598</v>
      </c>
      <c r="C62" s="1" t="s">
        <v>1404</v>
      </c>
      <c r="D62" t="str">
        <f t="shared" si="1"/>
        <v>3060,'007970','B334'</v>
      </c>
      <c r="E62" t="str">
        <f t="shared" si="0"/>
        <v>INSERT INTO grupos (id,matricula,grupo) values (3060,'007970','B334');</v>
      </c>
    </row>
    <row r="63" spans="1:5" x14ac:dyDescent="0.35">
      <c r="A63">
        <v>3061</v>
      </c>
      <c r="B63" s="1" t="s">
        <v>598</v>
      </c>
      <c r="C63" s="1" t="s">
        <v>1420</v>
      </c>
      <c r="D63" t="str">
        <f t="shared" si="1"/>
        <v>3061,'007970','B6° 3A-II2'</v>
      </c>
      <c r="E63" t="str">
        <f t="shared" si="0"/>
        <v>INSERT INTO grupos (id,matricula,grupo) values (3061,'007970','B6° 3A-II2');</v>
      </c>
    </row>
    <row r="64" spans="1:5" x14ac:dyDescent="0.35">
      <c r="A64">
        <v>3062</v>
      </c>
      <c r="B64" s="1" t="s">
        <v>599</v>
      </c>
      <c r="C64" s="1" t="s">
        <v>1410</v>
      </c>
      <c r="D64" t="str">
        <f t="shared" si="1"/>
        <v>3062,'007971','B 31A'</v>
      </c>
      <c r="E64" t="str">
        <f t="shared" si="0"/>
        <v>INSERT INTO grupos (id,matricula,grupo) values (3062,'007971','B 31A');</v>
      </c>
    </row>
    <row r="65" spans="1:5" x14ac:dyDescent="0.35">
      <c r="A65">
        <v>3063</v>
      </c>
      <c r="B65" s="1" t="s">
        <v>599</v>
      </c>
      <c r="C65" s="1" t="s">
        <v>1417</v>
      </c>
      <c r="D65" t="str">
        <f t="shared" si="1"/>
        <v>3063,'007971','B 331'</v>
      </c>
      <c r="E65" t="str">
        <f t="shared" si="0"/>
        <v>INSERT INTO grupos (id,matricula,grupo) values (3063,'007971','B 331');</v>
      </c>
    </row>
    <row r="66" spans="1:5" x14ac:dyDescent="0.35">
      <c r="A66">
        <v>3064</v>
      </c>
      <c r="B66" s="1" t="s">
        <v>599</v>
      </c>
      <c r="C66" s="1" t="s">
        <v>1408</v>
      </c>
      <c r="D66" t="str">
        <f t="shared" si="1"/>
        <v>3064,'007971','B ESTADISB'</v>
      </c>
      <c r="E66" t="str">
        <f t="shared" ref="E66:E129" si="2">CONCATENATE($D$1,D66,");")</f>
        <v>INSERT INTO grupos (id,matricula,grupo) values (3064,'007971','B ESTADISB');</v>
      </c>
    </row>
    <row r="67" spans="1:5" x14ac:dyDescent="0.35">
      <c r="A67">
        <v>3065</v>
      </c>
      <c r="B67" s="1" t="s">
        <v>600</v>
      </c>
      <c r="C67" s="1" t="s">
        <v>1414</v>
      </c>
      <c r="D67" t="str">
        <f t="shared" ref="D67:D130" si="3">CONCATENATE(A67,",",B67,",",C67,"")</f>
        <v>3065,'007973','B 32B'</v>
      </c>
      <c r="E67" t="str">
        <f t="shared" si="2"/>
        <v>INSERT INTO grupos (id,matricula,grupo) values (3065,'007973','B 32B');</v>
      </c>
    </row>
    <row r="68" spans="1:5" x14ac:dyDescent="0.35">
      <c r="A68">
        <v>3066</v>
      </c>
      <c r="B68" s="1" t="s">
        <v>600</v>
      </c>
      <c r="C68" s="1" t="s">
        <v>1421</v>
      </c>
      <c r="D68" t="str">
        <f t="shared" si="3"/>
        <v>3066,'007973','B 332'</v>
      </c>
      <c r="E68" t="str">
        <f t="shared" si="2"/>
        <v>INSERT INTO grupos (id,matricula,grupo) values (3066,'007973','B 332');</v>
      </c>
    </row>
    <row r="69" spans="1:5" x14ac:dyDescent="0.35">
      <c r="A69">
        <v>3067</v>
      </c>
      <c r="B69" s="1" t="s">
        <v>600</v>
      </c>
      <c r="C69" s="1" t="s">
        <v>1415</v>
      </c>
      <c r="D69" t="str">
        <f t="shared" si="3"/>
        <v>3067,'007973','B MATFIN B'</v>
      </c>
      <c r="E69" t="str">
        <f t="shared" si="2"/>
        <v>INSERT INTO grupos (id,matricula,grupo) values (3067,'007973','B MATFIN B');</v>
      </c>
    </row>
    <row r="70" spans="1:5" x14ac:dyDescent="0.35">
      <c r="A70">
        <v>3068</v>
      </c>
      <c r="B70" s="1" t="s">
        <v>600</v>
      </c>
      <c r="C70" s="1" t="s">
        <v>1413</v>
      </c>
      <c r="D70" t="str">
        <f t="shared" si="3"/>
        <v>3068,'007973','B6° 4A-II1'</v>
      </c>
      <c r="E70" t="str">
        <f t="shared" si="2"/>
        <v>INSERT INTO grupos (id,matricula,grupo) values (3068,'007973','B6° 4A-II1');</v>
      </c>
    </row>
    <row r="71" spans="1:5" x14ac:dyDescent="0.35">
      <c r="A71">
        <v>3069</v>
      </c>
      <c r="B71" s="1" t="s">
        <v>601</v>
      </c>
      <c r="C71" s="1" t="s">
        <v>1417</v>
      </c>
      <c r="D71" t="str">
        <f t="shared" si="3"/>
        <v>3069,'007974','B 331'</v>
      </c>
      <c r="E71" t="str">
        <f t="shared" si="2"/>
        <v>INSERT INTO grupos (id,matricula,grupo) values (3069,'007974','B 331');</v>
      </c>
    </row>
    <row r="72" spans="1:5" x14ac:dyDescent="0.35">
      <c r="A72">
        <v>3070</v>
      </c>
      <c r="B72" s="1" t="s">
        <v>601</v>
      </c>
      <c r="C72" s="1" t="s">
        <v>1422</v>
      </c>
      <c r="D72" t="str">
        <f t="shared" si="3"/>
        <v>3070,'007974','B 34'</v>
      </c>
      <c r="E72" t="str">
        <f t="shared" si="2"/>
        <v>INSERT INTO grupos (id,matricula,grupo) values (3070,'007974','B 34');</v>
      </c>
    </row>
    <row r="73" spans="1:5" x14ac:dyDescent="0.35">
      <c r="A73">
        <v>3071</v>
      </c>
      <c r="B73" s="1" t="s">
        <v>601</v>
      </c>
      <c r="C73" s="1" t="s">
        <v>1408</v>
      </c>
      <c r="D73" t="str">
        <f t="shared" si="3"/>
        <v>3071,'007974','B ESTADISB'</v>
      </c>
      <c r="E73" t="str">
        <f t="shared" si="2"/>
        <v>INSERT INTO grupos (id,matricula,grupo) values (3071,'007974','B ESTADISB');</v>
      </c>
    </row>
    <row r="74" spans="1:5" x14ac:dyDescent="0.35">
      <c r="A74">
        <v>3072</v>
      </c>
      <c r="B74" s="1" t="s">
        <v>602</v>
      </c>
      <c r="C74" s="1" t="s">
        <v>1414</v>
      </c>
      <c r="D74" t="str">
        <f t="shared" si="3"/>
        <v>3072,'007975','B 32B'</v>
      </c>
      <c r="E74" t="str">
        <f t="shared" si="2"/>
        <v>INSERT INTO grupos (id,matricula,grupo) values (3072,'007975','B 32B');</v>
      </c>
    </row>
    <row r="75" spans="1:5" x14ac:dyDescent="0.35">
      <c r="A75">
        <v>3073</v>
      </c>
      <c r="B75" s="1" t="s">
        <v>602</v>
      </c>
      <c r="C75" s="1" t="s">
        <v>1415</v>
      </c>
      <c r="D75" t="str">
        <f t="shared" si="3"/>
        <v>3073,'007975','B MATFIN B'</v>
      </c>
      <c r="E75" t="str">
        <f t="shared" si="2"/>
        <v>INSERT INTO grupos (id,matricula,grupo) values (3073,'007975','B MATFIN B');</v>
      </c>
    </row>
    <row r="76" spans="1:5" x14ac:dyDescent="0.35">
      <c r="A76">
        <v>3074</v>
      </c>
      <c r="B76" s="1" t="s">
        <v>602</v>
      </c>
      <c r="C76" s="1" t="s">
        <v>1409</v>
      </c>
      <c r="D76" t="str">
        <f t="shared" si="3"/>
        <v>3074,'007975','B335'</v>
      </c>
      <c r="E76" t="str">
        <f t="shared" si="2"/>
        <v>INSERT INTO grupos (id,matricula,grupo) values (3074,'007975','B335');</v>
      </c>
    </row>
    <row r="77" spans="1:5" x14ac:dyDescent="0.35">
      <c r="A77">
        <v>3075</v>
      </c>
      <c r="B77" s="1" t="s">
        <v>602</v>
      </c>
      <c r="C77" s="1" t="s">
        <v>1420</v>
      </c>
      <c r="D77" t="str">
        <f t="shared" si="3"/>
        <v>3075,'007975','B6° 3A-II2'</v>
      </c>
      <c r="E77" t="str">
        <f t="shared" si="2"/>
        <v>INSERT INTO grupos (id,matricula,grupo) values (3075,'007975','B6° 3A-II2');</v>
      </c>
    </row>
    <row r="78" spans="1:5" x14ac:dyDescent="0.35">
      <c r="A78">
        <v>3076</v>
      </c>
      <c r="B78" s="1" t="s">
        <v>603</v>
      </c>
      <c r="C78" s="1" t="s">
        <v>1402</v>
      </c>
      <c r="D78" t="str">
        <f t="shared" si="3"/>
        <v>3076,'007976','B 33'</v>
      </c>
      <c r="E78" t="str">
        <f t="shared" si="2"/>
        <v>INSERT INTO grupos (id,matricula,grupo) values (3076,'007976','B 33');</v>
      </c>
    </row>
    <row r="79" spans="1:5" x14ac:dyDescent="0.35">
      <c r="A79">
        <v>3077</v>
      </c>
      <c r="B79" s="1" t="s">
        <v>603</v>
      </c>
      <c r="C79" s="1" t="s">
        <v>1411</v>
      </c>
      <c r="D79" t="str">
        <f t="shared" si="3"/>
        <v>3077,'007976','B ESTADISA'</v>
      </c>
      <c r="E79" t="str">
        <f t="shared" si="2"/>
        <v>INSERT INTO grupos (id,matricula,grupo) values (3077,'007976','B ESTADISA');</v>
      </c>
    </row>
    <row r="80" spans="1:5" x14ac:dyDescent="0.35">
      <c r="A80">
        <v>3078</v>
      </c>
      <c r="B80" s="1" t="s">
        <v>603</v>
      </c>
      <c r="C80" s="1" t="s">
        <v>1404</v>
      </c>
      <c r="D80" t="str">
        <f t="shared" si="3"/>
        <v>3078,'007976','B334'</v>
      </c>
      <c r="E80" t="str">
        <f t="shared" si="2"/>
        <v>INSERT INTO grupos (id,matricula,grupo) values (3078,'007976','B334');</v>
      </c>
    </row>
    <row r="81" spans="1:5" x14ac:dyDescent="0.35">
      <c r="A81">
        <v>3079</v>
      </c>
      <c r="B81" s="1" t="s">
        <v>603</v>
      </c>
      <c r="C81" s="1" t="s">
        <v>1405</v>
      </c>
      <c r="D81" t="str">
        <f t="shared" si="3"/>
        <v>3079,'007976','B6° 4B-II2'</v>
      </c>
      <c r="E81" t="str">
        <f t="shared" si="2"/>
        <v>INSERT INTO grupos (id,matricula,grupo) values (3079,'007976','B6° 4B-II2');</v>
      </c>
    </row>
    <row r="82" spans="1:5" x14ac:dyDescent="0.35">
      <c r="A82">
        <v>3080</v>
      </c>
      <c r="B82" s="1" t="s">
        <v>604</v>
      </c>
      <c r="C82" s="1" t="s">
        <v>1410</v>
      </c>
      <c r="D82" t="str">
        <f t="shared" si="3"/>
        <v>3080,'007977','B 31A'</v>
      </c>
      <c r="E82" t="str">
        <f t="shared" si="2"/>
        <v>INSERT INTO grupos (id,matricula,grupo) values (3080,'007977','B 31A');</v>
      </c>
    </row>
    <row r="83" spans="1:5" x14ac:dyDescent="0.35">
      <c r="A83">
        <v>3081</v>
      </c>
      <c r="B83" s="1" t="s">
        <v>604</v>
      </c>
      <c r="C83" s="1" t="s">
        <v>1417</v>
      </c>
      <c r="D83" t="str">
        <f t="shared" si="3"/>
        <v>3081,'007977','B 331'</v>
      </c>
      <c r="E83" t="str">
        <f t="shared" si="2"/>
        <v>INSERT INTO grupos (id,matricula,grupo) values (3081,'007977','B 331');</v>
      </c>
    </row>
    <row r="84" spans="1:5" x14ac:dyDescent="0.35">
      <c r="A84">
        <v>3082</v>
      </c>
      <c r="B84" s="1" t="s">
        <v>604</v>
      </c>
      <c r="C84" s="1" t="s">
        <v>1411</v>
      </c>
      <c r="D84" t="str">
        <f t="shared" si="3"/>
        <v>3082,'007977','B ESTADISA'</v>
      </c>
      <c r="E84" t="str">
        <f t="shared" si="2"/>
        <v>INSERT INTO grupos (id,matricula,grupo) values (3082,'007977','B ESTADISA');</v>
      </c>
    </row>
    <row r="85" spans="1:5" x14ac:dyDescent="0.35">
      <c r="A85">
        <v>3083</v>
      </c>
      <c r="B85" s="1" t="s">
        <v>605</v>
      </c>
      <c r="C85" s="1" t="s">
        <v>1414</v>
      </c>
      <c r="D85" t="str">
        <f t="shared" si="3"/>
        <v>3083,'007978','B 32B'</v>
      </c>
      <c r="E85" t="str">
        <f t="shared" si="2"/>
        <v>INSERT INTO grupos (id,matricula,grupo) values (3083,'007978','B 32B');</v>
      </c>
    </row>
    <row r="86" spans="1:5" x14ac:dyDescent="0.35">
      <c r="A86">
        <v>3084</v>
      </c>
      <c r="B86" s="1" t="s">
        <v>605</v>
      </c>
      <c r="C86" s="1" t="s">
        <v>1415</v>
      </c>
      <c r="D86" t="str">
        <f t="shared" si="3"/>
        <v>3084,'007978','B MATFIN B'</v>
      </c>
      <c r="E86" t="str">
        <f t="shared" si="2"/>
        <v>INSERT INTO grupos (id,matricula,grupo) values (3084,'007978','B MATFIN B');</v>
      </c>
    </row>
    <row r="87" spans="1:5" x14ac:dyDescent="0.35">
      <c r="A87">
        <v>3085</v>
      </c>
      <c r="B87" s="1" t="s">
        <v>605</v>
      </c>
      <c r="C87" s="1" t="s">
        <v>1404</v>
      </c>
      <c r="D87" t="str">
        <f t="shared" si="3"/>
        <v>3085,'007978','B334'</v>
      </c>
      <c r="E87" t="str">
        <f t="shared" si="2"/>
        <v>INSERT INTO grupos (id,matricula,grupo) values (3085,'007978','B334');</v>
      </c>
    </row>
    <row r="88" spans="1:5" x14ac:dyDescent="0.35">
      <c r="A88">
        <v>3086</v>
      </c>
      <c r="B88" s="1" t="s">
        <v>605</v>
      </c>
      <c r="C88" s="1" t="s">
        <v>1416</v>
      </c>
      <c r="D88" t="str">
        <f t="shared" si="3"/>
        <v>3086,'007978','B6° 3B-II2'</v>
      </c>
      <c r="E88" t="str">
        <f t="shared" si="2"/>
        <v>INSERT INTO grupos (id,matricula,grupo) values (3086,'007978','B6° 3B-II2');</v>
      </c>
    </row>
    <row r="89" spans="1:5" x14ac:dyDescent="0.35">
      <c r="A89">
        <v>3087</v>
      </c>
      <c r="B89" s="1" t="s">
        <v>606</v>
      </c>
      <c r="C89" s="1" t="s">
        <v>1414</v>
      </c>
      <c r="D89" t="str">
        <f t="shared" si="3"/>
        <v>3087,'007979','B 32B'</v>
      </c>
      <c r="E89" t="str">
        <f t="shared" si="2"/>
        <v>INSERT INTO grupos (id,matricula,grupo) values (3087,'007979','B 32B');</v>
      </c>
    </row>
    <row r="90" spans="1:5" x14ac:dyDescent="0.35">
      <c r="A90">
        <v>3088</v>
      </c>
      <c r="B90" s="1" t="s">
        <v>606</v>
      </c>
      <c r="C90" s="1" t="s">
        <v>1412</v>
      </c>
      <c r="D90" t="str">
        <f t="shared" si="3"/>
        <v>3088,'007979','B 333'</v>
      </c>
      <c r="E90" t="str">
        <f t="shared" si="2"/>
        <v>INSERT INTO grupos (id,matricula,grupo) values (3088,'007979','B 333');</v>
      </c>
    </row>
    <row r="91" spans="1:5" x14ac:dyDescent="0.35">
      <c r="A91">
        <v>3089</v>
      </c>
      <c r="B91" s="1" t="s">
        <v>606</v>
      </c>
      <c r="C91" s="1" t="s">
        <v>1415</v>
      </c>
      <c r="D91" t="str">
        <f t="shared" si="3"/>
        <v>3089,'007979','B MATFIN B'</v>
      </c>
      <c r="E91" t="str">
        <f t="shared" si="2"/>
        <v>INSERT INTO grupos (id,matricula,grupo) values (3089,'007979','B MATFIN B');</v>
      </c>
    </row>
    <row r="92" spans="1:5" x14ac:dyDescent="0.35">
      <c r="A92">
        <v>3090</v>
      </c>
      <c r="B92" s="1" t="s">
        <v>606</v>
      </c>
      <c r="C92" s="1" t="s">
        <v>1423</v>
      </c>
      <c r="D92" t="str">
        <f t="shared" si="3"/>
        <v>3090,'007979','B6° 3A-II1'</v>
      </c>
      <c r="E92" t="str">
        <f t="shared" si="2"/>
        <v>INSERT INTO grupos (id,matricula,grupo) values (3090,'007979','B6° 3A-II1');</v>
      </c>
    </row>
    <row r="93" spans="1:5" x14ac:dyDescent="0.35">
      <c r="A93">
        <v>3091</v>
      </c>
      <c r="B93" s="1" t="s">
        <v>607</v>
      </c>
      <c r="C93" s="1" t="s">
        <v>1414</v>
      </c>
      <c r="D93" t="str">
        <f t="shared" si="3"/>
        <v>3091,'007980','B 32B'</v>
      </c>
      <c r="E93" t="str">
        <f t="shared" si="2"/>
        <v>INSERT INTO grupos (id,matricula,grupo) values (3091,'007980','B 32B');</v>
      </c>
    </row>
    <row r="94" spans="1:5" x14ac:dyDescent="0.35">
      <c r="A94">
        <v>3092</v>
      </c>
      <c r="B94" s="1" t="s">
        <v>607</v>
      </c>
      <c r="C94" s="1" t="s">
        <v>1421</v>
      </c>
      <c r="D94" t="str">
        <f t="shared" si="3"/>
        <v>3092,'007980','B 332'</v>
      </c>
      <c r="E94" t="str">
        <f t="shared" si="2"/>
        <v>INSERT INTO grupos (id,matricula,grupo) values (3092,'007980','B 332');</v>
      </c>
    </row>
    <row r="95" spans="1:5" x14ac:dyDescent="0.35">
      <c r="A95">
        <v>3093</v>
      </c>
      <c r="B95" s="1" t="s">
        <v>607</v>
      </c>
      <c r="C95" s="1" t="s">
        <v>1415</v>
      </c>
      <c r="D95" t="str">
        <f t="shared" si="3"/>
        <v>3093,'007980','B MATFIN B'</v>
      </c>
      <c r="E95" t="str">
        <f t="shared" si="2"/>
        <v>INSERT INTO grupos (id,matricula,grupo) values (3093,'007980','B MATFIN B');</v>
      </c>
    </row>
    <row r="96" spans="1:5" x14ac:dyDescent="0.35">
      <c r="A96">
        <v>3094</v>
      </c>
      <c r="B96" s="1" t="s">
        <v>607</v>
      </c>
      <c r="C96" s="1" t="s">
        <v>1413</v>
      </c>
      <c r="D96" t="str">
        <f t="shared" si="3"/>
        <v>3094,'007980','B6° 4A-II1'</v>
      </c>
      <c r="E96" t="str">
        <f t="shared" si="2"/>
        <v>INSERT INTO grupos (id,matricula,grupo) values (3094,'007980','B6° 4A-II1');</v>
      </c>
    </row>
    <row r="97" spans="1:5" x14ac:dyDescent="0.35">
      <c r="A97">
        <v>3095</v>
      </c>
      <c r="B97" s="1" t="s">
        <v>608</v>
      </c>
      <c r="C97" s="1" t="s">
        <v>1414</v>
      </c>
      <c r="D97" t="str">
        <f t="shared" si="3"/>
        <v>3095,'007983','B 32B'</v>
      </c>
      <c r="E97" t="str">
        <f t="shared" si="2"/>
        <v>INSERT INTO grupos (id,matricula,grupo) values (3095,'007983','B 32B');</v>
      </c>
    </row>
    <row r="98" spans="1:5" x14ac:dyDescent="0.35">
      <c r="A98">
        <v>3096</v>
      </c>
      <c r="B98" s="1" t="s">
        <v>608</v>
      </c>
      <c r="C98" s="1" t="s">
        <v>1415</v>
      </c>
      <c r="D98" t="str">
        <f t="shared" si="3"/>
        <v>3096,'007983','B MATFIN B'</v>
      </c>
      <c r="E98" t="str">
        <f t="shared" si="2"/>
        <v>INSERT INTO grupos (id,matricula,grupo) values (3096,'007983','B MATFIN B');</v>
      </c>
    </row>
    <row r="99" spans="1:5" x14ac:dyDescent="0.35">
      <c r="A99">
        <v>3097</v>
      </c>
      <c r="B99" s="1" t="s">
        <v>608</v>
      </c>
      <c r="C99" s="1" t="s">
        <v>1409</v>
      </c>
      <c r="D99" t="str">
        <f t="shared" si="3"/>
        <v>3097,'007983','B335'</v>
      </c>
      <c r="E99" t="str">
        <f t="shared" si="2"/>
        <v>INSERT INTO grupos (id,matricula,grupo) values (3097,'007983','B335');</v>
      </c>
    </row>
    <row r="100" spans="1:5" x14ac:dyDescent="0.35">
      <c r="A100">
        <v>3098</v>
      </c>
      <c r="B100" s="1" t="s">
        <v>608</v>
      </c>
      <c r="C100" s="1" t="s">
        <v>1416</v>
      </c>
      <c r="D100" t="str">
        <f t="shared" si="3"/>
        <v>3098,'007983','B6° 3B-II2'</v>
      </c>
      <c r="E100" t="str">
        <f t="shared" si="2"/>
        <v>INSERT INTO grupos (id,matricula,grupo) values (3098,'007983','B6° 3B-II2');</v>
      </c>
    </row>
    <row r="101" spans="1:5" x14ac:dyDescent="0.35">
      <c r="A101">
        <v>3099</v>
      </c>
      <c r="B101" s="1" t="s">
        <v>609</v>
      </c>
      <c r="C101" s="1" t="s">
        <v>1414</v>
      </c>
      <c r="D101" t="str">
        <f t="shared" si="3"/>
        <v>3099,'007984','B 32B'</v>
      </c>
      <c r="E101" t="str">
        <f t="shared" si="2"/>
        <v>INSERT INTO grupos (id,matricula,grupo) values (3099,'007984','B 32B');</v>
      </c>
    </row>
    <row r="102" spans="1:5" x14ac:dyDescent="0.35">
      <c r="A102">
        <v>3100</v>
      </c>
      <c r="B102" s="1" t="s">
        <v>609</v>
      </c>
      <c r="C102" s="1" t="s">
        <v>1412</v>
      </c>
      <c r="D102" t="str">
        <f t="shared" si="3"/>
        <v>3100,'007984','B 333'</v>
      </c>
      <c r="E102" t="str">
        <f t="shared" si="2"/>
        <v>INSERT INTO grupos (id,matricula,grupo) values (3100,'007984','B 333');</v>
      </c>
    </row>
    <row r="103" spans="1:5" x14ac:dyDescent="0.35">
      <c r="A103">
        <v>3101</v>
      </c>
      <c r="B103" s="1" t="s">
        <v>609</v>
      </c>
      <c r="C103" s="1" t="s">
        <v>1415</v>
      </c>
      <c r="D103" t="str">
        <f t="shared" si="3"/>
        <v>3101,'007984','B MATFIN B'</v>
      </c>
      <c r="E103" t="str">
        <f t="shared" si="2"/>
        <v>INSERT INTO grupos (id,matricula,grupo) values (3101,'007984','B MATFIN B');</v>
      </c>
    </row>
    <row r="104" spans="1:5" x14ac:dyDescent="0.35">
      <c r="A104">
        <v>3102</v>
      </c>
      <c r="B104" s="1" t="s">
        <v>609</v>
      </c>
      <c r="C104" s="1" t="s">
        <v>1424</v>
      </c>
      <c r="D104" t="str">
        <f t="shared" si="3"/>
        <v>3102,'007984','B6° 4B-II1'</v>
      </c>
      <c r="E104" t="str">
        <f t="shared" si="2"/>
        <v>INSERT INTO grupos (id,matricula,grupo) values (3102,'007984','B6° 4B-II1');</v>
      </c>
    </row>
    <row r="105" spans="1:5" x14ac:dyDescent="0.35">
      <c r="A105">
        <v>3103</v>
      </c>
      <c r="B105" s="1" t="s">
        <v>610</v>
      </c>
      <c r="C105" s="1" t="s">
        <v>1414</v>
      </c>
      <c r="D105" t="str">
        <f t="shared" si="3"/>
        <v>3103,'007985','B 32B'</v>
      </c>
      <c r="E105" t="str">
        <f t="shared" si="2"/>
        <v>INSERT INTO grupos (id,matricula,grupo) values (3103,'007985','B 32B');</v>
      </c>
    </row>
    <row r="106" spans="1:5" x14ac:dyDescent="0.35">
      <c r="A106">
        <v>3104</v>
      </c>
      <c r="B106" s="1" t="s">
        <v>610</v>
      </c>
      <c r="C106" s="1" t="s">
        <v>1415</v>
      </c>
      <c r="D106" t="str">
        <f t="shared" si="3"/>
        <v>3104,'007985','B MATFIN B'</v>
      </c>
      <c r="E106" t="str">
        <f t="shared" si="2"/>
        <v>INSERT INTO grupos (id,matricula,grupo) values (3104,'007985','B MATFIN B');</v>
      </c>
    </row>
    <row r="107" spans="1:5" x14ac:dyDescent="0.35">
      <c r="A107">
        <v>3105</v>
      </c>
      <c r="B107" s="1" t="s">
        <v>610</v>
      </c>
      <c r="C107" s="1" t="s">
        <v>1404</v>
      </c>
      <c r="D107" t="str">
        <f t="shared" si="3"/>
        <v>3105,'007985','B334'</v>
      </c>
      <c r="E107" t="str">
        <f t="shared" si="2"/>
        <v>INSERT INTO grupos (id,matricula,grupo) values (3105,'007985','B334');</v>
      </c>
    </row>
    <row r="108" spans="1:5" x14ac:dyDescent="0.35">
      <c r="A108">
        <v>3106</v>
      </c>
      <c r="B108" s="1" t="s">
        <v>610</v>
      </c>
      <c r="C108" s="1" t="s">
        <v>1405</v>
      </c>
      <c r="D108" t="str">
        <f t="shared" si="3"/>
        <v>3106,'007985','B6° 4B-II2'</v>
      </c>
      <c r="E108" t="str">
        <f t="shared" si="2"/>
        <v>INSERT INTO grupos (id,matricula,grupo) values (3106,'007985','B6° 4B-II2');</v>
      </c>
    </row>
    <row r="109" spans="1:5" x14ac:dyDescent="0.35">
      <c r="A109">
        <v>3107</v>
      </c>
      <c r="B109" s="1" t="s">
        <v>611</v>
      </c>
      <c r="C109" s="1" t="s">
        <v>1406</v>
      </c>
      <c r="D109" t="str">
        <f t="shared" si="3"/>
        <v>3107,'007986','B 32A'</v>
      </c>
      <c r="E109" t="str">
        <f t="shared" si="2"/>
        <v>INSERT INTO grupos (id,matricula,grupo) values (3107,'007986','B 32A');</v>
      </c>
    </row>
    <row r="110" spans="1:5" x14ac:dyDescent="0.35">
      <c r="A110">
        <v>3108</v>
      </c>
      <c r="B110" s="1" t="s">
        <v>611</v>
      </c>
      <c r="C110" s="1" t="s">
        <v>1407</v>
      </c>
      <c r="D110" t="str">
        <f t="shared" si="3"/>
        <v>3108,'007986','B MATFIN A'</v>
      </c>
      <c r="E110" t="str">
        <f t="shared" si="2"/>
        <v>INSERT INTO grupos (id,matricula,grupo) values (3108,'007986','B MATFIN A');</v>
      </c>
    </row>
    <row r="111" spans="1:5" x14ac:dyDescent="0.35">
      <c r="A111">
        <v>3109</v>
      </c>
      <c r="B111" s="1" t="s">
        <v>611</v>
      </c>
      <c r="C111" s="1" t="s">
        <v>1404</v>
      </c>
      <c r="D111" t="str">
        <f t="shared" si="3"/>
        <v>3109,'007986','B334'</v>
      </c>
      <c r="E111" t="str">
        <f t="shared" si="2"/>
        <v>INSERT INTO grupos (id,matricula,grupo) values (3109,'007986','B334');</v>
      </c>
    </row>
    <row r="112" spans="1:5" x14ac:dyDescent="0.35">
      <c r="A112">
        <v>3110</v>
      </c>
      <c r="B112" s="1" t="s">
        <v>611</v>
      </c>
      <c r="C112" s="1" t="s">
        <v>1405</v>
      </c>
      <c r="D112" t="str">
        <f t="shared" si="3"/>
        <v>3110,'007986','B6° 4B-II2'</v>
      </c>
      <c r="E112" t="str">
        <f t="shared" si="2"/>
        <v>INSERT INTO grupos (id,matricula,grupo) values (3110,'007986','B6° 4B-II2');</v>
      </c>
    </row>
    <row r="113" spans="1:5" x14ac:dyDescent="0.35">
      <c r="A113">
        <v>3111</v>
      </c>
      <c r="B113" s="1" t="s">
        <v>612</v>
      </c>
      <c r="C113" s="1" t="s">
        <v>1402</v>
      </c>
      <c r="D113" t="str">
        <f t="shared" si="3"/>
        <v>3111,'007987','B 33'</v>
      </c>
      <c r="E113" t="str">
        <f t="shared" si="2"/>
        <v>INSERT INTO grupos (id,matricula,grupo) values (3111,'007987','B 33');</v>
      </c>
    </row>
    <row r="114" spans="1:5" x14ac:dyDescent="0.35">
      <c r="A114">
        <v>3112</v>
      </c>
      <c r="B114" s="1" t="s">
        <v>612</v>
      </c>
      <c r="C114" s="1" t="s">
        <v>1421</v>
      </c>
      <c r="D114" t="str">
        <f t="shared" si="3"/>
        <v>3112,'007987','B 332'</v>
      </c>
      <c r="E114" t="str">
        <f t="shared" si="2"/>
        <v>INSERT INTO grupos (id,matricula,grupo) values (3112,'007987','B 332');</v>
      </c>
    </row>
    <row r="115" spans="1:5" x14ac:dyDescent="0.35">
      <c r="A115">
        <v>3113</v>
      </c>
      <c r="B115" s="1" t="s">
        <v>612</v>
      </c>
      <c r="C115" s="1" t="s">
        <v>1403</v>
      </c>
      <c r="D115" t="str">
        <f t="shared" si="3"/>
        <v>3113,'007987','B ESTADISC'</v>
      </c>
      <c r="E115" t="str">
        <f t="shared" si="2"/>
        <v>INSERT INTO grupos (id,matricula,grupo) values (3113,'007987','B ESTADISC');</v>
      </c>
    </row>
    <row r="116" spans="1:5" x14ac:dyDescent="0.35">
      <c r="A116">
        <v>3114</v>
      </c>
      <c r="B116" s="1" t="s">
        <v>612</v>
      </c>
      <c r="C116" s="1" t="s">
        <v>1424</v>
      </c>
      <c r="D116" t="str">
        <f t="shared" si="3"/>
        <v>3114,'007987','B6° 4B-II1'</v>
      </c>
      <c r="E116" t="str">
        <f t="shared" si="2"/>
        <v>INSERT INTO grupos (id,matricula,grupo) values (3114,'007987','B6° 4B-II1');</v>
      </c>
    </row>
    <row r="117" spans="1:5" x14ac:dyDescent="0.35">
      <c r="A117">
        <v>3115</v>
      </c>
      <c r="B117" s="1" t="s">
        <v>613</v>
      </c>
      <c r="C117" s="1" t="s">
        <v>1406</v>
      </c>
      <c r="D117" t="str">
        <f t="shared" si="3"/>
        <v>3115,'007988','B 32A'</v>
      </c>
      <c r="E117" t="str">
        <f t="shared" si="2"/>
        <v>INSERT INTO grupos (id,matricula,grupo) values (3115,'007988','B 32A');</v>
      </c>
    </row>
    <row r="118" spans="1:5" x14ac:dyDescent="0.35">
      <c r="A118">
        <v>3116</v>
      </c>
      <c r="B118" s="1" t="s">
        <v>613</v>
      </c>
      <c r="C118" s="1" t="s">
        <v>1407</v>
      </c>
      <c r="D118" t="str">
        <f t="shared" si="3"/>
        <v>3116,'007988','B MATFIN A'</v>
      </c>
      <c r="E118" t="str">
        <f t="shared" si="2"/>
        <v>INSERT INTO grupos (id,matricula,grupo) values (3116,'007988','B MATFIN A');</v>
      </c>
    </row>
    <row r="119" spans="1:5" x14ac:dyDescent="0.35">
      <c r="A119">
        <v>3117</v>
      </c>
      <c r="B119" s="1" t="s">
        <v>613</v>
      </c>
      <c r="C119" s="1" t="s">
        <v>1409</v>
      </c>
      <c r="D119" t="str">
        <f t="shared" si="3"/>
        <v>3117,'007988','B335'</v>
      </c>
      <c r="E119" t="str">
        <f t="shared" si="2"/>
        <v>INSERT INTO grupos (id,matricula,grupo) values (3117,'007988','B335');</v>
      </c>
    </row>
    <row r="120" spans="1:5" x14ac:dyDescent="0.35">
      <c r="A120">
        <v>3118</v>
      </c>
      <c r="B120" s="1" t="s">
        <v>613</v>
      </c>
      <c r="C120" s="1" t="s">
        <v>1420</v>
      </c>
      <c r="D120" t="str">
        <f t="shared" si="3"/>
        <v>3118,'007988','B6° 3A-II2'</v>
      </c>
      <c r="E120" t="str">
        <f t="shared" si="2"/>
        <v>INSERT INTO grupos (id,matricula,grupo) values (3118,'007988','B6° 3A-II2');</v>
      </c>
    </row>
    <row r="121" spans="1:5" x14ac:dyDescent="0.35">
      <c r="A121">
        <v>3119</v>
      </c>
      <c r="B121" s="1" t="s">
        <v>614</v>
      </c>
      <c r="C121" s="1" t="s">
        <v>1414</v>
      </c>
      <c r="D121" t="str">
        <f t="shared" si="3"/>
        <v>3119,'007989','B 32B'</v>
      </c>
      <c r="E121" t="str">
        <f t="shared" si="2"/>
        <v>INSERT INTO grupos (id,matricula,grupo) values (3119,'007989','B 32B');</v>
      </c>
    </row>
    <row r="122" spans="1:5" x14ac:dyDescent="0.35">
      <c r="A122">
        <v>3120</v>
      </c>
      <c r="B122" s="1" t="s">
        <v>614</v>
      </c>
      <c r="C122" s="1" t="s">
        <v>1415</v>
      </c>
      <c r="D122" t="str">
        <f t="shared" si="3"/>
        <v>3120,'007989','B MATFIN B'</v>
      </c>
      <c r="E122" t="str">
        <f t="shared" si="2"/>
        <v>INSERT INTO grupos (id,matricula,grupo) values (3120,'007989','B MATFIN B');</v>
      </c>
    </row>
    <row r="123" spans="1:5" x14ac:dyDescent="0.35">
      <c r="A123">
        <v>3121</v>
      </c>
      <c r="B123" s="1" t="s">
        <v>614</v>
      </c>
      <c r="C123" s="1" t="s">
        <v>1409</v>
      </c>
      <c r="D123" t="str">
        <f t="shared" si="3"/>
        <v>3121,'007989','B335'</v>
      </c>
      <c r="E123" t="str">
        <f t="shared" si="2"/>
        <v>INSERT INTO grupos (id,matricula,grupo) values (3121,'007989','B335');</v>
      </c>
    </row>
    <row r="124" spans="1:5" x14ac:dyDescent="0.35">
      <c r="A124">
        <v>3122</v>
      </c>
      <c r="B124" s="1" t="s">
        <v>614</v>
      </c>
      <c r="C124" s="1" t="s">
        <v>1420</v>
      </c>
      <c r="D124" t="str">
        <f t="shared" si="3"/>
        <v>3122,'007989','B6° 3A-II2'</v>
      </c>
      <c r="E124" t="str">
        <f t="shared" si="2"/>
        <v>INSERT INTO grupos (id,matricula,grupo) values (3122,'007989','B6° 3A-II2');</v>
      </c>
    </row>
    <row r="125" spans="1:5" x14ac:dyDescent="0.35">
      <c r="A125">
        <v>3123</v>
      </c>
      <c r="B125" s="1" t="s">
        <v>615</v>
      </c>
      <c r="C125" s="1" t="s">
        <v>1402</v>
      </c>
      <c r="D125" t="str">
        <f t="shared" si="3"/>
        <v>3123,'007990','B 33'</v>
      </c>
      <c r="E125" t="str">
        <f t="shared" si="2"/>
        <v>INSERT INTO grupos (id,matricula,grupo) values (3123,'007990','B 33');</v>
      </c>
    </row>
    <row r="126" spans="1:5" x14ac:dyDescent="0.35">
      <c r="A126">
        <v>3124</v>
      </c>
      <c r="B126" s="1" t="s">
        <v>615</v>
      </c>
      <c r="C126" s="1" t="s">
        <v>1412</v>
      </c>
      <c r="D126" t="str">
        <f t="shared" si="3"/>
        <v>3124,'007990','B 333'</v>
      </c>
      <c r="E126" t="str">
        <f t="shared" si="2"/>
        <v>INSERT INTO grupos (id,matricula,grupo) values (3124,'007990','B 333');</v>
      </c>
    </row>
    <row r="127" spans="1:5" x14ac:dyDescent="0.35">
      <c r="A127">
        <v>3125</v>
      </c>
      <c r="B127" s="1" t="s">
        <v>615</v>
      </c>
      <c r="C127" s="1" t="s">
        <v>1411</v>
      </c>
      <c r="D127" t="str">
        <f t="shared" si="3"/>
        <v>3125,'007990','B ESTADISA'</v>
      </c>
      <c r="E127" t="str">
        <f t="shared" si="2"/>
        <v>INSERT INTO grupos (id,matricula,grupo) values (3125,'007990','B ESTADISA');</v>
      </c>
    </row>
    <row r="128" spans="1:5" x14ac:dyDescent="0.35">
      <c r="A128">
        <v>3126</v>
      </c>
      <c r="B128" s="1" t="s">
        <v>615</v>
      </c>
      <c r="C128" s="1" t="s">
        <v>1423</v>
      </c>
      <c r="D128" t="str">
        <f t="shared" si="3"/>
        <v>3126,'007990','B6° 3A-II1'</v>
      </c>
      <c r="E128" t="str">
        <f t="shared" si="2"/>
        <v>INSERT INTO grupos (id,matricula,grupo) values (3126,'007990','B6° 3A-II1');</v>
      </c>
    </row>
    <row r="129" spans="1:5" x14ac:dyDescent="0.35">
      <c r="A129">
        <v>3127</v>
      </c>
      <c r="B129" s="1" t="s">
        <v>616</v>
      </c>
      <c r="C129" s="1" t="s">
        <v>1406</v>
      </c>
      <c r="D129" t="str">
        <f t="shared" si="3"/>
        <v>3127,'007991','B 32A'</v>
      </c>
      <c r="E129" t="str">
        <f t="shared" si="2"/>
        <v>INSERT INTO grupos (id,matricula,grupo) values (3127,'007991','B 32A');</v>
      </c>
    </row>
    <row r="130" spans="1:5" x14ac:dyDescent="0.35">
      <c r="A130">
        <v>3128</v>
      </c>
      <c r="B130" s="1" t="s">
        <v>616</v>
      </c>
      <c r="C130" s="1" t="s">
        <v>1407</v>
      </c>
      <c r="D130" t="str">
        <f t="shared" si="3"/>
        <v>3128,'007991','B MATFIN A'</v>
      </c>
      <c r="E130" t="str">
        <f t="shared" ref="E130:E193" si="4">CONCATENATE($D$1,D130,");")</f>
        <v>INSERT INTO grupos (id,matricula,grupo) values (3128,'007991','B MATFIN A');</v>
      </c>
    </row>
    <row r="131" spans="1:5" x14ac:dyDescent="0.35">
      <c r="A131">
        <v>3129</v>
      </c>
      <c r="B131" s="1" t="s">
        <v>616</v>
      </c>
      <c r="C131" s="1" t="s">
        <v>1409</v>
      </c>
      <c r="D131" t="str">
        <f t="shared" ref="D131:D194" si="5">CONCATENATE(A131,",",B131,",",C131,"")</f>
        <v>3129,'007991','B335'</v>
      </c>
      <c r="E131" t="str">
        <f t="shared" si="4"/>
        <v>INSERT INTO grupos (id,matricula,grupo) values (3129,'007991','B335');</v>
      </c>
    </row>
    <row r="132" spans="1:5" x14ac:dyDescent="0.35">
      <c r="A132">
        <v>3130</v>
      </c>
      <c r="B132" s="1" t="s">
        <v>616</v>
      </c>
      <c r="C132" s="1" t="s">
        <v>1416</v>
      </c>
      <c r="D132" t="str">
        <f t="shared" si="5"/>
        <v>3130,'007991','B6° 3B-II2'</v>
      </c>
      <c r="E132" t="str">
        <f t="shared" si="4"/>
        <v>INSERT INTO grupos (id,matricula,grupo) values (3130,'007991','B6° 3B-II2');</v>
      </c>
    </row>
    <row r="133" spans="1:5" x14ac:dyDescent="0.35">
      <c r="A133">
        <v>3131</v>
      </c>
      <c r="B133" s="1" t="s">
        <v>617</v>
      </c>
      <c r="C133" s="1" t="s">
        <v>1414</v>
      </c>
      <c r="D133" t="str">
        <f t="shared" si="5"/>
        <v>3131,'007993','B 32B'</v>
      </c>
      <c r="E133" t="str">
        <f t="shared" si="4"/>
        <v>INSERT INTO grupos (id,matricula,grupo) values (3131,'007993','B 32B');</v>
      </c>
    </row>
    <row r="134" spans="1:5" x14ac:dyDescent="0.35">
      <c r="A134">
        <v>3132</v>
      </c>
      <c r="B134" s="1" t="s">
        <v>617</v>
      </c>
      <c r="C134" s="1" t="s">
        <v>1407</v>
      </c>
      <c r="D134" t="str">
        <f t="shared" si="5"/>
        <v>3132,'007993','B MATFIN A'</v>
      </c>
      <c r="E134" t="str">
        <f t="shared" si="4"/>
        <v>INSERT INTO grupos (id,matricula,grupo) values (3132,'007993','B MATFIN A');</v>
      </c>
    </row>
    <row r="135" spans="1:5" x14ac:dyDescent="0.35">
      <c r="A135">
        <v>3133</v>
      </c>
      <c r="B135" s="1" t="s">
        <v>617</v>
      </c>
      <c r="C135" s="1" t="s">
        <v>1404</v>
      </c>
      <c r="D135" t="str">
        <f t="shared" si="5"/>
        <v>3133,'007993','B334'</v>
      </c>
      <c r="E135" t="str">
        <f t="shared" si="4"/>
        <v>INSERT INTO grupos (id,matricula,grupo) values (3133,'007993','B334');</v>
      </c>
    </row>
    <row r="136" spans="1:5" x14ac:dyDescent="0.35">
      <c r="A136">
        <v>3134</v>
      </c>
      <c r="B136" s="1" t="s">
        <v>617</v>
      </c>
      <c r="C136" s="1" t="s">
        <v>1405</v>
      </c>
      <c r="D136" t="str">
        <f t="shared" si="5"/>
        <v>3134,'007993','B6° 4B-II2'</v>
      </c>
      <c r="E136" t="str">
        <f t="shared" si="4"/>
        <v>INSERT INTO grupos (id,matricula,grupo) values (3134,'007993','B6° 4B-II2');</v>
      </c>
    </row>
    <row r="137" spans="1:5" x14ac:dyDescent="0.35">
      <c r="A137">
        <v>3135</v>
      </c>
      <c r="B137" s="1" t="s">
        <v>618</v>
      </c>
      <c r="C137" s="1" t="s">
        <v>1406</v>
      </c>
      <c r="D137" t="str">
        <f t="shared" si="5"/>
        <v>3135,'007994','B 32A'</v>
      </c>
      <c r="E137" t="str">
        <f t="shared" si="4"/>
        <v>INSERT INTO grupos (id,matricula,grupo) values (3135,'007994','B 32A');</v>
      </c>
    </row>
    <row r="138" spans="1:5" x14ac:dyDescent="0.35">
      <c r="A138">
        <v>3136</v>
      </c>
      <c r="B138" s="1" t="s">
        <v>618</v>
      </c>
      <c r="C138" s="1" t="s">
        <v>1421</v>
      </c>
      <c r="D138" t="str">
        <f t="shared" si="5"/>
        <v>3136,'007994','B 332'</v>
      </c>
      <c r="E138" t="str">
        <f t="shared" si="4"/>
        <v>INSERT INTO grupos (id,matricula,grupo) values (3136,'007994','B 332');</v>
      </c>
    </row>
    <row r="139" spans="1:5" x14ac:dyDescent="0.35">
      <c r="A139">
        <v>3137</v>
      </c>
      <c r="B139" s="1" t="s">
        <v>618</v>
      </c>
      <c r="C139" s="1" t="s">
        <v>1407</v>
      </c>
      <c r="D139" t="str">
        <f t="shared" si="5"/>
        <v>3137,'007994','B MATFIN A'</v>
      </c>
      <c r="E139" t="str">
        <f t="shared" si="4"/>
        <v>INSERT INTO grupos (id,matricula,grupo) values (3137,'007994','B MATFIN A');</v>
      </c>
    </row>
    <row r="140" spans="1:5" x14ac:dyDescent="0.35">
      <c r="A140">
        <v>3138</v>
      </c>
      <c r="B140" s="1" t="s">
        <v>618</v>
      </c>
      <c r="C140" s="1" t="s">
        <v>1413</v>
      </c>
      <c r="D140" t="str">
        <f t="shared" si="5"/>
        <v>3138,'007994','B6° 4A-II1'</v>
      </c>
      <c r="E140" t="str">
        <f t="shared" si="4"/>
        <v>INSERT INTO grupos (id,matricula,grupo) values (3138,'007994','B6° 4A-II1');</v>
      </c>
    </row>
    <row r="141" spans="1:5" x14ac:dyDescent="0.35">
      <c r="A141">
        <v>3139</v>
      </c>
      <c r="B141" s="1" t="s">
        <v>619</v>
      </c>
      <c r="C141" s="1" t="s">
        <v>1422</v>
      </c>
      <c r="D141" t="str">
        <f t="shared" si="5"/>
        <v>3139,'007995','B 34'</v>
      </c>
      <c r="E141" t="str">
        <f t="shared" si="4"/>
        <v>INSERT INTO grupos (id,matricula,grupo) values (3139,'007995','B 34');</v>
      </c>
    </row>
    <row r="142" spans="1:5" x14ac:dyDescent="0.35">
      <c r="A142">
        <v>3140</v>
      </c>
      <c r="B142" s="1" t="s">
        <v>619</v>
      </c>
      <c r="C142" s="1" t="s">
        <v>1408</v>
      </c>
      <c r="D142" t="str">
        <f t="shared" si="5"/>
        <v>3140,'007995','B ESTADISB'</v>
      </c>
      <c r="E142" t="str">
        <f t="shared" si="4"/>
        <v>INSERT INTO grupos (id,matricula,grupo) values (3140,'007995','B ESTADISB');</v>
      </c>
    </row>
    <row r="143" spans="1:5" x14ac:dyDescent="0.35">
      <c r="A143">
        <v>3141</v>
      </c>
      <c r="B143" s="1" t="s">
        <v>619</v>
      </c>
      <c r="C143" s="1" t="s">
        <v>1404</v>
      </c>
      <c r="D143" t="str">
        <f t="shared" si="5"/>
        <v>3141,'007995','B334'</v>
      </c>
      <c r="E143" t="str">
        <f t="shared" si="4"/>
        <v>INSERT INTO grupos (id,matricula,grupo) values (3141,'007995','B334');</v>
      </c>
    </row>
    <row r="144" spans="1:5" x14ac:dyDescent="0.35">
      <c r="A144">
        <v>3142</v>
      </c>
      <c r="B144" s="1" t="s">
        <v>619</v>
      </c>
      <c r="C144" s="1" t="s">
        <v>1405</v>
      </c>
      <c r="D144" t="str">
        <f t="shared" si="5"/>
        <v>3142,'007995','B6° 4B-II2'</v>
      </c>
      <c r="E144" t="str">
        <f t="shared" si="4"/>
        <v>INSERT INTO grupos (id,matricula,grupo) values (3142,'007995','B6° 4B-II2');</v>
      </c>
    </row>
    <row r="145" spans="1:5" x14ac:dyDescent="0.35">
      <c r="A145">
        <v>3143</v>
      </c>
      <c r="B145" s="1" t="s">
        <v>620</v>
      </c>
      <c r="C145" s="1" t="s">
        <v>1406</v>
      </c>
      <c r="D145" t="str">
        <f t="shared" si="5"/>
        <v>3143,'007996','B 32A'</v>
      </c>
      <c r="E145" t="str">
        <f t="shared" si="4"/>
        <v>INSERT INTO grupos (id,matricula,grupo) values (3143,'007996','B 32A');</v>
      </c>
    </row>
    <row r="146" spans="1:5" x14ac:dyDescent="0.35">
      <c r="A146">
        <v>3144</v>
      </c>
      <c r="B146" s="1" t="s">
        <v>620</v>
      </c>
      <c r="C146" s="1" t="s">
        <v>1421</v>
      </c>
      <c r="D146" t="str">
        <f t="shared" si="5"/>
        <v>3144,'007996','B 332'</v>
      </c>
      <c r="E146" t="str">
        <f t="shared" si="4"/>
        <v>INSERT INTO grupos (id,matricula,grupo) values (3144,'007996','B 332');</v>
      </c>
    </row>
    <row r="147" spans="1:5" x14ac:dyDescent="0.35">
      <c r="A147">
        <v>3145</v>
      </c>
      <c r="B147" s="1" t="s">
        <v>620</v>
      </c>
      <c r="C147" s="1" t="s">
        <v>1407</v>
      </c>
      <c r="D147" t="str">
        <f t="shared" si="5"/>
        <v>3145,'007996','B MATFIN A'</v>
      </c>
      <c r="E147" t="str">
        <f t="shared" si="4"/>
        <v>INSERT INTO grupos (id,matricula,grupo) values (3145,'007996','B MATFIN A');</v>
      </c>
    </row>
    <row r="148" spans="1:5" x14ac:dyDescent="0.35">
      <c r="A148">
        <v>3146</v>
      </c>
      <c r="B148" s="1" t="s">
        <v>620</v>
      </c>
      <c r="C148" s="1" t="s">
        <v>1424</v>
      </c>
      <c r="D148" t="str">
        <f t="shared" si="5"/>
        <v>3146,'007996','B6° 4B-II1'</v>
      </c>
      <c r="E148" t="str">
        <f t="shared" si="4"/>
        <v>INSERT INTO grupos (id,matricula,grupo) values (3146,'007996','B6° 4B-II1');</v>
      </c>
    </row>
    <row r="149" spans="1:5" x14ac:dyDescent="0.35">
      <c r="A149">
        <v>3147</v>
      </c>
      <c r="B149" s="1" t="s">
        <v>621</v>
      </c>
      <c r="C149" s="1" t="s">
        <v>1410</v>
      </c>
      <c r="D149" t="str">
        <f t="shared" si="5"/>
        <v>3147,'007997','B 31A'</v>
      </c>
      <c r="E149" t="str">
        <f t="shared" si="4"/>
        <v>INSERT INTO grupos (id,matricula,grupo) values (3147,'007997','B 31A');</v>
      </c>
    </row>
    <row r="150" spans="1:5" x14ac:dyDescent="0.35">
      <c r="A150">
        <v>3148</v>
      </c>
      <c r="B150" s="1" t="s">
        <v>621</v>
      </c>
      <c r="C150" s="1" t="s">
        <v>1421</v>
      </c>
      <c r="D150" t="str">
        <f t="shared" si="5"/>
        <v>3148,'007997','B 332'</v>
      </c>
      <c r="E150" t="str">
        <f t="shared" si="4"/>
        <v>INSERT INTO grupos (id,matricula,grupo) values (3148,'007997','B 332');</v>
      </c>
    </row>
    <row r="151" spans="1:5" x14ac:dyDescent="0.35">
      <c r="A151">
        <v>3149</v>
      </c>
      <c r="B151" s="1" t="s">
        <v>621</v>
      </c>
      <c r="C151" s="1" t="s">
        <v>1411</v>
      </c>
      <c r="D151" t="str">
        <f t="shared" si="5"/>
        <v>3149,'007997','B ESTADISA'</v>
      </c>
      <c r="E151" t="str">
        <f t="shared" si="4"/>
        <v>INSERT INTO grupos (id,matricula,grupo) values (3149,'007997','B ESTADISA');</v>
      </c>
    </row>
    <row r="152" spans="1:5" x14ac:dyDescent="0.35">
      <c r="A152">
        <v>3150</v>
      </c>
      <c r="B152" s="1" t="s">
        <v>621</v>
      </c>
      <c r="C152" s="1" t="s">
        <v>1413</v>
      </c>
      <c r="D152" t="str">
        <f t="shared" si="5"/>
        <v>3150,'007997','B6° 4A-II1'</v>
      </c>
      <c r="E152" t="str">
        <f t="shared" si="4"/>
        <v>INSERT INTO grupos (id,matricula,grupo) values (3150,'007997','B6° 4A-II1');</v>
      </c>
    </row>
    <row r="153" spans="1:5" x14ac:dyDescent="0.35">
      <c r="A153">
        <v>3151</v>
      </c>
      <c r="B153" s="1" t="s">
        <v>622</v>
      </c>
      <c r="C153" s="1" t="s">
        <v>1425</v>
      </c>
      <c r="D153" t="str">
        <f t="shared" si="5"/>
        <v>3151,'007998','B 223'</v>
      </c>
      <c r="E153" t="str">
        <f t="shared" si="4"/>
        <v>INSERT INTO grupos (id,matricula,grupo) values (3151,'007998','B 223');</v>
      </c>
    </row>
    <row r="154" spans="1:5" x14ac:dyDescent="0.35">
      <c r="A154">
        <v>3152</v>
      </c>
      <c r="B154" s="1" t="s">
        <v>622</v>
      </c>
      <c r="C154" s="1" t="s">
        <v>1426</v>
      </c>
      <c r="D154" t="str">
        <f t="shared" si="5"/>
        <v>3152,'007998','B 22A'</v>
      </c>
      <c r="E154" t="str">
        <f t="shared" si="4"/>
        <v>INSERT INTO grupos (id,matricula,grupo) values (3152,'007998','B 22A');</v>
      </c>
    </row>
    <row r="155" spans="1:5" x14ac:dyDescent="0.35">
      <c r="A155">
        <v>3153</v>
      </c>
      <c r="B155" s="1" t="s">
        <v>622</v>
      </c>
      <c r="C155" s="1" t="s">
        <v>1427</v>
      </c>
      <c r="D155" t="str">
        <f t="shared" si="5"/>
        <v>3153,'007998','B4° 4A-II'</v>
      </c>
      <c r="E155" t="str">
        <f t="shared" si="4"/>
        <v>INSERT INTO grupos (id,matricula,grupo) values (3153,'007998','B4° 4A-II');</v>
      </c>
    </row>
    <row r="156" spans="1:5" x14ac:dyDescent="0.35">
      <c r="A156">
        <v>3154</v>
      </c>
      <c r="B156" s="1" t="s">
        <v>623</v>
      </c>
      <c r="C156" s="1" t="s">
        <v>1421</v>
      </c>
      <c r="D156" t="str">
        <f t="shared" si="5"/>
        <v>3154,'007999','B 332'</v>
      </c>
      <c r="E156" t="str">
        <f t="shared" si="4"/>
        <v>INSERT INTO grupos (id,matricula,grupo) values (3154,'007999','B 332');</v>
      </c>
    </row>
    <row r="157" spans="1:5" x14ac:dyDescent="0.35">
      <c r="A157">
        <v>3155</v>
      </c>
      <c r="B157" s="1" t="s">
        <v>623</v>
      </c>
      <c r="C157" s="1" t="s">
        <v>1418</v>
      </c>
      <c r="D157" t="str">
        <f t="shared" si="5"/>
        <v>3155,'007999','B 35'</v>
      </c>
      <c r="E157" t="str">
        <f t="shared" si="4"/>
        <v>INSERT INTO grupos (id,matricula,grupo) values (3155,'007999','B 35');</v>
      </c>
    </row>
    <row r="158" spans="1:5" x14ac:dyDescent="0.35">
      <c r="A158">
        <v>3156</v>
      </c>
      <c r="B158" s="1" t="s">
        <v>623</v>
      </c>
      <c r="C158" s="1" t="s">
        <v>1419</v>
      </c>
      <c r="D158" t="str">
        <f t="shared" si="5"/>
        <v>3156,'007999','B CALINTE'</v>
      </c>
      <c r="E158" t="str">
        <f t="shared" si="4"/>
        <v>INSERT INTO grupos (id,matricula,grupo) values (3156,'007999','B CALINTE');</v>
      </c>
    </row>
    <row r="159" spans="1:5" x14ac:dyDescent="0.35">
      <c r="A159">
        <v>3157</v>
      </c>
      <c r="B159" s="1" t="s">
        <v>623</v>
      </c>
      <c r="C159" s="1" t="s">
        <v>1413</v>
      </c>
      <c r="D159" t="str">
        <f t="shared" si="5"/>
        <v>3157,'007999','B6° 4A-II1'</v>
      </c>
      <c r="E159" t="str">
        <f t="shared" si="4"/>
        <v>INSERT INTO grupos (id,matricula,grupo) values (3157,'007999','B6° 4A-II1');</v>
      </c>
    </row>
    <row r="160" spans="1:5" x14ac:dyDescent="0.35">
      <c r="A160">
        <v>3158</v>
      </c>
      <c r="B160" s="1" t="s">
        <v>624</v>
      </c>
      <c r="C160" s="1" t="s">
        <v>1406</v>
      </c>
      <c r="D160" t="str">
        <f t="shared" si="5"/>
        <v>3158,'008001','B 32A'</v>
      </c>
      <c r="E160" t="str">
        <f t="shared" si="4"/>
        <v>INSERT INTO grupos (id,matricula,grupo) values (3158,'008001','B 32A');</v>
      </c>
    </row>
    <row r="161" spans="1:5" x14ac:dyDescent="0.35">
      <c r="A161">
        <v>3159</v>
      </c>
      <c r="B161" s="1" t="s">
        <v>624</v>
      </c>
      <c r="C161" s="1" t="s">
        <v>1407</v>
      </c>
      <c r="D161" t="str">
        <f t="shared" si="5"/>
        <v>3159,'008001','B MATFIN A'</v>
      </c>
      <c r="E161" t="str">
        <f t="shared" si="4"/>
        <v>INSERT INTO grupos (id,matricula,grupo) values (3159,'008001','B MATFIN A');</v>
      </c>
    </row>
    <row r="162" spans="1:5" x14ac:dyDescent="0.35">
      <c r="A162">
        <v>3160</v>
      </c>
      <c r="B162" s="1" t="s">
        <v>624</v>
      </c>
      <c r="C162" s="1" t="s">
        <v>1404</v>
      </c>
      <c r="D162" t="str">
        <f t="shared" si="5"/>
        <v>3160,'008001','B334'</v>
      </c>
      <c r="E162" t="str">
        <f t="shared" si="4"/>
        <v>INSERT INTO grupos (id,matricula,grupo) values (3160,'008001','B334');</v>
      </c>
    </row>
    <row r="163" spans="1:5" x14ac:dyDescent="0.35">
      <c r="A163">
        <v>3161</v>
      </c>
      <c r="B163" s="1" t="s">
        <v>624</v>
      </c>
      <c r="C163" s="1" t="s">
        <v>1420</v>
      </c>
      <c r="D163" t="str">
        <f t="shared" si="5"/>
        <v>3161,'008001','B6° 3A-II2'</v>
      </c>
      <c r="E163" t="str">
        <f t="shared" si="4"/>
        <v>INSERT INTO grupos (id,matricula,grupo) values (3161,'008001','B6° 3A-II2');</v>
      </c>
    </row>
    <row r="164" spans="1:5" x14ac:dyDescent="0.35">
      <c r="A164">
        <v>3162</v>
      </c>
      <c r="B164" s="1" t="s">
        <v>625</v>
      </c>
      <c r="C164" s="1" t="s">
        <v>1414</v>
      </c>
      <c r="D164" t="str">
        <f t="shared" si="5"/>
        <v>3162,'008002','B 32B'</v>
      </c>
      <c r="E164" t="str">
        <f t="shared" si="4"/>
        <v>INSERT INTO grupos (id,matricula,grupo) values (3162,'008002','B 32B');</v>
      </c>
    </row>
    <row r="165" spans="1:5" x14ac:dyDescent="0.35">
      <c r="A165">
        <v>3163</v>
      </c>
      <c r="B165" s="1" t="s">
        <v>625</v>
      </c>
      <c r="C165" s="1" t="s">
        <v>1421</v>
      </c>
      <c r="D165" t="str">
        <f t="shared" si="5"/>
        <v>3163,'008002','B 332'</v>
      </c>
      <c r="E165" t="str">
        <f t="shared" si="4"/>
        <v>INSERT INTO grupos (id,matricula,grupo) values (3163,'008002','B 332');</v>
      </c>
    </row>
    <row r="166" spans="1:5" x14ac:dyDescent="0.35">
      <c r="A166">
        <v>3164</v>
      </c>
      <c r="B166" s="1" t="s">
        <v>625</v>
      </c>
      <c r="C166" s="1" t="s">
        <v>1415</v>
      </c>
      <c r="D166" t="str">
        <f t="shared" si="5"/>
        <v>3164,'008002','B MATFIN B'</v>
      </c>
      <c r="E166" t="str">
        <f t="shared" si="4"/>
        <v>INSERT INTO grupos (id,matricula,grupo) values (3164,'008002','B MATFIN B');</v>
      </c>
    </row>
    <row r="167" spans="1:5" x14ac:dyDescent="0.35">
      <c r="A167">
        <v>3165</v>
      </c>
      <c r="B167" s="1" t="s">
        <v>625</v>
      </c>
      <c r="C167" s="1" t="s">
        <v>1423</v>
      </c>
      <c r="D167" t="str">
        <f t="shared" si="5"/>
        <v>3165,'008002','B6° 3A-II1'</v>
      </c>
      <c r="E167" t="str">
        <f t="shared" si="4"/>
        <v>INSERT INTO grupos (id,matricula,grupo) values (3165,'008002','B6° 3A-II1');</v>
      </c>
    </row>
    <row r="168" spans="1:5" x14ac:dyDescent="0.35">
      <c r="A168">
        <v>3166</v>
      </c>
      <c r="B168" s="1" t="s">
        <v>626</v>
      </c>
      <c r="C168" s="1" t="s">
        <v>1414</v>
      </c>
      <c r="D168" t="str">
        <f t="shared" si="5"/>
        <v>3166,'008003','B 32B'</v>
      </c>
      <c r="E168" t="str">
        <f t="shared" si="4"/>
        <v>INSERT INTO grupos (id,matricula,grupo) values (3166,'008003','B 32B');</v>
      </c>
    </row>
    <row r="169" spans="1:5" x14ac:dyDescent="0.35">
      <c r="A169">
        <v>3167</v>
      </c>
      <c r="B169" s="1" t="s">
        <v>626</v>
      </c>
      <c r="C169" s="1" t="s">
        <v>1412</v>
      </c>
      <c r="D169" t="str">
        <f t="shared" si="5"/>
        <v>3167,'008003','B 333'</v>
      </c>
      <c r="E169" t="str">
        <f t="shared" si="4"/>
        <v>INSERT INTO grupos (id,matricula,grupo) values (3167,'008003','B 333');</v>
      </c>
    </row>
    <row r="170" spans="1:5" x14ac:dyDescent="0.35">
      <c r="A170">
        <v>3168</v>
      </c>
      <c r="B170" s="1" t="s">
        <v>626</v>
      </c>
      <c r="C170" s="1" t="s">
        <v>1415</v>
      </c>
      <c r="D170" t="str">
        <f t="shared" si="5"/>
        <v>3168,'008003','B MATFIN B'</v>
      </c>
      <c r="E170" t="str">
        <f t="shared" si="4"/>
        <v>INSERT INTO grupos (id,matricula,grupo) values (3168,'008003','B MATFIN B');</v>
      </c>
    </row>
    <row r="171" spans="1:5" x14ac:dyDescent="0.35">
      <c r="A171">
        <v>3169</v>
      </c>
      <c r="B171" s="1" t="s">
        <v>626</v>
      </c>
      <c r="C171" s="1" t="s">
        <v>1413</v>
      </c>
      <c r="D171" t="str">
        <f t="shared" si="5"/>
        <v>3169,'008003','B6° 4A-II1'</v>
      </c>
      <c r="E171" t="str">
        <f t="shared" si="4"/>
        <v>INSERT INTO grupos (id,matricula,grupo) values (3169,'008003','B6° 4A-II1');</v>
      </c>
    </row>
    <row r="172" spans="1:5" x14ac:dyDescent="0.35">
      <c r="A172">
        <v>3170</v>
      </c>
      <c r="B172" s="1" t="s">
        <v>627</v>
      </c>
      <c r="C172" s="1" t="s">
        <v>1402</v>
      </c>
      <c r="D172" t="str">
        <f t="shared" si="5"/>
        <v>3170,'008004','B 33'</v>
      </c>
      <c r="E172" t="str">
        <f t="shared" si="4"/>
        <v>INSERT INTO grupos (id,matricula,grupo) values (3170,'008004','B 33');</v>
      </c>
    </row>
    <row r="173" spans="1:5" x14ac:dyDescent="0.35">
      <c r="A173">
        <v>3171</v>
      </c>
      <c r="B173" s="1" t="s">
        <v>627</v>
      </c>
      <c r="C173" s="1" t="s">
        <v>1412</v>
      </c>
      <c r="D173" t="str">
        <f t="shared" si="5"/>
        <v>3171,'008004','B 333'</v>
      </c>
      <c r="E173" t="str">
        <f t="shared" si="4"/>
        <v>INSERT INTO grupos (id,matricula,grupo) values (3171,'008004','B 333');</v>
      </c>
    </row>
    <row r="174" spans="1:5" x14ac:dyDescent="0.35">
      <c r="A174">
        <v>3172</v>
      </c>
      <c r="B174" s="1" t="s">
        <v>627</v>
      </c>
      <c r="C174" s="1" t="s">
        <v>1411</v>
      </c>
      <c r="D174" t="str">
        <f t="shared" si="5"/>
        <v>3172,'008004','B ESTADISA'</v>
      </c>
      <c r="E174" t="str">
        <f t="shared" si="4"/>
        <v>INSERT INTO grupos (id,matricula,grupo) values (3172,'008004','B ESTADISA');</v>
      </c>
    </row>
    <row r="175" spans="1:5" x14ac:dyDescent="0.35">
      <c r="A175">
        <v>3173</v>
      </c>
      <c r="B175" s="1" t="s">
        <v>627</v>
      </c>
      <c r="C175" s="1" t="s">
        <v>1424</v>
      </c>
      <c r="D175" t="str">
        <f t="shared" si="5"/>
        <v>3173,'008004','B6° 4B-II1'</v>
      </c>
      <c r="E175" t="str">
        <f t="shared" si="4"/>
        <v>INSERT INTO grupos (id,matricula,grupo) values (3173,'008004','B6° 4B-II1');</v>
      </c>
    </row>
    <row r="176" spans="1:5" x14ac:dyDescent="0.35">
      <c r="A176">
        <v>3174</v>
      </c>
      <c r="B176" s="1" t="s">
        <v>628</v>
      </c>
      <c r="C176" s="1" t="s">
        <v>1422</v>
      </c>
      <c r="D176" t="str">
        <f t="shared" si="5"/>
        <v>3174,'008005','B 34'</v>
      </c>
      <c r="E176" t="str">
        <f t="shared" si="4"/>
        <v>INSERT INTO grupos (id,matricula,grupo) values (3174,'008005','B 34');</v>
      </c>
    </row>
    <row r="177" spans="1:5" x14ac:dyDescent="0.35">
      <c r="A177">
        <v>3175</v>
      </c>
      <c r="B177" s="1" t="s">
        <v>628</v>
      </c>
      <c r="C177" s="1" t="s">
        <v>1408</v>
      </c>
      <c r="D177" t="str">
        <f t="shared" si="5"/>
        <v>3175,'008005','B ESTADISB'</v>
      </c>
      <c r="E177" t="str">
        <f t="shared" si="4"/>
        <v>INSERT INTO grupos (id,matricula,grupo) values (3175,'008005','B ESTADISB');</v>
      </c>
    </row>
    <row r="178" spans="1:5" x14ac:dyDescent="0.35">
      <c r="A178">
        <v>3176</v>
      </c>
      <c r="B178" s="1" t="s">
        <v>628</v>
      </c>
      <c r="C178" s="1" t="s">
        <v>1404</v>
      </c>
      <c r="D178" t="str">
        <f t="shared" si="5"/>
        <v>3176,'008005','B334'</v>
      </c>
      <c r="E178" t="str">
        <f t="shared" si="4"/>
        <v>INSERT INTO grupos (id,matricula,grupo) values (3176,'008005','B334');</v>
      </c>
    </row>
    <row r="179" spans="1:5" x14ac:dyDescent="0.35">
      <c r="A179">
        <v>3177</v>
      </c>
      <c r="B179" s="1" t="s">
        <v>628</v>
      </c>
      <c r="C179" s="1" t="s">
        <v>1405</v>
      </c>
      <c r="D179" t="str">
        <f t="shared" si="5"/>
        <v>3177,'008005','B6° 4B-II2'</v>
      </c>
      <c r="E179" t="str">
        <f t="shared" si="4"/>
        <v>INSERT INTO grupos (id,matricula,grupo) values (3177,'008005','B6° 4B-II2');</v>
      </c>
    </row>
    <row r="180" spans="1:5" x14ac:dyDescent="0.35">
      <c r="A180">
        <v>3178</v>
      </c>
      <c r="B180" s="1" t="s">
        <v>629</v>
      </c>
      <c r="C180" s="1" t="s">
        <v>1414</v>
      </c>
      <c r="D180" t="str">
        <f t="shared" si="5"/>
        <v>3178,'008006','B 32B'</v>
      </c>
      <c r="E180" t="str">
        <f t="shared" si="4"/>
        <v>INSERT INTO grupos (id,matricula,grupo) values (3178,'008006','B 32B');</v>
      </c>
    </row>
    <row r="181" spans="1:5" x14ac:dyDescent="0.35">
      <c r="A181">
        <v>3179</v>
      </c>
      <c r="B181" s="1" t="s">
        <v>629</v>
      </c>
      <c r="C181" s="1" t="s">
        <v>1415</v>
      </c>
      <c r="D181" t="str">
        <f t="shared" si="5"/>
        <v>3179,'008006','B MATFIN B'</v>
      </c>
      <c r="E181" t="str">
        <f t="shared" si="4"/>
        <v>INSERT INTO grupos (id,matricula,grupo) values (3179,'008006','B MATFIN B');</v>
      </c>
    </row>
    <row r="182" spans="1:5" x14ac:dyDescent="0.35">
      <c r="A182">
        <v>3180</v>
      </c>
      <c r="B182" s="1" t="s">
        <v>629</v>
      </c>
      <c r="C182" s="1" t="s">
        <v>1409</v>
      </c>
      <c r="D182" t="str">
        <f t="shared" si="5"/>
        <v>3180,'008006','B335'</v>
      </c>
      <c r="E182" t="str">
        <f t="shared" si="4"/>
        <v>INSERT INTO grupos (id,matricula,grupo) values (3180,'008006','B335');</v>
      </c>
    </row>
    <row r="183" spans="1:5" x14ac:dyDescent="0.35">
      <c r="A183">
        <v>3181</v>
      </c>
      <c r="B183" s="1" t="s">
        <v>629</v>
      </c>
      <c r="C183" s="1" t="s">
        <v>1416</v>
      </c>
      <c r="D183" t="str">
        <f t="shared" si="5"/>
        <v>3181,'008006','B6° 3B-II2'</v>
      </c>
      <c r="E183" t="str">
        <f t="shared" si="4"/>
        <v>INSERT INTO grupos (id,matricula,grupo) values (3181,'008006','B6° 3B-II2');</v>
      </c>
    </row>
    <row r="184" spans="1:5" x14ac:dyDescent="0.35">
      <c r="A184">
        <v>3182</v>
      </c>
      <c r="B184" s="1" t="s">
        <v>630</v>
      </c>
      <c r="C184" s="1" t="s">
        <v>1402</v>
      </c>
      <c r="D184" t="str">
        <f t="shared" si="5"/>
        <v>3182,'008007','B 33'</v>
      </c>
      <c r="E184" t="str">
        <f t="shared" si="4"/>
        <v>INSERT INTO grupos (id,matricula,grupo) values (3182,'008007','B 33');</v>
      </c>
    </row>
    <row r="185" spans="1:5" x14ac:dyDescent="0.35">
      <c r="A185">
        <v>3183</v>
      </c>
      <c r="B185" s="1" t="s">
        <v>630</v>
      </c>
      <c r="C185" s="1" t="s">
        <v>1412</v>
      </c>
      <c r="D185" t="str">
        <f t="shared" si="5"/>
        <v>3183,'008007','B 333'</v>
      </c>
      <c r="E185" t="str">
        <f t="shared" si="4"/>
        <v>INSERT INTO grupos (id,matricula,grupo) values (3183,'008007','B 333');</v>
      </c>
    </row>
    <row r="186" spans="1:5" x14ac:dyDescent="0.35">
      <c r="A186">
        <v>3184</v>
      </c>
      <c r="B186" s="1" t="s">
        <v>630</v>
      </c>
      <c r="C186" s="1" t="s">
        <v>1411</v>
      </c>
      <c r="D186" t="str">
        <f t="shared" si="5"/>
        <v>3184,'008007','B ESTADISA'</v>
      </c>
      <c r="E186" t="str">
        <f t="shared" si="4"/>
        <v>INSERT INTO grupos (id,matricula,grupo) values (3184,'008007','B ESTADISA');</v>
      </c>
    </row>
    <row r="187" spans="1:5" x14ac:dyDescent="0.35">
      <c r="A187">
        <v>3185</v>
      </c>
      <c r="B187" s="1" t="s">
        <v>630</v>
      </c>
      <c r="C187" s="1" t="s">
        <v>1424</v>
      </c>
      <c r="D187" t="str">
        <f t="shared" si="5"/>
        <v>3185,'008007','B6° 4B-II1'</v>
      </c>
      <c r="E187" t="str">
        <f t="shared" si="4"/>
        <v>INSERT INTO grupos (id,matricula,grupo) values (3185,'008007','B6° 4B-II1');</v>
      </c>
    </row>
    <row r="188" spans="1:5" x14ac:dyDescent="0.35">
      <c r="A188">
        <v>3186</v>
      </c>
      <c r="B188" s="1" t="s">
        <v>631</v>
      </c>
      <c r="C188" s="1" t="s">
        <v>1414</v>
      </c>
      <c r="D188" t="str">
        <f t="shared" si="5"/>
        <v>3186,'008008','B 32B'</v>
      </c>
      <c r="E188" t="str">
        <f t="shared" si="4"/>
        <v>INSERT INTO grupos (id,matricula,grupo) values (3186,'008008','B 32B');</v>
      </c>
    </row>
    <row r="189" spans="1:5" x14ac:dyDescent="0.35">
      <c r="A189">
        <v>3187</v>
      </c>
      <c r="B189" s="1" t="s">
        <v>631</v>
      </c>
      <c r="C189" s="1" t="s">
        <v>1421</v>
      </c>
      <c r="D189" t="str">
        <f t="shared" si="5"/>
        <v>3187,'008008','B 332'</v>
      </c>
      <c r="E189" t="str">
        <f t="shared" si="4"/>
        <v>INSERT INTO grupos (id,matricula,grupo) values (3187,'008008','B 332');</v>
      </c>
    </row>
    <row r="190" spans="1:5" x14ac:dyDescent="0.35">
      <c r="A190">
        <v>3188</v>
      </c>
      <c r="B190" s="1" t="s">
        <v>631</v>
      </c>
      <c r="C190" s="1" t="s">
        <v>1415</v>
      </c>
      <c r="D190" t="str">
        <f t="shared" si="5"/>
        <v>3188,'008008','B MATFIN B'</v>
      </c>
      <c r="E190" t="str">
        <f t="shared" si="4"/>
        <v>INSERT INTO grupos (id,matricula,grupo) values (3188,'008008','B MATFIN B');</v>
      </c>
    </row>
    <row r="191" spans="1:5" x14ac:dyDescent="0.35">
      <c r="A191">
        <v>3189</v>
      </c>
      <c r="B191" s="1" t="s">
        <v>631</v>
      </c>
      <c r="C191" s="1" t="s">
        <v>1424</v>
      </c>
      <c r="D191" t="str">
        <f t="shared" si="5"/>
        <v>3189,'008008','B6° 4B-II1'</v>
      </c>
      <c r="E191" t="str">
        <f t="shared" si="4"/>
        <v>INSERT INTO grupos (id,matricula,grupo) values (3189,'008008','B6° 4B-II1');</v>
      </c>
    </row>
    <row r="192" spans="1:5" x14ac:dyDescent="0.35">
      <c r="A192">
        <v>3190</v>
      </c>
      <c r="B192" s="1" t="s">
        <v>632</v>
      </c>
      <c r="C192" s="1" t="s">
        <v>1417</v>
      </c>
      <c r="D192" t="str">
        <f t="shared" si="5"/>
        <v>3190,'008009','B 331'</v>
      </c>
      <c r="E192" t="str">
        <f t="shared" si="4"/>
        <v>INSERT INTO grupos (id,matricula,grupo) values (3190,'008009','B 331');</v>
      </c>
    </row>
    <row r="193" spans="1:5" x14ac:dyDescent="0.35">
      <c r="A193">
        <v>3191</v>
      </c>
      <c r="B193" s="1" t="s">
        <v>632</v>
      </c>
      <c r="C193" s="1" t="s">
        <v>1418</v>
      </c>
      <c r="D193" t="str">
        <f t="shared" si="5"/>
        <v>3191,'008009','B 35'</v>
      </c>
      <c r="E193" t="str">
        <f t="shared" si="4"/>
        <v>INSERT INTO grupos (id,matricula,grupo) values (3191,'008009','B 35');</v>
      </c>
    </row>
    <row r="194" spans="1:5" x14ac:dyDescent="0.35">
      <c r="A194">
        <v>3192</v>
      </c>
      <c r="B194" s="1" t="s">
        <v>632</v>
      </c>
      <c r="C194" s="1" t="s">
        <v>1419</v>
      </c>
      <c r="D194" t="str">
        <f t="shared" si="5"/>
        <v>3192,'008009','B CALINTE'</v>
      </c>
      <c r="E194" t="str">
        <f t="shared" ref="E194:E257" si="6">CONCATENATE($D$1,D194,");")</f>
        <v>INSERT INTO grupos (id,matricula,grupo) values (3192,'008009','B CALINTE');</v>
      </c>
    </row>
    <row r="195" spans="1:5" x14ac:dyDescent="0.35">
      <c r="A195">
        <v>3193</v>
      </c>
      <c r="B195" s="1" t="s">
        <v>633</v>
      </c>
      <c r="C195" s="1" t="s">
        <v>1402</v>
      </c>
      <c r="D195" t="str">
        <f t="shared" ref="D195:D258" si="7">CONCATENATE(A195,",",B195,",",C195,"")</f>
        <v>3193,'008010','B 33'</v>
      </c>
      <c r="E195" t="str">
        <f t="shared" si="6"/>
        <v>INSERT INTO grupos (id,matricula,grupo) values (3193,'008010','B 33');</v>
      </c>
    </row>
    <row r="196" spans="1:5" x14ac:dyDescent="0.35">
      <c r="A196">
        <v>3194</v>
      </c>
      <c r="B196" s="1" t="s">
        <v>633</v>
      </c>
      <c r="C196" s="1" t="s">
        <v>1412</v>
      </c>
      <c r="D196" t="str">
        <f t="shared" si="7"/>
        <v>3194,'008010','B 333'</v>
      </c>
      <c r="E196" t="str">
        <f t="shared" si="6"/>
        <v>INSERT INTO grupos (id,matricula,grupo) values (3194,'008010','B 333');</v>
      </c>
    </row>
    <row r="197" spans="1:5" x14ac:dyDescent="0.35">
      <c r="A197">
        <v>3195</v>
      </c>
      <c r="B197" s="1" t="s">
        <v>633</v>
      </c>
      <c r="C197" s="1" t="s">
        <v>1408</v>
      </c>
      <c r="D197" t="str">
        <f t="shared" si="7"/>
        <v>3195,'008010','B ESTADISB'</v>
      </c>
      <c r="E197" t="str">
        <f t="shared" si="6"/>
        <v>INSERT INTO grupos (id,matricula,grupo) values (3195,'008010','B ESTADISB');</v>
      </c>
    </row>
    <row r="198" spans="1:5" x14ac:dyDescent="0.35">
      <c r="A198">
        <v>3196</v>
      </c>
      <c r="B198" s="1" t="s">
        <v>633</v>
      </c>
      <c r="C198" s="1" t="s">
        <v>1423</v>
      </c>
      <c r="D198" t="str">
        <f t="shared" si="7"/>
        <v>3196,'008010','B6° 3A-II1'</v>
      </c>
      <c r="E198" t="str">
        <f t="shared" si="6"/>
        <v>INSERT INTO grupos (id,matricula,grupo) values (3196,'008010','B6° 3A-II1');</v>
      </c>
    </row>
    <row r="199" spans="1:5" x14ac:dyDescent="0.35">
      <c r="A199">
        <v>3197</v>
      </c>
      <c r="B199" s="1" t="s">
        <v>634</v>
      </c>
      <c r="C199" s="1" t="s">
        <v>1402</v>
      </c>
      <c r="D199" t="str">
        <f t="shared" si="7"/>
        <v>3197,'008013','B 33'</v>
      </c>
      <c r="E199" t="str">
        <f t="shared" si="6"/>
        <v>INSERT INTO grupos (id,matricula,grupo) values (3197,'008013','B 33');</v>
      </c>
    </row>
    <row r="200" spans="1:5" x14ac:dyDescent="0.35">
      <c r="A200">
        <v>3198</v>
      </c>
      <c r="B200" s="1" t="s">
        <v>634</v>
      </c>
      <c r="C200" s="1" t="s">
        <v>1411</v>
      </c>
      <c r="D200" t="str">
        <f t="shared" si="7"/>
        <v>3198,'008013','B ESTADISA'</v>
      </c>
      <c r="E200" t="str">
        <f t="shared" si="6"/>
        <v>INSERT INTO grupos (id,matricula,grupo) values (3198,'008013','B ESTADISA');</v>
      </c>
    </row>
    <row r="201" spans="1:5" x14ac:dyDescent="0.35">
      <c r="A201">
        <v>3199</v>
      </c>
      <c r="B201" s="1" t="s">
        <v>634</v>
      </c>
      <c r="C201" s="1" t="s">
        <v>1409</v>
      </c>
      <c r="D201" t="str">
        <f t="shared" si="7"/>
        <v>3199,'008013','B335'</v>
      </c>
      <c r="E201" t="str">
        <f t="shared" si="6"/>
        <v>INSERT INTO grupos (id,matricula,grupo) values (3199,'008013','B335');</v>
      </c>
    </row>
    <row r="202" spans="1:5" x14ac:dyDescent="0.35">
      <c r="A202">
        <v>3200</v>
      </c>
      <c r="B202" s="1" t="s">
        <v>634</v>
      </c>
      <c r="C202" s="1" t="s">
        <v>1420</v>
      </c>
      <c r="D202" t="str">
        <f t="shared" si="7"/>
        <v>3200,'008013','B6° 3A-II2'</v>
      </c>
      <c r="E202" t="str">
        <f t="shared" si="6"/>
        <v>INSERT INTO grupos (id,matricula,grupo) values (3200,'008013','B6° 3A-II2');</v>
      </c>
    </row>
    <row r="203" spans="1:5" x14ac:dyDescent="0.35">
      <c r="A203">
        <v>3201</v>
      </c>
      <c r="B203" s="1" t="s">
        <v>635</v>
      </c>
      <c r="C203" s="1" t="s">
        <v>1406</v>
      </c>
      <c r="D203" t="str">
        <f t="shared" si="7"/>
        <v>3201,'008015','B 32A'</v>
      </c>
      <c r="E203" t="str">
        <f t="shared" si="6"/>
        <v>INSERT INTO grupos (id,matricula,grupo) values (3201,'008015','B 32A');</v>
      </c>
    </row>
    <row r="204" spans="1:5" x14ac:dyDescent="0.35">
      <c r="A204">
        <v>3202</v>
      </c>
      <c r="B204" s="1" t="s">
        <v>635</v>
      </c>
      <c r="C204" s="1" t="s">
        <v>1421</v>
      </c>
      <c r="D204" t="str">
        <f t="shared" si="7"/>
        <v>3202,'008015','B 332'</v>
      </c>
      <c r="E204" t="str">
        <f t="shared" si="6"/>
        <v>INSERT INTO grupos (id,matricula,grupo) values (3202,'008015','B 332');</v>
      </c>
    </row>
    <row r="205" spans="1:5" x14ac:dyDescent="0.35">
      <c r="A205">
        <v>3203</v>
      </c>
      <c r="B205" s="1" t="s">
        <v>635</v>
      </c>
      <c r="C205" s="1" t="s">
        <v>1407</v>
      </c>
      <c r="D205" t="str">
        <f t="shared" si="7"/>
        <v>3203,'008015','B MATFIN A'</v>
      </c>
      <c r="E205" t="str">
        <f t="shared" si="6"/>
        <v>INSERT INTO grupos (id,matricula,grupo) values (3203,'008015','B MATFIN A');</v>
      </c>
    </row>
    <row r="206" spans="1:5" x14ac:dyDescent="0.35">
      <c r="A206">
        <v>3204</v>
      </c>
      <c r="B206" s="1" t="s">
        <v>635</v>
      </c>
      <c r="C206" s="1" t="s">
        <v>1413</v>
      </c>
      <c r="D206" t="str">
        <f t="shared" si="7"/>
        <v>3204,'008015','B6° 4A-II1'</v>
      </c>
      <c r="E206" t="str">
        <f t="shared" si="6"/>
        <v>INSERT INTO grupos (id,matricula,grupo) values (3204,'008015','B6° 4A-II1');</v>
      </c>
    </row>
    <row r="207" spans="1:5" x14ac:dyDescent="0.35">
      <c r="A207">
        <v>3205</v>
      </c>
      <c r="B207" s="1" t="s">
        <v>636</v>
      </c>
      <c r="C207" s="1" t="s">
        <v>1410</v>
      </c>
      <c r="D207" t="str">
        <f t="shared" si="7"/>
        <v>3205,'008016','B 31A'</v>
      </c>
      <c r="E207" t="str">
        <f t="shared" si="6"/>
        <v>INSERT INTO grupos (id,matricula,grupo) values (3205,'008016','B 31A');</v>
      </c>
    </row>
    <row r="208" spans="1:5" x14ac:dyDescent="0.35">
      <c r="A208">
        <v>3206</v>
      </c>
      <c r="B208" s="1" t="s">
        <v>636</v>
      </c>
      <c r="C208" s="1" t="s">
        <v>1411</v>
      </c>
      <c r="D208" t="str">
        <f t="shared" si="7"/>
        <v>3206,'008016','B ESTADISA'</v>
      </c>
      <c r="E208" t="str">
        <f t="shared" si="6"/>
        <v>INSERT INTO grupos (id,matricula,grupo) values (3206,'008016','B ESTADISA');</v>
      </c>
    </row>
    <row r="209" spans="1:5" x14ac:dyDescent="0.35">
      <c r="A209">
        <v>3207</v>
      </c>
      <c r="B209" s="1" t="s">
        <v>636</v>
      </c>
      <c r="C209" s="1" t="s">
        <v>1409</v>
      </c>
      <c r="D209" t="str">
        <f t="shared" si="7"/>
        <v>3207,'008016','B335'</v>
      </c>
      <c r="E209" t="str">
        <f t="shared" si="6"/>
        <v>INSERT INTO grupos (id,matricula,grupo) values (3207,'008016','B335');</v>
      </c>
    </row>
    <row r="210" spans="1:5" x14ac:dyDescent="0.35">
      <c r="A210">
        <v>3208</v>
      </c>
      <c r="B210" s="1" t="s">
        <v>636</v>
      </c>
      <c r="C210" s="1" t="s">
        <v>1416</v>
      </c>
      <c r="D210" t="str">
        <f t="shared" si="7"/>
        <v>3208,'008016','B6° 3B-II2'</v>
      </c>
      <c r="E210" t="str">
        <f t="shared" si="6"/>
        <v>INSERT INTO grupos (id,matricula,grupo) values (3208,'008016','B6° 3B-II2');</v>
      </c>
    </row>
    <row r="211" spans="1:5" x14ac:dyDescent="0.35">
      <c r="A211">
        <v>3209</v>
      </c>
      <c r="B211" s="1" t="s">
        <v>637</v>
      </c>
      <c r="C211" s="1" t="s">
        <v>1410</v>
      </c>
      <c r="D211" t="str">
        <f t="shared" si="7"/>
        <v>3209,'008017','B 31A'</v>
      </c>
      <c r="E211" t="str">
        <f t="shared" si="6"/>
        <v>INSERT INTO grupos (id,matricula,grupo) values (3209,'008017','B 31A');</v>
      </c>
    </row>
    <row r="212" spans="1:5" x14ac:dyDescent="0.35">
      <c r="A212">
        <v>3210</v>
      </c>
      <c r="B212" s="1" t="s">
        <v>637</v>
      </c>
      <c r="C212" s="1" t="s">
        <v>1412</v>
      </c>
      <c r="D212" t="str">
        <f t="shared" si="7"/>
        <v>3210,'008017','B 333'</v>
      </c>
      <c r="E212" t="str">
        <f t="shared" si="6"/>
        <v>INSERT INTO grupos (id,matricula,grupo) values (3210,'008017','B 333');</v>
      </c>
    </row>
    <row r="213" spans="1:5" x14ac:dyDescent="0.35">
      <c r="A213">
        <v>3211</v>
      </c>
      <c r="B213" s="1" t="s">
        <v>637</v>
      </c>
      <c r="C213" s="1" t="s">
        <v>1403</v>
      </c>
      <c r="D213" t="str">
        <f t="shared" si="7"/>
        <v>3211,'008017','B ESTADISC'</v>
      </c>
      <c r="E213" t="str">
        <f t="shared" si="6"/>
        <v>INSERT INTO grupos (id,matricula,grupo) values (3211,'008017','B ESTADISC');</v>
      </c>
    </row>
    <row r="214" spans="1:5" x14ac:dyDescent="0.35">
      <c r="A214">
        <v>3212</v>
      </c>
      <c r="B214" s="1" t="s">
        <v>637</v>
      </c>
      <c r="C214" s="1" t="s">
        <v>1423</v>
      </c>
      <c r="D214" t="str">
        <f t="shared" si="7"/>
        <v>3212,'008017','B6° 3A-II1'</v>
      </c>
      <c r="E214" t="str">
        <f t="shared" si="6"/>
        <v>INSERT INTO grupos (id,matricula,grupo) values (3212,'008017','B6° 3A-II1');</v>
      </c>
    </row>
    <row r="215" spans="1:5" x14ac:dyDescent="0.35">
      <c r="A215">
        <v>3213</v>
      </c>
      <c r="B215" s="1" t="s">
        <v>638</v>
      </c>
      <c r="C215" s="1" t="s">
        <v>1406</v>
      </c>
      <c r="D215" t="str">
        <f t="shared" si="7"/>
        <v>3213,'008019','B 32A'</v>
      </c>
      <c r="E215" t="str">
        <f t="shared" si="6"/>
        <v>INSERT INTO grupos (id,matricula,grupo) values (3213,'008019','B 32A');</v>
      </c>
    </row>
    <row r="216" spans="1:5" x14ac:dyDescent="0.35">
      <c r="A216">
        <v>3214</v>
      </c>
      <c r="B216" s="1" t="s">
        <v>638</v>
      </c>
      <c r="C216" s="1" t="s">
        <v>1407</v>
      </c>
      <c r="D216" t="str">
        <f t="shared" si="7"/>
        <v>3214,'008019','B MATFIN A'</v>
      </c>
      <c r="E216" t="str">
        <f t="shared" si="6"/>
        <v>INSERT INTO grupos (id,matricula,grupo) values (3214,'008019','B MATFIN A');</v>
      </c>
    </row>
    <row r="217" spans="1:5" x14ac:dyDescent="0.35">
      <c r="A217">
        <v>3215</v>
      </c>
      <c r="B217" s="1" t="s">
        <v>638</v>
      </c>
      <c r="C217" s="1" t="s">
        <v>1409</v>
      </c>
      <c r="D217" t="str">
        <f t="shared" si="7"/>
        <v>3215,'008019','B335'</v>
      </c>
      <c r="E217" t="str">
        <f t="shared" si="6"/>
        <v>INSERT INTO grupos (id,matricula,grupo) values (3215,'008019','B335');</v>
      </c>
    </row>
    <row r="218" spans="1:5" x14ac:dyDescent="0.35">
      <c r="A218">
        <v>3216</v>
      </c>
      <c r="B218" s="1" t="s">
        <v>638</v>
      </c>
      <c r="C218" s="1" t="s">
        <v>1420</v>
      </c>
      <c r="D218" t="str">
        <f t="shared" si="7"/>
        <v>3216,'008019','B6° 3A-II2'</v>
      </c>
      <c r="E218" t="str">
        <f t="shared" si="6"/>
        <v>INSERT INTO grupos (id,matricula,grupo) values (3216,'008019','B6° 3A-II2');</v>
      </c>
    </row>
    <row r="219" spans="1:5" x14ac:dyDescent="0.35">
      <c r="A219">
        <v>3217</v>
      </c>
      <c r="B219" s="1" t="s">
        <v>639</v>
      </c>
      <c r="C219" s="1" t="s">
        <v>1410</v>
      </c>
      <c r="D219" t="str">
        <f t="shared" si="7"/>
        <v>3217,'008020','B 31A'</v>
      </c>
      <c r="E219" t="str">
        <f t="shared" si="6"/>
        <v>INSERT INTO grupos (id,matricula,grupo) values (3217,'008020','B 31A');</v>
      </c>
    </row>
    <row r="220" spans="1:5" x14ac:dyDescent="0.35">
      <c r="A220">
        <v>3218</v>
      </c>
      <c r="B220" s="1" t="s">
        <v>639</v>
      </c>
      <c r="C220" s="1" t="s">
        <v>1411</v>
      </c>
      <c r="D220" t="str">
        <f t="shared" si="7"/>
        <v>3218,'008020','B ESTADISA'</v>
      </c>
      <c r="E220" t="str">
        <f t="shared" si="6"/>
        <v>INSERT INTO grupos (id,matricula,grupo) values (3218,'008020','B ESTADISA');</v>
      </c>
    </row>
    <row r="221" spans="1:5" x14ac:dyDescent="0.35">
      <c r="A221">
        <v>3219</v>
      </c>
      <c r="B221" s="1" t="s">
        <v>639</v>
      </c>
      <c r="C221" s="1" t="s">
        <v>1404</v>
      </c>
      <c r="D221" t="str">
        <f t="shared" si="7"/>
        <v>3219,'008020','B334'</v>
      </c>
      <c r="E221" t="str">
        <f t="shared" si="6"/>
        <v>INSERT INTO grupos (id,matricula,grupo) values (3219,'008020','B334');</v>
      </c>
    </row>
    <row r="222" spans="1:5" x14ac:dyDescent="0.35">
      <c r="A222">
        <v>3220</v>
      </c>
      <c r="B222" s="1" t="s">
        <v>639</v>
      </c>
      <c r="C222" s="1" t="s">
        <v>1416</v>
      </c>
      <c r="D222" t="str">
        <f t="shared" si="7"/>
        <v>3220,'008020','B6° 3B-II2'</v>
      </c>
      <c r="E222" t="str">
        <f t="shared" si="6"/>
        <v>INSERT INTO grupos (id,matricula,grupo) values (3220,'008020','B6° 3B-II2');</v>
      </c>
    </row>
    <row r="223" spans="1:5" x14ac:dyDescent="0.35">
      <c r="A223">
        <v>3221</v>
      </c>
      <c r="B223" s="1" t="s">
        <v>640</v>
      </c>
      <c r="C223" s="1" t="s">
        <v>1410</v>
      </c>
      <c r="D223" t="str">
        <f t="shared" si="7"/>
        <v>3221,'008021','B 31A'</v>
      </c>
      <c r="E223" t="str">
        <f t="shared" si="6"/>
        <v>INSERT INTO grupos (id,matricula,grupo) values (3221,'008021','B 31A');</v>
      </c>
    </row>
    <row r="224" spans="1:5" x14ac:dyDescent="0.35">
      <c r="A224">
        <v>3222</v>
      </c>
      <c r="B224" s="1" t="s">
        <v>640</v>
      </c>
      <c r="C224" s="1" t="s">
        <v>1403</v>
      </c>
      <c r="D224" t="str">
        <f t="shared" si="7"/>
        <v>3222,'008021','B ESTADISC'</v>
      </c>
      <c r="E224" t="str">
        <f t="shared" si="6"/>
        <v>INSERT INTO grupos (id,matricula,grupo) values (3222,'008021','B ESTADISC');</v>
      </c>
    </row>
    <row r="225" spans="1:5" x14ac:dyDescent="0.35">
      <c r="A225">
        <v>3223</v>
      </c>
      <c r="B225" s="1" t="s">
        <v>640</v>
      </c>
      <c r="C225" s="1" t="s">
        <v>1404</v>
      </c>
      <c r="D225" t="str">
        <f t="shared" si="7"/>
        <v>3223,'008021','B334'</v>
      </c>
      <c r="E225" t="str">
        <f t="shared" si="6"/>
        <v>INSERT INTO grupos (id,matricula,grupo) values (3223,'008021','B334');</v>
      </c>
    </row>
    <row r="226" spans="1:5" x14ac:dyDescent="0.35">
      <c r="A226">
        <v>3224</v>
      </c>
      <c r="B226" s="1" t="s">
        <v>640</v>
      </c>
      <c r="C226" s="1" t="s">
        <v>1405</v>
      </c>
      <c r="D226" t="str">
        <f t="shared" si="7"/>
        <v>3224,'008021','B6° 4B-II2'</v>
      </c>
      <c r="E226" t="str">
        <f t="shared" si="6"/>
        <v>INSERT INTO grupos (id,matricula,grupo) values (3224,'008021','B6° 4B-II2');</v>
      </c>
    </row>
    <row r="227" spans="1:5" x14ac:dyDescent="0.35">
      <c r="A227">
        <v>3225</v>
      </c>
      <c r="B227" s="1" t="s">
        <v>641</v>
      </c>
      <c r="C227" s="1" t="s">
        <v>1410</v>
      </c>
      <c r="D227" t="str">
        <f t="shared" si="7"/>
        <v>3225,'008022','B 31A'</v>
      </c>
      <c r="E227" t="str">
        <f t="shared" si="6"/>
        <v>INSERT INTO grupos (id,matricula,grupo) values (3225,'008022','B 31A');</v>
      </c>
    </row>
    <row r="228" spans="1:5" x14ac:dyDescent="0.35">
      <c r="A228">
        <v>3226</v>
      </c>
      <c r="B228" s="1" t="s">
        <v>641</v>
      </c>
      <c r="C228" s="1" t="s">
        <v>1412</v>
      </c>
      <c r="D228" t="str">
        <f t="shared" si="7"/>
        <v>3226,'008022','B 333'</v>
      </c>
      <c r="E228" t="str">
        <f t="shared" si="6"/>
        <v>INSERT INTO grupos (id,matricula,grupo) values (3226,'008022','B 333');</v>
      </c>
    </row>
    <row r="229" spans="1:5" x14ac:dyDescent="0.35">
      <c r="A229">
        <v>3227</v>
      </c>
      <c r="B229" s="1" t="s">
        <v>641</v>
      </c>
      <c r="C229" s="1" t="s">
        <v>1411</v>
      </c>
      <c r="D229" t="str">
        <f t="shared" si="7"/>
        <v>3227,'008022','B ESTADISA'</v>
      </c>
      <c r="E229" t="str">
        <f t="shared" si="6"/>
        <v>INSERT INTO grupos (id,matricula,grupo) values (3227,'008022','B ESTADISA');</v>
      </c>
    </row>
    <row r="230" spans="1:5" x14ac:dyDescent="0.35">
      <c r="A230">
        <v>3228</v>
      </c>
      <c r="B230" s="1" t="s">
        <v>641</v>
      </c>
      <c r="C230" s="1" t="s">
        <v>1413</v>
      </c>
      <c r="D230" t="str">
        <f t="shared" si="7"/>
        <v>3228,'008022','B6° 4A-II1'</v>
      </c>
      <c r="E230" t="str">
        <f t="shared" si="6"/>
        <v>INSERT INTO grupos (id,matricula,grupo) values (3228,'008022','B6° 4A-II1');</v>
      </c>
    </row>
    <row r="231" spans="1:5" x14ac:dyDescent="0.35">
      <c r="A231">
        <v>3229</v>
      </c>
      <c r="B231" s="1" t="s">
        <v>642</v>
      </c>
      <c r="C231" s="1" t="s">
        <v>1406</v>
      </c>
      <c r="D231" t="str">
        <f t="shared" si="7"/>
        <v>3229,'008023','B 32A'</v>
      </c>
      <c r="E231" t="str">
        <f t="shared" si="6"/>
        <v>INSERT INTO grupos (id,matricula,grupo) values (3229,'008023','B 32A');</v>
      </c>
    </row>
    <row r="232" spans="1:5" x14ac:dyDescent="0.35">
      <c r="A232">
        <v>3230</v>
      </c>
      <c r="B232" s="1" t="s">
        <v>642</v>
      </c>
      <c r="C232" s="1" t="s">
        <v>1407</v>
      </c>
      <c r="D232" t="str">
        <f t="shared" si="7"/>
        <v>3230,'008023','B MATFIN A'</v>
      </c>
      <c r="E232" t="str">
        <f t="shared" si="6"/>
        <v>INSERT INTO grupos (id,matricula,grupo) values (3230,'008023','B MATFIN A');</v>
      </c>
    </row>
    <row r="233" spans="1:5" x14ac:dyDescent="0.35">
      <c r="A233">
        <v>3231</v>
      </c>
      <c r="B233" s="1" t="s">
        <v>642</v>
      </c>
      <c r="C233" s="1" t="s">
        <v>1409</v>
      </c>
      <c r="D233" t="str">
        <f t="shared" si="7"/>
        <v>3231,'008023','B335'</v>
      </c>
      <c r="E233" t="str">
        <f t="shared" si="6"/>
        <v>INSERT INTO grupos (id,matricula,grupo) values (3231,'008023','B335');</v>
      </c>
    </row>
    <row r="234" spans="1:5" x14ac:dyDescent="0.35">
      <c r="A234">
        <v>3232</v>
      </c>
      <c r="B234" s="1" t="s">
        <v>642</v>
      </c>
      <c r="C234" s="1" t="s">
        <v>1420</v>
      </c>
      <c r="D234" t="str">
        <f t="shared" si="7"/>
        <v>3232,'008023','B6° 3A-II2'</v>
      </c>
      <c r="E234" t="str">
        <f t="shared" si="6"/>
        <v>INSERT INTO grupos (id,matricula,grupo) values (3232,'008023','B6° 3A-II2');</v>
      </c>
    </row>
    <row r="235" spans="1:5" x14ac:dyDescent="0.35">
      <c r="A235">
        <v>3233</v>
      </c>
      <c r="B235" s="1" t="s">
        <v>643</v>
      </c>
      <c r="C235" s="1" t="s">
        <v>1410</v>
      </c>
      <c r="D235" t="str">
        <f t="shared" si="7"/>
        <v>3233,'008024','B 31A'</v>
      </c>
      <c r="E235" t="str">
        <f t="shared" si="6"/>
        <v>INSERT INTO grupos (id,matricula,grupo) values (3233,'008024','B 31A');</v>
      </c>
    </row>
    <row r="236" spans="1:5" x14ac:dyDescent="0.35">
      <c r="A236">
        <v>3234</v>
      </c>
      <c r="B236" s="1" t="s">
        <v>643</v>
      </c>
      <c r="C236" s="1" t="s">
        <v>1421</v>
      </c>
      <c r="D236" t="str">
        <f t="shared" si="7"/>
        <v>3234,'008024','B 332'</v>
      </c>
      <c r="E236" t="str">
        <f t="shared" si="6"/>
        <v>INSERT INTO grupos (id,matricula,grupo) values (3234,'008024','B 332');</v>
      </c>
    </row>
    <row r="237" spans="1:5" x14ac:dyDescent="0.35">
      <c r="A237">
        <v>3235</v>
      </c>
      <c r="B237" s="1" t="s">
        <v>643</v>
      </c>
      <c r="C237" s="1" t="s">
        <v>1411</v>
      </c>
      <c r="D237" t="str">
        <f t="shared" si="7"/>
        <v>3235,'008024','B ESTADISA'</v>
      </c>
      <c r="E237" t="str">
        <f t="shared" si="6"/>
        <v>INSERT INTO grupos (id,matricula,grupo) values (3235,'008024','B ESTADISA');</v>
      </c>
    </row>
    <row r="238" spans="1:5" x14ac:dyDescent="0.35">
      <c r="A238">
        <v>3236</v>
      </c>
      <c r="B238" s="1" t="s">
        <v>643</v>
      </c>
      <c r="C238" s="1" t="s">
        <v>1423</v>
      </c>
      <c r="D238" t="str">
        <f t="shared" si="7"/>
        <v>3236,'008024','B6° 3A-II1'</v>
      </c>
      <c r="E238" t="str">
        <f t="shared" si="6"/>
        <v>INSERT INTO grupos (id,matricula,grupo) values (3236,'008024','B6° 3A-II1');</v>
      </c>
    </row>
    <row r="239" spans="1:5" x14ac:dyDescent="0.35">
      <c r="A239">
        <v>3237</v>
      </c>
      <c r="B239" s="1" t="s">
        <v>644</v>
      </c>
      <c r="C239" s="1" t="s">
        <v>1406</v>
      </c>
      <c r="D239" t="str">
        <f t="shared" si="7"/>
        <v>3237,'008025','B 32A'</v>
      </c>
      <c r="E239" t="str">
        <f t="shared" si="6"/>
        <v>INSERT INTO grupos (id,matricula,grupo) values (3237,'008025','B 32A');</v>
      </c>
    </row>
    <row r="240" spans="1:5" x14ac:dyDescent="0.35">
      <c r="A240">
        <v>3238</v>
      </c>
      <c r="B240" s="1" t="s">
        <v>644</v>
      </c>
      <c r="C240" s="1" t="s">
        <v>1412</v>
      </c>
      <c r="D240" t="str">
        <f t="shared" si="7"/>
        <v>3238,'008025','B 333'</v>
      </c>
      <c r="E240" t="str">
        <f t="shared" si="6"/>
        <v>INSERT INTO grupos (id,matricula,grupo) values (3238,'008025','B 333');</v>
      </c>
    </row>
    <row r="241" spans="1:5" x14ac:dyDescent="0.35">
      <c r="A241">
        <v>3239</v>
      </c>
      <c r="B241" s="1" t="s">
        <v>644</v>
      </c>
      <c r="C241" s="1" t="s">
        <v>1407</v>
      </c>
      <c r="D241" t="str">
        <f t="shared" si="7"/>
        <v>3239,'008025','B MATFIN A'</v>
      </c>
      <c r="E241" t="str">
        <f t="shared" si="6"/>
        <v>INSERT INTO grupos (id,matricula,grupo) values (3239,'008025','B MATFIN A');</v>
      </c>
    </row>
    <row r="242" spans="1:5" x14ac:dyDescent="0.35">
      <c r="A242">
        <v>3240</v>
      </c>
      <c r="B242" s="1" t="s">
        <v>644</v>
      </c>
      <c r="C242" s="1" t="s">
        <v>1420</v>
      </c>
      <c r="D242" t="str">
        <f t="shared" si="7"/>
        <v>3240,'008025','B6° 3A-II2'</v>
      </c>
      <c r="E242" t="str">
        <f t="shared" si="6"/>
        <v>INSERT INTO grupos (id,matricula,grupo) values (3240,'008025','B6° 3A-II2');</v>
      </c>
    </row>
    <row r="243" spans="1:5" x14ac:dyDescent="0.35">
      <c r="A243">
        <v>3241</v>
      </c>
      <c r="B243" s="1" t="s">
        <v>645</v>
      </c>
      <c r="C243" s="1" t="s">
        <v>1422</v>
      </c>
      <c r="D243" t="str">
        <f t="shared" si="7"/>
        <v>3241,'008026','B 34'</v>
      </c>
      <c r="E243" t="str">
        <f t="shared" si="6"/>
        <v>INSERT INTO grupos (id,matricula,grupo) values (3241,'008026','B 34');</v>
      </c>
    </row>
    <row r="244" spans="1:5" x14ac:dyDescent="0.35">
      <c r="A244">
        <v>3242</v>
      </c>
      <c r="B244" s="1" t="s">
        <v>645</v>
      </c>
      <c r="C244" s="1" t="s">
        <v>1408</v>
      </c>
      <c r="D244" t="str">
        <f t="shared" si="7"/>
        <v>3242,'008026','B ESTADISB'</v>
      </c>
      <c r="E244" t="str">
        <f t="shared" si="6"/>
        <v>INSERT INTO grupos (id,matricula,grupo) values (3242,'008026','B ESTADISB');</v>
      </c>
    </row>
    <row r="245" spans="1:5" x14ac:dyDescent="0.35">
      <c r="A245">
        <v>3243</v>
      </c>
      <c r="B245" s="1" t="s">
        <v>645</v>
      </c>
      <c r="C245" s="1" t="s">
        <v>1409</v>
      </c>
      <c r="D245" t="str">
        <f t="shared" si="7"/>
        <v>3243,'008026','B335'</v>
      </c>
      <c r="E245" t="str">
        <f t="shared" si="6"/>
        <v>INSERT INTO grupos (id,matricula,grupo) values (3243,'008026','B335');</v>
      </c>
    </row>
    <row r="246" spans="1:5" x14ac:dyDescent="0.35">
      <c r="A246">
        <v>3244</v>
      </c>
      <c r="B246" s="1" t="s">
        <v>645</v>
      </c>
      <c r="C246" s="1" t="s">
        <v>1416</v>
      </c>
      <c r="D246" t="str">
        <f t="shared" si="7"/>
        <v>3244,'008026','B6° 3B-II2'</v>
      </c>
      <c r="E246" t="str">
        <f t="shared" si="6"/>
        <v>INSERT INTO grupos (id,matricula,grupo) values (3244,'008026','B6° 3B-II2');</v>
      </c>
    </row>
    <row r="247" spans="1:5" x14ac:dyDescent="0.35">
      <c r="A247">
        <v>3245</v>
      </c>
      <c r="B247" s="1" t="s">
        <v>646</v>
      </c>
      <c r="C247" s="1" t="s">
        <v>1402</v>
      </c>
      <c r="D247" t="str">
        <f t="shared" si="7"/>
        <v>3245,'008027','B 33'</v>
      </c>
      <c r="E247" t="str">
        <f t="shared" si="6"/>
        <v>INSERT INTO grupos (id,matricula,grupo) values (3245,'008027','B 33');</v>
      </c>
    </row>
    <row r="248" spans="1:5" x14ac:dyDescent="0.35">
      <c r="A248">
        <v>3246</v>
      </c>
      <c r="B248" s="1" t="s">
        <v>646</v>
      </c>
      <c r="C248" s="1" t="s">
        <v>1421</v>
      </c>
      <c r="D248" t="str">
        <f t="shared" si="7"/>
        <v>3246,'008027','B 332'</v>
      </c>
      <c r="E248" t="str">
        <f t="shared" si="6"/>
        <v>INSERT INTO grupos (id,matricula,grupo) values (3246,'008027','B 332');</v>
      </c>
    </row>
    <row r="249" spans="1:5" x14ac:dyDescent="0.35">
      <c r="A249">
        <v>3247</v>
      </c>
      <c r="B249" s="1" t="s">
        <v>646</v>
      </c>
      <c r="C249" s="1" t="s">
        <v>1408</v>
      </c>
      <c r="D249" t="str">
        <f t="shared" si="7"/>
        <v>3247,'008027','B ESTADISB'</v>
      </c>
      <c r="E249" t="str">
        <f t="shared" si="6"/>
        <v>INSERT INTO grupos (id,matricula,grupo) values (3247,'008027','B ESTADISB');</v>
      </c>
    </row>
    <row r="250" spans="1:5" x14ac:dyDescent="0.35">
      <c r="A250">
        <v>3248</v>
      </c>
      <c r="B250" s="1" t="s">
        <v>646</v>
      </c>
      <c r="C250" s="1" t="s">
        <v>1424</v>
      </c>
      <c r="D250" t="str">
        <f t="shared" si="7"/>
        <v>3248,'008027','B6° 4B-II1'</v>
      </c>
      <c r="E250" t="str">
        <f t="shared" si="6"/>
        <v>INSERT INTO grupos (id,matricula,grupo) values (3248,'008027','B6° 4B-II1');</v>
      </c>
    </row>
    <row r="251" spans="1:5" x14ac:dyDescent="0.35">
      <c r="A251">
        <v>3249</v>
      </c>
      <c r="B251" s="1" t="s">
        <v>647</v>
      </c>
      <c r="C251" s="1" t="s">
        <v>1410</v>
      </c>
      <c r="D251" t="str">
        <f t="shared" si="7"/>
        <v>3249,'008028','B 31A'</v>
      </c>
      <c r="E251" t="str">
        <f t="shared" si="6"/>
        <v>INSERT INTO grupos (id,matricula,grupo) values (3249,'008028','B 31A');</v>
      </c>
    </row>
    <row r="252" spans="1:5" x14ac:dyDescent="0.35">
      <c r="A252">
        <v>3250</v>
      </c>
      <c r="B252" s="1" t="s">
        <v>647</v>
      </c>
      <c r="C252" s="1" t="s">
        <v>1417</v>
      </c>
      <c r="D252" t="str">
        <f t="shared" si="7"/>
        <v>3250,'008028','B 331'</v>
      </c>
      <c r="E252" t="str">
        <f t="shared" si="6"/>
        <v>INSERT INTO grupos (id,matricula,grupo) values (3250,'008028','B 331');</v>
      </c>
    </row>
    <row r="253" spans="1:5" x14ac:dyDescent="0.35">
      <c r="A253">
        <v>3251</v>
      </c>
      <c r="B253" s="1" t="s">
        <v>647</v>
      </c>
      <c r="C253" s="1" t="s">
        <v>1408</v>
      </c>
      <c r="D253" t="str">
        <f t="shared" si="7"/>
        <v>3251,'008028','B ESTADISB'</v>
      </c>
      <c r="E253" t="str">
        <f t="shared" si="6"/>
        <v>INSERT INTO grupos (id,matricula,grupo) values (3251,'008028','B ESTADISB');</v>
      </c>
    </row>
    <row r="254" spans="1:5" x14ac:dyDescent="0.35">
      <c r="A254">
        <v>3252</v>
      </c>
      <c r="B254" s="1" t="s">
        <v>648</v>
      </c>
      <c r="C254" s="1" t="s">
        <v>1412</v>
      </c>
      <c r="D254" t="str">
        <f t="shared" si="7"/>
        <v>3252,'008029','B 333'</v>
      </c>
      <c r="E254" t="str">
        <f t="shared" si="6"/>
        <v>INSERT INTO grupos (id,matricula,grupo) values (3252,'008029','B 333');</v>
      </c>
    </row>
    <row r="255" spans="1:5" x14ac:dyDescent="0.35">
      <c r="A255">
        <v>3253</v>
      </c>
      <c r="B255" s="1" t="s">
        <v>648</v>
      </c>
      <c r="C255" s="1" t="s">
        <v>1418</v>
      </c>
      <c r="D255" t="str">
        <f t="shared" si="7"/>
        <v>3253,'008029','B 35'</v>
      </c>
      <c r="E255" t="str">
        <f t="shared" si="6"/>
        <v>INSERT INTO grupos (id,matricula,grupo) values (3253,'008029','B 35');</v>
      </c>
    </row>
    <row r="256" spans="1:5" x14ac:dyDescent="0.35">
      <c r="A256">
        <v>3254</v>
      </c>
      <c r="B256" s="1" t="s">
        <v>648</v>
      </c>
      <c r="C256" s="1" t="s">
        <v>1419</v>
      </c>
      <c r="D256" t="str">
        <f t="shared" si="7"/>
        <v>3254,'008029','B CALINTE'</v>
      </c>
      <c r="E256" t="str">
        <f t="shared" si="6"/>
        <v>INSERT INTO grupos (id,matricula,grupo) values (3254,'008029','B CALINTE');</v>
      </c>
    </row>
    <row r="257" spans="1:5" x14ac:dyDescent="0.35">
      <c r="A257">
        <v>3255</v>
      </c>
      <c r="B257" s="1" t="s">
        <v>648</v>
      </c>
      <c r="C257" s="1" t="s">
        <v>1424</v>
      </c>
      <c r="D257" t="str">
        <f t="shared" si="7"/>
        <v>3255,'008029','B6° 4B-II1'</v>
      </c>
      <c r="E257" t="str">
        <f t="shared" si="6"/>
        <v>INSERT INTO grupos (id,matricula,grupo) values (3255,'008029','B6° 4B-II1');</v>
      </c>
    </row>
    <row r="258" spans="1:5" x14ac:dyDescent="0.35">
      <c r="A258">
        <v>3256</v>
      </c>
      <c r="B258" s="1" t="s">
        <v>649</v>
      </c>
      <c r="C258" s="1" t="s">
        <v>1402</v>
      </c>
      <c r="D258" t="str">
        <f t="shared" si="7"/>
        <v>3256,'008030','B 33'</v>
      </c>
      <c r="E258" t="str">
        <f t="shared" ref="E258:E321" si="8">CONCATENATE($D$1,D258,");")</f>
        <v>INSERT INTO grupos (id,matricula,grupo) values (3256,'008030','B 33');</v>
      </c>
    </row>
    <row r="259" spans="1:5" x14ac:dyDescent="0.35">
      <c r="A259">
        <v>3257</v>
      </c>
      <c r="B259" s="1" t="s">
        <v>649</v>
      </c>
      <c r="C259" s="1" t="s">
        <v>1411</v>
      </c>
      <c r="D259" t="str">
        <f t="shared" ref="D259:D322" si="9">CONCATENATE(A259,",",B259,",",C259,"")</f>
        <v>3257,'008030','B ESTADISA'</v>
      </c>
      <c r="E259" t="str">
        <f t="shared" si="8"/>
        <v>INSERT INTO grupos (id,matricula,grupo) values (3257,'008030','B ESTADISA');</v>
      </c>
    </row>
    <row r="260" spans="1:5" x14ac:dyDescent="0.35">
      <c r="A260">
        <v>3258</v>
      </c>
      <c r="B260" s="1" t="s">
        <v>649</v>
      </c>
      <c r="C260" s="1" t="s">
        <v>1404</v>
      </c>
      <c r="D260" t="str">
        <f t="shared" si="9"/>
        <v>3258,'008030','B334'</v>
      </c>
      <c r="E260" t="str">
        <f t="shared" si="8"/>
        <v>INSERT INTO grupos (id,matricula,grupo) values (3258,'008030','B334');</v>
      </c>
    </row>
    <row r="261" spans="1:5" x14ac:dyDescent="0.35">
      <c r="A261">
        <v>3259</v>
      </c>
      <c r="B261" s="1" t="s">
        <v>649</v>
      </c>
      <c r="C261" s="1" t="s">
        <v>1420</v>
      </c>
      <c r="D261" t="str">
        <f t="shared" si="9"/>
        <v>3259,'008030','B6° 3A-II2'</v>
      </c>
      <c r="E261" t="str">
        <f t="shared" si="8"/>
        <v>INSERT INTO grupos (id,matricula,grupo) values (3259,'008030','B6° 3A-II2');</v>
      </c>
    </row>
    <row r="262" spans="1:5" x14ac:dyDescent="0.35">
      <c r="A262">
        <v>3260</v>
      </c>
      <c r="B262" s="1" t="s">
        <v>650</v>
      </c>
      <c r="C262" s="1" t="s">
        <v>1406</v>
      </c>
      <c r="D262" t="str">
        <f t="shared" si="9"/>
        <v>3260,'008031','B 32A'</v>
      </c>
      <c r="E262" t="str">
        <f t="shared" si="8"/>
        <v>INSERT INTO grupos (id,matricula,grupo) values (3260,'008031','B 32A');</v>
      </c>
    </row>
    <row r="263" spans="1:5" x14ac:dyDescent="0.35">
      <c r="A263">
        <v>3261</v>
      </c>
      <c r="B263" s="1" t="s">
        <v>650</v>
      </c>
      <c r="C263" s="1" t="s">
        <v>1421</v>
      </c>
      <c r="D263" t="str">
        <f t="shared" si="9"/>
        <v>3261,'008031','B 332'</v>
      </c>
      <c r="E263" t="str">
        <f t="shared" si="8"/>
        <v>INSERT INTO grupos (id,matricula,grupo) values (3261,'008031','B 332');</v>
      </c>
    </row>
    <row r="264" spans="1:5" x14ac:dyDescent="0.35">
      <c r="A264">
        <v>3262</v>
      </c>
      <c r="B264" s="1" t="s">
        <v>650</v>
      </c>
      <c r="C264" s="1" t="s">
        <v>1407</v>
      </c>
      <c r="D264" t="str">
        <f t="shared" si="9"/>
        <v>3262,'008031','B MATFIN A'</v>
      </c>
      <c r="E264" t="str">
        <f t="shared" si="8"/>
        <v>INSERT INTO grupos (id,matricula,grupo) values (3262,'008031','B MATFIN A');</v>
      </c>
    </row>
    <row r="265" spans="1:5" x14ac:dyDescent="0.35">
      <c r="A265">
        <v>3263</v>
      </c>
      <c r="B265" s="1" t="s">
        <v>650</v>
      </c>
      <c r="C265" s="1" t="s">
        <v>1423</v>
      </c>
      <c r="D265" t="str">
        <f t="shared" si="9"/>
        <v>3263,'008031','B6° 3A-II1'</v>
      </c>
      <c r="E265" t="str">
        <f t="shared" si="8"/>
        <v>INSERT INTO grupos (id,matricula,grupo) values (3263,'008031','B6° 3A-II1');</v>
      </c>
    </row>
    <row r="266" spans="1:5" x14ac:dyDescent="0.35">
      <c r="A266">
        <v>3264</v>
      </c>
      <c r="B266" s="1" t="s">
        <v>651</v>
      </c>
      <c r="C266" s="1" t="s">
        <v>1406</v>
      </c>
      <c r="D266" t="str">
        <f t="shared" si="9"/>
        <v>3264,'008032','B 32A'</v>
      </c>
      <c r="E266" t="str">
        <f t="shared" si="8"/>
        <v>INSERT INTO grupos (id,matricula,grupo) values (3264,'008032','B 32A');</v>
      </c>
    </row>
    <row r="267" spans="1:5" x14ac:dyDescent="0.35">
      <c r="A267">
        <v>3265</v>
      </c>
      <c r="B267" s="1" t="s">
        <v>651</v>
      </c>
      <c r="C267" s="1" t="s">
        <v>1421</v>
      </c>
      <c r="D267" t="str">
        <f t="shared" si="9"/>
        <v>3265,'008032','B 332'</v>
      </c>
      <c r="E267" t="str">
        <f t="shared" si="8"/>
        <v>INSERT INTO grupos (id,matricula,grupo) values (3265,'008032','B 332');</v>
      </c>
    </row>
    <row r="268" spans="1:5" x14ac:dyDescent="0.35">
      <c r="A268">
        <v>3266</v>
      </c>
      <c r="B268" s="1" t="s">
        <v>651</v>
      </c>
      <c r="C268" s="1" t="s">
        <v>1407</v>
      </c>
      <c r="D268" t="str">
        <f t="shared" si="9"/>
        <v>3266,'008032','B MATFIN A'</v>
      </c>
      <c r="E268" t="str">
        <f t="shared" si="8"/>
        <v>INSERT INTO grupos (id,matricula,grupo) values (3266,'008032','B MATFIN A');</v>
      </c>
    </row>
    <row r="269" spans="1:5" x14ac:dyDescent="0.35">
      <c r="A269">
        <v>3267</v>
      </c>
      <c r="B269" s="1" t="s">
        <v>651</v>
      </c>
      <c r="C269" s="1" t="s">
        <v>1413</v>
      </c>
      <c r="D269" t="str">
        <f t="shared" si="9"/>
        <v>3267,'008032','B6° 4A-II1'</v>
      </c>
      <c r="E269" t="str">
        <f t="shared" si="8"/>
        <v>INSERT INTO grupos (id,matricula,grupo) values (3267,'008032','B6° 4A-II1');</v>
      </c>
    </row>
    <row r="270" spans="1:5" x14ac:dyDescent="0.35">
      <c r="A270">
        <v>3268</v>
      </c>
      <c r="B270" s="1" t="s">
        <v>652</v>
      </c>
      <c r="C270" s="1" t="s">
        <v>1414</v>
      </c>
      <c r="D270" t="str">
        <f t="shared" si="9"/>
        <v>3268,'008033','B 32B'</v>
      </c>
      <c r="E270" t="str">
        <f t="shared" si="8"/>
        <v>INSERT INTO grupos (id,matricula,grupo) values (3268,'008033','B 32B');</v>
      </c>
    </row>
    <row r="271" spans="1:5" x14ac:dyDescent="0.35">
      <c r="A271">
        <v>3269</v>
      </c>
      <c r="B271" s="1" t="s">
        <v>652</v>
      </c>
      <c r="C271" s="1" t="s">
        <v>1412</v>
      </c>
      <c r="D271" t="str">
        <f t="shared" si="9"/>
        <v>3269,'008033','B 333'</v>
      </c>
      <c r="E271" t="str">
        <f t="shared" si="8"/>
        <v>INSERT INTO grupos (id,matricula,grupo) values (3269,'008033','B 333');</v>
      </c>
    </row>
    <row r="272" spans="1:5" x14ac:dyDescent="0.35">
      <c r="A272">
        <v>3270</v>
      </c>
      <c r="B272" s="1" t="s">
        <v>652</v>
      </c>
      <c r="C272" s="1" t="s">
        <v>1415</v>
      </c>
      <c r="D272" t="str">
        <f t="shared" si="9"/>
        <v>3270,'008033','B MATFIN B'</v>
      </c>
      <c r="E272" t="str">
        <f t="shared" si="8"/>
        <v>INSERT INTO grupos (id,matricula,grupo) values (3270,'008033','B MATFIN B');</v>
      </c>
    </row>
    <row r="273" spans="1:5" x14ac:dyDescent="0.35">
      <c r="A273">
        <v>3271</v>
      </c>
      <c r="B273" s="1" t="s">
        <v>652</v>
      </c>
      <c r="C273" s="1" t="s">
        <v>1424</v>
      </c>
      <c r="D273" t="str">
        <f t="shared" si="9"/>
        <v>3271,'008033','B6° 4B-II1'</v>
      </c>
      <c r="E273" t="str">
        <f t="shared" si="8"/>
        <v>INSERT INTO grupos (id,matricula,grupo) values (3271,'008033','B6° 4B-II1');</v>
      </c>
    </row>
    <row r="274" spans="1:5" x14ac:dyDescent="0.35">
      <c r="A274">
        <v>3272</v>
      </c>
      <c r="B274" s="1" t="s">
        <v>653</v>
      </c>
      <c r="C274" s="1" t="s">
        <v>1412</v>
      </c>
      <c r="D274" t="str">
        <f t="shared" si="9"/>
        <v>3272,'008034','B 333'</v>
      </c>
      <c r="E274" t="str">
        <f t="shared" si="8"/>
        <v>INSERT INTO grupos (id,matricula,grupo) values (3272,'008034','B 333');</v>
      </c>
    </row>
    <row r="275" spans="1:5" x14ac:dyDescent="0.35">
      <c r="A275">
        <v>3273</v>
      </c>
      <c r="B275" s="1" t="s">
        <v>653</v>
      </c>
      <c r="C275" s="1" t="s">
        <v>1418</v>
      </c>
      <c r="D275" t="str">
        <f t="shared" si="9"/>
        <v>3273,'008034','B 35'</v>
      </c>
      <c r="E275" t="str">
        <f t="shared" si="8"/>
        <v>INSERT INTO grupos (id,matricula,grupo) values (3273,'008034','B 35');</v>
      </c>
    </row>
    <row r="276" spans="1:5" x14ac:dyDescent="0.35">
      <c r="A276">
        <v>3274</v>
      </c>
      <c r="B276" s="1" t="s">
        <v>653</v>
      </c>
      <c r="C276" s="1" t="s">
        <v>1419</v>
      </c>
      <c r="D276" t="str">
        <f t="shared" si="9"/>
        <v>3274,'008034','B CALINTE'</v>
      </c>
      <c r="E276" t="str">
        <f t="shared" si="8"/>
        <v>INSERT INTO grupos (id,matricula,grupo) values (3274,'008034','B CALINTE');</v>
      </c>
    </row>
    <row r="277" spans="1:5" x14ac:dyDescent="0.35">
      <c r="A277">
        <v>3275</v>
      </c>
      <c r="B277" s="1" t="s">
        <v>653</v>
      </c>
      <c r="C277" s="1" t="s">
        <v>1424</v>
      </c>
      <c r="D277" t="str">
        <f t="shared" si="9"/>
        <v>3275,'008034','B6° 4B-II1'</v>
      </c>
      <c r="E277" t="str">
        <f t="shared" si="8"/>
        <v>INSERT INTO grupos (id,matricula,grupo) values (3275,'008034','B6° 4B-II1');</v>
      </c>
    </row>
    <row r="278" spans="1:5" x14ac:dyDescent="0.35">
      <c r="A278">
        <v>3276</v>
      </c>
      <c r="B278" s="1" t="s">
        <v>654</v>
      </c>
      <c r="C278" s="1" t="s">
        <v>1410</v>
      </c>
      <c r="D278" t="str">
        <f t="shared" si="9"/>
        <v>3276,'008036','B 31A'</v>
      </c>
      <c r="E278" t="str">
        <f t="shared" si="8"/>
        <v>INSERT INTO grupos (id,matricula,grupo) values (3276,'008036','B 31A');</v>
      </c>
    </row>
    <row r="279" spans="1:5" x14ac:dyDescent="0.35">
      <c r="A279">
        <v>3277</v>
      </c>
      <c r="B279" s="1" t="s">
        <v>654</v>
      </c>
      <c r="C279" s="1" t="s">
        <v>1417</v>
      </c>
      <c r="D279" t="str">
        <f t="shared" si="9"/>
        <v>3277,'008036','B 331'</v>
      </c>
      <c r="E279" t="str">
        <f t="shared" si="8"/>
        <v>INSERT INTO grupos (id,matricula,grupo) values (3277,'008036','B 331');</v>
      </c>
    </row>
    <row r="280" spans="1:5" x14ac:dyDescent="0.35">
      <c r="A280">
        <v>3278</v>
      </c>
      <c r="B280" s="1" t="s">
        <v>654</v>
      </c>
      <c r="C280" s="1" t="s">
        <v>1403</v>
      </c>
      <c r="D280" t="str">
        <f t="shared" si="9"/>
        <v>3278,'008036','B ESTADISC'</v>
      </c>
      <c r="E280" t="str">
        <f t="shared" si="8"/>
        <v>INSERT INTO grupos (id,matricula,grupo) values (3278,'008036','B ESTADISC');</v>
      </c>
    </row>
    <row r="281" spans="1:5" x14ac:dyDescent="0.35">
      <c r="A281">
        <v>3279</v>
      </c>
      <c r="B281" s="1" t="s">
        <v>655</v>
      </c>
      <c r="C281" s="1" t="s">
        <v>1410</v>
      </c>
      <c r="D281" t="str">
        <f t="shared" si="9"/>
        <v>3279,'008037','B 31A'</v>
      </c>
      <c r="E281" t="str">
        <f t="shared" si="8"/>
        <v>INSERT INTO grupos (id,matricula,grupo) values (3279,'008037','B 31A');</v>
      </c>
    </row>
    <row r="282" spans="1:5" x14ac:dyDescent="0.35">
      <c r="A282">
        <v>3280</v>
      </c>
      <c r="B282" s="1" t="s">
        <v>655</v>
      </c>
      <c r="C282" s="1" t="s">
        <v>1417</v>
      </c>
      <c r="D282" t="str">
        <f t="shared" si="9"/>
        <v>3280,'008037','B 331'</v>
      </c>
      <c r="E282" t="str">
        <f t="shared" si="8"/>
        <v>INSERT INTO grupos (id,matricula,grupo) values (3280,'008037','B 331');</v>
      </c>
    </row>
    <row r="283" spans="1:5" x14ac:dyDescent="0.35">
      <c r="A283">
        <v>3281</v>
      </c>
      <c r="B283" s="1" t="s">
        <v>655</v>
      </c>
      <c r="C283" s="1" t="s">
        <v>1403</v>
      </c>
      <c r="D283" t="str">
        <f t="shared" si="9"/>
        <v>3281,'008037','B ESTADISC'</v>
      </c>
      <c r="E283" t="str">
        <f t="shared" si="8"/>
        <v>INSERT INTO grupos (id,matricula,grupo) values (3281,'008037','B ESTADISC');</v>
      </c>
    </row>
    <row r="284" spans="1:5" x14ac:dyDescent="0.35">
      <c r="A284">
        <v>3282</v>
      </c>
      <c r="B284" s="1" t="s">
        <v>656</v>
      </c>
      <c r="C284" s="1" t="s">
        <v>1406</v>
      </c>
      <c r="D284" t="str">
        <f t="shared" si="9"/>
        <v>3282,'008038','B 32A'</v>
      </c>
      <c r="E284" t="str">
        <f t="shared" si="8"/>
        <v>INSERT INTO grupos (id,matricula,grupo) values (3282,'008038','B 32A');</v>
      </c>
    </row>
    <row r="285" spans="1:5" x14ac:dyDescent="0.35">
      <c r="A285">
        <v>3283</v>
      </c>
      <c r="B285" s="1" t="s">
        <v>656</v>
      </c>
      <c r="C285" s="1" t="s">
        <v>1412</v>
      </c>
      <c r="D285" t="str">
        <f t="shared" si="9"/>
        <v>3283,'008038','B 333'</v>
      </c>
      <c r="E285" t="str">
        <f t="shared" si="8"/>
        <v>INSERT INTO grupos (id,matricula,grupo) values (3283,'008038','B 333');</v>
      </c>
    </row>
    <row r="286" spans="1:5" x14ac:dyDescent="0.35">
      <c r="A286">
        <v>3284</v>
      </c>
      <c r="B286" s="1" t="s">
        <v>656</v>
      </c>
      <c r="C286" s="1" t="s">
        <v>1407</v>
      </c>
      <c r="D286" t="str">
        <f t="shared" si="9"/>
        <v>3284,'008038','B MATFIN A'</v>
      </c>
      <c r="E286" t="str">
        <f t="shared" si="8"/>
        <v>INSERT INTO grupos (id,matricula,grupo) values (3284,'008038','B MATFIN A');</v>
      </c>
    </row>
    <row r="287" spans="1:5" x14ac:dyDescent="0.35">
      <c r="A287">
        <v>3285</v>
      </c>
      <c r="B287" s="1" t="s">
        <v>656</v>
      </c>
      <c r="C287" s="1" t="s">
        <v>1413</v>
      </c>
      <c r="D287" t="str">
        <f t="shared" si="9"/>
        <v>3285,'008038','B6° 4A-II1'</v>
      </c>
      <c r="E287" t="str">
        <f t="shared" si="8"/>
        <v>INSERT INTO grupos (id,matricula,grupo) values (3285,'008038','B6° 4A-II1');</v>
      </c>
    </row>
    <row r="288" spans="1:5" x14ac:dyDescent="0.35">
      <c r="A288">
        <v>3286</v>
      </c>
      <c r="B288" s="1" t="s">
        <v>657</v>
      </c>
      <c r="C288" s="1" t="s">
        <v>1414</v>
      </c>
      <c r="D288" t="str">
        <f t="shared" si="9"/>
        <v>3286,'008039','B 32B'</v>
      </c>
      <c r="E288" t="str">
        <f t="shared" si="8"/>
        <v>INSERT INTO grupos (id,matricula,grupo) values (3286,'008039','B 32B');</v>
      </c>
    </row>
    <row r="289" spans="1:5" x14ac:dyDescent="0.35">
      <c r="A289">
        <v>3287</v>
      </c>
      <c r="B289" s="1" t="s">
        <v>657</v>
      </c>
      <c r="C289" s="1" t="s">
        <v>1421</v>
      </c>
      <c r="D289" t="str">
        <f t="shared" si="9"/>
        <v>3287,'008039','B 332'</v>
      </c>
      <c r="E289" t="str">
        <f t="shared" si="8"/>
        <v>INSERT INTO grupos (id,matricula,grupo) values (3287,'008039','B 332');</v>
      </c>
    </row>
    <row r="290" spans="1:5" x14ac:dyDescent="0.35">
      <c r="A290">
        <v>3288</v>
      </c>
      <c r="B290" s="1" t="s">
        <v>657</v>
      </c>
      <c r="C290" s="1" t="s">
        <v>1415</v>
      </c>
      <c r="D290" t="str">
        <f t="shared" si="9"/>
        <v>3288,'008039','B MATFIN B'</v>
      </c>
      <c r="E290" t="str">
        <f t="shared" si="8"/>
        <v>INSERT INTO grupos (id,matricula,grupo) values (3288,'008039','B MATFIN B');</v>
      </c>
    </row>
    <row r="291" spans="1:5" x14ac:dyDescent="0.35">
      <c r="A291">
        <v>3289</v>
      </c>
      <c r="B291" s="1" t="s">
        <v>657</v>
      </c>
      <c r="C291" s="1" t="s">
        <v>1413</v>
      </c>
      <c r="D291" t="str">
        <f t="shared" si="9"/>
        <v>3289,'008039','B6° 4A-II1'</v>
      </c>
      <c r="E291" t="str">
        <f t="shared" si="8"/>
        <v>INSERT INTO grupos (id,matricula,grupo) values (3289,'008039','B6° 4A-II1');</v>
      </c>
    </row>
    <row r="292" spans="1:5" x14ac:dyDescent="0.35">
      <c r="A292">
        <v>3290</v>
      </c>
      <c r="B292" s="1" t="s">
        <v>658</v>
      </c>
      <c r="C292" s="1" t="s">
        <v>1406</v>
      </c>
      <c r="D292" t="str">
        <f t="shared" si="9"/>
        <v>3290,'008040','B 32A'</v>
      </c>
      <c r="E292" t="str">
        <f t="shared" si="8"/>
        <v>INSERT INTO grupos (id,matricula,grupo) values (3290,'008040','B 32A');</v>
      </c>
    </row>
    <row r="293" spans="1:5" x14ac:dyDescent="0.35">
      <c r="A293">
        <v>3291</v>
      </c>
      <c r="B293" s="1" t="s">
        <v>658</v>
      </c>
      <c r="C293" s="1" t="s">
        <v>1412</v>
      </c>
      <c r="D293" t="str">
        <f t="shared" si="9"/>
        <v>3291,'008040','B 333'</v>
      </c>
      <c r="E293" t="str">
        <f t="shared" si="8"/>
        <v>INSERT INTO grupos (id,matricula,grupo) values (3291,'008040','B 333');</v>
      </c>
    </row>
    <row r="294" spans="1:5" x14ac:dyDescent="0.35">
      <c r="A294">
        <v>3292</v>
      </c>
      <c r="B294" s="1" t="s">
        <v>658</v>
      </c>
      <c r="C294" s="1" t="s">
        <v>1407</v>
      </c>
      <c r="D294" t="str">
        <f t="shared" si="9"/>
        <v>3292,'008040','B MATFIN A'</v>
      </c>
      <c r="E294" t="str">
        <f t="shared" si="8"/>
        <v>INSERT INTO grupos (id,matricula,grupo) values (3292,'008040','B MATFIN A');</v>
      </c>
    </row>
    <row r="295" spans="1:5" x14ac:dyDescent="0.35">
      <c r="A295">
        <v>3293</v>
      </c>
      <c r="B295" s="1" t="s">
        <v>658</v>
      </c>
      <c r="C295" s="1" t="s">
        <v>1413</v>
      </c>
      <c r="D295" t="str">
        <f t="shared" si="9"/>
        <v>3293,'008040','B6° 4A-II1'</v>
      </c>
      <c r="E295" t="str">
        <f t="shared" si="8"/>
        <v>INSERT INTO grupos (id,matricula,grupo) values (3293,'008040','B6° 4A-II1');</v>
      </c>
    </row>
    <row r="296" spans="1:5" x14ac:dyDescent="0.35">
      <c r="A296">
        <v>3294</v>
      </c>
      <c r="B296" s="1" t="s">
        <v>659</v>
      </c>
      <c r="C296" s="1" t="s">
        <v>1414</v>
      </c>
      <c r="D296" t="str">
        <f t="shared" si="9"/>
        <v>3294,'008042','B 32B'</v>
      </c>
      <c r="E296" t="str">
        <f t="shared" si="8"/>
        <v>INSERT INTO grupos (id,matricula,grupo) values (3294,'008042','B 32B');</v>
      </c>
    </row>
    <row r="297" spans="1:5" x14ac:dyDescent="0.35">
      <c r="A297">
        <v>3295</v>
      </c>
      <c r="B297" s="1" t="s">
        <v>659</v>
      </c>
      <c r="C297" s="1" t="s">
        <v>1421</v>
      </c>
      <c r="D297" t="str">
        <f t="shared" si="9"/>
        <v>3295,'008042','B 332'</v>
      </c>
      <c r="E297" t="str">
        <f t="shared" si="8"/>
        <v>INSERT INTO grupos (id,matricula,grupo) values (3295,'008042','B 332');</v>
      </c>
    </row>
    <row r="298" spans="1:5" x14ac:dyDescent="0.35">
      <c r="A298">
        <v>3296</v>
      </c>
      <c r="B298" s="1" t="s">
        <v>659</v>
      </c>
      <c r="C298" s="1" t="s">
        <v>1415</v>
      </c>
      <c r="D298" t="str">
        <f t="shared" si="9"/>
        <v>3296,'008042','B MATFIN B'</v>
      </c>
      <c r="E298" t="str">
        <f t="shared" si="8"/>
        <v>INSERT INTO grupos (id,matricula,grupo) values (3296,'008042','B MATFIN B');</v>
      </c>
    </row>
    <row r="299" spans="1:5" x14ac:dyDescent="0.35">
      <c r="A299">
        <v>3297</v>
      </c>
      <c r="B299" s="1" t="s">
        <v>659</v>
      </c>
      <c r="C299" s="1" t="s">
        <v>1424</v>
      </c>
      <c r="D299" t="str">
        <f t="shared" si="9"/>
        <v>3297,'008042','B6° 4B-II1'</v>
      </c>
      <c r="E299" t="str">
        <f t="shared" si="8"/>
        <v>INSERT INTO grupos (id,matricula,grupo) values (3297,'008042','B6° 4B-II1');</v>
      </c>
    </row>
    <row r="300" spans="1:5" x14ac:dyDescent="0.35">
      <c r="A300">
        <v>3298</v>
      </c>
      <c r="B300" s="1" t="s">
        <v>660</v>
      </c>
      <c r="C300" s="1" t="s">
        <v>1422</v>
      </c>
      <c r="D300" t="str">
        <f t="shared" si="9"/>
        <v>3298,'008043','B 34'</v>
      </c>
      <c r="E300" t="str">
        <f t="shared" si="8"/>
        <v>INSERT INTO grupos (id,matricula,grupo) values (3298,'008043','B 34');</v>
      </c>
    </row>
    <row r="301" spans="1:5" x14ac:dyDescent="0.35">
      <c r="A301">
        <v>3299</v>
      </c>
      <c r="B301" s="1" t="s">
        <v>660</v>
      </c>
      <c r="C301" s="1" t="s">
        <v>1408</v>
      </c>
      <c r="D301" t="str">
        <f t="shared" si="9"/>
        <v>3299,'008043','B ESTADISB'</v>
      </c>
      <c r="E301" t="str">
        <f t="shared" si="8"/>
        <v>INSERT INTO grupos (id,matricula,grupo) values (3299,'008043','B ESTADISB');</v>
      </c>
    </row>
    <row r="302" spans="1:5" x14ac:dyDescent="0.35">
      <c r="A302">
        <v>3300</v>
      </c>
      <c r="B302" s="1" t="s">
        <v>660</v>
      </c>
      <c r="C302" s="1" t="s">
        <v>1409</v>
      </c>
      <c r="D302" t="str">
        <f t="shared" si="9"/>
        <v>3300,'008043','B335'</v>
      </c>
      <c r="E302" t="str">
        <f t="shared" si="8"/>
        <v>INSERT INTO grupos (id,matricula,grupo) values (3300,'008043','B335');</v>
      </c>
    </row>
    <row r="303" spans="1:5" x14ac:dyDescent="0.35">
      <c r="A303">
        <v>3301</v>
      </c>
      <c r="B303" s="1" t="s">
        <v>660</v>
      </c>
      <c r="C303" s="1" t="s">
        <v>1420</v>
      </c>
      <c r="D303" t="str">
        <f t="shared" si="9"/>
        <v>3301,'008043','B6° 3A-II2'</v>
      </c>
      <c r="E303" t="str">
        <f t="shared" si="8"/>
        <v>INSERT INTO grupos (id,matricula,grupo) values (3301,'008043','B6° 3A-II2');</v>
      </c>
    </row>
    <row r="304" spans="1:5" x14ac:dyDescent="0.35">
      <c r="A304">
        <v>3302</v>
      </c>
      <c r="B304" s="1" t="s">
        <v>661</v>
      </c>
      <c r="C304" s="1" t="s">
        <v>1402</v>
      </c>
      <c r="D304" t="str">
        <f t="shared" si="9"/>
        <v>3302,'008044','B 33'</v>
      </c>
      <c r="E304" t="str">
        <f t="shared" si="8"/>
        <v>INSERT INTO grupos (id,matricula,grupo) values (3302,'008044','B 33');</v>
      </c>
    </row>
    <row r="305" spans="1:5" x14ac:dyDescent="0.35">
      <c r="A305">
        <v>3303</v>
      </c>
      <c r="B305" s="1" t="s">
        <v>661</v>
      </c>
      <c r="C305" s="1" t="s">
        <v>1403</v>
      </c>
      <c r="D305" t="str">
        <f t="shared" si="9"/>
        <v>3303,'008044','B ESTADISC'</v>
      </c>
      <c r="E305" t="str">
        <f t="shared" si="8"/>
        <v>INSERT INTO grupos (id,matricula,grupo) values (3303,'008044','B ESTADISC');</v>
      </c>
    </row>
    <row r="306" spans="1:5" x14ac:dyDescent="0.35">
      <c r="A306">
        <v>3304</v>
      </c>
      <c r="B306" s="1" t="s">
        <v>661</v>
      </c>
      <c r="C306" s="1" t="s">
        <v>1409</v>
      </c>
      <c r="D306" t="str">
        <f t="shared" si="9"/>
        <v>3304,'008044','B335'</v>
      </c>
      <c r="E306" t="str">
        <f t="shared" si="8"/>
        <v>INSERT INTO grupos (id,matricula,grupo) values (3304,'008044','B335');</v>
      </c>
    </row>
    <row r="307" spans="1:5" x14ac:dyDescent="0.35">
      <c r="A307">
        <v>3305</v>
      </c>
      <c r="B307" s="1" t="s">
        <v>661</v>
      </c>
      <c r="C307" s="1" t="s">
        <v>1416</v>
      </c>
      <c r="D307" t="str">
        <f t="shared" si="9"/>
        <v>3305,'008044','B6° 3B-II2'</v>
      </c>
      <c r="E307" t="str">
        <f t="shared" si="8"/>
        <v>INSERT INTO grupos (id,matricula,grupo) values (3305,'008044','B6° 3B-II2');</v>
      </c>
    </row>
    <row r="308" spans="1:5" x14ac:dyDescent="0.35">
      <c r="A308">
        <v>3306</v>
      </c>
      <c r="B308" s="1" t="s">
        <v>662</v>
      </c>
      <c r="C308" s="1" t="s">
        <v>1421</v>
      </c>
      <c r="D308" t="str">
        <f t="shared" si="9"/>
        <v>3306,'008046','B 332'</v>
      </c>
      <c r="E308" t="str">
        <f t="shared" si="8"/>
        <v>INSERT INTO grupos (id,matricula,grupo) values (3306,'008046','B 332');</v>
      </c>
    </row>
    <row r="309" spans="1:5" x14ac:dyDescent="0.35">
      <c r="A309">
        <v>3307</v>
      </c>
      <c r="B309" s="1" t="s">
        <v>662</v>
      </c>
      <c r="C309" s="1" t="s">
        <v>1418</v>
      </c>
      <c r="D309" t="str">
        <f t="shared" si="9"/>
        <v>3307,'008046','B 35'</v>
      </c>
      <c r="E309" t="str">
        <f t="shared" si="8"/>
        <v>INSERT INTO grupos (id,matricula,grupo) values (3307,'008046','B 35');</v>
      </c>
    </row>
    <row r="310" spans="1:5" x14ac:dyDescent="0.35">
      <c r="A310">
        <v>3308</v>
      </c>
      <c r="B310" s="1" t="s">
        <v>662</v>
      </c>
      <c r="C310" s="1" t="s">
        <v>1419</v>
      </c>
      <c r="D310" t="str">
        <f t="shared" si="9"/>
        <v>3308,'008046','B CALINTE'</v>
      </c>
      <c r="E310" t="str">
        <f t="shared" si="8"/>
        <v>INSERT INTO grupos (id,matricula,grupo) values (3308,'008046','B CALINTE');</v>
      </c>
    </row>
    <row r="311" spans="1:5" x14ac:dyDescent="0.35">
      <c r="A311">
        <v>3309</v>
      </c>
      <c r="B311" s="1" t="s">
        <v>662</v>
      </c>
      <c r="C311" s="1" t="s">
        <v>1423</v>
      </c>
      <c r="D311" t="str">
        <f t="shared" si="9"/>
        <v>3309,'008046','B6° 3A-II1'</v>
      </c>
      <c r="E311" t="str">
        <f t="shared" si="8"/>
        <v>INSERT INTO grupos (id,matricula,grupo) values (3309,'008046','B6° 3A-II1');</v>
      </c>
    </row>
    <row r="312" spans="1:5" x14ac:dyDescent="0.35">
      <c r="A312">
        <v>3310</v>
      </c>
      <c r="B312" s="1" t="s">
        <v>663</v>
      </c>
      <c r="C312" s="1" t="s">
        <v>1410</v>
      </c>
      <c r="D312" t="str">
        <f t="shared" si="9"/>
        <v>3310,'008047','B 31A'</v>
      </c>
      <c r="E312" t="str">
        <f t="shared" si="8"/>
        <v>INSERT INTO grupos (id,matricula,grupo) values (3310,'008047','B 31A');</v>
      </c>
    </row>
    <row r="313" spans="1:5" x14ac:dyDescent="0.35">
      <c r="A313">
        <v>3311</v>
      </c>
      <c r="B313" s="1" t="s">
        <v>663</v>
      </c>
      <c r="C313" s="1" t="s">
        <v>1417</v>
      </c>
      <c r="D313" t="str">
        <f t="shared" si="9"/>
        <v>3311,'008047','B 331'</v>
      </c>
      <c r="E313" t="str">
        <f t="shared" si="8"/>
        <v>INSERT INTO grupos (id,matricula,grupo) values (3311,'008047','B 331');</v>
      </c>
    </row>
    <row r="314" spans="1:5" x14ac:dyDescent="0.35">
      <c r="A314">
        <v>3312</v>
      </c>
      <c r="B314" s="1" t="s">
        <v>663</v>
      </c>
      <c r="C314" s="1" t="s">
        <v>1411</v>
      </c>
      <c r="D314" t="str">
        <f t="shared" si="9"/>
        <v>3312,'008047','B ESTADISA'</v>
      </c>
      <c r="E314" t="str">
        <f t="shared" si="8"/>
        <v>INSERT INTO grupos (id,matricula,grupo) values (3312,'008047','B ESTADISA');</v>
      </c>
    </row>
    <row r="315" spans="1:5" x14ac:dyDescent="0.35">
      <c r="A315">
        <v>3313</v>
      </c>
      <c r="B315" s="1" t="s">
        <v>664</v>
      </c>
      <c r="C315" s="1" t="s">
        <v>1402</v>
      </c>
      <c r="D315" t="str">
        <f t="shared" si="9"/>
        <v>3313,'008048','B 33'</v>
      </c>
      <c r="E315" t="str">
        <f t="shared" si="8"/>
        <v>INSERT INTO grupos (id,matricula,grupo) values (3313,'008048','B 33');</v>
      </c>
    </row>
    <row r="316" spans="1:5" x14ac:dyDescent="0.35">
      <c r="A316">
        <v>3314</v>
      </c>
      <c r="B316" s="1" t="s">
        <v>664</v>
      </c>
      <c r="C316" s="1" t="s">
        <v>1408</v>
      </c>
      <c r="D316" t="str">
        <f t="shared" si="9"/>
        <v>3314,'008048','B ESTADISB'</v>
      </c>
      <c r="E316" t="str">
        <f t="shared" si="8"/>
        <v>INSERT INTO grupos (id,matricula,grupo) values (3314,'008048','B ESTADISB');</v>
      </c>
    </row>
    <row r="317" spans="1:5" x14ac:dyDescent="0.35">
      <c r="A317">
        <v>3315</v>
      </c>
      <c r="B317" s="1" t="s">
        <v>664</v>
      </c>
      <c r="C317" s="1" t="s">
        <v>1404</v>
      </c>
      <c r="D317" t="str">
        <f t="shared" si="9"/>
        <v>3315,'008048','B334'</v>
      </c>
      <c r="E317" t="str">
        <f t="shared" si="8"/>
        <v>INSERT INTO grupos (id,matricula,grupo) values (3315,'008048','B334');</v>
      </c>
    </row>
    <row r="318" spans="1:5" x14ac:dyDescent="0.35">
      <c r="A318">
        <v>3316</v>
      </c>
      <c r="B318" s="1" t="s">
        <v>664</v>
      </c>
      <c r="C318" s="1" t="s">
        <v>1405</v>
      </c>
      <c r="D318" t="str">
        <f t="shared" si="9"/>
        <v>3316,'008048','B6° 4B-II2'</v>
      </c>
      <c r="E318" t="str">
        <f t="shared" si="8"/>
        <v>INSERT INTO grupos (id,matricula,grupo) values (3316,'008048','B6° 4B-II2');</v>
      </c>
    </row>
    <row r="319" spans="1:5" x14ac:dyDescent="0.35">
      <c r="A319">
        <v>3317</v>
      </c>
      <c r="B319" s="1" t="s">
        <v>665</v>
      </c>
      <c r="C319" s="1" t="s">
        <v>1410</v>
      </c>
      <c r="D319" t="str">
        <f t="shared" si="9"/>
        <v>3317,'008049','B 31A'</v>
      </c>
      <c r="E319" t="str">
        <f t="shared" si="8"/>
        <v>INSERT INTO grupos (id,matricula,grupo) values (3317,'008049','B 31A');</v>
      </c>
    </row>
    <row r="320" spans="1:5" x14ac:dyDescent="0.35">
      <c r="A320">
        <v>3318</v>
      </c>
      <c r="B320" s="1" t="s">
        <v>665</v>
      </c>
      <c r="C320" s="1" t="s">
        <v>1411</v>
      </c>
      <c r="D320" t="str">
        <f t="shared" si="9"/>
        <v>3318,'008049','B ESTADISA'</v>
      </c>
      <c r="E320" t="str">
        <f t="shared" si="8"/>
        <v>INSERT INTO grupos (id,matricula,grupo) values (3318,'008049','B ESTADISA');</v>
      </c>
    </row>
    <row r="321" spans="1:5" x14ac:dyDescent="0.35">
      <c r="A321">
        <v>3319</v>
      </c>
      <c r="B321" s="1" t="s">
        <v>665</v>
      </c>
      <c r="C321" s="1" t="s">
        <v>1404</v>
      </c>
      <c r="D321" t="str">
        <f t="shared" si="9"/>
        <v>3319,'008049','B334'</v>
      </c>
      <c r="E321" t="str">
        <f t="shared" si="8"/>
        <v>INSERT INTO grupos (id,matricula,grupo) values (3319,'008049','B334');</v>
      </c>
    </row>
    <row r="322" spans="1:5" x14ac:dyDescent="0.35">
      <c r="A322">
        <v>3320</v>
      </c>
      <c r="B322" s="1" t="s">
        <v>665</v>
      </c>
      <c r="C322" s="1" t="s">
        <v>1416</v>
      </c>
      <c r="D322" t="str">
        <f t="shared" si="9"/>
        <v>3320,'008049','B6° 3B-II2'</v>
      </c>
      <c r="E322" t="str">
        <f t="shared" ref="E322:E385" si="10">CONCATENATE($D$1,D322,");")</f>
        <v>INSERT INTO grupos (id,matricula,grupo) values (3320,'008049','B6° 3B-II2');</v>
      </c>
    </row>
    <row r="323" spans="1:5" x14ac:dyDescent="0.35">
      <c r="A323">
        <v>3321</v>
      </c>
      <c r="B323" s="1" t="s">
        <v>666</v>
      </c>
      <c r="C323" s="1" t="s">
        <v>1410</v>
      </c>
      <c r="D323" t="str">
        <f t="shared" ref="D323:D386" si="11">CONCATENATE(A323,",",B323,",",C323,"")</f>
        <v>3321,'008051','B 31A'</v>
      </c>
      <c r="E323" t="str">
        <f t="shared" si="10"/>
        <v>INSERT INTO grupos (id,matricula,grupo) values (3321,'008051','B 31A');</v>
      </c>
    </row>
    <row r="324" spans="1:5" x14ac:dyDescent="0.35">
      <c r="A324">
        <v>3322</v>
      </c>
      <c r="B324" s="1" t="s">
        <v>666</v>
      </c>
      <c r="C324" s="1" t="s">
        <v>1408</v>
      </c>
      <c r="D324" t="str">
        <f t="shared" si="11"/>
        <v>3322,'008051','B ESTADISB'</v>
      </c>
      <c r="E324" t="str">
        <f t="shared" si="10"/>
        <v>INSERT INTO grupos (id,matricula,grupo) values (3322,'008051','B ESTADISB');</v>
      </c>
    </row>
    <row r="325" spans="1:5" x14ac:dyDescent="0.35">
      <c r="A325">
        <v>3323</v>
      </c>
      <c r="B325" s="1" t="s">
        <v>666</v>
      </c>
      <c r="C325" s="1" t="s">
        <v>1409</v>
      </c>
      <c r="D325" t="str">
        <f t="shared" si="11"/>
        <v>3323,'008051','B335'</v>
      </c>
      <c r="E325" t="str">
        <f t="shared" si="10"/>
        <v>INSERT INTO grupos (id,matricula,grupo) values (3323,'008051','B335');</v>
      </c>
    </row>
    <row r="326" spans="1:5" x14ac:dyDescent="0.35">
      <c r="A326">
        <v>3324</v>
      </c>
      <c r="B326" s="1" t="s">
        <v>666</v>
      </c>
      <c r="C326" s="1" t="s">
        <v>1416</v>
      </c>
      <c r="D326" t="str">
        <f t="shared" si="11"/>
        <v>3324,'008051','B6° 3B-II2'</v>
      </c>
      <c r="E326" t="str">
        <f t="shared" si="10"/>
        <v>INSERT INTO grupos (id,matricula,grupo) values (3324,'008051','B6° 3B-II2');</v>
      </c>
    </row>
    <row r="327" spans="1:5" x14ac:dyDescent="0.35">
      <c r="A327">
        <v>3325</v>
      </c>
      <c r="B327" s="1" t="s">
        <v>667</v>
      </c>
      <c r="C327" s="1" t="s">
        <v>1410</v>
      </c>
      <c r="D327" t="str">
        <f t="shared" si="11"/>
        <v>3325,'008052','B 31A'</v>
      </c>
      <c r="E327" t="str">
        <f t="shared" si="10"/>
        <v>INSERT INTO grupos (id,matricula,grupo) values (3325,'008052','B 31A');</v>
      </c>
    </row>
    <row r="328" spans="1:5" x14ac:dyDescent="0.35">
      <c r="A328">
        <v>3326</v>
      </c>
      <c r="B328" s="1" t="s">
        <v>667</v>
      </c>
      <c r="C328" s="1" t="s">
        <v>1421</v>
      </c>
      <c r="D328" t="str">
        <f t="shared" si="11"/>
        <v>3326,'008052','B 332'</v>
      </c>
      <c r="E328" t="str">
        <f t="shared" si="10"/>
        <v>INSERT INTO grupos (id,matricula,grupo) values (3326,'008052','B 332');</v>
      </c>
    </row>
    <row r="329" spans="1:5" x14ac:dyDescent="0.35">
      <c r="A329">
        <v>3327</v>
      </c>
      <c r="B329" s="1" t="s">
        <v>667</v>
      </c>
      <c r="C329" s="1" t="s">
        <v>1411</v>
      </c>
      <c r="D329" t="str">
        <f t="shared" si="11"/>
        <v>3327,'008052','B ESTADISA'</v>
      </c>
      <c r="E329" t="str">
        <f t="shared" si="10"/>
        <v>INSERT INTO grupos (id,matricula,grupo) values (3327,'008052','B ESTADISA');</v>
      </c>
    </row>
    <row r="330" spans="1:5" x14ac:dyDescent="0.35">
      <c r="A330">
        <v>3328</v>
      </c>
      <c r="B330" s="1" t="s">
        <v>667</v>
      </c>
      <c r="C330" s="1" t="s">
        <v>1413</v>
      </c>
      <c r="D330" t="str">
        <f t="shared" si="11"/>
        <v>3328,'008052','B6° 4A-II1'</v>
      </c>
      <c r="E330" t="str">
        <f t="shared" si="10"/>
        <v>INSERT INTO grupos (id,matricula,grupo) values (3328,'008052','B6° 4A-II1');</v>
      </c>
    </row>
    <row r="331" spans="1:5" x14ac:dyDescent="0.35">
      <c r="A331">
        <v>3329</v>
      </c>
      <c r="B331" s="1" t="s">
        <v>668</v>
      </c>
      <c r="C331" s="1" t="s">
        <v>1410</v>
      </c>
      <c r="D331" t="str">
        <f t="shared" si="11"/>
        <v>3329,'008053','B 31A'</v>
      </c>
      <c r="E331" t="str">
        <f t="shared" si="10"/>
        <v>INSERT INTO grupos (id,matricula,grupo) values (3329,'008053','B 31A');</v>
      </c>
    </row>
    <row r="332" spans="1:5" x14ac:dyDescent="0.35">
      <c r="A332">
        <v>3330</v>
      </c>
      <c r="B332" s="1" t="s">
        <v>668</v>
      </c>
      <c r="C332" s="1" t="s">
        <v>1408</v>
      </c>
      <c r="D332" t="str">
        <f t="shared" si="11"/>
        <v>3330,'008053','B ESTADISB'</v>
      </c>
      <c r="E332" t="str">
        <f t="shared" si="10"/>
        <v>INSERT INTO grupos (id,matricula,grupo) values (3330,'008053','B ESTADISB');</v>
      </c>
    </row>
    <row r="333" spans="1:5" x14ac:dyDescent="0.35">
      <c r="A333">
        <v>3331</v>
      </c>
      <c r="B333" s="1" t="s">
        <v>668</v>
      </c>
      <c r="C333" s="1" t="s">
        <v>1409</v>
      </c>
      <c r="D333" t="str">
        <f t="shared" si="11"/>
        <v>3331,'008053','B335'</v>
      </c>
      <c r="E333" t="str">
        <f t="shared" si="10"/>
        <v>INSERT INTO grupos (id,matricula,grupo) values (3331,'008053','B335');</v>
      </c>
    </row>
    <row r="334" spans="1:5" x14ac:dyDescent="0.35">
      <c r="A334">
        <v>3332</v>
      </c>
      <c r="B334" s="1" t="s">
        <v>668</v>
      </c>
      <c r="C334" s="1" t="s">
        <v>1405</v>
      </c>
      <c r="D334" t="str">
        <f t="shared" si="11"/>
        <v>3332,'008053','B6° 4B-II2'</v>
      </c>
      <c r="E334" t="str">
        <f t="shared" si="10"/>
        <v>INSERT INTO grupos (id,matricula,grupo) values (3332,'008053','B6° 4B-II2');</v>
      </c>
    </row>
    <row r="335" spans="1:5" x14ac:dyDescent="0.35">
      <c r="A335">
        <v>3333</v>
      </c>
      <c r="B335" s="1" t="s">
        <v>669</v>
      </c>
      <c r="C335" s="1" t="s">
        <v>1428</v>
      </c>
      <c r="D335" t="str">
        <f t="shared" si="11"/>
        <v>3333,'008054','B 222'</v>
      </c>
      <c r="E335" t="str">
        <f t="shared" si="10"/>
        <v>INSERT INTO grupos (id,matricula,grupo) values (3333,'008054','B 222');</v>
      </c>
    </row>
    <row r="336" spans="1:5" x14ac:dyDescent="0.35">
      <c r="A336">
        <v>3334</v>
      </c>
      <c r="B336" s="1" t="s">
        <v>669</v>
      </c>
      <c r="C336" s="1" t="s">
        <v>1426</v>
      </c>
      <c r="D336" t="str">
        <f t="shared" si="11"/>
        <v>3334,'008054','B 22A'</v>
      </c>
      <c r="E336" t="str">
        <f t="shared" si="10"/>
        <v>INSERT INTO grupos (id,matricula,grupo) values (3334,'008054','B 22A');</v>
      </c>
    </row>
    <row r="337" spans="1:5" x14ac:dyDescent="0.35">
      <c r="A337">
        <v>3335</v>
      </c>
      <c r="B337" s="1" t="s">
        <v>670</v>
      </c>
      <c r="C337" s="1" t="s">
        <v>1410</v>
      </c>
      <c r="D337" t="str">
        <f t="shared" si="11"/>
        <v>3335,'008055','B 31A'</v>
      </c>
      <c r="E337" t="str">
        <f t="shared" si="10"/>
        <v>INSERT INTO grupos (id,matricula,grupo) values (3335,'008055','B 31A');</v>
      </c>
    </row>
    <row r="338" spans="1:5" x14ac:dyDescent="0.35">
      <c r="A338">
        <v>3336</v>
      </c>
      <c r="B338" s="1" t="s">
        <v>670</v>
      </c>
      <c r="C338" s="1" t="s">
        <v>1417</v>
      </c>
      <c r="D338" t="str">
        <f t="shared" si="11"/>
        <v>3336,'008055','B 331'</v>
      </c>
      <c r="E338" t="str">
        <f t="shared" si="10"/>
        <v>INSERT INTO grupos (id,matricula,grupo) values (3336,'008055','B 331');</v>
      </c>
    </row>
    <row r="339" spans="1:5" x14ac:dyDescent="0.35">
      <c r="A339">
        <v>3337</v>
      </c>
      <c r="B339" s="1" t="s">
        <v>670</v>
      </c>
      <c r="C339" s="1" t="s">
        <v>1408</v>
      </c>
      <c r="D339" t="str">
        <f t="shared" si="11"/>
        <v>3337,'008055','B ESTADISB'</v>
      </c>
      <c r="E339" t="str">
        <f t="shared" si="10"/>
        <v>INSERT INTO grupos (id,matricula,grupo) values (3337,'008055','B ESTADISB');</v>
      </c>
    </row>
    <row r="340" spans="1:5" x14ac:dyDescent="0.35">
      <c r="A340">
        <v>3338</v>
      </c>
      <c r="B340" s="1" t="s">
        <v>671</v>
      </c>
      <c r="C340" s="1" t="s">
        <v>1414</v>
      </c>
      <c r="D340" t="str">
        <f t="shared" si="11"/>
        <v>3338,'008056','B 32B'</v>
      </c>
      <c r="E340" t="str">
        <f t="shared" si="10"/>
        <v>INSERT INTO grupos (id,matricula,grupo) values (3338,'008056','B 32B');</v>
      </c>
    </row>
    <row r="341" spans="1:5" x14ac:dyDescent="0.35">
      <c r="A341">
        <v>3339</v>
      </c>
      <c r="B341" s="1" t="s">
        <v>671</v>
      </c>
      <c r="C341" s="1" t="s">
        <v>1415</v>
      </c>
      <c r="D341" t="str">
        <f t="shared" si="11"/>
        <v>3339,'008056','B MATFIN B'</v>
      </c>
      <c r="E341" t="str">
        <f t="shared" si="10"/>
        <v>INSERT INTO grupos (id,matricula,grupo) values (3339,'008056','B MATFIN B');</v>
      </c>
    </row>
    <row r="342" spans="1:5" x14ac:dyDescent="0.35">
      <c r="A342">
        <v>3340</v>
      </c>
      <c r="B342" s="1" t="s">
        <v>671</v>
      </c>
      <c r="C342" s="1" t="s">
        <v>1404</v>
      </c>
      <c r="D342" t="str">
        <f t="shared" si="11"/>
        <v>3340,'008056','B334'</v>
      </c>
      <c r="E342" t="str">
        <f t="shared" si="10"/>
        <v>INSERT INTO grupos (id,matricula,grupo) values (3340,'008056','B334');</v>
      </c>
    </row>
    <row r="343" spans="1:5" x14ac:dyDescent="0.35">
      <c r="A343">
        <v>3341</v>
      </c>
      <c r="B343" s="1" t="s">
        <v>671</v>
      </c>
      <c r="C343" s="1" t="s">
        <v>1420</v>
      </c>
      <c r="D343" t="str">
        <f t="shared" si="11"/>
        <v>3341,'008056','B6° 3A-II2'</v>
      </c>
      <c r="E343" t="str">
        <f t="shared" si="10"/>
        <v>INSERT INTO grupos (id,matricula,grupo) values (3341,'008056','B6° 3A-II2');</v>
      </c>
    </row>
    <row r="344" spans="1:5" x14ac:dyDescent="0.35">
      <c r="A344">
        <v>3342</v>
      </c>
      <c r="B344" s="1" t="s">
        <v>672</v>
      </c>
      <c r="C344" s="1" t="s">
        <v>1402</v>
      </c>
      <c r="D344" t="str">
        <f t="shared" si="11"/>
        <v>3342,'008057','B 33'</v>
      </c>
      <c r="E344" t="str">
        <f t="shared" si="10"/>
        <v>INSERT INTO grupos (id,matricula,grupo) values (3342,'008057','B 33');</v>
      </c>
    </row>
    <row r="345" spans="1:5" x14ac:dyDescent="0.35">
      <c r="A345">
        <v>3343</v>
      </c>
      <c r="B345" s="1" t="s">
        <v>672</v>
      </c>
      <c r="C345" s="1" t="s">
        <v>1417</v>
      </c>
      <c r="D345" t="str">
        <f t="shared" si="11"/>
        <v>3343,'008057','B 331'</v>
      </c>
      <c r="E345" t="str">
        <f t="shared" si="10"/>
        <v>INSERT INTO grupos (id,matricula,grupo) values (3343,'008057','B 331');</v>
      </c>
    </row>
    <row r="346" spans="1:5" x14ac:dyDescent="0.35">
      <c r="A346">
        <v>3344</v>
      </c>
      <c r="B346" s="1" t="s">
        <v>672</v>
      </c>
      <c r="C346" s="1" t="s">
        <v>1403</v>
      </c>
      <c r="D346" t="str">
        <f t="shared" si="11"/>
        <v>3344,'008057','B ESTADISC'</v>
      </c>
      <c r="E346" t="str">
        <f t="shared" si="10"/>
        <v>INSERT INTO grupos (id,matricula,grupo) values (3344,'008057','B ESTADISC');</v>
      </c>
    </row>
    <row r="347" spans="1:5" x14ac:dyDescent="0.35">
      <c r="A347">
        <v>3345</v>
      </c>
      <c r="B347" s="1" t="s">
        <v>673</v>
      </c>
      <c r="C347" s="1" t="s">
        <v>1417</v>
      </c>
      <c r="D347" t="str">
        <f t="shared" si="11"/>
        <v>3345,'008059','B 331'</v>
      </c>
      <c r="E347" t="str">
        <f t="shared" si="10"/>
        <v>INSERT INTO grupos (id,matricula,grupo) values (3345,'008059','B 331');</v>
      </c>
    </row>
    <row r="348" spans="1:5" x14ac:dyDescent="0.35">
      <c r="A348">
        <v>3346</v>
      </c>
      <c r="B348" s="1" t="s">
        <v>673</v>
      </c>
      <c r="C348" s="1" t="s">
        <v>1418</v>
      </c>
      <c r="D348" t="str">
        <f t="shared" si="11"/>
        <v>3346,'008059','B 35'</v>
      </c>
      <c r="E348" t="str">
        <f t="shared" si="10"/>
        <v>INSERT INTO grupos (id,matricula,grupo) values (3346,'008059','B 35');</v>
      </c>
    </row>
    <row r="349" spans="1:5" x14ac:dyDescent="0.35">
      <c r="A349">
        <v>3347</v>
      </c>
      <c r="B349" s="1" t="s">
        <v>673</v>
      </c>
      <c r="C349" s="1" t="s">
        <v>1419</v>
      </c>
      <c r="D349" t="str">
        <f t="shared" si="11"/>
        <v>3347,'008059','B CALINTE'</v>
      </c>
      <c r="E349" t="str">
        <f t="shared" si="10"/>
        <v>INSERT INTO grupos (id,matricula,grupo) values (3347,'008059','B CALINTE');</v>
      </c>
    </row>
    <row r="350" spans="1:5" x14ac:dyDescent="0.35">
      <c r="A350">
        <v>3348</v>
      </c>
      <c r="B350" s="1" t="s">
        <v>674</v>
      </c>
      <c r="C350" s="1" t="s">
        <v>1417</v>
      </c>
      <c r="D350" t="str">
        <f t="shared" si="11"/>
        <v>3348,'008062','B 331'</v>
      </c>
      <c r="E350" t="str">
        <f t="shared" si="10"/>
        <v>INSERT INTO grupos (id,matricula,grupo) values (3348,'008062','B 331');</v>
      </c>
    </row>
    <row r="351" spans="1:5" x14ac:dyDescent="0.35">
      <c r="A351">
        <v>3349</v>
      </c>
      <c r="B351" s="1" t="s">
        <v>674</v>
      </c>
      <c r="C351" s="1" t="s">
        <v>1422</v>
      </c>
      <c r="D351" t="str">
        <f t="shared" si="11"/>
        <v>3349,'008062','B 34'</v>
      </c>
      <c r="E351" t="str">
        <f t="shared" si="10"/>
        <v>INSERT INTO grupos (id,matricula,grupo) values (3349,'008062','B 34');</v>
      </c>
    </row>
    <row r="352" spans="1:5" x14ac:dyDescent="0.35">
      <c r="A352">
        <v>3350</v>
      </c>
      <c r="B352" s="1" t="s">
        <v>674</v>
      </c>
      <c r="C352" s="1" t="s">
        <v>1411</v>
      </c>
      <c r="D352" t="str">
        <f t="shared" si="11"/>
        <v>3350,'008062','B ESTADISA'</v>
      </c>
      <c r="E352" t="str">
        <f t="shared" si="10"/>
        <v>INSERT INTO grupos (id,matricula,grupo) values (3350,'008062','B ESTADISA');</v>
      </c>
    </row>
    <row r="353" spans="1:5" x14ac:dyDescent="0.35">
      <c r="A353">
        <v>3351</v>
      </c>
      <c r="B353" s="1" t="s">
        <v>675</v>
      </c>
      <c r="C353" s="1" t="s">
        <v>1410</v>
      </c>
      <c r="D353" t="str">
        <f t="shared" si="11"/>
        <v>3351,'008063','B 31A'</v>
      </c>
      <c r="E353" t="str">
        <f t="shared" si="10"/>
        <v>INSERT INTO grupos (id,matricula,grupo) values (3351,'008063','B 31A');</v>
      </c>
    </row>
    <row r="354" spans="1:5" x14ac:dyDescent="0.35">
      <c r="A354">
        <v>3352</v>
      </c>
      <c r="B354" s="1" t="s">
        <v>675</v>
      </c>
      <c r="C354" s="1" t="s">
        <v>1412</v>
      </c>
      <c r="D354" t="str">
        <f t="shared" si="11"/>
        <v>3352,'008063','B 333'</v>
      </c>
      <c r="E354" t="str">
        <f t="shared" si="10"/>
        <v>INSERT INTO grupos (id,matricula,grupo) values (3352,'008063','B 333');</v>
      </c>
    </row>
    <row r="355" spans="1:5" x14ac:dyDescent="0.35">
      <c r="A355">
        <v>3353</v>
      </c>
      <c r="B355" s="1" t="s">
        <v>675</v>
      </c>
      <c r="C355" s="1" t="s">
        <v>1411</v>
      </c>
      <c r="D355" t="str">
        <f t="shared" si="11"/>
        <v>3353,'008063','B ESTADISA'</v>
      </c>
      <c r="E355" t="str">
        <f t="shared" si="10"/>
        <v>INSERT INTO grupos (id,matricula,grupo) values (3353,'008063','B ESTADISA');</v>
      </c>
    </row>
    <row r="356" spans="1:5" x14ac:dyDescent="0.35">
      <c r="A356">
        <v>3354</v>
      </c>
      <c r="B356" s="1" t="s">
        <v>675</v>
      </c>
      <c r="C356" s="1" t="s">
        <v>1413</v>
      </c>
      <c r="D356" t="str">
        <f t="shared" si="11"/>
        <v>3354,'008063','B6° 4A-II1'</v>
      </c>
      <c r="E356" t="str">
        <f t="shared" si="10"/>
        <v>INSERT INTO grupos (id,matricula,grupo) values (3354,'008063','B6° 4A-II1');</v>
      </c>
    </row>
    <row r="357" spans="1:5" x14ac:dyDescent="0.35">
      <c r="A357">
        <v>3355</v>
      </c>
      <c r="B357" s="1" t="s">
        <v>676</v>
      </c>
      <c r="C357" s="1" t="s">
        <v>1414</v>
      </c>
      <c r="D357" t="str">
        <f t="shared" si="11"/>
        <v>3355,'008065','B 32B'</v>
      </c>
      <c r="E357" t="str">
        <f t="shared" si="10"/>
        <v>INSERT INTO grupos (id,matricula,grupo) values (3355,'008065','B 32B');</v>
      </c>
    </row>
    <row r="358" spans="1:5" x14ac:dyDescent="0.35">
      <c r="A358">
        <v>3356</v>
      </c>
      <c r="B358" s="1" t="s">
        <v>676</v>
      </c>
      <c r="C358" s="1" t="s">
        <v>1415</v>
      </c>
      <c r="D358" t="str">
        <f t="shared" si="11"/>
        <v>3356,'008065','B MATFIN B'</v>
      </c>
      <c r="E358" t="str">
        <f t="shared" si="10"/>
        <v>INSERT INTO grupos (id,matricula,grupo) values (3356,'008065','B MATFIN B');</v>
      </c>
    </row>
    <row r="359" spans="1:5" x14ac:dyDescent="0.35">
      <c r="A359">
        <v>3357</v>
      </c>
      <c r="B359" s="1" t="s">
        <v>676</v>
      </c>
      <c r="C359" s="1" t="s">
        <v>1409</v>
      </c>
      <c r="D359" t="str">
        <f t="shared" si="11"/>
        <v>3357,'008065','B335'</v>
      </c>
      <c r="E359" t="str">
        <f t="shared" si="10"/>
        <v>INSERT INTO grupos (id,matricula,grupo) values (3357,'008065','B335');</v>
      </c>
    </row>
    <row r="360" spans="1:5" x14ac:dyDescent="0.35">
      <c r="A360">
        <v>3358</v>
      </c>
      <c r="B360" s="1" t="s">
        <v>676</v>
      </c>
      <c r="C360" s="1" t="s">
        <v>1416</v>
      </c>
      <c r="D360" t="str">
        <f t="shared" si="11"/>
        <v>3358,'008065','B6° 3B-II2'</v>
      </c>
      <c r="E360" t="str">
        <f t="shared" si="10"/>
        <v>INSERT INTO grupos (id,matricula,grupo) values (3358,'008065','B6° 3B-II2');</v>
      </c>
    </row>
    <row r="361" spans="1:5" x14ac:dyDescent="0.35">
      <c r="A361">
        <v>3359</v>
      </c>
      <c r="B361" s="1" t="s">
        <v>677</v>
      </c>
      <c r="C361" s="1" t="s">
        <v>1421</v>
      </c>
      <c r="D361" t="str">
        <f t="shared" si="11"/>
        <v>3359,'008066','B 332'</v>
      </c>
      <c r="E361" t="str">
        <f t="shared" si="10"/>
        <v>INSERT INTO grupos (id,matricula,grupo) values (3359,'008066','B 332');</v>
      </c>
    </row>
    <row r="362" spans="1:5" x14ac:dyDescent="0.35">
      <c r="A362">
        <v>3360</v>
      </c>
      <c r="B362" s="1" t="s">
        <v>677</v>
      </c>
      <c r="C362" s="1" t="s">
        <v>1422</v>
      </c>
      <c r="D362" t="str">
        <f t="shared" si="11"/>
        <v>3360,'008066','B 34'</v>
      </c>
      <c r="E362" t="str">
        <f t="shared" si="10"/>
        <v>INSERT INTO grupos (id,matricula,grupo) values (3360,'008066','B 34');</v>
      </c>
    </row>
    <row r="363" spans="1:5" x14ac:dyDescent="0.35">
      <c r="A363">
        <v>3361</v>
      </c>
      <c r="B363" s="1" t="s">
        <v>677</v>
      </c>
      <c r="C363" s="1" t="s">
        <v>1408</v>
      </c>
      <c r="D363" t="str">
        <f t="shared" si="11"/>
        <v>3361,'008066','B ESTADISB'</v>
      </c>
      <c r="E363" t="str">
        <f t="shared" si="10"/>
        <v>INSERT INTO grupos (id,matricula,grupo) values (3361,'008066','B ESTADISB');</v>
      </c>
    </row>
    <row r="364" spans="1:5" x14ac:dyDescent="0.35">
      <c r="A364">
        <v>3362</v>
      </c>
      <c r="B364" s="1" t="s">
        <v>677</v>
      </c>
      <c r="C364" s="1" t="s">
        <v>1424</v>
      </c>
      <c r="D364" t="str">
        <f t="shared" si="11"/>
        <v>3362,'008066','B6° 4B-II1'</v>
      </c>
      <c r="E364" t="str">
        <f t="shared" si="10"/>
        <v>INSERT INTO grupos (id,matricula,grupo) values (3362,'008066','B6° 4B-II1');</v>
      </c>
    </row>
    <row r="365" spans="1:5" x14ac:dyDescent="0.35">
      <c r="A365">
        <v>3363</v>
      </c>
      <c r="B365" s="1" t="s">
        <v>678</v>
      </c>
      <c r="C365" s="1" t="s">
        <v>1410</v>
      </c>
      <c r="D365" t="str">
        <f t="shared" si="11"/>
        <v>3363,'008067','B 31A'</v>
      </c>
      <c r="E365" t="str">
        <f t="shared" si="10"/>
        <v>INSERT INTO grupos (id,matricula,grupo) values (3363,'008067','B 31A');</v>
      </c>
    </row>
    <row r="366" spans="1:5" x14ac:dyDescent="0.35">
      <c r="A366">
        <v>3364</v>
      </c>
      <c r="B366" s="1" t="s">
        <v>678</v>
      </c>
      <c r="C366" s="1" t="s">
        <v>1412</v>
      </c>
      <c r="D366" t="str">
        <f t="shared" si="11"/>
        <v>3364,'008067','B 333'</v>
      </c>
      <c r="E366" t="str">
        <f t="shared" si="10"/>
        <v>INSERT INTO grupos (id,matricula,grupo) values (3364,'008067','B 333');</v>
      </c>
    </row>
    <row r="367" spans="1:5" x14ac:dyDescent="0.35">
      <c r="A367">
        <v>3365</v>
      </c>
      <c r="B367" s="1" t="s">
        <v>678</v>
      </c>
      <c r="C367" s="1" t="s">
        <v>1408</v>
      </c>
      <c r="D367" t="str">
        <f t="shared" si="11"/>
        <v>3365,'008067','B ESTADISB'</v>
      </c>
      <c r="E367" t="str">
        <f t="shared" si="10"/>
        <v>INSERT INTO grupos (id,matricula,grupo) values (3365,'008067','B ESTADISB');</v>
      </c>
    </row>
    <row r="368" spans="1:5" x14ac:dyDescent="0.35">
      <c r="A368">
        <v>3366</v>
      </c>
      <c r="B368" s="1" t="s">
        <v>678</v>
      </c>
      <c r="C368" s="1" t="s">
        <v>1423</v>
      </c>
      <c r="D368" t="str">
        <f t="shared" si="11"/>
        <v>3366,'008067','B6° 3A-II1'</v>
      </c>
      <c r="E368" t="str">
        <f t="shared" si="10"/>
        <v>INSERT INTO grupos (id,matricula,grupo) values (3366,'008067','B6° 3A-II1');</v>
      </c>
    </row>
    <row r="369" spans="1:5" x14ac:dyDescent="0.35">
      <c r="A369">
        <v>3367</v>
      </c>
      <c r="B369" s="1" t="s">
        <v>679</v>
      </c>
      <c r="C369" s="1" t="s">
        <v>1402</v>
      </c>
      <c r="D369" t="str">
        <f t="shared" si="11"/>
        <v>3367,'008068','B 33'</v>
      </c>
      <c r="E369" t="str">
        <f t="shared" si="10"/>
        <v>INSERT INTO grupos (id,matricula,grupo) values (3367,'008068','B 33');</v>
      </c>
    </row>
    <row r="370" spans="1:5" x14ac:dyDescent="0.35">
      <c r="A370">
        <v>3368</v>
      </c>
      <c r="B370" s="1" t="s">
        <v>679</v>
      </c>
      <c r="C370" s="1" t="s">
        <v>1411</v>
      </c>
      <c r="D370" t="str">
        <f t="shared" si="11"/>
        <v>3368,'008068','B ESTADISA'</v>
      </c>
      <c r="E370" t="str">
        <f t="shared" si="10"/>
        <v>INSERT INTO grupos (id,matricula,grupo) values (3368,'008068','B ESTADISA');</v>
      </c>
    </row>
    <row r="371" spans="1:5" x14ac:dyDescent="0.35">
      <c r="A371">
        <v>3369</v>
      </c>
      <c r="B371" s="1" t="s">
        <v>679</v>
      </c>
      <c r="C371" s="1" t="s">
        <v>1409</v>
      </c>
      <c r="D371" t="str">
        <f t="shared" si="11"/>
        <v>3369,'008068','B335'</v>
      </c>
      <c r="E371" t="str">
        <f t="shared" si="10"/>
        <v>INSERT INTO grupos (id,matricula,grupo) values (3369,'008068','B335');</v>
      </c>
    </row>
    <row r="372" spans="1:5" x14ac:dyDescent="0.35">
      <c r="A372">
        <v>3370</v>
      </c>
      <c r="B372" s="1" t="s">
        <v>679</v>
      </c>
      <c r="C372" s="1" t="s">
        <v>1420</v>
      </c>
      <c r="D372" t="str">
        <f t="shared" si="11"/>
        <v>3370,'008068','B6° 3A-II2'</v>
      </c>
      <c r="E372" t="str">
        <f t="shared" si="10"/>
        <v>INSERT INTO grupos (id,matricula,grupo) values (3370,'008068','B6° 3A-II2');</v>
      </c>
    </row>
    <row r="373" spans="1:5" x14ac:dyDescent="0.35">
      <c r="A373">
        <v>3371</v>
      </c>
      <c r="B373" s="1" t="s">
        <v>680</v>
      </c>
      <c r="C373" s="1" t="s">
        <v>1422</v>
      </c>
      <c r="D373" t="str">
        <f t="shared" si="11"/>
        <v>3371,'008069','B 34'</v>
      </c>
      <c r="E373" t="str">
        <f t="shared" si="10"/>
        <v>INSERT INTO grupos (id,matricula,grupo) values (3371,'008069','B 34');</v>
      </c>
    </row>
    <row r="374" spans="1:5" x14ac:dyDescent="0.35">
      <c r="A374">
        <v>3372</v>
      </c>
      <c r="B374" s="1" t="s">
        <v>680</v>
      </c>
      <c r="C374" s="1" t="s">
        <v>1403</v>
      </c>
      <c r="D374" t="str">
        <f t="shared" si="11"/>
        <v>3372,'008069','B ESTADISC'</v>
      </c>
      <c r="E374" t="str">
        <f t="shared" si="10"/>
        <v>INSERT INTO grupos (id,matricula,grupo) values (3372,'008069','B ESTADISC');</v>
      </c>
    </row>
    <row r="375" spans="1:5" x14ac:dyDescent="0.35">
      <c r="A375">
        <v>3373</v>
      </c>
      <c r="B375" s="1" t="s">
        <v>680</v>
      </c>
      <c r="C375" s="1" t="s">
        <v>1404</v>
      </c>
      <c r="D375" t="str">
        <f t="shared" si="11"/>
        <v>3373,'008069','B334'</v>
      </c>
      <c r="E375" t="str">
        <f t="shared" si="10"/>
        <v>INSERT INTO grupos (id,matricula,grupo) values (3373,'008069','B334');</v>
      </c>
    </row>
    <row r="376" spans="1:5" x14ac:dyDescent="0.35">
      <c r="A376">
        <v>3374</v>
      </c>
      <c r="B376" s="1" t="s">
        <v>680</v>
      </c>
      <c r="C376" s="1" t="s">
        <v>1420</v>
      </c>
      <c r="D376" t="str">
        <f t="shared" si="11"/>
        <v>3374,'008069','B6° 3A-II2'</v>
      </c>
      <c r="E376" t="str">
        <f t="shared" si="10"/>
        <v>INSERT INTO grupos (id,matricula,grupo) values (3374,'008069','B6° 3A-II2');</v>
      </c>
    </row>
    <row r="377" spans="1:5" x14ac:dyDescent="0.35">
      <c r="A377">
        <v>3375</v>
      </c>
      <c r="B377" s="1" t="s">
        <v>681</v>
      </c>
      <c r="C377" s="1" t="s">
        <v>1414</v>
      </c>
      <c r="D377" t="str">
        <f t="shared" si="11"/>
        <v>3375,'008072','B 32B'</v>
      </c>
      <c r="E377" t="str">
        <f t="shared" si="10"/>
        <v>INSERT INTO grupos (id,matricula,grupo) values (3375,'008072','B 32B');</v>
      </c>
    </row>
    <row r="378" spans="1:5" x14ac:dyDescent="0.35">
      <c r="A378">
        <v>3376</v>
      </c>
      <c r="B378" s="1" t="s">
        <v>681</v>
      </c>
      <c r="C378" s="1" t="s">
        <v>1415</v>
      </c>
      <c r="D378" t="str">
        <f t="shared" si="11"/>
        <v>3376,'008072','B MATFIN B'</v>
      </c>
      <c r="E378" t="str">
        <f t="shared" si="10"/>
        <v>INSERT INTO grupos (id,matricula,grupo) values (3376,'008072','B MATFIN B');</v>
      </c>
    </row>
    <row r="379" spans="1:5" x14ac:dyDescent="0.35">
      <c r="A379">
        <v>3377</v>
      </c>
      <c r="B379" s="1" t="s">
        <v>681</v>
      </c>
      <c r="C379" s="1" t="s">
        <v>1404</v>
      </c>
      <c r="D379" t="str">
        <f t="shared" si="11"/>
        <v>3377,'008072','B334'</v>
      </c>
      <c r="E379" t="str">
        <f t="shared" si="10"/>
        <v>INSERT INTO grupos (id,matricula,grupo) values (3377,'008072','B334');</v>
      </c>
    </row>
    <row r="380" spans="1:5" x14ac:dyDescent="0.35">
      <c r="A380">
        <v>3378</v>
      </c>
      <c r="B380" s="1" t="s">
        <v>681</v>
      </c>
      <c r="C380" s="1" t="s">
        <v>1420</v>
      </c>
      <c r="D380" t="str">
        <f t="shared" si="11"/>
        <v>3378,'008072','B6° 3A-II2'</v>
      </c>
      <c r="E380" t="str">
        <f t="shared" si="10"/>
        <v>INSERT INTO grupos (id,matricula,grupo) values (3378,'008072','B6° 3A-II2');</v>
      </c>
    </row>
    <row r="381" spans="1:5" x14ac:dyDescent="0.35">
      <c r="A381">
        <v>3379</v>
      </c>
      <c r="B381" s="1" t="s">
        <v>682</v>
      </c>
      <c r="C381" s="1" t="s">
        <v>1402</v>
      </c>
      <c r="D381" t="str">
        <f t="shared" si="11"/>
        <v>3379,'008074','B 33'</v>
      </c>
      <c r="E381" t="str">
        <f t="shared" si="10"/>
        <v>INSERT INTO grupos (id,matricula,grupo) values (3379,'008074','B 33');</v>
      </c>
    </row>
    <row r="382" spans="1:5" x14ac:dyDescent="0.35">
      <c r="A382">
        <v>3380</v>
      </c>
      <c r="B382" s="1" t="s">
        <v>682</v>
      </c>
      <c r="C382" s="1" t="s">
        <v>1412</v>
      </c>
      <c r="D382" t="str">
        <f t="shared" si="11"/>
        <v>3380,'008074','B 333'</v>
      </c>
      <c r="E382" t="str">
        <f t="shared" si="10"/>
        <v>INSERT INTO grupos (id,matricula,grupo) values (3380,'008074','B 333');</v>
      </c>
    </row>
    <row r="383" spans="1:5" x14ac:dyDescent="0.35">
      <c r="A383">
        <v>3381</v>
      </c>
      <c r="B383" s="1" t="s">
        <v>682</v>
      </c>
      <c r="C383" s="1" t="s">
        <v>1411</v>
      </c>
      <c r="D383" t="str">
        <f t="shared" si="11"/>
        <v>3381,'008074','B ESTADISA'</v>
      </c>
      <c r="E383" t="str">
        <f t="shared" si="10"/>
        <v>INSERT INTO grupos (id,matricula,grupo) values (3381,'008074','B ESTADISA');</v>
      </c>
    </row>
    <row r="384" spans="1:5" x14ac:dyDescent="0.35">
      <c r="A384">
        <v>3382</v>
      </c>
      <c r="B384" s="1" t="s">
        <v>682</v>
      </c>
      <c r="C384" s="1" t="s">
        <v>1413</v>
      </c>
      <c r="D384" t="str">
        <f t="shared" si="11"/>
        <v>3382,'008074','B6° 4A-II1'</v>
      </c>
      <c r="E384" t="str">
        <f t="shared" si="10"/>
        <v>INSERT INTO grupos (id,matricula,grupo) values (3382,'008074','B6° 4A-II1');</v>
      </c>
    </row>
    <row r="385" spans="1:5" x14ac:dyDescent="0.35">
      <c r="A385">
        <v>3383</v>
      </c>
      <c r="B385" s="1" t="s">
        <v>683</v>
      </c>
      <c r="C385" s="1" t="s">
        <v>1406</v>
      </c>
      <c r="D385" t="str">
        <f t="shared" si="11"/>
        <v>3383,'008075','B 32A'</v>
      </c>
      <c r="E385" t="str">
        <f t="shared" si="10"/>
        <v>INSERT INTO grupos (id,matricula,grupo) values (3383,'008075','B 32A');</v>
      </c>
    </row>
    <row r="386" spans="1:5" x14ac:dyDescent="0.35">
      <c r="A386">
        <v>3384</v>
      </c>
      <c r="B386" s="1" t="s">
        <v>683</v>
      </c>
      <c r="C386" s="1" t="s">
        <v>1407</v>
      </c>
      <c r="D386" t="str">
        <f t="shared" si="11"/>
        <v>3384,'008075','B MATFIN A'</v>
      </c>
      <c r="E386" t="str">
        <f t="shared" ref="E386:E449" si="12">CONCATENATE($D$1,D386,");")</f>
        <v>INSERT INTO grupos (id,matricula,grupo) values (3384,'008075','B MATFIN A');</v>
      </c>
    </row>
    <row r="387" spans="1:5" x14ac:dyDescent="0.35">
      <c r="A387">
        <v>3385</v>
      </c>
      <c r="B387" s="1" t="s">
        <v>683</v>
      </c>
      <c r="C387" s="1" t="s">
        <v>1404</v>
      </c>
      <c r="D387" t="str">
        <f t="shared" ref="D387:D450" si="13">CONCATENATE(A387,",",B387,",",C387,"")</f>
        <v>3385,'008075','B334'</v>
      </c>
      <c r="E387" t="str">
        <f t="shared" si="12"/>
        <v>INSERT INTO grupos (id,matricula,grupo) values (3385,'008075','B334');</v>
      </c>
    </row>
    <row r="388" spans="1:5" x14ac:dyDescent="0.35">
      <c r="A388">
        <v>3386</v>
      </c>
      <c r="B388" s="1" t="s">
        <v>683</v>
      </c>
      <c r="C388" s="1" t="s">
        <v>1405</v>
      </c>
      <c r="D388" t="str">
        <f t="shared" si="13"/>
        <v>3386,'008075','B6° 4B-II2'</v>
      </c>
      <c r="E388" t="str">
        <f t="shared" si="12"/>
        <v>INSERT INTO grupos (id,matricula,grupo) values (3386,'008075','B6° 4B-II2');</v>
      </c>
    </row>
    <row r="389" spans="1:5" x14ac:dyDescent="0.35">
      <c r="A389">
        <v>3387</v>
      </c>
      <c r="B389" s="1" t="s">
        <v>684</v>
      </c>
      <c r="C389" s="1" t="s">
        <v>1402</v>
      </c>
      <c r="D389" t="str">
        <f t="shared" si="13"/>
        <v>3387,'008076','B 33'</v>
      </c>
      <c r="E389" t="str">
        <f t="shared" si="12"/>
        <v>INSERT INTO grupos (id,matricula,grupo) values (3387,'008076','B 33');</v>
      </c>
    </row>
    <row r="390" spans="1:5" x14ac:dyDescent="0.35">
      <c r="A390">
        <v>3388</v>
      </c>
      <c r="B390" s="1" t="s">
        <v>684</v>
      </c>
      <c r="C390" s="1" t="s">
        <v>1421</v>
      </c>
      <c r="D390" t="str">
        <f t="shared" si="13"/>
        <v>3388,'008076','B 332'</v>
      </c>
      <c r="E390" t="str">
        <f t="shared" si="12"/>
        <v>INSERT INTO grupos (id,matricula,grupo) values (3388,'008076','B 332');</v>
      </c>
    </row>
    <row r="391" spans="1:5" x14ac:dyDescent="0.35">
      <c r="A391">
        <v>3389</v>
      </c>
      <c r="B391" s="1" t="s">
        <v>684</v>
      </c>
      <c r="C391" s="1" t="s">
        <v>1411</v>
      </c>
      <c r="D391" t="str">
        <f t="shared" si="13"/>
        <v>3389,'008076','B ESTADISA'</v>
      </c>
      <c r="E391" t="str">
        <f t="shared" si="12"/>
        <v>INSERT INTO grupos (id,matricula,grupo) values (3389,'008076','B ESTADISA');</v>
      </c>
    </row>
    <row r="392" spans="1:5" x14ac:dyDescent="0.35">
      <c r="A392">
        <v>3390</v>
      </c>
      <c r="B392" s="1" t="s">
        <v>684</v>
      </c>
      <c r="C392" s="1" t="s">
        <v>1413</v>
      </c>
      <c r="D392" t="str">
        <f t="shared" si="13"/>
        <v>3390,'008076','B6° 4A-II1'</v>
      </c>
      <c r="E392" t="str">
        <f t="shared" si="12"/>
        <v>INSERT INTO grupos (id,matricula,grupo) values (3390,'008076','B6° 4A-II1');</v>
      </c>
    </row>
    <row r="393" spans="1:5" x14ac:dyDescent="0.35">
      <c r="A393">
        <v>3391</v>
      </c>
      <c r="B393" s="1" t="s">
        <v>685</v>
      </c>
      <c r="C393" s="1" t="s">
        <v>1410</v>
      </c>
      <c r="D393" t="str">
        <f t="shared" si="13"/>
        <v>3391,'008077','B 31A'</v>
      </c>
      <c r="E393" t="str">
        <f t="shared" si="12"/>
        <v>INSERT INTO grupos (id,matricula,grupo) values (3391,'008077','B 31A');</v>
      </c>
    </row>
    <row r="394" spans="1:5" x14ac:dyDescent="0.35">
      <c r="A394">
        <v>3392</v>
      </c>
      <c r="B394" s="1" t="s">
        <v>685</v>
      </c>
      <c r="C394" s="1" t="s">
        <v>1412</v>
      </c>
      <c r="D394" t="str">
        <f t="shared" si="13"/>
        <v>3392,'008077','B 333'</v>
      </c>
      <c r="E394" t="str">
        <f t="shared" si="12"/>
        <v>INSERT INTO grupos (id,matricula,grupo) values (3392,'008077','B 333');</v>
      </c>
    </row>
    <row r="395" spans="1:5" x14ac:dyDescent="0.35">
      <c r="A395">
        <v>3393</v>
      </c>
      <c r="B395" s="1" t="s">
        <v>685</v>
      </c>
      <c r="C395" s="1" t="s">
        <v>1408</v>
      </c>
      <c r="D395" t="str">
        <f t="shared" si="13"/>
        <v>3393,'008077','B ESTADISB'</v>
      </c>
      <c r="E395" t="str">
        <f t="shared" si="12"/>
        <v>INSERT INTO grupos (id,matricula,grupo) values (3393,'008077','B ESTADISB');</v>
      </c>
    </row>
    <row r="396" spans="1:5" x14ac:dyDescent="0.35">
      <c r="A396">
        <v>3394</v>
      </c>
      <c r="B396" s="1" t="s">
        <v>685</v>
      </c>
      <c r="C396" s="1" t="s">
        <v>1413</v>
      </c>
      <c r="D396" t="str">
        <f t="shared" si="13"/>
        <v>3394,'008077','B6° 4A-II1'</v>
      </c>
      <c r="E396" t="str">
        <f t="shared" si="12"/>
        <v>INSERT INTO grupos (id,matricula,grupo) values (3394,'008077','B6° 4A-II1');</v>
      </c>
    </row>
    <row r="397" spans="1:5" x14ac:dyDescent="0.35">
      <c r="A397">
        <v>3395</v>
      </c>
      <c r="B397" s="1" t="s">
        <v>686</v>
      </c>
      <c r="C397" s="1" t="s">
        <v>1417</v>
      </c>
      <c r="D397" t="str">
        <f t="shared" si="13"/>
        <v>3395,'008079','B 331'</v>
      </c>
      <c r="E397" t="str">
        <f t="shared" si="12"/>
        <v>INSERT INTO grupos (id,matricula,grupo) values (3395,'008079','B 331');</v>
      </c>
    </row>
    <row r="398" spans="1:5" x14ac:dyDescent="0.35">
      <c r="A398">
        <v>3396</v>
      </c>
      <c r="B398" s="1" t="s">
        <v>686</v>
      </c>
      <c r="C398" s="1" t="s">
        <v>1422</v>
      </c>
      <c r="D398" t="str">
        <f t="shared" si="13"/>
        <v>3396,'008079','B 34'</v>
      </c>
      <c r="E398" t="str">
        <f t="shared" si="12"/>
        <v>INSERT INTO grupos (id,matricula,grupo) values (3396,'008079','B 34');</v>
      </c>
    </row>
    <row r="399" spans="1:5" x14ac:dyDescent="0.35">
      <c r="A399">
        <v>3397</v>
      </c>
      <c r="B399" s="1" t="s">
        <v>686</v>
      </c>
      <c r="C399" s="1" t="s">
        <v>1408</v>
      </c>
      <c r="D399" t="str">
        <f t="shared" si="13"/>
        <v>3397,'008079','B ESTADISB'</v>
      </c>
      <c r="E399" t="str">
        <f t="shared" si="12"/>
        <v>INSERT INTO grupos (id,matricula,grupo) values (3397,'008079','B ESTADISB');</v>
      </c>
    </row>
    <row r="400" spans="1:5" x14ac:dyDescent="0.35">
      <c r="A400">
        <v>3398</v>
      </c>
      <c r="B400" s="1" t="s">
        <v>687</v>
      </c>
      <c r="C400" s="1" t="s">
        <v>1402</v>
      </c>
      <c r="D400" t="str">
        <f t="shared" si="13"/>
        <v>3398,'008081','B 33'</v>
      </c>
      <c r="E400" t="str">
        <f t="shared" si="12"/>
        <v>INSERT INTO grupos (id,matricula,grupo) values (3398,'008081','B 33');</v>
      </c>
    </row>
    <row r="401" spans="1:5" x14ac:dyDescent="0.35">
      <c r="A401">
        <v>3399</v>
      </c>
      <c r="B401" s="1" t="s">
        <v>687</v>
      </c>
      <c r="C401" s="1" t="s">
        <v>1411</v>
      </c>
      <c r="D401" t="str">
        <f t="shared" si="13"/>
        <v>3399,'008081','B ESTADISA'</v>
      </c>
      <c r="E401" t="str">
        <f t="shared" si="12"/>
        <v>INSERT INTO grupos (id,matricula,grupo) values (3399,'008081','B ESTADISA');</v>
      </c>
    </row>
    <row r="402" spans="1:5" x14ac:dyDescent="0.35">
      <c r="A402">
        <v>3400</v>
      </c>
      <c r="B402" s="1" t="s">
        <v>687</v>
      </c>
      <c r="C402" s="1" t="s">
        <v>1404</v>
      </c>
      <c r="D402" t="str">
        <f t="shared" si="13"/>
        <v>3400,'008081','B334'</v>
      </c>
      <c r="E402" t="str">
        <f t="shared" si="12"/>
        <v>INSERT INTO grupos (id,matricula,grupo) values (3400,'008081','B334');</v>
      </c>
    </row>
    <row r="403" spans="1:5" x14ac:dyDescent="0.35">
      <c r="A403">
        <v>3401</v>
      </c>
      <c r="B403" s="1" t="s">
        <v>687</v>
      </c>
      <c r="C403" s="1" t="s">
        <v>1405</v>
      </c>
      <c r="D403" t="str">
        <f t="shared" si="13"/>
        <v>3401,'008081','B6° 4B-II2'</v>
      </c>
      <c r="E403" t="str">
        <f t="shared" si="12"/>
        <v>INSERT INTO grupos (id,matricula,grupo) values (3401,'008081','B6° 4B-II2');</v>
      </c>
    </row>
    <row r="404" spans="1:5" x14ac:dyDescent="0.35">
      <c r="A404">
        <v>3402</v>
      </c>
      <c r="B404" s="1" t="s">
        <v>688</v>
      </c>
      <c r="C404" s="1" t="s">
        <v>1406</v>
      </c>
      <c r="D404" t="str">
        <f t="shared" si="13"/>
        <v>3402,'008083','B 32A'</v>
      </c>
      <c r="E404" t="str">
        <f t="shared" si="12"/>
        <v>INSERT INTO grupos (id,matricula,grupo) values (3402,'008083','B 32A');</v>
      </c>
    </row>
    <row r="405" spans="1:5" x14ac:dyDescent="0.35">
      <c r="A405">
        <v>3403</v>
      </c>
      <c r="B405" s="1" t="s">
        <v>688</v>
      </c>
      <c r="C405" s="1" t="s">
        <v>1421</v>
      </c>
      <c r="D405" t="str">
        <f t="shared" si="13"/>
        <v>3403,'008083','B 332'</v>
      </c>
      <c r="E405" t="str">
        <f t="shared" si="12"/>
        <v>INSERT INTO grupos (id,matricula,grupo) values (3403,'008083','B 332');</v>
      </c>
    </row>
    <row r="406" spans="1:5" x14ac:dyDescent="0.35">
      <c r="A406">
        <v>3404</v>
      </c>
      <c r="B406" s="1" t="s">
        <v>688</v>
      </c>
      <c r="C406" s="1" t="s">
        <v>1407</v>
      </c>
      <c r="D406" t="str">
        <f t="shared" si="13"/>
        <v>3404,'008083','B MATFIN A'</v>
      </c>
      <c r="E406" t="str">
        <f t="shared" si="12"/>
        <v>INSERT INTO grupos (id,matricula,grupo) values (3404,'008083','B MATFIN A');</v>
      </c>
    </row>
    <row r="407" spans="1:5" x14ac:dyDescent="0.35">
      <c r="A407">
        <v>3405</v>
      </c>
      <c r="B407" s="1" t="s">
        <v>688</v>
      </c>
      <c r="C407" s="1" t="s">
        <v>1424</v>
      </c>
      <c r="D407" t="str">
        <f t="shared" si="13"/>
        <v>3405,'008083','B6° 4B-II1'</v>
      </c>
      <c r="E407" t="str">
        <f t="shared" si="12"/>
        <v>INSERT INTO grupos (id,matricula,grupo) values (3405,'008083','B6° 4B-II1');</v>
      </c>
    </row>
    <row r="408" spans="1:5" x14ac:dyDescent="0.35">
      <c r="A408">
        <v>3406</v>
      </c>
      <c r="B408" s="1" t="s">
        <v>689</v>
      </c>
      <c r="C408" s="1" t="s">
        <v>1412</v>
      </c>
      <c r="D408" t="str">
        <f t="shared" si="13"/>
        <v>3406,'008084','B 333'</v>
      </c>
      <c r="E408" t="str">
        <f t="shared" si="12"/>
        <v>INSERT INTO grupos (id,matricula,grupo) values (3406,'008084','B 333');</v>
      </c>
    </row>
    <row r="409" spans="1:5" x14ac:dyDescent="0.35">
      <c r="A409">
        <v>3407</v>
      </c>
      <c r="B409" s="1" t="s">
        <v>689</v>
      </c>
      <c r="C409" s="1" t="s">
        <v>1422</v>
      </c>
      <c r="D409" t="str">
        <f t="shared" si="13"/>
        <v>3407,'008084','B 34'</v>
      </c>
      <c r="E409" t="str">
        <f t="shared" si="12"/>
        <v>INSERT INTO grupos (id,matricula,grupo) values (3407,'008084','B 34');</v>
      </c>
    </row>
    <row r="410" spans="1:5" x14ac:dyDescent="0.35">
      <c r="A410">
        <v>3408</v>
      </c>
      <c r="B410" s="1" t="s">
        <v>689</v>
      </c>
      <c r="C410" s="1" t="s">
        <v>1408</v>
      </c>
      <c r="D410" t="str">
        <f t="shared" si="13"/>
        <v>3408,'008084','B ESTADISB'</v>
      </c>
      <c r="E410" t="str">
        <f t="shared" si="12"/>
        <v>INSERT INTO grupos (id,matricula,grupo) values (3408,'008084','B ESTADISB');</v>
      </c>
    </row>
    <row r="411" spans="1:5" x14ac:dyDescent="0.35">
      <c r="A411">
        <v>3409</v>
      </c>
      <c r="B411" s="1" t="s">
        <v>689</v>
      </c>
      <c r="C411" s="1" t="s">
        <v>1423</v>
      </c>
      <c r="D411" t="str">
        <f t="shared" si="13"/>
        <v>3409,'008084','B6° 3A-II1'</v>
      </c>
      <c r="E411" t="str">
        <f t="shared" si="12"/>
        <v>INSERT INTO grupos (id,matricula,grupo) values (3409,'008084','B6° 3A-II1');</v>
      </c>
    </row>
    <row r="412" spans="1:5" x14ac:dyDescent="0.35">
      <c r="A412">
        <v>3410</v>
      </c>
      <c r="B412" s="1" t="s">
        <v>690</v>
      </c>
      <c r="C412" s="1" t="s">
        <v>1402</v>
      </c>
      <c r="D412" t="str">
        <f t="shared" si="13"/>
        <v>3410,'008086','B 33'</v>
      </c>
      <c r="E412" t="str">
        <f t="shared" si="12"/>
        <v>INSERT INTO grupos (id,matricula,grupo) values (3410,'008086','B 33');</v>
      </c>
    </row>
    <row r="413" spans="1:5" x14ac:dyDescent="0.35">
      <c r="A413">
        <v>3411</v>
      </c>
      <c r="B413" s="1" t="s">
        <v>690</v>
      </c>
      <c r="C413" s="1" t="s">
        <v>1412</v>
      </c>
      <c r="D413" t="str">
        <f t="shared" si="13"/>
        <v>3411,'008086','B 333'</v>
      </c>
      <c r="E413" t="str">
        <f t="shared" si="12"/>
        <v>INSERT INTO grupos (id,matricula,grupo) values (3411,'008086','B 333');</v>
      </c>
    </row>
    <row r="414" spans="1:5" x14ac:dyDescent="0.35">
      <c r="A414">
        <v>3412</v>
      </c>
      <c r="B414" s="1" t="s">
        <v>690</v>
      </c>
      <c r="C414" s="1" t="s">
        <v>1411</v>
      </c>
      <c r="D414" t="str">
        <f t="shared" si="13"/>
        <v>3412,'008086','B ESTADISA'</v>
      </c>
      <c r="E414" t="str">
        <f t="shared" si="12"/>
        <v>INSERT INTO grupos (id,matricula,grupo) values (3412,'008086','B ESTADISA');</v>
      </c>
    </row>
    <row r="415" spans="1:5" x14ac:dyDescent="0.35">
      <c r="A415">
        <v>3413</v>
      </c>
      <c r="B415" s="1" t="s">
        <v>690</v>
      </c>
      <c r="C415" s="1" t="s">
        <v>1423</v>
      </c>
      <c r="D415" t="str">
        <f t="shared" si="13"/>
        <v>3413,'008086','B6° 3A-II1'</v>
      </c>
      <c r="E415" t="str">
        <f t="shared" si="12"/>
        <v>INSERT INTO grupos (id,matricula,grupo) values (3413,'008086','B6° 3A-II1');</v>
      </c>
    </row>
    <row r="416" spans="1:5" x14ac:dyDescent="0.35">
      <c r="A416">
        <v>3414</v>
      </c>
      <c r="B416" s="1" t="s">
        <v>691</v>
      </c>
      <c r="C416" s="1" t="s">
        <v>1414</v>
      </c>
      <c r="D416" t="str">
        <f t="shared" si="13"/>
        <v>3414,'008087','B 32B'</v>
      </c>
      <c r="E416" t="str">
        <f t="shared" si="12"/>
        <v>INSERT INTO grupos (id,matricula,grupo) values (3414,'008087','B 32B');</v>
      </c>
    </row>
    <row r="417" spans="1:5" x14ac:dyDescent="0.35">
      <c r="A417">
        <v>3415</v>
      </c>
      <c r="B417" s="1" t="s">
        <v>691</v>
      </c>
      <c r="C417" s="1" t="s">
        <v>1421</v>
      </c>
      <c r="D417" t="str">
        <f t="shared" si="13"/>
        <v>3415,'008087','B 332'</v>
      </c>
      <c r="E417" t="str">
        <f t="shared" si="12"/>
        <v>INSERT INTO grupos (id,matricula,grupo) values (3415,'008087','B 332');</v>
      </c>
    </row>
    <row r="418" spans="1:5" x14ac:dyDescent="0.35">
      <c r="A418">
        <v>3416</v>
      </c>
      <c r="B418" s="1" t="s">
        <v>691</v>
      </c>
      <c r="C418" s="1" t="s">
        <v>1415</v>
      </c>
      <c r="D418" t="str">
        <f t="shared" si="13"/>
        <v>3416,'008087','B MATFIN B'</v>
      </c>
      <c r="E418" t="str">
        <f t="shared" si="12"/>
        <v>INSERT INTO grupos (id,matricula,grupo) values (3416,'008087','B MATFIN B');</v>
      </c>
    </row>
    <row r="419" spans="1:5" x14ac:dyDescent="0.35">
      <c r="A419">
        <v>3417</v>
      </c>
      <c r="B419" s="1" t="s">
        <v>691</v>
      </c>
      <c r="C419" s="1" t="s">
        <v>1424</v>
      </c>
      <c r="D419" t="str">
        <f t="shared" si="13"/>
        <v>3417,'008087','B6° 4B-II1'</v>
      </c>
      <c r="E419" t="str">
        <f t="shared" si="12"/>
        <v>INSERT INTO grupos (id,matricula,grupo) values (3417,'008087','B6° 4B-II1');</v>
      </c>
    </row>
    <row r="420" spans="1:5" x14ac:dyDescent="0.35">
      <c r="A420">
        <v>3418</v>
      </c>
      <c r="B420" s="1" t="s">
        <v>692</v>
      </c>
      <c r="C420" s="1" t="s">
        <v>1414</v>
      </c>
      <c r="D420" t="str">
        <f t="shared" si="13"/>
        <v>3418,'008088','B 32B'</v>
      </c>
      <c r="E420" t="str">
        <f t="shared" si="12"/>
        <v>INSERT INTO grupos (id,matricula,grupo) values (3418,'008088','B 32B');</v>
      </c>
    </row>
    <row r="421" spans="1:5" x14ac:dyDescent="0.35">
      <c r="A421">
        <v>3419</v>
      </c>
      <c r="B421" s="1" t="s">
        <v>692</v>
      </c>
      <c r="C421" s="1" t="s">
        <v>1412</v>
      </c>
      <c r="D421" t="str">
        <f t="shared" si="13"/>
        <v>3419,'008088','B 333'</v>
      </c>
      <c r="E421" t="str">
        <f t="shared" si="12"/>
        <v>INSERT INTO grupos (id,matricula,grupo) values (3419,'008088','B 333');</v>
      </c>
    </row>
    <row r="422" spans="1:5" x14ac:dyDescent="0.35">
      <c r="A422">
        <v>3420</v>
      </c>
      <c r="B422" s="1" t="s">
        <v>692</v>
      </c>
      <c r="C422" s="1" t="s">
        <v>1415</v>
      </c>
      <c r="D422" t="str">
        <f t="shared" si="13"/>
        <v>3420,'008088','B MATFIN B'</v>
      </c>
      <c r="E422" t="str">
        <f t="shared" si="12"/>
        <v>INSERT INTO grupos (id,matricula,grupo) values (3420,'008088','B MATFIN B');</v>
      </c>
    </row>
    <row r="423" spans="1:5" x14ac:dyDescent="0.35">
      <c r="A423">
        <v>3421</v>
      </c>
      <c r="B423" s="1" t="s">
        <v>692</v>
      </c>
      <c r="C423" s="1" t="s">
        <v>1413</v>
      </c>
      <c r="D423" t="str">
        <f t="shared" si="13"/>
        <v>3421,'008088','B6° 4A-II1'</v>
      </c>
      <c r="E423" t="str">
        <f t="shared" si="12"/>
        <v>INSERT INTO grupos (id,matricula,grupo) values (3421,'008088','B6° 4A-II1');</v>
      </c>
    </row>
    <row r="424" spans="1:5" x14ac:dyDescent="0.35">
      <c r="A424">
        <v>3422</v>
      </c>
      <c r="B424" s="1" t="s">
        <v>693</v>
      </c>
      <c r="C424" s="1" t="s">
        <v>1410</v>
      </c>
      <c r="D424" t="str">
        <f t="shared" si="13"/>
        <v>3422,'008089','B 31A'</v>
      </c>
      <c r="E424" t="str">
        <f t="shared" si="12"/>
        <v>INSERT INTO grupos (id,matricula,grupo) values (3422,'008089','B 31A');</v>
      </c>
    </row>
    <row r="425" spans="1:5" x14ac:dyDescent="0.35">
      <c r="A425">
        <v>3423</v>
      </c>
      <c r="B425" s="1" t="s">
        <v>693</v>
      </c>
      <c r="C425" s="1" t="s">
        <v>1412</v>
      </c>
      <c r="D425" t="str">
        <f t="shared" si="13"/>
        <v>3423,'008089','B 333'</v>
      </c>
      <c r="E425" t="str">
        <f t="shared" si="12"/>
        <v>INSERT INTO grupos (id,matricula,grupo) values (3423,'008089','B 333');</v>
      </c>
    </row>
    <row r="426" spans="1:5" x14ac:dyDescent="0.35">
      <c r="A426">
        <v>3424</v>
      </c>
      <c r="B426" s="1" t="s">
        <v>693</v>
      </c>
      <c r="C426" s="1" t="s">
        <v>1408</v>
      </c>
      <c r="D426" t="str">
        <f t="shared" si="13"/>
        <v>3424,'008089','B ESTADISB'</v>
      </c>
      <c r="E426" t="str">
        <f t="shared" si="12"/>
        <v>INSERT INTO grupos (id,matricula,grupo) values (3424,'008089','B ESTADISB');</v>
      </c>
    </row>
    <row r="427" spans="1:5" x14ac:dyDescent="0.35">
      <c r="A427">
        <v>3425</v>
      </c>
      <c r="B427" s="1" t="s">
        <v>693</v>
      </c>
      <c r="C427" s="1" t="s">
        <v>1413</v>
      </c>
      <c r="D427" t="str">
        <f t="shared" si="13"/>
        <v>3425,'008089','B6° 4A-II1'</v>
      </c>
      <c r="E427" t="str">
        <f t="shared" si="12"/>
        <v>INSERT INTO grupos (id,matricula,grupo) values (3425,'008089','B6° 4A-II1');</v>
      </c>
    </row>
    <row r="428" spans="1:5" x14ac:dyDescent="0.35">
      <c r="A428">
        <v>3426</v>
      </c>
      <c r="B428" s="1" t="s">
        <v>694</v>
      </c>
      <c r="C428" s="1" t="s">
        <v>1402</v>
      </c>
      <c r="D428" t="str">
        <f t="shared" si="13"/>
        <v>3426,'008091','B 33'</v>
      </c>
      <c r="E428" t="str">
        <f t="shared" si="12"/>
        <v>INSERT INTO grupos (id,matricula,grupo) values (3426,'008091','B 33');</v>
      </c>
    </row>
    <row r="429" spans="1:5" x14ac:dyDescent="0.35">
      <c r="A429">
        <v>3427</v>
      </c>
      <c r="B429" s="1" t="s">
        <v>694</v>
      </c>
      <c r="C429" s="1" t="s">
        <v>1421</v>
      </c>
      <c r="D429" t="str">
        <f t="shared" si="13"/>
        <v>3427,'008091','B 332'</v>
      </c>
      <c r="E429" t="str">
        <f t="shared" si="12"/>
        <v>INSERT INTO grupos (id,matricula,grupo) values (3427,'008091','B 332');</v>
      </c>
    </row>
    <row r="430" spans="1:5" x14ac:dyDescent="0.35">
      <c r="A430">
        <v>3428</v>
      </c>
      <c r="B430" s="1" t="s">
        <v>694</v>
      </c>
      <c r="C430" s="1" t="s">
        <v>1408</v>
      </c>
      <c r="D430" t="str">
        <f t="shared" si="13"/>
        <v>3428,'008091','B ESTADISB'</v>
      </c>
      <c r="E430" t="str">
        <f t="shared" si="12"/>
        <v>INSERT INTO grupos (id,matricula,grupo) values (3428,'008091','B ESTADISB');</v>
      </c>
    </row>
    <row r="431" spans="1:5" x14ac:dyDescent="0.35">
      <c r="A431">
        <v>3429</v>
      </c>
      <c r="B431" s="1" t="s">
        <v>694</v>
      </c>
      <c r="C431" s="1" t="s">
        <v>1413</v>
      </c>
      <c r="D431" t="str">
        <f t="shared" si="13"/>
        <v>3429,'008091','B6° 4A-II1'</v>
      </c>
      <c r="E431" t="str">
        <f t="shared" si="12"/>
        <v>INSERT INTO grupos (id,matricula,grupo) values (3429,'008091','B6° 4A-II1');</v>
      </c>
    </row>
    <row r="432" spans="1:5" x14ac:dyDescent="0.35">
      <c r="A432">
        <v>3430</v>
      </c>
      <c r="B432" s="1" t="s">
        <v>695</v>
      </c>
      <c r="C432" s="1" t="s">
        <v>1414</v>
      </c>
      <c r="D432" t="str">
        <f t="shared" si="13"/>
        <v>3430,'008092','B 32B'</v>
      </c>
      <c r="E432" t="str">
        <f t="shared" si="12"/>
        <v>INSERT INTO grupos (id,matricula,grupo) values (3430,'008092','B 32B');</v>
      </c>
    </row>
    <row r="433" spans="1:5" x14ac:dyDescent="0.35">
      <c r="A433">
        <v>3431</v>
      </c>
      <c r="B433" s="1" t="s">
        <v>695</v>
      </c>
      <c r="C433" s="1" t="s">
        <v>1415</v>
      </c>
      <c r="D433" t="str">
        <f t="shared" si="13"/>
        <v>3431,'008092','B MATFIN B'</v>
      </c>
      <c r="E433" t="str">
        <f t="shared" si="12"/>
        <v>INSERT INTO grupos (id,matricula,grupo) values (3431,'008092','B MATFIN B');</v>
      </c>
    </row>
    <row r="434" spans="1:5" x14ac:dyDescent="0.35">
      <c r="A434">
        <v>3432</v>
      </c>
      <c r="B434" s="1" t="s">
        <v>695</v>
      </c>
      <c r="C434" s="1" t="s">
        <v>1409</v>
      </c>
      <c r="D434" t="str">
        <f t="shared" si="13"/>
        <v>3432,'008092','B335'</v>
      </c>
      <c r="E434" t="str">
        <f t="shared" si="12"/>
        <v>INSERT INTO grupos (id,matricula,grupo) values (3432,'008092','B335');</v>
      </c>
    </row>
    <row r="435" spans="1:5" x14ac:dyDescent="0.35">
      <c r="A435">
        <v>3433</v>
      </c>
      <c r="B435" s="1" t="s">
        <v>695</v>
      </c>
      <c r="C435" s="1" t="s">
        <v>1416</v>
      </c>
      <c r="D435" t="str">
        <f t="shared" si="13"/>
        <v>3433,'008092','B6° 3B-II2'</v>
      </c>
      <c r="E435" t="str">
        <f t="shared" si="12"/>
        <v>INSERT INTO grupos (id,matricula,grupo) values (3433,'008092','B6° 3B-II2');</v>
      </c>
    </row>
    <row r="436" spans="1:5" x14ac:dyDescent="0.35">
      <c r="A436">
        <v>3434</v>
      </c>
      <c r="B436" s="1" t="s">
        <v>696</v>
      </c>
      <c r="C436" s="1" t="s">
        <v>1417</v>
      </c>
      <c r="D436" t="str">
        <f t="shared" si="13"/>
        <v>3434,'008093','B 331'</v>
      </c>
      <c r="E436" t="str">
        <f t="shared" si="12"/>
        <v>INSERT INTO grupos (id,matricula,grupo) values (3434,'008093','B 331');</v>
      </c>
    </row>
    <row r="437" spans="1:5" x14ac:dyDescent="0.35">
      <c r="A437">
        <v>3435</v>
      </c>
      <c r="B437" s="1" t="s">
        <v>696</v>
      </c>
      <c r="C437" s="1" t="s">
        <v>1418</v>
      </c>
      <c r="D437" t="str">
        <f t="shared" si="13"/>
        <v>3435,'008093','B 35'</v>
      </c>
      <c r="E437" t="str">
        <f t="shared" si="12"/>
        <v>INSERT INTO grupos (id,matricula,grupo) values (3435,'008093','B 35');</v>
      </c>
    </row>
    <row r="438" spans="1:5" x14ac:dyDescent="0.35">
      <c r="A438">
        <v>3436</v>
      </c>
      <c r="B438" s="1" t="s">
        <v>696</v>
      </c>
      <c r="C438" s="1" t="s">
        <v>1419</v>
      </c>
      <c r="D438" t="str">
        <f t="shared" si="13"/>
        <v>3436,'008093','B CALINTE'</v>
      </c>
      <c r="E438" t="str">
        <f t="shared" si="12"/>
        <v>INSERT INTO grupos (id,matricula,grupo) values (3436,'008093','B CALINTE');</v>
      </c>
    </row>
    <row r="439" spans="1:5" x14ac:dyDescent="0.35">
      <c r="A439">
        <v>3437</v>
      </c>
      <c r="B439" s="1" t="s">
        <v>697</v>
      </c>
      <c r="C439" s="1" t="s">
        <v>1412</v>
      </c>
      <c r="D439" t="str">
        <f t="shared" si="13"/>
        <v>3437,'008094','B 333'</v>
      </c>
      <c r="E439" t="str">
        <f t="shared" si="12"/>
        <v>INSERT INTO grupos (id,matricula,grupo) values (3437,'008094','B 333');</v>
      </c>
    </row>
    <row r="440" spans="1:5" x14ac:dyDescent="0.35">
      <c r="A440">
        <v>3438</v>
      </c>
      <c r="B440" s="1" t="s">
        <v>697</v>
      </c>
      <c r="C440" s="1" t="s">
        <v>1418</v>
      </c>
      <c r="D440" t="str">
        <f t="shared" si="13"/>
        <v>3438,'008094','B 35'</v>
      </c>
      <c r="E440" t="str">
        <f t="shared" si="12"/>
        <v>INSERT INTO grupos (id,matricula,grupo) values (3438,'008094','B 35');</v>
      </c>
    </row>
    <row r="441" spans="1:5" x14ac:dyDescent="0.35">
      <c r="A441">
        <v>3439</v>
      </c>
      <c r="B441" s="1" t="s">
        <v>697</v>
      </c>
      <c r="C441" s="1" t="s">
        <v>1419</v>
      </c>
      <c r="D441" t="str">
        <f t="shared" si="13"/>
        <v>3439,'008094','B CALINTE'</v>
      </c>
      <c r="E441" t="str">
        <f t="shared" si="12"/>
        <v>INSERT INTO grupos (id,matricula,grupo) values (3439,'008094','B CALINTE');</v>
      </c>
    </row>
    <row r="442" spans="1:5" x14ac:dyDescent="0.35">
      <c r="A442">
        <v>3440</v>
      </c>
      <c r="B442" s="1" t="s">
        <v>697</v>
      </c>
      <c r="C442" s="1" t="s">
        <v>1423</v>
      </c>
      <c r="D442" t="str">
        <f t="shared" si="13"/>
        <v>3440,'008094','B6° 3A-II1'</v>
      </c>
      <c r="E442" t="str">
        <f t="shared" si="12"/>
        <v>INSERT INTO grupos (id,matricula,grupo) values (3440,'008094','B6° 3A-II1');</v>
      </c>
    </row>
    <row r="443" spans="1:5" x14ac:dyDescent="0.35">
      <c r="A443">
        <v>3441</v>
      </c>
      <c r="B443" s="1" t="s">
        <v>698</v>
      </c>
      <c r="C443" s="1" t="s">
        <v>1422</v>
      </c>
      <c r="D443" t="str">
        <f t="shared" si="13"/>
        <v>3441,'008095','B 34'</v>
      </c>
      <c r="E443" t="str">
        <f t="shared" si="12"/>
        <v>INSERT INTO grupos (id,matricula,grupo) values (3441,'008095','B 34');</v>
      </c>
    </row>
    <row r="444" spans="1:5" x14ac:dyDescent="0.35">
      <c r="A444">
        <v>3442</v>
      </c>
      <c r="B444" s="1" t="s">
        <v>698</v>
      </c>
      <c r="C444" s="1" t="s">
        <v>1408</v>
      </c>
      <c r="D444" t="str">
        <f t="shared" si="13"/>
        <v>3442,'008095','B ESTADISB'</v>
      </c>
      <c r="E444" t="str">
        <f t="shared" si="12"/>
        <v>INSERT INTO grupos (id,matricula,grupo) values (3442,'008095','B ESTADISB');</v>
      </c>
    </row>
    <row r="445" spans="1:5" x14ac:dyDescent="0.35">
      <c r="A445">
        <v>3443</v>
      </c>
      <c r="B445" s="1" t="s">
        <v>698</v>
      </c>
      <c r="C445" s="1" t="s">
        <v>1404</v>
      </c>
      <c r="D445" t="str">
        <f t="shared" si="13"/>
        <v>3443,'008095','B334'</v>
      </c>
      <c r="E445" t="str">
        <f t="shared" si="12"/>
        <v>INSERT INTO grupos (id,matricula,grupo) values (3443,'008095','B334');</v>
      </c>
    </row>
    <row r="446" spans="1:5" x14ac:dyDescent="0.35">
      <c r="A446">
        <v>3444</v>
      </c>
      <c r="B446" s="1" t="s">
        <v>698</v>
      </c>
      <c r="C446" s="1" t="s">
        <v>1420</v>
      </c>
      <c r="D446" t="str">
        <f t="shared" si="13"/>
        <v>3444,'008095','B6° 3A-II2'</v>
      </c>
      <c r="E446" t="str">
        <f t="shared" si="12"/>
        <v>INSERT INTO grupos (id,matricula,grupo) values (3444,'008095','B6° 3A-II2');</v>
      </c>
    </row>
    <row r="447" spans="1:5" x14ac:dyDescent="0.35">
      <c r="A447">
        <v>3445</v>
      </c>
      <c r="B447" s="1" t="s">
        <v>699</v>
      </c>
      <c r="C447" s="1" t="s">
        <v>1410</v>
      </c>
      <c r="D447" t="str">
        <f t="shared" si="13"/>
        <v>3445,'008096','B 31A'</v>
      </c>
      <c r="E447" t="str">
        <f t="shared" si="12"/>
        <v>INSERT INTO grupos (id,matricula,grupo) values (3445,'008096','B 31A');</v>
      </c>
    </row>
    <row r="448" spans="1:5" x14ac:dyDescent="0.35">
      <c r="A448">
        <v>3446</v>
      </c>
      <c r="B448" s="1" t="s">
        <v>699</v>
      </c>
      <c r="C448" s="1" t="s">
        <v>1417</v>
      </c>
      <c r="D448" t="str">
        <f t="shared" si="13"/>
        <v>3446,'008096','B 331'</v>
      </c>
      <c r="E448" t="str">
        <f t="shared" si="12"/>
        <v>INSERT INTO grupos (id,matricula,grupo) values (3446,'008096','B 331');</v>
      </c>
    </row>
    <row r="449" spans="1:5" x14ac:dyDescent="0.35">
      <c r="A449">
        <v>3447</v>
      </c>
      <c r="B449" s="1" t="s">
        <v>699</v>
      </c>
      <c r="C449" s="1" t="s">
        <v>1403</v>
      </c>
      <c r="D449" t="str">
        <f t="shared" si="13"/>
        <v>3447,'008096','B ESTADISC'</v>
      </c>
      <c r="E449" t="str">
        <f t="shared" si="12"/>
        <v>INSERT INTO grupos (id,matricula,grupo) values (3447,'008096','B ESTADISC');</v>
      </c>
    </row>
    <row r="450" spans="1:5" x14ac:dyDescent="0.35">
      <c r="A450">
        <v>3448</v>
      </c>
      <c r="B450" s="1" t="s">
        <v>700</v>
      </c>
      <c r="C450" s="1" t="s">
        <v>1421</v>
      </c>
      <c r="D450" t="str">
        <f t="shared" si="13"/>
        <v>3448,'008099','B 332'</v>
      </c>
      <c r="E450" t="str">
        <f t="shared" ref="E450:E513" si="14">CONCATENATE($D$1,D450,");")</f>
        <v>INSERT INTO grupos (id,matricula,grupo) values (3448,'008099','B 332');</v>
      </c>
    </row>
    <row r="451" spans="1:5" x14ac:dyDescent="0.35">
      <c r="A451">
        <v>3449</v>
      </c>
      <c r="B451" s="1" t="s">
        <v>700</v>
      </c>
      <c r="C451" s="1" t="s">
        <v>1422</v>
      </c>
      <c r="D451" t="str">
        <f t="shared" ref="D451:D514" si="15">CONCATENATE(A451,",",B451,",",C451,"")</f>
        <v>3449,'008099','B 34'</v>
      </c>
      <c r="E451" t="str">
        <f t="shared" si="14"/>
        <v>INSERT INTO grupos (id,matricula,grupo) values (3449,'008099','B 34');</v>
      </c>
    </row>
    <row r="452" spans="1:5" x14ac:dyDescent="0.35">
      <c r="A452">
        <v>3450</v>
      </c>
      <c r="B452" s="1" t="s">
        <v>700</v>
      </c>
      <c r="C452" s="1" t="s">
        <v>1408</v>
      </c>
      <c r="D452" t="str">
        <f t="shared" si="15"/>
        <v>3450,'008099','B ESTADISB'</v>
      </c>
      <c r="E452" t="str">
        <f t="shared" si="14"/>
        <v>INSERT INTO grupos (id,matricula,grupo) values (3450,'008099','B ESTADISB');</v>
      </c>
    </row>
    <row r="453" spans="1:5" x14ac:dyDescent="0.35">
      <c r="A453">
        <v>3451</v>
      </c>
      <c r="B453" s="1" t="s">
        <v>700</v>
      </c>
      <c r="C453" s="1" t="s">
        <v>1423</v>
      </c>
      <c r="D453" t="str">
        <f t="shared" si="15"/>
        <v>3451,'008099','B6° 3A-II1'</v>
      </c>
      <c r="E453" t="str">
        <f t="shared" si="14"/>
        <v>INSERT INTO grupos (id,matricula,grupo) values (3451,'008099','B6° 3A-II1');</v>
      </c>
    </row>
    <row r="454" spans="1:5" x14ac:dyDescent="0.35">
      <c r="A454">
        <v>3452</v>
      </c>
      <c r="B454" s="1" t="s">
        <v>701</v>
      </c>
      <c r="C454" s="1" t="s">
        <v>1414</v>
      </c>
      <c r="D454" t="str">
        <f t="shared" si="15"/>
        <v>3452,'008100','B 32B'</v>
      </c>
      <c r="E454" t="str">
        <f t="shared" si="14"/>
        <v>INSERT INTO grupos (id,matricula,grupo) values (3452,'008100','B 32B');</v>
      </c>
    </row>
    <row r="455" spans="1:5" x14ac:dyDescent="0.35">
      <c r="A455">
        <v>3453</v>
      </c>
      <c r="B455" s="1" t="s">
        <v>701</v>
      </c>
      <c r="C455" s="1" t="s">
        <v>1421</v>
      </c>
      <c r="D455" t="str">
        <f t="shared" si="15"/>
        <v>3453,'008100','B 332'</v>
      </c>
      <c r="E455" t="str">
        <f t="shared" si="14"/>
        <v>INSERT INTO grupos (id,matricula,grupo) values (3453,'008100','B 332');</v>
      </c>
    </row>
    <row r="456" spans="1:5" x14ac:dyDescent="0.35">
      <c r="A456">
        <v>3454</v>
      </c>
      <c r="B456" s="1" t="s">
        <v>701</v>
      </c>
      <c r="C456" s="1" t="s">
        <v>1415</v>
      </c>
      <c r="D456" t="str">
        <f t="shared" si="15"/>
        <v>3454,'008100','B MATFIN B'</v>
      </c>
      <c r="E456" t="str">
        <f t="shared" si="14"/>
        <v>INSERT INTO grupos (id,matricula,grupo) values (3454,'008100','B MATFIN B');</v>
      </c>
    </row>
    <row r="457" spans="1:5" x14ac:dyDescent="0.35">
      <c r="A457">
        <v>3455</v>
      </c>
      <c r="B457" s="1" t="s">
        <v>701</v>
      </c>
      <c r="C457" s="1" t="s">
        <v>1413</v>
      </c>
      <c r="D457" t="str">
        <f t="shared" si="15"/>
        <v>3455,'008100','B6° 4A-II1'</v>
      </c>
      <c r="E457" t="str">
        <f t="shared" si="14"/>
        <v>INSERT INTO grupos (id,matricula,grupo) values (3455,'008100','B6° 4A-II1');</v>
      </c>
    </row>
    <row r="458" spans="1:5" x14ac:dyDescent="0.35">
      <c r="A458">
        <v>3456</v>
      </c>
      <c r="B458" s="1" t="s">
        <v>702</v>
      </c>
      <c r="C458" s="1" t="s">
        <v>1412</v>
      </c>
      <c r="D458" t="str">
        <f t="shared" si="15"/>
        <v>3456,'008101','B 333'</v>
      </c>
      <c r="E458" t="str">
        <f t="shared" si="14"/>
        <v>INSERT INTO grupos (id,matricula,grupo) values (3456,'008101','B 333');</v>
      </c>
    </row>
    <row r="459" spans="1:5" x14ac:dyDescent="0.35">
      <c r="A459">
        <v>3457</v>
      </c>
      <c r="B459" s="1" t="s">
        <v>702</v>
      </c>
      <c r="C459" s="1" t="s">
        <v>1422</v>
      </c>
      <c r="D459" t="str">
        <f t="shared" si="15"/>
        <v>3457,'008101','B 34'</v>
      </c>
      <c r="E459" t="str">
        <f t="shared" si="14"/>
        <v>INSERT INTO grupos (id,matricula,grupo) values (3457,'008101','B 34');</v>
      </c>
    </row>
    <row r="460" spans="1:5" x14ac:dyDescent="0.35">
      <c r="A460">
        <v>3458</v>
      </c>
      <c r="B460" s="1" t="s">
        <v>702</v>
      </c>
      <c r="C460" s="1" t="s">
        <v>1408</v>
      </c>
      <c r="D460" t="str">
        <f t="shared" si="15"/>
        <v>3458,'008101','B ESTADISB'</v>
      </c>
      <c r="E460" t="str">
        <f t="shared" si="14"/>
        <v>INSERT INTO grupos (id,matricula,grupo) values (3458,'008101','B ESTADISB');</v>
      </c>
    </row>
    <row r="461" spans="1:5" x14ac:dyDescent="0.35">
      <c r="A461">
        <v>3459</v>
      </c>
      <c r="B461" s="1" t="s">
        <v>702</v>
      </c>
      <c r="C461" s="1" t="s">
        <v>1413</v>
      </c>
      <c r="D461" t="str">
        <f t="shared" si="15"/>
        <v>3459,'008101','B6° 4A-II1'</v>
      </c>
      <c r="E461" t="str">
        <f t="shared" si="14"/>
        <v>INSERT INTO grupos (id,matricula,grupo) values (3459,'008101','B6° 4A-II1');</v>
      </c>
    </row>
    <row r="462" spans="1:5" x14ac:dyDescent="0.35">
      <c r="A462">
        <v>3460</v>
      </c>
      <c r="B462" s="1" t="s">
        <v>703</v>
      </c>
      <c r="C462" s="1" t="s">
        <v>1410</v>
      </c>
      <c r="D462" t="str">
        <f t="shared" si="15"/>
        <v>3460,'008102','B 31A'</v>
      </c>
      <c r="E462" t="str">
        <f t="shared" si="14"/>
        <v>INSERT INTO grupos (id,matricula,grupo) values (3460,'008102','B 31A');</v>
      </c>
    </row>
    <row r="463" spans="1:5" x14ac:dyDescent="0.35">
      <c r="A463">
        <v>3461</v>
      </c>
      <c r="B463" s="1" t="s">
        <v>703</v>
      </c>
      <c r="C463" s="1" t="s">
        <v>1412</v>
      </c>
      <c r="D463" t="str">
        <f t="shared" si="15"/>
        <v>3461,'008102','B 333'</v>
      </c>
      <c r="E463" t="str">
        <f t="shared" si="14"/>
        <v>INSERT INTO grupos (id,matricula,grupo) values (3461,'008102','B 333');</v>
      </c>
    </row>
    <row r="464" spans="1:5" x14ac:dyDescent="0.35">
      <c r="A464">
        <v>3462</v>
      </c>
      <c r="B464" s="1" t="s">
        <v>703</v>
      </c>
      <c r="C464" s="1" t="s">
        <v>1411</v>
      </c>
      <c r="D464" t="str">
        <f t="shared" si="15"/>
        <v>3462,'008102','B ESTADISA'</v>
      </c>
      <c r="E464" t="str">
        <f t="shared" si="14"/>
        <v>INSERT INTO grupos (id,matricula,grupo) values (3462,'008102','B ESTADISA');</v>
      </c>
    </row>
    <row r="465" spans="1:5" x14ac:dyDescent="0.35">
      <c r="A465">
        <v>3463</v>
      </c>
      <c r="B465" s="1" t="s">
        <v>703</v>
      </c>
      <c r="C465" s="1" t="s">
        <v>1423</v>
      </c>
      <c r="D465" t="str">
        <f t="shared" si="15"/>
        <v>3463,'008102','B6° 3A-II1'</v>
      </c>
      <c r="E465" t="str">
        <f t="shared" si="14"/>
        <v>INSERT INTO grupos (id,matricula,grupo) values (3463,'008102','B6° 3A-II1');</v>
      </c>
    </row>
    <row r="466" spans="1:5" x14ac:dyDescent="0.35">
      <c r="A466">
        <v>3464</v>
      </c>
      <c r="B466" s="1" t="s">
        <v>704</v>
      </c>
      <c r="C466" s="1" t="s">
        <v>1414</v>
      </c>
      <c r="D466" t="str">
        <f t="shared" si="15"/>
        <v>3464,'008103','B 32B'</v>
      </c>
      <c r="E466" t="str">
        <f t="shared" si="14"/>
        <v>INSERT INTO grupos (id,matricula,grupo) values (3464,'008103','B 32B');</v>
      </c>
    </row>
    <row r="467" spans="1:5" x14ac:dyDescent="0.35">
      <c r="A467">
        <v>3465</v>
      </c>
      <c r="B467" s="1" t="s">
        <v>704</v>
      </c>
      <c r="C467" s="1" t="s">
        <v>1412</v>
      </c>
      <c r="D467" t="str">
        <f t="shared" si="15"/>
        <v>3465,'008103','B 333'</v>
      </c>
      <c r="E467" t="str">
        <f t="shared" si="14"/>
        <v>INSERT INTO grupos (id,matricula,grupo) values (3465,'008103','B 333');</v>
      </c>
    </row>
    <row r="468" spans="1:5" x14ac:dyDescent="0.35">
      <c r="A468">
        <v>3466</v>
      </c>
      <c r="B468" s="1" t="s">
        <v>704</v>
      </c>
      <c r="C468" s="1" t="s">
        <v>1415</v>
      </c>
      <c r="D468" t="str">
        <f t="shared" si="15"/>
        <v>3466,'008103','B MATFIN B'</v>
      </c>
      <c r="E468" t="str">
        <f t="shared" si="14"/>
        <v>INSERT INTO grupos (id,matricula,grupo) values (3466,'008103','B MATFIN B');</v>
      </c>
    </row>
    <row r="469" spans="1:5" x14ac:dyDescent="0.35">
      <c r="A469">
        <v>3467</v>
      </c>
      <c r="B469" s="1" t="s">
        <v>704</v>
      </c>
      <c r="C469" s="1" t="s">
        <v>1424</v>
      </c>
      <c r="D469" t="str">
        <f t="shared" si="15"/>
        <v>3467,'008103','B6° 4B-II1'</v>
      </c>
      <c r="E469" t="str">
        <f t="shared" si="14"/>
        <v>INSERT INTO grupos (id,matricula,grupo) values (3467,'008103','B6° 4B-II1');</v>
      </c>
    </row>
    <row r="470" spans="1:5" x14ac:dyDescent="0.35">
      <c r="A470">
        <v>3468</v>
      </c>
      <c r="B470" s="1" t="s">
        <v>705</v>
      </c>
      <c r="C470" s="1" t="s">
        <v>1410</v>
      </c>
      <c r="D470" t="str">
        <f t="shared" si="15"/>
        <v>3468,'008104','B 31A'</v>
      </c>
      <c r="E470" t="str">
        <f t="shared" si="14"/>
        <v>INSERT INTO grupos (id,matricula,grupo) values (3468,'008104','B 31A');</v>
      </c>
    </row>
    <row r="471" spans="1:5" x14ac:dyDescent="0.35">
      <c r="A471">
        <v>3469</v>
      </c>
      <c r="B471" s="1" t="s">
        <v>705</v>
      </c>
      <c r="C471" s="1" t="s">
        <v>1417</v>
      </c>
      <c r="D471" t="str">
        <f t="shared" si="15"/>
        <v>3469,'008104','B 331'</v>
      </c>
      <c r="E471" t="str">
        <f t="shared" si="14"/>
        <v>INSERT INTO grupos (id,matricula,grupo) values (3469,'008104','B 331');</v>
      </c>
    </row>
    <row r="472" spans="1:5" x14ac:dyDescent="0.35">
      <c r="A472">
        <v>3470</v>
      </c>
      <c r="B472" s="1" t="s">
        <v>705</v>
      </c>
      <c r="C472" s="1" t="s">
        <v>1403</v>
      </c>
      <c r="D472" t="str">
        <f t="shared" si="15"/>
        <v>3470,'008104','B ESTADISC'</v>
      </c>
      <c r="E472" t="str">
        <f t="shared" si="14"/>
        <v>INSERT INTO grupos (id,matricula,grupo) values (3470,'008104','B ESTADISC');</v>
      </c>
    </row>
    <row r="473" spans="1:5" x14ac:dyDescent="0.35">
      <c r="A473">
        <v>3471</v>
      </c>
      <c r="B473" s="1" t="s">
        <v>706</v>
      </c>
      <c r="C473" s="1" t="s">
        <v>1402</v>
      </c>
      <c r="D473" t="str">
        <f t="shared" si="15"/>
        <v>3471,'008105','B 33'</v>
      </c>
      <c r="E473" t="str">
        <f t="shared" si="14"/>
        <v>INSERT INTO grupos (id,matricula,grupo) values (3471,'008105','B 33');</v>
      </c>
    </row>
    <row r="474" spans="1:5" x14ac:dyDescent="0.35">
      <c r="A474">
        <v>3472</v>
      </c>
      <c r="B474" s="1" t="s">
        <v>706</v>
      </c>
      <c r="C474" s="1" t="s">
        <v>1412</v>
      </c>
      <c r="D474" t="str">
        <f t="shared" si="15"/>
        <v>3472,'008105','B 333'</v>
      </c>
      <c r="E474" t="str">
        <f t="shared" si="14"/>
        <v>INSERT INTO grupos (id,matricula,grupo) values (3472,'008105','B 333');</v>
      </c>
    </row>
    <row r="475" spans="1:5" x14ac:dyDescent="0.35">
      <c r="A475">
        <v>3473</v>
      </c>
      <c r="B475" s="1" t="s">
        <v>706</v>
      </c>
      <c r="C475" s="1" t="s">
        <v>1411</v>
      </c>
      <c r="D475" t="str">
        <f t="shared" si="15"/>
        <v>3473,'008105','B ESTADISA'</v>
      </c>
      <c r="E475" t="str">
        <f t="shared" si="14"/>
        <v>INSERT INTO grupos (id,matricula,grupo) values (3473,'008105','B ESTADISA');</v>
      </c>
    </row>
    <row r="476" spans="1:5" x14ac:dyDescent="0.35">
      <c r="A476">
        <v>3474</v>
      </c>
      <c r="B476" s="1" t="s">
        <v>706</v>
      </c>
      <c r="C476" s="1" t="s">
        <v>1423</v>
      </c>
      <c r="D476" t="str">
        <f t="shared" si="15"/>
        <v>3474,'008105','B6° 3A-II1'</v>
      </c>
      <c r="E476" t="str">
        <f t="shared" si="14"/>
        <v>INSERT INTO grupos (id,matricula,grupo) values (3474,'008105','B6° 3A-II1');</v>
      </c>
    </row>
    <row r="477" spans="1:5" x14ac:dyDescent="0.35">
      <c r="A477">
        <v>3475</v>
      </c>
      <c r="B477" s="1" t="s">
        <v>707</v>
      </c>
      <c r="C477" s="1" t="s">
        <v>1406</v>
      </c>
      <c r="D477" t="str">
        <f t="shared" si="15"/>
        <v>3475,'008106','B 32A'</v>
      </c>
      <c r="E477" t="str">
        <f t="shared" si="14"/>
        <v>INSERT INTO grupos (id,matricula,grupo) values (3475,'008106','B 32A');</v>
      </c>
    </row>
    <row r="478" spans="1:5" x14ac:dyDescent="0.35">
      <c r="A478">
        <v>3476</v>
      </c>
      <c r="B478" s="1" t="s">
        <v>707</v>
      </c>
      <c r="C478" s="1" t="s">
        <v>1417</v>
      </c>
      <c r="D478" t="str">
        <f t="shared" si="15"/>
        <v>3476,'008106','B 331'</v>
      </c>
      <c r="E478" t="str">
        <f t="shared" si="14"/>
        <v>INSERT INTO grupos (id,matricula,grupo) values (3476,'008106','B 331');</v>
      </c>
    </row>
    <row r="479" spans="1:5" x14ac:dyDescent="0.35">
      <c r="A479">
        <v>3477</v>
      </c>
      <c r="B479" s="1" t="s">
        <v>707</v>
      </c>
      <c r="C479" s="1" t="s">
        <v>1407</v>
      </c>
      <c r="D479" t="str">
        <f t="shared" si="15"/>
        <v>3477,'008106','B MATFIN A'</v>
      </c>
      <c r="E479" t="str">
        <f t="shared" si="14"/>
        <v>INSERT INTO grupos (id,matricula,grupo) values (3477,'008106','B MATFIN A');</v>
      </c>
    </row>
    <row r="480" spans="1:5" x14ac:dyDescent="0.35">
      <c r="A480">
        <v>3478</v>
      </c>
      <c r="B480" s="1" t="s">
        <v>708</v>
      </c>
      <c r="C480" s="1" t="s">
        <v>1414</v>
      </c>
      <c r="D480" t="str">
        <f t="shared" si="15"/>
        <v>3478,'008108','B 32B'</v>
      </c>
      <c r="E480" t="str">
        <f t="shared" si="14"/>
        <v>INSERT INTO grupos (id,matricula,grupo) values (3478,'008108','B 32B');</v>
      </c>
    </row>
    <row r="481" spans="1:5" x14ac:dyDescent="0.35">
      <c r="A481">
        <v>3479</v>
      </c>
      <c r="B481" s="1" t="s">
        <v>708</v>
      </c>
      <c r="C481" s="1" t="s">
        <v>1415</v>
      </c>
      <c r="D481" t="str">
        <f t="shared" si="15"/>
        <v>3479,'008108','B MATFIN B'</v>
      </c>
      <c r="E481" t="str">
        <f t="shared" si="14"/>
        <v>INSERT INTO grupos (id,matricula,grupo) values (3479,'008108','B MATFIN B');</v>
      </c>
    </row>
    <row r="482" spans="1:5" x14ac:dyDescent="0.35">
      <c r="A482">
        <v>3480</v>
      </c>
      <c r="B482" s="1" t="s">
        <v>708</v>
      </c>
      <c r="C482" s="1" t="s">
        <v>1404</v>
      </c>
      <c r="D482" t="str">
        <f t="shared" si="15"/>
        <v>3480,'008108','B334'</v>
      </c>
      <c r="E482" t="str">
        <f t="shared" si="14"/>
        <v>INSERT INTO grupos (id,matricula,grupo) values (3480,'008108','B334');</v>
      </c>
    </row>
    <row r="483" spans="1:5" x14ac:dyDescent="0.35">
      <c r="A483">
        <v>3481</v>
      </c>
      <c r="B483" s="1" t="s">
        <v>708</v>
      </c>
      <c r="C483" s="1" t="s">
        <v>1420</v>
      </c>
      <c r="D483" t="str">
        <f t="shared" si="15"/>
        <v>3481,'008108','B6° 3A-II2'</v>
      </c>
      <c r="E483" t="str">
        <f t="shared" si="14"/>
        <v>INSERT INTO grupos (id,matricula,grupo) values (3481,'008108','B6° 3A-II2');</v>
      </c>
    </row>
    <row r="484" spans="1:5" x14ac:dyDescent="0.35">
      <c r="A484">
        <v>3482</v>
      </c>
      <c r="B484" s="1" t="s">
        <v>709</v>
      </c>
      <c r="C484" s="1" t="s">
        <v>1414</v>
      </c>
      <c r="D484" t="str">
        <f t="shared" si="15"/>
        <v>3482,'008111','B 32B'</v>
      </c>
      <c r="E484" t="str">
        <f t="shared" si="14"/>
        <v>INSERT INTO grupos (id,matricula,grupo) values (3482,'008111','B 32B');</v>
      </c>
    </row>
    <row r="485" spans="1:5" x14ac:dyDescent="0.35">
      <c r="A485">
        <v>3483</v>
      </c>
      <c r="B485" s="1" t="s">
        <v>709</v>
      </c>
      <c r="C485" s="1" t="s">
        <v>1417</v>
      </c>
      <c r="D485" t="str">
        <f t="shared" si="15"/>
        <v>3483,'008111','B 331'</v>
      </c>
      <c r="E485" t="str">
        <f t="shared" si="14"/>
        <v>INSERT INTO grupos (id,matricula,grupo) values (3483,'008111','B 331');</v>
      </c>
    </row>
    <row r="486" spans="1:5" x14ac:dyDescent="0.35">
      <c r="A486">
        <v>3484</v>
      </c>
      <c r="B486" s="1" t="s">
        <v>709</v>
      </c>
      <c r="C486" s="1" t="s">
        <v>1415</v>
      </c>
      <c r="D486" t="str">
        <f t="shared" si="15"/>
        <v>3484,'008111','B MATFIN B'</v>
      </c>
      <c r="E486" t="str">
        <f t="shared" si="14"/>
        <v>INSERT INTO grupos (id,matricula,grupo) values (3484,'008111','B MATFIN B');</v>
      </c>
    </row>
    <row r="487" spans="1:5" x14ac:dyDescent="0.35">
      <c r="A487">
        <v>3485</v>
      </c>
      <c r="B487" s="1" t="s">
        <v>710</v>
      </c>
      <c r="C487" s="1" t="s">
        <v>1410</v>
      </c>
      <c r="D487" t="str">
        <f t="shared" si="15"/>
        <v>3485,'008116','B 31A'</v>
      </c>
      <c r="E487" t="str">
        <f t="shared" si="14"/>
        <v>INSERT INTO grupos (id,matricula,grupo) values (3485,'008116','B 31A');</v>
      </c>
    </row>
    <row r="488" spans="1:5" x14ac:dyDescent="0.35">
      <c r="A488">
        <v>3486</v>
      </c>
      <c r="B488" s="1" t="s">
        <v>710</v>
      </c>
      <c r="C488" s="1" t="s">
        <v>1421</v>
      </c>
      <c r="D488" t="str">
        <f t="shared" si="15"/>
        <v>3486,'008116','B 332'</v>
      </c>
      <c r="E488" t="str">
        <f t="shared" si="14"/>
        <v>INSERT INTO grupos (id,matricula,grupo) values (3486,'008116','B 332');</v>
      </c>
    </row>
    <row r="489" spans="1:5" x14ac:dyDescent="0.35">
      <c r="A489">
        <v>3487</v>
      </c>
      <c r="B489" s="1" t="s">
        <v>710</v>
      </c>
      <c r="C489" s="1" t="s">
        <v>1408</v>
      </c>
      <c r="D489" t="str">
        <f t="shared" si="15"/>
        <v>3487,'008116','B ESTADISB'</v>
      </c>
      <c r="E489" t="str">
        <f t="shared" si="14"/>
        <v>INSERT INTO grupos (id,matricula,grupo) values (3487,'008116','B ESTADISB');</v>
      </c>
    </row>
    <row r="490" spans="1:5" x14ac:dyDescent="0.35">
      <c r="A490">
        <v>3488</v>
      </c>
      <c r="B490" s="1" t="s">
        <v>710</v>
      </c>
      <c r="C490" s="1" t="s">
        <v>1423</v>
      </c>
      <c r="D490" t="str">
        <f t="shared" si="15"/>
        <v>3488,'008116','B6° 3A-II1'</v>
      </c>
      <c r="E490" t="str">
        <f t="shared" si="14"/>
        <v>INSERT INTO grupos (id,matricula,grupo) values (3488,'008116','B6° 3A-II1');</v>
      </c>
    </row>
    <row r="491" spans="1:5" x14ac:dyDescent="0.35">
      <c r="A491">
        <v>3489</v>
      </c>
      <c r="B491" s="1" t="s">
        <v>711</v>
      </c>
      <c r="C491" s="1" t="s">
        <v>1402</v>
      </c>
      <c r="D491" t="str">
        <f t="shared" si="15"/>
        <v>3489,'008117','B 33'</v>
      </c>
      <c r="E491" t="str">
        <f t="shared" si="14"/>
        <v>INSERT INTO grupos (id,matricula,grupo) values (3489,'008117','B 33');</v>
      </c>
    </row>
    <row r="492" spans="1:5" x14ac:dyDescent="0.35">
      <c r="A492">
        <v>3490</v>
      </c>
      <c r="B492" s="1" t="s">
        <v>711</v>
      </c>
      <c r="C492" s="1" t="s">
        <v>1412</v>
      </c>
      <c r="D492" t="str">
        <f t="shared" si="15"/>
        <v>3490,'008117','B 333'</v>
      </c>
      <c r="E492" t="str">
        <f t="shared" si="14"/>
        <v>INSERT INTO grupos (id,matricula,grupo) values (3490,'008117','B 333');</v>
      </c>
    </row>
    <row r="493" spans="1:5" x14ac:dyDescent="0.35">
      <c r="A493">
        <v>3491</v>
      </c>
      <c r="B493" s="1" t="s">
        <v>711</v>
      </c>
      <c r="C493" s="1" t="s">
        <v>1408</v>
      </c>
      <c r="D493" t="str">
        <f t="shared" si="15"/>
        <v>3491,'008117','B ESTADISB'</v>
      </c>
      <c r="E493" t="str">
        <f t="shared" si="14"/>
        <v>INSERT INTO grupos (id,matricula,grupo) values (3491,'008117','B ESTADISB');</v>
      </c>
    </row>
    <row r="494" spans="1:5" x14ac:dyDescent="0.35">
      <c r="A494">
        <v>3492</v>
      </c>
      <c r="B494" s="1" t="s">
        <v>711</v>
      </c>
      <c r="C494" s="1" t="s">
        <v>1413</v>
      </c>
      <c r="D494" t="str">
        <f t="shared" si="15"/>
        <v>3492,'008117','B6° 4A-II1'</v>
      </c>
      <c r="E494" t="str">
        <f t="shared" si="14"/>
        <v>INSERT INTO grupos (id,matricula,grupo) values (3492,'008117','B6° 4A-II1');</v>
      </c>
    </row>
    <row r="495" spans="1:5" x14ac:dyDescent="0.35">
      <c r="A495">
        <v>3493</v>
      </c>
      <c r="B495" s="1" t="s">
        <v>712</v>
      </c>
      <c r="C495" s="1" t="s">
        <v>1402</v>
      </c>
      <c r="D495" t="str">
        <f t="shared" si="15"/>
        <v>3493,'008118','B 33'</v>
      </c>
      <c r="E495" t="str">
        <f t="shared" si="14"/>
        <v>INSERT INTO grupos (id,matricula,grupo) values (3493,'008118','B 33');</v>
      </c>
    </row>
    <row r="496" spans="1:5" x14ac:dyDescent="0.35">
      <c r="A496">
        <v>3494</v>
      </c>
      <c r="B496" s="1" t="s">
        <v>712</v>
      </c>
      <c r="C496" s="1" t="s">
        <v>1421</v>
      </c>
      <c r="D496" t="str">
        <f t="shared" si="15"/>
        <v>3494,'008118','B 332'</v>
      </c>
      <c r="E496" t="str">
        <f t="shared" si="14"/>
        <v>INSERT INTO grupos (id,matricula,grupo) values (3494,'008118','B 332');</v>
      </c>
    </row>
    <row r="497" spans="1:5" x14ac:dyDescent="0.35">
      <c r="A497">
        <v>3495</v>
      </c>
      <c r="B497" s="1" t="s">
        <v>712</v>
      </c>
      <c r="C497" s="1" t="s">
        <v>1411</v>
      </c>
      <c r="D497" t="str">
        <f t="shared" si="15"/>
        <v>3495,'008118','B ESTADISA'</v>
      </c>
      <c r="E497" t="str">
        <f t="shared" si="14"/>
        <v>INSERT INTO grupos (id,matricula,grupo) values (3495,'008118','B ESTADISA');</v>
      </c>
    </row>
    <row r="498" spans="1:5" x14ac:dyDescent="0.35">
      <c r="A498">
        <v>3496</v>
      </c>
      <c r="B498" s="1" t="s">
        <v>712</v>
      </c>
      <c r="C498" s="1" t="s">
        <v>1413</v>
      </c>
      <c r="D498" t="str">
        <f t="shared" si="15"/>
        <v>3496,'008118','B6° 4A-II1'</v>
      </c>
      <c r="E498" t="str">
        <f t="shared" si="14"/>
        <v>INSERT INTO grupos (id,matricula,grupo) values (3496,'008118','B6° 4A-II1');</v>
      </c>
    </row>
    <row r="499" spans="1:5" x14ac:dyDescent="0.35">
      <c r="A499">
        <v>3497</v>
      </c>
      <c r="B499" s="1" t="s">
        <v>713</v>
      </c>
      <c r="C499" s="1" t="s">
        <v>1410</v>
      </c>
      <c r="D499" t="str">
        <f t="shared" si="15"/>
        <v>3497,'008121','B 31A'</v>
      </c>
      <c r="E499" t="str">
        <f t="shared" si="14"/>
        <v>INSERT INTO grupos (id,matricula,grupo) values (3497,'008121','B 31A');</v>
      </c>
    </row>
    <row r="500" spans="1:5" x14ac:dyDescent="0.35">
      <c r="A500">
        <v>3498</v>
      </c>
      <c r="B500" s="1" t="s">
        <v>713</v>
      </c>
      <c r="C500" s="1" t="s">
        <v>1421</v>
      </c>
      <c r="D500" t="str">
        <f t="shared" si="15"/>
        <v>3498,'008121','B 332'</v>
      </c>
      <c r="E500" t="str">
        <f t="shared" si="14"/>
        <v>INSERT INTO grupos (id,matricula,grupo) values (3498,'008121','B 332');</v>
      </c>
    </row>
    <row r="501" spans="1:5" x14ac:dyDescent="0.35">
      <c r="A501">
        <v>3499</v>
      </c>
      <c r="B501" s="1" t="s">
        <v>713</v>
      </c>
      <c r="C501" s="1" t="s">
        <v>1411</v>
      </c>
      <c r="D501" t="str">
        <f t="shared" si="15"/>
        <v>3499,'008121','B ESTADISA'</v>
      </c>
      <c r="E501" t="str">
        <f t="shared" si="14"/>
        <v>INSERT INTO grupos (id,matricula,grupo) values (3499,'008121','B ESTADISA');</v>
      </c>
    </row>
    <row r="502" spans="1:5" x14ac:dyDescent="0.35">
      <c r="A502">
        <v>3500</v>
      </c>
      <c r="B502" s="1" t="s">
        <v>713</v>
      </c>
      <c r="C502" s="1" t="s">
        <v>1424</v>
      </c>
      <c r="D502" t="str">
        <f t="shared" si="15"/>
        <v>3500,'008121','B6° 4B-II1'</v>
      </c>
      <c r="E502" t="str">
        <f t="shared" si="14"/>
        <v>INSERT INTO grupos (id,matricula,grupo) values (3500,'008121','B6° 4B-II1');</v>
      </c>
    </row>
    <row r="503" spans="1:5" x14ac:dyDescent="0.35">
      <c r="A503">
        <v>3501</v>
      </c>
      <c r="B503" s="1" t="s">
        <v>714</v>
      </c>
      <c r="C503" s="1" t="s">
        <v>1410</v>
      </c>
      <c r="D503" t="str">
        <f t="shared" si="15"/>
        <v>3501,'008122','B 31A'</v>
      </c>
      <c r="E503" t="str">
        <f t="shared" si="14"/>
        <v>INSERT INTO grupos (id,matricula,grupo) values (3501,'008122','B 31A');</v>
      </c>
    </row>
    <row r="504" spans="1:5" x14ac:dyDescent="0.35">
      <c r="A504">
        <v>3502</v>
      </c>
      <c r="B504" s="1" t="s">
        <v>714</v>
      </c>
      <c r="C504" s="1" t="s">
        <v>1412</v>
      </c>
      <c r="D504" t="str">
        <f t="shared" si="15"/>
        <v>3502,'008122','B 333'</v>
      </c>
      <c r="E504" t="str">
        <f t="shared" si="14"/>
        <v>INSERT INTO grupos (id,matricula,grupo) values (3502,'008122','B 333');</v>
      </c>
    </row>
    <row r="505" spans="1:5" x14ac:dyDescent="0.35">
      <c r="A505">
        <v>3503</v>
      </c>
      <c r="B505" s="1" t="s">
        <v>714</v>
      </c>
      <c r="C505" s="1" t="s">
        <v>1411</v>
      </c>
      <c r="D505" t="str">
        <f t="shared" si="15"/>
        <v>3503,'008122','B ESTADISA'</v>
      </c>
      <c r="E505" t="str">
        <f t="shared" si="14"/>
        <v>INSERT INTO grupos (id,matricula,grupo) values (3503,'008122','B ESTADISA');</v>
      </c>
    </row>
    <row r="506" spans="1:5" x14ac:dyDescent="0.35">
      <c r="A506">
        <v>3504</v>
      </c>
      <c r="B506" s="1" t="s">
        <v>714</v>
      </c>
      <c r="C506" s="1" t="s">
        <v>1423</v>
      </c>
      <c r="D506" t="str">
        <f t="shared" si="15"/>
        <v>3504,'008122','B6° 3A-II1'</v>
      </c>
      <c r="E506" t="str">
        <f t="shared" si="14"/>
        <v>INSERT INTO grupos (id,matricula,grupo) values (3504,'008122','B6° 3A-II1');</v>
      </c>
    </row>
    <row r="507" spans="1:5" x14ac:dyDescent="0.35">
      <c r="A507">
        <v>3505</v>
      </c>
      <c r="B507" s="1" t="s">
        <v>715</v>
      </c>
      <c r="C507" s="1" t="s">
        <v>1417</v>
      </c>
      <c r="D507" t="str">
        <f t="shared" si="15"/>
        <v>3505,'008123','B 331'</v>
      </c>
      <c r="E507" t="str">
        <f t="shared" si="14"/>
        <v>INSERT INTO grupos (id,matricula,grupo) values (3505,'008123','B 331');</v>
      </c>
    </row>
    <row r="508" spans="1:5" x14ac:dyDescent="0.35">
      <c r="A508">
        <v>3506</v>
      </c>
      <c r="B508" s="1" t="s">
        <v>715</v>
      </c>
      <c r="C508" s="1" t="s">
        <v>1422</v>
      </c>
      <c r="D508" t="str">
        <f t="shared" si="15"/>
        <v>3506,'008123','B 34'</v>
      </c>
      <c r="E508" t="str">
        <f t="shared" si="14"/>
        <v>INSERT INTO grupos (id,matricula,grupo) values (3506,'008123','B 34');</v>
      </c>
    </row>
    <row r="509" spans="1:5" x14ac:dyDescent="0.35">
      <c r="A509">
        <v>3507</v>
      </c>
      <c r="B509" s="1" t="s">
        <v>715</v>
      </c>
      <c r="C509" s="1" t="s">
        <v>1408</v>
      </c>
      <c r="D509" t="str">
        <f t="shared" si="15"/>
        <v>3507,'008123','B ESTADISB'</v>
      </c>
      <c r="E509" t="str">
        <f t="shared" si="14"/>
        <v>INSERT INTO grupos (id,matricula,grupo) values (3507,'008123','B ESTADISB');</v>
      </c>
    </row>
    <row r="510" spans="1:5" x14ac:dyDescent="0.35">
      <c r="A510">
        <v>3508</v>
      </c>
      <c r="B510" s="1" t="s">
        <v>716</v>
      </c>
      <c r="C510" s="1" t="s">
        <v>1406</v>
      </c>
      <c r="D510" t="str">
        <f t="shared" si="15"/>
        <v>3508,'008125','B 32A'</v>
      </c>
      <c r="E510" t="str">
        <f t="shared" si="14"/>
        <v>INSERT INTO grupos (id,matricula,grupo) values (3508,'008125','B 32A');</v>
      </c>
    </row>
    <row r="511" spans="1:5" x14ac:dyDescent="0.35">
      <c r="A511">
        <v>3509</v>
      </c>
      <c r="B511" s="1" t="s">
        <v>716</v>
      </c>
      <c r="C511" s="1" t="s">
        <v>1407</v>
      </c>
      <c r="D511" t="str">
        <f t="shared" si="15"/>
        <v>3509,'008125','B MATFIN A'</v>
      </c>
      <c r="E511" t="str">
        <f t="shared" si="14"/>
        <v>INSERT INTO grupos (id,matricula,grupo) values (3509,'008125','B MATFIN A');</v>
      </c>
    </row>
    <row r="512" spans="1:5" x14ac:dyDescent="0.35">
      <c r="A512">
        <v>3510</v>
      </c>
      <c r="B512" s="1" t="s">
        <v>716</v>
      </c>
      <c r="C512" s="1" t="s">
        <v>1409</v>
      </c>
      <c r="D512" t="str">
        <f t="shared" si="15"/>
        <v>3510,'008125','B335'</v>
      </c>
      <c r="E512" t="str">
        <f t="shared" si="14"/>
        <v>INSERT INTO grupos (id,matricula,grupo) values (3510,'008125','B335');</v>
      </c>
    </row>
    <row r="513" spans="1:5" x14ac:dyDescent="0.35">
      <c r="A513">
        <v>3511</v>
      </c>
      <c r="B513" s="1" t="s">
        <v>716</v>
      </c>
      <c r="C513" s="1" t="s">
        <v>1405</v>
      </c>
      <c r="D513" t="str">
        <f t="shared" si="15"/>
        <v>3511,'008125','B6° 4B-II2'</v>
      </c>
      <c r="E513" t="str">
        <f t="shared" si="14"/>
        <v>INSERT INTO grupos (id,matricula,grupo) values (3511,'008125','B6° 4B-II2');</v>
      </c>
    </row>
    <row r="514" spans="1:5" x14ac:dyDescent="0.35">
      <c r="A514">
        <v>3512</v>
      </c>
      <c r="B514" s="1" t="s">
        <v>717</v>
      </c>
      <c r="C514" s="1" t="s">
        <v>1417</v>
      </c>
      <c r="D514" t="str">
        <f t="shared" si="15"/>
        <v>3512,'008127','B 331'</v>
      </c>
      <c r="E514" t="str">
        <f t="shared" ref="E514:E577" si="16">CONCATENATE($D$1,D514,");")</f>
        <v>INSERT INTO grupos (id,matricula,grupo) values (3512,'008127','B 331');</v>
      </c>
    </row>
    <row r="515" spans="1:5" x14ac:dyDescent="0.35">
      <c r="A515">
        <v>3513</v>
      </c>
      <c r="B515" s="1" t="s">
        <v>717</v>
      </c>
      <c r="C515" s="1" t="s">
        <v>1418</v>
      </c>
      <c r="D515" t="str">
        <f t="shared" ref="D515:D578" si="17">CONCATENATE(A515,",",B515,",",C515,"")</f>
        <v>3513,'008127','B 35'</v>
      </c>
      <c r="E515" t="str">
        <f t="shared" si="16"/>
        <v>INSERT INTO grupos (id,matricula,grupo) values (3513,'008127','B 35');</v>
      </c>
    </row>
    <row r="516" spans="1:5" x14ac:dyDescent="0.35">
      <c r="A516">
        <v>3514</v>
      </c>
      <c r="B516" s="1" t="s">
        <v>717</v>
      </c>
      <c r="C516" s="1" t="s">
        <v>1419</v>
      </c>
      <c r="D516" t="str">
        <f t="shared" si="17"/>
        <v>3514,'008127','B CALINTE'</v>
      </c>
      <c r="E516" t="str">
        <f t="shared" si="16"/>
        <v>INSERT INTO grupos (id,matricula,grupo) values (3514,'008127','B CALINTE');</v>
      </c>
    </row>
    <row r="517" spans="1:5" x14ac:dyDescent="0.35">
      <c r="A517">
        <v>3515</v>
      </c>
      <c r="B517" s="1" t="s">
        <v>718</v>
      </c>
      <c r="C517" s="1" t="s">
        <v>1402</v>
      </c>
      <c r="D517" t="str">
        <f t="shared" si="17"/>
        <v>3515,'008128','B 33'</v>
      </c>
      <c r="E517" t="str">
        <f t="shared" si="16"/>
        <v>INSERT INTO grupos (id,matricula,grupo) values (3515,'008128','B 33');</v>
      </c>
    </row>
    <row r="518" spans="1:5" x14ac:dyDescent="0.35">
      <c r="A518">
        <v>3516</v>
      </c>
      <c r="B518" s="1" t="s">
        <v>718</v>
      </c>
      <c r="C518" s="1" t="s">
        <v>1417</v>
      </c>
      <c r="D518" t="str">
        <f t="shared" si="17"/>
        <v>3516,'008128','B 331'</v>
      </c>
      <c r="E518" t="str">
        <f t="shared" si="16"/>
        <v>INSERT INTO grupos (id,matricula,grupo) values (3516,'008128','B 331');</v>
      </c>
    </row>
    <row r="519" spans="1:5" x14ac:dyDescent="0.35">
      <c r="A519">
        <v>3517</v>
      </c>
      <c r="B519" s="1" t="s">
        <v>718</v>
      </c>
      <c r="C519" s="1" t="s">
        <v>1403</v>
      </c>
      <c r="D519" t="str">
        <f t="shared" si="17"/>
        <v>3517,'008128','B ESTADISC'</v>
      </c>
      <c r="E519" t="str">
        <f t="shared" si="16"/>
        <v>INSERT INTO grupos (id,matricula,grupo) values (3517,'008128','B ESTADISC');</v>
      </c>
    </row>
    <row r="520" spans="1:5" x14ac:dyDescent="0.35">
      <c r="A520">
        <v>3518</v>
      </c>
      <c r="B520" s="1" t="s">
        <v>719</v>
      </c>
      <c r="C520" s="1" t="s">
        <v>1406</v>
      </c>
      <c r="D520" t="str">
        <f t="shared" si="17"/>
        <v>3518,'008129','B 32A'</v>
      </c>
      <c r="E520" t="str">
        <f t="shared" si="16"/>
        <v>INSERT INTO grupos (id,matricula,grupo) values (3518,'008129','B 32A');</v>
      </c>
    </row>
    <row r="521" spans="1:5" x14ac:dyDescent="0.35">
      <c r="A521">
        <v>3519</v>
      </c>
      <c r="B521" s="1" t="s">
        <v>719</v>
      </c>
      <c r="C521" s="1" t="s">
        <v>1407</v>
      </c>
      <c r="D521" t="str">
        <f t="shared" si="17"/>
        <v>3519,'008129','B MATFIN A'</v>
      </c>
      <c r="E521" t="str">
        <f t="shared" si="16"/>
        <v>INSERT INTO grupos (id,matricula,grupo) values (3519,'008129','B MATFIN A');</v>
      </c>
    </row>
    <row r="522" spans="1:5" x14ac:dyDescent="0.35">
      <c r="A522">
        <v>3520</v>
      </c>
      <c r="B522" s="1" t="s">
        <v>719</v>
      </c>
      <c r="C522" s="1" t="s">
        <v>1409</v>
      </c>
      <c r="D522" t="str">
        <f t="shared" si="17"/>
        <v>3520,'008129','B335'</v>
      </c>
      <c r="E522" t="str">
        <f t="shared" si="16"/>
        <v>INSERT INTO grupos (id,matricula,grupo) values (3520,'008129','B335');</v>
      </c>
    </row>
    <row r="523" spans="1:5" x14ac:dyDescent="0.35">
      <c r="A523">
        <v>3521</v>
      </c>
      <c r="B523" s="1" t="s">
        <v>719</v>
      </c>
      <c r="C523" s="1" t="s">
        <v>1416</v>
      </c>
      <c r="D523" t="str">
        <f t="shared" si="17"/>
        <v>3521,'008129','B6° 3B-II2'</v>
      </c>
      <c r="E523" t="str">
        <f t="shared" si="16"/>
        <v>INSERT INTO grupos (id,matricula,grupo) values (3521,'008129','B6° 3B-II2');</v>
      </c>
    </row>
    <row r="524" spans="1:5" x14ac:dyDescent="0.35">
      <c r="A524">
        <v>3522</v>
      </c>
      <c r="B524" s="1" t="s">
        <v>720</v>
      </c>
      <c r="C524" s="1" t="s">
        <v>1414</v>
      </c>
      <c r="D524" t="str">
        <f t="shared" si="17"/>
        <v>3522,'008130','B 32B'</v>
      </c>
      <c r="E524" t="str">
        <f t="shared" si="16"/>
        <v>INSERT INTO grupos (id,matricula,grupo) values (3522,'008130','B 32B');</v>
      </c>
    </row>
    <row r="525" spans="1:5" x14ac:dyDescent="0.35">
      <c r="A525">
        <v>3523</v>
      </c>
      <c r="B525" s="1" t="s">
        <v>720</v>
      </c>
      <c r="C525" s="1" t="s">
        <v>1415</v>
      </c>
      <c r="D525" t="str">
        <f t="shared" si="17"/>
        <v>3523,'008130','B MATFIN B'</v>
      </c>
      <c r="E525" t="str">
        <f t="shared" si="16"/>
        <v>INSERT INTO grupos (id,matricula,grupo) values (3523,'008130','B MATFIN B');</v>
      </c>
    </row>
    <row r="526" spans="1:5" x14ac:dyDescent="0.35">
      <c r="A526">
        <v>3524</v>
      </c>
      <c r="B526" s="1" t="s">
        <v>720</v>
      </c>
      <c r="C526" s="1" t="s">
        <v>1409</v>
      </c>
      <c r="D526" t="str">
        <f t="shared" si="17"/>
        <v>3524,'008130','B335'</v>
      </c>
      <c r="E526" t="str">
        <f t="shared" si="16"/>
        <v>INSERT INTO grupos (id,matricula,grupo) values (3524,'008130','B335');</v>
      </c>
    </row>
    <row r="527" spans="1:5" x14ac:dyDescent="0.35">
      <c r="A527">
        <v>3525</v>
      </c>
      <c r="B527" s="1" t="s">
        <v>720</v>
      </c>
      <c r="C527" s="1" t="s">
        <v>1416</v>
      </c>
      <c r="D527" t="str">
        <f t="shared" si="17"/>
        <v>3525,'008130','B6° 3B-II2'</v>
      </c>
      <c r="E527" t="str">
        <f t="shared" si="16"/>
        <v>INSERT INTO grupos (id,matricula,grupo) values (3525,'008130','B6° 3B-II2');</v>
      </c>
    </row>
    <row r="528" spans="1:5" x14ac:dyDescent="0.35">
      <c r="A528">
        <v>3526</v>
      </c>
      <c r="B528" s="1" t="s">
        <v>721</v>
      </c>
      <c r="C528" s="1" t="s">
        <v>1402</v>
      </c>
      <c r="D528" t="str">
        <f t="shared" si="17"/>
        <v>3526,'008132','B 33'</v>
      </c>
      <c r="E528" t="str">
        <f t="shared" si="16"/>
        <v>INSERT INTO grupos (id,matricula,grupo) values (3526,'008132','B 33');</v>
      </c>
    </row>
    <row r="529" spans="1:5" x14ac:dyDescent="0.35">
      <c r="A529">
        <v>3527</v>
      </c>
      <c r="B529" s="1" t="s">
        <v>721</v>
      </c>
      <c r="C529" s="1" t="s">
        <v>1411</v>
      </c>
      <c r="D529" t="str">
        <f t="shared" si="17"/>
        <v>3527,'008132','B ESTADISA'</v>
      </c>
      <c r="E529" t="str">
        <f t="shared" si="16"/>
        <v>INSERT INTO grupos (id,matricula,grupo) values (3527,'008132','B ESTADISA');</v>
      </c>
    </row>
    <row r="530" spans="1:5" x14ac:dyDescent="0.35">
      <c r="A530">
        <v>3528</v>
      </c>
      <c r="B530" s="1" t="s">
        <v>721</v>
      </c>
      <c r="C530" s="1" t="s">
        <v>1409</v>
      </c>
      <c r="D530" t="str">
        <f t="shared" si="17"/>
        <v>3528,'008132','B335'</v>
      </c>
      <c r="E530" t="str">
        <f t="shared" si="16"/>
        <v>INSERT INTO grupos (id,matricula,grupo) values (3528,'008132','B335');</v>
      </c>
    </row>
    <row r="531" spans="1:5" x14ac:dyDescent="0.35">
      <c r="A531">
        <v>3529</v>
      </c>
      <c r="B531" s="1" t="s">
        <v>721</v>
      </c>
      <c r="C531" s="1" t="s">
        <v>1405</v>
      </c>
      <c r="D531" t="str">
        <f t="shared" si="17"/>
        <v>3529,'008132','B6° 4B-II2'</v>
      </c>
      <c r="E531" t="str">
        <f t="shared" si="16"/>
        <v>INSERT INTO grupos (id,matricula,grupo) values (3529,'008132','B6° 4B-II2');</v>
      </c>
    </row>
    <row r="532" spans="1:5" x14ac:dyDescent="0.35">
      <c r="A532">
        <v>3530</v>
      </c>
      <c r="B532" s="1" t="s">
        <v>722</v>
      </c>
      <c r="C532" s="1" t="s">
        <v>1406</v>
      </c>
      <c r="D532" t="str">
        <f t="shared" si="17"/>
        <v>3530,'008134','B 32A'</v>
      </c>
      <c r="E532" t="str">
        <f t="shared" si="16"/>
        <v>INSERT INTO grupos (id,matricula,grupo) values (3530,'008134','B 32A');</v>
      </c>
    </row>
    <row r="533" spans="1:5" x14ac:dyDescent="0.35">
      <c r="A533">
        <v>3531</v>
      </c>
      <c r="B533" s="1" t="s">
        <v>722</v>
      </c>
      <c r="C533" s="1" t="s">
        <v>1421</v>
      </c>
      <c r="D533" t="str">
        <f t="shared" si="17"/>
        <v>3531,'008134','B 332'</v>
      </c>
      <c r="E533" t="str">
        <f t="shared" si="16"/>
        <v>INSERT INTO grupos (id,matricula,grupo) values (3531,'008134','B 332');</v>
      </c>
    </row>
    <row r="534" spans="1:5" x14ac:dyDescent="0.35">
      <c r="A534">
        <v>3532</v>
      </c>
      <c r="B534" s="1" t="s">
        <v>722</v>
      </c>
      <c r="C534" s="1" t="s">
        <v>1407</v>
      </c>
      <c r="D534" t="str">
        <f t="shared" si="17"/>
        <v>3532,'008134','B MATFIN A'</v>
      </c>
      <c r="E534" t="str">
        <f t="shared" si="16"/>
        <v>INSERT INTO grupos (id,matricula,grupo) values (3532,'008134','B MATFIN A');</v>
      </c>
    </row>
    <row r="535" spans="1:5" x14ac:dyDescent="0.35">
      <c r="A535">
        <v>3533</v>
      </c>
      <c r="B535" s="1" t="s">
        <v>722</v>
      </c>
      <c r="C535" s="1" t="s">
        <v>1413</v>
      </c>
      <c r="D535" t="str">
        <f t="shared" si="17"/>
        <v>3533,'008134','B6° 4A-II1'</v>
      </c>
      <c r="E535" t="str">
        <f t="shared" si="16"/>
        <v>INSERT INTO grupos (id,matricula,grupo) values (3533,'008134','B6° 4A-II1');</v>
      </c>
    </row>
    <row r="536" spans="1:5" x14ac:dyDescent="0.35">
      <c r="A536">
        <v>3534</v>
      </c>
      <c r="B536" s="1" t="s">
        <v>723</v>
      </c>
      <c r="C536" s="1" t="s">
        <v>1410</v>
      </c>
      <c r="D536" t="str">
        <f t="shared" si="17"/>
        <v>3534,'008135','B 31A'</v>
      </c>
      <c r="E536" t="str">
        <f t="shared" si="16"/>
        <v>INSERT INTO grupos (id,matricula,grupo) values (3534,'008135','B 31A');</v>
      </c>
    </row>
    <row r="537" spans="1:5" x14ac:dyDescent="0.35">
      <c r="A537">
        <v>3535</v>
      </c>
      <c r="B537" s="1" t="s">
        <v>723</v>
      </c>
      <c r="C537" s="1" t="s">
        <v>1417</v>
      </c>
      <c r="D537" t="str">
        <f t="shared" si="17"/>
        <v>3535,'008135','B 331'</v>
      </c>
      <c r="E537" t="str">
        <f t="shared" si="16"/>
        <v>INSERT INTO grupos (id,matricula,grupo) values (3535,'008135','B 331');</v>
      </c>
    </row>
    <row r="538" spans="1:5" x14ac:dyDescent="0.35">
      <c r="A538">
        <v>3536</v>
      </c>
      <c r="B538" s="1" t="s">
        <v>723</v>
      </c>
      <c r="C538" s="1" t="s">
        <v>1411</v>
      </c>
      <c r="D538" t="str">
        <f t="shared" si="17"/>
        <v>3536,'008135','B ESTADISA'</v>
      </c>
      <c r="E538" t="str">
        <f t="shared" si="16"/>
        <v>INSERT INTO grupos (id,matricula,grupo) values (3536,'008135','B ESTADISA');</v>
      </c>
    </row>
    <row r="539" spans="1:5" x14ac:dyDescent="0.35">
      <c r="A539">
        <v>3537</v>
      </c>
      <c r="B539" s="1" t="s">
        <v>724</v>
      </c>
      <c r="C539" s="1" t="s">
        <v>1402</v>
      </c>
      <c r="D539" t="str">
        <f t="shared" si="17"/>
        <v>3537,'008140','B 33'</v>
      </c>
      <c r="E539" t="str">
        <f t="shared" si="16"/>
        <v>INSERT INTO grupos (id,matricula,grupo) values (3537,'008140','B 33');</v>
      </c>
    </row>
    <row r="540" spans="1:5" x14ac:dyDescent="0.35">
      <c r="A540">
        <v>3538</v>
      </c>
      <c r="B540" s="1" t="s">
        <v>724</v>
      </c>
      <c r="C540" s="1" t="s">
        <v>1412</v>
      </c>
      <c r="D540" t="str">
        <f t="shared" si="17"/>
        <v>3538,'008140','B 333'</v>
      </c>
      <c r="E540" t="str">
        <f t="shared" si="16"/>
        <v>INSERT INTO grupos (id,matricula,grupo) values (3538,'008140','B 333');</v>
      </c>
    </row>
    <row r="541" spans="1:5" x14ac:dyDescent="0.35">
      <c r="A541">
        <v>3539</v>
      </c>
      <c r="B541" s="1" t="s">
        <v>724</v>
      </c>
      <c r="C541" s="1" t="s">
        <v>1411</v>
      </c>
      <c r="D541" t="str">
        <f t="shared" si="17"/>
        <v>3539,'008140','B ESTADISA'</v>
      </c>
      <c r="E541" t="str">
        <f t="shared" si="16"/>
        <v>INSERT INTO grupos (id,matricula,grupo) values (3539,'008140','B ESTADISA');</v>
      </c>
    </row>
    <row r="542" spans="1:5" x14ac:dyDescent="0.35">
      <c r="A542">
        <v>3540</v>
      </c>
      <c r="B542" s="1" t="s">
        <v>724</v>
      </c>
      <c r="C542" s="1" t="s">
        <v>1424</v>
      </c>
      <c r="D542" t="str">
        <f t="shared" si="17"/>
        <v>3540,'008140','B6° 4B-II1'</v>
      </c>
      <c r="E542" t="str">
        <f t="shared" si="16"/>
        <v>INSERT INTO grupos (id,matricula,grupo) values (3540,'008140','B6° 4B-II1');</v>
      </c>
    </row>
    <row r="543" spans="1:5" x14ac:dyDescent="0.35">
      <c r="A543">
        <v>3541</v>
      </c>
      <c r="B543" s="1" t="s">
        <v>725</v>
      </c>
      <c r="C543" s="1" t="s">
        <v>1429</v>
      </c>
      <c r="D543" t="str">
        <f t="shared" si="17"/>
        <v>3541,'008143','B 225'</v>
      </c>
      <c r="E543" t="str">
        <f t="shared" si="16"/>
        <v>INSERT INTO grupos (id,matricula,grupo) values (3541,'008143','B 225');</v>
      </c>
    </row>
    <row r="544" spans="1:5" x14ac:dyDescent="0.35">
      <c r="A544">
        <v>3542</v>
      </c>
      <c r="B544" s="1" t="s">
        <v>725</v>
      </c>
      <c r="C544" s="1" t="s">
        <v>1430</v>
      </c>
      <c r="D544" t="str">
        <f t="shared" si="17"/>
        <v>3542,'008143','B 22B'</v>
      </c>
      <c r="E544" t="str">
        <f t="shared" si="16"/>
        <v>INSERT INTO grupos (id,matricula,grupo) values (3542,'008143','B 22B');</v>
      </c>
    </row>
    <row r="545" spans="1:5" x14ac:dyDescent="0.35">
      <c r="A545">
        <v>3543</v>
      </c>
      <c r="B545" s="1" t="s">
        <v>725</v>
      </c>
      <c r="C545" s="1" t="s">
        <v>1427</v>
      </c>
      <c r="D545" t="str">
        <f t="shared" si="17"/>
        <v>3543,'008143','B4° 4A-II'</v>
      </c>
      <c r="E545" t="str">
        <f t="shared" si="16"/>
        <v>INSERT INTO grupos (id,matricula,grupo) values (3543,'008143','B4° 4A-II');</v>
      </c>
    </row>
    <row r="546" spans="1:5" x14ac:dyDescent="0.35">
      <c r="A546">
        <v>3544</v>
      </c>
      <c r="B546" s="1" t="s">
        <v>726</v>
      </c>
      <c r="C546" s="1" t="s">
        <v>1431</v>
      </c>
      <c r="D546" t="str">
        <f t="shared" si="17"/>
        <v>3544,'008144','B 21B'</v>
      </c>
      <c r="E546" t="str">
        <f t="shared" si="16"/>
        <v>INSERT INTO grupos (id,matricula,grupo) values (3544,'008144','B 21B');</v>
      </c>
    </row>
    <row r="547" spans="1:5" x14ac:dyDescent="0.35">
      <c r="A547">
        <v>3545</v>
      </c>
      <c r="B547" s="1" t="s">
        <v>726</v>
      </c>
      <c r="C547" s="1" t="s">
        <v>1428</v>
      </c>
      <c r="D547" t="str">
        <f t="shared" si="17"/>
        <v>3545,'008144','B 222'</v>
      </c>
      <c r="E547" t="str">
        <f t="shared" si="16"/>
        <v>INSERT INTO grupos (id,matricula,grupo) values (3545,'008144','B 222');</v>
      </c>
    </row>
    <row r="548" spans="1:5" x14ac:dyDescent="0.35">
      <c r="A548">
        <v>3546</v>
      </c>
      <c r="B548" s="1" t="s">
        <v>727</v>
      </c>
      <c r="C548" s="1" t="s">
        <v>1432</v>
      </c>
      <c r="D548" t="str">
        <f t="shared" si="17"/>
        <v>3546,'008146','B 221'</v>
      </c>
      <c r="E548" t="str">
        <f t="shared" si="16"/>
        <v>INSERT INTO grupos (id,matricula,grupo) values (3546,'008146','B 221');</v>
      </c>
    </row>
    <row r="549" spans="1:5" x14ac:dyDescent="0.35">
      <c r="A549">
        <v>3547</v>
      </c>
      <c r="B549" s="1" t="s">
        <v>727</v>
      </c>
      <c r="C549" s="1" t="s">
        <v>1430</v>
      </c>
      <c r="D549" t="str">
        <f t="shared" si="17"/>
        <v>3547,'008146','B 22B'</v>
      </c>
      <c r="E549" t="str">
        <f t="shared" si="16"/>
        <v>INSERT INTO grupos (id,matricula,grupo) values (3547,'008146','B 22B');</v>
      </c>
    </row>
    <row r="550" spans="1:5" x14ac:dyDescent="0.35">
      <c r="A550">
        <v>3548</v>
      </c>
      <c r="B550" s="1" t="s">
        <v>728</v>
      </c>
      <c r="C550" s="1" t="s">
        <v>1431</v>
      </c>
      <c r="D550" t="str">
        <f t="shared" si="17"/>
        <v>3548,'008147','B 21B'</v>
      </c>
      <c r="E550" t="str">
        <f t="shared" si="16"/>
        <v>INSERT INTO grupos (id,matricula,grupo) values (3548,'008147','B 21B');</v>
      </c>
    </row>
    <row r="551" spans="1:5" x14ac:dyDescent="0.35">
      <c r="A551">
        <v>3549</v>
      </c>
      <c r="B551" s="1" t="s">
        <v>728</v>
      </c>
      <c r="C551" s="1" t="s">
        <v>1429</v>
      </c>
      <c r="D551" t="str">
        <f t="shared" si="17"/>
        <v>3549,'008147','B 225'</v>
      </c>
      <c r="E551" t="str">
        <f t="shared" si="16"/>
        <v>INSERT INTO grupos (id,matricula,grupo) values (3549,'008147','B 225');</v>
      </c>
    </row>
    <row r="552" spans="1:5" x14ac:dyDescent="0.35">
      <c r="A552">
        <v>3550</v>
      </c>
      <c r="B552" s="1" t="s">
        <v>728</v>
      </c>
      <c r="C552" s="1" t="s">
        <v>1427</v>
      </c>
      <c r="D552" t="str">
        <f t="shared" si="17"/>
        <v>3550,'008147','B4° 4A-II'</v>
      </c>
      <c r="E552" t="str">
        <f t="shared" si="16"/>
        <v>INSERT INTO grupos (id,matricula,grupo) values (3550,'008147','B4° 4A-II');</v>
      </c>
    </row>
    <row r="553" spans="1:5" x14ac:dyDescent="0.35">
      <c r="A553">
        <v>3551</v>
      </c>
      <c r="B553" s="1" t="s">
        <v>729</v>
      </c>
      <c r="C553" s="1" t="s">
        <v>1425</v>
      </c>
      <c r="D553" t="str">
        <f t="shared" si="17"/>
        <v>3551,'008148','B 223'</v>
      </c>
      <c r="E553" t="str">
        <f t="shared" si="16"/>
        <v>INSERT INTO grupos (id,matricula,grupo) values (3551,'008148','B 223');</v>
      </c>
    </row>
    <row r="554" spans="1:5" x14ac:dyDescent="0.35">
      <c r="A554">
        <v>3552</v>
      </c>
      <c r="B554" s="1" t="s">
        <v>729</v>
      </c>
      <c r="C554" s="1" t="s">
        <v>1433</v>
      </c>
      <c r="D554" t="str">
        <f t="shared" si="17"/>
        <v>3552,'008148','B 23'</v>
      </c>
      <c r="E554" t="str">
        <f t="shared" si="16"/>
        <v>INSERT INTO grupos (id,matricula,grupo) values (3552,'008148','B 23');</v>
      </c>
    </row>
    <row r="555" spans="1:5" x14ac:dyDescent="0.35">
      <c r="A555">
        <v>3553</v>
      </c>
      <c r="B555" s="1" t="s">
        <v>729</v>
      </c>
      <c r="C555" s="1" t="s">
        <v>1427</v>
      </c>
      <c r="D555" t="str">
        <f t="shared" si="17"/>
        <v>3553,'008148','B4° 4A-II'</v>
      </c>
      <c r="E555" t="str">
        <f t="shared" si="16"/>
        <v>INSERT INTO grupos (id,matricula,grupo) values (3553,'008148','B4° 4A-II');</v>
      </c>
    </row>
    <row r="556" spans="1:5" x14ac:dyDescent="0.35">
      <c r="A556">
        <v>3554</v>
      </c>
      <c r="B556" s="1" t="s">
        <v>730</v>
      </c>
      <c r="C556" s="1" t="s">
        <v>1425</v>
      </c>
      <c r="D556" t="str">
        <f t="shared" si="17"/>
        <v>3554,'008149','B 223'</v>
      </c>
      <c r="E556" t="str">
        <f t="shared" si="16"/>
        <v>INSERT INTO grupos (id,matricula,grupo) values (3554,'008149','B 223');</v>
      </c>
    </row>
    <row r="557" spans="1:5" x14ac:dyDescent="0.35">
      <c r="A557">
        <v>3555</v>
      </c>
      <c r="B557" s="1" t="s">
        <v>730</v>
      </c>
      <c r="C557" s="1" t="s">
        <v>1430</v>
      </c>
      <c r="D557" t="str">
        <f t="shared" si="17"/>
        <v>3555,'008149','B 22B'</v>
      </c>
      <c r="E557" t="str">
        <f t="shared" si="16"/>
        <v>INSERT INTO grupos (id,matricula,grupo) values (3555,'008149','B 22B');</v>
      </c>
    </row>
    <row r="558" spans="1:5" x14ac:dyDescent="0.35">
      <c r="A558">
        <v>3556</v>
      </c>
      <c r="B558" s="1" t="s">
        <v>730</v>
      </c>
      <c r="C558" s="1" t="s">
        <v>1434</v>
      </c>
      <c r="D558" t="str">
        <f t="shared" si="17"/>
        <v>3556,'008149','B4° 3B-II'</v>
      </c>
      <c r="E558" t="str">
        <f t="shared" si="16"/>
        <v>INSERT INTO grupos (id,matricula,grupo) values (3556,'008149','B4° 3B-II');</v>
      </c>
    </row>
    <row r="559" spans="1:5" x14ac:dyDescent="0.35">
      <c r="A559">
        <v>3557</v>
      </c>
      <c r="B559" s="1" t="s">
        <v>731</v>
      </c>
      <c r="C559" s="1" t="s">
        <v>1432</v>
      </c>
      <c r="D559" t="str">
        <f t="shared" si="17"/>
        <v>3557,'008150','B 221'</v>
      </c>
      <c r="E559" t="str">
        <f t="shared" si="16"/>
        <v>INSERT INTO grupos (id,matricula,grupo) values (3557,'008150','B 221');</v>
      </c>
    </row>
    <row r="560" spans="1:5" x14ac:dyDescent="0.35">
      <c r="A560">
        <v>3558</v>
      </c>
      <c r="B560" s="1" t="s">
        <v>731</v>
      </c>
      <c r="C560" s="1" t="s">
        <v>1430</v>
      </c>
      <c r="D560" t="str">
        <f t="shared" si="17"/>
        <v>3558,'008150','B 22B'</v>
      </c>
      <c r="E560" t="str">
        <f t="shared" si="16"/>
        <v>INSERT INTO grupos (id,matricula,grupo) values (3558,'008150','B 22B');</v>
      </c>
    </row>
    <row r="561" spans="1:5" x14ac:dyDescent="0.35">
      <c r="A561">
        <v>3559</v>
      </c>
      <c r="B561" s="1" t="s">
        <v>732</v>
      </c>
      <c r="C561" s="1" t="s">
        <v>1428</v>
      </c>
      <c r="D561" t="str">
        <f t="shared" si="17"/>
        <v>3559,'008151','B 222'</v>
      </c>
      <c r="E561" t="str">
        <f t="shared" si="16"/>
        <v>INSERT INTO grupos (id,matricula,grupo) values (3559,'008151','B 222');</v>
      </c>
    </row>
    <row r="562" spans="1:5" x14ac:dyDescent="0.35">
      <c r="A562">
        <v>3560</v>
      </c>
      <c r="B562" s="1" t="s">
        <v>732</v>
      </c>
      <c r="C562" s="1" t="s">
        <v>1435</v>
      </c>
      <c r="D562" t="str">
        <f t="shared" si="17"/>
        <v>3560,'008151','B 24'</v>
      </c>
      <c r="E562" t="str">
        <f t="shared" si="16"/>
        <v>INSERT INTO grupos (id,matricula,grupo) values (3560,'008151','B 24');</v>
      </c>
    </row>
    <row r="563" spans="1:5" x14ac:dyDescent="0.35">
      <c r="A563">
        <v>3561</v>
      </c>
      <c r="B563" s="1" t="s">
        <v>733</v>
      </c>
      <c r="C563" s="1" t="s">
        <v>1432</v>
      </c>
      <c r="D563" t="str">
        <f t="shared" si="17"/>
        <v>3561,'008152','B 221'</v>
      </c>
      <c r="E563" t="str">
        <f t="shared" si="16"/>
        <v>INSERT INTO grupos (id,matricula,grupo) values (3561,'008152','B 221');</v>
      </c>
    </row>
    <row r="564" spans="1:5" x14ac:dyDescent="0.35">
      <c r="A564">
        <v>3562</v>
      </c>
      <c r="B564" s="1" t="s">
        <v>733</v>
      </c>
      <c r="C564" s="1" t="s">
        <v>1435</v>
      </c>
      <c r="D564" t="str">
        <f t="shared" si="17"/>
        <v>3562,'008152','B 24'</v>
      </c>
      <c r="E564" t="str">
        <f t="shared" si="16"/>
        <v>INSERT INTO grupos (id,matricula,grupo) values (3562,'008152','B 24');</v>
      </c>
    </row>
    <row r="565" spans="1:5" x14ac:dyDescent="0.35">
      <c r="A565">
        <v>3563</v>
      </c>
      <c r="B565" s="1" t="s">
        <v>734</v>
      </c>
      <c r="C565" s="1" t="s">
        <v>1436</v>
      </c>
      <c r="D565" t="str">
        <f t="shared" si="17"/>
        <v>3563,'008153','B 224'</v>
      </c>
      <c r="E565" t="str">
        <f t="shared" si="16"/>
        <v>INSERT INTO grupos (id,matricula,grupo) values (3563,'008153','B 224');</v>
      </c>
    </row>
    <row r="566" spans="1:5" x14ac:dyDescent="0.35">
      <c r="A566">
        <v>3564</v>
      </c>
      <c r="B566" s="1" t="s">
        <v>734</v>
      </c>
      <c r="C566" s="1" t="s">
        <v>1426</v>
      </c>
      <c r="D566" t="str">
        <f t="shared" si="17"/>
        <v>3564,'008153','B 22A'</v>
      </c>
      <c r="E566" t="str">
        <f t="shared" si="16"/>
        <v>INSERT INTO grupos (id,matricula,grupo) values (3564,'008153','B 22A');</v>
      </c>
    </row>
    <row r="567" spans="1:5" x14ac:dyDescent="0.35">
      <c r="A567">
        <v>3565</v>
      </c>
      <c r="B567" s="1" t="s">
        <v>734</v>
      </c>
      <c r="C567" s="1" t="s">
        <v>1434</v>
      </c>
      <c r="D567" t="str">
        <f t="shared" si="17"/>
        <v>3565,'008153','B4° 3B-II'</v>
      </c>
      <c r="E567" t="str">
        <f t="shared" si="16"/>
        <v>INSERT INTO grupos (id,matricula,grupo) values (3565,'008153','B4° 3B-II');</v>
      </c>
    </row>
    <row r="568" spans="1:5" x14ac:dyDescent="0.35">
      <c r="A568">
        <v>3566</v>
      </c>
      <c r="B568" s="1" t="s">
        <v>735</v>
      </c>
      <c r="C568" s="1" t="s">
        <v>1428</v>
      </c>
      <c r="D568" t="str">
        <f t="shared" si="17"/>
        <v>3566,'008154','B 222'</v>
      </c>
      <c r="E568" t="str">
        <f t="shared" si="16"/>
        <v>INSERT INTO grupos (id,matricula,grupo) values (3566,'008154','B 222');</v>
      </c>
    </row>
    <row r="569" spans="1:5" x14ac:dyDescent="0.35">
      <c r="A569">
        <v>3567</v>
      </c>
      <c r="B569" s="1" t="s">
        <v>735</v>
      </c>
      <c r="C569" s="1" t="s">
        <v>1430</v>
      </c>
      <c r="D569" t="str">
        <f t="shared" si="17"/>
        <v>3567,'008154','B 22B'</v>
      </c>
      <c r="E569" t="str">
        <f t="shared" si="16"/>
        <v>INSERT INTO grupos (id,matricula,grupo) values (3567,'008154','B 22B');</v>
      </c>
    </row>
    <row r="570" spans="1:5" x14ac:dyDescent="0.35">
      <c r="A570">
        <v>3568</v>
      </c>
      <c r="B570" s="1" t="s">
        <v>736</v>
      </c>
      <c r="C570" s="1" t="s">
        <v>1432</v>
      </c>
      <c r="D570" t="str">
        <f t="shared" si="17"/>
        <v>3568,'008156','B 221'</v>
      </c>
      <c r="E570" t="str">
        <f t="shared" si="16"/>
        <v>INSERT INTO grupos (id,matricula,grupo) values (3568,'008156','B 221');</v>
      </c>
    </row>
    <row r="571" spans="1:5" x14ac:dyDescent="0.35">
      <c r="A571">
        <v>3569</v>
      </c>
      <c r="B571" s="1" t="s">
        <v>736</v>
      </c>
      <c r="C571" s="1" t="s">
        <v>1435</v>
      </c>
      <c r="D571" t="str">
        <f t="shared" si="17"/>
        <v>3569,'008156','B 24'</v>
      </c>
      <c r="E571" t="str">
        <f t="shared" si="16"/>
        <v>INSERT INTO grupos (id,matricula,grupo) values (3569,'008156','B 24');</v>
      </c>
    </row>
    <row r="572" spans="1:5" x14ac:dyDescent="0.35">
      <c r="A572">
        <v>3570</v>
      </c>
      <c r="B572" s="1" t="s">
        <v>737</v>
      </c>
      <c r="C572" s="1" t="s">
        <v>1432</v>
      </c>
      <c r="D572" t="str">
        <f t="shared" si="17"/>
        <v>3570,'008157','B 221'</v>
      </c>
      <c r="E572" t="str">
        <f t="shared" si="16"/>
        <v>INSERT INTO grupos (id,matricula,grupo) values (3570,'008157','B 221');</v>
      </c>
    </row>
    <row r="573" spans="1:5" x14ac:dyDescent="0.35">
      <c r="A573">
        <v>3571</v>
      </c>
      <c r="B573" s="1" t="s">
        <v>737</v>
      </c>
      <c r="C573" s="1" t="s">
        <v>1426</v>
      </c>
      <c r="D573" t="str">
        <f t="shared" si="17"/>
        <v>3571,'008157','B 22A'</v>
      </c>
      <c r="E573" t="str">
        <f t="shared" si="16"/>
        <v>INSERT INTO grupos (id,matricula,grupo) values (3571,'008157','B 22A');</v>
      </c>
    </row>
    <row r="574" spans="1:5" x14ac:dyDescent="0.35">
      <c r="A574">
        <v>3572</v>
      </c>
      <c r="B574" s="1" t="s">
        <v>738</v>
      </c>
      <c r="C574" s="1" t="s">
        <v>1429</v>
      </c>
      <c r="D574" t="str">
        <f t="shared" si="17"/>
        <v>3572,'008158','B 225'</v>
      </c>
      <c r="E574" t="str">
        <f t="shared" si="16"/>
        <v>INSERT INTO grupos (id,matricula,grupo) values (3572,'008158','B 225');</v>
      </c>
    </row>
    <row r="575" spans="1:5" x14ac:dyDescent="0.35">
      <c r="A575">
        <v>3573</v>
      </c>
      <c r="B575" s="1" t="s">
        <v>738</v>
      </c>
      <c r="C575" s="1" t="s">
        <v>1430</v>
      </c>
      <c r="D575" t="str">
        <f t="shared" si="17"/>
        <v>3573,'008158','B 22B'</v>
      </c>
      <c r="E575" t="str">
        <f t="shared" si="16"/>
        <v>INSERT INTO grupos (id,matricula,grupo) values (3573,'008158','B 22B');</v>
      </c>
    </row>
    <row r="576" spans="1:5" x14ac:dyDescent="0.35">
      <c r="A576">
        <v>3574</v>
      </c>
      <c r="B576" s="1" t="s">
        <v>738</v>
      </c>
      <c r="C576" s="1" t="s">
        <v>1427</v>
      </c>
      <c r="D576" t="str">
        <f t="shared" si="17"/>
        <v>3574,'008158','B4° 4A-II'</v>
      </c>
      <c r="E576" t="str">
        <f t="shared" si="16"/>
        <v>INSERT INTO grupos (id,matricula,grupo) values (3574,'008158','B4° 4A-II');</v>
      </c>
    </row>
    <row r="577" spans="1:5" x14ac:dyDescent="0.35">
      <c r="A577">
        <v>3575</v>
      </c>
      <c r="B577" s="1" t="s">
        <v>739</v>
      </c>
      <c r="C577" s="1" t="s">
        <v>1431</v>
      </c>
      <c r="D577" t="str">
        <f t="shared" si="17"/>
        <v>3575,'008159','B 21B'</v>
      </c>
      <c r="E577" t="str">
        <f t="shared" si="16"/>
        <v>INSERT INTO grupos (id,matricula,grupo) values (3575,'008159','B 21B');</v>
      </c>
    </row>
    <row r="578" spans="1:5" x14ac:dyDescent="0.35">
      <c r="A578">
        <v>3576</v>
      </c>
      <c r="B578" s="1" t="s">
        <v>739</v>
      </c>
      <c r="C578" s="1" t="s">
        <v>1436</v>
      </c>
      <c r="D578" t="str">
        <f t="shared" si="17"/>
        <v>3576,'008159','B 224'</v>
      </c>
      <c r="E578" t="str">
        <f t="shared" ref="E578:E641" si="18">CONCATENATE($D$1,D578,");")</f>
        <v>INSERT INTO grupos (id,matricula,grupo) values (3576,'008159','B 224');</v>
      </c>
    </row>
    <row r="579" spans="1:5" x14ac:dyDescent="0.35">
      <c r="A579">
        <v>3577</v>
      </c>
      <c r="B579" s="1" t="s">
        <v>739</v>
      </c>
      <c r="C579" s="1" t="s">
        <v>1434</v>
      </c>
      <c r="D579" t="str">
        <f t="shared" ref="D579:D642" si="19">CONCATENATE(A579,",",B579,",",C579,"")</f>
        <v>3577,'008159','B4° 3B-II'</v>
      </c>
      <c r="E579" t="str">
        <f t="shared" si="18"/>
        <v>INSERT INTO grupos (id,matricula,grupo) values (3577,'008159','B4° 3B-II');</v>
      </c>
    </row>
    <row r="580" spans="1:5" x14ac:dyDescent="0.35">
      <c r="A580">
        <v>3578</v>
      </c>
      <c r="B580" s="1" t="s">
        <v>740</v>
      </c>
      <c r="C580" s="1" t="s">
        <v>1437</v>
      </c>
      <c r="D580" t="str">
        <f t="shared" si="19"/>
        <v>3578,'008160','B 21A'</v>
      </c>
      <c r="E580" t="str">
        <f t="shared" si="18"/>
        <v>INSERT INTO grupos (id,matricula,grupo) values (3578,'008160','B 21A');</v>
      </c>
    </row>
    <row r="581" spans="1:5" x14ac:dyDescent="0.35">
      <c r="A581">
        <v>3579</v>
      </c>
      <c r="B581" s="1" t="s">
        <v>740</v>
      </c>
      <c r="C581" s="1" t="s">
        <v>1432</v>
      </c>
      <c r="D581" t="str">
        <f t="shared" si="19"/>
        <v>3579,'008160','B 221'</v>
      </c>
      <c r="E581" t="str">
        <f t="shared" si="18"/>
        <v>INSERT INTO grupos (id,matricula,grupo) values (3579,'008160','B 221');</v>
      </c>
    </row>
    <row r="582" spans="1:5" x14ac:dyDescent="0.35">
      <c r="A582">
        <v>3580</v>
      </c>
      <c r="B582" s="1" t="s">
        <v>741</v>
      </c>
      <c r="C582" s="1" t="s">
        <v>1425</v>
      </c>
      <c r="D582" t="str">
        <f t="shared" si="19"/>
        <v>3580,'008161','B 223'</v>
      </c>
      <c r="E582" t="str">
        <f t="shared" si="18"/>
        <v>INSERT INTO grupos (id,matricula,grupo) values (3580,'008161','B 223');</v>
      </c>
    </row>
    <row r="583" spans="1:5" x14ac:dyDescent="0.35">
      <c r="A583">
        <v>3581</v>
      </c>
      <c r="B583" s="1" t="s">
        <v>741</v>
      </c>
      <c r="C583" s="1" t="s">
        <v>1433</v>
      </c>
      <c r="D583" t="str">
        <f t="shared" si="19"/>
        <v>3581,'008161','B 23'</v>
      </c>
      <c r="E583" t="str">
        <f t="shared" si="18"/>
        <v>INSERT INTO grupos (id,matricula,grupo) values (3581,'008161','B 23');</v>
      </c>
    </row>
    <row r="584" spans="1:5" x14ac:dyDescent="0.35">
      <c r="A584">
        <v>3582</v>
      </c>
      <c r="B584" s="1" t="s">
        <v>741</v>
      </c>
      <c r="C584" s="1" t="s">
        <v>1427</v>
      </c>
      <c r="D584" t="str">
        <f t="shared" si="19"/>
        <v>3582,'008161','B4° 4A-II'</v>
      </c>
      <c r="E584" t="str">
        <f t="shared" si="18"/>
        <v>INSERT INTO grupos (id,matricula,grupo) values (3582,'008161','B4° 4A-II');</v>
      </c>
    </row>
    <row r="585" spans="1:5" x14ac:dyDescent="0.35">
      <c r="A585">
        <v>3583</v>
      </c>
      <c r="B585" s="1" t="s">
        <v>742</v>
      </c>
      <c r="C585" s="1" t="s">
        <v>1431</v>
      </c>
      <c r="D585" t="str">
        <f t="shared" si="19"/>
        <v>3583,'008162','B 21B'</v>
      </c>
      <c r="E585" t="str">
        <f t="shared" si="18"/>
        <v>INSERT INTO grupos (id,matricula,grupo) values (3583,'008162','B 21B');</v>
      </c>
    </row>
    <row r="586" spans="1:5" x14ac:dyDescent="0.35">
      <c r="A586">
        <v>3584</v>
      </c>
      <c r="B586" s="1" t="s">
        <v>742</v>
      </c>
      <c r="C586" s="1" t="s">
        <v>1429</v>
      </c>
      <c r="D586" t="str">
        <f t="shared" si="19"/>
        <v>3584,'008162','B 225'</v>
      </c>
      <c r="E586" t="str">
        <f t="shared" si="18"/>
        <v>INSERT INTO grupos (id,matricula,grupo) values (3584,'008162','B 225');</v>
      </c>
    </row>
    <row r="587" spans="1:5" x14ac:dyDescent="0.35">
      <c r="A587">
        <v>3585</v>
      </c>
      <c r="B587" s="1" t="s">
        <v>742</v>
      </c>
      <c r="C587" s="1" t="s">
        <v>1438</v>
      </c>
      <c r="D587" t="str">
        <f t="shared" si="19"/>
        <v>3585,'008162','B4° 3A-II'</v>
      </c>
      <c r="E587" t="str">
        <f t="shared" si="18"/>
        <v>INSERT INTO grupos (id,matricula,grupo) values (3585,'008162','B4° 3A-II');</v>
      </c>
    </row>
    <row r="588" spans="1:5" x14ac:dyDescent="0.35">
      <c r="A588">
        <v>3586</v>
      </c>
      <c r="B588" s="1" t="s">
        <v>743</v>
      </c>
      <c r="C588" s="1" t="s">
        <v>1431</v>
      </c>
      <c r="D588" t="str">
        <f t="shared" si="19"/>
        <v>3586,'008163','B 21B'</v>
      </c>
      <c r="E588" t="str">
        <f t="shared" si="18"/>
        <v>INSERT INTO grupos (id,matricula,grupo) values (3586,'008163','B 21B');</v>
      </c>
    </row>
    <row r="589" spans="1:5" x14ac:dyDescent="0.35">
      <c r="A589">
        <v>3587</v>
      </c>
      <c r="B589" s="1" t="s">
        <v>743</v>
      </c>
      <c r="C589" s="1" t="s">
        <v>1432</v>
      </c>
      <c r="D589" t="str">
        <f t="shared" si="19"/>
        <v>3587,'008163','B 221'</v>
      </c>
      <c r="E589" t="str">
        <f t="shared" si="18"/>
        <v>INSERT INTO grupos (id,matricula,grupo) values (3587,'008163','B 221');</v>
      </c>
    </row>
    <row r="590" spans="1:5" x14ac:dyDescent="0.35">
      <c r="A590">
        <v>3588</v>
      </c>
      <c r="B590" s="1" t="s">
        <v>744</v>
      </c>
      <c r="C590" s="1" t="s">
        <v>1428</v>
      </c>
      <c r="D590" t="str">
        <f t="shared" si="19"/>
        <v>3588,'008165','B 222'</v>
      </c>
      <c r="E590" t="str">
        <f t="shared" si="18"/>
        <v>INSERT INTO grupos (id,matricula,grupo) values (3588,'008165','B 222');</v>
      </c>
    </row>
    <row r="591" spans="1:5" x14ac:dyDescent="0.35">
      <c r="A591">
        <v>3589</v>
      </c>
      <c r="B591" s="1" t="s">
        <v>744</v>
      </c>
      <c r="C591" s="1" t="s">
        <v>1430</v>
      </c>
      <c r="D591" t="str">
        <f t="shared" si="19"/>
        <v>3589,'008165','B 22B'</v>
      </c>
      <c r="E591" t="str">
        <f t="shared" si="18"/>
        <v>INSERT INTO grupos (id,matricula,grupo) values (3589,'008165','B 22B');</v>
      </c>
    </row>
    <row r="592" spans="1:5" x14ac:dyDescent="0.35">
      <c r="A592">
        <v>3590</v>
      </c>
      <c r="B592" s="1" t="s">
        <v>745</v>
      </c>
      <c r="C592" s="1" t="s">
        <v>1437</v>
      </c>
      <c r="D592" t="str">
        <f t="shared" si="19"/>
        <v>3590,'008166','B 21A'</v>
      </c>
      <c r="E592" t="str">
        <f t="shared" si="18"/>
        <v>INSERT INTO grupos (id,matricula,grupo) values (3590,'008166','B 21A');</v>
      </c>
    </row>
    <row r="593" spans="1:5" x14ac:dyDescent="0.35">
      <c r="A593">
        <v>3591</v>
      </c>
      <c r="B593" s="1" t="s">
        <v>745</v>
      </c>
      <c r="C593" s="1" t="s">
        <v>1432</v>
      </c>
      <c r="D593" t="str">
        <f t="shared" si="19"/>
        <v>3591,'008166','B 221'</v>
      </c>
      <c r="E593" t="str">
        <f t="shared" si="18"/>
        <v>INSERT INTO grupos (id,matricula,grupo) values (3591,'008166','B 221');</v>
      </c>
    </row>
    <row r="594" spans="1:5" x14ac:dyDescent="0.35">
      <c r="A594">
        <v>3592</v>
      </c>
      <c r="B594" s="1" t="s">
        <v>746</v>
      </c>
      <c r="C594" s="1" t="s">
        <v>1431</v>
      </c>
      <c r="D594" t="str">
        <f t="shared" si="19"/>
        <v>3592,'008167','B 21B'</v>
      </c>
      <c r="E594" t="str">
        <f t="shared" si="18"/>
        <v>INSERT INTO grupos (id,matricula,grupo) values (3592,'008167','B 21B');</v>
      </c>
    </row>
    <row r="595" spans="1:5" x14ac:dyDescent="0.35">
      <c r="A595">
        <v>3593</v>
      </c>
      <c r="B595" s="1" t="s">
        <v>746</v>
      </c>
      <c r="C595" s="1" t="s">
        <v>1436</v>
      </c>
      <c r="D595" t="str">
        <f t="shared" si="19"/>
        <v>3593,'008167','B 224'</v>
      </c>
      <c r="E595" t="str">
        <f t="shared" si="18"/>
        <v>INSERT INTO grupos (id,matricula,grupo) values (3593,'008167','B 224');</v>
      </c>
    </row>
    <row r="596" spans="1:5" x14ac:dyDescent="0.35">
      <c r="A596">
        <v>3594</v>
      </c>
      <c r="B596" s="1" t="s">
        <v>746</v>
      </c>
      <c r="C596" s="1" t="s">
        <v>1438</v>
      </c>
      <c r="D596" t="str">
        <f t="shared" si="19"/>
        <v>3594,'008167','B4° 3A-II'</v>
      </c>
      <c r="E596" t="str">
        <f t="shared" si="18"/>
        <v>INSERT INTO grupos (id,matricula,grupo) values (3594,'008167','B4° 3A-II');</v>
      </c>
    </row>
    <row r="597" spans="1:5" x14ac:dyDescent="0.35">
      <c r="A597">
        <v>3595</v>
      </c>
      <c r="B597" s="1" t="s">
        <v>747</v>
      </c>
      <c r="C597" s="1" t="s">
        <v>1429</v>
      </c>
      <c r="D597" t="str">
        <f t="shared" si="19"/>
        <v>3595,'008169','B 225'</v>
      </c>
      <c r="E597" t="str">
        <f t="shared" si="18"/>
        <v>INSERT INTO grupos (id,matricula,grupo) values (3595,'008169','B 225');</v>
      </c>
    </row>
    <row r="598" spans="1:5" x14ac:dyDescent="0.35">
      <c r="A598">
        <v>3596</v>
      </c>
      <c r="B598" s="1" t="s">
        <v>747</v>
      </c>
      <c r="C598" s="1" t="s">
        <v>1430</v>
      </c>
      <c r="D598" t="str">
        <f t="shared" si="19"/>
        <v>3596,'008169','B 22B'</v>
      </c>
      <c r="E598" t="str">
        <f t="shared" si="18"/>
        <v>INSERT INTO grupos (id,matricula,grupo) values (3596,'008169','B 22B');</v>
      </c>
    </row>
    <row r="599" spans="1:5" x14ac:dyDescent="0.35">
      <c r="A599">
        <v>3597</v>
      </c>
      <c r="B599" s="1" t="s">
        <v>747</v>
      </c>
      <c r="C599" s="1" t="s">
        <v>1434</v>
      </c>
      <c r="D599" t="str">
        <f t="shared" si="19"/>
        <v>3597,'008169','B4° 3B-II'</v>
      </c>
      <c r="E599" t="str">
        <f t="shared" si="18"/>
        <v>INSERT INTO grupos (id,matricula,grupo) values (3597,'008169','B4° 3B-II');</v>
      </c>
    </row>
    <row r="600" spans="1:5" x14ac:dyDescent="0.35">
      <c r="A600">
        <v>3598</v>
      </c>
      <c r="B600" s="1" t="s">
        <v>748</v>
      </c>
      <c r="C600" s="1" t="s">
        <v>1437</v>
      </c>
      <c r="D600" t="str">
        <f t="shared" si="19"/>
        <v>3598,'008170','B 21A'</v>
      </c>
      <c r="E600" t="str">
        <f t="shared" si="18"/>
        <v>INSERT INTO grupos (id,matricula,grupo) values (3598,'008170','B 21A');</v>
      </c>
    </row>
    <row r="601" spans="1:5" x14ac:dyDescent="0.35">
      <c r="A601">
        <v>3599</v>
      </c>
      <c r="B601" s="1" t="s">
        <v>748</v>
      </c>
      <c r="C601" s="1" t="s">
        <v>1432</v>
      </c>
      <c r="D601" t="str">
        <f t="shared" si="19"/>
        <v>3599,'008170','B 221'</v>
      </c>
      <c r="E601" t="str">
        <f t="shared" si="18"/>
        <v>INSERT INTO grupos (id,matricula,grupo) values (3599,'008170','B 221');</v>
      </c>
    </row>
    <row r="602" spans="1:5" x14ac:dyDescent="0.35">
      <c r="A602">
        <v>3600</v>
      </c>
      <c r="B602" s="1" t="s">
        <v>749</v>
      </c>
      <c r="C602" s="1" t="s">
        <v>1429</v>
      </c>
      <c r="D602" t="str">
        <f t="shared" si="19"/>
        <v>3600,'008171','B 225'</v>
      </c>
      <c r="E602" t="str">
        <f t="shared" si="18"/>
        <v>INSERT INTO grupos (id,matricula,grupo) values (3600,'008171','B 225');</v>
      </c>
    </row>
    <row r="603" spans="1:5" x14ac:dyDescent="0.35">
      <c r="A603">
        <v>3601</v>
      </c>
      <c r="B603" s="1" t="s">
        <v>749</v>
      </c>
      <c r="C603" s="1" t="s">
        <v>1430</v>
      </c>
      <c r="D603" t="str">
        <f t="shared" si="19"/>
        <v>3601,'008171','B 22B'</v>
      </c>
      <c r="E603" t="str">
        <f t="shared" si="18"/>
        <v>INSERT INTO grupos (id,matricula,grupo) values (3601,'008171','B 22B');</v>
      </c>
    </row>
    <row r="604" spans="1:5" x14ac:dyDescent="0.35">
      <c r="A604">
        <v>3602</v>
      </c>
      <c r="B604" s="1" t="s">
        <v>749</v>
      </c>
      <c r="C604" s="1" t="s">
        <v>1434</v>
      </c>
      <c r="D604" t="str">
        <f t="shared" si="19"/>
        <v>3602,'008171','B4° 3B-II'</v>
      </c>
      <c r="E604" t="str">
        <f t="shared" si="18"/>
        <v>INSERT INTO grupos (id,matricula,grupo) values (3602,'008171','B4° 3B-II');</v>
      </c>
    </row>
    <row r="605" spans="1:5" x14ac:dyDescent="0.35">
      <c r="A605">
        <v>3603</v>
      </c>
      <c r="B605" s="1" t="s">
        <v>750</v>
      </c>
      <c r="C605" s="1" t="s">
        <v>1429</v>
      </c>
      <c r="D605" t="str">
        <f t="shared" si="19"/>
        <v>3603,'008172','B 225'</v>
      </c>
      <c r="E605" t="str">
        <f t="shared" si="18"/>
        <v>INSERT INTO grupos (id,matricula,grupo) values (3603,'008172','B 225');</v>
      </c>
    </row>
    <row r="606" spans="1:5" x14ac:dyDescent="0.35">
      <c r="A606">
        <v>3604</v>
      </c>
      <c r="B606" s="1" t="s">
        <v>750</v>
      </c>
      <c r="C606" s="1" t="s">
        <v>1433</v>
      </c>
      <c r="D606" t="str">
        <f t="shared" si="19"/>
        <v>3604,'008172','B 23'</v>
      </c>
      <c r="E606" t="str">
        <f t="shared" si="18"/>
        <v>INSERT INTO grupos (id,matricula,grupo) values (3604,'008172','B 23');</v>
      </c>
    </row>
    <row r="607" spans="1:5" x14ac:dyDescent="0.35">
      <c r="A607">
        <v>3605</v>
      </c>
      <c r="B607" s="1" t="s">
        <v>750</v>
      </c>
      <c r="C607" s="1" t="s">
        <v>1427</v>
      </c>
      <c r="D607" t="str">
        <f t="shared" si="19"/>
        <v>3605,'008172','B4° 4A-II'</v>
      </c>
      <c r="E607" t="str">
        <f t="shared" si="18"/>
        <v>INSERT INTO grupos (id,matricula,grupo) values (3605,'008172','B4° 4A-II');</v>
      </c>
    </row>
    <row r="608" spans="1:5" x14ac:dyDescent="0.35">
      <c r="A608">
        <v>3606</v>
      </c>
      <c r="B608" s="1" t="s">
        <v>751</v>
      </c>
      <c r="C608" s="1" t="s">
        <v>1428</v>
      </c>
      <c r="D608" t="str">
        <f t="shared" si="19"/>
        <v>3606,'008174','B 222'</v>
      </c>
      <c r="E608" t="str">
        <f t="shared" si="18"/>
        <v>INSERT INTO grupos (id,matricula,grupo) values (3606,'008174','B 222');</v>
      </c>
    </row>
    <row r="609" spans="1:5" x14ac:dyDescent="0.35">
      <c r="A609">
        <v>3607</v>
      </c>
      <c r="B609" s="1" t="s">
        <v>751</v>
      </c>
      <c r="C609" s="1" t="s">
        <v>1426</v>
      </c>
      <c r="D609" t="str">
        <f t="shared" si="19"/>
        <v>3607,'008174','B 22A'</v>
      </c>
      <c r="E609" t="str">
        <f t="shared" si="18"/>
        <v>INSERT INTO grupos (id,matricula,grupo) values (3607,'008174','B 22A');</v>
      </c>
    </row>
    <row r="610" spans="1:5" x14ac:dyDescent="0.35">
      <c r="A610">
        <v>3608</v>
      </c>
      <c r="B610" s="1" t="s">
        <v>752</v>
      </c>
      <c r="C610" s="1" t="s">
        <v>1437</v>
      </c>
      <c r="D610" t="str">
        <f t="shared" si="19"/>
        <v>3608,'008175','B 21A'</v>
      </c>
      <c r="E610" t="str">
        <f t="shared" si="18"/>
        <v>INSERT INTO grupos (id,matricula,grupo) values (3608,'008175','B 21A');</v>
      </c>
    </row>
    <row r="611" spans="1:5" x14ac:dyDescent="0.35">
      <c r="A611">
        <v>3609</v>
      </c>
      <c r="B611" s="1" t="s">
        <v>752</v>
      </c>
      <c r="C611" s="1" t="s">
        <v>1429</v>
      </c>
      <c r="D611" t="str">
        <f t="shared" si="19"/>
        <v>3609,'008175','B 225'</v>
      </c>
      <c r="E611" t="str">
        <f t="shared" si="18"/>
        <v>INSERT INTO grupos (id,matricula,grupo) values (3609,'008175','B 225');</v>
      </c>
    </row>
    <row r="612" spans="1:5" x14ac:dyDescent="0.35">
      <c r="A612">
        <v>3610</v>
      </c>
      <c r="B612" s="1" t="s">
        <v>752</v>
      </c>
      <c r="C612" s="1" t="s">
        <v>1434</v>
      </c>
      <c r="D612" t="str">
        <f t="shared" si="19"/>
        <v>3610,'008175','B4° 3B-II'</v>
      </c>
      <c r="E612" t="str">
        <f t="shared" si="18"/>
        <v>INSERT INTO grupos (id,matricula,grupo) values (3610,'008175','B4° 3B-II');</v>
      </c>
    </row>
    <row r="613" spans="1:5" x14ac:dyDescent="0.35">
      <c r="A613">
        <v>3611</v>
      </c>
      <c r="B613" s="1" t="s">
        <v>753</v>
      </c>
      <c r="C613" s="1" t="s">
        <v>1428</v>
      </c>
      <c r="D613" t="str">
        <f t="shared" si="19"/>
        <v>3611,'008176','B 222'</v>
      </c>
      <c r="E613" t="str">
        <f t="shared" si="18"/>
        <v>INSERT INTO grupos (id,matricula,grupo) values (3611,'008176','B 222');</v>
      </c>
    </row>
    <row r="614" spans="1:5" x14ac:dyDescent="0.35">
      <c r="A614">
        <v>3612</v>
      </c>
      <c r="B614" s="1" t="s">
        <v>753</v>
      </c>
      <c r="C614" s="1" t="s">
        <v>1426</v>
      </c>
      <c r="D614" t="str">
        <f t="shared" si="19"/>
        <v>3612,'008176','B 22A'</v>
      </c>
      <c r="E614" t="str">
        <f t="shared" si="18"/>
        <v>INSERT INTO grupos (id,matricula,grupo) values (3612,'008176','B 22A');</v>
      </c>
    </row>
    <row r="615" spans="1:5" x14ac:dyDescent="0.35">
      <c r="A615">
        <v>3613</v>
      </c>
      <c r="B615" s="1" t="s">
        <v>754</v>
      </c>
      <c r="C615" s="1" t="s">
        <v>1437</v>
      </c>
      <c r="D615" t="str">
        <f t="shared" si="19"/>
        <v>3613,'008177','B 21A'</v>
      </c>
      <c r="E615" t="str">
        <f t="shared" si="18"/>
        <v>INSERT INTO grupos (id,matricula,grupo) values (3613,'008177','B 21A');</v>
      </c>
    </row>
    <row r="616" spans="1:5" x14ac:dyDescent="0.35">
      <c r="A616">
        <v>3614</v>
      </c>
      <c r="B616" s="1" t="s">
        <v>754</v>
      </c>
      <c r="C616" s="1" t="s">
        <v>1428</v>
      </c>
      <c r="D616" t="str">
        <f t="shared" si="19"/>
        <v>3614,'008177','B 222'</v>
      </c>
      <c r="E616" t="str">
        <f t="shared" si="18"/>
        <v>INSERT INTO grupos (id,matricula,grupo) values (3614,'008177','B 222');</v>
      </c>
    </row>
    <row r="617" spans="1:5" x14ac:dyDescent="0.35">
      <c r="A617">
        <v>3615</v>
      </c>
      <c r="B617" s="1" t="s">
        <v>755</v>
      </c>
      <c r="C617" s="1" t="s">
        <v>1432</v>
      </c>
      <c r="D617" t="str">
        <f t="shared" si="19"/>
        <v>3615,'008178','B 221'</v>
      </c>
      <c r="E617" t="str">
        <f t="shared" si="18"/>
        <v>INSERT INTO grupos (id,matricula,grupo) values (3615,'008178','B 221');</v>
      </c>
    </row>
    <row r="618" spans="1:5" x14ac:dyDescent="0.35">
      <c r="A618">
        <v>3616</v>
      </c>
      <c r="B618" s="1" t="s">
        <v>755</v>
      </c>
      <c r="C618" s="1" t="s">
        <v>1433</v>
      </c>
      <c r="D618" t="str">
        <f t="shared" si="19"/>
        <v>3616,'008178','B 23'</v>
      </c>
      <c r="E618" t="str">
        <f t="shared" si="18"/>
        <v>INSERT INTO grupos (id,matricula,grupo) values (3616,'008178','B 23');</v>
      </c>
    </row>
    <row r="619" spans="1:5" x14ac:dyDescent="0.35">
      <c r="A619">
        <v>3617</v>
      </c>
      <c r="B619" s="1" t="s">
        <v>756</v>
      </c>
      <c r="C619" s="1" t="s">
        <v>1431</v>
      </c>
      <c r="D619" t="str">
        <f t="shared" si="19"/>
        <v>3617,'008179','B 21B'</v>
      </c>
      <c r="E619" t="str">
        <f t="shared" si="18"/>
        <v>INSERT INTO grupos (id,matricula,grupo) values (3617,'008179','B 21B');</v>
      </c>
    </row>
    <row r="620" spans="1:5" x14ac:dyDescent="0.35">
      <c r="A620">
        <v>3618</v>
      </c>
      <c r="B620" s="1" t="s">
        <v>756</v>
      </c>
      <c r="C620" s="1" t="s">
        <v>1432</v>
      </c>
      <c r="D620" t="str">
        <f t="shared" si="19"/>
        <v>3618,'008179','B 221'</v>
      </c>
      <c r="E620" t="str">
        <f t="shared" si="18"/>
        <v>INSERT INTO grupos (id,matricula,grupo) values (3618,'008179','B 221');</v>
      </c>
    </row>
    <row r="621" spans="1:5" x14ac:dyDescent="0.35">
      <c r="A621">
        <v>3619</v>
      </c>
      <c r="B621" s="1" t="s">
        <v>757</v>
      </c>
      <c r="C621" s="1" t="s">
        <v>1428</v>
      </c>
      <c r="D621" t="str">
        <f t="shared" si="19"/>
        <v>3619,'008180','B 222'</v>
      </c>
      <c r="E621" t="str">
        <f t="shared" si="18"/>
        <v>INSERT INTO grupos (id,matricula,grupo) values (3619,'008180','B 222');</v>
      </c>
    </row>
    <row r="622" spans="1:5" x14ac:dyDescent="0.35">
      <c r="A622">
        <v>3620</v>
      </c>
      <c r="B622" s="1" t="s">
        <v>757</v>
      </c>
      <c r="C622" s="1" t="s">
        <v>1426</v>
      </c>
      <c r="D622" t="str">
        <f t="shared" si="19"/>
        <v>3620,'008180','B 22A'</v>
      </c>
      <c r="E622" t="str">
        <f t="shared" si="18"/>
        <v>INSERT INTO grupos (id,matricula,grupo) values (3620,'008180','B 22A');</v>
      </c>
    </row>
    <row r="623" spans="1:5" x14ac:dyDescent="0.35">
      <c r="A623">
        <v>3621</v>
      </c>
      <c r="B623" s="1" t="s">
        <v>758</v>
      </c>
      <c r="C623" s="1" t="s">
        <v>1431</v>
      </c>
      <c r="D623" t="str">
        <f t="shared" si="19"/>
        <v>3621,'008181','B 21B'</v>
      </c>
      <c r="E623" t="str">
        <f t="shared" si="18"/>
        <v>INSERT INTO grupos (id,matricula,grupo) values (3621,'008181','B 21B');</v>
      </c>
    </row>
    <row r="624" spans="1:5" x14ac:dyDescent="0.35">
      <c r="A624">
        <v>3622</v>
      </c>
      <c r="B624" s="1" t="s">
        <v>758</v>
      </c>
      <c r="C624" s="1" t="s">
        <v>1432</v>
      </c>
      <c r="D624" t="str">
        <f t="shared" si="19"/>
        <v>3622,'008181','B 221'</v>
      </c>
      <c r="E624" t="str">
        <f t="shared" si="18"/>
        <v>INSERT INTO grupos (id,matricula,grupo) values (3622,'008181','B 221');</v>
      </c>
    </row>
    <row r="625" spans="1:5" x14ac:dyDescent="0.35">
      <c r="A625">
        <v>3623</v>
      </c>
      <c r="B625" s="1" t="s">
        <v>759</v>
      </c>
      <c r="C625" s="1" t="s">
        <v>1429</v>
      </c>
      <c r="D625" t="str">
        <f t="shared" si="19"/>
        <v>3623,'008182','B 225'</v>
      </c>
      <c r="E625" t="str">
        <f t="shared" si="18"/>
        <v>INSERT INTO grupos (id,matricula,grupo) values (3623,'008182','B 225');</v>
      </c>
    </row>
    <row r="626" spans="1:5" x14ac:dyDescent="0.35">
      <c r="A626">
        <v>3624</v>
      </c>
      <c r="B626" s="1" t="s">
        <v>759</v>
      </c>
      <c r="C626" s="1" t="s">
        <v>1426</v>
      </c>
      <c r="D626" t="str">
        <f t="shared" si="19"/>
        <v>3624,'008182','B 22A'</v>
      </c>
      <c r="E626" t="str">
        <f t="shared" si="18"/>
        <v>INSERT INTO grupos (id,matricula,grupo) values (3624,'008182','B 22A');</v>
      </c>
    </row>
    <row r="627" spans="1:5" x14ac:dyDescent="0.35">
      <c r="A627">
        <v>3625</v>
      </c>
      <c r="B627" s="1" t="s">
        <v>759</v>
      </c>
      <c r="C627" s="1" t="s">
        <v>1427</v>
      </c>
      <c r="D627" t="str">
        <f t="shared" si="19"/>
        <v>3625,'008182','B4° 4A-II'</v>
      </c>
      <c r="E627" t="str">
        <f t="shared" si="18"/>
        <v>INSERT INTO grupos (id,matricula,grupo) values (3625,'008182','B4° 4A-II');</v>
      </c>
    </row>
    <row r="628" spans="1:5" x14ac:dyDescent="0.35">
      <c r="A628">
        <v>3626</v>
      </c>
      <c r="B628" s="1" t="s">
        <v>760</v>
      </c>
      <c r="C628" s="1" t="s">
        <v>1436</v>
      </c>
      <c r="D628" t="str">
        <f t="shared" si="19"/>
        <v>3626,'008183','B 224'</v>
      </c>
      <c r="E628" t="str">
        <f t="shared" si="18"/>
        <v>INSERT INTO grupos (id,matricula,grupo) values (3626,'008183','B 224');</v>
      </c>
    </row>
    <row r="629" spans="1:5" x14ac:dyDescent="0.35">
      <c r="A629">
        <v>3627</v>
      </c>
      <c r="B629" s="1" t="s">
        <v>760</v>
      </c>
      <c r="C629" s="1" t="s">
        <v>1430</v>
      </c>
      <c r="D629" t="str">
        <f t="shared" si="19"/>
        <v>3627,'008183','B 22B'</v>
      </c>
      <c r="E629" t="str">
        <f t="shared" si="18"/>
        <v>INSERT INTO grupos (id,matricula,grupo) values (3627,'008183','B 22B');</v>
      </c>
    </row>
    <row r="630" spans="1:5" x14ac:dyDescent="0.35">
      <c r="A630">
        <v>3628</v>
      </c>
      <c r="B630" s="1" t="s">
        <v>760</v>
      </c>
      <c r="C630" s="1" t="s">
        <v>1438</v>
      </c>
      <c r="D630" t="str">
        <f t="shared" si="19"/>
        <v>3628,'008183','B4° 3A-II'</v>
      </c>
      <c r="E630" t="str">
        <f t="shared" si="18"/>
        <v>INSERT INTO grupos (id,matricula,grupo) values (3628,'008183','B4° 3A-II');</v>
      </c>
    </row>
    <row r="631" spans="1:5" x14ac:dyDescent="0.35">
      <c r="A631">
        <v>3629</v>
      </c>
      <c r="B631" s="1" t="s">
        <v>761</v>
      </c>
      <c r="C631" s="1" t="s">
        <v>1436</v>
      </c>
      <c r="D631" t="str">
        <f t="shared" si="19"/>
        <v>3629,'008184','B 224'</v>
      </c>
      <c r="E631" t="str">
        <f t="shared" si="18"/>
        <v>INSERT INTO grupos (id,matricula,grupo) values (3629,'008184','B 224');</v>
      </c>
    </row>
    <row r="632" spans="1:5" x14ac:dyDescent="0.35">
      <c r="A632">
        <v>3630</v>
      </c>
      <c r="B632" s="1" t="s">
        <v>761</v>
      </c>
      <c r="C632" s="1" t="s">
        <v>1426</v>
      </c>
      <c r="D632" t="str">
        <f t="shared" si="19"/>
        <v>3630,'008184','B 22A'</v>
      </c>
      <c r="E632" t="str">
        <f t="shared" si="18"/>
        <v>INSERT INTO grupos (id,matricula,grupo) values (3630,'008184','B 22A');</v>
      </c>
    </row>
    <row r="633" spans="1:5" x14ac:dyDescent="0.35">
      <c r="A633">
        <v>3631</v>
      </c>
      <c r="B633" s="1" t="s">
        <v>761</v>
      </c>
      <c r="C633" s="1" t="s">
        <v>1427</v>
      </c>
      <c r="D633" t="str">
        <f t="shared" si="19"/>
        <v>3631,'008184','B4° 4A-II'</v>
      </c>
      <c r="E633" t="str">
        <f t="shared" si="18"/>
        <v>INSERT INTO grupos (id,matricula,grupo) values (3631,'008184','B4° 4A-II');</v>
      </c>
    </row>
    <row r="634" spans="1:5" x14ac:dyDescent="0.35">
      <c r="A634">
        <v>3632</v>
      </c>
      <c r="B634" s="1" t="s">
        <v>762</v>
      </c>
      <c r="C634" s="1" t="s">
        <v>1432</v>
      </c>
      <c r="D634" t="str">
        <f t="shared" si="19"/>
        <v>3632,'008185','B 221'</v>
      </c>
      <c r="E634" t="str">
        <f t="shared" si="18"/>
        <v>INSERT INTO grupos (id,matricula,grupo) values (3632,'008185','B 221');</v>
      </c>
    </row>
    <row r="635" spans="1:5" x14ac:dyDescent="0.35">
      <c r="A635">
        <v>3633</v>
      </c>
      <c r="B635" s="1" t="s">
        <v>762</v>
      </c>
      <c r="C635" s="1" t="s">
        <v>1433</v>
      </c>
      <c r="D635" t="str">
        <f t="shared" si="19"/>
        <v>3633,'008185','B 23'</v>
      </c>
      <c r="E635" t="str">
        <f t="shared" si="18"/>
        <v>INSERT INTO grupos (id,matricula,grupo) values (3633,'008185','B 23');</v>
      </c>
    </row>
    <row r="636" spans="1:5" x14ac:dyDescent="0.35">
      <c r="A636">
        <v>3634</v>
      </c>
      <c r="B636" s="1" t="s">
        <v>763</v>
      </c>
      <c r="C636" s="1" t="s">
        <v>1431</v>
      </c>
      <c r="D636" t="str">
        <f t="shared" si="19"/>
        <v>3634,'008186','B 21B'</v>
      </c>
      <c r="E636" t="str">
        <f t="shared" si="18"/>
        <v>INSERT INTO grupos (id,matricula,grupo) values (3634,'008186','B 21B');</v>
      </c>
    </row>
    <row r="637" spans="1:5" x14ac:dyDescent="0.35">
      <c r="A637">
        <v>3635</v>
      </c>
      <c r="B637" s="1" t="s">
        <v>763</v>
      </c>
      <c r="C637" s="1" t="s">
        <v>1428</v>
      </c>
      <c r="D637" t="str">
        <f t="shared" si="19"/>
        <v>3635,'008186','B 222'</v>
      </c>
      <c r="E637" t="str">
        <f t="shared" si="18"/>
        <v>INSERT INTO grupos (id,matricula,grupo) values (3635,'008186','B 222');</v>
      </c>
    </row>
    <row r="638" spans="1:5" x14ac:dyDescent="0.35">
      <c r="A638">
        <v>3636</v>
      </c>
      <c r="B638" s="1" t="s">
        <v>764</v>
      </c>
      <c r="C638" s="1" t="s">
        <v>1428</v>
      </c>
      <c r="D638" t="str">
        <f t="shared" si="19"/>
        <v>3636,'008187','B 222'</v>
      </c>
      <c r="E638" t="str">
        <f t="shared" si="18"/>
        <v>INSERT INTO grupos (id,matricula,grupo) values (3636,'008187','B 222');</v>
      </c>
    </row>
    <row r="639" spans="1:5" x14ac:dyDescent="0.35">
      <c r="A639">
        <v>3637</v>
      </c>
      <c r="B639" s="1" t="s">
        <v>764</v>
      </c>
      <c r="C639" s="1" t="s">
        <v>1433</v>
      </c>
      <c r="D639" t="str">
        <f t="shared" si="19"/>
        <v>3637,'008187','B 23'</v>
      </c>
      <c r="E639" t="str">
        <f t="shared" si="18"/>
        <v>INSERT INTO grupos (id,matricula,grupo) values (3637,'008187','B 23');</v>
      </c>
    </row>
    <row r="640" spans="1:5" x14ac:dyDescent="0.35">
      <c r="A640">
        <v>3638</v>
      </c>
      <c r="B640" s="1" t="s">
        <v>765</v>
      </c>
      <c r="C640" s="1" t="s">
        <v>1431</v>
      </c>
      <c r="D640" t="str">
        <f t="shared" si="19"/>
        <v>3638,'008188','B 21B'</v>
      </c>
      <c r="E640" t="str">
        <f t="shared" si="18"/>
        <v>INSERT INTO grupos (id,matricula,grupo) values (3638,'008188','B 21B');</v>
      </c>
    </row>
    <row r="641" spans="1:5" x14ac:dyDescent="0.35">
      <c r="A641">
        <v>3639</v>
      </c>
      <c r="B641" s="1" t="s">
        <v>765</v>
      </c>
      <c r="C641" s="1" t="s">
        <v>1428</v>
      </c>
      <c r="D641" t="str">
        <f t="shared" si="19"/>
        <v>3639,'008188','B 222'</v>
      </c>
      <c r="E641" t="str">
        <f t="shared" si="18"/>
        <v>INSERT INTO grupos (id,matricula,grupo) values (3639,'008188','B 222');</v>
      </c>
    </row>
    <row r="642" spans="1:5" x14ac:dyDescent="0.35">
      <c r="A642">
        <v>3640</v>
      </c>
      <c r="B642" s="1" t="s">
        <v>766</v>
      </c>
      <c r="C642" s="1" t="s">
        <v>1437</v>
      </c>
      <c r="D642" t="str">
        <f t="shared" si="19"/>
        <v>3640,'008189','B 21A'</v>
      </c>
      <c r="E642" t="str">
        <f t="shared" ref="E642:E705" si="20">CONCATENATE($D$1,D642,");")</f>
        <v>INSERT INTO grupos (id,matricula,grupo) values (3640,'008189','B 21A');</v>
      </c>
    </row>
    <row r="643" spans="1:5" x14ac:dyDescent="0.35">
      <c r="A643">
        <v>3641</v>
      </c>
      <c r="B643" s="1" t="s">
        <v>766</v>
      </c>
      <c r="C643" s="1" t="s">
        <v>1428</v>
      </c>
      <c r="D643" t="str">
        <f t="shared" ref="D643:D706" si="21">CONCATENATE(A643,",",B643,",",C643,"")</f>
        <v>3641,'008189','B 222'</v>
      </c>
      <c r="E643" t="str">
        <f t="shared" si="20"/>
        <v>INSERT INTO grupos (id,matricula,grupo) values (3641,'008189','B 222');</v>
      </c>
    </row>
    <row r="644" spans="1:5" x14ac:dyDescent="0.35">
      <c r="A644">
        <v>3642</v>
      </c>
      <c r="B644" s="1" t="s">
        <v>767</v>
      </c>
      <c r="C644" s="1" t="s">
        <v>1436</v>
      </c>
      <c r="D644" t="str">
        <f t="shared" si="21"/>
        <v>3642,'008190','B 224'</v>
      </c>
      <c r="E644" t="str">
        <f t="shared" si="20"/>
        <v>INSERT INTO grupos (id,matricula,grupo) values (3642,'008190','B 224');</v>
      </c>
    </row>
    <row r="645" spans="1:5" x14ac:dyDescent="0.35">
      <c r="A645">
        <v>3643</v>
      </c>
      <c r="B645" s="1" t="s">
        <v>767</v>
      </c>
      <c r="C645" s="1" t="s">
        <v>1430</v>
      </c>
      <c r="D645" t="str">
        <f t="shared" si="21"/>
        <v>3643,'008190','B 22B'</v>
      </c>
      <c r="E645" t="str">
        <f t="shared" si="20"/>
        <v>INSERT INTO grupos (id,matricula,grupo) values (3643,'008190','B 22B');</v>
      </c>
    </row>
    <row r="646" spans="1:5" x14ac:dyDescent="0.35">
      <c r="A646">
        <v>3644</v>
      </c>
      <c r="B646" s="1" t="s">
        <v>767</v>
      </c>
      <c r="C646" s="1" t="s">
        <v>1434</v>
      </c>
      <c r="D646" t="str">
        <f t="shared" si="21"/>
        <v>3644,'008190','B4° 3B-II'</v>
      </c>
      <c r="E646" t="str">
        <f t="shared" si="20"/>
        <v>INSERT INTO grupos (id,matricula,grupo) values (3644,'008190','B4° 3B-II');</v>
      </c>
    </row>
    <row r="647" spans="1:5" x14ac:dyDescent="0.35">
      <c r="A647">
        <v>3645</v>
      </c>
      <c r="B647" s="1" t="s">
        <v>768</v>
      </c>
      <c r="C647" s="1" t="s">
        <v>1437</v>
      </c>
      <c r="D647" t="str">
        <f t="shared" si="21"/>
        <v>3645,'008191','B 21A'</v>
      </c>
      <c r="E647" t="str">
        <f t="shared" si="20"/>
        <v>INSERT INTO grupos (id,matricula,grupo) values (3645,'008191','B 21A');</v>
      </c>
    </row>
    <row r="648" spans="1:5" x14ac:dyDescent="0.35">
      <c r="A648">
        <v>3646</v>
      </c>
      <c r="B648" s="1" t="s">
        <v>768</v>
      </c>
      <c r="C648" s="1" t="s">
        <v>1428</v>
      </c>
      <c r="D648" t="str">
        <f t="shared" si="21"/>
        <v>3646,'008191','B 222'</v>
      </c>
      <c r="E648" t="str">
        <f t="shared" si="20"/>
        <v>INSERT INTO grupos (id,matricula,grupo) values (3646,'008191','B 222');</v>
      </c>
    </row>
    <row r="649" spans="1:5" x14ac:dyDescent="0.35">
      <c r="A649">
        <v>3647</v>
      </c>
      <c r="B649" s="1" t="s">
        <v>769</v>
      </c>
      <c r="C649" s="1" t="s">
        <v>1425</v>
      </c>
      <c r="D649" t="str">
        <f t="shared" si="21"/>
        <v>3647,'008192','B 223'</v>
      </c>
      <c r="E649" t="str">
        <f t="shared" si="20"/>
        <v>INSERT INTO grupos (id,matricula,grupo) values (3647,'008192','B 223');</v>
      </c>
    </row>
    <row r="650" spans="1:5" x14ac:dyDescent="0.35">
      <c r="A650">
        <v>3648</v>
      </c>
      <c r="B650" s="1" t="s">
        <v>769</v>
      </c>
      <c r="C650" s="1" t="s">
        <v>1426</v>
      </c>
      <c r="D650" t="str">
        <f t="shared" si="21"/>
        <v>3648,'008192','B 22A'</v>
      </c>
      <c r="E650" t="str">
        <f t="shared" si="20"/>
        <v>INSERT INTO grupos (id,matricula,grupo) values (3648,'008192','B 22A');</v>
      </c>
    </row>
    <row r="651" spans="1:5" x14ac:dyDescent="0.35">
      <c r="A651">
        <v>3649</v>
      </c>
      <c r="B651" s="1" t="s">
        <v>769</v>
      </c>
      <c r="C651" s="1" t="s">
        <v>1434</v>
      </c>
      <c r="D651" t="str">
        <f t="shared" si="21"/>
        <v>3649,'008192','B4° 3B-II'</v>
      </c>
      <c r="E651" t="str">
        <f t="shared" si="20"/>
        <v>INSERT INTO grupos (id,matricula,grupo) values (3649,'008192','B4° 3B-II');</v>
      </c>
    </row>
    <row r="652" spans="1:5" x14ac:dyDescent="0.35">
      <c r="A652">
        <v>3650</v>
      </c>
      <c r="B652" s="1" t="s">
        <v>770</v>
      </c>
      <c r="C652" s="1" t="s">
        <v>1428</v>
      </c>
      <c r="D652" t="str">
        <f t="shared" si="21"/>
        <v>3650,'008193','B 222'</v>
      </c>
      <c r="E652" t="str">
        <f t="shared" si="20"/>
        <v>INSERT INTO grupos (id,matricula,grupo) values (3650,'008193','B 222');</v>
      </c>
    </row>
    <row r="653" spans="1:5" x14ac:dyDescent="0.35">
      <c r="A653">
        <v>3651</v>
      </c>
      <c r="B653" s="1" t="s">
        <v>770</v>
      </c>
      <c r="C653" s="1" t="s">
        <v>1433</v>
      </c>
      <c r="D653" t="str">
        <f t="shared" si="21"/>
        <v>3651,'008193','B 23'</v>
      </c>
      <c r="E653" t="str">
        <f t="shared" si="20"/>
        <v>INSERT INTO grupos (id,matricula,grupo) values (3651,'008193','B 23');</v>
      </c>
    </row>
    <row r="654" spans="1:5" x14ac:dyDescent="0.35">
      <c r="A654">
        <v>3652</v>
      </c>
      <c r="B654" s="1" t="s">
        <v>771</v>
      </c>
      <c r="C654" s="1" t="s">
        <v>1431</v>
      </c>
      <c r="D654" t="str">
        <f t="shared" si="21"/>
        <v>3652,'008194','B 21B'</v>
      </c>
      <c r="E654" t="str">
        <f t="shared" si="20"/>
        <v>INSERT INTO grupos (id,matricula,grupo) values (3652,'008194','B 21B');</v>
      </c>
    </row>
    <row r="655" spans="1:5" x14ac:dyDescent="0.35">
      <c r="A655">
        <v>3653</v>
      </c>
      <c r="B655" s="1" t="s">
        <v>771</v>
      </c>
      <c r="C655" s="1" t="s">
        <v>1425</v>
      </c>
      <c r="D655" t="str">
        <f t="shared" si="21"/>
        <v>3653,'008194','B 223'</v>
      </c>
      <c r="E655" t="str">
        <f t="shared" si="20"/>
        <v>INSERT INTO grupos (id,matricula,grupo) values (3653,'008194','B 223');</v>
      </c>
    </row>
    <row r="656" spans="1:5" x14ac:dyDescent="0.35">
      <c r="A656">
        <v>3654</v>
      </c>
      <c r="B656" s="1" t="s">
        <v>771</v>
      </c>
      <c r="C656" s="1" t="s">
        <v>1438</v>
      </c>
      <c r="D656" t="str">
        <f t="shared" si="21"/>
        <v>3654,'008194','B4° 3A-II'</v>
      </c>
      <c r="E656" t="str">
        <f t="shared" si="20"/>
        <v>INSERT INTO grupos (id,matricula,grupo) values (3654,'008194','B4° 3A-II');</v>
      </c>
    </row>
    <row r="657" spans="1:5" x14ac:dyDescent="0.35">
      <c r="A657">
        <v>3655</v>
      </c>
      <c r="B657" s="1" t="s">
        <v>772</v>
      </c>
      <c r="C657" s="1" t="s">
        <v>1429</v>
      </c>
      <c r="D657" t="str">
        <f t="shared" si="21"/>
        <v>3655,'008197','B 225'</v>
      </c>
      <c r="E657" t="str">
        <f t="shared" si="20"/>
        <v>INSERT INTO grupos (id,matricula,grupo) values (3655,'008197','B 225');</v>
      </c>
    </row>
    <row r="658" spans="1:5" x14ac:dyDescent="0.35">
      <c r="A658">
        <v>3656</v>
      </c>
      <c r="B658" s="1" t="s">
        <v>772</v>
      </c>
      <c r="C658" s="1" t="s">
        <v>1426</v>
      </c>
      <c r="D658" t="str">
        <f t="shared" si="21"/>
        <v>3656,'008197','B 22A'</v>
      </c>
      <c r="E658" t="str">
        <f t="shared" si="20"/>
        <v>INSERT INTO grupos (id,matricula,grupo) values (3656,'008197','B 22A');</v>
      </c>
    </row>
    <row r="659" spans="1:5" x14ac:dyDescent="0.35">
      <c r="A659">
        <v>3657</v>
      </c>
      <c r="B659" s="1" t="s">
        <v>772</v>
      </c>
      <c r="C659" s="1" t="s">
        <v>1438</v>
      </c>
      <c r="D659" t="str">
        <f t="shared" si="21"/>
        <v>3657,'008197','B4° 3A-II'</v>
      </c>
      <c r="E659" t="str">
        <f t="shared" si="20"/>
        <v>INSERT INTO grupos (id,matricula,grupo) values (3657,'008197','B4° 3A-II');</v>
      </c>
    </row>
    <row r="660" spans="1:5" x14ac:dyDescent="0.35">
      <c r="A660">
        <v>3658</v>
      </c>
      <c r="B660" s="1" t="s">
        <v>773</v>
      </c>
      <c r="C660" s="1" t="s">
        <v>1428</v>
      </c>
      <c r="D660" t="str">
        <f t="shared" si="21"/>
        <v>3658,'008198','B 222'</v>
      </c>
      <c r="E660" t="str">
        <f t="shared" si="20"/>
        <v>INSERT INTO grupos (id,matricula,grupo) values (3658,'008198','B 222');</v>
      </c>
    </row>
    <row r="661" spans="1:5" x14ac:dyDescent="0.35">
      <c r="A661">
        <v>3659</v>
      </c>
      <c r="B661" s="1" t="s">
        <v>773</v>
      </c>
      <c r="C661" s="1" t="s">
        <v>1426</v>
      </c>
      <c r="D661" t="str">
        <f t="shared" si="21"/>
        <v>3659,'008198','B 22A'</v>
      </c>
      <c r="E661" t="str">
        <f t="shared" si="20"/>
        <v>INSERT INTO grupos (id,matricula,grupo) values (3659,'008198','B 22A');</v>
      </c>
    </row>
    <row r="662" spans="1:5" x14ac:dyDescent="0.35">
      <c r="A662">
        <v>3660</v>
      </c>
      <c r="B662" s="1" t="s">
        <v>774</v>
      </c>
      <c r="C662" s="1" t="s">
        <v>1437</v>
      </c>
      <c r="D662" t="str">
        <f t="shared" si="21"/>
        <v>3660,'008200','B 21A'</v>
      </c>
      <c r="E662" t="str">
        <f t="shared" si="20"/>
        <v>INSERT INTO grupos (id,matricula,grupo) values (3660,'008200','B 21A');</v>
      </c>
    </row>
    <row r="663" spans="1:5" x14ac:dyDescent="0.35">
      <c r="A663">
        <v>3661</v>
      </c>
      <c r="B663" s="1" t="s">
        <v>774</v>
      </c>
      <c r="C663" s="1" t="s">
        <v>1436</v>
      </c>
      <c r="D663" t="str">
        <f t="shared" si="21"/>
        <v>3661,'008200','B 224'</v>
      </c>
      <c r="E663" t="str">
        <f t="shared" si="20"/>
        <v>INSERT INTO grupos (id,matricula,grupo) values (3661,'008200','B 224');</v>
      </c>
    </row>
    <row r="664" spans="1:5" x14ac:dyDescent="0.35">
      <c r="A664">
        <v>3662</v>
      </c>
      <c r="B664" s="1" t="s">
        <v>774</v>
      </c>
      <c r="C664" s="1" t="s">
        <v>1438</v>
      </c>
      <c r="D664" t="str">
        <f t="shared" si="21"/>
        <v>3662,'008200','B4° 3A-II'</v>
      </c>
      <c r="E664" t="str">
        <f t="shared" si="20"/>
        <v>INSERT INTO grupos (id,matricula,grupo) values (3662,'008200','B4° 3A-II');</v>
      </c>
    </row>
    <row r="665" spans="1:5" x14ac:dyDescent="0.35">
      <c r="A665">
        <v>3663</v>
      </c>
      <c r="B665" s="1" t="s">
        <v>775</v>
      </c>
      <c r="C665" s="1" t="s">
        <v>1437</v>
      </c>
      <c r="D665" t="str">
        <f t="shared" si="21"/>
        <v>3663,'008201','B 21A'</v>
      </c>
      <c r="E665" t="str">
        <f t="shared" si="20"/>
        <v>INSERT INTO grupos (id,matricula,grupo) values (3663,'008201','B 21A');</v>
      </c>
    </row>
    <row r="666" spans="1:5" x14ac:dyDescent="0.35">
      <c r="A666">
        <v>3664</v>
      </c>
      <c r="B666" s="1" t="s">
        <v>775</v>
      </c>
      <c r="C666" s="1" t="s">
        <v>1428</v>
      </c>
      <c r="D666" t="str">
        <f t="shared" si="21"/>
        <v>3664,'008201','B 222'</v>
      </c>
      <c r="E666" t="str">
        <f t="shared" si="20"/>
        <v>INSERT INTO grupos (id,matricula,grupo) values (3664,'008201','B 222');</v>
      </c>
    </row>
    <row r="667" spans="1:5" x14ac:dyDescent="0.35">
      <c r="A667">
        <v>3665</v>
      </c>
      <c r="B667" s="1" t="s">
        <v>776</v>
      </c>
      <c r="C667" s="1" t="s">
        <v>1437</v>
      </c>
      <c r="D667" t="str">
        <f t="shared" si="21"/>
        <v>3665,'008202','B 21A'</v>
      </c>
      <c r="E667" t="str">
        <f t="shared" si="20"/>
        <v>INSERT INTO grupos (id,matricula,grupo) values (3665,'008202','B 21A');</v>
      </c>
    </row>
    <row r="668" spans="1:5" x14ac:dyDescent="0.35">
      <c r="A668">
        <v>3666</v>
      </c>
      <c r="B668" s="1" t="s">
        <v>776</v>
      </c>
      <c r="C668" s="1" t="s">
        <v>1429</v>
      </c>
      <c r="D668" t="str">
        <f t="shared" si="21"/>
        <v>3666,'008202','B 225'</v>
      </c>
      <c r="E668" t="str">
        <f t="shared" si="20"/>
        <v>INSERT INTO grupos (id,matricula,grupo) values (3666,'008202','B 225');</v>
      </c>
    </row>
    <row r="669" spans="1:5" x14ac:dyDescent="0.35">
      <c r="A669">
        <v>3667</v>
      </c>
      <c r="B669" s="1" t="s">
        <v>776</v>
      </c>
      <c r="C669" s="1" t="s">
        <v>1434</v>
      </c>
      <c r="D669" t="str">
        <f t="shared" si="21"/>
        <v>3667,'008202','B4° 3B-II'</v>
      </c>
      <c r="E669" t="str">
        <f t="shared" si="20"/>
        <v>INSERT INTO grupos (id,matricula,grupo) values (3667,'008202','B4° 3B-II');</v>
      </c>
    </row>
    <row r="670" spans="1:5" x14ac:dyDescent="0.35">
      <c r="A670">
        <v>3668</v>
      </c>
      <c r="B670" s="1" t="s">
        <v>777</v>
      </c>
      <c r="C670" s="1" t="s">
        <v>1431</v>
      </c>
      <c r="D670" t="str">
        <f t="shared" si="21"/>
        <v>3668,'008203','B 21B'</v>
      </c>
      <c r="E670" t="str">
        <f t="shared" si="20"/>
        <v>INSERT INTO grupos (id,matricula,grupo) values (3668,'008203','B 21B');</v>
      </c>
    </row>
    <row r="671" spans="1:5" x14ac:dyDescent="0.35">
      <c r="A671">
        <v>3669</v>
      </c>
      <c r="B671" s="1" t="s">
        <v>777</v>
      </c>
      <c r="C671" s="1" t="s">
        <v>1436</v>
      </c>
      <c r="D671" t="str">
        <f t="shared" si="21"/>
        <v>3669,'008203','B 224'</v>
      </c>
      <c r="E671" t="str">
        <f t="shared" si="20"/>
        <v>INSERT INTO grupos (id,matricula,grupo) values (3669,'008203','B 224');</v>
      </c>
    </row>
    <row r="672" spans="1:5" x14ac:dyDescent="0.35">
      <c r="A672">
        <v>3670</v>
      </c>
      <c r="B672" s="1" t="s">
        <v>777</v>
      </c>
      <c r="C672" s="1" t="s">
        <v>1434</v>
      </c>
      <c r="D672" t="str">
        <f t="shared" si="21"/>
        <v>3670,'008203','B4° 3B-II'</v>
      </c>
      <c r="E672" t="str">
        <f t="shared" si="20"/>
        <v>INSERT INTO grupos (id,matricula,grupo) values (3670,'008203','B4° 3B-II');</v>
      </c>
    </row>
    <row r="673" spans="1:5" x14ac:dyDescent="0.35">
      <c r="A673">
        <v>3671</v>
      </c>
      <c r="B673" s="1" t="s">
        <v>778</v>
      </c>
      <c r="C673" s="1" t="s">
        <v>1425</v>
      </c>
      <c r="D673" t="str">
        <f t="shared" si="21"/>
        <v>3671,'008205','B 223'</v>
      </c>
      <c r="E673" t="str">
        <f t="shared" si="20"/>
        <v>INSERT INTO grupos (id,matricula,grupo) values (3671,'008205','B 223');</v>
      </c>
    </row>
    <row r="674" spans="1:5" x14ac:dyDescent="0.35">
      <c r="A674">
        <v>3672</v>
      </c>
      <c r="B674" s="1" t="s">
        <v>778</v>
      </c>
      <c r="C674" s="1" t="s">
        <v>1426</v>
      </c>
      <c r="D674" t="str">
        <f t="shared" si="21"/>
        <v>3672,'008205','B 22A'</v>
      </c>
      <c r="E674" t="str">
        <f t="shared" si="20"/>
        <v>INSERT INTO grupos (id,matricula,grupo) values (3672,'008205','B 22A');</v>
      </c>
    </row>
    <row r="675" spans="1:5" x14ac:dyDescent="0.35">
      <c r="A675">
        <v>3673</v>
      </c>
      <c r="B675" s="1" t="s">
        <v>778</v>
      </c>
      <c r="C675" s="1" t="s">
        <v>1427</v>
      </c>
      <c r="D675" t="str">
        <f t="shared" si="21"/>
        <v>3673,'008205','B4° 4A-II'</v>
      </c>
      <c r="E675" t="str">
        <f t="shared" si="20"/>
        <v>INSERT INTO grupos (id,matricula,grupo) values (3673,'008205','B4° 4A-II');</v>
      </c>
    </row>
    <row r="676" spans="1:5" x14ac:dyDescent="0.35">
      <c r="A676">
        <v>3674</v>
      </c>
      <c r="B676" s="1" t="s">
        <v>779</v>
      </c>
      <c r="C676" s="1" t="s">
        <v>1436</v>
      </c>
      <c r="D676" t="str">
        <f t="shared" si="21"/>
        <v>3674,'008206','B 224'</v>
      </c>
      <c r="E676" t="str">
        <f t="shared" si="20"/>
        <v>INSERT INTO grupos (id,matricula,grupo) values (3674,'008206','B 224');</v>
      </c>
    </row>
    <row r="677" spans="1:5" x14ac:dyDescent="0.35">
      <c r="A677">
        <v>3675</v>
      </c>
      <c r="B677" s="1" t="s">
        <v>779</v>
      </c>
      <c r="C677" s="1" t="s">
        <v>1433</v>
      </c>
      <c r="D677" t="str">
        <f t="shared" si="21"/>
        <v>3675,'008206','B 23'</v>
      </c>
      <c r="E677" t="str">
        <f t="shared" si="20"/>
        <v>INSERT INTO grupos (id,matricula,grupo) values (3675,'008206','B 23');</v>
      </c>
    </row>
    <row r="678" spans="1:5" x14ac:dyDescent="0.35">
      <c r="A678">
        <v>3676</v>
      </c>
      <c r="B678" s="1" t="s">
        <v>779</v>
      </c>
      <c r="C678" s="1" t="s">
        <v>1438</v>
      </c>
      <c r="D678" t="str">
        <f t="shared" si="21"/>
        <v>3676,'008206','B4° 3A-II'</v>
      </c>
      <c r="E678" t="str">
        <f t="shared" si="20"/>
        <v>INSERT INTO grupos (id,matricula,grupo) values (3676,'008206','B4° 3A-II');</v>
      </c>
    </row>
    <row r="679" spans="1:5" x14ac:dyDescent="0.35">
      <c r="A679">
        <v>3677</v>
      </c>
      <c r="B679" s="1" t="s">
        <v>780</v>
      </c>
      <c r="C679" s="1" t="s">
        <v>1429</v>
      </c>
      <c r="D679" t="str">
        <f t="shared" si="21"/>
        <v>3677,'008208','B 225'</v>
      </c>
      <c r="E679" t="str">
        <f t="shared" si="20"/>
        <v>INSERT INTO grupos (id,matricula,grupo) values (3677,'008208','B 225');</v>
      </c>
    </row>
    <row r="680" spans="1:5" x14ac:dyDescent="0.35">
      <c r="A680">
        <v>3678</v>
      </c>
      <c r="B680" s="1" t="s">
        <v>780</v>
      </c>
      <c r="C680" s="1" t="s">
        <v>1435</v>
      </c>
      <c r="D680" t="str">
        <f t="shared" si="21"/>
        <v>3678,'008208','B 24'</v>
      </c>
      <c r="E680" t="str">
        <f t="shared" si="20"/>
        <v>INSERT INTO grupos (id,matricula,grupo) values (3678,'008208','B 24');</v>
      </c>
    </row>
    <row r="681" spans="1:5" x14ac:dyDescent="0.35">
      <c r="A681">
        <v>3679</v>
      </c>
      <c r="B681" s="1" t="s">
        <v>780</v>
      </c>
      <c r="C681" s="1" t="s">
        <v>1434</v>
      </c>
      <c r="D681" t="str">
        <f t="shared" si="21"/>
        <v>3679,'008208','B4° 3B-II'</v>
      </c>
      <c r="E681" t="str">
        <f t="shared" si="20"/>
        <v>INSERT INTO grupos (id,matricula,grupo) values (3679,'008208','B4° 3B-II');</v>
      </c>
    </row>
    <row r="682" spans="1:5" x14ac:dyDescent="0.35">
      <c r="A682">
        <v>3680</v>
      </c>
      <c r="B682" s="1" t="s">
        <v>781</v>
      </c>
      <c r="C682" s="1" t="s">
        <v>1428</v>
      </c>
      <c r="D682" t="str">
        <f t="shared" si="21"/>
        <v>3680,'008210','B 222'</v>
      </c>
      <c r="E682" t="str">
        <f t="shared" si="20"/>
        <v>INSERT INTO grupos (id,matricula,grupo) values (3680,'008210','B 222');</v>
      </c>
    </row>
    <row r="683" spans="1:5" x14ac:dyDescent="0.35">
      <c r="A683">
        <v>3681</v>
      </c>
      <c r="B683" s="1" t="s">
        <v>781</v>
      </c>
      <c r="C683" s="1" t="s">
        <v>1426</v>
      </c>
      <c r="D683" t="str">
        <f t="shared" si="21"/>
        <v>3681,'008210','B 22A'</v>
      </c>
      <c r="E683" t="str">
        <f t="shared" si="20"/>
        <v>INSERT INTO grupos (id,matricula,grupo) values (3681,'008210','B 22A');</v>
      </c>
    </row>
    <row r="684" spans="1:5" x14ac:dyDescent="0.35">
      <c r="A684">
        <v>3682</v>
      </c>
      <c r="B684" s="1" t="s">
        <v>782</v>
      </c>
      <c r="C684" s="1" t="s">
        <v>1425</v>
      </c>
      <c r="D684" t="str">
        <f t="shared" si="21"/>
        <v>3682,'008211','B 223'</v>
      </c>
      <c r="E684" t="str">
        <f t="shared" si="20"/>
        <v>INSERT INTO grupos (id,matricula,grupo) values (3682,'008211','B 223');</v>
      </c>
    </row>
    <row r="685" spans="1:5" x14ac:dyDescent="0.35">
      <c r="A685">
        <v>3683</v>
      </c>
      <c r="B685" s="1" t="s">
        <v>782</v>
      </c>
      <c r="C685" s="1" t="s">
        <v>1433</v>
      </c>
      <c r="D685" t="str">
        <f t="shared" si="21"/>
        <v>3683,'008211','B 23'</v>
      </c>
      <c r="E685" t="str">
        <f t="shared" si="20"/>
        <v>INSERT INTO grupos (id,matricula,grupo) values (3683,'008211','B 23');</v>
      </c>
    </row>
    <row r="686" spans="1:5" x14ac:dyDescent="0.35">
      <c r="A686">
        <v>3684</v>
      </c>
      <c r="B686" s="1" t="s">
        <v>782</v>
      </c>
      <c r="C686" s="1" t="s">
        <v>1427</v>
      </c>
      <c r="D686" t="str">
        <f t="shared" si="21"/>
        <v>3684,'008211','B4° 4A-II'</v>
      </c>
      <c r="E686" t="str">
        <f t="shared" si="20"/>
        <v>INSERT INTO grupos (id,matricula,grupo) values (3684,'008211','B4° 4A-II');</v>
      </c>
    </row>
    <row r="687" spans="1:5" x14ac:dyDescent="0.35">
      <c r="A687">
        <v>3685</v>
      </c>
      <c r="B687" s="1" t="s">
        <v>783</v>
      </c>
      <c r="C687" s="1" t="s">
        <v>1437</v>
      </c>
      <c r="D687" t="str">
        <f t="shared" si="21"/>
        <v>3685,'008212','B 21A'</v>
      </c>
      <c r="E687" t="str">
        <f t="shared" si="20"/>
        <v>INSERT INTO grupos (id,matricula,grupo) values (3685,'008212','B 21A');</v>
      </c>
    </row>
    <row r="688" spans="1:5" x14ac:dyDescent="0.35">
      <c r="A688">
        <v>3686</v>
      </c>
      <c r="B688" s="1" t="s">
        <v>783</v>
      </c>
      <c r="C688" s="1" t="s">
        <v>1432</v>
      </c>
      <c r="D688" t="str">
        <f t="shared" si="21"/>
        <v>3686,'008212','B 221'</v>
      </c>
      <c r="E688" t="str">
        <f t="shared" si="20"/>
        <v>INSERT INTO grupos (id,matricula,grupo) values (3686,'008212','B 221');</v>
      </c>
    </row>
    <row r="689" spans="1:5" x14ac:dyDescent="0.35">
      <c r="A689">
        <v>3687</v>
      </c>
      <c r="B689" s="1" t="s">
        <v>784</v>
      </c>
      <c r="C689" s="1" t="s">
        <v>1425</v>
      </c>
      <c r="D689" t="str">
        <f t="shared" si="21"/>
        <v>3687,'008213','B 223'</v>
      </c>
      <c r="E689" t="str">
        <f t="shared" si="20"/>
        <v>INSERT INTO grupos (id,matricula,grupo) values (3687,'008213','B 223');</v>
      </c>
    </row>
    <row r="690" spans="1:5" x14ac:dyDescent="0.35">
      <c r="A690">
        <v>3688</v>
      </c>
      <c r="B690" s="1" t="s">
        <v>784</v>
      </c>
      <c r="C690" s="1" t="s">
        <v>1430</v>
      </c>
      <c r="D690" t="str">
        <f t="shared" si="21"/>
        <v>3688,'008213','B 22B'</v>
      </c>
      <c r="E690" t="str">
        <f t="shared" si="20"/>
        <v>INSERT INTO grupos (id,matricula,grupo) values (3688,'008213','B 22B');</v>
      </c>
    </row>
    <row r="691" spans="1:5" x14ac:dyDescent="0.35">
      <c r="A691">
        <v>3689</v>
      </c>
      <c r="B691" s="1" t="s">
        <v>784</v>
      </c>
      <c r="C691" s="1" t="s">
        <v>1438</v>
      </c>
      <c r="D691" t="str">
        <f t="shared" si="21"/>
        <v>3689,'008213','B4° 3A-II'</v>
      </c>
      <c r="E691" t="str">
        <f t="shared" si="20"/>
        <v>INSERT INTO grupos (id,matricula,grupo) values (3689,'008213','B4° 3A-II');</v>
      </c>
    </row>
    <row r="692" spans="1:5" x14ac:dyDescent="0.35">
      <c r="A692">
        <v>3690</v>
      </c>
      <c r="B692" s="1" t="s">
        <v>785</v>
      </c>
      <c r="C692" s="1" t="s">
        <v>1425</v>
      </c>
      <c r="D692" t="str">
        <f t="shared" si="21"/>
        <v>3690,'008214','B 223'</v>
      </c>
      <c r="E692" t="str">
        <f t="shared" si="20"/>
        <v>INSERT INTO grupos (id,matricula,grupo) values (3690,'008214','B 223');</v>
      </c>
    </row>
    <row r="693" spans="1:5" x14ac:dyDescent="0.35">
      <c r="A693">
        <v>3691</v>
      </c>
      <c r="B693" s="1" t="s">
        <v>785</v>
      </c>
      <c r="C693" s="1" t="s">
        <v>1426</v>
      </c>
      <c r="D693" t="str">
        <f t="shared" si="21"/>
        <v>3691,'008214','B 22A'</v>
      </c>
      <c r="E693" t="str">
        <f t="shared" si="20"/>
        <v>INSERT INTO grupos (id,matricula,grupo) values (3691,'008214','B 22A');</v>
      </c>
    </row>
    <row r="694" spans="1:5" x14ac:dyDescent="0.35">
      <c r="A694">
        <v>3692</v>
      </c>
      <c r="B694" s="1" t="s">
        <v>785</v>
      </c>
      <c r="C694" s="1" t="s">
        <v>1434</v>
      </c>
      <c r="D694" t="str">
        <f t="shared" si="21"/>
        <v>3692,'008214','B4° 3B-II'</v>
      </c>
      <c r="E694" t="str">
        <f t="shared" si="20"/>
        <v>INSERT INTO grupos (id,matricula,grupo) values (3692,'008214','B4° 3B-II');</v>
      </c>
    </row>
    <row r="695" spans="1:5" x14ac:dyDescent="0.35">
      <c r="A695">
        <v>3693</v>
      </c>
      <c r="B695" s="1" t="s">
        <v>786</v>
      </c>
      <c r="C695" s="1" t="s">
        <v>1428</v>
      </c>
      <c r="D695" t="str">
        <f t="shared" si="21"/>
        <v>3693,'008215','B 222'</v>
      </c>
      <c r="E695" t="str">
        <f t="shared" si="20"/>
        <v>INSERT INTO grupos (id,matricula,grupo) values (3693,'008215','B 222');</v>
      </c>
    </row>
    <row r="696" spans="1:5" x14ac:dyDescent="0.35">
      <c r="A696">
        <v>3694</v>
      </c>
      <c r="B696" s="1" t="s">
        <v>786</v>
      </c>
      <c r="C696" s="1" t="s">
        <v>1426</v>
      </c>
      <c r="D696" t="str">
        <f t="shared" si="21"/>
        <v>3694,'008215','B 22A'</v>
      </c>
      <c r="E696" t="str">
        <f t="shared" si="20"/>
        <v>INSERT INTO grupos (id,matricula,grupo) values (3694,'008215','B 22A');</v>
      </c>
    </row>
    <row r="697" spans="1:5" x14ac:dyDescent="0.35">
      <c r="A697">
        <v>3695</v>
      </c>
      <c r="B697" s="1" t="s">
        <v>787</v>
      </c>
      <c r="C697" s="1" t="s">
        <v>1437</v>
      </c>
      <c r="D697" t="str">
        <f t="shared" si="21"/>
        <v>3695,'008217','B 21A'</v>
      </c>
      <c r="E697" t="str">
        <f t="shared" si="20"/>
        <v>INSERT INTO grupos (id,matricula,grupo) values (3695,'008217','B 21A');</v>
      </c>
    </row>
    <row r="698" spans="1:5" x14ac:dyDescent="0.35">
      <c r="A698">
        <v>3696</v>
      </c>
      <c r="B698" s="1" t="s">
        <v>787</v>
      </c>
      <c r="C698" s="1" t="s">
        <v>1425</v>
      </c>
      <c r="D698" t="str">
        <f t="shared" si="21"/>
        <v>3696,'008217','B 223'</v>
      </c>
      <c r="E698" t="str">
        <f t="shared" si="20"/>
        <v>INSERT INTO grupos (id,matricula,grupo) values (3696,'008217','B 223');</v>
      </c>
    </row>
    <row r="699" spans="1:5" x14ac:dyDescent="0.35">
      <c r="A699">
        <v>3697</v>
      </c>
      <c r="B699" s="1" t="s">
        <v>787</v>
      </c>
      <c r="C699" s="1" t="s">
        <v>1434</v>
      </c>
      <c r="D699" t="str">
        <f t="shared" si="21"/>
        <v>3697,'008217','B4° 3B-II'</v>
      </c>
      <c r="E699" t="str">
        <f t="shared" si="20"/>
        <v>INSERT INTO grupos (id,matricula,grupo) values (3697,'008217','B4° 3B-II');</v>
      </c>
    </row>
    <row r="700" spans="1:5" x14ac:dyDescent="0.35">
      <c r="A700">
        <v>3698</v>
      </c>
      <c r="B700" s="1" t="s">
        <v>788</v>
      </c>
      <c r="C700" s="1" t="s">
        <v>1437</v>
      </c>
      <c r="D700" t="str">
        <f t="shared" si="21"/>
        <v>3698,'008219','B 21A'</v>
      </c>
      <c r="E700" t="str">
        <f t="shared" si="20"/>
        <v>INSERT INTO grupos (id,matricula,grupo) values (3698,'008219','B 21A');</v>
      </c>
    </row>
    <row r="701" spans="1:5" x14ac:dyDescent="0.35">
      <c r="A701">
        <v>3699</v>
      </c>
      <c r="B701" s="1" t="s">
        <v>788</v>
      </c>
      <c r="C701" s="1" t="s">
        <v>1429</v>
      </c>
      <c r="D701" t="str">
        <f t="shared" si="21"/>
        <v>3699,'008219','B 225'</v>
      </c>
      <c r="E701" t="str">
        <f t="shared" si="20"/>
        <v>INSERT INTO grupos (id,matricula,grupo) values (3699,'008219','B 225');</v>
      </c>
    </row>
    <row r="702" spans="1:5" x14ac:dyDescent="0.35">
      <c r="A702">
        <v>3700</v>
      </c>
      <c r="B702" s="1" t="s">
        <v>788</v>
      </c>
      <c r="C702" s="1" t="s">
        <v>1434</v>
      </c>
      <c r="D702" t="str">
        <f t="shared" si="21"/>
        <v>3700,'008219','B4° 3B-II'</v>
      </c>
      <c r="E702" t="str">
        <f t="shared" si="20"/>
        <v>INSERT INTO grupos (id,matricula,grupo) values (3700,'008219','B4° 3B-II');</v>
      </c>
    </row>
    <row r="703" spans="1:5" x14ac:dyDescent="0.35">
      <c r="A703">
        <v>3701</v>
      </c>
      <c r="B703" s="1" t="s">
        <v>789</v>
      </c>
      <c r="C703" s="1" t="s">
        <v>1429</v>
      </c>
      <c r="D703" t="str">
        <f t="shared" si="21"/>
        <v>3701,'008220','B 225'</v>
      </c>
      <c r="E703" t="str">
        <f t="shared" si="20"/>
        <v>INSERT INTO grupos (id,matricula,grupo) values (3701,'008220','B 225');</v>
      </c>
    </row>
    <row r="704" spans="1:5" x14ac:dyDescent="0.35">
      <c r="A704">
        <v>3702</v>
      </c>
      <c r="B704" s="1" t="s">
        <v>789</v>
      </c>
      <c r="C704" s="1" t="s">
        <v>1433</v>
      </c>
      <c r="D704" t="str">
        <f t="shared" si="21"/>
        <v>3702,'008220','B 23'</v>
      </c>
      <c r="E704" t="str">
        <f t="shared" si="20"/>
        <v>INSERT INTO grupos (id,matricula,grupo) values (3702,'008220','B 23');</v>
      </c>
    </row>
    <row r="705" spans="1:5" x14ac:dyDescent="0.35">
      <c r="A705">
        <v>3703</v>
      </c>
      <c r="B705" s="1" t="s">
        <v>789</v>
      </c>
      <c r="C705" s="1" t="s">
        <v>1434</v>
      </c>
      <c r="D705" t="str">
        <f t="shared" si="21"/>
        <v>3703,'008220','B4° 3B-II'</v>
      </c>
      <c r="E705" t="str">
        <f t="shared" si="20"/>
        <v>INSERT INTO grupos (id,matricula,grupo) values (3703,'008220','B4° 3B-II');</v>
      </c>
    </row>
    <row r="706" spans="1:5" x14ac:dyDescent="0.35">
      <c r="A706">
        <v>3704</v>
      </c>
      <c r="B706" s="1" t="s">
        <v>790</v>
      </c>
      <c r="C706" s="1" t="s">
        <v>1437</v>
      </c>
      <c r="D706" t="str">
        <f t="shared" si="21"/>
        <v>3704,'008222','B 21A'</v>
      </c>
      <c r="E706" t="str">
        <f t="shared" ref="E706:E769" si="22">CONCATENATE($D$1,D706,");")</f>
        <v>INSERT INTO grupos (id,matricula,grupo) values (3704,'008222','B 21A');</v>
      </c>
    </row>
    <row r="707" spans="1:5" x14ac:dyDescent="0.35">
      <c r="A707">
        <v>3705</v>
      </c>
      <c r="B707" s="1" t="s">
        <v>790</v>
      </c>
      <c r="C707" s="1" t="s">
        <v>1432</v>
      </c>
      <c r="D707" t="str">
        <f t="shared" ref="D707:D770" si="23">CONCATENATE(A707,",",B707,",",C707,"")</f>
        <v>3705,'008222','B 221'</v>
      </c>
      <c r="E707" t="str">
        <f t="shared" si="22"/>
        <v>INSERT INTO grupos (id,matricula,grupo) values (3705,'008222','B 221');</v>
      </c>
    </row>
    <row r="708" spans="1:5" x14ac:dyDescent="0.35">
      <c r="A708">
        <v>3706</v>
      </c>
      <c r="B708" s="1" t="s">
        <v>791</v>
      </c>
      <c r="C708" s="1" t="s">
        <v>1414</v>
      </c>
      <c r="D708" t="str">
        <f t="shared" si="23"/>
        <v>3706,'008223','B 32B'</v>
      </c>
      <c r="E708" t="str">
        <f t="shared" si="22"/>
        <v>INSERT INTO grupos (id,matricula,grupo) values (3706,'008223','B 32B');</v>
      </c>
    </row>
    <row r="709" spans="1:5" x14ac:dyDescent="0.35">
      <c r="A709">
        <v>3707</v>
      </c>
      <c r="B709" s="1" t="s">
        <v>791</v>
      </c>
      <c r="C709" s="1" t="s">
        <v>1415</v>
      </c>
      <c r="D709" t="str">
        <f t="shared" si="23"/>
        <v>3707,'008223','B MATFIN B'</v>
      </c>
      <c r="E709" t="str">
        <f t="shared" si="22"/>
        <v>INSERT INTO grupos (id,matricula,grupo) values (3707,'008223','B MATFIN B');</v>
      </c>
    </row>
    <row r="710" spans="1:5" x14ac:dyDescent="0.35">
      <c r="A710">
        <v>3708</v>
      </c>
      <c r="B710" s="1" t="s">
        <v>791</v>
      </c>
      <c r="C710" s="1" t="s">
        <v>1404</v>
      </c>
      <c r="D710" t="str">
        <f t="shared" si="23"/>
        <v>3708,'008223','B334'</v>
      </c>
      <c r="E710" t="str">
        <f t="shared" si="22"/>
        <v>INSERT INTO grupos (id,matricula,grupo) values (3708,'008223','B334');</v>
      </c>
    </row>
    <row r="711" spans="1:5" x14ac:dyDescent="0.35">
      <c r="A711">
        <v>3709</v>
      </c>
      <c r="B711" s="1" t="s">
        <v>791</v>
      </c>
      <c r="C711" s="1" t="s">
        <v>1420</v>
      </c>
      <c r="D711" t="str">
        <f t="shared" si="23"/>
        <v>3709,'008223','B6° 3A-II2'</v>
      </c>
      <c r="E711" t="str">
        <f t="shared" si="22"/>
        <v>INSERT INTO grupos (id,matricula,grupo) values (3709,'008223','B6° 3A-II2');</v>
      </c>
    </row>
    <row r="712" spans="1:5" x14ac:dyDescent="0.35">
      <c r="A712">
        <v>3710</v>
      </c>
      <c r="B712" s="1" t="s">
        <v>792</v>
      </c>
      <c r="C712" s="1" t="s">
        <v>1410</v>
      </c>
      <c r="D712" t="str">
        <f t="shared" si="23"/>
        <v>3710,'008224','B 31A'</v>
      </c>
      <c r="E712" t="str">
        <f t="shared" si="22"/>
        <v>INSERT INTO grupos (id,matricula,grupo) values (3710,'008224','B 31A');</v>
      </c>
    </row>
    <row r="713" spans="1:5" x14ac:dyDescent="0.35">
      <c r="A713">
        <v>3711</v>
      </c>
      <c r="B713" s="1" t="s">
        <v>792</v>
      </c>
      <c r="C713" s="1" t="s">
        <v>1412</v>
      </c>
      <c r="D713" t="str">
        <f t="shared" si="23"/>
        <v>3711,'008224','B 333'</v>
      </c>
      <c r="E713" t="str">
        <f t="shared" si="22"/>
        <v>INSERT INTO grupos (id,matricula,grupo) values (3711,'008224','B 333');</v>
      </c>
    </row>
    <row r="714" spans="1:5" x14ac:dyDescent="0.35">
      <c r="A714">
        <v>3712</v>
      </c>
      <c r="B714" s="1" t="s">
        <v>792</v>
      </c>
      <c r="C714" s="1" t="s">
        <v>1411</v>
      </c>
      <c r="D714" t="str">
        <f t="shared" si="23"/>
        <v>3712,'008224','B ESTADISA'</v>
      </c>
      <c r="E714" t="str">
        <f t="shared" si="22"/>
        <v>INSERT INTO grupos (id,matricula,grupo) values (3712,'008224','B ESTADISA');</v>
      </c>
    </row>
    <row r="715" spans="1:5" x14ac:dyDescent="0.35">
      <c r="A715">
        <v>3713</v>
      </c>
      <c r="B715" s="1" t="s">
        <v>792</v>
      </c>
      <c r="C715" s="1" t="s">
        <v>1413</v>
      </c>
      <c r="D715" t="str">
        <f t="shared" si="23"/>
        <v>3713,'008224','B6° 4A-II1'</v>
      </c>
      <c r="E715" t="str">
        <f t="shared" si="22"/>
        <v>INSERT INTO grupos (id,matricula,grupo) values (3713,'008224','B6° 4A-II1');</v>
      </c>
    </row>
    <row r="716" spans="1:5" x14ac:dyDescent="0.35">
      <c r="A716">
        <v>3714</v>
      </c>
      <c r="B716" s="1" t="s">
        <v>793</v>
      </c>
      <c r="C716" s="1" t="s">
        <v>1431</v>
      </c>
      <c r="D716" t="str">
        <f t="shared" si="23"/>
        <v>3714,'008225','B 21B'</v>
      </c>
      <c r="E716" t="str">
        <f t="shared" si="22"/>
        <v>INSERT INTO grupos (id,matricula,grupo) values (3714,'008225','B 21B');</v>
      </c>
    </row>
    <row r="717" spans="1:5" x14ac:dyDescent="0.35">
      <c r="A717">
        <v>3715</v>
      </c>
      <c r="B717" s="1" t="s">
        <v>793</v>
      </c>
      <c r="C717" s="1" t="s">
        <v>1436</v>
      </c>
      <c r="D717" t="str">
        <f t="shared" si="23"/>
        <v>3715,'008225','B 224'</v>
      </c>
      <c r="E717" t="str">
        <f t="shared" si="22"/>
        <v>INSERT INTO grupos (id,matricula,grupo) values (3715,'008225','B 224');</v>
      </c>
    </row>
    <row r="718" spans="1:5" x14ac:dyDescent="0.35">
      <c r="A718">
        <v>3716</v>
      </c>
      <c r="B718" s="1" t="s">
        <v>793</v>
      </c>
      <c r="C718" s="1" t="s">
        <v>1438</v>
      </c>
      <c r="D718" t="str">
        <f t="shared" si="23"/>
        <v>3716,'008225','B4° 3A-II'</v>
      </c>
      <c r="E718" t="str">
        <f t="shared" si="22"/>
        <v>INSERT INTO grupos (id,matricula,grupo) values (3716,'008225','B4° 3A-II');</v>
      </c>
    </row>
    <row r="719" spans="1:5" x14ac:dyDescent="0.35">
      <c r="A719">
        <v>3717</v>
      </c>
      <c r="B719" s="1" t="s">
        <v>794</v>
      </c>
      <c r="C719" s="1" t="s">
        <v>1436</v>
      </c>
      <c r="D719" t="str">
        <f t="shared" si="23"/>
        <v>3717,'008226','B 224'</v>
      </c>
      <c r="E719" t="str">
        <f t="shared" si="22"/>
        <v>INSERT INTO grupos (id,matricula,grupo) values (3717,'008226','B 224');</v>
      </c>
    </row>
    <row r="720" spans="1:5" x14ac:dyDescent="0.35">
      <c r="A720">
        <v>3718</v>
      </c>
      <c r="B720" s="1" t="s">
        <v>794</v>
      </c>
      <c r="C720" s="1" t="s">
        <v>1433</v>
      </c>
      <c r="D720" t="str">
        <f t="shared" si="23"/>
        <v>3718,'008226','B 23'</v>
      </c>
      <c r="E720" t="str">
        <f t="shared" si="22"/>
        <v>INSERT INTO grupos (id,matricula,grupo) values (3718,'008226','B 23');</v>
      </c>
    </row>
    <row r="721" spans="1:5" x14ac:dyDescent="0.35">
      <c r="A721">
        <v>3719</v>
      </c>
      <c r="B721" s="1" t="s">
        <v>794</v>
      </c>
      <c r="C721" s="1" t="s">
        <v>1434</v>
      </c>
      <c r="D721" t="str">
        <f t="shared" si="23"/>
        <v>3719,'008226','B4° 3B-II'</v>
      </c>
      <c r="E721" t="str">
        <f t="shared" si="22"/>
        <v>INSERT INTO grupos (id,matricula,grupo) values (3719,'008226','B4° 3B-II');</v>
      </c>
    </row>
    <row r="722" spans="1:5" x14ac:dyDescent="0.35">
      <c r="A722">
        <v>3720</v>
      </c>
      <c r="B722" s="1" t="s">
        <v>795</v>
      </c>
      <c r="C722" s="1" t="s">
        <v>1425</v>
      </c>
      <c r="D722" t="str">
        <f t="shared" si="23"/>
        <v>3720,'008227','B 223'</v>
      </c>
      <c r="E722" t="str">
        <f t="shared" si="22"/>
        <v>INSERT INTO grupos (id,matricula,grupo) values (3720,'008227','B 223');</v>
      </c>
    </row>
    <row r="723" spans="1:5" x14ac:dyDescent="0.35">
      <c r="A723">
        <v>3721</v>
      </c>
      <c r="B723" s="1" t="s">
        <v>795</v>
      </c>
      <c r="C723" s="1" t="s">
        <v>1430</v>
      </c>
      <c r="D723" t="str">
        <f t="shared" si="23"/>
        <v>3721,'008227','B 22B'</v>
      </c>
      <c r="E723" t="str">
        <f t="shared" si="22"/>
        <v>INSERT INTO grupos (id,matricula,grupo) values (3721,'008227','B 22B');</v>
      </c>
    </row>
    <row r="724" spans="1:5" x14ac:dyDescent="0.35">
      <c r="A724">
        <v>3722</v>
      </c>
      <c r="B724" s="1" t="s">
        <v>795</v>
      </c>
      <c r="C724" s="1" t="s">
        <v>1434</v>
      </c>
      <c r="D724" t="str">
        <f t="shared" si="23"/>
        <v>3722,'008227','B4° 3B-II'</v>
      </c>
      <c r="E724" t="str">
        <f t="shared" si="22"/>
        <v>INSERT INTO grupos (id,matricula,grupo) values (3722,'008227','B4° 3B-II');</v>
      </c>
    </row>
    <row r="725" spans="1:5" x14ac:dyDescent="0.35">
      <c r="A725">
        <v>3723</v>
      </c>
      <c r="B725" s="1" t="s">
        <v>796</v>
      </c>
      <c r="C725" s="1" t="s">
        <v>1431</v>
      </c>
      <c r="D725" t="str">
        <f t="shared" si="23"/>
        <v>3723,'008229','B 21B'</v>
      </c>
      <c r="E725" t="str">
        <f t="shared" si="22"/>
        <v>INSERT INTO grupos (id,matricula,grupo) values (3723,'008229','B 21B');</v>
      </c>
    </row>
    <row r="726" spans="1:5" x14ac:dyDescent="0.35">
      <c r="A726">
        <v>3724</v>
      </c>
      <c r="B726" s="1" t="s">
        <v>796</v>
      </c>
      <c r="C726" s="1" t="s">
        <v>1436</v>
      </c>
      <c r="D726" t="str">
        <f t="shared" si="23"/>
        <v>3724,'008229','B 224'</v>
      </c>
      <c r="E726" t="str">
        <f t="shared" si="22"/>
        <v>INSERT INTO grupos (id,matricula,grupo) values (3724,'008229','B 224');</v>
      </c>
    </row>
    <row r="727" spans="1:5" x14ac:dyDescent="0.35">
      <c r="A727">
        <v>3725</v>
      </c>
      <c r="B727" s="1" t="s">
        <v>796</v>
      </c>
      <c r="C727" s="1" t="s">
        <v>1427</v>
      </c>
      <c r="D727" t="str">
        <f t="shared" si="23"/>
        <v>3725,'008229','B4° 4A-II'</v>
      </c>
      <c r="E727" t="str">
        <f t="shared" si="22"/>
        <v>INSERT INTO grupos (id,matricula,grupo) values (3725,'008229','B4° 4A-II');</v>
      </c>
    </row>
    <row r="728" spans="1:5" x14ac:dyDescent="0.35">
      <c r="A728">
        <v>3726</v>
      </c>
      <c r="B728" s="1" t="s">
        <v>797</v>
      </c>
      <c r="C728" s="1" t="s">
        <v>1432</v>
      </c>
      <c r="D728" t="str">
        <f t="shared" si="23"/>
        <v>3726,'008230','B 221'</v>
      </c>
      <c r="E728" t="str">
        <f t="shared" si="22"/>
        <v>INSERT INTO grupos (id,matricula,grupo) values (3726,'008230','B 221');</v>
      </c>
    </row>
    <row r="729" spans="1:5" x14ac:dyDescent="0.35">
      <c r="A729">
        <v>3727</v>
      </c>
      <c r="B729" s="1" t="s">
        <v>797</v>
      </c>
      <c r="C729" s="1" t="s">
        <v>1426</v>
      </c>
      <c r="D729" t="str">
        <f t="shared" si="23"/>
        <v>3727,'008230','B 22A'</v>
      </c>
      <c r="E729" t="str">
        <f t="shared" si="22"/>
        <v>INSERT INTO grupos (id,matricula,grupo) values (3727,'008230','B 22A');</v>
      </c>
    </row>
    <row r="730" spans="1:5" x14ac:dyDescent="0.35">
      <c r="A730">
        <v>3728</v>
      </c>
      <c r="B730" s="1" t="s">
        <v>798</v>
      </c>
      <c r="C730" s="1" t="s">
        <v>1436</v>
      </c>
      <c r="D730" t="str">
        <f t="shared" si="23"/>
        <v>3728,'008231','B 224'</v>
      </c>
      <c r="E730" t="str">
        <f t="shared" si="22"/>
        <v>INSERT INTO grupos (id,matricula,grupo) values (3728,'008231','B 224');</v>
      </c>
    </row>
    <row r="731" spans="1:5" x14ac:dyDescent="0.35">
      <c r="A731">
        <v>3729</v>
      </c>
      <c r="B731" s="1" t="s">
        <v>798</v>
      </c>
      <c r="C731" s="1" t="s">
        <v>1433</v>
      </c>
      <c r="D731" t="str">
        <f t="shared" si="23"/>
        <v>3729,'008231','B 23'</v>
      </c>
      <c r="E731" t="str">
        <f t="shared" si="22"/>
        <v>INSERT INTO grupos (id,matricula,grupo) values (3729,'008231','B 23');</v>
      </c>
    </row>
    <row r="732" spans="1:5" x14ac:dyDescent="0.35">
      <c r="A732">
        <v>3730</v>
      </c>
      <c r="B732" s="1" t="s">
        <v>798</v>
      </c>
      <c r="C732" s="1" t="s">
        <v>1438</v>
      </c>
      <c r="D732" t="str">
        <f t="shared" si="23"/>
        <v>3730,'008231','B4° 3A-II'</v>
      </c>
      <c r="E732" t="str">
        <f t="shared" si="22"/>
        <v>INSERT INTO grupos (id,matricula,grupo) values (3730,'008231','B4° 3A-II');</v>
      </c>
    </row>
    <row r="733" spans="1:5" x14ac:dyDescent="0.35">
      <c r="A733">
        <v>3731</v>
      </c>
      <c r="B733" s="1" t="s">
        <v>799</v>
      </c>
      <c r="C733" s="1" t="s">
        <v>1429</v>
      </c>
      <c r="D733" t="str">
        <f t="shared" si="23"/>
        <v>3731,'008232','B 225'</v>
      </c>
      <c r="E733" t="str">
        <f t="shared" si="22"/>
        <v>INSERT INTO grupos (id,matricula,grupo) values (3731,'008232','B 225');</v>
      </c>
    </row>
    <row r="734" spans="1:5" x14ac:dyDescent="0.35">
      <c r="A734">
        <v>3732</v>
      </c>
      <c r="B734" s="1" t="s">
        <v>799</v>
      </c>
      <c r="C734" s="1" t="s">
        <v>1430</v>
      </c>
      <c r="D734" t="str">
        <f t="shared" si="23"/>
        <v>3732,'008232','B 22B'</v>
      </c>
      <c r="E734" t="str">
        <f t="shared" si="22"/>
        <v>INSERT INTO grupos (id,matricula,grupo) values (3732,'008232','B 22B');</v>
      </c>
    </row>
    <row r="735" spans="1:5" x14ac:dyDescent="0.35">
      <c r="A735">
        <v>3733</v>
      </c>
      <c r="B735" s="1" t="s">
        <v>799</v>
      </c>
      <c r="C735" s="1" t="s">
        <v>1434</v>
      </c>
      <c r="D735" t="str">
        <f t="shared" si="23"/>
        <v>3733,'008232','B4° 3B-II'</v>
      </c>
      <c r="E735" t="str">
        <f t="shared" si="22"/>
        <v>INSERT INTO grupos (id,matricula,grupo) values (3733,'008232','B4° 3B-II');</v>
      </c>
    </row>
    <row r="736" spans="1:5" x14ac:dyDescent="0.35">
      <c r="A736">
        <v>3734</v>
      </c>
      <c r="B736" s="1" t="s">
        <v>800</v>
      </c>
      <c r="C736" s="1" t="s">
        <v>1425</v>
      </c>
      <c r="D736" t="str">
        <f t="shared" si="23"/>
        <v>3734,'008233','B 223'</v>
      </c>
      <c r="E736" t="str">
        <f t="shared" si="22"/>
        <v>INSERT INTO grupos (id,matricula,grupo) values (3734,'008233','B 223');</v>
      </c>
    </row>
    <row r="737" spans="1:5" x14ac:dyDescent="0.35">
      <c r="A737">
        <v>3735</v>
      </c>
      <c r="B737" s="1" t="s">
        <v>800</v>
      </c>
      <c r="C737" s="1" t="s">
        <v>1435</v>
      </c>
      <c r="D737" t="str">
        <f t="shared" si="23"/>
        <v>3735,'008233','B 24'</v>
      </c>
      <c r="E737" t="str">
        <f t="shared" si="22"/>
        <v>INSERT INTO grupos (id,matricula,grupo) values (3735,'008233','B 24');</v>
      </c>
    </row>
    <row r="738" spans="1:5" x14ac:dyDescent="0.35">
      <c r="A738">
        <v>3736</v>
      </c>
      <c r="B738" s="1" t="s">
        <v>800</v>
      </c>
      <c r="C738" s="1" t="s">
        <v>1427</v>
      </c>
      <c r="D738" t="str">
        <f t="shared" si="23"/>
        <v>3736,'008233','B4° 4A-II'</v>
      </c>
      <c r="E738" t="str">
        <f t="shared" si="22"/>
        <v>INSERT INTO grupos (id,matricula,grupo) values (3736,'008233','B4° 4A-II');</v>
      </c>
    </row>
    <row r="739" spans="1:5" x14ac:dyDescent="0.35">
      <c r="A739">
        <v>3737</v>
      </c>
      <c r="B739" s="1" t="s">
        <v>801</v>
      </c>
      <c r="C739" s="1" t="s">
        <v>1431</v>
      </c>
      <c r="D739" t="str">
        <f t="shared" si="23"/>
        <v>3737,'008234','B 21B'</v>
      </c>
      <c r="E739" t="str">
        <f t="shared" si="22"/>
        <v>INSERT INTO grupos (id,matricula,grupo) values (3737,'008234','B 21B');</v>
      </c>
    </row>
    <row r="740" spans="1:5" x14ac:dyDescent="0.35">
      <c r="A740">
        <v>3738</v>
      </c>
      <c r="B740" s="1" t="s">
        <v>801</v>
      </c>
      <c r="C740" s="1" t="s">
        <v>1432</v>
      </c>
      <c r="D740" t="str">
        <f t="shared" si="23"/>
        <v>3738,'008234','B 221'</v>
      </c>
      <c r="E740" t="str">
        <f t="shared" si="22"/>
        <v>INSERT INTO grupos (id,matricula,grupo) values (3738,'008234','B 221');</v>
      </c>
    </row>
    <row r="741" spans="1:5" x14ac:dyDescent="0.35">
      <c r="A741">
        <v>3739</v>
      </c>
      <c r="B741" s="1" t="s">
        <v>802</v>
      </c>
      <c r="C741" s="1" t="s">
        <v>1436</v>
      </c>
      <c r="D741" t="str">
        <f t="shared" si="23"/>
        <v>3739,'008236','B 224'</v>
      </c>
      <c r="E741" t="str">
        <f t="shared" si="22"/>
        <v>INSERT INTO grupos (id,matricula,grupo) values (3739,'008236','B 224');</v>
      </c>
    </row>
    <row r="742" spans="1:5" x14ac:dyDescent="0.35">
      <c r="A742">
        <v>3740</v>
      </c>
      <c r="B742" s="1" t="s">
        <v>802</v>
      </c>
      <c r="C742" s="1" t="s">
        <v>1430</v>
      </c>
      <c r="D742" t="str">
        <f t="shared" si="23"/>
        <v>3740,'008236','B 22B'</v>
      </c>
      <c r="E742" t="str">
        <f t="shared" si="22"/>
        <v>INSERT INTO grupos (id,matricula,grupo) values (3740,'008236','B 22B');</v>
      </c>
    </row>
    <row r="743" spans="1:5" x14ac:dyDescent="0.35">
      <c r="A743">
        <v>3741</v>
      </c>
      <c r="B743" s="1" t="s">
        <v>802</v>
      </c>
      <c r="C743" s="1" t="s">
        <v>1427</v>
      </c>
      <c r="D743" t="str">
        <f t="shared" si="23"/>
        <v>3741,'008236','B4° 4A-II'</v>
      </c>
      <c r="E743" t="str">
        <f t="shared" si="22"/>
        <v>INSERT INTO grupos (id,matricula,grupo) values (3741,'008236','B4° 4A-II');</v>
      </c>
    </row>
    <row r="744" spans="1:5" x14ac:dyDescent="0.35">
      <c r="A744">
        <v>3742</v>
      </c>
      <c r="B744" s="1" t="s">
        <v>803</v>
      </c>
      <c r="C744" s="1" t="s">
        <v>1425</v>
      </c>
      <c r="D744" t="str">
        <f t="shared" si="23"/>
        <v>3742,'008237','B 223'</v>
      </c>
      <c r="E744" t="str">
        <f t="shared" si="22"/>
        <v>INSERT INTO grupos (id,matricula,grupo) values (3742,'008237','B 223');</v>
      </c>
    </row>
    <row r="745" spans="1:5" x14ac:dyDescent="0.35">
      <c r="A745">
        <v>3743</v>
      </c>
      <c r="B745" s="1" t="s">
        <v>803</v>
      </c>
      <c r="C745" s="1" t="s">
        <v>1426</v>
      </c>
      <c r="D745" t="str">
        <f t="shared" si="23"/>
        <v>3743,'008237','B 22A'</v>
      </c>
      <c r="E745" t="str">
        <f t="shared" si="22"/>
        <v>INSERT INTO grupos (id,matricula,grupo) values (3743,'008237','B 22A');</v>
      </c>
    </row>
    <row r="746" spans="1:5" x14ac:dyDescent="0.35">
      <c r="A746">
        <v>3744</v>
      </c>
      <c r="B746" s="1" t="s">
        <v>803</v>
      </c>
      <c r="C746" s="1" t="s">
        <v>1427</v>
      </c>
      <c r="D746" t="str">
        <f t="shared" si="23"/>
        <v>3744,'008237','B4° 4A-II'</v>
      </c>
      <c r="E746" t="str">
        <f t="shared" si="22"/>
        <v>INSERT INTO grupos (id,matricula,grupo) values (3744,'008237','B4° 4A-II');</v>
      </c>
    </row>
    <row r="747" spans="1:5" x14ac:dyDescent="0.35">
      <c r="A747">
        <v>3745</v>
      </c>
      <c r="B747" s="1" t="s">
        <v>804</v>
      </c>
      <c r="C747" s="1" t="s">
        <v>1431</v>
      </c>
      <c r="D747" t="str">
        <f t="shared" si="23"/>
        <v>3745,'008238','B 21B'</v>
      </c>
      <c r="E747" t="str">
        <f t="shared" si="22"/>
        <v>INSERT INTO grupos (id,matricula,grupo) values (3745,'008238','B 21B');</v>
      </c>
    </row>
    <row r="748" spans="1:5" x14ac:dyDescent="0.35">
      <c r="A748">
        <v>3746</v>
      </c>
      <c r="B748" s="1" t="s">
        <v>804</v>
      </c>
      <c r="C748" s="1" t="s">
        <v>1425</v>
      </c>
      <c r="D748" t="str">
        <f t="shared" si="23"/>
        <v>3746,'008238','B 223'</v>
      </c>
      <c r="E748" t="str">
        <f t="shared" si="22"/>
        <v>INSERT INTO grupos (id,matricula,grupo) values (3746,'008238','B 223');</v>
      </c>
    </row>
    <row r="749" spans="1:5" x14ac:dyDescent="0.35">
      <c r="A749">
        <v>3747</v>
      </c>
      <c r="B749" s="1" t="s">
        <v>804</v>
      </c>
      <c r="C749" s="1" t="s">
        <v>1427</v>
      </c>
      <c r="D749" t="str">
        <f t="shared" si="23"/>
        <v>3747,'008238','B4° 4A-II'</v>
      </c>
      <c r="E749" t="str">
        <f t="shared" si="22"/>
        <v>INSERT INTO grupos (id,matricula,grupo) values (3747,'008238','B4° 4A-II');</v>
      </c>
    </row>
    <row r="750" spans="1:5" x14ac:dyDescent="0.35">
      <c r="A750">
        <v>3748</v>
      </c>
      <c r="B750" s="1" t="s">
        <v>805</v>
      </c>
      <c r="C750" s="1" t="s">
        <v>1425</v>
      </c>
      <c r="D750" t="str">
        <f t="shared" si="23"/>
        <v>3748,'008239','B 223'</v>
      </c>
      <c r="E750" t="str">
        <f t="shared" si="22"/>
        <v>INSERT INTO grupos (id,matricula,grupo) values (3748,'008239','B 223');</v>
      </c>
    </row>
    <row r="751" spans="1:5" x14ac:dyDescent="0.35">
      <c r="A751">
        <v>3749</v>
      </c>
      <c r="B751" s="1" t="s">
        <v>805</v>
      </c>
      <c r="C751" s="1" t="s">
        <v>1426</v>
      </c>
      <c r="D751" t="str">
        <f t="shared" si="23"/>
        <v>3749,'008239','B 22A'</v>
      </c>
      <c r="E751" t="str">
        <f t="shared" si="22"/>
        <v>INSERT INTO grupos (id,matricula,grupo) values (3749,'008239','B 22A');</v>
      </c>
    </row>
    <row r="752" spans="1:5" x14ac:dyDescent="0.35">
      <c r="A752">
        <v>3750</v>
      </c>
      <c r="B752" s="1" t="s">
        <v>805</v>
      </c>
      <c r="C752" s="1" t="s">
        <v>1438</v>
      </c>
      <c r="D752" t="str">
        <f t="shared" si="23"/>
        <v>3750,'008239','B4° 3A-II'</v>
      </c>
      <c r="E752" t="str">
        <f t="shared" si="22"/>
        <v>INSERT INTO grupos (id,matricula,grupo) values (3750,'008239','B4° 3A-II');</v>
      </c>
    </row>
    <row r="753" spans="1:5" x14ac:dyDescent="0.35">
      <c r="A753">
        <v>3751</v>
      </c>
      <c r="B753" s="1" t="s">
        <v>806</v>
      </c>
      <c r="C753" s="1" t="s">
        <v>1428</v>
      </c>
      <c r="D753" t="str">
        <f t="shared" si="23"/>
        <v>3751,'008240','B 222'</v>
      </c>
      <c r="E753" t="str">
        <f t="shared" si="22"/>
        <v>INSERT INTO grupos (id,matricula,grupo) values (3751,'008240','B 222');</v>
      </c>
    </row>
    <row r="754" spans="1:5" x14ac:dyDescent="0.35">
      <c r="A754">
        <v>3752</v>
      </c>
      <c r="B754" s="1" t="s">
        <v>806</v>
      </c>
      <c r="C754" s="1" t="s">
        <v>1426</v>
      </c>
      <c r="D754" t="str">
        <f t="shared" si="23"/>
        <v>3752,'008240','B 22A'</v>
      </c>
      <c r="E754" t="str">
        <f t="shared" si="22"/>
        <v>INSERT INTO grupos (id,matricula,grupo) values (3752,'008240','B 22A');</v>
      </c>
    </row>
    <row r="755" spans="1:5" x14ac:dyDescent="0.35">
      <c r="A755">
        <v>3753</v>
      </c>
      <c r="B755" s="1" t="s">
        <v>807</v>
      </c>
      <c r="C755" s="1" t="s">
        <v>1428</v>
      </c>
      <c r="D755" t="str">
        <f t="shared" si="23"/>
        <v>3753,'008241','B 222'</v>
      </c>
      <c r="E755" t="str">
        <f t="shared" si="22"/>
        <v>INSERT INTO grupos (id,matricula,grupo) values (3753,'008241','B 222');</v>
      </c>
    </row>
    <row r="756" spans="1:5" x14ac:dyDescent="0.35">
      <c r="A756">
        <v>3754</v>
      </c>
      <c r="B756" s="1" t="s">
        <v>807</v>
      </c>
      <c r="C756" s="1" t="s">
        <v>1430</v>
      </c>
      <c r="D756" t="str">
        <f t="shared" si="23"/>
        <v>3754,'008241','B 22B'</v>
      </c>
      <c r="E756" t="str">
        <f t="shared" si="22"/>
        <v>INSERT INTO grupos (id,matricula,grupo) values (3754,'008241','B 22B');</v>
      </c>
    </row>
    <row r="757" spans="1:5" x14ac:dyDescent="0.35">
      <c r="A757">
        <v>3755</v>
      </c>
      <c r="B757" s="1" t="s">
        <v>808</v>
      </c>
      <c r="C757" s="1" t="s">
        <v>1425</v>
      </c>
      <c r="D757" t="str">
        <f t="shared" si="23"/>
        <v>3755,'008242','B 223'</v>
      </c>
      <c r="E757" t="str">
        <f t="shared" si="22"/>
        <v>INSERT INTO grupos (id,matricula,grupo) values (3755,'008242','B 223');</v>
      </c>
    </row>
    <row r="758" spans="1:5" x14ac:dyDescent="0.35">
      <c r="A758">
        <v>3756</v>
      </c>
      <c r="B758" s="1" t="s">
        <v>808</v>
      </c>
      <c r="C758" s="1" t="s">
        <v>1430</v>
      </c>
      <c r="D758" t="str">
        <f t="shared" si="23"/>
        <v>3756,'008242','B 22B'</v>
      </c>
      <c r="E758" t="str">
        <f t="shared" si="22"/>
        <v>INSERT INTO grupos (id,matricula,grupo) values (3756,'008242','B 22B');</v>
      </c>
    </row>
    <row r="759" spans="1:5" x14ac:dyDescent="0.35">
      <c r="A759">
        <v>3757</v>
      </c>
      <c r="B759" s="1" t="s">
        <v>808</v>
      </c>
      <c r="C759" s="1" t="s">
        <v>1434</v>
      </c>
      <c r="D759" t="str">
        <f t="shared" si="23"/>
        <v>3757,'008242','B4° 3B-II'</v>
      </c>
      <c r="E759" t="str">
        <f t="shared" si="22"/>
        <v>INSERT INTO grupos (id,matricula,grupo) values (3757,'008242','B4° 3B-II');</v>
      </c>
    </row>
    <row r="760" spans="1:5" x14ac:dyDescent="0.35">
      <c r="A760">
        <v>3758</v>
      </c>
      <c r="B760" s="1" t="s">
        <v>809</v>
      </c>
      <c r="C760" s="1" t="s">
        <v>1432</v>
      </c>
      <c r="D760" t="str">
        <f t="shared" si="23"/>
        <v>3758,'008243','B 221'</v>
      </c>
      <c r="E760" t="str">
        <f t="shared" si="22"/>
        <v>INSERT INTO grupos (id,matricula,grupo) values (3758,'008243','B 221');</v>
      </c>
    </row>
    <row r="761" spans="1:5" x14ac:dyDescent="0.35">
      <c r="A761">
        <v>3759</v>
      </c>
      <c r="B761" s="1" t="s">
        <v>809</v>
      </c>
      <c r="C761" s="1" t="s">
        <v>1433</v>
      </c>
      <c r="D761" t="str">
        <f t="shared" si="23"/>
        <v>3759,'008243','B 23'</v>
      </c>
      <c r="E761" t="str">
        <f t="shared" si="22"/>
        <v>INSERT INTO grupos (id,matricula,grupo) values (3759,'008243','B 23');</v>
      </c>
    </row>
    <row r="762" spans="1:5" x14ac:dyDescent="0.35">
      <c r="A762">
        <v>3760</v>
      </c>
      <c r="B762" s="1" t="s">
        <v>810</v>
      </c>
      <c r="C762" s="1" t="s">
        <v>1432</v>
      </c>
      <c r="D762" t="str">
        <f t="shared" si="23"/>
        <v>3760,'008244','B 221'</v>
      </c>
      <c r="E762" t="str">
        <f t="shared" si="22"/>
        <v>INSERT INTO grupos (id,matricula,grupo) values (3760,'008244','B 221');</v>
      </c>
    </row>
    <row r="763" spans="1:5" x14ac:dyDescent="0.35">
      <c r="A763">
        <v>3761</v>
      </c>
      <c r="B763" s="1" t="s">
        <v>810</v>
      </c>
      <c r="C763" s="1" t="s">
        <v>1435</v>
      </c>
      <c r="D763" t="str">
        <f t="shared" si="23"/>
        <v>3761,'008244','B 24'</v>
      </c>
      <c r="E763" t="str">
        <f t="shared" si="22"/>
        <v>INSERT INTO grupos (id,matricula,grupo) values (3761,'008244','B 24');</v>
      </c>
    </row>
    <row r="764" spans="1:5" x14ac:dyDescent="0.35">
      <c r="A764">
        <v>3762</v>
      </c>
      <c r="B764" s="1" t="s">
        <v>811</v>
      </c>
      <c r="C764" s="1" t="s">
        <v>1428</v>
      </c>
      <c r="D764" t="str">
        <f t="shared" si="23"/>
        <v>3762,'008245','B 222'</v>
      </c>
      <c r="E764" t="str">
        <f t="shared" si="22"/>
        <v>INSERT INTO grupos (id,matricula,grupo) values (3762,'008245','B 222');</v>
      </c>
    </row>
    <row r="765" spans="1:5" x14ac:dyDescent="0.35">
      <c r="A765">
        <v>3763</v>
      </c>
      <c r="B765" s="1" t="s">
        <v>811</v>
      </c>
      <c r="C765" s="1" t="s">
        <v>1426</v>
      </c>
      <c r="D765" t="str">
        <f t="shared" si="23"/>
        <v>3763,'008245','B 22A'</v>
      </c>
      <c r="E765" t="str">
        <f t="shared" si="22"/>
        <v>INSERT INTO grupos (id,matricula,grupo) values (3763,'008245','B 22A');</v>
      </c>
    </row>
    <row r="766" spans="1:5" x14ac:dyDescent="0.35">
      <c r="A766">
        <v>3764</v>
      </c>
      <c r="B766" s="1" t="s">
        <v>812</v>
      </c>
      <c r="C766" s="1" t="s">
        <v>1429</v>
      </c>
      <c r="D766" t="str">
        <f t="shared" si="23"/>
        <v>3764,'008246','B 225'</v>
      </c>
      <c r="E766" t="str">
        <f t="shared" si="22"/>
        <v>INSERT INTO grupos (id,matricula,grupo) values (3764,'008246','B 225');</v>
      </c>
    </row>
    <row r="767" spans="1:5" x14ac:dyDescent="0.35">
      <c r="A767">
        <v>3765</v>
      </c>
      <c r="B767" s="1" t="s">
        <v>812</v>
      </c>
      <c r="C767" s="1" t="s">
        <v>1426</v>
      </c>
      <c r="D767" t="str">
        <f t="shared" si="23"/>
        <v>3765,'008246','B 22A'</v>
      </c>
      <c r="E767" t="str">
        <f t="shared" si="22"/>
        <v>INSERT INTO grupos (id,matricula,grupo) values (3765,'008246','B 22A');</v>
      </c>
    </row>
    <row r="768" spans="1:5" x14ac:dyDescent="0.35">
      <c r="A768">
        <v>3766</v>
      </c>
      <c r="B768" s="1" t="s">
        <v>812</v>
      </c>
      <c r="C768" s="1" t="s">
        <v>1427</v>
      </c>
      <c r="D768" t="str">
        <f t="shared" si="23"/>
        <v>3766,'008246','B4° 4A-II'</v>
      </c>
      <c r="E768" t="str">
        <f t="shared" si="22"/>
        <v>INSERT INTO grupos (id,matricula,grupo) values (3766,'008246','B4° 4A-II');</v>
      </c>
    </row>
    <row r="769" spans="1:5" x14ac:dyDescent="0.35">
      <c r="A769">
        <v>3767</v>
      </c>
      <c r="B769" s="1" t="s">
        <v>813</v>
      </c>
      <c r="C769" s="1" t="s">
        <v>1425</v>
      </c>
      <c r="D769" t="str">
        <f t="shared" si="23"/>
        <v>3767,'008247','B 223'</v>
      </c>
      <c r="E769" t="str">
        <f t="shared" si="22"/>
        <v>INSERT INTO grupos (id,matricula,grupo) values (3767,'008247','B 223');</v>
      </c>
    </row>
    <row r="770" spans="1:5" x14ac:dyDescent="0.35">
      <c r="A770">
        <v>3768</v>
      </c>
      <c r="B770" s="1" t="s">
        <v>813</v>
      </c>
      <c r="C770" s="1" t="s">
        <v>1426</v>
      </c>
      <c r="D770" t="str">
        <f t="shared" si="23"/>
        <v>3768,'008247','B 22A'</v>
      </c>
      <c r="E770" t="str">
        <f t="shared" ref="E770:E833" si="24">CONCATENATE($D$1,D770,");")</f>
        <v>INSERT INTO grupos (id,matricula,grupo) values (3768,'008247','B 22A');</v>
      </c>
    </row>
    <row r="771" spans="1:5" x14ac:dyDescent="0.35">
      <c r="A771">
        <v>3769</v>
      </c>
      <c r="B771" s="1" t="s">
        <v>813</v>
      </c>
      <c r="C771" s="1" t="s">
        <v>1434</v>
      </c>
      <c r="D771" t="str">
        <f t="shared" ref="D771:D834" si="25">CONCATENATE(A771,",",B771,",",C771,"")</f>
        <v>3769,'008247','B4° 3B-II'</v>
      </c>
      <c r="E771" t="str">
        <f t="shared" si="24"/>
        <v>INSERT INTO grupos (id,matricula,grupo) values (3769,'008247','B4° 3B-II');</v>
      </c>
    </row>
    <row r="772" spans="1:5" x14ac:dyDescent="0.35">
      <c r="A772">
        <v>3770</v>
      </c>
      <c r="B772" s="1" t="s">
        <v>814</v>
      </c>
      <c r="C772" s="1" t="s">
        <v>1428</v>
      </c>
      <c r="D772" t="str">
        <f t="shared" si="25"/>
        <v>3770,'008248','B 222'</v>
      </c>
      <c r="E772" t="str">
        <f t="shared" si="24"/>
        <v>INSERT INTO grupos (id,matricula,grupo) values (3770,'008248','B 222');</v>
      </c>
    </row>
    <row r="773" spans="1:5" x14ac:dyDescent="0.35">
      <c r="A773">
        <v>3771</v>
      </c>
      <c r="B773" s="1" t="s">
        <v>814</v>
      </c>
      <c r="C773" s="1" t="s">
        <v>1430</v>
      </c>
      <c r="D773" t="str">
        <f t="shared" si="25"/>
        <v>3771,'008248','B 22B'</v>
      </c>
      <c r="E773" t="str">
        <f t="shared" si="24"/>
        <v>INSERT INTO grupos (id,matricula,grupo) values (3771,'008248','B 22B');</v>
      </c>
    </row>
    <row r="774" spans="1:5" x14ac:dyDescent="0.35">
      <c r="A774">
        <v>3772</v>
      </c>
      <c r="B774" s="1" t="s">
        <v>815</v>
      </c>
      <c r="C774" s="1" t="s">
        <v>1436</v>
      </c>
      <c r="D774" t="str">
        <f t="shared" si="25"/>
        <v>3772,'008249','B 224'</v>
      </c>
      <c r="E774" t="str">
        <f t="shared" si="24"/>
        <v>INSERT INTO grupos (id,matricula,grupo) values (3772,'008249','B 224');</v>
      </c>
    </row>
    <row r="775" spans="1:5" x14ac:dyDescent="0.35">
      <c r="A775">
        <v>3773</v>
      </c>
      <c r="B775" s="1" t="s">
        <v>815</v>
      </c>
      <c r="C775" s="1" t="s">
        <v>1430</v>
      </c>
      <c r="D775" t="str">
        <f t="shared" si="25"/>
        <v>3773,'008249','B 22B'</v>
      </c>
      <c r="E775" t="str">
        <f t="shared" si="24"/>
        <v>INSERT INTO grupos (id,matricula,grupo) values (3773,'008249','B 22B');</v>
      </c>
    </row>
    <row r="776" spans="1:5" x14ac:dyDescent="0.35">
      <c r="A776">
        <v>3774</v>
      </c>
      <c r="B776" s="1" t="s">
        <v>815</v>
      </c>
      <c r="C776" s="1" t="s">
        <v>1438</v>
      </c>
      <c r="D776" t="str">
        <f t="shared" si="25"/>
        <v>3774,'008249','B4° 3A-II'</v>
      </c>
      <c r="E776" t="str">
        <f t="shared" si="24"/>
        <v>INSERT INTO grupos (id,matricula,grupo) values (3774,'008249','B4° 3A-II');</v>
      </c>
    </row>
    <row r="777" spans="1:5" x14ac:dyDescent="0.35">
      <c r="A777">
        <v>3775</v>
      </c>
      <c r="B777" s="1" t="s">
        <v>816</v>
      </c>
      <c r="C777" s="1" t="s">
        <v>1425</v>
      </c>
      <c r="D777" t="str">
        <f t="shared" si="25"/>
        <v>3775,'008254','B 223'</v>
      </c>
      <c r="E777" t="str">
        <f t="shared" si="24"/>
        <v>INSERT INTO grupos (id,matricula,grupo) values (3775,'008254','B 223');</v>
      </c>
    </row>
    <row r="778" spans="1:5" x14ac:dyDescent="0.35">
      <c r="A778">
        <v>3776</v>
      </c>
      <c r="B778" s="1" t="s">
        <v>816</v>
      </c>
      <c r="C778" s="1" t="s">
        <v>1430</v>
      </c>
      <c r="D778" t="str">
        <f t="shared" si="25"/>
        <v>3776,'008254','B 22B'</v>
      </c>
      <c r="E778" t="str">
        <f t="shared" si="24"/>
        <v>INSERT INTO grupos (id,matricula,grupo) values (3776,'008254','B 22B');</v>
      </c>
    </row>
    <row r="779" spans="1:5" x14ac:dyDescent="0.35">
      <c r="A779">
        <v>3777</v>
      </c>
      <c r="B779" s="1" t="s">
        <v>816</v>
      </c>
      <c r="C779" s="1" t="s">
        <v>1438</v>
      </c>
      <c r="D779" t="str">
        <f t="shared" si="25"/>
        <v>3777,'008254','B4° 3A-II'</v>
      </c>
      <c r="E779" t="str">
        <f t="shared" si="24"/>
        <v>INSERT INTO grupos (id,matricula,grupo) values (3777,'008254','B4° 3A-II');</v>
      </c>
    </row>
    <row r="780" spans="1:5" x14ac:dyDescent="0.35">
      <c r="A780">
        <v>3778</v>
      </c>
      <c r="B780" s="1" t="s">
        <v>817</v>
      </c>
      <c r="C780" s="1" t="s">
        <v>1436</v>
      </c>
      <c r="D780" t="str">
        <f t="shared" si="25"/>
        <v>3778,'008255','B 224'</v>
      </c>
      <c r="E780" t="str">
        <f t="shared" si="24"/>
        <v>INSERT INTO grupos (id,matricula,grupo) values (3778,'008255','B 224');</v>
      </c>
    </row>
    <row r="781" spans="1:5" x14ac:dyDescent="0.35">
      <c r="A781">
        <v>3779</v>
      </c>
      <c r="B781" s="1" t="s">
        <v>817</v>
      </c>
      <c r="C781" s="1" t="s">
        <v>1433</v>
      </c>
      <c r="D781" t="str">
        <f t="shared" si="25"/>
        <v>3779,'008255','B 23'</v>
      </c>
      <c r="E781" t="str">
        <f t="shared" si="24"/>
        <v>INSERT INTO grupos (id,matricula,grupo) values (3779,'008255','B 23');</v>
      </c>
    </row>
    <row r="782" spans="1:5" x14ac:dyDescent="0.35">
      <c r="A782">
        <v>3780</v>
      </c>
      <c r="B782" s="1" t="s">
        <v>817</v>
      </c>
      <c r="C782" s="1" t="s">
        <v>1434</v>
      </c>
      <c r="D782" t="str">
        <f t="shared" si="25"/>
        <v>3780,'008255','B4° 3B-II'</v>
      </c>
      <c r="E782" t="str">
        <f t="shared" si="24"/>
        <v>INSERT INTO grupos (id,matricula,grupo) values (3780,'008255','B4° 3B-II');</v>
      </c>
    </row>
    <row r="783" spans="1:5" x14ac:dyDescent="0.35">
      <c r="A783">
        <v>3781</v>
      </c>
      <c r="B783" s="1" t="s">
        <v>818</v>
      </c>
      <c r="C783" s="1" t="s">
        <v>1437</v>
      </c>
      <c r="D783" t="str">
        <f t="shared" si="25"/>
        <v>3781,'008256','B 21A'</v>
      </c>
      <c r="E783" t="str">
        <f t="shared" si="24"/>
        <v>INSERT INTO grupos (id,matricula,grupo) values (3781,'008256','B 21A');</v>
      </c>
    </row>
    <row r="784" spans="1:5" x14ac:dyDescent="0.35">
      <c r="A784">
        <v>3782</v>
      </c>
      <c r="B784" s="1" t="s">
        <v>818</v>
      </c>
      <c r="C784" s="1" t="s">
        <v>1432</v>
      </c>
      <c r="D784" t="str">
        <f t="shared" si="25"/>
        <v>3782,'008256','B 221'</v>
      </c>
      <c r="E784" t="str">
        <f t="shared" si="24"/>
        <v>INSERT INTO grupos (id,matricula,grupo) values (3782,'008256','B 221');</v>
      </c>
    </row>
    <row r="785" spans="1:5" x14ac:dyDescent="0.35">
      <c r="A785">
        <v>3783</v>
      </c>
      <c r="B785" s="1" t="s">
        <v>819</v>
      </c>
      <c r="C785" s="1" t="s">
        <v>1437</v>
      </c>
      <c r="D785" t="str">
        <f t="shared" si="25"/>
        <v>3783,'008258','B 21A'</v>
      </c>
      <c r="E785" t="str">
        <f t="shared" si="24"/>
        <v>INSERT INTO grupos (id,matricula,grupo) values (3783,'008258','B 21A');</v>
      </c>
    </row>
    <row r="786" spans="1:5" x14ac:dyDescent="0.35">
      <c r="A786">
        <v>3784</v>
      </c>
      <c r="B786" s="1" t="s">
        <v>819</v>
      </c>
      <c r="C786" s="1" t="s">
        <v>1425</v>
      </c>
      <c r="D786" t="str">
        <f t="shared" si="25"/>
        <v>3784,'008258','B 223'</v>
      </c>
      <c r="E786" t="str">
        <f t="shared" si="24"/>
        <v>INSERT INTO grupos (id,matricula,grupo) values (3784,'008258','B 223');</v>
      </c>
    </row>
    <row r="787" spans="1:5" x14ac:dyDescent="0.35">
      <c r="A787">
        <v>3785</v>
      </c>
      <c r="B787" s="1" t="s">
        <v>819</v>
      </c>
      <c r="C787" s="1" t="s">
        <v>1438</v>
      </c>
      <c r="D787" t="str">
        <f t="shared" si="25"/>
        <v>3785,'008258','B4° 3A-II'</v>
      </c>
      <c r="E787" t="str">
        <f t="shared" si="24"/>
        <v>INSERT INTO grupos (id,matricula,grupo) values (3785,'008258','B4° 3A-II');</v>
      </c>
    </row>
    <row r="788" spans="1:5" x14ac:dyDescent="0.35">
      <c r="A788">
        <v>3786</v>
      </c>
      <c r="B788" s="1" t="s">
        <v>820</v>
      </c>
      <c r="C788" s="1" t="s">
        <v>1429</v>
      </c>
      <c r="D788" t="str">
        <f t="shared" si="25"/>
        <v>3786,'008259','B 225'</v>
      </c>
      <c r="E788" t="str">
        <f t="shared" si="24"/>
        <v>INSERT INTO grupos (id,matricula,grupo) values (3786,'008259','B 225');</v>
      </c>
    </row>
    <row r="789" spans="1:5" x14ac:dyDescent="0.35">
      <c r="A789">
        <v>3787</v>
      </c>
      <c r="B789" s="1" t="s">
        <v>820</v>
      </c>
      <c r="C789" s="1" t="s">
        <v>1426</v>
      </c>
      <c r="D789" t="str">
        <f t="shared" si="25"/>
        <v>3787,'008259','B 22A'</v>
      </c>
      <c r="E789" t="str">
        <f t="shared" si="24"/>
        <v>INSERT INTO grupos (id,matricula,grupo) values (3787,'008259','B 22A');</v>
      </c>
    </row>
    <row r="790" spans="1:5" x14ac:dyDescent="0.35">
      <c r="A790">
        <v>3788</v>
      </c>
      <c r="B790" s="1" t="s">
        <v>820</v>
      </c>
      <c r="C790" s="1" t="s">
        <v>1427</v>
      </c>
      <c r="D790" t="str">
        <f t="shared" si="25"/>
        <v>3788,'008259','B4° 4A-II'</v>
      </c>
      <c r="E790" t="str">
        <f t="shared" si="24"/>
        <v>INSERT INTO grupos (id,matricula,grupo) values (3788,'008259','B4° 4A-II');</v>
      </c>
    </row>
    <row r="791" spans="1:5" x14ac:dyDescent="0.35">
      <c r="A791">
        <v>3789</v>
      </c>
      <c r="B791" s="1" t="s">
        <v>821</v>
      </c>
      <c r="C791" s="1" t="s">
        <v>1406</v>
      </c>
      <c r="D791" t="str">
        <f t="shared" si="25"/>
        <v>3789,'008260','B 32A'</v>
      </c>
      <c r="E791" t="str">
        <f t="shared" si="24"/>
        <v>INSERT INTO grupos (id,matricula,grupo) values (3789,'008260','B 32A');</v>
      </c>
    </row>
    <row r="792" spans="1:5" x14ac:dyDescent="0.35">
      <c r="A792">
        <v>3790</v>
      </c>
      <c r="B792" s="1" t="s">
        <v>821</v>
      </c>
      <c r="C792" s="1" t="s">
        <v>1421</v>
      </c>
      <c r="D792" t="str">
        <f t="shared" si="25"/>
        <v>3790,'008260','B 332'</v>
      </c>
      <c r="E792" t="str">
        <f t="shared" si="24"/>
        <v>INSERT INTO grupos (id,matricula,grupo) values (3790,'008260','B 332');</v>
      </c>
    </row>
    <row r="793" spans="1:5" x14ac:dyDescent="0.35">
      <c r="A793">
        <v>3791</v>
      </c>
      <c r="B793" s="1" t="s">
        <v>821</v>
      </c>
      <c r="C793" s="1" t="s">
        <v>1407</v>
      </c>
      <c r="D793" t="str">
        <f t="shared" si="25"/>
        <v>3791,'008260','B MATFIN A'</v>
      </c>
      <c r="E793" t="str">
        <f t="shared" si="24"/>
        <v>INSERT INTO grupos (id,matricula,grupo) values (3791,'008260','B MATFIN A');</v>
      </c>
    </row>
    <row r="794" spans="1:5" x14ac:dyDescent="0.35">
      <c r="A794">
        <v>3792</v>
      </c>
      <c r="B794" s="1" t="s">
        <v>821</v>
      </c>
      <c r="C794" s="1" t="s">
        <v>1424</v>
      </c>
      <c r="D794" t="str">
        <f t="shared" si="25"/>
        <v>3792,'008260','B6° 4B-II1'</v>
      </c>
      <c r="E794" t="str">
        <f t="shared" si="24"/>
        <v>INSERT INTO grupos (id,matricula,grupo) values (3792,'008260','B6° 4B-II1');</v>
      </c>
    </row>
    <row r="795" spans="1:5" x14ac:dyDescent="0.35">
      <c r="A795">
        <v>3793</v>
      </c>
      <c r="B795" s="1" t="s">
        <v>822</v>
      </c>
      <c r="C795" s="1" t="s">
        <v>1436</v>
      </c>
      <c r="D795" t="str">
        <f t="shared" si="25"/>
        <v>3793,'008261','B 224'</v>
      </c>
      <c r="E795" t="str">
        <f t="shared" si="24"/>
        <v>INSERT INTO grupos (id,matricula,grupo) values (3793,'008261','B 224');</v>
      </c>
    </row>
    <row r="796" spans="1:5" x14ac:dyDescent="0.35">
      <c r="A796">
        <v>3794</v>
      </c>
      <c r="B796" s="1" t="s">
        <v>822</v>
      </c>
      <c r="C796" s="1" t="s">
        <v>1433</v>
      </c>
      <c r="D796" t="str">
        <f t="shared" si="25"/>
        <v>3794,'008261','B 23'</v>
      </c>
      <c r="E796" t="str">
        <f t="shared" si="24"/>
        <v>INSERT INTO grupos (id,matricula,grupo) values (3794,'008261','B 23');</v>
      </c>
    </row>
    <row r="797" spans="1:5" x14ac:dyDescent="0.35">
      <c r="A797">
        <v>3795</v>
      </c>
      <c r="B797" s="1" t="s">
        <v>822</v>
      </c>
      <c r="C797" s="1" t="s">
        <v>1427</v>
      </c>
      <c r="D797" t="str">
        <f t="shared" si="25"/>
        <v>3795,'008261','B4° 4A-II'</v>
      </c>
      <c r="E797" t="str">
        <f t="shared" si="24"/>
        <v>INSERT INTO grupos (id,matricula,grupo) values (3795,'008261','B4° 4A-II');</v>
      </c>
    </row>
    <row r="798" spans="1:5" x14ac:dyDescent="0.35">
      <c r="A798">
        <v>3796</v>
      </c>
      <c r="B798" s="1" t="s">
        <v>823</v>
      </c>
      <c r="C798" s="1" t="s">
        <v>1414</v>
      </c>
      <c r="D798" t="str">
        <f t="shared" si="25"/>
        <v>3796,'008262','B 32B'</v>
      </c>
      <c r="E798" t="str">
        <f t="shared" si="24"/>
        <v>INSERT INTO grupos (id,matricula,grupo) values (3796,'008262','B 32B');</v>
      </c>
    </row>
    <row r="799" spans="1:5" x14ac:dyDescent="0.35">
      <c r="A799">
        <v>3797</v>
      </c>
      <c r="B799" s="1" t="s">
        <v>823</v>
      </c>
      <c r="C799" s="1" t="s">
        <v>1421</v>
      </c>
      <c r="D799" t="str">
        <f t="shared" si="25"/>
        <v>3797,'008262','B 332'</v>
      </c>
      <c r="E799" t="str">
        <f t="shared" si="24"/>
        <v>INSERT INTO grupos (id,matricula,grupo) values (3797,'008262','B 332');</v>
      </c>
    </row>
    <row r="800" spans="1:5" x14ac:dyDescent="0.35">
      <c r="A800">
        <v>3798</v>
      </c>
      <c r="B800" s="1" t="s">
        <v>823</v>
      </c>
      <c r="C800" s="1" t="s">
        <v>1415</v>
      </c>
      <c r="D800" t="str">
        <f t="shared" si="25"/>
        <v>3798,'008262','B MATFIN B'</v>
      </c>
      <c r="E800" t="str">
        <f t="shared" si="24"/>
        <v>INSERT INTO grupos (id,matricula,grupo) values (3798,'008262','B MATFIN B');</v>
      </c>
    </row>
    <row r="801" spans="1:5" x14ac:dyDescent="0.35">
      <c r="A801">
        <v>3799</v>
      </c>
      <c r="B801" s="1" t="s">
        <v>823</v>
      </c>
      <c r="C801" s="1" t="s">
        <v>1423</v>
      </c>
      <c r="D801" t="str">
        <f t="shared" si="25"/>
        <v>3799,'008262','B6° 3A-II1'</v>
      </c>
      <c r="E801" t="str">
        <f t="shared" si="24"/>
        <v>INSERT INTO grupos (id,matricula,grupo) values (3799,'008262','B6° 3A-II1');</v>
      </c>
    </row>
    <row r="802" spans="1:5" x14ac:dyDescent="0.35">
      <c r="A802">
        <v>3800</v>
      </c>
      <c r="B802" s="1" t="s">
        <v>824</v>
      </c>
      <c r="C802" s="1" t="s">
        <v>1431</v>
      </c>
      <c r="D802" t="str">
        <f t="shared" si="25"/>
        <v>3800,'008264','B 21B'</v>
      </c>
      <c r="E802" t="str">
        <f t="shared" si="24"/>
        <v>INSERT INTO grupos (id,matricula,grupo) values (3800,'008264','B 21B');</v>
      </c>
    </row>
    <row r="803" spans="1:5" x14ac:dyDescent="0.35">
      <c r="A803">
        <v>3801</v>
      </c>
      <c r="B803" s="1" t="s">
        <v>824</v>
      </c>
      <c r="C803" s="1" t="s">
        <v>1428</v>
      </c>
      <c r="D803" t="str">
        <f t="shared" si="25"/>
        <v>3801,'008264','B 222'</v>
      </c>
      <c r="E803" t="str">
        <f t="shared" si="24"/>
        <v>INSERT INTO grupos (id,matricula,grupo) values (3801,'008264','B 222');</v>
      </c>
    </row>
    <row r="804" spans="1:5" x14ac:dyDescent="0.35">
      <c r="A804">
        <v>3802</v>
      </c>
      <c r="B804" s="1" t="s">
        <v>825</v>
      </c>
      <c r="C804" s="1" t="s">
        <v>1436</v>
      </c>
      <c r="D804" t="str">
        <f t="shared" si="25"/>
        <v>3802,'008266','B 224'</v>
      </c>
      <c r="E804" t="str">
        <f t="shared" si="24"/>
        <v>INSERT INTO grupos (id,matricula,grupo) values (3802,'008266','B 224');</v>
      </c>
    </row>
    <row r="805" spans="1:5" x14ac:dyDescent="0.35">
      <c r="A805">
        <v>3803</v>
      </c>
      <c r="B805" s="1" t="s">
        <v>825</v>
      </c>
      <c r="C805" s="1" t="s">
        <v>1430</v>
      </c>
      <c r="D805" t="str">
        <f t="shared" si="25"/>
        <v>3803,'008266','B 22B'</v>
      </c>
      <c r="E805" t="str">
        <f t="shared" si="24"/>
        <v>INSERT INTO grupos (id,matricula,grupo) values (3803,'008266','B 22B');</v>
      </c>
    </row>
    <row r="806" spans="1:5" x14ac:dyDescent="0.35">
      <c r="A806">
        <v>3804</v>
      </c>
      <c r="B806" s="1" t="s">
        <v>825</v>
      </c>
      <c r="C806" s="1" t="s">
        <v>1438</v>
      </c>
      <c r="D806" t="str">
        <f t="shared" si="25"/>
        <v>3804,'008266','B4° 3A-II'</v>
      </c>
      <c r="E806" t="str">
        <f t="shared" si="24"/>
        <v>INSERT INTO grupos (id,matricula,grupo) values (3804,'008266','B4° 3A-II');</v>
      </c>
    </row>
    <row r="807" spans="1:5" x14ac:dyDescent="0.35">
      <c r="A807">
        <v>3805</v>
      </c>
      <c r="B807" s="1" t="s">
        <v>826</v>
      </c>
      <c r="C807" s="1" t="s">
        <v>1431</v>
      </c>
      <c r="D807" t="str">
        <f t="shared" si="25"/>
        <v>3805,'008267','B 21B'</v>
      </c>
      <c r="E807" t="str">
        <f t="shared" si="24"/>
        <v>INSERT INTO grupos (id,matricula,grupo) values (3805,'008267','B 21B');</v>
      </c>
    </row>
    <row r="808" spans="1:5" x14ac:dyDescent="0.35">
      <c r="A808">
        <v>3806</v>
      </c>
      <c r="B808" s="1" t="s">
        <v>826</v>
      </c>
      <c r="C808" s="1" t="s">
        <v>1432</v>
      </c>
      <c r="D808" t="str">
        <f t="shared" si="25"/>
        <v>3806,'008267','B 221'</v>
      </c>
      <c r="E808" t="str">
        <f t="shared" si="24"/>
        <v>INSERT INTO grupos (id,matricula,grupo) values (3806,'008267','B 221');</v>
      </c>
    </row>
    <row r="809" spans="1:5" x14ac:dyDescent="0.35">
      <c r="A809">
        <v>3807</v>
      </c>
      <c r="B809" s="1" t="s">
        <v>827</v>
      </c>
      <c r="C809" s="1" t="s">
        <v>1437</v>
      </c>
      <c r="D809" t="str">
        <f t="shared" si="25"/>
        <v>3807,'008270','B 21A'</v>
      </c>
      <c r="E809" t="str">
        <f t="shared" si="24"/>
        <v>INSERT INTO grupos (id,matricula,grupo) values (3807,'008270','B 21A');</v>
      </c>
    </row>
    <row r="810" spans="1:5" x14ac:dyDescent="0.35">
      <c r="A810">
        <v>3808</v>
      </c>
      <c r="B810" s="1" t="s">
        <v>827</v>
      </c>
      <c r="C810" s="1" t="s">
        <v>1425</v>
      </c>
      <c r="D810" t="str">
        <f t="shared" si="25"/>
        <v>3808,'008270','B 223'</v>
      </c>
      <c r="E810" t="str">
        <f t="shared" si="24"/>
        <v>INSERT INTO grupos (id,matricula,grupo) values (3808,'008270','B 223');</v>
      </c>
    </row>
    <row r="811" spans="1:5" x14ac:dyDescent="0.35">
      <c r="A811">
        <v>3809</v>
      </c>
      <c r="B811" s="1" t="s">
        <v>827</v>
      </c>
      <c r="C811" s="1" t="s">
        <v>1434</v>
      </c>
      <c r="D811" t="str">
        <f t="shared" si="25"/>
        <v>3809,'008270','B4° 3B-II'</v>
      </c>
      <c r="E811" t="str">
        <f t="shared" si="24"/>
        <v>INSERT INTO grupos (id,matricula,grupo) values (3809,'008270','B4° 3B-II');</v>
      </c>
    </row>
    <row r="812" spans="1:5" x14ac:dyDescent="0.35">
      <c r="A812">
        <v>3810</v>
      </c>
      <c r="B812" s="1" t="s">
        <v>828</v>
      </c>
      <c r="C812" s="1" t="s">
        <v>1406</v>
      </c>
      <c r="D812" t="str">
        <f t="shared" si="25"/>
        <v>3810,'008271','B 32A'</v>
      </c>
      <c r="E812" t="str">
        <f t="shared" si="24"/>
        <v>INSERT INTO grupos (id,matricula,grupo) values (3810,'008271','B 32A');</v>
      </c>
    </row>
    <row r="813" spans="1:5" x14ac:dyDescent="0.35">
      <c r="A813">
        <v>3811</v>
      </c>
      <c r="B813" s="1" t="s">
        <v>828</v>
      </c>
      <c r="C813" s="1" t="s">
        <v>1421</v>
      </c>
      <c r="D813" t="str">
        <f t="shared" si="25"/>
        <v>3811,'008271','B 332'</v>
      </c>
      <c r="E813" t="str">
        <f t="shared" si="24"/>
        <v>INSERT INTO grupos (id,matricula,grupo) values (3811,'008271','B 332');</v>
      </c>
    </row>
    <row r="814" spans="1:5" x14ac:dyDescent="0.35">
      <c r="A814">
        <v>3812</v>
      </c>
      <c r="B814" s="1" t="s">
        <v>828</v>
      </c>
      <c r="C814" s="1" t="s">
        <v>1407</v>
      </c>
      <c r="D814" t="str">
        <f t="shared" si="25"/>
        <v>3812,'008271','B MATFIN A'</v>
      </c>
      <c r="E814" t="str">
        <f t="shared" si="24"/>
        <v>INSERT INTO grupos (id,matricula,grupo) values (3812,'008271','B MATFIN A');</v>
      </c>
    </row>
    <row r="815" spans="1:5" x14ac:dyDescent="0.35">
      <c r="A815">
        <v>3813</v>
      </c>
      <c r="B815" s="1" t="s">
        <v>828</v>
      </c>
      <c r="C815" s="1" t="s">
        <v>1424</v>
      </c>
      <c r="D815" t="str">
        <f t="shared" si="25"/>
        <v>3813,'008271','B6° 4B-II1'</v>
      </c>
      <c r="E815" t="str">
        <f t="shared" si="24"/>
        <v>INSERT INTO grupos (id,matricula,grupo) values (3813,'008271','B6° 4B-II1');</v>
      </c>
    </row>
    <row r="816" spans="1:5" x14ac:dyDescent="0.35">
      <c r="A816">
        <v>3814</v>
      </c>
      <c r="B816" s="1" t="s">
        <v>829</v>
      </c>
      <c r="C816" s="1" t="s">
        <v>1436</v>
      </c>
      <c r="D816" t="str">
        <f t="shared" si="25"/>
        <v>3814,'008272','B 224'</v>
      </c>
      <c r="E816" t="str">
        <f t="shared" si="24"/>
        <v>INSERT INTO grupos (id,matricula,grupo) values (3814,'008272','B 224');</v>
      </c>
    </row>
    <row r="817" spans="1:5" x14ac:dyDescent="0.35">
      <c r="A817">
        <v>3815</v>
      </c>
      <c r="B817" s="1" t="s">
        <v>829</v>
      </c>
      <c r="C817" s="1" t="s">
        <v>1430</v>
      </c>
      <c r="D817" t="str">
        <f t="shared" si="25"/>
        <v>3815,'008272','B 22B'</v>
      </c>
      <c r="E817" t="str">
        <f t="shared" si="24"/>
        <v>INSERT INTO grupos (id,matricula,grupo) values (3815,'008272','B 22B');</v>
      </c>
    </row>
    <row r="818" spans="1:5" x14ac:dyDescent="0.35">
      <c r="A818">
        <v>3816</v>
      </c>
      <c r="B818" s="1" t="s">
        <v>829</v>
      </c>
      <c r="C818" s="1" t="s">
        <v>1434</v>
      </c>
      <c r="D818" t="str">
        <f t="shared" si="25"/>
        <v>3816,'008272','B4° 3B-II'</v>
      </c>
      <c r="E818" t="str">
        <f t="shared" si="24"/>
        <v>INSERT INTO grupos (id,matricula,grupo) values (3816,'008272','B4° 3B-II');</v>
      </c>
    </row>
    <row r="819" spans="1:5" x14ac:dyDescent="0.35">
      <c r="A819">
        <v>3817</v>
      </c>
      <c r="B819" s="1" t="s">
        <v>830</v>
      </c>
      <c r="C819" s="1" t="s">
        <v>1431</v>
      </c>
      <c r="D819" t="str">
        <f t="shared" si="25"/>
        <v>3817,'008273','B 21B'</v>
      </c>
      <c r="E819" t="str">
        <f t="shared" si="24"/>
        <v>INSERT INTO grupos (id,matricula,grupo) values (3817,'008273','B 21B');</v>
      </c>
    </row>
    <row r="820" spans="1:5" x14ac:dyDescent="0.35">
      <c r="A820">
        <v>3818</v>
      </c>
      <c r="B820" s="1" t="s">
        <v>830</v>
      </c>
      <c r="C820" s="1" t="s">
        <v>1425</v>
      </c>
      <c r="D820" t="str">
        <f t="shared" si="25"/>
        <v>3818,'008273','B 223'</v>
      </c>
      <c r="E820" t="str">
        <f t="shared" si="24"/>
        <v>INSERT INTO grupos (id,matricula,grupo) values (3818,'008273','B 223');</v>
      </c>
    </row>
    <row r="821" spans="1:5" x14ac:dyDescent="0.35">
      <c r="A821">
        <v>3819</v>
      </c>
      <c r="B821" s="1" t="s">
        <v>830</v>
      </c>
      <c r="C821" s="1" t="s">
        <v>1434</v>
      </c>
      <c r="D821" t="str">
        <f t="shared" si="25"/>
        <v>3819,'008273','B4° 3B-II'</v>
      </c>
      <c r="E821" t="str">
        <f t="shared" si="24"/>
        <v>INSERT INTO grupos (id,matricula,grupo) values (3819,'008273','B4° 3B-II');</v>
      </c>
    </row>
    <row r="822" spans="1:5" x14ac:dyDescent="0.35">
      <c r="A822">
        <v>3820</v>
      </c>
      <c r="B822" s="1" t="s">
        <v>831</v>
      </c>
      <c r="C822" s="1" t="s">
        <v>1437</v>
      </c>
      <c r="D822" t="str">
        <f t="shared" si="25"/>
        <v>3820,'008274','B 21A'</v>
      </c>
      <c r="E822" t="str">
        <f t="shared" si="24"/>
        <v>INSERT INTO grupos (id,matricula,grupo) values (3820,'008274','B 21A');</v>
      </c>
    </row>
    <row r="823" spans="1:5" x14ac:dyDescent="0.35">
      <c r="A823">
        <v>3821</v>
      </c>
      <c r="B823" s="1" t="s">
        <v>831</v>
      </c>
      <c r="C823" s="1" t="s">
        <v>1428</v>
      </c>
      <c r="D823" t="str">
        <f t="shared" si="25"/>
        <v>3821,'008274','B 222'</v>
      </c>
      <c r="E823" t="str">
        <f t="shared" si="24"/>
        <v>INSERT INTO grupos (id,matricula,grupo) values (3821,'008274','B 222');</v>
      </c>
    </row>
    <row r="824" spans="1:5" x14ac:dyDescent="0.35">
      <c r="A824">
        <v>3822</v>
      </c>
      <c r="B824" s="1" t="s">
        <v>832</v>
      </c>
      <c r="C824" s="1" t="s">
        <v>1429</v>
      </c>
      <c r="D824" t="str">
        <f t="shared" si="25"/>
        <v>3822,'008276','B 225'</v>
      </c>
      <c r="E824" t="str">
        <f t="shared" si="24"/>
        <v>INSERT INTO grupos (id,matricula,grupo) values (3822,'008276','B 225');</v>
      </c>
    </row>
    <row r="825" spans="1:5" x14ac:dyDescent="0.35">
      <c r="A825">
        <v>3823</v>
      </c>
      <c r="B825" s="1" t="s">
        <v>832</v>
      </c>
      <c r="C825" s="1" t="s">
        <v>1430</v>
      </c>
      <c r="D825" t="str">
        <f t="shared" si="25"/>
        <v>3823,'008276','B 22B'</v>
      </c>
      <c r="E825" t="str">
        <f t="shared" si="24"/>
        <v>INSERT INTO grupos (id,matricula,grupo) values (3823,'008276','B 22B');</v>
      </c>
    </row>
    <row r="826" spans="1:5" x14ac:dyDescent="0.35">
      <c r="A826">
        <v>3824</v>
      </c>
      <c r="B826" s="1" t="s">
        <v>832</v>
      </c>
      <c r="C826" s="1" t="s">
        <v>1434</v>
      </c>
      <c r="D826" t="str">
        <f t="shared" si="25"/>
        <v>3824,'008276','B4° 3B-II'</v>
      </c>
      <c r="E826" t="str">
        <f t="shared" si="24"/>
        <v>INSERT INTO grupos (id,matricula,grupo) values (3824,'008276','B4° 3B-II');</v>
      </c>
    </row>
    <row r="827" spans="1:5" x14ac:dyDescent="0.35">
      <c r="A827">
        <v>3825</v>
      </c>
      <c r="B827" s="1" t="s">
        <v>833</v>
      </c>
      <c r="C827" s="1" t="s">
        <v>1437</v>
      </c>
      <c r="D827" t="str">
        <f t="shared" si="25"/>
        <v>3825,'008278','B 21A'</v>
      </c>
      <c r="E827" t="str">
        <f t="shared" si="24"/>
        <v>INSERT INTO grupos (id,matricula,grupo) values (3825,'008278','B 21A');</v>
      </c>
    </row>
    <row r="828" spans="1:5" x14ac:dyDescent="0.35">
      <c r="A828">
        <v>3826</v>
      </c>
      <c r="B828" s="1" t="s">
        <v>833</v>
      </c>
      <c r="C828" s="1" t="s">
        <v>1425</v>
      </c>
      <c r="D828" t="str">
        <f t="shared" si="25"/>
        <v>3826,'008278','B 223'</v>
      </c>
      <c r="E828" t="str">
        <f t="shared" si="24"/>
        <v>INSERT INTO grupos (id,matricula,grupo) values (3826,'008278','B 223');</v>
      </c>
    </row>
    <row r="829" spans="1:5" x14ac:dyDescent="0.35">
      <c r="A829">
        <v>3827</v>
      </c>
      <c r="B829" s="1" t="s">
        <v>833</v>
      </c>
      <c r="C829" s="1" t="s">
        <v>1434</v>
      </c>
      <c r="D829" t="str">
        <f t="shared" si="25"/>
        <v>3827,'008278','B4° 3B-II'</v>
      </c>
      <c r="E829" t="str">
        <f t="shared" si="24"/>
        <v>INSERT INTO grupos (id,matricula,grupo) values (3827,'008278','B4° 3B-II');</v>
      </c>
    </row>
    <row r="830" spans="1:5" x14ac:dyDescent="0.35">
      <c r="A830">
        <v>3828</v>
      </c>
      <c r="B830" s="1" t="s">
        <v>834</v>
      </c>
      <c r="C830" s="1" t="s">
        <v>1436</v>
      </c>
      <c r="D830" t="str">
        <f t="shared" si="25"/>
        <v>3828,'008280','B 224'</v>
      </c>
      <c r="E830" t="str">
        <f t="shared" si="24"/>
        <v>INSERT INTO grupos (id,matricula,grupo) values (3828,'008280','B 224');</v>
      </c>
    </row>
    <row r="831" spans="1:5" x14ac:dyDescent="0.35">
      <c r="A831">
        <v>3829</v>
      </c>
      <c r="B831" s="1" t="s">
        <v>834</v>
      </c>
      <c r="C831" s="1" t="s">
        <v>1430</v>
      </c>
      <c r="D831" t="str">
        <f t="shared" si="25"/>
        <v>3829,'008280','B 22B'</v>
      </c>
      <c r="E831" t="str">
        <f t="shared" si="24"/>
        <v>INSERT INTO grupos (id,matricula,grupo) values (3829,'008280','B 22B');</v>
      </c>
    </row>
    <row r="832" spans="1:5" x14ac:dyDescent="0.35">
      <c r="A832">
        <v>3830</v>
      </c>
      <c r="B832" s="1" t="s">
        <v>834</v>
      </c>
      <c r="C832" s="1" t="s">
        <v>1427</v>
      </c>
      <c r="D832" t="str">
        <f t="shared" si="25"/>
        <v>3830,'008280','B4° 4A-II'</v>
      </c>
      <c r="E832" t="str">
        <f t="shared" si="24"/>
        <v>INSERT INTO grupos (id,matricula,grupo) values (3830,'008280','B4° 4A-II');</v>
      </c>
    </row>
    <row r="833" spans="1:5" x14ac:dyDescent="0.35">
      <c r="A833">
        <v>3831</v>
      </c>
      <c r="B833" s="1" t="s">
        <v>835</v>
      </c>
      <c r="C833" s="1" t="s">
        <v>1406</v>
      </c>
      <c r="D833" t="str">
        <f t="shared" si="25"/>
        <v>3831,'008281','B 32A'</v>
      </c>
      <c r="E833" t="str">
        <f t="shared" si="24"/>
        <v>INSERT INTO grupos (id,matricula,grupo) values (3831,'008281','B 32A');</v>
      </c>
    </row>
    <row r="834" spans="1:5" x14ac:dyDescent="0.35">
      <c r="A834">
        <v>3832</v>
      </c>
      <c r="B834" s="1" t="s">
        <v>835</v>
      </c>
      <c r="C834" s="1" t="s">
        <v>1407</v>
      </c>
      <c r="D834" t="str">
        <f t="shared" si="25"/>
        <v>3832,'008281','B MATFIN A'</v>
      </c>
      <c r="E834" t="str">
        <f t="shared" ref="E834:E897" si="26">CONCATENATE($D$1,D834,");")</f>
        <v>INSERT INTO grupos (id,matricula,grupo) values (3832,'008281','B MATFIN A');</v>
      </c>
    </row>
    <row r="835" spans="1:5" x14ac:dyDescent="0.35">
      <c r="A835">
        <v>3833</v>
      </c>
      <c r="B835" s="1" t="s">
        <v>835</v>
      </c>
      <c r="C835" s="1" t="s">
        <v>1409</v>
      </c>
      <c r="D835" t="str">
        <f t="shared" ref="D835:D898" si="27">CONCATENATE(A835,",",B835,",",C835,"")</f>
        <v>3833,'008281','B335'</v>
      </c>
      <c r="E835" t="str">
        <f t="shared" si="26"/>
        <v>INSERT INTO grupos (id,matricula,grupo) values (3833,'008281','B335');</v>
      </c>
    </row>
    <row r="836" spans="1:5" x14ac:dyDescent="0.35">
      <c r="A836">
        <v>3834</v>
      </c>
      <c r="B836" s="1" t="s">
        <v>835</v>
      </c>
      <c r="C836" s="1" t="s">
        <v>1416</v>
      </c>
      <c r="D836" t="str">
        <f t="shared" si="27"/>
        <v>3834,'008281','B6° 3B-II2'</v>
      </c>
      <c r="E836" t="str">
        <f t="shared" si="26"/>
        <v>INSERT INTO grupos (id,matricula,grupo) values (3834,'008281','B6° 3B-II2');</v>
      </c>
    </row>
    <row r="837" spans="1:5" x14ac:dyDescent="0.35">
      <c r="A837">
        <v>3835</v>
      </c>
      <c r="B837" s="1" t="s">
        <v>836</v>
      </c>
      <c r="C837" s="1" t="s">
        <v>1437</v>
      </c>
      <c r="D837" t="str">
        <f t="shared" si="27"/>
        <v>3835,'008283','B 21A'</v>
      </c>
      <c r="E837" t="str">
        <f t="shared" si="26"/>
        <v>INSERT INTO grupos (id,matricula,grupo) values (3835,'008283','B 21A');</v>
      </c>
    </row>
    <row r="838" spans="1:5" x14ac:dyDescent="0.35">
      <c r="A838">
        <v>3836</v>
      </c>
      <c r="B838" s="1" t="s">
        <v>836</v>
      </c>
      <c r="C838" s="1" t="s">
        <v>1425</v>
      </c>
      <c r="D838" t="str">
        <f t="shared" si="27"/>
        <v>3836,'008283','B 223'</v>
      </c>
      <c r="E838" t="str">
        <f t="shared" si="26"/>
        <v>INSERT INTO grupos (id,matricula,grupo) values (3836,'008283','B 223');</v>
      </c>
    </row>
    <row r="839" spans="1:5" x14ac:dyDescent="0.35">
      <c r="A839">
        <v>3837</v>
      </c>
      <c r="B839" s="1" t="s">
        <v>836</v>
      </c>
      <c r="C839" s="1" t="s">
        <v>1427</v>
      </c>
      <c r="D839" t="str">
        <f t="shared" si="27"/>
        <v>3837,'008283','B4° 4A-II'</v>
      </c>
      <c r="E839" t="str">
        <f t="shared" si="26"/>
        <v>INSERT INTO grupos (id,matricula,grupo) values (3837,'008283','B4° 4A-II');</v>
      </c>
    </row>
    <row r="840" spans="1:5" x14ac:dyDescent="0.35">
      <c r="A840">
        <v>3838</v>
      </c>
      <c r="B840" s="1" t="s">
        <v>837</v>
      </c>
      <c r="C840" s="1" t="s">
        <v>1431</v>
      </c>
      <c r="D840" t="str">
        <f t="shared" si="27"/>
        <v>3838,'008284','B 21B'</v>
      </c>
      <c r="E840" t="str">
        <f t="shared" si="26"/>
        <v>INSERT INTO grupos (id,matricula,grupo) values (3838,'008284','B 21B');</v>
      </c>
    </row>
    <row r="841" spans="1:5" x14ac:dyDescent="0.35">
      <c r="A841">
        <v>3839</v>
      </c>
      <c r="B841" s="1" t="s">
        <v>837</v>
      </c>
      <c r="C841" s="1" t="s">
        <v>1428</v>
      </c>
      <c r="D841" t="str">
        <f t="shared" si="27"/>
        <v>3839,'008284','B 222'</v>
      </c>
      <c r="E841" t="str">
        <f t="shared" si="26"/>
        <v>INSERT INTO grupos (id,matricula,grupo) values (3839,'008284','B 222');</v>
      </c>
    </row>
    <row r="842" spans="1:5" x14ac:dyDescent="0.35">
      <c r="A842">
        <v>3840</v>
      </c>
      <c r="B842" s="1" t="s">
        <v>838</v>
      </c>
      <c r="C842" s="1" t="s">
        <v>1429</v>
      </c>
      <c r="D842" t="str">
        <f t="shared" si="27"/>
        <v>3840,'008285','B 225'</v>
      </c>
      <c r="E842" t="str">
        <f t="shared" si="26"/>
        <v>INSERT INTO grupos (id,matricula,grupo) values (3840,'008285','B 225');</v>
      </c>
    </row>
    <row r="843" spans="1:5" x14ac:dyDescent="0.35">
      <c r="A843">
        <v>3841</v>
      </c>
      <c r="B843" s="1" t="s">
        <v>838</v>
      </c>
      <c r="C843" s="1" t="s">
        <v>1426</v>
      </c>
      <c r="D843" t="str">
        <f t="shared" si="27"/>
        <v>3841,'008285','B 22A'</v>
      </c>
      <c r="E843" t="str">
        <f t="shared" si="26"/>
        <v>INSERT INTO grupos (id,matricula,grupo) values (3841,'008285','B 22A');</v>
      </c>
    </row>
    <row r="844" spans="1:5" x14ac:dyDescent="0.35">
      <c r="A844">
        <v>3842</v>
      </c>
      <c r="B844" s="1" t="s">
        <v>838</v>
      </c>
      <c r="C844" s="1" t="s">
        <v>1438</v>
      </c>
      <c r="D844" t="str">
        <f t="shared" si="27"/>
        <v>3842,'008285','B4° 3A-II'</v>
      </c>
      <c r="E844" t="str">
        <f t="shared" si="26"/>
        <v>INSERT INTO grupos (id,matricula,grupo) values (3842,'008285','B4° 3A-II');</v>
      </c>
    </row>
    <row r="845" spans="1:5" x14ac:dyDescent="0.35">
      <c r="A845">
        <v>3843</v>
      </c>
      <c r="B845" s="1" t="s">
        <v>839</v>
      </c>
      <c r="C845" s="1" t="s">
        <v>1436</v>
      </c>
      <c r="D845" t="str">
        <f t="shared" si="27"/>
        <v>3843,'008286','B 224'</v>
      </c>
      <c r="E845" t="str">
        <f t="shared" si="26"/>
        <v>INSERT INTO grupos (id,matricula,grupo) values (3843,'008286','B 224');</v>
      </c>
    </row>
    <row r="846" spans="1:5" x14ac:dyDescent="0.35">
      <c r="A846">
        <v>3844</v>
      </c>
      <c r="B846" s="1" t="s">
        <v>839</v>
      </c>
      <c r="C846" s="1" t="s">
        <v>1430</v>
      </c>
      <c r="D846" t="str">
        <f t="shared" si="27"/>
        <v>3844,'008286','B 22B'</v>
      </c>
      <c r="E846" t="str">
        <f t="shared" si="26"/>
        <v>INSERT INTO grupos (id,matricula,grupo) values (3844,'008286','B 22B');</v>
      </c>
    </row>
    <row r="847" spans="1:5" x14ac:dyDescent="0.35">
      <c r="A847">
        <v>3845</v>
      </c>
      <c r="B847" s="1" t="s">
        <v>839</v>
      </c>
      <c r="C847" s="1" t="s">
        <v>1438</v>
      </c>
      <c r="D847" t="str">
        <f t="shared" si="27"/>
        <v>3845,'008286','B4° 3A-II'</v>
      </c>
      <c r="E847" t="str">
        <f t="shared" si="26"/>
        <v>INSERT INTO grupos (id,matricula,grupo) values (3845,'008286','B4° 3A-II');</v>
      </c>
    </row>
    <row r="848" spans="1:5" x14ac:dyDescent="0.35">
      <c r="A848">
        <v>3846</v>
      </c>
      <c r="B848" s="1" t="s">
        <v>840</v>
      </c>
      <c r="C848" s="1" t="s">
        <v>1429</v>
      </c>
      <c r="D848" t="str">
        <f t="shared" si="27"/>
        <v>3846,'008287','B 225'</v>
      </c>
      <c r="E848" t="str">
        <f t="shared" si="26"/>
        <v>INSERT INTO grupos (id,matricula,grupo) values (3846,'008287','B 225');</v>
      </c>
    </row>
    <row r="849" spans="1:5" x14ac:dyDescent="0.35">
      <c r="A849">
        <v>3847</v>
      </c>
      <c r="B849" s="1" t="s">
        <v>840</v>
      </c>
      <c r="C849" s="1" t="s">
        <v>1430</v>
      </c>
      <c r="D849" t="str">
        <f t="shared" si="27"/>
        <v>3847,'008287','B 22B'</v>
      </c>
      <c r="E849" t="str">
        <f t="shared" si="26"/>
        <v>INSERT INTO grupos (id,matricula,grupo) values (3847,'008287','B 22B');</v>
      </c>
    </row>
    <row r="850" spans="1:5" x14ac:dyDescent="0.35">
      <c r="A850">
        <v>3848</v>
      </c>
      <c r="B850" s="1" t="s">
        <v>840</v>
      </c>
      <c r="C850" s="1" t="s">
        <v>1434</v>
      </c>
      <c r="D850" t="str">
        <f t="shared" si="27"/>
        <v>3848,'008287','B4° 3B-II'</v>
      </c>
      <c r="E850" t="str">
        <f t="shared" si="26"/>
        <v>INSERT INTO grupos (id,matricula,grupo) values (3848,'008287','B4° 3B-II');</v>
      </c>
    </row>
    <row r="851" spans="1:5" x14ac:dyDescent="0.35">
      <c r="A851">
        <v>3849</v>
      </c>
      <c r="B851" s="1" t="s">
        <v>841</v>
      </c>
      <c r="C851" s="1" t="s">
        <v>1437</v>
      </c>
      <c r="D851" t="str">
        <f t="shared" si="27"/>
        <v>3849,'008289','B 21A'</v>
      </c>
      <c r="E851" t="str">
        <f t="shared" si="26"/>
        <v>INSERT INTO grupos (id,matricula,grupo) values (3849,'008289','B 21A');</v>
      </c>
    </row>
    <row r="852" spans="1:5" x14ac:dyDescent="0.35">
      <c r="A852">
        <v>3850</v>
      </c>
      <c r="B852" s="1" t="s">
        <v>841</v>
      </c>
      <c r="C852" s="1" t="s">
        <v>1432</v>
      </c>
      <c r="D852" t="str">
        <f t="shared" si="27"/>
        <v>3850,'008289','B 221'</v>
      </c>
      <c r="E852" t="str">
        <f t="shared" si="26"/>
        <v>INSERT INTO grupos (id,matricula,grupo) values (3850,'008289','B 221');</v>
      </c>
    </row>
    <row r="853" spans="1:5" x14ac:dyDescent="0.35">
      <c r="A853">
        <v>3851</v>
      </c>
      <c r="B853" s="1" t="s">
        <v>842</v>
      </c>
      <c r="C853" s="1" t="s">
        <v>1406</v>
      </c>
      <c r="D853" t="str">
        <f t="shared" si="27"/>
        <v>3851,'008292','B 32A'</v>
      </c>
      <c r="E853" t="str">
        <f t="shared" si="26"/>
        <v>INSERT INTO grupos (id,matricula,grupo) values (3851,'008292','B 32A');</v>
      </c>
    </row>
    <row r="854" spans="1:5" x14ac:dyDescent="0.35">
      <c r="A854">
        <v>3852</v>
      </c>
      <c r="B854" s="1" t="s">
        <v>842</v>
      </c>
      <c r="C854" s="1" t="s">
        <v>1412</v>
      </c>
      <c r="D854" t="str">
        <f t="shared" si="27"/>
        <v>3852,'008292','B 333'</v>
      </c>
      <c r="E854" t="str">
        <f t="shared" si="26"/>
        <v>INSERT INTO grupos (id,matricula,grupo) values (3852,'008292','B 333');</v>
      </c>
    </row>
    <row r="855" spans="1:5" x14ac:dyDescent="0.35">
      <c r="A855">
        <v>3853</v>
      </c>
      <c r="B855" s="1" t="s">
        <v>842</v>
      </c>
      <c r="C855" s="1" t="s">
        <v>1407</v>
      </c>
      <c r="D855" t="str">
        <f t="shared" si="27"/>
        <v>3853,'008292','B MATFIN A'</v>
      </c>
      <c r="E855" t="str">
        <f t="shared" si="26"/>
        <v>INSERT INTO grupos (id,matricula,grupo) values (3853,'008292','B MATFIN A');</v>
      </c>
    </row>
    <row r="856" spans="1:5" x14ac:dyDescent="0.35">
      <c r="A856">
        <v>3854</v>
      </c>
      <c r="B856" s="1" t="s">
        <v>842</v>
      </c>
      <c r="C856" s="1" t="s">
        <v>1424</v>
      </c>
      <c r="D856" t="str">
        <f t="shared" si="27"/>
        <v>3854,'008292','B6° 4B-II1'</v>
      </c>
      <c r="E856" t="str">
        <f t="shared" si="26"/>
        <v>INSERT INTO grupos (id,matricula,grupo) values (3854,'008292','B6° 4B-II1');</v>
      </c>
    </row>
    <row r="857" spans="1:5" x14ac:dyDescent="0.35">
      <c r="A857">
        <v>3855</v>
      </c>
      <c r="B857" s="1" t="s">
        <v>843</v>
      </c>
      <c r="C857" s="1" t="s">
        <v>1437</v>
      </c>
      <c r="D857" t="str">
        <f t="shared" si="27"/>
        <v>3855,'008293','B 21A'</v>
      </c>
      <c r="E857" t="str">
        <f t="shared" si="26"/>
        <v>INSERT INTO grupos (id,matricula,grupo) values (3855,'008293','B 21A');</v>
      </c>
    </row>
    <row r="858" spans="1:5" x14ac:dyDescent="0.35">
      <c r="A858">
        <v>3856</v>
      </c>
      <c r="B858" s="1" t="s">
        <v>843</v>
      </c>
      <c r="C858" s="1" t="s">
        <v>1436</v>
      </c>
      <c r="D858" t="str">
        <f t="shared" si="27"/>
        <v>3856,'008293','B 224'</v>
      </c>
      <c r="E858" t="str">
        <f t="shared" si="26"/>
        <v>INSERT INTO grupos (id,matricula,grupo) values (3856,'008293','B 224');</v>
      </c>
    </row>
    <row r="859" spans="1:5" x14ac:dyDescent="0.35">
      <c r="A859">
        <v>3857</v>
      </c>
      <c r="B859" s="1" t="s">
        <v>843</v>
      </c>
      <c r="C859" s="1" t="s">
        <v>1438</v>
      </c>
      <c r="D859" t="str">
        <f t="shared" si="27"/>
        <v>3857,'008293','B4° 3A-II'</v>
      </c>
      <c r="E859" t="str">
        <f t="shared" si="26"/>
        <v>INSERT INTO grupos (id,matricula,grupo) values (3857,'008293','B4° 3A-II');</v>
      </c>
    </row>
    <row r="860" spans="1:5" x14ac:dyDescent="0.35">
      <c r="A860">
        <v>3858</v>
      </c>
      <c r="B860" s="1" t="s">
        <v>844</v>
      </c>
      <c r="C860" s="1" t="s">
        <v>1432</v>
      </c>
      <c r="D860" t="str">
        <f t="shared" si="27"/>
        <v>3858,'008294','B 221'</v>
      </c>
      <c r="E860" t="str">
        <f t="shared" si="26"/>
        <v>INSERT INTO grupos (id,matricula,grupo) values (3858,'008294','B 221');</v>
      </c>
    </row>
    <row r="861" spans="1:5" x14ac:dyDescent="0.35">
      <c r="A861">
        <v>3859</v>
      </c>
      <c r="B861" s="1" t="s">
        <v>844</v>
      </c>
      <c r="C861" s="1" t="s">
        <v>1426</v>
      </c>
      <c r="D861" t="str">
        <f t="shared" si="27"/>
        <v>3859,'008294','B 22A'</v>
      </c>
      <c r="E861" t="str">
        <f t="shared" si="26"/>
        <v>INSERT INTO grupos (id,matricula,grupo) values (3859,'008294','B 22A');</v>
      </c>
    </row>
    <row r="862" spans="1:5" x14ac:dyDescent="0.35">
      <c r="A862">
        <v>3860</v>
      </c>
      <c r="B862" s="1" t="s">
        <v>845</v>
      </c>
      <c r="C862" s="1" t="s">
        <v>1436</v>
      </c>
      <c r="D862" t="str">
        <f t="shared" si="27"/>
        <v>3860,'008295','B 224'</v>
      </c>
      <c r="E862" t="str">
        <f t="shared" si="26"/>
        <v>INSERT INTO grupos (id,matricula,grupo) values (3860,'008295','B 224');</v>
      </c>
    </row>
    <row r="863" spans="1:5" x14ac:dyDescent="0.35">
      <c r="A863">
        <v>3861</v>
      </c>
      <c r="B863" s="1" t="s">
        <v>845</v>
      </c>
      <c r="C863" s="1" t="s">
        <v>1435</v>
      </c>
      <c r="D863" t="str">
        <f t="shared" si="27"/>
        <v>3861,'008295','B 24'</v>
      </c>
      <c r="E863" t="str">
        <f t="shared" si="26"/>
        <v>INSERT INTO grupos (id,matricula,grupo) values (3861,'008295','B 24');</v>
      </c>
    </row>
    <row r="864" spans="1:5" x14ac:dyDescent="0.35">
      <c r="A864">
        <v>3862</v>
      </c>
      <c r="B864" s="1" t="s">
        <v>845</v>
      </c>
      <c r="C864" s="1" t="s">
        <v>1438</v>
      </c>
      <c r="D864" t="str">
        <f t="shared" si="27"/>
        <v>3862,'008295','B4° 3A-II'</v>
      </c>
      <c r="E864" t="str">
        <f t="shared" si="26"/>
        <v>INSERT INTO grupos (id,matricula,grupo) values (3862,'008295','B4° 3A-II');</v>
      </c>
    </row>
    <row r="865" spans="1:5" x14ac:dyDescent="0.35">
      <c r="A865">
        <v>3863</v>
      </c>
      <c r="B865" s="1" t="s">
        <v>846</v>
      </c>
      <c r="C865" s="1" t="s">
        <v>1429</v>
      </c>
      <c r="D865" t="str">
        <f t="shared" si="27"/>
        <v>3863,'008296','B 225'</v>
      </c>
      <c r="E865" t="str">
        <f t="shared" si="26"/>
        <v>INSERT INTO grupos (id,matricula,grupo) values (3863,'008296','B 225');</v>
      </c>
    </row>
    <row r="866" spans="1:5" x14ac:dyDescent="0.35">
      <c r="A866">
        <v>3864</v>
      </c>
      <c r="B866" s="1" t="s">
        <v>846</v>
      </c>
      <c r="C866" s="1" t="s">
        <v>1433</v>
      </c>
      <c r="D866" t="str">
        <f t="shared" si="27"/>
        <v>3864,'008296','B 23'</v>
      </c>
      <c r="E866" t="str">
        <f t="shared" si="26"/>
        <v>INSERT INTO grupos (id,matricula,grupo) values (3864,'008296','B 23');</v>
      </c>
    </row>
    <row r="867" spans="1:5" x14ac:dyDescent="0.35">
      <c r="A867">
        <v>3865</v>
      </c>
      <c r="B867" s="1" t="s">
        <v>846</v>
      </c>
      <c r="C867" s="1" t="s">
        <v>1427</v>
      </c>
      <c r="D867" t="str">
        <f t="shared" si="27"/>
        <v>3865,'008296','B4° 4A-II'</v>
      </c>
      <c r="E867" t="str">
        <f t="shared" si="26"/>
        <v>INSERT INTO grupos (id,matricula,grupo) values (3865,'008296','B4° 4A-II');</v>
      </c>
    </row>
    <row r="868" spans="1:5" x14ac:dyDescent="0.35">
      <c r="A868">
        <v>3866</v>
      </c>
      <c r="B868" s="1" t="s">
        <v>847</v>
      </c>
      <c r="C868" s="1" t="s">
        <v>1425</v>
      </c>
      <c r="D868" t="str">
        <f t="shared" si="27"/>
        <v>3866,'008297','B 223'</v>
      </c>
      <c r="E868" t="str">
        <f t="shared" si="26"/>
        <v>INSERT INTO grupos (id,matricula,grupo) values (3866,'008297','B 223');</v>
      </c>
    </row>
    <row r="869" spans="1:5" x14ac:dyDescent="0.35">
      <c r="A869">
        <v>3867</v>
      </c>
      <c r="B869" s="1" t="s">
        <v>847</v>
      </c>
      <c r="C869" s="1" t="s">
        <v>1430</v>
      </c>
      <c r="D869" t="str">
        <f t="shared" si="27"/>
        <v>3867,'008297','B 22B'</v>
      </c>
      <c r="E869" t="str">
        <f t="shared" si="26"/>
        <v>INSERT INTO grupos (id,matricula,grupo) values (3867,'008297','B 22B');</v>
      </c>
    </row>
    <row r="870" spans="1:5" x14ac:dyDescent="0.35">
      <c r="A870">
        <v>3868</v>
      </c>
      <c r="B870" s="1" t="s">
        <v>847</v>
      </c>
      <c r="C870" s="1" t="s">
        <v>1434</v>
      </c>
      <c r="D870" t="str">
        <f t="shared" si="27"/>
        <v>3868,'008297','B4° 3B-II'</v>
      </c>
      <c r="E870" t="str">
        <f t="shared" si="26"/>
        <v>INSERT INTO grupos (id,matricula,grupo) values (3868,'008297','B4° 3B-II');</v>
      </c>
    </row>
    <row r="871" spans="1:5" x14ac:dyDescent="0.35">
      <c r="A871">
        <v>3869</v>
      </c>
      <c r="B871" s="1" t="s">
        <v>848</v>
      </c>
      <c r="C871" s="1" t="s">
        <v>1410</v>
      </c>
      <c r="D871" t="str">
        <f t="shared" si="27"/>
        <v>3869,'008299','B 31A'</v>
      </c>
      <c r="E871" t="str">
        <f t="shared" si="26"/>
        <v>INSERT INTO grupos (id,matricula,grupo) values (3869,'008299','B 31A');</v>
      </c>
    </row>
    <row r="872" spans="1:5" x14ac:dyDescent="0.35">
      <c r="A872">
        <v>3870</v>
      </c>
      <c r="B872" s="1" t="s">
        <v>848</v>
      </c>
      <c r="C872" s="1" t="s">
        <v>1417</v>
      </c>
      <c r="D872" t="str">
        <f t="shared" si="27"/>
        <v>3870,'008299','B 331'</v>
      </c>
      <c r="E872" t="str">
        <f t="shared" si="26"/>
        <v>INSERT INTO grupos (id,matricula,grupo) values (3870,'008299','B 331');</v>
      </c>
    </row>
    <row r="873" spans="1:5" x14ac:dyDescent="0.35">
      <c r="A873">
        <v>3871</v>
      </c>
      <c r="B873" s="1" t="s">
        <v>848</v>
      </c>
      <c r="C873" s="1" t="s">
        <v>1403</v>
      </c>
      <c r="D873" t="str">
        <f t="shared" si="27"/>
        <v>3871,'008299','B ESTADISC'</v>
      </c>
      <c r="E873" t="str">
        <f t="shared" si="26"/>
        <v>INSERT INTO grupos (id,matricula,grupo) values (3871,'008299','B ESTADISC');</v>
      </c>
    </row>
    <row r="874" spans="1:5" x14ac:dyDescent="0.35">
      <c r="A874">
        <v>3872</v>
      </c>
      <c r="B874" s="1" t="s">
        <v>849</v>
      </c>
      <c r="C874" s="1" t="s">
        <v>1437</v>
      </c>
      <c r="D874" t="str">
        <f t="shared" si="27"/>
        <v>3872,'008301','B 21A'</v>
      </c>
      <c r="E874" t="str">
        <f t="shared" si="26"/>
        <v>INSERT INTO grupos (id,matricula,grupo) values (3872,'008301','B 21A');</v>
      </c>
    </row>
    <row r="875" spans="1:5" x14ac:dyDescent="0.35">
      <c r="A875">
        <v>3873</v>
      </c>
      <c r="B875" s="1" t="s">
        <v>849</v>
      </c>
      <c r="C875" s="1" t="s">
        <v>1429</v>
      </c>
      <c r="D875" t="str">
        <f t="shared" si="27"/>
        <v>3873,'008301','B 225'</v>
      </c>
      <c r="E875" t="str">
        <f t="shared" si="26"/>
        <v>INSERT INTO grupos (id,matricula,grupo) values (3873,'008301','B 225');</v>
      </c>
    </row>
    <row r="876" spans="1:5" x14ac:dyDescent="0.35">
      <c r="A876">
        <v>3874</v>
      </c>
      <c r="B876" s="1" t="s">
        <v>849</v>
      </c>
      <c r="C876" s="1" t="s">
        <v>1438</v>
      </c>
      <c r="D876" t="str">
        <f t="shared" si="27"/>
        <v>3874,'008301','B4° 3A-II'</v>
      </c>
      <c r="E876" t="str">
        <f t="shared" si="26"/>
        <v>INSERT INTO grupos (id,matricula,grupo) values (3874,'008301','B4° 3A-II');</v>
      </c>
    </row>
    <row r="877" spans="1:5" x14ac:dyDescent="0.35">
      <c r="A877">
        <v>3875</v>
      </c>
      <c r="B877" s="1" t="s">
        <v>850</v>
      </c>
      <c r="C877" s="1" t="s">
        <v>1437</v>
      </c>
      <c r="D877" t="str">
        <f t="shared" si="27"/>
        <v>3875,'008304','B 21A'</v>
      </c>
      <c r="E877" t="str">
        <f t="shared" si="26"/>
        <v>INSERT INTO grupos (id,matricula,grupo) values (3875,'008304','B 21A');</v>
      </c>
    </row>
    <row r="878" spans="1:5" x14ac:dyDescent="0.35">
      <c r="A878">
        <v>3876</v>
      </c>
      <c r="B878" s="1" t="s">
        <v>850</v>
      </c>
      <c r="C878" s="1" t="s">
        <v>1429</v>
      </c>
      <c r="D878" t="str">
        <f t="shared" si="27"/>
        <v>3876,'008304','B 225'</v>
      </c>
      <c r="E878" t="str">
        <f t="shared" si="26"/>
        <v>INSERT INTO grupos (id,matricula,grupo) values (3876,'008304','B 225');</v>
      </c>
    </row>
    <row r="879" spans="1:5" x14ac:dyDescent="0.35">
      <c r="A879">
        <v>3877</v>
      </c>
      <c r="B879" s="1" t="s">
        <v>850</v>
      </c>
      <c r="C879" s="1" t="s">
        <v>1427</v>
      </c>
      <c r="D879" t="str">
        <f t="shared" si="27"/>
        <v>3877,'008304','B4° 4A-II'</v>
      </c>
      <c r="E879" t="str">
        <f t="shared" si="26"/>
        <v>INSERT INTO grupos (id,matricula,grupo) values (3877,'008304','B4° 4A-II');</v>
      </c>
    </row>
    <row r="880" spans="1:5" x14ac:dyDescent="0.35">
      <c r="A880">
        <v>3878</v>
      </c>
      <c r="B880" s="1" t="s">
        <v>851</v>
      </c>
      <c r="C880" s="1" t="s">
        <v>1436</v>
      </c>
      <c r="D880" t="str">
        <f t="shared" si="27"/>
        <v>3878,'008305','B 224'</v>
      </c>
      <c r="E880" t="str">
        <f t="shared" si="26"/>
        <v>INSERT INTO grupos (id,matricula,grupo) values (3878,'008305','B 224');</v>
      </c>
    </row>
    <row r="881" spans="1:5" x14ac:dyDescent="0.35">
      <c r="A881">
        <v>3879</v>
      </c>
      <c r="B881" s="1" t="s">
        <v>851</v>
      </c>
      <c r="C881" s="1" t="s">
        <v>1433</v>
      </c>
      <c r="D881" t="str">
        <f t="shared" si="27"/>
        <v>3879,'008305','B 23'</v>
      </c>
      <c r="E881" t="str">
        <f t="shared" si="26"/>
        <v>INSERT INTO grupos (id,matricula,grupo) values (3879,'008305','B 23');</v>
      </c>
    </row>
    <row r="882" spans="1:5" x14ac:dyDescent="0.35">
      <c r="A882">
        <v>3880</v>
      </c>
      <c r="B882" s="1" t="s">
        <v>851</v>
      </c>
      <c r="C882" s="1" t="s">
        <v>1438</v>
      </c>
      <c r="D882" t="str">
        <f t="shared" si="27"/>
        <v>3880,'008305','B4° 3A-II'</v>
      </c>
      <c r="E882" t="str">
        <f t="shared" si="26"/>
        <v>INSERT INTO grupos (id,matricula,grupo) values (3880,'008305','B4° 3A-II');</v>
      </c>
    </row>
    <row r="883" spans="1:5" x14ac:dyDescent="0.35">
      <c r="A883">
        <v>3881</v>
      </c>
      <c r="B883" s="1" t="s">
        <v>852</v>
      </c>
      <c r="C883" s="1" t="s">
        <v>1425</v>
      </c>
      <c r="D883" t="str">
        <f t="shared" si="27"/>
        <v>3881,'008306','B 223'</v>
      </c>
      <c r="E883" t="str">
        <f t="shared" si="26"/>
        <v>INSERT INTO grupos (id,matricula,grupo) values (3881,'008306','B 223');</v>
      </c>
    </row>
    <row r="884" spans="1:5" x14ac:dyDescent="0.35">
      <c r="A884">
        <v>3882</v>
      </c>
      <c r="B884" s="1" t="s">
        <v>852</v>
      </c>
      <c r="C884" s="1" t="s">
        <v>1435</v>
      </c>
      <c r="D884" t="str">
        <f t="shared" si="27"/>
        <v>3882,'008306','B 24'</v>
      </c>
      <c r="E884" t="str">
        <f t="shared" si="26"/>
        <v>INSERT INTO grupos (id,matricula,grupo) values (3882,'008306','B 24');</v>
      </c>
    </row>
    <row r="885" spans="1:5" x14ac:dyDescent="0.35">
      <c r="A885">
        <v>3883</v>
      </c>
      <c r="B885" s="1" t="s">
        <v>852</v>
      </c>
      <c r="C885" s="1" t="s">
        <v>1427</v>
      </c>
      <c r="D885" t="str">
        <f t="shared" si="27"/>
        <v>3883,'008306','B4° 4A-II'</v>
      </c>
      <c r="E885" t="str">
        <f t="shared" si="26"/>
        <v>INSERT INTO grupos (id,matricula,grupo) values (3883,'008306','B4° 4A-II');</v>
      </c>
    </row>
    <row r="886" spans="1:5" x14ac:dyDescent="0.35">
      <c r="A886">
        <v>3884</v>
      </c>
      <c r="B886" s="1" t="s">
        <v>853</v>
      </c>
      <c r="C886" s="1" t="s">
        <v>1439</v>
      </c>
      <c r="D886" t="str">
        <f t="shared" si="27"/>
        <v>3884,'008309','B 114'</v>
      </c>
      <c r="E886" t="str">
        <f t="shared" si="26"/>
        <v>INSERT INTO grupos (id,matricula,grupo) values (3884,'008309','B 114');</v>
      </c>
    </row>
    <row r="887" spans="1:5" x14ac:dyDescent="0.35">
      <c r="A887">
        <v>3885</v>
      </c>
      <c r="B887" s="1" t="s">
        <v>853</v>
      </c>
      <c r="C887" s="1" t="s">
        <v>1440</v>
      </c>
      <c r="D887" t="str">
        <f t="shared" si="27"/>
        <v>3885,'008309','B2° 3A-II'</v>
      </c>
      <c r="E887" t="str">
        <f t="shared" si="26"/>
        <v>INSERT INTO grupos (id,matricula,grupo) values (3885,'008309','B2° 3A-II');</v>
      </c>
    </row>
    <row r="888" spans="1:5" x14ac:dyDescent="0.35">
      <c r="A888">
        <v>3886</v>
      </c>
      <c r="B888" s="1" t="s">
        <v>854</v>
      </c>
      <c r="C888" s="1" t="s">
        <v>1410</v>
      </c>
      <c r="D888" t="str">
        <f t="shared" si="27"/>
        <v>3886,'008310','B 31A'</v>
      </c>
      <c r="E888" t="str">
        <f t="shared" si="26"/>
        <v>INSERT INTO grupos (id,matricula,grupo) values (3886,'008310','B 31A');</v>
      </c>
    </row>
    <row r="889" spans="1:5" x14ac:dyDescent="0.35">
      <c r="A889">
        <v>3887</v>
      </c>
      <c r="B889" s="1" t="s">
        <v>854</v>
      </c>
      <c r="C889" s="1" t="s">
        <v>1417</v>
      </c>
      <c r="D889" t="str">
        <f t="shared" si="27"/>
        <v>3887,'008310','B 331'</v>
      </c>
      <c r="E889" t="str">
        <f t="shared" si="26"/>
        <v>INSERT INTO grupos (id,matricula,grupo) values (3887,'008310','B 331');</v>
      </c>
    </row>
    <row r="890" spans="1:5" x14ac:dyDescent="0.35">
      <c r="A890">
        <v>3888</v>
      </c>
      <c r="B890" s="1" t="s">
        <v>854</v>
      </c>
      <c r="C890" s="1" t="s">
        <v>1411</v>
      </c>
      <c r="D890" t="str">
        <f t="shared" si="27"/>
        <v>3888,'008310','B ESTADISA'</v>
      </c>
      <c r="E890" t="str">
        <f t="shared" si="26"/>
        <v>INSERT INTO grupos (id,matricula,grupo) values (3888,'008310','B ESTADISA');</v>
      </c>
    </row>
    <row r="891" spans="1:5" x14ac:dyDescent="0.35">
      <c r="A891">
        <v>3889</v>
      </c>
      <c r="B891" s="1" t="s">
        <v>855</v>
      </c>
      <c r="C891" s="1" t="s">
        <v>1422</v>
      </c>
      <c r="D891" t="str">
        <f t="shared" si="27"/>
        <v>3889,'008311','B 34'</v>
      </c>
      <c r="E891" t="str">
        <f t="shared" si="26"/>
        <v>INSERT INTO grupos (id,matricula,grupo) values (3889,'008311','B 34');</v>
      </c>
    </row>
    <row r="892" spans="1:5" x14ac:dyDescent="0.35">
      <c r="A892">
        <v>3890</v>
      </c>
      <c r="B892" s="1" t="s">
        <v>855</v>
      </c>
      <c r="C892" s="1" t="s">
        <v>1408</v>
      </c>
      <c r="D892" t="str">
        <f t="shared" si="27"/>
        <v>3890,'008311','B ESTADISB'</v>
      </c>
      <c r="E892" t="str">
        <f t="shared" si="26"/>
        <v>INSERT INTO grupos (id,matricula,grupo) values (3890,'008311','B ESTADISB');</v>
      </c>
    </row>
    <row r="893" spans="1:5" x14ac:dyDescent="0.35">
      <c r="A893">
        <v>3891</v>
      </c>
      <c r="B893" s="1" t="s">
        <v>855</v>
      </c>
      <c r="C893" s="1" t="s">
        <v>1409</v>
      </c>
      <c r="D893" t="str">
        <f t="shared" si="27"/>
        <v>3891,'008311','B335'</v>
      </c>
      <c r="E893" t="str">
        <f t="shared" si="26"/>
        <v>INSERT INTO grupos (id,matricula,grupo) values (3891,'008311','B335');</v>
      </c>
    </row>
    <row r="894" spans="1:5" x14ac:dyDescent="0.35">
      <c r="A894">
        <v>3892</v>
      </c>
      <c r="B894" s="1" t="s">
        <v>855</v>
      </c>
      <c r="C894" s="1" t="s">
        <v>1405</v>
      </c>
      <c r="D894" t="str">
        <f t="shared" si="27"/>
        <v>3892,'008311','B6° 4B-II2'</v>
      </c>
      <c r="E894" t="str">
        <f t="shared" si="26"/>
        <v>INSERT INTO grupos (id,matricula,grupo) values (3892,'008311','B6° 4B-II2');</v>
      </c>
    </row>
    <row r="895" spans="1:5" x14ac:dyDescent="0.35">
      <c r="A895">
        <v>3893</v>
      </c>
      <c r="B895" s="1" t="s">
        <v>856</v>
      </c>
      <c r="C895" s="1" t="s">
        <v>1425</v>
      </c>
      <c r="D895" t="str">
        <f t="shared" si="27"/>
        <v>3893,'008312','B 223'</v>
      </c>
      <c r="E895" t="str">
        <f t="shared" si="26"/>
        <v>INSERT INTO grupos (id,matricula,grupo) values (3893,'008312','B 223');</v>
      </c>
    </row>
    <row r="896" spans="1:5" x14ac:dyDescent="0.35">
      <c r="A896">
        <v>3894</v>
      </c>
      <c r="B896" s="1" t="s">
        <v>856</v>
      </c>
      <c r="C896" s="1" t="s">
        <v>1426</v>
      </c>
      <c r="D896" t="str">
        <f t="shared" si="27"/>
        <v>3894,'008312','B 22A'</v>
      </c>
      <c r="E896" t="str">
        <f t="shared" si="26"/>
        <v>INSERT INTO grupos (id,matricula,grupo) values (3894,'008312','B 22A');</v>
      </c>
    </row>
    <row r="897" spans="1:5" x14ac:dyDescent="0.35">
      <c r="A897">
        <v>3895</v>
      </c>
      <c r="B897" s="1" t="s">
        <v>856</v>
      </c>
      <c r="C897" s="1" t="s">
        <v>1438</v>
      </c>
      <c r="D897" t="str">
        <f t="shared" si="27"/>
        <v>3895,'008312','B4° 3A-II'</v>
      </c>
      <c r="E897" t="str">
        <f t="shared" si="26"/>
        <v>INSERT INTO grupos (id,matricula,grupo) values (3895,'008312','B4° 3A-II');</v>
      </c>
    </row>
    <row r="898" spans="1:5" x14ac:dyDescent="0.35">
      <c r="A898">
        <v>3896</v>
      </c>
      <c r="B898" s="1" t="s">
        <v>857</v>
      </c>
      <c r="C898" s="1" t="s">
        <v>1429</v>
      </c>
      <c r="D898" t="str">
        <f t="shared" si="27"/>
        <v>3896,'008313','B 225'</v>
      </c>
      <c r="E898" t="str">
        <f t="shared" ref="E898:E961" si="28">CONCATENATE($D$1,D898,");")</f>
        <v>INSERT INTO grupos (id,matricula,grupo) values (3896,'008313','B 225');</v>
      </c>
    </row>
    <row r="899" spans="1:5" x14ac:dyDescent="0.35">
      <c r="A899">
        <v>3897</v>
      </c>
      <c r="B899" s="1" t="s">
        <v>857</v>
      </c>
      <c r="C899" s="1" t="s">
        <v>1426</v>
      </c>
      <c r="D899" t="str">
        <f t="shared" ref="D899:D962" si="29">CONCATENATE(A899,",",B899,",",C899,"")</f>
        <v>3897,'008313','B 22A'</v>
      </c>
      <c r="E899" t="str">
        <f t="shared" si="28"/>
        <v>INSERT INTO grupos (id,matricula,grupo) values (3897,'008313','B 22A');</v>
      </c>
    </row>
    <row r="900" spans="1:5" x14ac:dyDescent="0.35">
      <c r="A900">
        <v>3898</v>
      </c>
      <c r="B900" s="1" t="s">
        <v>857</v>
      </c>
      <c r="C900" s="1" t="s">
        <v>1427</v>
      </c>
      <c r="D900" t="str">
        <f t="shared" si="29"/>
        <v>3898,'008313','B4° 4A-II'</v>
      </c>
      <c r="E900" t="str">
        <f t="shared" si="28"/>
        <v>INSERT INTO grupos (id,matricula,grupo) values (3898,'008313','B4° 4A-II');</v>
      </c>
    </row>
    <row r="901" spans="1:5" x14ac:dyDescent="0.35">
      <c r="A901">
        <v>3899</v>
      </c>
      <c r="B901" s="1" t="s">
        <v>858</v>
      </c>
      <c r="C901" s="1" t="s">
        <v>1441</v>
      </c>
      <c r="D901" t="str">
        <f t="shared" si="29"/>
        <v>3899,'008314','B 113'</v>
      </c>
      <c r="E901" t="str">
        <f t="shared" si="28"/>
        <v>INSERT INTO grupos (id,matricula,grupo) values (3899,'008314','B 113');</v>
      </c>
    </row>
    <row r="902" spans="1:5" x14ac:dyDescent="0.35">
      <c r="A902">
        <v>3900</v>
      </c>
      <c r="B902" s="1" t="s">
        <v>858</v>
      </c>
      <c r="C902" s="1" t="s">
        <v>1442</v>
      </c>
      <c r="D902" t="str">
        <f t="shared" si="29"/>
        <v>3900,'008314','B2° 2B-II'</v>
      </c>
      <c r="E902" t="str">
        <f t="shared" si="28"/>
        <v>INSERT INTO grupos (id,matricula,grupo) values (3900,'008314','B2° 2B-II');</v>
      </c>
    </row>
    <row r="903" spans="1:5" x14ac:dyDescent="0.35">
      <c r="A903">
        <v>3901</v>
      </c>
      <c r="B903" s="1" t="s">
        <v>859</v>
      </c>
      <c r="C903" s="1" t="s">
        <v>1414</v>
      </c>
      <c r="D903" t="str">
        <f t="shared" si="29"/>
        <v>3901,'008315','B 32B'</v>
      </c>
      <c r="E903" t="str">
        <f t="shared" si="28"/>
        <v>INSERT INTO grupos (id,matricula,grupo) values (3901,'008315','B 32B');</v>
      </c>
    </row>
    <row r="904" spans="1:5" x14ac:dyDescent="0.35">
      <c r="A904">
        <v>3902</v>
      </c>
      <c r="B904" s="1" t="s">
        <v>859</v>
      </c>
      <c r="C904" s="1" t="s">
        <v>1415</v>
      </c>
      <c r="D904" t="str">
        <f t="shared" si="29"/>
        <v>3902,'008315','B MATFIN B'</v>
      </c>
      <c r="E904" t="str">
        <f t="shared" si="28"/>
        <v>INSERT INTO grupos (id,matricula,grupo) values (3902,'008315','B MATFIN B');</v>
      </c>
    </row>
    <row r="905" spans="1:5" x14ac:dyDescent="0.35">
      <c r="A905">
        <v>3903</v>
      </c>
      <c r="B905" s="1" t="s">
        <v>859</v>
      </c>
      <c r="C905" s="1" t="s">
        <v>1404</v>
      </c>
      <c r="D905" t="str">
        <f t="shared" si="29"/>
        <v>3903,'008315','B334'</v>
      </c>
      <c r="E905" t="str">
        <f t="shared" si="28"/>
        <v>INSERT INTO grupos (id,matricula,grupo) values (3903,'008315','B334');</v>
      </c>
    </row>
    <row r="906" spans="1:5" x14ac:dyDescent="0.35">
      <c r="A906">
        <v>3904</v>
      </c>
      <c r="B906" s="1" t="s">
        <v>859</v>
      </c>
      <c r="C906" s="1" t="s">
        <v>1405</v>
      </c>
      <c r="D906" t="str">
        <f t="shared" si="29"/>
        <v>3904,'008315','B6° 4B-II2'</v>
      </c>
      <c r="E906" t="str">
        <f t="shared" si="28"/>
        <v>INSERT INTO grupos (id,matricula,grupo) values (3904,'008315','B6° 4B-II2');</v>
      </c>
    </row>
    <row r="907" spans="1:5" x14ac:dyDescent="0.35">
      <c r="A907">
        <v>3905</v>
      </c>
      <c r="B907" s="1" t="s">
        <v>860</v>
      </c>
      <c r="C907" s="1" t="s">
        <v>1443</v>
      </c>
      <c r="D907" t="str">
        <f t="shared" si="29"/>
        <v>3905,'008316','B 111'</v>
      </c>
      <c r="E907" t="str">
        <f t="shared" si="28"/>
        <v>INSERT INTO grupos (id,matricula,grupo) values (3905,'008316','B 111');</v>
      </c>
    </row>
    <row r="908" spans="1:5" x14ac:dyDescent="0.35">
      <c r="A908">
        <v>3906</v>
      </c>
      <c r="B908" s="1" t="s">
        <v>861</v>
      </c>
      <c r="C908" s="1" t="s">
        <v>1444</v>
      </c>
      <c r="D908" t="str">
        <f t="shared" si="29"/>
        <v>3906,'008317','B 112'</v>
      </c>
      <c r="E908" t="str">
        <f t="shared" si="28"/>
        <v>INSERT INTO grupos (id,matricula,grupo) values (3906,'008317','B 112');</v>
      </c>
    </row>
    <row r="909" spans="1:5" x14ac:dyDescent="0.35">
      <c r="A909">
        <v>3907</v>
      </c>
      <c r="B909" s="1" t="s">
        <v>861</v>
      </c>
      <c r="C909" s="1" t="s">
        <v>1442</v>
      </c>
      <c r="D909" t="str">
        <f t="shared" si="29"/>
        <v>3907,'008317','B2° 2B-II'</v>
      </c>
      <c r="E909" t="str">
        <f t="shared" si="28"/>
        <v>INSERT INTO grupos (id,matricula,grupo) values (3907,'008317','B2° 2B-II');</v>
      </c>
    </row>
    <row r="910" spans="1:5" x14ac:dyDescent="0.35">
      <c r="A910">
        <v>3908</v>
      </c>
      <c r="B910" s="1" t="s">
        <v>862</v>
      </c>
      <c r="C910" s="1" t="s">
        <v>1422</v>
      </c>
      <c r="D910" t="str">
        <f t="shared" si="29"/>
        <v>3908,'008318','B 34'</v>
      </c>
      <c r="E910" t="str">
        <f t="shared" si="28"/>
        <v>INSERT INTO grupos (id,matricula,grupo) values (3908,'008318','B 34');</v>
      </c>
    </row>
    <row r="911" spans="1:5" x14ac:dyDescent="0.35">
      <c r="A911">
        <v>3909</v>
      </c>
      <c r="B911" s="1" t="s">
        <v>862</v>
      </c>
      <c r="C911" s="1" t="s">
        <v>1408</v>
      </c>
      <c r="D911" t="str">
        <f t="shared" si="29"/>
        <v>3909,'008318','B ESTADISB'</v>
      </c>
      <c r="E911" t="str">
        <f t="shared" si="28"/>
        <v>INSERT INTO grupos (id,matricula,grupo) values (3909,'008318','B ESTADISB');</v>
      </c>
    </row>
    <row r="912" spans="1:5" x14ac:dyDescent="0.35">
      <c r="A912">
        <v>3910</v>
      </c>
      <c r="B912" s="1" t="s">
        <v>862</v>
      </c>
      <c r="C912" s="1" t="s">
        <v>1404</v>
      </c>
      <c r="D912" t="str">
        <f t="shared" si="29"/>
        <v>3910,'008318','B334'</v>
      </c>
      <c r="E912" t="str">
        <f t="shared" si="28"/>
        <v>INSERT INTO grupos (id,matricula,grupo) values (3910,'008318','B334');</v>
      </c>
    </row>
    <row r="913" spans="1:5" x14ac:dyDescent="0.35">
      <c r="A913">
        <v>3911</v>
      </c>
      <c r="B913" s="1" t="s">
        <v>862</v>
      </c>
      <c r="C913" s="1" t="s">
        <v>1405</v>
      </c>
      <c r="D913" t="str">
        <f t="shared" si="29"/>
        <v>3911,'008318','B6° 4B-II2'</v>
      </c>
      <c r="E913" t="str">
        <f t="shared" si="28"/>
        <v>INSERT INTO grupos (id,matricula,grupo) values (3911,'008318','B6° 4B-II2');</v>
      </c>
    </row>
    <row r="914" spans="1:5" x14ac:dyDescent="0.35">
      <c r="A914">
        <v>3912</v>
      </c>
      <c r="B914" s="1" t="s">
        <v>863</v>
      </c>
      <c r="C914" s="1" t="s">
        <v>1443</v>
      </c>
      <c r="D914" t="str">
        <f t="shared" si="29"/>
        <v>3912,'008319','B 111'</v>
      </c>
      <c r="E914" t="str">
        <f t="shared" si="28"/>
        <v>INSERT INTO grupos (id,matricula,grupo) values (3912,'008319','B 111');</v>
      </c>
    </row>
    <row r="915" spans="1:5" x14ac:dyDescent="0.35">
      <c r="A915">
        <v>3913</v>
      </c>
      <c r="B915" s="1" t="s">
        <v>864</v>
      </c>
      <c r="C915" s="1" t="s">
        <v>1441</v>
      </c>
      <c r="D915" t="str">
        <f t="shared" si="29"/>
        <v>3913,'008320','B 113'</v>
      </c>
      <c r="E915" t="str">
        <f t="shared" si="28"/>
        <v>INSERT INTO grupos (id,matricula,grupo) values (3913,'008320','B 113');</v>
      </c>
    </row>
    <row r="916" spans="1:5" x14ac:dyDescent="0.35">
      <c r="A916">
        <v>3914</v>
      </c>
      <c r="B916" s="1" t="s">
        <v>864</v>
      </c>
      <c r="C916" s="1" t="s">
        <v>1440</v>
      </c>
      <c r="D916" t="str">
        <f t="shared" si="29"/>
        <v>3914,'008320','B2° 3A-II'</v>
      </c>
      <c r="E916" t="str">
        <f t="shared" si="28"/>
        <v>INSERT INTO grupos (id,matricula,grupo) values (3914,'008320','B2° 3A-II');</v>
      </c>
    </row>
    <row r="917" spans="1:5" x14ac:dyDescent="0.35">
      <c r="A917">
        <v>3915</v>
      </c>
      <c r="B917" s="1" t="s">
        <v>865</v>
      </c>
      <c r="C917" s="1" t="s">
        <v>1441</v>
      </c>
      <c r="D917" t="str">
        <f t="shared" si="29"/>
        <v>3915,'008321','B 113'</v>
      </c>
      <c r="E917" t="str">
        <f t="shared" si="28"/>
        <v>INSERT INTO grupos (id,matricula,grupo) values (3915,'008321','B 113');</v>
      </c>
    </row>
    <row r="918" spans="1:5" x14ac:dyDescent="0.35">
      <c r="A918">
        <v>3916</v>
      </c>
      <c r="B918" s="1" t="s">
        <v>865</v>
      </c>
      <c r="C918" s="1" t="s">
        <v>1442</v>
      </c>
      <c r="D918" t="str">
        <f t="shared" si="29"/>
        <v>3916,'008321','B2° 2B-II'</v>
      </c>
      <c r="E918" t="str">
        <f t="shared" si="28"/>
        <v>INSERT INTO grupos (id,matricula,grupo) values (3916,'008321','B2° 2B-II');</v>
      </c>
    </row>
    <row r="919" spans="1:5" x14ac:dyDescent="0.35">
      <c r="A919">
        <v>3917</v>
      </c>
      <c r="B919" s="1" t="s">
        <v>866</v>
      </c>
      <c r="C919" s="1" t="s">
        <v>1443</v>
      </c>
      <c r="D919" t="str">
        <f t="shared" si="29"/>
        <v>3917,'008324','B 111'</v>
      </c>
      <c r="E919" t="str">
        <f t="shared" si="28"/>
        <v>INSERT INTO grupos (id,matricula,grupo) values (3917,'008324','B 111');</v>
      </c>
    </row>
    <row r="920" spans="1:5" x14ac:dyDescent="0.35">
      <c r="A920">
        <v>3918</v>
      </c>
      <c r="B920" s="1" t="s">
        <v>867</v>
      </c>
      <c r="C920" s="1" t="s">
        <v>1443</v>
      </c>
      <c r="D920" t="str">
        <f t="shared" si="29"/>
        <v>3918,'008325','B 111'</v>
      </c>
      <c r="E920" t="str">
        <f t="shared" si="28"/>
        <v>INSERT INTO grupos (id,matricula,grupo) values (3918,'008325','B 111');</v>
      </c>
    </row>
    <row r="921" spans="1:5" x14ac:dyDescent="0.35">
      <c r="A921">
        <v>3919</v>
      </c>
      <c r="B921" s="1" t="s">
        <v>868</v>
      </c>
      <c r="C921" s="1" t="s">
        <v>1443</v>
      </c>
      <c r="D921" t="str">
        <f t="shared" si="29"/>
        <v>3919,'008326','B 111'</v>
      </c>
      <c r="E921" t="str">
        <f t="shared" si="28"/>
        <v>INSERT INTO grupos (id,matricula,grupo) values (3919,'008326','B 111');</v>
      </c>
    </row>
    <row r="922" spans="1:5" x14ac:dyDescent="0.35">
      <c r="A922">
        <v>3920</v>
      </c>
      <c r="B922" s="1" t="s">
        <v>869</v>
      </c>
      <c r="C922" s="1" t="s">
        <v>1443</v>
      </c>
      <c r="D922" t="str">
        <f t="shared" si="29"/>
        <v>3920,'008327','B 111'</v>
      </c>
      <c r="E922" t="str">
        <f t="shared" si="28"/>
        <v>INSERT INTO grupos (id,matricula,grupo) values (3920,'008327','B 111');</v>
      </c>
    </row>
    <row r="923" spans="1:5" x14ac:dyDescent="0.35">
      <c r="A923">
        <v>3921</v>
      </c>
      <c r="B923" s="1" t="s">
        <v>870</v>
      </c>
      <c r="C923" s="1" t="s">
        <v>1441</v>
      </c>
      <c r="D923" t="str">
        <f t="shared" si="29"/>
        <v>3921,'008328','B 113'</v>
      </c>
      <c r="E923" t="str">
        <f t="shared" si="28"/>
        <v>INSERT INTO grupos (id,matricula,grupo) values (3921,'008328','B 113');</v>
      </c>
    </row>
    <row r="924" spans="1:5" x14ac:dyDescent="0.35">
      <c r="A924">
        <v>3922</v>
      </c>
      <c r="B924" s="1" t="s">
        <v>870</v>
      </c>
      <c r="C924" s="1" t="s">
        <v>1440</v>
      </c>
      <c r="D924" t="str">
        <f t="shared" si="29"/>
        <v>3922,'008328','B2° 3A-II'</v>
      </c>
      <c r="E924" t="str">
        <f t="shared" si="28"/>
        <v>INSERT INTO grupos (id,matricula,grupo) values (3922,'008328','B2° 3A-II');</v>
      </c>
    </row>
    <row r="925" spans="1:5" x14ac:dyDescent="0.35">
      <c r="A925">
        <v>3923</v>
      </c>
      <c r="B925" s="1" t="s">
        <v>871</v>
      </c>
      <c r="C925" s="1" t="s">
        <v>1444</v>
      </c>
      <c r="D925" t="str">
        <f t="shared" si="29"/>
        <v>3923,'008329','B 112'</v>
      </c>
      <c r="E925" t="str">
        <f t="shared" si="28"/>
        <v>INSERT INTO grupos (id,matricula,grupo) values (3923,'008329','B 112');</v>
      </c>
    </row>
    <row r="926" spans="1:5" x14ac:dyDescent="0.35">
      <c r="A926">
        <v>3924</v>
      </c>
      <c r="B926" s="1" t="s">
        <v>871</v>
      </c>
      <c r="C926" s="1" t="s">
        <v>1445</v>
      </c>
      <c r="D926" t="str">
        <f t="shared" si="29"/>
        <v>3924,'008329','B2° 4A-II'</v>
      </c>
      <c r="E926" t="str">
        <f t="shared" si="28"/>
        <v>INSERT INTO grupos (id,matricula,grupo) values (3924,'008329','B2° 4A-II');</v>
      </c>
    </row>
    <row r="927" spans="1:5" x14ac:dyDescent="0.35">
      <c r="A927">
        <v>3925</v>
      </c>
      <c r="B927" s="1" t="s">
        <v>872</v>
      </c>
      <c r="C927" s="1" t="s">
        <v>1439</v>
      </c>
      <c r="D927" t="str">
        <f t="shared" si="29"/>
        <v>3925,'008330','B 114'</v>
      </c>
      <c r="E927" t="str">
        <f t="shared" si="28"/>
        <v>INSERT INTO grupos (id,matricula,grupo) values (3925,'008330','B 114');</v>
      </c>
    </row>
    <row r="928" spans="1:5" x14ac:dyDescent="0.35">
      <c r="A928">
        <v>3926</v>
      </c>
      <c r="B928" s="1" t="s">
        <v>872</v>
      </c>
      <c r="C928" s="1" t="s">
        <v>1440</v>
      </c>
      <c r="D928" t="str">
        <f t="shared" si="29"/>
        <v>3926,'008330','B2° 3A-II'</v>
      </c>
      <c r="E928" t="str">
        <f t="shared" si="28"/>
        <v>INSERT INTO grupos (id,matricula,grupo) values (3926,'008330','B2° 3A-II');</v>
      </c>
    </row>
    <row r="929" spans="1:5" x14ac:dyDescent="0.35">
      <c r="A929">
        <v>3927</v>
      </c>
      <c r="B929" s="1" t="s">
        <v>873</v>
      </c>
      <c r="C929" s="1" t="s">
        <v>1439</v>
      </c>
      <c r="D929" t="str">
        <f t="shared" si="29"/>
        <v>3927,'008331','B 114'</v>
      </c>
      <c r="E929" t="str">
        <f t="shared" si="28"/>
        <v>INSERT INTO grupos (id,matricula,grupo) values (3927,'008331','B 114');</v>
      </c>
    </row>
    <row r="930" spans="1:5" x14ac:dyDescent="0.35">
      <c r="A930">
        <v>3928</v>
      </c>
      <c r="B930" s="1" t="s">
        <v>873</v>
      </c>
      <c r="C930" s="1" t="s">
        <v>1442</v>
      </c>
      <c r="D930" t="str">
        <f t="shared" si="29"/>
        <v>3928,'008331','B2° 2B-II'</v>
      </c>
      <c r="E930" t="str">
        <f t="shared" si="28"/>
        <v>INSERT INTO grupos (id,matricula,grupo) values (3928,'008331','B2° 2B-II');</v>
      </c>
    </row>
    <row r="931" spans="1:5" x14ac:dyDescent="0.35">
      <c r="A931">
        <v>3929</v>
      </c>
      <c r="B931" s="1" t="s">
        <v>874</v>
      </c>
      <c r="C931" s="1" t="s">
        <v>1441</v>
      </c>
      <c r="D931" t="str">
        <f t="shared" si="29"/>
        <v>3929,'008332','B 113'</v>
      </c>
      <c r="E931" t="str">
        <f t="shared" si="28"/>
        <v>INSERT INTO grupos (id,matricula,grupo) values (3929,'008332','B 113');</v>
      </c>
    </row>
    <row r="932" spans="1:5" x14ac:dyDescent="0.35">
      <c r="A932">
        <v>3930</v>
      </c>
      <c r="B932" s="1" t="s">
        <v>874</v>
      </c>
      <c r="C932" s="1" t="s">
        <v>1445</v>
      </c>
      <c r="D932" t="str">
        <f t="shared" si="29"/>
        <v>3930,'008332','B2° 4A-II'</v>
      </c>
      <c r="E932" t="str">
        <f t="shared" si="28"/>
        <v>INSERT INTO grupos (id,matricula,grupo) values (3930,'008332','B2° 4A-II');</v>
      </c>
    </row>
    <row r="933" spans="1:5" x14ac:dyDescent="0.35">
      <c r="A933">
        <v>3931</v>
      </c>
      <c r="B933" s="1" t="s">
        <v>875</v>
      </c>
      <c r="C933" s="1" t="s">
        <v>1443</v>
      </c>
      <c r="D933" t="str">
        <f t="shared" si="29"/>
        <v>3931,'008333','B 111'</v>
      </c>
      <c r="E933" t="str">
        <f t="shared" si="28"/>
        <v>INSERT INTO grupos (id,matricula,grupo) values (3931,'008333','B 111');</v>
      </c>
    </row>
    <row r="934" spans="1:5" x14ac:dyDescent="0.35">
      <c r="A934">
        <v>3932</v>
      </c>
      <c r="B934" s="1" t="s">
        <v>876</v>
      </c>
      <c r="C934" s="1" t="s">
        <v>1432</v>
      </c>
      <c r="D934" t="str">
        <f t="shared" si="29"/>
        <v>3932,'008334','B 221'</v>
      </c>
      <c r="E934" t="str">
        <f t="shared" si="28"/>
        <v>INSERT INTO grupos (id,matricula,grupo) values (3932,'008334','B 221');</v>
      </c>
    </row>
    <row r="935" spans="1:5" x14ac:dyDescent="0.35">
      <c r="A935">
        <v>3933</v>
      </c>
      <c r="B935" s="1" t="s">
        <v>876</v>
      </c>
      <c r="C935" s="1" t="s">
        <v>1433</v>
      </c>
      <c r="D935" t="str">
        <f t="shared" si="29"/>
        <v>3933,'008334','B 23'</v>
      </c>
      <c r="E935" t="str">
        <f t="shared" si="28"/>
        <v>INSERT INTO grupos (id,matricula,grupo) values (3933,'008334','B 23');</v>
      </c>
    </row>
    <row r="936" spans="1:5" x14ac:dyDescent="0.35">
      <c r="A936">
        <v>3934</v>
      </c>
      <c r="B936" s="1" t="s">
        <v>877</v>
      </c>
      <c r="C936" s="1" t="s">
        <v>1441</v>
      </c>
      <c r="D936" t="str">
        <f t="shared" si="29"/>
        <v>3934,'008335','B 113'</v>
      </c>
      <c r="E936" t="str">
        <f t="shared" si="28"/>
        <v>INSERT INTO grupos (id,matricula,grupo) values (3934,'008335','B 113');</v>
      </c>
    </row>
    <row r="937" spans="1:5" x14ac:dyDescent="0.35">
      <c r="A937">
        <v>3935</v>
      </c>
      <c r="B937" s="1" t="s">
        <v>877</v>
      </c>
      <c r="C937" s="1" t="s">
        <v>1445</v>
      </c>
      <c r="D937" t="str">
        <f t="shared" si="29"/>
        <v>3935,'008335','B2° 4A-II'</v>
      </c>
      <c r="E937" t="str">
        <f t="shared" si="28"/>
        <v>INSERT INTO grupos (id,matricula,grupo) values (3935,'008335','B2° 4A-II');</v>
      </c>
    </row>
    <row r="938" spans="1:5" x14ac:dyDescent="0.35">
      <c r="A938">
        <v>3936</v>
      </c>
      <c r="B938" s="1" t="s">
        <v>878</v>
      </c>
      <c r="C938" s="1" t="s">
        <v>1443</v>
      </c>
      <c r="D938" t="str">
        <f t="shared" si="29"/>
        <v>3936,'008336','B 111'</v>
      </c>
      <c r="E938" t="str">
        <f t="shared" si="28"/>
        <v>INSERT INTO grupos (id,matricula,grupo) values (3936,'008336','B 111');</v>
      </c>
    </row>
    <row r="939" spans="1:5" x14ac:dyDescent="0.35">
      <c r="A939">
        <v>3937</v>
      </c>
      <c r="B939" s="1" t="s">
        <v>879</v>
      </c>
      <c r="C939" s="1" t="s">
        <v>1441</v>
      </c>
      <c r="D939" t="str">
        <f t="shared" si="29"/>
        <v>3937,'008337','B 113'</v>
      </c>
      <c r="E939" t="str">
        <f t="shared" si="28"/>
        <v>INSERT INTO grupos (id,matricula,grupo) values (3937,'008337','B 113');</v>
      </c>
    </row>
    <row r="940" spans="1:5" x14ac:dyDescent="0.35">
      <c r="A940">
        <v>3938</v>
      </c>
      <c r="B940" s="1" t="s">
        <v>879</v>
      </c>
      <c r="C940" s="1" t="s">
        <v>1442</v>
      </c>
      <c r="D940" t="str">
        <f t="shared" si="29"/>
        <v>3938,'008337','B2° 2B-II'</v>
      </c>
      <c r="E940" t="str">
        <f t="shared" si="28"/>
        <v>INSERT INTO grupos (id,matricula,grupo) values (3938,'008337','B2° 2B-II');</v>
      </c>
    </row>
    <row r="941" spans="1:5" x14ac:dyDescent="0.35">
      <c r="A941">
        <v>3939</v>
      </c>
      <c r="B941" s="1" t="s">
        <v>880</v>
      </c>
      <c r="C941" s="1" t="s">
        <v>1444</v>
      </c>
      <c r="D941" t="str">
        <f t="shared" si="29"/>
        <v>3939,'008338','B 112'</v>
      </c>
      <c r="E941" t="str">
        <f t="shared" si="28"/>
        <v>INSERT INTO grupos (id,matricula,grupo) values (3939,'008338','B 112');</v>
      </c>
    </row>
    <row r="942" spans="1:5" x14ac:dyDescent="0.35">
      <c r="A942">
        <v>3940</v>
      </c>
      <c r="B942" s="1" t="s">
        <v>880</v>
      </c>
      <c r="C942" s="1" t="s">
        <v>1445</v>
      </c>
      <c r="D942" t="str">
        <f t="shared" si="29"/>
        <v>3940,'008338','B2° 4A-II'</v>
      </c>
      <c r="E942" t="str">
        <f t="shared" si="28"/>
        <v>INSERT INTO grupos (id,matricula,grupo) values (3940,'008338','B2° 4A-II');</v>
      </c>
    </row>
    <row r="943" spans="1:5" x14ac:dyDescent="0.35">
      <c r="A943">
        <v>3941</v>
      </c>
      <c r="B943" s="1" t="s">
        <v>881</v>
      </c>
      <c r="C943" s="1" t="s">
        <v>1443</v>
      </c>
      <c r="D943" t="str">
        <f t="shared" si="29"/>
        <v>3941,'008339','B 111'</v>
      </c>
      <c r="E943" t="str">
        <f t="shared" si="28"/>
        <v>INSERT INTO grupos (id,matricula,grupo) values (3941,'008339','B 111');</v>
      </c>
    </row>
    <row r="944" spans="1:5" x14ac:dyDescent="0.35">
      <c r="A944">
        <v>3942</v>
      </c>
      <c r="B944" s="1" t="s">
        <v>882</v>
      </c>
      <c r="C944" s="1" t="s">
        <v>1444</v>
      </c>
      <c r="D944" t="str">
        <f t="shared" si="29"/>
        <v>3942,'008340','B 112'</v>
      </c>
      <c r="E944" t="str">
        <f t="shared" si="28"/>
        <v>INSERT INTO grupos (id,matricula,grupo) values (3942,'008340','B 112');</v>
      </c>
    </row>
    <row r="945" spans="1:5" x14ac:dyDescent="0.35">
      <c r="A945">
        <v>3943</v>
      </c>
      <c r="B945" s="1" t="s">
        <v>882</v>
      </c>
      <c r="C945" s="1" t="s">
        <v>1445</v>
      </c>
      <c r="D945" t="str">
        <f t="shared" si="29"/>
        <v>3943,'008340','B2° 4A-II'</v>
      </c>
      <c r="E945" t="str">
        <f t="shared" si="28"/>
        <v>INSERT INTO grupos (id,matricula,grupo) values (3943,'008340','B2° 4A-II');</v>
      </c>
    </row>
    <row r="946" spans="1:5" x14ac:dyDescent="0.35">
      <c r="A946">
        <v>3944</v>
      </c>
      <c r="B946" s="1" t="s">
        <v>883</v>
      </c>
      <c r="C946" s="1" t="s">
        <v>1443</v>
      </c>
      <c r="D946" t="str">
        <f t="shared" si="29"/>
        <v>3944,'008341','B 111'</v>
      </c>
      <c r="E946" t="str">
        <f t="shared" si="28"/>
        <v>INSERT INTO grupos (id,matricula,grupo) values (3944,'008341','B 111');</v>
      </c>
    </row>
    <row r="947" spans="1:5" x14ac:dyDescent="0.35">
      <c r="A947">
        <v>3945</v>
      </c>
      <c r="B947" s="1" t="s">
        <v>884</v>
      </c>
      <c r="C947" s="1" t="s">
        <v>1431</v>
      </c>
      <c r="D947" t="str">
        <f t="shared" si="29"/>
        <v>3945,'008342','B 21B'</v>
      </c>
      <c r="E947" t="str">
        <f t="shared" si="28"/>
        <v>INSERT INTO grupos (id,matricula,grupo) values (3945,'008342','B 21B');</v>
      </c>
    </row>
    <row r="948" spans="1:5" x14ac:dyDescent="0.35">
      <c r="A948">
        <v>3946</v>
      </c>
      <c r="B948" s="1" t="s">
        <v>884</v>
      </c>
      <c r="C948" s="1" t="s">
        <v>1436</v>
      </c>
      <c r="D948" t="str">
        <f t="shared" si="29"/>
        <v>3946,'008342','B 224'</v>
      </c>
      <c r="E948" t="str">
        <f t="shared" si="28"/>
        <v>INSERT INTO grupos (id,matricula,grupo) values (3946,'008342','B 224');</v>
      </c>
    </row>
    <row r="949" spans="1:5" x14ac:dyDescent="0.35">
      <c r="A949">
        <v>3947</v>
      </c>
      <c r="B949" s="1" t="s">
        <v>884</v>
      </c>
      <c r="C949" s="1" t="s">
        <v>1438</v>
      </c>
      <c r="D949" t="str">
        <f t="shared" si="29"/>
        <v>3947,'008342','B4° 3A-II'</v>
      </c>
      <c r="E949" t="str">
        <f t="shared" si="28"/>
        <v>INSERT INTO grupos (id,matricula,grupo) values (3947,'008342','B4° 3A-II');</v>
      </c>
    </row>
    <row r="950" spans="1:5" x14ac:dyDescent="0.35">
      <c r="A950">
        <v>3948</v>
      </c>
      <c r="B950" s="1" t="s">
        <v>885</v>
      </c>
      <c r="C950" s="1" t="s">
        <v>1417</v>
      </c>
      <c r="D950" t="str">
        <f t="shared" si="29"/>
        <v>3948,'008343','B 331'</v>
      </c>
      <c r="E950" t="str">
        <f t="shared" si="28"/>
        <v>INSERT INTO grupos (id,matricula,grupo) values (3948,'008343','B 331');</v>
      </c>
    </row>
    <row r="951" spans="1:5" x14ac:dyDescent="0.35">
      <c r="A951">
        <v>3949</v>
      </c>
      <c r="B951" s="1" t="s">
        <v>885</v>
      </c>
      <c r="C951" s="1" t="s">
        <v>1422</v>
      </c>
      <c r="D951" t="str">
        <f t="shared" si="29"/>
        <v>3949,'008343','B 34'</v>
      </c>
      <c r="E951" t="str">
        <f t="shared" si="28"/>
        <v>INSERT INTO grupos (id,matricula,grupo) values (3949,'008343','B 34');</v>
      </c>
    </row>
    <row r="952" spans="1:5" x14ac:dyDescent="0.35">
      <c r="A952">
        <v>3950</v>
      </c>
      <c r="B952" s="1" t="s">
        <v>885</v>
      </c>
      <c r="C952" s="1" t="s">
        <v>1408</v>
      </c>
      <c r="D952" t="str">
        <f t="shared" si="29"/>
        <v>3950,'008343','B ESTADISB'</v>
      </c>
      <c r="E952" t="str">
        <f t="shared" si="28"/>
        <v>INSERT INTO grupos (id,matricula,grupo) values (3950,'008343','B ESTADISB');</v>
      </c>
    </row>
    <row r="953" spans="1:5" x14ac:dyDescent="0.35">
      <c r="A953">
        <v>3951</v>
      </c>
      <c r="B953" s="1" t="s">
        <v>886</v>
      </c>
      <c r="C953" s="1" t="s">
        <v>1443</v>
      </c>
      <c r="D953" t="str">
        <f t="shared" si="29"/>
        <v>3951,'008344','B 111'</v>
      </c>
      <c r="E953" t="str">
        <f t="shared" si="28"/>
        <v>INSERT INTO grupos (id,matricula,grupo) values (3951,'008344','B 111');</v>
      </c>
    </row>
    <row r="954" spans="1:5" x14ac:dyDescent="0.35">
      <c r="A954">
        <v>3952</v>
      </c>
      <c r="B954" s="1" t="s">
        <v>887</v>
      </c>
      <c r="C954" s="1" t="s">
        <v>1443</v>
      </c>
      <c r="D954" t="str">
        <f t="shared" si="29"/>
        <v>3952,'008345','B 111'</v>
      </c>
      <c r="E954" t="str">
        <f t="shared" si="28"/>
        <v>INSERT INTO grupos (id,matricula,grupo) values (3952,'008345','B 111');</v>
      </c>
    </row>
    <row r="955" spans="1:5" x14ac:dyDescent="0.35">
      <c r="A955">
        <v>3953</v>
      </c>
      <c r="B955" s="1" t="s">
        <v>888</v>
      </c>
      <c r="C955" s="1" t="s">
        <v>1443</v>
      </c>
      <c r="D955" t="str">
        <f t="shared" si="29"/>
        <v>3953,'008346','B 111'</v>
      </c>
      <c r="E955" t="str">
        <f t="shared" si="28"/>
        <v>INSERT INTO grupos (id,matricula,grupo) values (3953,'008346','B 111');</v>
      </c>
    </row>
    <row r="956" spans="1:5" x14ac:dyDescent="0.35">
      <c r="A956">
        <v>3954</v>
      </c>
      <c r="B956" s="1" t="s">
        <v>889</v>
      </c>
      <c r="C956" s="1" t="s">
        <v>1439</v>
      </c>
      <c r="D956" t="str">
        <f t="shared" si="29"/>
        <v>3954,'008347','B 114'</v>
      </c>
      <c r="E956" t="str">
        <f t="shared" si="28"/>
        <v>INSERT INTO grupos (id,matricula,grupo) values (3954,'008347','B 114');</v>
      </c>
    </row>
    <row r="957" spans="1:5" x14ac:dyDescent="0.35">
      <c r="A957">
        <v>3955</v>
      </c>
      <c r="B957" s="1" t="s">
        <v>889</v>
      </c>
      <c r="C957" s="1" t="s">
        <v>1445</v>
      </c>
      <c r="D957" t="str">
        <f t="shared" si="29"/>
        <v>3955,'008347','B2° 4A-II'</v>
      </c>
      <c r="E957" t="str">
        <f t="shared" si="28"/>
        <v>INSERT INTO grupos (id,matricula,grupo) values (3955,'008347','B2° 4A-II');</v>
      </c>
    </row>
    <row r="958" spans="1:5" x14ac:dyDescent="0.35">
      <c r="A958">
        <v>3956</v>
      </c>
      <c r="B958" s="1" t="s">
        <v>890</v>
      </c>
      <c r="C958" s="1" t="s">
        <v>1441</v>
      </c>
      <c r="D958" t="str">
        <f t="shared" si="29"/>
        <v>3956,'008348','B 113'</v>
      </c>
      <c r="E958" t="str">
        <f t="shared" si="28"/>
        <v>INSERT INTO grupos (id,matricula,grupo) values (3956,'008348','B 113');</v>
      </c>
    </row>
    <row r="959" spans="1:5" x14ac:dyDescent="0.35">
      <c r="A959">
        <v>3957</v>
      </c>
      <c r="B959" s="1" t="s">
        <v>890</v>
      </c>
      <c r="C959" s="1" t="s">
        <v>1442</v>
      </c>
      <c r="D959" t="str">
        <f t="shared" si="29"/>
        <v>3957,'008348','B2° 2B-II'</v>
      </c>
      <c r="E959" t="str">
        <f t="shared" si="28"/>
        <v>INSERT INTO grupos (id,matricula,grupo) values (3957,'008348','B2° 2B-II');</v>
      </c>
    </row>
    <row r="960" spans="1:5" x14ac:dyDescent="0.35">
      <c r="A960">
        <v>3958</v>
      </c>
      <c r="B960" s="1" t="s">
        <v>891</v>
      </c>
      <c r="C960" s="1" t="s">
        <v>1441</v>
      </c>
      <c r="D960" t="str">
        <f t="shared" si="29"/>
        <v>3958,'008349','B 113'</v>
      </c>
      <c r="E960" t="str">
        <f t="shared" si="28"/>
        <v>INSERT INTO grupos (id,matricula,grupo) values (3958,'008349','B 113');</v>
      </c>
    </row>
    <row r="961" spans="1:5" x14ac:dyDescent="0.35">
      <c r="A961">
        <v>3959</v>
      </c>
      <c r="B961" s="1" t="s">
        <v>891</v>
      </c>
      <c r="C961" s="1" t="s">
        <v>1442</v>
      </c>
      <c r="D961" t="str">
        <f t="shared" si="29"/>
        <v>3959,'008349','B2° 2B-II'</v>
      </c>
      <c r="E961" t="str">
        <f t="shared" si="28"/>
        <v>INSERT INTO grupos (id,matricula,grupo) values (3959,'008349','B2° 2B-II');</v>
      </c>
    </row>
    <row r="962" spans="1:5" x14ac:dyDescent="0.35">
      <c r="A962">
        <v>3960</v>
      </c>
      <c r="B962" s="1" t="s">
        <v>892</v>
      </c>
      <c r="C962" s="1" t="s">
        <v>1439</v>
      </c>
      <c r="D962" t="str">
        <f t="shared" si="29"/>
        <v>3960,'008350','B 114'</v>
      </c>
      <c r="E962" t="str">
        <f t="shared" ref="E962:E1025" si="30">CONCATENATE($D$1,D962,");")</f>
        <v>INSERT INTO grupos (id,matricula,grupo) values (3960,'008350','B 114');</v>
      </c>
    </row>
    <row r="963" spans="1:5" x14ac:dyDescent="0.35">
      <c r="A963">
        <v>3961</v>
      </c>
      <c r="B963" s="1" t="s">
        <v>892</v>
      </c>
      <c r="C963" s="1" t="s">
        <v>1440</v>
      </c>
      <c r="D963" t="str">
        <f t="shared" ref="D963:D1026" si="31">CONCATENATE(A963,",",B963,",",C963,"")</f>
        <v>3961,'008350','B2° 3A-II'</v>
      </c>
      <c r="E963" t="str">
        <f t="shared" si="30"/>
        <v>INSERT INTO grupos (id,matricula,grupo) values (3961,'008350','B2° 3A-II');</v>
      </c>
    </row>
    <row r="964" spans="1:5" x14ac:dyDescent="0.35">
      <c r="A964">
        <v>3962</v>
      </c>
      <c r="B964" s="1" t="s">
        <v>893</v>
      </c>
      <c r="C964" s="1" t="s">
        <v>1443</v>
      </c>
      <c r="D964" t="str">
        <f t="shared" si="31"/>
        <v>3962,'008351','B 111'</v>
      </c>
      <c r="E964" t="str">
        <f t="shared" si="30"/>
        <v>INSERT INTO grupos (id,matricula,grupo) values (3962,'008351','B 111');</v>
      </c>
    </row>
    <row r="965" spans="1:5" x14ac:dyDescent="0.35">
      <c r="A965">
        <v>3963</v>
      </c>
      <c r="B965" s="1" t="s">
        <v>894</v>
      </c>
      <c r="C965" s="1" t="s">
        <v>1441</v>
      </c>
      <c r="D965" t="str">
        <f t="shared" si="31"/>
        <v>3963,'008352','B 113'</v>
      </c>
      <c r="E965" t="str">
        <f t="shared" si="30"/>
        <v>INSERT INTO grupos (id,matricula,grupo) values (3963,'008352','B 113');</v>
      </c>
    </row>
    <row r="966" spans="1:5" x14ac:dyDescent="0.35">
      <c r="A966">
        <v>3964</v>
      </c>
      <c r="B966" s="1" t="s">
        <v>894</v>
      </c>
      <c r="C966" s="1" t="s">
        <v>1442</v>
      </c>
      <c r="D966" t="str">
        <f t="shared" si="31"/>
        <v>3964,'008352','B2° 2B-II'</v>
      </c>
      <c r="E966" t="str">
        <f t="shared" si="30"/>
        <v>INSERT INTO grupos (id,matricula,grupo) values (3964,'008352','B2° 2B-II');</v>
      </c>
    </row>
    <row r="967" spans="1:5" x14ac:dyDescent="0.35">
      <c r="A967">
        <v>3965</v>
      </c>
      <c r="B967" s="1" t="s">
        <v>895</v>
      </c>
      <c r="C967" s="1" t="s">
        <v>1439</v>
      </c>
      <c r="D967" t="str">
        <f t="shared" si="31"/>
        <v>3965,'008353','B 114'</v>
      </c>
      <c r="E967" t="str">
        <f t="shared" si="30"/>
        <v>INSERT INTO grupos (id,matricula,grupo) values (3965,'008353','B 114');</v>
      </c>
    </row>
    <row r="968" spans="1:5" x14ac:dyDescent="0.35">
      <c r="A968">
        <v>3966</v>
      </c>
      <c r="B968" s="1" t="s">
        <v>895</v>
      </c>
      <c r="C968" s="1" t="s">
        <v>1442</v>
      </c>
      <c r="D968" t="str">
        <f t="shared" si="31"/>
        <v>3966,'008353','B2° 2B-II'</v>
      </c>
      <c r="E968" t="str">
        <f t="shared" si="30"/>
        <v>INSERT INTO grupos (id,matricula,grupo) values (3966,'008353','B2° 2B-II');</v>
      </c>
    </row>
    <row r="969" spans="1:5" x14ac:dyDescent="0.35">
      <c r="A969">
        <v>3967</v>
      </c>
      <c r="B969" s="1" t="s">
        <v>896</v>
      </c>
      <c r="C969" s="1" t="s">
        <v>1439</v>
      </c>
      <c r="D969" t="str">
        <f t="shared" si="31"/>
        <v>3967,'008354','B 114'</v>
      </c>
      <c r="E969" t="str">
        <f t="shared" si="30"/>
        <v>INSERT INTO grupos (id,matricula,grupo) values (3967,'008354','B 114');</v>
      </c>
    </row>
    <row r="970" spans="1:5" x14ac:dyDescent="0.35">
      <c r="A970">
        <v>3968</v>
      </c>
      <c r="B970" s="1" t="s">
        <v>896</v>
      </c>
      <c r="C970" s="1" t="s">
        <v>1440</v>
      </c>
      <c r="D970" t="str">
        <f t="shared" si="31"/>
        <v>3968,'008354','B2° 3A-II'</v>
      </c>
      <c r="E970" t="str">
        <f t="shared" si="30"/>
        <v>INSERT INTO grupos (id,matricula,grupo) values (3968,'008354','B2° 3A-II');</v>
      </c>
    </row>
    <row r="971" spans="1:5" x14ac:dyDescent="0.35">
      <c r="A971">
        <v>3969</v>
      </c>
      <c r="B971" s="1" t="s">
        <v>897</v>
      </c>
      <c r="C971" s="1" t="s">
        <v>1441</v>
      </c>
      <c r="D971" t="str">
        <f t="shared" si="31"/>
        <v>3969,'008355','B 113'</v>
      </c>
      <c r="E971" t="str">
        <f t="shared" si="30"/>
        <v>INSERT INTO grupos (id,matricula,grupo) values (3969,'008355','B 113');</v>
      </c>
    </row>
    <row r="972" spans="1:5" x14ac:dyDescent="0.35">
      <c r="A972">
        <v>3970</v>
      </c>
      <c r="B972" s="1" t="s">
        <v>897</v>
      </c>
      <c r="C972" s="1" t="s">
        <v>1440</v>
      </c>
      <c r="D972" t="str">
        <f t="shared" si="31"/>
        <v>3970,'008355','B2° 3A-II'</v>
      </c>
      <c r="E972" t="str">
        <f t="shared" si="30"/>
        <v>INSERT INTO grupos (id,matricula,grupo) values (3970,'008355','B2° 3A-II');</v>
      </c>
    </row>
    <row r="973" spans="1:5" x14ac:dyDescent="0.35">
      <c r="A973">
        <v>3971</v>
      </c>
      <c r="B973" s="1" t="s">
        <v>898</v>
      </c>
      <c r="C973" s="1" t="s">
        <v>1441</v>
      </c>
      <c r="D973" t="str">
        <f t="shared" si="31"/>
        <v>3971,'008356','B 113'</v>
      </c>
      <c r="E973" t="str">
        <f t="shared" si="30"/>
        <v>INSERT INTO grupos (id,matricula,grupo) values (3971,'008356','B 113');</v>
      </c>
    </row>
    <row r="974" spans="1:5" x14ac:dyDescent="0.35">
      <c r="A974">
        <v>3972</v>
      </c>
      <c r="B974" s="1" t="s">
        <v>898</v>
      </c>
      <c r="C974" s="1" t="s">
        <v>1442</v>
      </c>
      <c r="D974" t="str">
        <f t="shared" si="31"/>
        <v>3972,'008356','B2° 2B-II'</v>
      </c>
      <c r="E974" t="str">
        <f t="shared" si="30"/>
        <v>INSERT INTO grupos (id,matricula,grupo) values (3972,'008356','B2° 2B-II');</v>
      </c>
    </row>
    <row r="975" spans="1:5" x14ac:dyDescent="0.35">
      <c r="A975">
        <v>3973</v>
      </c>
      <c r="B975" s="1" t="s">
        <v>1400</v>
      </c>
      <c r="C975" s="1" t="s">
        <v>1441</v>
      </c>
      <c r="D975" t="str">
        <f t="shared" si="31"/>
        <v>3973,'008357','B 113'</v>
      </c>
      <c r="E975" t="str">
        <f t="shared" si="30"/>
        <v>INSERT INTO grupos (id,matricula,grupo) values (3973,'008357','B 113');</v>
      </c>
    </row>
    <row r="976" spans="1:5" x14ac:dyDescent="0.35">
      <c r="A976">
        <v>3974</v>
      </c>
      <c r="B976" s="1" t="s">
        <v>1400</v>
      </c>
      <c r="C976" s="1" t="s">
        <v>1442</v>
      </c>
      <c r="D976" t="str">
        <f t="shared" si="31"/>
        <v>3974,'008357','B2° 2B-II'</v>
      </c>
      <c r="E976" t="str">
        <f t="shared" si="30"/>
        <v>INSERT INTO grupos (id,matricula,grupo) values (3974,'008357','B2° 2B-II');</v>
      </c>
    </row>
    <row r="977" spans="1:5" x14ac:dyDescent="0.35">
      <c r="A977">
        <v>3975</v>
      </c>
      <c r="B977" s="1" t="s">
        <v>899</v>
      </c>
      <c r="C977" s="1" t="s">
        <v>1439</v>
      </c>
      <c r="D977" t="str">
        <f t="shared" si="31"/>
        <v>3975,'008358','B 114'</v>
      </c>
      <c r="E977" t="str">
        <f t="shared" si="30"/>
        <v>INSERT INTO grupos (id,matricula,grupo) values (3975,'008358','B 114');</v>
      </c>
    </row>
    <row r="978" spans="1:5" x14ac:dyDescent="0.35">
      <c r="A978">
        <v>3976</v>
      </c>
      <c r="B978" s="1" t="s">
        <v>899</v>
      </c>
      <c r="C978" s="1" t="s">
        <v>1442</v>
      </c>
      <c r="D978" t="str">
        <f t="shared" si="31"/>
        <v>3976,'008358','B2° 2B-II'</v>
      </c>
      <c r="E978" t="str">
        <f t="shared" si="30"/>
        <v>INSERT INTO grupos (id,matricula,grupo) values (3976,'008358','B2° 2B-II');</v>
      </c>
    </row>
    <row r="979" spans="1:5" x14ac:dyDescent="0.35">
      <c r="A979">
        <v>3977</v>
      </c>
      <c r="B979" s="1" t="s">
        <v>900</v>
      </c>
      <c r="C979" s="1" t="s">
        <v>1443</v>
      </c>
      <c r="D979" t="str">
        <f t="shared" si="31"/>
        <v>3977,'008359','B 111'</v>
      </c>
      <c r="E979" t="str">
        <f t="shared" si="30"/>
        <v>INSERT INTO grupos (id,matricula,grupo) values (3977,'008359','B 111');</v>
      </c>
    </row>
    <row r="980" spans="1:5" x14ac:dyDescent="0.35">
      <c r="A980">
        <v>3978</v>
      </c>
      <c r="B980" s="1" t="s">
        <v>901</v>
      </c>
      <c r="C980" s="1" t="s">
        <v>1443</v>
      </c>
      <c r="D980" t="str">
        <f t="shared" si="31"/>
        <v>3978,'008360','B 111'</v>
      </c>
      <c r="E980" t="str">
        <f t="shared" si="30"/>
        <v>INSERT INTO grupos (id,matricula,grupo) values (3978,'008360','B 111');</v>
      </c>
    </row>
    <row r="981" spans="1:5" x14ac:dyDescent="0.35">
      <c r="A981">
        <v>3979</v>
      </c>
      <c r="B981" s="1" t="s">
        <v>902</v>
      </c>
      <c r="C981" s="1" t="s">
        <v>1444</v>
      </c>
      <c r="D981" t="str">
        <f t="shared" si="31"/>
        <v>3979,'008362','B 112'</v>
      </c>
      <c r="E981" t="str">
        <f t="shared" si="30"/>
        <v>INSERT INTO grupos (id,matricula,grupo) values (3979,'008362','B 112');</v>
      </c>
    </row>
    <row r="982" spans="1:5" x14ac:dyDescent="0.35">
      <c r="A982">
        <v>3980</v>
      </c>
      <c r="B982" s="1" t="s">
        <v>902</v>
      </c>
      <c r="C982" s="1" t="s">
        <v>1442</v>
      </c>
      <c r="D982" t="str">
        <f t="shared" si="31"/>
        <v>3980,'008362','B2° 2B-II'</v>
      </c>
      <c r="E982" t="str">
        <f t="shared" si="30"/>
        <v>INSERT INTO grupos (id,matricula,grupo) values (3980,'008362','B2° 2B-II');</v>
      </c>
    </row>
    <row r="983" spans="1:5" x14ac:dyDescent="0.35">
      <c r="A983">
        <v>3981</v>
      </c>
      <c r="B983" s="1" t="s">
        <v>903</v>
      </c>
      <c r="C983" s="1" t="s">
        <v>1441</v>
      </c>
      <c r="D983" t="str">
        <f t="shared" si="31"/>
        <v>3981,'008363','B 113'</v>
      </c>
      <c r="E983" t="str">
        <f t="shared" si="30"/>
        <v>INSERT INTO grupos (id,matricula,grupo) values (3981,'008363','B 113');</v>
      </c>
    </row>
    <row r="984" spans="1:5" x14ac:dyDescent="0.35">
      <c r="A984">
        <v>3982</v>
      </c>
      <c r="B984" s="1" t="s">
        <v>903</v>
      </c>
      <c r="C984" s="1" t="s">
        <v>1440</v>
      </c>
      <c r="D984" t="str">
        <f t="shared" si="31"/>
        <v>3982,'008363','B2° 3A-II'</v>
      </c>
      <c r="E984" t="str">
        <f t="shared" si="30"/>
        <v>INSERT INTO grupos (id,matricula,grupo) values (3982,'008363','B2° 3A-II');</v>
      </c>
    </row>
    <row r="985" spans="1:5" x14ac:dyDescent="0.35">
      <c r="A985">
        <v>3983</v>
      </c>
      <c r="B985" s="1" t="s">
        <v>904</v>
      </c>
      <c r="C985" s="1" t="s">
        <v>1444</v>
      </c>
      <c r="D985" t="str">
        <f t="shared" si="31"/>
        <v>3983,'008364','B 112'</v>
      </c>
      <c r="E985" t="str">
        <f t="shared" si="30"/>
        <v>INSERT INTO grupos (id,matricula,grupo) values (3983,'008364','B 112');</v>
      </c>
    </row>
    <row r="986" spans="1:5" x14ac:dyDescent="0.35">
      <c r="A986">
        <v>3984</v>
      </c>
      <c r="B986" s="1" t="s">
        <v>904</v>
      </c>
      <c r="C986" s="1" t="s">
        <v>1445</v>
      </c>
      <c r="D986" t="str">
        <f t="shared" si="31"/>
        <v>3984,'008364','B2° 4A-II'</v>
      </c>
      <c r="E986" t="str">
        <f t="shared" si="30"/>
        <v>INSERT INTO grupos (id,matricula,grupo) values (3984,'008364','B2° 4A-II');</v>
      </c>
    </row>
    <row r="987" spans="1:5" x14ac:dyDescent="0.35">
      <c r="A987">
        <v>3985</v>
      </c>
      <c r="B987" s="1" t="s">
        <v>905</v>
      </c>
      <c r="C987" s="1" t="s">
        <v>1439</v>
      </c>
      <c r="D987" t="str">
        <f t="shared" si="31"/>
        <v>3985,'008365','B 114'</v>
      </c>
      <c r="E987" t="str">
        <f t="shared" si="30"/>
        <v>INSERT INTO grupos (id,matricula,grupo) values (3985,'008365','B 114');</v>
      </c>
    </row>
    <row r="988" spans="1:5" x14ac:dyDescent="0.35">
      <c r="A988">
        <v>3986</v>
      </c>
      <c r="B988" s="1" t="s">
        <v>905</v>
      </c>
      <c r="C988" s="1" t="s">
        <v>1442</v>
      </c>
      <c r="D988" t="str">
        <f t="shared" si="31"/>
        <v>3986,'008365','B2° 2B-II'</v>
      </c>
      <c r="E988" t="str">
        <f t="shared" si="30"/>
        <v>INSERT INTO grupos (id,matricula,grupo) values (3986,'008365','B2° 2B-II');</v>
      </c>
    </row>
    <row r="989" spans="1:5" x14ac:dyDescent="0.35">
      <c r="A989">
        <v>3987</v>
      </c>
      <c r="B989" s="1" t="s">
        <v>906</v>
      </c>
      <c r="C989" s="1" t="s">
        <v>1441</v>
      </c>
      <c r="D989" t="str">
        <f t="shared" si="31"/>
        <v>3987,'008366','B 113'</v>
      </c>
      <c r="E989" t="str">
        <f t="shared" si="30"/>
        <v>INSERT INTO grupos (id,matricula,grupo) values (3987,'008366','B 113');</v>
      </c>
    </row>
    <row r="990" spans="1:5" x14ac:dyDescent="0.35">
      <c r="A990">
        <v>3988</v>
      </c>
      <c r="B990" s="1" t="s">
        <v>906</v>
      </c>
      <c r="C990" s="1" t="s">
        <v>1440</v>
      </c>
      <c r="D990" t="str">
        <f t="shared" si="31"/>
        <v>3988,'008366','B2° 3A-II'</v>
      </c>
      <c r="E990" t="str">
        <f t="shared" si="30"/>
        <v>INSERT INTO grupos (id,matricula,grupo) values (3988,'008366','B2° 3A-II');</v>
      </c>
    </row>
    <row r="991" spans="1:5" x14ac:dyDescent="0.35">
      <c r="A991">
        <v>3989</v>
      </c>
      <c r="B991" s="1" t="s">
        <v>907</v>
      </c>
      <c r="C991" s="1" t="s">
        <v>1444</v>
      </c>
      <c r="D991" t="str">
        <f t="shared" si="31"/>
        <v>3989,'008369','B 112'</v>
      </c>
      <c r="E991" t="str">
        <f t="shared" si="30"/>
        <v>INSERT INTO grupos (id,matricula,grupo) values (3989,'008369','B 112');</v>
      </c>
    </row>
    <row r="992" spans="1:5" x14ac:dyDescent="0.35">
      <c r="A992">
        <v>3990</v>
      </c>
      <c r="B992" s="1" t="s">
        <v>907</v>
      </c>
      <c r="C992" s="1" t="s">
        <v>1445</v>
      </c>
      <c r="D992" t="str">
        <f t="shared" si="31"/>
        <v>3990,'008369','B2° 4A-II'</v>
      </c>
      <c r="E992" t="str">
        <f t="shared" si="30"/>
        <v>INSERT INTO grupos (id,matricula,grupo) values (3990,'008369','B2° 4A-II');</v>
      </c>
    </row>
    <row r="993" spans="1:5" x14ac:dyDescent="0.35">
      <c r="A993">
        <v>3991</v>
      </c>
      <c r="B993" s="1" t="s">
        <v>908</v>
      </c>
      <c r="C993" s="1" t="s">
        <v>1443</v>
      </c>
      <c r="D993" t="str">
        <f t="shared" si="31"/>
        <v>3991,'008370','B 111'</v>
      </c>
      <c r="E993" t="str">
        <f t="shared" si="30"/>
        <v>INSERT INTO grupos (id,matricula,grupo) values (3991,'008370','B 111');</v>
      </c>
    </row>
    <row r="994" spans="1:5" x14ac:dyDescent="0.35">
      <c r="A994">
        <v>3992</v>
      </c>
      <c r="B994" s="1" t="s">
        <v>909</v>
      </c>
      <c r="C994" s="1" t="s">
        <v>1443</v>
      </c>
      <c r="D994" t="str">
        <f t="shared" si="31"/>
        <v>3992,'008371','B 111'</v>
      </c>
      <c r="E994" t="str">
        <f t="shared" si="30"/>
        <v>INSERT INTO grupos (id,matricula,grupo) values (3992,'008371','B 111');</v>
      </c>
    </row>
    <row r="995" spans="1:5" x14ac:dyDescent="0.35">
      <c r="A995">
        <v>3993</v>
      </c>
      <c r="B995" s="1" t="s">
        <v>910</v>
      </c>
      <c r="C995" s="1" t="s">
        <v>1444</v>
      </c>
      <c r="D995" t="str">
        <f t="shared" si="31"/>
        <v>3993,'008372','B 112'</v>
      </c>
      <c r="E995" t="str">
        <f t="shared" si="30"/>
        <v>INSERT INTO grupos (id,matricula,grupo) values (3993,'008372','B 112');</v>
      </c>
    </row>
    <row r="996" spans="1:5" x14ac:dyDescent="0.35">
      <c r="A996">
        <v>3994</v>
      </c>
      <c r="B996" s="1" t="s">
        <v>910</v>
      </c>
      <c r="C996" s="1" t="s">
        <v>1442</v>
      </c>
      <c r="D996" t="str">
        <f t="shared" si="31"/>
        <v>3994,'008372','B2° 2B-II'</v>
      </c>
      <c r="E996" t="str">
        <f t="shared" si="30"/>
        <v>INSERT INTO grupos (id,matricula,grupo) values (3994,'008372','B2° 2B-II');</v>
      </c>
    </row>
    <row r="997" spans="1:5" x14ac:dyDescent="0.35">
      <c r="A997">
        <v>3995</v>
      </c>
      <c r="B997" s="1" t="s">
        <v>911</v>
      </c>
      <c r="C997" s="1" t="s">
        <v>1439</v>
      </c>
      <c r="D997" t="str">
        <f t="shared" si="31"/>
        <v>3995,'008373','B 114'</v>
      </c>
      <c r="E997" t="str">
        <f t="shared" si="30"/>
        <v>INSERT INTO grupos (id,matricula,grupo) values (3995,'008373','B 114');</v>
      </c>
    </row>
    <row r="998" spans="1:5" x14ac:dyDescent="0.35">
      <c r="A998">
        <v>3996</v>
      </c>
      <c r="B998" s="1" t="s">
        <v>911</v>
      </c>
      <c r="C998" s="1" t="s">
        <v>1445</v>
      </c>
      <c r="D998" t="str">
        <f t="shared" si="31"/>
        <v>3996,'008373','B2° 4A-II'</v>
      </c>
      <c r="E998" t="str">
        <f t="shared" si="30"/>
        <v>INSERT INTO grupos (id,matricula,grupo) values (3996,'008373','B2° 4A-II');</v>
      </c>
    </row>
    <row r="999" spans="1:5" x14ac:dyDescent="0.35">
      <c r="A999">
        <v>3997</v>
      </c>
      <c r="B999" s="1" t="s">
        <v>912</v>
      </c>
      <c r="C999" s="1" t="s">
        <v>1443</v>
      </c>
      <c r="D999" t="str">
        <f t="shared" si="31"/>
        <v>3997,'008374','B 111'</v>
      </c>
      <c r="E999" t="str">
        <f t="shared" si="30"/>
        <v>INSERT INTO grupos (id,matricula,grupo) values (3997,'008374','B 111');</v>
      </c>
    </row>
    <row r="1000" spans="1:5" x14ac:dyDescent="0.35">
      <c r="A1000">
        <v>3998</v>
      </c>
      <c r="B1000" s="1" t="s">
        <v>913</v>
      </c>
      <c r="C1000" s="1" t="s">
        <v>1439</v>
      </c>
      <c r="D1000" t="str">
        <f t="shared" si="31"/>
        <v>3998,'008375','B 114'</v>
      </c>
      <c r="E1000" t="str">
        <f t="shared" si="30"/>
        <v>INSERT INTO grupos (id,matricula,grupo) values (3998,'008375','B 114');</v>
      </c>
    </row>
    <row r="1001" spans="1:5" x14ac:dyDescent="0.35">
      <c r="A1001">
        <v>3999</v>
      </c>
      <c r="B1001" s="1" t="s">
        <v>913</v>
      </c>
      <c r="C1001" s="1" t="s">
        <v>1440</v>
      </c>
      <c r="D1001" t="str">
        <f t="shared" si="31"/>
        <v>3999,'008375','B2° 3A-II'</v>
      </c>
      <c r="E1001" t="str">
        <f t="shared" si="30"/>
        <v>INSERT INTO grupos (id,matricula,grupo) values (3999,'008375','B2° 3A-II');</v>
      </c>
    </row>
    <row r="1002" spans="1:5" x14ac:dyDescent="0.35">
      <c r="A1002">
        <v>4000</v>
      </c>
      <c r="B1002" s="1" t="s">
        <v>914</v>
      </c>
      <c r="C1002" s="1" t="s">
        <v>1443</v>
      </c>
      <c r="D1002" t="str">
        <f t="shared" si="31"/>
        <v>4000,'008376','B 111'</v>
      </c>
      <c r="E1002" t="str">
        <f t="shared" si="30"/>
        <v>INSERT INTO grupos (id,matricula,grupo) values (4000,'008376','B 111');</v>
      </c>
    </row>
    <row r="1003" spans="1:5" x14ac:dyDescent="0.35">
      <c r="A1003">
        <v>4001</v>
      </c>
      <c r="B1003" s="1" t="s">
        <v>915</v>
      </c>
      <c r="C1003" s="1" t="s">
        <v>1444</v>
      </c>
      <c r="D1003" t="str">
        <f t="shared" si="31"/>
        <v>4001,'008377','B 112'</v>
      </c>
      <c r="E1003" t="str">
        <f t="shared" si="30"/>
        <v>INSERT INTO grupos (id,matricula,grupo) values (4001,'008377','B 112');</v>
      </c>
    </row>
    <row r="1004" spans="1:5" x14ac:dyDescent="0.35">
      <c r="A1004">
        <v>4002</v>
      </c>
      <c r="B1004" s="1" t="s">
        <v>915</v>
      </c>
      <c r="C1004" s="1" t="s">
        <v>1442</v>
      </c>
      <c r="D1004" t="str">
        <f t="shared" si="31"/>
        <v>4002,'008377','B2° 2B-II'</v>
      </c>
      <c r="E1004" t="str">
        <f t="shared" si="30"/>
        <v>INSERT INTO grupos (id,matricula,grupo) values (4002,'008377','B2° 2B-II');</v>
      </c>
    </row>
    <row r="1005" spans="1:5" x14ac:dyDescent="0.35">
      <c r="A1005">
        <v>4003</v>
      </c>
      <c r="B1005" s="1" t="s">
        <v>916</v>
      </c>
      <c r="C1005" s="1" t="s">
        <v>1443</v>
      </c>
      <c r="D1005" t="str">
        <f t="shared" si="31"/>
        <v>4003,'008378','B 111'</v>
      </c>
      <c r="E1005" t="str">
        <f t="shared" si="30"/>
        <v>INSERT INTO grupos (id,matricula,grupo) values (4003,'008378','B 111');</v>
      </c>
    </row>
    <row r="1006" spans="1:5" x14ac:dyDescent="0.35">
      <c r="A1006">
        <v>4004</v>
      </c>
      <c r="B1006" s="1" t="s">
        <v>917</v>
      </c>
      <c r="C1006" s="1" t="s">
        <v>1443</v>
      </c>
      <c r="D1006" t="str">
        <f t="shared" si="31"/>
        <v>4004,'008379','B 111'</v>
      </c>
      <c r="E1006" t="str">
        <f t="shared" si="30"/>
        <v>INSERT INTO grupos (id,matricula,grupo) values (4004,'008379','B 111');</v>
      </c>
    </row>
    <row r="1007" spans="1:5" x14ac:dyDescent="0.35">
      <c r="A1007">
        <v>4005</v>
      </c>
      <c r="B1007" s="1" t="s">
        <v>918</v>
      </c>
      <c r="C1007" s="1" t="s">
        <v>1444</v>
      </c>
      <c r="D1007" t="str">
        <f t="shared" si="31"/>
        <v>4005,'008380','B 112'</v>
      </c>
      <c r="E1007" t="str">
        <f t="shared" si="30"/>
        <v>INSERT INTO grupos (id,matricula,grupo) values (4005,'008380','B 112');</v>
      </c>
    </row>
    <row r="1008" spans="1:5" x14ac:dyDescent="0.35">
      <c r="A1008">
        <v>4006</v>
      </c>
      <c r="B1008" s="1" t="s">
        <v>918</v>
      </c>
      <c r="C1008" s="1" t="s">
        <v>1442</v>
      </c>
      <c r="D1008" t="str">
        <f t="shared" si="31"/>
        <v>4006,'008380','B2° 2B-II'</v>
      </c>
      <c r="E1008" t="str">
        <f t="shared" si="30"/>
        <v>INSERT INTO grupos (id,matricula,grupo) values (4006,'008380','B2° 2B-II');</v>
      </c>
    </row>
    <row r="1009" spans="1:5" x14ac:dyDescent="0.35">
      <c r="A1009">
        <v>4007</v>
      </c>
      <c r="B1009" s="1" t="s">
        <v>919</v>
      </c>
      <c r="C1009" s="1" t="s">
        <v>1439</v>
      </c>
      <c r="D1009" t="str">
        <f t="shared" si="31"/>
        <v>4007,'008381','B 114'</v>
      </c>
      <c r="E1009" t="str">
        <f t="shared" si="30"/>
        <v>INSERT INTO grupos (id,matricula,grupo) values (4007,'008381','B 114');</v>
      </c>
    </row>
    <row r="1010" spans="1:5" x14ac:dyDescent="0.35">
      <c r="A1010">
        <v>4008</v>
      </c>
      <c r="B1010" s="1" t="s">
        <v>919</v>
      </c>
      <c r="C1010" s="1" t="s">
        <v>1445</v>
      </c>
      <c r="D1010" t="str">
        <f t="shared" si="31"/>
        <v>4008,'008381','B2° 4A-II'</v>
      </c>
      <c r="E1010" t="str">
        <f t="shared" si="30"/>
        <v>INSERT INTO grupos (id,matricula,grupo) values (4008,'008381','B2° 4A-II');</v>
      </c>
    </row>
    <row r="1011" spans="1:5" x14ac:dyDescent="0.35">
      <c r="A1011">
        <v>4009</v>
      </c>
      <c r="B1011" s="1" t="s">
        <v>920</v>
      </c>
      <c r="C1011" s="1" t="s">
        <v>1444</v>
      </c>
      <c r="D1011" t="str">
        <f t="shared" si="31"/>
        <v>4009,'008382','B 112'</v>
      </c>
      <c r="E1011" t="str">
        <f t="shared" si="30"/>
        <v>INSERT INTO grupos (id,matricula,grupo) values (4009,'008382','B 112');</v>
      </c>
    </row>
    <row r="1012" spans="1:5" x14ac:dyDescent="0.35">
      <c r="A1012">
        <v>4010</v>
      </c>
      <c r="B1012" s="1" t="s">
        <v>920</v>
      </c>
      <c r="C1012" s="1" t="s">
        <v>1445</v>
      </c>
      <c r="D1012" t="str">
        <f t="shared" si="31"/>
        <v>4010,'008382','B2° 4A-II'</v>
      </c>
      <c r="E1012" t="str">
        <f t="shared" si="30"/>
        <v>INSERT INTO grupos (id,matricula,grupo) values (4010,'008382','B2° 4A-II');</v>
      </c>
    </row>
    <row r="1013" spans="1:5" x14ac:dyDescent="0.35">
      <c r="A1013">
        <v>4011</v>
      </c>
      <c r="B1013" s="1" t="s">
        <v>921</v>
      </c>
      <c r="C1013" s="1" t="s">
        <v>1439</v>
      </c>
      <c r="D1013" t="str">
        <f t="shared" si="31"/>
        <v>4011,'008383','B 114'</v>
      </c>
      <c r="E1013" t="str">
        <f t="shared" si="30"/>
        <v>INSERT INTO grupos (id,matricula,grupo) values (4011,'008383','B 114');</v>
      </c>
    </row>
    <row r="1014" spans="1:5" x14ac:dyDescent="0.35">
      <c r="A1014">
        <v>4012</v>
      </c>
      <c r="B1014" s="1" t="s">
        <v>921</v>
      </c>
      <c r="C1014" s="1" t="s">
        <v>1442</v>
      </c>
      <c r="D1014" t="str">
        <f t="shared" si="31"/>
        <v>4012,'008383','B2° 2B-II'</v>
      </c>
      <c r="E1014" t="str">
        <f t="shared" si="30"/>
        <v>INSERT INTO grupos (id,matricula,grupo) values (4012,'008383','B2° 2B-II');</v>
      </c>
    </row>
    <row r="1015" spans="1:5" x14ac:dyDescent="0.35">
      <c r="A1015">
        <v>4013</v>
      </c>
      <c r="B1015" s="1" t="s">
        <v>922</v>
      </c>
      <c r="C1015" s="1" t="s">
        <v>1439</v>
      </c>
      <c r="D1015" t="str">
        <f t="shared" si="31"/>
        <v>4013,'008384','B 114'</v>
      </c>
      <c r="E1015" t="str">
        <f t="shared" si="30"/>
        <v>INSERT INTO grupos (id,matricula,grupo) values (4013,'008384','B 114');</v>
      </c>
    </row>
    <row r="1016" spans="1:5" x14ac:dyDescent="0.35">
      <c r="A1016">
        <v>4014</v>
      </c>
      <c r="B1016" s="1" t="s">
        <v>922</v>
      </c>
      <c r="C1016" s="1" t="s">
        <v>1445</v>
      </c>
      <c r="D1016" t="str">
        <f t="shared" si="31"/>
        <v>4014,'008384','B2° 4A-II'</v>
      </c>
      <c r="E1016" t="str">
        <f t="shared" si="30"/>
        <v>INSERT INTO grupos (id,matricula,grupo) values (4014,'008384','B2° 4A-II');</v>
      </c>
    </row>
    <row r="1017" spans="1:5" x14ac:dyDescent="0.35">
      <c r="A1017">
        <v>4015</v>
      </c>
      <c r="B1017" s="1" t="s">
        <v>923</v>
      </c>
      <c r="C1017" s="1" t="s">
        <v>1444</v>
      </c>
      <c r="D1017" t="str">
        <f t="shared" si="31"/>
        <v>4015,'008385','B 112'</v>
      </c>
      <c r="E1017" t="str">
        <f t="shared" si="30"/>
        <v>INSERT INTO grupos (id,matricula,grupo) values (4015,'008385','B 112');</v>
      </c>
    </row>
    <row r="1018" spans="1:5" x14ac:dyDescent="0.35">
      <c r="A1018">
        <v>4016</v>
      </c>
      <c r="B1018" s="1" t="s">
        <v>923</v>
      </c>
      <c r="C1018" s="1" t="s">
        <v>1445</v>
      </c>
      <c r="D1018" t="str">
        <f t="shared" si="31"/>
        <v>4016,'008385','B2° 4A-II'</v>
      </c>
      <c r="E1018" t="str">
        <f t="shared" si="30"/>
        <v>INSERT INTO grupos (id,matricula,grupo) values (4016,'008385','B2° 4A-II');</v>
      </c>
    </row>
    <row r="1019" spans="1:5" x14ac:dyDescent="0.35">
      <c r="A1019">
        <v>4017</v>
      </c>
      <c r="B1019" s="1" t="s">
        <v>924</v>
      </c>
      <c r="C1019" s="1" t="s">
        <v>1443</v>
      </c>
      <c r="D1019" t="str">
        <f t="shared" si="31"/>
        <v>4017,'008386','B 111'</v>
      </c>
      <c r="E1019" t="str">
        <f t="shared" si="30"/>
        <v>INSERT INTO grupos (id,matricula,grupo) values (4017,'008386','B 111');</v>
      </c>
    </row>
    <row r="1020" spans="1:5" x14ac:dyDescent="0.35">
      <c r="A1020">
        <v>4018</v>
      </c>
      <c r="B1020" s="1" t="s">
        <v>925</v>
      </c>
      <c r="C1020" s="1" t="s">
        <v>1441</v>
      </c>
      <c r="D1020" t="str">
        <f t="shared" si="31"/>
        <v>4018,'008387','B 113'</v>
      </c>
      <c r="E1020" t="str">
        <f t="shared" si="30"/>
        <v>INSERT INTO grupos (id,matricula,grupo) values (4018,'008387','B 113');</v>
      </c>
    </row>
    <row r="1021" spans="1:5" x14ac:dyDescent="0.35">
      <c r="A1021">
        <v>4019</v>
      </c>
      <c r="B1021" s="1" t="s">
        <v>925</v>
      </c>
      <c r="C1021" s="1" t="s">
        <v>1440</v>
      </c>
      <c r="D1021" t="str">
        <f t="shared" si="31"/>
        <v>4019,'008387','B2° 3A-II'</v>
      </c>
      <c r="E1021" t="str">
        <f t="shared" si="30"/>
        <v>INSERT INTO grupos (id,matricula,grupo) values (4019,'008387','B2° 3A-II');</v>
      </c>
    </row>
    <row r="1022" spans="1:5" x14ac:dyDescent="0.35">
      <c r="A1022">
        <v>4020</v>
      </c>
      <c r="B1022" s="1" t="s">
        <v>926</v>
      </c>
      <c r="C1022" s="1" t="s">
        <v>1439</v>
      </c>
      <c r="D1022" t="str">
        <f t="shared" si="31"/>
        <v>4020,'008388','B 114'</v>
      </c>
      <c r="E1022" t="str">
        <f t="shared" si="30"/>
        <v>INSERT INTO grupos (id,matricula,grupo) values (4020,'008388','B 114');</v>
      </c>
    </row>
    <row r="1023" spans="1:5" x14ac:dyDescent="0.35">
      <c r="A1023">
        <v>4021</v>
      </c>
      <c r="B1023" s="1" t="s">
        <v>926</v>
      </c>
      <c r="C1023" s="1" t="s">
        <v>1440</v>
      </c>
      <c r="D1023" t="str">
        <f t="shared" si="31"/>
        <v>4021,'008388','B2° 3A-II'</v>
      </c>
      <c r="E1023" t="str">
        <f t="shared" si="30"/>
        <v>INSERT INTO grupos (id,matricula,grupo) values (4021,'008388','B2° 3A-II');</v>
      </c>
    </row>
    <row r="1024" spans="1:5" x14ac:dyDescent="0.35">
      <c r="A1024">
        <v>4022</v>
      </c>
      <c r="B1024" s="1" t="s">
        <v>927</v>
      </c>
      <c r="C1024" s="1" t="s">
        <v>1444</v>
      </c>
      <c r="D1024" t="str">
        <f t="shared" si="31"/>
        <v>4022,'008389','B 112'</v>
      </c>
      <c r="E1024" t="str">
        <f t="shared" si="30"/>
        <v>INSERT INTO grupos (id,matricula,grupo) values (4022,'008389','B 112');</v>
      </c>
    </row>
    <row r="1025" spans="1:5" x14ac:dyDescent="0.35">
      <c r="A1025">
        <v>4023</v>
      </c>
      <c r="B1025" s="1" t="s">
        <v>927</v>
      </c>
      <c r="C1025" s="1" t="s">
        <v>1445</v>
      </c>
      <c r="D1025" t="str">
        <f t="shared" si="31"/>
        <v>4023,'008389','B2° 4A-II'</v>
      </c>
      <c r="E1025" t="str">
        <f t="shared" si="30"/>
        <v>INSERT INTO grupos (id,matricula,grupo) values (4023,'008389','B2° 4A-II');</v>
      </c>
    </row>
    <row r="1026" spans="1:5" x14ac:dyDescent="0.35">
      <c r="A1026">
        <v>4024</v>
      </c>
      <c r="B1026" s="1" t="s">
        <v>928</v>
      </c>
      <c r="C1026" s="1" t="s">
        <v>1444</v>
      </c>
      <c r="D1026" t="str">
        <f t="shared" si="31"/>
        <v>4024,'008390','B 112'</v>
      </c>
      <c r="E1026" t="str">
        <f t="shared" ref="E1026:E1089" si="32">CONCATENATE($D$1,D1026,");")</f>
        <v>INSERT INTO grupos (id,matricula,grupo) values (4024,'008390','B 112');</v>
      </c>
    </row>
    <row r="1027" spans="1:5" x14ac:dyDescent="0.35">
      <c r="A1027">
        <v>4025</v>
      </c>
      <c r="B1027" s="1" t="s">
        <v>928</v>
      </c>
      <c r="C1027" s="1" t="s">
        <v>1445</v>
      </c>
      <c r="D1027" t="str">
        <f t="shared" ref="D1027:D1090" si="33">CONCATENATE(A1027,",",B1027,",",C1027,"")</f>
        <v>4025,'008390','B2° 4A-II'</v>
      </c>
      <c r="E1027" t="str">
        <f t="shared" si="32"/>
        <v>INSERT INTO grupos (id,matricula,grupo) values (4025,'008390','B2° 4A-II');</v>
      </c>
    </row>
    <row r="1028" spans="1:5" x14ac:dyDescent="0.35">
      <c r="A1028">
        <v>4026</v>
      </c>
      <c r="B1028" s="1" t="s">
        <v>929</v>
      </c>
      <c r="C1028" s="1" t="s">
        <v>1439</v>
      </c>
      <c r="D1028" t="str">
        <f t="shared" si="33"/>
        <v>4026,'008391','B 114'</v>
      </c>
      <c r="E1028" t="str">
        <f t="shared" si="32"/>
        <v>INSERT INTO grupos (id,matricula,grupo) values (4026,'008391','B 114');</v>
      </c>
    </row>
    <row r="1029" spans="1:5" x14ac:dyDescent="0.35">
      <c r="A1029">
        <v>4027</v>
      </c>
      <c r="B1029" s="1" t="s">
        <v>929</v>
      </c>
      <c r="C1029" s="1" t="s">
        <v>1440</v>
      </c>
      <c r="D1029" t="str">
        <f t="shared" si="33"/>
        <v>4027,'008391','B2° 3A-II'</v>
      </c>
      <c r="E1029" t="str">
        <f t="shared" si="32"/>
        <v>INSERT INTO grupos (id,matricula,grupo) values (4027,'008391','B2° 3A-II');</v>
      </c>
    </row>
    <row r="1030" spans="1:5" x14ac:dyDescent="0.35">
      <c r="A1030">
        <v>4028</v>
      </c>
      <c r="B1030" s="1" t="s">
        <v>930</v>
      </c>
      <c r="C1030" s="1" t="s">
        <v>1444</v>
      </c>
      <c r="D1030" t="str">
        <f t="shared" si="33"/>
        <v>4028,'008392','B 112'</v>
      </c>
      <c r="E1030" t="str">
        <f t="shared" si="32"/>
        <v>INSERT INTO grupos (id,matricula,grupo) values (4028,'008392','B 112');</v>
      </c>
    </row>
    <row r="1031" spans="1:5" x14ac:dyDescent="0.35">
      <c r="A1031">
        <v>4029</v>
      </c>
      <c r="B1031" s="1" t="s">
        <v>930</v>
      </c>
      <c r="C1031" s="1" t="s">
        <v>1440</v>
      </c>
      <c r="D1031" t="str">
        <f t="shared" si="33"/>
        <v>4029,'008392','B2° 3A-II'</v>
      </c>
      <c r="E1031" t="str">
        <f t="shared" si="32"/>
        <v>INSERT INTO grupos (id,matricula,grupo) values (4029,'008392','B2° 3A-II');</v>
      </c>
    </row>
    <row r="1032" spans="1:5" x14ac:dyDescent="0.35">
      <c r="A1032">
        <v>4030</v>
      </c>
      <c r="B1032" s="1" t="s">
        <v>931</v>
      </c>
      <c r="C1032" s="1" t="s">
        <v>1441</v>
      </c>
      <c r="D1032" t="str">
        <f t="shared" si="33"/>
        <v>4030,'008393','B 113'</v>
      </c>
      <c r="E1032" t="str">
        <f t="shared" si="32"/>
        <v>INSERT INTO grupos (id,matricula,grupo) values (4030,'008393','B 113');</v>
      </c>
    </row>
    <row r="1033" spans="1:5" x14ac:dyDescent="0.35">
      <c r="A1033">
        <v>4031</v>
      </c>
      <c r="B1033" s="1" t="s">
        <v>931</v>
      </c>
      <c r="C1033" s="1" t="s">
        <v>1440</v>
      </c>
      <c r="D1033" t="str">
        <f t="shared" si="33"/>
        <v>4031,'008393','B2° 3A-II'</v>
      </c>
      <c r="E1033" t="str">
        <f t="shared" si="32"/>
        <v>INSERT INTO grupos (id,matricula,grupo) values (4031,'008393','B2° 3A-II');</v>
      </c>
    </row>
    <row r="1034" spans="1:5" x14ac:dyDescent="0.35">
      <c r="A1034">
        <v>4032</v>
      </c>
      <c r="B1034" s="1" t="s">
        <v>932</v>
      </c>
      <c r="C1034" s="1" t="s">
        <v>1444</v>
      </c>
      <c r="D1034" t="str">
        <f t="shared" si="33"/>
        <v>4032,'008394','B 112'</v>
      </c>
      <c r="E1034" t="str">
        <f t="shared" si="32"/>
        <v>INSERT INTO grupos (id,matricula,grupo) values (4032,'008394','B 112');</v>
      </c>
    </row>
    <row r="1035" spans="1:5" x14ac:dyDescent="0.35">
      <c r="A1035">
        <v>4033</v>
      </c>
      <c r="B1035" s="1" t="s">
        <v>932</v>
      </c>
      <c r="C1035" s="1" t="s">
        <v>1442</v>
      </c>
      <c r="D1035" t="str">
        <f t="shared" si="33"/>
        <v>4033,'008394','B2° 2B-II'</v>
      </c>
      <c r="E1035" t="str">
        <f t="shared" si="32"/>
        <v>INSERT INTO grupos (id,matricula,grupo) values (4033,'008394','B2° 2B-II');</v>
      </c>
    </row>
    <row r="1036" spans="1:5" x14ac:dyDescent="0.35">
      <c r="A1036">
        <v>4034</v>
      </c>
      <c r="B1036" s="1" t="s">
        <v>933</v>
      </c>
      <c r="C1036" s="1" t="s">
        <v>1444</v>
      </c>
      <c r="D1036" t="str">
        <f t="shared" si="33"/>
        <v>4034,'008395','B 112'</v>
      </c>
      <c r="E1036" t="str">
        <f t="shared" si="32"/>
        <v>INSERT INTO grupos (id,matricula,grupo) values (4034,'008395','B 112');</v>
      </c>
    </row>
    <row r="1037" spans="1:5" x14ac:dyDescent="0.35">
      <c r="A1037">
        <v>4035</v>
      </c>
      <c r="B1037" s="1" t="s">
        <v>933</v>
      </c>
      <c r="C1037" s="1" t="s">
        <v>1445</v>
      </c>
      <c r="D1037" t="str">
        <f t="shared" si="33"/>
        <v>4035,'008395','B2° 4A-II'</v>
      </c>
      <c r="E1037" t="str">
        <f t="shared" si="32"/>
        <v>INSERT INTO grupos (id,matricula,grupo) values (4035,'008395','B2° 4A-II');</v>
      </c>
    </row>
    <row r="1038" spans="1:5" x14ac:dyDescent="0.35">
      <c r="A1038">
        <v>4036</v>
      </c>
      <c r="B1038" s="1" t="s">
        <v>934</v>
      </c>
      <c r="C1038" s="1" t="s">
        <v>1441</v>
      </c>
      <c r="D1038" t="str">
        <f t="shared" si="33"/>
        <v>4036,'008396','B 113'</v>
      </c>
      <c r="E1038" t="str">
        <f t="shared" si="32"/>
        <v>INSERT INTO grupos (id,matricula,grupo) values (4036,'008396','B 113');</v>
      </c>
    </row>
    <row r="1039" spans="1:5" x14ac:dyDescent="0.35">
      <c r="A1039">
        <v>4037</v>
      </c>
      <c r="B1039" s="1" t="s">
        <v>934</v>
      </c>
      <c r="C1039" s="1" t="s">
        <v>1442</v>
      </c>
      <c r="D1039" t="str">
        <f t="shared" si="33"/>
        <v>4037,'008396','B2° 2B-II'</v>
      </c>
      <c r="E1039" t="str">
        <f t="shared" si="32"/>
        <v>INSERT INTO grupos (id,matricula,grupo) values (4037,'008396','B2° 2B-II');</v>
      </c>
    </row>
    <row r="1040" spans="1:5" x14ac:dyDescent="0.35">
      <c r="A1040">
        <v>4038</v>
      </c>
      <c r="B1040" s="1" t="s">
        <v>935</v>
      </c>
      <c r="C1040" s="1" t="s">
        <v>1439</v>
      </c>
      <c r="D1040" t="str">
        <f t="shared" si="33"/>
        <v>4038,'008397','B 114'</v>
      </c>
      <c r="E1040" t="str">
        <f t="shared" si="32"/>
        <v>INSERT INTO grupos (id,matricula,grupo) values (4038,'008397','B 114');</v>
      </c>
    </row>
    <row r="1041" spans="1:5" x14ac:dyDescent="0.35">
      <c r="A1041">
        <v>4039</v>
      </c>
      <c r="B1041" s="1" t="s">
        <v>935</v>
      </c>
      <c r="C1041" s="1" t="s">
        <v>1442</v>
      </c>
      <c r="D1041" t="str">
        <f t="shared" si="33"/>
        <v>4039,'008397','B2° 2B-II'</v>
      </c>
      <c r="E1041" t="str">
        <f t="shared" si="32"/>
        <v>INSERT INTO grupos (id,matricula,grupo) values (4039,'008397','B2° 2B-II');</v>
      </c>
    </row>
    <row r="1042" spans="1:5" x14ac:dyDescent="0.35">
      <c r="A1042">
        <v>4040</v>
      </c>
      <c r="B1042" s="1" t="s">
        <v>936</v>
      </c>
      <c r="C1042" s="1" t="s">
        <v>1444</v>
      </c>
      <c r="D1042" t="str">
        <f t="shared" si="33"/>
        <v>4040,'008398','B 112'</v>
      </c>
      <c r="E1042" t="str">
        <f t="shared" si="32"/>
        <v>INSERT INTO grupos (id,matricula,grupo) values (4040,'008398','B 112');</v>
      </c>
    </row>
    <row r="1043" spans="1:5" x14ac:dyDescent="0.35">
      <c r="A1043">
        <v>4041</v>
      </c>
      <c r="B1043" s="1" t="s">
        <v>936</v>
      </c>
      <c r="C1043" s="1" t="s">
        <v>1445</v>
      </c>
      <c r="D1043" t="str">
        <f t="shared" si="33"/>
        <v>4041,'008398','B2° 4A-II'</v>
      </c>
      <c r="E1043" t="str">
        <f t="shared" si="32"/>
        <v>INSERT INTO grupos (id,matricula,grupo) values (4041,'008398','B2° 4A-II');</v>
      </c>
    </row>
    <row r="1044" spans="1:5" x14ac:dyDescent="0.35">
      <c r="A1044">
        <v>4042</v>
      </c>
      <c r="B1044" s="1" t="s">
        <v>937</v>
      </c>
      <c r="C1044" s="1" t="s">
        <v>1444</v>
      </c>
      <c r="D1044" t="str">
        <f t="shared" si="33"/>
        <v>4042,'008399','B 112'</v>
      </c>
      <c r="E1044" t="str">
        <f t="shared" si="32"/>
        <v>INSERT INTO grupos (id,matricula,grupo) values (4042,'008399','B 112');</v>
      </c>
    </row>
    <row r="1045" spans="1:5" x14ac:dyDescent="0.35">
      <c r="A1045">
        <v>4043</v>
      </c>
      <c r="B1045" s="1" t="s">
        <v>937</v>
      </c>
      <c r="C1045" s="1" t="s">
        <v>1445</v>
      </c>
      <c r="D1045" t="str">
        <f t="shared" si="33"/>
        <v>4043,'008399','B2° 4A-II'</v>
      </c>
      <c r="E1045" t="str">
        <f t="shared" si="32"/>
        <v>INSERT INTO grupos (id,matricula,grupo) values (4043,'008399','B2° 4A-II');</v>
      </c>
    </row>
    <row r="1046" spans="1:5" x14ac:dyDescent="0.35">
      <c r="A1046">
        <v>4044</v>
      </c>
      <c r="B1046" s="1" t="s">
        <v>938</v>
      </c>
      <c r="C1046" s="1" t="s">
        <v>1441</v>
      </c>
      <c r="D1046" t="str">
        <f t="shared" si="33"/>
        <v>4044,'008400','B 113'</v>
      </c>
      <c r="E1046" t="str">
        <f t="shared" si="32"/>
        <v>INSERT INTO grupos (id,matricula,grupo) values (4044,'008400','B 113');</v>
      </c>
    </row>
    <row r="1047" spans="1:5" x14ac:dyDescent="0.35">
      <c r="A1047">
        <v>4045</v>
      </c>
      <c r="B1047" s="1" t="s">
        <v>938</v>
      </c>
      <c r="C1047" s="1" t="s">
        <v>1442</v>
      </c>
      <c r="D1047" t="str">
        <f t="shared" si="33"/>
        <v>4045,'008400','B2° 2B-II'</v>
      </c>
      <c r="E1047" t="str">
        <f t="shared" si="32"/>
        <v>INSERT INTO grupos (id,matricula,grupo) values (4045,'008400','B2° 2B-II');</v>
      </c>
    </row>
    <row r="1048" spans="1:5" x14ac:dyDescent="0.35">
      <c r="A1048">
        <v>4046</v>
      </c>
      <c r="B1048" s="1" t="s">
        <v>939</v>
      </c>
      <c r="C1048" s="1" t="s">
        <v>1443</v>
      </c>
      <c r="D1048" t="str">
        <f t="shared" si="33"/>
        <v>4046,'008401','B 111'</v>
      </c>
      <c r="E1048" t="str">
        <f t="shared" si="32"/>
        <v>INSERT INTO grupos (id,matricula,grupo) values (4046,'008401','B 111');</v>
      </c>
    </row>
    <row r="1049" spans="1:5" x14ac:dyDescent="0.35">
      <c r="A1049">
        <v>4047</v>
      </c>
      <c r="B1049" s="1" t="s">
        <v>940</v>
      </c>
      <c r="C1049" s="1" t="s">
        <v>1439</v>
      </c>
      <c r="D1049" t="str">
        <f t="shared" si="33"/>
        <v>4047,'008402','B 114'</v>
      </c>
      <c r="E1049" t="str">
        <f t="shared" si="32"/>
        <v>INSERT INTO grupos (id,matricula,grupo) values (4047,'008402','B 114');</v>
      </c>
    </row>
    <row r="1050" spans="1:5" x14ac:dyDescent="0.35">
      <c r="A1050">
        <v>4048</v>
      </c>
      <c r="B1050" s="1" t="s">
        <v>940</v>
      </c>
      <c r="C1050" s="1" t="s">
        <v>1440</v>
      </c>
      <c r="D1050" t="str">
        <f t="shared" si="33"/>
        <v>4048,'008402','B2° 3A-II'</v>
      </c>
      <c r="E1050" t="str">
        <f t="shared" si="32"/>
        <v>INSERT INTO grupos (id,matricula,grupo) values (4048,'008402','B2° 3A-II');</v>
      </c>
    </row>
    <row r="1051" spans="1:5" x14ac:dyDescent="0.35">
      <c r="A1051">
        <v>4049</v>
      </c>
      <c r="B1051" s="1" t="s">
        <v>941</v>
      </c>
      <c r="C1051" s="1" t="s">
        <v>1441</v>
      </c>
      <c r="D1051" t="str">
        <f t="shared" si="33"/>
        <v>4049,'008403','B 113'</v>
      </c>
      <c r="E1051" t="str">
        <f t="shared" si="32"/>
        <v>INSERT INTO grupos (id,matricula,grupo) values (4049,'008403','B 113');</v>
      </c>
    </row>
    <row r="1052" spans="1:5" x14ac:dyDescent="0.35">
      <c r="A1052">
        <v>4050</v>
      </c>
      <c r="B1052" s="1" t="s">
        <v>941</v>
      </c>
      <c r="C1052" s="1" t="s">
        <v>1440</v>
      </c>
      <c r="D1052" t="str">
        <f t="shared" si="33"/>
        <v>4050,'008403','B2° 3A-II'</v>
      </c>
      <c r="E1052" t="str">
        <f t="shared" si="32"/>
        <v>INSERT INTO grupos (id,matricula,grupo) values (4050,'008403','B2° 3A-II');</v>
      </c>
    </row>
    <row r="1053" spans="1:5" x14ac:dyDescent="0.35">
      <c r="A1053">
        <v>4051</v>
      </c>
      <c r="B1053" s="1" t="s">
        <v>942</v>
      </c>
      <c r="C1053" s="1" t="s">
        <v>1439</v>
      </c>
      <c r="D1053" t="str">
        <f t="shared" si="33"/>
        <v>4051,'008404','B 114'</v>
      </c>
      <c r="E1053" t="str">
        <f t="shared" si="32"/>
        <v>INSERT INTO grupos (id,matricula,grupo) values (4051,'008404','B 114');</v>
      </c>
    </row>
    <row r="1054" spans="1:5" x14ac:dyDescent="0.35">
      <c r="A1054">
        <v>4052</v>
      </c>
      <c r="B1054" s="1" t="s">
        <v>942</v>
      </c>
      <c r="C1054" s="1" t="s">
        <v>1440</v>
      </c>
      <c r="D1054" t="str">
        <f t="shared" si="33"/>
        <v>4052,'008404','B2° 3A-II'</v>
      </c>
      <c r="E1054" t="str">
        <f t="shared" si="32"/>
        <v>INSERT INTO grupos (id,matricula,grupo) values (4052,'008404','B2° 3A-II');</v>
      </c>
    </row>
    <row r="1055" spans="1:5" x14ac:dyDescent="0.35">
      <c r="A1055">
        <v>4053</v>
      </c>
      <c r="B1055" s="1" t="s">
        <v>943</v>
      </c>
      <c r="C1055" s="1" t="s">
        <v>1439</v>
      </c>
      <c r="D1055" t="str">
        <f t="shared" si="33"/>
        <v>4053,'008405','B 114'</v>
      </c>
      <c r="E1055" t="str">
        <f t="shared" si="32"/>
        <v>INSERT INTO grupos (id,matricula,grupo) values (4053,'008405','B 114');</v>
      </c>
    </row>
    <row r="1056" spans="1:5" x14ac:dyDescent="0.35">
      <c r="A1056">
        <v>4054</v>
      </c>
      <c r="B1056" s="1" t="s">
        <v>943</v>
      </c>
      <c r="C1056" s="1" t="s">
        <v>1442</v>
      </c>
      <c r="D1056" t="str">
        <f t="shared" si="33"/>
        <v>4054,'008405','B2° 2B-II'</v>
      </c>
      <c r="E1056" t="str">
        <f t="shared" si="32"/>
        <v>INSERT INTO grupos (id,matricula,grupo) values (4054,'008405','B2° 2B-II');</v>
      </c>
    </row>
    <row r="1057" spans="1:5" x14ac:dyDescent="0.35">
      <c r="A1057">
        <v>4055</v>
      </c>
      <c r="B1057" s="1" t="s">
        <v>944</v>
      </c>
      <c r="C1057" s="1" t="s">
        <v>1439</v>
      </c>
      <c r="D1057" t="str">
        <f t="shared" si="33"/>
        <v>4055,'008406','B 114'</v>
      </c>
      <c r="E1057" t="str">
        <f t="shared" si="32"/>
        <v>INSERT INTO grupos (id,matricula,grupo) values (4055,'008406','B 114');</v>
      </c>
    </row>
    <row r="1058" spans="1:5" x14ac:dyDescent="0.35">
      <c r="A1058">
        <v>4056</v>
      </c>
      <c r="B1058" s="1" t="s">
        <v>944</v>
      </c>
      <c r="C1058" s="1" t="s">
        <v>1442</v>
      </c>
      <c r="D1058" t="str">
        <f t="shared" si="33"/>
        <v>4056,'008406','B2° 2B-II'</v>
      </c>
      <c r="E1058" t="str">
        <f t="shared" si="32"/>
        <v>INSERT INTO grupos (id,matricula,grupo) values (4056,'008406','B2° 2B-II');</v>
      </c>
    </row>
    <row r="1059" spans="1:5" x14ac:dyDescent="0.35">
      <c r="A1059">
        <v>4057</v>
      </c>
      <c r="B1059" s="1" t="s">
        <v>945</v>
      </c>
      <c r="C1059" s="1" t="s">
        <v>1429</v>
      </c>
      <c r="D1059" t="str">
        <f t="shared" si="33"/>
        <v>4057,'008407','B 225'</v>
      </c>
      <c r="E1059" t="str">
        <f t="shared" si="32"/>
        <v>INSERT INTO grupos (id,matricula,grupo) values (4057,'008407','B 225');</v>
      </c>
    </row>
    <row r="1060" spans="1:5" x14ac:dyDescent="0.35">
      <c r="A1060">
        <v>4058</v>
      </c>
      <c r="B1060" s="1" t="s">
        <v>945</v>
      </c>
      <c r="C1060" s="1" t="s">
        <v>1433</v>
      </c>
      <c r="D1060" t="str">
        <f t="shared" si="33"/>
        <v>4058,'008407','B 23'</v>
      </c>
      <c r="E1060" t="str">
        <f t="shared" si="32"/>
        <v>INSERT INTO grupos (id,matricula,grupo) values (4058,'008407','B 23');</v>
      </c>
    </row>
    <row r="1061" spans="1:5" x14ac:dyDescent="0.35">
      <c r="A1061">
        <v>4059</v>
      </c>
      <c r="B1061" s="1" t="s">
        <v>945</v>
      </c>
      <c r="C1061" s="1" t="s">
        <v>1438</v>
      </c>
      <c r="D1061" t="str">
        <f t="shared" si="33"/>
        <v>4059,'008407','B4° 3A-II'</v>
      </c>
      <c r="E1061" t="str">
        <f t="shared" si="32"/>
        <v>INSERT INTO grupos (id,matricula,grupo) values (4059,'008407','B4° 3A-II');</v>
      </c>
    </row>
    <row r="1062" spans="1:5" x14ac:dyDescent="0.35">
      <c r="A1062">
        <v>4060</v>
      </c>
      <c r="B1062" s="1" t="s">
        <v>946</v>
      </c>
      <c r="C1062" s="1" t="s">
        <v>1443</v>
      </c>
      <c r="D1062" t="str">
        <f t="shared" si="33"/>
        <v>4060,'008408','B 111'</v>
      </c>
      <c r="E1062" t="str">
        <f t="shared" si="32"/>
        <v>INSERT INTO grupos (id,matricula,grupo) values (4060,'008408','B 111');</v>
      </c>
    </row>
    <row r="1063" spans="1:5" x14ac:dyDescent="0.35">
      <c r="A1063">
        <v>4061</v>
      </c>
      <c r="B1063" s="1" t="s">
        <v>947</v>
      </c>
      <c r="C1063" s="1" t="s">
        <v>1444</v>
      </c>
      <c r="D1063" t="str">
        <f t="shared" si="33"/>
        <v>4061,'008409','B 112'</v>
      </c>
      <c r="E1063" t="str">
        <f t="shared" si="32"/>
        <v>INSERT INTO grupos (id,matricula,grupo) values (4061,'008409','B 112');</v>
      </c>
    </row>
    <row r="1064" spans="1:5" x14ac:dyDescent="0.35">
      <c r="A1064">
        <v>4062</v>
      </c>
      <c r="B1064" s="1" t="s">
        <v>947</v>
      </c>
      <c r="C1064" s="1" t="s">
        <v>1440</v>
      </c>
      <c r="D1064" t="str">
        <f t="shared" si="33"/>
        <v>4062,'008409','B2° 3A-II'</v>
      </c>
      <c r="E1064" t="str">
        <f t="shared" si="32"/>
        <v>INSERT INTO grupos (id,matricula,grupo) values (4062,'008409','B2° 3A-II');</v>
      </c>
    </row>
    <row r="1065" spans="1:5" x14ac:dyDescent="0.35">
      <c r="A1065">
        <v>4063</v>
      </c>
      <c r="B1065" s="1" t="s">
        <v>948</v>
      </c>
      <c r="C1065" s="1" t="s">
        <v>1431</v>
      </c>
      <c r="D1065" t="str">
        <f t="shared" si="33"/>
        <v>4063,'008411','B 21B'</v>
      </c>
      <c r="E1065" t="str">
        <f t="shared" si="32"/>
        <v>INSERT INTO grupos (id,matricula,grupo) values (4063,'008411','B 21B');</v>
      </c>
    </row>
    <row r="1066" spans="1:5" x14ac:dyDescent="0.35">
      <c r="A1066">
        <v>4064</v>
      </c>
      <c r="B1066" s="1" t="s">
        <v>948</v>
      </c>
      <c r="C1066" s="1" t="s">
        <v>1428</v>
      </c>
      <c r="D1066" t="str">
        <f t="shared" si="33"/>
        <v>4064,'008411','B 222'</v>
      </c>
      <c r="E1066" t="str">
        <f t="shared" si="32"/>
        <v>INSERT INTO grupos (id,matricula,grupo) values (4064,'008411','B 222');</v>
      </c>
    </row>
    <row r="1067" spans="1:5" x14ac:dyDescent="0.35">
      <c r="A1067">
        <v>4065</v>
      </c>
      <c r="B1067" s="1" t="s">
        <v>949</v>
      </c>
      <c r="C1067" s="1" t="s">
        <v>1436</v>
      </c>
      <c r="D1067" t="str">
        <f t="shared" si="33"/>
        <v>4065,'008412','B 224'</v>
      </c>
      <c r="E1067" t="str">
        <f t="shared" si="32"/>
        <v>INSERT INTO grupos (id,matricula,grupo) values (4065,'008412','B 224');</v>
      </c>
    </row>
    <row r="1068" spans="1:5" x14ac:dyDescent="0.35">
      <c r="A1068">
        <v>4066</v>
      </c>
      <c r="B1068" s="1" t="s">
        <v>949</v>
      </c>
      <c r="C1068" s="1" t="s">
        <v>1426</v>
      </c>
      <c r="D1068" t="str">
        <f t="shared" si="33"/>
        <v>4066,'008412','B 22A'</v>
      </c>
      <c r="E1068" t="str">
        <f t="shared" si="32"/>
        <v>INSERT INTO grupos (id,matricula,grupo) values (4066,'008412','B 22A');</v>
      </c>
    </row>
    <row r="1069" spans="1:5" x14ac:dyDescent="0.35">
      <c r="A1069">
        <v>4067</v>
      </c>
      <c r="B1069" s="1" t="s">
        <v>949</v>
      </c>
      <c r="C1069" s="1" t="s">
        <v>1427</v>
      </c>
      <c r="D1069" t="str">
        <f t="shared" si="33"/>
        <v>4067,'008412','B4° 4A-II'</v>
      </c>
      <c r="E1069" t="str">
        <f t="shared" si="32"/>
        <v>INSERT INTO grupos (id,matricula,grupo) values (4067,'008412','B4° 4A-II');</v>
      </c>
    </row>
    <row r="1070" spans="1:5" x14ac:dyDescent="0.35">
      <c r="A1070">
        <v>4068</v>
      </c>
      <c r="B1070" s="1" t="s">
        <v>950</v>
      </c>
      <c r="C1070" s="1" t="s">
        <v>1441</v>
      </c>
      <c r="D1070" t="str">
        <f t="shared" si="33"/>
        <v>4068,'008413','B 113'</v>
      </c>
      <c r="E1070" t="str">
        <f t="shared" si="32"/>
        <v>INSERT INTO grupos (id,matricula,grupo) values (4068,'008413','B 113');</v>
      </c>
    </row>
    <row r="1071" spans="1:5" x14ac:dyDescent="0.35">
      <c r="A1071">
        <v>4069</v>
      </c>
      <c r="B1071" s="1" t="s">
        <v>950</v>
      </c>
      <c r="C1071" s="1" t="s">
        <v>1442</v>
      </c>
      <c r="D1071" t="str">
        <f t="shared" si="33"/>
        <v>4069,'008413','B2° 2B-II'</v>
      </c>
      <c r="E1071" t="str">
        <f t="shared" si="32"/>
        <v>INSERT INTO grupos (id,matricula,grupo) values (4069,'008413','B2° 2B-II');</v>
      </c>
    </row>
    <row r="1072" spans="1:5" x14ac:dyDescent="0.35">
      <c r="A1072">
        <v>4070</v>
      </c>
      <c r="B1072" s="1" t="s">
        <v>951</v>
      </c>
      <c r="C1072" s="1" t="s">
        <v>1443</v>
      </c>
      <c r="D1072" t="str">
        <f t="shared" si="33"/>
        <v>4070,'008414','B 111'</v>
      </c>
      <c r="E1072" t="str">
        <f t="shared" si="32"/>
        <v>INSERT INTO grupos (id,matricula,grupo) values (4070,'008414','B 111');</v>
      </c>
    </row>
    <row r="1073" spans="1:5" x14ac:dyDescent="0.35">
      <c r="A1073">
        <v>4071</v>
      </c>
      <c r="B1073" s="1" t="s">
        <v>952</v>
      </c>
      <c r="C1073" s="1" t="s">
        <v>1439</v>
      </c>
      <c r="D1073" t="str">
        <f t="shared" si="33"/>
        <v>4071,'008415','B 114'</v>
      </c>
      <c r="E1073" t="str">
        <f t="shared" si="32"/>
        <v>INSERT INTO grupos (id,matricula,grupo) values (4071,'008415','B 114');</v>
      </c>
    </row>
    <row r="1074" spans="1:5" x14ac:dyDescent="0.35">
      <c r="A1074">
        <v>4072</v>
      </c>
      <c r="B1074" s="1" t="s">
        <v>952</v>
      </c>
      <c r="C1074" s="1" t="s">
        <v>1442</v>
      </c>
      <c r="D1074" t="str">
        <f t="shared" si="33"/>
        <v>4072,'008415','B2° 2B-II'</v>
      </c>
      <c r="E1074" t="str">
        <f t="shared" si="32"/>
        <v>INSERT INTO grupos (id,matricula,grupo) values (4072,'008415','B2° 2B-II');</v>
      </c>
    </row>
    <row r="1075" spans="1:5" x14ac:dyDescent="0.35">
      <c r="A1075">
        <v>4073</v>
      </c>
      <c r="B1075" s="1" t="s">
        <v>953</v>
      </c>
      <c r="C1075" s="1" t="s">
        <v>1443</v>
      </c>
      <c r="D1075" t="str">
        <f t="shared" si="33"/>
        <v>4073,'008416','B 111'</v>
      </c>
      <c r="E1075" t="str">
        <f t="shared" si="32"/>
        <v>INSERT INTO grupos (id,matricula,grupo) values (4073,'008416','B 111');</v>
      </c>
    </row>
    <row r="1076" spans="1:5" x14ac:dyDescent="0.35">
      <c r="A1076">
        <v>4074</v>
      </c>
      <c r="B1076" s="1" t="s">
        <v>954</v>
      </c>
      <c r="C1076" s="1" t="s">
        <v>1441</v>
      </c>
      <c r="D1076" t="str">
        <f t="shared" si="33"/>
        <v>4074,'008417','B 113'</v>
      </c>
      <c r="E1076" t="str">
        <f t="shared" si="32"/>
        <v>INSERT INTO grupos (id,matricula,grupo) values (4074,'008417','B 113');</v>
      </c>
    </row>
    <row r="1077" spans="1:5" x14ac:dyDescent="0.35">
      <c r="A1077">
        <v>4075</v>
      </c>
      <c r="B1077" s="1" t="s">
        <v>954</v>
      </c>
      <c r="C1077" s="1" t="s">
        <v>1440</v>
      </c>
      <c r="D1077" t="str">
        <f t="shared" si="33"/>
        <v>4075,'008417','B2° 3A-II'</v>
      </c>
      <c r="E1077" t="str">
        <f t="shared" si="32"/>
        <v>INSERT INTO grupos (id,matricula,grupo) values (4075,'008417','B2° 3A-II');</v>
      </c>
    </row>
    <row r="1078" spans="1:5" x14ac:dyDescent="0.35">
      <c r="A1078">
        <v>4076</v>
      </c>
      <c r="B1078" s="1" t="s">
        <v>955</v>
      </c>
      <c r="C1078" s="1" t="s">
        <v>1444</v>
      </c>
      <c r="D1078" t="str">
        <f t="shared" si="33"/>
        <v>4076,'008418','B 112'</v>
      </c>
      <c r="E1078" t="str">
        <f t="shared" si="32"/>
        <v>INSERT INTO grupos (id,matricula,grupo) values (4076,'008418','B 112');</v>
      </c>
    </row>
    <row r="1079" spans="1:5" x14ac:dyDescent="0.35">
      <c r="A1079">
        <v>4077</v>
      </c>
      <c r="B1079" s="1" t="s">
        <v>955</v>
      </c>
      <c r="C1079" s="1" t="s">
        <v>1442</v>
      </c>
      <c r="D1079" t="str">
        <f t="shared" si="33"/>
        <v>4077,'008418','B2° 2B-II'</v>
      </c>
      <c r="E1079" t="str">
        <f t="shared" si="32"/>
        <v>INSERT INTO grupos (id,matricula,grupo) values (4077,'008418','B2° 2B-II');</v>
      </c>
    </row>
    <row r="1080" spans="1:5" x14ac:dyDescent="0.35">
      <c r="A1080">
        <v>4078</v>
      </c>
      <c r="B1080" s="1" t="s">
        <v>956</v>
      </c>
      <c r="C1080" s="1" t="s">
        <v>1444</v>
      </c>
      <c r="D1080" t="str">
        <f t="shared" si="33"/>
        <v>4078,'008419','B 112'</v>
      </c>
      <c r="E1080" t="str">
        <f t="shared" si="32"/>
        <v>INSERT INTO grupos (id,matricula,grupo) values (4078,'008419','B 112');</v>
      </c>
    </row>
    <row r="1081" spans="1:5" x14ac:dyDescent="0.35">
      <c r="A1081">
        <v>4079</v>
      </c>
      <c r="B1081" s="1" t="s">
        <v>956</v>
      </c>
      <c r="C1081" s="1" t="s">
        <v>1445</v>
      </c>
      <c r="D1081" t="str">
        <f t="shared" si="33"/>
        <v>4079,'008419','B2° 4A-II'</v>
      </c>
      <c r="E1081" t="str">
        <f t="shared" si="32"/>
        <v>INSERT INTO grupos (id,matricula,grupo) values (4079,'008419','B2° 4A-II');</v>
      </c>
    </row>
    <row r="1082" spans="1:5" x14ac:dyDescent="0.35">
      <c r="A1082">
        <v>4080</v>
      </c>
      <c r="B1082" s="1" t="s">
        <v>957</v>
      </c>
      <c r="C1082" s="1" t="s">
        <v>1439</v>
      </c>
      <c r="D1082" t="str">
        <f t="shared" si="33"/>
        <v>4080,'008420','B 114'</v>
      </c>
      <c r="E1082" t="str">
        <f t="shared" si="32"/>
        <v>INSERT INTO grupos (id,matricula,grupo) values (4080,'008420','B 114');</v>
      </c>
    </row>
    <row r="1083" spans="1:5" x14ac:dyDescent="0.35">
      <c r="A1083">
        <v>4081</v>
      </c>
      <c r="B1083" s="1" t="s">
        <v>957</v>
      </c>
      <c r="C1083" s="1" t="s">
        <v>1445</v>
      </c>
      <c r="D1083" t="str">
        <f t="shared" si="33"/>
        <v>4081,'008420','B2° 4A-II'</v>
      </c>
      <c r="E1083" t="str">
        <f t="shared" si="32"/>
        <v>INSERT INTO grupos (id,matricula,grupo) values (4081,'008420','B2° 4A-II');</v>
      </c>
    </row>
    <row r="1084" spans="1:5" x14ac:dyDescent="0.35">
      <c r="A1084">
        <v>4082</v>
      </c>
      <c r="B1084" s="1" t="s">
        <v>958</v>
      </c>
      <c r="C1084" s="1" t="s">
        <v>1441</v>
      </c>
      <c r="D1084" t="str">
        <f t="shared" si="33"/>
        <v>4082,'008421','B 113'</v>
      </c>
      <c r="E1084" t="str">
        <f t="shared" si="32"/>
        <v>INSERT INTO grupos (id,matricula,grupo) values (4082,'008421','B 113');</v>
      </c>
    </row>
    <row r="1085" spans="1:5" x14ac:dyDescent="0.35">
      <c r="A1085">
        <v>4083</v>
      </c>
      <c r="B1085" s="1" t="s">
        <v>958</v>
      </c>
      <c r="C1085" s="1" t="s">
        <v>1440</v>
      </c>
      <c r="D1085" t="str">
        <f t="shared" si="33"/>
        <v>4083,'008421','B2° 3A-II'</v>
      </c>
      <c r="E1085" t="str">
        <f t="shared" si="32"/>
        <v>INSERT INTO grupos (id,matricula,grupo) values (4083,'008421','B2° 3A-II');</v>
      </c>
    </row>
    <row r="1086" spans="1:5" x14ac:dyDescent="0.35">
      <c r="A1086">
        <v>4084</v>
      </c>
      <c r="B1086" s="1" t="s">
        <v>959</v>
      </c>
      <c r="C1086" s="1" t="s">
        <v>1444</v>
      </c>
      <c r="D1086" t="str">
        <f t="shared" si="33"/>
        <v>4084,'008422','B 112'</v>
      </c>
      <c r="E1086" t="str">
        <f t="shared" si="32"/>
        <v>INSERT INTO grupos (id,matricula,grupo) values (4084,'008422','B 112');</v>
      </c>
    </row>
    <row r="1087" spans="1:5" x14ac:dyDescent="0.35">
      <c r="A1087">
        <v>4085</v>
      </c>
      <c r="B1087" s="1" t="s">
        <v>959</v>
      </c>
      <c r="C1087" s="1" t="s">
        <v>1442</v>
      </c>
      <c r="D1087" t="str">
        <f t="shared" si="33"/>
        <v>4085,'008422','B2° 2B-II'</v>
      </c>
      <c r="E1087" t="str">
        <f t="shared" si="32"/>
        <v>INSERT INTO grupos (id,matricula,grupo) values (4085,'008422','B2° 2B-II');</v>
      </c>
    </row>
    <row r="1088" spans="1:5" x14ac:dyDescent="0.35">
      <c r="A1088">
        <v>4086</v>
      </c>
      <c r="B1088" s="1" t="s">
        <v>960</v>
      </c>
      <c r="C1088" s="1" t="s">
        <v>1441</v>
      </c>
      <c r="D1088" t="str">
        <f t="shared" si="33"/>
        <v>4086,'008423','B 113'</v>
      </c>
      <c r="E1088" t="str">
        <f t="shared" si="32"/>
        <v>INSERT INTO grupos (id,matricula,grupo) values (4086,'008423','B 113');</v>
      </c>
    </row>
    <row r="1089" spans="1:5" x14ac:dyDescent="0.35">
      <c r="A1089">
        <v>4087</v>
      </c>
      <c r="B1089" s="1" t="s">
        <v>960</v>
      </c>
      <c r="C1089" s="1" t="s">
        <v>1442</v>
      </c>
      <c r="D1089" t="str">
        <f t="shared" si="33"/>
        <v>4087,'008423','B2° 2B-II'</v>
      </c>
      <c r="E1089" t="str">
        <f t="shared" si="32"/>
        <v>INSERT INTO grupos (id,matricula,grupo) values (4087,'008423','B2° 2B-II');</v>
      </c>
    </row>
    <row r="1090" spans="1:5" x14ac:dyDescent="0.35">
      <c r="A1090">
        <v>4088</v>
      </c>
      <c r="B1090" s="1" t="s">
        <v>961</v>
      </c>
      <c r="C1090" s="1" t="s">
        <v>1443</v>
      </c>
      <c r="D1090" t="str">
        <f t="shared" si="33"/>
        <v>4088,'008424','B 111'</v>
      </c>
      <c r="E1090" t="str">
        <f t="shared" ref="E1090:E1135" si="34">CONCATENATE($D$1,D1090,");")</f>
        <v>INSERT INTO grupos (id,matricula,grupo) values (4088,'008424','B 111');</v>
      </c>
    </row>
    <row r="1091" spans="1:5" x14ac:dyDescent="0.35">
      <c r="A1091">
        <v>4089</v>
      </c>
      <c r="B1091" s="1" t="s">
        <v>962</v>
      </c>
      <c r="C1091" s="1" t="s">
        <v>1444</v>
      </c>
      <c r="D1091" t="str">
        <f t="shared" ref="D1091:D1135" si="35">CONCATENATE(A1091,",",B1091,",",C1091,"")</f>
        <v>4089,'008425','B 112'</v>
      </c>
      <c r="E1091" t="str">
        <f t="shared" si="34"/>
        <v>INSERT INTO grupos (id,matricula,grupo) values (4089,'008425','B 112');</v>
      </c>
    </row>
    <row r="1092" spans="1:5" x14ac:dyDescent="0.35">
      <c r="A1092">
        <v>4090</v>
      </c>
      <c r="B1092" s="1" t="s">
        <v>962</v>
      </c>
      <c r="C1092" s="1" t="s">
        <v>1442</v>
      </c>
      <c r="D1092" t="str">
        <f t="shared" si="35"/>
        <v>4090,'008425','B2° 2B-II'</v>
      </c>
      <c r="E1092" t="str">
        <f t="shared" si="34"/>
        <v>INSERT INTO grupos (id,matricula,grupo) values (4090,'008425','B2° 2B-II');</v>
      </c>
    </row>
    <row r="1093" spans="1:5" x14ac:dyDescent="0.35">
      <c r="A1093">
        <v>4091</v>
      </c>
      <c r="B1093" s="1" t="s">
        <v>1401</v>
      </c>
      <c r="C1093" s="1" t="s">
        <v>1439</v>
      </c>
      <c r="D1093" t="str">
        <f t="shared" si="35"/>
        <v>4091,'008426','B 114'</v>
      </c>
      <c r="E1093" t="str">
        <f t="shared" si="34"/>
        <v>INSERT INTO grupos (id,matricula,grupo) values (4091,'008426','B 114');</v>
      </c>
    </row>
    <row r="1094" spans="1:5" x14ac:dyDescent="0.35">
      <c r="A1094">
        <v>4092</v>
      </c>
      <c r="B1094" s="1" t="s">
        <v>1401</v>
      </c>
      <c r="C1094" s="1" t="s">
        <v>1445</v>
      </c>
      <c r="D1094" t="str">
        <f t="shared" si="35"/>
        <v>4092,'008426','B2° 4A-II'</v>
      </c>
      <c r="E1094" t="str">
        <f t="shared" si="34"/>
        <v>INSERT INTO grupos (id,matricula,grupo) values (4092,'008426','B2° 4A-II');</v>
      </c>
    </row>
    <row r="1095" spans="1:5" x14ac:dyDescent="0.35">
      <c r="A1095">
        <v>4093</v>
      </c>
      <c r="B1095" s="1" t="s">
        <v>963</v>
      </c>
      <c r="C1095" s="1" t="s">
        <v>1439</v>
      </c>
      <c r="D1095" t="str">
        <f t="shared" si="35"/>
        <v>4093,'008427','B 114'</v>
      </c>
      <c r="E1095" t="str">
        <f t="shared" si="34"/>
        <v>INSERT INTO grupos (id,matricula,grupo) values (4093,'008427','B 114');</v>
      </c>
    </row>
    <row r="1096" spans="1:5" x14ac:dyDescent="0.35">
      <c r="A1096">
        <v>4094</v>
      </c>
      <c r="B1096" s="1" t="s">
        <v>963</v>
      </c>
      <c r="C1096" s="1" t="s">
        <v>1442</v>
      </c>
      <c r="D1096" t="str">
        <f t="shared" si="35"/>
        <v>4094,'008427','B2° 2B-II'</v>
      </c>
      <c r="E1096" t="str">
        <f t="shared" si="34"/>
        <v>INSERT INTO grupos (id,matricula,grupo) values (4094,'008427','B2° 2B-II');</v>
      </c>
    </row>
    <row r="1097" spans="1:5" x14ac:dyDescent="0.35">
      <c r="A1097">
        <v>4095</v>
      </c>
      <c r="B1097" s="1" t="s">
        <v>964</v>
      </c>
      <c r="C1097" s="1" t="s">
        <v>1444</v>
      </c>
      <c r="D1097" t="str">
        <f t="shared" si="35"/>
        <v>4095,'008428','B 112'</v>
      </c>
      <c r="E1097" t="str">
        <f t="shared" si="34"/>
        <v>INSERT INTO grupos (id,matricula,grupo) values (4095,'008428','B 112');</v>
      </c>
    </row>
    <row r="1098" spans="1:5" x14ac:dyDescent="0.35">
      <c r="A1098">
        <v>4096</v>
      </c>
      <c r="B1098" s="1" t="s">
        <v>964</v>
      </c>
      <c r="C1098" s="1" t="s">
        <v>1442</v>
      </c>
      <c r="D1098" t="str">
        <f t="shared" si="35"/>
        <v>4096,'008428','B2° 2B-II'</v>
      </c>
      <c r="E1098" t="str">
        <f t="shared" si="34"/>
        <v>INSERT INTO grupos (id,matricula,grupo) values (4096,'008428','B2° 2B-II');</v>
      </c>
    </row>
    <row r="1099" spans="1:5" x14ac:dyDescent="0.35">
      <c r="A1099">
        <v>4097</v>
      </c>
      <c r="B1099" s="1" t="s">
        <v>965</v>
      </c>
      <c r="C1099" s="1" t="s">
        <v>1439</v>
      </c>
      <c r="D1099" t="str">
        <f t="shared" si="35"/>
        <v>4097,'008430','B 114'</v>
      </c>
      <c r="E1099" t="str">
        <f t="shared" si="34"/>
        <v>INSERT INTO grupos (id,matricula,grupo) values (4097,'008430','B 114');</v>
      </c>
    </row>
    <row r="1100" spans="1:5" x14ac:dyDescent="0.35">
      <c r="A1100">
        <v>4098</v>
      </c>
      <c r="B1100" s="1" t="s">
        <v>965</v>
      </c>
      <c r="C1100" s="1" t="s">
        <v>1440</v>
      </c>
      <c r="D1100" t="str">
        <f t="shared" si="35"/>
        <v>4098,'008430','B2° 3A-II'</v>
      </c>
      <c r="E1100" t="str">
        <f t="shared" si="34"/>
        <v>INSERT INTO grupos (id,matricula,grupo) values (4098,'008430','B2° 3A-II');</v>
      </c>
    </row>
    <row r="1101" spans="1:5" x14ac:dyDescent="0.35">
      <c r="A1101">
        <v>4099</v>
      </c>
      <c r="B1101" s="1" t="s">
        <v>966</v>
      </c>
      <c r="C1101" s="1" t="s">
        <v>1443</v>
      </c>
      <c r="D1101" t="str">
        <f t="shared" si="35"/>
        <v>4099,'008431','B 111'</v>
      </c>
      <c r="E1101" t="str">
        <f t="shared" si="34"/>
        <v>INSERT INTO grupos (id,matricula,grupo) values (4099,'008431','B 111');</v>
      </c>
    </row>
    <row r="1102" spans="1:5" x14ac:dyDescent="0.35">
      <c r="A1102">
        <v>4100</v>
      </c>
      <c r="B1102" s="1" t="s">
        <v>967</v>
      </c>
      <c r="C1102" s="1" t="s">
        <v>1443</v>
      </c>
      <c r="D1102" t="str">
        <f t="shared" si="35"/>
        <v>4100,'008433','B 111'</v>
      </c>
      <c r="E1102" t="str">
        <f t="shared" si="34"/>
        <v>INSERT INTO grupos (id,matricula,grupo) values (4100,'008433','B 111');</v>
      </c>
    </row>
    <row r="1103" spans="1:5" x14ac:dyDescent="0.35">
      <c r="A1103">
        <v>4101</v>
      </c>
      <c r="B1103" s="1" t="s">
        <v>968</v>
      </c>
      <c r="C1103" s="1" t="s">
        <v>1444</v>
      </c>
      <c r="D1103" t="str">
        <f t="shared" si="35"/>
        <v>4101,'008434','B 112'</v>
      </c>
      <c r="E1103" t="str">
        <f t="shared" si="34"/>
        <v>INSERT INTO grupos (id,matricula,grupo) values (4101,'008434','B 112');</v>
      </c>
    </row>
    <row r="1104" spans="1:5" x14ac:dyDescent="0.35">
      <c r="A1104">
        <v>4102</v>
      </c>
      <c r="B1104" s="1" t="s">
        <v>968</v>
      </c>
      <c r="C1104" s="1" t="s">
        <v>1442</v>
      </c>
      <c r="D1104" t="str">
        <f t="shared" si="35"/>
        <v>4102,'008434','B2° 2B-II'</v>
      </c>
      <c r="E1104" t="str">
        <f t="shared" si="34"/>
        <v>INSERT INTO grupos (id,matricula,grupo) values (4102,'008434','B2° 2B-II');</v>
      </c>
    </row>
    <row r="1105" spans="1:5" x14ac:dyDescent="0.35">
      <c r="A1105">
        <v>4103</v>
      </c>
      <c r="B1105" s="1" t="s">
        <v>969</v>
      </c>
      <c r="C1105" s="1" t="s">
        <v>1429</v>
      </c>
      <c r="D1105" t="str">
        <f t="shared" si="35"/>
        <v>4103,'008436','B 225'</v>
      </c>
      <c r="E1105" t="str">
        <f t="shared" si="34"/>
        <v>INSERT INTO grupos (id,matricula,grupo) values (4103,'008436','B 225');</v>
      </c>
    </row>
    <row r="1106" spans="1:5" x14ac:dyDescent="0.35">
      <c r="A1106">
        <v>4104</v>
      </c>
      <c r="B1106" s="1" t="s">
        <v>969</v>
      </c>
      <c r="C1106" s="1" t="s">
        <v>1426</v>
      </c>
      <c r="D1106" t="str">
        <f t="shared" si="35"/>
        <v>4104,'008436','B 22A'</v>
      </c>
      <c r="E1106" t="str">
        <f t="shared" si="34"/>
        <v>INSERT INTO grupos (id,matricula,grupo) values (4104,'008436','B 22A');</v>
      </c>
    </row>
    <row r="1107" spans="1:5" x14ac:dyDescent="0.35">
      <c r="A1107">
        <v>4105</v>
      </c>
      <c r="B1107" s="1" t="s">
        <v>969</v>
      </c>
      <c r="C1107" s="1" t="s">
        <v>1438</v>
      </c>
      <c r="D1107" t="str">
        <f t="shared" si="35"/>
        <v>4105,'008436','B4° 3A-II'</v>
      </c>
      <c r="E1107" t="str">
        <f t="shared" si="34"/>
        <v>INSERT INTO grupos (id,matricula,grupo) values (4105,'008436','B4° 3A-II');</v>
      </c>
    </row>
    <row r="1108" spans="1:5" x14ac:dyDescent="0.35">
      <c r="A1108">
        <v>4106</v>
      </c>
      <c r="B1108" s="1" t="s">
        <v>970</v>
      </c>
      <c r="C1108" s="1" t="s">
        <v>1441</v>
      </c>
      <c r="D1108" t="str">
        <f t="shared" si="35"/>
        <v>4106,'008437','B 113'</v>
      </c>
      <c r="E1108" t="str">
        <f t="shared" si="34"/>
        <v>INSERT INTO grupos (id,matricula,grupo) values (4106,'008437','B 113');</v>
      </c>
    </row>
    <row r="1109" spans="1:5" x14ac:dyDescent="0.35">
      <c r="A1109">
        <v>4107</v>
      </c>
      <c r="B1109" s="1" t="s">
        <v>970</v>
      </c>
      <c r="C1109" s="1" t="s">
        <v>1445</v>
      </c>
      <c r="D1109" t="str">
        <f t="shared" si="35"/>
        <v>4107,'008437','B2° 4A-II'</v>
      </c>
      <c r="E1109" t="str">
        <f t="shared" si="34"/>
        <v>INSERT INTO grupos (id,matricula,grupo) values (4107,'008437','B2° 4A-II');</v>
      </c>
    </row>
    <row r="1110" spans="1:5" x14ac:dyDescent="0.35">
      <c r="A1110">
        <v>4108</v>
      </c>
      <c r="B1110" s="1" t="s">
        <v>971</v>
      </c>
      <c r="C1110" s="1" t="s">
        <v>1439</v>
      </c>
      <c r="D1110" t="str">
        <f t="shared" si="35"/>
        <v>4108,'008438','B 114'</v>
      </c>
      <c r="E1110" t="str">
        <f t="shared" si="34"/>
        <v>INSERT INTO grupos (id,matricula,grupo) values (4108,'008438','B 114');</v>
      </c>
    </row>
    <row r="1111" spans="1:5" x14ac:dyDescent="0.35">
      <c r="A1111">
        <v>4109</v>
      </c>
      <c r="B1111" s="1" t="s">
        <v>971</v>
      </c>
      <c r="C1111" s="1" t="s">
        <v>1445</v>
      </c>
      <c r="D1111" t="str">
        <f t="shared" si="35"/>
        <v>4109,'008438','B2° 4A-II'</v>
      </c>
      <c r="E1111" t="str">
        <f t="shared" si="34"/>
        <v>INSERT INTO grupos (id,matricula,grupo) values (4109,'008438','B2° 4A-II');</v>
      </c>
    </row>
    <row r="1112" spans="1:5" x14ac:dyDescent="0.35">
      <c r="A1112">
        <v>4110</v>
      </c>
      <c r="B1112" s="1" t="s">
        <v>972</v>
      </c>
      <c r="C1112" s="1" t="s">
        <v>1437</v>
      </c>
      <c r="D1112" t="str">
        <f t="shared" si="35"/>
        <v>4110,'008439','B 21A'</v>
      </c>
      <c r="E1112" t="str">
        <f t="shared" si="34"/>
        <v>INSERT INTO grupos (id,matricula,grupo) values (4110,'008439','B 21A');</v>
      </c>
    </row>
    <row r="1113" spans="1:5" x14ac:dyDescent="0.35">
      <c r="A1113">
        <v>4111</v>
      </c>
      <c r="B1113" s="1" t="s">
        <v>972</v>
      </c>
      <c r="C1113" s="1" t="s">
        <v>1436</v>
      </c>
      <c r="D1113" t="str">
        <f t="shared" si="35"/>
        <v>4111,'008439','B 224'</v>
      </c>
      <c r="E1113" t="str">
        <f t="shared" si="34"/>
        <v>INSERT INTO grupos (id,matricula,grupo) values (4111,'008439','B 224');</v>
      </c>
    </row>
    <row r="1114" spans="1:5" x14ac:dyDescent="0.35">
      <c r="A1114">
        <v>4112</v>
      </c>
      <c r="B1114" s="1" t="s">
        <v>972</v>
      </c>
      <c r="C1114" s="1" t="s">
        <v>1438</v>
      </c>
      <c r="D1114" t="str">
        <f t="shared" si="35"/>
        <v>4112,'008439','B4° 3A-II'</v>
      </c>
      <c r="E1114" t="str">
        <f t="shared" si="34"/>
        <v>INSERT INTO grupos (id,matricula,grupo) values (4112,'008439','B4° 3A-II');</v>
      </c>
    </row>
    <row r="1115" spans="1:5" x14ac:dyDescent="0.35">
      <c r="A1115">
        <v>4113</v>
      </c>
      <c r="B1115" s="1" t="s">
        <v>973</v>
      </c>
      <c r="C1115" s="1" t="s">
        <v>1432</v>
      </c>
      <c r="D1115" t="str">
        <f t="shared" si="35"/>
        <v>4113,'008441','B 221'</v>
      </c>
      <c r="E1115" t="str">
        <f t="shared" si="34"/>
        <v>INSERT INTO grupos (id,matricula,grupo) values (4113,'008441','B 221');</v>
      </c>
    </row>
    <row r="1116" spans="1:5" x14ac:dyDescent="0.35">
      <c r="A1116">
        <v>4114</v>
      </c>
      <c r="B1116" s="1" t="s">
        <v>973</v>
      </c>
      <c r="C1116" s="1" t="s">
        <v>1430</v>
      </c>
      <c r="D1116" t="str">
        <f t="shared" si="35"/>
        <v>4114,'008441','B 22B'</v>
      </c>
      <c r="E1116" t="str">
        <f t="shared" si="34"/>
        <v>INSERT INTO grupos (id,matricula,grupo) values (4114,'008441','B 22B');</v>
      </c>
    </row>
    <row r="1117" spans="1:5" x14ac:dyDescent="0.35">
      <c r="A1117">
        <v>4115</v>
      </c>
      <c r="B1117" s="1" t="s">
        <v>974</v>
      </c>
      <c r="C1117" s="1" t="s">
        <v>1428</v>
      </c>
      <c r="D1117" t="str">
        <f t="shared" si="35"/>
        <v>4115,'008443','B 222'</v>
      </c>
      <c r="E1117" t="str">
        <f t="shared" si="34"/>
        <v>INSERT INTO grupos (id,matricula,grupo) values (4115,'008443','B 222');</v>
      </c>
    </row>
    <row r="1118" spans="1:5" x14ac:dyDescent="0.35">
      <c r="A1118">
        <v>4116</v>
      </c>
      <c r="B1118" s="1" t="s">
        <v>974</v>
      </c>
      <c r="C1118" s="1" t="s">
        <v>1433</v>
      </c>
      <c r="D1118" t="str">
        <f t="shared" si="35"/>
        <v>4116,'008443','B 23'</v>
      </c>
      <c r="E1118" t="str">
        <f t="shared" si="34"/>
        <v>INSERT INTO grupos (id,matricula,grupo) values (4116,'008443','B 23');</v>
      </c>
    </row>
    <row r="1119" spans="1:5" x14ac:dyDescent="0.35">
      <c r="A1119">
        <v>4117</v>
      </c>
      <c r="B1119" s="1" t="s">
        <v>975</v>
      </c>
      <c r="C1119" s="1" t="s">
        <v>1444</v>
      </c>
      <c r="D1119" t="str">
        <f t="shared" si="35"/>
        <v>4117,'008444','B 112'</v>
      </c>
      <c r="E1119" t="str">
        <f t="shared" si="34"/>
        <v>INSERT INTO grupos (id,matricula,grupo) values (4117,'008444','B 112');</v>
      </c>
    </row>
    <row r="1120" spans="1:5" x14ac:dyDescent="0.35">
      <c r="A1120">
        <v>4118</v>
      </c>
      <c r="B1120" s="1" t="s">
        <v>975</v>
      </c>
      <c r="C1120" s="1" t="s">
        <v>1445</v>
      </c>
      <c r="D1120" t="str">
        <f t="shared" si="35"/>
        <v>4118,'008444','B2° 4A-II'</v>
      </c>
      <c r="E1120" t="str">
        <f t="shared" si="34"/>
        <v>INSERT INTO grupos (id,matricula,grupo) values (4118,'008444','B2° 4A-II');</v>
      </c>
    </row>
    <row r="1121" spans="1:5" x14ac:dyDescent="0.35">
      <c r="A1121">
        <v>4119</v>
      </c>
      <c r="B1121" s="1" t="s">
        <v>976</v>
      </c>
      <c r="C1121" s="1" t="s">
        <v>1428</v>
      </c>
      <c r="D1121" t="str">
        <f t="shared" si="35"/>
        <v>4119,'008445','B 222'</v>
      </c>
      <c r="E1121" t="str">
        <f t="shared" si="34"/>
        <v>INSERT INTO grupos (id,matricula,grupo) values (4119,'008445','B 222');</v>
      </c>
    </row>
    <row r="1122" spans="1:5" x14ac:dyDescent="0.35">
      <c r="A1122">
        <v>4120</v>
      </c>
      <c r="B1122" s="1" t="s">
        <v>976</v>
      </c>
      <c r="C1122" s="1" t="s">
        <v>1433</v>
      </c>
      <c r="D1122" t="str">
        <f t="shared" si="35"/>
        <v>4120,'008445','B 23'</v>
      </c>
      <c r="E1122" t="str">
        <f t="shared" si="34"/>
        <v>INSERT INTO grupos (id,matricula,grupo) values (4120,'008445','B 23');</v>
      </c>
    </row>
    <row r="1123" spans="1:5" x14ac:dyDescent="0.35">
      <c r="A1123">
        <v>4121</v>
      </c>
      <c r="B1123" s="1" t="s">
        <v>977</v>
      </c>
      <c r="C1123" s="1" t="s">
        <v>1441</v>
      </c>
      <c r="D1123" t="str">
        <f t="shared" si="35"/>
        <v>4121,'008446','B 113'</v>
      </c>
      <c r="E1123" t="str">
        <f t="shared" si="34"/>
        <v>INSERT INTO grupos (id,matricula,grupo) values (4121,'008446','B 113');</v>
      </c>
    </row>
    <row r="1124" spans="1:5" x14ac:dyDescent="0.35">
      <c r="A1124">
        <v>4122</v>
      </c>
      <c r="B1124" s="1" t="s">
        <v>977</v>
      </c>
      <c r="C1124" s="1" t="s">
        <v>1442</v>
      </c>
      <c r="D1124" t="str">
        <f t="shared" si="35"/>
        <v>4122,'008446','B2° 2B-II'</v>
      </c>
      <c r="E1124" t="str">
        <f t="shared" si="34"/>
        <v>INSERT INTO grupos (id,matricula,grupo) values (4122,'008446','B2° 2B-II');</v>
      </c>
    </row>
    <row r="1125" spans="1:5" x14ac:dyDescent="0.35">
      <c r="A1125">
        <v>4123</v>
      </c>
      <c r="B1125" s="1" t="s">
        <v>978</v>
      </c>
      <c r="C1125" s="1" t="s">
        <v>1441</v>
      </c>
      <c r="D1125" t="str">
        <f t="shared" si="35"/>
        <v>4123,'008447','B 113'</v>
      </c>
      <c r="E1125" t="str">
        <f t="shared" si="34"/>
        <v>INSERT INTO grupos (id,matricula,grupo) values (4123,'008447','B 113');</v>
      </c>
    </row>
    <row r="1126" spans="1:5" x14ac:dyDescent="0.35">
      <c r="A1126">
        <v>4124</v>
      </c>
      <c r="B1126" s="1" t="s">
        <v>978</v>
      </c>
      <c r="C1126" s="1" t="s">
        <v>1442</v>
      </c>
      <c r="D1126" t="str">
        <f t="shared" si="35"/>
        <v>4124,'008447','B2° 2B-II'</v>
      </c>
      <c r="E1126" t="str">
        <f t="shared" si="34"/>
        <v>INSERT INTO grupos (id,matricula,grupo) values (4124,'008447','B2° 2B-II');</v>
      </c>
    </row>
    <row r="1127" spans="1:5" x14ac:dyDescent="0.35">
      <c r="A1127">
        <v>4125</v>
      </c>
      <c r="B1127" s="1" t="s">
        <v>979</v>
      </c>
      <c r="C1127" s="1" t="s">
        <v>1429</v>
      </c>
      <c r="D1127" t="str">
        <f t="shared" si="35"/>
        <v>4125,'008448','B 225'</v>
      </c>
      <c r="E1127" t="str">
        <f t="shared" si="34"/>
        <v>INSERT INTO grupos (id,matricula,grupo) values (4125,'008448','B 225');</v>
      </c>
    </row>
    <row r="1128" spans="1:5" x14ac:dyDescent="0.35">
      <c r="A1128">
        <v>4126</v>
      </c>
      <c r="B1128" s="1" t="s">
        <v>979</v>
      </c>
      <c r="C1128" s="1" t="s">
        <v>1430</v>
      </c>
      <c r="D1128" t="str">
        <f t="shared" si="35"/>
        <v>4126,'008448','B 22B'</v>
      </c>
      <c r="E1128" t="str">
        <f t="shared" si="34"/>
        <v>INSERT INTO grupos (id,matricula,grupo) values (4126,'008448','B 22B');</v>
      </c>
    </row>
    <row r="1129" spans="1:5" x14ac:dyDescent="0.35">
      <c r="A1129">
        <v>4127</v>
      </c>
      <c r="B1129" s="1" t="s">
        <v>979</v>
      </c>
      <c r="C1129" s="1" t="s">
        <v>1438</v>
      </c>
      <c r="D1129" t="str">
        <f t="shared" si="35"/>
        <v>4127,'008448','B4° 3A-II'</v>
      </c>
      <c r="E1129" t="str">
        <f t="shared" si="34"/>
        <v>INSERT INTO grupos (id,matricula,grupo) values (4127,'008448','B4° 3A-II');</v>
      </c>
    </row>
    <row r="1130" spans="1:5" x14ac:dyDescent="0.35">
      <c r="A1130">
        <v>4128</v>
      </c>
      <c r="B1130" s="1" t="s">
        <v>980</v>
      </c>
      <c r="C1130" s="1" t="s">
        <v>1431</v>
      </c>
      <c r="D1130" t="str">
        <f t="shared" si="35"/>
        <v>4128,'008449','B 21B'</v>
      </c>
      <c r="E1130" t="str">
        <f t="shared" si="34"/>
        <v>INSERT INTO grupos (id,matricula,grupo) values (4128,'008449','B 21B');</v>
      </c>
    </row>
    <row r="1131" spans="1:5" x14ac:dyDescent="0.35">
      <c r="A1131">
        <v>4129</v>
      </c>
      <c r="B1131" s="1" t="s">
        <v>980</v>
      </c>
      <c r="C1131" s="1" t="s">
        <v>1436</v>
      </c>
      <c r="D1131" t="str">
        <f t="shared" si="35"/>
        <v>4129,'008449','B 224'</v>
      </c>
      <c r="E1131" t="str">
        <f t="shared" si="34"/>
        <v>INSERT INTO grupos (id,matricula,grupo) values (4129,'008449','B 224');</v>
      </c>
    </row>
    <row r="1132" spans="1:5" x14ac:dyDescent="0.35">
      <c r="A1132">
        <v>4130</v>
      </c>
      <c r="B1132" s="1" t="s">
        <v>980</v>
      </c>
      <c r="C1132" s="1" t="s">
        <v>1438</v>
      </c>
      <c r="D1132" t="str">
        <f t="shared" si="35"/>
        <v>4130,'008449','B4° 3A-II'</v>
      </c>
      <c r="E1132" t="str">
        <f t="shared" si="34"/>
        <v>INSERT INTO grupos (id,matricula,grupo) values (4130,'008449','B4° 3A-II');</v>
      </c>
    </row>
    <row r="1133" spans="1:5" x14ac:dyDescent="0.35">
      <c r="A1133">
        <v>4131</v>
      </c>
      <c r="B1133" s="1" t="s">
        <v>981</v>
      </c>
      <c r="C1133" s="1" t="s">
        <v>1429</v>
      </c>
      <c r="D1133" t="str">
        <f t="shared" si="35"/>
        <v>4131,'008450','B 225'</v>
      </c>
      <c r="E1133" t="str">
        <f t="shared" si="34"/>
        <v>INSERT INTO grupos (id,matricula,grupo) values (4131,'008450','B 225');</v>
      </c>
    </row>
    <row r="1134" spans="1:5" x14ac:dyDescent="0.35">
      <c r="A1134">
        <v>4132</v>
      </c>
      <c r="B1134" s="1" t="s">
        <v>981</v>
      </c>
      <c r="C1134" s="1" t="s">
        <v>1430</v>
      </c>
      <c r="D1134" t="str">
        <f t="shared" si="35"/>
        <v>4132,'008450','B 22B'</v>
      </c>
      <c r="E1134" t="str">
        <f t="shared" si="34"/>
        <v>INSERT INTO grupos (id,matricula,grupo) values (4132,'008450','B 22B');</v>
      </c>
    </row>
    <row r="1135" spans="1:5" x14ac:dyDescent="0.35">
      <c r="A1135">
        <v>4133</v>
      </c>
      <c r="B1135" s="1" t="s">
        <v>981</v>
      </c>
      <c r="C1135" s="1" t="s">
        <v>1438</v>
      </c>
      <c r="D1135" t="str">
        <f t="shared" si="35"/>
        <v>4133,'008450','B4° 3A-II'</v>
      </c>
      <c r="E1135" t="str">
        <f t="shared" si="34"/>
        <v>INSERT INTO grupos (id,matricula,grupo) values (4133,'008450','B4° 3A-II');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9774-7144-48EF-B423-B23DB006C5C0}">
  <dimension ref="A1:G22"/>
  <sheetViews>
    <sheetView workbookViewId="0">
      <selection activeCell="F1" sqref="F1:G2"/>
    </sheetView>
  </sheetViews>
  <sheetFormatPr baseColWidth="10" defaultRowHeight="14.5" x14ac:dyDescent="0.35"/>
  <cols>
    <col min="1" max="1" width="2.81640625" bestFit="1" customWidth="1"/>
    <col min="2" max="2" width="24.6328125" bestFit="1" customWidth="1"/>
    <col min="3" max="3" width="21" bestFit="1" customWidth="1"/>
    <col min="4" max="4" width="37.1796875" bestFit="1" customWidth="1"/>
    <col min="5" max="5" width="11.1796875" bestFit="1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1451</v>
      </c>
    </row>
    <row r="2" spans="1:7" x14ac:dyDescent="0.35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  <c r="F2" t="str">
        <f>CONCATENATE("'",B2,"','",C2,"','",D2,"','",E2,"'")</f>
        <v>'BALONCESTO','GENERAL','HURTADO CUEVAS HIRAM','MASCULINO'</v>
      </c>
      <c r="G2" t="str">
        <f>CONCATENATE($F$1,F2,");")</f>
        <v>INSERT INTO acude (actividad,tipo,profesor,sexo) values ('BALONCESTO','GENERAL','HURTADO CUEVAS HIRAM','MASCULINO');</v>
      </c>
    </row>
    <row r="3" spans="1:7" x14ac:dyDescent="0.35">
      <c r="A3" s="1">
        <v>2</v>
      </c>
      <c r="B3" s="1" t="s">
        <v>5</v>
      </c>
      <c r="C3" s="1" t="s">
        <v>9</v>
      </c>
      <c r="D3" s="1" t="s">
        <v>10</v>
      </c>
      <c r="E3" s="1" t="s">
        <v>8</v>
      </c>
      <c r="F3" t="str">
        <f t="shared" ref="F3:F22" si="0">CONCATENATE("'",B3,"','",C3,"','",D3,"','",E3,"'")</f>
        <v>'BALONCESTO','FEMENIL SELECCIÓN','GUTIERREZ CHAVEZ OSCAR ARMANDO','MASCULINO'</v>
      </c>
      <c r="G3" t="str">
        <f t="shared" ref="G3:G22" si="1">CONCATENATE($F$1,F3,");")</f>
        <v>INSERT INTO acude (actividad,tipo,profesor,sexo) values ('BALONCESTO','FEMENIL SELECCIÓN','GUTIERREZ CHAVEZ OSCAR ARMANDO','MASCULINO');</v>
      </c>
    </row>
    <row r="4" spans="1:7" x14ac:dyDescent="0.35">
      <c r="A4" s="1">
        <v>3</v>
      </c>
      <c r="B4" s="1" t="s">
        <v>5</v>
      </c>
      <c r="C4" s="1" t="s">
        <v>11</v>
      </c>
      <c r="D4" s="1" t="s">
        <v>7</v>
      </c>
      <c r="E4" s="1" t="s">
        <v>8</v>
      </c>
      <c r="F4" t="str">
        <f t="shared" si="0"/>
        <v>'BALONCESTO','VARONIL SELECCION','HURTADO CUEVAS HIRAM','MASCULINO'</v>
      </c>
      <c r="G4" t="str">
        <f t="shared" si="1"/>
        <v>INSERT INTO acude (actividad,tipo,profesor,sexo) values ('BALONCESTO','VARONIL SELECCION','HURTADO CUEVAS HIRAM','MASCULINO');</v>
      </c>
    </row>
    <row r="5" spans="1:7" x14ac:dyDescent="0.35">
      <c r="A5" s="1">
        <v>4</v>
      </c>
      <c r="B5" s="1" t="s">
        <v>12</v>
      </c>
      <c r="C5" s="1" t="s">
        <v>13</v>
      </c>
      <c r="D5" s="1" t="s">
        <v>14</v>
      </c>
      <c r="E5" s="1" t="s">
        <v>8</v>
      </c>
      <c r="F5" t="str">
        <f t="shared" si="0"/>
        <v>'DEBATE Y ORATORIA','SELECCION','ORTIZ VELAZQUEZ CARLOS ALBERTO','MASCULINO'</v>
      </c>
      <c r="G5" t="str">
        <f t="shared" si="1"/>
        <v>INSERT INTO acude (actividad,tipo,profesor,sexo) values ('DEBATE Y ORATORIA','SELECCION','ORTIZ VELAZQUEZ CARLOS ALBERTO','MASCULINO');</v>
      </c>
    </row>
    <row r="6" spans="1:7" x14ac:dyDescent="0.35">
      <c r="A6" s="1">
        <v>5</v>
      </c>
      <c r="B6" s="1" t="s">
        <v>15</v>
      </c>
      <c r="C6" s="1" t="s">
        <v>16</v>
      </c>
      <c r="D6" s="1" t="s">
        <v>17</v>
      </c>
      <c r="E6" s="1" t="s">
        <v>8</v>
      </c>
      <c r="F6" t="str">
        <f t="shared" si="0"/>
        <v>'FUTBOL','FEMENIL GENERAL','RAMIREZ CORTES RAUL','MASCULINO'</v>
      </c>
      <c r="G6" t="str">
        <f t="shared" si="1"/>
        <v>INSERT INTO acude (actividad,tipo,profesor,sexo) values ('FUTBOL','FEMENIL GENERAL','RAMIREZ CORTES RAUL','MASCULINO');</v>
      </c>
    </row>
    <row r="7" spans="1:7" x14ac:dyDescent="0.35">
      <c r="A7" s="1">
        <v>6</v>
      </c>
      <c r="B7" s="1" t="s">
        <v>15</v>
      </c>
      <c r="C7" s="1" t="s">
        <v>18</v>
      </c>
      <c r="D7" s="1" t="s">
        <v>19</v>
      </c>
      <c r="E7" s="1" t="s">
        <v>8</v>
      </c>
      <c r="F7" t="str">
        <f t="shared" si="0"/>
        <v>'FUTBOL','FEMENIL SELECCION','FERNANDEZ MENA ALEJANDRO','MASCULINO'</v>
      </c>
      <c r="G7" t="str">
        <f t="shared" si="1"/>
        <v>INSERT INTO acude (actividad,tipo,profesor,sexo) values ('FUTBOL','FEMENIL SELECCION','FERNANDEZ MENA ALEJANDRO','MASCULINO');</v>
      </c>
    </row>
    <row r="8" spans="1:7" x14ac:dyDescent="0.35">
      <c r="A8" s="1">
        <v>7</v>
      </c>
      <c r="B8" s="1" t="s">
        <v>15</v>
      </c>
      <c r="C8" s="1" t="s">
        <v>20</v>
      </c>
      <c r="D8" s="1" t="s">
        <v>17</v>
      </c>
      <c r="E8" s="1" t="s">
        <v>8</v>
      </c>
      <c r="F8" t="str">
        <f t="shared" si="0"/>
        <v>'FUTBOL','VARONIL GENERAL 1','RAMIREZ CORTES RAUL','MASCULINO'</v>
      </c>
      <c r="G8" t="str">
        <f t="shared" si="1"/>
        <v>INSERT INTO acude (actividad,tipo,profesor,sexo) values ('FUTBOL','VARONIL GENERAL 1','RAMIREZ CORTES RAUL','MASCULINO');</v>
      </c>
    </row>
    <row r="9" spans="1:7" x14ac:dyDescent="0.35">
      <c r="A9" s="1">
        <v>8</v>
      </c>
      <c r="B9" s="1" t="s">
        <v>15</v>
      </c>
      <c r="C9" s="1" t="s">
        <v>21</v>
      </c>
      <c r="D9" s="1" t="s">
        <v>17</v>
      </c>
      <c r="E9" s="1" t="s">
        <v>8</v>
      </c>
      <c r="F9" t="str">
        <f t="shared" si="0"/>
        <v>'FUTBOL','VARONIL GENERAL 2 Y 3','RAMIREZ CORTES RAUL','MASCULINO'</v>
      </c>
      <c r="G9" t="str">
        <f t="shared" si="1"/>
        <v>INSERT INTO acude (actividad,tipo,profesor,sexo) values ('FUTBOL','VARONIL GENERAL 2 Y 3','RAMIREZ CORTES RAUL','MASCULINO');</v>
      </c>
    </row>
    <row r="10" spans="1:7" x14ac:dyDescent="0.35">
      <c r="A10" s="1">
        <v>9</v>
      </c>
      <c r="B10" s="1" t="s">
        <v>15</v>
      </c>
      <c r="C10" s="1" t="s">
        <v>22</v>
      </c>
      <c r="D10" s="1" t="s">
        <v>23</v>
      </c>
      <c r="E10" s="1" t="s">
        <v>8</v>
      </c>
      <c r="F10" t="str">
        <f t="shared" si="0"/>
        <v>'FUTBOL','VARONIL SELECCION A','NAJAR PERFECTO CÉSAR','MASCULINO'</v>
      </c>
      <c r="G10" t="str">
        <f t="shared" si="1"/>
        <v>INSERT INTO acude (actividad,tipo,profesor,sexo) values ('FUTBOL','VARONIL SELECCION A','NAJAR PERFECTO CÉSAR','MASCULINO');</v>
      </c>
    </row>
    <row r="11" spans="1:7" x14ac:dyDescent="0.35">
      <c r="A11" s="1">
        <v>10</v>
      </c>
      <c r="B11" s="1" t="s">
        <v>24</v>
      </c>
      <c r="C11" s="1" t="s">
        <v>6</v>
      </c>
      <c r="D11" s="1" t="s">
        <v>25</v>
      </c>
      <c r="E11" s="1" t="s">
        <v>8</v>
      </c>
      <c r="F11" t="str">
        <f t="shared" si="0"/>
        <v>'MUSICA','GENERAL','ESPINOSA GARCÍA ERICK RUBEN','MASCULINO'</v>
      </c>
      <c r="G11" t="str">
        <f t="shared" si="1"/>
        <v>INSERT INTO acude (actividad,tipo,profesor,sexo) values ('MUSICA','GENERAL','ESPINOSA GARCÍA ERICK RUBEN','MASCULINO');</v>
      </c>
    </row>
    <row r="12" spans="1:7" x14ac:dyDescent="0.35">
      <c r="A12" s="1">
        <v>11</v>
      </c>
      <c r="B12" s="1" t="s">
        <v>26</v>
      </c>
      <c r="C12" s="1" t="s">
        <v>13</v>
      </c>
      <c r="D12" s="1" t="s">
        <v>27</v>
      </c>
      <c r="E12" s="1" t="s">
        <v>8</v>
      </c>
      <c r="F12" t="str">
        <f t="shared" si="0"/>
        <v>'HIP HOP','SELECCION','CAMPA ARRIOLA JUAN CARLOS','MASCULINO'</v>
      </c>
      <c r="G12" t="str">
        <f t="shared" si="1"/>
        <v>INSERT INTO acude (actividad,tipo,profesor,sexo) values ('HIP HOP','SELECCION','CAMPA ARRIOLA JUAN CARLOS','MASCULINO');</v>
      </c>
    </row>
    <row r="13" spans="1:7" x14ac:dyDescent="0.35">
      <c r="A13" s="1">
        <v>12</v>
      </c>
      <c r="B13" s="1" t="s">
        <v>28</v>
      </c>
      <c r="C13" s="1" t="s">
        <v>6</v>
      </c>
      <c r="D13" s="1" t="s">
        <v>29</v>
      </c>
      <c r="E13" s="1" t="s">
        <v>30</v>
      </c>
      <c r="F13" t="str">
        <f t="shared" si="0"/>
        <v>'HUERTO ORGANICO','GENERAL','ALONSO OROZCO LETICIA SARAHI','FEMENINO'</v>
      </c>
      <c r="G13" t="str">
        <f t="shared" si="1"/>
        <v>INSERT INTO acude (actividad,tipo,profesor,sexo) values ('HUERTO ORGANICO','GENERAL','ALONSO OROZCO LETICIA SARAHI','FEMENINO');</v>
      </c>
    </row>
    <row r="14" spans="1:7" x14ac:dyDescent="0.35">
      <c r="A14" s="1">
        <v>13</v>
      </c>
      <c r="B14" s="1" t="s">
        <v>31</v>
      </c>
      <c r="C14" s="1" t="s">
        <v>13</v>
      </c>
      <c r="D14" s="1" t="s">
        <v>27</v>
      </c>
      <c r="E14" s="1" t="s">
        <v>8</v>
      </c>
      <c r="F14" t="str">
        <f t="shared" si="0"/>
        <v>'PRODUCCION AUDIOVISUAL','SELECCION','CAMPA ARRIOLA JUAN CARLOS','MASCULINO'</v>
      </c>
      <c r="G14" t="str">
        <f t="shared" si="1"/>
        <v>INSERT INTO acude (actividad,tipo,profesor,sexo) values ('PRODUCCION AUDIOVISUAL','SELECCION','CAMPA ARRIOLA JUAN CARLOS','MASCULINO');</v>
      </c>
    </row>
    <row r="15" spans="1:7" x14ac:dyDescent="0.35">
      <c r="A15" s="1">
        <v>14</v>
      </c>
      <c r="B15" s="1" t="s">
        <v>26</v>
      </c>
      <c r="C15" s="1" t="s">
        <v>6</v>
      </c>
      <c r="D15" s="1" t="s">
        <v>27</v>
      </c>
      <c r="E15" s="1" t="s">
        <v>8</v>
      </c>
      <c r="F15" t="str">
        <f t="shared" si="0"/>
        <v>'HIP HOP','GENERAL','CAMPA ARRIOLA JUAN CARLOS','MASCULINO'</v>
      </c>
      <c r="G15" t="str">
        <f t="shared" si="1"/>
        <v>INSERT INTO acude (actividad,tipo,profesor,sexo) values ('HIP HOP','GENERAL','CAMPA ARRIOLA JUAN CARLOS','MASCULINO');</v>
      </c>
    </row>
    <row r="16" spans="1:7" x14ac:dyDescent="0.35">
      <c r="A16" s="1">
        <v>15</v>
      </c>
      <c r="B16" s="1" t="s">
        <v>32</v>
      </c>
      <c r="C16" s="1" t="s">
        <v>13</v>
      </c>
      <c r="D16" s="1" t="s">
        <v>33</v>
      </c>
      <c r="E16" s="1" t="s">
        <v>8</v>
      </c>
      <c r="F16" t="str">
        <f t="shared" si="0"/>
        <v>'TEATRO','SELECCION','BAYARDO DÍAZ TANIA SINAHÍ','MASCULINO'</v>
      </c>
      <c r="G16" t="str">
        <f t="shared" si="1"/>
        <v>INSERT INTO acude (actividad,tipo,profesor,sexo) values ('TEATRO','SELECCION','BAYARDO DÍAZ TANIA SINAHÍ','MASCULINO');</v>
      </c>
    </row>
    <row r="17" spans="1:7" x14ac:dyDescent="0.35">
      <c r="A17" s="1">
        <v>16</v>
      </c>
      <c r="B17" s="1" t="s">
        <v>34</v>
      </c>
      <c r="C17" s="1" t="s">
        <v>35</v>
      </c>
      <c r="D17" s="1" t="s">
        <v>36</v>
      </c>
      <c r="E17" s="1" t="s">
        <v>8</v>
      </c>
      <c r="F17" t="str">
        <f t="shared" si="0"/>
        <v>'VOLEIBOL','VARONIL GENERAL','VALDIVIA GONZALEZ ALEJANDRO CESAR G.','MASCULINO'</v>
      </c>
      <c r="G17" t="str">
        <f t="shared" si="1"/>
        <v>INSERT INTO acude (actividad,tipo,profesor,sexo) values ('VOLEIBOL','VARONIL GENERAL','VALDIVIA GONZALEZ ALEJANDRO CESAR G.','MASCULINO');</v>
      </c>
    </row>
    <row r="18" spans="1:7" x14ac:dyDescent="0.35">
      <c r="A18" s="1">
        <v>17</v>
      </c>
      <c r="B18" s="1" t="s">
        <v>34</v>
      </c>
      <c r="C18" s="1" t="s">
        <v>16</v>
      </c>
      <c r="D18" s="1" t="s">
        <v>36</v>
      </c>
      <c r="E18" s="1" t="s">
        <v>8</v>
      </c>
      <c r="F18" t="str">
        <f t="shared" si="0"/>
        <v>'VOLEIBOL','FEMENIL GENERAL','VALDIVIA GONZALEZ ALEJANDRO CESAR G.','MASCULINO'</v>
      </c>
      <c r="G18" t="str">
        <f t="shared" si="1"/>
        <v>INSERT INTO acude (actividad,tipo,profesor,sexo) values ('VOLEIBOL','FEMENIL GENERAL','VALDIVIA GONZALEZ ALEJANDRO CESAR G.','MASCULINO');</v>
      </c>
    </row>
    <row r="19" spans="1:7" x14ac:dyDescent="0.35">
      <c r="A19" s="1">
        <v>18</v>
      </c>
      <c r="B19" s="1" t="s">
        <v>34</v>
      </c>
      <c r="C19" s="1" t="s">
        <v>37</v>
      </c>
      <c r="D19" s="1" t="s">
        <v>36</v>
      </c>
      <c r="E19" s="1" t="s">
        <v>8</v>
      </c>
      <c r="F19" t="str">
        <f t="shared" si="0"/>
        <v>'VOLEIBOL','FEMENIL SELECCION A','VALDIVIA GONZALEZ ALEJANDRO CESAR G.','MASCULINO'</v>
      </c>
      <c r="G19" t="str">
        <f t="shared" si="1"/>
        <v>INSERT INTO acude (actividad,tipo,profesor,sexo) values ('VOLEIBOL','FEMENIL SELECCION A','VALDIVIA GONZALEZ ALEJANDRO CESAR G.','MASCULINO');</v>
      </c>
    </row>
    <row r="20" spans="1:7" x14ac:dyDescent="0.35">
      <c r="A20" s="1">
        <v>19</v>
      </c>
      <c r="B20" s="1" t="s">
        <v>34</v>
      </c>
      <c r="C20" s="1" t="s">
        <v>38</v>
      </c>
      <c r="D20" s="1" t="s">
        <v>39</v>
      </c>
      <c r="E20" s="1" t="s">
        <v>8</v>
      </c>
      <c r="F20" t="str">
        <f t="shared" si="0"/>
        <v>'VOLEIBOL','FEMENIL SELECCION B','OROZCO PARRA ALEJANDRO','MASCULINO'</v>
      </c>
      <c r="G20" t="str">
        <f t="shared" si="1"/>
        <v>INSERT INTO acude (actividad,tipo,profesor,sexo) values ('VOLEIBOL','FEMENIL SELECCION B','OROZCO PARRA ALEJANDRO','MASCULINO');</v>
      </c>
    </row>
    <row r="21" spans="1:7" x14ac:dyDescent="0.35">
      <c r="A21" s="1">
        <v>20</v>
      </c>
      <c r="B21" s="1" t="s">
        <v>34</v>
      </c>
      <c r="C21" s="1" t="s">
        <v>22</v>
      </c>
      <c r="D21" s="1" t="s">
        <v>39</v>
      </c>
      <c r="E21" s="1" t="s">
        <v>8</v>
      </c>
      <c r="F21" t="str">
        <f t="shared" si="0"/>
        <v>'VOLEIBOL','VARONIL SELECCION A','OROZCO PARRA ALEJANDRO','MASCULINO'</v>
      </c>
      <c r="G21" t="str">
        <f t="shared" si="1"/>
        <v>INSERT INTO acude (actividad,tipo,profesor,sexo) values ('VOLEIBOL','VARONIL SELECCION A','OROZCO PARRA ALEJANDRO','MASCULINO');</v>
      </c>
    </row>
    <row r="22" spans="1:7" x14ac:dyDescent="0.35">
      <c r="A22" s="1">
        <v>21</v>
      </c>
      <c r="B22" s="1" t="s">
        <v>40</v>
      </c>
      <c r="C22" s="1" t="s">
        <v>6</v>
      </c>
      <c r="D22" s="1" t="s">
        <v>29</v>
      </c>
      <c r="E22" s="1" t="s">
        <v>30</v>
      </c>
      <c r="F22" t="str">
        <f t="shared" si="0"/>
        <v>'DIBUJO Y PINTURA','GENERAL','ALONSO OROZCO LETICIA SARAHI','FEMENINO'</v>
      </c>
      <c r="G22" t="str">
        <f t="shared" si="1"/>
        <v>INSERT INTO acude (actividad,tipo,profesor,sexo) values ('DIBUJO Y PINTURA','GENERAL','ALONSO OROZCO LETICIA SARAHI','FEMENINO');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16E9-D8DA-4475-AD7A-2F033D0F7CF2}">
  <dimension ref="A1:F15"/>
  <sheetViews>
    <sheetView workbookViewId="0">
      <selection activeCell="F2" sqref="F2:F15"/>
    </sheetView>
  </sheetViews>
  <sheetFormatPr baseColWidth="10" defaultRowHeight="14.5" x14ac:dyDescent="0.35"/>
  <cols>
    <col min="1" max="1" width="2.81640625" bestFit="1" customWidth="1"/>
    <col min="2" max="2" width="5.81640625" bestFit="1" customWidth="1"/>
    <col min="3" max="3" width="34.7265625" bestFit="1" customWidth="1"/>
    <col min="4" max="4" width="11.1796875" bestFit="1" customWidth="1"/>
  </cols>
  <sheetData>
    <row r="1" spans="1:6" x14ac:dyDescent="0.35">
      <c r="A1" s="2" t="s">
        <v>0</v>
      </c>
      <c r="B1" s="2" t="s">
        <v>41</v>
      </c>
      <c r="C1" s="2" t="s">
        <v>42</v>
      </c>
      <c r="D1" s="2" t="s">
        <v>4</v>
      </c>
      <c r="E1" s="8" t="s">
        <v>1452</v>
      </c>
    </row>
    <row r="2" spans="1:6" x14ac:dyDescent="0.35">
      <c r="A2" s="4">
        <v>1</v>
      </c>
      <c r="B2" s="4" t="s">
        <v>44</v>
      </c>
      <c r="C2" s="4" t="s">
        <v>45</v>
      </c>
      <c r="D2" s="4" t="s">
        <v>30</v>
      </c>
      <c r="E2" t="str">
        <f>CONCATENATE("'",B2,"','",C2,"','",D2,"'")</f>
        <v>'B 111','ARANA RAMIREZ MONICA CECILIA','FEMENINO'</v>
      </c>
      <c r="F2" t="str">
        <f>CONCATENATE($E$1,E2,");")</f>
        <v>INSERT INTO titulares (grupo,nombre,sexo) values ('B 111','ARANA RAMIREZ MONICA CECILIA','FEMENINO');</v>
      </c>
    </row>
    <row r="3" spans="1:6" x14ac:dyDescent="0.35">
      <c r="A3" s="4">
        <v>2</v>
      </c>
      <c r="B3" s="4" t="s">
        <v>52</v>
      </c>
      <c r="C3" s="4" t="s">
        <v>54</v>
      </c>
      <c r="D3" s="4" t="s">
        <v>30</v>
      </c>
      <c r="E3" t="str">
        <f t="shared" ref="E3:E15" si="0">CONCATENATE("'",B3,"','",C3,"','",D3,"'")</f>
        <v>'B 112','CANO DE DIOS ANDREA GORETTI','FEMENINO'</v>
      </c>
      <c r="F3" t="str">
        <f t="shared" ref="F3:F15" si="1">CONCATENATE($E$1,E3,");")</f>
        <v>INSERT INTO titulares (grupo,nombre,sexo) values ('B 112','CANO DE DIOS ANDREA GORETTI','FEMENINO');</v>
      </c>
    </row>
    <row r="4" spans="1:6" x14ac:dyDescent="0.35">
      <c r="A4" s="4">
        <v>3</v>
      </c>
      <c r="B4" s="4" t="s">
        <v>56</v>
      </c>
      <c r="C4" s="4" t="s">
        <v>46</v>
      </c>
      <c r="D4" s="4" t="s">
        <v>8</v>
      </c>
      <c r="E4" t="str">
        <f t="shared" si="0"/>
        <v>'B 113','ARELLANO LOPEZ CESAR','MASCULINO'</v>
      </c>
      <c r="F4" t="str">
        <f t="shared" si="1"/>
        <v>INSERT INTO titulares (grupo,nombre,sexo) values ('B 113','ARELLANO LOPEZ CESAR','MASCULINO');</v>
      </c>
    </row>
    <row r="5" spans="1:6" x14ac:dyDescent="0.35">
      <c r="A5" s="4">
        <v>4</v>
      </c>
      <c r="B5" s="4" t="s">
        <v>57</v>
      </c>
      <c r="C5" s="4" t="s">
        <v>58</v>
      </c>
      <c r="D5" s="4" t="s">
        <v>30</v>
      </c>
      <c r="E5" t="str">
        <f t="shared" si="0"/>
        <v>'B 114','RODRIGUEZ CADENA SANDRA LUZ','FEMENINO'</v>
      </c>
      <c r="F5" t="str">
        <f t="shared" si="1"/>
        <v>INSERT INTO titulares (grupo,nombre,sexo) values ('B 114','RODRIGUEZ CADENA SANDRA LUZ','FEMENINO');</v>
      </c>
    </row>
    <row r="6" spans="1:6" x14ac:dyDescent="0.35">
      <c r="A6" s="4">
        <v>6</v>
      </c>
      <c r="B6" s="4" t="s">
        <v>62</v>
      </c>
      <c r="C6" s="4" t="s">
        <v>51</v>
      </c>
      <c r="D6" s="4" t="s">
        <v>30</v>
      </c>
      <c r="E6" t="str">
        <f t="shared" si="0"/>
        <v>'B 221','SANCHEZ DIAZ DURAN VERONICA AVRIL','FEMENINO'</v>
      </c>
      <c r="F6" t="str">
        <f t="shared" si="1"/>
        <v>INSERT INTO titulares (grupo,nombre,sexo) values ('B 221','SANCHEZ DIAZ DURAN VERONICA AVRIL','FEMENINO');</v>
      </c>
    </row>
    <row r="7" spans="1:6" x14ac:dyDescent="0.35">
      <c r="A7" s="4">
        <v>7</v>
      </c>
      <c r="B7" s="4" t="s">
        <v>68</v>
      </c>
      <c r="C7" s="4" t="s">
        <v>48</v>
      </c>
      <c r="D7" s="4" t="s">
        <v>8</v>
      </c>
      <c r="E7" t="str">
        <f t="shared" si="0"/>
        <v>'B 222','HERNANDEZ NAVARRO ULISES','MASCULINO'</v>
      </c>
      <c r="F7" t="str">
        <f t="shared" si="1"/>
        <v>INSERT INTO titulares (grupo,nombre,sexo) values ('B 222','HERNANDEZ NAVARRO ULISES','MASCULINO');</v>
      </c>
    </row>
    <row r="8" spans="1:6" x14ac:dyDescent="0.35">
      <c r="A8" s="4">
        <v>8</v>
      </c>
      <c r="B8" s="4" t="s">
        <v>69</v>
      </c>
      <c r="C8" s="4" t="s">
        <v>63</v>
      </c>
      <c r="D8" s="4" t="s">
        <v>8</v>
      </c>
      <c r="E8" t="str">
        <f t="shared" si="0"/>
        <v>'B 223','CORTES MORA FERNANDO','MASCULINO'</v>
      </c>
      <c r="F8" t="str">
        <f t="shared" si="1"/>
        <v>INSERT INTO titulares (grupo,nombre,sexo) values ('B 223','CORTES MORA FERNANDO','MASCULINO');</v>
      </c>
    </row>
    <row r="9" spans="1:6" x14ac:dyDescent="0.35">
      <c r="A9" s="4">
        <v>9</v>
      </c>
      <c r="B9" s="4" t="s">
        <v>71</v>
      </c>
      <c r="C9" s="4" t="s">
        <v>67</v>
      </c>
      <c r="D9" s="4" t="s">
        <v>8</v>
      </c>
      <c r="E9" t="str">
        <f t="shared" si="0"/>
        <v>'B 224','VAZQUEZ GONZALEZ JOSE VALENTIN','MASCULINO'</v>
      </c>
      <c r="F9" t="str">
        <f t="shared" si="1"/>
        <v>INSERT INTO titulares (grupo,nombre,sexo) values ('B 224','VAZQUEZ GONZALEZ JOSE VALENTIN','MASCULINO');</v>
      </c>
    </row>
    <row r="10" spans="1:6" x14ac:dyDescent="0.35">
      <c r="A10" s="4">
        <v>10</v>
      </c>
      <c r="B10" s="4" t="s">
        <v>72</v>
      </c>
      <c r="C10" s="4" t="s">
        <v>49</v>
      </c>
      <c r="D10" s="4" t="s">
        <v>8</v>
      </c>
      <c r="E10" t="str">
        <f t="shared" si="0"/>
        <v>'B 225','LOPEZ ORTEGA SALVADOR','MASCULINO'</v>
      </c>
      <c r="F10" t="str">
        <f t="shared" si="1"/>
        <v>INSERT INTO titulares (grupo,nombre,sexo) values ('B 225','LOPEZ ORTEGA SALVADOR','MASCULINO');</v>
      </c>
    </row>
    <row r="11" spans="1:6" x14ac:dyDescent="0.35">
      <c r="A11" s="4">
        <v>11</v>
      </c>
      <c r="B11" s="4" t="s">
        <v>83</v>
      </c>
      <c r="C11" s="4" t="s">
        <v>84</v>
      </c>
      <c r="D11" s="4" t="s">
        <v>8</v>
      </c>
      <c r="E11" t="str">
        <f t="shared" si="0"/>
        <v>'B 331','ESPARZA ESTRADA CARLOS ISMAEL','MASCULINO'</v>
      </c>
      <c r="F11" t="str">
        <f t="shared" si="1"/>
        <v>INSERT INTO titulares (grupo,nombre,sexo) values ('B 331','ESPARZA ESTRADA CARLOS ISMAEL','MASCULINO');</v>
      </c>
    </row>
    <row r="12" spans="1:6" x14ac:dyDescent="0.35">
      <c r="A12" s="4">
        <v>12</v>
      </c>
      <c r="B12" s="4" t="s">
        <v>87</v>
      </c>
      <c r="C12" s="4" t="s">
        <v>53</v>
      </c>
      <c r="D12" s="4" t="s">
        <v>30</v>
      </c>
      <c r="E12" t="str">
        <f t="shared" si="0"/>
        <v>'B 332','BEJAR VELASCO JESSICA YUNUEN','FEMENINO'</v>
      </c>
      <c r="F12" t="str">
        <f t="shared" si="1"/>
        <v>INSERT INTO titulares (grupo,nombre,sexo) values ('B 332','BEJAR VELASCO JESSICA YUNUEN','FEMENINO');</v>
      </c>
    </row>
    <row r="13" spans="1:6" x14ac:dyDescent="0.35">
      <c r="A13" s="4">
        <v>13</v>
      </c>
      <c r="B13" s="4" t="s">
        <v>88</v>
      </c>
      <c r="C13" s="4" t="s">
        <v>85</v>
      </c>
      <c r="D13" s="4" t="s">
        <v>8</v>
      </c>
      <c r="E13" t="str">
        <f t="shared" si="0"/>
        <v>'B 333','GUZMAN VERA MOISES GREGORIO','MASCULINO'</v>
      </c>
      <c r="F13" t="str">
        <f t="shared" si="1"/>
        <v>INSERT INTO titulares (grupo,nombre,sexo) values ('B 333','GUZMAN VERA MOISES GREGORIO','MASCULINO');</v>
      </c>
    </row>
    <row r="14" spans="1:6" x14ac:dyDescent="0.35">
      <c r="A14" s="4">
        <v>14</v>
      </c>
      <c r="B14" s="4" t="s">
        <v>89</v>
      </c>
      <c r="C14" s="4" t="s">
        <v>76</v>
      </c>
      <c r="D14" s="4" t="s">
        <v>30</v>
      </c>
      <c r="E14" t="str">
        <f t="shared" si="0"/>
        <v>'B 334','RIOS CORONADO VERONICA','FEMENINO'</v>
      </c>
      <c r="F14" t="str">
        <f t="shared" si="1"/>
        <v>INSERT INTO titulares (grupo,nombre,sexo) values ('B 334','RIOS CORONADO VERONICA','FEMENINO');</v>
      </c>
    </row>
    <row r="15" spans="1:6" x14ac:dyDescent="0.35">
      <c r="A15" s="4">
        <v>15</v>
      </c>
      <c r="B15" s="4" t="s">
        <v>90</v>
      </c>
      <c r="C15" s="4" t="s">
        <v>66</v>
      </c>
      <c r="D15" s="4" t="s">
        <v>8</v>
      </c>
      <c r="E15" t="str">
        <f t="shared" si="0"/>
        <v>'B 335','SANTOS JIMENEZ FAUSTO VINICIO','MASCULINO'</v>
      </c>
      <c r="F15" t="str">
        <f t="shared" si="1"/>
        <v>INSERT INTO titulares (grupo,nombre,sexo) values ('B 335','SANTOS JIMENEZ FAUSTO VINICIO','MASCULINO');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ALUMNOS</vt:lpstr>
      <vt:lpstr>MATERIAS</vt:lpstr>
      <vt:lpstr>GRUPOS</vt:lpstr>
      <vt:lpstr>ACUDE</vt:lpstr>
      <vt:lpstr>TITULARES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2026-05-07T17:47:54Z</dcterms:created>
  <dcterms:modified xsi:type="dcterms:W3CDTF">2026-05-13T18:59:20Z</dcterms:modified>
</cp:coreProperties>
</file>