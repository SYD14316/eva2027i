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os\Usuarios\HECTORMANUELGARCIAES\Documents\proyectos\test.evaluaciones.umg.edu.mx\eva2026ii\Documentos\docs lolita\"/>
    </mc:Choice>
  </mc:AlternateContent>
  <xr:revisionPtr revIDLastSave="0" documentId="13_ncr:1_{1EF7ED0A-5113-451E-816D-6DF658CEC2BF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Sheet" sheetId="1" r:id="rId1"/>
    <sheet name="Alumnos" sheetId="2" r:id="rId2"/>
    <sheet name="Participantes" sheetId="3" r:id="rId3"/>
    <sheet name="Hoja3" sheetId="4" r:id="rId4"/>
  </sheets>
  <definedNames>
    <definedName name="_xlnm._FilterDatabase" localSheetId="2" hidden="1">Participantes!$A$1:$M$616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11" i="2" l="1"/>
  <c r="C126" i="3"/>
  <c r="C372" i="3"/>
  <c r="C37" i="3"/>
  <c r="C36" i="3"/>
  <c r="C234" i="3"/>
  <c r="C237" i="3"/>
  <c r="C300" i="3"/>
  <c r="C60" i="3"/>
  <c r="C439" i="3"/>
  <c r="C396" i="3"/>
  <c r="C323" i="3"/>
  <c r="C98" i="3"/>
  <c r="C225" i="3"/>
  <c r="C9" i="3"/>
  <c r="C220" i="3"/>
  <c r="C15" i="3"/>
  <c r="C119" i="3"/>
  <c r="C415" i="3"/>
  <c r="C121" i="3"/>
  <c r="C482" i="3"/>
  <c r="C609" i="3"/>
  <c r="C341" i="3"/>
  <c r="C64" i="3"/>
  <c r="C70" i="3"/>
  <c r="C256" i="3"/>
  <c r="C491" i="3"/>
  <c r="C469" i="3"/>
  <c r="C254" i="3"/>
  <c r="C530" i="3"/>
  <c r="C34" i="3"/>
  <c r="C217" i="3"/>
  <c r="C230" i="3"/>
  <c r="C86" i="3"/>
  <c r="C571" i="3"/>
  <c r="C565" i="3"/>
  <c r="C39" i="3"/>
  <c r="C424" i="3"/>
  <c r="C328" i="3"/>
  <c r="C356" i="3"/>
  <c r="C604" i="3"/>
  <c r="C232" i="3"/>
  <c r="C431" i="3"/>
  <c r="C236" i="3"/>
  <c r="C445" i="3"/>
  <c r="C419" i="3"/>
  <c r="C73" i="3"/>
  <c r="C240" i="3"/>
  <c r="C380" i="3"/>
  <c r="C496" i="3"/>
  <c r="C487" i="3"/>
  <c r="C294" i="3"/>
  <c r="C315" i="3"/>
  <c r="C611" i="3"/>
  <c r="C169" i="3"/>
  <c r="C436" i="3"/>
  <c r="C464" i="3"/>
  <c r="C20" i="3"/>
  <c r="C534" i="3"/>
  <c r="C520" i="3"/>
  <c r="C362" i="3"/>
  <c r="C483" i="3"/>
  <c r="C221" i="3"/>
  <c r="C77" i="3"/>
  <c r="C316" i="3"/>
  <c r="C590" i="3"/>
  <c r="C512" i="3"/>
  <c r="C162" i="3"/>
  <c r="C422" i="3"/>
  <c r="C103" i="3"/>
  <c r="C123" i="3"/>
  <c r="C581" i="3"/>
  <c r="C108" i="3"/>
  <c r="C494" i="3"/>
  <c r="C198" i="3"/>
  <c r="C390" i="3"/>
  <c r="C274" i="3"/>
  <c r="C559" i="3"/>
  <c r="C255" i="3"/>
  <c r="C42" i="3"/>
  <c r="C597" i="3"/>
  <c r="C79" i="3"/>
  <c r="C182" i="3"/>
  <c r="C22" i="3"/>
  <c r="C577" i="3"/>
  <c r="C226" i="3"/>
  <c r="C271" i="3"/>
  <c r="C508" i="3"/>
  <c r="C95" i="3"/>
  <c r="C557" i="3"/>
  <c r="C72" i="3"/>
  <c r="C302" i="3"/>
  <c r="C524" i="3"/>
  <c r="C484" i="3"/>
  <c r="C429" i="3"/>
  <c r="C199" i="3"/>
  <c r="C118" i="3"/>
  <c r="C67" i="3"/>
  <c r="C188" i="3"/>
  <c r="C81" i="3"/>
  <c r="C550" i="3"/>
  <c r="C216" i="3"/>
  <c r="C411" i="3"/>
  <c r="C47" i="3"/>
  <c r="C58" i="3"/>
  <c r="C13" i="3"/>
  <c r="C351" i="3"/>
  <c r="C539" i="3"/>
  <c r="C586" i="3"/>
  <c r="C333" i="3"/>
  <c r="C149" i="3"/>
  <c r="C461" i="3"/>
  <c r="C418" i="3"/>
  <c r="C536" i="3"/>
  <c r="C19" i="3"/>
  <c r="C31" i="3"/>
  <c r="C451" i="3"/>
  <c r="C287" i="3"/>
  <c r="C53" i="3"/>
  <c r="C129" i="3"/>
  <c r="C235" i="3"/>
  <c r="C100" i="3"/>
  <c r="C140" i="3"/>
  <c r="C296" i="3"/>
  <c r="C116" i="3"/>
  <c r="C203" i="3"/>
  <c r="C186" i="3"/>
  <c r="C498" i="3"/>
  <c r="C348" i="3"/>
  <c r="C104" i="3"/>
  <c r="C314" i="3"/>
  <c r="C553" i="3"/>
  <c r="C247" i="3"/>
  <c r="C258" i="3"/>
  <c r="C131" i="3"/>
  <c r="C467" i="3"/>
  <c r="C278" i="3"/>
  <c r="C136" i="3"/>
  <c r="C222" i="3"/>
  <c r="C148" i="3"/>
  <c r="C50" i="3"/>
  <c r="C224" i="3"/>
  <c r="C614" i="3"/>
  <c r="C357" i="3"/>
  <c r="C497" i="3"/>
  <c r="C382" i="3"/>
  <c r="C24" i="3"/>
  <c r="C3" i="3"/>
  <c r="C499" i="3"/>
  <c r="C337" i="3"/>
  <c r="C603" i="3"/>
  <c r="C210" i="3"/>
  <c r="C545" i="3"/>
  <c r="C46" i="3"/>
  <c r="C49" i="3"/>
  <c r="C523" i="3"/>
  <c r="C455" i="3"/>
  <c r="C376" i="3"/>
  <c r="C462" i="3"/>
  <c r="C178" i="3"/>
  <c r="C219" i="3"/>
  <c r="C200" i="3"/>
  <c r="C138" i="3"/>
  <c r="C374" i="3"/>
  <c r="C398" i="3"/>
  <c r="C476" i="3"/>
  <c r="C569" i="3"/>
  <c r="C134" i="3"/>
  <c r="C354" i="3"/>
  <c r="C388" i="3"/>
  <c r="C472" i="3"/>
  <c r="C288" i="3"/>
  <c r="C326" i="3"/>
  <c r="C113" i="3"/>
  <c r="C477" i="3"/>
  <c r="C295" i="3"/>
  <c r="C190" i="3"/>
  <c r="C321" i="3"/>
  <c r="C218" i="3"/>
  <c r="C284" i="3"/>
  <c r="C172" i="3"/>
  <c r="C610" i="3"/>
  <c r="C184" i="3"/>
  <c r="C493" i="3"/>
  <c r="C263" i="3"/>
  <c r="C410" i="3"/>
  <c r="C428" i="3"/>
  <c r="C322" i="3"/>
  <c r="C167" i="3"/>
  <c r="C324" i="3"/>
  <c r="C171" i="3"/>
  <c r="C441" i="3"/>
  <c r="C160" i="3"/>
  <c r="C163" i="3"/>
  <c r="C369" i="3"/>
  <c r="C544" i="3"/>
  <c r="C65" i="3"/>
  <c r="C574" i="3"/>
  <c r="C580" i="3"/>
  <c r="C600" i="3"/>
  <c r="C393" i="3"/>
  <c r="C89" i="3"/>
  <c r="C501" i="3"/>
  <c r="C527" i="3"/>
  <c r="C319" i="3"/>
  <c r="C425" i="3"/>
  <c r="C51" i="3"/>
  <c r="C177" i="3"/>
  <c r="C173" i="3"/>
  <c r="C575" i="3"/>
  <c r="C153" i="3"/>
  <c r="C204" i="3"/>
  <c r="C387" i="3"/>
  <c r="C450" i="3"/>
  <c r="C339" i="3"/>
  <c r="C405" i="3"/>
  <c r="C568" i="3"/>
  <c r="C585" i="3"/>
  <c r="C83" i="3"/>
  <c r="C459" i="3"/>
  <c r="C115" i="3"/>
  <c r="C564" i="3"/>
  <c r="C417" i="3"/>
  <c r="C522" i="3"/>
  <c r="C251" i="3"/>
  <c r="C588" i="3"/>
  <c r="C447" i="3"/>
  <c r="C533" i="3"/>
  <c r="C344" i="3"/>
  <c r="C23" i="3"/>
  <c r="C399" i="3"/>
  <c r="C578" i="3"/>
  <c r="C391" i="3"/>
  <c r="C521" i="3"/>
  <c r="C342" i="3"/>
  <c r="C535" i="3"/>
  <c r="C607" i="3"/>
  <c r="C471" i="3"/>
  <c r="C291" i="3"/>
  <c r="C152" i="3"/>
  <c r="C338" i="3"/>
  <c r="C25" i="3"/>
  <c r="C549" i="3"/>
  <c r="C156" i="3"/>
  <c r="C301" i="3"/>
  <c r="C133" i="3"/>
  <c r="C105" i="3"/>
  <c r="C44" i="3"/>
  <c r="C279" i="3"/>
  <c r="C90" i="3"/>
  <c r="C68" i="3"/>
  <c r="C298" i="3"/>
  <c r="C480" i="3"/>
  <c r="C303" i="3"/>
  <c r="C181" i="3"/>
  <c r="C392" i="3"/>
  <c r="C239" i="3"/>
  <c r="C285" i="3"/>
  <c r="C435" i="3"/>
  <c r="C122" i="3"/>
  <c r="C30" i="3"/>
  <c r="C440" i="3"/>
  <c r="C143" i="3"/>
  <c r="C4" i="3"/>
  <c r="C97" i="3"/>
  <c r="C139" i="3"/>
  <c r="C305" i="3"/>
  <c r="C170" i="3"/>
  <c r="C11" i="3"/>
  <c r="C325" i="3"/>
  <c r="C466" i="3"/>
  <c r="C28" i="3"/>
  <c r="C514" i="3"/>
  <c r="C570" i="3"/>
  <c r="C365" i="3"/>
  <c r="C62" i="3"/>
  <c r="C560" i="3"/>
  <c r="C602" i="3"/>
  <c r="C191" i="3"/>
  <c r="C562" i="3"/>
  <c r="C21" i="3"/>
  <c r="C612" i="3"/>
  <c r="C548" i="3"/>
  <c r="C304" i="3"/>
  <c r="C389" i="3"/>
  <c r="C69" i="3"/>
  <c r="C366" i="3"/>
  <c r="C248" i="3"/>
  <c r="C353" i="3"/>
  <c r="C500" i="3"/>
  <c r="C111" i="3"/>
  <c r="C259" i="3"/>
  <c r="C253" i="3"/>
  <c r="C608" i="3"/>
  <c r="C583" i="3"/>
  <c r="C176" i="3"/>
  <c r="C478" i="3"/>
  <c r="C269" i="3"/>
  <c r="C93" i="3"/>
  <c r="C515" i="3"/>
  <c r="C526" i="3"/>
  <c r="C246" i="3"/>
  <c r="C132" i="3"/>
  <c r="C154" i="3"/>
  <c r="C335" i="3"/>
  <c r="C125" i="3"/>
  <c r="C596" i="3"/>
  <c r="C35" i="3"/>
  <c r="C412" i="3"/>
  <c r="C281" i="3"/>
  <c r="C144" i="3"/>
  <c r="C242" i="3"/>
  <c r="C289" i="3"/>
  <c r="C426" i="3"/>
  <c r="C540" i="3"/>
  <c r="C336" i="3"/>
  <c r="C579" i="3"/>
  <c r="C595" i="3"/>
  <c r="C452" i="3"/>
  <c r="C87" i="3"/>
  <c r="C201" i="3"/>
  <c r="C561" i="3"/>
  <c r="C99" i="3"/>
  <c r="C313" i="3"/>
  <c r="C127" i="3"/>
  <c r="C101" i="3"/>
  <c r="C383" i="3"/>
  <c r="C276" i="3"/>
  <c r="C107" i="3"/>
  <c r="C616" i="3"/>
  <c r="C598" i="3"/>
  <c r="C297" i="3"/>
  <c r="C363" i="3"/>
  <c r="C120" i="3"/>
  <c r="C529" i="3"/>
  <c r="C584" i="3"/>
  <c r="C408" i="3"/>
  <c r="C8" i="3"/>
  <c r="C403" i="3"/>
  <c r="C378" i="3"/>
  <c r="C355" i="3"/>
  <c r="C174" i="3"/>
  <c r="C594" i="3"/>
  <c r="C615" i="3"/>
  <c r="C479" i="3"/>
  <c r="C547" i="3"/>
  <c r="C17" i="3"/>
  <c r="C576" i="3"/>
  <c r="C543" i="3"/>
  <c r="C317" i="3"/>
  <c r="C599" i="3"/>
  <c r="C40" i="3"/>
  <c r="C244" i="3"/>
  <c r="C117" i="3"/>
  <c r="C457" i="3"/>
  <c r="C135" i="3"/>
  <c r="C358" i="3"/>
  <c r="C320" i="3"/>
  <c r="C375" i="3"/>
  <c r="C158" i="3"/>
  <c r="C213" i="3"/>
  <c r="C262" i="3"/>
  <c r="C555" i="3"/>
  <c r="C165" i="3"/>
  <c r="C55" i="3"/>
  <c r="C261" i="3"/>
  <c r="C456" i="3"/>
  <c r="C293" i="3"/>
  <c r="C563" i="3"/>
  <c r="C215" i="3"/>
  <c r="C566" i="3"/>
  <c r="C589" i="3"/>
  <c r="C470" i="3"/>
  <c r="C245" i="3"/>
  <c r="C307" i="3"/>
  <c r="C427" i="3"/>
  <c r="C76" i="3"/>
  <c r="C168" i="3"/>
  <c r="C592" i="3"/>
  <c r="C460" i="3"/>
  <c r="C18" i="3"/>
  <c r="C551" i="3"/>
  <c r="C528" i="3"/>
  <c r="C43" i="3"/>
  <c r="C164" i="3"/>
  <c r="C257" i="3"/>
  <c r="C277" i="3"/>
  <c r="C532" i="3"/>
  <c r="C404" i="3"/>
  <c r="C238" i="3"/>
  <c r="C449" i="3"/>
  <c r="C465" i="3"/>
  <c r="C385" i="3"/>
  <c r="C489" i="3"/>
  <c r="C587" i="3"/>
  <c r="C214" i="3"/>
  <c r="C48" i="3"/>
  <c r="C14" i="3"/>
  <c r="C346" i="3"/>
  <c r="C197" i="3"/>
  <c r="C379" i="3"/>
  <c r="C327" i="3"/>
  <c r="C194" i="3"/>
  <c r="C359" i="3"/>
  <c r="C74" i="3"/>
  <c r="C541" i="3"/>
  <c r="C33" i="3"/>
  <c r="C444" i="3"/>
  <c r="C189" i="3"/>
  <c r="C468" i="3"/>
  <c r="C266" i="3"/>
  <c r="C202" i="3"/>
  <c r="C41" i="3"/>
  <c r="C421" i="3"/>
  <c r="C265" i="3"/>
  <c r="C290" i="3"/>
  <c r="C155" i="3"/>
  <c r="C102" i="3"/>
  <c r="C309" i="3"/>
  <c r="C192" i="3"/>
  <c r="C367" i="3"/>
  <c r="C343" i="3"/>
  <c r="C16" i="3"/>
  <c r="C446" i="3"/>
  <c r="C82" i="3"/>
  <c r="C347" i="3"/>
  <c r="C416" i="3"/>
  <c r="C345" i="3"/>
  <c r="C601" i="3"/>
  <c r="C364" i="3"/>
  <c r="C272" i="3"/>
  <c r="C407" i="3"/>
  <c r="C443" i="3"/>
  <c r="C340" i="3"/>
  <c r="C492" i="3"/>
  <c r="C206" i="3"/>
  <c r="C306" i="3"/>
  <c r="C84" i="3"/>
  <c r="C211" i="3"/>
  <c r="C267" i="3"/>
  <c r="C442" i="3"/>
  <c r="C558" i="3"/>
  <c r="C448" i="3"/>
  <c r="C546" i="3"/>
  <c r="C409" i="3"/>
  <c r="C437" i="3"/>
  <c r="C207" i="3"/>
  <c r="C538" i="3"/>
  <c r="C112" i="3"/>
  <c r="C414" i="3"/>
  <c r="C334" i="3"/>
  <c r="C401" i="3"/>
  <c r="C78" i="3"/>
  <c r="C423" i="3"/>
  <c r="C349" i="3"/>
  <c r="C397" i="3"/>
  <c r="C511" i="3"/>
  <c r="C400" i="3"/>
  <c r="C282" i="3"/>
  <c r="C185" i="3"/>
  <c r="C252" i="3"/>
  <c r="C605" i="3"/>
  <c r="C61" i="3"/>
  <c r="C57" i="3"/>
  <c r="C308" i="3"/>
  <c r="C542" i="3"/>
  <c r="C463" i="3"/>
  <c r="C503" i="3"/>
  <c r="C504" i="3"/>
  <c r="C506" i="3"/>
  <c r="C7" i="3"/>
  <c r="C488" i="3"/>
  <c r="C525" i="3"/>
  <c r="C130" i="3"/>
  <c r="C142" i="3"/>
  <c r="C593" i="3"/>
  <c r="C38" i="3"/>
  <c r="C209" i="3"/>
  <c r="C270" i="3"/>
  <c r="C260" i="3"/>
  <c r="C394" i="3"/>
  <c r="C71" i="3"/>
  <c r="C373" i="3"/>
  <c r="C454" i="3"/>
  <c r="C413" i="3"/>
  <c r="C179" i="3"/>
  <c r="C5" i="3"/>
  <c r="C94" i="3"/>
  <c r="C114" i="3"/>
  <c r="C432" i="3"/>
  <c r="C286" i="3"/>
  <c r="C233" i="3"/>
  <c r="C486" i="3"/>
  <c r="C283" i="3"/>
  <c r="C128" i="3"/>
  <c r="C12" i="3"/>
  <c r="C137" i="3"/>
  <c r="C475" i="3"/>
  <c r="C227" i="3"/>
  <c r="C183" i="3"/>
  <c r="C88" i="3"/>
  <c r="C299" i="3"/>
  <c r="C275" i="3"/>
  <c r="C264" i="3"/>
  <c r="C406" i="3"/>
  <c r="C166" i="3"/>
  <c r="C110" i="3"/>
  <c r="C205" i="3"/>
  <c r="C151" i="3"/>
  <c r="C490" i="3"/>
  <c r="C187" i="3"/>
  <c r="C52" i="3"/>
  <c r="C249" i="3"/>
  <c r="C250" i="3"/>
  <c r="C332" i="3"/>
  <c r="C531" i="3"/>
  <c r="C292" i="3"/>
  <c r="C45" i="3"/>
  <c r="C402" i="3"/>
  <c r="C231" i="3"/>
  <c r="C311" i="3"/>
  <c r="C59" i="3"/>
  <c r="C331" i="3"/>
  <c r="C386" i="3"/>
  <c r="C208" i="3"/>
  <c r="C495" i="3"/>
  <c r="C591" i="3"/>
  <c r="C212" i="3"/>
  <c r="C606" i="3"/>
  <c r="C159" i="3"/>
  <c r="C613" i="3"/>
  <c r="C75" i="3"/>
  <c r="C516" i="3"/>
  <c r="C146" i="3"/>
  <c r="C243" i="3"/>
  <c r="C56" i="3"/>
  <c r="C312" i="3"/>
  <c r="C63" i="3"/>
  <c r="C85" i="3"/>
  <c r="C552" i="3"/>
  <c r="C92" i="3"/>
  <c r="C147" i="3"/>
  <c r="C434" i="3"/>
  <c r="C329" i="3"/>
  <c r="C384" i="3"/>
  <c r="C330" i="3"/>
  <c r="C350" i="3"/>
  <c r="C80" i="3"/>
  <c r="C438" i="3"/>
  <c r="C310" i="3"/>
  <c r="C361" i="3"/>
  <c r="C268" i="3"/>
  <c r="C91" i="3"/>
  <c r="C371" i="3"/>
  <c r="C241" i="3"/>
  <c r="C582" i="3"/>
  <c r="C572" i="3"/>
  <c r="C573" i="3"/>
  <c r="C124" i="3"/>
  <c r="C453" i="3"/>
  <c r="C507" i="3"/>
  <c r="C517" i="3"/>
  <c r="C161" i="3"/>
  <c r="C510" i="3"/>
  <c r="C519" i="3"/>
  <c r="C433" i="3"/>
  <c r="C223" i="3"/>
  <c r="C458" i="3"/>
  <c r="C96" i="3"/>
  <c r="C505" i="3"/>
  <c r="C229" i="3"/>
  <c r="C485" i="3"/>
  <c r="C157" i="3"/>
  <c r="C228" i="3"/>
  <c r="C195" i="3"/>
  <c r="C318" i="3"/>
  <c r="C352" i="3"/>
  <c r="C430" i="3"/>
  <c r="C420" i="3"/>
  <c r="C513" i="3"/>
  <c r="C473" i="3"/>
  <c r="C54" i="3"/>
  <c r="C381" i="3"/>
  <c r="C554" i="3"/>
  <c r="C106" i="3"/>
  <c r="C27" i="3"/>
  <c r="C509" i="3"/>
  <c r="C196" i="3"/>
  <c r="C518" i="3"/>
  <c r="C32" i="3"/>
  <c r="C370" i="3"/>
  <c r="C280" i="3"/>
  <c r="C180" i="3"/>
  <c r="C368" i="3"/>
  <c r="C145" i="3"/>
  <c r="C10" i="3"/>
  <c r="C6" i="3"/>
  <c r="C567" i="3"/>
  <c r="C395" i="3"/>
  <c r="C474" i="3"/>
  <c r="C109" i="3"/>
  <c r="C502" i="3"/>
  <c r="C26" i="3"/>
  <c r="C193" i="3"/>
  <c r="C377" i="3"/>
  <c r="C481" i="3"/>
  <c r="C175" i="3"/>
  <c r="C273" i="3"/>
  <c r="C360" i="3"/>
  <c r="C66" i="3"/>
  <c r="C141" i="3"/>
  <c r="C556" i="3"/>
  <c r="C29" i="3"/>
  <c r="C150" i="3"/>
  <c r="C537" i="3"/>
  <c r="C2" i="3"/>
  <c r="M2" i="3" s="1"/>
  <c r="K1" i="3"/>
  <c r="I3" i="2"/>
  <c r="G60" i="3" s="1"/>
  <c r="J3" i="2"/>
  <c r="H60" i="3" s="1"/>
  <c r="K3" i="2"/>
  <c r="I60" i="3" s="1"/>
  <c r="L3" i="2"/>
  <c r="J60" i="3" s="1"/>
  <c r="M3" i="2"/>
  <c r="I4" i="2"/>
  <c r="G439" i="3" s="1"/>
  <c r="J4" i="2"/>
  <c r="H439" i="3" s="1"/>
  <c r="K4" i="2"/>
  <c r="I439" i="3" s="1"/>
  <c r="L4" i="2"/>
  <c r="J439" i="3" s="1"/>
  <c r="M4" i="2"/>
  <c r="I5" i="2"/>
  <c r="G396" i="3" s="1"/>
  <c r="J5" i="2"/>
  <c r="H396" i="3" s="1"/>
  <c r="K5" i="2"/>
  <c r="I396" i="3" s="1"/>
  <c r="L5" i="2"/>
  <c r="J396" i="3" s="1"/>
  <c r="M5" i="2"/>
  <c r="I6" i="2"/>
  <c r="G323" i="3" s="1"/>
  <c r="J6" i="2"/>
  <c r="H323" i="3" s="1"/>
  <c r="K6" i="2"/>
  <c r="I323" i="3" s="1"/>
  <c r="L6" i="2"/>
  <c r="J323" i="3" s="1"/>
  <c r="M6" i="2"/>
  <c r="I7" i="2"/>
  <c r="G98" i="3" s="1"/>
  <c r="J7" i="2"/>
  <c r="H98" i="3" s="1"/>
  <c r="K7" i="2"/>
  <c r="I98" i="3" s="1"/>
  <c r="L7" i="2"/>
  <c r="J98" i="3" s="1"/>
  <c r="M7" i="2"/>
  <c r="I8" i="2"/>
  <c r="G225" i="3" s="1"/>
  <c r="J8" i="2"/>
  <c r="H225" i="3" s="1"/>
  <c r="K8" i="2"/>
  <c r="I225" i="3" s="1"/>
  <c r="L8" i="2"/>
  <c r="J225" i="3" s="1"/>
  <c r="M8" i="2"/>
  <c r="I9" i="2"/>
  <c r="G9" i="3" s="1"/>
  <c r="J9" i="2"/>
  <c r="H9" i="3" s="1"/>
  <c r="K9" i="2"/>
  <c r="I9" i="3" s="1"/>
  <c r="L9" i="2"/>
  <c r="J9" i="3" s="1"/>
  <c r="M9" i="2"/>
  <c r="I10" i="2"/>
  <c r="G220" i="3" s="1"/>
  <c r="J10" i="2"/>
  <c r="H220" i="3" s="1"/>
  <c r="K10" i="2"/>
  <c r="I220" i="3" s="1"/>
  <c r="L10" i="2"/>
  <c r="J220" i="3" s="1"/>
  <c r="M10" i="2"/>
  <c r="I11" i="2"/>
  <c r="G15" i="3" s="1"/>
  <c r="J11" i="2"/>
  <c r="H15" i="3" s="1"/>
  <c r="K11" i="2"/>
  <c r="I15" i="3" s="1"/>
  <c r="L11" i="2"/>
  <c r="J15" i="3" s="1"/>
  <c r="M11" i="2"/>
  <c r="I12" i="2"/>
  <c r="G119" i="3" s="1"/>
  <c r="J12" i="2"/>
  <c r="H119" i="3" s="1"/>
  <c r="K12" i="2"/>
  <c r="I119" i="3" s="1"/>
  <c r="L12" i="2"/>
  <c r="J119" i="3" s="1"/>
  <c r="M12" i="2"/>
  <c r="I13" i="2"/>
  <c r="G415" i="3" s="1"/>
  <c r="J13" i="2"/>
  <c r="H415" i="3" s="1"/>
  <c r="K13" i="2"/>
  <c r="I415" i="3" s="1"/>
  <c r="L13" i="2"/>
  <c r="J415" i="3" s="1"/>
  <c r="M13" i="2"/>
  <c r="I14" i="2"/>
  <c r="G121" i="3" s="1"/>
  <c r="J14" i="2"/>
  <c r="H121" i="3" s="1"/>
  <c r="K14" i="2"/>
  <c r="I121" i="3" s="1"/>
  <c r="L14" i="2"/>
  <c r="J121" i="3" s="1"/>
  <c r="M14" i="2"/>
  <c r="I15" i="2"/>
  <c r="G482" i="3" s="1"/>
  <c r="J15" i="2"/>
  <c r="H482" i="3" s="1"/>
  <c r="K15" i="2"/>
  <c r="I482" i="3" s="1"/>
  <c r="L15" i="2"/>
  <c r="J482" i="3" s="1"/>
  <c r="M15" i="2"/>
  <c r="I16" i="2"/>
  <c r="G609" i="3" s="1"/>
  <c r="J16" i="2"/>
  <c r="H609" i="3" s="1"/>
  <c r="K16" i="2"/>
  <c r="I609" i="3" s="1"/>
  <c r="L16" i="2"/>
  <c r="J609" i="3" s="1"/>
  <c r="M16" i="2"/>
  <c r="I17" i="2"/>
  <c r="G341" i="3" s="1"/>
  <c r="J17" i="2"/>
  <c r="H341" i="3" s="1"/>
  <c r="K17" i="2"/>
  <c r="I341" i="3" s="1"/>
  <c r="L17" i="2"/>
  <c r="J341" i="3" s="1"/>
  <c r="M17" i="2"/>
  <c r="I18" i="2"/>
  <c r="G64" i="3" s="1"/>
  <c r="J18" i="2"/>
  <c r="H64" i="3" s="1"/>
  <c r="K18" i="2"/>
  <c r="I64" i="3" s="1"/>
  <c r="L18" i="2"/>
  <c r="J64" i="3" s="1"/>
  <c r="M18" i="2"/>
  <c r="I19" i="2"/>
  <c r="G70" i="3" s="1"/>
  <c r="J19" i="2"/>
  <c r="H70" i="3" s="1"/>
  <c r="K19" i="2"/>
  <c r="I70" i="3" s="1"/>
  <c r="L19" i="2"/>
  <c r="J70" i="3" s="1"/>
  <c r="M19" i="2"/>
  <c r="I20" i="2"/>
  <c r="G256" i="3" s="1"/>
  <c r="J20" i="2"/>
  <c r="H256" i="3" s="1"/>
  <c r="K20" i="2"/>
  <c r="I256" i="3" s="1"/>
  <c r="L20" i="2"/>
  <c r="J256" i="3" s="1"/>
  <c r="M20" i="2"/>
  <c r="I21" i="2"/>
  <c r="G491" i="3" s="1"/>
  <c r="J21" i="2"/>
  <c r="H491" i="3" s="1"/>
  <c r="K21" i="2"/>
  <c r="I491" i="3" s="1"/>
  <c r="L21" i="2"/>
  <c r="J491" i="3" s="1"/>
  <c r="M21" i="2"/>
  <c r="I22" i="2"/>
  <c r="G469" i="3" s="1"/>
  <c r="J22" i="2"/>
  <c r="H469" i="3" s="1"/>
  <c r="K22" i="2"/>
  <c r="I469" i="3" s="1"/>
  <c r="L22" i="2"/>
  <c r="J469" i="3" s="1"/>
  <c r="M22" i="2"/>
  <c r="I23" i="2"/>
  <c r="G254" i="3" s="1"/>
  <c r="J23" i="2"/>
  <c r="H254" i="3" s="1"/>
  <c r="K23" i="2"/>
  <c r="I254" i="3" s="1"/>
  <c r="L23" i="2"/>
  <c r="J254" i="3" s="1"/>
  <c r="M23" i="2"/>
  <c r="I24" i="2"/>
  <c r="G530" i="3" s="1"/>
  <c r="J24" i="2"/>
  <c r="H530" i="3" s="1"/>
  <c r="K24" i="2"/>
  <c r="I530" i="3" s="1"/>
  <c r="L24" i="2"/>
  <c r="J530" i="3" s="1"/>
  <c r="M24" i="2"/>
  <c r="I25" i="2"/>
  <c r="G34" i="3" s="1"/>
  <c r="J25" i="2"/>
  <c r="H34" i="3" s="1"/>
  <c r="K25" i="2"/>
  <c r="I34" i="3" s="1"/>
  <c r="L25" i="2"/>
  <c r="J34" i="3" s="1"/>
  <c r="M25" i="2"/>
  <c r="I26" i="2"/>
  <c r="G217" i="3" s="1"/>
  <c r="J26" i="2"/>
  <c r="H217" i="3" s="1"/>
  <c r="K26" i="2"/>
  <c r="I217" i="3" s="1"/>
  <c r="L26" i="2"/>
  <c r="J217" i="3" s="1"/>
  <c r="M26" i="2"/>
  <c r="I27" i="2"/>
  <c r="G230" i="3" s="1"/>
  <c r="J27" i="2"/>
  <c r="H230" i="3" s="1"/>
  <c r="K27" i="2"/>
  <c r="I230" i="3" s="1"/>
  <c r="L27" i="2"/>
  <c r="J230" i="3" s="1"/>
  <c r="M27" i="2"/>
  <c r="I28" i="2"/>
  <c r="G86" i="3" s="1"/>
  <c r="J28" i="2"/>
  <c r="H86" i="3" s="1"/>
  <c r="K28" i="2"/>
  <c r="I86" i="3" s="1"/>
  <c r="L28" i="2"/>
  <c r="J86" i="3" s="1"/>
  <c r="M28" i="2"/>
  <c r="I29" i="2"/>
  <c r="G571" i="3" s="1"/>
  <c r="J29" i="2"/>
  <c r="H571" i="3" s="1"/>
  <c r="K29" i="2"/>
  <c r="I571" i="3" s="1"/>
  <c r="L29" i="2"/>
  <c r="J571" i="3" s="1"/>
  <c r="M29" i="2"/>
  <c r="I30" i="2"/>
  <c r="G565" i="3" s="1"/>
  <c r="J30" i="2"/>
  <c r="H565" i="3" s="1"/>
  <c r="K30" i="2"/>
  <c r="I565" i="3" s="1"/>
  <c r="L30" i="2"/>
  <c r="J565" i="3" s="1"/>
  <c r="M30" i="2"/>
  <c r="I31" i="2"/>
  <c r="G39" i="3" s="1"/>
  <c r="J31" i="2"/>
  <c r="H39" i="3" s="1"/>
  <c r="K31" i="2"/>
  <c r="I39" i="3" s="1"/>
  <c r="L31" i="2"/>
  <c r="J39" i="3" s="1"/>
  <c r="M31" i="2"/>
  <c r="I32" i="2"/>
  <c r="G424" i="3" s="1"/>
  <c r="J32" i="2"/>
  <c r="H424" i="3" s="1"/>
  <c r="K32" i="2"/>
  <c r="I424" i="3" s="1"/>
  <c r="L32" i="2"/>
  <c r="J424" i="3" s="1"/>
  <c r="M32" i="2"/>
  <c r="I33" i="2"/>
  <c r="G328" i="3" s="1"/>
  <c r="J33" i="2"/>
  <c r="H328" i="3" s="1"/>
  <c r="K33" i="2"/>
  <c r="I328" i="3" s="1"/>
  <c r="L33" i="2"/>
  <c r="J328" i="3" s="1"/>
  <c r="M33" i="2"/>
  <c r="I34" i="2"/>
  <c r="G356" i="3" s="1"/>
  <c r="J34" i="2"/>
  <c r="H356" i="3" s="1"/>
  <c r="K34" i="2"/>
  <c r="I356" i="3" s="1"/>
  <c r="L34" i="2"/>
  <c r="J356" i="3" s="1"/>
  <c r="M34" i="2"/>
  <c r="I35" i="2"/>
  <c r="G604" i="3" s="1"/>
  <c r="J35" i="2"/>
  <c r="H604" i="3" s="1"/>
  <c r="K35" i="2"/>
  <c r="I604" i="3" s="1"/>
  <c r="L35" i="2"/>
  <c r="J604" i="3" s="1"/>
  <c r="M35" i="2"/>
  <c r="I36" i="2"/>
  <c r="G232" i="3" s="1"/>
  <c r="J36" i="2"/>
  <c r="H232" i="3" s="1"/>
  <c r="K36" i="2"/>
  <c r="I232" i="3" s="1"/>
  <c r="L36" i="2"/>
  <c r="J232" i="3" s="1"/>
  <c r="M36" i="2"/>
  <c r="I37" i="2"/>
  <c r="G431" i="3" s="1"/>
  <c r="J37" i="2"/>
  <c r="H431" i="3" s="1"/>
  <c r="K37" i="2"/>
  <c r="I431" i="3" s="1"/>
  <c r="L37" i="2"/>
  <c r="J431" i="3" s="1"/>
  <c r="M37" i="2"/>
  <c r="I38" i="2"/>
  <c r="G236" i="3" s="1"/>
  <c r="J38" i="2"/>
  <c r="H236" i="3" s="1"/>
  <c r="K38" i="2"/>
  <c r="I236" i="3" s="1"/>
  <c r="L38" i="2"/>
  <c r="J236" i="3" s="1"/>
  <c r="M38" i="2"/>
  <c r="I39" i="2"/>
  <c r="G445" i="3" s="1"/>
  <c r="J39" i="2"/>
  <c r="H445" i="3" s="1"/>
  <c r="K39" i="2"/>
  <c r="I445" i="3" s="1"/>
  <c r="L39" i="2"/>
  <c r="J445" i="3" s="1"/>
  <c r="M39" i="2"/>
  <c r="I40" i="2"/>
  <c r="G419" i="3" s="1"/>
  <c r="J40" i="2"/>
  <c r="H419" i="3" s="1"/>
  <c r="K40" i="2"/>
  <c r="I419" i="3" s="1"/>
  <c r="L40" i="2"/>
  <c r="J419" i="3" s="1"/>
  <c r="M40" i="2"/>
  <c r="I41" i="2"/>
  <c r="J41" i="2"/>
  <c r="K41" i="2"/>
  <c r="L41" i="2"/>
  <c r="M41" i="2"/>
  <c r="I42" i="2"/>
  <c r="G73" i="3" s="1"/>
  <c r="J42" i="2"/>
  <c r="H73" i="3" s="1"/>
  <c r="K42" i="2"/>
  <c r="I73" i="3" s="1"/>
  <c r="L42" i="2"/>
  <c r="J73" i="3" s="1"/>
  <c r="M42" i="2"/>
  <c r="I43" i="2"/>
  <c r="G240" i="3" s="1"/>
  <c r="J43" i="2"/>
  <c r="H240" i="3" s="1"/>
  <c r="K43" i="2"/>
  <c r="I240" i="3" s="1"/>
  <c r="L43" i="2"/>
  <c r="J240" i="3" s="1"/>
  <c r="M43" i="2"/>
  <c r="I44" i="2"/>
  <c r="G380" i="3" s="1"/>
  <c r="J44" i="2"/>
  <c r="H380" i="3" s="1"/>
  <c r="K44" i="2"/>
  <c r="I380" i="3" s="1"/>
  <c r="L44" i="2"/>
  <c r="J380" i="3" s="1"/>
  <c r="M44" i="2"/>
  <c r="I45" i="2"/>
  <c r="G496" i="3" s="1"/>
  <c r="J45" i="2"/>
  <c r="H496" i="3" s="1"/>
  <c r="K45" i="2"/>
  <c r="I496" i="3" s="1"/>
  <c r="L45" i="2"/>
  <c r="J496" i="3" s="1"/>
  <c r="M45" i="2"/>
  <c r="I46" i="2"/>
  <c r="G487" i="3" s="1"/>
  <c r="J46" i="2"/>
  <c r="H487" i="3" s="1"/>
  <c r="K46" i="2"/>
  <c r="I487" i="3" s="1"/>
  <c r="L46" i="2"/>
  <c r="J487" i="3" s="1"/>
  <c r="M46" i="2"/>
  <c r="I47" i="2"/>
  <c r="G294" i="3" s="1"/>
  <c r="J47" i="2"/>
  <c r="H294" i="3" s="1"/>
  <c r="K47" i="2"/>
  <c r="I294" i="3" s="1"/>
  <c r="L47" i="2"/>
  <c r="J294" i="3" s="1"/>
  <c r="M47" i="2"/>
  <c r="I48" i="2"/>
  <c r="G315" i="3" s="1"/>
  <c r="J48" i="2"/>
  <c r="H315" i="3" s="1"/>
  <c r="K48" i="2"/>
  <c r="I315" i="3" s="1"/>
  <c r="L48" i="2"/>
  <c r="J315" i="3" s="1"/>
  <c r="M48" i="2"/>
  <c r="I49" i="2"/>
  <c r="G611" i="3" s="1"/>
  <c r="J49" i="2"/>
  <c r="H611" i="3" s="1"/>
  <c r="K49" i="2"/>
  <c r="I611" i="3" s="1"/>
  <c r="L49" i="2"/>
  <c r="J611" i="3" s="1"/>
  <c r="M49" i="2"/>
  <c r="I50" i="2"/>
  <c r="G169" i="3" s="1"/>
  <c r="J50" i="2"/>
  <c r="H169" i="3" s="1"/>
  <c r="K50" i="2"/>
  <c r="I169" i="3" s="1"/>
  <c r="L50" i="2"/>
  <c r="J169" i="3" s="1"/>
  <c r="M50" i="2"/>
  <c r="I51" i="2"/>
  <c r="G436" i="3" s="1"/>
  <c r="J51" i="2"/>
  <c r="H436" i="3" s="1"/>
  <c r="K51" i="2"/>
  <c r="I436" i="3" s="1"/>
  <c r="L51" i="2"/>
  <c r="J436" i="3" s="1"/>
  <c r="M51" i="2"/>
  <c r="I52" i="2"/>
  <c r="G464" i="3" s="1"/>
  <c r="J52" i="2"/>
  <c r="H464" i="3" s="1"/>
  <c r="K52" i="2"/>
  <c r="I464" i="3" s="1"/>
  <c r="L52" i="2"/>
  <c r="J464" i="3" s="1"/>
  <c r="M52" i="2"/>
  <c r="I53" i="2"/>
  <c r="G20" i="3" s="1"/>
  <c r="J53" i="2"/>
  <c r="H20" i="3" s="1"/>
  <c r="K53" i="2"/>
  <c r="I20" i="3" s="1"/>
  <c r="L53" i="2"/>
  <c r="J20" i="3" s="1"/>
  <c r="M53" i="2"/>
  <c r="I54" i="2"/>
  <c r="G534" i="3" s="1"/>
  <c r="J54" i="2"/>
  <c r="H534" i="3" s="1"/>
  <c r="K54" i="2"/>
  <c r="I534" i="3" s="1"/>
  <c r="L54" i="2"/>
  <c r="J534" i="3" s="1"/>
  <c r="M54" i="2"/>
  <c r="I55" i="2"/>
  <c r="G520" i="3" s="1"/>
  <c r="J55" i="2"/>
  <c r="H520" i="3" s="1"/>
  <c r="K55" i="2"/>
  <c r="I520" i="3" s="1"/>
  <c r="L55" i="2"/>
  <c r="J520" i="3" s="1"/>
  <c r="M55" i="2"/>
  <c r="I56" i="2"/>
  <c r="G362" i="3" s="1"/>
  <c r="J56" i="2"/>
  <c r="H362" i="3" s="1"/>
  <c r="K56" i="2"/>
  <c r="I362" i="3" s="1"/>
  <c r="L56" i="2"/>
  <c r="J362" i="3" s="1"/>
  <c r="M56" i="2"/>
  <c r="I57" i="2"/>
  <c r="G483" i="3" s="1"/>
  <c r="J57" i="2"/>
  <c r="H483" i="3" s="1"/>
  <c r="K57" i="2"/>
  <c r="I483" i="3" s="1"/>
  <c r="L57" i="2"/>
  <c r="J483" i="3" s="1"/>
  <c r="M57" i="2"/>
  <c r="I58" i="2"/>
  <c r="G221" i="3" s="1"/>
  <c r="J58" i="2"/>
  <c r="H221" i="3" s="1"/>
  <c r="K58" i="2"/>
  <c r="I221" i="3" s="1"/>
  <c r="L58" i="2"/>
  <c r="J221" i="3" s="1"/>
  <c r="M58" i="2"/>
  <c r="I59" i="2"/>
  <c r="G77" i="3" s="1"/>
  <c r="J59" i="2"/>
  <c r="H77" i="3" s="1"/>
  <c r="K59" i="2"/>
  <c r="I77" i="3" s="1"/>
  <c r="L59" i="2"/>
  <c r="J77" i="3" s="1"/>
  <c r="M59" i="2"/>
  <c r="I60" i="2"/>
  <c r="G316" i="3" s="1"/>
  <c r="J60" i="2"/>
  <c r="H316" i="3" s="1"/>
  <c r="K60" i="2"/>
  <c r="I316" i="3" s="1"/>
  <c r="L60" i="2"/>
  <c r="J316" i="3" s="1"/>
  <c r="M60" i="2"/>
  <c r="I61" i="2"/>
  <c r="G590" i="3" s="1"/>
  <c r="J61" i="2"/>
  <c r="H590" i="3" s="1"/>
  <c r="K61" i="2"/>
  <c r="I590" i="3" s="1"/>
  <c r="L61" i="2"/>
  <c r="J590" i="3" s="1"/>
  <c r="M61" i="2"/>
  <c r="I62" i="2"/>
  <c r="G512" i="3" s="1"/>
  <c r="J62" i="2"/>
  <c r="H512" i="3" s="1"/>
  <c r="K62" i="2"/>
  <c r="I512" i="3" s="1"/>
  <c r="L62" i="2"/>
  <c r="J512" i="3" s="1"/>
  <c r="M62" i="2"/>
  <c r="I63" i="2"/>
  <c r="G162" i="3" s="1"/>
  <c r="J63" i="2"/>
  <c r="H162" i="3" s="1"/>
  <c r="K63" i="2"/>
  <c r="I162" i="3" s="1"/>
  <c r="L63" i="2"/>
  <c r="J162" i="3" s="1"/>
  <c r="M63" i="2"/>
  <c r="I64" i="2"/>
  <c r="G422" i="3" s="1"/>
  <c r="J64" i="2"/>
  <c r="H422" i="3" s="1"/>
  <c r="K64" i="2"/>
  <c r="I422" i="3" s="1"/>
  <c r="L64" i="2"/>
  <c r="J422" i="3" s="1"/>
  <c r="M64" i="2"/>
  <c r="I65" i="2"/>
  <c r="G103" i="3" s="1"/>
  <c r="J65" i="2"/>
  <c r="H103" i="3" s="1"/>
  <c r="K65" i="2"/>
  <c r="I103" i="3" s="1"/>
  <c r="L65" i="2"/>
  <c r="J103" i="3" s="1"/>
  <c r="M65" i="2"/>
  <c r="I66" i="2"/>
  <c r="G123" i="3" s="1"/>
  <c r="J66" i="2"/>
  <c r="H123" i="3" s="1"/>
  <c r="K66" i="2"/>
  <c r="I123" i="3" s="1"/>
  <c r="L66" i="2"/>
  <c r="J123" i="3" s="1"/>
  <c r="M66" i="2"/>
  <c r="I67" i="2"/>
  <c r="G581" i="3" s="1"/>
  <c r="J67" i="2"/>
  <c r="H581" i="3" s="1"/>
  <c r="K67" i="2"/>
  <c r="I581" i="3" s="1"/>
  <c r="L67" i="2"/>
  <c r="J581" i="3" s="1"/>
  <c r="M67" i="2"/>
  <c r="I68" i="2"/>
  <c r="G108" i="3" s="1"/>
  <c r="J68" i="2"/>
  <c r="H108" i="3" s="1"/>
  <c r="K68" i="2"/>
  <c r="I108" i="3" s="1"/>
  <c r="L68" i="2"/>
  <c r="J108" i="3" s="1"/>
  <c r="M68" i="2"/>
  <c r="I69" i="2"/>
  <c r="G494" i="3" s="1"/>
  <c r="J69" i="2"/>
  <c r="H494" i="3" s="1"/>
  <c r="K69" i="2"/>
  <c r="I494" i="3" s="1"/>
  <c r="L69" i="2"/>
  <c r="J494" i="3" s="1"/>
  <c r="M69" i="2"/>
  <c r="I70" i="2"/>
  <c r="G198" i="3" s="1"/>
  <c r="J70" i="2"/>
  <c r="H198" i="3" s="1"/>
  <c r="K70" i="2"/>
  <c r="I198" i="3" s="1"/>
  <c r="L70" i="2"/>
  <c r="J198" i="3" s="1"/>
  <c r="M70" i="2"/>
  <c r="I71" i="2"/>
  <c r="G390" i="3" s="1"/>
  <c r="J71" i="2"/>
  <c r="H390" i="3" s="1"/>
  <c r="K71" i="2"/>
  <c r="I390" i="3" s="1"/>
  <c r="L71" i="2"/>
  <c r="J390" i="3" s="1"/>
  <c r="M71" i="2"/>
  <c r="I72" i="2"/>
  <c r="G274" i="3" s="1"/>
  <c r="J72" i="2"/>
  <c r="H274" i="3" s="1"/>
  <c r="K72" i="2"/>
  <c r="I274" i="3" s="1"/>
  <c r="L72" i="2"/>
  <c r="J274" i="3" s="1"/>
  <c r="M72" i="2"/>
  <c r="I73" i="2"/>
  <c r="G559" i="3" s="1"/>
  <c r="J73" i="2"/>
  <c r="H559" i="3" s="1"/>
  <c r="K73" i="2"/>
  <c r="I559" i="3" s="1"/>
  <c r="L73" i="2"/>
  <c r="J559" i="3" s="1"/>
  <c r="M73" i="2"/>
  <c r="I74" i="2"/>
  <c r="G255" i="3" s="1"/>
  <c r="J74" i="2"/>
  <c r="H255" i="3" s="1"/>
  <c r="K74" i="2"/>
  <c r="I255" i="3" s="1"/>
  <c r="L74" i="2"/>
  <c r="J255" i="3" s="1"/>
  <c r="M74" i="2"/>
  <c r="I75" i="2"/>
  <c r="G42" i="3" s="1"/>
  <c r="J75" i="2"/>
  <c r="H42" i="3" s="1"/>
  <c r="K75" i="2"/>
  <c r="I42" i="3" s="1"/>
  <c r="L75" i="2"/>
  <c r="J42" i="3" s="1"/>
  <c r="M75" i="2"/>
  <c r="I76" i="2"/>
  <c r="G597" i="3" s="1"/>
  <c r="J76" i="2"/>
  <c r="H597" i="3" s="1"/>
  <c r="K76" i="2"/>
  <c r="I597" i="3" s="1"/>
  <c r="L76" i="2"/>
  <c r="J597" i="3" s="1"/>
  <c r="M76" i="2"/>
  <c r="I77" i="2"/>
  <c r="G79" i="3" s="1"/>
  <c r="J77" i="2"/>
  <c r="H79" i="3" s="1"/>
  <c r="K77" i="2"/>
  <c r="I79" i="3" s="1"/>
  <c r="L77" i="2"/>
  <c r="J79" i="3" s="1"/>
  <c r="M77" i="2"/>
  <c r="I78" i="2"/>
  <c r="G182" i="3" s="1"/>
  <c r="J78" i="2"/>
  <c r="H182" i="3" s="1"/>
  <c r="K78" i="2"/>
  <c r="I182" i="3" s="1"/>
  <c r="L78" i="2"/>
  <c r="J182" i="3" s="1"/>
  <c r="M78" i="2"/>
  <c r="I79" i="2"/>
  <c r="G22" i="3" s="1"/>
  <c r="J79" i="2"/>
  <c r="H22" i="3" s="1"/>
  <c r="K79" i="2"/>
  <c r="I22" i="3" s="1"/>
  <c r="L79" i="2"/>
  <c r="J22" i="3" s="1"/>
  <c r="M79" i="2"/>
  <c r="I80" i="2"/>
  <c r="G577" i="3" s="1"/>
  <c r="J80" i="2"/>
  <c r="H577" i="3" s="1"/>
  <c r="K80" i="2"/>
  <c r="I577" i="3" s="1"/>
  <c r="L80" i="2"/>
  <c r="J577" i="3" s="1"/>
  <c r="M80" i="2"/>
  <c r="I81" i="2"/>
  <c r="G226" i="3" s="1"/>
  <c r="J81" i="2"/>
  <c r="H226" i="3" s="1"/>
  <c r="K81" i="2"/>
  <c r="I226" i="3" s="1"/>
  <c r="L81" i="2"/>
  <c r="J226" i="3" s="1"/>
  <c r="M81" i="2"/>
  <c r="I82" i="2"/>
  <c r="G271" i="3" s="1"/>
  <c r="J82" i="2"/>
  <c r="H271" i="3" s="1"/>
  <c r="K82" i="2"/>
  <c r="I271" i="3" s="1"/>
  <c r="L82" i="2"/>
  <c r="J271" i="3" s="1"/>
  <c r="M82" i="2"/>
  <c r="I83" i="2"/>
  <c r="G508" i="3" s="1"/>
  <c r="J83" i="2"/>
  <c r="H508" i="3" s="1"/>
  <c r="K83" i="2"/>
  <c r="I508" i="3" s="1"/>
  <c r="L83" i="2"/>
  <c r="J508" i="3" s="1"/>
  <c r="M83" i="2"/>
  <c r="I84" i="2"/>
  <c r="G95" i="3" s="1"/>
  <c r="J84" i="2"/>
  <c r="H95" i="3" s="1"/>
  <c r="K84" i="2"/>
  <c r="I95" i="3" s="1"/>
  <c r="L84" i="2"/>
  <c r="J95" i="3" s="1"/>
  <c r="M84" i="2"/>
  <c r="I85" i="2"/>
  <c r="G557" i="3" s="1"/>
  <c r="J85" i="2"/>
  <c r="H557" i="3" s="1"/>
  <c r="K85" i="2"/>
  <c r="I557" i="3" s="1"/>
  <c r="L85" i="2"/>
  <c r="J557" i="3" s="1"/>
  <c r="M85" i="2"/>
  <c r="I86" i="2"/>
  <c r="G72" i="3" s="1"/>
  <c r="J86" i="2"/>
  <c r="H72" i="3" s="1"/>
  <c r="K86" i="2"/>
  <c r="I72" i="3" s="1"/>
  <c r="L86" i="2"/>
  <c r="J72" i="3" s="1"/>
  <c r="M86" i="2"/>
  <c r="I87" i="2"/>
  <c r="G302" i="3" s="1"/>
  <c r="J87" i="2"/>
  <c r="H302" i="3" s="1"/>
  <c r="K87" i="2"/>
  <c r="I302" i="3" s="1"/>
  <c r="L87" i="2"/>
  <c r="J302" i="3" s="1"/>
  <c r="M87" i="2"/>
  <c r="I88" i="2"/>
  <c r="G524" i="3" s="1"/>
  <c r="J88" i="2"/>
  <c r="H524" i="3" s="1"/>
  <c r="K88" i="2"/>
  <c r="I524" i="3" s="1"/>
  <c r="L88" i="2"/>
  <c r="J524" i="3" s="1"/>
  <c r="M88" i="2"/>
  <c r="I89" i="2"/>
  <c r="G484" i="3" s="1"/>
  <c r="J89" i="2"/>
  <c r="H484" i="3" s="1"/>
  <c r="K89" i="2"/>
  <c r="I484" i="3" s="1"/>
  <c r="L89" i="2"/>
  <c r="J484" i="3" s="1"/>
  <c r="M89" i="2"/>
  <c r="I90" i="2"/>
  <c r="G429" i="3" s="1"/>
  <c r="J90" i="2"/>
  <c r="H429" i="3" s="1"/>
  <c r="K90" i="2"/>
  <c r="I429" i="3" s="1"/>
  <c r="L90" i="2"/>
  <c r="J429" i="3" s="1"/>
  <c r="M90" i="2"/>
  <c r="I91" i="2"/>
  <c r="G199" i="3" s="1"/>
  <c r="J91" i="2"/>
  <c r="H199" i="3" s="1"/>
  <c r="K91" i="2"/>
  <c r="I199" i="3" s="1"/>
  <c r="L91" i="2"/>
  <c r="J199" i="3" s="1"/>
  <c r="M91" i="2"/>
  <c r="I92" i="2"/>
  <c r="G118" i="3" s="1"/>
  <c r="J92" i="2"/>
  <c r="H118" i="3" s="1"/>
  <c r="K92" i="2"/>
  <c r="I118" i="3" s="1"/>
  <c r="L92" i="2"/>
  <c r="J118" i="3" s="1"/>
  <c r="M92" i="2"/>
  <c r="I93" i="2"/>
  <c r="G67" i="3" s="1"/>
  <c r="J93" i="2"/>
  <c r="H67" i="3" s="1"/>
  <c r="K93" i="2"/>
  <c r="I67" i="3" s="1"/>
  <c r="L93" i="2"/>
  <c r="J67" i="3" s="1"/>
  <c r="M93" i="2"/>
  <c r="I94" i="2"/>
  <c r="G188" i="3" s="1"/>
  <c r="J94" i="2"/>
  <c r="H188" i="3" s="1"/>
  <c r="K94" i="2"/>
  <c r="I188" i="3" s="1"/>
  <c r="L94" i="2"/>
  <c r="J188" i="3" s="1"/>
  <c r="M94" i="2"/>
  <c r="I95" i="2"/>
  <c r="G81" i="3" s="1"/>
  <c r="J95" i="2"/>
  <c r="H81" i="3" s="1"/>
  <c r="K95" i="2"/>
  <c r="I81" i="3" s="1"/>
  <c r="L95" i="2"/>
  <c r="J81" i="3" s="1"/>
  <c r="M95" i="2"/>
  <c r="I96" i="2"/>
  <c r="G550" i="3" s="1"/>
  <c r="J96" i="2"/>
  <c r="H550" i="3" s="1"/>
  <c r="K96" i="2"/>
  <c r="I550" i="3" s="1"/>
  <c r="L96" i="2"/>
  <c r="J550" i="3" s="1"/>
  <c r="M96" i="2"/>
  <c r="I97" i="2"/>
  <c r="G216" i="3" s="1"/>
  <c r="J97" i="2"/>
  <c r="H216" i="3" s="1"/>
  <c r="K97" i="2"/>
  <c r="I216" i="3" s="1"/>
  <c r="L97" i="2"/>
  <c r="J216" i="3" s="1"/>
  <c r="M97" i="2"/>
  <c r="I98" i="2"/>
  <c r="G411" i="3" s="1"/>
  <c r="J98" i="2"/>
  <c r="H411" i="3" s="1"/>
  <c r="K98" i="2"/>
  <c r="I411" i="3" s="1"/>
  <c r="L98" i="2"/>
  <c r="J411" i="3" s="1"/>
  <c r="M98" i="2"/>
  <c r="I99" i="2"/>
  <c r="G47" i="3" s="1"/>
  <c r="J99" i="2"/>
  <c r="H47" i="3" s="1"/>
  <c r="K99" i="2"/>
  <c r="I47" i="3" s="1"/>
  <c r="L99" i="2"/>
  <c r="J47" i="3" s="1"/>
  <c r="M99" i="2"/>
  <c r="I100" i="2"/>
  <c r="G58" i="3" s="1"/>
  <c r="J100" i="2"/>
  <c r="H58" i="3" s="1"/>
  <c r="K100" i="2"/>
  <c r="I58" i="3" s="1"/>
  <c r="L100" i="2"/>
  <c r="J58" i="3" s="1"/>
  <c r="M100" i="2"/>
  <c r="I101" i="2"/>
  <c r="G13" i="3" s="1"/>
  <c r="J101" i="2"/>
  <c r="H13" i="3" s="1"/>
  <c r="K101" i="2"/>
  <c r="I13" i="3" s="1"/>
  <c r="L101" i="2"/>
  <c r="J13" i="3" s="1"/>
  <c r="M101" i="2"/>
  <c r="I102" i="2"/>
  <c r="G351" i="3" s="1"/>
  <c r="J102" i="2"/>
  <c r="H351" i="3" s="1"/>
  <c r="K102" i="2"/>
  <c r="I351" i="3" s="1"/>
  <c r="L102" i="2"/>
  <c r="J351" i="3" s="1"/>
  <c r="M102" i="2"/>
  <c r="I103" i="2"/>
  <c r="G539" i="3" s="1"/>
  <c r="J103" i="2"/>
  <c r="H539" i="3" s="1"/>
  <c r="K103" i="2"/>
  <c r="I539" i="3" s="1"/>
  <c r="L103" i="2"/>
  <c r="J539" i="3" s="1"/>
  <c r="M103" i="2"/>
  <c r="I104" i="2"/>
  <c r="G586" i="3" s="1"/>
  <c r="J104" i="2"/>
  <c r="H586" i="3" s="1"/>
  <c r="K104" i="2"/>
  <c r="I586" i="3" s="1"/>
  <c r="L104" i="2"/>
  <c r="J586" i="3" s="1"/>
  <c r="M104" i="2"/>
  <c r="I105" i="2"/>
  <c r="G333" i="3" s="1"/>
  <c r="J105" i="2"/>
  <c r="H333" i="3" s="1"/>
  <c r="K105" i="2"/>
  <c r="I333" i="3" s="1"/>
  <c r="L105" i="2"/>
  <c r="J333" i="3" s="1"/>
  <c r="M105" i="2"/>
  <c r="I106" i="2"/>
  <c r="G149" i="3" s="1"/>
  <c r="J106" i="2"/>
  <c r="H149" i="3" s="1"/>
  <c r="K106" i="2"/>
  <c r="I149" i="3" s="1"/>
  <c r="L106" i="2"/>
  <c r="J149" i="3" s="1"/>
  <c r="M106" i="2"/>
  <c r="I107" i="2"/>
  <c r="G461" i="3" s="1"/>
  <c r="J107" i="2"/>
  <c r="H461" i="3" s="1"/>
  <c r="K107" i="2"/>
  <c r="I461" i="3" s="1"/>
  <c r="L107" i="2"/>
  <c r="J461" i="3" s="1"/>
  <c r="M107" i="2"/>
  <c r="I108" i="2"/>
  <c r="G418" i="3" s="1"/>
  <c r="J108" i="2"/>
  <c r="H418" i="3" s="1"/>
  <c r="K108" i="2"/>
  <c r="I418" i="3" s="1"/>
  <c r="L108" i="2"/>
  <c r="J418" i="3" s="1"/>
  <c r="M108" i="2"/>
  <c r="I109" i="2"/>
  <c r="G536" i="3" s="1"/>
  <c r="J109" i="2"/>
  <c r="H536" i="3" s="1"/>
  <c r="K109" i="2"/>
  <c r="I536" i="3" s="1"/>
  <c r="L109" i="2"/>
  <c r="J536" i="3" s="1"/>
  <c r="M109" i="2"/>
  <c r="I110" i="2"/>
  <c r="G19" i="3" s="1"/>
  <c r="J110" i="2"/>
  <c r="H19" i="3" s="1"/>
  <c r="K110" i="2"/>
  <c r="I19" i="3" s="1"/>
  <c r="L110" i="2"/>
  <c r="J19" i="3" s="1"/>
  <c r="M110" i="2"/>
  <c r="I111" i="2"/>
  <c r="G31" i="3" s="1"/>
  <c r="J111" i="2"/>
  <c r="H31" i="3" s="1"/>
  <c r="K111" i="2"/>
  <c r="I31" i="3" s="1"/>
  <c r="L111" i="2"/>
  <c r="J31" i="3" s="1"/>
  <c r="M111" i="2"/>
  <c r="I112" i="2"/>
  <c r="G451" i="3" s="1"/>
  <c r="J112" i="2"/>
  <c r="H451" i="3" s="1"/>
  <c r="K112" i="2"/>
  <c r="I451" i="3" s="1"/>
  <c r="L112" i="2"/>
  <c r="J451" i="3" s="1"/>
  <c r="M112" i="2"/>
  <c r="I113" i="2"/>
  <c r="G287" i="3" s="1"/>
  <c r="J113" i="2"/>
  <c r="H287" i="3" s="1"/>
  <c r="K113" i="2"/>
  <c r="I287" i="3" s="1"/>
  <c r="L113" i="2"/>
  <c r="J287" i="3" s="1"/>
  <c r="M113" i="2"/>
  <c r="I114" i="2"/>
  <c r="G53" i="3" s="1"/>
  <c r="J114" i="2"/>
  <c r="H53" i="3" s="1"/>
  <c r="K114" i="2"/>
  <c r="I53" i="3" s="1"/>
  <c r="L114" i="2"/>
  <c r="J53" i="3" s="1"/>
  <c r="M114" i="2"/>
  <c r="I115" i="2"/>
  <c r="G129" i="3" s="1"/>
  <c r="J115" i="2"/>
  <c r="H129" i="3" s="1"/>
  <c r="K115" i="2"/>
  <c r="I129" i="3" s="1"/>
  <c r="L115" i="2"/>
  <c r="J129" i="3" s="1"/>
  <c r="M115" i="2"/>
  <c r="I116" i="2"/>
  <c r="G235" i="3" s="1"/>
  <c r="J116" i="2"/>
  <c r="H235" i="3" s="1"/>
  <c r="K116" i="2"/>
  <c r="I235" i="3" s="1"/>
  <c r="L116" i="2"/>
  <c r="J235" i="3" s="1"/>
  <c r="M116" i="2"/>
  <c r="I117" i="2"/>
  <c r="G100" i="3" s="1"/>
  <c r="J117" i="2"/>
  <c r="H100" i="3" s="1"/>
  <c r="K117" i="2"/>
  <c r="I100" i="3" s="1"/>
  <c r="L117" i="2"/>
  <c r="J100" i="3" s="1"/>
  <c r="M117" i="2"/>
  <c r="I118" i="2"/>
  <c r="G140" i="3" s="1"/>
  <c r="J118" i="2"/>
  <c r="H140" i="3" s="1"/>
  <c r="K118" i="2"/>
  <c r="I140" i="3" s="1"/>
  <c r="L118" i="2"/>
  <c r="J140" i="3" s="1"/>
  <c r="M118" i="2"/>
  <c r="I119" i="2"/>
  <c r="G296" i="3" s="1"/>
  <c r="J119" i="2"/>
  <c r="H296" i="3" s="1"/>
  <c r="K119" i="2"/>
  <c r="I296" i="3" s="1"/>
  <c r="L119" i="2"/>
  <c r="J296" i="3" s="1"/>
  <c r="M119" i="2"/>
  <c r="I120" i="2"/>
  <c r="G116" i="3" s="1"/>
  <c r="J120" i="2"/>
  <c r="H116" i="3" s="1"/>
  <c r="K120" i="2"/>
  <c r="I116" i="3" s="1"/>
  <c r="L120" i="2"/>
  <c r="J116" i="3" s="1"/>
  <c r="M120" i="2"/>
  <c r="I121" i="2"/>
  <c r="G203" i="3" s="1"/>
  <c r="J121" i="2"/>
  <c r="H203" i="3" s="1"/>
  <c r="K121" i="2"/>
  <c r="I203" i="3" s="1"/>
  <c r="L121" i="2"/>
  <c r="J203" i="3" s="1"/>
  <c r="M121" i="2"/>
  <c r="I122" i="2"/>
  <c r="G186" i="3" s="1"/>
  <c r="J122" i="2"/>
  <c r="H186" i="3" s="1"/>
  <c r="K122" i="2"/>
  <c r="I186" i="3" s="1"/>
  <c r="L122" i="2"/>
  <c r="J186" i="3" s="1"/>
  <c r="M122" i="2"/>
  <c r="I123" i="2"/>
  <c r="G498" i="3" s="1"/>
  <c r="J123" i="2"/>
  <c r="H498" i="3" s="1"/>
  <c r="K123" i="2"/>
  <c r="I498" i="3" s="1"/>
  <c r="L123" i="2"/>
  <c r="J498" i="3" s="1"/>
  <c r="M123" i="2"/>
  <c r="I124" i="2"/>
  <c r="G348" i="3" s="1"/>
  <c r="J124" i="2"/>
  <c r="H348" i="3" s="1"/>
  <c r="K124" i="2"/>
  <c r="I348" i="3" s="1"/>
  <c r="L124" i="2"/>
  <c r="J348" i="3" s="1"/>
  <c r="M124" i="2"/>
  <c r="I125" i="2"/>
  <c r="G104" i="3" s="1"/>
  <c r="J125" i="2"/>
  <c r="H104" i="3" s="1"/>
  <c r="K125" i="2"/>
  <c r="I104" i="3" s="1"/>
  <c r="L125" i="2"/>
  <c r="J104" i="3" s="1"/>
  <c r="M125" i="2"/>
  <c r="I126" i="2"/>
  <c r="G314" i="3" s="1"/>
  <c r="J126" i="2"/>
  <c r="H314" i="3" s="1"/>
  <c r="K126" i="2"/>
  <c r="I314" i="3" s="1"/>
  <c r="L126" i="2"/>
  <c r="J314" i="3" s="1"/>
  <c r="M126" i="2"/>
  <c r="I127" i="2"/>
  <c r="G553" i="3" s="1"/>
  <c r="J127" i="2"/>
  <c r="H553" i="3" s="1"/>
  <c r="K127" i="2"/>
  <c r="I553" i="3" s="1"/>
  <c r="L127" i="2"/>
  <c r="J553" i="3" s="1"/>
  <c r="M127" i="2"/>
  <c r="I128" i="2"/>
  <c r="G247" i="3" s="1"/>
  <c r="J128" i="2"/>
  <c r="H247" i="3" s="1"/>
  <c r="K128" i="2"/>
  <c r="I247" i="3" s="1"/>
  <c r="L128" i="2"/>
  <c r="J247" i="3" s="1"/>
  <c r="M128" i="2"/>
  <c r="I129" i="2"/>
  <c r="G258" i="3" s="1"/>
  <c r="J129" i="2"/>
  <c r="H258" i="3" s="1"/>
  <c r="K129" i="2"/>
  <c r="I258" i="3" s="1"/>
  <c r="L129" i="2"/>
  <c r="J258" i="3" s="1"/>
  <c r="M129" i="2"/>
  <c r="I130" i="2"/>
  <c r="G131" i="3" s="1"/>
  <c r="J130" i="2"/>
  <c r="H131" i="3" s="1"/>
  <c r="K130" i="2"/>
  <c r="I131" i="3" s="1"/>
  <c r="L130" i="2"/>
  <c r="J131" i="3" s="1"/>
  <c r="M130" i="2"/>
  <c r="I131" i="2"/>
  <c r="G467" i="3" s="1"/>
  <c r="J131" i="2"/>
  <c r="H467" i="3" s="1"/>
  <c r="K131" i="2"/>
  <c r="I467" i="3" s="1"/>
  <c r="L131" i="2"/>
  <c r="J467" i="3" s="1"/>
  <c r="M131" i="2"/>
  <c r="I132" i="2"/>
  <c r="G278" i="3" s="1"/>
  <c r="J132" i="2"/>
  <c r="H278" i="3" s="1"/>
  <c r="K132" i="2"/>
  <c r="I278" i="3" s="1"/>
  <c r="L132" i="2"/>
  <c r="J278" i="3" s="1"/>
  <c r="M132" i="2"/>
  <c r="I133" i="2"/>
  <c r="G136" i="3" s="1"/>
  <c r="J133" i="2"/>
  <c r="H136" i="3" s="1"/>
  <c r="K133" i="2"/>
  <c r="I136" i="3" s="1"/>
  <c r="L133" i="2"/>
  <c r="J136" i="3" s="1"/>
  <c r="M133" i="2"/>
  <c r="I134" i="2"/>
  <c r="G222" i="3" s="1"/>
  <c r="J134" i="2"/>
  <c r="H222" i="3" s="1"/>
  <c r="K134" i="2"/>
  <c r="I222" i="3" s="1"/>
  <c r="L134" i="2"/>
  <c r="J222" i="3" s="1"/>
  <c r="M134" i="2"/>
  <c r="I135" i="2"/>
  <c r="G148" i="3" s="1"/>
  <c r="J135" i="2"/>
  <c r="H148" i="3" s="1"/>
  <c r="K135" i="2"/>
  <c r="I148" i="3" s="1"/>
  <c r="L135" i="2"/>
  <c r="J148" i="3" s="1"/>
  <c r="M135" i="2"/>
  <c r="I136" i="2"/>
  <c r="G50" i="3" s="1"/>
  <c r="J136" i="2"/>
  <c r="H50" i="3" s="1"/>
  <c r="K136" i="2"/>
  <c r="I50" i="3" s="1"/>
  <c r="L136" i="2"/>
  <c r="J50" i="3" s="1"/>
  <c r="M136" i="2"/>
  <c r="I137" i="2"/>
  <c r="G224" i="3" s="1"/>
  <c r="J137" i="2"/>
  <c r="H224" i="3" s="1"/>
  <c r="K137" i="2"/>
  <c r="I224" i="3" s="1"/>
  <c r="L137" i="2"/>
  <c r="J224" i="3" s="1"/>
  <c r="M137" i="2"/>
  <c r="I138" i="2"/>
  <c r="G614" i="3" s="1"/>
  <c r="J138" i="2"/>
  <c r="H614" i="3" s="1"/>
  <c r="K138" i="2"/>
  <c r="I614" i="3" s="1"/>
  <c r="L138" i="2"/>
  <c r="J614" i="3" s="1"/>
  <c r="M138" i="2"/>
  <c r="I139" i="2"/>
  <c r="G357" i="3" s="1"/>
  <c r="J139" i="2"/>
  <c r="H357" i="3" s="1"/>
  <c r="K139" i="2"/>
  <c r="I357" i="3" s="1"/>
  <c r="L139" i="2"/>
  <c r="J357" i="3" s="1"/>
  <c r="M139" i="2"/>
  <c r="I140" i="2"/>
  <c r="G497" i="3" s="1"/>
  <c r="J140" i="2"/>
  <c r="H497" i="3" s="1"/>
  <c r="K140" i="2"/>
  <c r="I497" i="3" s="1"/>
  <c r="L140" i="2"/>
  <c r="J497" i="3" s="1"/>
  <c r="M140" i="2"/>
  <c r="I141" i="2"/>
  <c r="G382" i="3" s="1"/>
  <c r="J141" i="2"/>
  <c r="H382" i="3" s="1"/>
  <c r="K141" i="2"/>
  <c r="I382" i="3" s="1"/>
  <c r="L141" i="2"/>
  <c r="J382" i="3" s="1"/>
  <c r="M141" i="2"/>
  <c r="I142" i="2"/>
  <c r="G24" i="3" s="1"/>
  <c r="J142" i="2"/>
  <c r="H24" i="3" s="1"/>
  <c r="K142" i="2"/>
  <c r="I24" i="3" s="1"/>
  <c r="L142" i="2"/>
  <c r="J24" i="3" s="1"/>
  <c r="M142" i="2"/>
  <c r="I143" i="2"/>
  <c r="G3" i="3" s="1"/>
  <c r="J143" i="2"/>
  <c r="H3" i="3" s="1"/>
  <c r="K143" i="2"/>
  <c r="I3" i="3" s="1"/>
  <c r="L143" i="2"/>
  <c r="J3" i="3" s="1"/>
  <c r="M143" i="2"/>
  <c r="I144" i="2"/>
  <c r="G499" i="3" s="1"/>
  <c r="J144" i="2"/>
  <c r="H499" i="3" s="1"/>
  <c r="K144" i="2"/>
  <c r="I499" i="3" s="1"/>
  <c r="L144" i="2"/>
  <c r="J499" i="3" s="1"/>
  <c r="M144" i="2"/>
  <c r="I145" i="2"/>
  <c r="G337" i="3" s="1"/>
  <c r="J145" i="2"/>
  <c r="H337" i="3" s="1"/>
  <c r="K145" i="2"/>
  <c r="I337" i="3" s="1"/>
  <c r="L145" i="2"/>
  <c r="J337" i="3" s="1"/>
  <c r="M145" i="2"/>
  <c r="I146" i="2"/>
  <c r="G603" i="3" s="1"/>
  <c r="J146" i="2"/>
  <c r="H603" i="3" s="1"/>
  <c r="K146" i="2"/>
  <c r="I603" i="3" s="1"/>
  <c r="L146" i="2"/>
  <c r="J603" i="3" s="1"/>
  <c r="M146" i="2"/>
  <c r="I147" i="2"/>
  <c r="G210" i="3" s="1"/>
  <c r="J147" i="2"/>
  <c r="H210" i="3" s="1"/>
  <c r="K147" i="2"/>
  <c r="I210" i="3" s="1"/>
  <c r="L147" i="2"/>
  <c r="J210" i="3" s="1"/>
  <c r="M147" i="2"/>
  <c r="I148" i="2"/>
  <c r="G545" i="3" s="1"/>
  <c r="J148" i="2"/>
  <c r="H545" i="3" s="1"/>
  <c r="K148" i="2"/>
  <c r="I545" i="3" s="1"/>
  <c r="L148" i="2"/>
  <c r="J545" i="3" s="1"/>
  <c r="M148" i="2"/>
  <c r="I149" i="2"/>
  <c r="G46" i="3" s="1"/>
  <c r="J149" i="2"/>
  <c r="H46" i="3" s="1"/>
  <c r="K149" i="2"/>
  <c r="I46" i="3" s="1"/>
  <c r="L149" i="2"/>
  <c r="J46" i="3" s="1"/>
  <c r="M149" i="2"/>
  <c r="I150" i="2"/>
  <c r="G49" i="3" s="1"/>
  <c r="J150" i="2"/>
  <c r="H49" i="3" s="1"/>
  <c r="K150" i="2"/>
  <c r="I49" i="3" s="1"/>
  <c r="L150" i="2"/>
  <c r="J49" i="3" s="1"/>
  <c r="M150" i="2"/>
  <c r="I151" i="2"/>
  <c r="G523" i="3" s="1"/>
  <c r="J151" i="2"/>
  <c r="H523" i="3" s="1"/>
  <c r="K151" i="2"/>
  <c r="I523" i="3" s="1"/>
  <c r="L151" i="2"/>
  <c r="J523" i="3" s="1"/>
  <c r="M151" i="2"/>
  <c r="I152" i="2"/>
  <c r="G455" i="3" s="1"/>
  <c r="J152" i="2"/>
  <c r="H455" i="3" s="1"/>
  <c r="K152" i="2"/>
  <c r="I455" i="3" s="1"/>
  <c r="L152" i="2"/>
  <c r="J455" i="3" s="1"/>
  <c r="M152" i="2"/>
  <c r="I153" i="2"/>
  <c r="G376" i="3" s="1"/>
  <c r="J153" i="2"/>
  <c r="H376" i="3" s="1"/>
  <c r="K153" i="2"/>
  <c r="I376" i="3" s="1"/>
  <c r="L153" i="2"/>
  <c r="J376" i="3" s="1"/>
  <c r="M153" i="2"/>
  <c r="I154" i="2"/>
  <c r="G462" i="3" s="1"/>
  <c r="J154" i="2"/>
  <c r="H462" i="3" s="1"/>
  <c r="K154" i="2"/>
  <c r="I462" i="3" s="1"/>
  <c r="L154" i="2"/>
  <c r="J462" i="3" s="1"/>
  <c r="M154" i="2"/>
  <c r="I155" i="2"/>
  <c r="G178" i="3" s="1"/>
  <c r="J155" i="2"/>
  <c r="H178" i="3" s="1"/>
  <c r="K155" i="2"/>
  <c r="I178" i="3" s="1"/>
  <c r="L155" i="2"/>
  <c r="J178" i="3" s="1"/>
  <c r="M155" i="2"/>
  <c r="I156" i="2"/>
  <c r="G219" i="3" s="1"/>
  <c r="J156" i="2"/>
  <c r="H219" i="3" s="1"/>
  <c r="K156" i="2"/>
  <c r="I219" i="3" s="1"/>
  <c r="L156" i="2"/>
  <c r="J219" i="3" s="1"/>
  <c r="M156" i="2"/>
  <c r="I157" i="2"/>
  <c r="G200" i="3" s="1"/>
  <c r="J157" i="2"/>
  <c r="H200" i="3" s="1"/>
  <c r="K157" i="2"/>
  <c r="I200" i="3" s="1"/>
  <c r="L157" i="2"/>
  <c r="J200" i="3" s="1"/>
  <c r="M157" i="2"/>
  <c r="I158" i="2"/>
  <c r="G138" i="3" s="1"/>
  <c r="J158" i="2"/>
  <c r="H138" i="3" s="1"/>
  <c r="K158" i="2"/>
  <c r="I138" i="3" s="1"/>
  <c r="L158" i="2"/>
  <c r="J138" i="3" s="1"/>
  <c r="M158" i="2"/>
  <c r="I159" i="2"/>
  <c r="G374" i="3" s="1"/>
  <c r="J159" i="2"/>
  <c r="H374" i="3" s="1"/>
  <c r="K159" i="2"/>
  <c r="I374" i="3" s="1"/>
  <c r="L159" i="2"/>
  <c r="J374" i="3" s="1"/>
  <c r="M159" i="2"/>
  <c r="I160" i="2"/>
  <c r="G398" i="3" s="1"/>
  <c r="J160" i="2"/>
  <c r="H398" i="3" s="1"/>
  <c r="K160" i="2"/>
  <c r="I398" i="3" s="1"/>
  <c r="L160" i="2"/>
  <c r="J398" i="3" s="1"/>
  <c r="M160" i="2"/>
  <c r="I161" i="2"/>
  <c r="G476" i="3" s="1"/>
  <c r="J161" i="2"/>
  <c r="H476" i="3" s="1"/>
  <c r="K161" i="2"/>
  <c r="I476" i="3" s="1"/>
  <c r="L161" i="2"/>
  <c r="J476" i="3" s="1"/>
  <c r="M161" i="2"/>
  <c r="I162" i="2"/>
  <c r="G569" i="3" s="1"/>
  <c r="J162" i="2"/>
  <c r="H569" i="3" s="1"/>
  <c r="K162" i="2"/>
  <c r="I569" i="3" s="1"/>
  <c r="L162" i="2"/>
  <c r="J569" i="3" s="1"/>
  <c r="M162" i="2"/>
  <c r="I163" i="2"/>
  <c r="G134" i="3" s="1"/>
  <c r="J163" i="2"/>
  <c r="H134" i="3" s="1"/>
  <c r="K163" i="2"/>
  <c r="I134" i="3" s="1"/>
  <c r="L163" i="2"/>
  <c r="J134" i="3" s="1"/>
  <c r="M163" i="2"/>
  <c r="I164" i="2"/>
  <c r="G354" i="3" s="1"/>
  <c r="J164" i="2"/>
  <c r="H354" i="3" s="1"/>
  <c r="K164" i="2"/>
  <c r="I354" i="3" s="1"/>
  <c r="L164" i="2"/>
  <c r="J354" i="3" s="1"/>
  <c r="M164" i="2"/>
  <c r="I165" i="2"/>
  <c r="G388" i="3" s="1"/>
  <c r="J165" i="2"/>
  <c r="H388" i="3" s="1"/>
  <c r="K165" i="2"/>
  <c r="I388" i="3" s="1"/>
  <c r="L165" i="2"/>
  <c r="J388" i="3" s="1"/>
  <c r="M165" i="2"/>
  <c r="I166" i="2"/>
  <c r="G472" i="3" s="1"/>
  <c r="J166" i="2"/>
  <c r="H472" i="3" s="1"/>
  <c r="K166" i="2"/>
  <c r="I472" i="3" s="1"/>
  <c r="L166" i="2"/>
  <c r="J472" i="3" s="1"/>
  <c r="M166" i="2"/>
  <c r="I167" i="2"/>
  <c r="G288" i="3" s="1"/>
  <c r="J167" i="2"/>
  <c r="H288" i="3" s="1"/>
  <c r="K167" i="2"/>
  <c r="I288" i="3" s="1"/>
  <c r="L167" i="2"/>
  <c r="J288" i="3" s="1"/>
  <c r="M167" i="2"/>
  <c r="I168" i="2"/>
  <c r="G326" i="3" s="1"/>
  <c r="J168" i="2"/>
  <c r="H326" i="3" s="1"/>
  <c r="K168" i="2"/>
  <c r="I326" i="3" s="1"/>
  <c r="L168" i="2"/>
  <c r="J326" i="3" s="1"/>
  <c r="M168" i="2"/>
  <c r="I169" i="2"/>
  <c r="G113" i="3" s="1"/>
  <c r="J169" i="2"/>
  <c r="H113" i="3" s="1"/>
  <c r="K169" i="2"/>
  <c r="I113" i="3" s="1"/>
  <c r="L169" i="2"/>
  <c r="J113" i="3" s="1"/>
  <c r="M169" i="2"/>
  <c r="I170" i="2"/>
  <c r="G477" i="3" s="1"/>
  <c r="J170" i="2"/>
  <c r="H477" i="3" s="1"/>
  <c r="K170" i="2"/>
  <c r="I477" i="3" s="1"/>
  <c r="L170" i="2"/>
  <c r="J477" i="3" s="1"/>
  <c r="M170" i="2"/>
  <c r="I171" i="2"/>
  <c r="G295" i="3" s="1"/>
  <c r="J171" i="2"/>
  <c r="H295" i="3" s="1"/>
  <c r="K171" i="2"/>
  <c r="I295" i="3" s="1"/>
  <c r="L171" i="2"/>
  <c r="J295" i="3" s="1"/>
  <c r="M171" i="2"/>
  <c r="I172" i="2"/>
  <c r="G190" i="3" s="1"/>
  <c r="J172" i="2"/>
  <c r="H190" i="3" s="1"/>
  <c r="K172" i="2"/>
  <c r="I190" i="3" s="1"/>
  <c r="L172" i="2"/>
  <c r="J190" i="3" s="1"/>
  <c r="M172" i="2"/>
  <c r="I173" i="2"/>
  <c r="G321" i="3" s="1"/>
  <c r="J173" i="2"/>
  <c r="H321" i="3" s="1"/>
  <c r="K173" i="2"/>
  <c r="I321" i="3" s="1"/>
  <c r="L173" i="2"/>
  <c r="J321" i="3" s="1"/>
  <c r="M173" i="2"/>
  <c r="I174" i="2"/>
  <c r="G218" i="3" s="1"/>
  <c r="J174" i="2"/>
  <c r="H218" i="3" s="1"/>
  <c r="K174" i="2"/>
  <c r="I218" i="3" s="1"/>
  <c r="L174" i="2"/>
  <c r="J218" i="3" s="1"/>
  <c r="M174" i="2"/>
  <c r="I175" i="2"/>
  <c r="G284" i="3" s="1"/>
  <c r="J175" i="2"/>
  <c r="H284" i="3" s="1"/>
  <c r="K175" i="2"/>
  <c r="I284" i="3" s="1"/>
  <c r="L175" i="2"/>
  <c r="J284" i="3" s="1"/>
  <c r="M175" i="2"/>
  <c r="I176" i="2"/>
  <c r="G172" i="3" s="1"/>
  <c r="J176" i="2"/>
  <c r="H172" i="3" s="1"/>
  <c r="K176" i="2"/>
  <c r="I172" i="3" s="1"/>
  <c r="L176" i="2"/>
  <c r="J172" i="3" s="1"/>
  <c r="M176" i="2"/>
  <c r="I177" i="2"/>
  <c r="G610" i="3" s="1"/>
  <c r="J177" i="2"/>
  <c r="H610" i="3" s="1"/>
  <c r="K177" i="2"/>
  <c r="I610" i="3" s="1"/>
  <c r="L177" i="2"/>
  <c r="J610" i="3" s="1"/>
  <c r="M177" i="2"/>
  <c r="I178" i="2"/>
  <c r="G184" i="3" s="1"/>
  <c r="J178" i="2"/>
  <c r="H184" i="3" s="1"/>
  <c r="K178" i="2"/>
  <c r="I184" i="3" s="1"/>
  <c r="L178" i="2"/>
  <c r="J184" i="3" s="1"/>
  <c r="M178" i="2"/>
  <c r="I179" i="2"/>
  <c r="G493" i="3" s="1"/>
  <c r="J179" i="2"/>
  <c r="H493" i="3" s="1"/>
  <c r="K179" i="2"/>
  <c r="I493" i="3" s="1"/>
  <c r="L179" i="2"/>
  <c r="J493" i="3" s="1"/>
  <c r="M179" i="2"/>
  <c r="I180" i="2"/>
  <c r="G263" i="3" s="1"/>
  <c r="J180" i="2"/>
  <c r="H263" i="3" s="1"/>
  <c r="K180" i="2"/>
  <c r="I263" i="3" s="1"/>
  <c r="L180" i="2"/>
  <c r="J263" i="3" s="1"/>
  <c r="M180" i="2"/>
  <c r="I181" i="2"/>
  <c r="G410" i="3" s="1"/>
  <c r="J181" i="2"/>
  <c r="H410" i="3" s="1"/>
  <c r="K181" i="2"/>
  <c r="I410" i="3" s="1"/>
  <c r="L181" i="2"/>
  <c r="J410" i="3" s="1"/>
  <c r="M181" i="2"/>
  <c r="I182" i="2"/>
  <c r="G428" i="3" s="1"/>
  <c r="J182" i="2"/>
  <c r="H428" i="3" s="1"/>
  <c r="K182" i="2"/>
  <c r="I428" i="3" s="1"/>
  <c r="L182" i="2"/>
  <c r="J428" i="3" s="1"/>
  <c r="M182" i="2"/>
  <c r="I183" i="2"/>
  <c r="G322" i="3" s="1"/>
  <c r="J183" i="2"/>
  <c r="H322" i="3" s="1"/>
  <c r="K183" i="2"/>
  <c r="I322" i="3" s="1"/>
  <c r="L183" i="2"/>
  <c r="J322" i="3" s="1"/>
  <c r="M183" i="2"/>
  <c r="I184" i="2"/>
  <c r="G167" i="3" s="1"/>
  <c r="J184" i="2"/>
  <c r="H167" i="3" s="1"/>
  <c r="K184" i="2"/>
  <c r="I167" i="3" s="1"/>
  <c r="L184" i="2"/>
  <c r="J167" i="3" s="1"/>
  <c r="M184" i="2"/>
  <c r="I185" i="2"/>
  <c r="G126" i="3" s="1"/>
  <c r="J185" i="2"/>
  <c r="H126" i="3" s="1"/>
  <c r="K185" i="2"/>
  <c r="I126" i="3" s="1"/>
  <c r="L185" i="2"/>
  <c r="J126" i="3" s="1"/>
  <c r="M185" i="2"/>
  <c r="I186" i="2"/>
  <c r="G324" i="3" s="1"/>
  <c r="J186" i="2"/>
  <c r="H324" i="3" s="1"/>
  <c r="K186" i="2"/>
  <c r="I324" i="3" s="1"/>
  <c r="L186" i="2"/>
  <c r="J324" i="3" s="1"/>
  <c r="M186" i="2"/>
  <c r="I187" i="2"/>
  <c r="G171" i="3" s="1"/>
  <c r="J187" i="2"/>
  <c r="H171" i="3" s="1"/>
  <c r="K187" i="2"/>
  <c r="I171" i="3" s="1"/>
  <c r="L187" i="2"/>
  <c r="J171" i="3" s="1"/>
  <c r="M187" i="2"/>
  <c r="I188" i="2"/>
  <c r="G441" i="3" s="1"/>
  <c r="J188" i="2"/>
  <c r="H441" i="3" s="1"/>
  <c r="K188" i="2"/>
  <c r="I441" i="3" s="1"/>
  <c r="L188" i="2"/>
  <c r="J441" i="3" s="1"/>
  <c r="M188" i="2"/>
  <c r="I189" i="2"/>
  <c r="G160" i="3" s="1"/>
  <c r="J189" i="2"/>
  <c r="H160" i="3" s="1"/>
  <c r="K189" i="2"/>
  <c r="I160" i="3" s="1"/>
  <c r="L189" i="2"/>
  <c r="J160" i="3" s="1"/>
  <c r="M189" i="2"/>
  <c r="I190" i="2"/>
  <c r="G163" i="3" s="1"/>
  <c r="J190" i="2"/>
  <c r="H163" i="3" s="1"/>
  <c r="K190" i="2"/>
  <c r="I163" i="3" s="1"/>
  <c r="L190" i="2"/>
  <c r="J163" i="3" s="1"/>
  <c r="M190" i="2"/>
  <c r="I191" i="2"/>
  <c r="G369" i="3" s="1"/>
  <c r="J191" i="2"/>
  <c r="H369" i="3" s="1"/>
  <c r="K191" i="2"/>
  <c r="I369" i="3" s="1"/>
  <c r="L191" i="2"/>
  <c r="J369" i="3" s="1"/>
  <c r="M191" i="2"/>
  <c r="I192" i="2"/>
  <c r="G544" i="3" s="1"/>
  <c r="J192" i="2"/>
  <c r="H544" i="3" s="1"/>
  <c r="K192" i="2"/>
  <c r="I544" i="3" s="1"/>
  <c r="L192" i="2"/>
  <c r="J544" i="3" s="1"/>
  <c r="M192" i="2"/>
  <c r="I193" i="2"/>
  <c r="G65" i="3" s="1"/>
  <c r="J193" i="2"/>
  <c r="H65" i="3" s="1"/>
  <c r="K193" i="2"/>
  <c r="I65" i="3" s="1"/>
  <c r="L193" i="2"/>
  <c r="J65" i="3" s="1"/>
  <c r="M193" i="2"/>
  <c r="I194" i="2"/>
  <c r="G574" i="3" s="1"/>
  <c r="J194" i="2"/>
  <c r="H574" i="3" s="1"/>
  <c r="K194" i="2"/>
  <c r="I574" i="3" s="1"/>
  <c r="L194" i="2"/>
  <c r="J574" i="3" s="1"/>
  <c r="M194" i="2"/>
  <c r="I195" i="2"/>
  <c r="G580" i="3" s="1"/>
  <c r="J195" i="2"/>
  <c r="H580" i="3" s="1"/>
  <c r="K195" i="2"/>
  <c r="I580" i="3" s="1"/>
  <c r="L195" i="2"/>
  <c r="J580" i="3" s="1"/>
  <c r="M195" i="2"/>
  <c r="I196" i="2"/>
  <c r="G600" i="3" s="1"/>
  <c r="J196" i="2"/>
  <c r="H600" i="3" s="1"/>
  <c r="K196" i="2"/>
  <c r="I600" i="3" s="1"/>
  <c r="L196" i="2"/>
  <c r="J600" i="3" s="1"/>
  <c r="M196" i="2"/>
  <c r="I197" i="2"/>
  <c r="G393" i="3" s="1"/>
  <c r="J197" i="2"/>
  <c r="H393" i="3" s="1"/>
  <c r="K197" i="2"/>
  <c r="I393" i="3" s="1"/>
  <c r="L197" i="2"/>
  <c r="J393" i="3" s="1"/>
  <c r="M197" i="2"/>
  <c r="I198" i="2"/>
  <c r="G89" i="3" s="1"/>
  <c r="J198" i="2"/>
  <c r="H89" i="3" s="1"/>
  <c r="K198" i="2"/>
  <c r="I89" i="3" s="1"/>
  <c r="L198" i="2"/>
  <c r="J89" i="3" s="1"/>
  <c r="M198" i="2"/>
  <c r="I199" i="2"/>
  <c r="G501" i="3" s="1"/>
  <c r="J199" i="2"/>
  <c r="H501" i="3" s="1"/>
  <c r="K199" i="2"/>
  <c r="I501" i="3" s="1"/>
  <c r="L199" i="2"/>
  <c r="J501" i="3" s="1"/>
  <c r="M199" i="2"/>
  <c r="I200" i="2"/>
  <c r="G527" i="3" s="1"/>
  <c r="J200" i="2"/>
  <c r="H527" i="3" s="1"/>
  <c r="K200" i="2"/>
  <c r="I527" i="3" s="1"/>
  <c r="L200" i="2"/>
  <c r="J527" i="3" s="1"/>
  <c r="M200" i="2"/>
  <c r="I201" i="2"/>
  <c r="G319" i="3" s="1"/>
  <c r="J201" i="2"/>
  <c r="H319" i="3" s="1"/>
  <c r="K201" i="2"/>
  <c r="I319" i="3" s="1"/>
  <c r="L201" i="2"/>
  <c r="J319" i="3" s="1"/>
  <c r="M201" i="2"/>
  <c r="I202" i="2"/>
  <c r="G425" i="3" s="1"/>
  <c r="J202" i="2"/>
  <c r="H425" i="3" s="1"/>
  <c r="K202" i="2"/>
  <c r="I425" i="3" s="1"/>
  <c r="L202" i="2"/>
  <c r="J425" i="3" s="1"/>
  <c r="M202" i="2"/>
  <c r="I203" i="2"/>
  <c r="G51" i="3" s="1"/>
  <c r="J203" i="2"/>
  <c r="H51" i="3" s="1"/>
  <c r="K203" i="2"/>
  <c r="I51" i="3" s="1"/>
  <c r="L203" i="2"/>
  <c r="J51" i="3" s="1"/>
  <c r="M203" i="2"/>
  <c r="I204" i="2"/>
  <c r="G177" i="3" s="1"/>
  <c r="J204" i="2"/>
  <c r="H177" i="3" s="1"/>
  <c r="K204" i="2"/>
  <c r="I177" i="3" s="1"/>
  <c r="L204" i="2"/>
  <c r="J177" i="3" s="1"/>
  <c r="M204" i="2"/>
  <c r="I205" i="2"/>
  <c r="G173" i="3" s="1"/>
  <c r="J205" i="2"/>
  <c r="H173" i="3" s="1"/>
  <c r="K205" i="2"/>
  <c r="I173" i="3" s="1"/>
  <c r="L205" i="2"/>
  <c r="J173" i="3" s="1"/>
  <c r="M205" i="2"/>
  <c r="I206" i="2"/>
  <c r="G575" i="3" s="1"/>
  <c r="J206" i="2"/>
  <c r="H575" i="3" s="1"/>
  <c r="K206" i="2"/>
  <c r="I575" i="3" s="1"/>
  <c r="L206" i="2"/>
  <c r="J575" i="3" s="1"/>
  <c r="M206" i="2"/>
  <c r="I207" i="2"/>
  <c r="G153" i="3" s="1"/>
  <c r="J207" i="2"/>
  <c r="H153" i="3" s="1"/>
  <c r="K207" i="2"/>
  <c r="I153" i="3" s="1"/>
  <c r="L207" i="2"/>
  <c r="J153" i="3" s="1"/>
  <c r="M207" i="2"/>
  <c r="I208" i="2"/>
  <c r="G204" i="3" s="1"/>
  <c r="J208" i="2"/>
  <c r="H204" i="3" s="1"/>
  <c r="K208" i="2"/>
  <c r="I204" i="3" s="1"/>
  <c r="L208" i="2"/>
  <c r="J204" i="3" s="1"/>
  <c r="M208" i="2"/>
  <c r="I209" i="2"/>
  <c r="G387" i="3" s="1"/>
  <c r="J209" i="2"/>
  <c r="H387" i="3" s="1"/>
  <c r="K209" i="2"/>
  <c r="I387" i="3" s="1"/>
  <c r="L209" i="2"/>
  <c r="J387" i="3" s="1"/>
  <c r="M209" i="2"/>
  <c r="I210" i="2"/>
  <c r="G450" i="3" s="1"/>
  <c r="J210" i="2"/>
  <c r="H450" i="3" s="1"/>
  <c r="K210" i="2"/>
  <c r="I450" i="3" s="1"/>
  <c r="L210" i="2"/>
  <c r="J450" i="3" s="1"/>
  <c r="M210" i="2"/>
  <c r="I211" i="2"/>
  <c r="G339" i="3" s="1"/>
  <c r="J211" i="2"/>
  <c r="H339" i="3" s="1"/>
  <c r="K211" i="2"/>
  <c r="I339" i="3" s="1"/>
  <c r="L211" i="2"/>
  <c r="J339" i="3" s="1"/>
  <c r="M211" i="2"/>
  <c r="I212" i="2"/>
  <c r="G405" i="3" s="1"/>
  <c r="J212" i="2"/>
  <c r="H405" i="3" s="1"/>
  <c r="K212" i="2"/>
  <c r="I405" i="3" s="1"/>
  <c r="L212" i="2"/>
  <c r="J405" i="3" s="1"/>
  <c r="M212" i="2"/>
  <c r="I213" i="2"/>
  <c r="G568" i="3" s="1"/>
  <c r="J213" i="2"/>
  <c r="H568" i="3" s="1"/>
  <c r="K213" i="2"/>
  <c r="I568" i="3" s="1"/>
  <c r="L213" i="2"/>
  <c r="J568" i="3" s="1"/>
  <c r="M213" i="2"/>
  <c r="I214" i="2"/>
  <c r="G585" i="3" s="1"/>
  <c r="J214" i="2"/>
  <c r="H585" i="3" s="1"/>
  <c r="K214" i="2"/>
  <c r="I585" i="3" s="1"/>
  <c r="L214" i="2"/>
  <c r="J585" i="3" s="1"/>
  <c r="M214" i="2"/>
  <c r="I215" i="2"/>
  <c r="G83" i="3" s="1"/>
  <c r="J215" i="2"/>
  <c r="H83" i="3" s="1"/>
  <c r="K215" i="2"/>
  <c r="I83" i="3" s="1"/>
  <c r="L215" i="2"/>
  <c r="J83" i="3" s="1"/>
  <c r="M215" i="2"/>
  <c r="I216" i="2"/>
  <c r="G459" i="3" s="1"/>
  <c r="J216" i="2"/>
  <c r="H459" i="3" s="1"/>
  <c r="K216" i="2"/>
  <c r="I459" i="3" s="1"/>
  <c r="L216" i="2"/>
  <c r="J459" i="3" s="1"/>
  <c r="M216" i="2"/>
  <c r="I217" i="2"/>
  <c r="G115" i="3" s="1"/>
  <c r="J217" i="2"/>
  <c r="H115" i="3" s="1"/>
  <c r="K217" i="2"/>
  <c r="I115" i="3" s="1"/>
  <c r="L217" i="2"/>
  <c r="J115" i="3" s="1"/>
  <c r="M217" i="2"/>
  <c r="I218" i="2"/>
  <c r="G564" i="3" s="1"/>
  <c r="J218" i="2"/>
  <c r="H564" i="3" s="1"/>
  <c r="K218" i="2"/>
  <c r="I564" i="3" s="1"/>
  <c r="L218" i="2"/>
  <c r="J564" i="3" s="1"/>
  <c r="M218" i="2"/>
  <c r="I219" i="2"/>
  <c r="G417" i="3" s="1"/>
  <c r="J219" i="2"/>
  <c r="H417" i="3" s="1"/>
  <c r="K219" i="2"/>
  <c r="I417" i="3" s="1"/>
  <c r="L219" i="2"/>
  <c r="J417" i="3" s="1"/>
  <c r="M219" i="2"/>
  <c r="I220" i="2"/>
  <c r="G522" i="3" s="1"/>
  <c r="J220" i="2"/>
  <c r="H522" i="3" s="1"/>
  <c r="K220" i="2"/>
  <c r="I522" i="3" s="1"/>
  <c r="L220" i="2"/>
  <c r="J522" i="3" s="1"/>
  <c r="M220" i="2"/>
  <c r="I221" i="2"/>
  <c r="G251" i="3" s="1"/>
  <c r="J221" i="2"/>
  <c r="H251" i="3" s="1"/>
  <c r="K221" i="2"/>
  <c r="I251" i="3" s="1"/>
  <c r="L221" i="2"/>
  <c r="J251" i="3" s="1"/>
  <c r="M221" i="2"/>
  <c r="I222" i="2"/>
  <c r="G588" i="3" s="1"/>
  <c r="J222" i="2"/>
  <c r="H588" i="3" s="1"/>
  <c r="K222" i="2"/>
  <c r="I588" i="3" s="1"/>
  <c r="L222" i="2"/>
  <c r="J588" i="3" s="1"/>
  <c r="M222" i="2"/>
  <c r="I223" i="2"/>
  <c r="G447" i="3" s="1"/>
  <c r="J223" i="2"/>
  <c r="H447" i="3" s="1"/>
  <c r="K223" i="2"/>
  <c r="I447" i="3" s="1"/>
  <c r="L223" i="2"/>
  <c r="J447" i="3" s="1"/>
  <c r="M223" i="2"/>
  <c r="I224" i="2"/>
  <c r="G533" i="3" s="1"/>
  <c r="J224" i="2"/>
  <c r="H533" i="3" s="1"/>
  <c r="K224" i="2"/>
  <c r="I533" i="3" s="1"/>
  <c r="L224" i="2"/>
  <c r="J533" i="3" s="1"/>
  <c r="M224" i="2"/>
  <c r="I225" i="2"/>
  <c r="G344" i="3" s="1"/>
  <c r="J225" i="2"/>
  <c r="H344" i="3" s="1"/>
  <c r="K225" i="2"/>
  <c r="I344" i="3" s="1"/>
  <c r="L225" i="2"/>
  <c r="J344" i="3" s="1"/>
  <c r="M225" i="2"/>
  <c r="I226" i="2"/>
  <c r="J226" i="2"/>
  <c r="K226" i="2"/>
  <c r="L226" i="2"/>
  <c r="M226" i="2"/>
  <c r="I227" i="2"/>
  <c r="G23" i="3" s="1"/>
  <c r="J227" i="2"/>
  <c r="H23" i="3" s="1"/>
  <c r="K227" i="2"/>
  <c r="I23" i="3" s="1"/>
  <c r="L227" i="2"/>
  <c r="J23" i="3" s="1"/>
  <c r="M227" i="2"/>
  <c r="I228" i="2"/>
  <c r="G399" i="3" s="1"/>
  <c r="J228" i="2"/>
  <c r="H399" i="3" s="1"/>
  <c r="K228" i="2"/>
  <c r="I399" i="3" s="1"/>
  <c r="L228" i="2"/>
  <c r="J399" i="3" s="1"/>
  <c r="M228" i="2"/>
  <c r="I229" i="2"/>
  <c r="G578" i="3" s="1"/>
  <c r="J229" i="2"/>
  <c r="H578" i="3" s="1"/>
  <c r="K229" i="2"/>
  <c r="I578" i="3" s="1"/>
  <c r="L229" i="2"/>
  <c r="J578" i="3" s="1"/>
  <c r="M229" i="2"/>
  <c r="I230" i="2"/>
  <c r="G391" i="3" s="1"/>
  <c r="J230" i="2"/>
  <c r="H391" i="3" s="1"/>
  <c r="K230" i="2"/>
  <c r="I391" i="3" s="1"/>
  <c r="L230" i="2"/>
  <c r="J391" i="3" s="1"/>
  <c r="M230" i="2"/>
  <c r="I231" i="2"/>
  <c r="G521" i="3" s="1"/>
  <c r="J231" i="2"/>
  <c r="H521" i="3" s="1"/>
  <c r="K231" i="2"/>
  <c r="I521" i="3" s="1"/>
  <c r="L231" i="2"/>
  <c r="J521" i="3" s="1"/>
  <c r="M231" i="2"/>
  <c r="I232" i="2"/>
  <c r="G342" i="3" s="1"/>
  <c r="J232" i="2"/>
  <c r="H342" i="3" s="1"/>
  <c r="K232" i="2"/>
  <c r="I342" i="3" s="1"/>
  <c r="L232" i="2"/>
  <c r="J342" i="3" s="1"/>
  <c r="M232" i="2"/>
  <c r="I233" i="2"/>
  <c r="G535" i="3" s="1"/>
  <c r="J233" i="2"/>
  <c r="H535" i="3" s="1"/>
  <c r="K233" i="2"/>
  <c r="I535" i="3" s="1"/>
  <c r="L233" i="2"/>
  <c r="J535" i="3" s="1"/>
  <c r="M233" i="2"/>
  <c r="I234" i="2"/>
  <c r="G607" i="3" s="1"/>
  <c r="J234" i="2"/>
  <c r="H607" i="3" s="1"/>
  <c r="K234" i="2"/>
  <c r="I607" i="3" s="1"/>
  <c r="L234" i="2"/>
  <c r="J607" i="3" s="1"/>
  <c r="M234" i="2"/>
  <c r="I235" i="2"/>
  <c r="G471" i="3" s="1"/>
  <c r="J235" i="2"/>
  <c r="H471" i="3" s="1"/>
  <c r="K235" i="2"/>
  <c r="I471" i="3" s="1"/>
  <c r="L235" i="2"/>
  <c r="J471" i="3" s="1"/>
  <c r="M235" i="2"/>
  <c r="I236" i="2"/>
  <c r="G291" i="3" s="1"/>
  <c r="J236" i="2"/>
  <c r="H291" i="3" s="1"/>
  <c r="K236" i="2"/>
  <c r="I291" i="3" s="1"/>
  <c r="L236" i="2"/>
  <c r="J291" i="3" s="1"/>
  <c r="M236" i="2"/>
  <c r="I237" i="2"/>
  <c r="G152" i="3" s="1"/>
  <c r="J237" i="2"/>
  <c r="H152" i="3" s="1"/>
  <c r="K237" i="2"/>
  <c r="I152" i="3" s="1"/>
  <c r="L237" i="2"/>
  <c r="J152" i="3" s="1"/>
  <c r="M237" i="2"/>
  <c r="I238" i="2"/>
  <c r="G338" i="3" s="1"/>
  <c r="J238" i="2"/>
  <c r="H338" i="3" s="1"/>
  <c r="K238" i="2"/>
  <c r="I338" i="3" s="1"/>
  <c r="L238" i="2"/>
  <c r="J338" i="3" s="1"/>
  <c r="M238" i="2"/>
  <c r="I239" i="2"/>
  <c r="G25" i="3" s="1"/>
  <c r="J239" i="2"/>
  <c r="H25" i="3" s="1"/>
  <c r="K239" i="2"/>
  <c r="I25" i="3" s="1"/>
  <c r="L239" i="2"/>
  <c r="J25" i="3" s="1"/>
  <c r="M239" i="2"/>
  <c r="I240" i="2"/>
  <c r="G549" i="3" s="1"/>
  <c r="J240" i="2"/>
  <c r="H549" i="3" s="1"/>
  <c r="K240" i="2"/>
  <c r="I549" i="3" s="1"/>
  <c r="L240" i="2"/>
  <c r="J549" i="3" s="1"/>
  <c r="M240" i="2"/>
  <c r="I241" i="2"/>
  <c r="G156" i="3" s="1"/>
  <c r="J241" i="2"/>
  <c r="H156" i="3" s="1"/>
  <c r="K241" i="2"/>
  <c r="I156" i="3" s="1"/>
  <c r="L241" i="2"/>
  <c r="J156" i="3" s="1"/>
  <c r="M241" i="2"/>
  <c r="I242" i="2"/>
  <c r="G301" i="3" s="1"/>
  <c r="J242" i="2"/>
  <c r="H301" i="3" s="1"/>
  <c r="K242" i="2"/>
  <c r="I301" i="3" s="1"/>
  <c r="L242" i="2"/>
  <c r="J301" i="3" s="1"/>
  <c r="M242" i="2"/>
  <c r="I243" i="2"/>
  <c r="G133" i="3" s="1"/>
  <c r="J243" i="2"/>
  <c r="H133" i="3" s="1"/>
  <c r="K243" i="2"/>
  <c r="I133" i="3" s="1"/>
  <c r="L243" i="2"/>
  <c r="J133" i="3" s="1"/>
  <c r="M243" i="2"/>
  <c r="I244" i="2"/>
  <c r="G105" i="3" s="1"/>
  <c r="J244" i="2"/>
  <c r="H105" i="3" s="1"/>
  <c r="K244" i="2"/>
  <c r="I105" i="3" s="1"/>
  <c r="L244" i="2"/>
  <c r="J105" i="3" s="1"/>
  <c r="M244" i="2"/>
  <c r="I245" i="2"/>
  <c r="G44" i="3" s="1"/>
  <c r="J245" i="2"/>
  <c r="H44" i="3" s="1"/>
  <c r="K245" i="2"/>
  <c r="I44" i="3" s="1"/>
  <c r="L245" i="2"/>
  <c r="J44" i="3" s="1"/>
  <c r="M245" i="2"/>
  <c r="I246" i="2"/>
  <c r="G279" i="3" s="1"/>
  <c r="J246" i="2"/>
  <c r="H279" i="3" s="1"/>
  <c r="K246" i="2"/>
  <c r="I279" i="3" s="1"/>
  <c r="L246" i="2"/>
  <c r="J279" i="3" s="1"/>
  <c r="M246" i="2"/>
  <c r="I247" i="2"/>
  <c r="G90" i="3" s="1"/>
  <c r="J247" i="2"/>
  <c r="H90" i="3" s="1"/>
  <c r="K247" i="2"/>
  <c r="I90" i="3" s="1"/>
  <c r="L247" i="2"/>
  <c r="J90" i="3" s="1"/>
  <c r="M247" i="2"/>
  <c r="I248" i="2"/>
  <c r="G68" i="3" s="1"/>
  <c r="J248" i="2"/>
  <c r="H68" i="3" s="1"/>
  <c r="K248" i="2"/>
  <c r="I68" i="3" s="1"/>
  <c r="L248" i="2"/>
  <c r="J68" i="3" s="1"/>
  <c r="M248" i="2"/>
  <c r="I249" i="2"/>
  <c r="G298" i="3" s="1"/>
  <c r="J249" i="2"/>
  <c r="H298" i="3" s="1"/>
  <c r="K249" i="2"/>
  <c r="I298" i="3" s="1"/>
  <c r="L249" i="2"/>
  <c r="J298" i="3" s="1"/>
  <c r="M249" i="2"/>
  <c r="I250" i="2"/>
  <c r="G480" i="3" s="1"/>
  <c r="J250" i="2"/>
  <c r="H480" i="3" s="1"/>
  <c r="K250" i="2"/>
  <c r="I480" i="3" s="1"/>
  <c r="L250" i="2"/>
  <c r="J480" i="3" s="1"/>
  <c r="M250" i="2"/>
  <c r="I251" i="2"/>
  <c r="G303" i="3" s="1"/>
  <c r="J251" i="2"/>
  <c r="H303" i="3" s="1"/>
  <c r="K251" i="2"/>
  <c r="I303" i="3" s="1"/>
  <c r="L251" i="2"/>
  <c r="J303" i="3" s="1"/>
  <c r="M251" i="2"/>
  <c r="I252" i="2"/>
  <c r="G181" i="3" s="1"/>
  <c r="J252" i="2"/>
  <c r="H181" i="3" s="1"/>
  <c r="K252" i="2"/>
  <c r="I181" i="3" s="1"/>
  <c r="L252" i="2"/>
  <c r="J181" i="3" s="1"/>
  <c r="M252" i="2"/>
  <c r="I253" i="2"/>
  <c r="G392" i="3" s="1"/>
  <c r="J253" i="2"/>
  <c r="H392" i="3" s="1"/>
  <c r="K253" i="2"/>
  <c r="I392" i="3" s="1"/>
  <c r="L253" i="2"/>
  <c r="J392" i="3" s="1"/>
  <c r="M253" i="2"/>
  <c r="I254" i="2"/>
  <c r="G239" i="3" s="1"/>
  <c r="J254" i="2"/>
  <c r="H239" i="3" s="1"/>
  <c r="K254" i="2"/>
  <c r="I239" i="3" s="1"/>
  <c r="L254" i="2"/>
  <c r="J239" i="3" s="1"/>
  <c r="M254" i="2"/>
  <c r="I255" i="2"/>
  <c r="G285" i="3" s="1"/>
  <c r="J255" i="2"/>
  <c r="H285" i="3" s="1"/>
  <c r="K255" i="2"/>
  <c r="I285" i="3" s="1"/>
  <c r="L255" i="2"/>
  <c r="J285" i="3" s="1"/>
  <c r="M255" i="2"/>
  <c r="I256" i="2"/>
  <c r="G435" i="3" s="1"/>
  <c r="J256" i="2"/>
  <c r="H435" i="3" s="1"/>
  <c r="K256" i="2"/>
  <c r="I435" i="3" s="1"/>
  <c r="L256" i="2"/>
  <c r="J435" i="3" s="1"/>
  <c r="M256" i="2"/>
  <c r="I257" i="2"/>
  <c r="G122" i="3" s="1"/>
  <c r="J257" i="2"/>
  <c r="H122" i="3" s="1"/>
  <c r="K257" i="2"/>
  <c r="I122" i="3" s="1"/>
  <c r="L257" i="2"/>
  <c r="J122" i="3" s="1"/>
  <c r="M257" i="2"/>
  <c r="I258" i="2"/>
  <c r="G30" i="3" s="1"/>
  <c r="J258" i="2"/>
  <c r="H30" i="3" s="1"/>
  <c r="K258" i="2"/>
  <c r="I30" i="3" s="1"/>
  <c r="L258" i="2"/>
  <c r="J30" i="3" s="1"/>
  <c r="M258" i="2"/>
  <c r="I259" i="2"/>
  <c r="J259" i="2"/>
  <c r="K259" i="2"/>
  <c r="L259" i="2"/>
  <c r="M259" i="2"/>
  <c r="I260" i="2"/>
  <c r="G440" i="3" s="1"/>
  <c r="J260" i="2"/>
  <c r="H440" i="3" s="1"/>
  <c r="K260" i="2"/>
  <c r="I440" i="3" s="1"/>
  <c r="L260" i="2"/>
  <c r="J440" i="3" s="1"/>
  <c r="M260" i="2"/>
  <c r="I261" i="2"/>
  <c r="G143" i="3" s="1"/>
  <c r="J261" i="2"/>
  <c r="H143" i="3" s="1"/>
  <c r="K261" i="2"/>
  <c r="I143" i="3" s="1"/>
  <c r="L261" i="2"/>
  <c r="J143" i="3" s="1"/>
  <c r="M261" i="2"/>
  <c r="I262" i="2"/>
  <c r="G4" i="3" s="1"/>
  <c r="J262" i="2"/>
  <c r="H4" i="3" s="1"/>
  <c r="K262" i="2"/>
  <c r="I4" i="3" s="1"/>
  <c r="L262" i="2"/>
  <c r="J4" i="3" s="1"/>
  <c r="M262" i="2"/>
  <c r="I263" i="2"/>
  <c r="J263" i="2"/>
  <c r="K263" i="2"/>
  <c r="L263" i="2"/>
  <c r="M263" i="2"/>
  <c r="I264" i="2"/>
  <c r="G97" i="3" s="1"/>
  <c r="J264" i="2"/>
  <c r="H97" i="3" s="1"/>
  <c r="K264" i="2"/>
  <c r="I97" i="3" s="1"/>
  <c r="L264" i="2"/>
  <c r="J97" i="3" s="1"/>
  <c r="M264" i="2"/>
  <c r="I265" i="2"/>
  <c r="G139" i="3" s="1"/>
  <c r="J265" i="2"/>
  <c r="H139" i="3" s="1"/>
  <c r="K265" i="2"/>
  <c r="I139" i="3" s="1"/>
  <c r="L265" i="2"/>
  <c r="J139" i="3" s="1"/>
  <c r="M265" i="2"/>
  <c r="I266" i="2"/>
  <c r="G305" i="3" s="1"/>
  <c r="J266" i="2"/>
  <c r="H305" i="3" s="1"/>
  <c r="K266" i="2"/>
  <c r="I305" i="3" s="1"/>
  <c r="L266" i="2"/>
  <c r="J305" i="3" s="1"/>
  <c r="M266" i="2"/>
  <c r="I267" i="2"/>
  <c r="G170" i="3" s="1"/>
  <c r="J267" i="2"/>
  <c r="H170" i="3" s="1"/>
  <c r="K267" i="2"/>
  <c r="I170" i="3" s="1"/>
  <c r="L267" i="2"/>
  <c r="J170" i="3" s="1"/>
  <c r="M267" i="2"/>
  <c r="I268" i="2"/>
  <c r="G11" i="3" s="1"/>
  <c r="J268" i="2"/>
  <c r="H11" i="3" s="1"/>
  <c r="K268" i="2"/>
  <c r="I11" i="3" s="1"/>
  <c r="L268" i="2"/>
  <c r="J11" i="3" s="1"/>
  <c r="M268" i="2"/>
  <c r="I269" i="2"/>
  <c r="G325" i="3" s="1"/>
  <c r="J269" i="2"/>
  <c r="H325" i="3" s="1"/>
  <c r="K269" i="2"/>
  <c r="I325" i="3" s="1"/>
  <c r="L269" i="2"/>
  <c r="J325" i="3" s="1"/>
  <c r="M269" i="2"/>
  <c r="I270" i="2"/>
  <c r="G466" i="3" s="1"/>
  <c r="J270" i="2"/>
  <c r="H466" i="3" s="1"/>
  <c r="K270" i="2"/>
  <c r="I466" i="3" s="1"/>
  <c r="L270" i="2"/>
  <c r="J466" i="3" s="1"/>
  <c r="M270" i="2"/>
  <c r="I271" i="2"/>
  <c r="G28" i="3" s="1"/>
  <c r="J271" i="2"/>
  <c r="H28" i="3" s="1"/>
  <c r="K271" i="2"/>
  <c r="I28" i="3" s="1"/>
  <c r="L271" i="2"/>
  <c r="J28" i="3" s="1"/>
  <c r="M271" i="2"/>
  <c r="I272" i="2"/>
  <c r="G514" i="3" s="1"/>
  <c r="J272" i="2"/>
  <c r="H514" i="3" s="1"/>
  <c r="K272" i="2"/>
  <c r="I514" i="3" s="1"/>
  <c r="L272" i="2"/>
  <c r="J514" i="3" s="1"/>
  <c r="M272" i="2"/>
  <c r="I273" i="2"/>
  <c r="G570" i="3" s="1"/>
  <c r="J273" i="2"/>
  <c r="H570" i="3" s="1"/>
  <c r="K273" i="2"/>
  <c r="I570" i="3" s="1"/>
  <c r="L273" i="2"/>
  <c r="J570" i="3" s="1"/>
  <c r="M273" i="2"/>
  <c r="I274" i="2"/>
  <c r="G365" i="3" s="1"/>
  <c r="J274" i="2"/>
  <c r="H365" i="3" s="1"/>
  <c r="K274" i="2"/>
  <c r="I365" i="3" s="1"/>
  <c r="L274" i="2"/>
  <c r="J365" i="3" s="1"/>
  <c r="M274" i="2"/>
  <c r="I275" i="2"/>
  <c r="G62" i="3" s="1"/>
  <c r="J275" i="2"/>
  <c r="H62" i="3" s="1"/>
  <c r="K275" i="2"/>
  <c r="I62" i="3" s="1"/>
  <c r="L275" i="2"/>
  <c r="J62" i="3" s="1"/>
  <c r="M275" i="2"/>
  <c r="I276" i="2"/>
  <c r="G560" i="3" s="1"/>
  <c r="J276" i="2"/>
  <c r="H560" i="3" s="1"/>
  <c r="K276" i="2"/>
  <c r="I560" i="3" s="1"/>
  <c r="L276" i="2"/>
  <c r="J560" i="3" s="1"/>
  <c r="M276" i="2"/>
  <c r="I277" i="2"/>
  <c r="G602" i="3" s="1"/>
  <c r="J277" i="2"/>
  <c r="H602" i="3" s="1"/>
  <c r="K277" i="2"/>
  <c r="I602" i="3" s="1"/>
  <c r="L277" i="2"/>
  <c r="J602" i="3" s="1"/>
  <c r="M277" i="2"/>
  <c r="I278" i="2"/>
  <c r="G191" i="3" s="1"/>
  <c r="J278" i="2"/>
  <c r="H191" i="3" s="1"/>
  <c r="K278" i="2"/>
  <c r="I191" i="3" s="1"/>
  <c r="L278" i="2"/>
  <c r="J191" i="3" s="1"/>
  <c r="M278" i="2"/>
  <c r="I279" i="2"/>
  <c r="G562" i="3" s="1"/>
  <c r="J279" i="2"/>
  <c r="H562" i="3" s="1"/>
  <c r="K279" i="2"/>
  <c r="I562" i="3" s="1"/>
  <c r="L279" i="2"/>
  <c r="J562" i="3" s="1"/>
  <c r="M279" i="2"/>
  <c r="I280" i="2"/>
  <c r="G21" i="3" s="1"/>
  <c r="J280" i="2"/>
  <c r="H21" i="3" s="1"/>
  <c r="K280" i="2"/>
  <c r="I21" i="3" s="1"/>
  <c r="L280" i="2"/>
  <c r="J21" i="3" s="1"/>
  <c r="M280" i="2"/>
  <c r="I281" i="2"/>
  <c r="G612" i="3" s="1"/>
  <c r="J281" i="2"/>
  <c r="H612" i="3" s="1"/>
  <c r="K281" i="2"/>
  <c r="I612" i="3" s="1"/>
  <c r="L281" i="2"/>
  <c r="J612" i="3" s="1"/>
  <c r="M281" i="2"/>
  <c r="I282" i="2"/>
  <c r="G548" i="3" s="1"/>
  <c r="J282" i="2"/>
  <c r="H548" i="3" s="1"/>
  <c r="K282" i="2"/>
  <c r="I548" i="3" s="1"/>
  <c r="L282" i="2"/>
  <c r="J548" i="3" s="1"/>
  <c r="M282" i="2"/>
  <c r="I283" i="2"/>
  <c r="G304" i="3" s="1"/>
  <c r="J283" i="2"/>
  <c r="H304" i="3" s="1"/>
  <c r="K283" i="2"/>
  <c r="I304" i="3" s="1"/>
  <c r="L283" i="2"/>
  <c r="J304" i="3" s="1"/>
  <c r="M283" i="2"/>
  <c r="I284" i="2"/>
  <c r="G389" i="3" s="1"/>
  <c r="J284" i="2"/>
  <c r="H389" i="3" s="1"/>
  <c r="K284" i="2"/>
  <c r="I389" i="3" s="1"/>
  <c r="L284" i="2"/>
  <c r="J389" i="3" s="1"/>
  <c r="M284" i="2"/>
  <c r="I285" i="2"/>
  <c r="G69" i="3" s="1"/>
  <c r="J285" i="2"/>
  <c r="H69" i="3" s="1"/>
  <c r="K285" i="2"/>
  <c r="I69" i="3" s="1"/>
  <c r="L285" i="2"/>
  <c r="J69" i="3" s="1"/>
  <c r="M285" i="2"/>
  <c r="I286" i="2"/>
  <c r="G366" i="3" s="1"/>
  <c r="J286" i="2"/>
  <c r="H366" i="3" s="1"/>
  <c r="K286" i="2"/>
  <c r="I366" i="3" s="1"/>
  <c r="L286" i="2"/>
  <c r="J366" i="3" s="1"/>
  <c r="M286" i="2"/>
  <c r="I287" i="2"/>
  <c r="G248" i="3" s="1"/>
  <c r="J287" i="2"/>
  <c r="H248" i="3" s="1"/>
  <c r="K287" i="2"/>
  <c r="I248" i="3" s="1"/>
  <c r="L287" i="2"/>
  <c r="J248" i="3" s="1"/>
  <c r="M287" i="2"/>
  <c r="I288" i="2"/>
  <c r="G353" i="3" s="1"/>
  <c r="J288" i="2"/>
  <c r="H353" i="3" s="1"/>
  <c r="K288" i="2"/>
  <c r="I353" i="3" s="1"/>
  <c r="L288" i="2"/>
  <c r="J353" i="3" s="1"/>
  <c r="M288" i="2"/>
  <c r="I289" i="2"/>
  <c r="G500" i="3" s="1"/>
  <c r="J289" i="2"/>
  <c r="H500" i="3" s="1"/>
  <c r="K289" i="2"/>
  <c r="I500" i="3" s="1"/>
  <c r="L289" i="2"/>
  <c r="J500" i="3" s="1"/>
  <c r="M289" i="2"/>
  <c r="I290" i="2"/>
  <c r="G111" i="3" s="1"/>
  <c r="J290" i="2"/>
  <c r="H111" i="3" s="1"/>
  <c r="K290" i="2"/>
  <c r="I111" i="3" s="1"/>
  <c r="L290" i="2"/>
  <c r="J111" i="3" s="1"/>
  <c r="M290" i="2"/>
  <c r="I291" i="2"/>
  <c r="G259" i="3" s="1"/>
  <c r="J291" i="2"/>
  <c r="H259" i="3" s="1"/>
  <c r="K291" i="2"/>
  <c r="I259" i="3" s="1"/>
  <c r="L291" i="2"/>
  <c r="J259" i="3" s="1"/>
  <c r="M291" i="2"/>
  <c r="I292" i="2"/>
  <c r="G253" i="3" s="1"/>
  <c r="J292" i="2"/>
  <c r="H253" i="3" s="1"/>
  <c r="K292" i="2"/>
  <c r="I253" i="3" s="1"/>
  <c r="L292" i="2"/>
  <c r="J253" i="3" s="1"/>
  <c r="M292" i="2"/>
  <c r="I293" i="2"/>
  <c r="G608" i="3" s="1"/>
  <c r="J293" i="2"/>
  <c r="H608" i="3" s="1"/>
  <c r="K293" i="2"/>
  <c r="I608" i="3" s="1"/>
  <c r="L293" i="2"/>
  <c r="J608" i="3" s="1"/>
  <c r="M293" i="2"/>
  <c r="I294" i="2"/>
  <c r="G583" i="3" s="1"/>
  <c r="J294" i="2"/>
  <c r="H583" i="3" s="1"/>
  <c r="K294" i="2"/>
  <c r="I583" i="3" s="1"/>
  <c r="L294" i="2"/>
  <c r="J583" i="3" s="1"/>
  <c r="M294" i="2"/>
  <c r="I295" i="2"/>
  <c r="G176" i="3" s="1"/>
  <c r="J295" i="2"/>
  <c r="H176" i="3" s="1"/>
  <c r="K295" i="2"/>
  <c r="I176" i="3" s="1"/>
  <c r="L295" i="2"/>
  <c r="J176" i="3" s="1"/>
  <c r="M295" i="2"/>
  <c r="I296" i="2"/>
  <c r="G478" i="3" s="1"/>
  <c r="J296" i="2"/>
  <c r="H478" i="3" s="1"/>
  <c r="K296" i="2"/>
  <c r="I478" i="3" s="1"/>
  <c r="L296" i="2"/>
  <c r="J478" i="3" s="1"/>
  <c r="M296" i="2"/>
  <c r="I297" i="2"/>
  <c r="G269" i="3" s="1"/>
  <c r="J297" i="2"/>
  <c r="H269" i="3" s="1"/>
  <c r="K297" i="2"/>
  <c r="I269" i="3" s="1"/>
  <c r="L297" i="2"/>
  <c r="J269" i="3" s="1"/>
  <c r="M297" i="2"/>
  <c r="I298" i="2"/>
  <c r="G93" i="3" s="1"/>
  <c r="J298" i="2"/>
  <c r="H93" i="3" s="1"/>
  <c r="K298" i="2"/>
  <c r="I93" i="3" s="1"/>
  <c r="L298" i="2"/>
  <c r="J93" i="3" s="1"/>
  <c r="M298" i="2"/>
  <c r="I299" i="2"/>
  <c r="G515" i="3" s="1"/>
  <c r="J299" i="2"/>
  <c r="H515" i="3" s="1"/>
  <c r="K299" i="2"/>
  <c r="I515" i="3" s="1"/>
  <c r="L299" i="2"/>
  <c r="J515" i="3" s="1"/>
  <c r="M299" i="2"/>
  <c r="I300" i="2"/>
  <c r="G526" i="3" s="1"/>
  <c r="J300" i="2"/>
  <c r="H526" i="3" s="1"/>
  <c r="K300" i="2"/>
  <c r="I526" i="3" s="1"/>
  <c r="L300" i="2"/>
  <c r="J526" i="3" s="1"/>
  <c r="M300" i="2"/>
  <c r="I301" i="2"/>
  <c r="G246" i="3" s="1"/>
  <c r="J301" i="2"/>
  <c r="H246" i="3" s="1"/>
  <c r="K301" i="2"/>
  <c r="I246" i="3" s="1"/>
  <c r="L301" i="2"/>
  <c r="J246" i="3" s="1"/>
  <c r="M301" i="2"/>
  <c r="I302" i="2"/>
  <c r="G132" i="3" s="1"/>
  <c r="J302" i="2"/>
  <c r="H132" i="3" s="1"/>
  <c r="K302" i="2"/>
  <c r="I132" i="3" s="1"/>
  <c r="L302" i="2"/>
  <c r="J132" i="3" s="1"/>
  <c r="M302" i="2"/>
  <c r="I303" i="2"/>
  <c r="G154" i="3" s="1"/>
  <c r="J303" i="2"/>
  <c r="H154" i="3" s="1"/>
  <c r="K303" i="2"/>
  <c r="I154" i="3" s="1"/>
  <c r="L303" i="2"/>
  <c r="J154" i="3" s="1"/>
  <c r="M303" i="2"/>
  <c r="I304" i="2"/>
  <c r="G335" i="3" s="1"/>
  <c r="J304" i="2"/>
  <c r="H335" i="3" s="1"/>
  <c r="K304" i="2"/>
  <c r="I335" i="3" s="1"/>
  <c r="L304" i="2"/>
  <c r="J335" i="3" s="1"/>
  <c r="M304" i="2"/>
  <c r="I305" i="2"/>
  <c r="G125" i="3" s="1"/>
  <c r="J305" i="2"/>
  <c r="H125" i="3" s="1"/>
  <c r="K305" i="2"/>
  <c r="I125" i="3" s="1"/>
  <c r="L305" i="2"/>
  <c r="J125" i="3" s="1"/>
  <c r="M305" i="2"/>
  <c r="I306" i="2"/>
  <c r="G596" i="3" s="1"/>
  <c r="J306" i="2"/>
  <c r="H596" i="3" s="1"/>
  <c r="K306" i="2"/>
  <c r="I596" i="3" s="1"/>
  <c r="L306" i="2"/>
  <c r="J596" i="3" s="1"/>
  <c r="M306" i="2"/>
  <c r="I307" i="2"/>
  <c r="G35" i="3" s="1"/>
  <c r="J307" i="2"/>
  <c r="H35" i="3" s="1"/>
  <c r="K307" i="2"/>
  <c r="I35" i="3" s="1"/>
  <c r="L307" i="2"/>
  <c r="J35" i="3" s="1"/>
  <c r="M307" i="2"/>
  <c r="I308" i="2"/>
  <c r="G412" i="3" s="1"/>
  <c r="J308" i="2"/>
  <c r="H412" i="3" s="1"/>
  <c r="K308" i="2"/>
  <c r="I412" i="3" s="1"/>
  <c r="L308" i="2"/>
  <c r="J412" i="3" s="1"/>
  <c r="M308" i="2"/>
  <c r="I309" i="2"/>
  <c r="G281" i="3" s="1"/>
  <c r="J309" i="2"/>
  <c r="H281" i="3" s="1"/>
  <c r="K309" i="2"/>
  <c r="I281" i="3" s="1"/>
  <c r="L309" i="2"/>
  <c r="J281" i="3" s="1"/>
  <c r="M309" i="2"/>
  <c r="I310" i="2"/>
  <c r="G144" i="3" s="1"/>
  <c r="J310" i="2"/>
  <c r="H144" i="3" s="1"/>
  <c r="K310" i="2"/>
  <c r="I144" i="3" s="1"/>
  <c r="L310" i="2"/>
  <c r="J144" i="3" s="1"/>
  <c r="M310" i="2"/>
  <c r="I311" i="2"/>
  <c r="G242" i="3" s="1"/>
  <c r="J311" i="2"/>
  <c r="H242" i="3" s="1"/>
  <c r="K311" i="2"/>
  <c r="I242" i="3" s="1"/>
  <c r="L311" i="2"/>
  <c r="J242" i="3" s="1"/>
  <c r="M311" i="2"/>
  <c r="I312" i="2"/>
  <c r="G289" i="3" s="1"/>
  <c r="J312" i="2"/>
  <c r="H289" i="3" s="1"/>
  <c r="K312" i="2"/>
  <c r="I289" i="3" s="1"/>
  <c r="L312" i="2"/>
  <c r="J289" i="3" s="1"/>
  <c r="M312" i="2"/>
  <c r="I313" i="2"/>
  <c r="G426" i="3" s="1"/>
  <c r="J313" i="2"/>
  <c r="H426" i="3" s="1"/>
  <c r="K313" i="2"/>
  <c r="I426" i="3" s="1"/>
  <c r="L313" i="2"/>
  <c r="J426" i="3" s="1"/>
  <c r="M313" i="2"/>
  <c r="I314" i="2"/>
  <c r="G540" i="3" s="1"/>
  <c r="J314" i="2"/>
  <c r="H540" i="3" s="1"/>
  <c r="K314" i="2"/>
  <c r="I540" i="3" s="1"/>
  <c r="L314" i="2"/>
  <c r="J540" i="3" s="1"/>
  <c r="M314" i="2"/>
  <c r="I315" i="2"/>
  <c r="G336" i="3" s="1"/>
  <c r="J315" i="2"/>
  <c r="H336" i="3" s="1"/>
  <c r="K315" i="2"/>
  <c r="I336" i="3" s="1"/>
  <c r="L315" i="2"/>
  <c r="J336" i="3" s="1"/>
  <c r="M315" i="2"/>
  <c r="I316" i="2"/>
  <c r="G579" i="3" s="1"/>
  <c r="J316" i="2"/>
  <c r="H579" i="3" s="1"/>
  <c r="K316" i="2"/>
  <c r="I579" i="3" s="1"/>
  <c r="L316" i="2"/>
  <c r="J579" i="3" s="1"/>
  <c r="M316" i="2"/>
  <c r="I317" i="2"/>
  <c r="G595" i="3" s="1"/>
  <c r="J317" i="2"/>
  <c r="H595" i="3" s="1"/>
  <c r="K317" i="2"/>
  <c r="I595" i="3" s="1"/>
  <c r="L317" i="2"/>
  <c r="J595" i="3" s="1"/>
  <c r="M317" i="2"/>
  <c r="I318" i="2"/>
  <c r="G452" i="3" s="1"/>
  <c r="J318" i="2"/>
  <c r="H452" i="3" s="1"/>
  <c r="K318" i="2"/>
  <c r="I452" i="3" s="1"/>
  <c r="L318" i="2"/>
  <c r="J452" i="3" s="1"/>
  <c r="M318" i="2"/>
  <c r="I319" i="2"/>
  <c r="G87" i="3" s="1"/>
  <c r="J319" i="2"/>
  <c r="H87" i="3" s="1"/>
  <c r="K319" i="2"/>
  <c r="I87" i="3" s="1"/>
  <c r="L319" i="2"/>
  <c r="J87" i="3" s="1"/>
  <c r="M319" i="2"/>
  <c r="I320" i="2"/>
  <c r="G201" i="3" s="1"/>
  <c r="J320" i="2"/>
  <c r="H201" i="3" s="1"/>
  <c r="K320" i="2"/>
  <c r="I201" i="3" s="1"/>
  <c r="L320" i="2"/>
  <c r="J201" i="3" s="1"/>
  <c r="M320" i="2"/>
  <c r="I321" i="2"/>
  <c r="G561" i="3" s="1"/>
  <c r="J321" i="2"/>
  <c r="H561" i="3" s="1"/>
  <c r="K321" i="2"/>
  <c r="I561" i="3" s="1"/>
  <c r="L321" i="2"/>
  <c r="J561" i="3" s="1"/>
  <c r="M321" i="2"/>
  <c r="I322" i="2"/>
  <c r="G99" i="3" s="1"/>
  <c r="J322" i="2"/>
  <c r="H99" i="3" s="1"/>
  <c r="K322" i="2"/>
  <c r="I99" i="3" s="1"/>
  <c r="L322" i="2"/>
  <c r="J99" i="3" s="1"/>
  <c r="M322" i="2"/>
  <c r="I323" i="2"/>
  <c r="G313" i="3" s="1"/>
  <c r="J323" i="2"/>
  <c r="H313" i="3" s="1"/>
  <c r="K323" i="2"/>
  <c r="I313" i="3" s="1"/>
  <c r="L323" i="2"/>
  <c r="J313" i="3" s="1"/>
  <c r="M323" i="2"/>
  <c r="I324" i="2"/>
  <c r="G127" i="3" s="1"/>
  <c r="J324" i="2"/>
  <c r="H127" i="3" s="1"/>
  <c r="K324" i="2"/>
  <c r="I127" i="3" s="1"/>
  <c r="L324" i="2"/>
  <c r="J127" i="3" s="1"/>
  <c r="M324" i="2"/>
  <c r="I325" i="2"/>
  <c r="G101" i="3" s="1"/>
  <c r="J325" i="2"/>
  <c r="H101" i="3" s="1"/>
  <c r="K325" i="2"/>
  <c r="I101" i="3" s="1"/>
  <c r="L325" i="2"/>
  <c r="J101" i="3" s="1"/>
  <c r="M325" i="2"/>
  <c r="I326" i="2"/>
  <c r="G383" i="3" s="1"/>
  <c r="J326" i="2"/>
  <c r="H383" i="3" s="1"/>
  <c r="K326" i="2"/>
  <c r="I383" i="3" s="1"/>
  <c r="L326" i="2"/>
  <c r="J383" i="3" s="1"/>
  <c r="M326" i="2"/>
  <c r="I327" i="2"/>
  <c r="G276" i="3" s="1"/>
  <c r="J327" i="2"/>
  <c r="H276" i="3" s="1"/>
  <c r="K327" i="2"/>
  <c r="I276" i="3" s="1"/>
  <c r="L327" i="2"/>
  <c r="J276" i="3" s="1"/>
  <c r="M327" i="2"/>
  <c r="I328" i="2"/>
  <c r="G107" i="3" s="1"/>
  <c r="J328" i="2"/>
  <c r="H107" i="3" s="1"/>
  <c r="K328" i="2"/>
  <c r="I107" i="3" s="1"/>
  <c r="L328" i="2"/>
  <c r="J107" i="3" s="1"/>
  <c r="M328" i="2"/>
  <c r="I329" i="2"/>
  <c r="G616" i="3" s="1"/>
  <c r="J329" i="2"/>
  <c r="H616" i="3" s="1"/>
  <c r="K329" i="2"/>
  <c r="I616" i="3" s="1"/>
  <c r="L329" i="2"/>
  <c r="J616" i="3" s="1"/>
  <c r="M329" i="2"/>
  <c r="I330" i="2"/>
  <c r="G598" i="3" s="1"/>
  <c r="J330" i="2"/>
  <c r="H598" i="3" s="1"/>
  <c r="K330" i="2"/>
  <c r="I598" i="3" s="1"/>
  <c r="L330" i="2"/>
  <c r="J598" i="3" s="1"/>
  <c r="M330" i="2"/>
  <c r="I331" i="2"/>
  <c r="G297" i="3" s="1"/>
  <c r="J331" i="2"/>
  <c r="H297" i="3" s="1"/>
  <c r="K331" i="2"/>
  <c r="I297" i="3" s="1"/>
  <c r="L331" i="2"/>
  <c r="J297" i="3" s="1"/>
  <c r="M331" i="2"/>
  <c r="I332" i="2"/>
  <c r="G363" i="3" s="1"/>
  <c r="J332" i="2"/>
  <c r="H363" i="3" s="1"/>
  <c r="K332" i="2"/>
  <c r="I363" i="3" s="1"/>
  <c r="L332" i="2"/>
  <c r="J363" i="3" s="1"/>
  <c r="M332" i="2"/>
  <c r="I333" i="2"/>
  <c r="G120" i="3" s="1"/>
  <c r="J333" i="2"/>
  <c r="H120" i="3" s="1"/>
  <c r="K333" i="2"/>
  <c r="I120" i="3" s="1"/>
  <c r="L333" i="2"/>
  <c r="J120" i="3" s="1"/>
  <c r="M333" i="2"/>
  <c r="I334" i="2"/>
  <c r="G529" i="3" s="1"/>
  <c r="J334" i="2"/>
  <c r="H529" i="3" s="1"/>
  <c r="K334" i="2"/>
  <c r="I529" i="3" s="1"/>
  <c r="L334" i="2"/>
  <c r="J529" i="3" s="1"/>
  <c r="M334" i="2"/>
  <c r="I335" i="2"/>
  <c r="G584" i="3" s="1"/>
  <c r="J335" i="2"/>
  <c r="H584" i="3" s="1"/>
  <c r="K335" i="2"/>
  <c r="I584" i="3" s="1"/>
  <c r="L335" i="2"/>
  <c r="J584" i="3" s="1"/>
  <c r="M335" i="2"/>
  <c r="I336" i="2"/>
  <c r="G408" i="3" s="1"/>
  <c r="J336" i="2"/>
  <c r="H408" i="3" s="1"/>
  <c r="K336" i="2"/>
  <c r="I408" i="3" s="1"/>
  <c r="L336" i="2"/>
  <c r="J408" i="3" s="1"/>
  <c r="M336" i="2"/>
  <c r="I337" i="2"/>
  <c r="G8" i="3" s="1"/>
  <c r="J337" i="2"/>
  <c r="H8" i="3" s="1"/>
  <c r="K337" i="2"/>
  <c r="I8" i="3" s="1"/>
  <c r="L337" i="2"/>
  <c r="J8" i="3" s="1"/>
  <c r="M337" i="2"/>
  <c r="I338" i="2"/>
  <c r="G403" i="3" s="1"/>
  <c r="J338" i="2"/>
  <c r="H403" i="3" s="1"/>
  <c r="K338" i="2"/>
  <c r="I403" i="3" s="1"/>
  <c r="L338" i="2"/>
  <c r="J403" i="3" s="1"/>
  <c r="M338" i="2"/>
  <c r="I339" i="2"/>
  <c r="G378" i="3" s="1"/>
  <c r="J339" i="2"/>
  <c r="H378" i="3" s="1"/>
  <c r="K339" i="2"/>
  <c r="I378" i="3" s="1"/>
  <c r="L339" i="2"/>
  <c r="J378" i="3" s="1"/>
  <c r="M339" i="2"/>
  <c r="I340" i="2"/>
  <c r="G355" i="3" s="1"/>
  <c r="J340" i="2"/>
  <c r="H355" i="3" s="1"/>
  <c r="K340" i="2"/>
  <c r="I355" i="3" s="1"/>
  <c r="L340" i="2"/>
  <c r="J355" i="3" s="1"/>
  <c r="M340" i="2"/>
  <c r="I341" i="2"/>
  <c r="G174" i="3" s="1"/>
  <c r="J341" i="2"/>
  <c r="H174" i="3" s="1"/>
  <c r="K341" i="2"/>
  <c r="I174" i="3" s="1"/>
  <c r="L341" i="2"/>
  <c r="J174" i="3" s="1"/>
  <c r="M341" i="2"/>
  <c r="I342" i="2"/>
  <c r="J342" i="2"/>
  <c r="K342" i="2"/>
  <c r="L342" i="2"/>
  <c r="M342" i="2"/>
  <c r="I343" i="2"/>
  <c r="G594" i="3" s="1"/>
  <c r="J343" i="2"/>
  <c r="H594" i="3" s="1"/>
  <c r="K343" i="2"/>
  <c r="I594" i="3" s="1"/>
  <c r="L343" i="2"/>
  <c r="J594" i="3" s="1"/>
  <c r="M343" i="2"/>
  <c r="I344" i="2"/>
  <c r="G615" i="3" s="1"/>
  <c r="J344" i="2"/>
  <c r="H615" i="3" s="1"/>
  <c r="K344" i="2"/>
  <c r="I615" i="3" s="1"/>
  <c r="L344" i="2"/>
  <c r="J615" i="3" s="1"/>
  <c r="M344" i="2"/>
  <c r="I345" i="2"/>
  <c r="G479" i="3" s="1"/>
  <c r="J345" i="2"/>
  <c r="H479" i="3" s="1"/>
  <c r="K345" i="2"/>
  <c r="I479" i="3" s="1"/>
  <c r="L345" i="2"/>
  <c r="J479" i="3" s="1"/>
  <c r="M345" i="2"/>
  <c r="I346" i="2"/>
  <c r="G547" i="3" s="1"/>
  <c r="J346" i="2"/>
  <c r="H547" i="3" s="1"/>
  <c r="K346" i="2"/>
  <c r="I547" i="3" s="1"/>
  <c r="L346" i="2"/>
  <c r="J547" i="3" s="1"/>
  <c r="M346" i="2"/>
  <c r="I347" i="2"/>
  <c r="G17" i="3" s="1"/>
  <c r="J347" i="2"/>
  <c r="H17" i="3" s="1"/>
  <c r="K347" i="2"/>
  <c r="I17" i="3" s="1"/>
  <c r="L347" i="2"/>
  <c r="J17" i="3" s="1"/>
  <c r="M347" i="2"/>
  <c r="I348" i="2"/>
  <c r="G576" i="3" s="1"/>
  <c r="J348" i="2"/>
  <c r="H576" i="3" s="1"/>
  <c r="K348" i="2"/>
  <c r="I576" i="3" s="1"/>
  <c r="L348" i="2"/>
  <c r="J576" i="3" s="1"/>
  <c r="M348" i="2"/>
  <c r="I349" i="2"/>
  <c r="G543" i="3" s="1"/>
  <c r="J349" i="2"/>
  <c r="H543" i="3" s="1"/>
  <c r="K349" i="2"/>
  <c r="I543" i="3" s="1"/>
  <c r="L349" i="2"/>
  <c r="J543" i="3" s="1"/>
  <c r="M349" i="2"/>
  <c r="I350" i="2"/>
  <c r="G317" i="3" s="1"/>
  <c r="J350" i="2"/>
  <c r="H317" i="3" s="1"/>
  <c r="K350" i="2"/>
  <c r="I317" i="3" s="1"/>
  <c r="L350" i="2"/>
  <c r="J317" i="3" s="1"/>
  <c r="M350" i="2"/>
  <c r="I351" i="2"/>
  <c r="G599" i="3" s="1"/>
  <c r="J351" i="2"/>
  <c r="H599" i="3" s="1"/>
  <c r="K351" i="2"/>
  <c r="I599" i="3" s="1"/>
  <c r="L351" i="2"/>
  <c r="J599" i="3" s="1"/>
  <c r="M351" i="2"/>
  <c r="I352" i="2"/>
  <c r="G40" i="3" s="1"/>
  <c r="J352" i="2"/>
  <c r="H40" i="3" s="1"/>
  <c r="K352" i="2"/>
  <c r="I40" i="3" s="1"/>
  <c r="L352" i="2"/>
  <c r="J40" i="3" s="1"/>
  <c r="M352" i="2"/>
  <c r="I353" i="2"/>
  <c r="G244" i="3" s="1"/>
  <c r="J353" i="2"/>
  <c r="H244" i="3" s="1"/>
  <c r="K353" i="2"/>
  <c r="I244" i="3" s="1"/>
  <c r="L353" i="2"/>
  <c r="J244" i="3" s="1"/>
  <c r="M353" i="2"/>
  <c r="I354" i="2"/>
  <c r="G117" i="3" s="1"/>
  <c r="J354" i="2"/>
  <c r="H117" i="3" s="1"/>
  <c r="K354" i="2"/>
  <c r="I117" i="3" s="1"/>
  <c r="L354" i="2"/>
  <c r="J117" i="3" s="1"/>
  <c r="M354" i="2"/>
  <c r="I355" i="2"/>
  <c r="G457" i="3" s="1"/>
  <c r="J355" i="2"/>
  <c r="H457" i="3" s="1"/>
  <c r="K355" i="2"/>
  <c r="I457" i="3" s="1"/>
  <c r="L355" i="2"/>
  <c r="J457" i="3" s="1"/>
  <c r="M355" i="2"/>
  <c r="I356" i="2"/>
  <c r="G135" i="3" s="1"/>
  <c r="J356" i="2"/>
  <c r="H135" i="3" s="1"/>
  <c r="K356" i="2"/>
  <c r="I135" i="3" s="1"/>
  <c r="L356" i="2"/>
  <c r="J135" i="3" s="1"/>
  <c r="M356" i="2"/>
  <c r="I357" i="2"/>
  <c r="G358" i="3" s="1"/>
  <c r="J357" i="2"/>
  <c r="H358" i="3" s="1"/>
  <c r="K357" i="2"/>
  <c r="I358" i="3" s="1"/>
  <c r="L357" i="2"/>
  <c r="J358" i="3" s="1"/>
  <c r="M357" i="2"/>
  <c r="I358" i="2"/>
  <c r="G320" i="3" s="1"/>
  <c r="J358" i="2"/>
  <c r="H320" i="3" s="1"/>
  <c r="K358" i="2"/>
  <c r="I320" i="3" s="1"/>
  <c r="L358" i="2"/>
  <c r="J320" i="3" s="1"/>
  <c r="M358" i="2"/>
  <c r="I359" i="2"/>
  <c r="G375" i="3" s="1"/>
  <c r="J359" i="2"/>
  <c r="H375" i="3" s="1"/>
  <c r="K359" i="2"/>
  <c r="I375" i="3" s="1"/>
  <c r="L359" i="2"/>
  <c r="J375" i="3" s="1"/>
  <c r="M359" i="2"/>
  <c r="I360" i="2"/>
  <c r="G158" i="3" s="1"/>
  <c r="J360" i="2"/>
  <c r="H158" i="3" s="1"/>
  <c r="K360" i="2"/>
  <c r="I158" i="3" s="1"/>
  <c r="L360" i="2"/>
  <c r="J158" i="3" s="1"/>
  <c r="M360" i="2"/>
  <c r="I361" i="2"/>
  <c r="G213" i="3" s="1"/>
  <c r="J361" i="2"/>
  <c r="H213" i="3" s="1"/>
  <c r="K361" i="2"/>
  <c r="I213" i="3" s="1"/>
  <c r="L361" i="2"/>
  <c r="J213" i="3" s="1"/>
  <c r="M361" i="2"/>
  <c r="I362" i="2"/>
  <c r="G262" i="3" s="1"/>
  <c r="J362" i="2"/>
  <c r="H262" i="3" s="1"/>
  <c r="K362" i="2"/>
  <c r="I262" i="3" s="1"/>
  <c r="L362" i="2"/>
  <c r="J262" i="3" s="1"/>
  <c r="M362" i="2"/>
  <c r="I363" i="2"/>
  <c r="G555" i="3" s="1"/>
  <c r="J363" i="2"/>
  <c r="H555" i="3" s="1"/>
  <c r="K363" i="2"/>
  <c r="I555" i="3" s="1"/>
  <c r="L363" i="2"/>
  <c r="J555" i="3" s="1"/>
  <c r="M363" i="2"/>
  <c r="I364" i="2"/>
  <c r="G165" i="3" s="1"/>
  <c r="J364" i="2"/>
  <c r="H165" i="3" s="1"/>
  <c r="K364" i="2"/>
  <c r="I165" i="3" s="1"/>
  <c r="L364" i="2"/>
  <c r="J165" i="3" s="1"/>
  <c r="M364" i="2"/>
  <c r="I365" i="2"/>
  <c r="G55" i="3" s="1"/>
  <c r="J365" i="2"/>
  <c r="H55" i="3" s="1"/>
  <c r="K365" i="2"/>
  <c r="I55" i="3" s="1"/>
  <c r="L365" i="2"/>
  <c r="J55" i="3" s="1"/>
  <c r="M365" i="2"/>
  <c r="I366" i="2"/>
  <c r="G261" i="3" s="1"/>
  <c r="J366" i="2"/>
  <c r="H261" i="3" s="1"/>
  <c r="K366" i="2"/>
  <c r="I261" i="3" s="1"/>
  <c r="L366" i="2"/>
  <c r="J261" i="3" s="1"/>
  <c r="M366" i="2"/>
  <c r="I367" i="2"/>
  <c r="G456" i="3" s="1"/>
  <c r="J367" i="2"/>
  <c r="H456" i="3" s="1"/>
  <c r="K367" i="2"/>
  <c r="I456" i="3" s="1"/>
  <c r="L367" i="2"/>
  <c r="J456" i="3" s="1"/>
  <c r="M367" i="2"/>
  <c r="I368" i="2"/>
  <c r="G293" i="3" s="1"/>
  <c r="J368" i="2"/>
  <c r="H293" i="3" s="1"/>
  <c r="K368" i="2"/>
  <c r="I293" i="3" s="1"/>
  <c r="L368" i="2"/>
  <c r="J293" i="3" s="1"/>
  <c r="M368" i="2"/>
  <c r="I369" i="2"/>
  <c r="G563" i="3" s="1"/>
  <c r="J369" i="2"/>
  <c r="H563" i="3" s="1"/>
  <c r="K369" i="2"/>
  <c r="I563" i="3" s="1"/>
  <c r="L369" i="2"/>
  <c r="J563" i="3" s="1"/>
  <c r="M369" i="2"/>
  <c r="I370" i="2"/>
  <c r="G215" i="3" s="1"/>
  <c r="J370" i="2"/>
  <c r="H215" i="3" s="1"/>
  <c r="K370" i="2"/>
  <c r="I215" i="3" s="1"/>
  <c r="L370" i="2"/>
  <c r="J215" i="3" s="1"/>
  <c r="M370" i="2"/>
  <c r="I371" i="2"/>
  <c r="G566" i="3" s="1"/>
  <c r="J371" i="2"/>
  <c r="H566" i="3" s="1"/>
  <c r="K371" i="2"/>
  <c r="I566" i="3" s="1"/>
  <c r="L371" i="2"/>
  <c r="J566" i="3" s="1"/>
  <c r="M371" i="2"/>
  <c r="I372" i="2"/>
  <c r="G589" i="3" s="1"/>
  <c r="J372" i="2"/>
  <c r="H589" i="3" s="1"/>
  <c r="K372" i="2"/>
  <c r="I589" i="3" s="1"/>
  <c r="L372" i="2"/>
  <c r="J589" i="3" s="1"/>
  <c r="M372" i="2"/>
  <c r="I373" i="2"/>
  <c r="G470" i="3" s="1"/>
  <c r="J373" i="2"/>
  <c r="H470" i="3" s="1"/>
  <c r="K373" i="2"/>
  <c r="I470" i="3" s="1"/>
  <c r="L373" i="2"/>
  <c r="J470" i="3" s="1"/>
  <c r="M373" i="2"/>
  <c r="I374" i="2"/>
  <c r="G245" i="3" s="1"/>
  <c r="J374" i="2"/>
  <c r="H245" i="3" s="1"/>
  <c r="K374" i="2"/>
  <c r="I245" i="3" s="1"/>
  <c r="L374" i="2"/>
  <c r="J245" i="3" s="1"/>
  <c r="M374" i="2"/>
  <c r="I375" i="2"/>
  <c r="G307" i="3" s="1"/>
  <c r="J375" i="2"/>
  <c r="H307" i="3" s="1"/>
  <c r="K375" i="2"/>
  <c r="I307" i="3" s="1"/>
  <c r="L375" i="2"/>
  <c r="J307" i="3" s="1"/>
  <c r="M375" i="2"/>
  <c r="I376" i="2"/>
  <c r="G427" i="3" s="1"/>
  <c r="J376" i="2"/>
  <c r="H427" i="3" s="1"/>
  <c r="K376" i="2"/>
  <c r="I427" i="3" s="1"/>
  <c r="L376" i="2"/>
  <c r="J427" i="3" s="1"/>
  <c r="M376" i="2"/>
  <c r="I377" i="2"/>
  <c r="G372" i="3" s="1"/>
  <c r="J377" i="2"/>
  <c r="H372" i="3" s="1"/>
  <c r="K377" i="2"/>
  <c r="I372" i="3" s="1"/>
  <c r="L377" i="2"/>
  <c r="J372" i="3" s="1"/>
  <c r="M377" i="2"/>
  <c r="I378" i="2"/>
  <c r="J378" i="2"/>
  <c r="K378" i="2"/>
  <c r="L378" i="2"/>
  <c r="M378" i="2"/>
  <c r="I379" i="2"/>
  <c r="G76" i="3" s="1"/>
  <c r="J379" i="2"/>
  <c r="H76" i="3" s="1"/>
  <c r="K379" i="2"/>
  <c r="I76" i="3" s="1"/>
  <c r="L379" i="2"/>
  <c r="J76" i="3" s="1"/>
  <c r="M379" i="2"/>
  <c r="I380" i="2"/>
  <c r="G168" i="3" s="1"/>
  <c r="J380" i="2"/>
  <c r="H168" i="3" s="1"/>
  <c r="K380" i="2"/>
  <c r="I168" i="3" s="1"/>
  <c r="L380" i="2"/>
  <c r="J168" i="3" s="1"/>
  <c r="M380" i="2"/>
  <c r="I381" i="2"/>
  <c r="G592" i="3" s="1"/>
  <c r="J381" i="2"/>
  <c r="H592" i="3" s="1"/>
  <c r="K381" i="2"/>
  <c r="I592" i="3" s="1"/>
  <c r="L381" i="2"/>
  <c r="J592" i="3" s="1"/>
  <c r="M381" i="2"/>
  <c r="I382" i="2"/>
  <c r="G460" i="3" s="1"/>
  <c r="J382" i="2"/>
  <c r="H460" i="3" s="1"/>
  <c r="K382" i="2"/>
  <c r="I460" i="3" s="1"/>
  <c r="L382" i="2"/>
  <c r="J460" i="3" s="1"/>
  <c r="M382" i="2"/>
  <c r="I383" i="2"/>
  <c r="G18" i="3" s="1"/>
  <c r="J383" i="2"/>
  <c r="H18" i="3" s="1"/>
  <c r="K383" i="2"/>
  <c r="I18" i="3" s="1"/>
  <c r="L383" i="2"/>
  <c r="J18" i="3" s="1"/>
  <c r="M383" i="2"/>
  <c r="I384" i="2"/>
  <c r="G551" i="3" s="1"/>
  <c r="J384" i="2"/>
  <c r="H551" i="3" s="1"/>
  <c r="K384" i="2"/>
  <c r="I551" i="3" s="1"/>
  <c r="L384" i="2"/>
  <c r="J551" i="3" s="1"/>
  <c r="M384" i="2"/>
  <c r="I385" i="2"/>
  <c r="G528" i="3" s="1"/>
  <c r="J385" i="2"/>
  <c r="H528" i="3" s="1"/>
  <c r="K385" i="2"/>
  <c r="I528" i="3" s="1"/>
  <c r="L385" i="2"/>
  <c r="J528" i="3" s="1"/>
  <c r="M385" i="2"/>
  <c r="I386" i="2"/>
  <c r="G43" i="3" s="1"/>
  <c r="J386" i="2"/>
  <c r="H43" i="3" s="1"/>
  <c r="K386" i="2"/>
  <c r="I43" i="3" s="1"/>
  <c r="L386" i="2"/>
  <c r="J43" i="3" s="1"/>
  <c r="M386" i="2"/>
  <c r="I387" i="2"/>
  <c r="G164" i="3" s="1"/>
  <c r="J387" i="2"/>
  <c r="H164" i="3" s="1"/>
  <c r="K387" i="2"/>
  <c r="I164" i="3" s="1"/>
  <c r="L387" i="2"/>
  <c r="J164" i="3" s="1"/>
  <c r="M387" i="2"/>
  <c r="I388" i="2"/>
  <c r="G257" i="3" s="1"/>
  <c r="J388" i="2"/>
  <c r="H257" i="3" s="1"/>
  <c r="K388" i="2"/>
  <c r="I257" i="3" s="1"/>
  <c r="L388" i="2"/>
  <c r="J257" i="3" s="1"/>
  <c r="M388" i="2"/>
  <c r="I389" i="2"/>
  <c r="G277" i="3" s="1"/>
  <c r="J389" i="2"/>
  <c r="H277" i="3" s="1"/>
  <c r="K389" i="2"/>
  <c r="I277" i="3" s="1"/>
  <c r="L389" i="2"/>
  <c r="J277" i="3" s="1"/>
  <c r="M389" i="2"/>
  <c r="I390" i="2"/>
  <c r="G532" i="3" s="1"/>
  <c r="J390" i="2"/>
  <c r="H532" i="3" s="1"/>
  <c r="K390" i="2"/>
  <c r="I532" i="3" s="1"/>
  <c r="L390" i="2"/>
  <c r="J532" i="3" s="1"/>
  <c r="M390" i="2"/>
  <c r="I391" i="2"/>
  <c r="G404" i="3" s="1"/>
  <c r="J391" i="2"/>
  <c r="H404" i="3" s="1"/>
  <c r="K391" i="2"/>
  <c r="I404" i="3" s="1"/>
  <c r="L391" i="2"/>
  <c r="J404" i="3" s="1"/>
  <c r="M391" i="2"/>
  <c r="I392" i="2"/>
  <c r="G238" i="3" s="1"/>
  <c r="J392" i="2"/>
  <c r="H238" i="3" s="1"/>
  <c r="K392" i="2"/>
  <c r="I238" i="3" s="1"/>
  <c r="L392" i="2"/>
  <c r="J238" i="3" s="1"/>
  <c r="M392" i="2"/>
  <c r="I393" i="2"/>
  <c r="G449" i="3" s="1"/>
  <c r="J393" i="2"/>
  <c r="H449" i="3" s="1"/>
  <c r="K393" i="2"/>
  <c r="I449" i="3" s="1"/>
  <c r="L393" i="2"/>
  <c r="J449" i="3" s="1"/>
  <c r="M393" i="2"/>
  <c r="I394" i="2"/>
  <c r="G465" i="3" s="1"/>
  <c r="J394" i="2"/>
  <c r="H465" i="3" s="1"/>
  <c r="K394" i="2"/>
  <c r="I465" i="3" s="1"/>
  <c r="L394" i="2"/>
  <c r="J465" i="3" s="1"/>
  <c r="M394" i="2"/>
  <c r="I395" i="2"/>
  <c r="G385" i="3" s="1"/>
  <c r="J395" i="2"/>
  <c r="H385" i="3" s="1"/>
  <c r="K395" i="2"/>
  <c r="I385" i="3" s="1"/>
  <c r="L395" i="2"/>
  <c r="J385" i="3" s="1"/>
  <c r="M395" i="2"/>
  <c r="I396" i="2"/>
  <c r="G489" i="3" s="1"/>
  <c r="J396" i="2"/>
  <c r="H489" i="3" s="1"/>
  <c r="K396" i="2"/>
  <c r="I489" i="3" s="1"/>
  <c r="L396" i="2"/>
  <c r="J489" i="3" s="1"/>
  <c r="M396" i="2"/>
  <c r="I397" i="2"/>
  <c r="G587" i="3" s="1"/>
  <c r="J397" i="2"/>
  <c r="H587" i="3" s="1"/>
  <c r="K397" i="2"/>
  <c r="I587" i="3" s="1"/>
  <c r="L397" i="2"/>
  <c r="J587" i="3" s="1"/>
  <c r="M397" i="2"/>
  <c r="I398" i="2"/>
  <c r="G214" i="3" s="1"/>
  <c r="J398" i="2"/>
  <c r="H214" i="3" s="1"/>
  <c r="K398" i="2"/>
  <c r="I214" i="3" s="1"/>
  <c r="L398" i="2"/>
  <c r="J214" i="3" s="1"/>
  <c r="M398" i="2"/>
  <c r="I399" i="2"/>
  <c r="G48" i="3" s="1"/>
  <c r="J399" i="2"/>
  <c r="H48" i="3" s="1"/>
  <c r="K399" i="2"/>
  <c r="I48" i="3" s="1"/>
  <c r="L399" i="2"/>
  <c r="J48" i="3" s="1"/>
  <c r="M399" i="2"/>
  <c r="I400" i="2"/>
  <c r="G14" i="3" s="1"/>
  <c r="J400" i="2"/>
  <c r="H14" i="3" s="1"/>
  <c r="K400" i="2"/>
  <c r="I14" i="3" s="1"/>
  <c r="L400" i="2"/>
  <c r="J14" i="3" s="1"/>
  <c r="M400" i="2"/>
  <c r="I401" i="2"/>
  <c r="G346" i="3" s="1"/>
  <c r="J401" i="2"/>
  <c r="H346" i="3" s="1"/>
  <c r="K401" i="2"/>
  <c r="I346" i="3" s="1"/>
  <c r="L401" i="2"/>
  <c r="J346" i="3" s="1"/>
  <c r="M401" i="2"/>
  <c r="I402" i="2"/>
  <c r="G197" i="3" s="1"/>
  <c r="J402" i="2"/>
  <c r="H197" i="3" s="1"/>
  <c r="K402" i="2"/>
  <c r="I197" i="3" s="1"/>
  <c r="L402" i="2"/>
  <c r="J197" i="3" s="1"/>
  <c r="M402" i="2"/>
  <c r="I403" i="2"/>
  <c r="G379" i="3" s="1"/>
  <c r="J403" i="2"/>
  <c r="H379" i="3" s="1"/>
  <c r="K403" i="2"/>
  <c r="I379" i="3" s="1"/>
  <c r="L403" i="2"/>
  <c r="J379" i="3" s="1"/>
  <c r="M403" i="2"/>
  <c r="I404" i="2"/>
  <c r="G327" i="3" s="1"/>
  <c r="J404" i="2"/>
  <c r="H327" i="3" s="1"/>
  <c r="K404" i="2"/>
  <c r="I327" i="3" s="1"/>
  <c r="L404" i="2"/>
  <c r="J327" i="3" s="1"/>
  <c r="M404" i="2"/>
  <c r="I405" i="2"/>
  <c r="G194" i="3" s="1"/>
  <c r="J405" i="2"/>
  <c r="H194" i="3" s="1"/>
  <c r="K405" i="2"/>
  <c r="I194" i="3" s="1"/>
  <c r="L405" i="2"/>
  <c r="J194" i="3" s="1"/>
  <c r="M405" i="2"/>
  <c r="I406" i="2"/>
  <c r="G359" i="3" s="1"/>
  <c r="J406" i="2"/>
  <c r="H359" i="3" s="1"/>
  <c r="K406" i="2"/>
  <c r="I359" i="3" s="1"/>
  <c r="L406" i="2"/>
  <c r="J359" i="3" s="1"/>
  <c r="M406" i="2"/>
  <c r="I407" i="2"/>
  <c r="G74" i="3" s="1"/>
  <c r="J407" i="2"/>
  <c r="H74" i="3" s="1"/>
  <c r="K407" i="2"/>
  <c r="I74" i="3" s="1"/>
  <c r="L407" i="2"/>
  <c r="J74" i="3" s="1"/>
  <c r="M407" i="2"/>
  <c r="I408" i="2"/>
  <c r="G541" i="3" s="1"/>
  <c r="J408" i="2"/>
  <c r="H541" i="3" s="1"/>
  <c r="K408" i="2"/>
  <c r="I541" i="3" s="1"/>
  <c r="L408" i="2"/>
  <c r="J541" i="3" s="1"/>
  <c r="M408" i="2"/>
  <c r="I409" i="2"/>
  <c r="G33" i="3" s="1"/>
  <c r="J409" i="2"/>
  <c r="H33" i="3" s="1"/>
  <c r="K409" i="2"/>
  <c r="I33" i="3" s="1"/>
  <c r="L409" i="2"/>
  <c r="J33" i="3" s="1"/>
  <c r="M409" i="2"/>
  <c r="I410" i="2"/>
  <c r="G444" i="3" s="1"/>
  <c r="J410" i="2"/>
  <c r="H444" i="3" s="1"/>
  <c r="K410" i="2"/>
  <c r="I444" i="3" s="1"/>
  <c r="L410" i="2"/>
  <c r="J444" i="3" s="1"/>
  <c r="M410" i="2"/>
  <c r="I411" i="2"/>
  <c r="G189" i="3" s="1"/>
  <c r="J411" i="2"/>
  <c r="H189" i="3" s="1"/>
  <c r="K411" i="2"/>
  <c r="I189" i="3" s="1"/>
  <c r="L411" i="2"/>
  <c r="J189" i="3" s="1"/>
  <c r="M411" i="2"/>
  <c r="I412" i="2"/>
  <c r="G468" i="3" s="1"/>
  <c r="J412" i="2"/>
  <c r="H468" i="3" s="1"/>
  <c r="K412" i="2"/>
  <c r="I468" i="3" s="1"/>
  <c r="L412" i="2"/>
  <c r="J468" i="3" s="1"/>
  <c r="M412" i="2"/>
  <c r="I413" i="2"/>
  <c r="G266" i="3" s="1"/>
  <c r="J413" i="2"/>
  <c r="H266" i="3" s="1"/>
  <c r="K413" i="2"/>
  <c r="I266" i="3" s="1"/>
  <c r="L413" i="2"/>
  <c r="J266" i="3" s="1"/>
  <c r="M413" i="2"/>
  <c r="I414" i="2"/>
  <c r="G202" i="3" s="1"/>
  <c r="J414" i="2"/>
  <c r="H202" i="3" s="1"/>
  <c r="K414" i="2"/>
  <c r="I202" i="3" s="1"/>
  <c r="L414" i="2"/>
  <c r="J202" i="3" s="1"/>
  <c r="M414" i="2"/>
  <c r="I415" i="2"/>
  <c r="G41" i="3" s="1"/>
  <c r="J415" i="2"/>
  <c r="H41" i="3" s="1"/>
  <c r="K415" i="2"/>
  <c r="I41" i="3" s="1"/>
  <c r="L415" i="2"/>
  <c r="J41" i="3" s="1"/>
  <c r="M415" i="2"/>
  <c r="I416" i="2"/>
  <c r="G421" i="3" s="1"/>
  <c r="J416" i="2"/>
  <c r="H421" i="3" s="1"/>
  <c r="K416" i="2"/>
  <c r="I421" i="3" s="1"/>
  <c r="L416" i="2"/>
  <c r="J421" i="3" s="1"/>
  <c r="M416" i="2"/>
  <c r="I417" i="2"/>
  <c r="G265" i="3" s="1"/>
  <c r="J417" i="2"/>
  <c r="H265" i="3" s="1"/>
  <c r="K417" i="2"/>
  <c r="I265" i="3" s="1"/>
  <c r="L417" i="2"/>
  <c r="J265" i="3" s="1"/>
  <c r="M417" i="2"/>
  <c r="I418" i="2"/>
  <c r="G290" i="3" s="1"/>
  <c r="J418" i="2"/>
  <c r="H290" i="3" s="1"/>
  <c r="K418" i="2"/>
  <c r="I290" i="3" s="1"/>
  <c r="L418" i="2"/>
  <c r="J290" i="3" s="1"/>
  <c r="M418" i="2"/>
  <c r="I419" i="2"/>
  <c r="G155" i="3" s="1"/>
  <c r="J419" i="2"/>
  <c r="H155" i="3" s="1"/>
  <c r="K419" i="2"/>
  <c r="I155" i="3" s="1"/>
  <c r="L419" i="2"/>
  <c r="J155" i="3" s="1"/>
  <c r="M419" i="2"/>
  <c r="I420" i="2"/>
  <c r="G102" i="3" s="1"/>
  <c r="J420" i="2"/>
  <c r="H102" i="3" s="1"/>
  <c r="K420" i="2"/>
  <c r="I102" i="3" s="1"/>
  <c r="L420" i="2"/>
  <c r="J102" i="3" s="1"/>
  <c r="M420" i="2"/>
  <c r="I421" i="2"/>
  <c r="G309" i="3" s="1"/>
  <c r="J421" i="2"/>
  <c r="H309" i="3" s="1"/>
  <c r="K421" i="2"/>
  <c r="I309" i="3" s="1"/>
  <c r="L421" i="2"/>
  <c r="J309" i="3" s="1"/>
  <c r="M421" i="2"/>
  <c r="I422" i="2"/>
  <c r="G192" i="3" s="1"/>
  <c r="J422" i="2"/>
  <c r="H192" i="3" s="1"/>
  <c r="K422" i="2"/>
  <c r="I192" i="3" s="1"/>
  <c r="L422" i="2"/>
  <c r="J192" i="3" s="1"/>
  <c r="M422" i="2"/>
  <c r="I423" i="2"/>
  <c r="G367" i="3" s="1"/>
  <c r="J423" i="2"/>
  <c r="H367" i="3" s="1"/>
  <c r="K423" i="2"/>
  <c r="I367" i="3" s="1"/>
  <c r="L423" i="2"/>
  <c r="J367" i="3" s="1"/>
  <c r="M423" i="2"/>
  <c r="I424" i="2"/>
  <c r="G343" i="3" s="1"/>
  <c r="J424" i="2"/>
  <c r="H343" i="3" s="1"/>
  <c r="K424" i="2"/>
  <c r="I343" i="3" s="1"/>
  <c r="L424" i="2"/>
  <c r="J343" i="3" s="1"/>
  <c r="M424" i="2"/>
  <c r="I425" i="2"/>
  <c r="G16" i="3" s="1"/>
  <c r="J425" i="2"/>
  <c r="H16" i="3" s="1"/>
  <c r="K425" i="2"/>
  <c r="I16" i="3" s="1"/>
  <c r="L425" i="2"/>
  <c r="J16" i="3" s="1"/>
  <c r="M425" i="2"/>
  <c r="I426" i="2"/>
  <c r="G446" i="3" s="1"/>
  <c r="J426" i="2"/>
  <c r="H446" i="3" s="1"/>
  <c r="K426" i="2"/>
  <c r="I446" i="3" s="1"/>
  <c r="L426" i="2"/>
  <c r="J446" i="3" s="1"/>
  <c r="M426" i="2"/>
  <c r="I427" i="2"/>
  <c r="G82" i="3" s="1"/>
  <c r="J427" i="2"/>
  <c r="H82" i="3" s="1"/>
  <c r="K427" i="2"/>
  <c r="I82" i="3" s="1"/>
  <c r="L427" i="2"/>
  <c r="J82" i="3" s="1"/>
  <c r="M427" i="2"/>
  <c r="I428" i="2"/>
  <c r="G347" i="3" s="1"/>
  <c r="J428" i="2"/>
  <c r="H347" i="3" s="1"/>
  <c r="K428" i="2"/>
  <c r="I347" i="3" s="1"/>
  <c r="L428" i="2"/>
  <c r="J347" i="3" s="1"/>
  <c r="M428" i="2"/>
  <c r="I429" i="2"/>
  <c r="G416" i="3" s="1"/>
  <c r="J429" i="2"/>
  <c r="H416" i="3" s="1"/>
  <c r="K429" i="2"/>
  <c r="I416" i="3" s="1"/>
  <c r="L429" i="2"/>
  <c r="J416" i="3" s="1"/>
  <c r="M429" i="2"/>
  <c r="I430" i="2"/>
  <c r="G345" i="3" s="1"/>
  <c r="J430" i="2"/>
  <c r="H345" i="3" s="1"/>
  <c r="K430" i="2"/>
  <c r="I345" i="3" s="1"/>
  <c r="L430" i="2"/>
  <c r="J345" i="3" s="1"/>
  <c r="M430" i="2"/>
  <c r="I431" i="2"/>
  <c r="G601" i="3" s="1"/>
  <c r="J431" i="2"/>
  <c r="H601" i="3" s="1"/>
  <c r="K431" i="2"/>
  <c r="I601" i="3" s="1"/>
  <c r="L431" i="2"/>
  <c r="J601" i="3" s="1"/>
  <c r="M431" i="2"/>
  <c r="I432" i="2"/>
  <c r="G364" i="3" s="1"/>
  <c r="J432" i="2"/>
  <c r="H364" i="3" s="1"/>
  <c r="K432" i="2"/>
  <c r="I364" i="3" s="1"/>
  <c r="L432" i="2"/>
  <c r="J364" i="3" s="1"/>
  <c r="M432" i="2"/>
  <c r="I433" i="2"/>
  <c r="G272" i="3" s="1"/>
  <c r="J433" i="2"/>
  <c r="H272" i="3" s="1"/>
  <c r="K433" i="2"/>
  <c r="I272" i="3" s="1"/>
  <c r="L433" i="2"/>
  <c r="J272" i="3" s="1"/>
  <c r="M433" i="2"/>
  <c r="I434" i="2"/>
  <c r="G407" i="3" s="1"/>
  <c r="J434" i="2"/>
  <c r="H407" i="3" s="1"/>
  <c r="K434" i="2"/>
  <c r="I407" i="3" s="1"/>
  <c r="L434" i="2"/>
  <c r="J407" i="3" s="1"/>
  <c r="M434" i="2"/>
  <c r="I435" i="2"/>
  <c r="G443" i="3" s="1"/>
  <c r="J435" i="2"/>
  <c r="H443" i="3" s="1"/>
  <c r="K435" i="2"/>
  <c r="I443" i="3" s="1"/>
  <c r="L435" i="2"/>
  <c r="J443" i="3" s="1"/>
  <c r="M435" i="2"/>
  <c r="I436" i="2"/>
  <c r="G340" i="3" s="1"/>
  <c r="J436" i="2"/>
  <c r="H340" i="3" s="1"/>
  <c r="K436" i="2"/>
  <c r="I340" i="3" s="1"/>
  <c r="L436" i="2"/>
  <c r="J340" i="3" s="1"/>
  <c r="M436" i="2"/>
  <c r="I437" i="2"/>
  <c r="G492" i="3" s="1"/>
  <c r="J437" i="2"/>
  <c r="H492" i="3" s="1"/>
  <c r="K437" i="2"/>
  <c r="I492" i="3" s="1"/>
  <c r="L437" i="2"/>
  <c r="J492" i="3" s="1"/>
  <c r="M437" i="2"/>
  <c r="I438" i="2"/>
  <c r="G206" i="3" s="1"/>
  <c r="J438" i="2"/>
  <c r="H206" i="3" s="1"/>
  <c r="K438" i="2"/>
  <c r="I206" i="3" s="1"/>
  <c r="L438" i="2"/>
  <c r="J206" i="3" s="1"/>
  <c r="M438" i="2"/>
  <c r="I439" i="2"/>
  <c r="G306" i="3" s="1"/>
  <c r="J439" i="2"/>
  <c r="H306" i="3" s="1"/>
  <c r="K439" i="2"/>
  <c r="I306" i="3" s="1"/>
  <c r="L439" i="2"/>
  <c r="J306" i="3" s="1"/>
  <c r="M439" i="2"/>
  <c r="I440" i="2"/>
  <c r="G84" i="3" s="1"/>
  <c r="J440" i="2"/>
  <c r="H84" i="3" s="1"/>
  <c r="K440" i="2"/>
  <c r="I84" i="3" s="1"/>
  <c r="L440" i="2"/>
  <c r="J84" i="3" s="1"/>
  <c r="M440" i="2"/>
  <c r="I441" i="2"/>
  <c r="G211" i="3" s="1"/>
  <c r="J441" i="2"/>
  <c r="H211" i="3" s="1"/>
  <c r="K441" i="2"/>
  <c r="I211" i="3" s="1"/>
  <c r="L441" i="2"/>
  <c r="J211" i="3" s="1"/>
  <c r="M441" i="2"/>
  <c r="I442" i="2"/>
  <c r="G267" i="3" s="1"/>
  <c r="J442" i="2"/>
  <c r="H267" i="3" s="1"/>
  <c r="K442" i="2"/>
  <c r="I267" i="3" s="1"/>
  <c r="L442" i="2"/>
  <c r="J267" i="3" s="1"/>
  <c r="M442" i="2"/>
  <c r="I443" i="2"/>
  <c r="G442" i="3" s="1"/>
  <c r="J443" i="2"/>
  <c r="H442" i="3" s="1"/>
  <c r="K443" i="2"/>
  <c r="I442" i="3" s="1"/>
  <c r="L443" i="2"/>
  <c r="J442" i="3" s="1"/>
  <c r="M443" i="2"/>
  <c r="I444" i="2"/>
  <c r="G558" i="3" s="1"/>
  <c r="J444" i="2"/>
  <c r="H558" i="3" s="1"/>
  <c r="K444" i="2"/>
  <c r="I558" i="3" s="1"/>
  <c r="L444" i="2"/>
  <c r="J558" i="3" s="1"/>
  <c r="M444" i="2"/>
  <c r="I445" i="2"/>
  <c r="G448" i="3" s="1"/>
  <c r="J445" i="2"/>
  <c r="H448" i="3" s="1"/>
  <c r="K445" i="2"/>
  <c r="I448" i="3" s="1"/>
  <c r="L445" i="2"/>
  <c r="J448" i="3" s="1"/>
  <c r="M445" i="2"/>
  <c r="I446" i="2"/>
  <c r="G546" i="3" s="1"/>
  <c r="J446" i="2"/>
  <c r="H546" i="3" s="1"/>
  <c r="K446" i="2"/>
  <c r="I546" i="3" s="1"/>
  <c r="L446" i="2"/>
  <c r="J546" i="3" s="1"/>
  <c r="M446" i="2"/>
  <c r="I447" i="2"/>
  <c r="G409" i="3" s="1"/>
  <c r="J447" i="2"/>
  <c r="H409" i="3" s="1"/>
  <c r="K447" i="2"/>
  <c r="I409" i="3" s="1"/>
  <c r="L447" i="2"/>
  <c r="J409" i="3" s="1"/>
  <c r="M447" i="2"/>
  <c r="I448" i="2"/>
  <c r="G437" i="3" s="1"/>
  <c r="J448" i="2"/>
  <c r="H437" i="3" s="1"/>
  <c r="K448" i="2"/>
  <c r="I437" i="3" s="1"/>
  <c r="L448" i="2"/>
  <c r="J437" i="3" s="1"/>
  <c r="M448" i="2"/>
  <c r="I449" i="2"/>
  <c r="G207" i="3" s="1"/>
  <c r="J449" i="2"/>
  <c r="H207" i="3" s="1"/>
  <c r="K449" i="2"/>
  <c r="I207" i="3" s="1"/>
  <c r="L449" i="2"/>
  <c r="J207" i="3" s="1"/>
  <c r="M449" i="2"/>
  <c r="I450" i="2"/>
  <c r="G538" i="3" s="1"/>
  <c r="J450" i="2"/>
  <c r="H538" i="3" s="1"/>
  <c r="K450" i="2"/>
  <c r="I538" i="3" s="1"/>
  <c r="L450" i="2"/>
  <c r="J538" i="3" s="1"/>
  <c r="M450" i="2"/>
  <c r="I451" i="2"/>
  <c r="G112" i="3" s="1"/>
  <c r="J451" i="2"/>
  <c r="H112" i="3" s="1"/>
  <c r="K451" i="2"/>
  <c r="I112" i="3" s="1"/>
  <c r="L451" i="2"/>
  <c r="J112" i="3" s="1"/>
  <c r="M451" i="2"/>
  <c r="I452" i="2"/>
  <c r="G414" i="3" s="1"/>
  <c r="J452" i="2"/>
  <c r="H414" i="3" s="1"/>
  <c r="K452" i="2"/>
  <c r="I414" i="3" s="1"/>
  <c r="L452" i="2"/>
  <c r="J414" i="3" s="1"/>
  <c r="M452" i="2"/>
  <c r="I453" i="2"/>
  <c r="G334" i="3" s="1"/>
  <c r="J453" i="2"/>
  <c r="H334" i="3" s="1"/>
  <c r="K453" i="2"/>
  <c r="I334" i="3" s="1"/>
  <c r="L453" i="2"/>
  <c r="J334" i="3" s="1"/>
  <c r="M453" i="2"/>
  <c r="I454" i="2"/>
  <c r="G401" i="3" s="1"/>
  <c r="J454" i="2"/>
  <c r="H401" i="3" s="1"/>
  <c r="K454" i="2"/>
  <c r="I401" i="3" s="1"/>
  <c r="L454" i="2"/>
  <c r="J401" i="3" s="1"/>
  <c r="M454" i="2"/>
  <c r="I455" i="2"/>
  <c r="G78" i="3" s="1"/>
  <c r="J455" i="2"/>
  <c r="H78" i="3" s="1"/>
  <c r="K455" i="2"/>
  <c r="I78" i="3" s="1"/>
  <c r="L455" i="2"/>
  <c r="J78" i="3" s="1"/>
  <c r="M455" i="2"/>
  <c r="I456" i="2"/>
  <c r="G37" i="3" s="1"/>
  <c r="J456" i="2"/>
  <c r="H37" i="3" s="1"/>
  <c r="K456" i="2"/>
  <c r="I37" i="3" s="1"/>
  <c r="L456" i="2"/>
  <c r="J37" i="3" s="1"/>
  <c r="M456" i="2"/>
  <c r="I457" i="2"/>
  <c r="G423" i="3" s="1"/>
  <c r="J457" i="2"/>
  <c r="H423" i="3" s="1"/>
  <c r="K457" i="2"/>
  <c r="I423" i="3" s="1"/>
  <c r="L457" i="2"/>
  <c r="J423" i="3" s="1"/>
  <c r="M457" i="2"/>
  <c r="I458" i="2"/>
  <c r="G349" i="3" s="1"/>
  <c r="J458" i="2"/>
  <c r="H349" i="3" s="1"/>
  <c r="K458" i="2"/>
  <c r="I349" i="3" s="1"/>
  <c r="L458" i="2"/>
  <c r="J349" i="3" s="1"/>
  <c r="M458" i="2"/>
  <c r="I459" i="2"/>
  <c r="G397" i="3" s="1"/>
  <c r="J459" i="2"/>
  <c r="H397" i="3" s="1"/>
  <c r="K459" i="2"/>
  <c r="I397" i="3" s="1"/>
  <c r="L459" i="2"/>
  <c r="J397" i="3" s="1"/>
  <c r="M459" i="2"/>
  <c r="I460" i="2"/>
  <c r="G511" i="3" s="1"/>
  <c r="J460" i="2"/>
  <c r="H511" i="3" s="1"/>
  <c r="K460" i="2"/>
  <c r="I511" i="3" s="1"/>
  <c r="L460" i="2"/>
  <c r="J511" i="3" s="1"/>
  <c r="M460" i="2"/>
  <c r="I461" i="2"/>
  <c r="G400" i="3" s="1"/>
  <c r="J461" i="2"/>
  <c r="H400" i="3" s="1"/>
  <c r="K461" i="2"/>
  <c r="I400" i="3" s="1"/>
  <c r="L461" i="2"/>
  <c r="J400" i="3" s="1"/>
  <c r="M461" i="2"/>
  <c r="I462" i="2"/>
  <c r="G282" i="3" s="1"/>
  <c r="J462" i="2"/>
  <c r="H282" i="3" s="1"/>
  <c r="K462" i="2"/>
  <c r="I282" i="3" s="1"/>
  <c r="L462" i="2"/>
  <c r="J282" i="3" s="1"/>
  <c r="M462" i="2"/>
  <c r="I463" i="2"/>
  <c r="G185" i="3" s="1"/>
  <c r="J463" i="2"/>
  <c r="H185" i="3" s="1"/>
  <c r="K463" i="2"/>
  <c r="I185" i="3" s="1"/>
  <c r="L463" i="2"/>
  <c r="J185" i="3" s="1"/>
  <c r="M463" i="2"/>
  <c r="I464" i="2"/>
  <c r="G252" i="3" s="1"/>
  <c r="J464" i="2"/>
  <c r="H252" i="3" s="1"/>
  <c r="K464" i="2"/>
  <c r="I252" i="3" s="1"/>
  <c r="L464" i="2"/>
  <c r="J252" i="3" s="1"/>
  <c r="M464" i="2"/>
  <c r="I465" i="2"/>
  <c r="G605" i="3" s="1"/>
  <c r="J465" i="2"/>
  <c r="H605" i="3" s="1"/>
  <c r="K465" i="2"/>
  <c r="I605" i="3" s="1"/>
  <c r="L465" i="2"/>
  <c r="J605" i="3" s="1"/>
  <c r="M465" i="2"/>
  <c r="I466" i="2"/>
  <c r="G61" i="3" s="1"/>
  <c r="J466" i="2"/>
  <c r="H61" i="3" s="1"/>
  <c r="K466" i="2"/>
  <c r="I61" i="3" s="1"/>
  <c r="L466" i="2"/>
  <c r="J61" i="3" s="1"/>
  <c r="M466" i="2"/>
  <c r="I467" i="2"/>
  <c r="G57" i="3" s="1"/>
  <c r="J467" i="2"/>
  <c r="H57" i="3" s="1"/>
  <c r="K467" i="2"/>
  <c r="I57" i="3" s="1"/>
  <c r="L467" i="2"/>
  <c r="J57" i="3" s="1"/>
  <c r="M467" i="2"/>
  <c r="I468" i="2"/>
  <c r="G308" i="3" s="1"/>
  <c r="J468" i="2"/>
  <c r="H308" i="3" s="1"/>
  <c r="K468" i="2"/>
  <c r="I308" i="3" s="1"/>
  <c r="L468" i="2"/>
  <c r="J308" i="3" s="1"/>
  <c r="M468" i="2"/>
  <c r="I469" i="2"/>
  <c r="G542" i="3" s="1"/>
  <c r="J469" i="2"/>
  <c r="H542" i="3" s="1"/>
  <c r="K469" i="2"/>
  <c r="I542" i="3" s="1"/>
  <c r="L469" i="2"/>
  <c r="J542" i="3" s="1"/>
  <c r="M469" i="2"/>
  <c r="I470" i="2"/>
  <c r="G463" i="3" s="1"/>
  <c r="J470" i="2"/>
  <c r="H463" i="3" s="1"/>
  <c r="K470" i="2"/>
  <c r="I463" i="3" s="1"/>
  <c r="L470" i="2"/>
  <c r="J463" i="3" s="1"/>
  <c r="M470" i="2"/>
  <c r="I471" i="2"/>
  <c r="G503" i="3" s="1"/>
  <c r="J471" i="2"/>
  <c r="H503" i="3" s="1"/>
  <c r="K471" i="2"/>
  <c r="I503" i="3" s="1"/>
  <c r="L471" i="2"/>
  <c r="J503" i="3" s="1"/>
  <c r="M471" i="2"/>
  <c r="I472" i="2"/>
  <c r="G504" i="3" s="1"/>
  <c r="J472" i="2"/>
  <c r="H504" i="3" s="1"/>
  <c r="K472" i="2"/>
  <c r="I504" i="3" s="1"/>
  <c r="L472" i="2"/>
  <c r="J504" i="3" s="1"/>
  <c r="M472" i="2"/>
  <c r="I473" i="2"/>
  <c r="G506" i="3" s="1"/>
  <c r="J473" i="2"/>
  <c r="H506" i="3" s="1"/>
  <c r="K473" i="2"/>
  <c r="I506" i="3" s="1"/>
  <c r="L473" i="2"/>
  <c r="J506" i="3" s="1"/>
  <c r="M473" i="2"/>
  <c r="I474" i="2"/>
  <c r="G7" i="3" s="1"/>
  <c r="J474" i="2"/>
  <c r="H7" i="3" s="1"/>
  <c r="K474" i="2"/>
  <c r="I7" i="3" s="1"/>
  <c r="L474" i="2"/>
  <c r="J7" i="3" s="1"/>
  <c r="M474" i="2"/>
  <c r="I475" i="2"/>
  <c r="G488" i="3" s="1"/>
  <c r="J475" i="2"/>
  <c r="H488" i="3" s="1"/>
  <c r="K475" i="2"/>
  <c r="I488" i="3" s="1"/>
  <c r="L475" i="2"/>
  <c r="J488" i="3" s="1"/>
  <c r="M475" i="2"/>
  <c r="I476" i="2"/>
  <c r="G525" i="3" s="1"/>
  <c r="J476" i="2"/>
  <c r="H525" i="3" s="1"/>
  <c r="K476" i="2"/>
  <c r="I525" i="3" s="1"/>
  <c r="L476" i="2"/>
  <c r="J525" i="3" s="1"/>
  <c r="M476" i="2"/>
  <c r="I477" i="2"/>
  <c r="G130" i="3" s="1"/>
  <c r="J477" i="2"/>
  <c r="H130" i="3" s="1"/>
  <c r="K477" i="2"/>
  <c r="I130" i="3" s="1"/>
  <c r="L477" i="2"/>
  <c r="J130" i="3" s="1"/>
  <c r="M477" i="2"/>
  <c r="I478" i="2"/>
  <c r="G142" i="3" s="1"/>
  <c r="J478" i="2"/>
  <c r="H142" i="3" s="1"/>
  <c r="K478" i="2"/>
  <c r="I142" i="3" s="1"/>
  <c r="L478" i="2"/>
  <c r="J142" i="3" s="1"/>
  <c r="M478" i="2"/>
  <c r="I479" i="2"/>
  <c r="G593" i="3" s="1"/>
  <c r="J479" i="2"/>
  <c r="H593" i="3" s="1"/>
  <c r="K479" i="2"/>
  <c r="I593" i="3" s="1"/>
  <c r="L479" i="2"/>
  <c r="J593" i="3" s="1"/>
  <c r="M479" i="2"/>
  <c r="I480" i="2"/>
  <c r="G38" i="3" s="1"/>
  <c r="J480" i="2"/>
  <c r="H38" i="3" s="1"/>
  <c r="K480" i="2"/>
  <c r="I38" i="3" s="1"/>
  <c r="L480" i="2"/>
  <c r="J38" i="3" s="1"/>
  <c r="M480" i="2"/>
  <c r="I481" i="2"/>
  <c r="G209" i="3" s="1"/>
  <c r="J481" i="2"/>
  <c r="H209" i="3" s="1"/>
  <c r="K481" i="2"/>
  <c r="I209" i="3" s="1"/>
  <c r="L481" i="2"/>
  <c r="J209" i="3" s="1"/>
  <c r="M481" i="2"/>
  <c r="I482" i="2"/>
  <c r="G270" i="3" s="1"/>
  <c r="J482" i="2"/>
  <c r="H270" i="3" s="1"/>
  <c r="K482" i="2"/>
  <c r="I270" i="3" s="1"/>
  <c r="L482" i="2"/>
  <c r="J270" i="3" s="1"/>
  <c r="M482" i="2"/>
  <c r="I483" i="2"/>
  <c r="G260" i="3" s="1"/>
  <c r="J483" i="2"/>
  <c r="H260" i="3" s="1"/>
  <c r="K483" i="2"/>
  <c r="I260" i="3" s="1"/>
  <c r="L483" i="2"/>
  <c r="J260" i="3" s="1"/>
  <c r="M483" i="2"/>
  <c r="I484" i="2"/>
  <c r="G394" i="3" s="1"/>
  <c r="J484" i="2"/>
  <c r="H394" i="3" s="1"/>
  <c r="K484" i="2"/>
  <c r="I394" i="3" s="1"/>
  <c r="L484" i="2"/>
  <c r="J394" i="3" s="1"/>
  <c r="M484" i="2"/>
  <c r="I485" i="2"/>
  <c r="G71" i="3" s="1"/>
  <c r="J485" i="2"/>
  <c r="H71" i="3" s="1"/>
  <c r="K485" i="2"/>
  <c r="I71" i="3" s="1"/>
  <c r="L485" i="2"/>
  <c r="J71" i="3" s="1"/>
  <c r="M485" i="2"/>
  <c r="I486" i="2"/>
  <c r="G373" i="3" s="1"/>
  <c r="J486" i="2"/>
  <c r="H373" i="3" s="1"/>
  <c r="K486" i="2"/>
  <c r="I373" i="3" s="1"/>
  <c r="L486" i="2"/>
  <c r="J373" i="3" s="1"/>
  <c r="M486" i="2"/>
  <c r="I487" i="2"/>
  <c r="G454" i="3" s="1"/>
  <c r="J487" i="2"/>
  <c r="H454" i="3" s="1"/>
  <c r="K487" i="2"/>
  <c r="I454" i="3" s="1"/>
  <c r="L487" i="2"/>
  <c r="J454" i="3" s="1"/>
  <c r="M487" i="2"/>
  <c r="I488" i="2"/>
  <c r="G413" i="3" s="1"/>
  <c r="J488" i="2"/>
  <c r="H413" i="3" s="1"/>
  <c r="K488" i="2"/>
  <c r="I413" i="3" s="1"/>
  <c r="L488" i="2"/>
  <c r="J413" i="3" s="1"/>
  <c r="M488" i="2"/>
  <c r="I489" i="2"/>
  <c r="G179" i="3" s="1"/>
  <c r="J489" i="2"/>
  <c r="H179" i="3" s="1"/>
  <c r="K489" i="2"/>
  <c r="I179" i="3" s="1"/>
  <c r="L489" i="2"/>
  <c r="J179" i="3" s="1"/>
  <c r="M489" i="2"/>
  <c r="I490" i="2"/>
  <c r="G5" i="3" s="1"/>
  <c r="J490" i="2"/>
  <c r="H5" i="3" s="1"/>
  <c r="K490" i="2"/>
  <c r="I5" i="3" s="1"/>
  <c r="L490" i="2"/>
  <c r="J5" i="3" s="1"/>
  <c r="M490" i="2"/>
  <c r="I491" i="2"/>
  <c r="G94" i="3" s="1"/>
  <c r="J491" i="2"/>
  <c r="H94" i="3" s="1"/>
  <c r="K491" i="2"/>
  <c r="I94" i="3" s="1"/>
  <c r="L491" i="2"/>
  <c r="J94" i="3" s="1"/>
  <c r="M491" i="2"/>
  <c r="I492" i="2"/>
  <c r="G114" i="3" s="1"/>
  <c r="J492" i="2"/>
  <c r="H114" i="3" s="1"/>
  <c r="K492" i="2"/>
  <c r="I114" i="3" s="1"/>
  <c r="L492" i="2"/>
  <c r="J114" i="3" s="1"/>
  <c r="M492" i="2"/>
  <c r="I493" i="2"/>
  <c r="G432" i="3" s="1"/>
  <c r="J493" i="2"/>
  <c r="H432" i="3" s="1"/>
  <c r="K493" i="2"/>
  <c r="I432" i="3" s="1"/>
  <c r="L493" i="2"/>
  <c r="J432" i="3" s="1"/>
  <c r="M493" i="2"/>
  <c r="I494" i="2"/>
  <c r="G286" i="3" s="1"/>
  <c r="J494" i="2"/>
  <c r="H286" i="3" s="1"/>
  <c r="K494" i="2"/>
  <c r="I286" i="3" s="1"/>
  <c r="L494" i="2"/>
  <c r="J286" i="3" s="1"/>
  <c r="M494" i="2"/>
  <c r="I495" i="2"/>
  <c r="G233" i="3" s="1"/>
  <c r="J495" i="2"/>
  <c r="H233" i="3" s="1"/>
  <c r="K495" i="2"/>
  <c r="I233" i="3" s="1"/>
  <c r="L495" i="2"/>
  <c r="J233" i="3" s="1"/>
  <c r="M495" i="2"/>
  <c r="I496" i="2"/>
  <c r="G486" i="3" s="1"/>
  <c r="J496" i="2"/>
  <c r="H486" i="3" s="1"/>
  <c r="K496" i="2"/>
  <c r="I486" i="3" s="1"/>
  <c r="L496" i="2"/>
  <c r="J486" i="3" s="1"/>
  <c r="M496" i="2"/>
  <c r="I497" i="2"/>
  <c r="G283" i="3" s="1"/>
  <c r="J497" i="2"/>
  <c r="H283" i="3" s="1"/>
  <c r="K497" i="2"/>
  <c r="I283" i="3" s="1"/>
  <c r="L497" i="2"/>
  <c r="J283" i="3" s="1"/>
  <c r="M497" i="2"/>
  <c r="I498" i="2"/>
  <c r="G128" i="3" s="1"/>
  <c r="J498" i="2"/>
  <c r="H128" i="3" s="1"/>
  <c r="K498" i="2"/>
  <c r="I128" i="3" s="1"/>
  <c r="L498" i="2"/>
  <c r="J128" i="3" s="1"/>
  <c r="M498" i="2"/>
  <c r="I499" i="2"/>
  <c r="G12" i="3" s="1"/>
  <c r="J499" i="2"/>
  <c r="H12" i="3" s="1"/>
  <c r="K499" i="2"/>
  <c r="I12" i="3" s="1"/>
  <c r="L499" i="2"/>
  <c r="J12" i="3" s="1"/>
  <c r="M499" i="2"/>
  <c r="I500" i="2"/>
  <c r="G137" i="3" s="1"/>
  <c r="J500" i="2"/>
  <c r="H137" i="3" s="1"/>
  <c r="K500" i="2"/>
  <c r="I137" i="3" s="1"/>
  <c r="L500" i="2"/>
  <c r="J137" i="3" s="1"/>
  <c r="M500" i="2"/>
  <c r="I501" i="2"/>
  <c r="G475" i="3" s="1"/>
  <c r="J501" i="2"/>
  <c r="H475" i="3" s="1"/>
  <c r="K501" i="2"/>
  <c r="I475" i="3" s="1"/>
  <c r="L501" i="2"/>
  <c r="J475" i="3" s="1"/>
  <c r="M501" i="2"/>
  <c r="I502" i="2"/>
  <c r="G227" i="3" s="1"/>
  <c r="J502" i="2"/>
  <c r="H227" i="3" s="1"/>
  <c r="K502" i="2"/>
  <c r="I227" i="3" s="1"/>
  <c r="L502" i="2"/>
  <c r="J227" i="3" s="1"/>
  <c r="M502" i="2"/>
  <c r="I503" i="2"/>
  <c r="G183" i="3" s="1"/>
  <c r="J503" i="2"/>
  <c r="H183" i="3" s="1"/>
  <c r="K503" i="2"/>
  <c r="I183" i="3" s="1"/>
  <c r="L503" i="2"/>
  <c r="J183" i="3" s="1"/>
  <c r="M503" i="2"/>
  <c r="I504" i="2"/>
  <c r="G88" i="3" s="1"/>
  <c r="J504" i="2"/>
  <c r="H88" i="3" s="1"/>
  <c r="K504" i="2"/>
  <c r="I88" i="3" s="1"/>
  <c r="L504" i="2"/>
  <c r="J88" i="3" s="1"/>
  <c r="M504" i="2"/>
  <c r="I505" i="2"/>
  <c r="G299" i="3" s="1"/>
  <c r="J505" i="2"/>
  <c r="H299" i="3" s="1"/>
  <c r="K505" i="2"/>
  <c r="I299" i="3" s="1"/>
  <c r="L505" i="2"/>
  <c r="J299" i="3" s="1"/>
  <c r="M505" i="2"/>
  <c r="I506" i="2"/>
  <c r="G275" i="3" s="1"/>
  <c r="J506" i="2"/>
  <c r="H275" i="3" s="1"/>
  <c r="K506" i="2"/>
  <c r="I275" i="3" s="1"/>
  <c r="L506" i="2"/>
  <c r="J275" i="3" s="1"/>
  <c r="M506" i="2"/>
  <c r="I507" i="2"/>
  <c r="G264" i="3" s="1"/>
  <c r="J507" i="2"/>
  <c r="H264" i="3" s="1"/>
  <c r="K507" i="2"/>
  <c r="I264" i="3" s="1"/>
  <c r="L507" i="2"/>
  <c r="J264" i="3" s="1"/>
  <c r="M507" i="2"/>
  <c r="I508" i="2"/>
  <c r="G406" i="3" s="1"/>
  <c r="J508" i="2"/>
  <c r="H406" i="3" s="1"/>
  <c r="K508" i="2"/>
  <c r="I406" i="3" s="1"/>
  <c r="L508" i="2"/>
  <c r="J406" i="3" s="1"/>
  <c r="M508" i="2"/>
  <c r="I509" i="2"/>
  <c r="G166" i="3" s="1"/>
  <c r="J509" i="2"/>
  <c r="H166" i="3" s="1"/>
  <c r="K509" i="2"/>
  <c r="I166" i="3" s="1"/>
  <c r="L509" i="2"/>
  <c r="J166" i="3" s="1"/>
  <c r="M509" i="2"/>
  <c r="I510" i="2"/>
  <c r="G110" i="3" s="1"/>
  <c r="J510" i="2"/>
  <c r="H110" i="3" s="1"/>
  <c r="K510" i="2"/>
  <c r="I110" i="3" s="1"/>
  <c r="L510" i="2"/>
  <c r="J110" i="3" s="1"/>
  <c r="M510" i="2"/>
  <c r="I511" i="2"/>
  <c r="G205" i="3" s="1"/>
  <c r="J511" i="2"/>
  <c r="H205" i="3" s="1"/>
  <c r="K511" i="2"/>
  <c r="I205" i="3" s="1"/>
  <c r="L511" i="2"/>
  <c r="J205" i="3" s="1"/>
  <c r="M511" i="2"/>
  <c r="I512" i="2"/>
  <c r="G36" i="3" s="1"/>
  <c r="J512" i="2"/>
  <c r="H36" i="3" s="1"/>
  <c r="K512" i="2"/>
  <c r="I36" i="3" s="1"/>
  <c r="L512" i="2"/>
  <c r="J36" i="3" s="1"/>
  <c r="M512" i="2"/>
  <c r="I513" i="2"/>
  <c r="G151" i="3" s="1"/>
  <c r="J513" i="2"/>
  <c r="H151" i="3" s="1"/>
  <c r="K513" i="2"/>
  <c r="I151" i="3" s="1"/>
  <c r="L513" i="2"/>
  <c r="J151" i="3" s="1"/>
  <c r="M513" i="2"/>
  <c r="I514" i="2"/>
  <c r="G490" i="3" s="1"/>
  <c r="J514" i="2"/>
  <c r="H490" i="3" s="1"/>
  <c r="K514" i="2"/>
  <c r="I490" i="3" s="1"/>
  <c r="L514" i="2"/>
  <c r="J490" i="3" s="1"/>
  <c r="M514" i="2"/>
  <c r="I515" i="2"/>
  <c r="G187" i="3" s="1"/>
  <c r="J515" i="2"/>
  <c r="H187" i="3" s="1"/>
  <c r="K515" i="2"/>
  <c r="I187" i="3" s="1"/>
  <c r="L515" i="2"/>
  <c r="J187" i="3" s="1"/>
  <c r="M515" i="2"/>
  <c r="I516" i="2"/>
  <c r="G52" i="3" s="1"/>
  <c r="J516" i="2"/>
  <c r="H52" i="3" s="1"/>
  <c r="K516" i="2"/>
  <c r="I52" i="3" s="1"/>
  <c r="L516" i="2"/>
  <c r="J52" i="3" s="1"/>
  <c r="M516" i="2"/>
  <c r="I517" i="2"/>
  <c r="G249" i="3" s="1"/>
  <c r="J517" i="2"/>
  <c r="H249" i="3" s="1"/>
  <c r="K517" i="2"/>
  <c r="I249" i="3" s="1"/>
  <c r="L517" i="2"/>
  <c r="J249" i="3" s="1"/>
  <c r="M517" i="2"/>
  <c r="I518" i="2"/>
  <c r="G250" i="3" s="1"/>
  <c r="J518" i="2"/>
  <c r="H250" i="3" s="1"/>
  <c r="K518" i="2"/>
  <c r="I250" i="3" s="1"/>
  <c r="L518" i="2"/>
  <c r="J250" i="3" s="1"/>
  <c r="M518" i="2"/>
  <c r="I519" i="2"/>
  <c r="G332" i="3" s="1"/>
  <c r="J519" i="2"/>
  <c r="H332" i="3" s="1"/>
  <c r="K519" i="2"/>
  <c r="I332" i="3" s="1"/>
  <c r="L519" i="2"/>
  <c r="J332" i="3" s="1"/>
  <c r="M519" i="2"/>
  <c r="I520" i="2"/>
  <c r="G234" i="3" s="1"/>
  <c r="J520" i="2"/>
  <c r="H234" i="3" s="1"/>
  <c r="K520" i="2"/>
  <c r="I234" i="3" s="1"/>
  <c r="L520" i="2"/>
  <c r="J234" i="3" s="1"/>
  <c r="M520" i="2"/>
  <c r="I521" i="2"/>
  <c r="G531" i="3" s="1"/>
  <c r="J521" i="2"/>
  <c r="H531" i="3" s="1"/>
  <c r="K521" i="2"/>
  <c r="I531" i="3" s="1"/>
  <c r="L521" i="2"/>
  <c r="J531" i="3" s="1"/>
  <c r="M521" i="2"/>
  <c r="I522" i="2"/>
  <c r="G292" i="3" s="1"/>
  <c r="J522" i="2"/>
  <c r="H292" i="3" s="1"/>
  <c r="K522" i="2"/>
  <c r="I292" i="3" s="1"/>
  <c r="L522" i="2"/>
  <c r="J292" i="3" s="1"/>
  <c r="M522" i="2"/>
  <c r="I523" i="2"/>
  <c r="G45" i="3" s="1"/>
  <c r="J523" i="2"/>
  <c r="H45" i="3" s="1"/>
  <c r="K523" i="2"/>
  <c r="I45" i="3" s="1"/>
  <c r="L523" i="2"/>
  <c r="J45" i="3" s="1"/>
  <c r="M523" i="2"/>
  <c r="I524" i="2"/>
  <c r="G402" i="3" s="1"/>
  <c r="J524" i="2"/>
  <c r="H402" i="3" s="1"/>
  <c r="K524" i="2"/>
  <c r="I402" i="3" s="1"/>
  <c r="L524" i="2"/>
  <c r="J402" i="3" s="1"/>
  <c r="M524" i="2"/>
  <c r="I525" i="2"/>
  <c r="G231" i="3" s="1"/>
  <c r="J525" i="2"/>
  <c r="H231" i="3" s="1"/>
  <c r="K525" i="2"/>
  <c r="I231" i="3" s="1"/>
  <c r="L525" i="2"/>
  <c r="J231" i="3" s="1"/>
  <c r="M525" i="2"/>
  <c r="I526" i="2"/>
  <c r="G311" i="3" s="1"/>
  <c r="J526" i="2"/>
  <c r="H311" i="3" s="1"/>
  <c r="K526" i="2"/>
  <c r="I311" i="3" s="1"/>
  <c r="L526" i="2"/>
  <c r="J311" i="3" s="1"/>
  <c r="M526" i="2"/>
  <c r="I527" i="2"/>
  <c r="G59" i="3" s="1"/>
  <c r="J527" i="2"/>
  <c r="H59" i="3" s="1"/>
  <c r="K527" i="2"/>
  <c r="I59" i="3" s="1"/>
  <c r="L527" i="2"/>
  <c r="J59" i="3" s="1"/>
  <c r="M527" i="2"/>
  <c r="I528" i="2"/>
  <c r="G331" i="3" s="1"/>
  <c r="J528" i="2"/>
  <c r="H331" i="3" s="1"/>
  <c r="K528" i="2"/>
  <c r="I331" i="3" s="1"/>
  <c r="L528" i="2"/>
  <c r="J331" i="3" s="1"/>
  <c r="M528" i="2"/>
  <c r="I529" i="2"/>
  <c r="G386" i="3" s="1"/>
  <c r="J529" i="2"/>
  <c r="H386" i="3" s="1"/>
  <c r="K529" i="2"/>
  <c r="I386" i="3" s="1"/>
  <c r="L529" i="2"/>
  <c r="J386" i="3" s="1"/>
  <c r="M529" i="2"/>
  <c r="I530" i="2"/>
  <c r="G208" i="3" s="1"/>
  <c r="J530" i="2"/>
  <c r="H208" i="3" s="1"/>
  <c r="K530" i="2"/>
  <c r="I208" i="3" s="1"/>
  <c r="L530" i="2"/>
  <c r="J208" i="3" s="1"/>
  <c r="M530" i="2"/>
  <c r="I531" i="2"/>
  <c r="G237" i="3" s="1"/>
  <c r="J531" i="2"/>
  <c r="H237" i="3" s="1"/>
  <c r="K531" i="2"/>
  <c r="I237" i="3" s="1"/>
  <c r="L531" i="2"/>
  <c r="J237" i="3" s="1"/>
  <c r="M531" i="2"/>
  <c r="I532" i="2"/>
  <c r="G495" i="3" s="1"/>
  <c r="J532" i="2"/>
  <c r="H495" i="3" s="1"/>
  <c r="K532" i="2"/>
  <c r="I495" i="3" s="1"/>
  <c r="L532" i="2"/>
  <c r="J495" i="3" s="1"/>
  <c r="M532" i="2"/>
  <c r="I533" i="2"/>
  <c r="J533" i="2"/>
  <c r="K533" i="2"/>
  <c r="L533" i="2"/>
  <c r="M533" i="2"/>
  <c r="I534" i="2"/>
  <c r="G591" i="3" s="1"/>
  <c r="J534" i="2"/>
  <c r="H591" i="3" s="1"/>
  <c r="K534" i="2"/>
  <c r="I591" i="3" s="1"/>
  <c r="L534" i="2"/>
  <c r="J591" i="3" s="1"/>
  <c r="M534" i="2"/>
  <c r="I535" i="2"/>
  <c r="G212" i="3" s="1"/>
  <c r="J535" i="2"/>
  <c r="H212" i="3" s="1"/>
  <c r="K535" i="2"/>
  <c r="I212" i="3" s="1"/>
  <c r="L535" i="2"/>
  <c r="J212" i="3" s="1"/>
  <c r="M535" i="2"/>
  <c r="I536" i="2"/>
  <c r="G606" i="3" s="1"/>
  <c r="J536" i="2"/>
  <c r="H606" i="3" s="1"/>
  <c r="K536" i="2"/>
  <c r="I606" i="3" s="1"/>
  <c r="L536" i="2"/>
  <c r="J606" i="3" s="1"/>
  <c r="M536" i="2"/>
  <c r="I537" i="2"/>
  <c r="G159" i="3" s="1"/>
  <c r="J537" i="2"/>
  <c r="H159" i="3" s="1"/>
  <c r="K537" i="2"/>
  <c r="I159" i="3" s="1"/>
  <c r="L537" i="2"/>
  <c r="J159" i="3" s="1"/>
  <c r="M537" i="2"/>
  <c r="I538" i="2"/>
  <c r="G613" i="3" s="1"/>
  <c r="J538" i="2"/>
  <c r="H613" i="3" s="1"/>
  <c r="K538" i="2"/>
  <c r="I613" i="3" s="1"/>
  <c r="L538" i="2"/>
  <c r="J613" i="3" s="1"/>
  <c r="M538" i="2"/>
  <c r="I539" i="2"/>
  <c r="G75" i="3" s="1"/>
  <c r="J539" i="2"/>
  <c r="H75" i="3" s="1"/>
  <c r="K539" i="2"/>
  <c r="I75" i="3" s="1"/>
  <c r="L539" i="2"/>
  <c r="J75" i="3" s="1"/>
  <c r="M539" i="2"/>
  <c r="I540" i="2"/>
  <c r="G516" i="3" s="1"/>
  <c r="J540" i="2"/>
  <c r="H516" i="3" s="1"/>
  <c r="K540" i="2"/>
  <c r="I516" i="3" s="1"/>
  <c r="L540" i="2"/>
  <c r="J516" i="3" s="1"/>
  <c r="M540" i="2"/>
  <c r="I541" i="2"/>
  <c r="G146" i="3" s="1"/>
  <c r="J541" i="2"/>
  <c r="H146" i="3" s="1"/>
  <c r="K541" i="2"/>
  <c r="I146" i="3" s="1"/>
  <c r="L541" i="2"/>
  <c r="J146" i="3" s="1"/>
  <c r="M541" i="2"/>
  <c r="I542" i="2"/>
  <c r="G243" i="3" s="1"/>
  <c r="J542" i="2"/>
  <c r="H243" i="3" s="1"/>
  <c r="K542" i="2"/>
  <c r="I243" i="3" s="1"/>
  <c r="L542" i="2"/>
  <c r="J243" i="3" s="1"/>
  <c r="M542" i="2"/>
  <c r="I543" i="2"/>
  <c r="G56" i="3" s="1"/>
  <c r="J543" i="2"/>
  <c r="H56" i="3" s="1"/>
  <c r="K543" i="2"/>
  <c r="I56" i="3" s="1"/>
  <c r="L543" i="2"/>
  <c r="J56" i="3" s="1"/>
  <c r="M543" i="2"/>
  <c r="I544" i="2"/>
  <c r="G312" i="3" s="1"/>
  <c r="J544" i="2"/>
  <c r="H312" i="3" s="1"/>
  <c r="K544" i="2"/>
  <c r="I312" i="3" s="1"/>
  <c r="L544" i="2"/>
  <c r="J312" i="3" s="1"/>
  <c r="M544" i="2"/>
  <c r="I545" i="2"/>
  <c r="G63" i="3" s="1"/>
  <c r="J545" i="2"/>
  <c r="H63" i="3" s="1"/>
  <c r="K545" i="2"/>
  <c r="I63" i="3" s="1"/>
  <c r="L545" i="2"/>
  <c r="J63" i="3" s="1"/>
  <c r="M545" i="2"/>
  <c r="I546" i="2"/>
  <c r="G85" i="3" s="1"/>
  <c r="J546" i="2"/>
  <c r="H85" i="3" s="1"/>
  <c r="K546" i="2"/>
  <c r="I85" i="3" s="1"/>
  <c r="L546" i="2"/>
  <c r="J85" i="3" s="1"/>
  <c r="M546" i="2"/>
  <c r="I547" i="2"/>
  <c r="G552" i="3" s="1"/>
  <c r="J547" i="2"/>
  <c r="H552" i="3" s="1"/>
  <c r="K547" i="2"/>
  <c r="I552" i="3" s="1"/>
  <c r="L547" i="2"/>
  <c r="J552" i="3" s="1"/>
  <c r="M547" i="2"/>
  <c r="I548" i="2"/>
  <c r="G92" i="3" s="1"/>
  <c r="J548" i="2"/>
  <c r="H92" i="3" s="1"/>
  <c r="K548" i="2"/>
  <c r="I92" i="3" s="1"/>
  <c r="L548" i="2"/>
  <c r="J92" i="3" s="1"/>
  <c r="M548" i="2"/>
  <c r="I549" i="2"/>
  <c r="G147" i="3" s="1"/>
  <c r="J549" i="2"/>
  <c r="H147" i="3" s="1"/>
  <c r="K549" i="2"/>
  <c r="I147" i="3" s="1"/>
  <c r="L549" i="2"/>
  <c r="J147" i="3" s="1"/>
  <c r="M549" i="2"/>
  <c r="I550" i="2"/>
  <c r="G434" i="3" s="1"/>
  <c r="J550" i="2"/>
  <c r="H434" i="3" s="1"/>
  <c r="K550" i="2"/>
  <c r="I434" i="3" s="1"/>
  <c r="L550" i="2"/>
  <c r="J434" i="3" s="1"/>
  <c r="M550" i="2"/>
  <c r="I551" i="2"/>
  <c r="G329" i="3" s="1"/>
  <c r="J551" i="2"/>
  <c r="H329" i="3" s="1"/>
  <c r="K551" i="2"/>
  <c r="I329" i="3" s="1"/>
  <c r="L551" i="2"/>
  <c r="J329" i="3" s="1"/>
  <c r="M551" i="2"/>
  <c r="I552" i="2"/>
  <c r="G384" i="3" s="1"/>
  <c r="J552" i="2"/>
  <c r="H384" i="3" s="1"/>
  <c r="K552" i="2"/>
  <c r="I384" i="3" s="1"/>
  <c r="L552" i="2"/>
  <c r="J384" i="3" s="1"/>
  <c r="M552" i="2"/>
  <c r="I553" i="2"/>
  <c r="G330" i="3" s="1"/>
  <c r="J553" i="2"/>
  <c r="H330" i="3" s="1"/>
  <c r="K553" i="2"/>
  <c r="I330" i="3" s="1"/>
  <c r="L553" i="2"/>
  <c r="J330" i="3" s="1"/>
  <c r="M553" i="2"/>
  <c r="I554" i="2"/>
  <c r="G350" i="3" s="1"/>
  <c r="J554" i="2"/>
  <c r="H350" i="3" s="1"/>
  <c r="K554" i="2"/>
  <c r="I350" i="3" s="1"/>
  <c r="L554" i="2"/>
  <c r="J350" i="3" s="1"/>
  <c r="M554" i="2"/>
  <c r="I555" i="2"/>
  <c r="G80" i="3" s="1"/>
  <c r="J555" i="2"/>
  <c r="H80" i="3" s="1"/>
  <c r="K555" i="2"/>
  <c r="I80" i="3" s="1"/>
  <c r="L555" i="2"/>
  <c r="J80" i="3" s="1"/>
  <c r="M555" i="2"/>
  <c r="I556" i="2"/>
  <c r="G438" i="3" s="1"/>
  <c r="J556" i="2"/>
  <c r="H438" i="3" s="1"/>
  <c r="K556" i="2"/>
  <c r="I438" i="3" s="1"/>
  <c r="L556" i="2"/>
  <c r="J438" i="3" s="1"/>
  <c r="M556" i="2"/>
  <c r="I557" i="2"/>
  <c r="G310" i="3" s="1"/>
  <c r="J557" i="2"/>
  <c r="H310" i="3" s="1"/>
  <c r="K557" i="2"/>
  <c r="I310" i="3" s="1"/>
  <c r="L557" i="2"/>
  <c r="J310" i="3" s="1"/>
  <c r="M557" i="2"/>
  <c r="I558" i="2"/>
  <c r="G361" i="3" s="1"/>
  <c r="J558" i="2"/>
  <c r="H361" i="3" s="1"/>
  <c r="K558" i="2"/>
  <c r="I361" i="3" s="1"/>
  <c r="L558" i="2"/>
  <c r="J361" i="3" s="1"/>
  <c r="M558" i="2"/>
  <c r="I559" i="2"/>
  <c r="G268" i="3" s="1"/>
  <c r="J559" i="2"/>
  <c r="H268" i="3" s="1"/>
  <c r="K559" i="2"/>
  <c r="I268" i="3" s="1"/>
  <c r="L559" i="2"/>
  <c r="J268" i="3" s="1"/>
  <c r="M559" i="2"/>
  <c r="I560" i="2"/>
  <c r="G91" i="3" s="1"/>
  <c r="J560" i="2"/>
  <c r="H91" i="3" s="1"/>
  <c r="K560" i="2"/>
  <c r="I91" i="3" s="1"/>
  <c r="L560" i="2"/>
  <c r="J91" i="3" s="1"/>
  <c r="M560" i="2"/>
  <c r="I561" i="2"/>
  <c r="G371" i="3" s="1"/>
  <c r="J561" i="2"/>
  <c r="H371" i="3" s="1"/>
  <c r="K561" i="2"/>
  <c r="I371" i="3" s="1"/>
  <c r="L561" i="2"/>
  <c r="J371" i="3" s="1"/>
  <c r="M561" i="2"/>
  <c r="I562" i="2"/>
  <c r="G241" i="3" s="1"/>
  <c r="J562" i="2"/>
  <c r="H241" i="3" s="1"/>
  <c r="K562" i="2"/>
  <c r="I241" i="3" s="1"/>
  <c r="L562" i="2"/>
  <c r="J241" i="3" s="1"/>
  <c r="M562" i="2"/>
  <c r="I563" i="2"/>
  <c r="G582" i="3" s="1"/>
  <c r="J563" i="2"/>
  <c r="H582" i="3" s="1"/>
  <c r="K563" i="2"/>
  <c r="I582" i="3" s="1"/>
  <c r="L563" i="2"/>
  <c r="J582" i="3" s="1"/>
  <c r="M563" i="2"/>
  <c r="I564" i="2"/>
  <c r="G572" i="3" s="1"/>
  <c r="J564" i="2"/>
  <c r="H572" i="3" s="1"/>
  <c r="K564" i="2"/>
  <c r="I572" i="3" s="1"/>
  <c r="L564" i="2"/>
  <c r="J572" i="3" s="1"/>
  <c r="M564" i="2"/>
  <c r="I565" i="2"/>
  <c r="G573" i="3" s="1"/>
  <c r="J565" i="2"/>
  <c r="H573" i="3" s="1"/>
  <c r="K565" i="2"/>
  <c r="I573" i="3" s="1"/>
  <c r="L565" i="2"/>
  <c r="J573" i="3" s="1"/>
  <c r="M565" i="2"/>
  <c r="I566" i="2"/>
  <c r="G124" i="3" s="1"/>
  <c r="J566" i="2"/>
  <c r="H124" i="3" s="1"/>
  <c r="K566" i="2"/>
  <c r="I124" i="3" s="1"/>
  <c r="L566" i="2"/>
  <c r="J124" i="3" s="1"/>
  <c r="M566" i="2"/>
  <c r="I567" i="2"/>
  <c r="G453" i="3" s="1"/>
  <c r="J567" i="2"/>
  <c r="H453" i="3" s="1"/>
  <c r="K567" i="2"/>
  <c r="I453" i="3" s="1"/>
  <c r="L567" i="2"/>
  <c r="J453" i="3" s="1"/>
  <c r="M567" i="2"/>
  <c r="I568" i="2"/>
  <c r="G507" i="3" s="1"/>
  <c r="J568" i="2"/>
  <c r="H507" i="3" s="1"/>
  <c r="K568" i="2"/>
  <c r="I507" i="3" s="1"/>
  <c r="L568" i="2"/>
  <c r="J507" i="3" s="1"/>
  <c r="M568" i="2"/>
  <c r="I569" i="2"/>
  <c r="G517" i="3" s="1"/>
  <c r="J569" i="2"/>
  <c r="H517" i="3" s="1"/>
  <c r="K569" i="2"/>
  <c r="I517" i="3" s="1"/>
  <c r="L569" i="2"/>
  <c r="J517" i="3" s="1"/>
  <c r="M569" i="2"/>
  <c r="I570" i="2"/>
  <c r="G161" i="3" s="1"/>
  <c r="J570" i="2"/>
  <c r="H161" i="3" s="1"/>
  <c r="K570" i="2"/>
  <c r="I161" i="3" s="1"/>
  <c r="L570" i="2"/>
  <c r="J161" i="3" s="1"/>
  <c r="M570" i="2"/>
  <c r="I571" i="2"/>
  <c r="G510" i="3" s="1"/>
  <c r="J571" i="2"/>
  <c r="H510" i="3" s="1"/>
  <c r="K571" i="2"/>
  <c r="I510" i="3" s="1"/>
  <c r="L571" i="2"/>
  <c r="J510" i="3" s="1"/>
  <c r="M571" i="2"/>
  <c r="I572" i="2"/>
  <c r="G519" i="3" s="1"/>
  <c r="J572" i="2"/>
  <c r="H519" i="3" s="1"/>
  <c r="K572" i="2"/>
  <c r="I519" i="3" s="1"/>
  <c r="L572" i="2"/>
  <c r="J519" i="3" s="1"/>
  <c r="M572" i="2"/>
  <c r="I573" i="2"/>
  <c r="G433" i="3" s="1"/>
  <c r="J573" i="2"/>
  <c r="H433" i="3" s="1"/>
  <c r="K573" i="2"/>
  <c r="I433" i="3" s="1"/>
  <c r="L573" i="2"/>
  <c r="J433" i="3" s="1"/>
  <c r="M573" i="2"/>
  <c r="I574" i="2"/>
  <c r="G223" i="3" s="1"/>
  <c r="J574" i="2"/>
  <c r="H223" i="3" s="1"/>
  <c r="K574" i="2"/>
  <c r="I223" i="3" s="1"/>
  <c r="L574" i="2"/>
  <c r="J223" i="3" s="1"/>
  <c r="M574" i="2"/>
  <c r="I575" i="2"/>
  <c r="G458" i="3" s="1"/>
  <c r="J575" i="2"/>
  <c r="H458" i="3" s="1"/>
  <c r="K575" i="2"/>
  <c r="I458" i="3" s="1"/>
  <c r="L575" i="2"/>
  <c r="J458" i="3" s="1"/>
  <c r="M575" i="2"/>
  <c r="I576" i="2"/>
  <c r="G96" i="3" s="1"/>
  <c r="J576" i="2"/>
  <c r="H96" i="3" s="1"/>
  <c r="K576" i="2"/>
  <c r="I96" i="3" s="1"/>
  <c r="L576" i="2"/>
  <c r="J96" i="3" s="1"/>
  <c r="M576" i="2"/>
  <c r="I577" i="2"/>
  <c r="G505" i="3" s="1"/>
  <c r="J577" i="2"/>
  <c r="H505" i="3" s="1"/>
  <c r="K577" i="2"/>
  <c r="I505" i="3" s="1"/>
  <c r="L577" i="2"/>
  <c r="J505" i="3" s="1"/>
  <c r="M577" i="2"/>
  <c r="I578" i="2"/>
  <c r="G229" i="3" s="1"/>
  <c r="J578" i="2"/>
  <c r="H229" i="3" s="1"/>
  <c r="K578" i="2"/>
  <c r="I229" i="3" s="1"/>
  <c r="L578" i="2"/>
  <c r="J229" i="3" s="1"/>
  <c r="M578" i="2"/>
  <c r="I579" i="2"/>
  <c r="G485" i="3" s="1"/>
  <c r="J579" i="2"/>
  <c r="H485" i="3" s="1"/>
  <c r="K579" i="2"/>
  <c r="I485" i="3" s="1"/>
  <c r="L579" i="2"/>
  <c r="J485" i="3" s="1"/>
  <c r="M579" i="2"/>
  <c r="I580" i="2"/>
  <c r="G157" i="3" s="1"/>
  <c r="J580" i="2"/>
  <c r="H157" i="3" s="1"/>
  <c r="K580" i="2"/>
  <c r="I157" i="3" s="1"/>
  <c r="L580" i="2"/>
  <c r="J157" i="3" s="1"/>
  <c r="M580" i="2"/>
  <c r="I581" i="2"/>
  <c r="G228" i="3" s="1"/>
  <c r="J581" i="2"/>
  <c r="H228" i="3" s="1"/>
  <c r="K581" i="2"/>
  <c r="I228" i="3" s="1"/>
  <c r="L581" i="2"/>
  <c r="J228" i="3" s="1"/>
  <c r="M581" i="2"/>
  <c r="I582" i="2"/>
  <c r="G195" i="3" s="1"/>
  <c r="J582" i="2"/>
  <c r="H195" i="3" s="1"/>
  <c r="K582" i="2"/>
  <c r="I195" i="3" s="1"/>
  <c r="L582" i="2"/>
  <c r="J195" i="3" s="1"/>
  <c r="M582" i="2"/>
  <c r="I583" i="2"/>
  <c r="G318" i="3" s="1"/>
  <c r="J583" i="2"/>
  <c r="H318" i="3" s="1"/>
  <c r="K583" i="2"/>
  <c r="I318" i="3" s="1"/>
  <c r="L583" i="2"/>
  <c r="J318" i="3" s="1"/>
  <c r="M583" i="2"/>
  <c r="I584" i="2"/>
  <c r="G352" i="3" s="1"/>
  <c r="J584" i="2"/>
  <c r="H352" i="3" s="1"/>
  <c r="K584" i="2"/>
  <c r="I352" i="3" s="1"/>
  <c r="L584" i="2"/>
  <c r="J352" i="3" s="1"/>
  <c r="M584" i="2"/>
  <c r="I585" i="2"/>
  <c r="G430" i="3" s="1"/>
  <c r="J585" i="2"/>
  <c r="H430" i="3" s="1"/>
  <c r="K585" i="2"/>
  <c r="I430" i="3" s="1"/>
  <c r="L585" i="2"/>
  <c r="J430" i="3" s="1"/>
  <c r="M585" i="2"/>
  <c r="I586" i="2"/>
  <c r="G420" i="3" s="1"/>
  <c r="J586" i="2"/>
  <c r="H420" i="3" s="1"/>
  <c r="K586" i="2"/>
  <c r="I420" i="3" s="1"/>
  <c r="L586" i="2"/>
  <c r="J420" i="3" s="1"/>
  <c r="M586" i="2"/>
  <c r="I587" i="2"/>
  <c r="G513" i="3" s="1"/>
  <c r="J587" i="2"/>
  <c r="H513" i="3" s="1"/>
  <c r="K587" i="2"/>
  <c r="I513" i="3" s="1"/>
  <c r="L587" i="2"/>
  <c r="J513" i="3" s="1"/>
  <c r="M587" i="2"/>
  <c r="I588" i="2"/>
  <c r="G473" i="3" s="1"/>
  <c r="J588" i="2"/>
  <c r="H473" i="3" s="1"/>
  <c r="K588" i="2"/>
  <c r="I473" i="3" s="1"/>
  <c r="L588" i="2"/>
  <c r="J473" i="3" s="1"/>
  <c r="M588" i="2"/>
  <c r="I589" i="2"/>
  <c r="G54" i="3" s="1"/>
  <c r="J589" i="2"/>
  <c r="H54" i="3" s="1"/>
  <c r="K589" i="2"/>
  <c r="I54" i="3" s="1"/>
  <c r="L589" i="2"/>
  <c r="J54" i="3" s="1"/>
  <c r="M589" i="2"/>
  <c r="I590" i="2"/>
  <c r="G381" i="3" s="1"/>
  <c r="J590" i="2"/>
  <c r="H381" i="3" s="1"/>
  <c r="K590" i="2"/>
  <c r="I381" i="3" s="1"/>
  <c r="L590" i="2"/>
  <c r="J381" i="3" s="1"/>
  <c r="M590" i="2"/>
  <c r="I591" i="2"/>
  <c r="G554" i="3" s="1"/>
  <c r="J591" i="2"/>
  <c r="H554" i="3" s="1"/>
  <c r="K591" i="2"/>
  <c r="I554" i="3" s="1"/>
  <c r="L591" i="2"/>
  <c r="J554" i="3" s="1"/>
  <c r="M591" i="2"/>
  <c r="I592" i="2"/>
  <c r="G106" i="3" s="1"/>
  <c r="J592" i="2"/>
  <c r="H106" i="3" s="1"/>
  <c r="K592" i="2"/>
  <c r="I106" i="3" s="1"/>
  <c r="L592" i="2"/>
  <c r="J106" i="3" s="1"/>
  <c r="M592" i="2"/>
  <c r="I593" i="2"/>
  <c r="G27" i="3" s="1"/>
  <c r="J593" i="2"/>
  <c r="H27" i="3" s="1"/>
  <c r="K593" i="2"/>
  <c r="I27" i="3" s="1"/>
  <c r="L593" i="2"/>
  <c r="J27" i="3" s="1"/>
  <c r="M593" i="2"/>
  <c r="I594" i="2"/>
  <c r="G509" i="3" s="1"/>
  <c r="J594" i="2"/>
  <c r="H509" i="3" s="1"/>
  <c r="K594" i="2"/>
  <c r="I509" i="3" s="1"/>
  <c r="L594" i="2"/>
  <c r="J509" i="3" s="1"/>
  <c r="M594" i="2"/>
  <c r="I595" i="2"/>
  <c r="G196" i="3" s="1"/>
  <c r="J595" i="2"/>
  <c r="H196" i="3" s="1"/>
  <c r="K595" i="2"/>
  <c r="I196" i="3" s="1"/>
  <c r="L595" i="2"/>
  <c r="J196" i="3" s="1"/>
  <c r="M595" i="2"/>
  <c r="I596" i="2"/>
  <c r="G518" i="3" s="1"/>
  <c r="J596" i="2"/>
  <c r="H518" i="3" s="1"/>
  <c r="K596" i="2"/>
  <c r="I518" i="3" s="1"/>
  <c r="L596" i="2"/>
  <c r="J518" i="3" s="1"/>
  <c r="M596" i="2"/>
  <c r="I597" i="2"/>
  <c r="G32" i="3" s="1"/>
  <c r="J597" i="2"/>
  <c r="H32" i="3" s="1"/>
  <c r="K597" i="2"/>
  <c r="I32" i="3" s="1"/>
  <c r="L597" i="2"/>
  <c r="J32" i="3" s="1"/>
  <c r="M597" i="2"/>
  <c r="I598" i="2"/>
  <c r="G370" i="3" s="1"/>
  <c r="J598" i="2"/>
  <c r="H370" i="3" s="1"/>
  <c r="K598" i="2"/>
  <c r="I370" i="3" s="1"/>
  <c r="L598" i="2"/>
  <c r="J370" i="3" s="1"/>
  <c r="M598" i="2"/>
  <c r="I599" i="2"/>
  <c r="G280" i="3" s="1"/>
  <c r="J599" i="2"/>
  <c r="H280" i="3" s="1"/>
  <c r="K599" i="2"/>
  <c r="I280" i="3" s="1"/>
  <c r="L599" i="2"/>
  <c r="J280" i="3" s="1"/>
  <c r="M599" i="2"/>
  <c r="I600" i="2"/>
  <c r="G180" i="3" s="1"/>
  <c r="J600" i="2"/>
  <c r="H180" i="3" s="1"/>
  <c r="K600" i="2"/>
  <c r="I180" i="3" s="1"/>
  <c r="L600" i="2"/>
  <c r="J180" i="3" s="1"/>
  <c r="M600" i="2"/>
  <c r="I601" i="2"/>
  <c r="G368" i="3" s="1"/>
  <c r="J601" i="2"/>
  <c r="H368" i="3" s="1"/>
  <c r="K601" i="2"/>
  <c r="I368" i="3" s="1"/>
  <c r="L601" i="2"/>
  <c r="J368" i="3" s="1"/>
  <c r="M601" i="2"/>
  <c r="I602" i="2"/>
  <c r="G145" i="3" s="1"/>
  <c r="J602" i="2"/>
  <c r="H145" i="3" s="1"/>
  <c r="K602" i="2"/>
  <c r="I145" i="3" s="1"/>
  <c r="L602" i="2"/>
  <c r="J145" i="3" s="1"/>
  <c r="M602" i="2"/>
  <c r="I603" i="2"/>
  <c r="G10" i="3" s="1"/>
  <c r="J603" i="2"/>
  <c r="H10" i="3" s="1"/>
  <c r="K603" i="2"/>
  <c r="I10" i="3" s="1"/>
  <c r="L603" i="2"/>
  <c r="J10" i="3" s="1"/>
  <c r="M603" i="2"/>
  <c r="I604" i="2"/>
  <c r="G6" i="3" s="1"/>
  <c r="J604" i="2"/>
  <c r="H6" i="3" s="1"/>
  <c r="K604" i="2"/>
  <c r="I6" i="3" s="1"/>
  <c r="L604" i="2"/>
  <c r="J6" i="3" s="1"/>
  <c r="M604" i="2"/>
  <c r="I605" i="2"/>
  <c r="G567" i="3" s="1"/>
  <c r="J605" i="2"/>
  <c r="H567" i="3" s="1"/>
  <c r="K605" i="2"/>
  <c r="I567" i="3" s="1"/>
  <c r="L605" i="2"/>
  <c r="J567" i="3" s="1"/>
  <c r="M605" i="2"/>
  <c r="I606" i="2"/>
  <c r="G395" i="3" s="1"/>
  <c r="J606" i="2"/>
  <c r="H395" i="3" s="1"/>
  <c r="K606" i="2"/>
  <c r="I395" i="3" s="1"/>
  <c r="L606" i="2"/>
  <c r="J395" i="3" s="1"/>
  <c r="M606" i="2"/>
  <c r="I607" i="2"/>
  <c r="G474" i="3" s="1"/>
  <c r="J607" i="2"/>
  <c r="H474" i="3" s="1"/>
  <c r="K607" i="2"/>
  <c r="I474" i="3" s="1"/>
  <c r="L607" i="2"/>
  <c r="J474" i="3" s="1"/>
  <c r="M607" i="2"/>
  <c r="I608" i="2"/>
  <c r="G109" i="3" s="1"/>
  <c r="J608" i="2"/>
  <c r="H109" i="3" s="1"/>
  <c r="K608" i="2"/>
  <c r="I109" i="3" s="1"/>
  <c r="L608" i="2"/>
  <c r="J109" i="3" s="1"/>
  <c r="M608" i="2"/>
  <c r="I609" i="2"/>
  <c r="G502" i="3" s="1"/>
  <c r="J609" i="2"/>
  <c r="H502" i="3" s="1"/>
  <c r="K609" i="2"/>
  <c r="I502" i="3" s="1"/>
  <c r="L609" i="2"/>
  <c r="J502" i="3" s="1"/>
  <c r="M609" i="2"/>
  <c r="I610" i="2"/>
  <c r="G26" i="3" s="1"/>
  <c r="J610" i="2"/>
  <c r="H26" i="3" s="1"/>
  <c r="K610" i="2"/>
  <c r="I26" i="3" s="1"/>
  <c r="L610" i="2"/>
  <c r="J26" i="3" s="1"/>
  <c r="M610" i="2"/>
  <c r="I611" i="2"/>
  <c r="J611" i="2"/>
  <c r="K611" i="2"/>
  <c r="L611" i="2"/>
  <c r="M611" i="2"/>
  <c r="I612" i="2"/>
  <c r="G193" i="3" s="1"/>
  <c r="J612" i="2"/>
  <c r="H193" i="3" s="1"/>
  <c r="K612" i="2"/>
  <c r="I193" i="3" s="1"/>
  <c r="L612" i="2"/>
  <c r="J193" i="3" s="1"/>
  <c r="M612" i="2"/>
  <c r="I613" i="2"/>
  <c r="G377" i="3" s="1"/>
  <c r="J613" i="2"/>
  <c r="H377" i="3" s="1"/>
  <c r="K613" i="2"/>
  <c r="I377" i="3" s="1"/>
  <c r="L613" i="2"/>
  <c r="J377" i="3" s="1"/>
  <c r="M613" i="2"/>
  <c r="I614" i="2"/>
  <c r="G481" i="3" s="1"/>
  <c r="J614" i="2"/>
  <c r="H481" i="3" s="1"/>
  <c r="K614" i="2"/>
  <c r="I481" i="3" s="1"/>
  <c r="L614" i="2"/>
  <c r="J481" i="3" s="1"/>
  <c r="M614" i="2"/>
  <c r="I615" i="2"/>
  <c r="G175" i="3" s="1"/>
  <c r="J615" i="2"/>
  <c r="H175" i="3" s="1"/>
  <c r="K615" i="2"/>
  <c r="I175" i="3" s="1"/>
  <c r="L615" i="2"/>
  <c r="J175" i="3" s="1"/>
  <c r="M615" i="2"/>
  <c r="I616" i="2"/>
  <c r="G300" i="3" s="1"/>
  <c r="J616" i="2"/>
  <c r="H300" i="3" s="1"/>
  <c r="K616" i="2"/>
  <c r="I300" i="3" s="1"/>
  <c r="L616" i="2"/>
  <c r="J300" i="3" s="1"/>
  <c r="M616" i="2"/>
  <c r="I617" i="2"/>
  <c r="G273" i="3" s="1"/>
  <c r="J617" i="2"/>
  <c r="H273" i="3" s="1"/>
  <c r="K617" i="2"/>
  <c r="I273" i="3" s="1"/>
  <c r="L617" i="2"/>
  <c r="J273" i="3" s="1"/>
  <c r="M617" i="2"/>
  <c r="I618" i="2"/>
  <c r="G360" i="3" s="1"/>
  <c r="J618" i="2"/>
  <c r="H360" i="3" s="1"/>
  <c r="K618" i="2"/>
  <c r="I360" i="3" s="1"/>
  <c r="L618" i="2"/>
  <c r="J360" i="3" s="1"/>
  <c r="M618" i="2"/>
  <c r="I619" i="2"/>
  <c r="G66" i="3" s="1"/>
  <c r="J619" i="2"/>
  <c r="H66" i="3" s="1"/>
  <c r="K619" i="2"/>
  <c r="I66" i="3" s="1"/>
  <c r="L619" i="2"/>
  <c r="J66" i="3" s="1"/>
  <c r="M619" i="2"/>
  <c r="I620" i="2"/>
  <c r="G141" i="3" s="1"/>
  <c r="J620" i="2"/>
  <c r="H141" i="3" s="1"/>
  <c r="K620" i="2"/>
  <c r="I141" i="3" s="1"/>
  <c r="L620" i="2"/>
  <c r="J141" i="3" s="1"/>
  <c r="M620" i="2"/>
  <c r="I621" i="2"/>
  <c r="G556" i="3" s="1"/>
  <c r="J621" i="2"/>
  <c r="H556" i="3" s="1"/>
  <c r="K621" i="2"/>
  <c r="I556" i="3" s="1"/>
  <c r="L621" i="2"/>
  <c r="J556" i="3" s="1"/>
  <c r="M621" i="2"/>
  <c r="I622" i="2"/>
  <c r="G29" i="3" s="1"/>
  <c r="J622" i="2"/>
  <c r="H29" i="3" s="1"/>
  <c r="K622" i="2"/>
  <c r="I29" i="3" s="1"/>
  <c r="L622" i="2"/>
  <c r="J29" i="3" s="1"/>
  <c r="M622" i="2"/>
  <c r="I623" i="2"/>
  <c r="G150" i="3" s="1"/>
  <c r="J623" i="2"/>
  <c r="H150" i="3" s="1"/>
  <c r="K623" i="2"/>
  <c r="I150" i="3" s="1"/>
  <c r="L623" i="2"/>
  <c r="J150" i="3" s="1"/>
  <c r="M623" i="2"/>
  <c r="I624" i="2"/>
  <c r="G537" i="3" s="1"/>
  <c r="J624" i="2"/>
  <c r="H537" i="3" s="1"/>
  <c r="K624" i="2"/>
  <c r="I537" i="3" s="1"/>
  <c r="L624" i="2"/>
  <c r="J537" i="3" s="1"/>
  <c r="M624" i="2"/>
  <c r="H3" i="2"/>
  <c r="F60" i="3" s="1"/>
  <c r="H4" i="2"/>
  <c r="F439" i="3" s="1"/>
  <c r="H5" i="2"/>
  <c r="F396" i="3" s="1"/>
  <c r="H6" i="2"/>
  <c r="F323" i="3" s="1"/>
  <c r="H7" i="2"/>
  <c r="F98" i="3" s="1"/>
  <c r="H8" i="2"/>
  <c r="F225" i="3" s="1"/>
  <c r="H9" i="2"/>
  <c r="F9" i="3" s="1"/>
  <c r="H10" i="2"/>
  <c r="F220" i="3" s="1"/>
  <c r="H11" i="2"/>
  <c r="F15" i="3" s="1"/>
  <c r="H12" i="2"/>
  <c r="F119" i="3" s="1"/>
  <c r="H13" i="2"/>
  <c r="F415" i="3" s="1"/>
  <c r="H14" i="2"/>
  <c r="F121" i="3" s="1"/>
  <c r="H15" i="2"/>
  <c r="F482" i="3" s="1"/>
  <c r="H16" i="2"/>
  <c r="F609" i="3" s="1"/>
  <c r="H17" i="2"/>
  <c r="F341" i="3" s="1"/>
  <c r="H18" i="2"/>
  <c r="F64" i="3" s="1"/>
  <c r="H19" i="2"/>
  <c r="F70" i="3" s="1"/>
  <c r="H20" i="2"/>
  <c r="F256" i="3" s="1"/>
  <c r="H21" i="2"/>
  <c r="F491" i="3" s="1"/>
  <c r="H22" i="2"/>
  <c r="F469" i="3" s="1"/>
  <c r="H23" i="2"/>
  <c r="F254" i="3" s="1"/>
  <c r="H24" i="2"/>
  <c r="F530" i="3" s="1"/>
  <c r="H25" i="2"/>
  <c r="F34" i="3" s="1"/>
  <c r="H26" i="2"/>
  <c r="F217" i="3" s="1"/>
  <c r="H27" i="2"/>
  <c r="F230" i="3" s="1"/>
  <c r="H28" i="2"/>
  <c r="F86" i="3" s="1"/>
  <c r="H29" i="2"/>
  <c r="F571" i="3" s="1"/>
  <c r="H30" i="2"/>
  <c r="F565" i="3" s="1"/>
  <c r="H31" i="2"/>
  <c r="F39" i="3" s="1"/>
  <c r="H32" i="2"/>
  <c r="F424" i="3" s="1"/>
  <c r="H33" i="2"/>
  <c r="F328" i="3" s="1"/>
  <c r="H34" i="2"/>
  <c r="F356" i="3" s="1"/>
  <c r="H35" i="2"/>
  <c r="F604" i="3" s="1"/>
  <c r="H36" i="2"/>
  <c r="F232" i="3" s="1"/>
  <c r="H37" i="2"/>
  <c r="F431" i="3" s="1"/>
  <c r="H38" i="2"/>
  <c r="F236" i="3" s="1"/>
  <c r="H39" i="2"/>
  <c r="F445" i="3" s="1"/>
  <c r="H40" i="2"/>
  <c r="F419" i="3" s="1"/>
  <c r="H41" i="2"/>
  <c r="H42" i="2"/>
  <c r="F73" i="3" s="1"/>
  <c r="H43" i="2"/>
  <c r="F240" i="3" s="1"/>
  <c r="H44" i="2"/>
  <c r="F380" i="3" s="1"/>
  <c r="H45" i="2"/>
  <c r="F496" i="3" s="1"/>
  <c r="H46" i="2"/>
  <c r="F487" i="3" s="1"/>
  <c r="H47" i="2"/>
  <c r="F294" i="3" s="1"/>
  <c r="H48" i="2"/>
  <c r="F315" i="3" s="1"/>
  <c r="H49" i="2"/>
  <c r="F611" i="3" s="1"/>
  <c r="H50" i="2"/>
  <c r="F169" i="3" s="1"/>
  <c r="H51" i="2"/>
  <c r="F436" i="3" s="1"/>
  <c r="H52" i="2"/>
  <c r="F464" i="3" s="1"/>
  <c r="H53" i="2"/>
  <c r="F20" i="3" s="1"/>
  <c r="H54" i="2"/>
  <c r="F534" i="3" s="1"/>
  <c r="H55" i="2"/>
  <c r="F520" i="3" s="1"/>
  <c r="H56" i="2"/>
  <c r="F362" i="3" s="1"/>
  <c r="H57" i="2"/>
  <c r="F483" i="3" s="1"/>
  <c r="H58" i="2"/>
  <c r="F221" i="3" s="1"/>
  <c r="H59" i="2"/>
  <c r="F77" i="3" s="1"/>
  <c r="H60" i="2"/>
  <c r="F316" i="3" s="1"/>
  <c r="H61" i="2"/>
  <c r="F590" i="3" s="1"/>
  <c r="H62" i="2"/>
  <c r="F512" i="3" s="1"/>
  <c r="H63" i="2"/>
  <c r="F162" i="3" s="1"/>
  <c r="H64" i="2"/>
  <c r="F422" i="3" s="1"/>
  <c r="H65" i="2"/>
  <c r="F103" i="3" s="1"/>
  <c r="H66" i="2"/>
  <c r="F123" i="3" s="1"/>
  <c r="H67" i="2"/>
  <c r="F581" i="3" s="1"/>
  <c r="H68" i="2"/>
  <c r="F108" i="3" s="1"/>
  <c r="H69" i="2"/>
  <c r="F494" i="3" s="1"/>
  <c r="H70" i="2"/>
  <c r="F198" i="3" s="1"/>
  <c r="H71" i="2"/>
  <c r="F390" i="3" s="1"/>
  <c r="H72" i="2"/>
  <c r="F274" i="3" s="1"/>
  <c r="H73" i="2"/>
  <c r="F559" i="3" s="1"/>
  <c r="H74" i="2"/>
  <c r="F255" i="3" s="1"/>
  <c r="H75" i="2"/>
  <c r="F42" i="3" s="1"/>
  <c r="H76" i="2"/>
  <c r="F597" i="3" s="1"/>
  <c r="H77" i="2"/>
  <c r="F79" i="3" s="1"/>
  <c r="H78" i="2"/>
  <c r="F182" i="3" s="1"/>
  <c r="H79" i="2"/>
  <c r="F22" i="3" s="1"/>
  <c r="H80" i="2"/>
  <c r="F577" i="3" s="1"/>
  <c r="H81" i="2"/>
  <c r="F226" i="3" s="1"/>
  <c r="H82" i="2"/>
  <c r="F271" i="3" s="1"/>
  <c r="H83" i="2"/>
  <c r="F508" i="3" s="1"/>
  <c r="H84" i="2"/>
  <c r="F95" i="3" s="1"/>
  <c r="H85" i="2"/>
  <c r="F557" i="3" s="1"/>
  <c r="H86" i="2"/>
  <c r="F72" i="3" s="1"/>
  <c r="H87" i="2"/>
  <c r="F302" i="3" s="1"/>
  <c r="H88" i="2"/>
  <c r="F524" i="3" s="1"/>
  <c r="H89" i="2"/>
  <c r="F484" i="3" s="1"/>
  <c r="H90" i="2"/>
  <c r="F429" i="3" s="1"/>
  <c r="H91" i="2"/>
  <c r="F199" i="3" s="1"/>
  <c r="H92" i="2"/>
  <c r="F118" i="3" s="1"/>
  <c r="H93" i="2"/>
  <c r="F67" i="3" s="1"/>
  <c r="H94" i="2"/>
  <c r="F188" i="3" s="1"/>
  <c r="H95" i="2"/>
  <c r="F81" i="3" s="1"/>
  <c r="H96" i="2"/>
  <c r="F550" i="3" s="1"/>
  <c r="H97" i="2"/>
  <c r="F216" i="3" s="1"/>
  <c r="H98" i="2"/>
  <c r="F411" i="3" s="1"/>
  <c r="H99" i="2"/>
  <c r="F47" i="3" s="1"/>
  <c r="H100" i="2"/>
  <c r="F58" i="3" s="1"/>
  <c r="H101" i="2"/>
  <c r="F13" i="3" s="1"/>
  <c r="H102" i="2"/>
  <c r="F351" i="3" s="1"/>
  <c r="H103" i="2"/>
  <c r="F539" i="3" s="1"/>
  <c r="H104" i="2"/>
  <c r="F586" i="3" s="1"/>
  <c r="H105" i="2"/>
  <c r="F333" i="3" s="1"/>
  <c r="H106" i="2"/>
  <c r="F149" i="3" s="1"/>
  <c r="H107" i="2"/>
  <c r="F461" i="3" s="1"/>
  <c r="H108" i="2"/>
  <c r="F418" i="3" s="1"/>
  <c r="H109" i="2"/>
  <c r="F536" i="3" s="1"/>
  <c r="H110" i="2"/>
  <c r="F19" i="3" s="1"/>
  <c r="H111" i="2"/>
  <c r="F31" i="3" s="1"/>
  <c r="H112" i="2"/>
  <c r="F451" i="3" s="1"/>
  <c r="H113" i="2"/>
  <c r="F287" i="3" s="1"/>
  <c r="H114" i="2"/>
  <c r="F53" i="3" s="1"/>
  <c r="H115" i="2"/>
  <c r="F129" i="3" s="1"/>
  <c r="H116" i="2"/>
  <c r="F235" i="3" s="1"/>
  <c r="H117" i="2"/>
  <c r="F100" i="3" s="1"/>
  <c r="H118" i="2"/>
  <c r="F140" i="3" s="1"/>
  <c r="H119" i="2"/>
  <c r="F296" i="3" s="1"/>
  <c r="H120" i="2"/>
  <c r="F116" i="3" s="1"/>
  <c r="H121" i="2"/>
  <c r="F203" i="3" s="1"/>
  <c r="H122" i="2"/>
  <c r="F186" i="3" s="1"/>
  <c r="H123" i="2"/>
  <c r="F498" i="3" s="1"/>
  <c r="H124" i="2"/>
  <c r="F348" i="3" s="1"/>
  <c r="H125" i="2"/>
  <c r="F104" i="3" s="1"/>
  <c r="H126" i="2"/>
  <c r="F314" i="3" s="1"/>
  <c r="H127" i="2"/>
  <c r="F553" i="3" s="1"/>
  <c r="H128" i="2"/>
  <c r="F247" i="3" s="1"/>
  <c r="H129" i="2"/>
  <c r="F258" i="3" s="1"/>
  <c r="H130" i="2"/>
  <c r="F131" i="3" s="1"/>
  <c r="H131" i="2"/>
  <c r="F467" i="3" s="1"/>
  <c r="H132" i="2"/>
  <c r="F278" i="3" s="1"/>
  <c r="H133" i="2"/>
  <c r="F136" i="3" s="1"/>
  <c r="H134" i="2"/>
  <c r="F222" i="3" s="1"/>
  <c r="H135" i="2"/>
  <c r="F148" i="3" s="1"/>
  <c r="H136" i="2"/>
  <c r="F50" i="3" s="1"/>
  <c r="H137" i="2"/>
  <c r="F224" i="3" s="1"/>
  <c r="H138" i="2"/>
  <c r="F614" i="3" s="1"/>
  <c r="H139" i="2"/>
  <c r="F357" i="3" s="1"/>
  <c r="H140" i="2"/>
  <c r="F497" i="3" s="1"/>
  <c r="H141" i="2"/>
  <c r="F382" i="3" s="1"/>
  <c r="H142" i="2"/>
  <c r="F24" i="3" s="1"/>
  <c r="H143" i="2"/>
  <c r="F3" i="3" s="1"/>
  <c r="H144" i="2"/>
  <c r="F499" i="3" s="1"/>
  <c r="H145" i="2"/>
  <c r="F337" i="3" s="1"/>
  <c r="H146" i="2"/>
  <c r="F603" i="3" s="1"/>
  <c r="H147" i="2"/>
  <c r="F210" i="3" s="1"/>
  <c r="H148" i="2"/>
  <c r="F545" i="3" s="1"/>
  <c r="H149" i="2"/>
  <c r="F46" i="3" s="1"/>
  <c r="H150" i="2"/>
  <c r="F49" i="3" s="1"/>
  <c r="H151" i="2"/>
  <c r="F523" i="3" s="1"/>
  <c r="H152" i="2"/>
  <c r="F455" i="3" s="1"/>
  <c r="H153" i="2"/>
  <c r="F376" i="3" s="1"/>
  <c r="H154" i="2"/>
  <c r="F462" i="3" s="1"/>
  <c r="H155" i="2"/>
  <c r="F178" i="3" s="1"/>
  <c r="H156" i="2"/>
  <c r="F219" i="3" s="1"/>
  <c r="H157" i="2"/>
  <c r="F200" i="3" s="1"/>
  <c r="H158" i="2"/>
  <c r="F138" i="3" s="1"/>
  <c r="H159" i="2"/>
  <c r="F374" i="3" s="1"/>
  <c r="H160" i="2"/>
  <c r="F398" i="3" s="1"/>
  <c r="H161" i="2"/>
  <c r="F476" i="3" s="1"/>
  <c r="H162" i="2"/>
  <c r="F569" i="3" s="1"/>
  <c r="H163" i="2"/>
  <c r="F134" i="3" s="1"/>
  <c r="H164" i="2"/>
  <c r="F354" i="3" s="1"/>
  <c r="H165" i="2"/>
  <c r="F388" i="3" s="1"/>
  <c r="H166" i="2"/>
  <c r="F472" i="3" s="1"/>
  <c r="H167" i="2"/>
  <c r="F288" i="3" s="1"/>
  <c r="H168" i="2"/>
  <c r="F326" i="3" s="1"/>
  <c r="H169" i="2"/>
  <c r="F113" i="3" s="1"/>
  <c r="H170" i="2"/>
  <c r="F477" i="3" s="1"/>
  <c r="H171" i="2"/>
  <c r="F295" i="3" s="1"/>
  <c r="H172" i="2"/>
  <c r="F190" i="3" s="1"/>
  <c r="H173" i="2"/>
  <c r="F321" i="3" s="1"/>
  <c r="H174" i="2"/>
  <c r="F218" i="3" s="1"/>
  <c r="H175" i="2"/>
  <c r="F284" i="3" s="1"/>
  <c r="H176" i="2"/>
  <c r="F172" i="3" s="1"/>
  <c r="H177" i="2"/>
  <c r="F610" i="3" s="1"/>
  <c r="H178" i="2"/>
  <c r="F184" i="3" s="1"/>
  <c r="H179" i="2"/>
  <c r="F493" i="3" s="1"/>
  <c r="H180" i="2"/>
  <c r="F263" i="3" s="1"/>
  <c r="H181" i="2"/>
  <c r="F410" i="3" s="1"/>
  <c r="H182" i="2"/>
  <c r="F428" i="3" s="1"/>
  <c r="H183" i="2"/>
  <c r="F322" i="3" s="1"/>
  <c r="H184" i="2"/>
  <c r="F167" i="3" s="1"/>
  <c r="H185" i="2"/>
  <c r="F126" i="3" s="1"/>
  <c r="H186" i="2"/>
  <c r="F324" i="3" s="1"/>
  <c r="H187" i="2"/>
  <c r="F171" i="3" s="1"/>
  <c r="H188" i="2"/>
  <c r="F441" i="3" s="1"/>
  <c r="H189" i="2"/>
  <c r="F160" i="3" s="1"/>
  <c r="H190" i="2"/>
  <c r="F163" i="3" s="1"/>
  <c r="H191" i="2"/>
  <c r="F369" i="3" s="1"/>
  <c r="H192" i="2"/>
  <c r="F544" i="3" s="1"/>
  <c r="H193" i="2"/>
  <c r="F65" i="3" s="1"/>
  <c r="H194" i="2"/>
  <c r="F574" i="3" s="1"/>
  <c r="H195" i="2"/>
  <c r="F580" i="3" s="1"/>
  <c r="H196" i="2"/>
  <c r="F600" i="3" s="1"/>
  <c r="H197" i="2"/>
  <c r="F393" i="3" s="1"/>
  <c r="H198" i="2"/>
  <c r="F89" i="3" s="1"/>
  <c r="H199" i="2"/>
  <c r="F501" i="3" s="1"/>
  <c r="H200" i="2"/>
  <c r="F527" i="3" s="1"/>
  <c r="H201" i="2"/>
  <c r="F319" i="3" s="1"/>
  <c r="H202" i="2"/>
  <c r="F425" i="3" s="1"/>
  <c r="H203" i="2"/>
  <c r="F51" i="3" s="1"/>
  <c r="H204" i="2"/>
  <c r="F177" i="3" s="1"/>
  <c r="H205" i="2"/>
  <c r="F173" i="3" s="1"/>
  <c r="H206" i="2"/>
  <c r="F575" i="3" s="1"/>
  <c r="H207" i="2"/>
  <c r="F153" i="3" s="1"/>
  <c r="H208" i="2"/>
  <c r="F204" i="3" s="1"/>
  <c r="H209" i="2"/>
  <c r="F387" i="3" s="1"/>
  <c r="H210" i="2"/>
  <c r="F450" i="3" s="1"/>
  <c r="H211" i="2"/>
  <c r="F339" i="3" s="1"/>
  <c r="H212" i="2"/>
  <c r="F405" i="3" s="1"/>
  <c r="H213" i="2"/>
  <c r="F568" i="3" s="1"/>
  <c r="H214" i="2"/>
  <c r="F585" i="3" s="1"/>
  <c r="H215" i="2"/>
  <c r="F83" i="3" s="1"/>
  <c r="H216" i="2"/>
  <c r="F459" i="3" s="1"/>
  <c r="H217" i="2"/>
  <c r="F115" i="3" s="1"/>
  <c r="H218" i="2"/>
  <c r="F564" i="3" s="1"/>
  <c r="H219" i="2"/>
  <c r="F417" i="3" s="1"/>
  <c r="H220" i="2"/>
  <c r="F522" i="3" s="1"/>
  <c r="H221" i="2"/>
  <c r="F251" i="3" s="1"/>
  <c r="H222" i="2"/>
  <c r="F588" i="3" s="1"/>
  <c r="H223" i="2"/>
  <c r="F447" i="3" s="1"/>
  <c r="H224" i="2"/>
  <c r="F533" i="3" s="1"/>
  <c r="H225" i="2"/>
  <c r="F344" i="3" s="1"/>
  <c r="H226" i="2"/>
  <c r="H227" i="2"/>
  <c r="F23" i="3" s="1"/>
  <c r="H228" i="2"/>
  <c r="F399" i="3" s="1"/>
  <c r="H229" i="2"/>
  <c r="F578" i="3" s="1"/>
  <c r="H230" i="2"/>
  <c r="F391" i="3" s="1"/>
  <c r="H231" i="2"/>
  <c r="F521" i="3" s="1"/>
  <c r="H232" i="2"/>
  <c r="F342" i="3" s="1"/>
  <c r="H233" i="2"/>
  <c r="F535" i="3" s="1"/>
  <c r="H234" i="2"/>
  <c r="F607" i="3" s="1"/>
  <c r="H235" i="2"/>
  <c r="F471" i="3" s="1"/>
  <c r="H236" i="2"/>
  <c r="F291" i="3" s="1"/>
  <c r="H237" i="2"/>
  <c r="F152" i="3" s="1"/>
  <c r="H238" i="2"/>
  <c r="F338" i="3" s="1"/>
  <c r="H239" i="2"/>
  <c r="F25" i="3" s="1"/>
  <c r="H240" i="2"/>
  <c r="F549" i="3" s="1"/>
  <c r="H241" i="2"/>
  <c r="F156" i="3" s="1"/>
  <c r="H242" i="2"/>
  <c r="F301" i="3" s="1"/>
  <c r="H243" i="2"/>
  <c r="F133" i="3" s="1"/>
  <c r="H244" i="2"/>
  <c r="F105" i="3" s="1"/>
  <c r="H245" i="2"/>
  <c r="F44" i="3" s="1"/>
  <c r="H246" i="2"/>
  <c r="F279" i="3" s="1"/>
  <c r="H247" i="2"/>
  <c r="F90" i="3" s="1"/>
  <c r="H248" i="2"/>
  <c r="F68" i="3" s="1"/>
  <c r="H249" i="2"/>
  <c r="F298" i="3" s="1"/>
  <c r="H250" i="2"/>
  <c r="F480" i="3" s="1"/>
  <c r="H251" i="2"/>
  <c r="F303" i="3" s="1"/>
  <c r="H252" i="2"/>
  <c r="F181" i="3" s="1"/>
  <c r="H253" i="2"/>
  <c r="F392" i="3" s="1"/>
  <c r="H254" i="2"/>
  <c r="F239" i="3" s="1"/>
  <c r="H255" i="2"/>
  <c r="F285" i="3" s="1"/>
  <c r="H256" i="2"/>
  <c r="F435" i="3" s="1"/>
  <c r="H257" i="2"/>
  <c r="F122" i="3" s="1"/>
  <c r="H258" i="2"/>
  <c r="F30" i="3" s="1"/>
  <c r="H259" i="2"/>
  <c r="H260" i="2"/>
  <c r="F440" i="3" s="1"/>
  <c r="H261" i="2"/>
  <c r="F143" i="3" s="1"/>
  <c r="H262" i="2"/>
  <c r="F4" i="3" s="1"/>
  <c r="H263" i="2"/>
  <c r="H264" i="2"/>
  <c r="F97" i="3" s="1"/>
  <c r="H265" i="2"/>
  <c r="F139" i="3" s="1"/>
  <c r="H266" i="2"/>
  <c r="F305" i="3" s="1"/>
  <c r="H267" i="2"/>
  <c r="F170" i="3" s="1"/>
  <c r="H268" i="2"/>
  <c r="F11" i="3" s="1"/>
  <c r="H269" i="2"/>
  <c r="F325" i="3" s="1"/>
  <c r="H270" i="2"/>
  <c r="F466" i="3" s="1"/>
  <c r="H271" i="2"/>
  <c r="F28" i="3" s="1"/>
  <c r="H272" i="2"/>
  <c r="F514" i="3" s="1"/>
  <c r="H273" i="2"/>
  <c r="F570" i="3" s="1"/>
  <c r="H274" i="2"/>
  <c r="F365" i="3" s="1"/>
  <c r="H275" i="2"/>
  <c r="F62" i="3" s="1"/>
  <c r="H276" i="2"/>
  <c r="F560" i="3" s="1"/>
  <c r="H277" i="2"/>
  <c r="F602" i="3" s="1"/>
  <c r="H278" i="2"/>
  <c r="F191" i="3" s="1"/>
  <c r="H279" i="2"/>
  <c r="F562" i="3" s="1"/>
  <c r="H280" i="2"/>
  <c r="F21" i="3" s="1"/>
  <c r="H281" i="2"/>
  <c r="F612" i="3" s="1"/>
  <c r="H282" i="2"/>
  <c r="F548" i="3" s="1"/>
  <c r="H283" i="2"/>
  <c r="F304" i="3" s="1"/>
  <c r="H284" i="2"/>
  <c r="F389" i="3" s="1"/>
  <c r="H285" i="2"/>
  <c r="F69" i="3" s="1"/>
  <c r="H286" i="2"/>
  <c r="F366" i="3" s="1"/>
  <c r="H287" i="2"/>
  <c r="F248" i="3" s="1"/>
  <c r="H288" i="2"/>
  <c r="F353" i="3" s="1"/>
  <c r="H289" i="2"/>
  <c r="F500" i="3" s="1"/>
  <c r="H290" i="2"/>
  <c r="F111" i="3" s="1"/>
  <c r="H291" i="2"/>
  <c r="F259" i="3" s="1"/>
  <c r="H292" i="2"/>
  <c r="F253" i="3" s="1"/>
  <c r="H293" i="2"/>
  <c r="F608" i="3" s="1"/>
  <c r="H294" i="2"/>
  <c r="F583" i="3" s="1"/>
  <c r="H295" i="2"/>
  <c r="F176" i="3" s="1"/>
  <c r="H296" i="2"/>
  <c r="F478" i="3" s="1"/>
  <c r="H297" i="2"/>
  <c r="F269" i="3" s="1"/>
  <c r="H298" i="2"/>
  <c r="F93" i="3" s="1"/>
  <c r="H299" i="2"/>
  <c r="F515" i="3" s="1"/>
  <c r="H300" i="2"/>
  <c r="F526" i="3" s="1"/>
  <c r="H301" i="2"/>
  <c r="F246" i="3" s="1"/>
  <c r="H302" i="2"/>
  <c r="F132" i="3" s="1"/>
  <c r="H303" i="2"/>
  <c r="F154" i="3" s="1"/>
  <c r="H304" i="2"/>
  <c r="F335" i="3" s="1"/>
  <c r="H305" i="2"/>
  <c r="F125" i="3" s="1"/>
  <c r="H306" i="2"/>
  <c r="F596" i="3" s="1"/>
  <c r="H307" i="2"/>
  <c r="F35" i="3" s="1"/>
  <c r="H308" i="2"/>
  <c r="F412" i="3" s="1"/>
  <c r="H309" i="2"/>
  <c r="F281" i="3" s="1"/>
  <c r="H310" i="2"/>
  <c r="F144" i="3" s="1"/>
  <c r="H311" i="2"/>
  <c r="F242" i="3" s="1"/>
  <c r="H312" i="2"/>
  <c r="F289" i="3" s="1"/>
  <c r="H313" i="2"/>
  <c r="F426" i="3" s="1"/>
  <c r="H314" i="2"/>
  <c r="F540" i="3" s="1"/>
  <c r="H315" i="2"/>
  <c r="F336" i="3" s="1"/>
  <c r="H316" i="2"/>
  <c r="F579" i="3" s="1"/>
  <c r="H317" i="2"/>
  <c r="F595" i="3" s="1"/>
  <c r="H318" i="2"/>
  <c r="F452" i="3" s="1"/>
  <c r="H319" i="2"/>
  <c r="F87" i="3" s="1"/>
  <c r="H320" i="2"/>
  <c r="F201" i="3" s="1"/>
  <c r="H321" i="2"/>
  <c r="F561" i="3" s="1"/>
  <c r="H322" i="2"/>
  <c r="F99" i="3" s="1"/>
  <c r="H323" i="2"/>
  <c r="F313" i="3" s="1"/>
  <c r="H324" i="2"/>
  <c r="F127" i="3" s="1"/>
  <c r="H325" i="2"/>
  <c r="F101" i="3" s="1"/>
  <c r="H326" i="2"/>
  <c r="F383" i="3" s="1"/>
  <c r="H327" i="2"/>
  <c r="F276" i="3" s="1"/>
  <c r="H328" i="2"/>
  <c r="F107" i="3" s="1"/>
  <c r="H329" i="2"/>
  <c r="F616" i="3" s="1"/>
  <c r="H330" i="2"/>
  <c r="F598" i="3" s="1"/>
  <c r="H331" i="2"/>
  <c r="F297" i="3" s="1"/>
  <c r="H332" i="2"/>
  <c r="F363" i="3" s="1"/>
  <c r="H333" i="2"/>
  <c r="F120" i="3" s="1"/>
  <c r="H334" i="2"/>
  <c r="F529" i="3" s="1"/>
  <c r="H335" i="2"/>
  <c r="F584" i="3" s="1"/>
  <c r="H336" i="2"/>
  <c r="F408" i="3" s="1"/>
  <c r="H337" i="2"/>
  <c r="F8" i="3" s="1"/>
  <c r="H338" i="2"/>
  <c r="F403" i="3" s="1"/>
  <c r="H339" i="2"/>
  <c r="F378" i="3" s="1"/>
  <c r="H340" i="2"/>
  <c r="F355" i="3" s="1"/>
  <c r="H341" i="2"/>
  <c r="F174" i="3" s="1"/>
  <c r="H342" i="2"/>
  <c r="H343" i="2"/>
  <c r="F594" i="3" s="1"/>
  <c r="H344" i="2"/>
  <c r="F615" i="3" s="1"/>
  <c r="H345" i="2"/>
  <c r="F479" i="3" s="1"/>
  <c r="H346" i="2"/>
  <c r="F547" i="3" s="1"/>
  <c r="H347" i="2"/>
  <c r="F17" i="3" s="1"/>
  <c r="H348" i="2"/>
  <c r="F576" i="3" s="1"/>
  <c r="H349" i="2"/>
  <c r="F543" i="3" s="1"/>
  <c r="H350" i="2"/>
  <c r="F317" i="3" s="1"/>
  <c r="H351" i="2"/>
  <c r="F599" i="3" s="1"/>
  <c r="H352" i="2"/>
  <c r="F40" i="3" s="1"/>
  <c r="H353" i="2"/>
  <c r="F244" i="3" s="1"/>
  <c r="H354" i="2"/>
  <c r="F117" i="3" s="1"/>
  <c r="H355" i="2"/>
  <c r="F457" i="3" s="1"/>
  <c r="H356" i="2"/>
  <c r="F135" i="3" s="1"/>
  <c r="H357" i="2"/>
  <c r="F358" i="3" s="1"/>
  <c r="H358" i="2"/>
  <c r="F320" i="3" s="1"/>
  <c r="H359" i="2"/>
  <c r="F375" i="3" s="1"/>
  <c r="H360" i="2"/>
  <c r="F158" i="3" s="1"/>
  <c r="H361" i="2"/>
  <c r="F213" i="3" s="1"/>
  <c r="H362" i="2"/>
  <c r="F262" i="3" s="1"/>
  <c r="H363" i="2"/>
  <c r="F555" i="3" s="1"/>
  <c r="H364" i="2"/>
  <c r="F165" i="3" s="1"/>
  <c r="H365" i="2"/>
  <c r="F55" i="3" s="1"/>
  <c r="H366" i="2"/>
  <c r="F261" i="3" s="1"/>
  <c r="H367" i="2"/>
  <c r="F456" i="3" s="1"/>
  <c r="H368" i="2"/>
  <c r="F293" i="3" s="1"/>
  <c r="H369" i="2"/>
  <c r="F563" i="3" s="1"/>
  <c r="H370" i="2"/>
  <c r="F215" i="3" s="1"/>
  <c r="H371" i="2"/>
  <c r="F566" i="3" s="1"/>
  <c r="H372" i="2"/>
  <c r="F589" i="3" s="1"/>
  <c r="H373" i="2"/>
  <c r="F470" i="3" s="1"/>
  <c r="H374" i="2"/>
  <c r="F245" i="3" s="1"/>
  <c r="H375" i="2"/>
  <c r="F307" i="3" s="1"/>
  <c r="H376" i="2"/>
  <c r="F427" i="3" s="1"/>
  <c r="H377" i="2"/>
  <c r="F372" i="3" s="1"/>
  <c r="H378" i="2"/>
  <c r="H379" i="2"/>
  <c r="F76" i="3" s="1"/>
  <c r="H380" i="2"/>
  <c r="F168" i="3" s="1"/>
  <c r="H381" i="2"/>
  <c r="F592" i="3" s="1"/>
  <c r="H382" i="2"/>
  <c r="F460" i="3" s="1"/>
  <c r="H383" i="2"/>
  <c r="F18" i="3" s="1"/>
  <c r="H384" i="2"/>
  <c r="F551" i="3" s="1"/>
  <c r="H385" i="2"/>
  <c r="F528" i="3" s="1"/>
  <c r="H386" i="2"/>
  <c r="F43" i="3" s="1"/>
  <c r="H387" i="2"/>
  <c r="F164" i="3" s="1"/>
  <c r="H388" i="2"/>
  <c r="F257" i="3" s="1"/>
  <c r="H389" i="2"/>
  <c r="F277" i="3" s="1"/>
  <c r="H390" i="2"/>
  <c r="F532" i="3" s="1"/>
  <c r="H391" i="2"/>
  <c r="F404" i="3" s="1"/>
  <c r="H392" i="2"/>
  <c r="F238" i="3" s="1"/>
  <c r="H393" i="2"/>
  <c r="F449" i="3" s="1"/>
  <c r="H394" i="2"/>
  <c r="F465" i="3" s="1"/>
  <c r="H395" i="2"/>
  <c r="F385" i="3" s="1"/>
  <c r="H396" i="2"/>
  <c r="F489" i="3" s="1"/>
  <c r="H397" i="2"/>
  <c r="F587" i="3" s="1"/>
  <c r="H398" i="2"/>
  <c r="F214" i="3" s="1"/>
  <c r="H399" i="2"/>
  <c r="F48" i="3" s="1"/>
  <c r="H400" i="2"/>
  <c r="F14" i="3" s="1"/>
  <c r="H401" i="2"/>
  <c r="F346" i="3" s="1"/>
  <c r="H402" i="2"/>
  <c r="F197" i="3" s="1"/>
  <c r="H403" i="2"/>
  <c r="F379" i="3" s="1"/>
  <c r="H404" i="2"/>
  <c r="F327" i="3" s="1"/>
  <c r="H405" i="2"/>
  <c r="F194" i="3" s="1"/>
  <c r="H406" i="2"/>
  <c r="F359" i="3" s="1"/>
  <c r="H407" i="2"/>
  <c r="F74" i="3" s="1"/>
  <c r="H408" i="2"/>
  <c r="F541" i="3" s="1"/>
  <c r="H409" i="2"/>
  <c r="F33" i="3" s="1"/>
  <c r="H410" i="2"/>
  <c r="F444" i="3" s="1"/>
  <c r="H411" i="2"/>
  <c r="F189" i="3" s="1"/>
  <c r="H412" i="2"/>
  <c r="F468" i="3" s="1"/>
  <c r="H413" i="2"/>
  <c r="F266" i="3" s="1"/>
  <c r="H414" i="2"/>
  <c r="F202" i="3" s="1"/>
  <c r="H415" i="2"/>
  <c r="F41" i="3" s="1"/>
  <c r="H416" i="2"/>
  <c r="F421" i="3" s="1"/>
  <c r="H417" i="2"/>
  <c r="F265" i="3" s="1"/>
  <c r="H418" i="2"/>
  <c r="F290" i="3" s="1"/>
  <c r="H419" i="2"/>
  <c r="F155" i="3" s="1"/>
  <c r="H420" i="2"/>
  <c r="F102" i="3" s="1"/>
  <c r="H421" i="2"/>
  <c r="F309" i="3" s="1"/>
  <c r="H422" i="2"/>
  <c r="F192" i="3" s="1"/>
  <c r="H423" i="2"/>
  <c r="F367" i="3" s="1"/>
  <c r="H424" i="2"/>
  <c r="F343" i="3" s="1"/>
  <c r="H425" i="2"/>
  <c r="F16" i="3" s="1"/>
  <c r="H426" i="2"/>
  <c r="F446" i="3" s="1"/>
  <c r="H427" i="2"/>
  <c r="F82" i="3" s="1"/>
  <c r="H428" i="2"/>
  <c r="F347" i="3" s="1"/>
  <c r="H429" i="2"/>
  <c r="F416" i="3" s="1"/>
  <c r="H430" i="2"/>
  <c r="F345" i="3" s="1"/>
  <c r="H431" i="2"/>
  <c r="F601" i="3" s="1"/>
  <c r="H432" i="2"/>
  <c r="F364" i="3" s="1"/>
  <c r="H433" i="2"/>
  <c r="F272" i="3" s="1"/>
  <c r="H434" i="2"/>
  <c r="F407" i="3" s="1"/>
  <c r="H435" i="2"/>
  <c r="F443" i="3" s="1"/>
  <c r="H436" i="2"/>
  <c r="F340" i="3" s="1"/>
  <c r="H437" i="2"/>
  <c r="F492" i="3" s="1"/>
  <c r="H438" i="2"/>
  <c r="F206" i="3" s="1"/>
  <c r="H439" i="2"/>
  <c r="F306" i="3" s="1"/>
  <c r="H440" i="2"/>
  <c r="F84" i="3" s="1"/>
  <c r="H441" i="2"/>
  <c r="F211" i="3" s="1"/>
  <c r="H442" i="2"/>
  <c r="F267" i="3" s="1"/>
  <c r="H443" i="2"/>
  <c r="F442" i="3" s="1"/>
  <c r="H444" i="2"/>
  <c r="F558" i="3" s="1"/>
  <c r="H445" i="2"/>
  <c r="F448" i="3" s="1"/>
  <c r="H446" i="2"/>
  <c r="F546" i="3" s="1"/>
  <c r="H447" i="2"/>
  <c r="F409" i="3" s="1"/>
  <c r="H448" i="2"/>
  <c r="F437" i="3" s="1"/>
  <c r="H449" i="2"/>
  <c r="F207" i="3" s="1"/>
  <c r="H450" i="2"/>
  <c r="F538" i="3" s="1"/>
  <c r="H451" i="2"/>
  <c r="F112" i="3" s="1"/>
  <c r="H452" i="2"/>
  <c r="F414" i="3" s="1"/>
  <c r="H453" i="2"/>
  <c r="F334" i="3" s="1"/>
  <c r="H454" i="2"/>
  <c r="F401" i="3" s="1"/>
  <c r="H455" i="2"/>
  <c r="F78" i="3" s="1"/>
  <c r="H456" i="2"/>
  <c r="F37" i="3" s="1"/>
  <c r="H457" i="2"/>
  <c r="F423" i="3" s="1"/>
  <c r="H458" i="2"/>
  <c r="F349" i="3" s="1"/>
  <c r="H459" i="2"/>
  <c r="F397" i="3" s="1"/>
  <c r="H460" i="2"/>
  <c r="F511" i="3" s="1"/>
  <c r="H461" i="2"/>
  <c r="F400" i="3" s="1"/>
  <c r="H462" i="2"/>
  <c r="F282" i="3" s="1"/>
  <c r="H463" i="2"/>
  <c r="F185" i="3" s="1"/>
  <c r="H464" i="2"/>
  <c r="F252" i="3" s="1"/>
  <c r="H465" i="2"/>
  <c r="F605" i="3" s="1"/>
  <c r="H466" i="2"/>
  <c r="F61" i="3" s="1"/>
  <c r="H467" i="2"/>
  <c r="F57" i="3" s="1"/>
  <c r="H468" i="2"/>
  <c r="F308" i="3" s="1"/>
  <c r="H469" i="2"/>
  <c r="F542" i="3" s="1"/>
  <c r="H470" i="2"/>
  <c r="F463" i="3" s="1"/>
  <c r="H471" i="2"/>
  <c r="F503" i="3" s="1"/>
  <c r="H472" i="2"/>
  <c r="F504" i="3" s="1"/>
  <c r="H473" i="2"/>
  <c r="F506" i="3" s="1"/>
  <c r="H474" i="2"/>
  <c r="F7" i="3" s="1"/>
  <c r="H475" i="2"/>
  <c r="F488" i="3" s="1"/>
  <c r="H476" i="2"/>
  <c r="F525" i="3" s="1"/>
  <c r="H477" i="2"/>
  <c r="F130" i="3" s="1"/>
  <c r="H478" i="2"/>
  <c r="F142" i="3" s="1"/>
  <c r="H479" i="2"/>
  <c r="F593" i="3" s="1"/>
  <c r="H480" i="2"/>
  <c r="F38" i="3" s="1"/>
  <c r="H481" i="2"/>
  <c r="F209" i="3" s="1"/>
  <c r="H482" i="2"/>
  <c r="F270" i="3" s="1"/>
  <c r="H483" i="2"/>
  <c r="F260" i="3" s="1"/>
  <c r="H484" i="2"/>
  <c r="F394" i="3" s="1"/>
  <c r="H485" i="2"/>
  <c r="F71" i="3" s="1"/>
  <c r="H486" i="2"/>
  <c r="F373" i="3" s="1"/>
  <c r="H487" i="2"/>
  <c r="F454" i="3" s="1"/>
  <c r="H488" i="2"/>
  <c r="F413" i="3" s="1"/>
  <c r="H489" i="2"/>
  <c r="F179" i="3" s="1"/>
  <c r="H490" i="2"/>
  <c r="F5" i="3" s="1"/>
  <c r="H491" i="2"/>
  <c r="F94" i="3" s="1"/>
  <c r="H492" i="2"/>
  <c r="F114" i="3" s="1"/>
  <c r="H493" i="2"/>
  <c r="F432" i="3" s="1"/>
  <c r="H494" i="2"/>
  <c r="F286" i="3" s="1"/>
  <c r="H495" i="2"/>
  <c r="F233" i="3" s="1"/>
  <c r="H496" i="2"/>
  <c r="F486" i="3" s="1"/>
  <c r="H497" i="2"/>
  <c r="F283" i="3" s="1"/>
  <c r="H498" i="2"/>
  <c r="F128" i="3" s="1"/>
  <c r="H499" i="2"/>
  <c r="F12" i="3" s="1"/>
  <c r="H500" i="2"/>
  <c r="F137" i="3" s="1"/>
  <c r="H501" i="2"/>
  <c r="F475" i="3" s="1"/>
  <c r="H502" i="2"/>
  <c r="F227" i="3" s="1"/>
  <c r="H503" i="2"/>
  <c r="F183" i="3" s="1"/>
  <c r="H504" i="2"/>
  <c r="F88" i="3" s="1"/>
  <c r="H505" i="2"/>
  <c r="F299" i="3" s="1"/>
  <c r="H506" i="2"/>
  <c r="F275" i="3" s="1"/>
  <c r="H507" i="2"/>
  <c r="F264" i="3" s="1"/>
  <c r="H508" i="2"/>
  <c r="F406" i="3" s="1"/>
  <c r="H509" i="2"/>
  <c r="F166" i="3" s="1"/>
  <c r="H510" i="2"/>
  <c r="F110" i="3" s="1"/>
  <c r="H511" i="2"/>
  <c r="F205" i="3" s="1"/>
  <c r="H512" i="2"/>
  <c r="F36" i="3" s="1"/>
  <c r="H513" i="2"/>
  <c r="F151" i="3" s="1"/>
  <c r="H514" i="2"/>
  <c r="F490" i="3" s="1"/>
  <c r="H515" i="2"/>
  <c r="F187" i="3" s="1"/>
  <c r="H516" i="2"/>
  <c r="F52" i="3" s="1"/>
  <c r="H517" i="2"/>
  <c r="F249" i="3" s="1"/>
  <c r="H518" i="2"/>
  <c r="F250" i="3" s="1"/>
  <c r="H519" i="2"/>
  <c r="F332" i="3" s="1"/>
  <c r="H520" i="2"/>
  <c r="F234" i="3" s="1"/>
  <c r="H521" i="2"/>
  <c r="F531" i="3" s="1"/>
  <c r="H522" i="2"/>
  <c r="F292" i="3" s="1"/>
  <c r="H523" i="2"/>
  <c r="F45" i="3" s="1"/>
  <c r="H524" i="2"/>
  <c r="F402" i="3" s="1"/>
  <c r="H525" i="2"/>
  <c r="F231" i="3" s="1"/>
  <c r="H526" i="2"/>
  <c r="F311" i="3" s="1"/>
  <c r="H527" i="2"/>
  <c r="F59" i="3" s="1"/>
  <c r="H528" i="2"/>
  <c r="F331" i="3" s="1"/>
  <c r="H529" i="2"/>
  <c r="F386" i="3" s="1"/>
  <c r="H530" i="2"/>
  <c r="F208" i="3" s="1"/>
  <c r="H531" i="2"/>
  <c r="F237" i="3" s="1"/>
  <c r="H532" i="2"/>
  <c r="F495" i="3" s="1"/>
  <c r="H533" i="2"/>
  <c r="H534" i="2"/>
  <c r="F591" i="3" s="1"/>
  <c r="H535" i="2"/>
  <c r="F212" i="3" s="1"/>
  <c r="H536" i="2"/>
  <c r="F606" i="3" s="1"/>
  <c r="H537" i="2"/>
  <c r="F159" i="3" s="1"/>
  <c r="H538" i="2"/>
  <c r="F613" i="3" s="1"/>
  <c r="H539" i="2"/>
  <c r="F75" i="3" s="1"/>
  <c r="H540" i="2"/>
  <c r="F516" i="3" s="1"/>
  <c r="H541" i="2"/>
  <c r="F146" i="3" s="1"/>
  <c r="H542" i="2"/>
  <c r="F243" i="3" s="1"/>
  <c r="H543" i="2"/>
  <c r="F56" i="3" s="1"/>
  <c r="H544" i="2"/>
  <c r="F312" i="3" s="1"/>
  <c r="H545" i="2"/>
  <c r="F63" i="3" s="1"/>
  <c r="H546" i="2"/>
  <c r="F85" i="3" s="1"/>
  <c r="H547" i="2"/>
  <c r="F552" i="3" s="1"/>
  <c r="H548" i="2"/>
  <c r="F92" i="3" s="1"/>
  <c r="H549" i="2"/>
  <c r="F147" i="3" s="1"/>
  <c r="H550" i="2"/>
  <c r="F434" i="3" s="1"/>
  <c r="H551" i="2"/>
  <c r="F329" i="3" s="1"/>
  <c r="H552" i="2"/>
  <c r="F384" i="3" s="1"/>
  <c r="H553" i="2"/>
  <c r="F330" i="3" s="1"/>
  <c r="H554" i="2"/>
  <c r="F350" i="3" s="1"/>
  <c r="H555" i="2"/>
  <c r="F80" i="3" s="1"/>
  <c r="H556" i="2"/>
  <c r="F438" i="3" s="1"/>
  <c r="H557" i="2"/>
  <c r="F310" i="3" s="1"/>
  <c r="H558" i="2"/>
  <c r="F361" i="3" s="1"/>
  <c r="H559" i="2"/>
  <c r="F268" i="3" s="1"/>
  <c r="H560" i="2"/>
  <c r="F91" i="3" s="1"/>
  <c r="H561" i="2"/>
  <c r="F371" i="3" s="1"/>
  <c r="H562" i="2"/>
  <c r="F241" i="3" s="1"/>
  <c r="H563" i="2"/>
  <c r="F582" i="3" s="1"/>
  <c r="H564" i="2"/>
  <c r="F572" i="3" s="1"/>
  <c r="H565" i="2"/>
  <c r="F573" i="3" s="1"/>
  <c r="H566" i="2"/>
  <c r="F124" i="3" s="1"/>
  <c r="H567" i="2"/>
  <c r="F453" i="3" s="1"/>
  <c r="H568" i="2"/>
  <c r="F507" i="3" s="1"/>
  <c r="H569" i="2"/>
  <c r="F517" i="3" s="1"/>
  <c r="H570" i="2"/>
  <c r="F161" i="3" s="1"/>
  <c r="H571" i="2"/>
  <c r="F510" i="3" s="1"/>
  <c r="H572" i="2"/>
  <c r="F519" i="3" s="1"/>
  <c r="H573" i="2"/>
  <c r="F433" i="3" s="1"/>
  <c r="H574" i="2"/>
  <c r="F223" i="3" s="1"/>
  <c r="H575" i="2"/>
  <c r="F458" i="3" s="1"/>
  <c r="H576" i="2"/>
  <c r="F96" i="3" s="1"/>
  <c r="H577" i="2"/>
  <c r="F505" i="3" s="1"/>
  <c r="H578" i="2"/>
  <c r="F229" i="3" s="1"/>
  <c r="H579" i="2"/>
  <c r="F485" i="3" s="1"/>
  <c r="H580" i="2"/>
  <c r="F157" i="3" s="1"/>
  <c r="H581" i="2"/>
  <c r="F228" i="3" s="1"/>
  <c r="H582" i="2"/>
  <c r="F195" i="3" s="1"/>
  <c r="H583" i="2"/>
  <c r="F318" i="3" s="1"/>
  <c r="H584" i="2"/>
  <c r="F352" i="3" s="1"/>
  <c r="H585" i="2"/>
  <c r="F430" i="3" s="1"/>
  <c r="H586" i="2"/>
  <c r="F420" i="3" s="1"/>
  <c r="H587" i="2"/>
  <c r="F513" i="3" s="1"/>
  <c r="H588" i="2"/>
  <c r="F473" i="3" s="1"/>
  <c r="H589" i="2"/>
  <c r="F54" i="3" s="1"/>
  <c r="H590" i="2"/>
  <c r="F381" i="3" s="1"/>
  <c r="H591" i="2"/>
  <c r="F554" i="3" s="1"/>
  <c r="H592" i="2"/>
  <c r="F106" i="3" s="1"/>
  <c r="H593" i="2"/>
  <c r="F27" i="3" s="1"/>
  <c r="H594" i="2"/>
  <c r="F509" i="3" s="1"/>
  <c r="H595" i="2"/>
  <c r="F196" i="3" s="1"/>
  <c r="H596" i="2"/>
  <c r="F518" i="3" s="1"/>
  <c r="H597" i="2"/>
  <c r="F32" i="3" s="1"/>
  <c r="H598" i="2"/>
  <c r="F370" i="3" s="1"/>
  <c r="H599" i="2"/>
  <c r="F280" i="3" s="1"/>
  <c r="H600" i="2"/>
  <c r="F180" i="3" s="1"/>
  <c r="H601" i="2"/>
  <c r="F368" i="3" s="1"/>
  <c r="H602" i="2"/>
  <c r="F145" i="3" s="1"/>
  <c r="H603" i="2"/>
  <c r="F10" i="3" s="1"/>
  <c r="H604" i="2"/>
  <c r="F6" i="3" s="1"/>
  <c r="H605" i="2"/>
  <c r="F567" i="3" s="1"/>
  <c r="H606" i="2"/>
  <c r="F395" i="3" s="1"/>
  <c r="H607" i="2"/>
  <c r="F474" i="3" s="1"/>
  <c r="H608" i="2"/>
  <c r="F109" i="3" s="1"/>
  <c r="H609" i="2"/>
  <c r="F502" i="3" s="1"/>
  <c r="H610" i="2"/>
  <c r="F26" i="3" s="1"/>
  <c r="H612" i="2"/>
  <c r="F193" i="3" s="1"/>
  <c r="H613" i="2"/>
  <c r="F377" i="3" s="1"/>
  <c r="H614" i="2"/>
  <c r="F481" i="3" s="1"/>
  <c r="H615" i="2"/>
  <c r="F175" i="3" s="1"/>
  <c r="H616" i="2"/>
  <c r="F300" i="3" s="1"/>
  <c r="H617" i="2"/>
  <c r="F273" i="3" s="1"/>
  <c r="H618" i="2"/>
  <c r="F360" i="3" s="1"/>
  <c r="H619" i="2"/>
  <c r="F66" i="3" s="1"/>
  <c r="H620" i="2"/>
  <c r="F141" i="3" s="1"/>
  <c r="H621" i="2"/>
  <c r="F556" i="3" s="1"/>
  <c r="H622" i="2"/>
  <c r="F29" i="3" s="1"/>
  <c r="H623" i="2"/>
  <c r="F150" i="3" s="1"/>
  <c r="H624" i="2"/>
  <c r="F537" i="3" s="1"/>
  <c r="F3" i="2"/>
  <c r="D60" i="3" s="1"/>
  <c r="F4" i="2"/>
  <c r="D439" i="3" s="1"/>
  <c r="F5" i="2"/>
  <c r="D396" i="3" s="1"/>
  <c r="F6" i="2"/>
  <c r="D323" i="3" s="1"/>
  <c r="F7" i="2"/>
  <c r="D98" i="3" s="1"/>
  <c r="F8" i="2"/>
  <c r="D225" i="3" s="1"/>
  <c r="F9" i="2"/>
  <c r="D9" i="3" s="1"/>
  <c r="F10" i="2"/>
  <c r="D220" i="3" s="1"/>
  <c r="F11" i="2"/>
  <c r="D15" i="3" s="1"/>
  <c r="F12" i="2"/>
  <c r="D119" i="3" s="1"/>
  <c r="F13" i="2"/>
  <c r="D415" i="3" s="1"/>
  <c r="F14" i="2"/>
  <c r="D121" i="3" s="1"/>
  <c r="F15" i="2"/>
  <c r="D482" i="3" s="1"/>
  <c r="F16" i="2"/>
  <c r="D609" i="3" s="1"/>
  <c r="F17" i="2"/>
  <c r="D341" i="3" s="1"/>
  <c r="F18" i="2"/>
  <c r="D64" i="3" s="1"/>
  <c r="F19" i="2"/>
  <c r="D70" i="3" s="1"/>
  <c r="F20" i="2"/>
  <c r="D256" i="3" s="1"/>
  <c r="F21" i="2"/>
  <c r="D491" i="3" s="1"/>
  <c r="F22" i="2"/>
  <c r="D469" i="3" s="1"/>
  <c r="F23" i="2"/>
  <c r="D254" i="3" s="1"/>
  <c r="F24" i="2"/>
  <c r="D530" i="3" s="1"/>
  <c r="F25" i="2"/>
  <c r="D34" i="3" s="1"/>
  <c r="F26" i="2"/>
  <c r="D217" i="3" s="1"/>
  <c r="F27" i="2"/>
  <c r="D230" i="3" s="1"/>
  <c r="F28" i="2"/>
  <c r="D86" i="3" s="1"/>
  <c r="F29" i="2"/>
  <c r="D571" i="3" s="1"/>
  <c r="F30" i="2"/>
  <c r="D565" i="3" s="1"/>
  <c r="F31" i="2"/>
  <c r="D39" i="3" s="1"/>
  <c r="F32" i="2"/>
  <c r="D424" i="3" s="1"/>
  <c r="F33" i="2"/>
  <c r="D328" i="3" s="1"/>
  <c r="F34" i="2"/>
  <c r="D356" i="3" s="1"/>
  <c r="F35" i="2"/>
  <c r="D604" i="3" s="1"/>
  <c r="F36" i="2"/>
  <c r="D232" i="3" s="1"/>
  <c r="F37" i="2"/>
  <c r="D431" i="3" s="1"/>
  <c r="F38" i="2"/>
  <c r="D236" i="3" s="1"/>
  <c r="F39" i="2"/>
  <c r="D445" i="3" s="1"/>
  <c r="F40" i="2"/>
  <c r="D419" i="3" s="1"/>
  <c r="F41" i="2"/>
  <c r="F42" i="2"/>
  <c r="D73" i="3" s="1"/>
  <c r="F43" i="2"/>
  <c r="D240" i="3" s="1"/>
  <c r="F44" i="2"/>
  <c r="D380" i="3" s="1"/>
  <c r="F45" i="2"/>
  <c r="D496" i="3" s="1"/>
  <c r="F46" i="2"/>
  <c r="D487" i="3" s="1"/>
  <c r="F47" i="2"/>
  <c r="D294" i="3" s="1"/>
  <c r="F48" i="2"/>
  <c r="D315" i="3" s="1"/>
  <c r="F49" i="2"/>
  <c r="D611" i="3" s="1"/>
  <c r="F50" i="2"/>
  <c r="D169" i="3" s="1"/>
  <c r="F51" i="2"/>
  <c r="D436" i="3" s="1"/>
  <c r="F52" i="2"/>
  <c r="D464" i="3" s="1"/>
  <c r="F53" i="2"/>
  <c r="D20" i="3" s="1"/>
  <c r="F54" i="2"/>
  <c r="D534" i="3" s="1"/>
  <c r="F55" i="2"/>
  <c r="D520" i="3" s="1"/>
  <c r="F56" i="2"/>
  <c r="D362" i="3" s="1"/>
  <c r="F57" i="2"/>
  <c r="D483" i="3" s="1"/>
  <c r="F58" i="2"/>
  <c r="D221" i="3" s="1"/>
  <c r="F59" i="2"/>
  <c r="D77" i="3" s="1"/>
  <c r="F60" i="2"/>
  <c r="D316" i="3" s="1"/>
  <c r="F61" i="2"/>
  <c r="D590" i="3" s="1"/>
  <c r="F62" i="2"/>
  <c r="D512" i="3" s="1"/>
  <c r="F63" i="2"/>
  <c r="D162" i="3" s="1"/>
  <c r="F64" i="2"/>
  <c r="D422" i="3" s="1"/>
  <c r="F65" i="2"/>
  <c r="D103" i="3" s="1"/>
  <c r="F66" i="2"/>
  <c r="D123" i="3" s="1"/>
  <c r="F67" i="2"/>
  <c r="D581" i="3" s="1"/>
  <c r="F68" i="2"/>
  <c r="D108" i="3" s="1"/>
  <c r="F69" i="2"/>
  <c r="D494" i="3" s="1"/>
  <c r="F70" i="2"/>
  <c r="D198" i="3" s="1"/>
  <c r="F71" i="2"/>
  <c r="D390" i="3" s="1"/>
  <c r="F72" i="2"/>
  <c r="D274" i="3" s="1"/>
  <c r="F73" i="2"/>
  <c r="D559" i="3" s="1"/>
  <c r="F74" i="2"/>
  <c r="D255" i="3" s="1"/>
  <c r="F75" i="2"/>
  <c r="D42" i="3" s="1"/>
  <c r="F76" i="2"/>
  <c r="D597" i="3" s="1"/>
  <c r="F77" i="2"/>
  <c r="D79" i="3" s="1"/>
  <c r="F78" i="2"/>
  <c r="D182" i="3" s="1"/>
  <c r="F79" i="2"/>
  <c r="D22" i="3" s="1"/>
  <c r="F80" i="2"/>
  <c r="D577" i="3" s="1"/>
  <c r="F81" i="2"/>
  <c r="D226" i="3" s="1"/>
  <c r="F82" i="2"/>
  <c r="D271" i="3" s="1"/>
  <c r="F83" i="2"/>
  <c r="D508" i="3" s="1"/>
  <c r="F84" i="2"/>
  <c r="D95" i="3" s="1"/>
  <c r="F85" i="2"/>
  <c r="D557" i="3" s="1"/>
  <c r="F86" i="2"/>
  <c r="D72" i="3" s="1"/>
  <c r="F87" i="2"/>
  <c r="D302" i="3" s="1"/>
  <c r="F88" i="2"/>
  <c r="D524" i="3" s="1"/>
  <c r="F89" i="2"/>
  <c r="D484" i="3" s="1"/>
  <c r="F90" i="2"/>
  <c r="D429" i="3" s="1"/>
  <c r="F91" i="2"/>
  <c r="D199" i="3" s="1"/>
  <c r="F92" i="2"/>
  <c r="D118" i="3" s="1"/>
  <c r="F93" i="2"/>
  <c r="D67" i="3" s="1"/>
  <c r="F94" i="2"/>
  <c r="D188" i="3" s="1"/>
  <c r="F95" i="2"/>
  <c r="D81" i="3" s="1"/>
  <c r="F96" i="2"/>
  <c r="D550" i="3" s="1"/>
  <c r="F97" i="2"/>
  <c r="D216" i="3" s="1"/>
  <c r="F98" i="2"/>
  <c r="D411" i="3" s="1"/>
  <c r="F99" i="2"/>
  <c r="D47" i="3" s="1"/>
  <c r="F100" i="2"/>
  <c r="D58" i="3" s="1"/>
  <c r="F101" i="2"/>
  <c r="D13" i="3" s="1"/>
  <c r="F102" i="2"/>
  <c r="D351" i="3" s="1"/>
  <c r="F103" i="2"/>
  <c r="D539" i="3" s="1"/>
  <c r="F104" i="2"/>
  <c r="D586" i="3" s="1"/>
  <c r="F105" i="2"/>
  <c r="D333" i="3" s="1"/>
  <c r="F106" i="2"/>
  <c r="D149" i="3" s="1"/>
  <c r="F107" i="2"/>
  <c r="D461" i="3" s="1"/>
  <c r="F108" i="2"/>
  <c r="D418" i="3" s="1"/>
  <c r="F109" i="2"/>
  <c r="D536" i="3" s="1"/>
  <c r="F110" i="2"/>
  <c r="D19" i="3" s="1"/>
  <c r="F111" i="2"/>
  <c r="D31" i="3" s="1"/>
  <c r="F112" i="2"/>
  <c r="D451" i="3" s="1"/>
  <c r="F113" i="2"/>
  <c r="D287" i="3" s="1"/>
  <c r="F114" i="2"/>
  <c r="D53" i="3" s="1"/>
  <c r="F115" i="2"/>
  <c r="D129" i="3" s="1"/>
  <c r="F116" i="2"/>
  <c r="D235" i="3" s="1"/>
  <c r="F117" i="2"/>
  <c r="D100" i="3" s="1"/>
  <c r="F118" i="2"/>
  <c r="D140" i="3" s="1"/>
  <c r="F119" i="2"/>
  <c r="D296" i="3" s="1"/>
  <c r="F120" i="2"/>
  <c r="D116" i="3" s="1"/>
  <c r="F121" i="2"/>
  <c r="D203" i="3" s="1"/>
  <c r="F122" i="2"/>
  <c r="D186" i="3" s="1"/>
  <c r="F123" i="2"/>
  <c r="D498" i="3" s="1"/>
  <c r="F124" i="2"/>
  <c r="D348" i="3" s="1"/>
  <c r="F125" i="2"/>
  <c r="D104" i="3" s="1"/>
  <c r="F126" i="2"/>
  <c r="D314" i="3" s="1"/>
  <c r="F127" i="2"/>
  <c r="D553" i="3" s="1"/>
  <c r="F128" i="2"/>
  <c r="D247" i="3" s="1"/>
  <c r="F129" i="2"/>
  <c r="D258" i="3" s="1"/>
  <c r="F130" i="2"/>
  <c r="D131" i="3" s="1"/>
  <c r="F131" i="2"/>
  <c r="D467" i="3" s="1"/>
  <c r="F132" i="2"/>
  <c r="D278" i="3" s="1"/>
  <c r="F133" i="2"/>
  <c r="D136" i="3" s="1"/>
  <c r="F134" i="2"/>
  <c r="D222" i="3" s="1"/>
  <c r="F135" i="2"/>
  <c r="D148" i="3" s="1"/>
  <c r="F136" i="2"/>
  <c r="D50" i="3" s="1"/>
  <c r="F137" i="2"/>
  <c r="D224" i="3" s="1"/>
  <c r="F138" i="2"/>
  <c r="D614" i="3" s="1"/>
  <c r="F139" i="2"/>
  <c r="D357" i="3" s="1"/>
  <c r="F140" i="2"/>
  <c r="D497" i="3" s="1"/>
  <c r="F141" i="2"/>
  <c r="D382" i="3" s="1"/>
  <c r="F142" i="2"/>
  <c r="D24" i="3" s="1"/>
  <c r="F143" i="2"/>
  <c r="D3" i="3" s="1"/>
  <c r="F144" i="2"/>
  <c r="D499" i="3" s="1"/>
  <c r="F145" i="2"/>
  <c r="D337" i="3" s="1"/>
  <c r="F146" i="2"/>
  <c r="D603" i="3" s="1"/>
  <c r="F147" i="2"/>
  <c r="D210" i="3" s="1"/>
  <c r="F148" i="2"/>
  <c r="D545" i="3" s="1"/>
  <c r="F149" i="2"/>
  <c r="D46" i="3" s="1"/>
  <c r="F150" i="2"/>
  <c r="D49" i="3" s="1"/>
  <c r="F151" i="2"/>
  <c r="D523" i="3" s="1"/>
  <c r="F152" i="2"/>
  <c r="D455" i="3" s="1"/>
  <c r="F153" i="2"/>
  <c r="D376" i="3" s="1"/>
  <c r="F154" i="2"/>
  <c r="D462" i="3" s="1"/>
  <c r="F155" i="2"/>
  <c r="D178" i="3" s="1"/>
  <c r="F156" i="2"/>
  <c r="D219" i="3" s="1"/>
  <c r="F157" i="2"/>
  <c r="D200" i="3" s="1"/>
  <c r="F158" i="2"/>
  <c r="D138" i="3" s="1"/>
  <c r="F159" i="2"/>
  <c r="D374" i="3" s="1"/>
  <c r="F160" i="2"/>
  <c r="D398" i="3" s="1"/>
  <c r="F161" i="2"/>
  <c r="D476" i="3" s="1"/>
  <c r="F162" i="2"/>
  <c r="D569" i="3" s="1"/>
  <c r="F163" i="2"/>
  <c r="D134" i="3" s="1"/>
  <c r="F164" i="2"/>
  <c r="D354" i="3" s="1"/>
  <c r="F165" i="2"/>
  <c r="D388" i="3" s="1"/>
  <c r="F166" i="2"/>
  <c r="D472" i="3" s="1"/>
  <c r="F167" i="2"/>
  <c r="D288" i="3" s="1"/>
  <c r="F168" i="2"/>
  <c r="D326" i="3" s="1"/>
  <c r="F169" i="2"/>
  <c r="D113" i="3" s="1"/>
  <c r="F170" i="2"/>
  <c r="D477" i="3" s="1"/>
  <c r="F171" i="2"/>
  <c r="D295" i="3" s="1"/>
  <c r="F172" i="2"/>
  <c r="D190" i="3" s="1"/>
  <c r="F173" i="2"/>
  <c r="D321" i="3" s="1"/>
  <c r="F174" i="2"/>
  <c r="D218" i="3" s="1"/>
  <c r="F175" i="2"/>
  <c r="D284" i="3" s="1"/>
  <c r="F176" i="2"/>
  <c r="D172" i="3" s="1"/>
  <c r="F177" i="2"/>
  <c r="D610" i="3" s="1"/>
  <c r="F178" i="2"/>
  <c r="D184" i="3" s="1"/>
  <c r="F179" i="2"/>
  <c r="D493" i="3" s="1"/>
  <c r="F180" i="2"/>
  <c r="D263" i="3" s="1"/>
  <c r="F181" i="2"/>
  <c r="D410" i="3" s="1"/>
  <c r="F182" i="2"/>
  <c r="D428" i="3" s="1"/>
  <c r="F183" i="2"/>
  <c r="D322" i="3" s="1"/>
  <c r="F184" i="2"/>
  <c r="D167" i="3" s="1"/>
  <c r="F185" i="2"/>
  <c r="D126" i="3" s="1"/>
  <c r="F186" i="2"/>
  <c r="D324" i="3" s="1"/>
  <c r="F187" i="2"/>
  <c r="D171" i="3" s="1"/>
  <c r="F188" i="2"/>
  <c r="D441" i="3" s="1"/>
  <c r="F189" i="2"/>
  <c r="D160" i="3" s="1"/>
  <c r="F190" i="2"/>
  <c r="D163" i="3" s="1"/>
  <c r="F191" i="2"/>
  <c r="D369" i="3" s="1"/>
  <c r="F192" i="2"/>
  <c r="D544" i="3" s="1"/>
  <c r="F193" i="2"/>
  <c r="D65" i="3" s="1"/>
  <c r="F194" i="2"/>
  <c r="D574" i="3" s="1"/>
  <c r="F195" i="2"/>
  <c r="D580" i="3" s="1"/>
  <c r="F196" i="2"/>
  <c r="D600" i="3" s="1"/>
  <c r="F197" i="2"/>
  <c r="D393" i="3" s="1"/>
  <c r="F198" i="2"/>
  <c r="D89" i="3" s="1"/>
  <c r="F199" i="2"/>
  <c r="D501" i="3" s="1"/>
  <c r="F200" i="2"/>
  <c r="D527" i="3" s="1"/>
  <c r="F201" i="2"/>
  <c r="D319" i="3" s="1"/>
  <c r="F202" i="2"/>
  <c r="D425" i="3" s="1"/>
  <c r="F203" i="2"/>
  <c r="D51" i="3" s="1"/>
  <c r="F204" i="2"/>
  <c r="D177" i="3" s="1"/>
  <c r="F205" i="2"/>
  <c r="D173" i="3" s="1"/>
  <c r="F206" i="2"/>
  <c r="D575" i="3" s="1"/>
  <c r="F207" i="2"/>
  <c r="D153" i="3" s="1"/>
  <c r="F208" i="2"/>
  <c r="D204" i="3" s="1"/>
  <c r="F209" i="2"/>
  <c r="D387" i="3" s="1"/>
  <c r="F210" i="2"/>
  <c r="D450" i="3" s="1"/>
  <c r="F211" i="2"/>
  <c r="D339" i="3" s="1"/>
  <c r="F212" i="2"/>
  <c r="D405" i="3" s="1"/>
  <c r="F213" i="2"/>
  <c r="D568" i="3" s="1"/>
  <c r="F214" i="2"/>
  <c r="D585" i="3" s="1"/>
  <c r="F215" i="2"/>
  <c r="D83" i="3" s="1"/>
  <c r="F216" i="2"/>
  <c r="D459" i="3" s="1"/>
  <c r="F217" i="2"/>
  <c r="D115" i="3" s="1"/>
  <c r="F218" i="2"/>
  <c r="D564" i="3" s="1"/>
  <c r="F219" i="2"/>
  <c r="D417" i="3" s="1"/>
  <c r="F220" i="2"/>
  <c r="D522" i="3" s="1"/>
  <c r="F221" i="2"/>
  <c r="D251" i="3" s="1"/>
  <c r="F222" i="2"/>
  <c r="D588" i="3" s="1"/>
  <c r="F223" i="2"/>
  <c r="D447" i="3" s="1"/>
  <c r="F224" i="2"/>
  <c r="D533" i="3" s="1"/>
  <c r="F225" i="2"/>
  <c r="D344" i="3" s="1"/>
  <c r="F226" i="2"/>
  <c r="F227" i="2"/>
  <c r="D23" i="3" s="1"/>
  <c r="F228" i="2"/>
  <c r="D399" i="3" s="1"/>
  <c r="F229" i="2"/>
  <c r="D578" i="3" s="1"/>
  <c r="F230" i="2"/>
  <c r="D391" i="3" s="1"/>
  <c r="F231" i="2"/>
  <c r="D521" i="3" s="1"/>
  <c r="F232" i="2"/>
  <c r="D342" i="3" s="1"/>
  <c r="F233" i="2"/>
  <c r="D535" i="3" s="1"/>
  <c r="F234" i="2"/>
  <c r="D607" i="3" s="1"/>
  <c r="F235" i="2"/>
  <c r="D471" i="3" s="1"/>
  <c r="F236" i="2"/>
  <c r="D291" i="3" s="1"/>
  <c r="F237" i="2"/>
  <c r="D152" i="3" s="1"/>
  <c r="F238" i="2"/>
  <c r="D338" i="3" s="1"/>
  <c r="F239" i="2"/>
  <c r="D25" i="3" s="1"/>
  <c r="F240" i="2"/>
  <c r="D549" i="3" s="1"/>
  <c r="F241" i="2"/>
  <c r="D156" i="3" s="1"/>
  <c r="F242" i="2"/>
  <c r="D301" i="3" s="1"/>
  <c r="F243" i="2"/>
  <c r="D133" i="3" s="1"/>
  <c r="F244" i="2"/>
  <c r="D105" i="3" s="1"/>
  <c r="F245" i="2"/>
  <c r="D44" i="3" s="1"/>
  <c r="F246" i="2"/>
  <c r="D279" i="3" s="1"/>
  <c r="F247" i="2"/>
  <c r="D90" i="3" s="1"/>
  <c r="F248" i="2"/>
  <c r="D68" i="3" s="1"/>
  <c r="F249" i="2"/>
  <c r="D298" i="3" s="1"/>
  <c r="F250" i="2"/>
  <c r="D480" i="3" s="1"/>
  <c r="F251" i="2"/>
  <c r="D303" i="3" s="1"/>
  <c r="F252" i="2"/>
  <c r="D181" i="3" s="1"/>
  <c r="F253" i="2"/>
  <c r="D392" i="3" s="1"/>
  <c r="F254" i="2"/>
  <c r="D239" i="3" s="1"/>
  <c r="F255" i="2"/>
  <c r="D285" i="3" s="1"/>
  <c r="F256" i="2"/>
  <c r="D435" i="3" s="1"/>
  <c r="F257" i="2"/>
  <c r="D122" i="3" s="1"/>
  <c r="F258" i="2"/>
  <c r="D30" i="3" s="1"/>
  <c r="F259" i="2"/>
  <c r="F260" i="2"/>
  <c r="D440" i="3" s="1"/>
  <c r="F261" i="2"/>
  <c r="D143" i="3" s="1"/>
  <c r="F262" i="2"/>
  <c r="D4" i="3" s="1"/>
  <c r="F263" i="2"/>
  <c r="F264" i="2"/>
  <c r="D97" i="3" s="1"/>
  <c r="F265" i="2"/>
  <c r="D139" i="3" s="1"/>
  <c r="F266" i="2"/>
  <c r="D305" i="3" s="1"/>
  <c r="F267" i="2"/>
  <c r="D170" i="3" s="1"/>
  <c r="F268" i="2"/>
  <c r="D11" i="3" s="1"/>
  <c r="F269" i="2"/>
  <c r="D325" i="3" s="1"/>
  <c r="F270" i="2"/>
  <c r="D466" i="3" s="1"/>
  <c r="F271" i="2"/>
  <c r="D28" i="3" s="1"/>
  <c r="F272" i="2"/>
  <c r="D514" i="3" s="1"/>
  <c r="F273" i="2"/>
  <c r="D570" i="3" s="1"/>
  <c r="F274" i="2"/>
  <c r="D365" i="3" s="1"/>
  <c r="F275" i="2"/>
  <c r="D62" i="3" s="1"/>
  <c r="F276" i="2"/>
  <c r="D560" i="3" s="1"/>
  <c r="F277" i="2"/>
  <c r="D602" i="3" s="1"/>
  <c r="F278" i="2"/>
  <c r="D191" i="3" s="1"/>
  <c r="F279" i="2"/>
  <c r="D562" i="3" s="1"/>
  <c r="F280" i="2"/>
  <c r="D21" i="3" s="1"/>
  <c r="F281" i="2"/>
  <c r="D612" i="3" s="1"/>
  <c r="F282" i="2"/>
  <c r="D548" i="3" s="1"/>
  <c r="F283" i="2"/>
  <c r="D304" i="3" s="1"/>
  <c r="F284" i="2"/>
  <c r="D389" i="3" s="1"/>
  <c r="F285" i="2"/>
  <c r="D69" i="3" s="1"/>
  <c r="F286" i="2"/>
  <c r="D366" i="3" s="1"/>
  <c r="F287" i="2"/>
  <c r="D248" i="3" s="1"/>
  <c r="F288" i="2"/>
  <c r="D353" i="3" s="1"/>
  <c r="F289" i="2"/>
  <c r="D500" i="3" s="1"/>
  <c r="F290" i="2"/>
  <c r="D111" i="3" s="1"/>
  <c r="F291" i="2"/>
  <c r="D259" i="3" s="1"/>
  <c r="F292" i="2"/>
  <c r="D253" i="3" s="1"/>
  <c r="F293" i="2"/>
  <c r="D608" i="3" s="1"/>
  <c r="F294" i="2"/>
  <c r="D583" i="3" s="1"/>
  <c r="F295" i="2"/>
  <c r="D176" i="3" s="1"/>
  <c r="F296" i="2"/>
  <c r="D478" i="3" s="1"/>
  <c r="F297" i="2"/>
  <c r="D269" i="3" s="1"/>
  <c r="F298" i="2"/>
  <c r="D93" i="3" s="1"/>
  <c r="F299" i="2"/>
  <c r="D515" i="3" s="1"/>
  <c r="F300" i="2"/>
  <c r="D526" i="3" s="1"/>
  <c r="F301" i="2"/>
  <c r="D246" i="3" s="1"/>
  <c r="F302" i="2"/>
  <c r="D132" i="3" s="1"/>
  <c r="F303" i="2"/>
  <c r="D154" i="3" s="1"/>
  <c r="F304" i="2"/>
  <c r="D335" i="3" s="1"/>
  <c r="F305" i="2"/>
  <c r="D125" i="3" s="1"/>
  <c r="F306" i="2"/>
  <c r="D596" i="3" s="1"/>
  <c r="F307" i="2"/>
  <c r="D35" i="3" s="1"/>
  <c r="F308" i="2"/>
  <c r="D412" i="3" s="1"/>
  <c r="F309" i="2"/>
  <c r="D281" i="3" s="1"/>
  <c r="F310" i="2"/>
  <c r="D144" i="3" s="1"/>
  <c r="F311" i="2"/>
  <c r="D242" i="3" s="1"/>
  <c r="F312" i="2"/>
  <c r="D289" i="3" s="1"/>
  <c r="F313" i="2"/>
  <c r="D426" i="3" s="1"/>
  <c r="F314" i="2"/>
  <c r="D540" i="3" s="1"/>
  <c r="F315" i="2"/>
  <c r="D336" i="3" s="1"/>
  <c r="F316" i="2"/>
  <c r="D579" i="3" s="1"/>
  <c r="F317" i="2"/>
  <c r="D595" i="3" s="1"/>
  <c r="F318" i="2"/>
  <c r="D452" i="3" s="1"/>
  <c r="F319" i="2"/>
  <c r="D87" i="3" s="1"/>
  <c r="F320" i="2"/>
  <c r="D201" i="3" s="1"/>
  <c r="F321" i="2"/>
  <c r="D561" i="3" s="1"/>
  <c r="F322" i="2"/>
  <c r="D99" i="3" s="1"/>
  <c r="F323" i="2"/>
  <c r="D313" i="3" s="1"/>
  <c r="F324" i="2"/>
  <c r="D127" i="3" s="1"/>
  <c r="F325" i="2"/>
  <c r="D101" i="3" s="1"/>
  <c r="F326" i="2"/>
  <c r="D383" i="3" s="1"/>
  <c r="F327" i="2"/>
  <c r="D276" i="3" s="1"/>
  <c r="F328" i="2"/>
  <c r="D107" i="3" s="1"/>
  <c r="F329" i="2"/>
  <c r="D616" i="3" s="1"/>
  <c r="F330" i="2"/>
  <c r="D598" i="3" s="1"/>
  <c r="F331" i="2"/>
  <c r="D297" i="3" s="1"/>
  <c r="F332" i="2"/>
  <c r="D363" i="3" s="1"/>
  <c r="F333" i="2"/>
  <c r="D120" i="3" s="1"/>
  <c r="F334" i="2"/>
  <c r="D529" i="3" s="1"/>
  <c r="F335" i="2"/>
  <c r="D584" i="3" s="1"/>
  <c r="F336" i="2"/>
  <c r="D408" i="3" s="1"/>
  <c r="F337" i="2"/>
  <c r="D8" i="3" s="1"/>
  <c r="F338" i="2"/>
  <c r="D403" i="3" s="1"/>
  <c r="F339" i="2"/>
  <c r="D378" i="3" s="1"/>
  <c r="F340" i="2"/>
  <c r="D355" i="3" s="1"/>
  <c r="F341" i="2"/>
  <c r="D174" i="3" s="1"/>
  <c r="F342" i="2"/>
  <c r="F343" i="2"/>
  <c r="D594" i="3" s="1"/>
  <c r="F344" i="2"/>
  <c r="D615" i="3" s="1"/>
  <c r="F345" i="2"/>
  <c r="D479" i="3" s="1"/>
  <c r="F346" i="2"/>
  <c r="D547" i="3" s="1"/>
  <c r="F347" i="2"/>
  <c r="D17" i="3" s="1"/>
  <c r="F348" i="2"/>
  <c r="D576" i="3" s="1"/>
  <c r="F349" i="2"/>
  <c r="D543" i="3" s="1"/>
  <c r="F350" i="2"/>
  <c r="D317" i="3" s="1"/>
  <c r="F351" i="2"/>
  <c r="D599" i="3" s="1"/>
  <c r="F352" i="2"/>
  <c r="D40" i="3" s="1"/>
  <c r="F353" i="2"/>
  <c r="D244" i="3" s="1"/>
  <c r="F354" i="2"/>
  <c r="D117" i="3" s="1"/>
  <c r="F355" i="2"/>
  <c r="D457" i="3" s="1"/>
  <c r="F356" i="2"/>
  <c r="D135" i="3" s="1"/>
  <c r="F357" i="2"/>
  <c r="D358" i="3" s="1"/>
  <c r="F358" i="2"/>
  <c r="D320" i="3" s="1"/>
  <c r="F359" i="2"/>
  <c r="D375" i="3" s="1"/>
  <c r="F360" i="2"/>
  <c r="D158" i="3" s="1"/>
  <c r="F361" i="2"/>
  <c r="D213" i="3" s="1"/>
  <c r="F362" i="2"/>
  <c r="D262" i="3" s="1"/>
  <c r="F363" i="2"/>
  <c r="D555" i="3" s="1"/>
  <c r="F364" i="2"/>
  <c r="D165" i="3" s="1"/>
  <c r="F365" i="2"/>
  <c r="D55" i="3" s="1"/>
  <c r="F366" i="2"/>
  <c r="D261" i="3" s="1"/>
  <c r="F367" i="2"/>
  <c r="D456" i="3" s="1"/>
  <c r="F368" i="2"/>
  <c r="D293" i="3" s="1"/>
  <c r="F369" i="2"/>
  <c r="D563" i="3" s="1"/>
  <c r="F370" i="2"/>
  <c r="D215" i="3" s="1"/>
  <c r="F371" i="2"/>
  <c r="D566" i="3" s="1"/>
  <c r="F372" i="2"/>
  <c r="D589" i="3" s="1"/>
  <c r="F373" i="2"/>
  <c r="D470" i="3" s="1"/>
  <c r="F374" i="2"/>
  <c r="D245" i="3" s="1"/>
  <c r="F375" i="2"/>
  <c r="D307" i="3" s="1"/>
  <c r="F376" i="2"/>
  <c r="D427" i="3" s="1"/>
  <c r="F377" i="2"/>
  <c r="D372" i="3" s="1"/>
  <c r="F378" i="2"/>
  <c r="F379" i="2"/>
  <c r="D76" i="3" s="1"/>
  <c r="F380" i="2"/>
  <c r="D168" i="3" s="1"/>
  <c r="F381" i="2"/>
  <c r="D592" i="3" s="1"/>
  <c r="F382" i="2"/>
  <c r="D460" i="3" s="1"/>
  <c r="F383" i="2"/>
  <c r="D18" i="3" s="1"/>
  <c r="F384" i="2"/>
  <c r="D551" i="3" s="1"/>
  <c r="F385" i="2"/>
  <c r="D528" i="3" s="1"/>
  <c r="F386" i="2"/>
  <c r="D43" i="3" s="1"/>
  <c r="F387" i="2"/>
  <c r="D164" i="3" s="1"/>
  <c r="F388" i="2"/>
  <c r="D257" i="3" s="1"/>
  <c r="F389" i="2"/>
  <c r="D277" i="3" s="1"/>
  <c r="F390" i="2"/>
  <c r="D532" i="3" s="1"/>
  <c r="F391" i="2"/>
  <c r="D404" i="3" s="1"/>
  <c r="F392" i="2"/>
  <c r="D238" i="3" s="1"/>
  <c r="F393" i="2"/>
  <c r="D449" i="3" s="1"/>
  <c r="F394" i="2"/>
  <c r="D465" i="3" s="1"/>
  <c r="F395" i="2"/>
  <c r="D385" i="3" s="1"/>
  <c r="F396" i="2"/>
  <c r="D489" i="3" s="1"/>
  <c r="F397" i="2"/>
  <c r="D587" i="3" s="1"/>
  <c r="F398" i="2"/>
  <c r="D214" i="3" s="1"/>
  <c r="F399" i="2"/>
  <c r="D48" i="3" s="1"/>
  <c r="F400" i="2"/>
  <c r="D14" i="3" s="1"/>
  <c r="F401" i="2"/>
  <c r="D346" i="3" s="1"/>
  <c r="F402" i="2"/>
  <c r="D197" i="3" s="1"/>
  <c r="F403" i="2"/>
  <c r="D379" i="3" s="1"/>
  <c r="F404" i="2"/>
  <c r="D327" i="3" s="1"/>
  <c r="F405" i="2"/>
  <c r="D194" i="3" s="1"/>
  <c r="F406" i="2"/>
  <c r="D359" i="3" s="1"/>
  <c r="F407" i="2"/>
  <c r="D74" i="3" s="1"/>
  <c r="F408" i="2"/>
  <c r="D541" i="3" s="1"/>
  <c r="F409" i="2"/>
  <c r="D33" i="3" s="1"/>
  <c r="F410" i="2"/>
  <c r="D444" i="3" s="1"/>
  <c r="F411" i="2"/>
  <c r="D189" i="3" s="1"/>
  <c r="F412" i="2"/>
  <c r="D468" i="3" s="1"/>
  <c r="F413" i="2"/>
  <c r="D266" i="3" s="1"/>
  <c r="F414" i="2"/>
  <c r="D202" i="3" s="1"/>
  <c r="F415" i="2"/>
  <c r="D41" i="3" s="1"/>
  <c r="F416" i="2"/>
  <c r="D421" i="3" s="1"/>
  <c r="F417" i="2"/>
  <c r="D265" i="3" s="1"/>
  <c r="F418" i="2"/>
  <c r="D290" i="3" s="1"/>
  <c r="F419" i="2"/>
  <c r="D155" i="3" s="1"/>
  <c r="F420" i="2"/>
  <c r="D102" i="3" s="1"/>
  <c r="F421" i="2"/>
  <c r="D309" i="3" s="1"/>
  <c r="F422" i="2"/>
  <c r="D192" i="3" s="1"/>
  <c r="F423" i="2"/>
  <c r="D367" i="3" s="1"/>
  <c r="F424" i="2"/>
  <c r="D343" i="3" s="1"/>
  <c r="F425" i="2"/>
  <c r="D16" i="3" s="1"/>
  <c r="F426" i="2"/>
  <c r="D446" i="3" s="1"/>
  <c r="F427" i="2"/>
  <c r="D82" i="3" s="1"/>
  <c r="F428" i="2"/>
  <c r="D347" i="3" s="1"/>
  <c r="F429" i="2"/>
  <c r="D416" i="3" s="1"/>
  <c r="F430" i="2"/>
  <c r="D345" i="3" s="1"/>
  <c r="F431" i="2"/>
  <c r="D601" i="3" s="1"/>
  <c r="F432" i="2"/>
  <c r="D364" i="3" s="1"/>
  <c r="F433" i="2"/>
  <c r="D272" i="3" s="1"/>
  <c r="F434" i="2"/>
  <c r="D407" i="3" s="1"/>
  <c r="F435" i="2"/>
  <c r="D443" i="3" s="1"/>
  <c r="F436" i="2"/>
  <c r="D340" i="3" s="1"/>
  <c r="F437" i="2"/>
  <c r="D492" i="3" s="1"/>
  <c r="F438" i="2"/>
  <c r="D206" i="3" s="1"/>
  <c r="F439" i="2"/>
  <c r="D306" i="3" s="1"/>
  <c r="F440" i="2"/>
  <c r="D84" i="3" s="1"/>
  <c r="F441" i="2"/>
  <c r="D211" i="3" s="1"/>
  <c r="F442" i="2"/>
  <c r="D267" i="3" s="1"/>
  <c r="F443" i="2"/>
  <c r="D442" i="3" s="1"/>
  <c r="F444" i="2"/>
  <c r="D558" i="3" s="1"/>
  <c r="F445" i="2"/>
  <c r="D448" i="3" s="1"/>
  <c r="F446" i="2"/>
  <c r="D546" i="3" s="1"/>
  <c r="F447" i="2"/>
  <c r="D409" i="3" s="1"/>
  <c r="F448" i="2"/>
  <c r="D437" i="3" s="1"/>
  <c r="F449" i="2"/>
  <c r="D207" i="3" s="1"/>
  <c r="F450" i="2"/>
  <c r="D538" i="3" s="1"/>
  <c r="F451" i="2"/>
  <c r="D112" i="3" s="1"/>
  <c r="F452" i="2"/>
  <c r="D414" i="3" s="1"/>
  <c r="F453" i="2"/>
  <c r="D334" i="3" s="1"/>
  <c r="F454" i="2"/>
  <c r="D401" i="3" s="1"/>
  <c r="F455" i="2"/>
  <c r="D78" i="3" s="1"/>
  <c r="F456" i="2"/>
  <c r="D37" i="3" s="1"/>
  <c r="F457" i="2"/>
  <c r="D423" i="3" s="1"/>
  <c r="F458" i="2"/>
  <c r="D349" i="3" s="1"/>
  <c r="F459" i="2"/>
  <c r="D397" i="3" s="1"/>
  <c r="F460" i="2"/>
  <c r="D511" i="3" s="1"/>
  <c r="F461" i="2"/>
  <c r="D400" i="3" s="1"/>
  <c r="F462" i="2"/>
  <c r="D282" i="3" s="1"/>
  <c r="F463" i="2"/>
  <c r="D185" i="3" s="1"/>
  <c r="F464" i="2"/>
  <c r="D252" i="3" s="1"/>
  <c r="F465" i="2"/>
  <c r="D605" i="3" s="1"/>
  <c r="F466" i="2"/>
  <c r="D61" i="3" s="1"/>
  <c r="F467" i="2"/>
  <c r="D57" i="3" s="1"/>
  <c r="F468" i="2"/>
  <c r="D308" i="3" s="1"/>
  <c r="F469" i="2"/>
  <c r="D542" i="3" s="1"/>
  <c r="F470" i="2"/>
  <c r="D463" i="3" s="1"/>
  <c r="F471" i="2"/>
  <c r="D503" i="3" s="1"/>
  <c r="F472" i="2"/>
  <c r="D504" i="3" s="1"/>
  <c r="F473" i="2"/>
  <c r="D506" i="3" s="1"/>
  <c r="F474" i="2"/>
  <c r="D7" i="3" s="1"/>
  <c r="F475" i="2"/>
  <c r="D488" i="3" s="1"/>
  <c r="F476" i="2"/>
  <c r="D525" i="3" s="1"/>
  <c r="F477" i="2"/>
  <c r="D130" i="3" s="1"/>
  <c r="F478" i="2"/>
  <c r="D142" i="3" s="1"/>
  <c r="F479" i="2"/>
  <c r="D593" i="3" s="1"/>
  <c r="F480" i="2"/>
  <c r="D38" i="3" s="1"/>
  <c r="F481" i="2"/>
  <c r="D209" i="3" s="1"/>
  <c r="F482" i="2"/>
  <c r="D270" i="3" s="1"/>
  <c r="F483" i="2"/>
  <c r="D260" i="3" s="1"/>
  <c r="F484" i="2"/>
  <c r="D394" i="3" s="1"/>
  <c r="F485" i="2"/>
  <c r="D71" i="3" s="1"/>
  <c r="F486" i="2"/>
  <c r="D373" i="3" s="1"/>
  <c r="F487" i="2"/>
  <c r="D454" i="3" s="1"/>
  <c r="F488" i="2"/>
  <c r="D413" i="3" s="1"/>
  <c r="F489" i="2"/>
  <c r="D179" i="3" s="1"/>
  <c r="F490" i="2"/>
  <c r="D5" i="3" s="1"/>
  <c r="F491" i="2"/>
  <c r="D94" i="3" s="1"/>
  <c r="F492" i="2"/>
  <c r="D114" i="3" s="1"/>
  <c r="F493" i="2"/>
  <c r="D432" i="3" s="1"/>
  <c r="F494" i="2"/>
  <c r="D286" i="3" s="1"/>
  <c r="F495" i="2"/>
  <c r="D233" i="3" s="1"/>
  <c r="F496" i="2"/>
  <c r="D486" i="3" s="1"/>
  <c r="F497" i="2"/>
  <c r="D283" i="3" s="1"/>
  <c r="F498" i="2"/>
  <c r="D128" i="3" s="1"/>
  <c r="F499" i="2"/>
  <c r="D12" i="3" s="1"/>
  <c r="F500" i="2"/>
  <c r="D137" i="3" s="1"/>
  <c r="F501" i="2"/>
  <c r="D475" i="3" s="1"/>
  <c r="F502" i="2"/>
  <c r="D227" i="3" s="1"/>
  <c r="F503" i="2"/>
  <c r="D183" i="3" s="1"/>
  <c r="F504" i="2"/>
  <c r="D88" i="3" s="1"/>
  <c r="F505" i="2"/>
  <c r="D299" i="3" s="1"/>
  <c r="F506" i="2"/>
  <c r="D275" i="3" s="1"/>
  <c r="F507" i="2"/>
  <c r="D264" i="3" s="1"/>
  <c r="F508" i="2"/>
  <c r="D406" i="3" s="1"/>
  <c r="F509" i="2"/>
  <c r="D166" i="3" s="1"/>
  <c r="F510" i="2"/>
  <c r="D110" i="3" s="1"/>
  <c r="F511" i="2"/>
  <c r="D205" i="3" s="1"/>
  <c r="F512" i="2"/>
  <c r="D36" i="3" s="1"/>
  <c r="F513" i="2"/>
  <c r="D151" i="3" s="1"/>
  <c r="F514" i="2"/>
  <c r="D490" i="3" s="1"/>
  <c r="F515" i="2"/>
  <c r="D187" i="3" s="1"/>
  <c r="F516" i="2"/>
  <c r="D52" i="3" s="1"/>
  <c r="F517" i="2"/>
  <c r="D249" i="3" s="1"/>
  <c r="F518" i="2"/>
  <c r="D250" i="3" s="1"/>
  <c r="F519" i="2"/>
  <c r="D332" i="3" s="1"/>
  <c r="F520" i="2"/>
  <c r="D234" i="3" s="1"/>
  <c r="F521" i="2"/>
  <c r="D531" i="3" s="1"/>
  <c r="F522" i="2"/>
  <c r="D292" i="3" s="1"/>
  <c r="F523" i="2"/>
  <c r="D45" i="3" s="1"/>
  <c r="F524" i="2"/>
  <c r="D402" i="3" s="1"/>
  <c r="F525" i="2"/>
  <c r="D231" i="3" s="1"/>
  <c r="F526" i="2"/>
  <c r="D311" i="3" s="1"/>
  <c r="F527" i="2"/>
  <c r="D59" i="3" s="1"/>
  <c r="F528" i="2"/>
  <c r="D331" i="3" s="1"/>
  <c r="F529" i="2"/>
  <c r="D386" i="3" s="1"/>
  <c r="F530" i="2"/>
  <c r="D208" i="3" s="1"/>
  <c r="F531" i="2"/>
  <c r="D237" i="3" s="1"/>
  <c r="F532" i="2"/>
  <c r="D495" i="3" s="1"/>
  <c r="F533" i="2"/>
  <c r="F534" i="2"/>
  <c r="D591" i="3" s="1"/>
  <c r="F535" i="2"/>
  <c r="D212" i="3" s="1"/>
  <c r="F536" i="2"/>
  <c r="D606" i="3" s="1"/>
  <c r="F537" i="2"/>
  <c r="D159" i="3" s="1"/>
  <c r="F538" i="2"/>
  <c r="D613" i="3" s="1"/>
  <c r="F539" i="2"/>
  <c r="D75" i="3" s="1"/>
  <c r="F540" i="2"/>
  <c r="D516" i="3" s="1"/>
  <c r="F541" i="2"/>
  <c r="D146" i="3" s="1"/>
  <c r="F542" i="2"/>
  <c r="D243" i="3" s="1"/>
  <c r="F543" i="2"/>
  <c r="D56" i="3" s="1"/>
  <c r="F544" i="2"/>
  <c r="D312" i="3" s="1"/>
  <c r="F545" i="2"/>
  <c r="D63" i="3" s="1"/>
  <c r="F546" i="2"/>
  <c r="D85" i="3" s="1"/>
  <c r="F547" i="2"/>
  <c r="D552" i="3" s="1"/>
  <c r="F548" i="2"/>
  <c r="D92" i="3" s="1"/>
  <c r="F549" i="2"/>
  <c r="D147" i="3" s="1"/>
  <c r="F550" i="2"/>
  <c r="D434" i="3" s="1"/>
  <c r="F551" i="2"/>
  <c r="D329" i="3" s="1"/>
  <c r="F552" i="2"/>
  <c r="D384" i="3" s="1"/>
  <c r="F553" i="2"/>
  <c r="D330" i="3" s="1"/>
  <c r="F554" i="2"/>
  <c r="D350" i="3" s="1"/>
  <c r="F555" i="2"/>
  <c r="D80" i="3" s="1"/>
  <c r="F556" i="2"/>
  <c r="D438" i="3" s="1"/>
  <c r="F557" i="2"/>
  <c r="D310" i="3" s="1"/>
  <c r="F558" i="2"/>
  <c r="D361" i="3" s="1"/>
  <c r="F559" i="2"/>
  <c r="D268" i="3" s="1"/>
  <c r="F560" i="2"/>
  <c r="D91" i="3" s="1"/>
  <c r="F561" i="2"/>
  <c r="D371" i="3" s="1"/>
  <c r="F562" i="2"/>
  <c r="D241" i="3" s="1"/>
  <c r="F563" i="2"/>
  <c r="D582" i="3" s="1"/>
  <c r="F564" i="2"/>
  <c r="D572" i="3" s="1"/>
  <c r="F565" i="2"/>
  <c r="D573" i="3" s="1"/>
  <c r="F566" i="2"/>
  <c r="D124" i="3" s="1"/>
  <c r="F567" i="2"/>
  <c r="D453" i="3" s="1"/>
  <c r="F568" i="2"/>
  <c r="D507" i="3" s="1"/>
  <c r="F569" i="2"/>
  <c r="D517" i="3" s="1"/>
  <c r="F570" i="2"/>
  <c r="D161" i="3" s="1"/>
  <c r="F571" i="2"/>
  <c r="D510" i="3" s="1"/>
  <c r="F572" i="2"/>
  <c r="D519" i="3" s="1"/>
  <c r="F573" i="2"/>
  <c r="D433" i="3" s="1"/>
  <c r="F574" i="2"/>
  <c r="D223" i="3" s="1"/>
  <c r="F575" i="2"/>
  <c r="D458" i="3" s="1"/>
  <c r="F576" i="2"/>
  <c r="D96" i="3" s="1"/>
  <c r="F577" i="2"/>
  <c r="D505" i="3" s="1"/>
  <c r="F578" i="2"/>
  <c r="D229" i="3" s="1"/>
  <c r="F579" i="2"/>
  <c r="D485" i="3" s="1"/>
  <c r="F580" i="2"/>
  <c r="D157" i="3" s="1"/>
  <c r="F581" i="2"/>
  <c r="D228" i="3" s="1"/>
  <c r="F582" i="2"/>
  <c r="D195" i="3" s="1"/>
  <c r="F583" i="2"/>
  <c r="D318" i="3" s="1"/>
  <c r="F584" i="2"/>
  <c r="D352" i="3" s="1"/>
  <c r="F585" i="2"/>
  <c r="D430" i="3" s="1"/>
  <c r="F586" i="2"/>
  <c r="D420" i="3" s="1"/>
  <c r="F587" i="2"/>
  <c r="D513" i="3" s="1"/>
  <c r="F588" i="2"/>
  <c r="D473" i="3" s="1"/>
  <c r="F589" i="2"/>
  <c r="D54" i="3" s="1"/>
  <c r="F590" i="2"/>
  <c r="D381" i="3" s="1"/>
  <c r="F591" i="2"/>
  <c r="D554" i="3" s="1"/>
  <c r="F592" i="2"/>
  <c r="D106" i="3" s="1"/>
  <c r="F593" i="2"/>
  <c r="D27" i="3" s="1"/>
  <c r="F594" i="2"/>
  <c r="D509" i="3" s="1"/>
  <c r="F595" i="2"/>
  <c r="D196" i="3" s="1"/>
  <c r="F596" i="2"/>
  <c r="D518" i="3" s="1"/>
  <c r="F597" i="2"/>
  <c r="D32" i="3" s="1"/>
  <c r="F598" i="2"/>
  <c r="D370" i="3" s="1"/>
  <c r="F599" i="2"/>
  <c r="D280" i="3" s="1"/>
  <c r="F600" i="2"/>
  <c r="D180" i="3" s="1"/>
  <c r="F601" i="2"/>
  <c r="D368" i="3" s="1"/>
  <c r="F602" i="2"/>
  <c r="D145" i="3" s="1"/>
  <c r="F603" i="2"/>
  <c r="D10" i="3" s="1"/>
  <c r="F604" i="2"/>
  <c r="D6" i="3" s="1"/>
  <c r="F605" i="2"/>
  <c r="D567" i="3" s="1"/>
  <c r="F606" i="2"/>
  <c r="D395" i="3" s="1"/>
  <c r="F607" i="2"/>
  <c r="D474" i="3" s="1"/>
  <c r="F608" i="2"/>
  <c r="D109" i="3" s="1"/>
  <c r="F609" i="2"/>
  <c r="D502" i="3" s="1"/>
  <c r="F610" i="2"/>
  <c r="D26" i="3" s="1"/>
  <c r="F611" i="2"/>
  <c r="F612" i="2"/>
  <c r="D193" i="3" s="1"/>
  <c r="F613" i="2"/>
  <c r="D377" i="3" s="1"/>
  <c r="F614" i="2"/>
  <c r="D481" i="3" s="1"/>
  <c r="F615" i="2"/>
  <c r="D175" i="3" s="1"/>
  <c r="F616" i="2"/>
  <c r="D300" i="3" s="1"/>
  <c r="F617" i="2"/>
  <c r="D273" i="3" s="1"/>
  <c r="F618" i="2"/>
  <c r="D360" i="3" s="1"/>
  <c r="F619" i="2"/>
  <c r="D66" i="3" s="1"/>
  <c r="F620" i="2"/>
  <c r="D141" i="3" s="1"/>
  <c r="F621" i="2"/>
  <c r="D556" i="3" s="1"/>
  <c r="F622" i="2"/>
  <c r="D29" i="3" s="1"/>
  <c r="F623" i="2"/>
  <c r="D150" i="3" s="1"/>
  <c r="F624" i="2"/>
  <c r="D537" i="3" s="1"/>
  <c r="K2" i="2"/>
  <c r="I2" i="3" s="1"/>
  <c r="L2" i="2"/>
  <c r="J2" i="3" s="1"/>
  <c r="M2" i="2"/>
  <c r="I2" i="2"/>
  <c r="G2" i="3" s="1"/>
  <c r="J2" i="2"/>
  <c r="H2" i="3" s="1"/>
  <c r="H2" i="2"/>
  <c r="F2" i="3" s="1"/>
  <c r="F2" i="2"/>
  <c r="D2" i="3" s="1"/>
  <c r="K2" i="3" l="1"/>
  <c r="L2" i="3" s="1"/>
  <c r="M3" i="3" l="1"/>
  <c r="K3" i="3"/>
  <c r="L3" i="3" s="1"/>
  <c r="M5" i="3"/>
  <c r="K5" i="3"/>
  <c r="L5" i="3" s="1"/>
  <c r="M6" i="3"/>
  <c r="M4" i="3"/>
  <c r="K4" i="3"/>
  <c r="L4" i="3" s="1"/>
  <c r="M7" i="3" l="1"/>
  <c r="K7" i="3"/>
  <c r="L7" i="3" s="1"/>
  <c r="K6" i="3"/>
  <c r="L6" i="3" s="1"/>
  <c r="M8" i="3" l="1"/>
  <c r="K8" i="3"/>
  <c r="L8" i="3" s="1"/>
  <c r="M9" i="3"/>
  <c r="K9" i="3"/>
  <c r="L9" i="3" s="1"/>
  <c r="K10" i="3" l="1"/>
  <c r="L10" i="3" s="1"/>
  <c r="M10" i="3"/>
  <c r="M11" i="3" l="1"/>
  <c r="K11" i="3"/>
  <c r="L11" i="3" s="1"/>
  <c r="K12" i="3" l="1"/>
  <c r="L12" i="3" s="1"/>
  <c r="M12" i="3"/>
  <c r="K13" i="3" l="1"/>
  <c r="L13" i="3" s="1"/>
  <c r="M13" i="3"/>
  <c r="K14" i="3" l="1"/>
  <c r="L14" i="3" s="1"/>
  <c r="M14" i="3"/>
  <c r="K15" i="3" l="1"/>
  <c r="L15" i="3" s="1"/>
  <c r="M15" i="3"/>
  <c r="K16" i="3" l="1"/>
  <c r="L16" i="3" s="1"/>
  <c r="M16" i="3"/>
  <c r="M17" i="3" l="1"/>
  <c r="K17" i="3"/>
  <c r="L17" i="3" s="1"/>
  <c r="K18" i="3" l="1"/>
  <c r="L18" i="3" s="1"/>
  <c r="M18" i="3"/>
  <c r="K205" i="3" l="1"/>
  <c r="L205" i="3" s="1"/>
  <c r="M205" i="3"/>
  <c r="K19" i="3"/>
  <c r="L19" i="3" s="1"/>
  <c r="M19" i="3"/>
  <c r="M206" i="3" l="1"/>
  <c r="K206" i="3"/>
  <c r="L206" i="3" s="1"/>
  <c r="K20" i="3"/>
  <c r="L20" i="3" s="1"/>
  <c r="M20" i="3"/>
  <c r="M21" i="3" l="1"/>
  <c r="K21" i="3"/>
  <c r="L21" i="3" s="1"/>
  <c r="K207" i="3"/>
  <c r="L207" i="3" s="1"/>
  <c r="M207" i="3"/>
  <c r="M208" i="3" l="1"/>
  <c r="K208" i="3"/>
  <c r="L208" i="3" s="1"/>
  <c r="K22" i="3"/>
  <c r="L22" i="3" s="1"/>
  <c r="M22" i="3"/>
  <c r="M23" i="3" l="1"/>
  <c r="K23" i="3"/>
  <c r="L23" i="3" s="1"/>
  <c r="M209" i="3"/>
  <c r="K209" i="3"/>
  <c r="L209" i="3" s="1"/>
  <c r="M210" i="3" l="1"/>
  <c r="K210" i="3"/>
  <c r="L210" i="3" s="1"/>
  <c r="M24" i="3"/>
  <c r="K24" i="3"/>
  <c r="L24" i="3" s="1"/>
  <c r="K211" i="3" l="1"/>
  <c r="L211" i="3" s="1"/>
  <c r="M211" i="3"/>
  <c r="K25" i="3"/>
  <c r="L25" i="3" s="1"/>
  <c r="M25" i="3"/>
  <c r="K26" i="3" l="1"/>
  <c r="L26" i="3" s="1"/>
  <c r="M26" i="3"/>
  <c r="K212" i="3"/>
  <c r="L212" i="3" s="1"/>
  <c r="M212" i="3"/>
  <c r="K27" i="3" l="1"/>
  <c r="L27" i="3" s="1"/>
  <c r="M27" i="3"/>
  <c r="K213" i="3"/>
  <c r="L213" i="3" s="1"/>
  <c r="M213" i="3"/>
  <c r="M28" i="3" l="1"/>
  <c r="K28" i="3"/>
  <c r="L28" i="3" s="1"/>
  <c r="M214" i="3"/>
  <c r="K214" i="3"/>
  <c r="L214" i="3" s="1"/>
  <c r="M215" i="3" l="1"/>
  <c r="K215" i="3"/>
  <c r="L215" i="3" s="1"/>
  <c r="K29" i="3"/>
  <c r="L29" i="3" s="1"/>
  <c r="M29" i="3"/>
  <c r="M30" i="3" l="1"/>
  <c r="K30" i="3"/>
  <c r="L30" i="3" s="1"/>
  <c r="K216" i="3"/>
  <c r="L216" i="3" s="1"/>
  <c r="M216" i="3"/>
  <c r="K217" i="3" l="1"/>
  <c r="L217" i="3" s="1"/>
  <c r="M217" i="3"/>
  <c r="K31" i="3"/>
  <c r="L31" i="3" s="1"/>
  <c r="M31" i="3"/>
  <c r="K32" i="3" l="1"/>
  <c r="L32" i="3" s="1"/>
  <c r="M32" i="3"/>
  <c r="M218" i="3"/>
  <c r="K218" i="3"/>
  <c r="L218" i="3" s="1"/>
  <c r="K219" i="3" l="1"/>
  <c r="L219" i="3" s="1"/>
  <c r="M219" i="3"/>
  <c r="K33" i="3"/>
  <c r="L33" i="3" s="1"/>
  <c r="M33" i="3"/>
  <c r="M34" i="3" l="1"/>
  <c r="K34" i="3"/>
  <c r="L34" i="3" s="1"/>
  <c r="M220" i="3"/>
  <c r="K220" i="3"/>
  <c r="L220" i="3" s="1"/>
  <c r="K221" i="3" l="1"/>
  <c r="L221" i="3" s="1"/>
  <c r="M221" i="3"/>
  <c r="M35" i="3"/>
  <c r="K35" i="3"/>
  <c r="L35" i="3" s="1"/>
  <c r="K222" i="3" l="1"/>
  <c r="L222" i="3" s="1"/>
  <c r="M222" i="3"/>
  <c r="M36" i="3"/>
  <c r="K36" i="3"/>
  <c r="L36" i="3" s="1"/>
  <c r="M37" i="3" l="1"/>
  <c r="K37" i="3"/>
  <c r="L37" i="3" s="1"/>
  <c r="M223" i="3"/>
  <c r="K223" i="3"/>
  <c r="L223" i="3" s="1"/>
  <c r="M224" i="3" l="1"/>
  <c r="K224" i="3"/>
  <c r="L224" i="3" s="1"/>
  <c r="K38" i="3"/>
  <c r="L38" i="3" s="1"/>
  <c r="M38" i="3"/>
  <c r="K39" i="3" l="1"/>
  <c r="L39" i="3" s="1"/>
  <c r="M39" i="3"/>
  <c r="M225" i="3"/>
  <c r="K225" i="3"/>
  <c r="L225" i="3" s="1"/>
  <c r="K226" i="3" l="1"/>
  <c r="L226" i="3" s="1"/>
  <c r="M226" i="3"/>
  <c r="K40" i="3"/>
  <c r="L40" i="3" s="1"/>
  <c r="M40" i="3"/>
  <c r="M41" i="3" l="1"/>
  <c r="K41" i="3"/>
  <c r="L41" i="3" s="1"/>
  <c r="K227" i="3"/>
  <c r="L227" i="3" s="1"/>
  <c r="M227" i="3"/>
  <c r="M228" i="3" l="1"/>
  <c r="K228" i="3"/>
  <c r="L228" i="3" s="1"/>
  <c r="M42" i="3"/>
  <c r="K42" i="3"/>
  <c r="L42" i="3" s="1"/>
  <c r="K43" i="3" l="1"/>
  <c r="L43" i="3" s="1"/>
  <c r="M43" i="3"/>
  <c r="K229" i="3"/>
  <c r="L229" i="3" s="1"/>
  <c r="M229" i="3"/>
  <c r="M44" i="3" l="1"/>
  <c r="K44" i="3"/>
  <c r="L44" i="3" s="1"/>
  <c r="M230" i="3"/>
  <c r="K230" i="3"/>
  <c r="L230" i="3" s="1"/>
  <c r="K231" i="3" l="1"/>
  <c r="L231" i="3" s="1"/>
  <c r="M231" i="3"/>
  <c r="M45" i="3"/>
  <c r="K45" i="3"/>
  <c r="L45" i="3" s="1"/>
  <c r="K46" i="3" l="1"/>
  <c r="L46" i="3" s="1"/>
  <c r="M46" i="3"/>
  <c r="K232" i="3"/>
  <c r="L232" i="3" s="1"/>
  <c r="M232" i="3"/>
  <c r="M233" i="3" l="1"/>
  <c r="K233" i="3"/>
  <c r="L233" i="3" s="1"/>
  <c r="K47" i="3"/>
  <c r="L47" i="3" s="1"/>
  <c r="M47" i="3"/>
  <c r="K48" i="3" l="1"/>
  <c r="L48" i="3" s="1"/>
  <c r="M48" i="3"/>
  <c r="M234" i="3"/>
  <c r="K234" i="3"/>
  <c r="L234" i="3" s="1"/>
  <c r="M235" i="3" l="1"/>
  <c r="K235" i="3"/>
  <c r="L235" i="3" s="1"/>
  <c r="K49" i="3"/>
  <c r="L49" i="3" s="1"/>
  <c r="M49" i="3"/>
  <c r="K236" i="3" l="1"/>
  <c r="L236" i="3" s="1"/>
  <c r="M236" i="3"/>
  <c r="K50" i="3"/>
  <c r="L50" i="3" s="1"/>
  <c r="M50" i="3"/>
  <c r="M51" i="3" l="1"/>
  <c r="K51" i="3"/>
  <c r="L51" i="3" s="1"/>
  <c r="M237" i="3"/>
  <c r="K237" i="3"/>
  <c r="L237" i="3" s="1"/>
  <c r="M238" i="3" l="1"/>
  <c r="K238" i="3"/>
  <c r="L238" i="3" s="1"/>
  <c r="K52" i="3"/>
  <c r="L52" i="3" s="1"/>
  <c r="M52" i="3"/>
  <c r="K53" i="3" l="1"/>
  <c r="L53" i="3" s="1"/>
  <c r="M53" i="3"/>
  <c r="K239" i="3"/>
  <c r="L239" i="3" s="1"/>
  <c r="M239" i="3"/>
  <c r="K240" i="3" l="1"/>
  <c r="L240" i="3" s="1"/>
  <c r="M240" i="3"/>
  <c r="M54" i="3"/>
  <c r="K54" i="3"/>
  <c r="L54" i="3" s="1"/>
  <c r="M55" i="3" l="1"/>
  <c r="K55" i="3"/>
  <c r="L55" i="3" s="1"/>
  <c r="K241" i="3"/>
  <c r="L241" i="3" s="1"/>
  <c r="M241" i="3"/>
  <c r="M242" i="3" l="1"/>
  <c r="K242" i="3"/>
  <c r="L242" i="3" s="1"/>
  <c r="M56" i="3"/>
  <c r="K56" i="3"/>
  <c r="L56" i="3" s="1"/>
  <c r="M57" i="3" l="1"/>
  <c r="K57" i="3"/>
  <c r="L57" i="3" s="1"/>
  <c r="K243" i="3"/>
  <c r="L243" i="3" s="1"/>
  <c r="M243" i="3"/>
  <c r="K244" i="3" l="1"/>
  <c r="L244" i="3" s="1"/>
  <c r="M244" i="3"/>
  <c r="M58" i="3"/>
  <c r="K58" i="3"/>
  <c r="L58" i="3" s="1"/>
  <c r="K59" i="3" l="1"/>
  <c r="L59" i="3" s="1"/>
  <c r="M59" i="3"/>
  <c r="M245" i="3"/>
  <c r="K245" i="3"/>
  <c r="L245" i="3" s="1"/>
  <c r="M246" i="3" l="1"/>
  <c r="K246" i="3"/>
  <c r="L246" i="3" s="1"/>
  <c r="M60" i="3"/>
  <c r="K60" i="3"/>
  <c r="L60" i="3" s="1"/>
  <c r="K61" i="3" l="1"/>
  <c r="L61" i="3" s="1"/>
  <c r="M61" i="3"/>
  <c r="M247" i="3"/>
  <c r="K247" i="3"/>
  <c r="L247" i="3" s="1"/>
  <c r="K248" i="3" l="1"/>
  <c r="L248" i="3" s="1"/>
  <c r="M248" i="3"/>
  <c r="K62" i="3"/>
  <c r="L62" i="3" s="1"/>
  <c r="M62" i="3"/>
  <c r="K249" i="3" l="1"/>
  <c r="L249" i="3" s="1"/>
  <c r="M249" i="3"/>
  <c r="M63" i="3"/>
  <c r="K63" i="3"/>
  <c r="L63" i="3" s="1"/>
  <c r="K64" i="3" l="1"/>
  <c r="L64" i="3" s="1"/>
  <c r="M64" i="3"/>
  <c r="K250" i="3"/>
  <c r="L250" i="3" s="1"/>
  <c r="M250" i="3"/>
  <c r="K251" i="3" l="1"/>
  <c r="L251" i="3" s="1"/>
  <c r="M251" i="3"/>
  <c r="K65" i="3"/>
  <c r="L65" i="3" s="1"/>
  <c r="M65" i="3"/>
  <c r="M252" i="3" l="1"/>
  <c r="K252" i="3"/>
  <c r="L252" i="3" s="1"/>
  <c r="K66" i="3"/>
  <c r="L66" i="3" s="1"/>
  <c r="M66" i="3"/>
  <c r="M67" i="3" l="1"/>
  <c r="K67" i="3"/>
  <c r="L67" i="3" s="1"/>
  <c r="M253" i="3"/>
  <c r="K253" i="3"/>
  <c r="L253" i="3" s="1"/>
  <c r="K254" i="3" l="1"/>
  <c r="L254" i="3" s="1"/>
  <c r="M254" i="3"/>
  <c r="M68" i="3"/>
  <c r="K68" i="3"/>
  <c r="L68" i="3" s="1"/>
  <c r="M69" i="3" l="1"/>
  <c r="K69" i="3"/>
  <c r="L69" i="3" s="1"/>
  <c r="K255" i="3"/>
  <c r="L255" i="3" s="1"/>
  <c r="M255" i="3"/>
  <c r="K256" i="3" l="1"/>
  <c r="L256" i="3" s="1"/>
  <c r="M256" i="3"/>
  <c r="K70" i="3"/>
  <c r="L70" i="3" s="1"/>
  <c r="M70" i="3"/>
  <c r="M71" i="3" l="1"/>
  <c r="K71" i="3"/>
  <c r="L71" i="3" s="1"/>
  <c r="M257" i="3"/>
  <c r="K257" i="3"/>
  <c r="L257" i="3" s="1"/>
  <c r="M258" i="3" l="1"/>
  <c r="K258" i="3"/>
  <c r="L258" i="3" s="1"/>
  <c r="K72" i="3"/>
  <c r="L72" i="3" s="1"/>
  <c r="M72" i="3"/>
  <c r="K259" i="3" l="1"/>
  <c r="L259" i="3" s="1"/>
  <c r="M259" i="3"/>
  <c r="M73" i="3"/>
  <c r="K73" i="3"/>
  <c r="L73" i="3" s="1"/>
  <c r="M74" i="3" l="1"/>
  <c r="K74" i="3"/>
  <c r="L74" i="3" s="1"/>
  <c r="M260" i="3"/>
  <c r="K260" i="3"/>
  <c r="L260" i="3" s="1"/>
  <c r="M261" i="3" l="1"/>
  <c r="K261" i="3"/>
  <c r="L261" i="3" s="1"/>
  <c r="K75" i="3"/>
  <c r="L75" i="3" s="1"/>
  <c r="M75" i="3"/>
  <c r="M76" i="3" l="1"/>
  <c r="K76" i="3"/>
  <c r="L76" i="3" s="1"/>
  <c r="K262" i="3"/>
  <c r="L262" i="3" s="1"/>
  <c r="M262" i="3"/>
  <c r="K263" i="3" l="1"/>
  <c r="L263" i="3" s="1"/>
  <c r="M263" i="3"/>
  <c r="M77" i="3"/>
  <c r="K77" i="3"/>
  <c r="L77" i="3" s="1"/>
  <c r="K78" i="3" l="1"/>
  <c r="L78" i="3" s="1"/>
  <c r="M78" i="3"/>
  <c r="M264" i="3"/>
  <c r="K264" i="3"/>
  <c r="L264" i="3" s="1"/>
  <c r="M265" i="3" l="1"/>
  <c r="K265" i="3"/>
  <c r="L265" i="3" s="1"/>
  <c r="M79" i="3"/>
  <c r="K79" i="3"/>
  <c r="L79" i="3" s="1"/>
  <c r="M80" i="3" l="1"/>
  <c r="K80" i="3"/>
  <c r="L80" i="3" s="1"/>
  <c r="K266" i="3"/>
  <c r="L266" i="3" s="1"/>
  <c r="M266" i="3"/>
  <c r="M81" i="3" l="1"/>
  <c r="K81" i="3"/>
  <c r="L81" i="3" s="1"/>
  <c r="M267" i="3"/>
  <c r="K267" i="3"/>
  <c r="L267" i="3" s="1"/>
  <c r="M268" i="3" l="1"/>
  <c r="K268" i="3"/>
  <c r="L268" i="3" s="1"/>
  <c r="M82" i="3"/>
  <c r="K82" i="3"/>
  <c r="L82" i="3" s="1"/>
  <c r="K83" i="3" l="1"/>
  <c r="L83" i="3" s="1"/>
  <c r="M83" i="3"/>
  <c r="K269" i="3"/>
  <c r="L269" i="3" s="1"/>
  <c r="M269" i="3"/>
  <c r="M270" i="3" l="1"/>
  <c r="K270" i="3"/>
  <c r="L270" i="3" s="1"/>
  <c r="K84" i="3"/>
  <c r="L84" i="3" s="1"/>
  <c r="M84" i="3"/>
  <c r="K271" i="3" l="1"/>
  <c r="L271" i="3" s="1"/>
  <c r="M271" i="3"/>
  <c r="K85" i="3"/>
  <c r="L85" i="3" s="1"/>
  <c r="M85" i="3"/>
  <c r="M86" i="3" l="1"/>
  <c r="K86" i="3"/>
  <c r="L86" i="3" s="1"/>
  <c r="M272" i="3"/>
  <c r="K272" i="3"/>
  <c r="L272" i="3" s="1"/>
  <c r="K273" i="3" l="1"/>
  <c r="L273" i="3" s="1"/>
  <c r="M273" i="3"/>
  <c r="M87" i="3"/>
  <c r="K87" i="3"/>
  <c r="L87" i="3" s="1"/>
  <c r="K88" i="3" l="1"/>
  <c r="L88" i="3" s="1"/>
  <c r="M88" i="3"/>
  <c r="M274" i="3"/>
  <c r="K274" i="3"/>
  <c r="L274" i="3" s="1"/>
  <c r="K275" i="3" l="1"/>
  <c r="L275" i="3" s="1"/>
  <c r="M275" i="3"/>
  <c r="M89" i="3"/>
  <c r="K89" i="3"/>
  <c r="L89" i="3" s="1"/>
  <c r="K90" i="3" l="1"/>
  <c r="L90" i="3" s="1"/>
  <c r="M90" i="3"/>
  <c r="K276" i="3"/>
  <c r="L276" i="3" s="1"/>
  <c r="M276" i="3"/>
  <c r="K277" i="3" l="1"/>
  <c r="L277" i="3" s="1"/>
  <c r="M277" i="3"/>
  <c r="K91" i="3"/>
  <c r="L91" i="3" s="1"/>
  <c r="M91" i="3"/>
  <c r="M92" i="3" l="1"/>
  <c r="K92" i="3"/>
  <c r="L92" i="3" s="1"/>
  <c r="K278" i="3"/>
  <c r="L278" i="3" s="1"/>
  <c r="M278" i="3"/>
  <c r="M279" i="3" l="1"/>
  <c r="K279" i="3"/>
  <c r="L279" i="3" s="1"/>
  <c r="M93" i="3"/>
  <c r="K93" i="3"/>
  <c r="L93" i="3" s="1"/>
  <c r="M94" i="3" l="1"/>
  <c r="K94" i="3"/>
  <c r="L94" i="3" s="1"/>
  <c r="K280" i="3"/>
  <c r="L280" i="3" s="1"/>
  <c r="M280" i="3"/>
  <c r="M281" i="3" l="1"/>
  <c r="K281" i="3"/>
  <c r="L281" i="3" s="1"/>
  <c r="M95" i="3"/>
  <c r="K95" i="3"/>
  <c r="L95" i="3" s="1"/>
  <c r="M96" i="3" l="1"/>
  <c r="K96" i="3"/>
  <c r="L96" i="3" s="1"/>
  <c r="M282" i="3"/>
  <c r="K282" i="3"/>
  <c r="L282" i="3" s="1"/>
  <c r="M283" i="3" l="1"/>
  <c r="K283" i="3"/>
  <c r="L283" i="3" s="1"/>
  <c r="M97" i="3"/>
  <c r="K97" i="3"/>
  <c r="L97" i="3" s="1"/>
  <c r="K98" i="3" l="1"/>
  <c r="L98" i="3" s="1"/>
  <c r="M98" i="3"/>
  <c r="K284" i="3"/>
  <c r="L284" i="3" s="1"/>
  <c r="M284" i="3"/>
  <c r="M285" i="3" l="1"/>
  <c r="K285" i="3"/>
  <c r="L285" i="3" s="1"/>
  <c r="M99" i="3"/>
  <c r="K99" i="3"/>
  <c r="L99" i="3" s="1"/>
  <c r="M100" i="3" l="1"/>
  <c r="K100" i="3"/>
  <c r="L100" i="3" s="1"/>
  <c r="M286" i="3"/>
  <c r="K286" i="3"/>
  <c r="L286" i="3" s="1"/>
  <c r="K101" i="3" l="1"/>
  <c r="L101" i="3" s="1"/>
  <c r="M101" i="3"/>
  <c r="K287" i="3"/>
  <c r="L287" i="3" s="1"/>
  <c r="M287" i="3"/>
  <c r="M288" i="3" l="1"/>
  <c r="K288" i="3"/>
  <c r="L288" i="3" s="1"/>
  <c r="M102" i="3"/>
  <c r="K102" i="3"/>
  <c r="L102" i="3" s="1"/>
  <c r="M103" i="3" l="1"/>
  <c r="K103" i="3"/>
  <c r="L103" i="3" s="1"/>
  <c r="K289" i="3"/>
  <c r="L289" i="3" s="1"/>
  <c r="M289" i="3"/>
  <c r="M104" i="3" l="1"/>
  <c r="K104" i="3"/>
  <c r="L104" i="3" s="1"/>
  <c r="K290" i="3"/>
  <c r="L290" i="3" s="1"/>
  <c r="M290" i="3"/>
  <c r="K291" i="3" l="1"/>
  <c r="L291" i="3" s="1"/>
  <c r="M291" i="3"/>
  <c r="M105" i="3"/>
  <c r="K105" i="3"/>
  <c r="L105" i="3" s="1"/>
  <c r="M106" i="3" l="1"/>
  <c r="K106" i="3"/>
  <c r="L106" i="3" s="1"/>
  <c r="M292" i="3"/>
  <c r="K292" i="3"/>
  <c r="L292" i="3" s="1"/>
  <c r="K293" i="3" l="1"/>
  <c r="L293" i="3" s="1"/>
  <c r="M293" i="3"/>
  <c r="K107" i="3"/>
  <c r="L107" i="3" s="1"/>
  <c r="M107" i="3"/>
  <c r="K108" i="3" l="1"/>
  <c r="L108" i="3" s="1"/>
  <c r="M108" i="3"/>
  <c r="K294" i="3"/>
  <c r="L294" i="3" s="1"/>
  <c r="M294" i="3"/>
  <c r="M295" i="3" l="1"/>
  <c r="K295" i="3"/>
  <c r="L295" i="3" s="1"/>
  <c r="K109" i="3"/>
  <c r="L109" i="3" s="1"/>
  <c r="M109" i="3"/>
  <c r="M110" i="3" l="1"/>
  <c r="K110" i="3"/>
  <c r="L110" i="3" s="1"/>
  <c r="M296" i="3"/>
  <c r="K296" i="3"/>
  <c r="L296" i="3" s="1"/>
  <c r="M297" i="3" l="1"/>
  <c r="K297" i="3"/>
  <c r="L297" i="3" s="1"/>
  <c r="K111" i="3"/>
  <c r="L111" i="3" s="1"/>
  <c r="M111" i="3"/>
  <c r="K112" i="3" l="1"/>
  <c r="L112" i="3" s="1"/>
  <c r="M112" i="3"/>
  <c r="M298" i="3"/>
  <c r="K298" i="3"/>
  <c r="L298" i="3" s="1"/>
  <c r="M113" i="3" l="1"/>
  <c r="K113" i="3"/>
  <c r="L113" i="3" s="1"/>
  <c r="M299" i="3"/>
  <c r="K299" i="3"/>
  <c r="L299" i="3" s="1"/>
  <c r="M300" i="3" l="1"/>
  <c r="K300" i="3"/>
  <c r="L300" i="3" s="1"/>
  <c r="K114" i="3"/>
  <c r="L114" i="3" s="1"/>
  <c r="M114" i="3"/>
  <c r="M115" i="3" l="1"/>
  <c r="K115" i="3"/>
  <c r="L115" i="3" s="1"/>
  <c r="K301" i="3"/>
  <c r="L301" i="3" s="1"/>
  <c r="M301" i="3"/>
  <c r="M302" i="3" l="1"/>
  <c r="K302" i="3"/>
  <c r="L302" i="3" s="1"/>
  <c r="M116" i="3"/>
  <c r="K116" i="3"/>
  <c r="L116" i="3" s="1"/>
  <c r="M117" i="3" l="1"/>
  <c r="K117" i="3"/>
  <c r="L117" i="3" s="1"/>
  <c r="M303" i="3"/>
  <c r="K303" i="3"/>
  <c r="L303" i="3" s="1"/>
  <c r="M304" i="3" l="1"/>
  <c r="K304" i="3"/>
  <c r="L304" i="3" s="1"/>
  <c r="K118" i="3"/>
  <c r="L118" i="3" s="1"/>
  <c r="M118" i="3"/>
  <c r="K119" i="3" l="1"/>
  <c r="L119" i="3" s="1"/>
  <c r="M119" i="3"/>
  <c r="K305" i="3"/>
  <c r="L305" i="3" s="1"/>
  <c r="M305" i="3"/>
  <c r="M306" i="3" l="1"/>
  <c r="K306" i="3"/>
  <c r="L306" i="3" s="1"/>
  <c r="M120" i="3"/>
  <c r="K120" i="3"/>
  <c r="L120" i="3" s="1"/>
  <c r="M121" i="3" l="1"/>
  <c r="K121" i="3"/>
  <c r="L121" i="3" s="1"/>
  <c r="K307" i="3"/>
  <c r="L307" i="3" s="1"/>
  <c r="M307" i="3"/>
  <c r="M308" i="3" l="1"/>
  <c r="K308" i="3"/>
  <c r="L308" i="3" s="1"/>
  <c r="K122" i="3"/>
  <c r="L122" i="3" s="1"/>
  <c r="M122" i="3"/>
  <c r="M123" i="3" l="1"/>
  <c r="K123" i="3"/>
  <c r="L123" i="3" s="1"/>
  <c r="K309" i="3"/>
  <c r="L309" i="3" s="1"/>
  <c r="M309" i="3"/>
  <c r="K310" i="3" l="1"/>
  <c r="L310" i="3" s="1"/>
  <c r="M310" i="3"/>
  <c r="M124" i="3"/>
  <c r="K124" i="3"/>
  <c r="L124" i="3" s="1"/>
  <c r="M125" i="3" l="1"/>
  <c r="K125" i="3"/>
  <c r="L125" i="3" s="1"/>
  <c r="K311" i="3"/>
  <c r="L311" i="3" s="1"/>
  <c r="M311" i="3"/>
  <c r="K312" i="3" l="1"/>
  <c r="L312" i="3" s="1"/>
  <c r="M312" i="3"/>
  <c r="M126" i="3"/>
  <c r="K126" i="3"/>
  <c r="L126" i="3" s="1"/>
  <c r="M127" i="3" l="1"/>
  <c r="K127" i="3"/>
  <c r="L127" i="3" s="1"/>
  <c r="M313" i="3"/>
  <c r="K313" i="3"/>
  <c r="L313" i="3" s="1"/>
  <c r="K314" i="3" l="1"/>
  <c r="L314" i="3" s="1"/>
  <c r="M314" i="3"/>
  <c r="K128" i="3"/>
  <c r="L128" i="3" s="1"/>
  <c r="M128" i="3"/>
  <c r="K129" i="3" l="1"/>
  <c r="L129" i="3" s="1"/>
  <c r="M129" i="3"/>
  <c r="K315" i="3"/>
  <c r="L315" i="3" s="1"/>
  <c r="M315" i="3"/>
  <c r="K316" i="3" l="1"/>
  <c r="L316" i="3" s="1"/>
  <c r="M316" i="3"/>
  <c r="M130" i="3"/>
  <c r="K130" i="3"/>
  <c r="L130" i="3" s="1"/>
  <c r="K131" i="3" l="1"/>
  <c r="L131" i="3" s="1"/>
  <c r="M131" i="3"/>
  <c r="M317" i="3"/>
  <c r="K317" i="3"/>
  <c r="L317" i="3" s="1"/>
  <c r="K318" i="3" l="1"/>
  <c r="L318" i="3" s="1"/>
  <c r="M318" i="3"/>
  <c r="M132" i="3"/>
  <c r="K132" i="3"/>
  <c r="L132" i="3" s="1"/>
  <c r="M133" i="3" l="1"/>
  <c r="K133" i="3"/>
  <c r="L133" i="3" s="1"/>
  <c r="M319" i="3"/>
  <c r="K319" i="3"/>
  <c r="L319" i="3" s="1"/>
  <c r="M320" i="3" l="1"/>
  <c r="K320" i="3"/>
  <c r="L320" i="3" s="1"/>
  <c r="M134" i="3"/>
  <c r="K134" i="3"/>
  <c r="L134" i="3" s="1"/>
  <c r="K135" i="3" l="1"/>
  <c r="L135" i="3" s="1"/>
  <c r="M135" i="3"/>
  <c r="M321" i="3"/>
  <c r="K321" i="3"/>
  <c r="L321" i="3" s="1"/>
  <c r="K322" i="3" l="1"/>
  <c r="L322" i="3" s="1"/>
  <c r="M322" i="3"/>
  <c r="M136" i="3"/>
  <c r="K136" i="3"/>
  <c r="L136" i="3" s="1"/>
  <c r="K137" i="3" l="1"/>
  <c r="L137" i="3" s="1"/>
  <c r="M137" i="3"/>
  <c r="K323" i="3"/>
  <c r="L323" i="3" s="1"/>
  <c r="M323" i="3"/>
  <c r="K138" i="3" l="1"/>
  <c r="L138" i="3" s="1"/>
  <c r="M138" i="3"/>
  <c r="M324" i="3"/>
  <c r="K324" i="3"/>
  <c r="L324" i="3" s="1"/>
  <c r="K325" i="3" l="1"/>
  <c r="L325" i="3" s="1"/>
  <c r="M325" i="3"/>
  <c r="M139" i="3"/>
  <c r="K139" i="3"/>
  <c r="L139" i="3" s="1"/>
  <c r="K140" i="3" l="1"/>
  <c r="L140" i="3" s="1"/>
  <c r="M140" i="3"/>
  <c r="M326" i="3"/>
  <c r="K326" i="3"/>
  <c r="L326" i="3" s="1"/>
  <c r="M327" i="3" l="1"/>
  <c r="K327" i="3"/>
  <c r="L327" i="3" s="1"/>
  <c r="K141" i="3"/>
  <c r="L141" i="3" s="1"/>
  <c r="M141" i="3"/>
  <c r="M328" i="3" l="1"/>
  <c r="K328" i="3"/>
  <c r="L328" i="3" s="1"/>
  <c r="M142" i="3"/>
  <c r="K142" i="3"/>
  <c r="L142" i="3" s="1"/>
  <c r="K143" i="3" l="1"/>
  <c r="L143" i="3" s="1"/>
  <c r="M143" i="3"/>
  <c r="M329" i="3"/>
  <c r="K329" i="3"/>
  <c r="L329" i="3" s="1"/>
  <c r="M330" i="3" l="1"/>
  <c r="K330" i="3"/>
  <c r="L330" i="3" s="1"/>
  <c r="K144" i="3"/>
  <c r="L144" i="3" s="1"/>
  <c r="M144" i="3"/>
  <c r="M145" i="3" l="1"/>
  <c r="K145" i="3"/>
  <c r="L145" i="3" s="1"/>
  <c r="M331" i="3"/>
  <c r="K331" i="3"/>
  <c r="L331" i="3" s="1"/>
  <c r="M332" i="3" l="1"/>
  <c r="K332" i="3"/>
  <c r="L332" i="3" s="1"/>
  <c r="K146" i="3"/>
  <c r="L146" i="3" s="1"/>
  <c r="M146" i="3"/>
  <c r="K147" i="3" l="1"/>
  <c r="L147" i="3" s="1"/>
  <c r="M147" i="3"/>
  <c r="M333" i="3"/>
  <c r="K333" i="3"/>
  <c r="L333" i="3" s="1"/>
  <c r="M334" i="3" l="1"/>
  <c r="K334" i="3"/>
  <c r="L334" i="3" s="1"/>
  <c r="K148" i="3"/>
  <c r="L148" i="3" s="1"/>
  <c r="M148" i="3"/>
  <c r="M149" i="3" l="1"/>
  <c r="K149" i="3"/>
  <c r="L149" i="3" s="1"/>
  <c r="K335" i="3"/>
  <c r="L335" i="3" s="1"/>
  <c r="M335" i="3"/>
  <c r="M150" i="3" l="1"/>
  <c r="K150" i="3"/>
  <c r="L150" i="3" s="1"/>
  <c r="M336" i="3"/>
  <c r="K336" i="3"/>
  <c r="L336" i="3" s="1"/>
  <c r="K337" i="3" l="1"/>
  <c r="L337" i="3" s="1"/>
  <c r="M337" i="3"/>
  <c r="M151" i="3"/>
  <c r="K151" i="3"/>
  <c r="L151" i="3" s="1"/>
  <c r="M152" i="3" l="1"/>
  <c r="K152" i="3"/>
  <c r="L152" i="3" s="1"/>
  <c r="M338" i="3"/>
  <c r="K338" i="3"/>
  <c r="L338" i="3" s="1"/>
  <c r="M153" i="3" l="1"/>
  <c r="K153" i="3"/>
  <c r="L153" i="3" s="1"/>
  <c r="M339" i="3"/>
  <c r="K339" i="3"/>
  <c r="L339" i="3" s="1"/>
  <c r="K340" i="3" l="1"/>
  <c r="L340" i="3" s="1"/>
  <c r="M340" i="3"/>
  <c r="K154" i="3"/>
  <c r="L154" i="3" s="1"/>
  <c r="M154" i="3"/>
  <c r="K155" i="3" l="1"/>
  <c r="L155" i="3" s="1"/>
  <c r="M155" i="3"/>
  <c r="K341" i="3"/>
  <c r="L341" i="3" s="1"/>
  <c r="M341" i="3"/>
  <c r="K156" i="3" l="1"/>
  <c r="L156" i="3" s="1"/>
  <c r="M156" i="3"/>
  <c r="M157" i="3" l="1"/>
  <c r="K157" i="3"/>
  <c r="L157" i="3" s="1"/>
  <c r="K342" i="3"/>
  <c r="L342" i="3" s="1"/>
  <c r="M342" i="3"/>
  <c r="K343" i="3" l="1"/>
  <c r="L343" i="3" s="1"/>
  <c r="M343" i="3"/>
  <c r="M158" i="3"/>
  <c r="K158" i="3"/>
  <c r="L158" i="3" s="1"/>
  <c r="K159" i="3" l="1"/>
  <c r="L159" i="3" s="1"/>
  <c r="M159" i="3"/>
  <c r="K344" i="3"/>
  <c r="L344" i="3" s="1"/>
  <c r="M344" i="3"/>
  <c r="K345" i="3" l="1"/>
  <c r="L345" i="3" s="1"/>
  <c r="M345" i="3"/>
  <c r="K160" i="3"/>
  <c r="L160" i="3" s="1"/>
  <c r="M160" i="3"/>
  <c r="K161" i="3" l="1"/>
  <c r="L161" i="3" s="1"/>
  <c r="M161" i="3"/>
  <c r="K346" i="3"/>
  <c r="L346" i="3" s="1"/>
  <c r="M346" i="3"/>
  <c r="M347" i="3" l="1"/>
  <c r="K347" i="3"/>
  <c r="L347" i="3" s="1"/>
  <c r="M162" i="3"/>
  <c r="K162" i="3"/>
  <c r="L162" i="3" s="1"/>
  <c r="M348" i="3" l="1"/>
  <c r="K348" i="3"/>
  <c r="L348" i="3" s="1"/>
  <c r="M163" i="3"/>
  <c r="K163" i="3"/>
  <c r="L163" i="3" s="1"/>
  <c r="K164" i="3" l="1"/>
  <c r="L164" i="3" s="1"/>
  <c r="M164" i="3"/>
  <c r="K349" i="3"/>
  <c r="L349" i="3" s="1"/>
  <c r="M349" i="3"/>
  <c r="K350" i="3" l="1"/>
  <c r="L350" i="3" s="1"/>
  <c r="M350" i="3"/>
  <c r="M165" i="3"/>
  <c r="K165" i="3"/>
  <c r="L165" i="3" s="1"/>
  <c r="M166" i="3" l="1"/>
  <c r="K166" i="3"/>
  <c r="L166" i="3" s="1"/>
  <c r="K351" i="3"/>
  <c r="L351" i="3" s="1"/>
  <c r="M351" i="3"/>
  <c r="M352" i="3" l="1"/>
  <c r="K352" i="3"/>
  <c r="L352" i="3" s="1"/>
  <c r="K167" i="3"/>
  <c r="L167" i="3" s="1"/>
  <c r="M167" i="3"/>
  <c r="M168" i="3" l="1"/>
  <c r="K168" i="3"/>
  <c r="L168" i="3" s="1"/>
  <c r="M353" i="3"/>
  <c r="K353" i="3"/>
  <c r="L353" i="3" s="1"/>
  <c r="K354" i="3" l="1"/>
  <c r="L354" i="3" s="1"/>
  <c r="M354" i="3"/>
  <c r="M169" i="3"/>
  <c r="K169" i="3"/>
  <c r="L169" i="3" s="1"/>
  <c r="M170" i="3" l="1"/>
  <c r="K170" i="3"/>
  <c r="L170" i="3" s="1"/>
  <c r="K355" i="3"/>
  <c r="L355" i="3" s="1"/>
  <c r="M355" i="3"/>
  <c r="K356" i="3" l="1"/>
  <c r="L356" i="3" s="1"/>
  <c r="M356" i="3"/>
  <c r="M171" i="3"/>
  <c r="K171" i="3"/>
  <c r="L171" i="3" s="1"/>
  <c r="K357" i="3" l="1"/>
  <c r="L357" i="3" s="1"/>
  <c r="M357" i="3"/>
  <c r="M172" i="3"/>
  <c r="K172" i="3"/>
  <c r="L172" i="3" s="1"/>
  <c r="M358" i="3" l="1"/>
  <c r="K358" i="3"/>
  <c r="L358" i="3" s="1"/>
  <c r="K173" i="3"/>
  <c r="L173" i="3" s="1"/>
  <c r="M173" i="3"/>
  <c r="M174" i="3" l="1"/>
  <c r="K174" i="3"/>
  <c r="L174" i="3" s="1"/>
  <c r="K359" i="3"/>
  <c r="L359" i="3" s="1"/>
  <c r="M359" i="3"/>
  <c r="K360" i="3" l="1"/>
  <c r="L360" i="3" s="1"/>
  <c r="M360" i="3"/>
  <c r="M175" i="3"/>
  <c r="K175" i="3"/>
  <c r="L175" i="3" s="1"/>
  <c r="M176" i="3" l="1"/>
  <c r="K176" i="3"/>
  <c r="L176" i="3" s="1"/>
  <c r="M361" i="3"/>
  <c r="K361" i="3"/>
  <c r="L361" i="3" s="1"/>
  <c r="M362" i="3" l="1"/>
  <c r="K362" i="3"/>
  <c r="L362" i="3" s="1"/>
  <c r="K177" i="3"/>
  <c r="L177" i="3" s="1"/>
  <c r="M177" i="3"/>
  <c r="K178" i="3" l="1"/>
  <c r="L178" i="3" s="1"/>
  <c r="M178" i="3"/>
  <c r="M363" i="3"/>
  <c r="K363" i="3"/>
  <c r="L363" i="3" s="1"/>
  <c r="K364" i="3" l="1"/>
  <c r="L364" i="3" s="1"/>
  <c r="M364" i="3"/>
  <c r="K179" i="3"/>
  <c r="L179" i="3" s="1"/>
  <c r="M179" i="3"/>
  <c r="M180" i="3" l="1"/>
  <c r="K180" i="3"/>
  <c r="L180" i="3" s="1"/>
  <c r="K365" i="3"/>
  <c r="L365" i="3" s="1"/>
  <c r="M365" i="3"/>
  <c r="K366" i="3" l="1"/>
  <c r="L366" i="3" s="1"/>
  <c r="M366" i="3"/>
  <c r="M181" i="3"/>
  <c r="K181" i="3"/>
  <c r="L181" i="3" s="1"/>
  <c r="K182" i="3" l="1"/>
  <c r="L182" i="3" s="1"/>
  <c r="M182" i="3"/>
  <c r="K367" i="3"/>
  <c r="L367" i="3" s="1"/>
  <c r="M367" i="3"/>
  <c r="M368" i="3" l="1"/>
  <c r="K368" i="3"/>
  <c r="L368" i="3" s="1"/>
  <c r="K183" i="3"/>
  <c r="L183" i="3" s="1"/>
  <c r="M183" i="3"/>
  <c r="M184" i="3" l="1"/>
  <c r="K184" i="3"/>
  <c r="L184" i="3" s="1"/>
  <c r="K369" i="3"/>
  <c r="L369" i="3" s="1"/>
  <c r="M369" i="3"/>
  <c r="K185" i="3" l="1"/>
  <c r="L185" i="3" s="1"/>
  <c r="M185" i="3"/>
  <c r="K370" i="3"/>
  <c r="L370" i="3" s="1"/>
  <c r="M370" i="3"/>
  <c r="K371" i="3" l="1"/>
  <c r="L371" i="3" s="1"/>
  <c r="M371" i="3"/>
  <c r="M186" i="3"/>
  <c r="K186" i="3"/>
  <c r="L186" i="3" s="1"/>
  <c r="K372" i="3" l="1"/>
  <c r="L372" i="3" s="1"/>
  <c r="M372" i="3"/>
  <c r="K187" i="3"/>
  <c r="L187" i="3" s="1"/>
  <c r="M187" i="3"/>
  <c r="K373" i="3" l="1"/>
  <c r="L373" i="3" s="1"/>
  <c r="M373" i="3"/>
  <c r="M188" i="3"/>
  <c r="K188" i="3"/>
  <c r="L188" i="3" s="1"/>
  <c r="K190" i="3" l="1"/>
  <c r="L190" i="3" s="1"/>
  <c r="M190" i="3"/>
  <c r="K189" i="3"/>
  <c r="L189" i="3" s="1"/>
  <c r="M189" i="3"/>
  <c r="M374" i="3"/>
  <c r="K374" i="3"/>
  <c r="L374" i="3" s="1"/>
  <c r="M191" i="3" l="1"/>
  <c r="K191" i="3"/>
  <c r="L191" i="3" s="1"/>
  <c r="M375" i="3"/>
  <c r="K375" i="3"/>
  <c r="L375" i="3" s="1"/>
  <c r="M192" i="3" l="1"/>
  <c r="K192" i="3"/>
  <c r="L192" i="3" s="1"/>
  <c r="M376" i="3"/>
  <c r="K376" i="3"/>
  <c r="L376" i="3" s="1"/>
  <c r="M193" i="3" l="1"/>
  <c r="K193" i="3"/>
  <c r="L193" i="3" s="1"/>
  <c r="M377" i="3"/>
  <c r="K377" i="3"/>
  <c r="L377" i="3" s="1"/>
  <c r="K194" i="3" l="1"/>
  <c r="L194" i="3" s="1"/>
  <c r="M194" i="3"/>
  <c r="K378" i="3"/>
  <c r="L378" i="3" s="1"/>
  <c r="M378" i="3"/>
  <c r="K195" i="3" l="1"/>
  <c r="L195" i="3" s="1"/>
  <c r="M195" i="3"/>
  <c r="M379" i="3"/>
  <c r="K379" i="3"/>
  <c r="L379" i="3" s="1"/>
  <c r="M196" i="3" l="1"/>
  <c r="K196" i="3"/>
  <c r="L196" i="3" s="1"/>
  <c r="K380" i="3"/>
  <c r="L380" i="3" s="1"/>
  <c r="M380" i="3"/>
  <c r="K197" i="3" l="1"/>
  <c r="L197" i="3" s="1"/>
  <c r="M197" i="3"/>
  <c r="K381" i="3"/>
  <c r="L381" i="3" s="1"/>
  <c r="M381" i="3"/>
  <c r="M198" i="3" l="1"/>
  <c r="K198" i="3"/>
  <c r="L198" i="3" s="1"/>
  <c r="M382" i="3"/>
  <c r="K382" i="3"/>
  <c r="L382" i="3" s="1"/>
  <c r="M199" i="3" l="1"/>
  <c r="K199" i="3"/>
  <c r="L199" i="3" s="1"/>
  <c r="K383" i="3"/>
  <c r="L383" i="3" s="1"/>
  <c r="M383" i="3"/>
  <c r="M200" i="3" l="1"/>
  <c r="K200" i="3"/>
  <c r="L200" i="3" s="1"/>
  <c r="K384" i="3"/>
  <c r="L384" i="3" s="1"/>
  <c r="M384" i="3"/>
  <c r="M201" i="3" l="1"/>
  <c r="K201" i="3"/>
  <c r="L201" i="3" s="1"/>
  <c r="M385" i="3"/>
  <c r="K385" i="3"/>
  <c r="L385" i="3" s="1"/>
  <c r="K202" i="3" l="1"/>
  <c r="L202" i="3" s="1"/>
  <c r="M202" i="3"/>
  <c r="M386" i="3"/>
  <c r="K386" i="3"/>
  <c r="L386" i="3" s="1"/>
  <c r="K203" i="3" l="1"/>
  <c r="L203" i="3" s="1"/>
  <c r="M203" i="3"/>
  <c r="K387" i="3"/>
  <c r="L387" i="3" s="1"/>
  <c r="M387" i="3"/>
  <c r="K204" i="3" l="1"/>
  <c r="L204" i="3" s="1"/>
  <c r="M204" i="3"/>
  <c r="K388" i="3"/>
  <c r="L388" i="3" s="1"/>
  <c r="M388" i="3"/>
  <c r="M389" i="3" l="1"/>
  <c r="K389" i="3"/>
  <c r="L389" i="3" s="1"/>
  <c r="M390" i="3" l="1"/>
  <c r="K390" i="3"/>
  <c r="L390" i="3" s="1"/>
  <c r="M391" i="3" l="1"/>
  <c r="K391" i="3"/>
  <c r="L391" i="3" s="1"/>
  <c r="M392" i="3" l="1"/>
  <c r="K392" i="3"/>
  <c r="L392" i="3" s="1"/>
  <c r="K393" i="3" l="1"/>
  <c r="L393" i="3" s="1"/>
  <c r="M393" i="3"/>
  <c r="M394" i="3" l="1"/>
  <c r="K394" i="3"/>
  <c r="L394" i="3" s="1"/>
  <c r="K395" i="3" l="1"/>
  <c r="L395" i="3" s="1"/>
  <c r="M395" i="3"/>
  <c r="K396" i="3" l="1"/>
  <c r="L396" i="3" s="1"/>
  <c r="M396" i="3"/>
  <c r="K397" i="3" l="1"/>
  <c r="L397" i="3" s="1"/>
  <c r="M397" i="3"/>
  <c r="K398" i="3" l="1"/>
  <c r="L398" i="3" s="1"/>
  <c r="M398" i="3"/>
  <c r="M399" i="3" l="1"/>
  <c r="K399" i="3"/>
  <c r="L399" i="3" s="1"/>
  <c r="M400" i="3" l="1"/>
  <c r="K400" i="3"/>
  <c r="L400" i="3" s="1"/>
  <c r="K401" i="3" l="1"/>
  <c r="L401" i="3" s="1"/>
  <c r="M401" i="3"/>
  <c r="K402" i="3" l="1"/>
  <c r="L402" i="3" s="1"/>
  <c r="M402" i="3"/>
  <c r="M403" i="3" l="1"/>
  <c r="K403" i="3"/>
  <c r="L403" i="3" s="1"/>
  <c r="M404" i="3" l="1"/>
  <c r="K404" i="3"/>
  <c r="L404" i="3" s="1"/>
  <c r="K405" i="3" l="1"/>
  <c r="L405" i="3" s="1"/>
  <c r="M405" i="3"/>
  <c r="M406" i="3" l="1"/>
  <c r="K406" i="3"/>
  <c r="L406" i="3" s="1"/>
  <c r="K407" i="3" l="1"/>
  <c r="L407" i="3" s="1"/>
  <c r="M407" i="3"/>
  <c r="M408" i="3" l="1"/>
  <c r="K408" i="3"/>
  <c r="L408" i="3" s="1"/>
  <c r="K409" i="3" l="1"/>
  <c r="L409" i="3" s="1"/>
  <c r="M409" i="3"/>
  <c r="K410" i="3" l="1"/>
  <c r="L410" i="3" s="1"/>
  <c r="M410" i="3"/>
  <c r="K411" i="3" l="1"/>
  <c r="L411" i="3" s="1"/>
  <c r="M411" i="3"/>
  <c r="M412" i="3" l="1"/>
  <c r="K412" i="3"/>
  <c r="L412" i="3" s="1"/>
  <c r="K413" i="3" l="1"/>
  <c r="L413" i="3" s="1"/>
  <c r="M413" i="3"/>
  <c r="K414" i="3" l="1"/>
  <c r="L414" i="3" s="1"/>
  <c r="M414" i="3"/>
  <c r="K415" i="3" l="1"/>
  <c r="L415" i="3" s="1"/>
  <c r="M415" i="3"/>
  <c r="K416" i="3" l="1"/>
  <c r="L416" i="3" s="1"/>
  <c r="M416" i="3"/>
  <c r="K417" i="3" l="1"/>
  <c r="L417" i="3" s="1"/>
  <c r="M417" i="3"/>
  <c r="K418" i="3" l="1"/>
  <c r="L418" i="3" s="1"/>
  <c r="M418" i="3"/>
  <c r="K419" i="3" l="1"/>
  <c r="L419" i="3" s="1"/>
  <c r="M419" i="3"/>
  <c r="M420" i="3" l="1"/>
  <c r="K420" i="3"/>
  <c r="L420" i="3" s="1"/>
  <c r="M421" i="3" l="1"/>
  <c r="K421" i="3"/>
  <c r="L421" i="3" s="1"/>
  <c r="K422" i="3" l="1"/>
  <c r="L422" i="3" s="1"/>
  <c r="M422" i="3"/>
  <c r="M423" i="3" l="1"/>
  <c r="K423" i="3"/>
  <c r="L423" i="3" s="1"/>
  <c r="M424" i="3" l="1"/>
  <c r="K424" i="3"/>
  <c r="L424" i="3" s="1"/>
  <c r="M425" i="3" l="1"/>
  <c r="K425" i="3"/>
  <c r="L425" i="3" s="1"/>
  <c r="K426" i="3" l="1"/>
  <c r="L426" i="3" s="1"/>
  <c r="M426" i="3"/>
  <c r="K427" i="3" l="1"/>
  <c r="L427" i="3" s="1"/>
  <c r="M427" i="3"/>
  <c r="M428" i="3" l="1"/>
  <c r="K428" i="3"/>
  <c r="L428" i="3" s="1"/>
  <c r="M429" i="3" l="1"/>
  <c r="K429" i="3"/>
  <c r="L429" i="3" s="1"/>
  <c r="M430" i="3" l="1"/>
  <c r="K430" i="3"/>
  <c r="L430" i="3" s="1"/>
  <c r="M431" i="3" l="1"/>
  <c r="K431" i="3"/>
  <c r="L431" i="3" s="1"/>
  <c r="M432" i="3" l="1"/>
  <c r="K432" i="3"/>
  <c r="L432" i="3" s="1"/>
  <c r="M433" i="3" l="1"/>
  <c r="K433" i="3"/>
  <c r="L433" i="3" s="1"/>
  <c r="K434" i="3" l="1"/>
  <c r="L434" i="3" s="1"/>
  <c r="M434" i="3"/>
  <c r="M435" i="3" l="1"/>
  <c r="K435" i="3"/>
  <c r="L435" i="3" s="1"/>
  <c r="M436" i="3" l="1"/>
  <c r="K436" i="3"/>
  <c r="L436" i="3" s="1"/>
  <c r="K437" i="3" l="1"/>
  <c r="L437" i="3" s="1"/>
  <c r="M437" i="3"/>
  <c r="M438" i="3" l="1"/>
  <c r="K438" i="3"/>
  <c r="L438" i="3" s="1"/>
  <c r="K439" i="3" l="1"/>
  <c r="L439" i="3" s="1"/>
  <c r="M439" i="3"/>
  <c r="M440" i="3" l="1"/>
  <c r="K440" i="3"/>
  <c r="L440" i="3" s="1"/>
  <c r="K441" i="3" l="1"/>
  <c r="L441" i="3" s="1"/>
  <c r="M441" i="3"/>
  <c r="K442" i="3" l="1"/>
  <c r="L442" i="3" s="1"/>
  <c r="M442" i="3"/>
  <c r="M443" i="3" l="1"/>
  <c r="K443" i="3"/>
  <c r="L443" i="3" s="1"/>
  <c r="K444" i="3" l="1"/>
  <c r="L444" i="3" s="1"/>
  <c r="M444" i="3"/>
  <c r="K445" i="3" l="1"/>
  <c r="L445" i="3" s="1"/>
  <c r="M445" i="3"/>
  <c r="M446" i="3" l="1"/>
  <c r="K446" i="3"/>
  <c r="L446" i="3" s="1"/>
  <c r="M447" i="3" l="1"/>
  <c r="K447" i="3"/>
  <c r="L447" i="3" s="1"/>
  <c r="M448" i="3" l="1"/>
  <c r="K448" i="3"/>
  <c r="L448" i="3" s="1"/>
  <c r="K449" i="3" l="1"/>
  <c r="L449" i="3" s="1"/>
  <c r="M449" i="3"/>
  <c r="K450" i="3" l="1"/>
  <c r="L450" i="3" s="1"/>
  <c r="M450" i="3"/>
  <c r="K451" i="3" l="1"/>
  <c r="L451" i="3" s="1"/>
  <c r="M451" i="3"/>
  <c r="M452" i="3" l="1"/>
  <c r="K452" i="3"/>
  <c r="L452" i="3" s="1"/>
  <c r="K453" i="3" l="1"/>
  <c r="L453" i="3" s="1"/>
  <c r="M453" i="3"/>
  <c r="K454" i="3" l="1"/>
  <c r="L454" i="3" s="1"/>
  <c r="M454" i="3"/>
  <c r="K455" i="3" l="1"/>
  <c r="L455" i="3" s="1"/>
  <c r="M455" i="3"/>
  <c r="K456" i="3" l="1"/>
  <c r="L456" i="3" s="1"/>
  <c r="M456" i="3"/>
  <c r="M457" i="3" l="1"/>
  <c r="K457" i="3"/>
  <c r="L457" i="3" s="1"/>
  <c r="K458" i="3" l="1"/>
  <c r="L458" i="3" s="1"/>
  <c r="M458" i="3"/>
  <c r="M459" i="3" l="1"/>
  <c r="K459" i="3"/>
  <c r="L459" i="3" s="1"/>
  <c r="M460" i="3" l="1"/>
  <c r="K460" i="3"/>
  <c r="L460" i="3" s="1"/>
  <c r="K461" i="3" l="1"/>
  <c r="L461" i="3" s="1"/>
  <c r="M461" i="3"/>
  <c r="M462" i="3" l="1"/>
  <c r="K462" i="3"/>
  <c r="L462" i="3" s="1"/>
  <c r="K463" i="3" l="1"/>
  <c r="L463" i="3" s="1"/>
  <c r="M463" i="3"/>
  <c r="M464" i="3" l="1"/>
  <c r="K464" i="3"/>
  <c r="L464" i="3" s="1"/>
  <c r="M465" i="3" l="1"/>
  <c r="K465" i="3"/>
  <c r="L465" i="3" s="1"/>
  <c r="K466" i="3" l="1"/>
  <c r="L466" i="3" s="1"/>
  <c r="M466" i="3"/>
  <c r="M467" i="3" l="1"/>
  <c r="K467" i="3"/>
  <c r="L467" i="3" s="1"/>
  <c r="K468" i="3" l="1"/>
  <c r="L468" i="3" s="1"/>
  <c r="M468" i="3"/>
  <c r="M469" i="3" l="1"/>
  <c r="K469" i="3"/>
  <c r="L469" i="3" s="1"/>
  <c r="M470" i="3" l="1"/>
  <c r="K470" i="3"/>
  <c r="L470" i="3" s="1"/>
  <c r="M471" i="3" l="1"/>
  <c r="K471" i="3"/>
  <c r="L471" i="3" s="1"/>
  <c r="K472" i="3" l="1"/>
  <c r="L472" i="3" s="1"/>
  <c r="M472" i="3"/>
  <c r="M473" i="3" l="1"/>
  <c r="K473" i="3"/>
  <c r="L473" i="3" s="1"/>
  <c r="K474" i="3" l="1"/>
  <c r="L474" i="3" s="1"/>
  <c r="M474" i="3"/>
  <c r="K475" i="3" l="1"/>
  <c r="L475" i="3" s="1"/>
  <c r="M475" i="3"/>
  <c r="K476" i="3" l="1"/>
  <c r="L476" i="3" s="1"/>
  <c r="M476" i="3"/>
  <c r="K477" i="3" l="1"/>
  <c r="L477" i="3" s="1"/>
  <c r="M477" i="3"/>
  <c r="K478" i="3" l="1"/>
  <c r="L478" i="3" s="1"/>
  <c r="M478" i="3"/>
  <c r="K479" i="3" l="1"/>
  <c r="L479" i="3" s="1"/>
  <c r="M479" i="3"/>
  <c r="M480" i="3" l="1"/>
  <c r="K480" i="3"/>
  <c r="L480" i="3" s="1"/>
  <c r="M481" i="3" l="1"/>
  <c r="K481" i="3"/>
  <c r="L481" i="3" s="1"/>
  <c r="M482" i="3" l="1"/>
  <c r="K482" i="3"/>
  <c r="L482" i="3" s="1"/>
  <c r="M483" i="3" l="1"/>
  <c r="K483" i="3"/>
  <c r="L483" i="3" s="1"/>
  <c r="M484" i="3" l="1"/>
  <c r="K484" i="3"/>
  <c r="L484" i="3" s="1"/>
  <c r="K485" i="3" l="1"/>
  <c r="L485" i="3" s="1"/>
  <c r="M485" i="3"/>
  <c r="M486" i="3" l="1"/>
  <c r="K486" i="3"/>
  <c r="L486" i="3" s="1"/>
  <c r="M487" i="3" l="1"/>
  <c r="K487" i="3"/>
  <c r="L487" i="3" s="1"/>
  <c r="K488" i="3" l="1"/>
  <c r="L488" i="3" s="1"/>
  <c r="M488" i="3"/>
  <c r="M489" i="3" l="1"/>
  <c r="K489" i="3"/>
  <c r="L489" i="3" s="1"/>
  <c r="K490" i="3" l="1"/>
  <c r="L490" i="3" s="1"/>
  <c r="M490" i="3"/>
  <c r="M491" i="3" l="1"/>
  <c r="K491" i="3"/>
  <c r="L491" i="3" s="1"/>
  <c r="K492" i="3" l="1"/>
  <c r="L492" i="3" s="1"/>
  <c r="M492" i="3"/>
  <c r="K493" i="3" l="1"/>
  <c r="L493" i="3" s="1"/>
  <c r="M493" i="3"/>
  <c r="K494" i="3" l="1"/>
  <c r="L494" i="3" s="1"/>
  <c r="M494" i="3"/>
  <c r="M495" i="3" l="1"/>
  <c r="K495" i="3"/>
  <c r="L495" i="3" s="1"/>
  <c r="K496" i="3" l="1"/>
  <c r="L496" i="3" s="1"/>
  <c r="M496" i="3"/>
  <c r="K497" i="3" l="1"/>
  <c r="L497" i="3" s="1"/>
  <c r="M497" i="3"/>
  <c r="M498" i="3" l="1"/>
  <c r="K498" i="3"/>
  <c r="L498" i="3" s="1"/>
  <c r="M499" i="3" l="1"/>
  <c r="K499" i="3"/>
  <c r="L499" i="3" s="1"/>
  <c r="K500" i="3" l="1"/>
  <c r="L500" i="3" s="1"/>
  <c r="M500" i="3"/>
  <c r="K501" i="3" l="1"/>
  <c r="L501" i="3" s="1"/>
  <c r="M501" i="3"/>
  <c r="K502" i="3" l="1"/>
  <c r="L502" i="3" s="1"/>
  <c r="M502" i="3"/>
  <c r="M503" i="3" l="1"/>
  <c r="K503" i="3"/>
  <c r="L503" i="3" s="1"/>
  <c r="M504" i="3" l="1"/>
  <c r="K504" i="3"/>
  <c r="L504" i="3" s="1"/>
  <c r="K505" i="3" l="1"/>
  <c r="L505" i="3" s="1"/>
  <c r="M505" i="3"/>
  <c r="K506" i="3" l="1"/>
  <c r="L506" i="3" s="1"/>
  <c r="M506" i="3"/>
  <c r="K507" i="3" l="1"/>
  <c r="L507" i="3" s="1"/>
  <c r="M507" i="3"/>
  <c r="K508" i="3" l="1"/>
  <c r="L508" i="3" s="1"/>
  <c r="M508" i="3"/>
  <c r="M509" i="3" l="1"/>
  <c r="K509" i="3"/>
  <c r="L509" i="3" s="1"/>
  <c r="M510" i="3" l="1"/>
  <c r="K510" i="3"/>
  <c r="L510" i="3" s="1"/>
  <c r="M511" i="3" l="1"/>
  <c r="K511" i="3"/>
  <c r="L511" i="3" s="1"/>
  <c r="M512" i="3" l="1"/>
  <c r="K512" i="3"/>
  <c r="L512" i="3" s="1"/>
  <c r="K513" i="3" l="1"/>
  <c r="L513" i="3" s="1"/>
  <c r="M513" i="3"/>
  <c r="K514" i="3" l="1"/>
  <c r="L514" i="3" s="1"/>
  <c r="M514" i="3"/>
  <c r="K515" i="3" l="1"/>
  <c r="L515" i="3" s="1"/>
  <c r="M515" i="3"/>
  <c r="M516" i="3" l="1"/>
  <c r="K516" i="3"/>
  <c r="L516" i="3" s="1"/>
  <c r="M517" i="3" l="1"/>
  <c r="K517" i="3"/>
  <c r="L517" i="3" s="1"/>
  <c r="K518" i="3" l="1"/>
  <c r="L518" i="3" s="1"/>
  <c r="M518" i="3"/>
  <c r="M519" i="3" l="1"/>
  <c r="K519" i="3"/>
  <c r="L519" i="3" s="1"/>
  <c r="K520" i="3" l="1"/>
  <c r="L520" i="3" s="1"/>
  <c r="M520" i="3"/>
  <c r="M521" i="3" l="1"/>
  <c r="K521" i="3"/>
  <c r="L521" i="3" s="1"/>
  <c r="M522" i="3" l="1"/>
  <c r="K522" i="3"/>
  <c r="L522" i="3" s="1"/>
  <c r="M523" i="3" l="1"/>
  <c r="K523" i="3"/>
  <c r="L523" i="3" s="1"/>
  <c r="K524" i="3" l="1"/>
  <c r="L524" i="3" s="1"/>
  <c r="M524" i="3"/>
  <c r="M525" i="3" l="1"/>
  <c r="K525" i="3"/>
  <c r="L525" i="3" s="1"/>
  <c r="M526" i="3" l="1"/>
  <c r="K526" i="3"/>
  <c r="L526" i="3" s="1"/>
  <c r="K527" i="3" l="1"/>
  <c r="L527" i="3" s="1"/>
  <c r="M527" i="3"/>
  <c r="M528" i="3" l="1"/>
  <c r="K528" i="3"/>
  <c r="L528" i="3" s="1"/>
  <c r="K529" i="3" l="1"/>
  <c r="L529" i="3" s="1"/>
  <c r="M529" i="3"/>
  <c r="M530" i="3" l="1"/>
  <c r="K530" i="3"/>
  <c r="L530" i="3" s="1"/>
  <c r="K531" i="3" l="1"/>
  <c r="L531" i="3" s="1"/>
  <c r="M531" i="3"/>
  <c r="M532" i="3" l="1"/>
  <c r="K532" i="3"/>
  <c r="L532" i="3" s="1"/>
  <c r="K533" i="3" l="1"/>
  <c r="L533" i="3" s="1"/>
  <c r="M533" i="3"/>
  <c r="M534" i="3" l="1"/>
  <c r="K534" i="3"/>
  <c r="L534" i="3" s="1"/>
  <c r="K535" i="3" l="1"/>
  <c r="L535" i="3" s="1"/>
  <c r="M535" i="3"/>
  <c r="M536" i="3" l="1"/>
  <c r="K536" i="3"/>
  <c r="L536" i="3" s="1"/>
  <c r="K537" i="3" l="1"/>
  <c r="L537" i="3" s="1"/>
  <c r="M537" i="3"/>
  <c r="M538" i="3" l="1"/>
  <c r="K538" i="3"/>
  <c r="L538" i="3" s="1"/>
  <c r="M539" i="3" l="1"/>
  <c r="K539" i="3"/>
  <c r="L539" i="3" s="1"/>
  <c r="K540" i="3" l="1"/>
  <c r="L540" i="3" s="1"/>
  <c r="M540" i="3"/>
  <c r="K541" i="3" l="1"/>
  <c r="L541" i="3" s="1"/>
  <c r="M541" i="3"/>
  <c r="K542" i="3" l="1"/>
  <c r="L542" i="3" s="1"/>
  <c r="M542" i="3"/>
  <c r="K543" i="3" l="1"/>
  <c r="L543" i="3" s="1"/>
  <c r="M543" i="3"/>
  <c r="K544" i="3" l="1"/>
  <c r="L544" i="3" s="1"/>
  <c r="M544" i="3"/>
  <c r="K545" i="3" l="1"/>
  <c r="L545" i="3" s="1"/>
  <c r="M545" i="3"/>
  <c r="M546" i="3" l="1"/>
  <c r="K546" i="3"/>
  <c r="L546" i="3" s="1"/>
  <c r="M547" i="3" l="1"/>
  <c r="K547" i="3"/>
  <c r="L547" i="3" s="1"/>
  <c r="K548" i="3" l="1"/>
  <c r="L548" i="3" s="1"/>
  <c r="M548" i="3"/>
  <c r="M549" i="3" l="1"/>
  <c r="K549" i="3"/>
  <c r="L549" i="3" s="1"/>
  <c r="K550" i="3" l="1"/>
  <c r="L550" i="3" s="1"/>
  <c r="M550" i="3"/>
  <c r="M551" i="3" l="1"/>
  <c r="K551" i="3"/>
  <c r="L551" i="3" s="1"/>
  <c r="M552" i="3" l="1"/>
  <c r="K552" i="3"/>
  <c r="L552" i="3" s="1"/>
  <c r="K553" i="3" l="1"/>
  <c r="L553" i="3" s="1"/>
  <c r="M553" i="3"/>
  <c r="M554" i="3" l="1"/>
  <c r="K554" i="3"/>
  <c r="L554" i="3" s="1"/>
  <c r="M555" i="3" l="1"/>
  <c r="K555" i="3"/>
  <c r="L555" i="3" s="1"/>
  <c r="K556" i="3" l="1"/>
  <c r="L556" i="3" s="1"/>
  <c r="M556" i="3"/>
  <c r="M557" i="3" l="1"/>
  <c r="K557" i="3"/>
  <c r="L557" i="3" s="1"/>
  <c r="M558" i="3" l="1"/>
  <c r="K558" i="3"/>
  <c r="L558" i="3" s="1"/>
  <c r="K559" i="3" l="1"/>
  <c r="L559" i="3" s="1"/>
  <c r="M559" i="3"/>
  <c r="K560" i="3" l="1"/>
  <c r="L560" i="3" s="1"/>
  <c r="M560" i="3"/>
  <c r="M561" i="3" l="1"/>
  <c r="K561" i="3"/>
  <c r="L561" i="3" s="1"/>
  <c r="M562" i="3" l="1"/>
  <c r="K562" i="3"/>
  <c r="L562" i="3" s="1"/>
  <c r="K563" i="3" l="1"/>
  <c r="L563" i="3" s="1"/>
  <c r="M563" i="3"/>
  <c r="M564" i="3" l="1"/>
  <c r="K564" i="3"/>
  <c r="L564" i="3" s="1"/>
  <c r="K565" i="3" l="1"/>
  <c r="L565" i="3" s="1"/>
  <c r="M565" i="3"/>
  <c r="M566" i="3" l="1"/>
  <c r="K566" i="3"/>
  <c r="L566" i="3" s="1"/>
  <c r="M567" i="3" l="1"/>
  <c r="K567" i="3"/>
  <c r="L567" i="3" s="1"/>
  <c r="M568" i="3" l="1"/>
  <c r="K568" i="3"/>
  <c r="L568" i="3" s="1"/>
  <c r="K569" i="3" l="1"/>
  <c r="L569" i="3" s="1"/>
  <c r="M569" i="3"/>
  <c r="M570" i="3" l="1"/>
  <c r="K570" i="3"/>
  <c r="L570" i="3" s="1"/>
  <c r="K571" i="3" l="1"/>
  <c r="L571" i="3" s="1"/>
  <c r="M571" i="3"/>
  <c r="K572" i="3" l="1"/>
  <c r="L572" i="3" s="1"/>
  <c r="M572" i="3"/>
  <c r="M573" i="3" l="1"/>
  <c r="K573" i="3"/>
  <c r="L573" i="3" s="1"/>
  <c r="K574" i="3" l="1"/>
  <c r="L574" i="3" s="1"/>
  <c r="M574" i="3"/>
  <c r="M575" i="3" l="1"/>
  <c r="K575" i="3"/>
  <c r="L575" i="3" s="1"/>
  <c r="M576" i="3" l="1"/>
  <c r="K576" i="3"/>
  <c r="L576" i="3" s="1"/>
  <c r="K577" i="3" l="1"/>
  <c r="L577" i="3" s="1"/>
  <c r="M577" i="3"/>
  <c r="M578" i="3" l="1"/>
  <c r="K578" i="3"/>
  <c r="L578" i="3" s="1"/>
  <c r="M579" i="3" l="1"/>
  <c r="K579" i="3"/>
  <c r="L579" i="3" s="1"/>
  <c r="K580" i="3" l="1"/>
  <c r="L580" i="3" s="1"/>
  <c r="M580" i="3"/>
  <c r="K581" i="3" l="1"/>
  <c r="L581" i="3" s="1"/>
  <c r="M581" i="3"/>
  <c r="K582" i="3" l="1"/>
  <c r="L582" i="3" s="1"/>
  <c r="M582" i="3"/>
  <c r="K583" i="3" l="1"/>
  <c r="L583" i="3" s="1"/>
  <c r="M583" i="3"/>
  <c r="K584" i="3" l="1"/>
  <c r="L584" i="3" s="1"/>
  <c r="M584" i="3"/>
  <c r="M585" i="3" l="1"/>
  <c r="K585" i="3"/>
  <c r="L585" i="3" s="1"/>
  <c r="K586" i="3" l="1"/>
  <c r="L586" i="3" s="1"/>
  <c r="M586" i="3"/>
  <c r="M587" i="3" l="1"/>
  <c r="K587" i="3"/>
  <c r="L587" i="3" s="1"/>
  <c r="M588" i="3" l="1"/>
  <c r="K588" i="3"/>
  <c r="L588" i="3" s="1"/>
  <c r="M589" i="3" l="1"/>
  <c r="K589" i="3"/>
  <c r="L589" i="3" s="1"/>
  <c r="K590" i="3" l="1"/>
  <c r="L590" i="3" s="1"/>
  <c r="M590" i="3"/>
  <c r="M591" i="3" l="1"/>
  <c r="K591" i="3"/>
  <c r="L591" i="3" s="1"/>
  <c r="K592" i="3" l="1"/>
  <c r="L592" i="3" s="1"/>
  <c r="M592" i="3"/>
  <c r="K593" i="3" l="1"/>
  <c r="L593" i="3" s="1"/>
  <c r="M593" i="3"/>
  <c r="M594" i="3" l="1"/>
  <c r="K594" i="3"/>
  <c r="L594" i="3" s="1"/>
  <c r="K595" i="3" l="1"/>
  <c r="L595" i="3" s="1"/>
  <c r="M595" i="3"/>
  <c r="M596" i="3" l="1"/>
  <c r="K596" i="3"/>
  <c r="L596" i="3" s="1"/>
  <c r="K597" i="3" l="1"/>
  <c r="L597" i="3" s="1"/>
  <c r="M597" i="3"/>
  <c r="M598" i="3" l="1"/>
  <c r="K598" i="3"/>
  <c r="L598" i="3" s="1"/>
  <c r="M599" i="3" l="1"/>
  <c r="K599" i="3"/>
  <c r="L599" i="3" s="1"/>
  <c r="M600" i="3" l="1"/>
  <c r="K600" i="3"/>
  <c r="L600" i="3" s="1"/>
  <c r="M601" i="3" l="1"/>
  <c r="K601" i="3"/>
  <c r="L601" i="3" s="1"/>
  <c r="K602" i="3" l="1"/>
  <c r="L602" i="3" s="1"/>
  <c r="M602" i="3"/>
  <c r="K603" i="3" l="1"/>
  <c r="L603" i="3" s="1"/>
  <c r="M603" i="3"/>
  <c r="K604" i="3" l="1"/>
  <c r="L604" i="3" s="1"/>
  <c r="M604" i="3"/>
  <c r="K605" i="3" l="1"/>
  <c r="L605" i="3" s="1"/>
  <c r="M605" i="3"/>
  <c r="K606" i="3" l="1"/>
  <c r="L606" i="3" s="1"/>
  <c r="M606" i="3"/>
  <c r="M607" i="3" l="1"/>
  <c r="K607" i="3"/>
  <c r="L607" i="3" s="1"/>
  <c r="K608" i="3" l="1"/>
  <c r="L608" i="3" s="1"/>
  <c r="M608" i="3"/>
  <c r="M609" i="3" l="1"/>
  <c r="K609" i="3"/>
  <c r="L609" i="3" s="1"/>
  <c r="K610" i="3" l="1"/>
  <c r="L610" i="3" s="1"/>
  <c r="M610" i="3"/>
  <c r="K611" i="3" l="1"/>
  <c r="L611" i="3" s="1"/>
  <c r="M611" i="3"/>
  <c r="M612" i="3" l="1"/>
  <c r="K612" i="3"/>
  <c r="L612" i="3" s="1"/>
  <c r="M613" i="3" l="1"/>
  <c r="K613" i="3"/>
  <c r="L613" i="3" s="1"/>
  <c r="K614" i="3" l="1"/>
  <c r="L614" i="3" s="1"/>
  <c r="M614" i="3"/>
  <c r="M615" i="3" l="1"/>
  <c r="K615" i="3"/>
  <c r="L615" i="3" s="1"/>
  <c r="K616" i="3" l="1"/>
  <c r="L616" i="3" s="1"/>
  <c r="M616" i="3"/>
</calcChain>
</file>

<file path=xl/sharedStrings.xml><?xml version="1.0" encoding="utf-8"?>
<sst xmlns="http://schemas.openxmlformats.org/spreadsheetml/2006/main" count="14309" uniqueCount="4208">
  <si>
    <t>Nivel</t>
  </si>
  <si>
    <t>LICENCIATURA</t>
  </si>
  <si>
    <t>Nombre Alumno</t>
  </si>
  <si>
    <t>ABBY DESSIRE</t>
  </si>
  <si>
    <t>ABIGAIL</t>
  </si>
  <si>
    <t>ABRIL ISABELLA</t>
  </si>
  <si>
    <t>ADAN OSWALDO</t>
  </si>
  <si>
    <t>ADIB KALEB</t>
  </si>
  <si>
    <t>ADOLFO ALEXANDER</t>
  </si>
  <si>
    <t>ADRIAN</t>
  </si>
  <si>
    <t>ADRIAN ASSIS</t>
  </si>
  <si>
    <t>ADRIAN BRYANT</t>
  </si>
  <si>
    <t>ADRIAN ENRIQUE</t>
  </si>
  <si>
    <t>ADRIANA</t>
  </si>
  <si>
    <t>ADRIANA PAOLA</t>
  </si>
  <si>
    <t>AIRAM VICTORIA</t>
  </si>
  <si>
    <t>AKARI ANDREA</t>
  </si>
  <si>
    <t>ALAN</t>
  </si>
  <si>
    <t>ALAN ENRIQUE</t>
  </si>
  <si>
    <t>ALAN OSWALDO</t>
  </si>
  <si>
    <t>ALAN YAEL</t>
  </si>
  <si>
    <t>ALBERTO</t>
  </si>
  <si>
    <t>ALBERTO JAVIER</t>
  </si>
  <si>
    <t>ALEJANDRA</t>
  </si>
  <si>
    <t>ALEJANDRO</t>
  </si>
  <si>
    <t>ALEXA</t>
  </si>
  <si>
    <t>ALEXA VIANEY</t>
  </si>
  <si>
    <t>ALFONSO</t>
  </si>
  <si>
    <t>ALMA DANIELA</t>
  </si>
  <si>
    <t>ALONDRA</t>
  </si>
  <si>
    <t>ALONDRA ARHEMI</t>
  </si>
  <si>
    <t>ALONDRA JAMILETH</t>
  </si>
  <si>
    <t>ALONDRA MARISOL</t>
  </si>
  <si>
    <t>ALVARO</t>
  </si>
  <si>
    <t>ALVARO DANIEL</t>
  </si>
  <si>
    <t>AMANDA CARMIÑA</t>
  </si>
  <si>
    <t>AMERICA</t>
  </si>
  <si>
    <t>ANA BELEN</t>
  </si>
  <si>
    <t>ANA CECILIA</t>
  </si>
  <si>
    <t>ANA CRISTINA</t>
  </si>
  <si>
    <t>ANA ISABEL</t>
  </si>
  <si>
    <t>ANA KAROL</t>
  </si>
  <si>
    <t>ANA LUCIA</t>
  </si>
  <si>
    <t>ANA PAULA</t>
  </si>
  <si>
    <t>ANA SOFIA</t>
  </si>
  <si>
    <t>ANA VALERIA</t>
  </si>
  <si>
    <t>ANA VICTORIA</t>
  </si>
  <si>
    <t>ANAILY GUADALUPE</t>
  </si>
  <si>
    <t>ANDRE SEBASTIAN</t>
  </si>
  <si>
    <t>ANDREA</t>
  </si>
  <si>
    <t>ANDREA NAOMI</t>
  </si>
  <si>
    <t>ANDREA PAOLA</t>
  </si>
  <si>
    <t>ANDRES</t>
  </si>
  <si>
    <t>ANDRES ENRIQUE</t>
  </si>
  <si>
    <t>ANDRES EZEQUIEL</t>
  </si>
  <si>
    <t>ANDRES ISMAEL</t>
  </si>
  <si>
    <t>ANDY</t>
  </si>
  <si>
    <t>ANGEL</t>
  </si>
  <si>
    <t>ANGEL AIOROS</t>
  </si>
  <si>
    <t>ANGEL ALEXANDER</t>
  </si>
  <si>
    <t>ANGEL ANDRES</t>
  </si>
  <si>
    <t>ANGEL DANIEL</t>
  </si>
  <si>
    <t>ANGEL DAVID</t>
  </si>
  <si>
    <t>ANGEL EMANUEL</t>
  </si>
  <si>
    <t>ANGEL FABIAN</t>
  </si>
  <si>
    <t>ANGEL FERNANDO</t>
  </si>
  <si>
    <t>ANGEL GUILLERMO</t>
  </si>
  <si>
    <t>ANGEL LEONEL</t>
  </si>
  <si>
    <t>ANGEL MARTIN</t>
  </si>
  <si>
    <t>ANGEL YAEL</t>
  </si>
  <si>
    <t>ANGELICA</t>
  </si>
  <si>
    <t>ANTONIO</t>
  </si>
  <si>
    <t>AOLANI XAXBE</t>
  </si>
  <si>
    <t>ARACELI ESMERALDA</t>
  </si>
  <si>
    <t>ARANZA SINHAI</t>
  </si>
  <si>
    <t>ARIF BENJAMIN</t>
  </si>
  <si>
    <t>ARMANDO</t>
  </si>
  <si>
    <t>ARTURO ALEJANDRO</t>
  </si>
  <si>
    <t>ARTURO ALEXEI</t>
  </si>
  <si>
    <t>ARTURO EMMANUEL</t>
  </si>
  <si>
    <t>ASTRID AVRIL</t>
  </si>
  <si>
    <t>AUREA EMILY</t>
  </si>
  <si>
    <t>BERNARDA</t>
  </si>
  <si>
    <t>BERNARDO</t>
  </si>
  <si>
    <t>BERTHA ERICA</t>
  </si>
  <si>
    <t>BETHEL CITLALI</t>
  </si>
  <si>
    <t>BLANCA LETICIA</t>
  </si>
  <si>
    <t>BLAS</t>
  </si>
  <si>
    <t>BOGAR GERARDO</t>
  </si>
  <si>
    <t>BRANDO CRISTOPHER</t>
  </si>
  <si>
    <t>BRAULIO AARON</t>
  </si>
  <si>
    <t>BRAULIO ISAIAS</t>
  </si>
  <si>
    <t>BRAYAN JOSE</t>
  </si>
  <si>
    <t>BRENDA GUADALUPE</t>
  </si>
  <si>
    <t>BRENDA MELISSA</t>
  </si>
  <si>
    <t>BRENDA SUSANA</t>
  </si>
  <si>
    <t>BRENDA XIADANI</t>
  </si>
  <si>
    <t>BRENDA XIMENA</t>
  </si>
  <si>
    <t>BRUNO GAEL</t>
  </si>
  <si>
    <t>BRUNO JOEL</t>
  </si>
  <si>
    <t>BRUNO SANTIAGO</t>
  </si>
  <si>
    <t>CAMILLA</t>
  </si>
  <si>
    <t>CARLA</t>
  </si>
  <si>
    <t>CARLOS ALONSO</t>
  </si>
  <si>
    <t>CARLOS EDUARDO</t>
  </si>
  <si>
    <t>CARLOS ERNESTO</t>
  </si>
  <si>
    <t>CARLOS FERNANDO</t>
  </si>
  <si>
    <t>CARLOS IVAN</t>
  </si>
  <si>
    <t>CARLOS OSVALDO</t>
  </si>
  <si>
    <t>CARLOS ROBERTO</t>
  </si>
  <si>
    <t>CARLOS SANTIAGO</t>
  </si>
  <si>
    <t>CAROL MARIAN</t>
  </si>
  <si>
    <t>CAROL NOEMI</t>
  </si>
  <si>
    <t>CAROL VANESSA</t>
  </si>
  <si>
    <t>CAROLINA ALEXANDRA</t>
  </si>
  <si>
    <t>CESAR</t>
  </si>
  <si>
    <t>CESAR ALEJANDRO</t>
  </si>
  <si>
    <t>CESAR EDUARDO</t>
  </si>
  <si>
    <t>CESAR ISMAEL</t>
  </si>
  <si>
    <t>CHELSEA VIANNEY</t>
  </si>
  <si>
    <t>CHRISTIAN ALEJANDRO</t>
  </si>
  <si>
    <t>CLAUDIA BERENICE</t>
  </si>
  <si>
    <t>CLAUDIA DANIELA</t>
  </si>
  <si>
    <t>CLAUDIA FERNANDA</t>
  </si>
  <si>
    <t>CLAUDIA MARIAN</t>
  </si>
  <si>
    <t>CLAUDIA PATRICIA</t>
  </si>
  <si>
    <t>CRISTIAN</t>
  </si>
  <si>
    <t>CRISTIAN FABIAN</t>
  </si>
  <si>
    <t>CRISTO TEODORO</t>
  </si>
  <si>
    <t>CRISTOPHER ADRIAN</t>
  </si>
  <si>
    <t>DAFNE GALILEA</t>
  </si>
  <si>
    <t>DAFNE MONTSERRAT</t>
  </si>
  <si>
    <t>DAMIAN</t>
  </si>
  <si>
    <t>DAMIAN EDOARDO</t>
  </si>
  <si>
    <t>DANA ELENA</t>
  </si>
  <si>
    <t>DANA JOANELLE</t>
  </si>
  <si>
    <t>DANA PAULINA</t>
  </si>
  <si>
    <t>DANIEL</t>
  </si>
  <si>
    <t>DANIEL ALEJANDRO</t>
  </si>
  <si>
    <t>DANIEL EDUARDO</t>
  </si>
  <si>
    <t>DANIEL ENRIQUE</t>
  </si>
  <si>
    <t>DANIEL IGNACIO</t>
  </si>
  <si>
    <t>DANIELA</t>
  </si>
  <si>
    <t>DANIELA GISEL</t>
  </si>
  <si>
    <t>DANIELA RENEE</t>
  </si>
  <si>
    <t>DANILA RAQUEL</t>
  </si>
  <si>
    <t>DANNA</t>
  </si>
  <si>
    <t>DANTE YAEL</t>
  </si>
  <si>
    <t>DARIA MADAI</t>
  </si>
  <si>
    <t>DARIO</t>
  </si>
  <si>
    <t>DARSHAN GAEL</t>
  </si>
  <si>
    <t>DAVID</t>
  </si>
  <si>
    <t>DAVID ISRAEL</t>
  </si>
  <si>
    <t>DAVID IVAN</t>
  </si>
  <si>
    <t>DAVID RICARDO</t>
  </si>
  <si>
    <t>DAYRA MICHELLE</t>
  </si>
  <si>
    <t>DENZZEL</t>
  </si>
  <si>
    <t>DIANA PAOLA</t>
  </si>
  <si>
    <t>DIANA PAULA</t>
  </si>
  <si>
    <t>DIANA SARAHI</t>
  </si>
  <si>
    <t>DIEGGO</t>
  </si>
  <si>
    <t>DIEGO</t>
  </si>
  <si>
    <t>DIEGO ALBERTO</t>
  </si>
  <si>
    <t>DIEGO ALFONSO</t>
  </si>
  <si>
    <t>DIEGO CRISTAN</t>
  </si>
  <si>
    <t>DIEGO EDUARDO</t>
  </si>
  <si>
    <t>DIEGO FRANCISCO</t>
  </si>
  <si>
    <t>DIEGO MARTIN</t>
  </si>
  <si>
    <t>DIEGO MISAEL</t>
  </si>
  <si>
    <t>DIEGO SEBASTIAN</t>
  </si>
  <si>
    <t>DUILIO ALFONSO</t>
  </si>
  <si>
    <t>DYLAN ADRIAN</t>
  </si>
  <si>
    <t>EDGAR</t>
  </si>
  <si>
    <t>EDGAR ALEJANDRO</t>
  </si>
  <si>
    <t>EDUARDO</t>
  </si>
  <si>
    <t>EDUARDO ANTONIO</t>
  </si>
  <si>
    <t>EDUARDO GUADALUPE</t>
  </si>
  <si>
    <t>EDWIN ELIAS</t>
  </si>
  <si>
    <t>EDWIN FERNANDO</t>
  </si>
  <si>
    <t>ELIA SOFIA</t>
  </si>
  <si>
    <t>ELIAS</t>
  </si>
  <si>
    <t>ELIZABETH</t>
  </si>
  <si>
    <t>EMILIANO</t>
  </si>
  <si>
    <t>EMILIANO SANTIAGO</t>
  </si>
  <si>
    <t>EMILIO</t>
  </si>
  <si>
    <t>EMMANUEL</t>
  </si>
  <si>
    <t>EMMANUEL SEBASTIAN</t>
  </si>
  <si>
    <t>ENRIQUE</t>
  </si>
  <si>
    <t>ENRIQUE JESUS</t>
  </si>
  <si>
    <t>ENRIQUE RENE</t>
  </si>
  <si>
    <t>ERICK GERMAIN</t>
  </si>
  <si>
    <t>ERIK ALEJANDRO</t>
  </si>
  <si>
    <t>ERNESTO</t>
  </si>
  <si>
    <t>ESMERALDA</t>
  </si>
  <si>
    <t>ESMERALDA GABRIELA</t>
  </si>
  <si>
    <t>ESTEBAN ENRIQUE</t>
  </si>
  <si>
    <t>ESTEFANI NICOLE</t>
  </si>
  <si>
    <t>ESTEPHANY</t>
  </si>
  <si>
    <t>EVA REGINA</t>
  </si>
  <si>
    <t>FABIAN</t>
  </si>
  <si>
    <t>FARAH ISABELLA</t>
  </si>
  <si>
    <t>FATIMA DENNISE</t>
  </si>
  <si>
    <t>FATIMA JULIANA</t>
  </si>
  <si>
    <t>FATIMA MARISOL</t>
  </si>
  <si>
    <t>FERNAN</t>
  </si>
  <si>
    <t>FERNANDA ARACELI</t>
  </si>
  <si>
    <t>FERNANDA DANAE</t>
  </si>
  <si>
    <t>FERNANDO</t>
  </si>
  <si>
    <t>FLOR MONSERRAT</t>
  </si>
  <si>
    <t>FRANCO</t>
  </si>
  <si>
    <t>FRANCO EDUARDO</t>
  </si>
  <si>
    <t>FRIDA SOPHIA</t>
  </si>
  <si>
    <t>GABRIEL EDUARDO</t>
  </si>
  <si>
    <t>GABRIEL FRANCISCO</t>
  </si>
  <si>
    <t>GABRIEL OMAR</t>
  </si>
  <si>
    <t>GABRIELA</t>
  </si>
  <si>
    <t>GABRIELA MONSERRAT</t>
  </si>
  <si>
    <t>GAEL</t>
  </si>
  <si>
    <t>GEMA</t>
  </si>
  <si>
    <t>GILBERTO</t>
  </si>
  <si>
    <t>GILBERTO ALEJANDRO</t>
  </si>
  <si>
    <t>GIOVANNA</t>
  </si>
  <si>
    <t>GIOVANNA PAOLA</t>
  </si>
  <si>
    <t>GIOVANNI</t>
  </si>
  <si>
    <t>GISEL NAILEA</t>
  </si>
  <si>
    <t>GLORIA MIRANDA</t>
  </si>
  <si>
    <t>GRAHAM ANTONIO</t>
  </si>
  <si>
    <t>GUILLERMO JOSE</t>
  </si>
  <si>
    <t>GUILLERMO KALEB</t>
  </si>
  <si>
    <t>GUSTAVO EMILIANO</t>
  </si>
  <si>
    <t>GUSTAVO KALEN</t>
  </si>
  <si>
    <t>HANNAH CITLALI</t>
  </si>
  <si>
    <t>HANNIBAL ENRIQUE</t>
  </si>
  <si>
    <t>HECTOR</t>
  </si>
  <si>
    <t>HECTOR BERNARDO</t>
  </si>
  <si>
    <t>HECTOR ENRIQUE</t>
  </si>
  <si>
    <t>HECTOR FABIAN</t>
  </si>
  <si>
    <t>HECTOR ORLANDO</t>
  </si>
  <si>
    <t>HELI</t>
  </si>
  <si>
    <t>HERMELINDA</t>
  </si>
  <si>
    <t>HUGO FERNANDO</t>
  </si>
  <si>
    <t>IAN FERNANDO</t>
  </si>
  <si>
    <t>ILICH LENIN</t>
  </si>
  <si>
    <t>IRVING ALEJANDRO</t>
  </si>
  <si>
    <t>ISAAC</t>
  </si>
  <si>
    <t>ISAAC EMILIANO</t>
  </si>
  <si>
    <t>ISABEL HIROMI</t>
  </si>
  <si>
    <t>ISABELLA</t>
  </si>
  <si>
    <t>ISABELLA DE LOS ANGELES</t>
  </si>
  <si>
    <t>ISABELY</t>
  </si>
  <si>
    <t>ISRAEL</t>
  </si>
  <si>
    <t>IVAN</t>
  </si>
  <si>
    <t>IVANA</t>
  </si>
  <si>
    <t>JAAZIEL ALEJANDRO</t>
  </si>
  <si>
    <t>JACKELINE</t>
  </si>
  <si>
    <t>JACOBO</t>
  </si>
  <si>
    <t>JADYN</t>
  </si>
  <si>
    <t>JAIME EMMANUEL</t>
  </si>
  <si>
    <t>JAIME GABRIEL</t>
  </si>
  <si>
    <t>JANETH</t>
  </si>
  <si>
    <t>JARED ESAU</t>
  </si>
  <si>
    <t>JAVIER</t>
  </si>
  <si>
    <t>JAVIER ALEJANDRO</t>
  </si>
  <si>
    <t>JAVIER ANDRES</t>
  </si>
  <si>
    <t>JAVIER ANTONIO</t>
  </si>
  <si>
    <t>JAVIER EDUARDO</t>
  </si>
  <si>
    <t>JAVIER ISAIAS</t>
  </si>
  <si>
    <t>JENIFER VANESSA</t>
  </si>
  <si>
    <t>JENNIFER</t>
  </si>
  <si>
    <t>JESSIE ESTEFANIA</t>
  </si>
  <si>
    <t>JESUS ABRAHAM</t>
  </si>
  <si>
    <t>JESUS ANDRES</t>
  </si>
  <si>
    <t>JESUS BENJAMIN</t>
  </si>
  <si>
    <t>JESUS EDUARDO</t>
  </si>
  <si>
    <t>JESUS EMMANUEL</t>
  </si>
  <si>
    <t>JESUS ISSAHI</t>
  </si>
  <si>
    <t>JIMENA</t>
  </si>
  <si>
    <t>JOAQUIN</t>
  </si>
  <si>
    <t>JOAQUIN ALEJANDRO</t>
  </si>
  <si>
    <t>JOCELYN MONTSERRAT</t>
  </si>
  <si>
    <t>JONATHAN OSWALDO</t>
  </si>
  <si>
    <t>JONATHAN ULISES</t>
  </si>
  <si>
    <t>JORGE ARMANDO</t>
  </si>
  <si>
    <t>JORGE EDUARDO</t>
  </si>
  <si>
    <t>JORGE JULIAN</t>
  </si>
  <si>
    <t>JORGE LUIS</t>
  </si>
  <si>
    <t>JORGE SANTANA</t>
  </si>
  <si>
    <t>JOSE</t>
  </si>
  <si>
    <t>JOSE ALBERTO</t>
  </si>
  <si>
    <t>JOSE ALEJANDRO</t>
  </si>
  <si>
    <t>JOSE ALFREDO</t>
  </si>
  <si>
    <t>JOSE ANGEL</t>
  </si>
  <si>
    <t>JOSE ANTONIO</t>
  </si>
  <si>
    <t>JOSE DANIEL</t>
  </si>
  <si>
    <t>JOSE DAVID</t>
  </si>
  <si>
    <t>JOSE EDUARDO</t>
  </si>
  <si>
    <t>JOSE EMMANUEL</t>
  </si>
  <si>
    <t>JOSE HUMBERTO</t>
  </si>
  <si>
    <t>JOSE ISAAC</t>
  </si>
  <si>
    <t>JOSE LUIS</t>
  </si>
  <si>
    <t>JOSE MANUEL</t>
  </si>
  <si>
    <t>JOSE MARIA</t>
  </si>
  <si>
    <t>JOSE MAURICIO</t>
  </si>
  <si>
    <t>JOSE RAMON</t>
  </si>
  <si>
    <t>JOSHUA ALEJANDRO</t>
  </si>
  <si>
    <t>JOSUE JAVIER</t>
  </si>
  <si>
    <t>JOSUE SEBASTIAN EMILIANO</t>
  </si>
  <si>
    <t>JUAN ARMANDO</t>
  </si>
  <si>
    <t>JUAN CARLOS</t>
  </si>
  <si>
    <t>JUAN JESUS</t>
  </si>
  <si>
    <t>JUAN LUIS</t>
  </si>
  <si>
    <t>JUAN MANUEL</t>
  </si>
  <si>
    <t>JUAN PABLO</t>
  </si>
  <si>
    <t>JULIANA VALENTINA</t>
  </si>
  <si>
    <t>JULIETA</t>
  </si>
  <si>
    <t>JULIETA RENATA</t>
  </si>
  <si>
    <t>KAHLEB ALEJANDRO</t>
  </si>
  <si>
    <t>KAREN ALEJANDRA</t>
  </si>
  <si>
    <t>KAREN GUADALUPE</t>
  </si>
  <si>
    <t>KAREN ITZEL</t>
  </si>
  <si>
    <t>KAREN JANETTE</t>
  </si>
  <si>
    <t>KAREN MICHELLE</t>
  </si>
  <si>
    <t>KARIM DANIEL</t>
  </si>
  <si>
    <t>KARIME ANAHI</t>
  </si>
  <si>
    <t>KARINA</t>
  </si>
  <si>
    <t>KARINA ITZELL</t>
  </si>
  <si>
    <t>KARLA ALEXIA</t>
  </si>
  <si>
    <t>KARLA DANIELA</t>
  </si>
  <si>
    <t>KARLA GABRIELA</t>
  </si>
  <si>
    <t>KARLA GUADALUPE</t>
  </si>
  <si>
    <t>KARLA MICHELLE</t>
  </si>
  <si>
    <t>KARLA VALERIA</t>
  </si>
  <si>
    <t>KAROL GUADALUPE</t>
  </si>
  <si>
    <t>KAROL NICOLAS</t>
  </si>
  <si>
    <t>KATIA</t>
  </si>
  <si>
    <t>KENNIA GUADALUPE</t>
  </si>
  <si>
    <t>KEVIN</t>
  </si>
  <si>
    <t>KEVIN CARLOS</t>
  </si>
  <si>
    <t>KEVIN EMMANUEL</t>
  </si>
  <si>
    <t>KEVIN JOSUE</t>
  </si>
  <si>
    <t>KEVIN MATTHEW</t>
  </si>
  <si>
    <t>KEVIN RAMON</t>
  </si>
  <si>
    <t>KEVIN RODRIGO PASCAL</t>
  </si>
  <si>
    <t>KIARA MAUREEN</t>
  </si>
  <si>
    <t>KITZYA ANGELINA</t>
  </si>
  <si>
    <t>LAURA JOSSELIN</t>
  </si>
  <si>
    <t>LAURA MARIA</t>
  </si>
  <si>
    <t>LAURA SUSANA</t>
  </si>
  <si>
    <t>LAVINIA ZARINA</t>
  </si>
  <si>
    <t>LAYSSA</t>
  </si>
  <si>
    <t>LEONARDO</t>
  </si>
  <si>
    <t>LEONARDO ALEJANDRO</t>
  </si>
  <si>
    <t>LEONARDO AUGUSTO</t>
  </si>
  <si>
    <t>LEONEL MAXIMILIANO</t>
  </si>
  <si>
    <t>LEONEL RICARDO</t>
  </si>
  <si>
    <t>LESLY DANIELA</t>
  </si>
  <si>
    <t>LILIAN</t>
  </si>
  <si>
    <t>LILLIAN REBECA</t>
  </si>
  <si>
    <t>LISSET</t>
  </si>
  <si>
    <t>LUIS ALBERTO</t>
  </si>
  <si>
    <t>LUIS ALEJANDRO</t>
  </si>
  <si>
    <t>LUIS ALONSO</t>
  </si>
  <si>
    <t>LUIS ANTONIO</t>
  </si>
  <si>
    <t>LUIS DANIEL</t>
  </si>
  <si>
    <t>LUIS FERNANDO</t>
  </si>
  <si>
    <t>LUIS JAVIER</t>
  </si>
  <si>
    <t>LUIS MANUEL</t>
  </si>
  <si>
    <t>LUIS RODOLFO</t>
  </si>
  <si>
    <t>LUIS RONALDO</t>
  </si>
  <si>
    <t>LUIS SERGIO</t>
  </si>
  <si>
    <t>LUNA DALAI</t>
  </si>
  <si>
    <t>LUNIA MARGARITA</t>
  </si>
  <si>
    <t>LUZ ANGELICA NAOMI</t>
  </si>
  <si>
    <t>LYA ABIGAIL</t>
  </si>
  <si>
    <t>MANUELA MARIA</t>
  </si>
  <si>
    <t>MARCELIANO</t>
  </si>
  <si>
    <t>MARCO ANTONIO</t>
  </si>
  <si>
    <t>MARCO ARTURO</t>
  </si>
  <si>
    <t>MARCO GABRIEL</t>
  </si>
  <si>
    <t>MARIA ANTONIA</t>
  </si>
  <si>
    <t>MARIA DE LOS ANGELES</t>
  </si>
  <si>
    <t>MARIA FERNANDA</t>
  </si>
  <si>
    <t>MARIA INES</t>
  </si>
  <si>
    <t>MARIA SOFIA</t>
  </si>
  <si>
    <t>MARIAN ISABELLA</t>
  </si>
  <si>
    <t>MARIANA</t>
  </si>
  <si>
    <t>MARIANA ITZEL</t>
  </si>
  <si>
    <t>MARIANA JOSELYNE</t>
  </si>
  <si>
    <t>MARIANA SUJEY</t>
  </si>
  <si>
    <t>MARIANGEL</t>
  </si>
  <si>
    <t>MARIANNE</t>
  </si>
  <si>
    <t>MARIANO</t>
  </si>
  <si>
    <t>MARIANO ADONAI</t>
  </si>
  <si>
    <t>MARIEL CAROLINA</t>
  </si>
  <si>
    <t>MARIFER</t>
  </si>
  <si>
    <t>MARIO ARTURO</t>
  </si>
  <si>
    <t>MARIO ISAIAS</t>
  </si>
  <si>
    <t>MARISOL</t>
  </si>
  <si>
    <t>MARITZA ELIZABETH</t>
  </si>
  <si>
    <t>MARTHA CAROLINA</t>
  </si>
  <si>
    <t>MAURICIO</t>
  </si>
  <si>
    <t>MAURICIO JAVIER</t>
  </si>
  <si>
    <t>MAURO</t>
  </si>
  <si>
    <t>MAXIMILIANO</t>
  </si>
  <si>
    <t>MAYRA JESUS DE BELEN</t>
  </si>
  <si>
    <t>MELANI RACHEL</t>
  </si>
  <si>
    <t>MELANY DENISSE</t>
  </si>
  <si>
    <t>MELISSA ITZEL</t>
  </si>
  <si>
    <t>MICHELLE</t>
  </si>
  <si>
    <t>MICHELLE ANAHI</t>
  </si>
  <si>
    <t>MICHELLE CAROLINA</t>
  </si>
  <si>
    <t>MIGUEL</t>
  </si>
  <si>
    <t>MIGUEL ANGEL</t>
  </si>
  <si>
    <t>MIGUEL ANGEL SNAYDER</t>
  </si>
  <si>
    <t>MIRANDA CAROLINA</t>
  </si>
  <si>
    <t>MIRIAM ALEJANDRA</t>
  </si>
  <si>
    <t>MONICA ALEJANDRA</t>
  </si>
  <si>
    <t>MONTSERRAT</t>
  </si>
  <si>
    <t>MYRIAM SOFIA</t>
  </si>
  <si>
    <t>NAOMI DANAI</t>
  </si>
  <si>
    <t>NAOMI JIMENA</t>
  </si>
  <si>
    <t>NATALIA</t>
  </si>
  <si>
    <t>NATALIE</t>
  </si>
  <si>
    <t>NEIZER JESUS</t>
  </si>
  <si>
    <t>NELLY</t>
  </si>
  <si>
    <t>NICOL GUADALUPE</t>
  </si>
  <si>
    <t>NICOLE</t>
  </si>
  <si>
    <t>NOEMI JOCELYN</t>
  </si>
  <si>
    <t>NOZOMI</t>
  </si>
  <si>
    <t>OLIVER</t>
  </si>
  <si>
    <t>OMAR</t>
  </si>
  <si>
    <t>ORLANDO BARU</t>
  </si>
  <si>
    <t>OSCAR</t>
  </si>
  <si>
    <t>OSCAR ALFREDO</t>
  </si>
  <si>
    <t>OSCAR ANDRES</t>
  </si>
  <si>
    <t>OSCAR DANIEL</t>
  </si>
  <si>
    <t>OSCAR DIEGO</t>
  </si>
  <si>
    <t>OSCAR EMILIO</t>
  </si>
  <si>
    <t>OSCAR HIRAM</t>
  </si>
  <si>
    <t>OSCAR ISRAEL</t>
  </si>
  <si>
    <t>OSCAR OSVALDO</t>
  </si>
  <si>
    <t>OSCAR ROBERTO</t>
  </si>
  <si>
    <t>OSCAR URIEL</t>
  </si>
  <si>
    <t>OSMAR ANDREY</t>
  </si>
  <si>
    <t>OSWALDO</t>
  </si>
  <si>
    <t>OSWALDO JOSAFAT</t>
  </si>
  <si>
    <t>PABLO ANGEL</t>
  </si>
  <si>
    <t>PABLO DOMINGO</t>
  </si>
  <si>
    <t>PABLO JARED</t>
  </si>
  <si>
    <t>PABLO LEONARDO</t>
  </si>
  <si>
    <t>PABLO MANUEL</t>
  </si>
  <si>
    <t>PABLO MARIA</t>
  </si>
  <si>
    <t>PABLO OSCAR</t>
  </si>
  <si>
    <t>PABLO SAMUEL</t>
  </si>
  <si>
    <t>PALOMA</t>
  </si>
  <si>
    <t>PALOMA MICHELLE</t>
  </si>
  <si>
    <t>PAOLA</t>
  </si>
  <si>
    <t>PAOLA DENICE</t>
  </si>
  <si>
    <t>PATRICIA</t>
  </si>
  <si>
    <t>PAULINA</t>
  </si>
  <si>
    <t>PAULINA NATALY</t>
  </si>
  <si>
    <t>PAULO ALBERTO</t>
  </si>
  <si>
    <t>PEDRO EMILIANO</t>
  </si>
  <si>
    <t>PEDRO IKER</t>
  </si>
  <si>
    <t>PERLA BEATRIZ</t>
  </si>
  <si>
    <t>RAFAEL VALENTIN</t>
  </si>
  <si>
    <t>REGINA</t>
  </si>
  <si>
    <t>REGINA MARGARITA</t>
  </si>
  <si>
    <t>RENATA</t>
  </si>
  <si>
    <t>RENATA GABRIELA</t>
  </si>
  <si>
    <t>RICARDO</t>
  </si>
  <si>
    <t>RICARDO ALEXANDER</t>
  </si>
  <si>
    <t>ROBERTO</t>
  </si>
  <si>
    <t>ROBERTO ANTONIO</t>
  </si>
  <si>
    <t>ROBERTO EMMANUEL</t>
  </si>
  <si>
    <t>RODRIGO</t>
  </si>
  <si>
    <t>RODRIGO SAUL</t>
  </si>
  <si>
    <t>ROMINA</t>
  </si>
  <si>
    <t>ROSARIO</t>
  </si>
  <si>
    <t>RUTH PAOLA</t>
  </si>
  <si>
    <t>SALVADOR CEO</t>
  </si>
  <si>
    <t>SALVADOR NICOLAS</t>
  </si>
  <si>
    <t>SAMUEL ALEJANDRO</t>
  </si>
  <si>
    <t>SAMUEL RICARDO</t>
  </si>
  <si>
    <t>SANDRA</t>
  </si>
  <si>
    <t>SANDRA BEATRIZ</t>
  </si>
  <si>
    <t>SANTIAGO</t>
  </si>
  <si>
    <t>SANTIAGO RENE</t>
  </si>
  <si>
    <t>SARA AGALI</t>
  </si>
  <si>
    <t>SARA ALICIA</t>
  </si>
  <si>
    <t>SARAHI</t>
  </si>
  <si>
    <t>SAUL DE JESUS</t>
  </si>
  <si>
    <t>SEBASTIAN</t>
  </si>
  <si>
    <t>SEBASTIAN ALONSO</t>
  </si>
  <si>
    <t>SEBASTIAN EMILIANO</t>
  </si>
  <si>
    <t>SERGIO JOSE</t>
  </si>
  <si>
    <t>SHARON SOFIA</t>
  </si>
  <si>
    <t>SOFIA</t>
  </si>
  <si>
    <t>SONIA XIMENA</t>
  </si>
  <si>
    <t>TANIA DE LOS ANGELES</t>
  </si>
  <si>
    <t>TANIA FERNANDA</t>
  </si>
  <si>
    <t>TATIANA</t>
  </si>
  <si>
    <t>UBALDO</t>
  </si>
  <si>
    <t>ULISES JOSELL</t>
  </si>
  <si>
    <t>VALENTINA</t>
  </si>
  <si>
    <t>VALENTINO</t>
  </si>
  <si>
    <t>VALERIA</t>
  </si>
  <si>
    <t>VALERIA ALEJANDRA</t>
  </si>
  <si>
    <t>VALERIA SOFIA</t>
  </si>
  <si>
    <t>VERONICA PRUEBA</t>
  </si>
  <si>
    <t>VICTOR HUGO</t>
  </si>
  <si>
    <t>VICTOR MANUEL</t>
  </si>
  <si>
    <t>VICTORIA</t>
  </si>
  <si>
    <t>VIVIANA PAOLA</t>
  </si>
  <si>
    <t>WILHELM</t>
  </si>
  <si>
    <t>XIMENA</t>
  </si>
  <si>
    <t>XIMENA SOFIA</t>
  </si>
  <si>
    <t>YAEL ALEJANDRO</t>
  </si>
  <si>
    <t>YAEL DE JESUS</t>
  </si>
  <si>
    <t>YAZMIN GABRIELA</t>
  </si>
  <si>
    <t>YESSIKA MICHELL</t>
  </si>
  <si>
    <t>YOCELIN YAZMIN</t>
  </si>
  <si>
    <t>ZAHID LIEVICH</t>
  </si>
  <si>
    <t>ZAHIRA PAULETTE</t>
  </si>
  <si>
    <t>ZARA PAULINA</t>
  </si>
  <si>
    <t>ZARA SOFIA</t>
  </si>
  <si>
    <t>A. Paterno Alumno</t>
  </si>
  <si>
    <t>PELAYO</t>
  </si>
  <si>
    <t>MENDOZA</t>
  </si>
  <si>
    <t>GODOY</t>
  </si>
  <si>
    <t>SANDOVAL</t>
  </si>
  <si>
    <t>GONZALEZ</t>
  </si>
  <si>
    <t>VEGA</t>
  </si>
  <si>
    <t>ESQUEDA</t>
  </si>
  <si>
    <t>JAIME</t>
  </si>
  <si>
    <t>TAPIA</t>
  </si>
  <si>
    <t>MORALES</t>
  </si>
  <si>
    <t>AMARO</t>
  </si>
  <si>
    <t>ZAVALA</t>
  </si>
  <si>
    <t>RODRIGUEZ</t>
  </si>
  <si>
    <t>MIRANDA</t>
  </si>
  <si>
    <t>YAMAGUCHI</t>
  </si>
  <si>
    <t>ANGULO</t>
  </si>
  <si>
    <t>VAZQUEZ</t>
  </si>
  <si>
    <t>HERNANDEZ</t>
  </si>
  <si>
    <t>LARIOS</t>
  </si>
  <si>
    <t>OJEDA</t>
  </si>
  <si>
    <t>NERI</t>
  </si>
  <si>
    <t>PEREZ</t>
  </si>
  <si>
    <t>ALVAREZ</t>
  </si>
  <si>
    <t>BARAJAS</t>
  </si>
  <si>
    <t>CEJA</t>
  </si>
  <si>
    <t>DOMINGUEZ</t>
  </si>
  <si>
    <t>PALACIOS</t>
  </si>
  <si>
    <t>SOLIS</t>
  </si>
  <si>
    <t>MOYA</t>
  </si>
  <si>
    <t>TRUJILLO</t>
  </si>
  <si>
    <t>ROSALES</t>
  </si>
  <si>
    <t>SANTOYO</t>
  </si>
  <si>
    <t>ARREDONDO</t>
  </si>
  <si>
    <t>RAMOS</t>
  </si>
  <si>
    <t>VELAZQUEZ</t>
  </si>
  <si>
    <t>DE LA PEÑA</t>
  </si>
  <si>
    <t>SAAVEDRA</t>
  </si>
  <si>
    <t>GUZMAN</t>
  </si>
  <si>
    <t>MENDEZ</t>
  </si>
  <si>
    <t>OCEGUEDA</t>
  </si>
  <si>
    <t>JUAREZ</t>
  </si>
  <si>
    <t>GUERRERO</t>
  </si>
  <si>
    <t>OCHOA</t>
  </si>
  <si>
    <t>JIMENEZ</t>
  </si>
  <si>
    <t>ENRIQUEZ</t>
  </si>
  <si>
    <t>FONG</t>
  </si>
  <si>
    <t>RUELAS</t>
  </si>
  <si>
    <t>CARRION</t>
  </si>
  <si>
    <t>FIERROS</t>
  </si>
  <si>
    <t>GODINEZ</t>
  </si>
  <si>
    <t>OROZCO</t>
  </si>
  <si>
    <t>CHAVEZ</t>
  </si>
  <si>
    <t>VILLAGRANA</t>
  </si>
  <si>
    <t>REBOLLAR</t>
  </si>
  <si>
    <t>ANTUNEZ</t>
  </si>
  <si>
    <t>CABRERA</t>
  </si>
  <si>
    <t>DE LA TORRE</t>
  </si>
  <si>
    <t>ENCISO</t>
  </si>
  <si>
    <t>NUÑEZ</t>
  </si>
  <si>
    <t>ESCALONA</t>
  </si>
  <si>
    <t>MONDRAGON</t>
  </si>
  <si>
    <t>DAVALOS</t>
  </si>
  <si>
    <t>GARCIA</t>
  </si>
  <si>
    <t>VIRGEN</t>
  </si>
  <si>
    <t>GUTIERREZ</t>
  </si>
  <si>
    <t>IGNACIO</t>
  </si>
  <si>
    <t>SANCHEZ</t>
  </si>
  <si>
    <t>CUETO</t>
  </si>
  <si>
    <t>ABRAHAM</t>
  </si>
  <si>
    <t>MORENO</t>
  </si>
  <si>
    <t>RIVERA</t>
  </si>
  <si>
    <t>CECEÑA</t>
  </si>
  <si>
    <t>CARDENAS</t>
  </si>
  <si>
    <t>TORRES</t>
  </si>
  <si>
    <t>VERDUZCO</t>
  </si>
  <si>
    <t>NEGRETE</t>
  </si>
  <si>
    <t>LIÑAN</t>
  </si>
  <si>
    <t>ALVARADO</t>
  </si>
  <si>
    <t>ZABRANA</t>
  </si>
  <si>
    <t>SERRANO</t>
  </si>
  <si>
    <t>CASTAÑEDA</t>
  </si>
  <si>
    <t>BERNAL</t>
  </si>
  <si>
    <t>OSORNIO</t>
  </si>
  <si>
    <t>BAUTISTA</t>
  </si>
  <si>
    <t>DESSAVRE</t>
  </si>
  <si>
    <t>SOSA</t>
  </si>
  <si>
    <t>IÑIGUEZ</t>
  </si>
  <si>
    <t>PADRON</t>
  </si>
  <si>
    <t>GALLEGOS</t>
  </si>
  <si>
    <t>ARELLANO</t>
  </si>
  <si>
    <t>GATICA</t>
  </si>
  <si>
    <t>BOJADO</t>
  </si>
  <si>
    <t>PADILLA</t>
  </si>
  <si>
    <t>MACIAS</t>
  </si>
  <si>
    <t>LOPEZ</t>
  </si>
  <si>
    <t>MUÑOZ</t>
  </si>
  <si>
    <t>ZEPEDA JIMENEZ</t>
  </si>
  <si>
    <t>CARPINTERO</t>
  </si>
  <si>
    <t>YERENA</t>
  </si>
  <si>
    <t>NAVARRO</t>
  </si>
  <si>
    <t>FLORES</t>
  </si>
  <si>
    <t>MEDINA</t>
  </si>
  <si>
    <t>RAMIREZ</t>
  </si>
  <si>
    <t>CASTILLO</t>
  </si>
  <si>
    <t>HURTADO</t>
  </si>
  <si>
    <t>CAMARGO</t>
  </si>
  <si>
    <t>OBLEDO</t>
  </si>
  <si>
    <t>ROMERO</t>
  </si>
  <si>
    <t>VALENCIA</t>
  </si>
  <si>
    <t>MARTINEZ</t>
  </si>
  <si>
    <t>DE ALBA</t>
  </si>
  <si>
    <t>ALFARO</t>
  </si>
  <si>
    <t>FIGUEROA</t>
  </si>
  <si>
    <t>REGALADO</t>
  </si>
  <si>
    <t>VILLARRUEL</t>
  </si>
  <si>
    <t>ZAMUDIO</t>
  </si>
  <si>
    <t>SAUCEDO</t>
  </si>
  <si>
    <t>RENDON</t>
  </si>
  <si>
    <t>MERCADO</t>
  </si>
  <si>
    <t>AYALA</t>
  </si>
  <si>
    <t>MOSQUEIRA</t>
  </si>
  <si>
    <t>CASTELLANOS</t>
  </si>
  <si>
    <t>LEMUS</t>
  </si>
  <si>
    <t>VILLALOBOS</t>
  </si>
  <si>
    <t>SALCIDO</t>
  </si>
  <si>
    <t>ROJAS</t>
  </si>
  <si>
    <t>ROJO</t>
  </si>
  <si>
    <t>RUIZ</t>
  </si>
  <si>
    <t>MURILLO</t>
  </si>
  <si>
    <t>CONTRERAS</t>
  </si>
  <si>
    <t>VALLADARES</t>
  </si>
  <si>
    <t>ALCARAZ</t>
  </si>
  <si>
    <t>AGUILAR</t>
  </si>
  <si>
    <t>ORTIZ</t>
  </si>
  <si>
    <t>ARECHEDERRA</t>
  </si>
  <si>
    <t>WILSON</t>
  </si>
  <si>
    <t>CARRANZA</t>
  </si>
  <si>
    <t>MONTERO</t>
  </si>
  <si>
    <t>ZUÑIGA</t>
  </si>
  <si>
    <t>DE LOS SANTOS</t>
  </si>
  <si>
    <t>CORONADO</t>
  </si>
  <si>
    <t>DE ALVA</t>
  </si>
  <si>
    <t>ZEPEDA</t>
  </si>
  <si>
    <t>DE ANDA</t>
  </si>
  <si>
    <t>VILLASEÑOR</t>
  </si>
  <si>
    <t>TORIZ</t>
  </si>
  <si>
    <t>BOLAÑOS</t>
  </si>
  <si>
    <t>PRECIADO</t>
  </si>
  <si>
    <t>PATIÑO</t>
  </si>
  <si>
    <t>VON HAUSKE</t>
  </si>
  <si>
    <t>MORGAN</t>
  </si>
  <si>
    <t>AGUIRRE</t>
  </si>
  <si>
    <t>GOMEZ</t>
  </si>
  <si>
    <t>LUNA</t>
  </si>
  <si>
    <t>ACEVES</t>
  </si>
  <si>
    <t>DE LA CRUZ</t>
  </si>
  <si>
    <t>GRACIANO</t>
  </si>
  <si>
    <t>NAVA</t>
  </si>
  <si>
    <t>ENTZIN</t>
  </si>
  <si>
    <t>ANAYA</t>
  </si>
  <si>
    <t>ESPARZA</t>
  </si>
  <si>
    <t>TADEO</t>
  </si>
  <si>
    <t>LOZANO</t>
  </si>
  <si>
    <t>CASTRO</t>
  </si>
  <si>
    <t>TOLEDO</t>
  </si>
  <si>
    <t>ISIDORO</t>
  </si>
  <si>
    <t>SANTAMARIA</t>
  </si>
  <si>
    <t>CADENA</t>
  </si>
  <si>
    <t>COLDIVAR</t>
  </si>
  <si>
    <t>AMEZCUA</t>
  </si>
  <si>
    <t>ARCE</t>
  </si>
  <si>
    <t>ZAMORA</t>
  </si>
  <si>
    <t>REVELES</t>
  </si>
  <si>
    <t>ALENCASTRO</t>
  </si>
  <si>
    <t>COLOME</t>
  </si>
  <si>
    <t>COVARRUBIAS</t>
  </si>
  <si>
    <t>MADRIGAL</t>
  </si>
  <si>
    <t>DELGADILLO</t>
  </si>
  <si>
    <t>SANTILLAN</t>
  </si>
  <si>
    <t>JAUREGUI</t>
  </si>
  <si>
    <t>SOSA Y AVILA</t>
  </si>
  <si>
    <t>ARAUJO</t>
  </si>
  <si>
    <t>JASSO</t>
  </si>
  <si>
    <t>JURADO</t>
  </si>
  <si>
    <t>CAMPOS</t>
  </si>
  <si>
    <t>MARISCAL</t>
  </si>
  <si>
    <t>VALDIVIA</t>
  </si>
  <si>
    <t>CARBAJAL</t>
  </si>
  <si>
    <t>BARRAGAN</t>
  </si>
  <si>
    <t>DE JESUS</t>
  </si>
  <si>
    <t>INUKAI</t>
  </si>
  <si>
    <t>GORIBAR</t>
  </si>
  <si>
    <t>MONTIEL</t>
  </si>
  <si>
    <t>ALVES</t>
  </si>
  <si>
    <t>CENTENO</t>
  </si>
  <si>
    <t>GRAJALES</t>
  </si>
  <si>
    <t>MEZA</t>
  </si>
  <si>
    <t>QUESNEY</t>
  </si>
  <si>
    <t>VALLADOLID</t>
  </si>
  <si>
    <t>CORONA</t>
  </si>
  <si>
    <t>ARIAS</t>
  </si>
  <si>
    <t>AVILA</t>
  </si>
  <si>
    <t>NAVARRETE</t>
  </si>
  <si>
    <t>ARGANDA</t>
  </si>
  <si>
    <t>ARIZMENDI</t>
  </si>
  <si>
    <t>ZEA</t>
  </si>
  <si>
    <t>VALDENEBRO</t>
  </si>
  <si>
    <t>FUENTES</t>
  </si>
  <si>
    <t>DURAN</t>
  </si>
  <si>
    <t>DIAZ</t>
  </si>
  <si>
    <t>LLAMAS</t>
  </si>
  <si>
    <t>ROBLES</t>
  </si>
  <si>
    <t>ESCOBEDO</t>
  </si>
  <si>
    <t>RUBALCAVA</t>
  </si>
  <si>
    <t>URSIEL</t>
  </si>
  <si>
    <t>CRUZ</t>
  </si>
  <si>
    <t>BECERRIL</t>
  </si>
  <si>
    <t>DIAZ DE LEON</t>
  </si>
  <si>
    <t>CISNEROS</t>
  </si>
  <si>
    <t>HORTA</t>
  </si>
  <si>
    <t>HUITRON</t>
  </si>
  <si>
    <t>OLIVAS</t>
  </si>
  <si>
    <t>GASCA</t>
  </si>
  <si>
    <t>MATA</t>
  </si>
  <si>
    <t>BAÑUELOS</t>
  </si>
  <si>
    <t>CASTILLERO</t>
  </si>
  <si>
    <t>ZACARIAS</t>
  </si>
  <si>
    <t>BALCAZAR</t>
  </si>
  <si>
    <t>TREJO</t>
  </si>
  <si>
    <t>VACA</t>
  </si>
  <si>
    <t>TEJEDA</t>
  </si>
  <si>
    <t>CORDOVA</t>
  </si>
  <si>
    <t>CARRETERO</t>
  </si>
  <si>
    <t>VILLEGAS</t>
  </si>
  <si>
    <t>PICENO</t>
  </si>
  <si>
    <t>REYES</t>
  </si>
  <si>
    <t>ZAYAS</t>
  </si>
  <si>
    <t>MEJIA</t>
  </si>
  <si>
    <t>PALMA</t>
  </si>
  <si>
    <t>MORA</t>
  </si>
  <si>
    <t>ESTRADA</t>
  </si>
  <si>
    <t>SOLORZANO</t>
  </si>
  <si>
    <t>VILLAVICENCIO</t>
  </si>
  <si>
    <t>DE LA MORA</t>
  </si>
  <si>
    <t>ORTA</t>
  </si>
  <si>
    <t>BARRIOS</t>
  </si>
  <si>
    <t>ROBLEDO</t>
  </si>
  <si>
    <t>SILVA</t>
  </si>
  <si>
    <t>SANTANA</t>
  </si>
  <si>
    <t>SALAZAR</t>
  </si>
  <si>
    <t>ALMONTE</t>
  </si>
  <si>
    <t>HUERTA</t>
  </si>
  <si>
    <t>BELLO</t>
  </si>
  <si>
    <t>PREZA</t>
  </si>
  <si>
    <t>VILLA</t>
  </si>
  <si>
    <t>OLMEDO</t>
  </si>
  <si>
    <t>MARQUEZ</t>
  </si>
  <si>
    <t>GAYTAN</t>
  </si>
  <si>
    <t>SANCHEZ GIL</t>
  </si>
  <si>
    <t>YAÑEZ</t>
  </si>
  <si>
    <t>QUINTERO</t>
  </si>
  <si>
    <t>RESENDIZ</t>
  </si>
  <si>
    <t>BUENO</t>
  </si>
  <si>
    <t>ALATORRE</t>
  </si>
  <si>
    <t>DELGADO</t>
  </si>
  <si>
    <t>NUÑO</t>
  </si>
  <si>
    <t>HERRERA</t>
  </si>
  <si>
    <t>ESQUIVEL</t>
  </si>
  <si>
    <t>ESQUER</t>
  </si>
  <si>
    <t>IZQUIERDO</t>
  </si>
  <si>
    <t>NARVAEZ</t>
  </si>
  <si>
    <t>FERNLEY</t>
  </si>
  <si>
    <t>BARROSO</t>
  </si>
  <si>
    <t>HERMOSILLO</t>
  </si>
  <si>
    <t>SAKODA</t>
  </si>
  <si>
    <t>ROCHA</t>
  </si>
  <si>
    <t>RIOS</t>
  </si>
  <si>
    <t>TIBURCIO</t>
  </si>
  <si>
    <t>TINOCO</t>
  </si>
  <si>
    <t>CAYO</t>
  </si>
  <si>
    <t>OLIVA</t>
  </si>
  <si>
    <t>BALLESTEROS</t>
  </si>
  <si>
    <t>VELEZ</t>
  </si>
  <si>
    <t>MOLINA</t>
  </si>
  <si>
    <t>CAMACHO</t>
  </si>
  <si>
    <t>ENCINOS</t>
  </si>
  <si>
    <t>BECCARIS</t>
  </si>
  <si>
    <t>CERVANTES</t>
  </si>
  <si>
    <t>COSIO</t>
  </si>
  <si>
    <t>PANDURO</t>
  </si>
  <si>
    <t>AGUAYO</t>
  </si>
  <si>
    <t>VALADEZ</t>
  </si>
  <si>
    <t>RUBIO</t>
  </si>
  <si>
    <t>SOLAEGUI</t>
  </si>
  <si>
    <t>AVILES</t>
  </si>
  <si>
    <t>LARA</t>
  </si>
  <si>
    <t>MARRON</t>
  </si>
  <si>
    <t>BARBOSA</t>
  </si>
  <si>
    <t>PICHARDO</t>
  </si>
  <si>
    <t>CAREY</t>
  </si>
  <si>
    <t>RAYGOZA</t>
  </si>
  <si>
    <t>MEDRANO</t>
  </si>
  <si>
    <t>ROMO</t>
  </si>
  <si>
    <t>ROSAS</t>
  </si>
  <si>
    <t>PIÑON</t>
  </si>
  <si>
    <t>MONTES</t>
  </si>
  <si>
    <t>VERA</t>
  </si>
  <si>
    <t>CALDERON</t>
  </si>
  <si>
    <t>CAJERO</t>
  </si>
  <si>
    <t>LEON</t>
  </si>
  <si>
    <t>BAJO</t>
  </si>
  <si>
    <t>MARTIN</t>
  </si>
  <si>
    <t>PALAFOX</t>
  </si>
  <si>
    <t>APONTE</t>
  </si>
  <si>
    <t>CARRILLO</t>
  </si>
  <si>
    <t>MANCILLA</t>
  </si>
  <si>
    <t>PARTIDA</t>
  </si>
  <si>
    <t>MARMOLEJO</t>
  </si>
  <si>
    <t>GALLI</t>
  </si>
  <si>
    <t>AVENDAÑO</t>
  </si>
  <si>
    <t>ESCALANTE</t>
  </si>
  <si>
    <t>PALOMINO</t>
  </si>
  <si>
    <t>ELIZALDE</t>
  </si>
  <si>
    <t>ALEJO</t>
  </si>
  <si>
    <t>BUITRON</t>
  </si>
  <si>
    <t>GALLO</t>
  </si>
  <si>
    <t>GALVEZ</t>
  </si>
  <si>
    <t>ORTEGA</t>
  </si>
  <si>
    <t>SALDAÑA</t>
  </si>
  <si>
    <t>BAENA</t>
  </si>
  <si>
    <t>VELASCO</t>
  </si>
  <si>
    <t>STOBSCHINSKI</t>
  </si>
  <si>
    <t>GUILLEN</t>
  </si>
  <si>
    <t>MONTAÑO</t>
  </si>
  <si>
    <t>A. Materno Alumno</t>
  </si>
  <si>
    <t>VILLELA</t>
  </si>
  <si>
    <t>TOSCANO</t>
  </si>
  <si>
    <t>CORRIPIO</t>
  </si>
  <si>
    <t>BALTIERRA</t>
  </si>
  <si>
    <t>GUERRA</t>
  </si>
  <si>
    <t>RAZO</t>
  </si>
  <si>
    <t>LIMON</t>
  </si>
  <si>
    <t>CORRALES</t>
  </si>
  <si>
    <t>HERVERT</t>
  </si>
  <si>
    <t>ARRIOLA</t>
  </si>
  <si>
    <t>NAPOLES</t>
  </si>
  <si>
    <t>VARGAS</t>
  </si>
  <si>
    <t>AVALOS</t>
  </si>
  <si>
    <t>CANCELADA</t>
  </si>
  <si>
    <t>GIL</t>
  </si>
  <si>
    <t>SOLTERO</t>
  </si>
  <si>
    <t>SAMANO</t>
  </si>
  <si>
    <t>URQUIDY</t>
  </si>
  <si>
    <t>QUIÑONEZ</t>
  </si>
  <si>
    <t>CORTES</t>
  </si>
  <si>
    <t>ARRIERO</t>
  </si>
  <si>
    <t>BRACHO</t>
  </si>
  <si>
    <t>CHAVIRA</t>
  </si>
  <si>
    <t>LAZARO</t>
  </si>
  <si>
    <t>PARRA</t>
  </si>
  <si>
    <t>CHERRINGTON</t>
  </si>
  <si>
    <t>ZUMAYA</t>
  </si>
  <si>
    <t>PONCE</t>
  </si>
  <si>
    <t>VAZQUEZ ALDANA</t>
  </si>
  <si>
    <t>KÖNIG</t>
  </si>
  <si>
    <t>GUEVARA</t>
  </si>
  <si>
    <t>MONTAÑEZ</t>
  </si>
  <si>
    <t>APARICIO</t>
  </si>
  <si>
    <t>OSEGUERA</t>
  </si>
  <si>
    <t>ARCINIEGA</t>
  </si>
  <si>
    <t>CANO</t>
  </si>
  <si>
    <t>ACOSTA</t>
  </si>
  <si>
    <t>DEL REAL</t>
  </si>
  <si>
    <t>CERPA</t>
  </si>
  <si>
    <t>VIDALES</t>
  </si>
  <si>
    <t>VIZCARRA</t>
  </si>
  <si>
    <t>CEBALLOS</t>
  </si>
  <si>
    <t xml:space="preserve"> </t>
  </si>
  <si>
    <t>MERINO</t>
  </si>
  <si>
    <t>LESPRON</t>
  </si>
  <si>
    <t>AMADOR</t>
  </si>
  <si>
    <t>DIEZ</t>
  </si>
  <si>
    <t>MUNGUIA</t>
  </si>
  <si>
    <t>CARMONA</t>
  </si>
  <si>
    <t>BERUMEN</t>
  </si>
  <si>
    <t>MANZANO</t>
  </si>
  <si>
    <t>ARREOLA</t>
  </si>
  <si>
    <t>REYNOSO</t>
  </si>
  <si>
    <t>LUPERCIO</t>
  </si>
  <si>
    <t>DE LIRA</t>
  </si>
  <si>
    <t>DEL RIO</t>
  </si>
  <si>
    <t>MAGALLON</t>
  </si>
  <si>
    <t>RAYA</t>
  </si>
  <si>
    <t>VENDRAMINI</t>
  </si>
  <si>
    <t>IPARRAGUIRRE</t>
  </si>
  <si>
    <t>ARROYO</t>
  </si>
  <si>
    <t>ARIZA</t>
  </si>
  <si>
    <t>BARBA</t>
  </si>
  <si>
    <t>JARAMILLO</t>
  </si>
  <si>
    <t>TIRADO</t>
  </si>
  <si>
    <t>TABAREZ</t>
  </si>
  <si>
    <t>MONZON</t>
  </si>
  <si>
    <t>TELLES</t>
  </si>
  <si>
    <t>ALLAR</t>
  </si>
  <si>
    <t>CLAUDIN</t>
  </si>
  <si>
    <t>DEL TORO</t>
  </si>
  <si>
    <t>VARELA</t>
  </si>
  <si>
    <t>CUELLAR</t>
  </si>
  <si>
    <t>DELLA SERA</t>
  </si>
  <si>
    <t>GALLARDO</t>
  </si>
  <si>
    <t>ALONSO</t>
  </si>
  <si>
    <t>BARRIENTOS</t>
  </si>
  <si>
    <t>BRAMBILA</t>
  </si>
  <si>
    <t>AMARAL</t>
  </si>
  <si>
    <t>LIZARRAGA</t>
  </si>
  <si>
    <t>SEGOVIA</t>
  </si>
  <si>
    <t>QUIÑONES</t>
  </si>
  <si>
    <t>BOBADILLA</t>
  </si>
  <si>
    <t>GAONA</t>
  </si>
  <si>
    <t>PERAZA</t>
  </si>
  <si>
    <t>RIVAS</t>
  </si>
  <si>
    <t>ESPINO</t>
  </si>
  <si>
    <t>MICHEL</t>
  </si>
  <si>
    <t>AÑORVE</t>
  </si>
  <si>
    <t>VALERIO</t>
  </si>
  <si>
    <t>DE HARO</t>
  </si>
  <si>
    <t>ORBE</t>
  </si>
  <si>
    <t>TOVAR</t>
  </si>
  <si>
    <t>PULIDO</t>
  </si>
  <si>
    <t>DE LOZA</t>
  </si>
  <si>
    <t>ANGUIANO</t>
  </si>
  <si>
    <t>LAGOS</t>
  </si>
  <si>
    <t>PRADO</t>
  </si>
  <si>
    <t>CARDONA</t>
  </si>
  <si>
    <t>LOZA</t>
  </si>
  <si>
    <t>CORNEJO</t>
  </si>
  <si>
    <t>REA</t>
  </si>
  <si>
    <t>SAINZ</t>
  </si>
  <si>
    <t>ESCOBAR</t>
  </si>
  <si>
    <t>LUGO</t>
  </si>
  <si>
    <t>PLASCENCIA</t>
  </si>
  <si>
    <t>LEPE</t>
  </si>
  <si>
    <t>TERRONES</t>
  </si>
  <si>
    <t>TALAVERA</t>
  </si>
  <si>
    <t>RUVALCABA</t>
  </si>
  <si>
    <t>SEVILLA</t>
  </si>
  <si>
    <t>TELLEZ</t>
  </si>
  <si>
    <t>LUA</t>
  </si>
  <si>
    <t>PACHECO</t>
  </si>
  <si>
    <t>SOLANO</t>
  </si>
  <si>
    <t>ANZOATEGUI</t>
  </si>
  <si>
    <t>ARMAS</t>
  </si>
  <si>
    <t>VALLE</t>
  </si>
  <si>
    <t>FERREL</t>
  </si>
  <si>
    <t>AGUILERA</t>
  </si>
  <si>
    <t>RENTERIA</t>
  </si>
  <si>
    <t>BALBUENA</t>
  </si>
  <si>
    <t>MASINI</t>
  </si>
  <si>
    <t>ONTIVEROS</t>
  </si>
  <si>
    <t>CALLEJAS</t>
  </si>
  <si>
    <t>QUEZADA</t>
  </si>
  <si>
    <t>ECHEAGARAY</t>
  </si>
  <si>
    <t>SALINAS</t>
  </si>
  <si>
    <t>RUAN</t>
  </si>
  <si>
    <t>OCEGUERA</t>
  </si>
  <si>
    <t>VALENZUELA</t>
  </si>
  <si>
    <t>SOTELO</t>
  </si>
  <si>
    <t>FERNANDEZ</t>
  </si>
  <si>
    <t>FONSECA</t>
  </si>
  <si>
    <t>GAXIOLA</t>
  </si>
  <si>
    <t>DE LA O</t>
  </si>
  <si>
    <t>RIVERON</t>
  </si>
  <si>
    <t>OSORIO</t>
  </si>
  <si>
    <t>LUVIAN</t>
  </si>
  <si>
    <t>NIEBLAS</t>
  </si>
  <si>
    <t>VILLANUEVA</t>
  </si>
  <si>
    <t>ESPINOSA</t>
  </si>
  <si>
    <t>CASILLAS</t>
  </si>
  <si>
    <t>BUENROSTRO</t>
  </si>
  <si>
    <t>MURGUIA</t>
  </si>
  <si>
    <t>URZUA</t>
  </si>
  <si>
    <t>PIÑA</t>
  </si>
  <si>
    <t>ZAPATA</t>
  </si>
  <si>
    <t>ARANA</t>
  </si>
  <si>
    <t>GAMARRA</t>
  </si>
  <si>
    <t>BLANCO</t>
  </si>
  <si>
    <t>DUEÑAS</t>
  </si>
  <si>
    <t>ENCARNACION</t>
  </si>
  <si>
    <t>HIDALGO</t>
  </si>
  <si>
    <t>QUINTANILLA</t>
  </si>
  <si>
    <t>SUCCAR</t>
  </si>
  <si>
    <t>PAZ</t>
  </si>
  <si>
    <t>MEXIA</t>
  </si>
  <si>
    <t>MC LANE</t>
  </si>
  <si>
    <t>GALVAN</t>
  </si>
  <si>
    <t>SANTIZ</t>
  </si>
  <si>
    <t>BRIZUELA</t>
  </si>
  <si>
    <t>ASTORGA</t>
  </si>
  <si>
    <t>ZAVALETA</t>
  </si>
  <si>
    <t>BRETADO</t>
  </si>
  <si>
    <t>CUEVAS</t>
  </si>
  <si>
    <t>ARICEAGA</t>
  </si>
  <si>
    <t>GUADARRAMA</t>
  </si>
  <si>
    <t>ALFEREZ</t>
  </si>
  <si>
    <t>MAGAÑA</t>
  </si>
  <si>
    <t>ROMAN</t>
  </si>
  <si>
    <t>CARO</t>
  </si>
  <si>
    <t>SALDATE</t>
  </si>
  <si>
    <t>DE LA ROSA</t>
  </si>
  <si>
    <t>GRIMALDO</t>
  </si>
  <si>
    <t>EINUNG</t>
  </si>
  <si>
    <t>MATUS</t>
  </si>
  <si>
    <t>PAVIA</t>
  </si>
  <si>
    <t>RANGEL</t>
  </si>
  <si>
    <t>PANI</t>
  </si>
  <si>
    <t>MONTEVERDE</t>
  </si>
  <si>
    <t>FARIAS</t>
  </si>
  <si>
    <t>LIEVANOS</t>
  </si>
  <si>
    <t>FRANZ</t>
  </si>
  <si>
    <t>IBARRA</t>
  </si>
  <si>
    <t>AMBROCIO</t>
  </si>
  <si>
    <t>Matrícula</t>
  </si>
  <si>
    <t>Nombre</t>
  </si>
  <si>
    <t>PELAYO DIAZ ABBY DESSIRE</t>
  </si>
  <si>
    <t>MENDOZA VILLELA ABIGAIL</t>
  </si>
  <si>
    <t>GODOY FLORES ABRIL ISABELLA</t>
  </si>
  <si>
    <t>SANDOVAL CARDENAS ADAN OSWALDO</t>
  </si>
  <si>
    <t>GONZALEZ TOSCANO ADIB KALEB</t>
  </si>
  <si>
    <t>VEGA RUELAS ADOLFO ALEXANDER</t>
  </si>
  <si>
    <t>ESQUEDA MACIAS ADRIAN</t>
  </si>
  <si>
    <t>JAIME OJEDA ADRIAN</t>
  </si>
  <si>
    <t>TAPIA CORRIPIO ADRIAN ASSIS</t>
  </si>
  <si>
    <t>VEGA CASTAÑEDA ADRIAN BRYANT</t>
  </si>
  <si>
    <t>MORALES ORTIZ ADRIAN ENRIQUE</t>
  </si>
  <si>
    <t>AMARO BALTIERRA ADRIANA</t>
  </si>
  <si>
    <t>ZAVALA FLORES ADRIANA</t>
  </si>
  <si>
    <t>RODRIGUEZ MARTINEZ ADRIANA PAOLA</t>
  </si>
  <si>
    <t>MIRANDA GUERRA AIRAM VICTORIA</t>
  </si>
  <si>
    <t>YAMAGUCHI RAZO AKARI ANDREA</t>
  </si>
  <si>
    <t>ANGULO JIMENEZ ALAN</t>
  </si>
  <si>
    <t>VAZQUEZ GARCIA ALAN ENRIQUE</t>
  </si>
  <si>
    <t>HERNANDEZ CASTILLO ALAN OSWALDO</t>
  </si>
  <si>
    <t>VAZQUEZ OCHOA ALAN YAEL</t>
  </si>
  <si>
    <t>LARIOS IÑIGUEZ ALBERTO</t>
  </si>
  <si>
    <t>OJEDA GUTIERREZ ALBERTO JAVIER</t>
  </si>
  <si>
    <t>NERI FLORES ALEJANDRA</t>
  </si>
  <si>
    <t>PEREZ LIMON ALEJANDRA</t>
  </si>
  <si>
    <t>ALVAREZ LOPEZ ALEJANDRO</t>
  </si>
  <si>
    <t>BARAJAS ARIAS ALEJANDRO</t>
  </si>
  <si>
    <t>CEJA CORRALES ALEJANDRO</t>
  </si>
  <si>
    <t>DOMINGUEZ HERVERT ALEJANDRO</t>
  </si>
  <si>
    <t>PALACIOS REYES ALEJANDRO</t>
  </si>
  <si>
    <t>SOLIS ARRIOLA ALEJANDRO</t>
  </si>
  <si>
    <t>MOYA ROBLES ALEXA</t>
  </si>
  <si>
    <t>TRUJILLO NAPOLES ALEXA VIANEY</t>
  </si>
  <si>
    <t>ROSALES VARGAS ALFONSO</t>
  </si>
  <si>
    <t>SANTOYO GARCIA ALMA DANIELA</t>
  </si>
  <si>
    <t>ARREDONDO BAUTISTA ALONDRA</t>
  </si>
  <si>
    <t>RAMOS AVALOS ALONDRA</t>
  </si>
  <si>
    <t>GONZALEZ OROZCO ALONDRA ARHEMI</t>
  </si>
  <si>
    <t>VELAZQUEZ CASTRO ALONDRA JAMILETH</t>
  </si>
  <si>
    <t>RAMOS ARIAS ALONDRA MARISOL</t>
  </si>
  <si>
    <t>DE LA PEÑA PEREZ ALVARO</t>
  </si>
  <si>
    <t>SAAVEDRA RAMIREZ ALVARO DANIEL</t>
  </si>
  <si>
    <t>GUZMAN ARIAS AMANDA CARMIÑA</t>
  </si>
  <si>
    <t>MENDEZ CANCELADA AMERICA</t>
  </si>
  <si>
    <t>OCEGUEDA GIL ANA BELEN</t>
  </si>
  <si>
    <t>JUAREZ CASTAÑEDA ANA CECILIA</t>
  </si>
  <si>
    <t>GUERRERO SOLTERO ANA CRISTINA</t>
  </si>
  <si>
    <t>OCHOA SAMANO ANA ISABEL</t>
  </si>
  <si>
    <t>JIMENEZ MARTINEZ ANA KAROL</t>
  </si>
  <si>
    <t>ENRIQUEZ PEREZ ANA LUCIA</t>
  </si>
  <si>
    <t>FONG URQUIDY ANA LUCIA</t>
  </si>
  <si>
    <t>RUELAS NAVARRO ANA PAULA</t>
  </si>
  <si>
    <t>CARRION LOPEZ ANA SOFIA</t>
  </si>
  <si>
    <t>FIERROS LUNA ANA SOFIA</t>
  </si>
  <si>
    <t>GODINEZ SANCHEZ ANA VALERIA</t>
  </si>
  <si>
    <t>OROZCO QUIÑONEZ ANA VICTORIA</t>
  </si>
  <si>
    <t>CHAVEZ ORTIZ ANAILY GUADALUPE</t>
  </si>
  <si>
    <t>VILLAGRANA RODRIGUEZ ANDRE SEBASTIAN</t>
  </si>
  <si>
    <t>PEREZ ORTIZ ANDREA</t>
  </si>
  <si>
    <t>VAZQUEZ CORTES ANDREA</t>
  </si>
  <si>
    <t>REBOLLAR ARRIERO ANDREA NAOMI</t>
  </si>
  <si>
    <t>RODRIGUEZ VEGA ANDREA PAOLA</t>
  </si>
  <si>
    <t>ANTUNEZ BRACHO ANDRES</t>
  </si>
  <si>
    <t>CABRERA CHAVIRA ANDRES</t>
  </si>
  <si>
    <t>DE LA TORRE PEREZ ANDRES</t>
  </si>
  <si>
    <t>ENCISO GOMEZ ANDRES ENRIQUE</t>
  </si>
  <si>
    <t>NUÑEZ RAMOS ANDRES EZEQUIEL</t>
  </si>
  <si>
    <t>PEREZ PEREZ ANDRES ISMAEL</t>
  </si>
  <si>
    <t>RODRIGUEZ LAZARO ANDY</t>
  </si>
  <si>
    <t>ESCALONA BUENO ANGEL</t>
  </si>
  <si>
    <t>GONZALEZ PARRA ANGEL</t>
  </si>
  <si>
    <t>MONDRAGON HERNANDEZ ANGEL</t>
  </si>
  <si>
    <t>DAVALOS GARCIA ANGEL AIOROS</t>
  </si>
  <si>
    <t>GARCIA MORA ANGEL ALEXANDER</t>
  </si>
  <si>
    <t>VIRGEN SERRANO ANGEL ALEXANDER</t>
  </si>
  <si>
    <t>GARCIA CHERRINGTON ANGEL ANDRES</t>
  </si>
  <si>
    <t>GUTIERREZ DE LA CRUZ ANGEL DANIEL</t>
  </si>
  <si>
    <t>IGNACIO CASTILLO ANGEL DAVID</t>
  </si>
  <si>
    <t>SANCHEZ LOPEZ ANGEL DAVID</t>
  </si>
  <si>
    <t>CUETO RAMOS ANGEL EMANUEL</t>
  </si>
  <si>
    <t>ABRAHAM JUAREZ ANGEL FABIAN</t>
  </si>
  <si>
    <t>MORENO ZUMAYA ANGEL FERNANDO</t>
  </si>
  <si>
    <t>VEGA RODRIGUEZ ANGEL GUILLERMO</t>
  </si>
  <si>
    <t>RIVERA NUÑEZ ANGEL LEONEL</t>
  </si>
  <si>
    <t>CECEÑA PONCE ANGEL MARTIN</t>
  </si>
  <si>
    <t>CARDENAS RUIZ ANGEL YAEL</t>
  </si>
  <si>
    <t>TORRES GUTIERREZ ANGELICA</t>
  </si>
  <si>
    <t>VERDUZCO VAZQUEZ ALDANA ANTONIO</t>
  </si>
  <si>
    <t>NEGRETE CASTRO AOLANI XAXBE</t>
  </si>
  <si>
    <t>LIÑAN FLORES ARACELI ESMERALDA</t>
  </si>
  <si>
    <t>ALVARADO MORENO ARANZA SINHAI</t>
  </si>
  <si>
    <t>ZABRANA KÖNIG ARIF BENJAMIN</t>
  </si>
  <si>
    <t>GONZALEZ HERNANDEZ ARMANDO</t>
  </si>
  <si>
    <t>GUTIERREZ TORRES ARTURO ALEJANDRO</t>
  </si>
  <si>
    <t>SERRANO GUEVARA ARTURO ALEXEI</t>
  </si>
  <si>
    <t>CASTAÑEDA HERNANDEZ ARTURO EMMANUEL</t>
  </si>
  <si>
    <t>BERNAL MONTAÑEZ ASTRID AVRIL</t>
  </si>
  <si>
    <t>OSORNIO CONTRERAS AUREA EMILY</t>
  </si>
  <si>
    <t>BAUTISTA MARIANO BERNARDA</t>
  </si>
  <si>
    <t>DESSAVRE GONZALEZ BERNARDO</t>
  </si>
  <si>
    <t>GUZMAN APARICIO BERTHA ERICA</t>
  </si>
  <si>
    <t>SOSA TORRES BETHEL CITLALI</t>
  </si>
  <si>
    <t>IÑIGUEZ OSEGUERA BLANCA LETICIA</t>
  </si>
  <si>
    <t>PADRON VAZQUEZ BLAS</t>
  </si>
  <si>
    <t>GALLEGOS ARCINIEGA BOGAR GERARDO</t>
  </si>
  <si>
    <t>ARELLANO LOPEZ BRANDO CRISTOPHER</t>
  </si>
  <si>
    <t>GATICA CANO BRAULIO AARON</t>
  </si>
  <si>
    <t>PEREZ ALVAREZ BRAULIO ISAIAS</t>
  </si>
  <si>
    <t>RIVERA ACOSTA BRAYAN JOSE</t>
  </si>
  <si>
    <t>BOJADO DEL REAL BRENDA GUADALUPE</t>
  </si>
  <si>
    <t>SOLIS CERPA BRENDA MELISSA</t>
  </si>
  <si>
    <t>PADILLA VIDALES BRENDA SUSANA</t>
  </si>
  <si>
    <t>MACIAS AYALA BRENDA XIADANI</t>
  </si>
  <si>
    <t>OROZCO VIZCARRA BRENDA XIMENA</t>
  </si>
  <si>
    <t>LOPEZ CEBALLOS BRUNO GAEL</t>
  </si>
  <si>
    <t>ALVARADO CHAVEZ BRUNO JOEL</t>
  </si>
  <si>
    <t>MUÑOZ GUTIERREZ BRUNO SANTIAGO</t>
  </si>
  <si>
    <t>ZEPEDA JIMENEZ   CAMILLA</t>
  </si>
  <si>
    <t>CARPINTERO MERINO CARLA</t>
  </si>
  <si>
    <t>MORENO DIAZ CARLOS ALONSO</t>
  </si>
  <si>
    <t>YERENA NAVARRO CARLOS EDUARDO</t>
  </si>
  <si>
    <t>NAVARRO LESPRON CARLOS ERNESTO</t>
  </si>
  <si>
    <t>SERRANO AMADOR CARLOS FERNANDO</t>
  </si>
  <si>
    <t>FLORES GUTIERREZ CARLOS IVAN</t>
  </si>
  <si>
    <t>MEDINA DIAZ CARLOS OSVALDO</t>
  </si>
  <si>
    <t>RAMIREZ GARCIA CARLOS ROBERTO</t>
  </si>
  <si>
    <t>PEREZ DIEZ CARLOS SANTIAGO</t>
  </si>
  <si>
    <t>CASTILLO MUNGUIA CAROL MARIAN</t>
  </si>
  <si>
    <t>HURTADO MACIAS CAROL NOEMI</t>
  </si>
  <si>
    <t>CAMARGO CARMONA CAROL VANESSA</t>
  </si>
  <si>
    <t>SANDOVAL BERUMEN CAROLINA ALEXANDRA</t>
  </si>
  <si>
    <t>OBLEDO MARTINEZ CESAR</t>
  </si>
  <si>
    <t>ROMERO MANZANO CESAR ALEJANDRO</t>
  </si>
  <si>
    <t>VALENCIA CASTILLO CESAR EDUARDO</t>
  </si>
  <si>
    <t>CABRERA AVILA CESAR ISMAEL</t>
  </si>
  <si>
    <t>MARTINEZ RAMIREZ CHELSEA VIANNEY</t>
  </si>
  <si>
    <t>DE ALBA GUTIERREZ CHRISTIAN ALEJANDRO</t>
  </si>
  <si>
    <t>ALFARO RUIZ CLAUDIA BERENICE</t>
  </si>
  <si>
    <t>FIGUEROA RODRIGUEZ CLAUDIA DANIELA</t>
  </si>
  <si>
    <t>RAMIREZ ARREOLA CLAUDIA FERNANDA</t>
  </si>
  <si>
    <t>REGALADO ANAYA CLAUDIA MARIAN</t>
  </si>
  <si>
    <t>MARTINEZ REYNOSO CLAUDIA PATRICIA</t>
  </si>
  <si>
    <t>VILLARRUEL SANDOVAL CRISTIAN</t>
  </si>
  <si>
    <t>ZAMUDIO VAZQUEZ CRISTIAN FABIAN</t>
  </si>
  <si>
    <t>FLORES ZAVALA CRISTO TEODORO</t>
  </si>
  <si>
    <t>SAUCEDO LUPERCIO CRISTOPHER ADRIAN</t>
  </si>
  <si>
    <t>LEONARDO RIVERA DAFNE GALILEA</t>
  </si>
  <si>
    <t>JUAREZ JIMENEZ DAFNE MONTSERRAT</t>
  </si>
  <si>
    <t>MARTINEZ ALVARADO DAMIAN</t>
  </si>
  <si>
    <t>FLORES DE LIRA DAMIAN EDOARDO</t>
  </si>
  <si>
    <t>RENDON DEL RIO DANA ELENA</t>
  </si>
  <si>
    <t>MERCADO TORRES DANA JOANELLE</t>
  </si>
  <si>
    <t>AYALA MAGALLON DANA PAULINA</t>
  </si>
  <si>
    <t>FLORES RAYA DANIEL</t>
  </si>
  <si>
    <t>MOSQUEIRA YAÑEZ DANIEL</t>
  </si>
  <si>
    <t>CASTELLANOS RAMIREZ DANIEL ALEJANDRO</t>
  </si>
  <si>
    <t>LEMUS ARIAS DANIEL EDUARDO</t>
  </si>
  <si>
    <t>VILLALOBOS GARCIA DANIEL ENRIQUE</t>
  </si>
  <si>
    <t>SALCIDO RAMOS DANIEL IGNACIO</t>
  </si>
  <si>
    <t>HERNANDEZ VENDRAMINI DANIELA</t>
  </si>
  <si>
    <t>ROJAS LOPEZ DANIELA</t>
  </si>
  <si>
    <t>ROJO GARCIA DANIELA</t>
  </si>
  <si>
    <t>RUIZ LOPEZ DANIELA</t>
  </si>
  <si>
    <t>TORRES PONCE DANIELA GISEL</t>
  </si>
  <si>
    <t>MIRANDA SANCHEZ DANIELA RENEE</t>
  </si>
  <si>
    <t>MURILLO IPARRAGUIRRE DANILA RAQUEL</t>
  </si>
  <si>
    <t>CONTRERAS GONZALEZ DANNA</t>
  </si>
  <si>
    <t>VALLADARES LOPEZ DANTE YAEL</t>
  </si>
  <si>
    <t>ALCARAZ ARROYO DARIA MADAI</t>
  </si>
  <si>
    <t>AGUILAR  DARIO</t>
  </si>
  <si>
    <t>ORTIZ ARIZA DARSHAN GAEL</t>
  </si>
  <si>
    <t>ARECHEDERRA TREJO DAVID</t>
  </si>
  <si>
    <t>WILSON TORRES DAVID</t>
  </si>
  <si>
    <t>ALVAREZ JIMENEZ DAVID ISRAEL</t>
  </si>
  <si>
    <t>CARRANZA BARBA DAVID IVAN</t>
  </si>
  <si>
    <t>MONTERO JARAMILLO DAVID RICARDO</t>
  </si>
  <si>
    <t>ZUÑIGA HERNANDEZ DAYRA MICHELLE</t>
  </si>
  <si>
    <t>DE LOS SANTOS DOMINGUEZ DENZZEL</t>
  </si>
  <si>
    <t>CORONADO TIRADO DIANA PAOLA</t>
  </si>
  <si>
    <t>DE ALVA COVARRUBIAS DIANA PAULA</t>
  </si>
  <si>
    <t>RAMIREZ TABAREZ DIANA SARAHI</t>
  </si>
  <si>
    <t>ZEPEDA LOPEZ DIEGGO</t>
  </si>
  <si>
    <t>CHAVEZ CONTRERAS DIEGO</t>
  </si>
  <si>
    <t>DE ANDA MONZON DIEGO</t>
  </si>
  <si>
    <t>GONZALEZ SANCHEZ DIEGO</t>
  </si>
  <si>
    <t>GONZALEZ TELLES DIEGO</t>
  </si>
  <si>
    <t>RUIZ ALLAR DIEGO</t>
  </si>
  <si>
    <t>VILLASEÑOR CLAUDIN DIEGO</t>
  </si>
  <si>
    <t>ALVAREZ DEL TORO DIEGO ALBERTO</t>
  </si>
  <si>
    <t>SERRANO VARELA DIEGO ALBERTO</t>
  </si>
  <si>
    <t>TORIZ MARTINEZ DIEGO ALFONSO</t>
  </si>
  <si>
    <t>SANCHEZ VAZQUEZ DIEGO CRISTAN</t>
  </si>
  <si>
    <t>BOLAÑOS CARRILLO DIEGO EDUARDO</t>
  </si>
  <si>
    <t>PRECIADO LARA DIEGO FRANCISCO</t>
  </si>
  <si>
    <t>ZAVALA CUELLAR DIEGO MARTIN</t>
  </si>
  <si>
    <t>PATIÑO MEJIA DIEGO MISAEL</t>
  </si>
  <si>
    <t>VON HAUSKE DELLA SERA DIEGO SEBASTIAN</t>
  </si>
  <si>
    <t>MORGAN GALLARDO DUILIO ALFONSO</t>
  </si>
  <si>
    <t>CASTILLO GOMEZ DYLAN ADRIAN</t>
  </si>
  <si>
    <t>HERNANDEZ SANDOVAL EDGAR</t>
  </si>
  <si>
    <t>ORTIZ VEGA EDGAR ALEJANDRO</t>
  </si>
  <si>
    <t>VAZQUEZ GUERRERO EDUARDO</t>
  </si>
  <si>
    <t>AGUIRRE RIOS EDUARDO ANTONIO</t>
  </si>
  <si>
    <t>GOMEZ ALONSO EDUARDO GUADALUPE</t>
  </si>
  <si>
    <t>SANCHEZ GONZALEZ EDWIN ELIAS</t>
  </si>
  <si>
    <t>LUNA BARRIENTOS EDWIN FERNANDO</t>
  </si>
  <si>
    <t>ACEVES BARRAGAN ELIA SOFIA</t>
  </si>
  <si>
    <t>LEONARDO RIVERA ELIAS</t>
  </si>
  <si>
    <t>DE LA CRUZ BRAMBILA ELIZABETH</t>
  </si>
  <si>
    <t>FRANCO OROZCO EMILIANO</t>
  </si>
  <si>
    <t>GOMEZ HERNANDEZ EMILIANO</t>
  </si>
  <si>
    <t>GRACIANO VARGAS EMILIANO</t>
  </si>
  <si>
    <t>NAVA VELASCO EMILIANO</t>
  </si>
  <si>
    <t>RODRIGUEZ GUZMAN EMILIANO</t>
  </si>
  <si>
    <t>ENTZIN TAPIA EMILIANO SANTIAGO</t>
  </si>
  <si>
    <t>ANAYA RODRIGUEZ EMILIO</t>
  </si>
  <si>
    <t>ESPARZA AMARAL EMILIO</t>
  </si>
  <si>
    <t>TADEO ALVAREZ EMILIO</t>
  </si>
  <si>
    <t>LOZANO ESPARZA EMMANUEL</t>
  </si>
  <si>
    <t>CASTRO GARCIA EMMANUEL SEBASTIAN</t>
  </si>
  <si>
    <t>JUAREZ CASTAÑEDA ENRIQUE</t>
  </si>
  <si>
    <t>CABRERA LIZARRAGA ENRIQUE JESUS</t>
  </si>
  <si>
    <t>TOLEDO SEGOVIA ENRIQUE RENE</t>
  </si>
  <si>
    <t>ISIDORO QUIÑONES ERICK GERMAIN</t>
  </si>
  <si>
    <t>SANTAMARIA RAMIREZ ERIK ALEJANDRO</t>
  </si>
  <si>
    <t>ROJAS RODRIGUEZ ERNESTO</t>
  </si>
  <si>
    <t>CADENA BOBADILLA ESMERALDA</t>
  </si>
  <si>
    <t>GOMEZ GAONA ESMERALDA GABRIELA</t>
  </si>
  <si>
    <t>PADILLA PERAZA ESTEBAN ENRIQUE</t>
  </si>
  <si>
    <t>OROZCO RIVAS ESTEFANI NICOLE</t>
  </si>
  <si>
    <t>COLDIVAR FLORES ESTEPHANY</t>
  </si>
  <si>
    <t>GUZMAN VILLASEÑOR EVA REGINA</t>
  </si>
  <si>
    <t>AMEZCUA CASTELLANOS FABIAN</t>
  </si>
  <si>
    <t>FLORES TAPIA FARAH ISABELLA</t>
  </si>
  <si>
    <t>ARCE ESPINO FATIMA DENNISE</t>
  </si>
  <si>
    <t>ZAMORA MICHEL FATIMA JULIANA</t>
  </si>
  <si>
    <t>REVELES GUTIERREZ FATIMA MARISOL</t>
  </si>
  <si>
    <t>ZEPEDA LOPEZ FERNAN</t>
  </si>
  <si>
    <t>ROMERO GARCIA FERNANDA ARACELI</t>
  </si>
  <si>
    <t>BARAJAS MICHEL FERNANDA DANAE</t>
  </si>
  <si>
    <t>GUTIERREZ VELASCO FERNANDO</t>
  </si>
  <si>
    <t>ALVARADO AÑORVE FLOR MONSERRAT</t>
  </si>
  <si>
    <t>ORTIZ BARRAGAN FRANCO</t>
  </si>
  <si>
    <t>ROMERO VALERIO FRANCO EDUARDO</t>
  </si>
  <si>
    <t>ALENCASTRO ROJO FRIDA SOPHIA</t>
  </si>
  <si>
    <t>COLOME CAMPOS GABRIEL EDUARDO</t>
  </si>
  <si>
    <t>MENDOZA GOMEZ GABRIEL FRANCISCO</t>
  </si>
  <si>
    <t>HERNANDEZ GARCIA GABRIEL OMAR</t>
  </si>
  <si>
    <t>CARDENAS DE HARO GABRIELA</t>
  </si>
  <si>
    <t>COVARRUBIAS LIMON GABRIELA MONSERRAT</t>
  </si>
  <si>
    <t>MADRIGAL NUÑO GABRIELA MONSERRAT</t>
  </si>
  <si>
    <t>DELGADILLO BAUTISTA GAEL</t>
  </si>
  <si>
    <t>MARTINEZ ORBE GEMA</t>
  </si>
  <si>
    <t>NUÑEZ CONTRERAS GILBERTO</t>
  </si>
  <si>
    <t>ROJAS GUTIERREZ GILBERTO ALEJANDRO</t>
  </si>
  <si>
    <t>SANTILLAN BARRAGAN GIOVANNA</t>
  </si>
  <si>
    <t>CASTAÑEDA ELIZALDE GIOVANNA PAOLA</t>
  </si>
  <si>
    <t>DE ALBA TOVAR GIOVANNI</t>
  </si>
  <si>
    <t>JAUREGUI RIVERA GISEL NAILEA</t>
  </si>
  <si>
    <t>HERNANDEZ VARGAS GLORIA MIRANDA</t>
  </si>
  <si>
    <t>MUÑOZ HERRERA GRAHAM ANTONIO</t>
  </si>
  <si>
    <t>SOSA Y AVILA GONZALEZ GUILLERMO JOSE</t>
  </si>
  <si>
    <t>ARAUJO VARGAS GUILLERMO KALEB</t>
  </si>
  <si>
    <t>JASSO VARGAS GUSTAVO EMILIANO</t>
  </si>
  <si>
    <t>JURADO PEREZ GUSTAVO KALEN</t>
  </si>
  <si>
    <t>DE LA CRUZ CASTILLO HANNAH CITLALI</t>
  </si>
  <si>
    <t>RUELAS SALDAÑA HANNIBAL ENRIQUE</t>
  </si>
  <si>
    <t>CAMPOS CARDENAS HECTOR</t>
  </si>
  <si>
    <t>IÑIGUEZ PULIDO HECTOR BERNARDO</t>
  </si>
  <si>
    <t>MARISCAL SANCHEZ HECTOR ENRIQUE</t>
  </si>
  <si>
    <t>GONZALEZ DE LOZA HECTOR FABIAN</t>
  </si>
  <si>
    <t>VALDIVIA ANGUIANO HECTOR ORLANDO</t>
  </si>
  <si>
    <t>SERRANO GONZALEZ HELI</t>
  </si>
  <si>
    <t>HERNANDEZ HERNANDEZ HERMELINDA</t>
  </si>
  <si>
    <t>CARBAJAL VALENCIA HUGO FERNANDO</t>
  </si>
  <si>
    <t>BARRAGAN LAGOS IAN FERNANDO</t>
  </si>
  <si>
    <t>DE JESUS PRADO ILICH LENIN</t>
  </si>
  <si>
    <t>RODRIGUEZ MARTINEZ IRVING ALEJANDRO</t>
  </si>
  <si>
    <t>VAZQUEZ CARDONA ISAAC</t>
  </si>
  <si>
    <t>CHAVEZ SAAVEDRA ISAAC EMILIANO</t>
  </si>
  <si>
    <t>INUKAI MORALES ISABEL HIROMI</t>
  </si>
  <si>
    <t>GORIBAR LOZA ISABELLA</t>
  </si>
  <si>
    <t>MONTIEL VARGAS ISABELLA DE LOS ANGELES</t>
  </si>
  <si>
    <t>ALVES CORNEJO ISABELY</t>
  </si>
  <si>
    <t>CENTENO REA ISRAEL</t>
  </si>
  <si>
    <t>RUIZ FUENTES IVAN</t>
  </si>
  <si>
    <t>GRAJALES SAINZ IVANA</t>
  </si>
  <si>
    <t>MORENO TOSCANO JAAZIEL ALEJANDRO</t>
  </si>
  <si>
    <t>HERNANDEZ  JACKELINE</t>
  </si>
  <si>
    <t>NUÑEZ VEGA JACOBO</t>
  </si>
  <si>
    <t>MEZA CORTES JADYN</t>
  </si>
  <si>
    <t>GUTIERREZ AVILA JAIME EMMANUEL</t>
  </si>
  <si>
    <t>MUÑOZ SANDOVAL JAIME GABRIEL</t>
  </si>
  <si>
    <t>QUESNEY CABRERA JANETH</t>
  </si>
  <si>
    <t>VALLADOLID GARCIA JARED ESAU</t>
  </si>
  <si>
    <t>AYALA ESPARZA JAVIER</t>
  </si>
  <si>
    <t>HERNANDEZ RENDON JAVIER</t>
  </si>
  <si>
    <t>CORONA HERNANDEZ JAVIER ALEJANDRO</t>
  </si>
  <si>
    <t>ARIAS ESCOBAR JAVIER ANDRES</t>
  </si>
  <si>
    <t>MARISCAL REYES JAVIER ANTONIO</t>
  </si>
  <si>
    <t>AGUILAR LUGO JAVIER EDUARDO</t>
  </si>
  <si>
    <t>AVILA PLASCENCIA JAVIER ISAIAS</t>
  </si>
  <si>
    <t>AGUILAR RUIZ JENIFER VANESSA</t>
  </si>
  <si>
    <t>MORENO LEPE JENNIFER</t>
  </si>
  <si>
    <t>MARTINEZ SALAZAR JESSIE ESTEFANIA</t>
  </si>
  <si>
    <t>NAVARRETE TERRONES JESUS ABRAHAM</t>
  </si>
  <si>
    <t>MORALES REYES JESUS ANDRES</t>
  </si>
  <si>
    <t>ARGANDA RUBIO JESUS BENJAMIN</t>
  </si>
  <si>
    <t>RAMOS CONTRERAS JESUS EDUARDO</t>
  </si>
  <si>
    <t>CARDENAS ORTIZ JESUS EMMANUEL</t>
  </si>
  <si>
    <t>ARIZMENDI MENDOZA JESUS ISSAHI</t>
  </si>
  <si>
    <t>NAVARRO LOPEZ JIMENA</t>
  </si>
  <si>
    <t>ZEA GOMEZ JOAQUIN</t>
  </si>
  <si>
    <t>VALDENEBRO MARTINEZ JOAQUIN ALEJANDRO</t>
  </si>
  <si>
    <t>FUENTES TALAVERA JOCELYN MONTSERRAT</t>
  </si>
  <si>
    <t>DURAN RUVALCABA JONATHAN OSWALDO</t>
  </si>
  <si>
    <t>FIGUEROA BAÑUELOS JONATHAN ULISES</t>
  </si>
  <si>
    <t>DIAZ ESPARZA JORGE ARMANDO</t>
  </si>
  <si>
    <t>CASTRO SOLIS JORGE EDUARDO</t>
  </si>
  <si>
    <t>LLAMAS DE ANDA JORGE EDUARDO</t>
  </si>
  <si>
    <t>ORTIZ RODRIGUEZ JORGE JULIAN</t>
  </si>
  <si>
    <t>CASTRO MARQUEZ JORGE LUIS</t>
  </si>
  <si>
    <t>ROBLES LOPEZ JORGE LUIS</t>
  </si>
  <si>
    <t>SANCHEZ RAMIREZ JORGE SANTANA</t>
  </si>
  <si>
    <t>ESCOBEDO GARCIA JOSE</t>
  </si>
  <si>
    <t>RUBALCAVA MERCADO JOSE ALBERTO</t>
  </si>
  <si>
    <t>URSIEL ORTEGA JOSE ALEJANDRO</t>
  </si>
  <si>
    <t>PEREZ MARQUEZ JOSE ALFREDO</t>
  </si>
  <si>
    <t>PEREZ CONTRERAS JOSE ANGEL</t>
  </si>
  <si>
    <t>MUÑOZ SEVILLA JOSE ANTONIO</t>
  </si>
  <si>
    <t>RODRIGUEZ MARTINEZ JOSE DANIEL</t>
  </si>
  <si>
    <t>CRUZ TELLEZ JOSE DAVID</t>
  </si>
  <si>
    <t>TORRES LUA JOSE EDUARDO</t>
  </si>
  <si>
    <t>BECERRIL GARCIA JOSE EMMANUEL</t>
  </si>
  <si>
    <t>DIAZ DE LEON GARCIA JOSE HUMBERTO</t>
  </si>
  <si>
    <t>CISNEROS CORTES JOSE ISAAC</t>
  </si>
  <si>
    <t>HORTA SOLTERO JOSE LUIS</t>
  </si>
  <si>
    <t>RODRIGUEZ AGUAYO JOSE MANUEL</t>
  </si>
  <si>
    <t>CORONADO CABRERA JOSE MARIA</t>
  </si>
  <si>
    <t>HUITRON SANCHEZ JOSE MAURICIO</t>
  </si>
  <si>
    <t>OLIVAS TORRES JOSE MAURICIO</t>
  </si>
  <si>
    <t>VEGA PACHECO JOSE RAMON</t>
  </si>
  <si>
    <t>GASCA TELLEZ JOSHUA ALEJANDRO</t>
  </si>
  <si>
    <t>PEREZ LOPEZ JOSUE JAVIER</t>
  </si>
  <si>
    <t>MATA DE LA MORA JOSUE SEBASTIAN EMILIANO</t>
  </si>
  <si>
    <t>FLORES FLORES JUAN ARMANDO</t>
  </si>
  <si>
    <t>BAÑUELOS PEREZ JUAN CARLOS</t>
  </si>
  <si>
    <t>CASTILLERO SOLANO JUAN CARLOS</t>
  </si>
  <si>
    <t>CASTRO ANZOATEGUI JUAN CARLOS</t>
  </si>
  <si>
    <t>MENDOZA ARMAS JUAN CARLOS</t>
  </si>
  <si>
    <t>ZACARIAS AGUILAR JUAN JESUS</t>
  </si>
  <si>
    <t>PRECIADO VALLE JUAN LUIS</t>
  </si>
  <si>
    <t>DAVALOS HERNANDEZ JUAN MANUEL</t>
  </si>
  <si>
    <t>BALCAZAR FERREL JUAN PABLO</t>
  </si>
  <si>
    <t>FIGUEROA RODRIGUEZ JUAN PABLO</t>
  </si>
  <si>
    <t>GOMEZ GOMEZ JUAN PABLO</t>
  </si>
  <si>
    <t>RUIZ GARCIA JUAN PABLO</t>
  </si>
  <si>
    <t>TREJO YAÑEZ JUAN PABLO</t>
  </si>
  <si>
    <t>VACA HERNANDEZ JUAN PABLO</t>
  </si>
  <si>
    <t>LOZANO RIOS JULIANA VALENTINA</t>
  </si>
  <si>
    <t>TEJEDA DAVALOS JULIETA</t>
  </si>
  <si>
    <t>CORDOVA RODRIGUEZ JULIETA RENATA</t>
  </si>
  <si>
    <t>RAMIREZ ROBLES KAHLEB ALEJANDRO</t>
  </si>
  <si>
    <t>GONZALEZ AGUAYO KAREN ALEJANDRA</t>
  </si>
  <si>
    <t>RUIZ MARTINEZ KAREN GUADALUPE</t>
  </si>
  <si>
    <t>CARRETERO AGUILERA KAREN ITZEL</t>
  </si>
  <si>
    <t>GONZALEZ JIMENEZ KAREN JANETTE</t>
  </si>
  <si>
    <t>COVARRUBIAS RENTERIA KAREN MICHELLE</t>
  </si>
  <si>
    <t>CISNEROS GARCIA KARIM DANIEL</t>
  </si>
  <si>
    <t>RIVERA BALBUENA KARIME ANAHI</t>
  </si>
  <si>
    <t>VILLEGAS ANGEL KARINA</t>
  </si>
  <si>
    <t>PICENO CASTELLANOS KARINA ITZELL</t>
  </si>
  <si>
    <t>REYES PALACIOS KARLA ALEXIA</t>
  </si>
  <si>
    <t>ZAYAS VILLALOBOS KARLA DANIELA</t>
  </si>
  <si>
    <t>JAIME GONZALEZ KARLA GABRIELA</t>
  </si>
  <si>
    <t>GRAJALES MASINI KARLA GUADALUPE</t>
  </si>
  <si>
    <t>MACIAS ONTIVEROS KARLA MICHELLE</t>
  </si>
  <si>
    <t>BAUTISTA HERNANDEZ KARLA VALERIA</t>
  </si>
  <si>
    <t>SANDOVAL VEGA KAROL GUADALUPE</t>
  </si>
  <si>
    <t>MEJIA GARCIA KAROL NICOLAS</t>
  </si>
  <si>
    <t>PALMA LOPEZ KATIA</t>
  </si>
  <si>
    <t>AGUILAR CALLEJAS KENNIA GUADALUPE</t>
  </si>
  <si>
    <t>VILLALOBOS MENDOZA KEVIN</t>
  </si>
  <si>
    <t>SANCHEZ REYES KEVIN CARLOS</t>
  </si>
  <si>
    <t>HERNANDEZ QUEZADA KEVIN EMMANUEL</t>
  </si>
  <si>
    <t>MORA ZEPEDA KEVIN JOSUE</t>
  </si>
  <si>
    <t>VAZQUEZ ECHEAGARAY KEVIN MATTHEW</t>
  </si>
  <si>
    <t>COLDIVAR FLORES KEVIN RAMON</t>
  </si>
  <si>
    <t>ESTRADA BAUTISTA KEVIN RODRIGO PASCAL</t>
  </si>
  <si>
    <t>SOLORZANO GARCIA KIARA MAUREEN</t>
  </si>
  <si>
    <t>PADILLA SALINAS KITZYA ANGELINA</t>
  </si>
  <si>
    <t>CONTRERAS VEGA LAURA JOSSELIN</t>
  </si>
  <si>
    <t>IÑIGUEZ OSEGUERA LAURA MARIA</t>
  </si>
  <si>
    <t>CEJA PEREZ LAURA SUSANA</t>
  </si>
  <si>
    <t>TORRES GUEVARA LAVINIA ZARINA</t>
  </si>
  <si>
    <t>GONZALEZ GUERRA LAYSSA</t>
  </si>
  <si>
    <t>MARTINEZ RUAN LEONARDO</t>
  </si>
  <si>
    <t>VILLAVICENCIO OCEGUERA LEONARDO</t>
  </si>
  <si>
    <t>DE LA MORA SANCHEZ LEONARDO ALEJANDRO</t>
  </si>
  <si>
    <t>VAZQUEZ CASTELLANOS LEONARDO AUGUSTO</t>
  </si>
  <si>
    <t>ORTA CRUZ LEONEL MAXIMILIANO</t>
  </si>
  <si>
    <t>BARRIOS SANDOVAL LEONEL RICARDO</t>
  </si>
  <si>
    <t>ROBLEDO RODRIGUEZ LESLY DANIELA</t>
  </si>
  <si>
    <t>VALENCIA BARAJAS LILIAN</t>
  </si>
  <si>
    <t>BARRIOS SANDOVAL LILLIAN REBECA</t>
  </si>
  <si>
    <t>SANDOVAL VALENZUELA LISSET</t>
  </si>
  <si>
    <t>SILVA SOTELO LUIS ALBERTO</t>
  </si>
  <si>
    <t>ESPARZA SANCHEZ LUIS ALEJANDRO</t>
  </si>
  <si>
    <t>GARCIA GARCIA LUIS ALONSO</t>
  </si>
  <si>
    <t>SANTANA AGUILAR LUIS ANTONIO</t>
  </si>
  <si>
    <t>GARCIA FERNANDEZ LUIS DANIEL</t>
  </si>
  <si>
    <t>LOPEZ OROZCO LUIS FERNANDO</t>
  </si>
  <si>
    <t>MORA DEL TORO LUIS FERNANDO</t>
  </si>
  <si>
    <t>OCHOA FONSECA LUIS FERNANDO</t>
  </si>
  <si>
    <t>PEREZ ENCISO LUIS FERNANDO</t>
  </si>
  <si>
    <t>SALAZAR TORRES LUIS FERNANDO</t>
  </si>
  <si>
    <t>ALMONTE MEJIA LUIS JAVIER</t>
  </si>
  <si>
    <t>DAVALOS RODRIGUEZ LUIS MANUEL</t>
  </si>
  <si>
    <t>GUTIERREZ CHAVEZ LUIS RODOLFO</t>
  </si>
  <si>
    <t>LOZANO SANCHEZ LUIS RODOLFO</t>
  </si>
  <si>
    <t>SILVA TORRES LUIS RONALDO</t>
  </si>
  <si>
    <t>ROJO GAXIOLA LUIS SERGIO</t>
  </si>
  <si>
    <t>LOZANO DE LA O LUNA DALAI</t>
  </si>
  <si>
    <t>AMARO RIVERON LUNIA MARGARITA</t>
  </si>
  <si>
    <t>GOMEZ OSORIO LUZ ANGELICA NAOMI</t>
  </si>
  <si>
    <t>HUERTA LOPEZ LYA ABIGAIL</t>
  </si>
  <si>
    <t>ROJAS SANCHEZ MANUELA MARIA</t>
  </si>
  <si>
    <t>BELLO ARIAS MARCELIANO</t>
  </si>
  <si>
    <t>LOPEZ LUVIAN MARCO ANTONIO</t>
  </si>
  <si>
    <t>ORTA CRUZ MARCO ARTURO</t>
  </si>
  <si>
    <t>PREZA RUVALCABA MARCO GABRIEL</t>
  </si>
  <si>
    <t>HERNANDEZ HERNANDEZ MARIA ANTONIA</t>
  </si>
  <si>
    <t>SANTOYO GARCIA MARIA DE LOS ANGELES</t>
  </si>
  <si>
    <t>AGUILAR MONTES MARIA FERNANDA</t>
  </si>
  <si>
    <t>ALVAREZ LOPEZ MARIA FERNANDA</t>
  </si>
  <si>
    <t>ALVAREZ OCHOA MARIA FERNANDA</t>
  </si>
  <si>
    <t>CASTILLO GONZALEZ MARIA FERNANDA</t>
  </si>
  <si>
    <t>DOMINGUEZ NIEBLAS MARIA FERNANDA</t>
  </si>
  <si>
    <t>MARTINEZ MENDEZ MARIA FERNANDA</t>
  </si>
  <si>
    <t>RODRIGUEZ DURAN MARIA FERNANDA</t>
  </si>
  <si>
    <t>SANDOVAL RODRIGUEZ MARIA FERNANDA</t>
  </si>
  <si>
    <t>RUIZ LOPEZ MARIA INES</t>
  </si>
  <si>
    <t>ESPARZA CONTRERAS MARIA SOFIA</t>
  </si>
  <si>
    <t>RUIZ MARTIN MARIAN ISABELLA</t>
  </si>
  <si>
    <t>AVILA ESTRADA MARIANA</t>
  </si>
  <si>
    <t>CASTRO ANZOATEGUI MARIANA</t>
  </si>
  <si>
    <t>GARCIA VILLANUEVA MARIANA</t>
  </si>
  <si>
    <t>TORRES CAMACHO MARIANA</t>
  </si>
  <si>
    <t>FLORES RAMIREZ MARIANA ITZEL</t>
  </si>
  <si>
    <t>JASSO ESPINOSA MARIANA JOSELYNE</t>
  </si>
  <si>
    <t>VILLA CRUZ MARIANA SUJEY</t>
  </si>
  <si>
    <t>FLORES AGUILAR MARIANGEL</t>
  </si>
  <si>
    <t>OLMEDO CASILLAS MARIANNE</t>
  </si>
  <si>
    <t>MARTINEZ BUENROSTRO MARIANO</t>
  </si>
  <si>
    <t>MARQUEZ DELGADILLO MARIANO ADONAI</t>
  </si>
  <si>
    <t>GONZALEZ CAMPOS MARIEL CAROLINA</t>
  </si>
  <si>
    <t>GOMEZ MURGUIA MARIFER</t>
  </si>
  <si>
    <t>GAYTAN OROZCO MARIO ARTURO</t>
  </si>
  <si>
    <t>GOMEZ RAMOS MARIO ISAIAS</t>
  </si>
  <si>
    <t>GUZMAN MORENO MARISOL</t>
  </si>
  <si>
    <t>SANCHEZ GIL DOMINGUEZ MARISOL</t>
  </si>
  <si>
    <t>HERNANDEZ GARCIA MARITZA ELIZABETH</t>
  </si>
  <si>
    <t>FRANCO FLORES MARTHA CAROLINA</t>
  </si>
  <si>
    <t>YAÑEZ RIVERA MAURICIO</t>
  </si>
  <si>
    <t>QUINTERO URZUA MAURICIO JAVIER</t>
  </si>
  <si>
    <t>GARCIA NAVARRO MAURO</t>
  </si>
  <si>
    <t>RESENDIZ PIÑA MAXIMILIANO</t>
  </si>
  <si>
    <t>ROSALES HERRERA MAYRA JESUS DE BELEN</t>
  </si>
  <si>
    <t>BUENO GUTIERREZ MELANI RACHEL</t>
  </si>
  <si>
    <t>AVILA ESTRADA MELANY DENISSE</t>
  </si>
  <si>
    <t>ALATORRE GOMEZ MELISSA ITZEL</t>
  </si>
  <si>
    <t>SILVA MARTINEZ MELISSA ITZEL</t>
  </si>
  <si>
    <t>RUIZ VALENZUELA MICHELLE</t>
  </si>
  <si>
    <t>NAVARRO ZAPATA MICHELLE ANAHI</t>
  </si>
  <si>
    <t>OCHOA GONZALEZ MICHELLE CAROLINA</t>
  </si>
  <si>
    <t>DELGADO  MIGUEL</t>
  </si>
  <si>
    <t>NUÑO ARANA MIGUEL ANGEL</t>
  </si>
  <si>
    <t>RUIZ GAMARRA MIGUEL ANGEL SNAYDER</t>
  </si>
  <si>
    <t>LOPEZ VARGAS MIRANDA CAROLINA</t>
  </si>
  <si>
    <t>RODRIGUEZ MARTINEZ MIRIAM ALEJANDRA</t>
  </si>
  <si>
    <t>GONZALEZ BLANCO MONICA ALEJANDRA</t>
  </si>
  <si>
    <t>HERRERA DUEÑAS MONTSERRAT</t>
  </si>
  <si>
    <t>MIRANDA DIAZ MONTSERRAT</t>
  </si>
  <si>
    <t>ESQUIVEL ENCARNACION MYRIAM SOFIA</t>
  </si>
  <si>
    <t>RAMIREZ HIDALGO NAOMI DANAI</t>
  </si>
  <si>
    <t>HERNANDEZ GARCIA NAOMI JIMENA</t>
  </si>
  <si>
    <t>ESQUER QUINTANILLA NATALIA</t>
  </si>
  <si>
    <t>IZQUIERDO MARTINEZ NATALIA</t>
  </si>
  <si>
    <t>NARVAEZ LOZANO NATALIA</t>
  </si>
  <si>
    <t>ORTIZ LOPEZ NATALIA</t>
  </si>
  <si>
    <t>SILVA LUGO NATALIA</t>
  </si>
  <si>
    <t>FERNLEY SUCCAR NATALIE</t>
  </si>
  <si>
    <t>MARTINEZ ORTEGA NEIZER JESUS</t>
  </si>
  <si>
    <t>BARROSO PAZ NELLY</t>
  </si>
  <si>
    <t>HERMOSILLO MEXIA NICOL GUADALUPE</t>
  </si>
  <si>
    <t>JIMENEZ MC LANE NICOLE</t>
  </si>
  <si>
    <t>GONZALEZ AGUIRRE NOEMI JOCELYN</t>
  </si>
  <si>
    <t>SAKODA  NOZOMI</t>
  </si>
  <si>
    <t>ROCHA GARCIA OLIVER</t>
  </si>
  <si>
    <t>RIOS LARA OMAR</t>
  </si>
  <si>
    <t>MUÑOZ RODRIGUEZ ORLANDO BARU</t>
  </si>
  <si>
    <t>GOMEZ GONZALEZ OSCAR</t>
  </si>
  <si>
    <t>RAMIREZ RAMOS OSCAR ALFREDO</t>
  </si>
  <si>
    <t>GUZMAN VAZQUEZ OSCAR ANDRES</t>
  </si>
  <si>
    <t>TIBURCIO FABIAN OSCAR DANIEL</t>
  </si>
  <si>
    <t>TINOCO AVILA OSCAR DANIEL</t>
  </si>
  <si>
    <t>VELAZQUEZ REYES OSCAR DIEGO</t>
  </si>
  <si>
    <t>CAYO DIAZ OSCAR EMILIO</t>
  </si>
  <si>
    <t>OLIVA RODRIGUEZ OSCAR HIRAM</t>
  </si>
  <si>
    <t>VAZQUEZ MUÑOZ OSCAR ISRAEL</t>
  </si>
  <si>
    <t>BALLESTEROS GALVAN OSCAR OSVALDO</t>
  </si>
  <si>
    <t>GONZALEZ CAMPOS OSCAR ROBERTO</t>
  </si>
  <si>
    <t>VELEZ REYNOSO OSCAR URIEL</t>
  </si>
  <si>
    <t>FIGUEROA NUÑO OSMAR ANDREY</t>
  </si>
  <si>
    <t>ALVAREZ CRUZ OSWALDO</t>
  </si>
  <si>
    <t>MOLINA ZAMORA OSWALDO JOSAFAT</t>
  </si>
  <si>
    <t>CAMACHO GONZALEZ PABLO ANGEL</t>
  </si>
  <si>
    <t>ENCINOS SANTIZ PABLO DOMINGO</t>
  </si>
  <si>
    <t>OROZCO BRIZUELA PABLO JARED</t>
  </si>
  <si>
    <t>AGUIRRE ASTORGA PABLO LEONARDO</t>
  </si>
  <si>
    <t>RUIZ GOMEZ PABLO MANUEL</t>
  </si>
  <si>
    <t>BECCARIS JIMENEZ PABLO MARIA</t>
  </si>
  <si>
    <t>SALCIDO RAMOS PABLO OSCAR</t>
  </si>
  <si>
    <t>FLORES MORA PABLO SAMUEL</t>
  </si>
  <si>
    <t>CERVANTES CAMACHO PALOMA</t>
  </si>
  <si>
    <t>COSIO LOPEZ PALOMA MICHELLE</t>
  </si>
  <si>
    <t>FLORES ZAVALETA PAOLA</t>
  </si>
  <si>
    <t>GUTIERREZ RENTERIA PAOLA</t>
  </si>
  <si>
    <t>PANDURO SOLIS PAOLA DENICE</t>
  </si>
  <si>
    <t>PEREZ TORRES PATRICIA</t>
  </si>
  <si>
    <t>AGUAYO CAMACHO PAULINA</t>
  </si>
  <si>
    <t>VALADEZ RIVERA PAULINA NATALY</t>
  </si>
  <si>
    <t>MARTINEZ JIMENEZ PAULO ALBERTO</t>
  </si>
  <si>
    <t>RUBIO ORTIZ PEDRO EMILIANO</t>
  </si>
  <si>
    <t>SOLAEGUI HERNANDEZ PEDRO IKER</t>
  </si>
  <si>
    <t>AVILES BRETADO PERLA BEATRIZ</t>
  </si>
  <si>
    <t>LARA  RAFAEL VALENTIN</t>
  </si>
  <si>
    <t>LOPEZ ALVAREZ REGINA</t>
  </si>
  <si>
    <t>MARRON PEREZ REGINA</t>
  </si>
  <si>
    <t>ARELLANO BAÑUELOS REGINA MARGARITA</t>
  </si>
  <si>
    <t>BARBOSA CUEVAS RENATA</t>
  </si>
  <si>
    <t>PICHARDO JAIME RENATA</t>
  </si>
  <si>
    <t>CAREY RAMIREZ RENATA GABRIELA</t>
  </si>
  <si>
    <t>LOPEZ SILVA RICARDO</t>
  </si>
  <si>
    <t>RAYGOZA GOMEZ RICARDO</t>
  </si>
  <si>
    <t>GARCIA RODRIGUEZ RICARDO ALEXANDER</t>
  </si>
  <si>
    <t>TINOCO ARICEAGA ROBERTO</t>
  </si>
  <si>
    <t>GONZALEZ MIRANDA ROBERTO ANTONIO</t>
  </si>
  <si>
    <t>ZAMORA SALAZAR ROBERTO EMMANUEL</t>
  </si>
  <si>
    <t>ALVAREZ ESPINOSA RODRIGO</t>
  </si>
  <si>
    <t>MARTINEZ CASTELLANOS RODRIGO</t>
  </si>
  <si>
    <t>MARTINEZ MARTINEZ RODRIGO</t>
  </si>
  <si>
    <t>MEDRANO ORTA RODRIGO</t>
  </si>
  <si>
    <t>RIVERA VILLASEÑOR RODRIGO</t>
  </si>
  <si>
    <t>ROMO GUADARRAMA RODRIGO</t>
  </si>
  <si>
    <t>LOPEZ ALFEREZ RODRIGO SAUL</t>
  </si>
  <si>
    <t>LOPEZ MAGAÑA ROMINA</t>
  </si>
  <si>
    <t>ROSAS PEREZ ROSARIO</t>
  </si>
  <si>
    <t>HERNANDEZ ROMAN RUTH PAOLA</t>
  </si>
  <si>
    <t>GARCIA DURAN SALVADOR CEO</t>
  </si>
  <si>
    <t>PIÑON CARO SALVADOR NICOLAS</t>
  </si>
  <si>
    <t>MONTES SALDATE SAMUEL ALEJANDRO</t>
  </si>
  <si>
    <t>VERA DE LA ROSA SAMUEL RICARDO</t>
  </si>
  <si>
    <t>MARTINEZ NAVARRO SANDRA</t>
  </si>
  <si>
    <t>GUERRERO GRIMALDO SANDRA BEATRIZ</t>
  </si>
  <si>
    <t>CALDERON GONZALEZ SANTIAGO</t>
  </si>
  <si>
    <t>PELAYO ESPINOSA SANTIAGO</t>
  </si>
  <si>
    <t>MEJIA DE LA ROSA SANTIAGO RENE</t>
  </si>
  <si>
    <t>CAJERO EINUNG SARA AGALI</t>
  </si>
  <si>
    <t>LEON MUÑOZ SARA ALICIA</t>
  </si>
  <si>
    <t>BAJO PEREZ SARAHI</t>
  </si>
  <si>
    <t>VILLALOBOS CARRILLO SAUL DE JESUS</t>
  </si>
  <si>
    <t>GARCIA MEJIA SEBASTIAN</t>
  </si>
  <si>
    <t>MARTIN CAMPOS SEBASTIAN</t>
  </si>
  <si>
    <t>ROCHA LOZANO SEBASTIAN</t>
  </si>
  <si>
    <t>PALAFOX FIGUEROA SEBASTIAN ALONSO</t>
  </si>
  <si>
    <t>APONTE NAVARRO SEBASTIAN EMILIANO</t>
  </si>
  <si>
    <t>GALLEGOS RAMOS SERGIO JOSE</t>
  </si>
  <si>
    <t>VAZQUEZ RODRIGUEZ SHARON SOFIA</t>
  </si>
  <si>
    <t>BARAJAS RAMIREZ SOFIA</t>
  </si>
  <si>
    <t>CARRILLO MATUS SOFIA</t>
  </si>
  <si>
    <t>MANCILLA PAVIA SOFIA</t>
  </si>
  <si>
    <t>PARTIDA BARBA SOFIA</t>
  </si>
  <si>
    <t>SOLAEGUI HERNANDEZ SOFIA</t>
  </si>
  <si>
    <t>MARMOLEJO RODRIGUEZ SONIA XIMENA</t>
  </si>
  <si>
    <t>CONTRERAS SANCHEZ TANIA DE LOS ANGELES</t>
  </si>
  <si>
    <t>RIVERA RANGEL TANIA FERNANDA</t>
  </si>
  <si>
    <t>GALLI MARTINEZ TATIANA</t>
  </si>
  <si>
    <t>AVENDAÑO PANI UBALDO</t>
  </si>
  <si>
    <t>GONZALEZ LOPEZ ULISES JOSELL</t>
  </si>
  <si>
    <t>ESCALANTE RAMIREZ VALENTINA</t>
  </si>
  <si>
    <t>PALOMINO RODRIGUEZ VALENTINA</t>
  </si>
  <si>
    <t>ELIZALDE QUINTERO VALENTINO</t>
  </si>
  <si>
    <t>ALEJO GONZALEZ VALERIA</t>
  </si>
  <si>
    <t>BAÑUELOS MONTEVERDE VALERIA</t>
  </si>
  <si>
    <t>BUITRON VALENCIA VALERIA</t>
  </si>
  <si>
    <t>CASTILLO LOPEZ VALERIA</t>
  </si>
  <si>
    <t>GALLO ACEVES VALERIA</t>
  </si>
  <si>
    <t>GALVEZ DIAZ VALERIA</t>
  </si>
  <si>
    <t>HERNANDEZ GOMEZ VALERIA</t>
  </si>
  <si>
    <t>ORTEGA CANO VALERIA</t>
  </si>
  <si>
    <t>SALDAÑA VARGAS VALERIA</t>
  </si>
  <si>
    <t>TORRES FARIAS VALERIA</t>
  </si>
  <si>
    <t>ESTRADA GIL VALERIA ALEJANDRA</t>
  </si>
  <si>
    <t>OCHOA REYES VALERIA SOFIA</t>
  </si>
  <si>
    <t>BAENA GUERRERO VERONICA PRUEBA</t>
  </si>
  <si>
    <t>FRANCO MENDEZ VICTOR HUGO</t>
  </si>
  <si>
    <t>CERVANTES PANDURO VICTOR MANUEL</t>
  </si>
  <si>
    <t>VELASCO LIEVANOS VICTOR MANUEL</t>
  </si>
  <si>
    <t>GUERRERO FLORES VICTORIA</t>
  </si>
  <si>
    <t>ROMERO GOMEZ VICTORIA</t>
  </si>
  <si>
    <t>RIVERA OLIVER VIVIANA PAOLA</t>
  </si>
  <si>
    <t>STOBSCHINSKI FRANZ WILHELM</t>
  </si>
  <si>
    <t>CARDENAS GARCIA XIMENA</t>
  </si>
  <si>
    <t>COVARRUBIAS LIMON XIMENA</t>
  </si>
  <si>
    <t>RODRIGUEZ CISNEROS XIMENA SOFIA</t>
  </si>
  <si>
    <t>HERNANDEZ GONZALEZ YAEL ALEJANDRO</t>
  </si>
  <si>
    <t>MEDINA RODRIGUEZ YAEL DE JESUS</t>
  </si>
  <si>
    <t>GARCIA IBARRA YAZMIN GABRIELA</t>
  </si>
  <si>
    <t>SANCHEZ RANGEL YESSIKA MICHELL</t>
  </si>
  <si>
    <t>RUIZ GONZALEZ YOCELIN YAZMIN</t>
  </si>
  <si>
    <t>GUILLEN HERNANDEZ ZAHID LIEVICH</t>
  </si>
  <si>
    <t>ENRIQUEZ SANCHEZ ZAHIRA PAULETTE</t>
  </si>
  <si>
    <t>CARRANZA LESPRON ZARA PAULINA</t>
  </si>
  <si>
    <t>MONTAÑO AMBROCIO ZARA SOFIA</t>
  </si>
  <si>
    <t>Carrera</t>
  </si>
  <si>
    <t>ADMINISTRACIÓN</t>
  </si>
  <si>
    <t>Grado</t>
  </si>
  <si>
    <t>4to</t>
  </si>
  <si>
    <t>2do</t>
  </si>
  <si>
    <t>6to</t>
  </si>
  <si>
    <t>8vo</t>
  </si>
  <si>
    <t>10mo</t>
  </si>
  <si>
    <t>9no</t>
  </si>
  <si>
    <t>1ro</t>
  </si>
  <si>
    <t>Sexo</t>
  </si>
  <si>
    <t>Femenino</t>
  </si>
  <si>
    <t>Masculino</t>
  </si>
  <si>
    <t>Situación</t>
  </si>
  <si>
    <t>Activo</t>
  </si>
  <si>
    <t>Bloqueado</t>
  </si>
  <si>
    <t>Grupo</t>
  </si>
  <si>
    <t xml:space="preserve">NUT 4°    </t>
  </si>
  <si>
    <t xml:space="preserve">PSI 2°    </t>
  </si>
  <si>
    <t xml:space="preserve">CIB 6°    </t>
  </si>
  <si>
    <t xml:space="preserve">AERO 6°   </t>
  </si>
  <si>
    <t xml:space="preserve">AERO 8°   </t>
  </si>
  <si>
    <t xml:space="preserve">AUTO 2° A </t>
  </si>
  <si>
    <t xml:space="preserve">AERO_10°  </t>
  </si>
  <si>
    <t xml:space="preserve">AUTO 4°   </t>
  </si>
  <si>
    <t xml:space="preserve">PSI 4°    </t>
  </si>
  <si>
    <t xml:space="preserve">AERO 2°A  </t>
  </si>
  <si>
    <t xml:space="preserve">AERO 2°B  </t>
  </si>
  <si>
    <t xml:space="preserve">ANIM 6°   </t>
  </si>
  <si>
    <t xml:space="preserve">AERO 4°A  </t>
  </si>
  <si>
    <t xml:space="preserve">ANIM 8°   </t>
  </si>
  <si>
    <t xml:space="preserve">IA 2°     </t>
  </si>
  <si>
    <t xml:space="preserve">ADMON 8°  </t>
  </si>
  <si>
    <t xml:space="preserve">AUTO 6°   </t>
  </si>
  <si>
    <t xml:space="preserve">NUT 6°    </t>
  </si>
  <si>
    <t xml:space="preserve">ARQ 4°    </t>
  </si>
  <si>
    <t xml:space="preserve">ARQ 2°    </t>
  </si>
  <si>
    <t xml:space="preserve">ADMON 2°  </t>
  </si>
  <si>
    <t xml:space="preserve">AERO 4°B  </t>
  </si>
  <si>
    <t xml:space="preserve">ADMON 4°  </t>
  </si>
  <si>
    <t xml:space="preserve">PSI 6°    </t>
  </si>
  <si>
    <t xml:space="preserve">PSI 8°    </t>
  </si>
  <si>
    <t xml:space="preserve">NUT 8°    </t>
  </si>
  <si>
    <t xml:space="preserve">ARQ 6°    </t>
  </si>
  <si>
    <t xml:space="preserve">ARQ 8°    </t>
  </si>
  <si>
    <t xml:space="preserve">MKT 8°    </t>
  </si>
  <si>
    <t xml:space="preserve">ANIM 4°   </t>
  </si>
  <si>
    <t xml:space="preserve">AUTO 2° B </t>
  </si>
  <si>
    <t xml:space="preserve">ADMON 6°  </t>
  </si>
  <si>
    <t xml:space="preserve">DER 8°    </t>
  </si>
  <si>
    <t xml:space="preserve">CIB 8°    </t>
  </si>
  <si>
    <t xml:space="preserve">IA 6°     </t>
  </si>
  <si>
    <t xml:space="preserve">NUT 2°    </t>
  </si>
  <si>
    <t xml:space="preserve">DGD 8°    </t>
  </si>
  <si>
    <t xml:space="preserve">IND 6°    </t>
  </si>
  <si>
    <t xml:space="preserve">DGD 6°    </t>
  </si>
  <si>
    <t xml:space="preserve">COM 8°    </t>
  </si>
  <si>
    <t xml:space="preserve">ANIM 2°   </t>
  </si>
  <si>
    <t xml:space="preserve">IA 4°     </t>
  </si>
  <si>
    <t>Total Total</t>
  </si>
  <si>
    <t>Correo</t>
  </si>
  <si>
    <t>clave</t>
  </si>
  <si>
    <t xml:space="preserve">TOMAR DEL SND </t>
  </si>
  <si>
    <t>INGENIERÍA AUTOMOTRIZ</t>
  </si>
  <si>
    <t>INGENIERÍA EN INTELIGENCIA ARTIFICIAL</t>
  </si>
  <si>
    <t>NUTRICION Y GASTRONOMIA</t>
  </si>
  <si>
    <t>PSICOLOGIA</t>
  </si>
  <si>
    <t>INGENIERIA CIBERNETICA Y EN SISTEMAS COMPUTACIONALES</t>
  </si>
  <si>
    <t>INGENIERIA AEROESPACIAL</t>
  </si>
  <si>
    <t>ANIMACION DIGITAL Y VIDEOJUEGOS</t>
  </si>
  <si>
    <t>ADMINISTRACION Y DIRECCION DE NEGOCIOS</t>
  </si>
  <si>
    <t>ARQUITECTURA</t>
  </si>
  <si>
    <t>MERCADOTECNIA Y PUBLICIDAD</t>
  </si>
  <si>
    <t>DERECHO</t>
  </si>
  <si>
    <t>DISEÑO GRAFICO Y DIGITAL</t>
  </si>
  <si>
    <t>INGENIERIA INDUSTRIAL Y EN SISTEMAS ORGANIZACIONALES</t>
  </si>
  <si>
    <t>COMERCIO INTERNACIONAL</t>
  </si>
  <si>
    <t>ID</t>
  </si>
  <si>
    <t>Clave</t>
  </si>
  <si>
    <t>id,nivel,correo,matricula,clave,nombre,carrera,grado,sexo,situacion,evaluados,num_evaluados,total_evaluaciones,ultimo_acceso,nivel_acceso</t>
  </si>
  <si>
    <t>'LICENCIATURA'</t>
  </si>
  <si>
    <t>TOMAR DEL SND'</t>
  </si>
  <si>
    <t>BAGV</t>
  </si>
  <si>
    <t>111772</t>
  </si>
  <si>
    <t>112156</t>
  </si>
  <si>
    <t>111103</t>
  </si>
  <si>
    <t>111031</t>
  </si>
  <si>
    <t>110517</t>
  </si>
  <si>
    <t>112194</t>
  </si>
  <si>
    <t>109814</t>
  </si>
  <si>
    <t>111784</t>
  </si>
  <si>
    <t>109374</t>
  </si>
  <si>
    <t>111793</t>
  </si>
  <si>
    <t>112223</t>
  </si>
  <si>
    <t>111068</t>
  </si>
  <si>
    <t>112225</t>
  </si>
  <si>
    <t>111179</t>
  </si>
  <si>
    <t>111763</t>
  </si>
  <si>
    <t>110549</t>
  </si>
  <si>
    <t>112160</t>
  </si>
  <si>
    <t>112166</t>
  </si>
  <si>
    <t>110421</t>
  </si>
  <si>
    <t>111193</t>
  </si>
  <si>
    <t>111159</t>
  </si>
  <si>
    <t>109997</t>
  </si>
  <si>
    <t>111618</t>
  </si>
  <si>
    <t>111819</t>
  </si>
  <si>
    <t>008268</t>
  </si>
  <si>
    <t>109839</t>
  </si>
  <si>
    <t>112182</t>
  </si>
  <si>
    <t>111687</t>
  </si>
  <si>
    <t>111677</t>
  </si>
  <si>
    <t>111827</t>
  </si>
  <si>
    <t>111082</t>
  </si>
  <si>
    <t>110525</t>
  </si>
  <si>
    <t>110596</t>
  </si>
  <si>
    <t>111758</t>
  </si>
  <si>
    <t>109846</t>
  </si>
  <si>
    <t>111091</t>
  </si>
  <si>
    <t>109856</t>
  </si>
  <si>
    <t>111113</t>
  </si>
  <si>
    <t>111074</t>
  </si>
  <si>
    <t>111100</t>
  </si>
  <si>
    <t>112169</t>
  </si>
  <si>
    <t>109882</t>
  </si>
  <si>
    <t>110666</t>
  </si>
  <si>
    <t>111204</t>
  </si>
  <si>
    <t>111188</t>
  </si>
  <si>
    <t>110475</t>
  </si>
  <si>
    <t>110500</t>
  </si>
  <si>
    <t>111765</t>
  </si>
  <si>
    <t>112293</t>
  </si>
  <si>
    <t>111097</t>
  </si>
  <si>
    <t>111152</t>
  </si>
  <si>
    <t>111799</t>
  </si>
  <si>
    <t>111625</t>
  </si>
  <si>
    <t>111604</t>
  </si>
  <si>
    <t>110613</t>
  </si>
  <si>
    <t>111181</t>
  </si>
  <si>
    <t>109808</t>
  </si>
  <si>
    <t>112173</t>
  </si>
  <si>
    <t>110501</t>
  </si>
  <si>
    <t>111742</t>
  </si>
  <si>
    <t>111276</t>
  </si>
  <si>
    <t>112277</t>
  </si>
  <si>
    <t>111077</t>
  </si>
  <si>
    <t>112200</t>
  </si>
  <si>
    <t>112227</t>
  </si>
  <si>
    <t>111728</t>
  </si>
  <si>
    <t>112206</t>
  </si>
  <si>
    <t>111202</t>
  </si>
  <si>
    <t>007113</t>
  </si>
  <si>
    <t>110730</t>
  </si>
  <si>
    <t>110449</t>
  </si>
  <si>
    <t>111670</t>
  </si>
  <si>
    <t>110420</t>
  </si>
  <si>
    <t>111839</t>
  </si>
  <si>
    <t>111750</t>
  </si>
  <si>
    <t>112175</t>
  </si>
  <si>
    <t>112311</t>
  </si>
  <si>
    <t>111802</t>
  </si>
  <si>
    <t>111723</t>
  </si>
  <si>
    <t>109824</t>
  </si>
  <si>
    <t>110444</t>
  </si>
  <si>
    <t>111237</t>
  </si>
  <si>
    <t>112191</t>
  </si>
  <si>
    <t>111668</t>
  </si>
  <si>
    <t>112168</t>
  </si>
  <si>
    <t>110486</t>
  </si>
  <si>
    <t>111609</t>
  </si>
  <si>
    <t>111182</t>
  </si>
  <si>
    <t>111087</t>
  </si>
  <si>
    <t>007290</t>
  </si>
  <si>
    <t>112221</t>
  </si>
  <si>
    <t>112163</t>
  </si>
  <si>
    <t>112358</t>
  </si>
  <si>
    <t>112177</t>
  </si>
  <si>
    <t>111656</t>
  </si>
  <si>
    <t>007948</t>
  </si>
  <si>
    <t>111054</t>
  </si>
  <si>
    <t>112016</t>
  </si>
  <si>
    <t>112152</t>
  </si>
  <si>
    <t>111791</t>
  </si>
  <si>
    <t>110565</t>
  </si>
  <si>
    <t>111636</t>
  </si>
  <si>
    <t>111738</t>
  </si>
  <si>
    <t>110531</t>
  </si>
  <si>
    <t>112258</t>
  </si>
  <si>
    <t>111130</t>
  </si>
  <si>
    <t>111072</t>
  </si>
  <si>
    <t>111627</t>
  </si>
  <si>
    <t>111798</t>
  </si>
  <si>
    <t>111815</t>
  </si>
  <si>
    <t>111119</t>
  </si>
  <si>
    <t>110467</t>
  </si>
  <si>
    <t>112147</t>
  </si>
  <si>
    <t>112235</t>
  </si>
  <si>
    <t>109852</t>
  </si>
  <si>
    <t>112196</t>
  </si>
  <si>
    <t>112248</t>
  </si>
  <si>
    <t>110478</t>
  </si>
  <si>
    <t>112218</t>
  </si>
  <si>
    <t>007404</t>
  </si>
  <si>
    <t>112346</t>
  </si>
  <si>
    <t>111208</t>
  </si>
  <si>
    <t>110559</t>
  </si>
  <si>
    <t>112201</t>
  </si>
  <si>
    <t>110498</t>
  </si>
  <si>
    <t>111663</t>
  </si>
  <si>
    <t>109970</t>
  </si>
  <si>
    <t>110423</t>
  </si>
  <si>
    <t>112237</t>
  </si>
  <si>
    <t>111155</t>
  </si>
  <si>
    <t>110455</t>
  </si>
  <si>
    <t>112244</t>
  </si>
  <si>
    <t>109810</t>
  </si>
  <si>
    <t>112257</t>
  </si>
  <si>
    <t>112143</t>
  </si>
  <si>
    <t>109813</t>
  </si>
  <si>
    <t>111768</t>
  </si>
  <si>
    <t>110598</t>
  </si>
  <si>
    <t>111206</t>
  </si>
  <si>
    <t>110672</t>
  </si>
  <si>
    <t>111805</t>
  </si>
  <si>
    <t>111773</t>
  </si>
  <si>
    <t>111210</t>
  </si>
  <si>
    <t>110535</t>
  </si>
  <si>
    <t>111757</t>
  </si>
  <si>
    <t>007663</t>
  </si>
  <si>
    <t>111647</t>
  </si>
  <si>
    <t>111854</t>
  </si>
  <si>
    <t>112142</t>
  </si>
  <si>
    <t>111608</t>
  </si>
  <si>
    <t>111123</t>
  </si>
  <si>
    <t>110661</t>
  </si>
  <si>
    <t>111133</t>
  </si>
  <si>
    <t>112306</t>
  </si>
  <si>
    <t>108892</t>
  </si>
  <si>
    <t>007339</t>
  </si>
  <si>
    <t>112246</t>
  </si>
  <si>
    <t>110652</t>
  </si>
  <si>
    <t>111034</t>
  </si>
  <si>
    <t>111169</t>
  </si>
  <si>
    <t>111684</t>
  </si>
  <si>
    <t>112241</t>
  </si>
  <si>
    <t>110571</t>
  </si>
  <si>
    <t>110711</t>
  </si>
  <si>
    <t>111164</t>
  </si>
  <si>
    <t>110468</t>
  </si>
  <si>
    <t>110523</t>
  </si>
  <si>
    <t>112215</t>
  </si>
  <si>
    <t>111170</t>
  </si>
  <si>
    <t>110477</t>
  </si>
  <si>
    <t>006890</t>
  </si>
  <si>
    <t>110508</t>
  </si>
  <si>
    <t>108218</t>
  </si>
  <si>
    <t>110464</t>
  </si>
  <si>
    <t>112298</t>
  </si>
  <si>
    <t>111764</t>
  </si>
  <si>
    <t>112318</t>
  </si>
  <si>
    <t>111201</t>
  </si>
  <si>
    <t>110430</t>
  </si>
  <si>
    <t>111053</t>
  </si>
  <si>
    <t>111086</t>
  </si>
  <si>
    <t>110510</t>
  </si>
  <si>
    <t>112286</t>
  </si>
  <si>
    <t>112232</t>
  </si>
  <si>
    <t>110518</t>
  </si>
  <si>
    <t>112296</t>
  </si>
  <si>
    <t>111108</t>
  </si>
  <si>
    <t>112275</t>
  </si>
  <si>
    <t>112278</t>
  </si>
  <si>
    <t>110628</t>
  </si>
  <si>
    <t>111646</t>
  </si>
  <si>
    <t>112161</t>
  </si>
  <si>
    <t>111699</t>
  </si>
  <si>
    <t>111727</t>
  </si>
  <si>
    <t>111753</t>
  </si>
  <si>
    <t>110803</t>
  </si>
  <si>
    <t>112185</t>
  </si>
  <si>
    <t>111214</t>
  </si>
  <si>
    <t>111614</t>
  </si>
  <si>
    <t>110505</t>
  </si>
  <si>
    <t>111083</t>
  </si>
  <si>
    <t>112144</t>
  </si>
  <si>
    <t>112305</t>
  </si>
  <si>
    <t>112299</t>
  </si>
  <si>
    <t>111703</t>
  </si>
  <si>
    <t>112264</t>
  </si>
  <si>
    <t>007424</t>
  </si>
  <si>
    <t>110703</t>
  </si>
  <si>
    <t>111118</t>
  </si>
  <si>
    <t>110543</t>
  </si>
  <si>
    <t>111044</t>
  </si>
  <si>
    <t>111682</t>
  </si>
  <si>
    <t>111737</t>
  </si>
  <si>
    <t>112179</t>
  </si>
  <si>
    <t>111128</t>
  </si>
  <si>
    <t>112217</t>
  </si>
  <si>
    <t>111676</t>
  </si>
  <si>
    <t>111070</t>
  </si>
  <si>
    <t>111607</t>
  </si>
  <si>
    <t>109984</t>
  </si>
  <si>
    <t>111740</t>
  </si>
  <si>
    <t>111115</t>
  </si>
  <si>
    <t>111624</t>
  </si>
  <si>
    <t>110555</t>
  </si>
  <si>
    <t>110550</t>
  </si>
  <si>
    <t>111804</t>
  </si>
  <si>
    <t>111035</t>
  </si>
  <si>
    <t>111724</t>
  </si>
  <si>
    <t>110763</t>
  </si>
  <si>
    <t>111605</t>
  </si>
  <si>
    <t>110553</t>
  </si>
  <si>
    <t>111626</t>
  </si>
  <si>
    <t>111761</t>
  </si>
  <si>
    <t>111163</t>
  </si>
  <si>
    <t>110472</t>
  </si>
  <si>
    <t>112262</t>
  </si>
  <si>
    <t>110536</t>
  </si>
  <si>
    <t>111806</t>
  </si>
  <si>
    <t>111655</t>
  </si>
  <si>
    <t>112269</t>
  </si>
  <si>
    <t>110485</t>
  </si>
  <si>
    <t>112240</t>
  </si>
  <si>
    <t>112202</t>
  </si>
  <si>
    <t>111845</t>
  </si>
  <si>
    <t>110456</t>
  </si>
  <si>
    <t>112186</t>
  </si>
  <si>
    <t>112164</t>
  </si>
  <si>
    <t>110481</t>
  </si>
  <si>
    <t>111174</t>
  </si>
  <si>
    <t>110487</t>
  </si>
  <si>
    <t>112309</t>
  </si>
  <si>
    <t>110786</t>
  </si>
  <si>
    <t>109865</t>
  </si>
  <si>
    <t>110465</t>
  </si>
  <si>
    <t>111095</t>
  </si>
  <si>
    <t>112226</t>
  </si>
  <si>
    <t>111812</t>
  </si>
  <si>
    <t>112405</t>
  </si>
  <si>
    <t>111105</t>
  </si>
  <si>
    <t>112252</t>
  </si>
  <si>
    <t>111774</t>
  </si>
  <si>
    <t>007486</t>
  </si>
  <si>
    <t>112193</t>
  </si>
  <si>
    <t>112247</t>
  </si>
  <si>
    <t>110489</t>
  </si>
  <si>
    <t>112294</t>
  </si>
  <si>
    <t>111787</t>
  </si>
  <si>
    <t>110520</t>
  </si>
  <si>
    <t>111154</t>
  </si>
  <si>
    <t>111809</t>
  </si>
  <si>
    <t>111326</t>
  </si>
  <si>
    <t>111686</t>
  </si>
  <si>
    <t>110617</t>
  </si>
  <si>
    <t>112158</t>
  </si>
  <si>
    <t>111671</t>
  </si>
  <si>
    <t>111756</t>
  </si>
  <si>
    <t>006990</t>
  </si>
  <si>
    <t>111673</t>
  </si>
  <si>
    <t>111800</t>
  </si>
  <si>
    <t>111766</t>
  </si>
  <si>
    <t>111654</t>
  </si>
  <si>
    <t>110488</t>
  </si>
  <si>
    <t>110714</t>
  </si>
  <si>
    <t>112165</t>
  </si>
  <si>
    <t>110620</t>
  </si>
  <si>
    <t>109976</t>
  </si>
  <si>
    <t>110570</t>
  </si>
  <si>
    <t>111213</t>
  </si>
  <si>
    <t>112211</t>
  </si>
  <si>
    <t>110425</t>
  </si>
  <si>
    <t>109993</t>
  </si>
  <si>
    <t>111762</t>
  </si>
  <si>
    <t>111731</t>
  </si>
  <si>
    <t>112302</t>
  </si>
  <si>
    <t>111171</t>
  </si>
  <si>
    <t>110442</t>
  </si>
  <si>
    <t>112189</t>
  </si>
  <si>
    <t>111330</t>
  </si>
  <si>
    <t>111613</t>
  </si>
  <si>
    <t>109958</t>
  </si>
  <si>
    <t>112238</t>
  </si>
  <si>
    <t>112266</t>
  </si>
  <si>
    <t>110533</t>
  </si>
  <si>
    <t>112230</t>
  </si>
  <si>
    <t>111749</t>
  </si>
  <si>
    <t>111820</t>
  </si>
  <si>
    <t>111055</t>
  </si>
  <si>
    <t>110459</t>
  </si>
  <si>
    <t>112253</t>
  </si>
  <si>
    <t>109899</t>
  </si>
  <si>
    <t>110470</t>
  </si>
  <si>
    <t>111084</t>
  </si>
  <si>
    <t>111638</t>
  </si>
  <si>
    <t>110534</t>
  </si>
  <si>
    <t>111726</t>
  </si>
  <si>
    <t>111748</t>
  </si>
  <si>
    <t>111120</t>
  </si>
  <si>
    <t>112183</t>
  </si>
  <si>
    <t>007341</t>
  </si>
  <si>
    <t>111672</t>
  </si>
  <si>
    <t>112195</t>
  </si>
  <si>
    <t>110497</t>
  </si>
  <si>
    <t>112233</t>
  </si>
  <si>
    <t>112197</t>
  </si>
  <si>
    <t>110673</t>
  </si>
  <si>
    <t>110451</t>
  </si>
  <si>
    <t>112205</t>
  </si>
  <si>
    <t>111771</t>
  </si>
  <si>
    <t>111751</t>
  </si>
  <si>
    <t>110480</t>
  </si>
  <si>
    <t>110614</t>
  </si>
  <si>
    <t>112224</t>
  </si>
  <si>
    <t>111616</t>
  </si>
  <si>
    <t>111735</t>
  </si>
  <si>
    <t>111051</t>
  </si>
  <si>
    <t>111783</t>
  </si>
  <si>
    <t>111042</t>
  </si>
  <si>
    <t>110664</t>
  </si>
  <si>
    <t>110594</t>
  </si>
  <si>
    <t>112300</t>
  </si>
  <si>
    <t>111126</t>
  </si>
  <si>
    <t>111747</t>
  </si>
  <si>
    <t>111770</t>
  </si>
  <si>
    <t>111172</t>
  </si>
  <si>
    <t>111650</t>
  </si>
  <si>
    <t>111796</t>
  </si>
  <si>
    <t>111722</t>
  </si>
  <si>
    <t>111645</t>
  </si>
  <si>
    <t>110503</t>
  </si>
  <si>
    <t>111752</t>
  </si>
  <si>
    <t>111830</t>
  </si>
  <si>
    <t>109906</t>
  </si>
  <si>
    <t>112219</t>
  </si>
  <si>
    <t>111125</t>
  </si>
  <si>
    <t>112242</t>
  </si>
  <si>
    <t>110604</t>
  </si>
  <si>
    <t>110506</t>
  </si>
  <si>
    <t>110653</t>
  </si>
  <si>
    <t>112271</t>
  </si>
  <si>
    <t>007760</t>
  </si>
  <si>
    <t>110429</t>
  </si>
  <si>
    <t>111666</t>
  </si>
  <si>
    <t>112282</t>
  </si>
  <si>
    <t>112149</t>
  </si>
  <si>
    <t>110428</t>
  </si>
  <si>
    <t>111124</t>
  </si>
  <si>
    <t>110474</t>
  </si>
  <si>
    <t>111674</t>
  </si>
  <si>
    <t>007936</t>
  </si>
  <si>
    <t>111678</t>
  </si>
  <si>
    <t>111741</t>
  </si>
  <si>
    <t>111162</t>
  </si>
  <si>
    <t>109955</t>
  </si>
  <si>
    <t>110491</t>
  </si>
  <si>
    <t>111085</t>
  </si>
  <si>
    <t>110644</t>
  </si>
  <si>
    <t>007449</t>
  </si>
  <si>
    <t>112172</t>
  </si>
  <si>
    <t>112292</t>
  </si>
  <si>
    <t>111744</t>
  </si>
  <si>
    <t>111129</t>
  </si>
  <si>
    <t>111797</t>
  </si>
  <si>
    <t>111658</t>
  </si>
  <si>
    <t>111615</t>
  </si>
  <si>
    <t>111842</t>
  </si>
  <si>
    <t>112280</t>
  </si>
  <si>
    <t>110422</t>
  </si>
  <si>
    <t>110452</t>
  </si>
  <si>
    <t>111622</t>
  </si>
  <si>
    <t>111043</t>
  </si>
  <si>
    <t>109863</t>
  </si>
  <si>
    <t>111117</t>
  </si>
  <si>
    <t>111153</t>
  </si>
  <si>
    <t>110694</t>
  </si>
  <si>
    <t>111190</t>
  </si>
  <si>
    <t>111739</t>
  </si>
  <si>
    <t>007767</t>
  </si>
  <si>
    <t>112141</t>
  </si>
  <si>
    <t>111792</t>
  </si>
  <si>
    <t>110557</t>
  </si>
  <si>
    <t>007095</t>
  </si>
  <si>
    <t>110665</t>
  </si>
  <si>
    <t>110524</t>
  </si>
  <si>
    <t>007079</t>
  </si>
  <si>
    <t>110605</t>
  </si>
  <si>
    <t>112170</t>
  </si>
  <si>
    <t>111642</t>
  </si>
  <si>
    <t>111817</t>
  </si>
  <si>
    <t>111112</t>
  </si>
  <si>
    <t>112362</t>
  </si>
  <si>
    <t>111157</t>
  </si>
  <si>
    <t>110434</t>
  </si>
  <si>
    <t>007359</t>
  </si>
  <si>
    <t>111838</t>
  </si>
  <si>
    <t>111076</t>
  </si>
  <si>
    <t>110433</t>
  </si>
  <si>
    <t>110471</t>
  </si>
  <si>
    <t>112268</t>
  </si>
  <si>
    <t>112198</t>
  </si>
  <si>
    <t>110493</t>
  </si>
  <si>
    <t>007026</t>
  </si>
  <si>
    <t>110623</t>
  </si>
  <si>
    <t>110554</t>
  </si>
  <si>
    <t>111795</t>
  </si>
  <si>
    <t>111114</t>
  </si>
  <si>
    <t>112178</t>
  </si>
  <si>
    <t>110558</t>
  </si>
  <si>
    <t>111069</t>
  </si>
  <si>
    <t>110556</t>
  </si>
  <si>
    <t>111755</t>
  </si>
  <si>
    <t>110616</t>
  </si>
  <si>
    <t>110445</t>
  </si>
  <si>
    <t>111050</t>
  </si>
  <si>
    <t>111111</t>
  </si>
  <si>
    <t>110544</t>
  </si>
  <si>
    <t>111197</t>
  </si>
  <si>
    <t>007514</t>
  </si>
  <si>
    <t>110490</t>
  </si>
  <si>
    <t>112180</t>
  </si>
  <si>
    <t>007756</t>
  </si>
  <si>
    <t>110435</t>
  </si>
  <si>
    <t>111110</t>
  </si>
  <si>
    <t>111669</t>
  </si>
  <si>
    <t>111116</t>
  </si>
  <si>
    <t>111648</t>
  </si>
  <si>
    <t>111052</t>
  </si>
  <si>
    <t>111098</t>
  </si>
  <si>
    <t>007521</t>
  </si>
  <si>
    <t>111632</t>
  </si>
  <si>
    <t>112213</t>
  </si>
  <si>
    <t>111065</t>
  </si>
  <si>
    <t>110532</t>
  </si>
  <si>
    <t>111037</t>
  </si>
  <si>
    <t>112174</t>
  </si>
  <si>
    <t>111823</t>
  </si>
  <si>
    <t>111078</t>
  </si>
  <si>
    <t>110561</t>
  </si>
  <si>
    <t>111032</t>
  </si>
  <si>
    <t>111251</t>
  </si>
  <si>
    <t>111036</t>
  </si>
  <si>
    <t>110461</t>
  </si>
  <si>
    <t>112319</t>
  </si>
  <si>
    <t>109992</t>
  </si>
  <si>
    <t>111759</t>
  </si>
  <si>
    <t>112157</t>
  </si>
  <si>
    <t>112151</t>
  </si>
  <si>
    <t>110492</t>
  </si>
  <si>
    <t>111644</t>
  </si>
  <si>
    <t>111150</t>
  </si>
  <si>
    <t>111223</t>
  </si>
  <si>
    <t>111225</t>
  </si>
  <si>
    <t>111228</t>
  </si>
  <si>
    <t>111779</t>
  </si>
  <si>
    <t>111189</t>
  </si>
  <si>
    <t>111610</t>
  </si>
  <si>
    <t>112236</t>
  </si>
  <si>
    <t>112251</t>
  </si>
  <si>
    <t>111746</t>
  </si>
  <si>
    <t>111824</t>
  </si>
  <si>
    <t>007662</t>
  </si>
  <si>
    <t>110443</t>
  </si>
  <si>
    <t>110426</t>
  </si>
  <si>
    <t>111028</t>
  </si>
  <si>
    <t>112167</t>
  </si>
  <si>
    <t>110645</t>
  </si>
  <si>
    <t>111122</t>
  </si>
  <si>
    <t>111063</t>
  </si>
  <si>
    <t>112307</t>
  </si>
  <si>
    <t>111777</t>
  </si>
  <si>
    <t>112190</t>
  </si>
  <si>
    <t>112216</t>
  </si>
  <si>
    <t>111092</t>
  </si>
  <si>
    <t>110466</t>
  </si>
  <si>
    <t>109849</t>
  </si>
  <si>
    <t>111186</t>
  </si>
  <si>
    <t>110463</t>
  </si>
  <si>
    <t>112234</t>
  </si>
  <si>
    <t>111788</t>
  </si>
  <si>
    <t>112245</t>
  </si>
  <si>
    <t>111168</t>
  </si>
  <si>
    <t>109834</t>
  </si>
  <si>
    <t>112316</t>
  </si>
  <si>
    <t>112184</t>
  </si>
  <si>
    <t>110482</t>
  </si>
  <si>
    <t>110450</t>
  </si>
  <si>
    <t>110432</t>
  </si>
  <si>
    <t>111049</t>
  </si>
  <si>
    <t>112283</t>
  </si>
  <si>
    <t>112210</t>
  </si>
  <si>
    <t>007492</t>
  </si>
  <si>
    <t>111822</t>
  </si>
  <si>
    <t>112261</t>
  </si>
  <si>
    <t>111191</t>
  </si>
  <si>
    <t>112353</t>
  </si>
  <si>
    <t>112145</t>
  </si>
  <si>
    <t>109978</t>
  </si>
  <si>
    <t>109982</t>
  </si>
  <si>
    <t>110530</t>
  </si>
  <si>
    <t>109851</t>
  </si>
  <si>
    <t>111619</t>
  </si>
  <si>
    <t>110473</t>
  </si>
  <si>
    <t>111853</t>
  </si>
  <si>
    <t>111040</t>
  </si>
  <si>
    <t>109845</t>
  </si>
  <si>
    <t>110495</t>
  </si>
  <si>
    <t>112154</t>
  </si>
  <si>
    <t>110529</t>
  </si>
  <si>
    <t>110695</t>
  </si>
  <si>
    <t>007595</t>
  </si>
  <si>
    <t>109861</t>
  </si>
  <si>
    <t>111203</t>
  </si>
  <si>
    <t>112406</t>
  </si>
  <si>
    <t>111743</t>
  </si>
  <si>
    <t>007758</t>
  </si>
  <si>
    <t>111760</t>
  </si>
  <si>
    <t>112272</t>
  </si>
  <si>
    <t>111767</t>
  </si>
  <si>
    <t>112171</t>
  </si>
  <si>
    <t>111336</t>
  </si>
  <si>
    <t>112255</t>
  </si>
  <si>
    <t>109902</t>
  </si>
  <si>
    <t>112150</t>
  </si>
  <si>
    <t>110496</t>
  </si>
  <si>
    <t>112159</t>
  </si>
  <si>
    <t>112181</t>
  </si>
  <si>
    <t>111661</t>
  </si>
  <si>
    <t>112188</t>
  </si>
  <si>
    <t>112256</t>
  </si>
  <si>
    <t>111094</t>
  </si>
  <si>
    <t>110526</t>
  </si>
  <si>
    <t>110674</t>
  </si>
  <si>
    <t>110527</t>
  </si>
  <si>
    <t>110564</t>
  </si>
  <si>
    <t>112176</t>
  </si>
  <si>
    <t>111102</t>
  </si>
  <si>
    <t>110494</t>
  </si>
  <si>
    <t>110612</t>
  </si>
  <si>
    <t>110437</t>
  </si>
  <si>
    <t>112187</t>
  </si>
  <si>
    <t>110643</t>
  </si>
  <si>
    <t>109891</t>
  </si>
  <si>
    <t>111729</t>
  </si>
  <si>
    <t>111688</t>
  </si>
  <si>
    <t>111690</t>
  </si>
  <si>
    <t>112229</t>
  </si>
  <si>
    <t>111121</t>
  </si>
  <si>
    <t>111236</t>
  </si>
  <si>
    <t>111366</t>
  </si>
  <si>
    <t>112276</t>
  </si>
  <si>
    <t>111250</t>
  </si>
  <si>
    <t>111532</t>
  </si>
  <si>
    <t>111093</t>
  </si>
  <si>
    <t>109812</t>
  </si>
  <si>
    <t>111127</t>
  </si>
  <si>
    <t>112192</t>
  </si>
  <si>
    <t>111226</t>
  </si>
  <si>
    <t>109836</t>
  </si>
  <si>
    <t>111183</t>
  </si>
  <si>
    <t>112270</t>
  </si>
  <si>
    <t>109835</t>
  </si>
  <si>
    <t>007080</t>
  </si>
  <si>
    <t>110504</t>
  </si>
  <si>
    <t>110569</t>
  </si>
  <si>
    <t>111088</t>
  </si>
  <si>
    <t>111075</t>
  </si>
  <si>
    <t>111311</t>
  </si>
  <si>
    <t>111165</t>
  </si>
  <si>
    <t>112148</t>
  </si>
  <si>
    <t>110667</t>
  </si>
  <si>
    <t>111664</t>
  </si>
  <si>
    <t>112204</t>
  </si>
  <si>
    <t>111808</t>
  </si>
  <si>
    <t>111238</t>
  </si>
  <si>
    <t>007093</t>
  </si>
  <si>
    <t>111386</t>
  </si>
  <si>
    <t>111816</t>
  </si>
  <si>
    <t>110630</t>
  </si>
  <si>
    <t>110458</t>
  </si>
  <si>
    <t>112308</t>
  </si>
  <si>
    <t>110624</t>
  </si>
  <si>
    <t>112254</t>
  </si>
  <si>
    <t>111785</t>
  </si>
  <si>
    <t>111778</t>
  </si>
  <si>
    <t>111680</t>
  </si>
  <si>
    <t>111030</t>
  </si>
  <si>
    <t>111166</t>
  </si>
  <si>
    <t>112208</t>
  </si>
  <si>
    <t>111221</t>
  </si>
  <si>
    <t>111807</t>
  </si>
  <si>
    <t>112404</t>
  </si>
  <si>
    <t>007076</t>
  </si>
  <si>
    <t>110662</t>
  </si>
  <si>
    <t>111178</t>
  </si>
  <si>
    <t>112301</t>
  </si>
  <si>
    <t>110483</t>
  </si>
  <si>
    <t>110448</t>
  </si>
  <si>
    <t>110610</t>
  </si>
  <si>
    <t>112162</t>
  </si>
  <si>
    <t>112249</t>
  </si>
  <si>
    <t>111667</t>
  </si>
  <si>
    <t>111811</t>
  </si>
  <si>
    <t>112259</t>
  </si>
  <si>
    <t>111628</t>
  </si>
  <si>
    <t>Apellidos Alumno</t>
  </si>
  <si>
    <t>Correo Microsoft 365</t>
  </si>
  <si>
    <t>'111772</t>
  </si>
  <si>
    <t>PELAYO DIAZ</t>
  </si>
  <si>
    <t>abbydessire.pelayodiaz</t>
  </si>
  <si>
    <t>'112156</t>
  </si>
  <si>
    <t>MENDOZA VILLELA</t>
  </si>
  <si>
    <t>abigail.mendozavillela</t>
  </si>
  <si>
    <t>'111103</t>
  </si>
  <si>
    <t>GODOY FLORES</t>
  </si>
  <si>
    <t>abrilisabella.godoyflores</t>
  </si>
  <si>
    <t>'111031</t>
  </si>
  <si>
    <t>SANDOVAL CARDENAS</t>
  </si>
  <si>
    <t>adanoswaldo.sandovalcardenas</t>
  </si>
  <si>
    <t>'110517</t>
  </si>
  <si>
    <t>GONZALEZ TOSCANO</t>
  </si>
  <si>
    <t>adibkaleb.gonzaleztoscano</t>
  </si>
  <si>
    <t>'112194</t>
  </si>
  <si>
    <t>VEGA RUELAS</t>
  </si>
  <si>
    <t>adolfoalexander.vegaruelas</t>
  </si>
  <si>
    <t>'109814</t>
  </si>
  <si>
    <t>ESQUEDA MACIAS</t>
  </si>
  <si>
    <t>adrian.esquedamacias</t>
  </si>
  <si>
    <t>'111784</t>
  </si>
  <si>
    <t>JAIME OJEDA</t>
  </si>
  <si>
    <t>adrian.jaimeojeda</t>
  </si>
  <si>
    <t>'111068</t>
  </si>
  <si>
    <t>AMARO BALTIERRA</t>
  </si>
  <si>
    <t>adriana.amarobaltierra</t>
  </si>
  <si>
    <t>'112225</t>
  </si>
  <si>
    <t>ZAVALA FLORES</t>
  </si>
  <si>
    <t>adriana.zavalaflores</t>
  </si>
  <si>
    <t>'111179</t>
  </si>
  <si>
    <t>RODRIGUEZ MARTINEZ</t>
  </si>
  <si>
    <t>adrianapaola.rodriguezmartinez</t>
  </si>
  <si>
    <t>'109374</t>
  </si>
  <si>
    <t>TAPIA CORRIPIO</t>
  </si>
  <si>
    <t>adrianassis.tapiacorripio</t>
  </si>
  <si>
    <t>'111793</t>
  </si>
  <si>
    <t>VEGA CASTAÑEDA</t>
  </si>
  <si>
    <t>adrianbryant.vegacastaneda</t>
  </si>
  <si>
    <t>'112223</t>
  </si>
  <si>
    <t>MORALES ORTIZ</t>
  </si>
  <si>
    <t>adrianenrique.moralesortiz</t>
  </si>
  <si>
    <t>'111763</t>
  </si>
  <si>
    <t>MIRANDA GUERRA</t>
  </si>
  <si>
    <t>airamvictoria.mirandaguerra</t>
  </si>
  <si>
    <t>'110549</t>
  </si>
  <si>
    <t>YAMAGUCHI RAZO</t>
  </si>
  <si>
    <t>akariandrea.yamaguchirazo</t>
  </si>
  <si>
    <t>'112160</t>
  </si>
  <si>
    <t>ANGULO JIMENEZ</t>
  </si>
  <si>
    <t>alan.angulojimenez</t>
  </si>
  <si>
    <t>'112166</t>
  </si>
  <si>
    <t>VAZQUEZ GARCIA</t>
  </si>
  <si>
    <t>alanenrique.vazquezgarcia</t>
  </si>
  <si>
    <t>'110421</t>
  </si>
  <si>
    <t>HERNANDEZ CASTILLO</t>
  </si>
  <si>
    <t>alanoswaldo.hernandezcastillo</t>
  </si>
  <si>
    <t>'111193</t>
  </si>
  <si>
    <t>VAZQUEZ OCHOA</t>
  </si>
  <si>
    <t>alanyael.vazquezochoa</t>
  </si>
  <si>
    <t>'111159</t>
  </si>
  <si>
    <t>LARIOS IÑIGUEZ</t>
  </si>
  <si>
    <t>alberto.lariosiniguez</t>
  </si>
  <si>
    <t>'109997</t>
  </si>
  <si>
    <t>OJEDA GUTIERREZ</t>
  </si>
  <si>
    <t>albertojavier.ojedagutierrez</t>
  </si>
  <si>
    <t>'111618</t>
  </si>
  <si>
    <t>NERI FLORES</t>
  </si>
  <si>
    <t>alejandra.neriflores</t>
  </si>
  <si>
    <t>'111819</t>
  </si>
  <si>
    <t>PEREZ LIMON</t>
  </si>
  <si>
    <t>alejandra.perezlimon</t>
  </si>
  <si>
    <t>'008268</t>
  </si>
  <si>
    <t>ALVAREZ LOPEZ</t>
  </si>
  <si>
    <t>alejandro.alvarezlopez</t>
  </si>
  <si>
    <t>'109839</t>
  </si>
  <si>
    <t>BARAJAS ARIAS</t>
  </si>
  <si>
    <t>alejandro.barajasarias</t>
  </si>
  <si>
    <t>'112182</t>
  </si>
  <si>
    <t>CEJA CORRALES</t>
  </si>
  <si>
    <t>alejandro.cejacorrales</t>
  </si>
  <si>
    <t>'111687</t>
  </si>
  <si>
    <t>DOMINGUEZ HERVERT</t>
  </si>
  <si>
    <t>alejandro.dominguezhervert</t>
  </si>
  <si>
    <t>'111677</t>
  </si>
  <si>
    <t>PALACIOS REYES</t>
  </si>
  <si>
    <t>alejandro.palaciosreyes</t>
  </si>
  <si>
    <t>'111827</t>
  </si>
  <si>
    <t>SOLIS ARRIOLA</t>
  </si>
  <si>
    <t>alejandro.solisarriola</t>
  </si>
  <si>
    <t>'111082</t>
  </si>
  <si>
    <t>MOYA ROBLES</t>
  </si>
  <si>
    <t>alexa.moyarobles</t>
  </si>
  <si>
    <t>'110525</t>
  </si>
  <si>
    <t>TRUJILLO NAPOLES</t>
  </si>
  <si>
    <t>alexavianey.trujillonapoles</t>
  </si>
  <si>
    <t>'110596</t>
  </si>
  <si>
    <t>ROSALES VARGAS</t>
  </si>
  <si>
    <t>alfonso.rosalesvargas</t>
  </si>
  <si>
    <t>'111758</t>
  </si>
  <si>
    <t>SANTOYO GARCIA</t>
  </si>
  <si>
    <t>almadaniela.santoyogarcia</t>
  </si>
  <si>
    <t>'109846</t>
  </si>
  <si>
    <t>ARREDONDO BAUTISTA</t>
  </si>
  <si>
    <t>alondra.arredondobautista</t>
  </si>
  <si>
    <t>'111091</t>
  </si>
  <si>
    <t>RAMOS AVALOS</t>
  </si>
  <si>
    <t>alondra.ramosavalos</t>
  </si>
  <si>
    <t>'109856</t>
  </si>
  <si>
    <t>GONZALEZ OROZCO</t>
  </si>
  <si>
    <t>alondraarhemi.gonzalezorozco</t>
  </si>
  <si>
    <t>'111113</t>
  </si>
  <si>
    <t>VELAZQUEZ CASTRO</t>
  </si>
  <si>
    <t>alondrajamileth.velazquezcastro</t>
  </si>
  <si>
    <t>'111074</t>
  </si>
  <si>
    <t>RAMOS ARIAS</t>
  </si>
  <si>
    <t>alondramarisol.ramosarias</t>
  </si>
  <si>
    <t>'112169</t>
  </si>
  <si>
    <t>SAAVEDRA RAMIREZ</t>
  </si>
  <si>
    <t>alvarodaniel.saavedraramirez</t>
  </si>
  <si>
    <t>'109882</t>
  </si>
  <si>
    <t>GUZMAN ARIAS</t>
  </si>
  <si>
    <t>amandacarmina.guzmanarias</t>
  </si>
  <si>
    <t>'110666</t>
  </si>
  <si>
    <t>MENDEZ CANCELADA</t>
  </si>
  <si>
    <t>america.mendezcancelada</t>
  </si>
  <si>
    <t>'111204</t>
  </si>
  <si>
    <t>OCEGUEDA GIL</t>
  </si>
  <si>
    <t>anabelen.oceguedagil</t>
  </si>
  <si>
    <t>'111188</t>
  </si>
  <si>
    <t>JUAREZ CASTAÑEDA</t>
  </si>
  <si>
    <t>anacecilia.juarezcastaneda</t>
  </si>
  <si>
    <t>'110475</t>
  </si>
  <si>
    <t>GUERRERO SOLTERO</t>
  </si>
  <si>
    <t>anacristina.guerrerosoltero</t>
  </si>
  <si>
    <t>'111181</t>
  </si>
  <si>
    <t>CHAVEZ ORTIZ</t>
  </si>
  <si>
    <t>anailyguadalupe.chavezortiz</t>
  </si>
  <si>
    <t>'110500</t>
  </si>
  <si>
    <t>OCHOA SAMANO</t>
  </si>
  <si>
    <t>anaisabel.ochoasamano</t>
  </si>
  <si>
    <t>'111765</t>
  </si>
  <si>
    <t>JIMENEZ MARTINEZ</t>
  </si>
  <si>
    <t>anakarol.jimenezmartinez</t>
  </si>
  <si>
    <t>'112293</t>
  </si>
  <si>
    <t>ENRIQUEZ PEREZ</t>
  </si>
  <si>
    <t>analucia.enriquezperez</t>
  </si>
  <si>
    <t>'111097</t>
  </si>
  <si>
    <t>FONG URQUIDY</t>
  </si>
  <si>
    <t>analucia.fongurquidy</t>
  </si>
  <si>
    <t>'111152</t>
  </si>
  <si>
    <t>RUELAS NAVARRO</t>
  </si>
  <si>
    <t>anapaula.ruelasnavarro</t>
  </si>
  <si>
    <t>'111799</t>
  </si>
  <si>
    <t>CARRION LOPEZ</t>
  </si>
  <si>
    <t>anasofia.carrionlopez</t>
  </si>
  <si>
    <t>'111625</t>
  </si>
  <si>
    <t>FIERROS LUNA</t>
  </si>
  <si>
    <t>anasofia.fierrosluna</t>
  </si>
  <si>
    <t>'111604</t>
  </si>
  <si>
    <t>GODINEZ SANCHEZ</t>
  </si>
  <si>
    <t>anavaleria.godinezsanchez</t>
  </si>
  <si>
    <t>'110613</t>
  </si>
  <si>
    <t>OROZCO QUIÑONEZ</t>
  </si>
  <si>
    <t>anavictoria.orozcoquinonez</t>
  </si>
  <si>
    <t>'112173</t>
  </si>
  <si>
    <t>PEREZ ORTIZ</t>
  </si>
  <si>
    <t>andrea.perezortiz</t>
  </si>
  <si>
    <t>'110501</t>
  </si>
  <si>
    <t>VAZQUEZ CORTES</t>
  </si>
  <si>
    <t>andrea.vazquezcortes</t>
  </si>
  <si>
    <t>'111742</t>
  </si>
  <si>
    <t>REBOLLAR ARRIERO</t>
  </si>
  <si>
    <t>andreanaomi.rebollararriero</t>
  </si>
  <si>
    <t>'111276</t>
  </si>
  <si>
    <t>RODRIGUEZ VEGA</t>
  </si>
  <si>
    <t>andreapaola.rodriguezvega</t>
  </si>
  <si>
    <t>'112277</t>
  </si>
  <si>
    <t>ANTUNEZ BRACHO</t>
  </si>
  <si>
    <t>andres.antunezbracho</t>
  </si>
  <si>
    <t>'111077</t>
  </si>
  <si>
    <t>CABRERA CHAVIRA</t>
  </si>
  <si>
    <t>andres.cabrerachavira</t>
  </si>
  <si>
    <t>'112200</t>
  </si>
  <si>
    <t>DE LA TORRE PEREZ</t>
  </si>
  <si>
    <t>andres.delatorreperez</t>
  </si>
  <si>
    <t>'109808</t>
  </si>
  <si>
    <t>VILLAGRANA RODRIGUEZ</t>
  </si>
  <si>
    <t>andresebastian.villagranarodriguez</t>
  </si>
  <si>
    <t>'112227</t>
  </si>
  <si>
    <t>ENCISO GOMEZ</t>
  </si>
  <si>
    <t>andresenrique.encisogomez</t>
  </si>
  <si>
    <t>'111728</t>
  </si>
  <si>
    <t>NUÑEZ RAMOS</t>
  </si>
  <si>
    <t>andresezequiel.nunezramos</t>
  </si>
  <si>
    <t>'112206</t>
  </si>
  <si>
    <t>PEREZ PEREZ</t>
  </si>
  <si>
    <t>andresismael.perezperez</t>
  </si>
  <si>
    <t>'111202</t>
  </si>
  <si>
    <t>RODRIGUEZ LAZARO</t>
  </si>
  <si>
    <t>andy.rodriguezlazaro</t>
  </si>
  <si>
    <t>'007113</t>
  </si>
  <si>
    <t>ESCALONA BUENO</t>
  </si>
  <si>
    <t>angel.escalonabueno</t>
  </si>
  <si>
    <t>'110730</t>
  </si>
  <si>
    <t>GONZALEZ PARRA</t>
  </si>
  <si>
    <t>angel.gonzalezparra</t>
  </si>
  <si>
    <t>'110449</t>
  </si>
  <si>
    <t>MONDRAGON HERNANDEZ</t>
  </si>
  <si>
    <t>angel.mondragonhernandez</t>
  </si>
  <si>
    <t>'111670</t>
  </si>
  <si>
    <t>DAVALOS GARCIA</t>
  </si>
  <si>
    <t>angelaioros.davalosgarcia</t>
  </si>
  <si>
    <t>'110420</t>
  </si>
  <si>
    <t>GARCIA MORA</t>
  </si>
  <si>
    <t>angelalexander.garciamora</t>
  </si>
  <si>
    <t>'111839</t>
  </si>
  <si>
    <t>VIRGEN SERRANO</t>
  </si>
  <si>
    <t>angelalexander.virgenserrano</t>
  </si>
  <si>
    <t>'111750</t>
  </si>
  <si>
    <t>GARCIA CHERRINGTON</t>
  </si>
  <si>
    <t>angelandres.garciacherrington</t>
  </si>
  <si>
    <t>'112175</t>
  </si>
  <si>
    <t>GUTIERREZ DE LA CRUZ</t>
  </si>
  <si>
    <t>angeldaniel.gutierrezdelacruz</t>
  </si>
  <si>
    <t>'112311</t>
  </si>
  <si>
    <t>IGNACIO CASTILLO</t>
  </si>
  <si>
    <t>angeldavid.ignaciocastillo</t>
  </si>
  <si>
    <t>'111802</t>
  </si>
  <si>
    <t>SANCHEZ LOPEZ</t>
  </si>
  <si>
    <t>angeldavid.sanchezlopez</t>
  </si>
  <si>
    <t>'111723</t>
  </si>
  <si>
    <t>CUETO RAMOS</t>
  </si>
  <si>
    <t>angelemanuel.cuetoramos</t>
  </si>
  <si>
    <t>'109824</t>
  </si>
  <si>
    <t>ABRAHAM JUAREZ</t>
  </si>
  <si>
    <t>angelfabian.abrahamjuarez</t>
  </si>
  <si>
    <t>'110444</t>
  </si>
  <si>
    <t>MORENO ZUMAYA</t>
  </si>
  <si>
    <t>angelfernando.morenozumaya</t>
  </si>
  <si>
    <t>'111237</t>
  </si>
  <si>
    <t>VEGA RODRIGUEZ</t>
  </si>
  <si>
    <t>angelguillermo.vegarodriguez</t>
  </si>
  <si>
    <t>'110486</t>
  </si>
  <si>
    <t>TORRES GUTIERREZ</t>
  </si>
  <si>
    <t>angelica.torresgutierrez</t>
  </si>
  <si>
    <t>'112191</t>
  </si>
  <si>
    <t>RIVERA NUÑEZ</t>
  </si>
  <si>
    <t>angelleonel.riveranunez</t>
  </si>
  <si>
    <t>'111668</t>
  </si>
  <si>
    <t>CECEÑA PONCE</t>
  </si>
  <si>
    <t>angelmartin.cecenaponce</t>
  </si>
  <si>
    <t>'112168</t>
  </si>
  <si>
    <t>CARDENAS RUIZ</t>
  </si>
  <si>
    <t>angelyael.cardenasruiz</t>
  </si>
  <si>
    <t>'111609</t>
  </si>
  <si>
    <t>VERDUZCO VAZQUEZ ALDANA</t>
  </si>
  <si>
    <t>antonio.verduzcovazquezaldana</t>
  </si>
  <si>
    <t>'111182</t>
  </si>
  <si>
    <t>NEGRETE CASTRO</t>
  </si>
  <si>
    <t>aolanixaxbe.negretecastro</t>
  </si>
  <si>
    <t>'111087</t>
  </si>
  <si>
    <t>LIÑAN FLORES</t>
  </si>
  <si>
    <t>araceliesmeralda.linanflores</t>
  </si>
  <si>
    <t>'007290</t>
  </si>
  <si>
    <t>ALVARADO MORENO</t>
  </si>
  <si>
    <t>aranzasinhai.alvaradomoreno</t>
  </si>
  <si>
    <t>'112221</t>
  </si>
  <si>
    <t>ZABRANA KÖNIG</t>
  </si>
  <si>
    <t>arifbenjamin.zabranakönig</t>
  </si>
  <si>
    <t>'112163</t>
  </si>
  <si>
    <t>GONZALEZ HERNANDEZ</t>
  </si>
  <si>
    <t>armando.gonzalezhernandez</t>
  </si>
  <si>
    <t>'112358</t>
  </si>
  <si>
    <t>GUTIERREZ TORRES</t>
  </si>
  <si>
    <t>arturoalejandro.gutierreztorres</t>
  </si>
  <si>
    <t>'112177</t>
  </si>
  <si>
    <t>SERRANO GUEVARA</t>
  </si>
  <si>
    <t>arturoalexei.serranoguevara</t>
  </si>
  <si>
    <t>'111656</t>
  </si>
  <si>
    <t>CASTAÑEDA HERNANDEZ</t>
  </si>
  <si>
    <t>arturoemmanuel.castanedahernandez</t>
  </si>
  <si>
    <t>'007948</t>
  </si>
  <si>
    <t>BERNAL MONTAÑEZ</t>
  </si>
  <si>
    <t>astridavril.bernalmontanez</t>
  </si>
  <si>
    <t>'111054</t>
  </si>
  <si>
    <t>OSORNIO CONTRERAS</t>
  </si>
  <si>
    <t>aureaemily.osorniocontreras</t>
  </si>
  <si>
    <t>'112016</t>
  </si>
  <si>
    <t>BAUTISTA MARIANO</t>
  </si>
  <si>
    <t>bernarda.bautistamariano</t>
  </si>
  <si>
    <t>'112152</t>
  </si>
  <si>
    <t>DESSAVRE GONZALEZ</t>
  </si>
  <si>
    <t>bernardo.dessavregonzalez</t>
  </si>
  <si>
    <t>'111791</t>
  </si>
  <si>
    <t>GUZMAN APARICIO</t>
  </si>
  <si>
    <t>berthaerica.guzmanaparicio</t>
  </si>
  <si>
    <t>'110565</t>
  </si>
  <si>
    <t>SOSA TORRES</t>
  </si>
  <si>
    <t>bethelcitlali.sosatorres</t>
  </si>
  <si>
    <t>'111636</t>
  </si>
  <si>
    <t>IÑIGUEZ OSEGUERA</t>
  </si>
  <si>
    <t>blancaleticia.iniguezoseguera</t>
  </si>
  <si>
    <t>'111738</t>
  </si>
  <si>
    <t>PADRON VAZQUEZ</t>
  </si>
  <si>
    <t>blas.padronvazquez</t>
  </si>
  <si>
    <t>'110531</t>
  </si>
  <si>
    <t>GALLEGOS ARCINIEGA</t>
  </si>
  <si>
    <t>bogargerardo.gallegosarciniega</t>
  </si>
  <si>
    <t>'112258</t>
  </si>
  <si>
    <t>ARELLANO LOPEZ</t>
  </si>
  <si>
    <t>brandocristopher.arellanolopez</t>
  </si>
  <si>
    <t>'111130</t>
  </si>
  <si>
    <t>GATICA CANO</t>
  </si>
  <si>
    <t>braulioaaron.gaticacano</t>
  </si>
  <si>
    <t>'111072</t>
  </si>
  <si>
    <t>PEREZ ALVAREZ</t>
  </si>
  <si>
    <t>braulioisaias.perezalvarez</t>
  </si>
  <si>
    <t>'111627</t>
  </si>
  <si>
    <t>RIVERA ACOSTA</t>
  </si>
  <si>
    <t>brayanjose.riveraacosta</t>
  </si>
  <si>
    <t>'111798</t>
  </si>
  <si>
    <t>BOJADO DEL REAL</t>
  </si>
  <si>
    <t>brendaguadalupe.bojadodelreal</t>
  </si>
  <si>
    <t>'111815</t>
  </si>
  <si>
    <t>SOLIS CERPA</t>
  </si>
  <si>
    <t>brendamelissa.soliscerpa</t>
  </si>
  <si>
    <t>'111119</t>
  </si>
  <si>
    <t>PADILLA VIDALES</t>
  </si>
  <si>
    <t>brendasusana.padillavidales</t>
  </si>
  <si>
    <t>'110467</t>
  </si>
  <si>
    <t>MACIAS AYALA</t>
  </si>
  <si>
    <t>brendaxiadani.maciasayala</t>
  </si>
  <si>
    <t>'112147</t>
  </si>
  <si>
    <t>OROZCO VIZCARRA</t>
  </si>
  <si>
    <t>brendaximena.orozcovizcarra</t>
  </si>
  <si>
    <t>'112235</t>
  </si>
  <si>
    <t>LOPEZ CEBALLOS</t>
  </si>
  <si>
    <t>brunogael.lopezceballos</t>
  </si>
  <si>
    <t>'109852</t>
  </si>
  <si>
    <t>ALVARADO CHAVEZ</t>
  </si>
  <si>
    <t>brunojoel.alvaradochavez</t>
  </si>
  <si>
    <t>'112196</t>
  </si>
  <si>
    <t>MUÑOZ GUTIERREZ</t>
  </si>
  <si>
    <t>brunosantiago.munozgutierrez</t>
  </si>
  <si>
    <t>'112248</t>
  </si>
  <si>
    <t xml:space="preserve">ZEPEDA JIMENEZ  </t>
  </si>
  <si>
    <t>camilla.zepedajimenez</t>
  </si>
  <si>
    <t>'110478</t>
  </si>
  <si>
    <t>CARPINTERO MERINO</t>
  </si>
  <si>
    <t>carla.carpinteromerino</t>
  </si>
  <si>
    <t>'112218</t>
  </si>
  <si>
    <t>MORENO DIAZ</t>
  </si>
  <si>
    <t>carlosalonso.morenodiaz</t>
  </si>
  <si>
    <t>'007404</t>
  </si>
  <si>
    <t>YERENA NAVARRO</t>
  </si>
  <si>
    <t>carloseduardo.yerenanavarro</t>
  </si>
  <si>
    <t>'112346</t>
  </si>
  <si>
    <t>NAVARRO LESPRON</t>
  </si>
  <si>
    <t>carlosernesto.navarrolespron</t>
  </si>
  <si>
    <t>'111208</t>
  </si>
  <si>
    <t>SERRANO AMADOR</t>
  </si>
  <si>
    <t>carlosfernando.serranoamador</t>
  </si>
  <si>
    <t>'110559</t>
  </si>
  <si>
    <t>FLORES GUTIERREZ</t>
  </si>
  <si>
    <t>carlosivan.floresgutierrez</t>
  </si>
  <si>
    <t>'112201</t>
  </si>
  <si>
    <t>MEDINA DIAZ</t>
  </si>
  <si>
    <t>carlososvaldo.medinadiaz</t>
  </si>
  <si>
    <t>'110498</t>
  </si>
  <si>
    <t>RAMIREZ GARCIA</t>
  </si>
  <si>
    <t>carlosroberto.ramirezgarcia</t>
  </si>
  <si>
    <t>'007235</t>
  </si>
  <si>
    <t>MARISCAL GUTIERREZ</t>
  </si>
  <si>
    <t>carlossantiago.mariscalgutierrez</t>
  </si>
  <si>
    <t>'111663</t>
  </si>
  <si>
    <t>PEREZ DIEZ</t>
  </si>
  <si>
    <t>carlossantiago.perezdiez</t>
  </si>
  <si>
    <t>'111155</t>
  </si>
  <si>
    <t>SANDOVAL BERUMEN</t>
  </si>
  <si>
    <t>carolinaalexandra.sandovalberumen</t>
  </si>
  <si>
    <t>'109970</t>
  </si>
  <si>
    <t>CASTILLO MUNGUIA</t>
  </si>
  <si>
    <t>carolmarian.castillomunguia</t>
  </si>
  <si>
    <t>'110423</t>
  </si>
  <si>
    <t>HURTADO MACIAS</t>
  </si>
  <si>
    <t>carolnoemi.hurtadomacias</t>
  </si>
  <si>
    <t>'112237</t>
  </si>
  <si>
    <t>CAMARGO CARMONA</t>
  </si>
  <si>
    <t>carolvanessa.camargocarmona</t>
  </si>
  <si>
    <t>'110455</t>
  </si>
  <si>
    <t>OBLEDO MARTINEZ</t>
  </si>
  <si>
    <t>cesar.obledomartinez</t>
  </si>
  <si>
    <t>'112244</t>
  </si>
  <si>
    <t>ROMERO MANZANO</t>
  </si>
  <si>
    <t>cesaralejandro.romeromanzano</t>
  </si>
  <si>
    <t>'109810</t>
  </si>
  <si>
    <t>VALENCIA CASTILLO</t>
  </si>
  <si>
    <t>cesareduardo.valenciacastillo</t>
  </si>
  <si>
    <t>'112257</t>
  </si>
  <si>
    <t>CABRERA AVILA</t>
  </si>
  <si>
    <t>cesarismael.cabreraavila</t>
  </si>
  <si>
    <t>'112143</t>
  </si>
  <si>
    <t>MARTINEZ RAMIREZ</t>
  </si>
  <si>
    <t>chelseavianney.martinezramirez</t>
  </si>
  <si>
    <t>'109813</t>
  </si>
  <si>
    <t>DE ALBA GUTIERREZ</t>
  </si>
  <si>
    <t>christianalejandro.dealbagutierrez</t>
  </si>
  <si>
    <t>'111768</t>
  </si>
  <si>
    <t>ALFARO RUIZ</t>
  </si>
  <si>
    <t>claudiaberenice.alfaroruiz</t>
  </si>
  <si>
    <t>'110598</t>
  </si>
  <si>
    <t>FIGUEROA RODRIGUEZ</t>
  </si>
  <si>
    <t>claudiadaniela.figueroarodriguez</t>
  </si>
  <si>
    <t>'111206</t>
  </si>
  <si>
    <t>RAMIREZ ARREOLA</t>
  </si>
  <si>
    <t>claudiafernanda.ramirezarreola</t>
  </si>
  <si>
    <t>'110672</t>
  </si>
  <si>
    <t>REGALADO ANAYA</t>
  </si>
  <si>
    <t>claudiamarian.regaladoanaya</t>
  </si>
  <si>
    <t>'111805</t>
  </si>
  <si>
    <t>MARTINEZ REYNOSO</t>
  </si>
  <si>
    <t>claudiapatricia.martinezreynoso</t>
  </si>
  <si>
    <t>'111773</t>
  </si>
  <si>
    <t>VILLARRUEL SANDOVAL</t>
  </si>
  <si>
    <t>cristian.villarruelsandoval</t>
  </si>
  <si>
    <t>'111210</t>
  </si>
  <si>
    <t>ZAMUDIO VAZQUEZ</t>
  </si>
  <si>
    <t>cristianfabian.zamudiovazquez</t>
  </si>
  <si>
    <t>'111757</t>
  </si>
  <si>
    <t>SAUCEDO LUPERCIO</t>
  </si>
  <si>
    <t>cristopheradrian.saucedolupercio</t>
  </si>
  <si>
    <t>'110535</t>
  </si>
  <si>
    <t>FLORES ZAVALA</t>
  </si>
  <si>
    <t>cristoteodoro.floreszavala</t>
  </si>
  <si>
    <t>'007663</t>
  </si>
  <si>
    <t>LEONARDO RIVERA</t>
  </si>
  <si>
    <t>dafnegalilea.leonardorivera</t>
  </si>
  <si>
    <t>'111647</t>
  </si>
  <si>
    <t>JUAREZ JIMENEZ</t>
  </si>
  <si>
    <t>dafnemontserrat.juarezjimenez</t>
  </si>
  <si>
    <t>'111854</t>
  </si>
  <si>
    <t>MARTINEZ ALVARADO</t>
  </si>
  <si>
    <t>damian.martinezalvarado</t>
  </si>
  <si>
    <t>'112142</t>
  </si>
  <si>
    <t>FLORES DE LIRA</t>
  </si>
  <si>
    <t>damianedoardo.floresdelira</t>
  </si>
  <si>
    <t>'111608</t>
  </si>
  <si>
    <t>RENDON DEL RIO</t>
  </si>
  <si>
    <t>danaelena.rendondelrio</t>
  </si>
  <si>
    <t>'111123</t>
  </si>
  <si>
    <t>MERCADO TORRES</t>
  </si>
  <si>
    <t>danajoanelle.mercadotorres</t>
  </si>
  <si>
    <t>'110661</t>
  </si>
  <si>
    <t>AYALA MAGALLON</t>
  </si>
  <si>
    <t>danapaulina.ayalamagallon</t>
  </si>
  <si>
    <t>'111133</t>
  </si>
  <si>
    <t>FLORES RAYA</t>
  </si>
  <si>
    <t>daniel.floresraya</t>
  </si>
  <si>
    <t>'112306</t>
  </si>
  <si>
    <t>MOSQUEIRA YAÑEZ</t>
  </si>
  <si>
    <t>daniel.mosqueirayanez</t>
  </si>
  <si>
    <t>'111034</t>
  </si>
  <si>
    <t>HERNANDEZ VENDRAMINI</t>
  </si>
  <si>
    <t>daniela.hernandezvendramini</t>
  </si>
  <si>
    <t>'111169</t>
  </si>
  <si>
    <t>ROJAS LOPEZ</t>
  </si>
  <si>
    <t>daniela.rojaslopez</t>
  </si>
  <si>
    <t>'111684</t>
  </si>
  <si>
    <t>ROJO GARCIA</t>
  </si>
  <si>
    <t>daniela.rojogarcia</t>
  </si>
  <si>
    <t>'112241</t>
  </si>
  <si>
    <t>RUIZ LOPEZ</t>
  </si>
  <si>
    <t>daniela.ruizlopez</t>
  </si>
  <si>
    <t>'110571</t>
  </si>
  <si>
    <t>TORRES PONCE</t>
  </si>
  <si>
    <t>danielagisel.torresponce</t>
  </si>
  <si>
    <t>'108892</t>
  </si>
  <si>
    <t>CASTELLANOS RAMIREZ</t>
  </si>
  <si>
    <t>danielalejandro.castellanosramirez</t>
  </si>
  <si>
    <t>'110711</t>
  </si>
  <si>
    <t>MIRANDA SANCHEZ</t>
  </si>
  <si>
    <t>danielarenee.mirandasanchez</t>
  </si>
  <si>
    <t>'007339</t>
  </si>
  <si>
    <t>LEMUS ARIAS</t>
  </si>
  <si>
    <t>danieleduardo.lemusarias</t>
  </si>
  <si>
    <t>'112246</t>
  </si>
  <si>
    <t>VILLALOBOS GARCIA</t>
  </si>
  <si>
    <t>danielenrique.villalobosgarcia</t>
  </si>
  <si>
    <t>'110652</t>
  </si>
  <si>
    <t>SALCIDO RAMOS</t>
  </si>
  <si>
    <t>danielignacio.salcidoramos</t>
  </si>
  <si>
    <t>'111164</t>
  </si>
  <si>
    <t>MURILLO IPARRAGUIRRE</t>
  </si>
  <si>
    <t>danilaraquel.murilloiparraguirre</t>
  </si>
  <si>
    <t>'110468</t>
  </si>
  <si>
    <t>CONTRERAS GONZALEZ</t>
  </si>
  <si>
    <t>danna.contrerasgonzalez</t>
  </si>
  <si>
    <t>'110523</t>
  </si>
  <si>
    <t>VALLADARES LOPEZ</t>
  </si>
  <si>
    <t>danteyael.valladareslopez</t>
  </si>
  <si>
    <t>'112215</t>
  </si>
  <si>
    <t>ALCARAZ ARROYO</t>
  </si>
  <si>
    <t>dariamadai.alcarazarroyo</t>
  </si>
  <si>
    <t>'111170</t>
  </si>
  <si>
    <t xml:space="preserve">AGUILAR </t>
  </si>
  <si>
    <t>dario.aguilar</t>
  </si>
  <si>
    <t>'110477</t>
  </si>
  <si>
    <t>ORTIZ ARIZA</t>
  </si>
  <si>
    <t>darshangael.ortizariza</t>
  </si>
  <si>
    <t>'006890</t>
  </si>
  <si>
    <t>ARECHEDERRA TREJO</t>
  </si>
  <si>
    <t>david.arechederratrejo</t>
  </si>
  <si>
    <t>'110508</t>
  </si>
  <si>
    <t>WILSON TORRES</t>
  </si>
  <si>
    <t>david.wilsontorres</t>
  </si>
  <si>
    <t>'108218</t>
  </si>
  <si>
    <t>ALVAREZ JIMENEZ</t>
  </si>
  <si>
    <t>davidisrael.alvarezjimenez</t>
  </si>
  <si>
    <t>'110464</t>
  </si>
  <si>
    <t>CARRANZA BARBA</t>
  </si>
  <si>
    <t>davidivan.carranzabarba</t>
  </si>
  <si>
    <t>'112298</t>
  </si>
  <si>
    <t>MONTERO JARAMILLO</t>
  </si>
  <si>
    <t>davidricardo.monterojaramillo</t>
  </si>
  <si>
    <t>'111764</t>
  </si>
  <si>
    <t>ZUÑIGA HERNANDEZ</t>
  </si>
  <si>
    <t>dayramichelle.zunigahernandez</t>
  </si>
  <si>
    <t>'112318</t>
  </si>
  <si>
    <t>DE LOS SANTOS DOMINGUEZ</t>
  </si>
  <si>
    <t>denzzel.delossantosdominguez</t>
  </si>
  <si>
    <t>'111201</t>
  </si>
  <si>
    <t>CORONADO TIRADO</t>
  </si>
  <si>
    <t>dianapaola.coronadotirado</t>
  </si>
  <si>
    <t>'110430</t>
  </si>
  <si>
    <t>DE ALVA COVARRUBIAS</t>
  </si>
  <si>
    <t>dianapaula.dealvacovarrubias</t>
  </si>
  <si>
    <t>'111053</t>
  </si>
  <si>
    <t>RAMIREZ TABAREZ</t>
  </si>
  <si>
    <t>dianasarahi.ramireztabarez</t>
  </si>
  <si>
    <t>'111086</t>
  </si>
  <si>
    <t>ZEPEDA LOPEZ</t>
  </si>
  <si>
    <t>dieggo.zepedalopez</t>
  </si>
  <si>
    <t>'110510</t>
  </si>
  <si>
    <t>CHAVEZ CONTRERAS</t>
  </si>
  <si>
    <t>diego.chavezcontreras</t>
  </si>
  <si>
    <t>'112286</t>
  </si>
  <si>
    <t>DE ANDA MONZON</t>
  </si>
  <si>
    <t>diego.deandamonzon</t>
  </si>
  <si>
    <t>'112232</t>
  </si>
  <si>
    <t>GONZALEZ SANCHEZ</t>
  </si>
  <si>
    <t>diego.gonzalezsanchez</t>
  </si>
  <si>
    <t>'110518</t>
  </si>
  <si>
    <t>GONZALEZ TELLES</t>
  </si>
  <si>
    <t>diego.gonzaleztelles</t>
  </si>
  <si>
    <t>'112296</t>
  </si>
  <si>
    <t>RUIZ ALLAR</t>
  </si>
  <si>
    <t>diego.ruizallar</t>
  </si>
  <si>
    <t>'111108</t>
  </si>
  <si>
    <t>VILLASEÑOR CLAUDIN</t>
  </si>
  <si>
    <t>diego.villasenorclaudin</t>
  </si>
  <si>
    <t>'112275</t>
  </si>
  <si>
    <t>ALVAREZ DEL TORO</t>
  </si>
  <si>
    <t>diegoalberto.alvarezdeltoro</t>
  </si>
  <si>
    <t>'112278</t>
  </si>
  <si>
    <t>SERRANO VARELA</t>
  </si>
  <si>
    <t>diegoalberto.serranovarela</t>
  </si>
  <si>
    <t>'110628</t>
  </si>
  <si>
    <t>TORIZ MARTINEZ</t>
  </si>
  <si>
    <t>diegoalfonso.torizmartinez</t>
  </si>
  <si>
    <t>'111646</t>
  </si>
  <si>
    <t>SANCHEZ VAZQUEZ</t>
  </si>
  <si>
    <t>diegocristan.sanchezvazquez</t>
  </si>
  <si>
    <t>'112161</t>
  </si>
  <si>
    <t>BOLAÑOS CARRILLO</t>
  </si>
  <si>
    <t>diegoeduardo.bolanoscarrillo</t>
  </si>
  <si>
    <t>'111699</t>
  </si>
  <si>
    <t>PRECIADO LARA</t>
  </si>
  <si>
    <t>diegofrancisco.preciadolara</t>
  </si>
  <si>
    <t>'111727</t>
  </si>
  <si>
    <t>ZAVALA CUELLAR</t>
  </si>
  <si>
    <t>diegomartin.zavalacuellar</t>
  </si>
  <si>
    <t>'111753</t>
  </si>
  <si>
    <t>PATIÑO MEJIA</t>
  </si>
  <si>
    <t>diegomisael.patinomejia</t>
  </si>
  <si>
    <t>'110803</t>
  </si>
  <si>
    <t>VON HAUSKE DELLA SERA</t>
  </si>
  <si>
    <t>diegosebastian.vonhauskedellasera</t>
  </si>
  <si>
    <t>'112185</t>
  </si>
  <si>
    <t>MORGAN GALLARDO</t>
  </si>
  <si>
    <t>duilioalfonso.morgangallardo</t>
  </si>
  <si>
    <t>'111214</t>
  </si>
  <si>
    <t>CASTILLO GOMEZ</t>
  </si>
  <si>
    <t>dylanadrian.castillogomez</t>
  </si>
  <si>
    <t>'111614</t>
  </si>
  <si>
    <t>HERNANDEZ SANDOVAL</t>
  </si>
  <si>
    <t>edgar.hernandezsandoval</t>
  </si>
  <si>
    <t>'110505</t>
  </si>
  <si>
    <t>ORTIZ VEGA</t>
  </si>
  <si>
    <t>edgaralejandro.ortizvega</t>
  </si>
  <si>
    <t>'111083</t>
  </si>
  <si>
    <t>VAZQUEZ GUERRERO</t>
  </si>
  <si>
    <t>eduardo.vazquezguerrero</t>
  </si>
  <si>
    <t>'112144</t>
  </si>
  <si>
    <t>AGUIRRE RIOS</t>
  </si>
  <si>
    <t>eduardoantonio.aguirrerios</t>
  </si>
  <si>
    <t>'112305</t>
  </si>
  <si>
    <t>GOMEZ ALONSO</t>
  </si>
  <si>
    <t>eduardoguadalupe.gomezalonso</t>
  </si>
  <si>
    <t>'112299</t>
  </si>
  <si>
    <t>SANCHEZ GONZALEZ</t>
  </si>
  <si>
    <t>edwinelias.sanchezgonzalez</t>
  </si>
  <si>
    <t>'111703</t>
  </si>
  <si>
    <t>LUNA BARRIENTOS</t>
  </si>
  <si>
    <t>edwinfernando.lunabarrientos</t>
  </si>
  <si>
    <t>'007424</t>
  </si>
  <si>
    <t>elias.leonardorivera</t>
  </si>
  <si>
    <t>'112264</t>
  </si>
  <si>
    <t>ACEVES BARRAGAN</t>
  </si>
  <si>
    <t>eliasofia.acevesbarragan</t>
  </si>
  <si>
    <t>'110703</t>
  </si>
  <si>
    <t>DE LA CRUZ BRAMBILA</t>
  </si>
  <si>
    <t>elizabeth.delacruzbrambila</t>
  </si>
  <si>
    <t>'111118</t>
  </si>
  <si>
    <t>FRANCO OROZCO</t>
  </si>
  <si>
    <t>emiliano.francoorozco</t>
  </si>
  <si>
    <t>'110543</t>
  </si>
  <si>
    <t>GOMEZ HERNANDEZ</t>
  </si>
  <si>
    <t>emiliano.gomezhernandez</t>
  </si>
  <si>
    <t>'111044</t>
  </si>
  <si>
    <t>GRACIANO VARGAS</t>
  </si>
  <si>
    <t>emiliano.gracianovargas</t>
  </si>
  <si>
    <t>'111682</t>
  </si>
  <si>
    <t>NAVA VELASCO</t>
  </si>
  <si>
    <t>emiliano.navavelasco</t>
  </si>
  <si>
    <t>'111737</t>
  </si>
  <si>
    <t>RODRIGUEZ GUZMAN</t>
  </si>
  <si>
    <t>emiliano.rodriguezguzman</t>
  </si>
  <si>
    <t>'112179</t>
  </si>
  <si>
    <t>ENTZIN TAPIA</t>
  </si>
  <si>
    <t>emilianosantiago.entzintapia</t>
  </si>
  <si>
    <t>'111128</t>
  </si>
  <si>
    <t>ANAYA RODRIGUEZ</t>
  </si>
  <si>
    <t>emilio.anayarodriguez</t>
  </si>
  <si>
    <t>'112217</t>
  </si>
  <si>
    <t>ESPARZA AMARAL</t>
  </si>
  <si>
    <t>emilio.esparzaamaral</t>
  </si>
  <si>
    <t>'111676</t>
  </si>
  <si>
    <t>TADEO ALVAREZ</t>
  </si>
  <si>
    <t>emilio.tadeoalvarez</t>
  </si>
  <si>
    <t>'111070</t>
  </si>
  <si>
    <t>LOZANO ESPARZA</t>
  </si>
  <si>
    <t>emmanuel.lozanoesparza</t>
  </si>
  <si>
    <t>'111607</t>
  </si>
  <si>
    <t>CASTRO GARCIA</t>
  </si>
  <si>
    <t>emmanuelsebastian.castrogarcia</t>
  </si>
  <si>
    <t>'109984</t>
  </si>
  <si>
    <t>enrique.juarezcastaneda</t>
  </si>
  <si>
    <t>'111740</t>
  </si>
  <si>
    <t>CABRERA LIZARRAGA</t>
  </si>
  <si>
    <t>enriquejesus.cabreralizarraga</t>
  </si>
  <si>
    <t>'111115</t>
  </si>
  <si>
    <t>TOLEDO SEGOVIA</t>
  </si>
  <si>
    <t>enriquerene.toledosegovia</t>
  </si>
  <si>
    <t>'111624</t>
  </si>
  <si>
    <t>ISIDORO QUIÑONES</t>
  </si>
  <si>
    <t>erickgermain.isidoroquinones</t>
  </si>
  <si>
    <t>'111804</t>
  </si>
  <si>
    <t>CADENA BOBADILLA</t>
  </si>
  <si>
    <t>esmeralda.cadenabobadilla</t>
  </si>
  <si>
    <t>'111035</t>
  </si>
  <si>
    <t>GOMEZ GAONA</t>
  </si>
  <si>
    <t>esmeraldagabriela.gomezgaona</t>
  </si>
  <si>
    <t>'111724</t>
  </si>
  <si>
    <t>PADILLA PERAZA</t>
  </si>
  <si>
    <t>estebanenrique.padillaperaza</t>
  </si>
  <si>
    <t>'110763</t>
  </si>
  <si>
    <t>OROZCO RIVAS</t>
  </si>
  <si>
    <t>estefaninicole.orozcorivas</t>
  </si>
  <si>
    <t>'111605</t>
  </si>
  <si>
    <t>COLDIVAR FLORES</t>
  </si>
  <si>
    <t>estephany.coldivarflores</t>
  </si>
  <si>
    <t>'110553</t>
  </si>
  <si>
    <t>GUZMAN VILLASEÑOR</t>
  </si>
  <si>
    <t>evaregina.guzmanvillasenor</t>
  </si>
  <si>
    <t>'111626</t>
  </si>
  <si>
    <t>AMEZCUA CASTELLANOS</t>
  </si>
  <si>
    <t>fabian.amezcuacastellanos</t>
  </si>
  <si>
    <t>'111761</t>
  </si>
  <si>
    <t>FLORES TAPIA</t>
  </si>
  <si>
    <t>farahisabella.florestapia</t>
  </si>
  <si>
    <t>'111163</t>
  </si>
  <si>
    <t>ARCE ESPINO</t>
  </si>
  <si>
    <t>fatimadennise.arceespino</t>
  </si>
  <si>
    <t>'110472</t>
  </si>
  <si>
    <t>ZAMORA MICHEL</t>
  </si>
  <si>
    <t>fatimajuliana.zamoramichel</t>
  </si>
  <si>
    <t>'112262</t>
  </si>
  <si>
    <t>REVELES GUTIERREZ</t>
  </si>
  <si>
    <t>fatimamarisol.revelesgutierrez</t>
  </si>
  <si>
    <t>'110536</t>
  </si>
  <si>
    <t>fernan.zepedalopez</t>
  </si>
  <si>
    <t>'111806</t>
  </si>
  <si>
    <t>ROMERO GARCIA</t>
  </si>
  <si>
    <t>fernandaaraceli.romerogarcia</t>
  </si>
  <si>
    <t>'111655</t>
  </si>
  <si>
    <t>BARAJAS MICHEL</t>
  </si>
  <si>
    <t>fernandadanae.barajasmichel</t>
  </si>
  <si>
    <t>'112269</t>
  </si>
  <si>
    <t>GUTIERREZ VELASCO</t>
  </si>
  <si>
    <t>fernando.gutierrezvelasco</t>
  </si>
  <si>
    <t>'110485</t>
  </si>
  <si>
    <t>ALVARADO AÑORVE</t>
  </si>
  <si>
    <t>flormonserrat.alvaradoanorve</t>
  </si>
  <si>
    <t>'112240</t>
  </si>
  <si>
    <t>ORTIZ BARRAGAN</t>
  </si>
  <si>
    <t>franco.ortizbarragan</t>
  </si>
  <si>
    <t>'112202</t>
  </si>
  <si>
    <t>ROMERO VALERIO</t>
  </si>
  <si>
    <t>francoeduardo.romerovalerio</t>
  </si>
  <si>
    <t>'111845</t>
  </si>
  <si>
    <t>ALENCASTRO ROJO</t>
  </si>
  <si>
    <t>fridasophia.alencastrorojo</t>
  </si>
  <si>
    <t>'110481</t>
  </si>
  <si>
    <t>CARDENAS DE HARO</t>
  </si>
  <si>
    <t>gabriela.cardenasdeharo</t>
  </si>
  <si>
    <t>'111174</t>
  </si>
  <si>
    <t>COVARRUBIAS LIMON</t>
  </si>
  <si>
    <t>gabrielamonserrat.covarrubiaslimon</t>
  </si>
  <si>
    <t>'110487</t>
  </si>
  <si>
    <t>MADRIGAL NUÑO</t>
  </si>
  <si>
    <t>gabrielamonserrat.madrigalnuno</t>
  </si>
  <si>
    <t>'110456</t>
  </si>
  <si>
    <t>COLOME CAMPOS</t>
  </si>
  <si>
    <t>gabrieleduardo.colomecampos</t>
  </si>
  <si>
    <t>'112186</t>
  </si>
  <si>
    <t>MENDOZA GOMEZ</t>
  </si>
  <si>
    <t>gabrielfrancisco.mendozagomez</t>
  </si>
  <si>
    <t>'112164</t>
  </si>
  <si>
    <t>HERNANDEZ GARCIA</t>
  </si>
  <si>
    <t>gabrielomar.hernandezgarcia</t>
  </si>
  <si>
    <t>'112309</t>
  </si>
  <si>
    <t>DELGADILLO BAUTISTA</t>
  </si>
  <si>
    <t>gael.delgadillobautista</t>
  </si>
  <si>
    <t>'110786</t>
  </si>
  <si>
    <t>MARTINEZ ORBE</t>
  </si>
  <si>
    <t>gema.martinezorbe</t>
  </si>
  <si>
    <t>'109865</t>
  </si>
  <si>
    <t>NUÑEZ CONTRERAS</t>
  </si>
  <si>
    <t>gilberto.nunezcontreras</t>
  </si>
  <si>
    <t>'110465</t>
  </si>
  <si>
    <t>ROJAS GUTIERREZ</t>
  </si>
  <si>
    <t>gilbertoalejandro.rojasgutierrez</t>
  </si>
  <si>
    <t>'111095</t>
  </si>
  <si>
    <t>SANTILLAN BARRAGAN</t>
  </si>
  <si>
    <t>giovanna.santillanbarragan</t>
  </si>
  <si>
    <t>'112226</t>
  </si>
  <si>
    <t>CASTAÑEDA ELIZALDE</t>
  </si>
  <si>
    <t>giovannapaola.castanedaelizalde</t>
  </si>
  <si>
    <t>'111812</t>
  </si>
  <si>
    <t>DE ALBA TOVAR</t>
  </si>
  <si>
    <t>giovanni.dealbatovar</t>
  </si>
  <si>
    <t>'111105</t>
  </si>
  <si>
    <t>HERNANDEZ VARGAS</t>
  </si>
  <si>
    <t>gloriamiranda.hernandezvargas</t>
  </si>
  <si>
    <t>'112252</t>
  </si>
  <si>
    <t>MUÑOZ HERRERA</t>
  </si>
  <si>
    <t>grahamantonio.munozherrera</t>
  </si>
  <si>
    <t>'111774</t>
  </si>
  <si>
    <t>SOSA Y AVILA GONZALEZ</t>
  </si>
  <si>
    <t>guillermojose.sosayavilagonzalez</t>
  </si>
  <si>
    <t>'112193</t>
  </si>
  <si>
    <t>JASSO VARGAS</t>
  </si>
  <si>
    <t>gustavoemiliano.jassovargas</t>
  </si>
  <si>
    <t>'112247</t>
  </si>
  <si>
    <t>JURADO PEREZ</t>
  </si>
  <si>
    <t>gustavokalen.juradoperez</t>
  </si>
  <si>
    <t>'110489</t>
  </si>
  <si>
    <t>DE LA CRUZ CASTILLO</t>
  </si>
  <si>
    <t>hannahcitlali.delacruzcastillo</t>
  </si>
  <si>
    <t>'112294</t>
  </si>
  <si>
    <t>RUELAS SALDAÑA</t>
  </si>
  <si>
    <t>hannibalenrique.ruelassaldana</t>
  </si>
  <si>
    <t>'111787</t>
  </si>
  <si>
    <t>CAMPOS CARDENAS</t>
  </si>
  <si>
    <t>hector.camposcardenas</t>
  </si>
  <si>
    <t>'110520</t>
  </si>
  <si>
    <t>IÑIGUEZ PULIDO</t>
  </si>
  <si>
    <t>hectorbernardo.iniguezpulido</t>
  </si>
  <si>
    <t>'111154</t>
  </si>
  <si>
    <t>MARISCAL SANCHEZ</t>
  </si>
  <si>
    <t>hectorenrique.mariscalsanchez</t>
  </si>
  <si>
    <t>'111809</t>
  </si>
  <si>
    <t>GONZALEZ DE LOZA</t>
  </si>
  <si>
    <t>hectorfabian.gonzalezdeloza</t>
  </si>
  <si>
    <t>'111326</t>
  </si>
  <si>
    <t>VALDIVIA ANGUIANO</t>
  </si>
  <si>
    <t>hectororlando.valdiviaanguiano</t>
  </si>
  <si>
    <t>'111686</t>
  </si>
  <si>
    <t>SERRANO GONZALEZ</t>
  </si>
  <si>
    <t>heli.serranogonzalez</t>
  </si>
  <si>
    <t>'110617</t>
  </si>
  <si>
    <t>HERNANDEZ HERNANDEZ</t>
  </si>
  <si>
    <t>hermelinda.hernandezhernandez</t>
  </si>
  <si>
    <t>'112158</t>
  </si>
  <si>
    <t>CARBAJAL VALENCIA</t>
  </si>
  <si>
    <t>hugofernando.carbajalvalencia</t>
  </si>
  <si>
    <t>'111671</t>
  </si>
  <si>
    <t>BARRAGAN LAGOS</t>
  </si>
  <si>
    <t>ianfernando.barraganlagos</t>
  </si>
  <si>
    <t>'111756</t>
  </si>
  <si>
    <t>DE JESUS PRADO</t>
  </si>
  <si>
    <t>ilichlenin.dejesusprado</t>
  </si>
  <si>
    <t>'006990</t>
  </si>
  <si>
    <t>irvingalejandro.rodriguezmartinez</t>
  </si>
  <si>
    <t>'111673</t>
  </si>
  <si>
    <t>VAZQUEZ CARDONA</t>
  </si>
  <si>
    <t>isaac.vazquezcardona</t>
  </si>
  <si>
    <t>'111800</t>
  </si>
  <si>
    <t>CHAVEZ SAAVEDRA</t>
  </si>
  <si>
    <t>isaacemiliano.chavezsaavedra</t>
  </si>
  <si>
    <t>'111766</t>
  </si>
  <si>
    <t>INUKAI MORALES</t>
  </si>
  <si>
    <t>isabelhiromi.inukaimorales</t>
  </si>
  <si>
    <t>'111654</t>
  </si>
  <si>
    <t>GORIBAR LOZA</t>
  </si>
  <si>
    <t>isabella.goribarloza</t>
  </si>
  <si>
    <t>'110488</t>
  </si>
  <si>
    <t>MONTIEL VARGAS</t>
  </si>
  <si>
    <t>isabelladelosangeles.montielvargas</t>
  </si>
  <si>
    <t>'110714</t>
  </si>
  <si>
    <t>ALVES CORNEJO</t>
  </si>
  <si>
    <t>isabely.alvescornejo</t>
  </si>
  <si>
    <t>'112165</t>
  </si>
  <si>
    <t>CENTENO REA</t>
  </si>
  <si>
    <t>israel.centenorea</t>
  </si>
  <si>
    <t>'110620</t>
  </si>
  <si>
    <t>RUIZ FUENTES</t>
  </si>
  <si>
    <t>ivan.ruizfuentes</t>
  </si>
  <si>
    <t>'109976</t>
  </si>
  <si>
    <t>GRAJALES SAINZ</t>
  </si>
  <si>
    <t>ivana.grajalessainz</t>
  </si>
  <si>
    <t>'110570</t>
  </si>
  <si>
    <t>MORENO TOSCANO</t>
  </si>
  <si>
    <t>jaazielalejandro.morenotoscano</t>
  </si>
  <si>
    <t>'111213</t>
  </si>
  <si>
    <t xml:space="preserve">HERNANDEZ </t>
  </si>
  <si>
    <t>jackeline.hernandez</t>
  </si>
  <si>
    <t>'112211</t>
  </si>
  <si>
    <t>NUÑEZ VEGA</t>
  </si>
  <si>
    <t>jacobo.nunezvega</t>
  </si>
  <si>
    <t>'110425</t>
  </si>
  <si>
    <t>MEZA CORTES</t>
  </si>
  <si>
    <t>jadyn.mezacortes</t>
  </si>
  <si>
    <t>'109993</t>
  </si>
  <si>
    <t>GUTIERREZ AVILA</t>
  </si>
  <si>
    <t>jaimeemmanuel.gutierrezavila</t>
  </si>
  <si>
    <t>'111762</t>
  </si>
  <si>
    <t>MUÑOZ SANDOVAL</t>
  </si>
  <si>
    <t>jaimegabriel.munozsandoval</t>
  </si>
  <si>
    <t>'111731</t>
  </si>
  <si>
    <t>QUESNEY CABRERA</t>
  </si>
  <si>
    <t>janeth.quesneycabrera</t>
  </si>
  <si>
    <t>'112302</t>
  </si>
  <si>
    <t>VALLADOLID GARCIA</t>
  </si>
  <si>
    <t>jaredesau.valladolidgarcia</t>
  </si>
  <si>
    <t>'111171</t>
  </si>
  <si>
    <t>AYALA ESPARZA</t>
  </si>
  <si>
    <t>javier.ayalaesparza</t>
  </si>
  <si>
    <t>'110442</t>
  </si>
  <si>
    <t>HERNANDEZ RENDON</t>
  </si>
  <si>
    <t>javier.hernandezrendon</t>
  </si>
  <si>
    <t>'112189</t>
  </si>
  <si>
    <t>CORONA HERNANDEZ</t>
  </si>
  <si>
    <t>javieralejandro.coronahernandez</t>
  </si>
  <si>
    <t>'111330</t>
  </si>
  <si>
    <t>ARIAS ESCOBAR</t>
  </si>
  <si>
    <t>javierandres.ariasescobar</t>
  </si>
  <si>
    <t>'111613</t>
  </si>
  <si>
    <t>MARISCAL REYES</t>
  </si>
  <si>
    <t>javierantonio.mariscalreyes</t>
  </si>
  <si>
    <t>'109958</t>
  </si>
  <si>
    <t>AGUILAR LUGO</t>
  </si>
  <si>
    <t>javiereduardo.aguilarlugo</t>
  </si>
  <si>
    <t>'112238</t>
  </si>
  <si>
    <t>AVILA PLASCENCIA</t>
  </si>
  <si>
    <t>javierisaias.avilaplascencia</t>
  </si>
  <si>
    <t>'112266</t>
  </si>
  <si>
    <t>AGUILAR RUIZ</t>
  </si>
  <si>
    <t>jenifervanessa.aguilarruiz</t>
  </si>
  <si>
    <t>'110533</t>
  </si>
  <si>
    <t>MORENO LEPE</t>
  </si>
  <si>
    <t>jennifer.morenolepe</t>
  </si>
  <si>
    <t>'112230</t>
  </si>
  <si>
    <t>MARTINEZ SALAZAR</t>
  </si>
  <si>
    <t>jessieestefania.martinezsalazar</t>
  </si>
  <si>
    <t>'111749</t>
  </si>
  <si>
    <t>NAVARRETE TERRONES</t>
  </si>
  <si>
    <t>jesusabraham.navarreteterrones</t>
  </si>
  <si>
    <t>'111820</t>
  </si>
  <si>
    <t>MORALES REYES</t>
  </si>
  <si>
    <t>jesusandres.moralesreyes</t>
  </si>
  <si>
    <t>'111055</t>
  </si>
  <si>
    <t>ARGANDA RUBIO</t>
  </si>
  <si>
    <t>jesusbenjamin.argandarubio</t>
  </si>
  <si>
    <t>'110459</t>
  </si>
  <si>
    <t>RAMOS CONTRERAS</t>
  </si>
  <si>
    <t>jesuseduardo.ramoscontreras</t>
  </si>
  <si>
    <t>'112253</t>
  </si>
  <si>
    <t>CARDENAS ORTIZ</t>
  </si>
  <si>
    <t>jesusemmanuel.cardenasortiz</t>
  </si>
  <si>
    <t>'109899</t>
  </si>
  <si>
    <t>ARIZMENDI MENDOZA</t>
  </si>
  <si>
    <t>jesusissahi.arizmendimendoza</t>
  </si>
  <si>
    <t>'110470</t>
  </si>
  <si>
    <t>NAVARRO LOPEZ</t>
  </si>
  <si>
    <t>jimena.navarrolopez</t>
  </si>
  <si>
    <t>'111084</t>
  </si>
  <si>
    <t>ZEA GOMEZ</t>
  </si>
  <si>
    <t>joaquin.zeagomez</t>
  </si>
  <si>
    <t>'111638</t>
  </si>
  <si>
    <t>VALDENEBRO MARTINEZ</t>
  </si>
  <si>
    <t>joaquinalejandro.valdenebromartinez</t>
  </si>
  <si>
    <t>'110534</t>
  </si>
  <si>
    <t>FUENTES TALAVERA</t>
  </si>
  <si>
    <t>jocelynmontserrat.fuentestalavera</t>
  </si>
  <si>
    <t>'111726</t>
  </si>
  <si>
    <t>DURAN RUVALCABA</t>
  </si>
  <si>
    <t>jonathanoswaldo.duranruvalcaba</t>
  </si>
  <si>
    <t>'111748</t>
  </si>
  <si>
    <t>FIGUEROA BAÑUELOS</t>
  </si>
  <si>
    <t>jonathanulises.figueroabanuelos</t>
  </si>
  <si>
    <t>'111120</t>
  </si>
  <si>
    <t>DIAZ ESPARZA</t>
  </si>
  <si>
    <t>jorgearmando.diazesparza</t>
  </si>
  <si>
    <t>'112183</t>
  </si>
  <si>
    <t>CASTRO SOLIS</t>
  </si>
  <si>
    <t>jorgeeduardo.castrosolis</t>
  </si>
  <si>
    <t>'007341</t>
  </si>
  <si>
    <t>LLAMAS DE ANDA</t>
  </si>
  <si>
    <t>jorgeeduardo.llamasdeanda</t>
  </si>
  <si>
    <t>'111672</t>
  </si>
  <si>
    <t>ORTIZ RODRIGUEZ</t>
  </si>
  <si>
    <t>jorgejulian.ortizrodriguez</t>
  </si>
  <si>
    <t>'112195</t>
  </si>
  <si>
    <t>CASTRO MARQUEZ</t>
  </si>
  <si>
    <t>jorgeluis.castromarquez</t>
  </si>
  <si>
    <t>'110497</t>
  </si>
  <si>
    <t>ROBLES LOPEZ</t>
  </si>
  <si>
    <t>jorgeluis.robleslopez</t>
  </si>
  <si>
    <t>'112233</t>
  </si>
  <si>
    <t>SANCHEZ RAMIREZ</t>
  </si>
  <si>
    <t>jorgesantana.sanchezramirez</t>
  </si>
  <si>
    <t>'112197</t>
  </si>
  <si>
    <t>ESCOBEDO GARCIA</t>
  </si>
  <si>
    <t>jose.escobedogarcia</t>
  </si>
  <si>
    <t>'110673</t>
  </si>
  <si>
    <t>RUBALCAVA MERCADO</t>
  </si>
  <si>
    <t>josealberto.rubalcavamercado</t>
  </si>
  <si>
    <t>'110451</t>
  </si>
  <si>
    <t>URSIEL ORTEGA</t>
  </si>
  <si>
    <t>josealejandro.ursielortega</t>
  </si>
  <si>
    <t>'112205</t>
  </si>
  <si>
    <t>PEREZ MARQUEZ</t>
  </si>
  <si>
    <t>josealfredo.perezmarquez</t>
  </si>
  <si>
    <t>'111771</t>
  </si>
  <si>
    <t>PEREZ CONTRERAS</t>
  </si>
  <si>
    <t>joseangel.perezcontreras</t>
  </si>
  <si>
    <t>'111751</t>
  </si>
  <si>
    <t>MUÑOZ SEVILLA</t>
  </si>
  <si>
    <t>joseantonio.munozsevilla</t>
  </si>
  <si>
    <t>'110480</t>
  </si>
  <si>
    <t>josedaniel.rodriguezmartinez</t>
  </si>
  <si>
    <t>'110614</t>
  </si>
  <si>
    <t>CRUZ TELLEZ</t>
  </si>
  <si>
    <t>josedavid.cruztellez</t>
  </si>
  <si>
    <t>'112224</t>
  </si>
  <si>
    <t>TORRES LUA</t>
  </si>
  <si>
    <t>joseeduardo.torreslua</t>
  </si>
  <si>
    <t>'111616</t>
  </si>
  <si>
    <t>BECERRIL GARCIA</t>
  </si>
  <si>
    <t>joseemmanuel.becerrilgarcia</t>
  </si>
  <si>
    <t>'111735</t>
  </si>
  <si>
    <t>DIAZ DE LEON GARCIA</t>
  </si>
  <si>
    <t>josehumberto.diazdeleongarcia</t>
  </si>
  <si>
    <t>'111051</t>
  </si>
  <si>
    <t>CISNEROS CORTES</t>
  </si>
  <si>
    <t>joseisaac.cisneroscortes</t>
  </si>
  <si>
    <t>'111783</t>
  </si>
  <si>
    <t>HORTA SOLTERO</t>
  </si>
  <si>
    <t>joseluis.hortasoltero</t>
  </si>
  <si>
    <t>'111042</t>
  </si>
  <si>
    <t>RODRIGUEZ AGUAYO</t>
  </si>
  <si>
    <t>josemanuel.rodriguezaguayo</t>
  </si>
  <si>
    <t>'110664</t>
  </si>
  <si>
    <t>CORONADO CABRERA</t>
  </si>
  <si>
    <t>josemaria.coronadocabrera</t>
  </si>
  <si>
    <t>'110594</t>
  </si>
  <si>
    <t>HUITRON SANCHEZ</t>
  </si>
  <si>
    <t>josemauricio.huitronsanchez</t>
  </si>
  <si>
    <t>'112300</t>
  </si>
  <si>
    <t>OLIVAS TORRES</t>
  </si>
  <si>
    <t>josemauricio.olivastorres</t>
  </si>
  <si>
    <t>'111747</t>
  </si>
  <si>
    <t>GASCA TELLEZ</t>
  </si>
  <si>
    <t>joshuaalejandro.gascatellez</t>
  </si>
  <si>
    <t>'111770</t>
  </si>
  <si>
    <t>PEREZ LOPEZ</t>
  </si>
  <si>
    <t>josuejavier.perezlopez</t>
  </si>
  <si>
    <t>'111172</t>
  </si>
  <si>
    <t>MATA DE LA MORA</t>
  </si>
  <si>
    <t>josuesebastianemiliano.matadelamora</t>
  </si>
  <si>
    <t>'111650</t>
  </si>
  <si>
    <t>FLORES FLORES</t>
  </si>
  <si>
    <t>juanarmando.floresflores</t>
  </si>
  <si>
    <t>'111796</t>
  </si>
  <si>
    <t>BAÑUELOS PEREZ</t>
  </si>
  <si>
    <t>juancarlos.banuelosperez</t>
  </si>
  <si>
    <t>'111722</t>
  </si>
  <si>
    <t>CASTILLERO SOLANO</t>
  </si>
  <si>
    <t>juancarlos.castillerosolano</t>
  </si>
  <si>
    <t>'111645</t>
  </si>
  <si>
    <t>CASTRO ANZOATEGUI</t>
  </si>
  <si>
    <t>juancarlos.castroanzoategui</t>
  </si>
  <si>
    <t>'110503</t>
  </si>
  <si>
    <t>MENDOZA ARMAS</t>
  </si>
  <si>
    <t>juancarlos.mendozaarmas</t>
  </si>
  <si>
    <t>'111752</t>
  </si>
  <si>
    <t>ZACARIAS AGUILAR</t>
  </si>
  <si>
    <t>juanjesus.zacariasaguilar</t>
  </si>
  <si>
    <t>'111830</t>
  </si>
  <si>
    <t>PRECIADO VALLE</t>
  </si>
  <si>
    <t>juanluis.preciadovalle</t>
  </si>
  <si>
    <t>'109906</t>
  </si>
  <si>
    <t>DAVALOS HERNANDEZ</t>
  </si>
  <si>
    <t>juanmanuel.davaloshernandez</t>
  </si>
  <si>
    <t>'112219</t>
  </si>
  <si>
    <t>BALCAZAR FERREL</t>
  </si>
  <si>
    <t>juanpablo.balcazarferrel</t>
  </si>
  <si>
    <t>'111125</t>
  </si>
  <si>
    <t>juanpablo.figueroarodriguez</t>
  </si>
  <si>
    <t>'112242</t>
  </si>
  <si>
    <t>GOMEZ GOMEZ</t>
  </si>
  <si>
    <t>juanpablo.gomezgomez</t>
  </si>
  <si>
    <t>'110604</t>
  </si>
  <si>
    <t>RUIZ GARCIA</t>
  </si>
  <si>
    <t>juanpablo.ruizgarcia</t>
  </si>
  <si>
    <t>'110506</t>
  </si>
  <si>
    <t>TREJO YAÑEZ</t>
  </si>
  <si>
    <t>juanpablo.trejoyanez</t>
  </si>
  <si>
    <t>'110653</t>
  </si>
  <si>
    <t>VACA HERNANDEZ</t>
  </si>
  <si>
    <t>juanpablo.vacahernandez</t>
  </si>
  <si>
    <t>'112271</t>
  </si>
  <si>
    <t>LOZANO RIOS</t>
  </si>
  <si>
    <t>julianavalentina.lozanorios</t>
  </si>
  <si>
    <t>'007760</t>
  </si>
  <si>
    <t>TEJEDA DAVALOS</t>
  </si>
  <si>
    <t>julieta.tejedadavalos</t>
  </si>
  <si>
    <t>'110429</t>
  </si>
  <si>
    <t>CORDOVA RODRIGUEZ</t>
  </si>
  <si>
    <t>julietarenata.cordovarodriguez</t>
  </si>
  <si>
    <t>'111666</t>
  </si>
  <si>
    <t>RAMIREZ ROBLES</t>
  </si>
  <si>
    <t>kahlebalejandro.ramirezrobles</t>
  </si>
  <si>
    <t>'112282</t>
  </si>
  <si>
    <t>GONZALEZ AGUAYO</t>
  </si>
  <si>
    <t>karenalejandra.gonzalezaguayo</t>
  </si>
  <si>
    <t>'112149</t>
  </si>
  <si>
    <t>RUIZ MARTINEZ</t>
  </si>
  <si>
    <t>karenguadalupe.ruizmartinez</t>
  </si>
  <si>
    <t>'110428</t>
  </si>
  <si>
    <t>CARRETERO AGUILERA</t>
  </si>
  <si>
    <t>karenitzel.carreteroaguilera</t>
  </si>
  <si>
    <t>'111124</t>
  </si>
  <si>
    <t>GONZALEZ JIMENEZ</t>
  </si>
  <si>
    <t>karenjanette.gonzalezjimenez</t>
  </si>
  <si>
    <t>'110474</t>
  </si>
  <si>
    <t>COVARRUBIAS RENTERIA</t>
  </si>
  <si>
    <t>karenmichelle.covarrubiasrenteria</t>
  </si>
  <si>
    <t>'111674</t>
  </si>
  <si>
    <t>CISNEROS GARCIA</t>
  </si>
  <si>
    <t>karimdaniel.cisnerosgarcia</t>
  </si>
  <si>
    <t>'007936</t>
  </si>
  <si>
    <t>RIVERA BALBUENA</t>
  </si>
  <si>
    <t>karimeanahi.riverabalbuena</t>
  </si>
  <si>
    <t>'111678</t>
  </si>
  <si>
    <t>VILLEGAS ANGEL</t>
  </si>
  <si>
    <t>karina.villegasangel</t>
  </si>
  <si>
    <t>'111741</t>
  </si>
  <si>
    <t>PICENO CASTELLANOS</t>
  </si>
  <si>
    <t>karinaitzell.picenocastellanos</t>
  </si>
  <si>
    <t>'111162</t>
  </si>
  <si>
    <t>REYES PALACIOS</t>
  </si>
  <si>
    <t>karlaalexia.reyespalacios</t>
  </si>
  <si>
    <t>'109955</t>
  </si>
  <si>
    <t>ZAYAS VILLALOBOS</t>
  </si>
  <si>
    <t>karladaniela.zayasvillalobos</t>
  </si>
  <si>
    <t>'110491</t>
  </si>
  <si>
    <t>JAIME GONZALEZ</t>
  </si>
  <si>
    <t>karlagabriela.jaimegonzalez</t>
  </si>
  <si>
    <t>'111085</t>
  </si>
  <si>
    <t>GRAJALES MASINI</t>
  </si>
  <si>
    <t>karlaguadalupe.grajalesmasini</t>
  </si>
  <si>
    <t>'112172</t>
  </si>
  <si>
    <t>SANDOVAL VEGA</t>
  </si>
  <si>
    <t>karolguadalupe.sandovalvega</t>
  </si>
  <si>
    <t>'112292</t>
  </si>
  <si>
    <t>MEJIA GARCIA</t>
  </si>
  <si>
    <t>karolnicolas.mejiagarcia</t>
  </si>
  <si>
    <t>'111744</t>
  </si>
  <si>
    <t>PALMA LOPEZ</t>
  </si>
  <si>
    <t>katia.palmalopez</t>
  </si>
  <si>
    <t>'111129</t>
  </si>
  <si>
    <t>AGUILAR CALLEJAS</t>
  </si>
  <si>
    <t>kenniaguadalupe.aguilarcallejas</t>
  </si>
  <si>
    <t>'111797</t>
  </si>
  <si>
    <t>VILLALOBOS MENDOZA</t>
  </si>
  <si>
    <t>kevin.villalobosmendoza</t>
  </si>
  <si>
    <t>'111658</t>
  </si>
  <si>
    <t>SANCHEZ REYES</t>
  </si>
  <si>
    <t>kevincarlos.sanchezreyes</t>
  </si>
  <si>
    <t>'111615</t>
  </si>
  <si>
    <t>HERNANDEZ QUEZADA</t>
  </si>
  <si>
    <t>kevinemmanuel.hernandezquezada</t>
  </si>
  <si>
    <t>'112280</t>
  </si>
  <si>
    <t>VAZQUEZ ECHEAGARAY</t>
  </si>
  <si>
    <t>kevinmatthew.vazquezecheagaray</t>
  </si>
  <si>
    <t>'110422</t>
  </si>
  <si>
    <t>kevinramon.coldivarflores</t>
  </si>
  <si>
    <t>'110452</t>
  </si>
  <si>
    <t>ESTRADA BAUTISTA</t>
  </si>
  <si>
    <t>kevinrodrigopascal.estradabautista</t>
  </si>
  <si>
    <t>'111622</t>
  </si>
  <si>
    <t>SOLORZANO GARCIA</t>
  </si>
  <si>
    <t>kiaramaureen.solorzanogarcia</t>
  </si>
  <si>
    <t>'111043</t>
  </si>
  <si>
    <t>PADILLA SALINAS</t>
  </si>
  <si>
    <t>kitzyaangelina.padillasalinas</t>
  </si>
  <si>
    <t>'109863</t>
  </si>
  <si>
    <t>CONTRERAS VEGA</t>
  </si>
  <si>
    <t>laurajosselin.contrerasvega</t>
  </si>
  <si>
    <t>'111117</t>
  </si>
  <si>
    <t>lauramaria.iniguezoseguera</t>
  </si>
  <si>
    <t>'111153</t>
  </si>
  <si>
    <t>CEJA PEREZ</t>
  </si>
  <si>
    <t>laurasusana.cejaperez</t>
  </si>
  <si>
    <t>'110694</t>
  </si>
  <si>
    <t>TORRES GUEVARA</t>
  </si>
  <si>
    <t>laviniazarina.torresguevara</t>
  </si>
  <si>
    <t>'111190</t>
  </si>
  <si>
    <t>GONZALEZ GUERRA</t>
  </si>
  <si>
    <t>layssa.gonzalezguerra</t>
  </si>
  <si>
    <t>'111739</t>
  </si>
  <si>
    <t>MARTINEZ RUAN</t>
  </si>
  <si>
    <t>leonardo.martinezruan</t>
  </si>
  <si>
    <t>'007767</t>
  </si>
  <si>
    <t>VILLAVICENCIO OCEGUERA</t>
  </si>
  <si>
    <t>leonardo.villavicenciooceguera</t>
  </si>
  <si>
    <t>'112141</t>
  </si>
  <si>
    <t>DE LA MORA SANCHEZ</t>
  </si>
  <si>
    <t>leonardoalejandro.delamorasanchez</t>
  </si>
  <si>
    <t>'111792</t>
  </si>
  <si>
    <t>VAZQUEZ CASTELLANOS</t>
  </si>
  <si>
    <t>leonardoaugusto.vazquezcastellanos</t>
  </si>
  <si>
    <t>'110557</t>
  </si>
  <si>
    <t>ORTA CRUZ</t>
  </si>
  <si>
    <t>leonelmaximiliano.ortacruz</t>
  </si>
  <si>
    <t>'007095</t>
  </si>
  <si>
    <t>BARRIOS SANDOVAL</t>
  </si>
  <si>
    <t>leonelricardo.barriossandoval</t>
  </si>
  <si>
    <t>'110665</t>
  </si>
  <si>
    <t>ROBLEDO RODRIGUEZ</t>
  </si>
  <si>
    <t>leslydaniela.robledorodriguez</t>
  </si>
  <si>
    <t>'110524</t>
  </si>
  <si>
    <t>VALENCIA BARAJAS</t>
  </si>
  <si>
    <t>lilian.valenciabarajas</t>
  </si>
  <si>
    <t>'007079</t>
  </si>
  <si>
    <t>lillianrebeca.barriossandoval</t>
  </si>
  <si>
    <t>'110605</t>
  </si>
  <si>
    <t>SANDOVAL VALENZUELA</t>
  </si>
  <si>
    <t>lisset.sandovalvalenzuela</t>
  </si>
  <si>
    <t>'112170</t>
  </si>
  <si>
    <t>SILVA SOTELO</t>
  </si>
  <si>
    <t>luisalberto.silvasotelo</t>
  </si>
  <si>
    <t>'111642</t>
  </si>
  <si>
    <t>ESPARZA SANCHEZ</t>
  </si>
  <si>
    <t>luisalejandro.esparzasanchez</t>
  </si>
  <si>
    <t>'111817</t>
  </si>
  <si>
    <t>GARCIA GARCIA</t>
  </si>
  <si>
    <t>luisalonso.garciagarcia</t>
  </si>
  <si>
    <t>'111112</t>
  </si>
  <si>
    <t>SANTANA AGUILAR</t>
  </si>
  <si>
    <t>luisantonio.santanaaguilar</t>
  </si>
  <si>
    <t>'112362</t>
  </si>
  <si>
    <t>GARCIA FERNANDEZ</t>
  </si>
  <si>
    <t>luisdaniel.garciafernandez</t>
  </si>
  <si>
    <t>'111157</t>
  </si>
  <si>
    <t>LOPEZ OROZCO</t>
  </si>
  <si>
    <t>luisfernando.lopezorozco</t>
  </si>
  <si>
    <t>'110434</t>
  </si>
  <si>
    <t>MORA DEL TORO</t>
  </si>
  <si>
    <t>luisfernando.moradeltoro</t>
  </si>
  <si>
    <t>'111838</t>
  </si>
  <si>
    <t>PEREZ ENCISO</t>
  </si>
  <si>
    <t>luisfernando.perezenciso</t>
  </si>
  <si>
    <t>'111076</t>
  </si>
  <si>
    <t>SALAZAR TORRES</t>
  </si>
  <si>
    <t>luisfernando.salazartorres</t>
  </si>
  <si>
    <t>'110471</t>
  </si>
  <si>
    <t>DAVALOS RODRIGUEZ</t>
  </si>
  <si>
    <t>luismanuel.davalosrodriguez</t>
  </si>
  <si>
    <t>'112268</t>
  </si>
  <si>
    <t>GUTIERREZ CHAVEZ</t>
  </si>
  <si>
    <t>luisrodolfo.gutierrezchavez</t>
  </si>
  <si>
    <t>'112198</t>
  </si>
  <si>
    <t>LOZANO SANCHEZ</t>
  </si>
  <si>
    <t>luisrodolfo.lozanosanchez</t>
  </si>
  <si>
    <t>'110493</t>
  </si>
  <si>
    <t>SILVA TORRES</t>
  </si>
  <si>
    <t>luisronaldo.silvatorres</t>
  </si>
  <si>
    <t>'007026</t>
  </si>
  <si>
    <t>ROJO GAXIOLA</t>
  </si>
  <si>
    <t>luissergio.rojogaxiola</t>
  </si>
  <si>
    <t>'110623</t>
  </si>
  <si>
    <t>LOZANO DE LA O</t>
  </si>
  <si>
    <t>lunadalai.lozanodelao</t>
  </si>
  <si>
    <t>'110554</t>
  </si>
  <si>
    <t>AMARO RIVERON</t>
  </si>
  <si>
    <t>luniamargarita.amaroriveron</t>
  </si>
  <si>
    <t>'111795</t>
  </si>
  <si>
    <t>GOMEZ OSORIO</t>
  </si>
  <si>
    <t>luzangelicanaomi.gomezosorio</t>
  </si>
  <si>
    <t>'111114</t>
  </si>
  <si>
    <t>HUERTA LOPEZ</t>
  </si>
  <si>
    <t>lyaabigail.huertalopez</t>
  </si>
  <si>
    <t>'112178</t>
  </si>
  <si>
    <t>ROJAS SANCHEZ</t>
  </si>
  <si>
    <t>manuelamaria.rojassanchez</t>
  </si>
  <si>
    <t>'110558</t>
  </si>
  <si>
    <t>BELLO ARIAS</t>
  </si>
  <si>
    <t>marceliano.belloarias</t>
  </si>
  <si>
    <t>'111069</t>
  </si>
  <si>
    <t>LOPEZ LUVIAN</t>
  </si>
  <si>
    <t>marcoantonio.lopezluvian</t>
  </si>
  <si>
    <t>'110556</t>
  </si>
  <si>
    <t>marcoarturo.ortacruz</t>
  </si>
  <si>
    <t>'111755</t>
  </si>
  <si>
    <t>PREZA RUVALCABA</t>
  </si>
  <si>
    <t>marcogabriel.prezaruvalcaba</t>
  </si>
  <si>
    <t>'110616</t>
  </si>
  <si>
    <t>mariaantonia.hernandezhernandez</t>
  </si>
  <si>
    <t>'110445</t>
  </si>
  <si>
    <t>mariadelosangeles.santoyogarcia</t>
  </si>
  <si>
    <t>'111050</t>
  </si>
  <si>
    <t>AGUILAR MONTES</t>
  </si>
  <si>
    <t>mariafernanda.aguilarmontes</t>
  </si>
  <si>
    <t>'111111</t>
  </si>
  <si>
    <t>mariafernanda.alvarezlopez</t>
  </si>
  <si>
    <t>'110544</t>
  </si>
  <si>
    <t>ALVAREZ OCHOA</t>
  </si>
  <si>
    <t>mariafernanda.alvarezochoa</t>
  </si>
  <si>
    <t>'111197</t>
  </si>
  <si>
    <t>CASTILLO GONZALEZ</t>
  </si>
  <si>
    <t>mariafernanda.castillogonzalez</t>
  </si>
  <si>
    <t>'007514</t>
  </si>
  <si>
    <t>DOMINGUEZ NIEBLAS</t>
  </si>
  <si>
    <t>mariafernanda.domingueznieblas</t>
  </si>
  <si>
    <t>'110490</t>
  </si>
  <si>
    <t>MARTINEZ MENDEZ</t>
  </si>
  <si>
    <t>mariafernanda.martinezmendez</t>
  </si>
  <si>
    <t>'112180</t>
  </si>
  <si>
    <t>RODRIGUEZ DURAN</t>
  </si>
  <si>
    <t>mariafernanda.rodriguezduran</t>
  </si>
  <si>
    <t>'007756</t>
  </si>
  <si>
    <t>SANDOVAL RODRIGUEZ</t>
  </si>
  <si>
    <t>mariafernanda.sandovalrodriguez</t>
  </si>
  <si>
    <t>'110435</t>
  </si>
  <si>
    <t>mariaines.ruizlopez</t>
  </si>
  <si>
    <t>'111116</t>
  </si>
  <si>
    <t>AVILA ESTRADA</t>
  </si>
  <si>
    <t>mariana.avilaestrada</t>
  </si>
  <si>
    <t>'111648</t>
  </si>
  <si>
    <t>mariana.castroanzoategui</t>
  </si>
  <si>
    <t>'111052</t>
  </si>
  <si>
    <t>GARCIA VILLANUEVA</t>
  </si>
  <si>
    <t>mariana.garciavillanueva</t>
  </si>
  <si>
    <t>'111098</t>
  </si>
  <si>
    <t>TORRES CAMACHO</t>
  </si>
  <si>
    <t>mariana.torrescamacho</t>
  </si>
  <si>
    <t>'007521</t>
  </si>
  <si>
    <t>FLORES RAMIREZ</t>
  </si>
  <si>
    <t>marianaitzel.floresramirez</t>
  </si>
  <si>
    <t>'111632</t>
  </si>
  <si>
    <t>JASSO ESPINOSA</t>
  </si>
  <si>
    <t>marianajoselyne.jassoespinosa</t>
  </si>
  <si>
    <t>'112213</t>
  </si>
  <si>
    <t>VILLA CRUZ</t>
  </si>
  <si>
    <t>marianasujey.villacruz</t>
  </si>
  <si>
    <t>'111065</t>
  </si>
  <si>
    <t>FLORES AGUILAR</t>
  </si>
  <si>
    <t>mariangel.floresaguilar</t>
  </si>
  <si>
    <t>'111669</t>
  </si>
  <si>
    <t>RUIZ MARTIN</t>
  </si>
  <si>
    <t>marianisabella.ruizmartin</t>
  </si>
  <si>
    <t>'110532</t>
  </si>
  <si>
    <t>OLMEDO CASILLAS</t>
  </si>
  <si>
    <t>marianne.olmedocasillas</t>
  </si>
  <si>
    <t>'111037</t>
  </si>
  <si>
    <t>MARTINEZ BUENROSTRO</t>
  </si>
  <si>
    <t>mariano.martinezbuenrostro</t>
  </si>
  <si>
    <t>'112174</t>
  </si>
  <si>
    <t>MARQUEZ DELGADILLO</t>
  </si>
  <si>
    <t>marianoadonai.marquezdelgadillo</t>
  </si>
  <si>
    <t>'111110</t>
  </si>
  <si>
    <t>ESPARZA CONTRERAS</t>
  </si>
  <si>
    <t>mariasofia.esparzacontreras</t>
  </si>
  <si>
    <t>'111078</t>
  </si>
  <si>
    <t>GOMEZ MURGUIA</t>
  </si>
  <si>
    <t>marifer.gomezmurguia</t>
  </si>
  <si>
    <t>'110561</t>
  </si>
  <si>
    <t>GAYTAN OROZCO</t>
  </si>
  <si>
    <t>marioarturo.gaytanorozco</t>
  </si>
  <si>
    <t>'111032</t>
  </si>
  <si>
    <t>GOMEZ RAMOS</t>
  </si>
  <si>
    <t>marioisaias.gomezramos</t>
  </si>
  <si>
    <t>'111251</t>
  </si>
  <si>
    <t>GUZMAN MORENO</t>
  </si>
  <si>
    <t>marisol.guzmanmoreno</t>
  </si>
  <si>
    <t>'111036</t>
  </si>
  <si>
    <t>SANCHEZ GIL DOMINGUEZ</t>
  </si>
  <si>
    <t>marisol.sanchezgildominguez</t>
  </si>
  <si>
    <t>'110461</t>
  </si>
  <si>
    <t>maritzaelizabeth.hernandezgarcia</t>
  </si>
  <si>
    <t>'112319</t>
  </si>
  <si>
    <t>FRANCO FLORES</t>
  </si>
  <si>
    <t>marthacarolina.francoflores</t>
  </si>
  <si>
    <t>'109992</t>
  </si>
  <si>
    <t>YAÑEZ RIVERA</t>
  </si>
  <si>
    <t>mauricio.yanezrivera</t>
  </si>
  <si>
    <t>'111759</t>
  </si>
  <si>
    <t>QUINTERO URZUA</t>
  </si>
  <si>
    <t>mauriciojavier.quinterourzua</t>
  </si>
  <si>
    <t>'112157</t>
  </si>
  <si>
    <t>GARCIA NAVARRO</t>
  </si>
  <si>
    <t>mauro.garcianavarro</t>
  </si>
  <si>
    <t>'112151</t>
  </si>
  <si>
    <t>RESENDIZ PIÑA</t>
  </si>
  <si>
    <t>maximiliano.resendizpina</t>
  </si>
  <si>
    <t>'110492</t>
  </si>
  <si>
    <t>ROSALES HERRERA</t>
  </si>
  <si>
    <t>mayrajesusdebelen.rosalesherrera</t>
  </si>
  <si>
    <t>'111644</t>
  </si>
  <si>
    <t>BUENO GUTIERREZ</t>
  </si>
  <si>
    <t>melanirachel.buenogutierrez</t>
  </si>
  <si>
    <t>'111150</t>
  </si>
  <si>
    <t>melanydenisse.avilaestrada</t>
  </si>
  <si>
    <t>'111223</t>
  </si>
  <si>
    <t>ALATORRE GOMEZ</t>
  </si>
  <si>
    <t>melissaitzel.alatorregomez</t>
  </si>
  <si>
    <t>'111225</t>
  </si>
  <si>
    <t>SILVA MARTINEZ</t>
  </si>
  <si>
    <t>melissaitzel.silvamartinez</t>
  </si>
  <si>
    <t>'111228</t>
  </si>
  <si>
    <t>RUIZ VALENZUELA</t>
  </si>
  <si>
    <t>michelle.ruizvalenzuela</t>
  </si>
  <si>
    <t>'111779</t>
  </si>
  <si>
    <t>NAVARRO ZAPATA</t>
  </si>
  <si>
    <t>michelleanahi.navarrozapata</t>
  </si>
  <si>
    <t>'111189</t>
  </si>
  <si>
    <t>OCHOA GONZALEZ</t>
  </si>
  <si>
    <t>michellecarolina.ochoagonzalez</t>
  </si>
  <si>
    <t>'111610</t>
  </si>
  <si>
    <t xml:space="preserve">DELGADO </t>
  </si>
  <si>
    <t>miguel.delgado</t>
  </si>
  <si>
    <t>'112236</t>
  </si>
  <si>
    <t>NUÑO ARANA</t>
  </si>
  <si>
    <t>miguelangel.nunoarana</t>
  </si>
  <si>
    <t>'112251</t>
  </si>
  <si>
    <t>RUIZ GAMARRA</t>
  </si>
  <si>
    <t>miguelangelsnayder.ruizgamarra</t>
  </si>
  <si>
    <t>'111746</t>
  </si>
  <si>
    <t>LOPEZ VARGAS</t>
  </si>
  <si>
    <t>mirandacarolina.lopezvargas</t>
  </si>
  <si>
    <t>'111824</t>
  </si>
  <si>
    <t>miriamalejandra.rodriguezmartinez</t>
  </si>
  <si>
    <t>'007662</t>
  </si>
  <si>
    <t>GONZALEZ BLANCO</t>
  </si>
  <si>
    <t>monicaalejandra.gonzalezblanco</t>
  </si>
  <si>
    <t>'110443</t>
  </si>
  <si>
    <t>HERRERA DUEÑAS</t>
  </si>
  <si>
    <t>montserrat.herreraduenas</t>
  </si>
  <si>
    <t>'110426</t>
  </si>
  <si>
    <t>MIRANDA DIAZ</t>
  </si>
  <si>
    <t>montserrat.mirandadiaz</t>
  </si>
  <si>
    <t>'111028</t>
  </si>
  <si>
    <t>ESQUIVEL ENCARNACION</t>
  </si>
  <si>
    <t>myriamsofia.esquivelencarnacion</t>
  </si>
  <si>
    <t>'112167</t>
  </si>
  <si>
    <t>RAMIREZ HIDALGO</t>
  </si>
  <si>
    <t>naomidanai.ramirezhidalgo</t>
  </si>
  <si>
    <t>'110645</t>
  </si>
  <si>
    <t>naomijimena.hernandezgarcia</t>
  </si>
  <si>
    <t>'111122</t>
  </si>
  <si>
    <t>ESQUER QUINTANILLA</t>
  </si>
  <si>
    <t>natalia.esquerquintanilla</t>
  </si>
  <si>
    <t>'111063</t>
  </si>
  <si>
    <t>IZQUIERDO MARTINEZ</t>
  </si>
  <si>
    <t>natalia.izquierdomartinez</t>
  </si>
  <si>
    <t>'112307</t>
  </si>
  <si>
    <t>NARVAEZ LOZANO</t>
  </si>
  <si>
    <t>natalia.narvaezlozano</t>
  </si>
  <si>
    <t>'111777</t>
  </si>
  <si>
    <t>ORTIZ LOPEZ</t>
  </si>
  <si>
    <t>natalia.ortizlopez</t>
  </si>
  <si>
    <t>'112190</t>
  </si>
  <si>
    <t>SILVA LUGO</t>
  </si>
  <si>
    <t>natalia.silvalugo</t>
  </si>
  <si>
    <t>'112216</t>
  </si>
  <si>
    <t>FERNLEY SUCCAR</t>
  </si>
  <si>
    <t>natalie.fernleysuccar</t>
  </si>
  <si>
    <t>'111092</t>
  </si>
  <si>
    <t>MARTINEZ ORTEGA</t>
  </si>
  <si>
    <t>neizerjesus.martinezortega</t>
  </si>
  <si>
    <t>'110466</t>
  </si>
  <si>
    <t>BARROSO PAZ</t>
  </si>
  <si>
    <t>nelly.barrosopaz</t>
  </si>
  <si>
    <t>'111186</t>
  </si>
  <si>
    <t>JIMENEZ MC LANE</t>
  </si>
  <si>
    <t>nicole.jimenezmclane</t>
  </si>
  <si>
    <t>'109849</t>
  </si>
  <si>
    <t>HERMOSILLO MEXIA</t>
  </si>
  <si>
    <t>nicolguadalupe.hermosillomexia</t>
  </si>
  <si>
    <t>'110463</t>
  </si>
  <si>
    <t>GONZALEZ AGUIRRE</t>
  </si>
  <si>
    <t>noemijocelyn.gonzalezaguirre</t>
  </si>
  <si>
    <t>'112234</t>
  </si>
  <si>
    <t xml:space="preserve">SAKODA </t>
  </si>
  <si>
    <t>nozomi.sakoda</t>
  </si>
  <si>
    <t>'111788</t>
  </si>
  <si>
    <t>ROCHA GARCIA</t>
  </si>
  <si>
    <t>oliver.rochagarcia</t>
  </si>
  <si>
    <t>'112245</t>
  </si>
  <si>
    <t>RIOS LARA</t>
  </si>
  <si>
    <t>omar.rioslara</t>
  </si>
  <si>
    <t>'111168</t>
  </si>
  <si>
    <t>MUÑOZ RODRIGUEZ</t>
  </si>
  <si>
    <t>orlandobaru.munozrodriguez</t>
  </si>
  <si>
    <t>'109834</t>
  </si>
  <si>
    <t>GOMEZ GONZALEZ</t>
  </si>
  <si>
    <t>oscar.gomezgonzalez</t>
  </si>
  <si>
    <t>'112316</t>
  </si>
  <si>
    <t>RAMIREZ RAMOS</t>
  </si>
  <si>
    <t>oscaralfredo.ramirezramos</t>
  </si>
  <si>
    <t>'112184</t>
  </si>
  <si>
    <t>GUZMAN VAZQUEZ</t>
  </si>
  <si>
    <t>oscarandres.guzmanvazquez</t>
  </si>
  <si>
    <t>'110482</t>
  </si>
  <si>
    <t>TIBURCIO FABIAN</t>
  </si>
  <si>
    <t>oscardaniel.tiburciofabian</t>
  </si>
  <si>
    <t>'110450</t>
  </si>
  <si>
    <t>TINOCO AVILA</t>
  </si>
  <si>
    <t>oscardaniel.tinocoavila</t>
  </si>
  <si>
    <t>'110432</t>
  </si>
  <si>
    <t>VELAZQUEZ REYES</t>
  </si>
  <si>
    <t>oscardiego.velazquezreyes</t>
  </si>
  <si>
    <t>'111049</t>
  </si>
  <si>
    <t>CAYO DIAZ</t>
  </si>
  <si>
    <t>oscaremilio.cayodiaz</t>
  </si>
  <si>
    <t>'112283</t>
  </si>
  <si>
    <t>OLIVA RODRIGUEZ</t>
  </si>
  <si>
    <t>oscarhiram.olivarodriguez</t>
  </si>
  <si>
    <t>'112210</t>
  </si>
  <si>
    <t>VAZQUEZ MUÑOZ</t>
  </si>
  <si>
    <t>oscarisrael.vazquezmunoz</t>
  </si>
  <si>
    <t>'007492</t>
  </si>
  <si>
    <t>BALLESTEROS GALVAN</t>
  </si>
  <si>
    <t>oscarosvaldo.ballesterosgalvan</t>
  </si>
  <si>
    <t>'112261</t>
  </si>
  <si>
    <t>VELEZ REYNOSO</t>
  </si>
  <si>
    <t>oscaruriel.velezreynoso</t>
  </si>
  <si>
    <t>'111191</t>
  </si>
  <si>
    <t>FIGUEROA NUÑO</t>
  </si>
  <si>
    <t>osmarandrey.figueroanuno</t>
  </si>
  <si>
    <t>'112353</t>
  </si>
  <si>
    <t>ALVAREZ CRUZ</t>
  </si>
  <si>
    <t>oswaldo.alvarezcruz</t>
  </si>
  <si>
    <t>'112145</t>
  </si>
  <si>
    <t>MOLINA ZAMORA</t>
  </si>
  <si>
    <t>oswaldojosafat.molinazamora</t>
  </si>
  <si>
    <t>'109978</t>
  </si>
  <si>
    <t>CAMACHO GONZALEZ</t>
  </si>
  <si>
    <t>pabloangel.camachogonzalez</t>
  </si>
  <si>
    <t>'109982</t>
  </si>
  <si>
    <t>ENCINOS SANTIZ</t>
  </si>
  <si>
    <t>pablodomingo.encinossantiz</t>
  </si>
  <si>
    <t>'110530</t>
  </si>
  <si>
    <t>OROZCO BRIZUELA</t>
  </si>
  <si>
    <t>pablojared.orozcobrizuela</t>
  </si>
  <si>
    <t>'111619</t>
  </si>
  <si>
    <t>RUIZ GOMEZ</t>
  </si>
  <si>
    <t>pablomanuel.ruizgomez</t>
  </si>
  <si>
    <t>'110473</t>
  </si>
  <si>
    <t>BECCARIS JIMENEZ</t>
  </si>
  <si>
    <t>pablomaria.beccarisjimenez</t>
  </si>
  <si>
    <t>'111853</t>
  </si>
  <si>
    <t>pablooscar.salcidoramos</t>
  </si>
  <si>
    <t>'111040</t>
  </si>
  <si>
    <t>FLORES MORA</t>
  </si>
  <si>
    <t>pablosamuel.floresmora</t>
  </si>
  <si>
    <t>'109845</t>
  </si>
  <si>
    <t>CERVANTES CAMACHO</t>
  </si>
  <si>
    <t>paloma.cervantescamacho</t>
  </si>
  <si>
    <t>'110495</t>
  </si>
  <si>
    <t>COSIO LOPEZ</t>
  </si>
  <si>
    <t>palomamichelle.cosiolopez</t>
  </si>
  <si>
    <t>'112154</t>
  </si>
  <si>
    <t>FLORES ZAVALETA</t>
  </si>
  <si>
    <t>paola.floreszavaleta</t>
  </si>
  <si>
    <t>'110529</t>
  </si>
  <si>
    <t>GUTIERREZ RENTERIA</t>
  </si>
  <si>
    <t>paola.gutierrezrenteria</t>
  </si>
  <si>
    <t>'110695</t>
  </si>
  <si>
    <t>PANDURO SOLIS</t>
  </si>
  <si>
    <t>paoladenice.pandurosolis</t>
  </si>
  <si>
    <t>'007595</t>
  </si>
  <si>
    <t>PEREZ TORRES</t>
  </si>
  <si>
    <t>patricia.pereztorres</t>
  </si>
  <si>
    <t>'109861</t>
  </si>
  <si>
    <t>AGUAYO CAMACHO</t>
  </si>
  <si>
    <t>paulina.aguayocamacho</t>
  </si>
  <si>
    <t>'111203</t>
  </si>
  <si>
    <t>VALADEZ RIVERA</t>
  </si>
  <si>
    <t>paulinanataly.valadezrivera</t>
  </si>
  <si>
    <t>'111743</t>
  </si>
  <si>
    <t>RUBIO ORTIZ</t>
  </si>
  <si>
    <t>pedroemiliano.rubioortiz</t>
  </si>
  <si>
    <t>'007758</t>
  </si>
  <si>
    <t>SOLAEGUI HERNANDEZ</t>
  </si>
  <si>
    <t>pedroiker.solaeguihernandez</t>
  </si>
  <si>
    <t>'111760</t>
  </si>
  <si>
    <t>AVILES BRETADO</t>
  </si>
  <si>
    <t>perlabeatriz.avilesbretado</t>
  </si>
  <si>
    <t>'112272</t>
  </si>
  <si>
    <t xml:space="preserve">LARA </t>
  </si>
  <si>
    <t>rafaelvalentin.lara</t>
  </si>
  <si>
    <t>'111767</t>
  </si>
  <si>
    <t>LOPEZ ALVAREZ</t>
  </si>
  <si>
    <t>regina.lopezalvarez</t>
  </si>
  <si>
    <t>'112171</t>
  </si>
  <si>
    <t>MARRON PEREZ</t>
  </si>
  <si>
    <t>regina.marronperez</t>
  </si>
  <si>
    <t>'111336</t>
  </si>
  <si>
    <t>ARELLANO BAÑUELOS</t>
  </si>
  <si>
    <t>reginamargarita.arellanobanuelos</t>
  </si>
  <si>
    <t>'112255</t>
  </si>
  <si>
    <t>BARBOSA CUEVAS</t>
  </si>
  <si>
    <t>renata.barbosacuevas</t>
  </si>
  <si>
    <t>'109902</t>
  </si>
  <si>
    <t>PICHARDO JAIME</t>
  </si>
  <si>
    <t>renata.pichardojaime</t>
  </si>
  <si>
    <t>'112150</t>
  </si>
  <si>
    <t>CAREY RAMIREZ</t>
  </si>
  <si>
    <t>renatagabriela.careyramirez</t>
  </si>
  <si>
    <t>'110496</t>
  </si>
  <si>
    <t>LOPEZ SILVA</t>
  </si>
  <si>
    <t>ricardo.lopezsilva</t>
  </si>
  <si>
    <t>'112159</t>
  </si>
  <si>
    <t>RAYGOZA GOMEZ</t>
  </si>
  <si>
    <t>ricardo.raygozagomez</t>
  </si>
  <si>
    <t>'112181</t>
  </si>
  <si>
    <t>GARCIA RODRIGUEZ</t>
  </si>
  <si>
    <t>ricardoalexander.garciarodriguez</t>
  </si>
  <si>
    <t>'111661</t>
  </si>
  <si>
    <t>TINOCO ARICEAGA</t>
  </si>
  <si>
    <t>roberto.tinocoariceaga</t>
  </si>
  <si>
    <t>'112188</t>
  </si>
  <si>
    <t>GONZALEZ MIRANDA</t>
  </si>
  <si>
    <t>robertoantonio.gonzalezmiranda</t>
  </si>
  <si>
    <t>'112256</t>
  </si>
  <si>
    <t>ZAMORA SALAZAR</t>
  </si>
  <si>
    <t>robertoemmanuel.zamorasalazar</t>
  </si>
  <si>
    <t>'111094</t>
  </si>
  <si>
    <t>ALVAREZ ESPINOSA</t>
  </si>
  <si>
    <t>rodrigo.alvarezespinosa</t>
  </si>
  <si>
    <t>'110526</t>
  </si>
  <si>
    <t>MARTINEZ CASTELLANOS</t>
  </si>
  <si>
    <t>rodrigo.martinezcastellanos</t>
  </si>
  <si>
    <t>'110674</t>
  </si>
  <si>
    <t>MARTINEZ MARTINEZ</t>
  </si>
  <si>
    <t>rodrigo.martinezmartinez</t>
  </si>
  <si>
    <t>'110527</t>
  </si>
  <si>
    <t>MEDRANO ORTA</t>
  </si>
  <si>
    <t>rodrigo.medranoorta</t>
  </si>
  <si>
    <t>'110564</t>
  </si>
  <si>
    <t>RIVERA VILLASEÑOR</t>
  </si>
  <si>
    <t>rodrigo.riveravillasenor</t>
  </si>
  <si>
    <t>'112176</t>
  </si>
  <si>
    <t>ROMO GUADARRAMA</t>
  </si>
  <si>
    <t>rodrigo.romoguadarrama</t>
  </si>
  <si>
    <t>'111102</t>
  </si>
  <si>
    <t>LOPEZ ALFEREZ</t>
  </si>
  <si>
    <t>rodrigosaul.lopezalferez</t>
  </si>
  <si>
    <t>'110494</t>
  </si>
  <si>
    <t>LOPEZ MAGAÑA</t>
  </si>
  <si>
    <t>romina.lopezmagana</t>
  </si>
  <si>
    <t>'110612</t>
  </si>
  <si>
    <t>ROSAS PEREZ</t>
  </si>
  <si>
    <t>rosario.rosasperez</t>
  </si>
  <si>
    <t>'110437</t>
  </si>
  <si>
    <t>HERNANDEZ ROMAN</t>
  </si>
  <si>
    <t>ruthpaola.hernandezroman</t>
  </si>
  <si>
    <t>'112187</t>
  </si>
  <si>
    <t>GARCIA DURAN</t>
  </si>
  <si>
    <t>salvadorceo.garciaduran</t>
  </si>
  <si>
    <t>'110643</t>
  </si>
  <si>
    <t>PIÑON CARO</t>
  </si>
  <si>
    <t>salvadornicolas.pinoncaro</t>
  </si>
  <si>
    <t>'109891</t>
  </si>
  <si>
    <t>MONTES SALDATE</t>
  </si>
  <si>
    <t>samuelalejandro.montessaldate</t>
  </si>
  <si>
    <t>'111729</t>
  </si>
  <si>
    <t>VERA DE LA ROSA</t>
  </si>
  <si>
    <t>samuelricardo.veradelarosa</t>
  </si>
  <si>
    <t>'111688</t>
  </si>
  <si>
    <t>MARTINEZ NAVARRO</t>
  </si>
  <si>
    <t>sandra.martineznavarro</t>
  </si>
  <si>
    <t>'111690</t>
  </si>
  <si>
    <t>GUERRERO GRIMALDO</t>
  </si>
  <si>
    <t>sandrabeatriz.guerrerogrimaldo</t>
  </si>
  <si>
    <t>'112229</t>
  </si>
  <si>
    <t>CALDERON GONZALEZ</t>
  </si>
  <si>
    <t>santiago.calderongonzalez</t>
  </si>
  <si>
    <t>'111121</t>
  </si>
  <si>
    <t>PELAYO ESPINOSA</t>
  </si>
  <si>
    <t>santiago.pelayoespinosa</t>
  </si>
  <si>
    <t>'111236</t>
  </si>
  <si>
    <t>MEJIA DE LA ROSA</t>
  </si>
  <si>
    <t>santiagorene.mejiadelarosa</t>
  </si>
  <si>
    <t>'111366</t>
  </si>
  <si>
    <t>CAJERO EINUNG</t>
  </si>
  <si>
    <t>saraagali.cajeroeinung</t>
  </si>
  <si>
    <t>'112276</t>
  </si>
  <si>
    <t>LEON MUÑOZ</t>
  </si>
  <si>
    <t>saraalicia.leonmunoz</t>
  </si>
  <si>
    <t>'111250</t>
  </si>
  <si>
    <t>BAJO PEREZ</t>
  </si>
  <si>
    <t>sarahi.bajoperez</t>
  </si>
  <si>
    <t>'111532</t>
  </si>
  <si>
    <t>VILLALOBOS CARRILLO</t>
  </si>
  <si>
    <t>sauldejesus.villaloboscarrillo</t>
  </si>
  <si>
    <t>'111093</t>
  </si>
  <si>
    <t>GARCIA MEJIA</t>
  </si>
  <si>
    <t>sebastian.garciamejia</t>
  </si>
  <si>
    <t>'109812</t>
  </si>
  <si>
    <t>MARTIN CAMPOS</t>
  </si>
  <si>
    <t>sebastian.martincampos</t>
  </si>
  <si>
    <t>'111127</t>
  </si>
  <si>
    <t>ROCHA LOZANO</t>
  </si>
  <si>
    <t>sebastian.rochalozano</t>
  </si>
  <si>
    <t>'112192</t>
  </si>
  <si>
    <t>PALAFOX FIGUEROA</t>
  </si>
  <si>
    <t>sebastianalonso.palafoxfigueroa</t>
  </si>
  <si>
    <t>'111226</t>
  </si>
  <si>
    <t>APONTE NAVARRO</t>
  </si>
  <si>
    <t>sebastianemiliano.apontenavarro</t>
  </si>
  <si>
    <t>'109836</t>
  </si>
  <si>
    <t>GALLEGOS RAMOS</t>
  </si>
  <si>
    <t>sergiojose.gallegosramos</t>
  </si>
  <si>
    <t>'111183</t>
  </si>
  <si>
    <t>VAZQUEZ RODRIGUEZ</t>
  </si>
  <si>
    <t>sharonsofia.vazquezrodriguez</t>
  </si>
  <si>
    <t>'112270</t>
  </si>
  <si>
    <t>BARAJAS RAMIREZ</t>
  </si>
  <si>
    <t>sofia.barajasramirez</t>
  </si>
  <si>
    <t>'109835</t>
  </si>
  <si>
    <t>CARRILLO MATUS</t>
  </si>
  <si>
    <t>sofia.carrillomatus</t>
  </si>
  <si>
    <t>'007080</t>
  </si>
  <si>
    <t>MANCILLA PAVIA</t>
  </si>
  <si>
    <t>sofia.mancillapavia</t>
  </si>
  <si>
    <t>'110504</t>
  </si>
  <si>
    <t>PARTIDA BARBA</t>
  </si>
  <si>
    <t>sofia.partidabarba</t>
  </si>
  <si>
    <t>'110569</t>
  </si>
  <si>
    <t>sofia.solaeguihernandez</t>
  </si>
  <si>
    <t>'111088</t>
  </si>
  <si>
    <t>MARMOLEJO RODRIGUEZ</t>
  </si>
  <si>
    <t>soniaximena.marmolejorodriguez</t>
  </si>
  <si>
    <t>'111075</t>
  </si>
  <si>
    <t>CONTRERAS SANCHEZ</t>
  </si>
  <si>
    <t>taniadelosangeles.contrerassanchez</t>
  </si>
  <si>
    <t>'111311</t>
  </si>
  <si>
    <t>RIVERA RANGEL</t>
  </si>
  <si>
    <t>taniafernanda.riverarangel</t>
  </si>
  <si>
    <t>'111165</t>
  </si>
  <si>
    <t>GALLI MARTINEZ</t>
  </si>
  <si>
    <t>tatiana.gallimartinez</t>
  </si>
  <si>
    <t>'112148</t>
  </si>
  <si>
    <t>AVENDAÑO PANI</t>
  </si>
  <si>
    <t>ubaldo.avendanopani</t>
  </si>
  <si>
    <t>'110667</t>
  </si>
  <si>
    <t>GONZALEZ LOPEZ</t>
  </si>
  <si>
    <t>ulisesjosell.gonzalezlopez</t>
  </si>
  <si>
    <t>'111664</t>
  </si>
  <si>
    <t>ESCALANTE RAMIREZ</t>
  </si>
  <si>
    <t>valentina.escalanteramirez</t>
  </si>
  <si>
    <t>'112204</t>
  </si>
  <si>
    <t>PALOMINO RODRIGUEZ</t>
  </si>
  <si>
    <t>valentina.palominorodriguez</t>
  </si>
  <si>
    <t>'111808</t>
  </si>
  <si>
    <t>ELIZALDE QUINTERO</t>
  </si>
  <si>
    <t>valentino.elizaldequintero</t>
  </si>
  <si>
    <t>'111238</t>
  </si>
  <si>
    <t>ALEJO GONZALEZ</t>
  </si>
  <si>
    <t>valeria.alejogonzalez</t>
  </si>
  <si>
    <t>'007093</t>
  </si>
  <si>
    <t>BAÑUELOS MONTEVERDE</t>
  </si>
  <si>
    <t>valeria.banuelosmonteverde</t>
  </si>
  <si>
    <t>'111386</t>
  </si>
  <si>
    <t>BUITRON VALENCIA</t>
  </si>
  <si>
    <t>valeria.buitronvalencia</t>
  </si>
  <si>
    <t>'111816</t>
  </si>
  <si>
    <t>CASTILLO LOPEZ</t>
  </si>
  <si>
    <t>valeria.castillolopez</t>
  </si>
  <si>
    <t>'110630</t>
  </si>
  <si>
    <t>GALLO ACEVES</t>
  </si>
  <si>
    <t>valeria.galloaceves</t>
  </si>
  <si>
    <t>'110458</t>
  </si>
  <si>
    <t>GALVEZ DIAZ</t>
  </si>
  <si>
    <t>valeria.galvezdiaz</t>
  </si>
  <si>
    <t>'112308</t>
  </si>
  <si>
    <t>HERNANDEZ GOMEZ</t>
  </si>
  <si>
    <t>valeria.hernandezgomez</t>
  </si>
  <si>
    <t>'110624</t>
  </si>
  <si>
    <t>ORTEGA CANO</t>
  </si>
  <si>
    <t>valeria.ortegacano</t>
  </si>
  <si>
    <t>'112254</t>
  </si>
  <si>
    <t>SALDAÑA VARGAS</t>
  </si>
  <si>
    <t>valeria.saldanavargas</t>
  </si>
  <si>
    <t>'111785</t>
  </si>
  <si>
    <t>TORRES FARIAS</t>
  </si>
  <si>
    <t>valeria.torresfarias</t>
  </si>
  <si>
    <t>'111778</t>
  </si>
  <si>
    <t>ESTRADA GIL</t>
  </si>
  <si>
    <t>valeriaalejandra.estradagil</t>
  </si>
  <si>
    <t>'111680</t>
  </si>
  <si>
    <t>OCHOA REYES</t>
  </si>
  <si>
    <t>valeriasofia.ochoareyes</t>
  </si>
  <si>
    <t>'111030</t>
  </si>
  <si>
    <t>FRANCO MENDEZ</t>
  </si>
  <si>
    <t>victorhugo.francomendez</t>
  </si>
  <si>
    <t>'111221</t>
  </si>
  <si>
    <t>GUERRERO FLORES</t>
  </si>
  <si>
    <t>victoria.guerreroflores</t>
  </si>
  <si>
    <t>'111807</t>
  </si>
  <si>
    <t>ROMERO GOMEZ</t>
  </si>
  <si>
    <t>victoria.romerogomez</t>
  </si>
  <si>
    <t>'111166</t>
  </si>
  <si>
    <t>CERVANTES PANDURO</t>
  </si>
  <si>
    <t>victormanuel.cervantespanduro</t>
  </si>
  <si>
    <t>'112208</t>
  </si>
  <si>
    <t>VELASCO LIEVANOS</t>
  </si>
  <si>
    <t>victormanuel.velascolievanos</t>
  </si>
  <si>
    <t>'007076</t>
  </si>
  <si>
    <t>STOBSCHINSKI FRANZ</t>
  </si>
  <si>
    <t>wilhelm.stobschinskifranz</t>
  </si>
  <si>
    <t>'110662</t>
  </si>
  <si>
    <t>CARDENAS GARCIA</t>
  </si>
  <si>
    <t>ximena.cardenasgarcia</t>
  </si>
  <si>
    <t>'111178</t>
  </si>
  <si>
    <t>ximena.covarrubiaslimon</t>
  </si>
  <si>
    <t>'112301</t>
  </si>
  <si>
    <t>RODRIGUEZ CISNEROS</t>
  </si>
  <si>
    <t>ximenasofia.rodriguezcisneros</t>
  </si>
  <si>
    <t>'110448</t>
  </si>
  <si>
    <t>MEDINA RODRIGUEZ</t>
  </si>
  <si>
    <t>yaeldejesus.medinarodriguez</t>
  </si>
  <si>
    <t>'110610</t>
  </si>
  <si>
    <t>GARCIA IBARRA</t>
  </si>
  <si>
    <t>yazmingabriela.garciaibarra</t>
  </si>
  <si>
    <t>'112162</t>
  </si>
  <si>
    <t>SANCHEZ RANGEL</t>
  </si>
  <si>
    <t>yessikamichell.sanchezrangel</t>
  </si>
  <si>
    <t>'112249</t>
  </si>
  <si>
    <t>RUIZ GONZALEZ</t>
  </si>
  <si>
    <t>yocelinyazmin.ruizgonzalez</t>
  </si>
  <si>
    <t>'111667</t>
  </si>
  <si>
    <t>GUILLEN HERNANDEZ</t>
  </si>
  <si>
    <t>zahidlievich.guillenhernandez</t>
  </si>
  <si>
    <t>'111811</t>
  </si>
  <si>
    <t>ENRIQUEZ SANCHEZ</t>
  </si>
  <si>
    <t>zahirapaulette.enriquezsanchez</t>
  </si>
  <si>
    <t>'112259</t>
  </si>
  <si>
    <t>CARRANZA LESPRON</t>
  </si>
  <si>
    <t>zarapaulina.carranzalespron</t>
  </si>
  <si>
    <t>'111628</t>
  </si>
  <si>
    <t>MONTAÑO AMBROCIO</t>
  </si>
  <si>
    <t>zarasofia.montanoambrocio</t>
  </si>
  <si>
    <t>'007359</t>
  </si>
  <si>
    <t>OCHOA FONSECA</t>
  </si>
  <si>
    <t>luisfernando.ochoafonseca</t>
  </si>
  <si>
    <t>'109851</t>
  </si>
  <si>
    <t>AGUIRRE ASTORGA</t>
  </si>
  <si>
    <t>pabloleonardo.aguirreastorga</t>
  </si>
  <si>
    <t>'110433</t>
  </si>
  <si>
    <t>ALMONTE MEJIA</t>
  </si>
  <si>
    <t>luisjavier.almontemejia</t>
  </si>
  <si>
    <t>'110555</t>
  </si>
  <si>
    <t>SANTAMARIA RAMIREZ</t>
  </si>
  <si>
    <t>erikalejandro.santamariaramirez</t>
  </si>
  <si>
    <t>'111842</t>
  </si>
  <si>
    <t>MORA ZEPEDA</t>
  </si>
  <si>
    <t>kevinjosue.morazepeda</t>
  </si>
  <si>
    <t>alvaro.delapenaperez</t>
  </si>
  <si>
    <t>ernesto.rojasrodriguez</t>
  </si>
  <si>
    <t>giselnailea.jaureguirivera</t>
  </si>
  <si>
    <t>guillermokaleb.araujovargas</t>
  </si>
  <si>
    <t>joseramon.vegapacheco</t>
  </si>
  <si>
    <t>karlamichelle.maciasontiveros</t>
  </si>
  <si>
    <t>karlavaleria.bautistahernandez</t>
  </si>
  <si>
    <t>marielcarolina.gonzalezcampos</t>
  </si>
  <si>
    <t>oscarroberto.gonzalezcampos</t>
  </si>
  <si>
    <t>vivianapaola.riveraoliver</t>
  </si>
  <si>
    <t>yaelalejandro.hernandezgonzalez</t>
  </si>
  <si>
    <t>pauloalberto.martinezjimenez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</si>
</sst>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right" vertical="center"/>
    </xf>
    <xf numFmtId="0" fontId="4" fillId="0" borderId="0" xfId="0" applyFont="1"/>
    <xf numFmtId="49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0" fontId="1" fillId="2" borderId="1" xfId="0" applyNumberFormat="1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left" vertical="center"/>
    </xf>
    <xf numFmtId="0" fontId="1" fillId="2" borderId="1" xfId="0" quotePrefix="1" applyNumberFormat="1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NumberFormat="1" applyFill="1"/>
    <xf numFmtId="49" fontId="0" fillId="0" borderId="0" xfId="0" applyNumberFormat="1" applyFill="1"/>
    <xf numFmtId="0" fontId="5" fillId="0" borderId="0" xfId="0" applyFont="1" applyFill="1"/>
    <xf numFmtId="0" fontId="0" fillId="0" borderId="0" xfId="0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5"/>
  <sheetViews>
    <sheetView showGridLines="0" workbookViewId="0">
      <selection activeCell="F12" sqref="F12"/>
    </sheetView>
  </sheetViews>
  <sheetFormatPr baseColWidth="10" defaultRowHeight="14.5" x14ac:dyDescent="0.35"/>
  <cols>
    <col min="1" max="1" width="12.81640625" customWidth="1"/>
    <col min="2" max="2" width="22.81640625" customWidth="1"/>
    <col min="3" max="3" width="14.54296875" customWidth="1"/>
    <col min="4" max="4" width="15.1796875" customWidth="1"/>
    <col min="5" max="5" width="7.81640625" customWidth="1"/>
    <col min="6" max="6" width="36.7265625" customWidth="1"/>
    <col min="7" max="7" width="65.453125" customWidth="1"/>
    <col min="8" max="8" width="6.1796875" customWidth="1"/>
    <col min="9" max="9" width="9" customWidth="1"/>
    <col min="10" max="10" width="9.453125" customWidth="1"/>
    <col min="11" max="12" width="9.7265625" customWidth="1"/>
  </cols>
  <sheetData>
    <row r="1" spans="1:12" ht="15" customHeight="1" x14ac:dyDescent="0.35">
      <c r="A1" s="7" t="s">
        <v>0</v>
      </c>
      <c r="B1" s="7" t="s">
        <v>2</v>
      </c>
      <c r="C1" s="7" t="s">
        <v>526</v>
      </c>
      <c r="D1" s="7" t="s">
        <v>861</v>
      </c>
      <c r="E1" s="7" t="s">
        <v>1048</v>
      </c>
      <c r="F1" s="7" t="s">
        <v>1049</v>
      </c>
      <c r="G1" s="7" t="s">
        <v>1674</v>
      </c>
      <c r="H1" s="7" t="s">
        <v>1676</v>
      </c>
      <c r="I1" s="7" t="s">
        <v>1684</v>
      </c>
      <c r="J1" s="7" t="s">
        <v>1687</v>
      </c>
      <c r="K1" s="7" t="s">
        <v>1690</v>
      </c>
      <c r="L1" s="1" t="s">
        <v>1733</v>
      </c>
    </row>
    <row r="2" spans="1:12" ht="15" customHeight="1" x14ac:dyDescent="0.35">
      <c r="A2" s="7" t="s">
        <v>1</v>
      </c>
      <c r="B2" s="7" t="s">
        <v>3</v>
      </c>
      <c r="C2" s="7" t="s">
        <v>527</v>
      </c>
      <c r="D2" s="7" t="s">
        <v>736</v>
      </c>
      <c r="E2" s="9" t="s">
        <v>1757</v>
      </c>
      <c r="F2" s="7" t="s">
        <v>1050</v>
      </c>
      <c r="G2" s="7" t="s">
        <v>1739</v>
      </c>
      <c r="H2" s="7" t="s">
        <v>1677</v>
      </c>
      <c r="I2" s="7" t="s">
        <v>1685</v>
      </c>
      <c r="J2" s="7" t="s">
        <v>1688</v>
      </c>
      <c r="K2" s="7" t="s">
        <v>1691</v>
      </c>
      <c r="L2" s="2">
        <v>1</v>
      </c>
    </row>
    <row r="3" spans="1:12" ht="15" customHeight="1" x14ac:dyDescent="0.35">
      <c r="A3" s="7" t="s">
        <v>1</v>
      </c>
      <c r="B3" s="7" t="s">
        <v>4</v>
      </c>
      <c r="C3" s="7" t="s">
        <v>528</v>
      </c>
      <c r="D3" s="7" t="s">
        <v>862</v>
      </c>
      <c r="E3" s="9" t="s">
        <v>1758</v>
      </c>
      <c r="F3" s="7" t="s">
        <v>1051</v>
      </c>
      <c r="G3" s="7" t="s">
        <v>1740</v>
      </c>
      <c r="H3" s="7" t="s">
        <v>1678</v>
      </c>
      <c r="I3" s="7" t="s">
        <v>1685</v>
      </c>
      <c r="J3" s="7" t="s">
        <v>1688</v>
      </c>
      <c r="K3" s="7" t="s">
        <v>1692</v>
      </c>
      <c r="L3" s="2">
        <v>1</v>
      </c>
    </row>
    <row r="4" spans="1:12" ht="15" customHeight="1" x14ac:dyDescent="0.35">
      <c r="A4" s="7" t="s">
        <v>1</v>
      </c>
      <c r="B4" s="7" t="s">
        <v>5</v>
      </c>
      <c r="C4" s="7" t="s">
        <v>529</v>
      </c>
      <c r="D4" s="7" t="s">
        <v>627</v>
      </c>
      <c r="E4" s="9" t="s">
        <v>1759</v>
      </c>
      <c r="F4" s="7" t="s">
        <v>1052</v>
      </c>
      <c r="G4" s="7" t="s">
        <v>1741</v>
      </c>
      <c r="H4" s="7" t="s">
        <v>1679</v>
      </c>
      <c r="I4" s="7" t="s">
        <v>1685</v>
      </c>
      <c r="J4" s="7" t="s">
        <v>1688</v>
      </c>
      <c r="K4" s="7" t="s">
        <v>1693</v>
      </c>
      <c r="L4" s="2">
        <v>1</v>
      </c>
    </row>
    <row r="5" spans="1:12" ht="15" customHeight="1" x14ac:dyDescent="0.35">
      <c r="A5" s="7" t="s">
        <v>1</v>
      </c>
      <c r="B5" s="7" t="s">
        <v>6</v>
      </c>
      <c r="C5" s="7" t="s">
        <v>530</v>
      </c>
      <c r="D5" s="7" t="s">
        <v>599</v>
      </c>
      <c r="E5" s="9" t="s">
        <v>1760</v>
      </c>
      <c r="F5" s="7" t="s">
        <v>1053</v>
      </c>
      <c r="G5" s="7" t="s">
        <v>1742</v>
      </c>
      <c r="H5" s="7" t="s">
        <v>1679</v>
      </c>
      <c r="I5" s="7" t="s">
        <v>1686</v>
      </c>
      <c r="J5" s="7" t="s">
        <v>1688</v>
      </c>
      <c r="K5" s="7" t="s">
        <v>1694</v>
      </c>
      <c r="L5" s="2">
        <v>1</v>
      </c>
    </row>
    <row r="6" spans="1:12" ht="15" customHeight="1" x14ac:dyDescent="0.35">
      <c r="A6" s="7" t="s">
        <v>1</v>
      </c>
      <c r="B6" s="7" t="s">
        <v>7</v>
      </c>
      <c r="C6" s="7" t="s">
        <v>531</v>
      </c>
      <c r="D6" s="7" t="s">
        <v>863</v>
      </c>
      <c r="E6" s="9" t="s">
        <v>1761</v>
      </c>
      <c r="F6" s="7" t="s">
        <v>1054</v>
      </c>
      <c r="G6" s="7" t="s">
        <v>1742</v>
      </c>
      <c r="H6" s="7" t="s">
        <v>1680</v>
      </c>
      <c r="I6" s="7" t="s">
        <v>1686</v>
      </c>
      <c r="J6" s="7" t="s">
        <v>1688</v>
      </c>
      <c r="K6" s="7" t="s">
        <v>1695</v>
      </c>
      <c r="L6" s="2">
        <v>1</v>
      </c>
    </row>
    <row r="7" spans="1:12" ht="15" customHeight="1" x14ac:dyDescent="0.35">
      <c r="A7" s="7" t="s">
        <v>1</v>
      </c>
      <c r="B7" s="7" t="s">
        <v>8</v>
      </c>
      <c r="C7" s="7" t="s">
        <v>532</v>
      </c>
      <c r="D7" s="7" t="s">
        <v>573</v>
      </c>
      <c r="E7" s="9" t="s">
        <v>1762</v>
      </c>
      <c r="F7" s="7" t="s">
        <v>1055</v>
      </c>
      <c r="G7" s="7" t="s">
        <v>1737</v>
      </c>
      <c r="H7" s="7" t="s">
        <v>1678</v>
      </c>
      <c r="I7" s="7" t="s">
        <v>1686</v>
      </c>
      <c r="J7" s="7" t="s">
        <v>1688</v>
      </c>
      <c r="K7" s="7" t="s">
        <v>1696</v>
      </c>
      <c r="L7" s="2">
        <v>1</v>
      </c>
    </row>
    <row r="8" spans="1:12" ht="15" customHeight="1" x14ac:dyDescent="0.35">
      <c r="A8" s="7" t="s">
        <v>1</v>
      </c>
      <c r="B8" s="7" t="s">
        <v>9</v>
      </c>
      <c r="C8" s="7" t="s">
        <v>533</v>
      </c>
      <c r="D8" s="7" t="s">
        <v>620</v>
      </c>
      <c r="E8" s="9" t="s">
        <v>1763</v>
      </c>
      <c r="F8" s="7" t="s">
        <v>1056</v>
      </c>
      <c r="G8" s="7" t="s">
        <v>1742</v>
      </c>
      <c r="H8" s="7" t="s">
        <v>1681</v>
      </c>
      <c r="I8" s="7" t="s">
        <v>1686</v>
      </c>
      <c r="J8" s="7" t="s">
        <v>1688</v>
      </c>
      <c r="K8" s="7" t="s">
        <v>1697</v>
      </c>
      <c r="L8" s="2">
        <v>1</v>
      </c>
    </row>
    <row r="9" spans="1:12" ht="15" customHeight="1" x14ac:dyDescent="0.35">
      <c r="A9" s="7" t="s">
        <v>1</v>
      </c>
      <c r="B9" s="7" t="s">
        <v>9</v>
      </c>
      <c r="C9" s="7" t="s">
        <v>534</v>
      </c>
      <c r="D9" s="7" t="s">
        <v>546</v>
      </c>
      <c r="E9" s="9" t="s">
        <v>1764</v>
      </c>
      <c r="F9" s="7" t="s">
        <v>1057</v>
      </c>
      <c r="G9" s="7" t="s">
        <v>1737</v>
      </c>
      <c r="H9" s="7" t="s">
        <v>1677</v>
      </c>
      <c r="I9" s="7" t="s">
        <v>1686</v>
      </c>
      <c r="J9" s="7" t="s">
        <v>1688</v>
      </c>
      <c r="K9" s="7" t="s">
        <v>1698</v>
      </c>
      <c r="L9" s="2">
        <v>1</v>
      </c>
    </row>
    <row r="10" spans="1:12" ht="15" customHeight="1" x14ac:dyDescent="0.35">
      <c r="A10" s="7" t="s">
        <v>1</v>
      </c>
      <c r="B10" s="7" t="s">
        <v>10</v>
      </c>
      <c r="C10" s="7" t="s">
        <v>535</v>
      </c>
      <c r="D10" s="7" t="s">
        <v>864</v>
      </c>
      <c r="E10" s="9" t="s">
        <v>1765</v>
      </c>
      <c r="F10" s="7" t="s">
        <v>1058</v>
      </c>
      <c r="G10" s="7" t="s">
        <v>1742</v>
      </c>
      <c r="H10" s="7" t="s">
        <v>1679</v>
      </c>
      <c r="I10" s="7" t="s">
        <v>1686</v>
      </c>
      <c r="J10" s="7" t="s">
        <v>1688</v>
      </c>
      <c r="K10" s="7" t="s">
        <v>1694</v>
      </c>
      <c r="L10" s="2">
        <v>1</v>
      </c>
    </row>
    <row r="11" spans="1:12" ht="15" customHeight="1" x14ac:dyDescent="0.35">
      <c r="A11" s="7" t="s">
        <v>1</v>
      </c>
      <c r="B11" s="7" t="s">
        <v>11</v>
      </c>
      <c r="C11" s="7" t="s">
        <v>532</v>
      </c>
      <c r="D11" s="7" t="s">
        <v>607</v>
      </c>
      <c r="E11" s="9" t="s">
        <v>1766</v>
      </c>
      <c r="F11" s="7" t="s">
        <v>1059</v>
      </c>
      <c r="G11" s="7" t="s">
        <v>1740</v>
      </c>
      <c r="H11" s="7" t="s">
        <v>1677</v>
      </c>
      <c r="I11" s="7" t="s">
        <v>1686</v>
      </c>
      <c r="J11" s="7" t="s">
        <v>1688</v>
      </c>
      <c r="K11" s="7" t="s">
        <v>1699</v>
      </c>
      <c r="L11" s="2">
        <v>1</v>
      </c>
    </row>
    <row r="12" spans="1:12" ht="15" customHeight="1" x14ac:dyDescent="0.35">
      <c r="A12" s="7" t="s">
        <v>1</v>
      </c>
      <c r="B12" s="7" t="s">
        <v>12</v>
      </c>
      <c r="C12" s="7" t="s">
        <v>536</v>
      </c>
      <c r="D12" s="7" t="s">
        <v>660</v>
      </c>
      <c r="E12" s="9" t="s">
        <v>1767</v>
      </c>
      <c r="F12" s="7" t="s">
        <v>1060</v>
      </c>
      <c r="G12" s="7" t="s">
        <v>1742</v>
      </c>
      <c r="H12" s="7" t="s">
        <v>1678</v>
      </c>
      <c r="I12" s="7" t="s">
        <v>1686</v>
      </c>
      <c r="J12" s="7" t="s">
        <v>1688</v>
      </c>
      <c r="K12" s="7" t="s">
        <v>1700</v>
      </c>
      <c r="L12" s="2">
        <v>1</v>
      </c>
    </row>
    <row r="13" spans="1:12" ht="15" customHeight="1" x14ac:dyDescent="0.35">
      <c r="A13" s="7" t="s">
        <v>1</v>
      </c>
      <c r="B13" s="7" t="s">
        <v>13</v>
      </c>
      <c r="C13" s="7" t="s">
        <v>537</v>
      </c>
      <c r="D13" s="7" t="s">
        <v>865</v>
      </c>
      <c r="E13" s="9" t="s">
        <v>1768</v>
      </c>
      <c r="F13" s="7" t="s">
        <v>1061</v>
      </c>
      <c r="G13" s="7" t="s">
        <v>1742</v>
      </c>
      <c r="H13" s="7" t="s">
        <v>1679</v>
      </c>
      <c r="I13" s="7" t="s">
        <v>1685</v>
      </c>
      <c r="J13" s="7" t="s">
        <v>1688</v>
      </c>
      <c r="K13" s="7" t="s">
        <v>1694</v>
      </c>
      <c r="L13" s="2">
        <v>1</v>
      </c>
    </row>
    <row r="14" spans="1:12" ht="15" customHeight="1" x14ac:dyDescent="0.35">
      <c r="A14" s="7" t="s">
        <v>1</v>
      </c>
      <c r="B14" s="7" t="s">
        <v>13</v>
      </c>
      <c r="C14" s="7" t="s">
        <v>538</v>
      </c>
      <c r="D14" s="7" t="s">
        <v>627</v>
      </c>
      <c r="E14" s="9" t="s">
        <v>1769</v>
      </c>
      <c r="F14" s="7" t="s">
        <v>1062</v>
      </c>
      <c r="G14" s="7" t="s">
        <v>1742</v>
      </c>
      <c r="H14" s="7" t="s">
        <v>1678</v>
      </c>
      <c r="I14" s="7" t="s">
        <v>1685</v>
      </c>
      <c r="J14" s="7" t="s">
        <v>1688</v>
      </c>
      <c r="K14" s="7" t="s">
        <v>1701</v>
      </c>
      <c r="L14" s="2">
        <v>1</v>
      </c>
    </row>
    <row r="15" spans="1:12" ht="15" customHeight="1" x14ac:dyDescent="0.35">
      <c r="A15" s="7" t="s">
        <v>1</v>
      </c>
      <c r="B15" s="7" t="s">
        <v>14</v>
      </c>
      <c r="C15" s="7" t="s">
        <v>539</v>
      </c>
      <c r="D15" s="7" t="s">
        <v>636</v>
      </c>
      <c r="E15" s="9" t="s">
        <v>1770</v>
      </c>
      <c r="F15" s="7" t="s">
        <v>1063</v>
      </c>
      <c r="G15" s="7" t="s">
        <v>1743</v>
      </c>
      <c r="H15" s="7" t="s">
        <v>1679</v>
      </c>
      <c r="I15" s="7" t="s">
        <v>1685</v>
      </c>
      <c r="J15" s="7" t="s">
        <v>1688</v>
      </c>
      <c r="K15" s="7" t="s">
        <v>1702</v>
      </c>
      <c r="L15" s="2">
        <v>1</v>
      </c>
    </row>
    <row r="16" spans="1:12" ht="15" customHeight="1" x14ac:dyDescent="0.35">
      <c r="A16" s="7" t="s">
        <v>1</v>
      </c>
      <c r="B16" s="7" t="s">
        <v>15</v>
      </c>
      <c r="C16" s="7" t="s">
        <v>540</v>
      </c>
      <c r="D16" s="7" t="s">
        <v>866</v>
      </c>
      <c r="E16" s="9" t="s">
        <v>1771</v>
      </c>
      <c r="F16" s="7" t="s">
        <v>1064</v>
      </c>
      <c r="G16" s="7" t="s">
        <v>1742</v>
      </c>
      <c r="H16" s="7" t="s">
        <v>1677</v>
      </c>
      <c r="I16" s="7" t="s">
        <v>1685</v>
      </c>
      <c r="J16" s="7" t="s">
        <v>1688</v>
      </c>
      <c r="K16" s="7" t="s">
        <v>1703</v>
      </c>
      <c r="L16" s="2">
        <v>1</v>
      </c>
    </row>
    <row r="17" spans="1:12" ht="15" customHeight="1" x14ac:dyDescent="0.35">
      <c r="A17" s="7" t="s">
        <v>1</v>
      </c>
      <c r="B17" s="7" t="s">
        <v>16</v>
      </c>
      <c r="C17" s="7" t="s">
        <v>541</v>
      </c>
      <c r="D17" s="7" t="s">
        <v>867</v>
      </c>
      <c r="E17" s="9" t="s">
        <v>1772</v>
      </c>
      <c r="F17" s="7" t="s">
        <v>1065</v>
      </c>
      <c r="G17" s="7" t="s">
        <v>1743</v>
      </c>
      <c r="H17" s="7" t="s">
        <v>1680</v>
      </c>
      <c r="I17" s="7" t="s">
        <v>1685</v>
      </c>
      <c r="J17" s="7" t="s">
        <v>1688</v>
      </c>
      <c r="K17" s="7" t="s">
        <v>1704</v>
      </c>
      <c r="L17" s="2">
        <v>1</v>
      </c>
    </row>
    <row r="18" spans="1:12" ht="15" customHeight="1" x14ac:dyDescent="0.35">
      <c r="A18" s="7" t="s">
        <v>1</v>
      </c>
      <c r="B18" s="7" t="s">
        <v>17</v>
      </c>
      <c r="C18" s="7" t="s">
        <v>542</v>
      </c>
      <c r="D18" s="7" t="s">
        <v>570</v>
      </c>
      <c r="E18" s="9" t="s">
        <v>1773</v>
      </c>
      <c r="F18" s="7" t="s">
        <v>1066</v>
      </c>
      <c r="G18" s="7" t="s">
        <v>1738</v>
      </c>
      <c r="H18" s="7" t="s">
        <v>1678</v>
      </c>
      <c r="I18" s="7" t="s">
        <v>1686</v>
      </c>
      <c r="J18" s="7" t="s">
        <v>1688</v>
      </c>
      <c r="K18" s="7" t="s">
        <v>1705</v>
      </c>
      <c r="L18" s="2">
        <v>1</v>
      </c>
    </row>
    <row r="19" spans="1:12" ht="15" customHeight="1" x14ac:dyDescent="0.35">
      <c r="A19" s="7" t="s">
        <v>1</v>
      </c>
      <c r="B19" s="7" t="s">
        <v>18</v>
      </c>
      <c r="C19" s="7" t="s">
        <v>543</v>
      </c>
      <c r="D19" s="7" t="s">
        <v>589</v>
      </c>
      <c r="E19" s="9" t="s">
        <v>1774</v>
      </c>
      <c r="F19" s="7" t="s">
        <v>1067</v>
      </c>
      <c r="G19" s="7" t="s">
        <v>1737</v>
      </c>
      <c r="H19" s="7" t="s">
        <v>1678</v>
      </c>
      <c r="I19" s="7" t="s">
        <v>1686</v>
      </c>
      <c r="J19" s="7" t="s">
        <v>1688</v>
      </c>
      <c r="K19" s="7" t="s">
        <v>1696</v>
      </c>
      <c r="L19" s="2">
        <v>1</v>
      </c>
    </row>
    <row r="20" spans="1:12" ht="15" customHeight="1" x14ac:dyDescent="0.35">
      <c r="A20" s="7" t="s">
        <v>1</v>
      </c>
      <c r="B20" s="7" t="s">
        <v>19</v>
      </c>
      <c r="C20" s="7" t="s">
        <v>544</v>
      </c>
      <c r="D20" s="7" t="s">
        <v>630</v>
      </c>
      <c r="E20" s="9" t="s">
        <v>1775</v>
      </c>
      <c r="F20" s="7" t="s">
        <v>1068</v>
      </c>
      <c r="G20" s="7" t="s">
        <v>1744</v>
      </c>
      <c r="H20" s="7" t="s">
        <v>1680</v>
      </c>
      <c r="I20" s="7" t="s">
        <v>1686</v>
      </c>
      <c r="J20" s="7" t="s">
        <v>1688</v>
      </c>
      <c r="K20" s="7" t="s">
        <v>1706</v>
      </c>
      <c r="L20" s="2">
        <v>1</v>
      </c>
    </row>
    <row r="21" spans="1:12" ht="15" customHeight="1" x14ac:dyDescent="0.35">
      <c r="A21" s="7" t="s">
        <v>1</v>
      </c>
      <c r="B21" s="7" t="s">
        <v>20</v>
      </c>
      <c r="C21" s="7" t="s">
        <v>543</v>
      </c>
      <c r="D21" s="7" t="s">
        <v>569</v>
      </c>
      <c r="E21" s="9" t="s">
        <v>1776</v>
      </c>
      <c r="F21" s="7" t="s">
        <v>1069</v>
      </c>
      <c r="G21" s="7" t="s">
        <v>1737</v>
      </c>
      <c r="H21" s="7" t="s">
        <v>1679</v>
      </c>
      <c r="I21" s="7" t="s">
        <v>1686</v>
      </c>
      <c r="J21" s="7" t="s">
        <v>1688</v>
      </c>
      <c r="K21" s="7" t="s">
        <v>1707</v>
      </c>
      <c r="L21" s="2">
        <v>1</v>
      </c>
    </row>
    <row r="22" spans="1:12" ht="15" customHeight="1" x14ac:dyDescent="0.35">
      <c r="A22" s="7" t="s">
        <v>1</v>
      </c>
      <c r="B22" s="7" t="s">
        <v>21</v>
      </c>
      <c r="C22" s="7" t="s">
        <v>545</v>
      </c>
      <c r="D22" s="7" t="s">
        <v>613</v>
      </c>
      <c r="E22" s="9" t="s">
        <v>1777</v>
      </c>
      <c r="F22" s="7" t="s">
        <v>1070</v>
      </c>
      <c r="G22" s="7" t="s">
        <v>1739</v>
      </c>
      <c r="H22" s="7" t="s">
        <v>1679</v>
      </c>
      <c r="I22" s="7" t="s">
        <v>1686</v>
      </c>
      <c r="J22" s="7" t="s">
        <v>1688</v>
      </c>
      <c r="K22" s="7" t="s">
        <v>1708</v>
      </c>
      <c r="L22" s="2">
        <v>1</v>
      </c>
    </row>
    <row r="23" spans="1:12" ht="15" customHeight="1" x14ac:dyDescent="0.35">
      <c r="A23" s="7" t="s">
        <v>1</v>
      </c>
      <c r="B23" s="7" t="s">
        <v>22</v>
      </c>
      <c r="C23" s="7" t="s">
        <v>546</v>
      </c>
      <c r="D23" s="7" t="s">
        <v>591</v>
      </c>
      <c r="E23" s="9" t="s">
        <v>1778</v>
      </c>
      <c r="F23" s="7" t="s">
        <v>1071</v>
      </c>
      <c r="G23" s="7" t="s">
        <v>1742</v>
      </c>
      <c r="H23" s="7" t="s">
        <v>1681</v>
      </c>
      <c r="I23" s="7" t="s">
        <v>1686</v>
      </c>
      <c r="J23" s="7" t="s">
        <v>1688</v>
      </c>
      <c r="K23" s="7" t="s">
        <v>1697</v>
      </c>
      <c r="L23" s="2">
        <v>1</v>
      </c>
    </row>
    <row r="24" spans="1:12" ht="15" customHeight="1" x14ac:dyDescent="0.35">
      <c r="A24" s="7" t="s">
        <v>1</v>
      </c>
      <c r="B24" s="7" t="s">
        <v>23</v>
      </c>
      <c r="C24" s="7" t="s">
        <v>547</v>
      </c>
      <c r="D24" s="7" t="s">
        <v>627</v>
      </c>
      <c r="E24" s="9" t="s">
        <v>1779</v>
      </c>
      <c r="F24" s="7" t="s">
        <v>1072</v>
      </c>
      <c r="G24" s="7" t="s">
        <v>1745</v>
      </c>
      <c r="H24" s="7" t="s">
        <v>1677</v>
      </c>
      <c r="I24" s="7" t="s">
        <v>1685</v>
      </c>
      <c r="J24" s="7" t="s">
        <v>1688</v>
      </c>
      <c r="K24" s="7" t="s">
        <v>1709</v>
      </c>
      <c r="L24" s="2">
        <v>1</v>
      </c>
    </row>
    <row r="25" spans="1:12" ht="15" customHeight="1" x14ac:dyDescent="0.35">
      <c r="A25" s="7" t="s">
        <v>1</v>
      </c>
      <c r="B25" s="7" t="s">
        <v>23</v>
      </c>
      <c r="C25" s="7" t="s">
        <v>548</v>
      </c>
      <c r="D25" s="7" t="s">
        <v>868</v>
      </c>
      <c r="E25" s="9" t="s">
        <v>1780</v>
      </c>
      <c r="F25" s="7" t="s">
        <v>1073</v>
      </c>
      <c r="G25" s="7" t="s">
        <v>1740</v>
      </c>
      <c r="H25" s="7" t="s">
        <v>1677</v>
      </c>
      <c r="I25" s="7" t="s">
        <v>1685</v>
      </c>
      <c r="J25" s="7" t="s">
        <v>1688</v>
      </c>
      <c r="K25" s="7" t="s">
        <v>1699</v>
      </c>
      <c r="L25" s="2">
        <v>1</v>
      </c>
    </row>
    <row r="26" spans="1:12" ht="15" customHeight="1" x14ac:dyDescent="0.35">
      <c r="A26" s="7" t="s">
        <v>1</v>
      </c>
      <c r="B26" s="7" t="s">
        <v>24</v>
      </c>
      <c r="C26" s="7" t="s">
        <v>549</v>
      </c>
      <c r="D26" s="7" t="s">
        <v>621</v>
      </c>
      <c r="E26" s="9" t="s">
        <v>1781</v>
      </c>
      <c r="F26" s="7" t="s">
        <v>1074</v>
      </c>
      <c r="G26" s="7" t="s">
        <v>1745</v>
      </c>
      <c r="H26" s="7" t="s">
        <v>1678</v>
      </c>
      <c r="I26" s="7" t="s">
        <v>1686</v>
      </c>
      <c r="J26" s="7" t="s">
        <v>1688</v>
      </c>
      <c r="K26" s="7" t="s">
        <v>1710</v>
      </c>
      <c r="L26" s="2">
        <v>1</v>
      </c>
    </row>
    <row r="27" spans="1:12" ht="15" customHeight="1" x14ac:dyDescent="0.35">
      <c r="A27" s="7" t="s">
        <v>1</v>
      </c>
      <c r="B27" s="7" t="s">
        <v>24</v>
      </c>
      <c r="C27" s="7" t="s">
        <v>550</v>
      </c>
      <c r="D27" s="7" t="s">
        <v>727</v>
      </c>
      <c r="E27" s="9" t="s">
        <v>1782</v>
      </c>
      <c r="F27" s="7" t="s">
        <v>1075</v>
      </c>
      <c r="G27" s="7" t="s">
        <v>1742</v>
      </c>
      <c r="H27" s="7" t="s">
        <v>1681</v>
      </c>
      <c r="I27" s="7" t="s">
        <v>1686</v>
      </c>
      <c r="J27" s="7" t="s">
        <v>1688</v>
      </c>
      <c r="K27" s="7" t="s">
        <v>1697</v>
      </c>
      <c r="L27" s="2">
        <v>1</v>
      </c>
    </row>
    <row r="28" spans="1:12" ht="15" customHeight="1" x14ac:dyDescent="0.35">
      <c r="A28" s="7" t="s">
        <v>1</v>
      </c>
      <c r="B28" s="7" t="s">
        <v>24</v>
      </c>
      <c r="C28" s="7" t="s">
        <v>551</v>
      </c>
      <c r="D28" s="7" t="s">
        <v>869</v>
      </c>
      <c r="E28" s="9" t="s">
        <v>1783</v>
      </c>
      <c r="F28" s="7" t="s">
        <v>1076</v>
      </c>
      <c r="G28" s="7" t="s">
        <v>1744</v>
      </c>
      <c r="H28" s="7" t="s">
        <v>1678</v>
      </c>
      <c r="I28" s="7" t="s">
        <v>1686</v>
      </c>
      <c r="J28" s="7" t="s">
        <v>1688</v>
      </c>
      <c r="K28" s="7" t="s">
        <v>1711</v>
      </c>
      <c r="L28" s="2">
        <v>1</v>
      </c>
    </row>
    <row r="29" spans="1:12" ht="15" customHeight="1" x14ac:dyDescent="0.35">
      <c r="A29" s="7" t="s">
        <v>1</v>
      </c>
      <c r="B29" s="7" t="s">
        <v>24</v>
      </c>
      <c r="C29" s="7" t="s">
        <v>552</v>
      </c>
      <c r="D29" s="7" t="s">
        <v>870</v>
      </c>
      <c r="E29" s="9" t="s">
        <v>1784</v>
      </c>
      <c r="F29" s="7" t="s">
        <v>1077</v>
      </c>
      <c r="G29" s="7" t="s">
        <v>1742</v>
      </c>
      <c r="H29" s="7" t="s">
        <v>1677</v>
      </c>
      <c r="I29" s="7" t="s">
        <v>1686</v>
      </c>
      <c r="J29" s="7" t="s">
        <v>1688</v>
      </c>
      <c r="K29" s="7" t="s">
        <v>1703</v>
      </c>
      <c r="L29" s="2">
        <v>1</v>
      </c>
    </row>
    <row r="30" spans="1:12" ht="15" customHeight="1" x14ac:dyDescent="0.35">
      <c r="A30" s="7" t="s">
        <v>1</v>
      </c>
      <c r="B30" s="7" t="s">
        <v>24</v>
      </c>
      <c r="C30" s="7" t="s">
        <v>553</v>
      </c>
      <c r="D30" s="7" t="s">
        <v>762</v>
      </c>
      <c r="E30" s="9" t="s">
        <v>1785</v>
      </c>
      <c r="F30" s="7" t="s">
        <v>1078</v>
      </c>
      <c r="G30" s="7" t="s">
        <v>1742</v>
      </c>
      <c r="H30" s="7" t="s">
        <v>1677</v>
      </c>
      <c r="I30" s="7" t="s">
        <v>1686</v>
      </c>
      <c r="J30" s="7" t="s">
        <v>1688</v>
      </c>
      <c r="K30" s="7" t="s">
        <v>1712</v>
      </c>
      <c r="L30" s="2">
        <v>1</v>
      </c>
    </row>
    <row r="31" spans="1:12" ht="15" customHeight="1" x14ac:dyDescent="0.35">
      <c r="A31" s="7" t="s">
        <v>1</v>
      </c>
      <c r="B31" s="7" t="s">
        <v>24</v>
      </c>
      <c r="C31" s="7" t="s">
        <v>554</v>
      </c>
      <c r="D31" s="7" t="s">
        <v>871</v>
      </c>
      <c r="E31" s="9" t="s">
        <v>1786</v>
      </c>
      <c r="F31" s="7" t="s">
        <v>1079</v>
      </c>
      <c r="G31" s="7" t="s">
        <v>1744</v>
      </c>
      <c r="H31" s="7" t="s">
        <v>1677</v>
      </c>
      <c r="I31" s="7" t="s">
        <v>1686</v>
      </c>
      <c r="J31" s="7" t="s">
        <v>1688</v>
      </c>
      <c r="K31" s="7" t="s">
        <v>1713</v>
      </c>
      <c r="L31" s="2">
        <v>1</v>
      </c>
    </row>
    <row r="32" spans="1:12" ht="15" customHeight="1" x14ac:dyDescent="0.35">
      <c r="A32" s="7" t="s">
        <v>1</v>
      </c>
      <c r="B32" s="7" t="s">
        <v>25</v>
      </c>
      <c r="C32" s="7" t="s">
        <v>555</v>
      </c>
      <c r="D32" s="7" t="s">
        <v>738</v>
      </c>
      <c r="E32" s="9" t="s">
        <v>1787</v>
      </c>
      <c r="F32" s="7" t="s">
        <v>1080</v>
      </c>
      <c r="G32" s="7" t="s">
        <v>1740</v>
      </c>
      <c r="H32" s="7" t="s">
        <v>1679</v>
      </c>
      <c r="I32" s="7" t="s">
        <v>1685</v>
      </c>
      <c r="J32" s="7" t="s">
        <v>1688</v>
      </c>
      <c r="K32" s="7" t="s">
        <v>1714</v>
      </c>
      <c r="L32" s="2">
        <v>1</v>
      </c>
    </row>
    <row r="33" spans="1:12" ht="15" customHeight="1" x14ac:dyDescent="0.35">
      <c r="A33" s="7" t="s">
        <v>1</v>
      </c>
      <c r="B33" s="7" t="s">
        <v>26</v>
      </c>
      <c r="C33" s="7" t="s">
        <v>556</v>
      </c>
      <c r="D33" s="7" t="s">
        <v>872</v>
      </c>
      <c r="E33" s="9" t="s">
        <v>1788</v>
      </c>
      <c r="F33" s="7" t="s">
        <v>1081</v>
      </c>
      <c r="G33" s="7" t="s">
        <v>1740</v>
      </c>
      <c r="H33" s="7" t="s">
        <v>1680</v>
      </c>
      <c r="I33" s="7" t="s">
        <v>1685</v>
      </c>
      <c r="J33" s="7" t="s">
        <v>1688</v>
      </c>
      <c r="K33" s="7" t="s">
        <v>1715</v>
      </c>
      <c r="L33" s="2">
        <v>1</v>
      </c>
    </row>
    <row r="34" spans="1:12" ht="15" customHeight="1" x14ac:dyDescent="0.35">
      <c r="A34" s="7" t="s">
        <v>1</v>
      </c>
      <c r="B34" s="7" t="s">
        <v>27</v>
      </c>
      <c r="C34" s="7" t="s">
        <v>557</v>
      </c>
      <c r="D34" s="7" t="s">
        <v>873</v>
      </c>
      <c r="E34" s="9" t="s">
        <v>1789</v>
      </c>
      <c r="F34" s="7" t="s">
        <v>1082</v>
      </c>
      <c r="G34" s="7" t="s">
        <v>1739</v>
      </c>
      <c r="H34" s="7" t="s">
        <v>1680</v>
      </c>
      <c r="I34" s="7" t="s">
        <v>1686</v>
      </c>
      <c r="J34" s="7" t="s">
        <v>1688</v>
      </c>
      <c r="K34" s="7" t="s">
        <v>1716</v>
      </c>
      <c r="L34" s="2">
        <v>1</v>
      </c>
    </row>
    <row r="35" spans="1:12" ht="15" customHeight="1" x14ac:dyDescent="0.35">
      <c r="A35" s="7" t="s">
        <v>1</v>
      </c>
      <c r="B35" s="7" t="s">
        <v>28</v>
      </c>
      <c r="C35" s="7" t="s">
        <v>558</v>
      </c>
      <c r="D35" s="7" t="s">
        <v>589</v>
      </c>
      <c r="E35" s="9" t="s">
        <v>1790</v>
      </c>
      <c r="F35" s="7" t="s">
        <v>1083</v>
      </c>
      <c r="G35" s="7" t="s">
        <v>1739</v>
      </c>
      <c r="H35" s="7" t="s">
        <v>1677</v>
      </c>
      <c r="I35" s="7" t="s">
        <v>1685</v>
      </c>
      <c r="J35" s="7" t="s">
        <v>1688</v>
      </c>
      <c r="K35" s="7" t="s">
        <v>1691</v>
      </c>
      <c r="L35" s="2">
        <v>1</v>
      </c>
    </row>
    <row r="36" spans="1:12" ht="15" customHeight="1" x14ac:dyDescent="0.35">
      <c r="A36" s="7" t="s">
        <v>1</v>
      </c>
      <c r="B36" s="7" t="s">
        <v>29</v>
      </c>
      <c r="C36" s="7" t="s">
        <v>559</v>
      </c>
      <c r="D36" s="7" t="s">
        <v>610</v>
      </c>
      <c r="E36" s="9" t="s">
        <v>1791</v>
      </c>
      <c r="F36" s="7" t="s">
        <v>1084</v>
      </c>
      <c r="G36" s="7" t="s">
        <v>1742</v>
      </c>
      <c r="H36" s="7" t="s">
        <v>1681</v>
      </c>
      <c r="I36" s="7" t="s">
        <v>1685</v>
      </c>
      <c r="J36" s="7" t="s">
        <v>1688</v>
      </c>
      <c r="K36" s="7" t="s">
        <v>1697</v>
      </c>
      <c r="L36" s="2">
        <v>1</v>
      </c>
    </row>
    <row r="37" spans="1:12" ht="15" customHeight="1" x14ac:dyDescent="0.35">
      <c r="A37" s="7" t="s">
        <v>1</v>
      </c>
      <c r="B37" s="7" t="s">
        <v>29</v>
      </c>
      <c r="C37" s="7" t="s">
        <v>560</v>
      </c>
      <c r="D37" s="7" t="s">
        <v>874</v>
      </c>
      <c r="E37" s="9" t="s">
        <v>1792</v>
      </c>
      <c r="F37" s="7" t="s">
        <v>1085</v>
      </c>
      <c r="G37" s="7" t="s">
        <v>1743</v>
      </c>
      <c r="H37" s="7" t="s">
        <v>1679</v>
      </c>
      <c r="I37" s="7" t="s">
        <v>1685</v>
      </c>
      <c r="J37" s="7" t="s">
        <v>1688</v>
      </c>
      <c r="K37" s="7" t="s">
        <v>1702</v>
      </c>
      <c r="L37" s="2">
        <v>1</v>
      </c>
    </row>
    <row r="38" spans="1:12" ht="15" customHeight="1" x14ac:dyDescent="0.35">
      <c r="A38" s="7" t="s">
        <v>1</v>
      </c>
      <c r="B38" s="7" t="s">
        <v>30</v>
      </c>
      <c r="C38" s="7" t="s">
        <v>531</v>
      </c>
      <c r="D38" s="7" t="s">
        <v>577</v>
      </c>
      <c r="E38" s="9" t="s">
        <v>1793</v>
      </c>
      <c r="F38" s="7" t="s">
        <v>1086</v>
      </c>
      <c r="G38" s="7" t="s">
        <v>1742</v>
      </c>
      <c r="H38" s="7" t="s">
        <v>1681</v>
      </c>
      <c r="I38" s="7" t="s">
        <v>1685</v>
      </c>
      <c r="J38" s="7" t="s">
        <v>1688</v>
      </c>
      <c r="K38" s="7" t="s">
        <v>1697</v>
      </c>
      <c r="L38" s="2">
        <v>1</v>
      </c>
    </row>
    <row r="39" spans="1:12" ht="15" customHeight="1" x14ac:dyDescent="0.35">
      <c r="A39" s="7" t="s">
        <v>1</v>
      </c>
      <c r="B39" s="7" t="s">
        <v>31</v>
      </c>
      <c r="C39" s="7" t="s">
        <v>561</v>
      </c>
      <c r="D39" s="7" t="s">
        <v>690</v>
      </c>
      <c r="E39" s="9" t="s">
        <v>1794</v>
      </c>
      <c r="F39" s="7" t="s">
        <v>1087</v>
      </c>
      <c r="G39" s="7" t="s">
        <v>1742</v>
      </c>
      <c r="H39" s="7" t="s">
        <v>1679</v>
      </c>
      <c r="I39" s="7" t="s">
        <v>1685</v>
      </c>
      <c r="J39" s="7" t="s">
        <v>1688</v>
      </c>
      <c r="K39" s="7" t="s">
        <v>1694</v>
      </c>
      <c r="L39" s="2">
        <v>1</v>
      </c>
    </row>
    <row r="40" spans="1:12" ht="15" customHeight="1" x14ac:dyDescent="0.35">
      <c r="A40" s="7" t="s">
        <v>1</v>
      </c>
      <c r="B40" s="7" t="s">
        <v>32</v>
      </c>
      <c r="C40" s="7" t="s">
        <v>560</v>
      </c>
      <c r="D40" s="7" t="s">
        <v>727</v>
      </c>
      <c r="E40" s="9" t="s">
        <v>1795</v>
      </c>
      <c r="F40" s="7" t="s">
        <v>1088</v>
      </c>
      <c r="G40" s="7" t="s">
        <v>1745</v>
      </c>
      <c r="H40" s="7" t="s">
        <v>1679</v>
      </c>
      <c r="I40" s="7" t="s">
        <v>1685</v>
      </c>
      <c r="J40" s="7" t="s">
        <v>1688</v>
      </c>
      <c r="K40" s="7" t="s">
        <v>1717</v>
      </c>
      <c r="L40" s="2">
        <v>1</v>
      </c>
    </row>
    <row r="41" spans="1:12" ht="15" customHeight="1" x14ac:dyDescent="0.35">
      <c r="A41" s="7" t="s">
        <v>1</v>
      </c>
      <c r="B41" s="7" t="s">
        <v>33</v>
      </c>
      <c r="C41" s="7" t="s">
        <v>562</v>
      </c>
      <c r="D41" s="7" t="s">
        <v>548</v>
      </c>
      <c r="E41" s="9" t="s">
        <v>1796</v>
      </c>
      <c r="F41" s="7" t="s">
        <v>1089</v>
      </c>
      <c r="G41" s="7" t="s">
        <v>1742</v>
      </c>
      <c r="H41" s="7" t="s">
        <v>1679</v>
      </c>
      <c r="I41" s="7" t="s">
        <v>1686</v>
      </c>
      <c r="J41" s="7" t="s">
        <v>1688</v>
      </c>
      <c r="K41" s="7" t="s">
        <v>1694</v>
      </c>
      <c r="L41" s="2">
        <v>1</v>
      </c>
    </row>
    <row r="42" spans="1:12" ht="15" customHeight="1" x14ac:dyDescent="0.35">
      <c r="A42" s="7" t="s">
        <v>1</v>
      </c>
      <c r="B42" s="7" t="s">
        <v>34</v>
      </c>
      <c r="C42" s="7" t="s">
        <v>563</v>
      </c>
      <c r="D42" s="7" t="s">
        <v>629</v>
      </c>
      <c r="E42" s="9" t="s">
        <v>1797</v>
      </c>
      <c r="F42" s="7" t="s">
        <v>1090</v>
      </c>
      <c r="G42" s="7" t="s">
        <v>1745</v>
      </c>
      <c r="H42" s="7" t="s">
        <v>1678</v>
      </c>
      <c r="I42" s="7" t="s">
        <v>1686</v>
      </c>
      <c r="J42" s="7" t="s">
        <v>1688</v>
      </c>
      <c r="K42" s="7" t="s">
        <v>1710</v>
      </c>
      <c r="L42" s="2">
        <v>1</v>
      </c>
    </row>
    <row r="43" spans="1:12" ht="15" customHeight="1" x14ac:dyDescent="0.35">
      <c r="A43" s="7" t="s">
        <v>1</v>
      </c>
      <c r="B43" s="7" t="s">
        <v>35</v>
      </c>
      <c r="C43" s="7" t="s">
        <v>564</v>
      </c>
      <c r="D43" s="7" t="s">
        <v>727</v>
      </c>
      <c r="E43" s="9" t="s">
        <v>1798</v>
      </c>
      <c r="F43" s="7" t="s">
        <v>1091</v>
      </c>
      <c r="G43" s="7" t="s">
        <v>1742</v>
      </c>
      <c r="H43" s="7" t="s">
        <v>1681</v>
      </c>
      <c r="I43" s="7" t="s">
        <v>1685</v>
      </c>
      <c r="J43" s="7" t="s">
        <v>1688</v>
      </c>
      <c r="K43" s="7" t="s">
        <v>1697</v>
      </c>
      <c r="L43" s="2">
        <v>1</v>
      </c>
    </row>
    <row r="44" spans="1:12" ht="15" customHeight="1" x14ac:dyDescent="0.35">
      <c r="A44" s="7" t="s">
        <v>1</v>
      </c>
      <c r="B44" s="7" t="s">
        <v>36</v>
      </c>
      <c r="C44" s="7" t="s">
        <v>565</v>
      </c>
      <c r="D44" s="7" t="s">
        <v>875</v>
      </c>
      <c r="E44" s="9" t="s">
        <v>1799</v>
      </c>
      <c r="F44" s="7" t="s">
        <v>1092</v>
      </c>
      <c r="G44" s="7" t="s">
        <v>1745</v>
      </c>
      <c r="H44" s="7" t="s">
        <v>1680</v>
      </c>
      <c r="I44" s="7" t="s">
        <v>1685</v>
      </c>
      <c r="J44" s="7" t="s">
        <v>1688</v>
      </c>
      <c r="K44" s="7" t="s">
        <v>1718</v>
      </c>
      <c r="L44" s="2">
        <v>1</v>
      </c>
    </row>
    <row r="45" spans="1:12" ht="15" customHeight="1" x14ac:dyDescent="0.35">
      <c r="A45" s="7" t="s">
        <v>1</v>
      </c>
      <c r="B45" s="7" t="s">
        <v>37</v>
      </c>
      <c r="C45" s="7" t="s">
        <v>566</v>
      </c>
      <c r="D45" s="7" t="s">
        <v>876</v>
      </c>
      <c r="E45" s="9" t="s">
        <v>1800</v>
      </c>
      <c r="F45" s="7" t="s">
        <v>1093</v>
      </c>
      <c r="G45" s="7" t="s">
        <v>1740</v>
      </c>
      <c r="H45" s="7" t="s">
        <v>1679</v>
      </c>
      <c r="I45" s="7" t="s">
        <v>1685</v>
      </c>
      <c r="J45" s="7" t="s">
        <v>1688</v>
      </c>
      <c r="K45" s="7" t="s">
        <v>1714</v>
      </c>
      <c r="L45" s="2">
        <v>1</v>
      </c>
    </row>
    <row r="46" spans="1:12" ht="15" customHeight="1" x14ac:dyDescent="0.35">
      <c r="A46" s="7" t="s">
        <v>1</v>
      </c>
      <c r="B46" s="7" t="s">
        <v>38</v>
      </c>
      <c r="C46" s="7" t="s">
        <v>567</v>
      </c>
      <c r="D46" s="7" t="s">
        <v>607</v>
      </c>
      <c r="E46" s="9" t="s">
        <v>1801</v>
      </c>
      <c r="F46" s="7" t="s">
        <v>1094</v>
      </c>
      <c r="G46" s="7" t="s">
        <v>1745</v>
      </c>
      <c r="H46" s="7" t="s">
        <v>1679</v>
      </c>
      <c r="I46" s="7" t="s">
        <v>1685</v>
      </c>
      <c r="J46" s="7" t="s">
        <v>1688</v>
      </c>
      <c r="K46" s="7" t="s">
        <v>1717</v>
      </c>
      <c r="L46" s="2">
        <v>1</v>
      </c>
    </row>
    <row r="47" spans="1:12" ht="15" customHeight="1" x14ac:dyDescent="0.35">
      <c r="A47" s="7" t="s">
        <v>1</v>
      </c>
      <c r="B47" s="7" t="s">
        <v>39</v>
      </c>
      <c r="C47" s="7" t="s">
        <v>568</v>
      </c>
      <c r="D47" s="7" t="s">
        <v>877</v>
      </c>
      <c r="E47" s="9" t="s">
        <v>1802</v>
      </c>
      <c r="F47" s="7" t="s">
        <v>1095</v>
      </c>
      <c r="G47" s="7" t="s">
        <v>1739</v>
      </c>
      <c r="H47" s="7" t="s">
        <v>1680</v>
      </c>
      <c r="I47" s="7" t="s">
        <v>1685</v>
      </c>
      <c r="J47" s="7" t="s">
        <v>1688</v>
      </c>
      <c r="K47" s="7" t="s">
        <v>1716</v>
      </c>
      <c r="L47" s="2">
        <v>1</v>
      </c>
    </row>
    <row r="48" spans="1:12" ht="15" customHeight="1" x14ac:dyDescent="0.35">
      <c r="A48" s="7" t="s">
        <v>1</v>
      </c>
      <c r="B48" s="7" t="s">
        <v>40</v>
      </c>
      <c r="C48" s="7" t="s">
        <v>569</v>
      </c>
      <c r="D48" s="7" t="s">
        <v>878</v>
      </c>
      <c r="E48" s="9" t="s">
        <v>1803</v>
      </c>
      <c r="F48" s="7" t="s">
        <v>1096</v>
      </c>
      <c r="G48" s="7" t="s">
        <v>1746</v>
      </c>
      <c r="H48" s="7" t="s">
        <v>1680</v>
      </c>
      <c r="I48" s="7" t="s">
        <v>1685</v>
      </c>
      <c r="J48" s="7" t="s">
        <v>1688</v>
      </c>
      <c r="K48" s="7" t="s">
        <v>1719</v>
      </c>
      <c r="L48" s="2">
        <v>1</v>
      </c>
    </row>
    <row r="49" spans="1:12" ht="15" customHeight="1" x14ac:dyDescent="0.35">
      <c r="A49" s="7" t="s">
        <v>1</v>
      </c>
      <c r="B49" s="7" t="s">
        <v>41</v>
      </c>
      <c r="C49" s="7" t="s">
        <v>570</v>
      </c>
      <c r="D49" s="7" t="s">
        <v>636</v>
      </c>
      <c r="E49" s="9" t="s">
        <v>1804</v>
      </c>
      <c r="F49" s="7" t="s">
        <v>1097</v>
      </c>
      <c r="G49" s="7" t="s">
        <v>1739</v>
      </c>
      <c r="H49" s="7" t="s">
        <v>1677</v>
      </c>
      <c r="I49" s="7" t="s">
        <v>1685</v>
      </c>
      <c r="J49" s="7" t="s">
        <v>1688</v>
      </c>
      <c r="K49" s="7" t="s">
        <v>1691</v>
      </c>
      <c r="L49" s="2">
        <v>1</v>
      </c>
    </row>
    <row r="50" spans="1:12" ht="15" customHeight="1" x14ac:dyDescent="0.35">
      <c r="A50" s="7" t="s">
        <v>1</v>
      </c>
      <c r="B50" s="7" t="s">
        <v>42</v>
      </c>
      <c r="C50" s="7" t="s">
        <v>571</v>
      </c>
      <c r="D50" s="7" t="s">
        <v>548</v>
      </c>
      <c r="E50" s="9" t="s">
        <v>1805</v>
      </c>
      <c r="F50" s="7" t="s">
        <v>1098</v>
      </c>
      <c r="G50" s="7" t="s">
        <v>1744</v>
      </c>
      <c r="H50" s="7" t="s">
        <v>1678</v>
      </c>
      <c r="I50" s="7" t="s">
        <v>1685</v>
      </c>
      <c r="J50" s="7" t="s">
        <v>1688</v>
      </c>
      <c r="K50" s="7" t="s">
        <v>1711</v>
      </c>
      <c r="L50" s="2">
        <v>1</v>
      </c>
    </row>
    <row r="51" spans="1:12" ht="15" customHeight="1" x14ac:dyDescent="0.35">
      <c r="A51" s="7" t="s">
        <v>1</v>
      </c>
      <c r="B51" s="7" t="s">
        <v>42</v>
      </c>
      <c r="C51" s="7" t="s">
        <v>572</v>
      </c>
      <c r="D51" s="7" t="s">
        <v>879</v>
      </c>
      <c r="E51" s="9" t="s">
        <v>1806</v>
      </c>
      <c r="F51" s="7" t="s">
        <v>1099</v>
      </c>
      <c r="G51" s="7" t="s">
        <v>1745</v>
      </c>
      <c r="H51" s="7" t="s">
        <v>1679</v>
      </c>
      <c r="I51" s="7" t="s">
        <v>1685</v>
      </c>
      <c r="J51" s="7" t="s">
        <v>1688</v>
      </c>
      <c r="K51" s="7" t="s">
        <v>1717</v>
      </c>
      <c r="L51" s="2">
        <v>1</v>
      </c>
    </row>
    <row r="52" spans="1:12" ht="15" customHeight="1" x14ac:dyDescent="0.35">
      <c r="A52" s="7" t="s">
        <v>1</v>
      </c>
      <c r="B52" s="7" t="s">
        <v>43</v>
      </c>
      <c r="C52" s="7" t="s">
        <v>573</v>
      </c>
      <c r="D52" s="7" t="s">
        <v>626</v>
      </c>
      <c r="E52" s="9" t="s">
        <v>1807</v>
      </c>
      <c r="F52" s="7" t="s">
        <v>1100</v>
      </c>
      <c r="G52" s="7" t="s">
        <v>1740</v>
      </c>
      <c r="H52" s="7" t="s">
        <v>1679</v>
      </c>
      <c r="I52" s="7" t="s">
        <v>1685</v>
      </c>
      <c r="J52" s="7" t="s">
        <v>1688</v>
      </c>
      <c r="K52" s="7" t="s">
        <v>1714</v>
      </c>
      <c r="L52" s="2">
        <v>1</v>
      </c>
    </row>
    <row r="53" spans="1:12" ht="15" customHeight="1" x14ac:dyDescent="0.35">
      <c r="A53" s="7" t="s">
        <v>1</v>
      </c>
      <c r="B53" s="7" t="s">
        <v>44</v>
      </c>
      <c r="C53" s="7" t="s">
        <v>574</v>
      </c>
      <c r="D53" s="7" t="s">
        <v>621</v>
      </c>
      <c r="E53" s="9" t="s">
        <v>1808</v>
      </c>
      <c r="F53" s="7" t="s">
        <v>1101</v>
      </c>
      <c r="G53" s="7" t="s">
        <v>1743</v>
      </c>
      <c r="H53" s="7" t="s">
        <v>1677</v>
      </c>
      <c r="I53" s="7" t="s">
        <v>1685</v>
      </c>
      <c r="J53" s="7" t="s">
        <v>1688</v>
      </c>
      <c r="K53" s="7" t="s">
        <v>1720</v>
      </c>
      <c r="L53" s="2">
        <v>1</v>
      </c>
    </row>
    <row r="54" spans="1:12" ht="15" customHeight="1" x14ac:dyDescent="0.35">
      <c r="A54" s="7" t="s">
        <v>1</v>
      </c>
      <c r="B54" s="7" t="s">
        <v>44</v>
      </c>
      <c r="C54" s="7" t="s">
        <v>575</v>
      </c>
      <c r="D54" s="7" t="s">
        <v>680</v>
      </c>
      <c r="E54" s="9" t="s">
        <v>1809</v>
      </c>
      <c r="F54" s="7" t="s">
        <v>1102</v>
      </c>
      <c r="G54" s="7" t="s">
        <v>1737</v>
      </c>
      <c r="H54" s="7" t="s">
        <v>1677</v>
      </c>
      <c r="I54" s="7" t="s">
        <v>1685</v>
      </c>
      <c r="J54" s="7" t="s">
        <v>1688</v>
      </c>
      <c r="K54" s="7" t="s">
        <v>1698</v>
      </c>
      <c r="L54" s="2">
        <v>1</v>
      </c>
    </row>
    <row r="55" spans="1:12" ht="15" customHeight="1" x14ac:dyDescent="0.35">
      <c r="A55" s="7" t="s">
        <v>1</v>
      </c>
      <c r="B55" s="7" t="s">
        <v>45</v>
      </c>
      <c r="C55" s="7" t="s">
        <v>576</v>
      </c>
      <c r="D55" s="7" t="s">
        <v>593</v>
      </c>
      <c r="E55" s="9" t="s">
        <v>1810</v>
      </c>
      <c r="F55" s="7" t="s">
        <v>1103</v>
      </c>
      <c r="G55" s="7" t="s">
        <v>1740</v>
      </c>
      <c r="H55" s="7" t="s">
        <v>1677</v>
      </c>
      <c r="I55" s="7" t="s">
        <v>1685</v>
      </c>
      <c r="J55" s="7" t="s">
        <v>1688</v>
      </c>
      <c r="K55" s="7" t="s">
        <v>1699</v>
      </c>
      <c r="L55" s="2">
        <v>1</v>
      </c>
    </row>
    <row r="56" spans="1:12" ht="15" customHeight="1" x14ac:dyDescent="0.35">
      <c r="A56" s="7" t="s">
        <v>1</v>
      </c>
      <c r="B56" s="7" t="s">
        <v>46</v>
      </c>
      <c r="C56" s="7" t="s">
        <v>577</v>
      </c>
      <c r="D56" s="7" t="s">
        <v>880</v>
      </c>
      <c r="E56" s="9" t="s">
        <v>1811</v>
      </c>
      <c r="F56" s="7" t="s">
        <v>1104</v>
      </c>
      <c r="G56" s="7" t="s">
        <v>1745</v>
      </c>
      <c r="H56" s="7" t="s">
        <v>1680</v>
      </c>
      <c r="I56" s="7" t="s">
        <v>1685</v>
      </c>
      <c r="J56" s="7" t="s">
        <v>1688</v>
      </c>
      <c r="K56" s="7" t="s">
        <v>1718</v>
      </c>
      <c r="L56" s="2">
        <v>1</v>
      </c>
    </row>
    <row r="57" spans="1:12" ht="15" customHeight="1" x14ac:dyDescent="0.35">
      <c r="A57" s="7" t="s">
        <v>1</v>
      </c>
      <c r="B57" s="7" t="s">
        <v>47</v>
      </c>
      <c r="C57" s="7" t="s">
        <v>578</v>
      </c>
      <c r="D57" s="7" t="s">
        <v>660</v>
      </c>
      <c r="E57" s="9" t="s">
        <v>1812</v>
      </c>
      <c r="F57" s="7" t="s">
        <v>1105</v>
      </c>
      <c r="G57" s="7" t="s">
        <v>1745</v>
      </c>
      <c r="H57" s="7" t="s">
        <v>1679</v>
      </c>
      <c r="I57" s="7" t="s">
        <v>1685</v>
      </c>
      <c r="J57" s="7" t="s">
        <v>1688</v>
      </c>
      <c r="K57" s="7" t="s">
        <v>1717</v>
      </c>
      <c r="L57" s="2">
        <v>1</v>
      </c>
    </row>
    <row r="58" spans="1:12" ht="15" customHeight="1" x14ac:dyDescent="0.35">
      <c r="A58" s="7" t="s">
        <v>1</v>
      </c>
      <c r="B58" s="7" t="s">
        <v>48</v>
      </c>
      <c r="C58" s="7" t="s">
        <v>579</v>
      </c>
      <c r="D58" s="7" t="s">
        <v>539</v>
      </c>
      <c r="E58" s="9" t="s">
        <v>1813</v>
      </c>
      <c r="F58" s="7" t="s">
        <v>1106</v>
      </c>
      <c r="G58" s="7" t="s">
        <v>1742</v>
      </c>
      <c r="H58" s="7" t="s">
        <v>1681</v>
      </c>
      <c r="I58" s="7" t="s">
        <v>1686</v>
      </c>
      <c r="J58" s="7" t="s">
        <v>1688</v>
      </c>
      <c r="K58" s="7" t="s">
        <v>1697</v>
      </c>
      <c r="L58" s="2">
        <v>1</v>
      </c>
    </row>
    <row r="59" spans="1:12" ht="15" customHeight="1" x14ac:dyDescent="0.35">
      <c r="A59" s="7" t="s">
        <v>1</v>
      </c>
      <c r="B59" s="7" t="s">
        <v>49</v>
      </c>
      <c r="C59" s="7" t="s">
        <v>548</v>
      </c>
      <c r="D59" s="7" t="s">
        <v>660</v>
      </c>
      <c r="E59" s="9" t="s">
        <v>1814</v>
      </c>
      <c r="F59" s="7" t="s">
        <v>1107</v>
      </c>
      <c r="G59" s="7" t="s">
        <v>1740</v>
      </c>
      <c r="H59" s="7" t="s">
        <v>1678</v>
      </c>
      <c r="I59" s="7" t="s">
        <v>1685</v>
      </c>
      <c r="J59" s="7" t="s">
        <v>1688</v>
      </c>
      <c r="K59" s="7" t="s">
        <v>1692</v>
      </c>
      <c r="L59" s="2">
        <v>1</v>
      </c>
    </row>
    <row r="60" spans="1:12" ht="15" customHeight="1" x14ac:dyDescent="0.35">
      <c r="A60" s="7" t="s">
        <v>1</v>
      </c>
      <c r="B60" s="7" t="s">
        <v>49</v>
      </c>
      <c r="C60" s="7" t="s">
        <v>543</v>
      </c>
      <c r="D60" s="7" t="s">
        <v>881</v>
      </c>
      <c r="E60" s="9" t="s">
        <v>1815</v>
      </c>
      <c r="F60" s="7" t="s">
        <v>1108</v>
      </c>
      <c r="G60" s="7" t="s">
        <v>1739</v>
      </c>
      <c r="H60" s="7" t="s">
        <v>1680</v>
      </c>
      <c r="I60" s="7" t="s">
        <v>1685</v>
      </c>
      <c r="J60" s="7" t="s">
        <v>1688</v>
      </c>
      <c r="K60" s="7" t="s">
        <v>1716</v>
      </c>
      <c r="L60" s="2">
        <v>1</v>
      </c>
    </row>
    <row r="61" spans="1:12" ht="15" customHeight="1" x14ac:dyDescent="0.35">
      <c r="A61" s="7" t="s">
        <v>1</v>
      </c>
      <c r="B61" s="7" t="s">
        <v>50</v>
      </c>
      <c r="C61" s="7" t="s">
        <v>580</v>
      </c>
      <c r="D61" s="7" t="s">
        <v>882</v>
      </c>
      <c r="E61" s="9" t="s">
        <v>1816</v>
      </c>
      <c r="F61" s="7" t="s">
        <v>1109</v>
      </c>
      <c r="G61" s="7" t="s">
        <v>1739</v>
      </c>
      <c r="H61" s="7" t="s">
        <v>1677</v>
      </c>
      <c r="I61" s="7" t="s">
        <v>1685</v>
      </c>
      <c r="J61" s="7" t="s">
        <v>1688</v>
      </c>
      <c r="K61" s="7" t="s">
        <v>1691</v>
      </c>
      <c r="L61" s="2">
        <v>1</v>
      </c>
    </row>
    <row r="62" spans="1:12" ht="15" customHeight="1" x14ac:dyDescent="0.35">
      <c r="A62" s="7" t="s">
        <v>1</v>
      </c>
      <c r="B62" s="7" t="s">
        <v>51</v>
      </c>
      <c r="C62" s="7" t="s">
        <v>539</v>
      </c>
      <c r="D62" s="7" t="s">
        <v>532</v>
      </c>
      <c r="E62" s="9" t="s">
        <v>1817</v>
      </c>
      <c r="F62" s="7" t="s">
        <v>1110</v>
      </c>
      <c r="G62" s="7" t="s">
        <v>1739</v>
      </c>
      <c r="H62" s="7" t="s">
        <v>1679</v>
      </c>
      <c r="I62" s="7" t="s">
        <v>1685</v>
      </c>
      <c r="J62" s="7" t="s">
        <v>1688</v>
      </c>
      <c r="K62" s="7" t="s">
        <v>1708</v>
      </c>
      <c r="L62" s="2">
        <v>1</v>
      </c>
    </row>
    <row r="63" spans="1:12" ht="15" customHeight="1" x14ac:dyDescent="0.35">
      <c r="A63" s="7" t="s">
        <v>1</v>
      </c>
      <c r="B63" s="7" t="s">
        <v>52</v>
      </c>
      <c r="C63" s="7" t="s">
        <v>581</v>
      </c>
      <c r="D63" s="7" t="s">
        <v>883</v>
      </c>
      <c r="E63" s="9" t="s">
        <v>1818</v>
      </c>
      <c r="F63" s="7" t="s">
        <v>1111</v>
      </c>
      <c r="G63" s="7" t="s">
        <v>1742</v>
      </c>
      <c r="H63" s="7" t="s">
        <v>1678</v>
      </c>
      <c r="I63" s="7" t="s">
        <v>1686</v>
      </c>
      <c r="J63" s="7" t="s">
        <v>1688</v>
      </c>
      <c r="K63" s="7" t="s">
        <v>1700</v>
      </c>
      <c r="L63" s="2">
        <v>1</v>
      </c>
    </row>
    <row r="64" spans="1:12" ht="15" customHeight="1" x14ac:dyDescent="0.35">
      <c r="A64" s="7" t="s">
        <v>1</v>
      </c>
      <c r="B64" s="7" t="s">
        <v>52</v>
      </c>
      <c r="C64" s="7" t="s">
        <v>582</v>
      </c>
      <c r="D64" s="7" t="s">
        <v>884</v>
      </c>
      <c r="E64" s="9" t="s">
        <v>1819</v>
      </c>
      <c r="F64" s="7" t="s">
        <v>1112</v>
      </c>
      <c r="G64" s="7" t="s">
        <v>1742</v>
      </c>
      <c r="H64" s="7" t="s">
        <v>1679</v>
      </c>
      <c r="I64" s="7" t="s">
        <v>1686</v>
      </c>
      <c r="J64" s="7" t="s">
        <v>1688</v>
      </c>
      <c r="K64" s="7" t="s">
        <v>1694</v>
      </c>
      <c r="L64" s="2">
        <v>1</v>
      </c>
    </row>
    <row r="65" spans="1:12" ht="15" customHeight="1" x14ac:dyDescent="0.35">
      <c r="A65" s="7" t="s">
        <v>1</v>
      </c>
      <c r="B65" s="7" t="s">
        <v>52</v>
      </c>
      <c r="C65" s="7" t="s">
        <v>583</v>
      </c>
      <c r="D65" s="7" t="s">
        <v>548</v>
      </c>
      <c r="E65" s="9" t="s">
        <v>1820</v>
      </c>
      <c r="F65" s="7" t="s">
        <v>1113</v>
      </c>
      <c r="G65" s="7" t="s">
        <v>1737</v>
      </c>
      <c r="H65" s="7" t="s">
        <v>1678</v>
      </c>
      <c r="I65" s="7" t="s">
        <v>1686</v>
      </c>
      <c r="J65" s="7" t="s">
        <v>1688</v>
      </c>
      <c r="K65" s="7" t="s">
        <v>1696</v>
      </c>
      <c r="L65" s="2">
        <v>1</v>
      </c>
    </row>
    <row r="66" spans="1:12" ht="15" customHeight="1" x14ac:dyDescent="0.35">
      <c r="A66" s="7" t="s">
        <v>1</v>
      </c>
      <c r="B66" s="7" t="s">
        <v>53</v>
      </c>
      <c r="C66" s="7" t="s">
        <v>584</v>
      </c>
      <c r="D66" s="7" t="s">
        <v>679</v>
      </c>
      <c r="E66" s="9" t="s">
        <v>1821</v>
      </c>
      <c r="F66" s="7" t="s">
        <v>1114</v>
      </c>
      <c r="G66" s="7" t="s">
        <v>1737</v>
      </c>
      <c r="H66" s="7" t="s">
        <v>1678</v>
      </c>
      <c r="I66" s="7" t="s">
        <v>1686</v>
      </c>
      <c r="J66" s="7" t="s">
        <v>1688</v>
      </c>
      <c r="K66" s="7" t="s">
        <v>1696</v>
      </c>
      <c r="L66" s="2">
        <v>1</v>
      </c>
    </row>
    <row r="67" spans="1:12" ht="15" customHeight="1" x14ac:dyDescent="0.35">
      <c r="A67" s="7" t="s">
        <v>1</v>
      </c>
      <c r="B67" s="7" t="s">
        <v>54</v>
      </c>
      <c r="C67" s="7" t="s">
        <v>585</v>
      </c>
      <c r="D67" s="7" t="s">
        <v>560</v>
      </c>
      <c r="E67" s="9" t="s">
        <v>1822</v>
      </c>
      <c r="F67" s="7" t="s">
        <v>1115</v>
      </c>
      <c r="G67" s="7" t="s">
        <v>1742</v>
      </c>
      <c r="H67" s="7" t="s">
        <v>1677</v>
      </c>
      <c r="I67" s="7" t="s">
        <v>1686</v>
      </c>
      <c r="J67" s="7" t="s">
        <v>1688</v>
      </c>
      <c r="K67" s="7" t="s">
        <v>1703</v>
      </c>
      <c r="L67" s="2">
        <v>1</v>
      </c>
    </row>
    <row r="68" spans="1:12" ht="15" customHeight="1" x14ac:dyDescent="0.35">
      <c r="A68" s="7" t="s">
        <v>1</v>
      </c>
      <c r="B68" s="7" t="s">
        <v>55</v>
      </c>
      <c r="C68" s="7" t="s">
        <v>548</v>
      </c>
      <c r="D68" s="7" t="s">
        <v>548</v>
      </c>
      <c r="E68" s="9" t="s">
        <v>1823</v>
      </c>
      <c r="F68" s="7" t="s">
        <v>1116</v>
      </c>
      <c r="G68" s="7" t="s">
        <v>1737</v>
      </c>
      <c r="H68" s="7" t="s">
        <v>1678</v>
      </c>
      <c r="I68" s="7" t="s">
        <v>1686</v>
      </c>
      <c r="J68" s="7" t="s">
        <v>1688</v>
      </c>
      <c r="K68" s="7" t="s">
        <v>1721</v>
      </c>
      <c r="L68" s="2">
        <v>1</v>
      </c>
    </row>
    <row r="69" spans="1:12" ht="15" customHeight="1" x14ac:dyDescent="0.35">
      <c r="A69" s="7" t="s">
        <v>1</v>
      </c>
      <c r="B69" s="7" t="s">
        <v>56</v>
      </c>
      <c r="C69" s="7" t="s">
        <v>539</v>
      </c>
      <c r="D69" s="7" t="s">
        <v>885</v>
      </c>
      <c r="E69" s="9" t="s">
        <v>1824</v>
      </c>
      <c r="F69" s="7" t="s">
        <v>1117</v>
      </c>
      <c r="G69" s="7" t="s">
        <v>1744</v>
      </c>
      <c r="H69" s="7" t="s">
        <v>1679</v>
      </c>
      <c r="I69" s="7" t="s">
        <v>1686</v>
      </c>
      <c r="J69" s="7" t="s">
        <v>1688</v>
      </c>
      <c r="K69" s="7" t="s">
        <v>1722</v>
      </c>
      <c r="L69" s="2">
        <v>1</v>
      </c>
    </row>
    <row r="70" spans="1:12" ht="15" customHeight="1" x14ac:dyDescent="0.35">
      <c r="A70" s="7" t="s">
        <v>1</v>
      </c>
      <c r="B70" s="7" t="s">
        <v>57</v>
      </c>
      <c r="C70" s="7" t="s">
        <v>586</v>
      </c>
      <c r="D70" s="7" t="s">
        <v>789</v>
      </c>
      <c r="E70" s="9" t="s">
        <v>1825</v>
      </c>
      <c r="F70" s="7" t="s">
        <v>1118</v>
      </c>
      <c r="G70" s="7" t="s">
        <v>1742</v>
      </c>
      <c r="H70" s="7" t="s">
        <v>1680</v>
      </c>
      <c r="I70" s="7" t="s">
        <v>1686</v>
      </c>
      <c r="J70" s="7" t="s">
        <v>1688</v>
      </c>
      <c r="K70" s="7" t="s">
        <v>1695</v>
      </c>
      <c r="L70" s="2">
        <v>1</v>
      </c>
    </row>
    <row r="71" spans="1:12" ht="15" customHeight="1" x14ac:dyDescent="0.35">
      <c r="A71" s="7" t="s">
        <v>1</v>
      </c>
      <c r="B71" s="7" t="s">
        <v>57</v>
      </c>
      <c r="C71" s="7" t="s">
        <v>531</v>
      </c>
      <c r="D71" s="7" t="s">
        <v>886</v>
      </c>
      <c r="E71" s="9" t="s">
        <v>1826</v>
      </c>
      <c r="F71" s="7" t="s">
        <v>1119</v>
      </c>
      <c r="G71" s="7" t="s">
        <v>1747</v>
      </c>
      <c r="H71" s="7" t="s">
        <v>1680</v>
      </c>
      <c r="I71" s="7" t="s">
        <v>1686</v>
      </c>
      <c r="J71" s="7" t="s">
        <v>1688</v>
      </c>
      <c r="K71" s="7" t="s">
        <v>1723</v>
      </c>
      <c r="L71" s="2">
        <v>1</v>
      </c>
    </row>
    <row r="72" spans="1:12" ht="15" customHeight="1" x14ac:dyDescent="0.35">
      <c r="A72" s="7" t="s">
        <v>1</v>
      </c>
      <c r="B72" s="7" t="s">
        <v>57</v>
      </c>
      <c r="C72" s="7" t="s">
        <v>587</v>
      </c>
      <c r="D72" s="7" t="s">
        <v>544</v>
      </c>
      <c r="E72" s="9" t="s">
        <v>1827</v>
      </c>
      <c r="F72" s="7" t="s">
        <v>1120</v>
      </c>
      <c r="G72" s="7" t="s">
        <v>1742</v>
      </c>
      <c r="H72" s="7" t="s">
        <v>1680</v>
      </c>
      <c r="I72" s="7" t="s">
        <v>1686</v>
      </c>
      <c r="J72" s="7" t="s">
        <v>1688</v>
      </c>
      <c r="K72" s="7" t="s">
        <v>1695</v>
      </c>
      <c r="L72" s="2">
        <v>1</v>
      </c>
    </row>
    <row r="73" spans="1:12" ht="15" customHeight="1" x14ac:dyDescent="0.35">
      <c r="A73" s="7" t="s">
        <v>1</v>
      </c>
      <c r="B73" s="7" t="s">
        <v>58</v>
      </c>
      <c r="C73" s="7" t="s">
        <v>588</v>
      </c>
      <c r="D73" s="7" t="s">
        <v>589</v>
      </c>
      <c r="E73" s="9" t="s">
        <v>1828</v>
      </c>
      <c r="F73" s="7" t="s">
        <v>1121</v>
      </c>
      <c r="G73" s="7" t="s">
        <v>1742</v>
      </c>
      <c r="H73" s="7" t="s">
        <v>1677</v>
      </c>
      <c r="I73" s="7" t="s">
        <v>1686</v>
      </c>
      <c r="J73" s="7" t="s">
        <v>1688</v>
      </c>
      <c r="K73" s="7" t="s">
        <v>1712</v>
      </c>
      <c r="L73" s="2">
        <v>1</v>
      </c>
    </row>
    <row r="74" spans="1:12" ht="15" customHeight="1" x14ac:dyDescent="0.35">
      <c r="A74" s="7" t="s">
        <v>1</v>
      </c>
      <c r="B74" s="7" t="s">
        <v>59</v>
      </c>
      <c r="C74" s="7" t="s">
        <v>589</v>
      </c>
      <c r="D74" s="7" t="s">
        <v>766</v>
      </c>
      <c r="E74" s="9" t="s">
        <v>1829</v>
      </c>
      <c r="F74" s="7" t="s">
        <v>1122</v>
      </c>
      <c r="G74" s="7" t="s">
        <v>1744</v>
      </c>
      <c r="H74" s="7" t="s">
        <v>1680</v>
      </c>
      <c r="I74" s="7" t="s">
        <v>1686</v>
      </c>
      <c r="J74" s="7" t="s">
        <v>1688</v>
      </c>
      <c r="K74" s="7" t="s">
        <v>1706</v>
      </c>
      <c r="L74" s="2">
        <v>1</v>
      </c>
    </row>
    <row r="75" spans="1:12" ht="15" customHeight="1" x14ac:dyDescent="0.35">
      <c r="A75" s="7" t="s">
        <v>1</v>
      </c>
      <c r="B75" s="7" t="s">
        <v>59</v>
      </c>
      <c r="C75" s="7" t="s">
        <v>590</v>
      </c>
      <c r="D75" s="7" t="s">
        <v>606</v>
      </c>
      <c r="E75" s="9" t="s">
        <v>1830</v>
      </c>
      <c r="F75" s="7" t="s">
        <v>1123</v>
      </c>
      <c r="G75" s="7" t="s">
        <v>1742</v>
      </c>
      <c r="H75" s="7" t="s">
        <v>1677</v>
      </c>
      <c r="I75" s="7" t="s">
        <v>1686</v>
      </c>
      <c r="J75" s="7" t="s">
        <v>1688</v>
      </c>
      <c r="K75" s="7" t="s">
        <v>1703</v>
      </c>
      <c r="L75" s="2">
        <v>1</v>
      </c>
    </row>
    <row r="76" spans="1:12" ht="15" customHeight="1" x14ac:dyDescent="0.35">
      <c r="A76" s="7" t="s">
        <v>1</v>
      </c>
      <c r="B76" s="7" t="s">
        <v>60</v>
      </c>
      <c r="C76" s="7" t="s">
        <v>589</v>
      </c>
      <c r="D76" s="7" t="s">
        <v>887</v>
      </c>
      <c r="E76" s="9" t="s">
        <v>1831</v>
      </c>
      <c r="F76" s="7" t="s">
        <v>1124</v>
      </c>
      <c r="G76" s="7" t="s">
        <v>1742</v>
      </c>
      <c r="H76" s="7" t="s">
        <v>1677</v>
      </c>
      <c r="I76" s="7" t="s">
        <v>1686</v>
      </c>
      <c r="J76" s="7" t="s">
        <v>1688</v>
      </c>
      <c r="K76" s="7" t="s">
        <v>1703</v>
      </c>
      <c r="L76" s="2">
        <v>1</v>
      </c>
    </row>
    <row r="77" spans="1:12" ht="15" customHeight="1" x14ac:dyDescent="0.35">
      <c r="A77" s="7" t="s">
        <v>1</v>
      </c>
      <c r="B77" s="7" t="s">
        <v>61</v>
      </c>
      <c r="C77" s="7" t="s">
        <v>591</v>
      </c>
      <c r="D77" s="7" t="s">
        <v>682</v>
      </c>
      <c r="E77" s="9" t="s">
        <v>1832</v>
      </c>
      <c r="F77" s="7" t="s">
        <v>1125</v>
      </c>
      <c r="G77" s="7" t="s">
        <v>1737</v>
      </c>
      <c r="H77" s="7" t="s">
        <v>1678</v>
      </c>
      <c r="I77" s="7" t="s">
        <v>1686</v>
      </c>
      <c r="J77" s="7" t="s">
        <v>1688</v>
      </c>
      <c r="K77" s="7" t="s">
        <v>1696</v>
      </c>
      <c r="L77" s="2">
        <v>1</v>
      </c>
    </row>
    <row r="78" spans="1:12" ht="15" customHeight="1" x14ac:dyDescent="0.35">
      <c r="A78" s="7" t="s">
        <v>1</v>
      </c>
      <c r="B78" s="7" t="s">
        <v>62</v>
      </c>
      <c r="C78" s="7" t="s">
        <v>592</v>
      </c>
      <c r="D78" s="7" t="s">
        <v>630</v>
      </c>
      <c r="E78" s="9" t="s">
        <v>1833</v>
      </c>
      <c r="F78" s="7" t="s">
        <v>1126</v>
      </c>
      <c r="G78" s="7" t="s">
        <v>1737</v>
      </c>
      <c r="H78" s="7" t="s">
        <v>1678</v>
      </c>
      <c r="I78" s="7" t="s">
        <v>1686</v>
      </c>
      <c r="J78" s="7" t="s">
        <v>1688</v>
      </c>
      <c r="K78" s="7" t="s">
        <v>1696</v>
      </c>
      <c r="L78" s="2">
        <v>1</v>
      </c>
    </row>
    <row r="79" spans="1:12" ht="15" customHeight="1" x14ac:dyDescent="0.35">
      <c r="A79" s="7" t="s">
        <v>1</v>
      </c>
      <c r="B79" s="7" t="s">
        <v>62</v>
      </c>
      <c r="C79" s="7" t="s">
        <v>593</v>
      </c>
      <c r="D79" s="7" t="s">
        <v>621</v>
      </c>
      <c r="E79" s="9" t="s">
        <v>1834</v>
      </c>
      <c r="F79" s="7" t="s">
        <v>1127</v>
      </c>
      <c r="G79" s="7" t="s">
        <v>1737</v>
      </c>
      <c r="H79" s="7" t="s">
        <v>1677</v>
      </c>
      <c r="I79" s="7" t="s">
        <v>1686</v>
      </c>
      <c r="J79" s="7" t="s">
        <v>1688</v>
      </c>
      <c r="K79" s="7" t="s">
        <v>1698</v>
      </c>
      <c r="L79" s="2">
        <v>1</v>
      </c>
    </row>
    <row r="80" spans="1:12" ht="15" customHeight="1" x14ac:dyDescent="0.35">
      <c r="A80" s="7" t="s">
        <v>1</v>
      </c>
      <c r="B80" s="7" t="s">
        <v>63</v>
      </c>
      <c r="C80" s="7" t="s">
        <v>594</v>
      </c>
      <c r="D80" s="7" t="s">
        <v>560</v>
      </c>
      <c r="E80" s="9" t="s">
        <v>1835</v>
      </c>
      <c r="F80" s="7" t="s">
        <v>1128</v>
      </c>
      <c r="G80" s="7" t="s">
        <v>1737</v>
      </c>
      <c r="H80" s="7" t="s">
        <v>1677</v>
      </c>
      <c r="I80" s="7" t="s">
        <v>1686</v>
      </c>
      <c r="J80" s="7" t="s">
        <v>1688</v>
      </c>
      <c r="K80" s="7" t="s">
        <v>1698</v>
      </c>
      <c r="L80" s="2">
        <v>1</v>
      </c>
    </row>
    <row r="81" spans="1:12" ht="15" customHeight="1" x14ac:dyDescent="0.35">
      <c r="A81" s="7" t="s">
        <v>1</v>
      </c>
      <c r="B81" s="7" t="s">
        <v>64</v>
      </c>
      <c r="C81" s="7" t="s">
        <v>595</v>
      </c>
      <c r="D81" s="7" t="s">
        <v>567</v>
      </c>
      <c r="E81" s="9" t="s">
        <v>1836</v>
      </c>
      <c r="F81" s="7" t="s">
        <v>1129</v>
      </c>
      <c r="G81" s="7" t="s">
        <v>1742</v>
      </c>
      <c r="H81" s="7" t="s">
        <v>1681</v>
      </c>
      <c r="I81" s="7" t="s">
        <v>1686</v>
      </c>
      <c r="J81" s="7" t="s">
        <v>1688</v>
      </c>
      <c r="K81" s="7" t="s">
        <v>1697</v>
      </c>
      <c r="L81" s="2">
        <v>1</v>
      </c>
    </row>
    <row r="82" spans="1:12" ht="15" customHeight="1" x14ac:dyDescent="0.35">
      <c r="A82" s="7" t="s">
        <v>1</v>
      </c>
      <c r="B82" s="7" t="s">
        <v>65</v>
      </c>
      <c r="C82" s="7" t="s">
        <v>596</v>
      </c>
      <c r="D82" s="7" t="s">
        <v>888</v>
      </c>
      <c r="E82" s="9" t="s">
        <v>1837</v>
      </c>
      <c r="F82" s="7" t="s">
        <v>1130</v>
      </c>
      <c r="G82" s="7" t="s">
        <v>1740</v>
      </c>
      <c r="H82" s="7" t="s">
        <v>1680</v>
      </c>
      <c r="I82" s="7" t="s">
        <v>1686</v>
      </c>
      <c r="J82" s="7" t="s">
        <v>1688</v>
      </c>
      <c r="K82" s="7" t="s">
        <v>1715</v>
      </c>
      <c r="L82" s="2">
        <v>1</v>
      </c>
    </row>
    <row r="83" spans="1:12" ht="15" customHeight="1" x14ac:dyDescent="0.35">
      <c r="A83" s="7" t="s">
        <v>1</v>
      </c>
      <c r="B83" s="7" t="s">
        <v>66</v>
      </c>
      <c r="C83" s="7" t="s">
        <v>532</v>
      </c>
      <c r="D83" s="7" t="s">
        <v>539</v>
      </c>
      <c r="E83" s="9" t="s">
        <v>1838</v>
      </c>
      <c r="F83" s="7" t="s">
        <v>1131</v>
      </c>
      <c r="G83" s="7" t="s">
        <v>1745</v>
      </c>
      <c r="H83" s="7" t="s">
        <v>1679</v>
      </c>
      <c r="I83" s="7" t="s">
        <v>1686</v>
      </c>
      <c r="J83" s="7" t="s">
        <v>1688</v>
      </c>
      <c r="K83" s="7" t="s">
        <v>1717</v>
      </c>
      <c r="L83" s="2">
        <v>1</v>
      </c>
    </row>
    <row r="84" spans="1:12" ht="15" customHeight="1" x14ac:dyDescent="0.35">
      <c r="A84" s="7" t="s">
        <v>1</v>
      </c>
      <c r="B84" s="7" t="s">
        <v>67</v>
      </c>
      <c r="C84" s="7" t="s">
        <v>597</v>
      </c>
      <c r="D84" s="7" t="s">
        <v>585</v>
      </c>
      <c r="E84" s="9" t="s">
        <v>1839</v>
      </c>
      <c r="F84" s="7" t="s">
        <v>1132</v>
      </c>
      <c r="G84" s="7" t="s">
        <v>1737</v>
      </c>
      <c r="H84" s="7" t="s">
        <v>1678</v>
      </c>
      <c r="I84" s="7" t="s">
        <v>1686</v>
      </c>
      <c r="J84" s="7" t="s">
        <v>1688</v>
      </c>
      <c r="K84" s="7" t="s">
        <v>1721</v>
      </c>
      <c r="L84" s="2">
        <v>1</v>
      </c>
    </row>
    <row r="85" spans="1:12" ht="15" customHeight="1" x14ac:dyDescent="0.35">
      <c r="A85" s="7" t="s">
        <v>1</v>
      </c>
      <c r="B85" s="7" t="s">
        <v>68</v>
      </c>
      <c r="C85" s="7" t="s">
        <v>598</v>
      </c>
      <c r="D85" s="7" t="s">
        <v>889</v>
      </c>
      <c r="E85" s="9" t="s">
        <v>1840</v>
      </c>
      <c r="F85" s="7" t="s">
        <v>1133</v>
      </c>
      <c r="G85" s="7" t="s">
        <v>1742</v>
      </c>
      <c r="H85" s="7" t="s">
        <v>1677</v>
      </c>
      <c r="I85" s="7" t="s">
        <v>1686</v>
      </c>
      <c r="J85" s="7" t="s">
        <v>1688</v>
      </c>
      <c r="K85" s="7" t="s">
        <v>1712</v>
      </c>
      <c r="L85" s="2">
        <v>1</v>
      </c>
    </row>
    <row r="86" spans="1:12" ht="15" customHeight="1" x14ac:dyDescent="0.35">
      <c r="A86" s="7" t="s">
        <v>1</v>
      </c>
      <c r="B86" s="7" t="s">
        <v>69</v>
      </c>
      <c r="C86" s="7" t="s">
        <v>599</v>
      </c>
      <c r="D86" s="7" t="s">
        <v>654</v>
      </c>
      <c r="E86" s="9" t="s">
        <v>1841</v>
      </c>
      <c r="F86" s="7" t="s">
        <v>1134</v>
      </c>
      <c r="G86" s="7" t="s">
        <v>1745</v>
      </c>
      <c r="H86" s="7" t="s">
        <v>1678</v>
      </c>
      <c r="I86" s="7" t="s">
        <v>1686</v>
      </c>
      <c r="J86" s="7" t="s">
        <v>1688</v>
      </c>
      <c r="K86" s="7" t="s">
        <v>1710</v>
      </c>
      <c r="L86" s="2">
        <v>1</v>
      </c>
    </row>
    <row r="87" spans="1:12" ht="15" customHeight="1" x14ac:dyDescent="0.35">
      <c r="A87" s="7" t="s">
        <v>1</v>
      </c>
      <c r="B87" s="7" t="s">
        <v>70</v>
      </c>
      <c r="C87" s="7" t="s">
        <v>600</v>
      </c>
      <c r="D87" s="7" t="s">
        <v>591</v>
      </c>
      <c r="E87" s="9" t="s">
        <v>1842</v>
      </c>
      <c r="F87" s="7" t="s">
        <v>1135</v>
      </c>
      <c r="G87" s="7" t="s">
        <v>1740</v>
      </c>
      <c r="H87" s="7" t="s">
        <v>1680</v>
      </c>
      <c r="I87" s="7" t="s">
        <v>1685</v>
      </c>
      <c r="J87" s="7" t="s">
        <v>1688</v>
      </c>
      <c r="K87" s="7" t="s">
        <v>1715</v>
      </c>
      <c r="L87" s="2">
        <v>1</v>
      </c>
    </row>
    <row r="88" spans="1:12" ht="15" customHeight="1" x14ac:dyDescent="0.35">
      <c r="A88" s="7" t="s">
        <v>1</v>
      </c>
      <c r="B88" s="7" t="s">
        <v>71</v>
      </c>
      <c r="C88" s="7" t="s">
        <v>601</v>
      </c>
      <c r="D88" s="7" t="s">
        <v>890</v>
      </c>
      <c r="E88" s="9" t="s">
        <v>1843</v>
      </c>
      <c r="F88" s="7" t="s">
        <v>1136</v>
      </c>
      <c r="G88" s="7" t="s">
        <v>1744</v>
      </c>
      <c r="H88" s="7" t="s">
        <v>1677</v>
      </c>
      <c r="I88" s="7" t="s">
        <v>1686</v>
      </c>
      <c r="J88" s="7" t="s">
        <v>1688</v>
      </c>
      <c r="K88" s="7" t="s">
        <v>1713</v>
      </c>
      <c r="L88" s="2">
        <v>1</v>
      </c>
    </row>
    <row r="89" spans="1:12" ht="15" customHeight="1" x14ac:dyDescent="0.35">
      <c r="A89" s="7" t="s">
        <v>1</v>
      </c>
      <c r="B89" s="7" t="s">
        <v>72</v>
      </c>
      <c r="C89" s="7" t="s">
        <v>602</v>
      </c>
      <c r="D89" s="7" t="s">
        <v>690</v>
      </c>
      <c r="E89" s="9" t="s">
        <v>1844</v>
      </c>
      <c r="F89" s="7" t="s">
        <v>1137</v>
      </c>
      <c r="G89" s="7" t="s">
        <v>1743</v>
      </c>
      <c r="H89" s="7" t="s">
        <v>1679</v>
      </c>
      <c r="I89" s="7" t="s">
        <v>1685</v>
      </c>
      <c r="J89" s="7" t="s">
        <v>1688</v>
      </c>
      <c r="K89" s="7" t="s">
        <v>1702</v>
      </c>
      <c r="L89" s="2">
        <v>1</v>
      </c>
    </row>
    <row r="90" spans="1:12" ht="15" customHeight="1" x14ac:dyDescent="0.35">
      <c r="A90" s="7" t="s">
        <v>1</v>
      </c>
      <c r="B90" s="7" t="s">
        <v>73</v>
      </c>
      <c r="C90" s="7" t="s">
        <v>603</v>
      </c>
      <c r="D90" s="7" t="s">
        <v>627</v>
      </c>
      <c r="E90" s="9" t="s">
        <v>1845</v>
      </c>
      <c r="F90" s="7" t="s">
        <v>1138</v>
      </c>
      <c r="G90" s="7" t="s">
        <v>1742</v>
      </c>
      <c r="H90" s="7" t="s">
        <v>1679</v>
      </c>
      <c r="I90" s="7" t="s">
        <v>1685</v>
      </c>
      <c r="J90" s="7" t="s">
        <v>1688</v>
      </c>
      <c r="K90" s="7" t="s">
        <v>1694</v>
      </c>
      <c r="L90" s="2">
        <v>1</v>
      </c>
    </row>
    <row r="91" spans="1:12" ht="15" customHeight="1" x14ac:dyDescent="0.35">
      <c r="A91" s="7" t="s">
        <v>1</v>
      </c>
      <c r="B91" s="7" t="s">
        <v>74</v>
      </c>
      <c r="C91" s="7" t="s">
        <v>604</v>
      </c>
      <c r="D91" s="7" t="s">
        <v>596</v>
      </c>
      <c r="E91" s="9" t="s">
        <v>1846</v>
      </c>
      <c r="F91" s="7" t="s">
        <v>1139</v>
      </c>
      <c r="G91" s="7" t="s">
        <v>1740</v>
      </c>
      <c r="H91" s="7" t="s">
        <v>1677</v>
      </c>
      <c r="I91" s="7" t="s">
        <v>1685</v>
      </c>
      <c r="J91" s="7" t="s">
        <v>1688</v>
      </c>
      <c r="K91" s="7" t="s">
        <v>1699</v>
      </c>
      <c r="L91" s="2">
        <v>1</v>
      </c>
    </row>
    <row r="92" spans="1:12" ht="15" customHeight="1" x14ac:dyDescent="0.35">
      <c r="A92" s="7" t="s">
        <v>1</v>
      </c>
      <c r="B92" s="7" t="s">
        <v>75</v>
      </c>
      <c r="C92" s="7" t="s">
        <v>605</v>
      </c>
      <c r="D92" s="7" t="s">
        <v>891</v>
      </c>
      <c r="E92" s="9" t="s">
        <v>1847</v>
      </c>
      <c r="F92" s="7" t="s">
        <v>1140</v>
      </c>
      <c r="G92" s="7" t="s">
        <v>1742</v>
      </c>
      <c r="H92" s="7" t="s">
        <v>1678</v>
      </c>
      <c r="I92" s="7" t="s">
        <v>1686</v>
      </c>
      <c r="J92" s="7" t="s">
        <v>1688</v>
      </c>
      <c r="K92" s="7" t="s">
        <v>1700</v>
      </c>
      <c r="L92" s="2">
        <v>1</v>
      </c>
    </row>
    <row r="93" spans="1:12" ht="15" customHeight="1" x14ac:dyDescent="0.35">
      <c r="A93" s="7" t="s">
        <v>1</v>
      </c>
      <c r="B93" s="7" t="s">
        <v>76</v>
      </c>
      <c r="C93" s="7" t="s">
        <v>531</v>
      </c>
      <c r="D93" s="7" t="s">
        <v>544</v>
      </c>
      <c r="E93" s="9" t="s">
        <v>1848</v>
      </c>
      <c r="F93" s="7" t="s">
        <v>1141</v>
      </c>
      <c r="G93" s="7" t="s">
        <v>1738</v>
      </c>
      <c r="H93" s="7" t="s">
        <v>1678</v>
      </c>
      <c r="I93" s="7" t="s">
        <v>1686</v>
      </c>
      <c r="J93" s="7" t="s">
        <v>1688</v>
      </c>
      <c r="K93" s="7" t="s">
        <v>1705</v>
      </c>
      <c r="L93" s="2">
        <v>1</v>
      </c>
    </row>
    <row r="94" spans="1:12" ht="15" customHeight="1" x14ac:dyDescent="0.35">
      <c r="A94" s="7" t="s">
        <v>1</v>
      </c>
      <c r="B94" s="7" t="s">
        <v>77</v>
      </c>
      <c r="C94" s="7" t="s">
        <v>591</v>
      </c>
      <c r="D94" s="7" t="s">
        <v>600</v>
      </c>
      <c r="E94" s="9" t="s">
        <v>1849</v>
      </c>
      <c r="F94" s="7" t="s">
        <v>1142</v>
      </c>
      <c r="G94" s="7" t="s">
        <v>1737</v>
      </c>
      <c r="H94" s="7" t="s">
        <v>1678</v>
      </c>
      <c r="I94" s="7" t="s">
        <v>1686</v>
      </c>
      <c r="J94" s="7" t="s">
        <v>1688</v>
      </c>
      <c r="K94" s="7" t="s">
        <v>1721</v>
      </c>
      <c r="L94" s="2">
        <v>1</v>
      </c>
    </row>
    <row r="95" spans="1:12" ht="15" customHeight="1" x14ac:dyDescent="0.35">
      <c r="A95" s="7" t="s">
        <v>1</v>
      </c>
      <c r="B95" s="7" t="s">
        <v>78</v>
      </c>
      <c r="C95" s="7" t="s">
        <v>606</v>
      </c>
      <c r="D95" s="7" t="s">
        <v>892</v>
      </c>
      <c r="E95" s="9" t="s">
        <v>1850</v>
      </c>
      <c r="F95" s="7" t="s">
        <v>1143</v>
      </c>
      <c r="G95" s="7" t="s">
        <v>1742</v>
      </c>
      <c r="H95" s="7" t="s">
        <v>1678</v>
      </c>
      <c r="I95" s="7" t="s">
        <v>1686</v>
      </c>
      <c r="J95" s="7" t="s">
        <v>1688</v>
      </c>
      <c r="K95" s="7" t="s">
        <v>1700</v>
      </c>
      <c r="L95" s="2">
        <v>1</v>
      </c>
    </row>
    <row r="96" spans="1:12" ht="15" customHeight="1" x14ac:dyDescent="0.35">
      <c r="A96" s="7" t="s">
        <v>1</v>
      </c>
      <c r="B96" s="7" t="s">
        <v>79</v>
      </c>
      <c r="C96" s="7" t="s">
        <v>607</v>
      </c>
      <c r="D96" s="7" t="s">
        <v>544</v>
      </c>
      <c r="E96" s="9" t="s">
        <v>1851</v>
      </c>
      <c r="F96" s="7" t="s">
        <v>1144</v>
      </c>
      <c r="G96" s="7" t="s">
        <v>1742</v>
      </c>
      <c r="H96" s="7" t="s">
        <v>1677</v>
      </c>
      <c r="I96" s="7" t="s">
        <v>1686</v>
      </c>
      <c r="J96" s="7" t="s">
        <v>1688</v>
      </c>
      <c r="K96" s="7" t="s">
        <v>1712</v>
      </c>
      <c r="L96" s="2">
        <v>1</v>
      </c>
    </row>
    <row r="97" spans="1:12" ht="15" customHeight="1" x14ac:dyDescent="0.35">
      <c r="A97" s="7" t="s">
        <v>1</v>
      </c>
      <c r="B97" s="7" t="s">
        <v>80</v>
      </c>
      <c r="C97" s="7" t="s">
        <v>608</v>
      </c>
      <c r="D97" s="7" t="s">
        <v>893</v>
      </c>
      <c r="E97" s="9" t="s">
        <v>1852</v>
      </c>
      <c r="F97" s="7" t="s">
        <v>1145</v>
      </c>
      <c r="G97" s="7" t="s">
        <v>1740</v>
      </c>
      <c r="H97" s="7" t="s">
        <v>1677</v>
      </c>
      <c r="I97" s="7" t="s">
        <v>1685</v>
      </c>
      <c r="J97" s="7" t="s">
        <v>1688</v>
      </c>
      <c r="K97" s="7" t="s">
        <v>1699</v>
      </c>
      <c r="L97" s="2">
        <v>1</v>
      </c>
    </row>
    <row r="98" spans="1:12" ht="15" customHeight="1" x14ac:dyDescent="0.35">
      <c r="A98" s="7" t="s">
        <v>1</v>
      </c>
      <c r="B98" s="7" t="s">
        <v>81</v>
      </c>
      <c r="C98" s="7" t="s">
        <v>609</v>
      </c>
      <c r="D98" s="7" t="s">
        <v>656</v>
      </c>
      <c r="E98" s="9" t="s">
        <v>1853</v>
      </c>
      <c r="F98" s="7" t="s">
        <v>1146</v>
      </c>
      <c r="G98" s="7" t="s">
        <v>1740</v>
      </c>
      <c r="H98" s="7" t="s">
        <v>1679</v>
      </c>
      <c r="I98" s="7" t="s">
        <v>1685</v>
      </c>
      <c r="J98" s="7" t="s">
        <v>1688</v>
      </c>
      <c r="K98" s="7" t="s">
        <v>1714</v>
      </c>
      <c r="L98" s="2">
        <v>1</v>
      </c>
    </row>
    <row r="99" spans="1:12" ht="15" customHeight="1" x14ac:dyDescent="0.35">
      <c r="A99" s="7" t="s">
        <v>1</v>
      </c>
      <c r="B99" s="7" t="s">
        <v>82</v>
      </c>
      <c r="C99" s="7" t="s">
        <v>610</v>
      </c>
      <c r="D99" s="7" t="s">
        <v>391</v>
      </c>
      <c r="E99" s="9" t="s">
        <v>1854</v>
      </c>
      <c r="F99" s="7" t="s">
        <v>1147</v>
      </c>
      <c r="G99" s="7" t="s">
        <v>1740</v>
      </c>
      <c r="H99" s="7" t="s">
        <v>1677</v>
      </c>
      <c r="I99" s="7" t="s">
        <v>1685</v>
      </c>
      <c r="J99" s="7" t="s">
        <v>1688</v>
      </c>
      <c r="K99" s="7" t="s">
        <v>1699</v>
      </c>
      <c r="L99" s="2">
        <v>1</v>
      </c>
    </row>
    <row r="100" spans="1:12" ht="15" customHeight="1" x14ac:dyDescent="0.35">
      <c r="A100" s="7" t="s">
        <v>1</v>
      </c>
      <c r="B100" s="7" t="s">
        <v>83</v>
      </c>
      <c r="C100" s="7" t="s">
        <v>611</v>
      </c>
      <c r="D100" s="7" t="s">
        <v>531</v>
      </c>
      <c r="E100" s="9" t="s">
        <v>1855</v>
      </c>
      <c r="F100" s="7" t="s">
        <v>1148</v>
      </c>
      <c r="G100" s="7" t="s">
        <v>1742</v>
      </c>
      <c r="H100" s="7" t="s">
        <v>1678</v>
      </c>
      <c r="I100" s="7" t="s">
        <v>1686</v>
      </c>
      <c r="J100" s="7" t="s">
        <v>1688</v>
      </c>
      <c r="K100" s="7" t="s">
        <v>1701</v>
      </c>
      <c r="L100" s="2">
        <v>1</v>
      </c>
    </row>
    <row r="101" spans="1:12" ht="15" customHeight="1" x14ac:dyDescent="0.35">
      <c r="A101" s="7" t="s">
        <v>1</v>
      </c>
      <c r="B101" s="7" t="s">
        <v>84</v>
      </c>
      <c r="C101" s="7" t="s">
        <v>564</v>
      </c>
      <c r="D101" s="7" t="s">
        <v>894</v>
      </c>
      <c r="E101" s="9" t="s">
        <v>1856</v>
      </c>
      <c r="F101" s="7" t="s">
        <v>1149</v>
      </c>
      <c r="G101" s="7" t="s">
        <v>1743</v>
      </c>
      <c r="H101" s="7" t="s">
        <v>1677</v>
      </c>
      <c r="I101" s="7" t="s">
        <v>1685</v>
      </c>
      <c r="J101" s="7" t="s">
        <v>1688</v>
      </c>
      <c r="K101" s="7" t="s">
        <v>1720</v>
      </c>
      <c r="L101" s="2">
        <v>1</v>
      </c>
    </row>
    <row r="102" spans="1:12" ht="15" customHeight="1" x14ac:dyDescent="0.35">
      <c r="A102" s="7" t="s">
        <v>1</v>
      </c>
      <c r="B102" s="7" t="s">
        <v>85</v>
      </c>
      <c r="C102" s="7" t="s">
        <v>612</v>
      </c>
      <c r="D102" s="7" t="s">
        <v>600</v>
      </c>
      <c r="E102" s="9" t="s">
        <v>1857</v>
      </c>
      <c r="F102" s="7" t="s">
        <v>1150</v>
      </c>
      <c r="G102" s="7" t="s">
        <v>1743</v>
      </c>
      <c r="H102" s="7" t="s">
        <v>1680</v>
      </c>
      <c r="I102" s="7" t="s">
        <v>1685</v>
      </c>
      <c r="J102" s="7" t="s">
        <v>1688</v>
      </c>
      <c r="K102" s="7" t="s">
        <v>1704</v>
      </c>
      <c r="L102" s="2">
        <v>1</v>
      </c>
    </row>
    <row r="103" spans="1:12" ht="15" customHeight="1" x14ac:dyDescent="0.35">
      <c r="A103" s="7" t="s">
        <v>1</v>
      </c>
      <c r="B103" s="7" t="s">
        <v>86</v>
      </c>
      <c r="C103" s="7" t="s">
        <v>613</v>
      </c>
      <c r="D103" s="7" t="s">
        <v>895</v>
      </c>
      <c r="E103" s="9" t="s">
        <v>1858</v>
      </c>
      <c r="F103" s="7" t="s">
        <v>1151</v>
      </c>
      <c r="G103" s="7" t="s">
        <v>1740</v>
      </c>
      <c r="H103" s="7" t="s">
        <v>1677</v>
      </c>
      <c r="I103" s="7" t="s">
        <v>1685</v>
      </c>
      <c r="J103" s="7" t="s">
        <v>1688</v>
      </c>
      <c r="K103" s="7" t="s">
        <v>1699</v>
      </c>
      <c r="L103" s="2">
        <v>1</v>
      </c>
    </row>
    <row r="104" spans="1:12" ht="15" customHeight="1" x14ac:dyDescent="0.35">
      <c r="A104" s="7" t="s">
        <v>1</v>
      </c>
      <c r="B104" s="7" t="s">
        <v>87</v>
      </c>
      <c r="C104" s="7" t="s">
        <v>614</v>
      </c>
      <c r="D104" s="7" t="s">
        <v>543</v>
      </c>
      <c r="E104" s="9" t="s">
        <v>1859</v>
      </c>
      <c r="F104" s="7" t="s">
        <v>1152</v>
      </c>
      <c r="G104" s="7" t="s">
        <v>1742</v>
      </c>
      <c r="H104" s="7" t="s">
        <v>1677</v>
      </c>
      <c r="I104" s="7" t="s">
        <v>1686</v>
      </c>
      <c r="J104" s="7" t="s">
        <v>1688</v>
      </c>
      <c r="K104" s="7" t="s">
        <v>1712</v>
      </c>
      <c r="L104" s="2">
        <v>1</v>
      </c>
    </row>
    <row r="105" spans="1:12" ht="15" customHeight="1" x14ac:dyDescent="0.35">
      <c r="A105" s="7" t="s">
        <v>1</v>
      </c>
      <c r="B105" s="7" t="s">
        <v>88</v>
      </c>
      <c r="C105" s="7" t="s">
        <v>615</v>
      </c>
      <c r="D105" s="7" t="s">
        <v>896</v>
      </c>
      <c r="E105" s="9" t="s">
        <v>1860</v>
      </c>
      <c r="F105" s="7" t="s">
        <v>1153</v>
      </c>
      <c r="G105" s="7" t="s">
        <v>1742</v>
      </c>
      <c r="H105" s="7" t="s">
        <v>1680</v>
      </c>
      <c r="I105" s="7" t="s">
        <v>1686</v>
      </c>
      <c r="J105" s="7" t="s">
        <v>1688</v>
      </c>
      <c r="K105" s="7" t="s">
        <v>1695</v>
      </c>
      <c r="L105" s="2">
        <v>1</v>
      </c>
    </row>
    <row r="106" spans="1:12" ht="15" customHeight="1" x14ac:dyDescent="0.35">
      <c r="A106" s="7" t="s">
        <v>1</v>
      </c>
      <c r="B106" s="7" t="s">
        <v>89</v>
      </c>
      <c r="C106" s="7" t="s">
        <v>616</v>
      </c>
      <c r="D106" s="7" t="s">
        <v>621</v>
      </c>
      <c r="E106" s="9" t="s">
        <v>1861</v>
      </c>
      <c r="F106" s="7" t="s">
        <v>1154</v>
      </c>
      <c r="G106" s="7" t="s">
        <v>1737</v>
      </c>
      <c r="H106" s="7" t="s">
        <v>1678</v>
      </c>
      <c r="I106" s="7" t="s">
        <v>1686</v>
      </c>
      <c r="J106" s="7" t="s">
        <v>1688</v>
      </c>
      <c r="K106" s="7" t="s">
        <v>1696</v>
      </c>
      <c r="L106" s="2">
        <v>1</v>
      </c>
    </row>
    <row r="107" spans="1:12" ht="15" customHeight="1" x14ac:dyDescent="0.35">
      <c r="A107" s="7" t="s">
        <v>1</v>
      </c>
      <c r="B107" s="7" t="s">
        <v>90</v>
      </c>
      <c r="C107" s="7" t="s">
        <v>617</v>
      </c>
      <c r="D107" s="7" t="s">
        <v>897</v>
      </c>
      <c r="E107" s="9" t="s">
        <v>1862</v>
      </c>
      <c r="F107" s="7" t="s">
        <v>1155</v>
      </c>
      <c r="G107" s="7" t="s">
        <v>1742</v>
      </c>
      <c r="H107" s="7" t="s">
        <v>1679</v>
      </c>
      <c r="I107" s="7" t="s">
        <v>1686</v>
      </c>
      <c r="J107" s="7" t="s">
        <v>1688</v>
      </c>
      <c r="K107" s="7" t="s">
        <v>1694</v>
      </c>
      <c r="L107" s="2">
        <v>1</v>
      </c>
    </row>
    <row r="108" spans="1:12" ht="15" customHeight="1" x14ac:dyDescent="0.35">
      <c r="A108" s="7" t="s">
        <v>1</v>
      </c>
      <c r="B108" s="7" t="s">
        <v>91</v>
      </c>
      <c r="C108" s="7" t="s">
        <v>548</v>
      </c>
      <c r="D108" s="7" t="s">
        <v>549</v>
      </c>
      <c r="E108" s="9" t="s">
        <v>1863</v>
      </c>
      <c r="F108" s="7" t="s">
        <v>1156</v>
      </c>
      <c r="G108" s="7" t="s">
        <v>1743</v>
      </c>
      <c r="H108" s="7" t="s">
        <v>1679</v>
      </c>
      <c r="I108" s="7" t="s">
        <v>1686</v>
      </c>
      <c r="J108" s="7" t="s">
        <v>1688</v>
      </c>
      <c r="K108" s="7" t="s">
        <v>1702</v>
      </c>
      <c r="L108" s="2">
        <v>1</v>
      </c>
    </row>
    <row r="109" spans="1:12" ht="15" customHeight="1" x14ac:dyDescent="0.35">
      <c r="A109" s="7" t="s">
        <v>1</v>
      </c>
      <c r="B109" s="7" t="s">
        <v>92</v>
      </c>
      <c r="C109" s="7" t="s">
        <v>597</v>
      </c>
      <c r="D109" s="7" t="s">
        <v>898</v>
      </c>
      <c r="E109" s="9" t="s">
        <v>1864</v>
      </c>
      <c r="F109" s="7" t="s">
        <v>1157</v>
      </c>
      <c r="G109" s="7" t="s">
        <v>1737</v>
      </c>
      <c r="H109" s="7" t="s">
        <v>1677</v>
      </c>
      <c r="I109" s="7" t="s">
        <v>1686</v>
      </c>
      <c r="J109" s="7" t="s">
        <v>1688</v>
      </c>
      <c r="K109" s="7" t="s">
        <v>1698</v>
      </c>
      <c r="L109" s="2">
        <v>1</v>
      </c>
    </row>
    <row r="110" spans="1:12" ht="15" customHeight="1" x14ac:dyDescent="0.35">
      <c r="A110" s="7" t="s">
        <v>1</v>
      </c>
      <c r="B110" s="7" t="s">
        <v>93</v>
      </c>
      <c r="C110" s="7" t="s">
        <v>618</v>
      </c>
      <c r="D110" s="7" t="s">
        <v>899</v>
      </c>
      <c r="E110" s="9" t="s">
        <v>1865</v>
      </c>
      <c r="F110" s="7" t="s">
        <v>1158</v>
      </c>
      <c r="G110" s="7" t="s">
        <v>1745</v>
      </c>
      <c r="H110" s="7" t="s">
        <v>1677</v>
      </c>
      <c r="I110" s="7" t="s">
        <v>1685</v>
      </c>
      <c r="J110" s="7" t="s">
        <v>1688</v>
      </c>
      <c r="K110" s="7" t="s">
        <v>1709</v>
      </c>
      <c r="L110" s="2">
        <v>1</v>
      </c>
    </row>
    <row r="111" spans="1:12" ht="15" customHeight="1" x14ac:dyDescent="0.35">
      <c r="A111" s="7" t="s">
        <v>1</v>
      </c>
      <c r="B111" s="7" t="s">
        <v>94</v>
      </c>
      <c r="C111" s="7" t="s">
        <v>554</v>
      </c>
      <c r="D111" s="7" t="s">
        <v>900</v>
      </c>
      <c r="E111" s="9" t="s">
        <v>1866</v>
      </c>
      <c r="F111" s="7" t="s">
        <v>1159</v>
      </c>
      <c r="G111" s="7" t="s">
        <v>1740</v>
      </c>
      <c r="H111" s="7" t="s">
        <v>1677</v>
      </c>
      <c r="I111" s="7" t="s">
        <v>1685</v>
      </c>
      <c r="J111" s="7" t="s">
        <v>1688</v>
      </c>
      <c r="K111" s="7" t="s">
        <v>1699</v>
      </c>
      <c r="L111" s="2">
        <v>1</v>
      </c>
    </row>
    <row r="112" spans="1:12" ht="15" customHeight="1" x14ac:dyDescent="0.35">
      <c r="A112" s="7" t="s">
        <v>1</v>
      </c>
      <c r="B112" s="7" t="s">
        <v>95</v>
      </c>
      <c r="C112" s="7" t="s">
        <v>619</v>
      </c>
      <c r="D112" s="7" t="s">
        <v>901</v>
      </c>
      <c r="E112" s="9" t="s">
        <v>1867</v>
      </c>
      <c r="F112" s="7" t="s">
        <v>1160</v>
      </c>
      <c r="G112" s="7" t="s">
        <v>1740</v>
      </c>
      <c r="H112" s="7" t="s">
        <v>1679</v>
      </c>
      <c r="I112" s="7" t="s">
        <v>1685</v>
      </c>
      <c r="J112" s="7" t="s">
        <v>1688</v>
      </c>
      <c r="K112" s="7" t="s">
        <v>1714</v>
      </c>
      <c r="L112" s="2">
        <v>1</v>
      </c>
    </row>
    <row r="113" spans="1:12" ht="15" customHeight="1" x14ac:dyDescent="0.35">
      <c r="A113" s="7" t="s">
        <v>1</v>
      </c>
      <c r="B113" s="7" t="s">
        <v>96</v>
      </c>
      <c r="C113" s="7" t="s">
        <v>620</v>
      </c>
      <c r="D113" s="7" t="s">
        <v>646</v>
      </c>
      <c r="E113" s="9" t="s">
        <v>1868</v>
      </c>
      <c r="F113" s="7" t="s">
        <v>1161</v>
      </c>
      <c r="G113" s="7" t="s">
        <v>1742</v>
      </c>
      <c r="H113" s="7" t="s">
        <v>1680</v>
      </c>
      <c r="I113" s="7" t="s">
        <v>1685</v>
      </c>
      <c r="J113" s="7" t="s">
        <v>1688</v>
      </c>
      <c r="K113" s="7" t="s">
        <v>1695</v>
      </c>
      <c r="L113" s="2">
        <v>1</v>
      </c>
    </row>
    <row r="114" spans="1:12" ht="15" customHeight="1" x14ac:dyDescent="0.35">
      <c r="A114" s="7" t="s">
        <v>1</v>
      </c>
      <c r="B114" s="7" t="s">
        <v>97</v>
      </c>
      <c r="C114" s="7" t="s">
        <v>577</v>
      </c>
      <c r="D114" s="7" t="s">
        <v>902</v>
      </c>
      <c r="E114" s="9" t="s">
        <v>1869</v>
      </c>
      <c r="F114" s="7" t="s">
        <v>1162</v>
      </c>
      <c r="G114" s="7" t="s">
        <v>1737</v>
      </c>
      <c r="H114" s="7" t="s">
        <v>1678</v>
      </c>
      <c r="I114" s="7" t="s">
        <v>1685</v>
      </c>
      <c r="J114" s="7" t="s">
        <v>1688</v>
      </c>
      <c r="K114" s="7" t="s">
        <v>1721</v>
      </c>
      <c r="L114" s="2">
        <v>1</v>
      </c>
    </row>
    <row r="115" spans="1:12" ht="15" customHeight="1" x14ac:dyDescent="0.35">
      <c r="A115" s="7" t="s">
        <v>1</v>
      </c>
      <c r="B115" s="7" t="s">
        <v>98</v>
      </c>
      <c r="C115" s="7" t="s">
        <v>621</v>
      </c>
      <c r="D115" s="7" t="s">
        <v>903</v>
      </c>
      <c r="E115" s="9" t="s">
        <v>1870</v>
      </c>
      <c r="F115" s="7" t="s">
        <v>1163</v>
      </c>
      <c r="G115" s="7" t="s">
        <v>1742</v>
      </c>
      <c r="H115" s="7" t="s">
        <v>1678</v>
      </c>
      <c r="I115" s="7" t="s">
        <v>1686</v>
      </c>
      <c r="J115" s="7" t="s">
        <v>1688</v>
      </c>
      <c r="K115" s="7" t="s">
        <v>1700</v>
      </c>
      <c r="L115" s="2">
        <v>1</v>
      </c>
    </row>
    <row r="116" spans="1:12" ht="15" customHeight="1" x14ac:dyDescent="0.35">
      <c r="A116" s="7" t="s">
        <v>1</v>
      </c>
      <c r="B116" s="7" t="s">
        <v>99</v>
      </c>
      <c r="C116" s="7" t="s">
        <v>604</v>
      </c>
      <c r="D116" s="7" t="s">
        <v>578</v>
      </c>
      <c r="E116" s="9" t="s">
        <v>1871</v>
      </c>
      <c r="F116" s="7" t="s">
        <v>1164</v>
      </c>
      <c r="G116" s="7" t="s">
        <v>1742</v>
      </c>
      <c r="H116" s="7" t="s">
        <v>1681</v>
      </c>
      <c r="I116" s="7" t="s">
        <v>1686</v>
      </c>
      <c r="J116" s="7" t="s">
        <v>1688</v>
      </c>
      <c r="K116" s="7" t="s">
        <v>1697</v>
      </c>
      <c r="L116" s="2">
        <v>1</v>
      </c>
    </row>
    <row r="117" spans="1:12" ht="15" customHeight="1" x14ac:dyDescent="0.35">
      <c r="A117" s="7" t="s">
        <v>1</v>
      </c>
      <c r="B117" s="7" t="s">
        <v>100</v>
      </c>
      <c r="C117" s="7" t="s">
        <v>622</v>
      </c>
      <c r="D117" s="7" t="s">
        <v>591</v>
      </c>
      <c r="E117" s="9" t="s">
        <v>1872</v>
      </c>
      <c r="F117" s="7" t="s">
        <v>1165</v>
      </c>
      <c r="G117" s="7" t="s">
        <v>1737</v>
      </c>
      <c r="H117" s="7" t="s">
        <v>1678</v>
      </c>
      <c r="I117" s="7" t="s">
        <v>1686</v>
      </c>
      <c r="J117" s="7" t="s">
        <v>1688</v>
      </c>
      <c r="K117" s="7" t="s">
        <v>1721</v>
      </c>
      <c r="L117" s="2">
        <v>1</v>
      </c>
    </row>
    <row r="118" spans="1:12" ht="15" customHeight="1" x14ac:dyDescent="0.35">
      <c r="A118" s="7" t="s">
        <v>1</v>
      </c>
      <c r="B118" s="7" t="s">
        <v>101</v>
      </c>
      <c r="C118" s="7" t="s">
        <v>623</v>
      </c>
      <c r="D118" s="7" t="s">
        <v>904</v>
      </c>
      <c r="E118" s="9" t="s">
        <v>1873</v>
      </c>
      <c r="F118" s="7" t="s">
        <v>1166</v>
      </c>
      <c r="G118" s="7" t="s">
        <v>1742</v>
      </c>
      <c r="H118" s="7" t="s">
        <v>1678</v>
      </c>
      <c r="I118" s="7" t="s">
        <v>1685</v>
      </c>
      <c r="J118" s="7" t="s">
        <v>1688</v>
      </c>
      <c r="K118" s="7" t="s">
        <v>1700</v>
      </c>
      <c r="L118" s="2">
        <v>1</v>
      </c>
    </row>
    <row r="119" spans="1:12" ht="15" customHeight="1" x14ac:dyDescent="0.35">
      <c r="A119" s="7" t="s">
        <v>1</v>
      </c>
      <c r="B119" s="7" t="s">
        <v>102</v>
      </c>
      <c r="C119" s="7" t="s">
        <v>624</v>
      </c>
      <c r="D119" s="7" t="s">
        <v>905</v>
      </c>
      <c r="E119" s="9" t="s">
        <v>1874</v>
      </c>
      <c r="F119" s="7" t="s">
        <v>1167</v>
      </c>
      <c r="G119" s="7" t="s">
        <v>1741</v>
      </c>
      <c r="H119" s="7" t="s">
        <v>1680</v>
      </c>
      <c r="I119" s="7" t="s">
        <v>1685</v>
      </c>
      <c r="J119" s="7" t="s">
        <v>1688</v>
      </c>
      <c r="K119" s="7" t="s">
        <v>1724</v>
      </c>
      <c r="L119" s="2">
        <v>1</v>
      </c>
    </row>
    <row r="120" spans="1:12" ht="15" customHeight="1" x14ac:dyDescent="0.35">
      <c r="A120" s="7" t="s">
        <v>1</v>
      </c>
      <c r="B120" s="7" t="s">
        <v>103</v>
      </c>
      <c r="C120" s="7" t="s">
        <v>596</v>
      </c>
      <c r="D120" s="7" t="s">
        <v>736</v>
      </c>
      <c r="E120" s="9" t="s">
        <v>1875</v>
      </c>
      <c r="F120" s="7" t="s">
        <v>1168</v>
      </c>
      <c r="G120" s="7" t="s">
        <v>1740</v>
      </c>
      <c r="H120" s="7" t="s">
        <v>1678</v>
      </c>
      <c r="I120" s="7" t="s">
        <v>1686</v>
      </c>
      <c r="J120" s="7" t="s">
        <v>1688</v>
      </c>
      <c r="K120" s="7" t="s">
        <v>1692</v>
      </c>
      <c r="L120" s="2">
        <v>1</v>
      </c>
    </row>
    <row r="121" spans="1:12" ht="15" customHeight="1" x14ac:dyDescent="0.35">
      <c r="A121" s="7" t="s">
        <v>1</v>
      </c>
      <c r="B121" s="7" t="s">
        <v>104</v>
      </c>
      <c r="C121" s="7" t="s">
        <v>625</v>
      </c>
      <c r="D121" s="7" t="s">
        <v>626</v>
      </c>
      <c r="E121" s="9" t="s">
        <v>1876</v>
      </c>
      <c r="F121" s="7" t="s">
        <v>1169</v>
      </c>
      <c r="G121" s="7" t="s">
        <v>1740</v>
      </c>
      <c r="H121" s="7" t="s">
        <v>1680</v>
      </c>
      <c r="I121" s="7" t="s">
        <v>1686</v>
      </c>
      <c r="J121" s="7" t="s">
        <v>1688</v>
      </c>
      <c r="K121" s="7" t="s">
        <v>1715</v>
      </c>
      <c r="L121" s="2">
        <v>1</v>
      </c>
    </row>
    <row r="122" spans="1:12" ht="15" customHeight="1" x14ac:dyDescent="0.35">
      <c r="A122" s="7" t="s">
        <v>1</v>
      </c>
      <c r="B122" s="7" t="s">
        <v>105</v>
      </c>
      <c r="C122" s="7" t="s">
        <v>626</v>
      </c>
      <c r="D122" s="7" t="s">
        <v>906</v>
      </c>
      <c r="E122" s="9" t="s">
        <v>1877</v>
      </c>
      <c r="F122" s="7" t="s">
        <v>1170</v>
      </c>
      <c r="G122" s="7" t="s">
        <v>1745</v>
      </c>
      <c r="H122" s="7" t="s">
        <v>1678</v>
      </c>
      <c r="I122" s="7" t="s">
        <v>1686</v>
      </c>
      <c r="J122" s="7" t="s">
        <v>1688</v>
      </c>
      <c r="K122" s="7" t="s">
        <v>1710</v>
      </c>
      <c r="L122" s="2">
        <v>1</v>
      </c>
    </row>
    <row r="123" spans="1:12" ht="15" customHeight="1" x14ac:dyDescent="0.35">
      <c r="A123" s="7" t="s">
        <v>1</v>
      </c>
      <c r="B123" s="7" t="s">
        <v>106</v>
      </c>
      <c r="C123" s="7" t="s">
        <v>606</v>
      </c>
      <c r="D123" s="7" t="s">
        <v>907</v>
      </c>
      <c r="E123" s="9" t="s">
        <v>1878</v>
      </c>
      <c r="F123" s="7" t="s">
        <v>1171</v>
      </c>
      <c r="G123" s="7" t="s">
        <v>1738</v>
      </c>
      <c r="H123" s="7" t="s">
        <v>1679</v>
      </c>
      <c r="I123" s="7" t="s">
        <v>1686</v>
      </c>
      <c r="J123" s="7" t="s">
        <v>1688</v>
      </c>
      <c r="K123" s="7" t="s">
        <v>1725</v>
      </c>
      <c r="L123" s="2">
        <v>1</v>
      </c>
    </row>
    <row r="124" spans="1:12" ht="15" customHeight="1" x14ac:dyDescent="0.35">
      <c r="A124" s="7" t="s">
        <v>1</v>
      </c>
      <c r="B124" s="7" t="s">
        <v>107</v>
      </c>
      <c r="C124" s="7" t="s">
        <v>627</v>
      </c>
      <c r="D124" s="7" t="s">
        <v>591</v>
      </c>
      <c r="E124" s="9" t="s">
        <v>1879</v>
      </c>
      <c r="F124" s="7" t="s">
        <v>1172</v>
      </c>
      <c r="G124" s="7" t="s">
        <v>1743</v>
      </c>
      <c r="H124" s="7" t="s">
        <v>1680</v>
      </c>
      <c r="I124" s="7" t="s">
        <v>1686</v>
      </c>
      <c r="J124" s="7" t="s">
        <v>1688</v>
      </c>
      <c r="K124" s="7" t="s">
        <v>1704</v>
      </c>
      <c r="L124" s="2">
        <v>1</v>
      </c>
    </row>
    <row r="125" spans="1:12" ht="15" customHeight="1" x14ac:dyDescent="0.35">
      <c r="A125" s="7" t="s">
        <v>1</v>
      </c>
      <c r="B125" s="7" t="s">
        <v>108</v>
      </c>
      <c r="C125" s="7" t="s">
        <v>628</v>
      </c>
      <c r="D125" s="7" t="s">
        <v>736</v>
      </c>
      <c r="E125" s="9" t="s">
        <v>1880</v>
      </c>
      <c r="F125" s="7" t="s">
        <v>1173</v>
      </c>
      <c r="G125" s="7" t="s">
        <v>1737</v>
      </c>
      <c r="H125" s="7" t="s">
        <v>1678</v>
      </c>
      <c r="I125" s="7" t="s">
        <v>1686</v>
      </c>
      <c r="J125" s="7" t="s">
        <v>1688</v>
      </c>
      <c r="K125" s="7" t="s">
        <v>1721</v>
      </c>
      <c r="L125" s="2">
        <v>1</v>
      </c>
    </row>
    <row r="126" spans="1:12" ht="15" customHeight="1" x14ac:dyDescent="0.35">
      <c r="A126" s="7" t="s">
        <v>1</v>
      </c>
      <c r="B126" s="7" t="s">
        <v>109</v>
      </c>
      <c r="C126" s="7" t="s">
        <v>629</v>
      </c>
      <c r="D126" s="7" t="s">
        <v>589</v>
      </c>
      <c r="E126" s="9" t="s">
        <v>1881</v>
      </c>
      <c r="F126" s="7" t="s">
        <v>1174</v>
      </c>
      <c r="G126" s="7" t="s">
        <v>1743</v>
      </c>
      <c r="H126" s="7" t="s">
        <v>1680</v>
      </c>
      <c r="I126" s="7" t="s">
        <v>1686</v>
      </c>
      <c r="J126" s="7" t="s">
        <v>1688</v>
      </c>
      <c r="K126" s="7" t="s">
        <v>1704</v>
      </c>
      <c r="L126" s="2">
        <v>1</v>
      </c>
    </row>
    <row r="127" spans="1:12" ht="15" customHeight="1" x14ac:dyDescent="0.35">
      <c r="A127" s="7" t="s">
        <v>1</v>
      </c>
      <c r="B127" s="7" t="s">
        <v>110</v>
      </c>
      <c r="C127" s="7" t="s">
        <v>548</v>
      </c>
      <c r="D127" s="7" t="s">
        <v>908</v>
      </c>
      <c r="E127" s="9" t="s">
        <v>1882</v>
      </c>
      <c r="F127" s="7" t="s">
        <v>1175</v>
      </c>
      <c r="G127" s="7" t="s">
        <v>1742</v>
      </c>
      <c r="H127" s="7" t="s">
        <v>1677</v>
      </c>
      <c r="I127" s="7" t="s">
        <v>1686</v>
      </c>
      <c r="J127" s="7" t="s">
        <v>1688</v>
      </c>
      <c r="K127" s="7" t="s">
        <v>1712</v>
      </c>
      <c r="L127" s="2">
        <v>1</v>
      </c>
    </row>
    <row r="128" spans="1:12" ht="15" customHeight="1" x14ac:dyDescent="0.35">
      <c r="A128" s="7" t="s">
        <v>1</v>
      </c>
      <c r="B128" s="7" t="s">
        <v>111</v>
      </c>
      <c r="C128" s="7" t="s">
        <v>630</v>
      </c>
      <c r="D128" s="7" t="s">
        <v>909</v>
      </c>
      <c r="E128" s="9" t="s">
        <v>1883</v>
      </c>
      <c r="F128" s="7" t="s">
        <v>1176</v>
      </c>
      <c r="G128" s="7" t="s">
        <v>1742</v>
      </c>
      <c r="H128" s="7" t="s">
        <v>1681</v>
      </c>
      <c r="I128" s="7" t="s">
        <v>1685</v>
      </c>
      <c r="J128" s="7" t="s">
        <v>1688</v>
      </c>
      <c r="K128" s="7" t="s">
        <v>1697</v>
      </c>
      <c r="L128" s="2">
        <v>1</v>
      </c>
    </row>
    <row r="129" spans="1:12" ht="15" customHeight="1" x14ac:dyDescent="0.35">
      <c r="A129" s="7" t="s">
        <v>1</v>
      </c>
      <c r="B129" s="7" t="s">
        <v>112</v>
      </c>
      <c r="C129" s="7" t="s">
        <v>631</v>
      </c>
      <c r="D129" s="7" t="s">
        <v>620</v>
      </c>
      <c r="E129" s="9" t="s">
        <v>1884</v>
      </c>
      <c r="F129" s="7" t="s">
        <v>1177</v>
      </c>
      <c r="G129" s="7" t="s">
        <v>1743</v>
      </c>
      <c r="H129" s="7" t="s">
        <v>1680</v>
      </c>
      <c r="I129" s="7" t="s">
        <v>1685</v>
      </c>
      <c r="J129" s="7" t="s">
        <v>1688</v>
      </c>
      <c r="K129" s="7" t="s">
        <v>1704</v>
      </c>
      <c r="L129" s="2">
        <v>1</v>
      </c>
    </row>
    <row r="130" spans="1:12" ht="15" customHeight="1" x14ac:dyDescent="0.35">
      <c r="A130" s="7" t="s">
        <v>1</v>
      </c>
      <c r="B130" s="7" t="s">
        <v>113</v>
      </c>
      <c r="C130" s="7" t="s">
        <v>632</v>
      </c>
      <c r="D130" s="7" t="s">
        <v>910</v>
      </c>
      <c r="E130" s="9" t="s">
        <v>1885</v>
      </c>
      <c r="F130" s="7" t="s">
        <v>1178</v>
      </c>
      <c r="G130" s="7" t="s">
        <v>1737</v>
      </c>
      <c r="H130" s="7" t="s">
        <v>1678</v>
      </c>
      <c r="I130" s="7" t="s">
        <v>1685</v>
      </c>
      <c r="J130" s="7" t="s">
        <v>1688</v>
      </c>
      <c r="K130" s="7" t="s">
        <v>1696</v>
      </c>
      <c r="L130" s="2">
        <v>1</v>
      </c>
    </row>
    <row r="131" spans="1:12" ht="15" customHeight="1" x14ac:dyDescent="0.35">
      <c r="A131" s="7" t="s">
        <v>1</v>
      </c>
      <c r="B131" s="7" t="s">
        <v>114</v>
      </c>
      <c r="C131" s="7" t="s">
        <v>530</v>
      </c>
      <c r="D131" s="7" t="s">
        <v>911</v>
      </c>
      <c r="E131" s="9" t="s">
        <v>1886</v>
      </c>
      <c r="F131" s="7" t="s">
        <v>1179</v>
      </c>
      <c r="G131" s="7" t="s">
        <v>1740</v>
      </c>
      <c r="H131" s="7" t="s">
        <v>1679</v>
      </c>
      <c r="I131" s="7" t="s">
        <v>1685</v>
      </c>
      <c r="J131" s="7" t="s">
        <v>1688</v>
      </c>
      <c r="K131" s="7" t="s">
        <v>1714</v>
      </c>
      <c r="L131" s="2">
        <v>1</v>
      </c>
    </row>
    <row r="132" spans="1:12" ht="15" customHeight="1" x14ac:dyDescent="0.35">
      <c r="A132" s="7" t="s">
        <v>1</v>
      </c>
      <c r="B132" s="7" t="s">
        <v>115</v>
      </c>
      <c r="C132" s="7" t="s">
        <v>633</v>
      </c>
      <c r="D132" s="7" t="s">
        <v>636</v>
      </c>
      <c r="E132" s="9" t="s">
        <v>1887</v>
      </c>
      <c r="F132" s="7" t="s">
        <v>1180</v>
      </c>
      <c r="G132" s="7" t="s">
        <v>1745</v>
      </c>
      <c r="H132" s="7" t="s">
        <v>1680</v>
      </c>
      <c r="I132" s="7" t="s">
        <v>1686</v>
      </c>
      <c r="J132" s="7" t="s">
        <v>1688</v>
      </c>
      <c r="K132" s="7" t="s">
        <v>1718</v>
      </c>
      <c r="L132" s="2">
        <v>1</v>
      </c>
    </row>
    <row r="133" spans="1:12" ht="15" customHeight="1" x14ac:dyDescent="0.35">
      <c r="A133" s="7" t="s">
        <v>1</v>
      </c>
      <c r="B133" s="7" t="s">
        <v>116</v>
      </c>
      <c r="C133" s="7" t="s">
        <v>634</v>
      </c>
      <c r="D133" s="7" t="s">
        <v>912</v>
      </c>
      <c r="E133" s="9" t="s">
        <v>1888</v>
      </c>
      <c r="F133" s="7" t="s">
        <v>1181</v>
      </c>
      <c r="G133" s="7" t="s">
        <v>1737</v>
      </c>
      <c r="H133" s="7" t="s">
        <v>1678</v>
      </c>
      <c r="I133" s="7" t="s">
        <v>1686</v>
      </c>
      <c r="J133" s="7" t="s">
        <v>1688</v>
      </c>
      <c r="K133" s="7" t="s">
        <v>1721</v>
      </c>
      <c r="L133" s="2">
        <v>1</v>
      </c>
    </row>
    <row r="134" spans="1:12" ht="15" customHeight="1" x14ac:dyDescent="0.35">
      <c r="A134" s="7" t="s">
        <v>1</v>
      </c>
      <c r="B134" s="7" t="s">
        <v>117</v>
      </c>
      <c r="C134" s="7" t="s">
        <v>635</v>
      </c>
      <c r="D134" s="7" t="s">
        <v>630</v>
      </c>
      <c r="E134" s="9" t="s">
        <v>1889</v>
      </c>
      <c r="F134" s="7" t="s">
        <v>1182</v>
      </c>
      <c r="G134" s="7" t="s">
        <v>1742</v>
      </c>
      <c r="H134" s="7" t="s">
        <v>1681</v>
      </c>
      <c r="I134" s="7" t="s">
        <v>1686</v>
      </c>
      <c r="J134" s="7" t="s">
        <v>1688</v>
      </c>
      <c r="K134" s="7" t="s">
        <v>1697</v>
      </c>
      <c r="L134" s="2">
        <v>1</v>
      </c>
    </row>
    <row r="135" spans="1:12" ht="15" customHeight="1" x14ac:dyDescent="0.35">
      <c r="A135" s="7" t="s">
        <v>1</v>
      </c>
      <c r="B135" s="7" t="s">
        <v>118</v>
      </c>
      <c r="C135" s="7" t="s">
        <v>582</v>
      </c>
      <c r="D135" s="7" t="s">
        <v>728</v>
      </c>
      <c r="E135" s="9" t="s">
        <v>1890</v>
      </c>
      <c r="F135" s="7" t="s">
        <v>1183</v>
      </c>
      <c r="G135" s="7" t="s">
        <v>1737</v>
      </c>
      <c r="H135" s="7" t="s">
        <v>1678</v>
      </c>
      <c r="I135" s="7" t="s">
        <v>1686</v>
      </c>
      <c r="J135" s="7" t="s">
        <v>1688</v>
      </c>
      <c r="K135" s="7" t="s">
        <v>1721</v>
      </c>
      <c r="L135" s="2">
        <v>1</v>
      </c>
    </row>
    <row r="136" spans="1:12" ht="15" customHeight="1" x14ac:dyDescent="0.35">
      <c r="A136" s="7" t="s">
        <v>1</v>
      </c>
      <c r="B136" s="7" t="s">
        <v>119</v>
      </c>
      <c r="C136" s="7" t="s">
        <v>636</v>
      </c>
      <c r="D136" s="7" t="s">
        <v>629</v>
      </c>
      <c r="E136" s="9" t="s">
        <v>1891</v>
      </c>
      <c r="F136" s="7" t="s">
        <v>1184</v>
      </c>
      <c r="G136" s="7" t="s">
        <v>1739</v>
      </c>
      <c r="H136" s="7" t="s">
        <v>1678</v>
      </c>
      <c r="I136" s="7" t="s">
        <v>1685</v>
      </c>
      <c r="J136" s="7" t="s">
        <v>1688</v>
      </c>
      <c r="K136" s="7" t="s">
        <v>1726</v>
      </c>
      <c r="L136" s="2">
        <v>1</v>
      </c>
    </row>
    <row r="137" spans="1:12" ht="15" customHeight="1" x14ac:dyDescent="0.35">
      <c r="A137" s="7" t="s">
        <v>1</v>
      </c>
      <c r="B137" s="7" t="s">
        <v>120</v>
      </c>
      <c r="C137" s="7" t="s">
        <v>637</v>
      </c>
      <c r="D137" s="7" t="s">
        <v>591</v>
      </c>
      <c r="E137" s="9" t="s">
        <v>1892</v>
      </c>
      <c r="F137" s="7" t="s">
        <v>1185</v>
      </c>
      <c r="G137" s="7" t="s">
        <v>1742</v>
      </c>
      <c r="H137" s="7" t="s">
        <v>1681</v>
      </c>
      <c r="I137" s="7" t="s">
        <v>1686</v>
      </c>
      <c r="J137" s="7" t="s">
        <v>1688</v>
      </c>
      <c r="K137" s="7" t="s">
        <v>1697</v>
      </c>
      <c r="L137" s="2">
        <v>1</v>
      </c>
    </row>
    <row r="138" spans="1:12" ht="15" customHeight="1" x14ac:dyDescent="0.35">
      <c r="A138" s="7" t="s">
        <v>1</v>
      </c>
      <c r="B138" s="7" t="s">
        <v>121</v>
      </c>
      <c r="C138" s="7" t="s">
        <v>638</v>
      </c>
      <c r="D138" s="7" t="s">
        <v>654</v>
      </c>
      <c r="E138" s="9" t="s">
        <v>1893</v>
      </c>
      <c r="F138" s="7" t="s">
        <v>1186</v>
      </c>
      <c r="G138" s="7" t="s">
        <v>1742</v>
      </c>
      <c r="H138" s="7" t="s">
        <v>1677</v>
      </c>
      <c r="I138" s="7" t="s">
        <v>1685</v>
      </c>
      <c r="J138" s="7" t="s">
        <v>1688</v>
      </c>
      <c r="K138" s="7" t="s">
        <v>1703</v>
      </c>
      <c r="L138" s="2">
        <v>1</v>
      </c>
    </row>
    <row r="139" spans="1:12" ht="15" customHeight="1" x14ac:dyDescent="0.35">
      <c r="A139" s="7" t="s">
        <v>1</v>
      </c>
      <c r="B139" s="7" t="s">
        <v>122</v>
      </c>
      <c r="C139" s="7" t="s">
        <v>639</v>
      </c>
      <c r="D139" s="7" t="s">
        <v>539</v>
      </c>
      <c r="E139" s="9" t="s">
        <v>1894</v>
      </c>
      <c r="F139" s="7" t="s">
        <v>1187</v>
      </c>
      <c r="G139" s="7" t="s">
        <v>1744</v>
      </c>
      <c r="H139" s="7" t="s">
        <v>1680</v>
      </c>
      <c r="I139" s="7" t="s">
        <v>1685</v>
      </c>
      <c r="J139" s="7" t="s">
        <v>1688</v>
      </c>
      <c r="K139" s="7" t="s">
        <v>1706</v>
      </c>
      <c r="L139" s="2">
        <v>1</v>
      </c>
    </row>
    <row r="140" spans="1:12" ht="15" customHeight="1" x14ac:dyDescent="0.35">
      <c r="A140" s="7" t="s">
        <v>1</v>
      </c>
      <c r="B140" s="7" t="s">
        <v>123</v>
      </c>
      <c r="C140" s="7" t="s">
        <v>629</v>
      </c>
      <c r="D140" s="7" t="s">
        <v>913</v>
      </c>
      <c r="E140" s="9" t="s">
        <v>1895</v>
      </c>
      <c r="F140" s="7" t="s">
        <v>1188</v>
      </c>
      <c r="G140" s="7" t="s">
        <v>1743</v>
      </c>
      <c r="H140" s="7" t="s">
        <v>1679</v>
      </c>
      <c r="I140" s="7" t="s">
        <v>1685</v>
      </c>
      <c r="J140" s="7" t="s">
        <v>1688</v>
      </c>
      <c r="K140" s="7" t="s">
        <v>1702</v>
      </c>
      <c r="L140" s="2">
        <v>1</v>
      </c>
    </row>
    <row r="141" spans="1:12" ht="15" customHeight="1" x14ac:dyDescent="0.35">
      <c r="A141" s="7" t="s">
        <v>1</v>
      </c>
      <c r="B141" s="7" t="s">
        <v>124</v>
      </c>
      <c r="C141" s="7" t="s">
        <v>640</v>
      </c>
      <c r="D141" s="7" t="s">
        <v>686</v>
      </c>
      <c r="E141" s="9" t="s">
        <v>1896</v>
      </c>
      <c r="F141" s="7" t="s">
        <v>1189</v>
      </c>
      <c r="G141" s="7" t="s">
        <v>1748</v>
      </c>
      <c r="H141" s="7" t="s">
        <v>1680</v>
      </c>
      <c r="I141" s="7" t="s">
        <v>1685</v>
      </c>
      <c r="J141" s="7" t="s">
        <v>1688</v>
      </c>
      <c r="K141" s="7" t="s">
        <v>1727</v>
      </c>
      <c r="L141" s="2">
        <v>1</v>
      </c>
    </row>
    <row r="142" spans="1:12" ht="15" customHeight="1" x14ac:dyDescent="0.35">
      <c r="A142" s="7" t="s">
        <v>1</v>
      </c>
      <c r="B142" s="7" t="s">
        <v>125</v>
      </c>
      <c r="C142" s="7" t="s">
        <v>636</v>
      </c>
      <c r="D142" s="7" t="s">
        <v>914</v>
      </c>
      <c r="E142" s="9" t="s">
        <v>1897</v>
      </c>
      <c r="F142" s="7" t="s">
        <v>1190</v>
      </c>
      <c r="G142" s="7" t="s">
        <v>1740</v>
      </c>
      <c r="H142" s="7" t="s">
        <v>1677</v>
      </c>
      <c r="I142" s="7" t="s">
        <v>1685</v>
      </c>
      <c r="J142" s="7" t="s">
        <v>1688</v>
      </c>
      <c r="K142" s="7" t="s">
        <v>1699</v>
      </c>
      <c r="L142" s="2">
        <v>1</v>
      </c>
    </row>
    <row r="143" spans="1:12" ht="15" customHeight="1" x14ac:dyDescent="0.35">
      <c r="A143" s="7" t="s">
        <v>1</v>
      </c>
      <c r="B143" s="7" t="s">
        <v>126</v>
      </c>
      <c r="C143" s="7" t="s">
        <v>641</v>
      </c>
      <c r="D143" s="7" t="s">
        <v>530</v>
      </c>
      <c r="E143" s="9" t="s">
        <v>1898</v>
      </c>
      <c r="F143" s="7" t="s">
        <v>1191</v>
      </c>
      <c r="G143" s="7" t="s">
        <v>1744</v>
      </c>
      <c r="H143" s="7" t="s">
        <v>1677</v>
      </c>
      <c r="I143" s="7" t="s">
        <v>1686</v>
      </c>
      <c r="J143" s="7" t="s">
        <v>1688</v>
      </c>
      <c r="K143" s="7" t="s">
        <v>1713</v>
      </c>
      <c r="L143" s="2">
        <v>1</v>
      </c>
    </row>
    <row r="144" spans="1:12" ht="15" customHeight="1" x14ac:dyDescent="0.35">
      <c r="A144" s="7" t="s">
        <v>1</v>
      </c>
      <c r="B144" s="7" t="s">
        <v>127</v>
      </c>
      <c r="C144" s="7" t="s">
        <v>642</v>
      </c>
      <c r="D144" s="7" t="s">
        <v>543</v>
      </c>
      <c r="E144" s="9" t="s">
        <v>1899</v>
      </c>
      <c r="F144" s="7" t="s">
        <v>1192</v>
      </c>
      <c r="G144" s="7" t="s">
        <v>1745</v>
      </c>
      <c r="H144" s="7" t="s">
        <v>1679</v>
      </c>
      <c r="I144" s="7" t="s">
        <v>1686</v>
      </c>
      <c r="J144" s="7" t="s">
        <v>1688</v>
      </c>
      <c r="K144" s="7" t="s">
        <v>1717</v>
      </c>
      <c r="L144" s="2">
        <v>1</v>
      </c>
    </row>
    <row r="145" spans="1:12" ht="15" customHeight="1" x14ac:dyDescent="0.35">
      <c r="A145" s="7" t="s">
        <v>1</v>
      </c>
      <c r="B145" s="7" t="s">
        <v>128</v>
      </c>
      <c r="C145" s="7" t="s">
        <v>627</v>
      </c>
      <c r="D145" s="7" t="s">
        <v>538</v>
      </c>
      <c r="E145" s="9" t="s">
        <v>1900</v>
      </c>
      <c r="F145" s="7" t="s">
        <v>1193</v>
      </c>
      <c r="G145" s="7" t="s">
        <v>1745</v>
      </c>
      <c r="H145" s="7" t="s">
        <v>1680</v>
      </c>
      <c r="I145" s="7" t="s">
        <v>1686</v>
      </c>
      <c r="J145" s="7" t="s">
        <v>1688</v>
      </c>
      <c r="K145" s="7" t="s">
        <v>1718</v>
      </c>
      <c r="L145" s="2">
        <v>1</v>
      </c>
    </row>
    <row r="146" spans="1:12" ht="15" customHeight="1" x14ac:dyDescent="0.35">
      <c r="A146" s="7" t="s">
        <v>1</v>
      </c>
      <c r="B146" s="7" t="s">
        <v>129</v>
      </c>
      <c r="C146" s="7" t="s">
        <v>643</v>
      </c>
      <c r="D146" s="7" t="s">
        <v>915</v>
      </c>
      <c r="E146" s="9" t="s">
        <v>1901</v>
      </c>
      <c r="F146" s="7" t="s">
        <v>1194</v>
      </c>
      <c r="G146" s="7" t="s">
        <v>1742</v>
      </c>
      <c r="H146" s="7" t="s">
        <v>1677</v>
      </c>
      <c r="I146" s="7" t="s">
        <v>1686</v>
      </c>
      <c r="J146" s="7" t="s">
        <v>1688</v>
      </c>
      <c r="K146" s="7" t="s">
        <v>1712</v>
      </c>
      <c r="L146" s="2">
        <v>1</v>
      </c>
    </row>
    <row r="147" spans="1:12" ht="15" customHeight="1" x14ac:dyDescent="0.35">
      <c r="A147" s="7" t="s">
        <v>1</v>
      </c>
      <c r="B147" s="7" t="s">
        <v>130</v>
      </c>
      <c r="C147" s="7" t="s">
        <v>350</v>
      </c>
      <c r="D147" s="7" t="s">
        <v>597</v>
      </c>
      <c r="E147" s="9" t="s">
        <v>1902</v>
      </c>
      <c r="F147" s="7" t="s">
        <v>1195</v>
      </c>
      <c r="G147" s="7" t="s">
        <v>1749</v>
      </c>
      <c r="H147" s="7" t="s">
        <v>1679</v>
      </c>
      <c r="I147" s="7" t="s">
        <v>1685</v>
      </c>
      <c r="J147" s="7" t="s">
        <v>1688</v>
      </c>
      <c r="K147" s="7" t="s">
        <v>1728</v>
      </c>
      <c r="L147" s="2">
        <v>1</v>
      </c>
    </row>
    <row r="148" spans="1:12" ht="15" customHeight="1" x14ac:dyDescent="0.35">
      <c r="A148" s="7" t="s">
        <v>1</v>
      </c>
      <c r="B148" s="7" t="s">
        <v>131</v>
      </c>
      <c r="C148" s="7" t="s">
        <v>567</v>
      </c>
      <c r="D148" s="7" t="s">
        <v>570</v>
      </c>
      <c r="E148" s="9" t="s">
        <v>1903</v>
      </c>
      <c r="F148" s="7" t="s">
        <v>1196</v>
      </c>
      <c r="G148" s="7" t="s">
        <v>1737</v>
      </c>
      <c r="H148" s="7" t="s">
        <v>1677</v>
      </c>
      <c r="I148" s="7" t="s">
        <v>1685</v>
      </c>
      <c r="J148" s="7" t="s">
        <v>1688</v>
      </c>
      <c r="K148" s="7" t="s">
        <v>1698</v>
      </c>
      <c r="L148" s="2">
        <v>1</v>
      </c>
    </row>
    <row r="149" spans="1:12" ht="15" customHeight="1" x14ac:dyDescent="0.35">
      <c r="A149" s="7" t="s">
        <v>1</v>
      </c>
      <c r="B149" s="7" t="s">
        <v>132</v>
      </c>
      <c r="C149" s="7" t="s">
        <v>636</v>
      </c>
      <c r="D149" s="7" t="s">
        <v>604</v>
      </c>
      <c r="E149" s="9" t="s">
        <v>1904</v>
      </c>
      <c r="F149" s="7" t="s">
        <v>1197</v>
      </c>
      <c r="G149" s="7" t="s">
        <v>1743</v>
      </c>
      <c r="H149" s="7" t="s">
        <v>1677</v>
      </c>
      <c r="I149" s="7" t="s">
        <v>1686</v>
      </c>
      <c r="J149" s="7" t="s">
        <v>1688</v>
      </c>
      <c r="K149" s="7" t="s">
        <v>1720</v>
      </c>
      <c r="L149" s="2">
        <v>1</v>
      </c>
    </row>
    <row r="150" spans="1:12" ht="15" customHeight="1" x14ac:dyDescent="0.35">
      <c r="A150" s="7" t="s">
        <v>1</v>
      </c>
      <c r="B150" s="7" t="s">
        <v>133</v>
      </c>
      <c r="C150" s="7" t="s">
        <v>627</v>
      </c>
      <c r="D150" s="7" t="s">
        <v>916</v>
      </c>
      <c r="E150" s="9" t="s">
        <v>1905</v>
      </c>
      <c r="F150" s="7" t="s">
        <v>1198</v>
      </c>
      <c r="G150" s="7" t="s">
        <v>1744</v>
      </c>
      <c r="H150" s="7" t="s">
        <v>1678</v>
      </c>
      <c r="I150" s="7" t="s">
        <v>1686</v>
      </c>
      <c r="J150" s="7" t="s">
        <v>1688</v>
      </c>
      <c r="K150" s="7" t="s">
        <v>1711</v>
      </c>
      <c r="L150" s="2">
        <v>1</v>
      </c>
    </row>
    <row r="151" spans="1:12" ht="15" customHeight="1" x14ac:dyDescent="0.35">
      <c r="A151" s="7" t="s">
        <v>1</v>
      </c>
      <c r="B151" s="7" t="s">
        <v>134</v>
      </c>
      <c r="C151" s="7" t="s">
        <v>644</v>
      </c>
      <c r="D151" s="7" t="s">
        <v>917</v>
      </c>
      <c r="E151" s="9" t="s">
        <v>1906</v>
      </c>
      <c r="F151" s="7" t="s">
        <v>1199</v>
      </c>
      <c r="G151" s="7" t="s">
        <v>1744</v>
      </c>
      <c r="H151" s="7" t="s">
        <v>1677</v>
      </c>
      <c r="I151" s="7" t="s">
        <v>1685</v>
      </c>
      <c r="J151" s="7" t="s">
        <v>1688</v>
      </c>
      <c r="K151" s="7" t="s">
        <v>1713</v>
      </c>
      <c r="L151" s="2">
        <v>1</v>
      </c>
    </row>
    <row r="152" spans="1:12" ht="15" customHeight="1" x14ac:dyDescent="0.35">
      <c r="A152" s="7" t="s">
        <v>1</v>
      </c>
      <c r="B152" s="7" t="s">
        <v>135</v>
      </c>
      <c r="C152" s="7" t="s">
        <v>645</v>
      </c>
      <c r="D152" s="7" t="s">
        <v>600</v>
      </c>
      <c r="E152" s="9" t="s">
        <v>1907</v>
      </c>
      <c r="F152" s="7" t="s">
        <v>1200</v>
      </c>
      <c r="G152" s="7" t="s">
        <v>1748</v>
      </c>
      <c r="H152" s="7" t="s">
        <v>1679</v>
      </c>
      <c r="I152" s="7" t="s">
        <v>1685</v>
      </c>
      <c r="J152" s="7" t="s">
        <v>1688</v>
      </c>
      <c r="K152" s="7" t="s">
        <v>1729</v>
      </c>
      <c r="L152" s="2">
        <v>1</v>
      </c>
    </row>
    <row r="153" spans="1:12" ht="15" customHeight="1" x14ac:dyDescent="0.35">
      <c r="A153" s="7" t="s">
        <v>1</v>
      </c>
      <c r="B153" s="7" t="s">
        <v>136</v>
      </c>
      <c r="C153" s="7" t="s">
        <v>646</v>
      </c>
      <c r="D153" s="7" t="s">
        <v>918</v>
      </c>
      <c r="E153" s="9" t="s">
        <v>1908</v>
      </c>
      <c r="F153" s="7" t="s">
        <v>1201</v>
      </c>
      <c r="G153" s="7" t="s">
        <v>1745</v>
      </c>
      <c r="H153" s="7" t="s">
        <v>1680</v>
      </c>
      <c r="I153" s="7" t="s">
        <v>1685</v>
      </c>
      <c r="J153" s="7" t="s">
        <v>1688</v>
      </c>
      <c r="K153" s="7" t="s">
        <v>1718</v>
      </c>
      <c r="L153" s="2">
        <v>1</v>
      </c>
    </row>
    <row r="154" spans="1:12" ht="15" customHeight="1" x14ac:dyDescent="0.35">
      <c r="A154" s="7" t="s">
        <v>1</v>
      </c>
      <c r="B154" s="7" t="s">
        <v>137</v>
      </c>
      <c r="C154" s="7" t="s">
        <v>627</v>
      </c>
      <c r="D154" s="7" t="s">
        <v>919</v>
      </c>
      <c r="E154" s="9" t="s">
        <v>1909</v>
      </c>
      <c r="F154" s="7" t="s">
        <v>1202</v>
      </c>
      <c r="G154" s="7" t="s">
        <v>1739</v>
      </c>
      <c r="H154" s="7" t="s">
        <v>1679</v>
      </c>
      <c r="I154" s="7" t="s">
        <v>1686</v>
      </c>
      <c r="J154" s="7" t="s">
        <v>1688</v>
      </c>
      <c r="K154" s="7" t="s">
        <v>1708</v>
      </c>
      <c r="L154" s="2">
        <v>1</v>
      </c>
    </row>
    <row r="155" spans="1:12" ht="15" customHeight="1" x14ac:dyDescent="0.35">
      <c r="A155" s="7" t="s">
        <v>1</v>
      </c>
      <c r="B155" s="7" t="s">
        <v>137</v>
      </c>
      <c r="C155" s="7" t="s">
        <v>647</v>
      </c>
      <c r="D155" s="7" t="s">
        <v>786</v>
      </c>
      <c r="E155" s="9" t="s">
        <v>1910</v>
      </c>
      <c r="F155" s="7" t="s">
        <v>1203</v>
      </c>
      <c r="G155" s="7" t="s">
        <v>1742</v>
      </c>
      <c r="H155" s="7" t="s">
        <v>1678</v>
      </c>
      <c r="I155" s="7" t="s">
        <v>1686</v>
      </c>
      <c r="J155" s="7" t="s">
        <v>1688</v>
      </c>
      <c r="K155" s="7" t="s">
        <v>1701</v>
      </c>
      <c r="L155" s="2">
        <v>1</v>
      </c>
    </row>
    <row r="156" spans="1:12" ht="15" customHeight="1" x14ac:dyDescent="0.35">
      <c r="A156" s="7" t="s">
        <v>1</v>
      </c>
      <c r="B156" s="7" t="s">
        <v>138</v>
      </c>
      <c r="C156" s="7" t="s">
        <v>648</v>
      </c>
      <c r="D156" s="7" t="s">
        <v>629</v>
      </c>
      <c r="E156" s="9" t="s">
        <v>1911</v>
      </c>
      <c r="F156" s="7" t="s">
        <v>1204</v>
      </c>
      <c r="G156" s="7" t="s">
        <v>1744</v>
      </c>
      <c r="H156" s="7" t="s">
        <v>1680</v>
      </c>
      <c r="I156" s="7" t="s">
        <v>1686</v>
      </c>
      <c r="J156" s="7" t="s">
        <v>1688</v>
      </c>
      <c r="K156" s="7" t="s">
        <v>1706</v>
      </c>
      <c r="L156" s="2">
        <v>1</v>
      </c>
    </row>
    <row r="157" spans="1:12" ht="15" customHeight="1" x14ac:dyDescent="0.35">
      <c r="A157" s="7" t="s">
        <v>1</v>
      </c>
      <c r="B157" s="7" t="s">
        <v>139</v>
      </c>
      <c r="C157" s="7" t="s">
        <v>649</v>
      </c>
      <c r="D157" s="7" t="s">
        <v>727</v>
      </c>
      <c r="E157" s="9" t="s">
        <v>1912</v>
      </c>
      <c r="F157" s="7" t="s">
        <v>1205</v>
      </c>
      <c r="G157" s="7" t="s">
        <v>1744</v>
      </c>
      <c r="H157" s="7" t="s">
        <v>1680</v>
      </c>
      <c r="I157" s="7" t="s">
        <v>1686</v>
      </c>
      <c r="J157" s="7" t="s">
        <v>1688</v>
      </c>
      <c r="K157" s="7" t="s">
        <v>1706</v>
      </c>
      <c r="L157" s="2">
        <v>1</v>
      </c>
    </row>
    <row r="158" spans="1:12" ht="15" customHeight="1" x14ac:dyDescent="0.35">
      <c r="A158" s="7" t="s">
        <v>1</v>
      </c>
      <c r="B158" s="7" t="s">
        <v>140</v>
      </c>
      <c r="C158" s="7" t="s">
        <v>650</v>
      </c>
      <c r="D158" s="7" t="s">
        <v>589</v>
      </c>
      <c r="E158" s="9" t="s">
        <v>1913</v>
      </c>
      <c r="F158" s="7" t="s">
        <v>1206</v>
      </c>
      <c r="G158" s="7" t="s">
        <v>1745</v>
      </c>
      <c r="H158" s="7" t="s">
        <v>1678</v>
      </c>
      <c r="I158" s="7" t="s">
        <v>1686</v>
      </c>
      <c r="J158" s="7" t="s">
        <v>1688</v>
      </c>
      <c r="K158" s="7" t="s">
        <v>1710</v>
      </c>
      <c r="L158" s="2">
        <v>1</v>
      </c>
    </row>
    <row r="159" spans="1:12" ht="15" customHeight="1" x14ac:dyDescent="0.35">
      <c r="A159" s="7" t="s">
        <v>1</v>
      </c>
      <c r="B159" s="7" t="s">
        <v>141</v>
      </c>
      <c r="C159" s="7" t="s">
        <v>651</v>
      </c>
      <c r="D159" s="7" t="s">
        <v>560</v>
      </c>
      <c r="E159" s="9" t="s">
        <v>1914</v>
      </c>
      <c r="F159" s="7" t="s">
        <v>1207</v>
      </c>
      <c r="G159" s="7" t="s">
        <v>1750</v>
      </c>
      <c r="H159" s="7" t="s">
        <v>1680</v>
      </c>
      <c r="I159" s="7" t="s">
        <v>1686</v>
      </c>
      <c r="J159" s="7" t="s">
        <v>1688</v>
      </c>
      <c r="K159" s="7" t="s">
        <v>1730</v>
      </c>
      <c r="L159" s="2">
        <v>1</v>
      </c>
    </row>
    <row r="160" spans="1:12" ht="15" customHeight="1" x14ac:dyDescent="0.35">
      <c r="A160" s="7" t="s">
        <v>1</v>
      </c>
      <c r="B160" s="7" t="s">
        <v>142</v>
      </c>
      <c r="C160" s="7" t="s">
        <v>544</v>
      </c>
      <c r="D160" s="7" t="s">
        <v>920</v>
      </c>
      <c r="E160" s="9" t="s">
        <v>1915</v>
      </c>
      <c r="F160" s="7" t="s">
        <v>1208</v>
      </c>
      <c r="G160" s="7" t="s">
        <v>1748</v>
      </c>
      <c r="H160" s="7" t="s">
        <v>1679</v>
      </c>
      <c r="I160" s="7" t="s">
        <v>1685</v>
      </c>
      <c r="J160" s="7" t="s">
        <v>1688</v>
      </c>
      <c r="K160" s="7" t="s">
        <v>1729</v>
      </c>
      <c r="L160" s="2">
        <v>1</v>
      </c>
    </row>
    <row r="161" spans="1:12" ht="15" customHeight="1" x14ac:dyDescent="0.35">
      <c r="A161" s="7" t="s">
        <v>1</v>
      </c>
      <c r="B161" s="7" t="s">
        <v>142</v>
      </c>
      <c r="C161" s="7" t="s">
        <v>652</v>
      </c>
      <c r="D161" s="7" t="s">
        <v>621</v>
      </c>
      <c r="E161" s="9" t="s">
        <v>1916</v>
      </c>
      <c r="F161" s="7" t="s">
        <v>1209</v>
      </c>
      <c r="G161" s="7" t="s">
        <v>1749</v>
      </c>
      <c r="H161" s="7" t="s">
        <v>1679</v>
      </c>
      <c r="I161" s="7" t="s">
        <v>1685</v>
      </c>
      <c r="J161" s="7" t="s">
        <v>1688</v>
      </c>
      <c r="K161" s="7" t="s">
        <v>1728</v>
      </c>
      <c r="L161" s="2">
        <v>1</v>
      </c>
    </row>
    <row r="162" spans="1:12" ht="15" customHeight="1" x14ac:dyDescent="0.35">
      <c r="A162" s="7" t="s">
        <v>1</v>
      </c>
      <c r="B162" s="7" t="s">
        <v>142</v>
      </c>
      <c r="C162" s="7" t="s">
        <v>653</v>
      </c>
      <c r="D162" s="7" t="s">
        <v>589</v>
      </c>
      <c r="E162" s="9" t="s">
        <v>1917</v>
      </c>
      <c r="F162" s="7" t="s">
        <v>1210</v>
      </c>
      <c r="G162" s="7" t="s">
        <v>1744</v>
      </c>
      <c r="H162" s="7" t="s">
        <v>1677</v>
      </c>
      <c r="I162" s="7" t="s">
        <v>1685</v>
      </c>
      <c r="J162" s="7" t="s">
        <v>1688</v>
      </c>
      <c r="K162" s="7" t="s">
        <v>1713</v>
      </c>
      <c r="L162" s="2">
        <v>1</v>
      </c>
    </row>
    <row r="163" spans="1:12" ht="15" customHeight="1" x14ac:dyDescent="0.35">
      <c r="A163" s="7" t="s">
        <v>1</v>
      </c>
      <c r="B163" s="7" t="s">
        <v>142</v>
      </c>
      <c r="C163" s="7" t="s">
        <v>654</v>
      </c>
      <c r="D163" s="7" t="s">
        <v>621</v>
      </c>
      <c r="E163" s="9" t="s">
        <v>1918</v>
      </c>
      <c r="F163" s="7" t="s">
        <v>1211</v>
      </c>
      <c r="G163" s="7" t="s">
        <v>1739</v>
      </c>
      <c r="H163" s="7" t="s">
        <v>1678</v>
      </c>
      <c r="I163" s="7" t="s">
        <v>1685</v>
      </c>
      <c r="J163" s="7" t="s">
        <v>1688</v>
      </c>
      <c r="K163" s="7" t="s">
        <v>1726</v>
      </c>
      <c r="L163" s="2">
        <v>1</v>
      </c>
    </row>
    <row r="164" spans="1:12" ht="15" customHeight="1" x14ac:dyDescent="0.35">
      <c r="A164" s="7" t="s">
        <v>1</v>
      </c>
      <c r="B164" s="7" t="s">
        <v>143</v>
      </c>
      <c r="C164" s="7" t="s">
        <v>600</v>
      </c>
      <c r="D164" s="7" t="s">
        <v>889</v>
      </c>
      <c r="E164" s="9" t="s">
        <v>1919</v>
      </c>
      <c r="F164" s="7" t="s">
        <v>1212</v>
      </c>
      <c r="G164" s="7" t="s">
        <v>1743</v>
      </c>
      <c r="H164" s="7" t="s">
        <v>1680</v>
      </c>
      <c r="I164" s="7" t="s">
        <v>1685</v>
      </c>
      <c r="J164" s="7" t="s">
        <v>1688</v>
      </c>
      <c r="K164" s="7" t="s">
        <v>1704</v>
      </c>
      <c r="L164" s="2">
        <v>1</v>
      </c>
    </row>
    <row r="165" spans="1:12" ht="15" customHeight="1" x14ac:dyDescent="0.35">
      <c r="A165" s="7" t="s">
        <v>1</v>
      </c>
      <c r="B165" s="7" t="s">
        <v>144</v>
      </c>
      <c r="C165" s="7" t="s">
        <v>540</v>
      </c>
      <c r="D165" s="7" t="s">
        <v>593</v>
      </c>
      <c r="E165" s="9" t="s">
        <v>1920</v>
      </c>
      <c r="F165" s="7" t="s">
        <v>1213</v>
      </c>
      <c r="G165" s="7" t="s">
        <v>1748</v>
      </c>
      <c r="H165" s="7" t="s">
        <v>1680</v>
      </c>
      <c r="I165" s="7" t="s">
        <v>1685</v>
      </c>
      <c r="J165" s="7" t="s">
        <v>1688</v>
      </c>
      <c r="K165" s="7" t="s">
        <v>1727</v>
      </c>
      <c r="L165" s="2">
        <v>1</v>
      </c>
    </row>
    <row r="166" spans="1:12" ht="15" customHeight="1" x14ac:dyDescent="0.35">
      <c r="A166" s="7" t="s">
        <v>1</v>
      </c>
      <c r="B166" s="7" t="s">
        <v>145</v>
      </c>
      <c r="C166" s="7" t="s">
        <v>655</v>
      </c>
      <c r="D166" s="7" t="s">
        <v>921</v>
      </c>
      <c r="E166" s="9" t="s">
        <v>1921</v>
      </c>
      <c r="F166" s="7" t="s">
        <v>1214</v>
      </c>
      <c r="G166" s="7" t="s">
        <v>1740</v>
      </c>
      <c r="H166" s="7" t="s">
        <v>1680</v>
      </c>
      <c r="I166" s="7" t="s">
        <v>1685</v>
      </c>
      <c r="J166" s="7" t="s">
        <v>1688</v>
      </c>
      <c r="K166" s="7" t="s">
        <v>1715</v>
      </c>
      <c r="L166" s="2">
        <v>1</v>
      </c>
    </row>
    <row r="167" spans="1:12" ht="15" customHeight="1" x14ac:dyDescent="0.35">
      <c r="A167" s="7" t="s">
        <v>1</v>
      </c>
      <c r="B167" s="7" t="s">
        <v>146</v>
      </c>
      <c r="C167" s="7" t="s">
        <v>656</v>
      </c>
      <c r="D167" s="7" t="s">
        <v>531</v>
      </c>
      <c r="E167" s="9" t="s">
        <v>1922</v>
      </c>
      <c r="F167" s="7" t="s">
        <v>1215</v>
      </c>
      <c r="G167" s="7" t="s">
        <v>1740</v>
      </c>
      <c r="H167" s="7" t="s">
        <v>1680</v>
      </c>
      <c r="I167" s="7" t="s">
        <v>1685</v>
      </c>
      <c r="J167" s="7" t="s">
        <v>1688</v>
      </c>
      <c r="K167" s="7" t="s">
        <v>1715</v>
      </c>
      <c r="L167" s="2">
        <v>1</v>
      </c>
    </row>
    <row r="168" spans="1:12" ht="15" customHeight="1" x14ac:dyDescent="0.35">
      <c r="A168" s="7" t="s">
        <v>1</v>
      </c>
      <c r="B168" s="7" t="s">
        <v>147</v>
      </c>
      <c r="C168" s="7" t="s">
        <v>657</v>
      </c>
      <c r="D168" s="7" t="s">
        <v>621</v>
      </c>
      <c r="E168" s="9" t="s">
        <v>1923</v>
      </c>
      <c r="F168" s="7" t="s">
        <v>1216</v>
      </c>
      <c r="G168" s="7" t="s">
        <v>1739</v>
      </c>
      <c r="H168" s="7" t="s">
        <v>1680</v>
      </c>
      <c r="I168" s="7" t="s">
        <v>1686</v>
      </c>
      <c r="J168" s="7" t="s">
        <v>1688</v>
      </c>
      <c r="K168" s="7" t="s">
        <v>1716</v>
      </c>
      <c r="L168" s="2">
        <v>1</v>
      </c>
    </row>
    <row r="169" spans="1:12" ht="15" customHeight="1" x14ac:dyDescent="0.35">
      <c r="A169" s="7" t="s">
        <v>1</v>
      </c>
      <c r="B169" s="7" t="s">
        <v>148</v>
      </c>
      <c r="C169" s="7" t="s">
        <v>658</v>
      </c>
      <c r="D169" s="7" t="s">
        <v>922</v>
      </c>
      <c r="E169" s="9" t="s">
        <v>1924</v>
      </c>
      <c r="F169" s="7" t="s">
        <v>1217</v>
      </c>
      <c r="G169" s="7" t="s">
        <v>1742</v>
      </c>
      <c r="H169" s="7" t="s">
        <v>1678</v>
      </c>
      <c r="I169" s="7" t="s">
        <v>1685</v>
      </c>
      <c r="J169" s="7" t="s">
        <v>1688</v>
      </c>
      <c r="K169" s="7" t="s">
        <v>1700</v>
      </c>
      <c r="L169" s="2">
        <v>1</v>
      </c>
    </row>
    <row r="170" spans="1:12" ht="15" customHeight="1" x14ac:dyDescent="0.35">
      <c r="A170" s="7" t="s">
        <v>1</v>
      </c>
      <c r="B170" s="7" t="s">
        <v>149</v>
      </c>
      <c r="C170" s="7" t="s">
        <v>659</v>
      </c>
      <c r="D170" s="8"/>
      <c r="E170" s="9" t="s">
        <v>1925</v>
      </c>
      <c r="F170" s="7" t="s">
        <v>1218</v>
      </c>
      <c r="G170" s="7" t="s">
        <v>1737</v>
      </c>
      <c r="H170" s="7" t="s">
        <v>1679</v>
      </c>
      <c r="I170" s="7" t="s">
        <v>1686</v>
      </c>
      <c r="J170" s="7" t="s">
        <v>1688</v>
      </c>
      <c r="K170" s="7" t="s">
        <v>1707</v>
      </c>
      <c r="L170" s="2">
        <v>1</v>
      </c>
    </row>
    <row r="171" spans="1:12" ht="15" customHeight="1" x14ac:dyDescent="0.35">
      <c r="A171" s="7" t="s">
        <v>1</v>
      </c>
      <c r="B171" s="7" t="s">
        <v>150</v>
      </c>
      <c r="C171" s="7" t="s">
        <v>660</v>
      </c>
      <c r="D171" s="7" t="s">
        <v>923</v>
      </c>
      <c r="E171" s="9" t="s">
        <v>1926</v>
      </c>
      <c r="F171" s="7" t="s">
        <v>1219</v>
      </c>
      <c r="G171" s="7" t="s">
        <v>1739</v>
      </c>
      <c r="H171" s="7" t="s">
        <v>1680</v>
      </c>
      <c r="I171" s="7" t="s">
        <v>1686</v>
      </c>
      <c r="J171" s="7" t="s">
        <v>1688</v>
      </c>
      <c r="K171" s="7" t="s">
        <v>1716</v>
      </c>
      <c r="L171" s="2">
        <v>1</v>
      </c>
    </row>
    <row r="172" spans="1:12" ht="15" customHeight="1" x14ac:dyDescent="0.35">
      <c r="A172" s="7" t="s">
        <v>1</v>
      </c>
      <c r="B172" s="7" t="s">
        <v>151</v>
      </c>
      <c r="C172" s="7" t="s">
        <v>661</v>
      </c>
      <c r="D172" s="7" t="s">
        <v>755</v>
      </c>
      <c r="E172" s="9" t="s">
        <v>1927</v>
      </c>
      <c r="F172" s="7" t="s">
        <v>1220</v>
      </c>
      <c r="G172" s="7" t="s">
        <v>1741</v>
      </c>
      <c r="H172" s="7" t="s">
        <v>1680</v>
      </c>
      <c r="I172" s="7" t="s">
        <v>1686</v>
      </c>
      <c r="J172" s="7" t="s">
        <v>1688</v>
      </c>
      <c r="K172" s="7" t="s">
        <v>1724</v>
      </c>
      <c r="L172" s="2">
        <v>1</v>
      </c>
    </row>
    <row r="173" spans="1:12" ht="15" customHeight="1" x14ac:dyDescent="0.35">
      <c r="A173" s="7" t="s">
        <v>1</v>
      </c>
      <c r="B173" s="7" t="s">
        <v>151</v>
      </c>
      <c r="C173" s="7" t="s">
        <v>662</v>
      </c>
      <c r="D173" s="7" t="s">
        <v>600</v>
      </c>
      <c r="E173" s="9" t="s">
        <v>1928</v>
      </c>
      <c r="F173" s="7" t="s">
        <v>1221</v>
      </c>
      <c r="G173" s="7" t="s">
        <v>1742</v>
      </c>
      <c r="H173" s="7" t="s">
        <v>1680</v>
      </c>
      <c r="I173" s="7" t="s">
        <v>1686</v>
      </c>
      <c r="J173" s="7" t="s">
        <v>1688</v>
      </c>
      <c r="K173" s="7" t="s">
        <v>1695</v>
      </c>
      <c r="L173" s="2">
        <v>1</v>
      </c>
    </row>
    <row r="174" spans="1:12" ht="15" customHeight="1" x14ac:dyDescent="0.35">
      <c r="A174" s="7" t="s">
        <v>1</v>
      </c>
      <c r="B174" s="7" t="s">
        <v>152</v>
      </c>
      <c r="C174" s="7" t="s">
        <v>549</v>
      </c>
      <c r="D174" s="7" t="s">
        <v>570</v>
      </c>
      <c r="E174" s="9" t="s">
        <v>1929</v>
      </c>
      <c r="F174" s="7" t="s">
        <v>1222</v>
      </c>
      <c r="G174" s="7" t="s">
        <v>1742</v>
      </c>
      <c r="H174" s="7" t="s">
        <v>1680</v>
      </c>
      <c r="I174" s="7" t="s">
        <v>1686</v>
      </c>
      <c r="J174" s="7" t="s">
        <v>1688</v>
      </c>
      <c r="K174" s="7" t="s">
        <v>1695</v>
      </c>
      <c r="L174" s="2">
        <v>1</v>
      </c>
    </row>
    <row r="175" spans="1:12" ht="15" customHeight="1" x14ac:dyDescent="0.35">
      <c r="A175" s="7" t="s">
        <v>1</v>
      </c>
      <c r="B175" s="7" t="s">
        <v>153</v>
      </c>
      <c r="C175" s="7" t="s">
        <v>663</v>
      </c>
      <c r="D175" s="7" t="s">
        <v>924</v>
      </c>
      <c r="E175" s="9" t="s">
        <v>1930</v>
      </c>
      <c r="F175" s="7" t="s">
        <v>1223</v>
      </c>
      <c r="G175" s="7" t="s">
        <v>1745</v>
      </c>
      <c r="H175" s="7" t="s">
        <v>1680</v>
      </c>
      <c r="I175" s="7" t="s">
        <v>1686</v>
      </c>
      <c r="J175" s="7" t="s">
        <v>1688</v>
      </c>
      <c r="K175" s="7" t="s">
        <v>1718</v>
      </c>
      <c r="L175" s="2">
        <v>1</v>
      </c>
    </row>
    <row r="176" spans="1:12" ht="15" customHeight="1" x14ac:dyDescent="0.35">
      <c r="A176" s="7" t="s">
        <v>1</v>
      </c>
      <c r="B176" s="7" t="s">
        <v>154</v>
      </c>
      <c r="C176" s="7" t="s">
        <v>664</v>
      </c>
      <c r="D176" s="7" t="s">
        <v>925</v>
      </c>
      <c r="E176" s="9" t="s">
        <v>1931</v>
      </c>
      <c r="F176" s="7" t="s">
        <v>1224</v>
      </c>
      <c r="G176" s="7" t="s">
        <v>1743</v>
      </c>
      <c r="H176" s="7" t="s">
        <v>1678</v>
      </c>
      <c r="I176" s="7" t="s">
        <v>1686</v>
      </c>
      <c r="J176" s="7" t="s">
        <v>1688</v>
      </c>
      <c r="K176" s="7" t="s">
        <v>1731</v>
      </c>
      <c r="L176" s="2">
        <v>1</v>
      </c>
    </row>
    <row r="177" spans="1:12" ht="15" customHeight="1" x14ac:dyDescent="0.35">
      <c r="A177" s="7" t="s">
        <v>1</v>
      </c>
      <c r="B177" s="7" t="s">
        <v>155</v>
      </c>
      <c r="C177" s="7" t="s">
        <v>665</v>
      </c>
      <c r="D177" s="7" t="s">
        <v>544</v>
      </c>
      <c r="E177" s="9" t="s">
        <v>1932</v>
      </c>
      <c r="F177" s="7" t="s">
        <v>1225</v>
      </c>
      <c r="G177" s="7" t="s">
        <v>1744</v>
      </c>
      <c r="H177" s="7" t="s">
        <v>1677</v>
      </c>
      <c r="I177" s="7" t="s">
        <v>1685</v>
      </c>
      <c r="J177" s="7" t="s">
        <v>1688</v>
      </c>
      <c r="K177" s="7" t="s">
        <v>1713</v>
      </c>
      <c r="L177" s="2">
        <v>1</v>
      </c>
    </row>
    <row r="178" spans="1:12" ht="15" customHeight="1" x14ac:dyDescent="0.35">
      <c r="A178" s="7" t="s">
        <v>1</v>
      </c>
      <c r="B178" s="7" t="s">
        <v>156</v>
      </c>
      <c r="C178" s="7" t="s">
        <v>666</v>
      </c>
      <c r="D178" s="7" t="s">
        <v>552</v>
      </c>
      <c r="E178" s="9" t="s">
        <v>1933</v>
      </c>
      <c r="F178" s="7" t="s">
        <v>1226</v>
      </c>
      <c r="G178" s="7" t="s">
        <v>1737</v>
      </c>
      <c r="H178" s="7" t="s">
        <v>1678</v>
      </c>
      <c r="I178" s="7" t="s">
        <v>1686</v>
      </c>
      <c r="J178" s="7" t="s">
        <v>1688</v>
      </c>
      <c r="K178" s="7" t="s">
        <v>1696</v>
      </c>
      <c r="L178" s="2">
        <v>1</v>
      </c>
    </row>
    <row r="179" spans="1:12" ht="15" customHeight="1" x14ac:dyDescent="0.35">
      <c r="A179" s="7" t="s">
        <v>1</v>
      </c>
      <c r="B179" s="7" t="s">
        <v>157</v>
      </c>
      <c r="C179" s="7" t="s">
        <v>667</v>
      </c>
      <c r="D179" s="7" t="s">
        <v>926</v>
      </c>
      <c r="E179" s="9" t="s">
        <v>1934</v>
      </c>
      <c r="F179" s="7" t="s">
        <v>1227</v>
      </c>
      <c r="G179" s="7" t="s">
        <v>1738</v>
      </c>
      <c r="H179" s="7" t="s">
        <v>1679</v>
      </c>
      <c r="I179" s="7" t="s">
        <v>1685</v>
      </c>
      <c r="J179" s="7" t="s">
        <v>1688</v>
      </c>
      <c r="K179" s="7" t="s">
        <v>1725</v>
      </c>
      <c r="L179" s="2">
        <v>1</v>
      </c>
    </row>
    <row r="180" spans="1:12" ht="15" customHeight="1" x14ac:dyDescent="0.35">
      <c r="A180" s="7" t="s">
        <v>1</v>
      </c>
      <c r="B180" s="7" t="s">
        <v>158</v>
      </c>
      <c r="C180" s="7" t="s">
        <v>668</v>
      </c>
      <c r="D180" s="7" t="s">
        <v>702</v>
      </c>
      <c r="E180" s="9" t="s">
        <v>1935</v>
      </c>
      <c r="F180" s="7" t="s">
        <v>1228</v>
      </c>
      <c r="G180" s="7" t="s">
        <v>1745</v>
      </c>
      <c r="H180" s="7" t="s">
        <v>1680</v>
      </c>
      <c r="I180" s="7" t="s">
        <v>1685</v>
      </c>
      <c r="J180" s="7" t="s">
        <v>1688</v>
      </c>
      <c r="K180" s="7" t="s">
        <v>1718</v>
      </c>
      <c r="L180" s="2">
        <v>1</v>
      </c>
    </row>
    <row r="181" spans="1:12" ht="15" customHeight="1" x14ac:dyDescent="0.35">
      <c r="A181" s="7" t="s">
        <v>1</v>
      </c>
      <c r="B181" s="7" t="s">
        <v>159</v>
      </c>
      <c r="C181" s="7" t="s">
        <v>629</v>
      </c>
      <c r="D181" s="7" t="s">
        <v>927</v>
      </c>
      <c r="E181" s="9" t="s">
        <v>1936</v>
      </c>
      <c r="F181" s="7" t="s">
        <v>1229</v>
      </c>
      <c r="G181" s="7" t="s">
        <v>1740</v>
      </c>
      <c r="H181" s="7" t="s">
        <v>1679</v>
      </c>
      <c r="I181" s="7" t="s">
        <v>1685</v>
      </c>
      <c r="J181" s="7" t="s">
        <v>1688</v>
      </c>
      <c r="K181" s="7" t="s">
        <v>1714</v>
      </c>
      <c r="L181" s="2">
        <v>1</v>
      </c>
    </row>
    <row r="182" spans="1:12" ht="15" customHeight="1" x14ac:dyDescent="0.35">
      <c r="A182" s="7" t="s">
        <v>1</v>
      </c>
      <c r="B182" s="7" t="s">
        <v>160</v>
      </c>
      <c r="C182" s="7" t="s">
        <v>669</v>
      </c>
      <c r="D182" s="7" t="s">
        <v>621</v>
      </c>
      <c r="E182" s="9" t="s">
        <v>1937</v>
      </c>
      <c r="F182" s="7" t="s">
        <v>1230</v>
      </c>
      <c r="G182" s="7" t="s">
        <v>1742</v>
      </c>
      <c r="H182" s="7" t="s">
        <v>1679</v>
      </c>
      <c r="I182" s="7" t="s">
        <v>1686</v>
      </c>
      <c r="J182" s="7" t="s">
        <v>1688</v>
      </c>
      <c r="K182" s="7" t="s">
        <v>1694</v>
      </c>
      <c r="L182" s="2">
        <v>1</v>
      </c>
    </row>
    <row r="183" spans="1:12" ht="15" customHeight="1" x14ac:dyDescent="0.35">
      <c r="A183" s="7" t="s">
        <v>1</v>
      </c>
      <c r="B183" s="7" t="s">
        <v>161</v>
      </c>
      <c r="C183" s="7" t="s">
        <v>578</v>
      </c>
      <c r="D183" s="7" t="s">
        <v>656</v>
      </c>
      <c r="E183" s="9" t="s">
        <v>1938</v>
      </c>
      <c r="F183" s="7" t="s">
        <v>1231</v>
      </c>
      <c r="G183" s="7" t="s">
        <v>1742</v>
      </c>
      <c r="H183" s="7" t="s">
        <v>1680</v>
      </c>
      <c r="I183" s="7" t="s">
        <v>1686</v>
      </c>
      <c r="J183" s="7" t="s">
        <v>1688</v>
      </c>
      <c r="K183" s="7" t="s">
        <v>1695</v>
      </c>
      <c r="L183" s="2">
        <v>1</v>
      </c>
    </row>
    <row r="184" spans="1:12" ht="15" customHeight="1" x14ac:dyDescent="0.35">
      <c r="A184" s="7" t="s">
        <v>1</v>
      </c>
      <c r="B184" s="7" t="s">
        <v>161</v>
      </c>
      <c r="C184" s="7" t="s">
        <v>670</v>
      </c>
      <c r="D184" s="7" t="s">
        <v>928</v>
      </c>
      <c r="E184" s="9" t="s">
        <v>1939</v>
      </c>
      <c r="F184" s="7" t="s">
        <v>1232</v>
      </c>
      <c r="G184" s="7" t="s">
        <v>1737</v>
      </c>
      <c r="H184" s="7" t="s">
        <v>1678</v>
      </c>
      <c r="I184" s="7" t="s">
        <v>1686</v>
      </c>
      <c r="J184" s="7" t="s">
        <v>1688</v>
      </c>
      <c r="K184" s="7" t="s">
        <v>1696</v>
      </c>
      <c r="L184" s="2">
        <v>1</v>
      </c>
    </row>
    <row r="185" spans="1:12" ht="15" customHeight="1" x14ac:dyDescent="0.35">
      <c r="A185" s="7" t="s">
        <v>1</v>
      </c>
      <c r="B185" s="7" t="s">
        <v>161</v>
      </c>
      <c r="C185" s="7" t="s">
        <v>531</v>
      </c>
      <c r="D185" s="7" t="s">
        <v>593</v>
      </c>
      <c r="E185" s="9" t="s">
        <v>1940</v>
      </c>
      <c r="F185" s="7" t="s">
        <v>1233</v>
      </c>
      <c r="G185" s="7" t="s">
        <v>1737</v>
      </c>
      <c r="H185" s="7" t="s">
        <v>1678</v>
      </c>
      <c r="I185" s="7" t="s">
        <v>1686</v>
      </c>
      <c r="J185" s="7" t="s">
        <v>1688</v>
      </c>
      <c r="K185" s="7" t="s">
        <v>1696</v>
      </c>
      <c r="L185" s="2">
        <v>1</v>
      </c>
    </row>
    <row r="186" spans="1:12" ht="15" customHeight="1" x14ac:dyDescent="0.35">
      <c r="A186" s="7" t="s">
        <v>1</v>
      </c>
      <c r="B186" s="7" t="s">
        <v>161</v>
      </c>
      <c r="C186" s="7" t="s">
        <v>531</v>
      </c>
      <c r="D186" s="7" t="s">
        <v>929</v>
      </c>
      <c r="E186" s="9" t="s">
        <v>1941</v>
      </c>
      <c r="F186" s="7" t="s">
        <v>1234</v>
      </c>
      <c r="G186" s="7" t="s">
        <v>1747</v>
      </c>
      <c r="H186" s="7" t="s">
        <v>1680</v>
      </c>
      <c r="I186" s="7" t="s">
        <v>1686</v>
      </c>
      <c r="J186" s="7" t="s">
        <v>1688</v>
      </c>
      <c r="K186" s="7" t="s">
        <v>1723</v>
      </c>
      <c r="L186" s="2">
        <v>1</v>
      </c>
    </row>
    <row r="187" spans="1:12" ht="15" customHeight="1" x14ac:dyDescent="0.35">
      <c r="A187" s="7" t="s">
        <v>1</v>
      </c>
      <c r="B187" s="7" t="s">
        <v>161</v>
      </c>
      <c r="C187" s="7" t="s">
        <v>654</v>
      </c>
      <c r="D187" s="7" t="s">
        <v>930</v>
      </c>
      <c r="E187" s="9" t="s">
        <v>1942</v>
      </c>
      <c r="F187" s="7" t="s">
        <v>1235</v>
      </c>
      <c r="G187" s="7" t="s">
        <v>1742</v>
      </c>
      <c r="H187" s="7" t="s">
        <v>1678</v>
      </c>
      <c r="I187" s="7" t="s">
        <v>1686</v>
      </c>
      <c r="J187" s="7" t="s">
        <v>1688</v>
      </c>
      <c r="K187" s="7" t="s">
        <v>1701</v>
      </c>
      <c r="L187" s="2">
        <v>1</v>
      </c>
    </row>
    <row r="188" spans="1:12" ht="15" customHeight="1" x14ac:dyDescent="0.35">
      <c r="A188" s="7" t="s">
        <v>1</v>
      </c>
      <c r="B188" s="7" t="s">
        <v>161</v>
      </c>
      <c r="C188" s="7" t="s">
        <v>671</v>
      </c>
      <c r="D188" s="7" t="s">
        <v>931</v>
      </c>
      <c r="E188" s="9" t="s">
        <v>1943</v>
      </c>
      <c r="F188" s="7" t="s">
        <v>1236</v>
      </c>
      <c r="G188" s="7" t="s">
        <v>1742</v>
      </c>
      <c r="H188" s="7" t="s">
        <v>1679</v>
      </c>
      <c r="I188" s="7" t="s">
        <v>1686</v>
      </c>
      <c r="J188" s="7" t="s">
        <v>1688</v>
      </c>
      <c r="K188" s="7" t="s">
        <v>1694</v>
      </c>
      <c r="L188" s="2">
        <v>1</v>
      </c>
    </row>
    <row r="189" spans="1:12" ht="15" customHeight="1" x14ac:dyDescent="0.35">
      <c r="A189" s="7" t="s">
        <v>1</v>
      </c>
      <c r="B189" s="7" t="s">
        <v>162</v>
      </c>
      <c r="C189" s="7" t="s">
        <v>549</v>
      </c>
      <c r="D189" s="7" t="s">
        <v>932</v>
      </c>
      <c r="E189" s="9" t="s">
        <v>1944</v>
      </c>
      <c r="F189" s="7" t="s">
        <v>1237</v>
      </c>
      <c r="G189" s="7" t="s">
        <v>1740</v>
      </c>
      <c r="H189" s="7" t="s">
        <v>1678</v>
      </c>
      <c r="I189" s="7" t="s">
        <v>1686</v>
      </c>
      <c r="J189" s="7" t="s">
        <v>1688</v>
      </c>
      <c r="K189" s="7" t="s">
        <v>1692</v>
      </c>
      <c r="L189" s="2">
        <v>1</v>
      </c>
    </row>
    <row r="190" spans="1:12" ht="15" customHeight="1" x14ac:dyDescent="0.35">
      <c r="A190" s="7" t="s">
        <v>1</v>
      </c>
      <c r="B190" s="7" t="s">
        <v>162</v>
      </c>
      <c r="C190" s="7" t="s">
        <v>606</v>
      </c>
      <c r="D190" s="7" t="s">
        <v>933</v>
      </c>
      <c r="E190" s="9" t="s">
        <v>1945</v>
      </c>
      <c r="F190" s="7" t="s">
        <v>1238</v>
      </c>
      <c r="G190" s="7" t="s">
        <v>1737</v>
      </c>
      <c r="H190" s="7" t="s">
        <v>1678</v>
      </c>
      <c r="I190" s="7" t="s">
        <v>1686</v>
      </c>
      <c r="J190" s="7" t="s">
        <v>1688</v>
      </c>
      <c r="K190" s="7" t="s">
        <v>1696</v>
      </c>
      <c r="L190" s="2">
        <v>1</v>
      </c>
    </row>
    <row r="191" spans="1:12" ht="15" customHeight="1" x14ac:dyDescent="0.35">
      <c r="A191" s="7" t="s">
        <v>1</v>
      </c>
      <c r="B191" s="7" t="s">
        <v>163</v>
      </c>
      <c r="C191" s="7" t="s">
        <v>672</v>
      </c>
      <c r="D191" s="7" t="s">
        <v>636</v>
      </c>
      <c r="E191" s="9" t="s">
        <v>1946</v>
      </c>
      <c r="F191" s="7" t="s">
        <v>1239</v>
      </c>
      <c r="G191" s="7" t="s">
        <v>1741</v>
      </c>
      <c r="H191" s="7" t="s">
        <v>1680</v>
      </c>
      <c r="I191" s="7" t="s">
        <v>1686</v>
      </c>
      <c r="J191" s="7" t="s">
        <v>1688</v>
      </c>
      <c r="K191" s="7" t="s">
        <v>1724</v>
      </c>
      <c r="L191" s="2">
        <v>1</v>
      </c>
    </row>
    <row r="192" spans="1:12" ht="15" customHeight="1" x14ac:dyDescent="0.35">
      <c r="A192" s="7" t="s">
        <v>1</v>
      </c>
      <c r="B192" s="7" t="s">
        <v>164</v>
      </c>
      <c r="C192" s="7" t="s">
        <v>593</v>
      </c>
      <c r="D192" s="7" t="s">
        <v>543</v>
      </c>
      <c r="E192" s="9" t="s">
        <v>1947</v>
      </c>
      <c r="F192" s="7" t="s">
        <v>1240</v>
      </c>
      <c r="G192" s="7" t="s">
        <v>1738</v>
      </c>
      <c r="H192" s="7" t="s">
        <v>1677</v>
      </c>
      <c r="I192" s="7" t="s">
        <v>1686</v>
      </c>
      <c r="J192" s="7" t="s">
        <v>1688</v>
      </c>
      <c r="K192" s="7" t="s">
        <v>1732</v>
      </c>
      <c r="L192" s="2">
        <v>1</v>
      </c>
    </row>
    <row r="193" spans="1:12" ht="15" customHeight="1" x14ac:dyDescent="0.35">
      <c r="A193" s="7" t="s">
        <v>1</v>
      </c>
      <c r="B193" s="7" t="s">
        <v>165</v>
      </c>
      <c r="C193" s="7" t="s">
        <v>673</v>
      </c>
      <c r="D193" s="7" t="s">
        <v>841</v>
      </c>
      <c r="E193" s="9" t="s">
        <v>1948</v>
      </c>
      <c r="F193" s="7" t="s">
        <v>1241</v>
      </c>
      <c r="G193" s="7" t="s">
        <v>1737</v>
      </c>
      <c r="H193" s="7" t="s">
        <v>1678</v>
      </c>
      <c r="I193" s="7" t="s">
        <v>1686</v>
      </c>
      <c r="J193" s="7" t="s">
        <v>1688</v>
      </c>
      <c r="K193" s="7" t="s">
        <v>1721</v>
      </c>
      <c r="L193" s="2">
        <v>1</v>
      </c>
    </row>
    <row r="194" spans="1:12" ht="15" customHeight="1" x14ac:dyDescent="0.35">
      <c r="A194" s="7" t="s">
        <v>1</v>
      </c>
      <c r="B194" s="7" t="s">
        <v>166</v>
      </c>
      <c r="C194" s="7" t="s">
        <v>674</v>
      </c>
      <c r="D194" s="7" t="s">
        <v>822</v>
      </c>
      <c r="E194" s="9" t="s">
        <v>1949</v>
      </c>
      <c r="F194" s="7" t="s">
        <v>1242</v>
      </c>
      <c r="G194" s="7" t="s">
        <v>1737</v>
      </c>
      <c r="H194" s="7" t="s">
        <v>1677</v>
      </c>
      <c r="I194" s="7" t="s">
        <v>1686</v>
      </c>
      <c r="J194" s="7" t="s">
        <v>1688</v>
      </c>
      <c r="K194" s="7" t="s">
        <v>1698</v>
      </c>
      <c r="L194" s="2">
        <v>1</v>
      </c>
    </row>
    <row r="195" spans="1:12" ht="15" customHeight="1" x14ac:dyDescent="0.35">
      <c r="A195" s="7" t="s">
        <v>1</v>
      </c>
      <c r="B195" s="7" t="s">
        <v>167</v>
      </c>
      <c r="C195" s="7" t="s">
        <v>538</v>
      </c>
      <c r="D195" s="7" t="s">
        <v>934</v>
      </c>
      <c r="E195" s="9" t="s">
        <v>1950</v>
      </c>
      <c r="F195" s="7" t="s">
        <v>1243</v>
      </c>
      <c r="G195" s="7" t="s">
        <v>1742</v>
      </c>
      <c r="H195" s="7" t="s">
        <v>1677</v>
      </c>
      <c r="I195" s="7" t="s">
        <v>1686</v>
      </c>
      <c r="J195" s="7" t="s">
        <v>1688</v>
      </c>
      <c r="K195" s="7" t="s">
        <v>1712</v>
      </c>
      <c r="L195" s="2">
        <v>1</v>
      </c>
    </row>
    <row r="196" spans="1:12" ht="15" customHeight="1" x14ac:dyDescent="0.35">
      <c r="A196" s="7" t="s">
        <v>1</v>
      </c>
      <c r="B196" s="7" t="s">
        <v>168</v>
      </c>
      <c r="C196" s="7" t="s">
        <v>675</v>
      </c>
      <c r="D196" s="7" t="s">
        <v>764</v>
      </c>
      <c r="E196" s="9" t="s">
        <v>1951</v>
      </c>
      <c r="F196" s="7" t="s">
        <v>1244</v>
      </c>
      <c r="G196" s="7" t="s">
        <v>1742</v>
      </c>
      <c r="H196" s="7" t="s">
        <v>1677</v>
      </c>
      <c r="I196" s="7" t="s">
        <v>1686</v>
      </c>
      <c r="J196" s="7" t="s">
        <v>1688</v>
      </c>
      <c r="K196" s="7" t="s">
        <v>1703</v>
      </c>
      <c r="L196" s="2">
        <v>1</v>
      </c>
    </row>
    <row r="197" spans="1:12" ht="15" customHeight="1" x14ac:dyDescent="0.35">
      <c r="A197" s="7" t="s">
        <v>1</v>
      </c>
      <c r="B197" s="7" t="s">
        <v>169</v>
      </c>
      <c r="C197" s="7" t="s">
        <v>676</v>
      </c>
      <c r="D197" s="7" t="s">
        <v>935</v>
      </c>
      <c r="E197" s="9" t="s">
        <v>1952</v>
      </c>
      <c r="F197" s="7" t="s">
        <v>1245</v>
      </c>
      <c r="G197" s="7" t="s">
        <v>1748</v>
      </c>
      <c r="H197" s="7" t="s">
        <v>1680</v>
      </c>
      <c r="I197" s="7" t="s">
        <v>1686</v>
      </c>
      <c r="J197" s="7" t="s">
        <v>1688</v>
      </c>
      <c r="K197" s="7" t="s">
        <v>1727</v>
      </c>
      <c r="L197" s="2">
        <v>1</v>
      </c>
    </row>
    <row r="198" spans="1:12" ht="15" customHeight="1" x14ac:dyDescent="0.35">
      <c r="A198" s="7" t="s">
        <v>1</v>
      </c>
      <c r="B198" s="7" t="s">
        <v>170</v>
      </c>
      <c r="C198" s="7" t="s">
        <v>677</v>
      </c>
      <c r="D198" s="7" t="s">
        <v>936</v>
      </c>
      <c r="E198" s="9" t="s">
        <v>1953</v>
      </c>
      <c r="F198" s="7" t="s">
        <v>1246</v>
      </c>
      <c r="G198" s="7" t="s">
        <v>1742</v>
      </c>
      <c r="H198" s="7" t="s">
        <v>1678</v>
      </c>
      <c r="I198" s="7" t="s">
        <v>1686</v>
      </c>
      <c r="J198" s="7" t="s">
        <v>1688</v>
      </c>
      <c r="K198" s="7" t="s">
        <v>1701</v>
      </c>
      <c r="L198" s="2">
        <v>1</v>
      </c>
    </row>
    <row r="199" spans="1:12" ht="15" customHeight="1" x14ac:dyDescent="0.35">
      <c r="A199" s="7" t="s">
        <v>1</v>
      </c>
      <c r="B199" s="7" t="s">
        <v>171</v>
      </c>
      <c r="C199" s="7" t="s">
        <v>630</v>
      </c>
      <c r="D199" s="7" t="s">
        <v>679</v>
      </c>
      <c r="E199" s="9" t="s">
        <v>1954</v>
      </c>
      <c r="F199" s="7" t="s">
        <v>1247</v>
      </c>
      <c r="G199" s="7" t="s">
        <v>1737</v>
      </c>
      <c r="H199" s="7" t="s">
        <v>1679</v>
      </c>
      <c r="I199" s="7" t="s">
        <v>1686</v>
      </c>
      <c r="J199" s="7" t="s">
        <v>1688</v>
      </c>
      <c r="K199" s="7" t="s">
        <v>1707</v>
      </c>
      <c r="L199" s="2">
        <v>1</v>
      </c>
    </row>
    <row r="200" spans="1:12" ht="15" customHeight="1" x14ac:dyDescent="0.35">
      <c r="A200" s="7" t="s">
        <v>1</v>
      </c>
      <c r="B200" s="7" t="s">
        <v>172</v>
      </c>
      <c r="C200" s="7" t="s">
        <v>544</v>
      </c>
      <c r="D200" s="7" t="s">
        <v>530</v>
      </c>
      <c r="E200" s="9" t="s">
        <v>1955</v>
      </c>
      <c r="F200" s="7" t="s">
        <v>1248</v>
      </c>
      <c r="G200" s="7" t="s">
        <v>1742</v>
      </c>
      <c r="H200" s="7" t="s">
        <v>1677</v>
      </c>
      <c r="I200" s="7" t="s">
        <v>1686</v>
      </c>
      <c r="J200" s="7" t="s">
        <v>1688</v>
      </c>
      <c r="K200" s="7" t="s">
        <v>1703</v>
      </c>
      <c r="L200" s="2">
        <v>1</v>
      </c>
    </row>
    <row r="201" spans="1:12" ht="15" customHeight="1" x14ac:dyDescent="0.35">
      <c r="A201" s="7" t="s">
        <v>1</v>
      </c>
      <c r="B201" s="7" t="s">
        <v>173</v>
      </c>
      <c r="C201" s="7" t="s">
        <v>660</v>
      </c>
      <c r="D201" s="7" t="s">
        <v>532</v>
      </c>
      <c r="E201" s="9" t="s">
        <v>1956</v>
      </c>
      <c r="F201" s="7" t="s">
        <v>1249</v>
      </c>
      <c r="G201" s="7" t="s">
        <v>1742</v>
      </c>
      <c r="H201" s="7" t="s">
        <v>1680</v>
      </c>
      <c r="I201" s="7" t="s">
        <v>1686</v>
      </c>
      <c r="J201" s="7" t="s">
        <v>1688</v>
      </c>
      <c r="K201" s="7" t="s">
        <v>1695</v>
      </c>
      <c r="L201" s="2">
        <v>1</v>
      </c>
    </row>
    <row r="202" spans="1:12" ht="15" customHeight="1" x14ac:dyDescent="0.35">
      <c r="A202" s="7" t="s">
        <v>1</v>
      </c>
      <c r="B202" s="7" t="s">
        <v>174</v>
      </c>
      <c r="C202" s="7" t="s">
        <v>543</v>
      </c>
      <c r="D202" s="7" t="s">
        <v>568</v>
      </c>
      <c r="E202" s="9" t="s">
        <v>1957</v>
      </c>
      <c r="F202" s="7" t="s">
        <v>1250</v>
      </c>
      <c r="G202" s="7" t="s">
        <v>1742</v>
      </c>
      <c r="H202" s="7" t="s">
        <v>1679</v>
      </c>
      <c r="I202" s="7" t="s">
        <v>1686</v>
      </c>
      <c r="J202" s="7" t="s">
        <v>1688</v>
      </c>
      <c r="K202" s="7" t="s">
        <v>1694</v>
      </c>
      <c r="L202" s="2">
        <v>1</v>
      </c>
    </row>
    <row r="203" spans="1:12" ht="15" customHeight="1" x14ac:dyDescent="0.35">
      <c r="A203" s="7" t="s">
        <v>1</v>
      </c>
      <c r="B203" s="7" t="s">
        <v>175</v>
      </c>
      <c r="C203" s="7" t="s">
        <v>678</v>
      </c>
      <c r="D203" s="7" t="s">
        <v>803</v>
      </c>
      <c r="E203" s="9" t="s">
        <v>1958</v>
      </c>
      <c r="F203" s="7" t="s">
        <v>1251</v>
      </c>
      <c r="G203" s="7" t="s">
        <v>1743</v>
      </c>
      <c r="H203" s="7" t="s">
        <v>1678</v>
      </c>
      <c r="I203" s="7" t="s">
        <v>1686</v>
      </c>
      <c r="J203" s="7" t="s">
        <v>1688</v>
      </c>
      <c r="K203" s="7" t="s">
        <v>1731</v>
      </c>
      <c r="L203" s="2">
        <v>1</v>
      </c>
    </row>
    <row r="204" spans="1:12" ht="15" customHeight="1" x14ac:dyDescent="0.35">
      <c r="A204" s="7" t="s">
        <v>1</v>
      </c>
      <c r="B204" s="7" t="s">
        <v>176</v>
      </c>
      <c r="C204" s="7" t="s">
        <v>679</v>
      </c>
      <c r="D204" s="7" t="s">
        <v>937</v>
      </c>
      <c r="E204" s="9" t="s">
        <v>1959</v>
      </c>
      <c r="F204" s="7" t="s">
        <v>1252</v>
      </c>
      <c r="G204" s="7" t="s">
        <v>1737</v>
      </c>
      <c r="H204" s="7" t="s">
        <v>1678</v>
      </c>
      <c r="I204" s="7" t="s">
        <v>1686</v>
      </c>
      <c r="J204" s="7" t="s">
        <v>1688</v>
      </c>
      <c r="K204" s="7" t="s">
        <v>1696</v>
      </c>
      <c r="L204" s="2">
        <v>1</v>
      </c>
    </row>
    <row r="205" spans="1:12" ht="15" customHeight="1" x14ac:dyDescent="0.35">
      <c r="A205" s="7" t="s">
        <v>1</v>
      </c>
      <c r="B205" s="7" t="s">
        <v>177</v>
      </c>
      <c r="C205" s="7" t="s">
        <v>593</v>
      </c>
      <c r="D205" s="7" t="s">
        <v>531</v>
      </c>
      <c r="E205" s="9" t="s">
        <v>1960</v>
      </c>
      <c r="F205" s="7" t="s">
        <v>1253</v>
      </c>
      <c r="G205" s="7" t="s">
        <v>1742</v>
      </c>
      <c r="H205" s="7" t="s">
        <v>1678</v>
      </c>
      <c r="I205" s="7" t="s">
        <v>1686</v>
      </c>
      <c r="J205" s="7" t="s">
        <v>1688</v>
      </c>
      <c r="K205" s="7" t="s">
        <v>1700</v>
      </c>
      <c r="L205" s="2">
        <v>1</v>
      </c>
    </row>
    <row r="206" spans="1:12" ht="15" customHeight="1" x14ac:dyDescent="0.35">
      <c r="A206" s="7" t="s">
        <v>1</v>
      </c>
      <c r="B206" s="7" t="s">
        <v>178</v>
      </c>
      <c r="C206" s="7" t="s">
        <v>680</v>
      </c>
      <c r="D206" s="7" t="s">
        <v>938</v>
      </c>
      <c r="E206" s="9" t="s">
        <v>1961</v>
      </c>
      <c r="F206" s="7" t="s">
        <v>1254</v>
      </c>
      <c r="G206" s="7" t="s">
        <v>1737</v>
      </c>
      <c r="H206" s="7" t="s">
        <v>1677</v>
      </c>
      <c r="I206" s="7" t="s">
        <v>1686</v>
      </c>
      <c r="J206" s="7" t="s">
        <v>1688</v>
      </c>
      <c r="K206" s="7" t="s">
        <v>1698</v>
      </c>
      <c r="L206" s="2">
        <v>1</v>
      </c>
    </row>
    <row r="207" spans="1:12" ht="15" customHeight="1" x14ac:dyDescent="0.35">
      <c r="A207" s="7" t="s">
        <v>1</v>
      </c>
      <c r="B207" s="7" t="s">
        <v>179</v>
      </c>
      <c r="C207" s="7" t="s">
        <v>681</v>
      </c>
      <c r="D207" s="7" t="s">
        <v>715</v>
      </c>
      <c r="E207" s="9" t="s">
        <v>1962</v>
      </c>
      <c r="F207" s="7" t="s">
        <v>1255</v>
      </c>
      <c r="G207" s="7" t="s">
        <v>1745</v>
      </c>
      <c r="H207" s="7" t="s">
        <v>1678</v>
      </c>
      <c r="I207" s="7" t="s">
        <v>1685</v>
      </c>
      <c r="J207" s="7" t="s">
        <v>1688</v>
      </c>
      <c r="K207" s="7" t="s">
        <v>1710</v>
      </c>
      <c r="L207" s="2">
        <v>1</v>
      </c>
    </row>
    <row r="208" spans="1:12" ht="15" customHeight="1" x14ac:dyDescent="0.35">
      <c r="A208" s="7" t="s">
        <v>1</v>
      </c>
      <c r="B208" s="7" t="s">
        <v>180</v>
      </c>
      <c r="C208" s="7" t="s">
        <v>350</v>
      </c>
      <c r="D208" s="7" t="s">
        <v>597</v>
      </c>
      <c r="E208" s="9" t="s">
        <v>1963</v>
      </c>
      <c r="F208" s="7" t="s">
        <v>1256</v>
      </c>
      <c r="G208" s="7" t="s">
        <v>1741</v>
      </c>
      <c r="H208" s="7" t="s">
        <v>1680</v>
      </c>
      <c r="I208" s="7" t="s">
        <v>1686</v>
      </c>
      <c r="J208" s="7" t="s">
        <v>1688</v>
      </c>
      <c r="K208" s="7" t="s">
        <v>1724</v>
      </c>
      <c r="L208" s="2">
        <v>1</v>
      </c>
    </row>
    <row r="209" spans="1:12" ht="15" customHeight="1" x14ac:dyDescent="0.35">
      <c r="A209" s="7" t="s">
        <v>1</v>
      </c>
      <c r="B209" s="7" t="s">
        <v>181</v>
      </c>
      <c r="C209" s="7" t="s">
        <v>682</v>
      </c>
      <c r="D209" s="7" t="s">
        <v>939</v>
      </c>
      <c r="E209" s="9" t="s">
        <v>1964</v>
      </c>
      <c r="F209" s="7" t="s">
        <v>1257</v>
      </c>
      <c r="G209" s="7" t="s">
        <v>1745</v>
      </c>
      <c r="H209" s="7" t="s">
        <v>1680</v>
      </c>
      <c r="I209" s="7" t="s">
        <v>1685</v>
      </c>
      <c r="J209" s="7" t="s">
        <v>1688</v>
      </c>
      <c r="K209" s="7" t="s">
        <v>1718</v>
      </c>
      <c r="L209" s="2">
        <v>1</v>
      </c>
    </row>
    <row r="210" spans="1:12" ht="15" customHeight="1" x14ac:dyDescent="0.35">
      <c r="A210" s="7" t="s">
        <v>1</v>
      </c>
      <c r="B210" s="7" t="s">
        <v>182</v>
      </c>
      <c r="C210" s="7" t="s">
        <v>209</v>
      </c>
      <c r="D210" s="7" t="s">
        <v>577</v>
      </c>
      <c r="E210" s="9" t="s">
        <v>1965</v>
      </c>
      <c r="F210" s="7" t="s">
        <v>1258</v>
      </c>
      <c r="G210" s="7" t="s">
        <v>1741</v>
      </c>
      <c r="H210" s="7" t="s">
        <v>1679</v>
      </c>
      <c r="I210" s="7" t="s">
        <v>1686</v>
      </c>
      <c r="J210" s="7" t="s">
        <v>1688</v>
      </c>
      <c r="K210" s="7" t="s">
        <v>1693</v>
      </c>
      <c r="L210" s="2">
        <v>1</v>
      </c>
    </row>
    <row r="211" spans="1:12" ht="15" customHeight="1" x14ac:dyDescent="0.35">
      <c r="A211" s="7" t="s">
        <v>1</v>
      </c>
      <c r="B211" s="7" t="s">
        <v>182</v>
      </c>
      <c r="C211" s="7" t="s">
        <v>679</v>
      </c>
      <c r="D211" s="7" t="s">
        <v>544</v>
      </c>
      <c r="E211" s="9" t="s">
        <v>1966</v>
      </c>
      <c r="F211" s="7" t="s">
        <v>1259</v>
      </c>
      <c r="G211" s="7" t="s">
        <v>1743</v>
      </c>
      <c r="H211" s="7" t="s">
        <v>1680</v>
      </c>
      <c r="I211" s="7" t="s">
        <v>1686</v>
      </c>
      <c r="J211" s="7" t="s">
        <v>1688</v>
      </c>
      <c r="K211" s="7" t="s">
        <v>1704</v>
      </c>
      <c r="L211" s="2">
        <v>1</v>
      </c>
    </row>
    <row r="212" spans="1:12" ht="15" customHeight="1" x14ac:dyDescent="0.35">
      <c r="A212" s="7" t="s">
        <v>1</v>
      </c>
      <c r="B212" s="7" t="s">
        <v>182</v>
      </c>
      <c r="C212" s="7" t="s">
        <v>683</v>
      </c>
      <c r="D212" s="7" t="s">
        <v>873</v>
      </c>
      <c r="E212" s="9" t="s">
        <v>1967</v>
      </c>
      <c r="F212" s="7" t="s">
        <v>1260</v>
      </c>
      <c r="G212" s="7" t="s">
        <v>1744</v>
      </c>
      <c r="H212" s="7" t="s">
        <v>1679</v>
      </c>
      <c r="I212" s="7" t="s">
        <v>1686</v>
      </c>
      <c r="J212" s="7" t="s">
        <v>1688</v>
      </c>
      <c r="K212" s="7" t="s">
        <v>1722</v>
      </c>
      <c r="L212" s="2">
        <v>1</v>
      </c>
    </row>
    <row r="213" spans="1:12" ht="15" customHeight="1" x14ac:dyDescent="0.35">
      <c r="A213" s="7" t="s">
        <v>1</v>
      </c>
      <c r="B213" s="7" t="s">
        <v>182</v>
      </c>
      <c r="C213" s="7" t="s">
        <v>684</v>
      </c>
      <c r="D213" s="7" t="s">
        <v>857</v>
      </c>
      <c r="E213" s="9" t="s">
        <v>1968</v>
      </c>
      <c r="F213" s="7" t="s">
        <v>1261</v>
      </c>
      <c r="G213" s="7" t="s">
        <v>1742</v>
      </c>
      <c r="H213" s="7" t="s">
        <v>1677</v>
      </c>
      <c r="I213" s="7" t="s">
        <v>1686</v>
      </c>
      <c r="J213" s="7" t="s">
        <v>1688</v>
      </c>
      <c r="K213" s="7" t="s">
        <v>1712</v>
      </c>
      <c r="L213" s="2">
        <v>1</v>
      </c>
    </row>
    <row r="214" spans="1:12" ht="15" customHeight="1" x14ac:dyDescent="0.35">
      <c r="A214" s="7" t="s">
        <v>1</v>
      </c>
      <c r="B214" s="7" t="s">
        <v>182</v>
      </c>
      <c r="C214" s="7" t="s">
        <v>539</v>
      </c>
      <c r="D214" s="7" t="s">
        <v>564</v>
      </c>
      <c r="E214" s="9" t="s">
        <v>1969</v>
      </c>
      <c r="F214" s="7" t="s">
        <v>1262</v>
      </c>
      <c r="G214" s="7" t="s">
        <v>1743</v>
      </c>
      <c r="H214" s="7" t="s">
        <v>1677</v>
      </c>
      <c r="I214" s="7" t="s">
        <v>1686</v>
      </c>
      <c r="J214" s="7" t="s">
        <v>1688</v>
      </c>
      <c r="K214" s="7" t="s">
        <v>1720</v>
      </c>
      <c r="L214" s="2">
        <v>1</v>
      </c>
    </row>
    <row r="215" spans="1:12" ht="15" customHeight="1" x14ac:dyDescent="0.35">
      <c r="A215" s="7" t="s">
        <v>1</v>
      </c>
      <c r="B215" s="7" t="s">
        <v>183</v>
      </c>
      <c r="C215" s="7" t="s">
        <v>685</v>
      </c>
      <c r="D215" s="7" t="s">
        <v>535</v>
      </c>
      <c r="E215" s="9" t="s">
        <v>1970</v>
      </c>
      <c r="F215" s="7" t="s">
        <v>1263</v>
      </c>
      <c r="G215" s="7" t="s">
        <v>1742</v>
      </c>
      <c r="H215" s="7" t="s">
        <v>1678</v>
      </c>
      <c r="I215" s="7" t="s">
        <v>1686</v>
      </c>
      <c r="J215" s="7" t="s">
        <v>1688</v>
      </c>
      <c r="K215" s="7" t="s">
        <v>1700</v>
      </c>
      <c r="L215" s="2">
        <v>1</v>
      </c>
    </row>
    <row r="216" spans="1:12" ht="15" customHeight="1" x14ac:dyDescent="0.35">
      <c r="A216" s="7" t="s">
        <v>1</v>
      </c>
      <c r="B216" s="7" t="s">
        <v>184</v>
      </c>
      <c r="C216" s="7" t="s">
        <v>686</v>
      </c>
      <c r="D216" s="7" t="s">
        <v>539</v>
      </c>
      <c r="E216" s="9" t="s">
        <v>1971</v>
      </c>
      <c r="F216" s="7" t="s">
        <v>1264</v>
      </c>
      <c r="G216" s="7" t="s">
        <v>1739</v>
      </c>
      <c r="H216" s="7" t="s">
        <v>1679</v>
      </c>
      <c r="I216" s="7" t="s">
        <v>1686</v>
      </c>
      <c r="J216" s="7" t="s">
        <v>1688</v>
      </c>
      <c r="K216" s="7" t="s">
        <v>1708</v>
      </c>
      <c r="L216" s="2">
        <v>1</v>
      </c>
    </row>
    <row r="217" spans="1:12" ht="15" customHeight="1" x14ac:dyDescent="0.35">
      <c r="A217" s="7" t="s">
        <v>1</v>
      </c>
      <c r="B217" s="7" t="s">
        <v>184</v>
      </c>
      <c r="C217" s="7" t="s">
        <v>687</v>
      </c>
      <c r="D217" s="7" t="s">
        <v>940</v>
      </c>
      <c r="E217" s="9" t="s">
        <v>1972</v>
      </c>
      <c r="F217" s="7" t="s">
        <v>1265</v>
      </c>
      <c r="G217" s="7" t="s">
        <v>1742</v>
      </c>
      <c r="H217" s="7" t="s">
        <v>1678</v>
      </c>
      <c r="I217" s="7" t="s">
        <v>1686</v>
      </c>
      <c r="J217" s="7" t="s">
        <v>1688</v>
      </c>
      <c r="K217" s="7" t="s">
        <v>1701</v>
      </c>
      <c r="L217" s="2">
        <v>1</v>
      </c>
    </row>
    <row r="218" spans="1:12" ht="15" customHeight="1" x14ac:dyDescent="0.35">
      <c r="A218" s="7" t="s">
        <v>1</v>
      </c>
      <c r="B218" s="7" t="s">
        <v>184</v>
      </c>
      <c r="C218" s="7" t="s">
        <v>688</v>
      </c>
      <c r="D218" s="7" t="s">
        <v>549</v>
      </c>
      <c r="E218" s="9" t="s">
        <v>1973</v>
      </c>
      <c r="F218" s="7" t="s">
        <v>1266</v>
      </c>
      <c r="G218" s="7" t="s">
        <v>1737</v>
      </c>
      <c r="H218" s="7" t="s">
        <v>1677</v>
      </c>
      <c r="I218" s="7" t="s">
        <v>1686</v>
      </c>
      <c r="J218" s="7" t="s">
        <v>1688</v>
      </c>
      <c r="K218" s="7" t="s">
        <v>1698</v>
      </c>
      <c r="L218" s="2">
        <v>1</v>
      </c>
    </row>
    <row r="219" spans="1:12" ht="15" customHeight="1" x14ac:dyDescent="0.35">
      <c r="A219" s="7" t="s">
        <v>1</v>
      </c>
      <c r="B219" s="7" t="s">
        <v>185</v>
      </c>
      <c r="C219" s="7" t="s">
        <v>689</v>
      </c>
      <c r="D219" s="7" t="s">
        <v>687</v>
      </c>
      <c r="E219" s="9" t="s">
        <v>1974</v>
      </c>
      <c r="F219" s="7" t="s">
        <v>1267</v>
      </c>
      <c r="G219" s="7" t="s">
        <v>1742</v>
      </c>
      <c r="H219" s="7" t="s">
        <v>1679</v>
      </c>
      <c r="I219" s="7" t="s">
        <v>1686</v>
      </c>
      <c r="J219" s="7" t="s">
        <v>1688</v>
      </c>
      <c r="K219" s="7" t="s">
        <v>1694</v>
      </c>
      <c r="L219" s="2">
        <v>1</v>
      </c>
    </row>
    <row r="220" spans="1:12" ht="15" customHeight="1" x14ac:dyDescent="0.35">
      <c r="A220" s="7" t="s">
        <v>1</v>
      </c>
      <c r="B220" s="7" t="s">
        <v>186</v>
      </c>
      <c r="C220" s="7" t="s">
        <v>690</v>
      </c>
      <c r="D220" s="7" t="s">
        <v>589</v>
      </c>
      <c r="E220" s="9" t="s">
        <v>1975</v>
      </c>
      <c r="F220" s="7" t="s">
        <v>1268</v>
      </c>
      <c r="G220" s="7" t="s">
        <v>1744</v>
      </c>
      <c r="H220" s="7" t="s">
        <v>1677</v>
      </c>
      <c r="I220" s="7" t="s">
        <v>1686</v>
      </c>
      <c r="J220" s="7" t="s">
        <v>1688</v>
      </c>
      <c r="K220" s="7" t="s">
        <v>1713</v>
      </c>
      <c r="L220" s="2">
        <v>1</v>
      </c>
    </row>
    <row r="221" spans="1:12" ht="15" customHeight="1" x14ac:dyDescent="0.35">
      <c r="A221" s="7" t="s">
        <v>1</v>
      </c>
      <c r="B221" s="7" t="s">
        <v>187</v>
      </c>
      <c r="C221" s="7" t="s">
        <v>567</v>
      </c>
      <c r="D221" s="7" t="s">
        <v>607</v>
      </c>
      <c r="E221" s="9" t="s">
        <v>1976</v>
      </c>
      <c r="F221" s="7" t="s">
        <v>1269</v>
      </c>
      <c r="G221" s="7" t="s">
        <v>1737</v>
      </c>
      <c r="H221" s="7" t="s">
        <v>1679</v>
      </c>
      <c r="I221" s="7" t="s">
        <v>1686</v>
      </c>
      <c r="J221" s="7" t="s">
        <v>1688</v>
      </c>
      <c r="K221" s="7" t="s">
        <v>1707</v>
      </c>
      <c r="L221" s="2">
        <v>1</v>
      </c>
    </row>
    <row r="222" spans="1:12" ht="15" customHeight="1" x14ac:dyDescent="0.35">
      <c r="A222" s="7" t="s">
        <v>1</v>
      </c>
      <c r="B222" s="7" t="s">
        <v>188</v>
      </c>
      <c r="C222" s="7" t="s">
        <v>582</v>
      </c>
      <c r="D222" s="7" t="s">
        <v>941</v>
      </c>
      <c r="E222" s="9" t="s">
        <v>1977</v>
      </c>
      <c r="F222" s="7" t="s">
        <v>1270</v>
      </c>
      <c r="G222" s="7" t="s">
        <v>1742</v>
      </c>
      <c r="H222" s="7" t="s">
        <v>1677</v>
      </c>
      <c r="I222" s="7" t="s">
        <v>1686</v>
      </c>
      <c r="J222" s="7" t="s">
        <v>1688</v>
      </c>
      <c r="K222" s="7" t="s">
        <v>1712</v>
      </c>
      <c r="L222" s="2">
        <v>1</v>
      </c>
    </row>
    <row r="223" spans="1:12" ht="15" customHeight="1" x14ac:dyDescent="0.35">
      <c r="A223" s="7" t="s">
        <v>1</v>
      </c>
      <c r="B223" s="7" t="s">
        <v>189</v>
      </c>
      <c r="C223" s="7" t="s">
        <v>691</v>
      </c>
      <c r="D223" s="7" t="s">
        <v>942</v>
      </c>
      <c r="E223" s="9" t="s">
        <v>1978</v>
      </c>
      <c r="F223" s="7" t="s">
        <v>1271</v>
      </c>
      <c r="G223" s="7" t="s">
        <v>1740</v>
      </c>
      <c r="H223" s="7" t="s">
        <v>1679</v>
      </c>
      <c r="I223" s="7" t="s">
        <v>1686</v>
      </c>
      <c r="J223" s="7" t="s">
        <v>1688</v>
      </c>
      <c r="K223" s="7" t="s">
        <v>1714</v>
      </c>
      <c r="L223" s="2">
        <v>1</v>
      </c>
    </row>
    <row r="224" spans="1:12" ht="15" customHeight="1" x14ac:dyDescent="0.35">
      <c r="A224" s="7" t="s">
        <v>1</v>
      </c>
      <c r="B224" s="7" t="s">
        <v>190</v>
      </c>
      <c r="C224" s="7" t="s">
        <v>692</v>
      </c>
      <c r="D224" s="7" t="s">
        <v>943</v>
      </c>
      <c r="E224" s="9" t="s">
        <v>1979</v>
      </c>
      <c r="F224" s="7" t="s">
        <v>1272</v>
      </c>
      <c r="G224" s="7" t="s">
        <v>1737</v>
      </c>
      <c r="H224" s="7" t="s">
        <v>1677</v>
      </c>
      <c r="I224" s="7" t="s">
        <v>1686</v>
      </c>
      <c r="J224" s="7" t="s">
        <v>1688</v>
      </c>
      <c r="K224" s="7" t="s">
        <v>1698</v>
      </c>
      <c r="L224" s="2">
        <v>1</v>
      </c>
    </row>
    <row r="225" spans="1:12" ht="15" customHeight="1" x14ac:dyDescent="0.35">
      <c r="A225" s="7" t="s">
        <v>1</v>
      </c>
      <c r="B225" s="7" t="s">
        <v>191</v>
      </c>
      <c r="C225" s="7" t="s">
        <v>693</v>
      </c>
      <c r="D225" s="7" t="s">
        <v>629</v>
      </c>
      <c r="E225" s="9" t="s">
        <v>1980</v>
      </c>
      <c r="F225" s="7" t="s">
        <v>1273</v>
      </c>
      <c r="G225" s="7" t="s">
        <v>1742</v>
      </c>
      <c r="H225" s="7" t="s">
        <v>1679</v>
      </c>
      <c r="I225" s="7" t="s">
        <v>1686</v>
      </c>
      <c r="J225" s="7" t="s">
        <v>1688</v>
      </c>
      <c r="K225" s="7" t="s">
        <v>1694</v>
      </c>
      <c r="L225" s="2">
        <v>1</v>
      </c>
    </row>
    <row r="226" spans="1:12" ht="15" customHeight="1" x14ac:dyDescent="0.35">
      <c r="A226" s="7" t="s">
        <v>1</v>
      </c>
      <c r="B226" s="7" t="s">
        <v>192</v>
      </c>
      <c r="C226" s="7" t="s">
        <v>652</v>
      </c>
      <c r="D226" s="7" t="s">
        <v>539</v>
      </c>
      <c r="E226" s="9" t="s">
        <v>1981</v>
      </c>
      <c r="F226" s="7" t="s">
        <v>1274</v>
      </c>
      <c r="G226" s="7" t="s">
        <v>1742</v>
      </c>
      <c r="H226" s="7" t="s">
        <v>1680</v>
      </c>
      <c r="I226" s="7" t="s">
        <v>1686</v>
      </c>
      <c r="J226" s="7" t="s">
        <v>1688</v>
      </c>
      <c r="K226" s="7" t="s">
        <v>1695</v>
      </c>
      <c r="L226" s="2">
        <v>1</v>
      </c>
    </row>
    <row r="227" spans="1:12" ht="15" customHeight="1" x14ac:dyDescent="0.35">
      <c r="A227" s="7" t="s">
        <v>1</v>
      </c>
      <c r="B227" s="7" t="s">
        <v>193</v>
      </c>
      <c r="C227" s="7" t="s">
        <v>694</v>
      </c>
      <c r="D227" s="7" t="s">
        <v>944</v>
      </c>
      <c r="E227" s="9" t="s">
        <v>1982</v>
      </c>
      <c r="F227" s="7" t="s">
        <v>1275</v>
      </c>
      <c r="G227" s="7" t="s">
        <v>1739</v>
      </c>
      <c r="H227" s="7" t="s">
        <v>1677</v>
      </c>
      <c r="I227" s="7" t="s">
        <v>1685</v>
      </c>
      <c r="J227" s="7" t="s">
        <v>1688</v>
      </c>
      <c r="K227" s="7" t="s">
        <v>1691</v>
      </c>
      <c r="L227" s="2">
        <v>1</v>
      </c>
    </row>
    <row r="228" spans="1:12" ht="15" customHeight="1" x14ac:dyDescent="0.35">
      <c r="A228" s="7" t="s">
        <v>1</v>
      </c>
      <c r="B228" s="7" t="s">
        <v>194</v>
      </c>
      <c r="C228" s="7" t="s">
        <v>679</v>
      </c>
      <c r="D228" s="7" t="s">
        <v>945</v>
      </c>
      <c r="E228" s="9" t="s">
        <v>1983</v>
      </c>
      <c r="F228" s="7" t="s">
        <v>1276</v>
      </c>
      <c r="G228" s="7" t="s">
        <v>1740</v>
      </c>
      <c r="H228" s="7" t="s">
        <v>1679</v>
      </c>
      <c r="I228" s="7" t="s">
        <v>1685</v>
      </c>
      <c r="J228" s="7" t="s">
        <v>1688</v>
      </c>
      <c r="K228" s="7" t="s">
        <v>1714</v>
      </c>
      <c r="L228" s="2">
        <v>1</v>
      </c>
    </row>
    <row r="229" spans="1:12" ht="15" customHeight="1" x14ac:dyDescent="0.35">
      <c r="A229" s="7" t="s">
        <v>1</v>
      </c>
      <c r="B229" s="7" t="s">
        <v>195</v>
      </c>
      <c r="C229" s="7" t="s">
        <v>619</v>
      </c>
      <c r="D229" s="7" t="s">
        <v>946</v>
      </c>
      <c r="E229" s="9" t="s">
        <v>1984</v>
      </c>
      <c r="F229" s="7" t="s">
        <v>1277</v>
      </c>
      <c r="G229" s="7" t="s">
        <v>1737</v>
      </c>
      <c r="H229" s="7" t="s">
        <v>1677</v>
      </c>
      <c r="I229" s="7" t="s">
        <v>1686</v>
      </c>
      <c r="J229" s="7" t="s">
        <v>1688</v>
      </c>
      <c r="K229" s="7" t="s">
        <v>1698</v>
      </c>
      <c r="L229" s="2">
        <v>1</v>
      </c>
    </row>
    <row r="230" spans="1:12" ht="15" customHeight="1" x14ac:dyDescent="0.35">
      <c r="A230" s="7" t="s">
        <v>1</v>
      </c>
      <c r="B230" s="7" t="s">
        <v>196</v>
      </c>
      <c r="C230" s="7" t="s">
        <v>577</v>
      </c>
      <c r="D230" s="7" t="s">
        <v>947</v>
      </c>
      <c r="E230" s="9" t="s">
        <v>1985</v>
      </c>
      <c r="F230" s="7" t="s">
        <v>1278</v>
      </c>
      <c r="G230" s="7" t="s">
        <v>1747</v>
      </c>
      <c r="H230" s="7" t="s">
        <v>1680</v>
      </c>
      <c r="I230" s="7" t="s">
        <v>1685</v>
      </c>
      <c r="J230" s="7" t="s">
        <v>1688</v>
      </c>
      <c r="K230" s="7" t="s">
        <v>1723</v>
      </c>
      <c r="L230" s="2">
        <v>1</v>
      </c>
    </row>
    <row r="231" spans="1:12" ht="15" customHeight="1" x14ac:dyDescent="0.35">
      <c r="A231" s="7" t="s">
        <v>1</v>
      </c>
      <c r="B231" s="7" t="s">
        <v>197</v>
      </c>
      <c r="C231" s="7" t="s">
        <v>695</v>
      </c>
      <c r="D231" s="7" t="s">
        <v>627</v>
      </c>
      <c r="E231" s="9" t="s">
        <v>1986</v>
      </c>
      <c r="F231" s="7" t="s">
        <v>1279</v>
      </c>
      <c r="G231" s="7" t="s">
        <v>1743</v>
      </c>
      <c r="H231" s="7" t="s">
        <v>1677</v>
      </c>
      <c r="I231" s="7" t="s">
        <v>1685</v>
      </c>
      <c r="J231" s="7" t="s">
        <v>1688</v>
      </c>
      <c r="K231" s="7" t="s">
        <v>1720</v>
      </c>
      <c r="L231" s="2">
        <v>1</v>
      </c>
    </row>
    <row r="232" spans="1:12" ht="15" customHeight="1" x14ac:dyDescent="0.35">
      <c r="A232" s="7" t="s">
        <v>1</v>
      </c>
      <c r="B232" s="7" t="s">
        <v>198</v>
      </c>
      <c r="C232" s="7" t="s">
        <v>564</v>
      </c>
      <c r="D232" s="7" t="s">
        <v>671</v>
      </c>
      <c r="E232" s="9" t="s">
        <v>1987</v>
      </c>
      <c r="F232" s="7" t="s">
        <v>1280</v>
      </c>
      <c r="G232" s="7" t="s">
        <v>1739</v>
      </c>
      <c r="H232" s="7" t="s">
        <v>1680</v>
      </c>
      <c r="I232" s="7" t="s">
        <v>1685</v>
      </c>
      <c r="J232" s="7" t="s">
        <v>1688</v>
      </c>
      <c r="K232" s="7" t="s">
        <v>1716</v>
      </c>
      <c r="L232" s="2">
        <v>1</v>
      </c>
    </row>
    <row r="233" spans="1:12" ht="15" customHeight="1" x14ac:dyDescent="0.35">
      <c r="A233" s="7" t="s">
        <v>1</v>
      </c>
      <c r="B233" s="7" t="s">
        <v>199</v>
      </c>
      <c r="C233" s="7" t="s">
        <v>696</v>
      </c>
      <c r="D233" s="7" t="s">
        <v>648</v>
      </c>
      <c r="E233" s="9" t="s">
        <v>1988</v>
      </c>
      <c r="F233" s="7" t="s">
        <v>1281</v>
      </c>
      <c r="G233" s="7" t="s">
        <v>1737</v>
      </c>
      <c r="H233" s="7" t="s">
        <v>1677</v>
      </c>
      <c r="I233" s="7" t="s">
        <v>1686</v>
      </c>
      <c r="J233" s="7" t="s">
        <v>1688</v>
      </c>
      <c r="K233" s="7" t="s">
        <v>1698</v>
      </c>
      <c r="L233" s="2">
        <v>1</v>
      </c>
    </row>
    <row r="234" spans="1:12" ht="15" customHeight="1" x14ac:dyDescent="0.35">
      <c r="A234" s="7" t="s">
        <v>1</v>
      </c>
      <c r="B234" s="7" t="s">
        <v>200</v>
      </c>
      <c r="C234" s="7" t="s">
        <v>627</v>
      </c>
      <c r="D234" s="7" t="s">
        <v>535</v>
      </c>
      <c r="E234" s="9" t="s">
        <v>1989</v>
      </c>
      <c r="F234" s="7" t="s">
        <v>1282</v>
      </c>
      <c r="G234" s="7" t="s">
        <v>1740</v>
      </c>
      <c r="H234" s="7" t="s">
        <v>1677</v>
      </c>
      <c r="I234" s="7" t="s">
        <v>1685</v>
      </c>
      <c r="J234" s="7" t="s">
        <v>1688</v>
      </c>
      <c r="K234" s="7" t="s">
        <v>1699</v>
      </c>
      <c r="L234" s="2">
        <v>1</v>
      </c>
    </row>
    <row r="235" spans="1:12" ht="15" customHeight="1" x14ac:dyDescent="0.35">
      <c r="A235" s="7" t="s">
        <v>1</v>
      </c>
      <c r="B235" s="7" t="s">
        <v>201</v>
      </c>
      <c r="C235" s="7" t="s">
        <v>697</v>
      </c>
      <c r="D235" s="7" t="s">
        <v>948</v>
      </c>
      <c r="E235" s="9" t="s">
        <v>1990</v>
      </c>
      <c r="F235" s="7" t="s">
        <v>1283</v>
      </c>
      <c r="G235" s="7" t="s">
        <v>1740</v>
      </c>
      <c r="H235" s="7" t="s">
        <v>1679</v>
      </c>
      <c r="I235" s="7" t="s">
        <v>1685</v>
      </c>
      <c r="J235" s="7" t="s">
        <v>1688</v>
      </c>
      <c r="K235" s="7" t="s">
        <v>1714</v>
      </c>
      <c r="L235" s="2">
        <v>1</v>
      </c>
    </row>
    <row r="236" spans="1:12" ht="15" customHeight="1" x14ac:dyDescent="0.35">
      <c r="A236" s="7" t="s">
        <v>1</v>
      </c>
      <c r="B236" s="7" t="s">
        <v>202</v>
      </c>
      <c r="C236" s="7" t="s">
        <v>698</v>
      </c>
      <c r="D236" s="7" t="s">
        <v>949</v>
      </c>
      <c r="E236" s="9" t="s">
        <v>1991</v>
      </c>
      <c r="F236" s="7" t="s">
        <v>1284</v>
      </c>
      <c r="G236" s="7" t="s">
        <v>1741</v>
      </c>
      <c r="H236" s="7" t="s">
        <v>1680</v>
      </c>
      <c r="I236" s="7" t="s">
        <v>1685</v>
      </c>
      <c r="J236" s="7" t="s">
        <v>1688</v>
      </c>
      <c r="K236" s="7" t="s">
        <v>1724</v>
      </c>
      <c r="L236" s="2">
        <v>1</v>
      </c>
    </row>
    <row r="237" spans="1:12" ht="15" customHeight="1" x14ac:dyDescent="0.35">
      <c r="A237" s="7" t="s">
        <v>1</v>
      </c>
      <c r="B237" s="7" t="s">
        <v>203</v>
      </c>
      <c r="C237" s="7" t="s">
        <v>699</v>
      </c>
      <c r="D237" s="7" t="s">
        <v>591</v>
      </c>
      <c r="E237" s="9" t="s">
        <v>1992</v>
      </c>
      <c r="F237" s="7" t="s">
        <v>1285</v>
      </c>
      <c r="G237" s="7" t="s">
        <v>1745</v>
      </c>
      <c r="H237" s="7" t="s">
        <v>1678</v>
      </c>
      <c r="I237" s="7" t="s">
        <v>1685</v>
      </c>
      <c r="J237" s="7" t="s">
        <v>1688</v>
      </c>
      <c r="K237" s="7" t="s">
        <v>1710</v>
      </c>
      <c r="L237" s="2">
        <v>1</v>
      </c>
    </row>
    <row r="238" spans="1:12" ht="15" customHeight="1" x14ac:dyDescent="0.35">
      <c r="A238" s="7" t="s">
        <v>1</v>
      </c>
      <c r="B238" s="7" t="s">
        <v>204</v>
      </c>
      <c r="C238" s="7" t="s">
        <v>669</v>
      </c>
      <c r="D238" s="7" t="s">
        <v>621</v>
      </c>
      <c r="E238" s="9" t="s">
        <v>1993</v>
      </c>
      <c r="F238" s="7" t="s">
        <v>1286</v>
      </c>
      <c r="G238" s="7" t="s">
        <v>1743</v>
      </c>
      <c r="H238" s="7" t="s">
        <v>1680</v>
      </c>
      <c r="I238" s="7" t="s">
        <v>1686</v>
      </c>
      <c r="J238" s="7" t="s">
        <v>1688</v>
      </c>
      <c r="K238" s="7" t="s">
        <v>1704</v>
      </c>
      <c r="L238" s="2">
        <v>1</v>
      </c>
    </row>
    <row r="239" spans="1:12" ht="15" customHeight="1" x14ac:dyDescent="0.35">
      <c r="A239" s="7" t="s">
        <v>1</v>
      </c>
      <c r="B239" s="7" t="s">
        <v>205</v>
      </c>
      <c r="C239" s="7" t="s">
        <v>634</v>
      </c>
      <c r="D239" s="7" t="s">
        <v>589</v>
      </c>
      <c r="E239" s="9" t="s">
        <v>1994</v>
      </c>
      <c r="F239" s="7" t="s">
        <v>1287</v>
      </c>
      <c r="G239" s="7" t="s">
        <v>1745</v>
      </c>
      <c r="H239" s="7" t="s">
        <v>1677</v>
      </c>
      <c r="I239" s="7" t="s">
        <v>1685</v>
      </c>
      <c r="J239" s="7" t="s">
        <v>1688</v>
      </c>
      <c r="K239" s="7" t="s">
        <v>1709</v>
      </c>
      <c r="L239" s="2">
        <v>1</v>
      </c>
    </row>
    <row r="240" spans="1:12" ht="15" customHeight="1" x14ac:dyDescent="0.35">
      <c r="A240" s="7" t="s">
        <v>1</v>
      </c>
      <c r="B240" s="7" t="s">
        <v>206</v>
      </c>
      <c r="C240" s="7" t="s">
        <v>550</v>
      </c>
      <c r="D240" s="7" t="s">
        <v>949</v>
      </c>
      <c r="E240" s="9" t="s">
        <v>1995</v>
      </c>
      <c r="F240" s="7" t="s">
        <v>1288</v>
      </c>
      <c r="G240" s="7" t="s">
        <v>1739</v>
      </c>
      <c r="H240" s="7" t="s">
        <v>1677</v>
      </c>
      <c r="I240" s="7" t="s">
        <v>1686</v>
      </c>
      <c r="J240" s="7" t="s">
        <v>1688</v>
      </c>
      <c r="K240" s="7" t="s">
        <v>1691</v>
      </c>
      <c r="L240" s="2">
        <v>1</v>
      </c>
    </row>
    <row r="241" spans="1:12" ht="15" customHeight="1" x14ac:dyDescent="0.35">
      <c r="A241" s="7" t="s">
        <v>1</v>
      </c>
      <c r="B241" s="7" t="s">
        <v>207</v>
      </c>
      <c r="C241" s="7" t="s">
        <v>591</v>
      </c>
      <c r="D241" s="7" t="s">
        <v>857</v>
      </c>
      <c r="E241" s="9" t="s">
        <v>1996</v>
      </c>
      <c r="F241" s="7" t="s">
        <v>1289</v>
      </c>
      <c r="G241" s="7" t="s">
        <v>1743</v>
      </c>
      <c r="H241" s="7" t="s">
        <v>1678</v>
      </c>
      <c r="I241" s="7" t="s">
        <v>1686</v>
      </c>
      <c r="J241" s="7" t="s">
        <v>1688</v>
      </c>
      <c r="K241" s="7" t="s">
        <v>1731</v>
      </c>
      <c r="L241" s="2">
        <v>1</v>
      </c>
    </row>
    <row r="242" spans="1:12" ht="15" customHeight="1" x14ac:dyDescent="0.35">
      <c r="A242" s="7" t="s">
        <v>1</v>
      </c>
      <c r="B242" s="7" t="s">
        <v>208</v>
      </c>
      <c r="C242" s="7" t="s">
        <v>604</v>
      </c>
      <c r="D242" s="7" t="s">
        <v>950</v>
      </c>
      <c r="E242" s="9" t="s">
        <v>1997</v>
      </c>
      <c r="F242" s="7" t="s">
        <v>1290</v>
      </c>
      <c r="G242" s="7" t="s">
        <v>1742</v>
      </c>
      <c r="H242" s="7" t="s">
        <v>1680</v>
      </c>
      <c r="I242" s="7" t="s">
        <v>1685</v>
      </c>
      <c r="J242" s="7" t="s">
        <v>1688</v>
      </c>
      <c r="K242" s="7" t="s">
        <v>1695</v>
      </c>
      <c r="L242" s="2">
        <v>1</v>
      </c>
    </row>
    <row r="243" spans="1:12" ht="15" customHeight="1" x14ac:dyDescent="0.35">
      <c r="A243" s="7" t="s">
        <v>1</v>
      </c>
      <c r="B243" s="7" t="s">
        <v>209</v>
      </c>
      <c r="C243" s="7" t="s">
        <v>660</v>
      </c>
      <c r="D243" s="7" t="s">
        <v>715</v>
      </c>
      <c r="E243" s="9" t="s">
        <v>1998</v>
      </c>
      <c r="F243" s="7" t="s">
        <v>1291</v>
      </c>
      <c r="G243" s="7" t="s">
        <v>1742</v>
      </c>
      <c r="H243" s="7" t="s">
        <v>1678</v>
      </c>
      <c r="I243" s="7" t="s">
        <v>1686</v>
      </c>
      <c r="J243" s="7" t="s">
        <v>1688</v>
      </c>
      <c r="K243" s="7" t="s">
        <v>1700</v>
      </c>
      <c r="L243" s="2">
        <v>1</v>
      </c>
    </row>
    <row r="244" spans="1:12" ht="15" customHeight="1" x14ac:dyDescent="0.35">
      <c r="A244" s="7" t="s">
        <v>1</v>
      </c>
      <c r="B244" s="7" t="s">
        <v>210</v>
      </c>
      <c r="C244" s="7" t="s">
        <v>634</v>
      </c>
      <c r="D244" s="7" t="s">
        <v>951</v>
      </c>
      <c r="E244" s="9" t="s">
        <v>1999</v>
      </c>
      <c r="F244" s="7" t="s">
        <v>1292</v>
      </c>
      <c r="G244" s="7" t="s">
        <v>1737</v>
      </c>
      <c r="H244" s="7" t="s">
        <v>1678</v>
      </c>
      <c r="I244" s="7" t="s">
        <v>1686</v>
      </c>
      <c r="J244" s="7" t="s">
        <v>1688</v>
      </c>
      <c r="K244" s="7" t="s">
        <v>1721</v>
      </c>
      <c r="L244" s="2">
        <v>1</v>
      </c>
    </row>
    <row r="245" spans="1:12" ht="15" customHeight="1" x14ac:dyDescent="0.35">
      <c r="A245" s="7" t="s">
        <v>1</v>
      </c>
      <c r="B245" s="7" t="s">
        <v>211</v>
      </c>
      <c r="C245" s="7" t="s">
        <v>700</v>
      </c>
      <c r="D245" s="7" t="s">
        <v>653</v>
      </c>
      <c r="E245" s="9" t="s">
        <v>2000</v>
      </c>
      <c r="F245" s="7" t="s">
        <v>1293</v>
      </c>
      <c r="G245" s="7" t="s">
        <v>1744</v>
      </c>
      <c r="H245" s="7" t="s">
        <v>1677</v>
      </c>
      <c r="I245" s="7" t="s">
        <v>1685</v>
      </c>
      <c r="J245" s="7" t="s">
        <v>1688</v>
      </c>
      <c r="K245" s="7" t="s">
        <v>1713</v>
      </c>
      <c r="L245" s="2">
        <v>1</v>
      </c>
    </row>
    <row r="246" spans="1:12" ht="15" customHeight="1" x14ac:dyDescent="0.35">
      <c r="A246" s="7" t="s">
        <v>1</v>
      </c>
      <c r="B246" s="7" t="s">
        <v>212</v>
      </c>
      <c r="C246" s="7" t="s">
        <v>701</v>
      </c>
      <c r="D246" s="7" t="s">
        <v>711</v>
      </c>
      <c r="E246" s="9" t="s">
        <v>2001</v>
      </c>
      <c r="F246" s="7" t="s">
        <v>1294</v>
      </c>
      <c r="G246" s="7" t="s">
        <v>1742</v>
      </c>
      <c r="H246" s="7" t="s">
        <v>1680</v>
      </c>
      <c r="I246" s="7" t="s">
        <v>1686</v>
      </c>
      <c r="J246" s="7" t="s">
        <v>1688</v>
      </c>
      <c r="K246" s="7" t="s">
        <v>1695</v>
      </c>
      <c r="L246" s="2">
        <v>1</v>
      </c>
    </row>
    <row r="247" spans="1:12" ht="15" customHeight="1" x14ac:dyDescent="0.35">
      <c r="A247" s="7" t="s">
        <v>1</v>
      </c>
      <c r="B247" s="7" t="s">
        <v>213</v>
      </c>
      <c r="C247" s="7" t="s">
        <v>528</v>
      </c>
      <c r="D247" s="7" t="s">
        <v>679</v>
      </c>
      <c r="E247" s="9" t="s">
        <v>2002</v>
      </c>
      <c r="F247" s="7" t="s">
        <v>1295</v>
      </c>
      <c r="G247" s="7" t="s">
        <v>1742</v>
      </c>
      <c r="H247" s="7" t="s">
        <v>1678</v>
      </c>
      <c r="I247" s="7" t="s">
        <v>1686</v>
      </c>
      <c r="J247" s="7" t="s">
        <v>1688</v>
      </c>
      <c r="K247" s="7" t="s">
        <v>1700</v>
      </c>
      <c r="L247" s="2">
        <v>1</v>
      </c>
    </row>
    <row r="248" spans="1:12" ht="15" customHeight="1" x14ac:dyDescent="0.35">
      <c r="A248" s="7" t="s">
        <v>1</v>
      </c>
      <c r="B248" s="7" t="s">
        <v>214</v>
      </c>
      <c r="C248" s="7" t="s">
        <v>544</v>
      </c>
      <c r="D248" s="7" t="s">
        <v>589</v>
      </c>
      <c r="E248" s="9" t="s">
        <v>2003</v>
      </c>
      <c r="F248" s="7" t="s">
        <v>1296</v>
      </c>
      <c r="G248" s="7" t="s">
        <v>1738</v>
      </c>
      <c r="H248" s="7" t="s">
        <v>1678</v>
      </c>
      <c r="I248" s="7" t="s">
        <v>1686</v>
      </c>
      <c r="J248" s="7" t="s">
        <v>1688</v>
      </c>
      <c r="K248" s="7" t="s">
        <v>1705</v>
      </c>
      <c r="L248" s="2">
        <v>1</v>
      </c>
    </row>
    <row r="249" spans="1:12" ht="15" customHeight="1" x14ac:dyDescent="0.35">
      <c r="A249" s="7" t="s">
        <v>1</v>
      </c>
      <c r="B249" s="7" t="s">
        <v>215</v>
      </c>
      <c r="C249" s="7" t="s">
        <v>599</v>
      </c>
      <c r="D249" s="7" t="s">
        <v>952</v>
      </c>
      <c r="E249" s="9" t="s">
        <v>2004</v>
      </c>
      <c r="F249" s="7" t="s">
        <v>1297</v>
      </c>
      <c r="G249" s="7" t="s">
        <v>1747</v>
      </c>
      <c r="H249" s="7" t="s">
        <v>1680</v>
      </c>
      <c r="I249" s="7" t="s">
        <v>1685</v>
      </c>
      <c r="J249" s="7" t="s">
        <v>1688</v>
      </c>
      <c r="K249" s="7" t="s">
        <v>1723</v>
      </c>
      <c r="L249" s="2">
        <v>1</v>
      </c>
    </row>
    <row r="250" spans="1:12" ht="15" customHeight="1" x14ac:dyDescent="0.35">
      <c r="A250" s="7" t="s">
        <v>1</v>
      </c>
      <c r="B250" s="7" t="s">
        <v>216</v>
      </c>
      <c r="C250" s="7" t="s">
        <v>702</v>
      </c>
      <c r="D250" s="7" t="s">
        <v>868</v>
      </c>
      <c r="E250" s="9" t="s">
        <v>2005</v>
      </c>
      <c r="F250" s="7" t="s">
        <v>1298</v>
      </c>
      <c r="G250" s="7" t="s">
        <v>1744</v>
      </c>
      <c r="H250" s="7" t="s">
        <v>1679</v>
      </c>
      <c r="I250" s="7" t="s">
        <v>1685</v>
      </c>
      <c r="J250" s="7" t="s">
        <v>1688</v>
      </c>
      <c r="K250" s="7" t="s">
        <v>1722</v>
      </c>
      <c r="L250" s="2">
        <v>1</v>
      </c>
    </row>
    <row r="251" spans="1:12" ht="15" customHeight="1" x14ac:dyDescent="0.35">
      <c r="A251" s="7" t="s">
        <v>1</v>
      </c>
      <c r="B251" s="7" t="s">
        <v>216</v>
      </c>
      <c r="C251" s="7" t="s">
        <v>703</v>
      </c>
      <c r="D251" s="7" t="s">
        <v>792</v>
      </c>
      <c r="E251" s="9" t="s">
        <v>2006</v>
      </c>
      <c r="F251" s="7" t="s">
        <v>1299</v>
      </c>
      <c r="G251" s="7" t="s">
        <v>1745</v>
      </c>
      <c r="H251" s="7" t="s">
        <v>1680</v>
      </c>
      <c r="I251" s="7" t="s">
        <v>1685</v>
      </c>
      <c r="J251" s="7" t="s">
        <v>1688</v>
      </c>
      <c r="K251" s="7" t="s">
        <v>1718</v>
      </c>
      <c r="L251" s="2">
        <v>1</v>
      </c>
    </row>
    <row r="252" spans="1:12" ht="15" customHeight="1" x14ac:dyDescent="0.35">
      <c r="A252" s="7" t="s">
        <v>1</v>
      </c>
      <c r="B252" s="7" t="s">
        <v>217</v>
      </c>
      <c r="C252" s="7" t="s">
        <v>704</v>
      </c>
      <c r="D252" s="7" t="s">
        <v>610</v>
      </c>
      <c r="E252" s="9" t="s">
        <v>2007</v>
      </c>
      <c r="F252" s="7" t="s">
        <v>1300</v>
      </c>
      <c r="G252" s="7" t="s">
        <v>1745</v>
      </c>
      <c r="H252" s="7" t="s">
        <v>1678</v>
      </c>
      <c r="I252" s="7" t="s">
        <v>1686</v>
      </c>
      <c r="J252" s="7" t="s">
        <v>1688</v>
      </c>
      <c r="K252" s="7" t="s">
        <v>1710</v>
      </c>
      <c r="L252" s="2">
        <v>1</v>
      </c>
    </row>
    <row r="253" spans="1:12" ht="15" customHeight="1" x14ac:dyDescent="0.35">
      <c r="A253" s="7" t="s">
        <v>1</v>
      </c>
      <c r="B253" s="7" t="s">
        <v>218</v>
      </c>
      <c r="C253" s="7" t="s">
        <v>636</v>
      </c>
      <c r="D253" s="7" t="s">
        <v>953</v>
      </c>
      <c r="E253" s="9" t="s">
        <v>2008</v>
      </c>
      <c r="F253" s="7" t="s">
        <v>1301</v>
      </c>
      <c r="G253" s="7" t="s">
        <v>1740</v>
      </c>
      <c r="H253" s="7" t="s">
        <v>1680</v>
      </c>
      <c r="I253" s="7" t="s">
        <v>1685</v>
      </c>
      <c r="J253" s="7" t="s">
        <v>1688</v>
      </c>
      <c r="K253" s="7" t="s">
        <v>1715</v>
      </c>
      <c r="L253" s="2">
        <v>1</v>
      </c>
    </row>
    <row r="254" spans="1:12" ht="15" customHeight="1" x14ac:dyDescent="0.35">
      <c r="A254" s="7" t="s">
        <v>1</v>
      </c>
      <c r="B254" s="7" t="s">
        <v>219</v>
      </c>
      <c r="C254" s="7" t="s">
        <v>585</v>
      </c>
      <c r="D254" s="7" t="s">
        <v>656</v>
      </c>
      <c r="E254" s="9" t="s">
        <v>2009</v>
      </c>
      <c r="F254" s="7" t="s">
        <v>1302</v>
      </c>
      <c r="G254" s="7" t="s">
        <v>1742</v>
      </c>
      <c r="H254" s="7" t="s">
        <v>1681</v>
      </c>
      <c r="I254" s="7" t="s">
        <v>1686</v>
      </c>
      <c r="J254" s="7" t="s">
        <v>1688</v>
      </c>
      <c r="K254" s="7" t="s">
        <v>1697</v>
      </c>
      <c r="L254" s="2">
        <v>1</v>
      </c>
    </row>
    <row r="255" spans="1:12" ht="15" customHeight="1" x14ac:dyDescent="0.35">
      <c r="A255" s="7" t="s">
        <v>1</v>
      </c>
      <c r="B255" s="7" t="s">
        <v>220</v>
      </c>
      <c r="C255" s="7" t="s">
        <v>652</v>
      </c>
      <c r="D255" s="7" t="s">
        <v>591</v>
      </c>
      <c r="E255" s="9" t="s">
        <v>2010</v>
      </c>
      <c r="F255" s="7" t="s">
        <v>1303</v>
      </c>
      <c r="G255" s="7" t="s">
        <v>1745</v>
      </c>
      <c r="H255" s="7" t="s">
        <v>1680</v>
      </c>
      <c r="I255" s="7" t="s">
        <v>1686</v>
      </c>
      <c r="J255" s="7" t="s">
        <v>1688</v>
      </c>
      <c r="K255" s="7" t="s">
        <v>1718</v>
      </c>
      <c r="L255" s="2">
        <v>1</v>
      </c>
    </row>
    <row r="256" spans="1:12" ht="15" customHeight="1" x14ac:dyDescent="0.35">
      <c r="A256" s="7" t="s">
        <v>1</v>
      </c>
      <c r="B256" s="7" t="s">
        <v>221</v>
      </c>
      <c r="C256" s="7" t="s">
        <v>705</v>
      </c>
      <c r="D256" s="7" t="s">
        <v>715</v>
      </c>
      <c r="E256" s="9" t="s">
        <v>2011</v>
      </c>
      <c r="F256" s="7" t="s">
        <v>1304</v>
      </c>
      <c r="G256" s="7" t="s">
        <v>1748</v>
      </c>
      <c r="H256" s="7" t="s">
        <v>1679</v>
      </c>
      <c r="I256" s="7" t="s">
        <v>1685</v>
      </c>
      <c r="J256" s="7" t="s">
        <v>1688</v>
      </c>
      <c r="K256" s="7" t="s">
        <v>1729</v>
      </c>
      <c r="L256" s="2">
        <v>1</v>
      </c>
    </row>
    <row r="257" spans="1:12" ht="15" customHeight="1" x14ac:dyDescent="0.35">
      <c r="A257" s="7" t="s">
        <v>1</v>
      </c>
      <c r="B257" s="7" t="s">
        <v>222</v>
      </c>
      <c r="C257" s="7" t="s">
        <v>607</v>
      </c>
      <c r="D257" s="7" t="s">
        <v>849</v>
      </c>
      <c r="E257" s="9" t="s">
        <v>2012</v>
      </c>
      <c r="F257" s="7" t="s">
        <v>1305</v>
      </c>
      <c r="G257" s="7" t="s">
        <v>1739</v>
      </c>
      <c r="H257" s="7" t="s">
        <v>1678</v>
      </c>
      <c r="I257" s="7" t="s">
        <v>1685</v>
      </c>
      <c r="J257" s="7" t="s">
        <v>1688</v>
      </c>
      <c r="K257" s="7" t="s">
        <v>1726</v>
      </c>
      <c r="L257" s="2">
        <v>1</v>
      </c>
    </row>
    <row r="258" spans="1:12" ht="15" customHeight="1" x14ac:dyDescent="0.35">
      <c r="A258" s="7" t="s">
        <v>1</v>
      </c>
      <c r="B258" s="7" t="s">
        <v>223</v>
      </c>
      <c r="C258" s="7" t="s">
        <v>637</v>
      </c>
      <c r="D258" s="7" t="s">
        <v>954</v>
      </c>
      <c r="E258" s="9" t="s">
        <v>2013</v>
      </c>
      <c r="F258" s="7" t="s">
        <v>1306</v>
      </c>
      <c r="G258" s="7" t="s">
        <v>1737</v>
      </c>
      <c r="H258" s="7" t="s">
        <v>1677</v>
      </c>
      <c r="I258" s="7" t="s">
        <v>1686</v>
      </c>
      <c r="J258" s="7" t="s">
        <v>1688</v>
      </c>
      <c r="K258" s="7" t="s">
        <v>1698</v>
      </c>
      <c r="L258" s="2">
        <v>1</v>
      </c>
    </row>
    <row r="259" spans="1:12" ht="15" customHeight="1" x14ac:dyDescent="0.35">
      <c r="A259" s="7" t="s">
        <v>1</v>
      </c>
      <c r="B259" s="7" t="s">
        <v>224</v>
      </c>
      <c r="C259" s="7" t="s">
        <v>706</v>
      </c>
      <c r="D259" s="7" t="s">
        <v>597</v>
      </c>
      <c r="E259" s="9" t="s">
        <v>2014</v>
      </c>
      <c r="F259" s="7" t="s">
        <v>1307</v>
      </c>
      <c r="G259" s="7" t="s">
        <v>1745</v>
      </c>
      <c r="H259" s="7" t="s">
        <v>1679</v>
      </c>
      <c r="I259" s="7" t="s">
        <v>1685</v>
      </c>
      <c r="J259" s="7" t="s">
        <v>1688</v>
      </c>
      <c r="K259" s="7" t="s">
        <v>1717</v>
      </c>
      <c r="L259" s="2">
        <v>1</v>
      </c>
    </row>
    <row r="260" spans="1:12" ht="15" customHeight="1" x14ac:dyDescent="0.35">
      <c r="A260" s="7" t="s">
        <v>1</v>
      </c>
      <c r="B260" s="7" t="s">
        <v>225</v>
      </c>
      <c r="C260" s="7" t="s">
        <v>544</v>
      </c>
      <c r="D260" s="7" t="s">
        <v>873</v>
      </c>
      <c r="E260" s="9" t="s">
        <v>2015</v>
      </c>
      <c r="F260" s="7" t="s">
        <v>1308</v>
      </c>
      <c r="G260" s="7" t="s">
        <v>1743</v>
      </c>
      <c r="H260" s="7" t="s">
        <v>1679</v>
      </c>
      <c r="I260" s="7" t="s">
        <v>1685</v>
      </c>
      <c r="J260" s="7" t="s">
        <v>1688</v>
      </c>
      <c r="K260" s="7" t="s">
        <v>1702</v>
      </c>
      <c r="L260" s="2">
        <v>1</v>
      </c>
    </row>
    <row r="261" spans="1:12" ht="15" customHeight="1" x14ac:dyDescent="0.35">
      <c r="A261" s="7" t="s">
        <v>1</v>
      </c>
      <c r="B261" s="7" t="s">
        <v>226</v>
      </c>
      <c r="C261" s="7" t="s">
        <v>622</v>
      </c>
      <c r="D261" s="7" t="s">
        <v>793</v>
      </c>
      <c r="E261" s="9" t="s">
        <v>2016</v>
      </c>
      <c r="F261" s="7" t="s">
        <v>1309</v>
      </c>
      <c r="G261" s="7" t="s">
        <v>1742</v>
      </c>
      <c r="H261" s="7" t="s">
        <v>1678</v>
      </c>
      <c r="I261" s="7" t="s">
        <v>1686</v>
      </c>
      <c r="J261" s="7" t="s">
        <v>1688</v>
      </c>
      <c r="K261" s="7" t="s">
        <v>1701</v>
      </c>
      <c r="L261" s="2">
        <v>1</v>
      </c>
    </row>
    <row r="262" spans="1:12" ht="15" customHeight="1" x14ac:dyDescent="0.35">
      <c r="A262" s="7" t="s">
        <v>1</v>
      </c>
      <c r="B262" s="7" t="s">
        <v>227</v>
      </c>
      <c r="C262" s="7" t="s">
        <v>707</v>
      </c>
      <c r="D262" s="7" t="s">
        <v>531</v>
      </c>
      <c r="E262" s="9" t="s">
        <v>2017</v>
      </c>
      <c r="F262" s="7" t="s">
        <v>1310</v>
      </c>
      <c r="G262" s="7" t="s">
        <v>1742</v>
      </c>
      <c r="H262" s="7" t="s">
        <v>1677</v>
      </c>
      <c r="I262" s="7" t="s">
        <v>1686</v>
      </c>
      <c r="J262" s="7" t="s">
        <v>1688</v>
      </c>
      <c r="K262" s="7" t="s">
        <v>1712</v>
      </c>
      <c r="L262" s="2">
        <v>1</v>
      </c>
    </row>
    <row r="263" spans="1:12" ht="15" customHeight="1" x14ac:dyDescent="0.35">
      <c r="A263" s="7" t="s">
        <v>1</v>
      </c>
      <c r="B263" s="7" t="s">
        <v>228</v>
      </c>
      <c r="C263" s="7" t="s">
        <v>708</v>
      </c>
      <c r="D263" s="7" t="s">
        <v>873</v>
      </c>
      <c r="E263" s="9" t="s">
        <v>2018</v>
      </c>
      <c r="F263" s="7" t="s">
        <v>1311</v>
      </c>
      <c r="G263" s="7" t="s">
        <v>1749</v>
      </c>
      <c r="H263" s="7" t="s">
        <v>1679</v>
      </c>
      <c r="I263" s="7" t="s">
        <v>1686</v>
      </c>
      <c r="J263" s="7" t="s">
        <v>1688</v>
      </c>
      <c r="K263" s="7" t="s">
        <v>1728</v>
      </c>
      <c r="L263" s="2">
        <v>1</v>
      </c>
    </row>
    <row r="264" spans="1:12" ht="15" customHeight="1" x14ac:dyDescent="0.35">
      <c r="A264" s="7" t="s">
        <v>1</v>
      </c>
      <c r="B264" s="7" t="s">
        <v>229</v>
      </c>
      <c r="C264" s="7" t="s">
        <v>709</v>
      </c>
      <c r="D264" s="7" t="s">
        <v>873</v>
      </c>
      <c r="E264" s="9" t="s">
        <v>2019</v>
      </c>
      <c r="F264" s="7" t="s">
        <v>1312</v>
      </c>
      <c r="G264" s="7" t="s">
        <v>1737</v>
      </c>
      <c r="H264" s="7" t="s">
        <v>1678</v>
      </c>
      <c r="I264" s="7" t="s">
        <v>1686</v>
      </c>
      <c r="J264" s="7" t="s">
        <v>1688</v>
      </c>
      <c r="K264" s="7" t="s">
        <v>1721</v>
      </c>
      <c r="L264" s="2">
        <v>1</v>
      </c>
    </row>
    <row r="265" spans="1:12" ht="15" customHeight="1" x14ac:dyDescent="0.35">
      <c r="A265" s="7" t="s">
        <v>1</v>
      </c>
      <c r="B265" s="7" t="s">
        <v>230</v>
      </c>
      <c r="C265" s="7" t="s">
        <v>710</v>
      </c>
      <c r="D265" s="7" t="s">
        <v>548</v>
      </c>
      <c r="E265" s="9" t="s">
        <v>2020</v>
      </c>
      <c r="F265" s="7" t="s">
        <v>1313</v>
      </c>
      <c r="G265" s="7" t="s">
        <v>1742</v>
      </c>
      <c r="H265" s="7" t="s">
        <v>1678</v>
      </c>
      <c r="I265" s="7" t="s">
        <v>1686</v>
      </c>
      <c r="J265" s="7" t="s">
        <v>1688</v>
      </c>
      <c r="K265" s="7" t="s">
        <v>1701</v>
      </c>
      <c r="L265" s="2">
        <v>1</v>
      </c>
    </row>
    <row r="266" spans="1:12" ht="15" customHeight="1" x14ac:dyDescent="0.35">
      <c r="A266" s="7" t="s">
        <v>1</v>
      </c>
      <c r="B266" s="7" t="s">
        <v>231</v>
      </c>
      <c r="C266" s="7" t="s">
        <v>682</v>
      </c>
      <c r="D266" s="7" t="s">
        <v>630</v>
      </c>
      <c r="E266" s="9" t="s">
        <v>2021</v>
      </c>
      <c r="F266" s="7" t="s">
        <v>1314</v>
      </c>
      <c r="G266" s="7" t="s">
        <v>1743</v>
      </c>
      <c r="H266" s="7" t="s">
        <v>1680</v>
      </c>
      <c r="I266" s="7" t="s">
        <v>1685</v>
      </c>
      <c r="J266" s="7" t="s">
        <v>1688</v>
      </c>
      <c r="K266" s="7" t="s">
        <v>1704</v>
      </c>
      <c r="L266" s="2">
        <v>1</v>
      </c>
    </row>
    <row r="267" spans="1:12" ht="15" customHeight="1" x14ac:dyDescent="0.35">
      <c r="A267" s="7" t="s">
        <v>1</v>
      </c>
      <c r="B267" s="7" t="s">
        <v>232</v>
      </c>
      <c r="C267" s="7" t="s">
        <v>573</v>
      </c>
      <c r="D267" s="7" t="s">
        <v>855</v>
      </c>
      <c r="E267" s="9" t="s">
        <v>2022</v>
      </c>
      <c r="F267" s="7" t="s">
        <v>1315</v>
      </c>
      <c r="G267" s="7" t="s">
        <v>1737</v>
      </c>
      <c r="H267" s="7" t="s">
        <v>1678</v>
      </c>
      <c r="I267" s="7" t="s">
        <v>1686</v>
      </c>
      <c r="J267" s="7" t="s">
        <v>1688</v>
      </c>
      <c r="K267" s="7" t="s">
        <v>1721</v>
      </c>
      <c r="L267" s="2">
        <v>1</v>
      </c>
    </row>
    <row r="268" spans="1:12" ht="15" customHeight="1" x14ac:dyDescent="0.35">
      <c r="A268" s="7" t="s">
        <v>1</v>
      </c>
      <c r="B268" s="7" t="s">
        <v>233</v>
      </c>
      <c r="C268" s="7" t="s">
        <v>711</v>
      </c>
      <c r="D268" s="7" t="s">
        <v>599</v>
      </c>
      <c r="E268" s="9" t="s">
        <v>2023</v>
      </c>
      <c r="F268" s="7" t="s">
        <v>1316</v>
      </c>
      <c r="G268" s="7" t="s">
        <v>1737</v>
      </c>
      <c r="H268" s="7" t="s">
        <v>1677</v>
      </c>
      <c r="I268" s="7" t="s">
        <v>1686</v>
      </c>
      <c r="J268" s="7" t="s">
        <v>1688</v>
      </c>
      <c r="K268" s="7" t="s">
        <v>1698</v>
      </c>
      <c r="L268" s="2">
        <v>1</v>
      </c>
    </row>
    <row r="269" spans="1:12" ht="15" customHeight="1" x14ac:dyDescent="0.35">
      <c r="A269" s="7" t="s">
        <v>1</v>
      </c>
      <c r="B269" s="7" t="s">
        <v>234</v>
      </c>
      <c r="C269" s="7" t="s">
        <v>613</v>
      </c>
      <c r="D269" s="7" t="s">
        <v>955</v>
      </c>
      <c r="E269" s="9" t="s">
        <v>2024</v>
      </c>
      <c r="F269" s="7" t="s">
        <v>1317</v>
      </c>
      <c r="G269" s="7" t="s">
        <v>1742</v>
      </c>
      <c r="H269" s="7" t="s">
        <v>1680</v>
      </c>
      <c r="I269" s="7" t="s">
        <v>1686</v>
      </c>
      <c r="J269" s="7" t="s">
        <v>1688</v>
      </c>
      <c r="K269" s="7" t="s">
        <v>1695</v>
      </c>
      <c r="L269" s="2">
        <v>1</v>
      </c>
    </row>
    <row r="270" spans="1:12" ht="15" customHeight="1" x14ac:dyDescent="0.35">
      <c r="A270" s="7" t="s">
        <v>1</v>
      </c>
      <c r="B270" s="7" t="s">
        <v>235</v>
      </c>
      <c r="C270" s="7" t="s">
        <v>712</v>
      </c>
      <c r="D270" s="7" t="s">
        <v>593</v>
      </c>
      <c r="E270" s="9" t="s">
        <v>2025</v>
      </c>
      <c r="F270" s="7" t="s">
        <v>1318</v>
      </c>
      <c r="G270" s="7" t="s">
        <v>1741</v>
      </c>
      <c r="H270" s="7" t="s">
        <v>1679</v>
      </c>
      <c r="I270" s="7" t="s">
        <v>1686</v>
      </c>
      <c r="J270" s="7" t="s">
        <v>1688</v>
      </c>
      <c r="K270" s="7" t="s">
        <v>1693</v>
      </c>
      <c r="L270" s="2">
        <v>1</v>
      </c>
    </row>
    <row r="271" spans="1:12" ht="15" customHeight="1" x14ac:dyDescent="0.35">
      <c r="A271" s="7" t="s">
        <v>1</v>
      </c>
      <c r="B271" s="7" t="s">
        <v>236</v>
      </c>
      <c r="C271" s="7" t="s">
        <v>531</v>
      </c>
      <c r="D271" s="7" t="s">
        <v>956</v>
      </c>
      <c r="E271" s="9" t="s">
        <v>2026</v>
      </c>
      <c r="F271" s="7" t="s">
        <v>1319</v>
      </c>
      <c r="G271" s="7" t="s">
        <v>1737</v>
      </c>
      <c r="H271" s="7" t="s">
        <v>1677</v>
      </c>
      <c r="I271" s="7" t="s">
        <v>1686</v>
      </c>
      <c r="J271" s="7" t="s">
        <v>1688</v>
      </c>
      <c r="K271" s="7" t="s">
        <v>1698</v>
      </c>
      <c r="L271" s="2">
        <v>1</v>
      </c>
    </row>
    <row r="272" spans="1:12" ht="15" customHeight="1" x14ac:dyDescent="0.35">
      <c r="A272" s="7" t="s">
        <v>1</v>
      </c>
      <c r="B272" s="7" t="s">
        <v>237</v>
      </c>
      <c r="C272" s="7" t="s">
        <v>713</v>
      </c>
      <c r="D272" s="7" t="s">
        <v>957</v>
      </c>
      <c r="E272" s="9" t="s">
        <v>2027</v>
      </c>
      <c r="F272" s="7" t="s">
        <v>1320</v>
      </c>
      <c r="G272" s="7" t="s">
        <v>1737</v>
      </c>
      <c r="H272" s="7" t="s">
        <v>1679</v>
      </c>
      <c r="I272" s="7" t="s">
        <v>1686</v>
      </c>
      <c r="J272" s="7" t="s">
        <v>1688</v>
      </c>
      <c r="K272" s="7" t="s">
        <v>1707</v>
      </c>
      <c r="L272" s="2">
        <v>1</v>
      </c>
    </row>
    <row r="273" spans="1:12" ht="15" customHeight="1" x14ac:dyDescent="0.35">
      <c r="A273" s="7" t="s">
        <v>1</v>
      </c>
      <c r="B273" s="7" t="s">
        <v>238</v>
      </c>
      <c r="C273" s="7" t="s">
        <v>606</v>
      </c>
      <c r="D273" s="7" t="s">
        <v>531</v>
      </c>
      <c r="E273" s="9" t="s">
        <v>2028</v>
      </c>
      <c r="F273" s="7" t="s">
        <v>1321</v>
      </c>
      <c r="G273" s="7" t="s">
        <v>1742</v>
      </c>
      <c r="H273" s="7" t="s">
        <v>1677</v>
      </c>
      <c r="I273" s="7" t="s">
        <v>1685</v>
      </c>
      <c r="J273" s="7" t="s">
        <v>1688</v>
      </c>
      <c r="K273" s="7" t="s">
        <v>1712</v>
      </c>
      <c r="L273" s="2">
        <v>1</v>
      </c>
    </row>
    <row r="274" spans="1:12" ht="15" customHeight="1" x14ac:dyDescent="0.35">
      <c r="A274" s="7" t="s">
        <v>1</v>
      </c>
      <c r="B274" s="7" t="s">
        <v>239</v>
      </c>
      <c r="C274" s="7" t="s">
        <v>544</v>
      </c>
      <c r="D274" s="7" t="s">
        <v>544</v>
      </c>
      <c r="E274" s="9" t="s">
        <v>2029</v>
      </c>
      <c r="F274" s="7" t="s">
        <v>1322</v>
      </c>
      <c r="G274" s="7" t="s">
        <v>1748</v>
      </c>
      <c r="H274" s="7" t="s">
        <v>1679</v>
      </c>
      <c r="I274" s="7" t="s">
        <v>1685</v>
      </c>
      <c r="J274" s="7" t="s">
        <v>1688</v>
      </c>
      <c r="K274" s="7" t="s">
        <v>1729</v>
      </c>
      <c r="L274" s="2">
        <v>1</v>
      </c>
    </row>
    <row r="275" spans="1:12" ht="15" customHeight="1" x14ac:dyDescent="0.35">
      <c r="A275" s="7" t="s">
        <v>1</v>
      </c>
      <c r="B275" s="7" t="s">
        <v>240</v>
      </c>
      <c r="C275" s="7" t="s">
        <v>714</v>
      </c>
      <c r="D275" s="7" t="s">
        <v>635</v>
      </c>
      <c r="E275" s="9" t="s">
        <v>2030</v>
      </c>
      <c r="F275" s="7" t="s">
        <v>1323</v>
      </c>
      <c r="G275" s="7" t="s">
        <v>1743</v>
      </c>
      <c r="H275" s="7" t="s">
        <v>1678</v>
      </c>
      <c r="I275" s="7" t="s">
        <v>1686</v>
      </c>
      <c r="J275" s="7" t="s">
        <v>1688</v>
      </c>
      <c r="K275" s="7" t="s">
        <v>1731</v>
      </c>
      <c r="L275" s="2">
        <v>1</v>
      </c>
    </row>
    <row r="276" spans="1:12" ht="15" customHeight="1" x14ac:dyDescent="0.35">
      <c r="A276" s="7" t="s">
        <v>1</v>
      </c>
      <c r="B276" s="7" t="s">
        <v>241</v>
      </c>
      <c r="C276" s="7" t="s">
        <v>715</v>
      </c>
      <c r="D276" s="7" t="s">
        <v>958</v>
      </c>
      <c r="E276" s="9" t="s">
        <v>2031</v>
      </c>
      <c r="F276" s="7" t="s">
        <v>1324</v>
      </c>
      <c r="G276" s="7" t="s">
        <v>1737</v>
      </c>
      <c r="H276" s="7" t="s">
        <v>1677</v>
      </c>
      <c r="I276" s="7" t="s">
        <v>1686</v>
      </c>
      <c r="J276" s="7" t="s">
        <v>1688</v>
      </c>
      <c r="K276" s="7" t="s">
        <v>1698</v>
      </c>
      <c r="L276" s="2">
        <v>1</v>
      </c>
    </row>
    <row r="277" spans="1:12" ht="15" customHeight="1" x14ac:dyDescent="0.35">
      <c r="A277" s="7" t="s">
        <v>1</v>
      </c>
      <c r="B277" s="7" t="s">
        <v>242</v>
      </c>
      <c r="C277" s="7" t="s">
        <v>716</v>
      </c>
      <c r="D277" s="7" t="s">
        <v>959</v>
      </c>
      <c r="E277" s="9" t="s">
        <v>2032</v>
      </c>
      <c r="F277" s="7" t="s">
        <v>1325</v>
      </c>
      <c r="G277" s="7" t="s">
        <v>1737</v>
      </c>
      <c r="H277" s="7" t="s">
        <v>1677</v>
      </c>
      <c r="I277" s="7" t="s">
        <v>1686</v>
      </c>
      <c r="J277" s="7" t="s">
        <v>1688</v>
      </c>
      <c r="K277" s="7" t="s">
        <v>1698</v>
      </c>
      <c r="L277" s="2">
        <v>1</v>
      </c>
    </row>
    <row r="278" spans="1:12" ht="15" customHeight="1" x14ac:dyDescent="0.35">
      <c r="A278" s="7" t="s">
        <v>1</v>
      </c>
      <c r="B278" s="7" t="s">
        <v>243</v>
      </c>
      <c r="C278" s="7" t="s">
        <v>539</v>
      </c>
      <c r="D278" s="7" t="s">
        <v>636</v>
      </c>
      <c r="E278" s="9" t="s">
        <v>2033</v>
      </c>
      <c r="F278" s="7" t="s">
        <v>1326</v>
      </c>
      <c r="G278" s="7" t="s">
        <v>1746</v>
      </c>
      <c r="H278" s="7" t="s">
        <v>1680</v>
      </c>
      <c r="I278" s="7" t="s">
        <v>1686</v>
      </c>
      <c r="J278" s="7" t="s">
        <v>1688</v>
      </c>
      <c r="K278" s="7" t="s">
        <v>1719</v>
      </c>
      <c r="L278" s="2">
        <v>1</v>
      </c>
    </row>
    <row r="279" spans="1:12" ht="15" customHeight="1" x14ac:dyDescent="0.35">
      <c r="A279" s="7" t="s">
        <v>1</v>
      </c>
      <c r="B279" s="7" t="s">
        <v>244</v>
      </c>
      <c r="C279" s="7" t="s">
        <v>543</v>
      </c>
      <c r="D279" s="7" t="s">
        <v>960</v>
      </c>
      <c r="E279" s="9" t="s">
        <v>2034</v>
      </c>
      <c r="F279" s="7" t="s">
        <v>1327</v>
      </c>
      <c r="G279" s="7" t="s">
        <v>1742</v>
      </c>
      <c r="H279" s="7" t="s">
        <v>1677</v>
      </c>
      <c r="I279" s="7" t="s">
        <v>1686</v>
      </c>
      <c r="J279" s="7" t="s">
        <v>1688</v>
      </c>
      <c r="K279" s="7" t="s">
        <v>1712</v>
      </c>
      <c r="L279" s="2">
        <v>1</v>
      </c>
    </row>
    <row r="280" spans="1:12" ht="15" customHeight="1" x14ac:dyDescent="0.35">
      <c r="A280" s="7" t="s">
        <v>1</v>
      </c>
      <c r="B280" s="7" t="s">
        <v>245</v>
      </c>
      <c r="C280" s="7" t="s">
        <v>578</v>
      </c>
      <c r="D280" s="7" t="s">
        <v>563</v>
      </c>
      <c r="E280" s="9" t="s">
        <v>2035</v>
      </c>
      <c r="F280" s="7" t="s">
        <v>1328</v>
      </c>
      <c r="G280" s="7" t="s">
        <v>1737</v>
      </c>
      <c r="H280" s="7" t="s">
        <v>1677</v>
      </c>
      <c r="I280" s="7" t="s">
        <v>1686</v>
      </c>
      <c r="J280" s="7" t="s">
        <v>1688</v>
      </c>
      <c r="K280" s="7" t="s">
        <v>1698</v>
      </c>
      <c r="L280" s="2">
        <v>1</v>
      </c>
    </row>
    <row r="281" spans="1:12" ht="15" customHeight="1" x14ac:dyDescent="0.35">
      <c r="A281" s="7" t="s">
        <v>1</v>
      </c>
      <c r="B281" s="7" t="s">
        <v>246</v>
      </c>
      <c r="C281" s="7" t="s">
        <v>717</v>
      </c>
      <c r="D281" s="7" t="s">
        <v>536</v>
      </c>
      <c r="E281" s="9" t="s">
        <v>2036</v>
      </c>
      <c r="F281" s="7" t="s">
        <v>1329</v>
      </c>
      <c r="G281" s="7" t="s">
        <v>1743</v>
      </c>
      <c r="H281" s="7" t="s">
        <v>1677</v>
      </c>
      <c r="I281" s="7" t="s">
        <v>1685</v>
      </c>
      <c r="J281" s="7" t="s">
        <v>1688</v>
      </c>
      <c r="K281" s="7" t="s">
        <v>1720</v>
      </c>
      <c r="L281" s="2">
        <v>1</v>
      </c>
    </row>
    <row r="282" spans="1:12" ht="15" customHeight="1" x14ac:dyDescent="0.35">
      <c r="A282" s="7" t="s">
        <v>1</v>
      </c>
      <c r="B282" s="7" t="s">
        <v>247</v>
      </c>
      <c r="C282" s="7" t="s">
        <v>718</v>
      </c>
      <c r="D282" s="7" t="s">
        <v>961</v>
      </c>
      <c r="E282" s="9" t="s">
        <v>2037</v>
      </c>
      <c r="F282" s="7" t="s">
        <v>1330</v>
      </c>
      <c r="G282" s="7" t="s">
        <v>1740</v>
      </c>
      <c r="H282" s="7" t="s">
        <v>1677</v>
      </c>
      <c r="I282" s="7" t="s">
        <v>1685</v>
      </c>
      <c r="J282" s="7" t="s">
        <v>1688</v>
      </c>
      <c r="K282" s="7" t="s">
        <v>1699</v>
      </c>
      <c r="L282" s="2">
        <v>1</v>
      </c>
    </row>
    <row r="283" spans="1:12" ht="15" customHeight="1" x14ac:dyDescent="0.35">
      <c r="A283" s="7" t="s">
        <v>1</v>
      </c>
      <c r="B283" s="7" t="s">
        <v>248</v>
      </c>
      <c r="C283" s="7" t="s">
        <v>719</v>
      </c>
      <c r="D283" s="7" t="s">
        <v>873</v>
      </c>
      <c r="E283" s="9" t="s">
        <v>2038</v>
      </c>
      <c r="F283" s="7" t="s">
        <v>1331</v>
      </c>
      <c r="G283" s="7" t="s">
        <v>1742</v>
      </c>
      <c r="H283" s="7" t="s">
        <v>1680</v>
      </c>
      <c r="I283" s="7" t="s">
        <v>1685</v>
      </c>
      <c r="J283" s="7" t="s">
        <v>1688</v>
      </c>
      <c r="K283" s="7" t="s">
        <v>1695</v>
      </c>
      <c r="L283" s="2">
        <v>1</v>
      </c>
    </row>
    <row r="284" spans="1:12" ht="15" customHeight="1" x14ac:dyDescent="0.35">
      <c r="A284" s="7" t="s">
        <v>1</v>
      </c>
      <c r="B284" s="7" t="s">
        <v>249</v>
      </c>
      <c r="C284" s="7" t="s">
        <v>720</v>
      </c>
      <c r="D284" s="7" t="s">
        <v>962</v>
      </c>
      <c r="E284" s="9" t="s">
        <v>2039</v>
      </c>
      <c r="F284" s="7" t="s">
        <v>1332</v>
      </c>
      <c r="G284" s="7" t="s">
        <v>1739</v>
      </c>
      <c r="H284" s="7" t="s">
        <v>1680</v>
      </c>
      <c r="I284" s="7" t="s">
        <v>1685</v>
      </c>
      <c r="J284" s="7" t="s">
        <v>1688</v>
      </c>
      <c r="K284" s="7" t="s">
        <v>1716</v>
      </c>
      <c r="L284" s="2">
        <v>1</v>
      </c>
    </row>
    <row r="285" spans="1:12" ht="15" customHeight="1" x14ac:dyDescent="0.35">
      <c r="A285" s="7" t="s">
        <v>1</v>
      </c>
      <c r="B285" s="7" t="s">
        <v>250</v>
      </c>
      <c r="C285" s="7" t="s">
        <v>721</v>
      </c>
      <c r="D285" s="7" t="s">
        <v>963</v>
      </c>
      <c r="E285" s="9" t="s">
        <v>2040</v>
      </c>
      <c r="F285" s="7" t="s">
        <v>1333</v>
      </c>
      <c r="G285" s="7" t="s">
        <v>1745</v>
      </c>
      <c r="H285" s="7" t="s">
        <v>1678</v>
      </c>
      <c r="I285" s="7" t="s">
        <v>1686</v>
      </c>
      <c r="J285" s="7" t="s">
        <v>1688</v>
      </c>
      <c r="K285" s="7" t="s">
        <v>1710</v>
      </c>
      <c r="L285" s="2">
        <v>1</v>
      </c>
    </row>
    <row r="286" spans="1:12" ht="15" customHeight="1" x14ac:dyDescent="0.35">
      <c r="A286" s="7" t="s">
        <v>1</v>
      </c>
      <c r="B286" s="7" t="s">
        <v>251</v>
      </c>
      <c r="C286" s="7" t="s">
        <v>654</v>
      </c>
      <c r="D286" s="7" t="s">
        <v>734</v>
      </c>
      <c r="E286" s="9" t="s">
        <v>2041</v>
      </c>
      <c r="F286" s="7" t="s">
        <v>1334</v>
      </c>
      <c r="G286" s="7" t="s">
        <v>1745</v>
      </c>
      <c r="H286" s="7" t="s">
        <v>1680</v>
      </c>
      <c r="I286" s="7" t="s">
        <v>1686</v>
      </c>
      <c r="J286" s="7" t="s">
        <v>1688</v>
      </c>
      <c r="K286" s="7" t="s">
        <v>1718</v>
      </c>
      <c r="L286" s="2">
        <v>1</v>
      </c>
    </row>
    <row r="287" spans="1:12" ht="15" customHeight="1" x14ac:dyDescent="0.35">
      <c r="A287" s="7" t="s">
        <v>1</v>
      </c>
      <c r="B287" s="7" t="s">
        <v>252</v>
      </c>
      <c r="C287" s="7" t="s">
        <v>722</v>
      </c>
      <c r="D287" s="7" t="s">
        <v>964</v>
      </c>
      <c r="E287" s="9" t="s">
        <v>2042</v>
      </c>
      <c r="F287" s="7" t="s">
        <v>1335</v>
      </c>
      <c r="G287" s="7" t="s">
        <v>1742</v>
      </c>
      <c r="H287" s="7" t="s">
        <v>1681</v>
      </c>
      <c r="I287" s="7" t="s">
        <v>1685</v>
      </c>
      <c r="J287" s="7" t="s">
        <v>1688</v>
      </c>
      <c r="K287" s="7" t="s">
        <v>1697</v>
      </c>
      <c r="L287" s="2">
        <v>1</v>
      </c>
    </row>
    <row r="288" spans="1:12" ht="15" customHeight="1" x14ac:dyDescent="0.35">
      <c r="A288" s="7" t="s">
        <v>1</v>
      </c>
      <c r="B288" s="7" t="s">
        <v>253</v>
      </c>
      <c r="C288" s="7" t="s">
        <v>596</v>
      </c>
      <c r="D288" s="7" t="s">
        <v>863</v>
      </c>
      <c r="E288" s="9" t="s">
        <v>2043</v>
      </c>
      <c r="F288" s="7" t="s">
        <v>1336</v>
      </c>
      <c r="G288" s="7" t="s">
        <v>1742</v>
      </c>
      <c r="H288" s="7" t="s">
        <v>1680</v>
      </c>
      <c r="I288" s="7" t="s">
        <v>1686</v>
      </c>
      <c r="J288" s="7" t="s">
        <v>1688</v>
      </c>
      <c r="K288" s="7" t="s">
        <v>1695</v>
      </c>
      <c r="L288" s="2">
        <v>1</v>
      </c>
    </row>
    <row r="289" spans="1:12" ht="15" customHeight="1" x14ac:dyDescent="0.35">
      <c r="A289" s="7" t="s">
        <v>1</v>
      </c>
      <c r="B289" s="7" t="s">
        <v>254</v>
      </c>
      <c r="C289" s="7" t="s">
        <v>544</v>
      </c>
      <c r="D289" s="8"/>
      <c r="E289" s="9" t="s">
        <v>2044</v>
      </c>
      <c r="F289" s="7" t="s">
        <v>1337</v>
      </c>
      <c r="G289" s="7" t="s">
        <v>1745</v>
      </c>
      <c r="H289" s="7" t="s">
        <v>1679</v>
      </c>
      <c r="I289" s="7" t="s">
        <v>1685</v>
      </c>
      <c r="J289" s="7" t="s">
        <v>1688</v>
      </c>
      <c r="K289" s="7" t="s">
        <v>1717</v>
      </c>
      <c r="L289" s="2">
        <v>1</v>
      </c>
    </row>
    <row r="290" spans="1:12" ht="15" customHeight="1" x14ac:dyDescent="0.35">
      <c r="A290" s="7" t="s">
        <v>1</v>
      </c>
      <c r="B290" s="7" t="s">
        <v>255</v>
      </c>
      <c r="C290" s="7" t="s">
        <v>585</v>
      </c>
      <c r="D290" s="7" t="s">
        <v>532</v>
      </c>
      <c r="E290" s="9" t="s">
        <v>2045</v>
      </c>
      <c r="F290" s="7" t="s">
        <v>1338</v>
      </c>
      <c r="G290" s="7" t="s">
        <v>1742</v>
      </c>
      <c r="H290" s="7" t="s">
        <v>1678</v>
      </c>
      <c r="I290" s="7" t="s">
        <v>1686</v>
      </c>
      <c r="J290" s="7" t="s">
        <v>1688</v>
      </c>
      <c r="K290" s="7" t="s">
        <v>1701</v>
      </c>
      <c r="L290" s="2">
        <v>1</v>
      </c>
    </row>
    <row r="291" spans="1:12" ht="15" customHeight="1" x14ac:dyDescent="0.35">
      <c r="A291" s="7" t="s">
        <v>1</v>
      </c>
      <c r="B291" s="7" t="s">
        <v>256</v>
      </c>
      <c r="C291" s="7" t="s">
        <v>723</v>
      </c>
      <c r="D291" s="7" t="s">
        <v>881</v>
      </c>
      <c r="E291" s="9" t="s">
        <v>2046</v>
      </c>
      <c r="F291" s="7" t="s">
        <v>1339</v>
      </c>
      <c r="G291" s="7" t="s">
        <v>1743</v>
      </c>
      <c r="H291" s="7" t="s">
        <v>1680</v>
      </c>
      <c r="I291" s="7" t="s">
        <v>1685</v>
      </c>
      <c r="J291" s="7" t="s">
        <v>1688</v>
      </c>
      <c r="K291" s="7" t="s">
        <v>1704</v>
      </c>
      <c r="L291" s="2">
        <v>1</v>
      </c>
    </row>
    <row r="292" spans="1:12" ht="15" customHeight="1" x14ac:dyDescent="0.35">
      <c r="A292" s="7" t="s">
        <v>1</v>
      </c>
      <c r="B292" s="7" t="s">
        <v>257</v>
      </c>
      <c r="C292" s="7" t="s">
        <v>591</v>
      </c>
      <c r="D292" s="7" t="s">
        <v>728</v>
      </c>
      <c r="E292" s="9" t="s">
        <v>2047</v>
      </c>
      <c r="F292" s="7" t="s">
        <v>1340</v>
      </c>
      <c r="G292" s="7" t="s">
        <v>1742</v>
      </c>
      <c r="H292" s="7" t="s">
        <v>1681</v>
      </c>
      <c r="I292" s="7" t="s">
        <v>1686</v>
      </c>
      <c r="J292" s="7" t="s">
        <v>1688</v>
      </c>
      <c r="K292" s="7" t="s">
        <v>1697</v>
      </c>
      <c r="L292" s="2">
        <v>1</v>
      </c>
    </row>
    <row r="293" spans="1:12" ht="15" customHeight="1" x14ac:dyDescent="0.35">
      <c r="A293" s="7" t="s">
        <v>1</v>
      </c>
      <c r="B293" s="7" t="s">
        <v>258</v>
      </c>
      <c r="C293" s="7" t="s">
        <v>622</v>
      </c>
      <c r="D293" s="7" t="s">
        <v>530</v>
      </c>
      <c r="E293" s="9" t="s">
        <v>2048</v>
      </c>
      <c r="F293" s="7" t="s">
        <v>1341</v>
      </c>
      <c r="G293" s="7" t="s">
        <v>1742</v>
      </c>
      <c r="H293" s="7" t="s">
        <v>1677</v>
      </c>
      <c r="I293" s="7" t="s">
        <v>1686</v>
      </c>
      <c r="J293" s="7" t="s">
        <v>1688</v>
      </c>
      <c r="K293" s="7" t="s">
        <v>1712</v>
      </c>
      <c r="L293" s="2">
        <v>1</v>
      </c>
    </row>
    <row r="294" spans="1:12" ht="15" customHeight="1" x14ac:dyDescent="0.35">
      <c r="A294" s="7" t="s">
        <v>1</v>
      </c>
      <c r="B294" s="7" t="s">
        <v>259</v>
      </c>
      <c r="C294" s="7" t="s">
        <v>724</v>
      </c>
      <c r="D294" s="7" t="s">
        <v>582</v>
      </c>
      <c r="E294" s="9" t="s">
        <v>2049</v>
      </c>
      <c r="F294" s="7" t="s">
        <v>1342</v>
      </c>
      <c r="G294" s="7" t="s">
        <v>1743</v>
      </c>
      <c r="H294" s="7" t="s">
        <v>1677</v>
      </c>
      <c r="I294" s="7" t="s">
        <v>1685</v>
      </c>
      <c r="J294" s="7" t="s">
        <v>1688</v>
      </c>
      <c r="K294" s="7" t="s">
        <v>1720</v>
      </c>
      <c r="L294" s="2">
        <v>1</v>
      </c>
    </row>
    <row r="295" spans="1:12" ht="15" customHeight="1" x14ac:dyDescent="0.35">
      <c r="A295" s="7" t="s">
        <v>1</v>
      </c>
      <c r="B295" s="7" t="s">
        <v>260</v>
      </c>
      <c r="C295" s="7" t="s">
        <v>725</v>
      </c>
      <c r="D295" s="7" t="s">
        <v>589</v>
      </c>
      <c r="E295" s="9" t="s">
        <v>2050</v>
      </c>
      <c r="F295" s="7" t="s">
        <v>1343</v>
      </c>
      <c r="G295" s="7" t="s">
        <v>1742</v>
      </c>
      <c r="H295" s="7" t="s">
        <v>1678</v>
      </c>
      <c r="I295" s="7" t="s">
        <v>1686</v>
      </c>
      <c r="J295" s="7" t="s">
        <v>1688</v>
      </c>
      <c r="K295" s="7" t="s">
        <v>1700</v>
      </c>
      <c r="L295" s="2">
        <v>1</v>
      </c>
    </row>
    <row r="296" spans="1:12" ht="15" customHeight="1" x14ac:dyDescent="0.35">
      <c r="A296" s="7" t="s">
        <v>1</v>
      </c>
      <c r="B296" s="7" t="s">
        <v>261</v>
      </c>
      <c r="C296" s="7" t="s">
        <v>646</v>
      </c>
      <c r="D296" s="7" t="s">
        <v>687</v>
      </c>
      <c r="E296" s="9" t="s">
        <v>2051</v>
      </c>
      <c r="F296" s="7" t="s">
        <v>1344</v>
      </c>
      <c r="G296" s="7" t="s">
        <v>1737</v>
      </c>
      <c r="H296" s="7" t="s">
        <v>1679</v>
      </c>
      <c r="I296" s="7" t="s">
        <v>1686</v>
      </c>
      <c r="J296" s="7" t="s">
        <v>1688</v>
      </c>
      <c r="K296" s="7" t="s">
        <v>1707</v>
      </c>
      <c r="L296" s="2">
        <v>1</v>
      </c>
    </row>
    <row r="297" spans="1:12" ht="15" customHeight="1" x14ac:dyDescent="0.35">
      <c r="A297" s="7" t="s">
        <v>1</v>
      </c>
      <c r="B297" s="7" t="s">
        <v>261</v>
      </c>
      <c r="C297" s="7" t="s">
        <v>544</v>
      </c>
      <c r="D297" s="7" t="s">
        <v>644</v>
      </c>
      <c r="E297" s="9" t="s">
        <v>2052</v>
      </c>
      <c r="F297" s="7" t="s">
        <v>1345</v>
      </c>
      <c r="G297" s="7" t="s">
        <v>1740</v>
      </c>
      <c r="H297" s="7" t="s">
        <v>1680</v>
      </c>
      <c r="I297" s="7" t="s">
        <v>1686</v>
      </c>
      <c r="J297" s="7" t="s">
        <v>1688</v>
      </c>
      <c r="K297" s="7" t="s">
        <v>1715</v>
      </c>
      <c r="L297" s="2">
        <v>1</v>
      </c>
    </row>
    <row r="298" spans="1:12" ht="15" customHeight="1" x14ac:dyDescent="0.35">
      <c r="A298" s="7" t="s">
        <v>1</v>
      </c>
      <c r="B298" s="7" t="s">
        <v>262</v>
      </c>
      <c r="C298" s="7" t="s">
        <v>726</v>
      </c>
      <c r="D298" s="7" t="s">
        <v>544</v>
      </c>
      <c r="E298" s="9" t="s">
        <v>2053</v>
      </c>
      <c r="F298" s="7" t="s">
        <v>1346</v>
      </c>
      <c r="G298" s="7" t="s">
        <v>1737</v>
      </c>
      <c r="H298" s="7" t="s">
        <v>1678</v>
      </c>
      <c r="I298" s="7" t="s">
        <v>1686</v>
      </c>
      <c r="J298" s="7" t="s">
        <v>1688</v>
      </c>
      <c r="K298" s="7" t="s">
        <v>1721</v>
      </c>
      <c r="L298" s="2">
        <v>1</v>
      </c>
    </row>
    <row r="299" spans="1:12" ht="15" customHeight="1" x14ac:dyDescent="0.35">
      <c r="A299" s="7" t="s">
        <v>1</v>
      </c>
      <c r="B299" s="7" t="s">
        <v>263</v>
      </c>
      <c r="C299" s="7" t="s">
        <v>727</v>
      </c>
      <c r="D299" s="7" t="s">
        <v>965</v>
      </c>
      <c r="E299" s="9" t="s">
        <v>2054</v>
      </c>
      <c r="F299" s="7" t="s">
        <v>1347</v>
      </c>
      <c r="G299" s="7" t="s">
        <v>1743</v>
      </c>
      <c r="H299" s="7" t="s">
        <v>1677</v>
      </c>
      <c r="I299" s="7" t="s">
        <v>1686</v>
      </c>
      <c r="J299" s="7" t="s">
        <v>1688</v>
      </c>
      <c r="K299" s="7" t="s">
        <v>1720</v>
      </c>
      <c r="L299" s="2">
        <v>1</v>
      </c>
    </row>
    <row r="300" spans="1:12" ht="15" customHeight="1" x14ac:dyDescent="0.35">
      <c r="A300" s="7" t="s">
        <v>1</v>
      </c>
      <c r="B300" s="7" t="s">
        <v>264</v>
      </c>
      <c r="C300" s="7" t="s">
        <v>712</v>
      </c>
      <c r="D300" s="7" t="s">
        <v>762</v>
      </c>
      <c r="E300" s="9" t="s">
        <v>2055</v>
      </c>
      <c r="F300" s="7" t="s">
        <v>1348</v>
      </c>
      <c r="G300" s="7" t="s">
        <v>1742</v>
      </c>
      <c r="H300" s="7" t="s">
        <v>1677</v>
      </c>
      <c r="I300" s="7" t="s">
        <v>1686</v>
      </c>
      <c r="J300" s="7" t="s">
        <v>1688</v>
      </c>
      <c r="K300" s="7" t="s">
        <v>1712</v>
      </c>
      <c r="L300" s="2">
        <v>1</v>
      </c>
    </row>
    <row r="301" spans="1:12" ht="15" customHeight="1" x14ac:dyDescent="0.35">
      <c r="A301" s="7" t="s">
        <v>1</v>
      </c>
      <c r="B301" s="7" t="s">
        <v>265</v>
      </c>
      <c r="C301" s="7" t="s">
        <v>659</v>
      </c>
      <c r="D301" s="7" t="s">
        <v>966</v>
      </c>
      <c r="E301" s="9" t="s">
        <v>2056</v>
      </c>
      <c r="F301" s="7" t="s">
        <v>1349</v>
      </c>
      <c r="G301" s="7" t="s">
        <v>1742</v>
      </c>
      <c r="H301" s="7" t="s">
        <v>1681</v>
      </c>
      <c r="I301" s="7" t="s">
        <v>1686</v>
      </c>
      <c r="J301" s="7" t="s">
        <v>1688</v>
      </c>
      <c r="K301" s="7" t="s">
        <v>1697</v>
      </c>
      <c r="L301" s="2">
        <v>1</v>
      </c>
    </row>
    <row r="302" spans="1:12" ht="15" customHeight="1" x14ac:dyDescent="0.35">
      <c r="A302" s="7" t="s">
        <v>1</v>
      </c>
      <c r="B302" s="7" t="s">
        <v>266</v>
      </c>
      <c r="C302" s="7" t="s">
        <v>728</v>
      </c>
      <c r="D302" s="7" t="s">
        <v>967</v>
      </c>
      <c r="E302" s="9" t="s">
        <v>2057</v>
      </c>
      <c r="F302" s="7" t="s">
        <v>1350</v>
      </c>
      <c r="G302" s="7" t="s">
        <v>1737</v>
      </c>
      <c r="H302" s="7" t="s">
        <v>1678</v>
      </c>
      <c r="I302" s="7" t="s">
        <v>1686</v>
      </c>
      <c r="J302" s="7" t="s">
        <v>1688</v>
      </c>
      <c r="K302" s="7" t="s">
        <v>1696</v>
      </c>
      <c r="L302" s="2">
        <v>1</v>
      </c>
    </row>
    <row r="303" spans="1:12" ht="15" customHeight="1" x14ac:dyDescent="0.35">
      <c r="A303" s="7" t="s">
        <v>1</v>
      </c>
      <c r="B303" s="7" t="s">
        <v>267</v>
      </c>
      <c r="C303" s="7" t="s">
        <v>659</v>
      </c>
      <c r="D303" s="7" t="s">
        <v>654</v>
      </c>
      <c r="E303" s="9" t="s">
        <v>2058</v>
      </c>
      <c r="F303" s="7" t="s">
        <v>1351</v>
      </c>
      <c r="G303" s="7" t="s">
        <v>1742</v>
      </c>
      <c r="H303" s="7" t="s">
        <v>1678</v>
      </c>
      <c r="I303" s="7" t="s">
        <v>1685</v>
      </c>
      <c r="J303" s="7" t="s">
        <v>1688</v>
      </c>
      <c r="K303" s="7" t="s">
        <v>1700</v>
      </c>
      <c r="L303" s="2">
        <v>1</v>
      </c>
    </row>
    <row r="304" spans="1:12" ht="15" customHeight="1" x14ac:dyDescent="0.35">
      <c r="A304" s="7" t="s">
        <v>1</v>
      </c>
      <c r="B304" s="7" t="s">
        <v>268</v>
      </c>
      <c r="C304" s="7" t="s">
        <v>596</v>
      </c>
      <c r="D304" s="7" t="s">
        <v>968</v>
      </c>
      <c r="E304" s="9" t="s">
        <v>2059</v>
      </c>
      <c r="F304" s="7" t="s">
        <v>1352</v>
      </c>
      <c r="G304" s="7" t="s">
        <v>1744</v>
      </c>
      <c r="H304" s="7" t="s">
        <v>1680</v>
      </c>
      <c r="I304" s="7" t="s">
        <v>1685</v>
      </c>
      <c r="J304" s="7" t="s">
        <v>1688</v>
      </c>
      <c r="K304" s="7" t="s">
        <v>1706</v>
      </c>
      <c r="L304" s="2">
        <v>1</v>
      </c>
    </row>
    <row r="305" spans="1:12" ht="15" customHeight="1" x14ac:dyDescent="0.35">
      <c r="A305" s="7" t="s">
        <v>1</v>
      </c>
      <c r="B305" s="7" t="s">
        <v>269</v>
      </c>
      <c r="C305" s="7" t="s">
        <v>636</v>
      </c>
      <c r="D305" s="7" t="s">
        <v>776</v>
      </c>
      <c r="E305" s="9" t="s">
        <v>2060</v>
      </c>
      <c r="F305" s="7" t="s">
        <v>1353</v>
      </c>
      <c r="G305" s="7" t="s">
        <v>1742</v>
      </c>
      <c r="H305" s="7" t="s">
        <v>1678</v>
      </c>
      <c r="I305" s="7" t="s">
        <v>1685</v>
      </c>
      <c r="J305" s="7" t="s">
        <v>1688</v>
      </c>
      <c r="K305" s="7" t="s">
        <v>1701</v>
      </c>
      <c r="L305" s="2">
        <v>1</v>
      </c>
    </row>
    <row r="306" spans="1:12" ht="15" customHeight="1" x14ac:dyDescent="0.35">
      <c r="A306" s="7" t="s">
        <v>1</v>
      </c>
      <c r="B306" s="7" t="s">
        <v>270</v>
      </c>
      <c r="C306" s="7" t="s">
        <v>729</v>
      </c>
      <c r="D306" s="7" t="s">
        <v>969</v>
      </c>
      <c r="E306" s="9" t="s">
        <v>2061</v>
      </c>
      <c r="F306" s="7" t="s">
        <v>1354</v>
      </c>
      <c r="G306" s="7" t="s">
        <v>1742</v>
      </c>
      <c r="H306" s="7" t="s">
        <v>1677</v>
      </c>
      <c r="I306" s="7" t="s">
        <v>1686</v>
      </c>
      <c r="J306" s="7" t="s">
        <v>1688</v>
      </c>
      <c r="K306" s="7" t="s">
        <v>1712</v>
      </c>
      <c r="L306" s="2">
        <v>1</v>
      </c>
    </row>
    <row r="307" spans="1:12" ht="15" customHeight="1" x14ac:dyDescent="0.35">
      <c r="A307" s="7" t="s">
        <v>1</v>
      </c>
      <c r="B307" s="7" t="s">
        <v>271</v>
      </c>
      <c r="C307" s="7" t="s">
        <v>536</v>
      </c>
      <c r="D307" s="7" t="s">
        <v>762</v>
      </c>
      <c r="E307" s="9" t="s">
        <v>2062</v>
      </c>
      <c r="F307" s="7" t="s">
        <v>1355</v>
      </c>
      <c r="G307" s="7" t="s">
        <v>1740</v>
      </c>
      <c r="H307" s="7" t="s">
        <v>1677</v>
      </c>
      <c r="I307" s="7" t="s">
        <v>1686</v>
      </c>
      <c r="J307" s="7" t="s">
        <v>1688</v>
      </c>
      <c r="K307" s="7" t="s">
        <v>1699</v>
      </c>
      <c r="L307" s="2">
        <v>1</v>
      </c>
    </row>
    <row r="308" spans="1:12" ht="15" customHeight="1" x14ac:dyDescent="0.35">
      <c r="A308" s="7" t="s">
        <v>1</v>
      </c>
      <c r="B308" s="7" t="s">
        <v>272</v>
      </c>
      <c r="C308" s="7" t="s">
        <v>730</v>
      </c>
      <c r="D308" s="7" t="s">
        <v>819</v>
      </c>
      <c r="E308" s="9" t="s">
        <v>2063</v>
      </c>
      <c r="F308" s="7" t="s">
        <v>1356</v>
      </c>
      <c r="G308" s="7" t="s">
        <v>1743</v>
      </c>
      <c r="H308" s="7" t="s">
        <v>1679</v>
      </c>
      <c r="I308" s="7" t="s">
        <v>1686</v>
      </c>
      <c r="J308" s="7" t="s">
        <v>1688</v>
      </c>
      <c r="K308" s="7" t="s">
        <v>1702</v>
      </c>
      <c r="L308" s="2">
        <v>1</v>
      </c>
    </row>
    <row r="309" spans="1:12" ht="15" customHeight="1" x14ac:dyDescent="0.35">
      <c r="A309" s="7" t="s">
        <v>1</v>
      </c>
      <c r="B309" s="7" t="s">
        <v>273</v>
      </c>
      <c r="C309" s="7" t="s">
        <v>560</v>
      </c>
      <c r="D309" s="7" t="s">
        <v>656</v>
      </c>
      <c r="E309" s="9" t="s">
        <v>2064</v>
      </c>
      <c r="F309" s="7" t="s">
        <v>1357</v>
      </c>
      <c r="G309" s="7" t="s">
        <v>1742</v>
      </c>
      <c r="H309" s="7" t="s">
        <v>1680</v>
      </c>
      <c r="I309" s="7" t="s">
        <v>1686</v>
      </c>
      <c r="J309" s="7" t="s">
        <v>1688</v>
      </c>
      <c r="K309" s="7" t="s">
        <v>1695</v>
      </c>
      <c r="L309" s="2">
        <v>1</v>
      </c>
    </row>
    <row r="310" spans="1:12" ht="15" customHeight="1" x14ac:dyDescent="0.35">
      <c r="A310" s="7" t="s">
        <v>1</v>
      </c>
      <c r="B310" s="7" t="s">
        <v>274</v>
      </c>
      <c r="C310" s="7" t="s">
        <v>599</v>
      </c>
      <c r="D310" s="7" t="s">
        <v>660</v>
      </c>
      <c r="E310" s="9" t="s">
        <v>2065</v>
      </c>
      <c r="F310" s="7" t="s">
        <v>1358</v>
      </c>
      <c r="G310" s="7" t="s">
        <v>1742</v>
      </c>
      <c r="H310" s="7" t="s">
        <v>1678</v>
      </c>
      <c r="I310" s="7" t="s">
        <v>1686</v>
      </c>
      <c r="J310" s="7" t="s">
        <v>1688</v>
      </c>
      <c r="K310" s="7" t="s">
        <v>1700</v>
      </c>
      <c r="L310" s="2">
        <v>1</v>
      </c>
    </row>
    <row r="311" spans="1:12" ht="15" customHeight="1" x14ac:dyDescent="0.35">
      <c r="A311" s="7" t="s">
        <v>1</v>
      </c>
      <c r="B311" s="7" t="s">
        <v>275</v>
      </c>
      <c r="C311" s="7" t="s">
        <v>731</v>
      </c>
      <c r="D311" s="7" t="s">
        <v>528</v>
      </c>
      <c r="E311" s="9" t="s">
        <v>2066</v>
      </c>
      <c r="F311" s="7" t="s">
        <v>1359</v>
      </c>
      <c r="G311" s="7" t="s">
        <v>1742</v>
      </c>
      <c r="H311" s="7" t="s">
        <v>1681</v>
      </c>
      <c r="I311" s="7" t="s">
        <v>1686</v>
      </c>
      <c r="J311" s="7" t="s">
        <v>1688</v>
      </c>
      <c r="K311" s="7" t="s">
        <v>1697</v>
      </c>
      <c r="L311" s="2">
        <v>1</v>
      </c>
    </row>
    <row r="312" spans="1:12" ht="15" customHeight="1" x14ac:dyDescent="0.35">
      <c r="A312" s="7" t="s">
        <v>1</v>
      </c>
      <c r="B312" s="7" t="s">
        <v>276</v>
      </c>
      <c r="C312" s="7" t="s">
        <v>626</v>
      </c>
      <c r="D312" s="7" t="s">
        <v>621</v>
      </c>
      <c r="E312" s="9" t="s">
        <v>2067</v>
      </c>
      <c r="F312" s="7" t="s">
        <v>1360</v>
      </c>
      <c r="G312" s="7" t="s">
        <v>1744</v>
      </c>
      <c r="H312" s="7" t="s">
        <v>1680</v>
      </c>
      <c r="I312" s="7" t="s">
        <v>1685</v>
      </c>
      <c r="J312" s="7" t="s">
        <v>1688</v>
      </c>
      <c r="K312" s="7" t="s">
        <v>1706</v>
      </c>
      <c r="L312" s="2">
        <v>1</v>
      </c>
    </row>
    <row r="313" spans="1:12" ht="15" customHeight="1" x14ac:dyDescent="0.35">
      <c r="A313" s="7" t="s">
        <v>1</v>
      </c>
      <c r="B313" s="7" t="s">
        <v>277</v>
      </c>
      <c r="C313" s="7" t="s">
        <v>732</v>
      </c>
      <c r="D313" s="7" t="s">
        <v>679</v>
      </c>
      <c r="E313" s="9" t="s">
        <v>2068</v>
      </c>
      <c r="F313" s="7" t="s">
        <v>1361</v>
      </c>
      <c r="G313" s="7" t="s">
        <v>1745</v>
      </c>
      <c r="H313" s="7" t="s">
        <v>1679</v>
      </c>
      <c r="I313" s="7" t="s">
        <v>1686</v>
      </c>
      <c r="J313" s="7" t="s">
        <v>1688</v>
      </c>
      <c r="K313" s="7" t="s">
        <v>1717</v>
      </c>
      <c r="L313" s="2">
        <v>1</v>
      </c>
    </row>
    <row r="314" spans="1:12" ht="15" customHeight="1" x14ac:dyDescent="0.35">
      <c r="A314" s="7" t="s">
        <v>1</v>
      </c>
      <c r="B314" s="7" t="s">
        <v>278</v>
      </c>
      <c r="C314" s="7" t="s">
        <v>733</v>
      </c>
      <c r="D314" s="7" t="s">
        <v>636</v>
      </c>
      <c r="E314" s="9" t="s">
        <v>2069</v>
      </c>
      <c r="F314" s="7" t="s">
        <v>1362</v>
      </c>
      <c r="G314" s="7" t="s">
        <v>1737</v>
      </c>
      <c r="H314" s="7" t="s">
        <v>1677</v>
      </c>
      <c r="I314" s="7" t="s">
        <v>1686</v>
      </c>
      <c r="J314" s="7" t="s">
        <v>1688</v>
      </c>
      <c r="K314" s="7" t="s">
        <v>1698</v>
      </c>
      <c r="L314" s="2">
        <v>1</v>
      </c>
    </row>
    <row r="315" spans="1:12" ht="15" customHeight="1" x14ac:dyDescent="0.35">
      <c r="A315" s="7" t="s">
        <v>1</v>
      </c>
      <c r="B315" s="7" t="s">
        <v>279</v>
      </c>
      <c r="C315" s="7" t="s">
        <v>734</v>
      </c>
      <c r="D315" s="7" t="s">
        <v>970</v>
      </c>
      <c r="E315" s="9" t="s">
        <v>2070</v>
      </c>
      <c r="F315" s="7" t="s">
        <v>1363</v>
      </c>
      <c r="G315" s="7" t="s">
        <v>1743</v>
      </c>
      <c r="H315" s="7" t="s">
        <v>1680</v>
      </c>
      <c r="I315" s="7" t="s">
        <v>1685</v>
      </c>
      <c r="J315" s="7" t="s">
        <v>1688</v>
      </c>
      <c r="K315" s="7" t="s">
        <v>1704</v>
      </c>
      <c r="L315" s="2">
        <v>1</v>
      </c>
    </row>
    <row r="316" spans="1:12" ht="15" customHeight="1" x14ac:dyDescent="0.35">
      <c r="A316" s="7" t="s">
        <v>1</v>
      </c>
      <c r="B316" s="7" t="s">
        <v>280</v>
      </c>
      <c r="C316" s="7" t="s">
        <v>735</v>
      </c>
      <c r="D316" s="7" t="s">
        <v>971</v>
      </c>
      <c r="E316" s="9" t="s">
        <v>2071</v>
      </c>
      <c r="F316" s="7" t="s">
        <v>1364</v>
      </c>
      <c r="G316" s="7" t="s">
        <v>1742</v>
      </c>
      <c r="H316" s="7" t="s">
        <v>1677</v>
      </c>
      <c r="I316" s="7" t="s">
        <v>1686</v>
      </c>
      <c r="J316" s="7" t="s">
        <v>1688</v>
      </c>
      <c r="K316" s="7" t="s">
        <v>1703</v>
      </c>
      <c r="L316" s="2">
        <v>1</v>
      </c>
    </row>
    <row r="317" spans="1:12" ht="15" customHeight="1" x14ac:dyDescent="0.35">
      <c r="A317" s="7" t="s">
        <v>1</v>
      </c>
      <c r="B317" s="7" t="s">
        <v>281</v>
      </c>
      <c r="C317" s="7" t="s">
        <v>639</v>
      </c>
      <c r="D317" s="7" t="s">
        <v>751</v>
      </c>
      <c r="E317" s="9" t="s">
        <v>2072</v>
      </c>
      <c r="F317" s="7" t="s">
        <v>1365</v>
      </c>
      <c r="G317" s="7" t="s">
        <v>1737</v>
      </c>
      <c r="H317" s="7" t="s">
        <v>1677</v>
      </c>
      <c r="I317" s="7" t="s">
        <v>1686</v>
      </c>
      <c r="J317" s="7" t="s">
        <v>1688</v>
      </c>
      <c r="K317" s="7" t="s">
        <v>1698</v>
      </c>
      <c r="L317" s="2">
        <v>1</v>
      </c>
    </row>
    <row r="318" spans="1:12" ht="15" customHeight="1" x14ac:dyDescent="0.35">
      <c r="A318" s="7" t="s">
        <v>1</v>
      </c>
      <c r="B318" s="7" t="s">
        <v>282</v>
      </c>
      <c r="C318" s="7" t="s">
        <v>736</v>
      </c>
      <c r="D318" s="7" t="s">
        <v>687</v>
      </c>
      <c r="E318" s="9" t="s">
        <v>2073</v>
      </c>
      <c r="F318" s="7" t="s">
        <v>1366</v>
      </c>
      <c r="G318" s="7" t="s">
        <v>1742</v>
      </c>
      <c r="H318" s="7" t="s">
        <v>1679</v>
      </c>
      <c r="I318" s="7" t="s">
        <v>1686</v>
      </c>
      <c r="J318" s="7" t="s">
        <v>1688</v>
      </c>
      <c r="K318" s="7" t="s">
        <v>1694</v>
      </c>
      <c r="L318" s="2">
        <v>1</v>
      </c>
    </row>
    <row r="319" spans="1:12" ht="15" customHeight="1" x14ac:dyDescent="0.35">
      <c r="A319" s="7" t="s">
        <v>1</v>
      </c>
      <c r="B319" s="7" t="s">
        <v>283</v>
      </c>
      <c r="C319" s="7" t="s">
        <v>690</v>
      </c>
      <c r="D319" s="7" t="s">
        <v>554</v>
      </c>
      <c r="E319" s="9" t="s">
        <v>2074</v>
      </c>
      <c r="F319" s="7" t="s">
        <v>1367</v>
      </c>
      <c r="G319" s="7" t="s">
        <v>1742</v>
      </c>
      <c r="H319" s="7" t="s">
        <v>1678</v>
      </c>
      <c r="I319" s="7" t="s">
        <v>1686</v>
      </c>
      <c r="J319" s="7" t="s">
        <v>1688</v>
      </c>
      <c r="K319" s="7" t="s">
        <v>1700</v>
      </c>
      <c r="L319" s="2">
        <v>1</v>
      </c>
    </row>
    <row r="320" spans="1:12" ht="15" customHeight="1" x14ac:dyDescent="0.35">
      <c r="A320" s="7" t="s">
        <v>1</v>
      </c>
      <c r="B320" s="7" t="s">
        <v>283</v>
      </c>
      <c r="C320" s="7" t="s">
        <v>737</v>
      </c>
      <c r="D320" s="7" t="s">
        <v>670</v>
      </c>
      <c r="E320" s="9" t="s">
        <v>2075</v>
      </c>
      <c r="F320" s="7" t="s">
        <v>1368</v>
      </c>
      <c r="G320" s="7" t="s">
        <v>1745</v>
      </c>
      <c r="H320" s="7" t="s">
        <v>1680</v>
      </c>
      <c r="I320" s="7" t="s">
        <v>1686</v>
      </c>
      <c r="J320" s="7" t="s">
        <v>1688</v>
      </c>
      <c r="K320" s="7" t="s">
        <v>1718</v>
      </c>
      <c r="L320" s="2">
        <v>1</v>
      </c>
    </row>
    <row r="321" spans="1:12" ht="15" customHeight="1" x14ac:dyDescent="0.35">
      <c r="A321" s="7" t="s">
        <v>1</v>
      </c>
      <c r="B321" s="7" t="s">
        <v>284</v>
      </c>
      <c r="C321" s="7" t="s">
        <v>660</v>
      </c>
      <c r="D321" s="7" t="s">
        <v>539</v>
      </c>
      <c r="E321" s="9" t="s">
        <v>2076</v>
      </c>
      <c r="F321" s="7" t="s">
        <v>1369</v>
      </c>
      <c r="G321" s="7" t="s">
        <v>1742</v>
      </c>
      <c r="H321" s="7" t="s">
        <v>1677</v>
      </c>
      <c r="I321" s="7" t="s">
        <v>1686</v>
      </c>
      <c r="J321" s="7" t="s">
        <v>1688</v>
      </c>
      <c r="K321" s="7" t="s">
        <v>1703</v>
      </c>
      <c r="L321" s="2">
        <v>1</v>
      </c>
    </row>
    <row r="322" spans="1:12" ht="15" customHeight="1" x14ac:dyDescent="0.35">
      <c r="A322" s="7" t="s">
        <v>1</v>
      </c>
      <c r="B322" s="7" t="s">
        <v>285</v>
      </c>
      <c r="C322" s="7" t="s">
        <v>690</v>
      </c>
      <c r="D322" s="7" t="s">
        <v>783</v>
      </c>
      <c r="E322" s="9" t="s">
        <v>2077</v>
      </c>
      <c r="F322" s="7" t="s">
        <v>1370</v>
      </c>
      <c r="G322" s="7" t="s">
        <v>1737</v>
      </c>
      <c r="H322" s="7" t="s">
        <v>1678</v>
      </c>
      <c r="I322" s="7" t="s">
        <v>1686</v>
      </c>
      <c r="J322" s="7" t="s">
        <v>1688</v>
      </c>
      <c r="K322" s="7" t="s">
        <v>1721</v>
      </c>
      <c r="L322" s="2">
        <v>1</v>
      </c>
    </row>
    <row r="323" spans="1:12" ht="15" customHeight="1" x14ac:dyDescent="0.35">
      <c r="A323" s="7" t="s">
        <v>1</v>
      </c>
      <c r="B323" s="7" t="s">
        <v>285</v>
      </c>
      <c r="C323" s="7" t="s">
        <v>738</v>
      </c>
      <c r="D323" s="7" t="s">
        <v>621</v>
      </c>
      <c r="E323" s="9" t="s">
        <v>2078</v>
      </c>
      <c r="F323" s="7" t="s">
        <v>1371</v>
      </c>
      <c r="G323" s="7" t="s">
        <v>1741</v>
      </c>
      <c r="H323" s="7" t="s">
        <v>1680</v>
      </c>
      <c r="I323" s="7" t="s">
        <v>1686</v>
      </c>
      <c r="J323" s="7" t="s">
        <v>1688</v>
      </c>
      <c r="K323" s="7" t="s">
        <v>1724</v>
      </c>
      <c r="L323" s="2">
        <v>1</v>
      </c>
    </row>
    <row r="324" spans="1:12" ht="15" customHeight="1" x14ac:dyDescent="0.35">
      <c r="A324" s="7" t="s">
        <v>1</v>
      </c>
      <c r="B324" s="7" t="s">
        <v>286</v>
      </c>
      <c r="C324" s="7" t="s">
        <v>593</v>
      </c>
      <c r="D324" s="7" t="s">
        <v>629</v>
      </c>
      <c r="E324" s="9" t="s">
        <v>2079</v>
      </c>
      <c r="F324" s="7" t="s">
        <v>1372</v>
      </c>
      <c r="G324" s="7" t="s">
        <v>1737</v>
      </c>
      <c r="H324" s="7" t="s">
        <v>1678</v>
      </c>
      <c r="I324" s="7" t="s">
        <v>1686</v>
      </c>
      <c r="J324" s="7" t="s">
        <v>1688</v>
      </c>
      <c r="K324" s="7" t="s">
        <v>1721</v>
      </c>
      <c r="L324" s="2">
        <v>1</v>
      </c>
    </row>
    <row r="325" spans="1:12" ht="15" customHeight="1" x14ac:dyDescent="0.35">
      <c r="A325" s="7" t="s">
        <v>1</v>
      </c>
      <c r="B325" s="7" t="s">
        <v>287</v>
      </c>
      <c r="C325" s="7" t="s">
        <v>739</v>
      </c>
      <c r="D325" s="7" t="s">
        <v>589</v>
      </c>
      <c r="E325" s="9" t="s">
        <v>2080</v>
      </c>
      <c r="F325" s="7" t="s">
        <v>1373</v>
      </c>
      <c r="G325" s="7" t="s">
        <v>1737</v>
      </c>
      <c r="H325" s="7" t="s">
        <v>1678</v>
      </c>
      <c r="I325" s="7" t="s">
        <v>1686</v>
      </c>
      <c r="J325" s="7" t="s">
        <v>1688</v>
      </c>
      <c r="K325" s="7" t="s">
        <v>1721</v>
      </c>
      <c r="L325" s="2">
        <v>1</v>
      </c>
    </row>
    <row r="326" spans="1:12" ht="15" customHeight="1" x14ac:dyDescent="0.35">
      <c r="A326" s="7" t="s">
        <v>1</v>
      </c>
      <c r="B326" s="7" t="s">
        <v>288</v>
      </c>
      <c r="C326" s="7" t="s">
        <v>740</v>
      </c>
      <c r="D326" s="7" t="s">
        <v>645</v>
      </c>
      <c r="E326" s="9" t="s">
        <v>2081</v>
      </c>
      <c r="F326" s="7" t="s">
        <v>1374</v>
      </c>
      <c r="G326" s="7" t="s">
        <v>1746</v>
      </c>
      <c r="H326" s="7" t="s">
        <v>1680</v>
      </c>
      <c r="I326" s="7" t="s">
        <v>1686</v>
      </c>
      <c r="J326" s="7" t="s">
        <v>1688</v>
      </c>
      <c r="K326" s="7" t="s">
        <v>1719</v>
      </c>
      <c r="L326" s="2">
        <v>1</v>
      </c>
    </row>
    <row r="327" spans="1:12" ht="15" customHeight="1" x14ac:dyDescent="0.35">
      <c r="A327" s="7" t="s">
        <v>1</v>
      </c>
      <c r="B327" s="7" t="s">
        <v>289</v>
      </c>
      <c r="C327" s="7" t="s">
        <v>741</v>
      </c>
      <c r="D327" s="7" t="s">
        <v>854</v>
      </c>
      <c r="E327" s="9" t="s">
        <v>2082</v>
      </c>
      <c r="F327" s="7" t="s">
        <v>1375</v>
      </c>
      <c r="G327" s="7" t="s">
        <v>1742</v>
      </c>
      <c r="H327" s="7" t="s">
        <v>1680</v>
      </c>
      <c r="I327" s="7" t="s">
        <v>1686</v>
      </c>
      <c r="J327" s="7" t="s">
        <v>1688</v>
      </c>
      <c r="K327" s="7" t="s">
        <v>1695</v>
      </c>
      <c r="L327" s="2">
        <v>1</v>
      </c>
    </row>
    <row r="328" spans="1:12" ht="15" customHeight="1" x14ac:dyDescent="0.35">
      <c r="A328" s="7" t="s">
        <v>1</v>
      </c>
      <c r="B328" s="7" t="s">
        <v>290</v>
      </c>
      <c r="C328" s="7" t="s">
        <v>548</v>
      </c>
      <c r="D328" s="7" t="s">
        <v>783</v>
      </c>
      <c r="E328" s="9" t="s">
        <v>2083</v>
      </c>
      <c r="F328" s="7" t="s">
        <v>1376</v>
      </c>
      <c r="G328" s="7" t="s">
        <v>1737</v>
      </c>
      <c r="H328" s="7" t="s">
        <v>1678</v>
      </c>
      <c r="I328" s="7" t="s">
        <v>1686</v>
      </c>
      <c r="J328" s="7" t="s">
        <v>1688</v>
      </c>
      <c r="K328" s="7" t="s">
        <v>1721</v>
      </c>
      <c r="L328" s="2">
        <v>1</v>
      </c>
    </row>
    <row r="329" spans="1:12" ht="15" customHeight="1" x14ac:dyDescent="0.35">
      <c r="A329" s="7" t="s">
        <v>1</v>
      </c>
      <c r="B329" s="7" t="s">
        <v>291</v>
      </c>
      <c r="C329" s="7" t="s">
        <v>548</v>
      </c>
      <c r="D329" s="7" t="s">
        <v>656</v>
      </c>
      <c r="E329" s="9" t="s">
        <v>2084</v>
      </c>
      <c r="F329" s="7" t="s">
        <v>1377</v>
      </c>
      <c r="G329" s="7" t="s">
        <v>1737</v>
      </c>
      <c r="H329" s="7" t="s">
        <v>1677</v>
      </c>
      <c r="I329" s="7" t="s">
        <v>1686</v>
      </c>
      <c r="J329" s="7" t="s">
        <v>1688</v>
      </c>
      <c r="K329" s="7" t="s">
        <v>1698</v>
      </c>
      <c r="L329" s="2">
        <v>1</v>
      </c>
    </row>
    <row r="330" spans="1:12" ht="15" customHeight="1" x14ac:dyDescent="0.35">
      <c r="A330" s="7" t="s">
        <v>1</v>
      </c>
      <c r="B330" s="7" t="s">
        <v>292</v>
      </c>
      <c r="C330" s="7" t="s">
        <v>622</v>
      </c>
      <c r="D330" s="7" t="s">
        <v>972</v>
      </c>
      <c r="E330" s="9" t="s">
        <v>2085</v>
      </c>
      <c r="F330" s="7" t="s">
        <v>1378</v>
      </c>
      <c r="G330" s="7" t="s">
        <v>1737</v>
      </c>
      <c r="H330" s="7" t="s">
        <v>1677</v>
      </c>
      <c r="I330" s="7" t="s">
        <v>1686</v>
      </c>
      <c r="J330" s="7" t="s">
        <v>1688</v>
      </c>
      <c r="K330" s="7" t="s">
        <v>1698</v>
      </c>
      <c r="L330" s="2">
        <v>1</v>
      </c>
    </row>
    <row r="331" spans="1:12" ht="15" customHeight="1" x14ac:dyDescent="0.35">
      <c r="A331" s="7" t="s">
        <v>1</v>
      </c>
      <c r="B331" s="7" t="s">
        <v>293</v>
      </c>
      <c r="C331" s="7" t="s">
        <v>539</v>
      </c>
      <c r="D331" s="7" t="s">
        <v>636</v>
      </c>
      <c r="E331" s="9" t="s">
        <v>2086</v>
      </c>
      <c r="F331" s="7" t="s">
        <v>1379</v>
      </c>
      <c r="G331" s="7" t="s">
        <v>1742</v>
      </c>
      <c r="H331" s="7" t="s">
        <v>1680</v>
      </c>
      <c r="I331" s="7" t="s">
        <v>1686</v>
      </c>
      <c r="J331" s="7" t="s">
        <v>1688</v>
      </c>
      <c r="K331" s="7" t="s">
        <v>1695</v>
      </c>
      <c r="L331" s="2">
        <v>1</v>
      </c>
    </row>
    <row r="332" spans="1:12" ht="15" customHeight="1" x14ac:dyDescent="0.35">
      <c r="A332" s="7" t="s">
        <v>1</v>
      </c>
      <c r="B332" s="7" t="s">
        <v>294</v>
      </c>
      <c r="C332" s="7" t="s">
        <v>742</v>
      </c>
      <c r="D332" s="7" t="s">
        <v>973</v>
      </c>
      <c r="E332" s="9" t="s">
        <v>2087</v>
      </c>
      <c r="F332" s="7" t="s">
        <v>1380</v>
      </c>
      <c r="G332" s="7" t="s">
        <v>1745</v>
      </c>
      <c r="H332" s="7" t="s">
        <v>1680</v>
      </c>
      <c r="I332" s="7" t="s">
        <v>1686</v>
      </c>
      <c r="J332" s="7" t="s">
        <v>1688</v>
      </c>
      <c r="K332" s="7" t="s">
        <v>1718</v>
      </c>
      <c r="L332" s="2">
        <v>1</v>
      </c>
    </row>
    <row r="333" spans="1:12" ht="15" customHeight="1" x14ac:dyDescent="0.35">
      <c r="A333" s="7" t="s">
        <v>1</v>
      </c>
      <c r="B333" s="7" t="s">
        <v>295</v>
      </c>
      <c r="C333" s="7" t="s">
        <v>600</v>
      </c>
      <c r="D333" s="7" t="s">
        <v>974</v>
      </c>
      <c r="E333" s="9" t="s">
        <v>2088</v>
      </c>
      <c r="F333" s="7" t="s">
        <v>1381</v>
      </c>
      <c r="G333" s="7" t="s">
        <v>1742</v>
      </c>
      <c r="H333" s="7" t="s">
        <v>1678</v>
      </c>
      <c r="I333" s="7" t="s">
        <v>1686</v>
      </c>
      <c r="J333" s="7" t="s">
        <v>1688</v>
      </c>
      <c r="K333" s="7" t="s">
        <v>1701</v>
      </c>
      <c r="L333" s="2">
        <v>1</v>
      </c>
    </row>
    <row r="334" spans="1:12" ht="15" customHeight="1" x14ac:dyDescent="0.35">
      <c r="A334" s="7" t="s">
        <v>1</v>
      </c>
      <c r="B334" s="7" t="s">
        <v>296</v>
      </c>
      <c r="C334" s="7" t="s">
        <v>743</v>
      </c>
      <c r="D334" s="7" t="s">
        <v>589</v>
      </c>
      <c r="E334" s="9" t="s">
        <v>2089</v>
      </c>
      <c r="F334" s="7" t="s">
        <v>1382</v>
      </c>
      <c r="G334" s="7" t="s">
        <v>1745</v>
      </c>
      <c r="H334" s="7" t="s">
        <v>1677</v>
      </c>
      <c r="I334" s="7" t="s">
        <v>1686</v>
      </c>
      <c r="J334" s="7" t="s">
        <v>1688</v>
      </c>
      <c r="K334" s="7" t="s">
        <v>1709</v>
      </c>
      <c r="L334" s="2">
        <v>1</v>
      </c>
    </row>
    <row r="335" spans="1:12" ht="15" customHeight="1" x14ac:dyDescent="0.35">
      <c r="A335" s="7" t="s">
        <v>1</v>
      </c>
      <c r="B335" s="7" t="s">
        <v>297</v>
      </c>
      <c r="C335" s="7" t="s">
        <v>744</v>
      </c>
      <c r="D335" s="7" t="s">
        <v>589</v>
      </c>
      <c r="E335" s="9" t="s">
        <v>2090</v>
      </c>
      <c r="F335" s="7" t="s">
        <v>1383</v>
      </c>
      <c r="G335" s="7" t="s">
        <v>1739</v>
      </c>
      <c r="H335" s="7" t="s">
        <v>1677</v>
      </c>
      <c r="I335" s="7" t="s">
        <v>1686</v>
      </c>
      <c r="J335" s="7" t="s">
        <v>1688</v>
      </c>
      <c r="K335" s="7" t="s">
        <v>1691</v>
      </c>
      <c r="L335" s="2">
        <v>1</v>
      </c>
    </row>
    <row r="336" spans="1:12" ht="15" customHeight="1" x14ac:dyDescent="0.35">
      <c r="A336" s="7" t="s">
        <v>1</v>
      </c>
      <c r="B336" s="7" t="s">
        <v>298</v>
      </c>
      <c r="C336" s="7" t="s">
        <v>745</v>
      </c>
      <c r="D336" s="7" t="s">
        <v>881</v>
      </c>
      <c r="E336" s="9" t="s">
        <v>2091</v>
      </c>
      <c r="F336" s="7" t="s">
        <v>1384</v>
      </c>
      <c r="G336" s="7" t="s">
        <v>1745</v>
      </c>
      <c r="H336" s="7" t="s">
        <v>1679</v>
      </c>
      <c r="I336" s="7" t="s">
        <v>1686</v>
      </c>
      <c r="J336" s="7" t="s">
        <v>1688</v>
      </c>
      <c r="K336" s="7" t="s">
        <v>1717</v>
      </c>
      <c r="L336" s="2">
        <v>1</v>
      </c>
    </row>
    <row r="337" spans="1:12" ht="15" customHeight="1" x14ac:dyDescent="0.35">
      <c r="A337" s="7" t="s">
        <v>1</v>
      </c>
      <c r="B337" s="7" t="s">
        <v>299</v>
      </c>
      <c r="C337" s="7" t="s">
        <v>746</v>
      </c>
      <c r="D337" s="7" t="s">
        <v>877</v>
      </c>
      <c r="E337" s="9" t="s">
        <v>2092</v>
      </c>
      <c r="F337" s="7" t="s">
        <v>1385</v>
      </c>
      <c r="G337" s="7" t="s">
        <v>1737</v>
      </c>
      <c r="H337" s="7" t="s">
        <v>1677</v>
      </c>
      <c r="I337" s="7" t="s">
        <v>1686</v>
      </c>
      <c r="J337" s="7" t="s">
        <v>1688</v>
      </c>
      <c r="K337" s="7" t="s">
        <v>1698</v>
      </c>
      <c r="L337" s="2">
        <v>1</v>
      </c>
    </row>
    <row r="338" spans="1:12" ht="15" customHeight="1" x14ac:dyDescent="0.35">
      <c r="A338" s="7" t="s">
        <v>1</v>
      </c>
      <c r="B338" s="7" t="s">
        <v>300</v>
      </c>
      <c r="C338" s="7" t="s">
        <v>539</v>
      </c>
      <c r="D338" s="7" t="s">
        <v>817</v>
      </c>
      <c r="E338" s="9" t="s">
        <v>2093</v>
      </c>
      <c r="F338" s="7" t="s">
        <v>1386</v>
      </c>
      <c r="G338" s="7" t="s">
        <v>1745</v>
      </c>
      <c r="H338" s="7" t="s">
        <v>1679</v>
      </c>
      <c r="I338" s="7" t="s">
        <v>1686</v>
      </c>
      <c r="J338" s="7" t="s">
        <v>1688</v>
      </c>
      <c r="K338" s="7" t="s">
        <v>1717</v>
      </c>
      <c r="L338" s="2">
        <v>1</v>
      </c>
    </row>
    <row r="339" spans="1:12" ht="15" customHeight="1" x14ac:dyDescent="0.35">
      <c r="A339" s="7" t="s">
        <v>1</v>
      </c>
      <c r="B339" s="7" t="s">
        <v>301</v>
      </c>
      <c r="C339" s="7" t="s">
        <v>667</v>
      </c>
      <c r="D339" s="7" t="s">
        <v>582</v>
      </c>
      <c r="E339" s="9" t="s">
        <v>2094</v>
      </c>
      <c r="F339" s="7" t="s">
        <v>1387</v>
      </c>
      <c r="G339" s="7" t="s">
        <v>1739</v>
      </c>
      <c r="H339" s="7" t="s">
        <v>1680</v>
      </c>
      <c r="I339" s="7" t="s">
        <v>1686</v>
      </c>
      <c r="J339" s="7" t="s">
        <v>1688</v>
      </c>
      <c r="K339" s="7" t="s">
        <v>1716</v>
      </c>
      <c r="L339" s="2">
        <v>1</v>
      </c>
    </row>
    <row r="340" spans="1:12" ht="15" customHeight="1" x14ac:dyDescent="0.35">
      <c r="A340" s="7" t="s">
        <v>1</v>
      </c>
      <c r="B340" s="7" t="s">
        <v>302</v>
      </c>
      <c r="C340" s="7" t="s">
        <v>747</v>
      </c>
      <c r="D340" s="7" t="s">
        <v>593</v>
      </c>
      <c r="E340" s="9" t="s">
        <v>2095</v>
      </c>
      <c r="F340" s="7" t="s">
        <v>1388</v>
      </c>
      <c r="G340" s="7" t="s">
        <v>1742</v>
      </c>
      <c r="H340" s="7" t="s">
        <v>1680</v>
      </c>
      <c r="I340" s="7" t="s">
        <v>1686</v>
      </c>
      <c r="J340" s="7" t="s">
        <v>1688</v>
      </c>
      <c r="K340" s="7" t="s">
        <v>1695</v>
      </c>
      <c r="L340" s="2">
        <v>1</v>
      </c>
    </row>
    <row r="341" spans="1:12" ht="15" customHeight="1" x14ac:dyDescent="0.35">
      <c r="A341" s="7" t="s">
        <v>1</v>
      </c>
      <c r="B341" s="7" t="s">
        <v>302</v>
      </c>
      <c r="C341" s="7" t="s">
        <v>748</v>
      </c>
      <c r="D341" s="7" t="s">
        <v>600</v>
      </c>
      <c r="E341" s="9" t="s">
        <v>2096</v>
      </c>
      <c r="F341" s="7" t="s">
        <v>1389</v>
      </c>
      <c r="G341" s="7" t="s">
        <v>1742</v>
      </c>
      <c r="H341" s="7" t="s">
        <v>1678</v>
      </c>
      <c r="I341" s="7" t="s">
        <v>1686</v>
      </c>
      <c r="J341" s="7" t="s">
        <v>1688</v>
      </c>
      <c r="K341" s="7" t="s">
        <v>1701</v>
      </c>
      <c r="L341" s="2">
        <v>1</v>
      </c>
    </row>
    <row r="342" spans="1:12" ht="15" customHeight="1" x14ac:dyDescent="0.35">
      <c r="A342" s="7" t="s">
        <v>1</v>
      </c>
      <c r="B342" s="7" t="s">
        <v>303</v>
      </c>
      <c r="C342" s="7" t="s">
        <v>532</v>
      </c>
      <c r="D342" s="7" t="s">
        <v>975</v>
      </c>
      <c r="E342" s="9" t="s">
        <v>2097</v>
      </c>
      <c r="F342" s="7" t="s">
        <v>1390</v>
      </c>
      <c r="G342" s="7" t="s">
        <v>1742</v>
      </c>
      <c r="H342" s="7" t="s">
        <v>1679</v>
      </c>
      <c r="I342" s="7" t="s">
        <v>1686</v>
      </c>
      <c r="J342" s="7" t="s">
        <v>1688</v>
      </c>
      <c r="K342" s="7" t="s">
        <v>1694</v>
      </c>
      <c r="L342" s="2">
        <v>1</v>
      </c>
    </row>
    <row r="343" spans="1:12" ht="15" customHeight="1" x14ac:dyDescent="0.35">
      <c r="A343" s="7" t="s">
        <v>1</v>
      </c>
      <c r="B343" s="7" t="s">
        <v>304</v>
      </c>
      <c r="C343" s="7" t="s">
        <v>749</v>
      </c>
      <c r="D343" s="7" t="s">
        <v>973</v>
      </c>
      <c r="E343" s="9" t="s">
        <v>2098</v>
      </c>
      <c r="F343" s="7" t="s">
        <v>1391</v>
      </c>
      <c r="G343" s="7" t="s">
        <v>1737</v>
      </c>
      <c r="H343" s="7" t="s">
        <v>1677</v>
      </c>
      <c r="I343" s="7" t="s">
        <v>1686</v>
      </c>
      <c r="J343" s="7" t="s">
        <v>1688</v>
      </c>
      <c r="K343" s="7" t="s">
        <v>1698</v>
      </c>
      <c r="L343" s="2">
        <v>1</v>
      </c>
    </row>
    <row r="344" spans="1:12" ht="15" customHeight="1" x14ac:dyDescent="0.35">
      <c r="A344" s="7" t="s">
        <v>1</v>
      </c>
      <c r="B344" s="7" t="s">
        <v>305</v>
      </c>
      <c r="C344" s="7" t="s">
        <v>548</v>
      </c>
      <c r="D344" s="7" t="s">
        <v>621</v>
      </c>
      <c r="E344" s="9" t="s">
        <v>2099</v>
      </c>
      <c r="F344" s="7" t="s">
        <v>1392</v>
      </c>
      <c r="G344" s="7" t="s">
        <v>1742</v>
      </c>
      <c r="H344" s="7" t="s">
        <v>1677</v>
      </c>
      <c r="I344" s="7" t="s">
        <v>1686</v>
      </c>
      <c r="J344" s="7" t="s">
        <v>1688</v>
      </c>
      <c r="K344" s="7" t="s">
        <v>1703</v>
      </c>
      <c r="L344" s="2">
        <v>1</v>
      </c>
    </row>
    <row r="345" spans="1:12" ht="15" customHeight="1" x14ac:dyDescent="0.35">
      <c r="A345" s="7" t="s">
        <v>1</v>
      </c>
      <c r="B345" s="7" t="s">
        <v>306</v>
      </c>
      <c r="C345" s="7" t="s">
        <v>750</v>
      </c>
      <c r="D345" s="7" t="s">
        <v>770</v>
      </c>
      <c r="E345" s="9" t="s">
        <v>2100</v>
      </c>
      <c r="F345" s="7" t="s">
        <v>1393</v>
      </c>
      <c r="G345" s="7" t="s">
        <v>1745</v>
      </c>
      <c r="H345" s="7" t="s">
        <v>1679</v>
      </c>
      <c r="I345" s="7" t="s">
        <v>1686</v>
      </c>
      <c r="J345" s="7" t="s">
        <v>1688</v>
      </c>
      <c r="K345" s="7" t="s">
        <v>1717</v>
      </c>
      <c r="L345" s="2">
        <v>1</v>
      </c>
    </row>
    <row r="346" spans="1:12" ht="15" customHeight="1" x14ac:dyDescent="0.35">
      <c r="A346" s="7" t="s">
        <v>1</v>
      </c>
      <c r="B346" s="7" t="s">
        <v>307</v>
      </c>
      <c r="C346" s="7" t="s">
        <v>627</v>
      </c>
      <c r="D346" s="7" t="s">
        <v>627</v>
      </c>
      <c r="E346" s="9" t="s">
        <v>2101</v>
      </c>
      <c r="F346" s="7" t="s">
        <v>1394</v>
      </c>
      <c r="G346" s="7" t="s">
        <v>1737</v>
      </c>
      <c r="H346" s="7" t="s">
        <v>1677</v>
      </c>
      <c r="I346" s="7" t="s">
        <v>1686</v>
      </c>
      <c r="J346" s="7" t="s">
        <v>1688</v>
      </c>
      <c r="K346" s="7" t="s">
        <v>1698</v>
      </c>
      <c r="L346" s="2">
        <v>1</v>
      </c>
    </row>
    <row r="347" spans="1:12" ht="15" customHeight="1" x14ac:dyDescent="0.35">
      <c r="A347" s="7" t="s">
        <v>1</v>
      </c>
      <c r="B347" s="7" t="s">
        <v>308</v>
      </c>
      <c r="C347" s="7" t="s">
        <v>751</v>
      </c>
      <c r="D347" s="7" t="s">
        <v>548</v>
      </c>
      <c r="E347" s="9" t="s">
        <v>2102</v>
      </c>
      <c r="F347" s="7" t="s">
        <v>1395</v>
      </c>
      <c r="G347" s="7" t="s">
        <v>1745</v>
      </c>
      <c r="H347" s="7" t="s">
        <v>1677</v>
      </c>
      <c r="I347" s="7" t="s">
        <v>1686</v>
      </c>
      <c r="J347" s="7" t="s">
        <v>1688</v>
      </c>
      <c r="K347" s="7" t="s">
        <v>1709</v>
      </c>
      <c r="L347" s="2">
        <v>1</v>
      </c>
    </row>
    <row r="348" spans="1:12" ht="15" customHeight="1" x14ac:dyDescent="0.35">
      <c r="A348" s="7" t="s">
        <v>1</v>
      </c>
      <c r="B348" s="7" t="s">
        <v>308</v>
      </c>
      <c r="C348" s="7" t="s">
        <v>752</v>
      </c>
      <c r="D348" s="7" t="s">
        <v>976</v>
      </c>
      <c r="E348" s="9" t="s">
        <v>2103</v>
      </c>
      <c r="F348" s="7" t="s">
        <v>1396</v>
      </c>
      <c r="G348" s="7" t="s">
        <v>1737</v>
      </c>
      <c r="H348" s="7" t="s">
        <v>1677</v>
      </c>
      <c r="I348" s="7" t="s">
        <v>1686</v>
      </c>
      <c r="J348" s="7" t="s">
        <v>1688</v>
      </c>
      <c r="K348" s="7" t="s">
        <v>1698</v>
      </c>
      <c r="L348" s="2">
        <v>1</v>
      </c>
    </row>
    <row r="349" spans="1:12" ht="15" customHeight="1" x14ac:dyDescent="0.35">
      <c r="A349" s="7" t="s">
        <v>1</v>
      </c>
      <c r="B349" s="7" t="s">
        <v>308</v>
      </c>
      <c r="C349" s="7" t="s">
        <v>690</v>
      </c>
      <c r="D349" s="7" t="s">
        <v>977</v>
      </c>
      <c r="E349" s="9" t="s">
        <v>2104</v>
      </c>
      <c r="F349" s="7" t="s">
        <v>1397</v>
      </c>
      <c r="G349" s="7" t="s">
        <v>1744</v>
      </c>
      <c r="H349" s="7" t="s">
        <v>1677</v>
      </c>
      <c r="I349" s="7" t="s">
        <v>1686</v>
      </c>
      <c r="J349" s="7" t="s">
        <v>1688</v>
      </c>
      <c r="K349" s="7" t="s">
        <v>1713</v>
      </c>
      <c r="L349" s="2">
        <v>1</v>
      </c>
    </row>
    <row r="350" spans="1:12" ht="15" customHeight="1" x14ac:dyDescent="0.35">
      <c r="A350" s="7" t="s">
        <v>1</v>
      </c>
      <c r="B350" s="7" t="s">
        <v>308</v>
      </c>
      <c r="C350" s="7" t="s">
        <v>528</v>
      </c>
      <c r="D350" s="7" t="s">
        <v>978</v>
      </c>
      <c r="E350" s="9" t="s">
        <v>2105</v>
      </c>
      <c r="F350" s="7" t="s">
        <v>1398</v>
      </c>
      <c r="G350" s="7" t="s">
        <v>1742</v>
      </c>
      <c r="H350" s="7" t="s">
        <v>1680</v>
      </c>
      <c r="I350" s="7" t="s">
        <v>1686</v>
      </c>
      <c r="J350" s="7" t="s">
        <v>1688</v>
      </c>
      <c r="K350" s="7" t="s">
        <v>1695</v>
      </c>
      <c r="L350" s="2">
        <v>1</v>
      </c>
    </row>
    <row r="351" spans="1:12" ht="15" customHeight="1" x14ac:dyDescent="0.35">
      <c r="A351" s="7" t="s">
        <v>1</v>
      </c>
      <c r="B351" s="7" t="s">
        <v>309</v>
      </c>
      <c r="C351" s="7" t="s">
        <v>753</v>
      </c>
      <c r="D351" s="7" t="s">
        <v>659</v>
      </c>
      <c r="E351" s="9" t="s">
        <v>2106</v>
      </c>
      <c r="F351" s="7" t="s">
        <v>1399</v>
      </c>
      <c r="G351" s="7" t="s">
        <v>1742</v>
      </c>
      <c r="H351" s="7" t="s">
        <v>1677</v>
      </c>
      <c r="I351" s="7" t="s">
        <v>1686</v>
      </c>
      <c r="J351" s="7" t="s">
        <v>1688</v>
      </c>
      <c r="K351" s="7" t="s">
        <v>1712</v>
      </c>
      <c r="L351" s="2">
        <v>1</v>
      </c>
    </row>
    <row r="352" spans="1:12" ht="15" customHeight="1" x14ac:dyDescent="0.35">
      <c r="A352" s="7" t="s">
        <v>1</v>
      </c>
      <c r="B352" s="7" t="s">
        <v>310</v>
      </c>
      <c r="C352" s="7" t="s">
        <v>674</v>
      </c>
      <c r="D352" s="7" t="s">
        <v>979</v>
      </c>
      <c r="E352" s="9" t="s">
        <v>2107</v>
      </c>
      <c r="F352" s="7" t="s">
        <v>1400</v>
      </c>
      <c r="G352" s="7" t="s">
        <v>1737</v>
      </c>
      <c r="H352" s="7" t="s">
        <v>1677</v>
      </c>
      <c r="I352" s="7" t="s">
        <v>1686</v>
      </c>
      <c r="J352" s="7" t="s">
        <v>1688</v>
      </c>
      <c r="K352" s="7" t="s">
        <v>1698</v>
      </c>
      <c r="L352" s="2">
        <v>1</v>
      </c>
    </row>
    <row r="353" spans="1:12" ht="15" customHeight="1" x14ac:dyDescent="0.35">
      <c r="A353" s="7" t="s">
        <v>1</v>
      </c>
      <c r="B353" s="7" t="s">
        <v>311</v>
      </c>
      <c r="C353" s="7" t="s">
        <v>588</v>
      </c>
      <c r="D353" s="7" t="s">
        <v>544</v>
      </c>
      <c r="E353" s="9" t="s">
        <v>2108</v>
      </c>
      <c r="F353" s="7" t="s">
        <v>1401</v>
      </c>
      <c r="G353" s="7" t="s">
        <v>1742</v>
      </c>
      <c r="H353" s="7" t="s">
        <v>1681</v>
      </c>
      <c r="I353" s="7" t="s">
        <v>1686</v>
      </c>
      <c r="J353" s="7" t="s">
        <v>1688</v>
      </c>
      <c r="K353" s="7" t="s">
        <v>1697</v>
      </c>
      <c r="L353" s="2">
        <v>1</v>
      </c>
    </row>
    <row r="354" spans="1:12" ht="15" customHeight="1" x14ac:dyDescent="0.35">
      <c r="A354" s="7" t="s">
        <v>1</v>
      </c>
      <c r="B354" s="7" t="s">
        <v>312</v>
      </c>
      <c r="C354" s="7" t="s">
        <v>754</v>
      </c>
      <c r="D354" s="7" t="s">
        <v>980</v>
      </c>
      <c r="E354" s="9" t="s">
        <v>2109</v>
      </c>
      <c r="F354" s="7" t="s">
        <v>1402</v>
      </c>
      <c r="G354" s="7" t="s">
        <v>1742</v>
      </c>
      <c r="H354" s="7" t="s">
        <v>1678</v>
      </c>
      <c r="I354" s="7" t="s">
        <v>1686</v>
      </c>
      <c r="J354" s="7" t="s">
        <v>1688</v>
      </c>
      <c r="K354" s="7" t="s">
        <v>1700</v>
      </c>
      <c r="L354" s="2">
        <v>1</v>
      </c>
    </row>
    <row r="355" spans="1:12" ht="15" customHeight="1" x14ac:dyDescent="0.35">
      <c r="A355" s="7" t="s">
        <v>1</v>
      </c>
      <c r="B355" s="7" t="s">
        <v>312</v>
      </c>
      <c r="C355" s="7" t="s">
        <v>639</v>
      </c>
      <c r="D355" s="7" t="s">
        <v>539</v>
      </c>
      <c r="E355" s="9" t="s">
        <v>2110</v>
      </c>
      <c r="F355" s="7" t="s">
        <v>1403</v>
      </c>
      <c r="G355" s="7" t="s">
        <v>1742</v>
      </c>
      <c r="H355" s="7" t="s">
        <v>1679</v>
      </c>
      <c r="I355" s="7" t="s">
        <v>1686</v>
      </c>
      <c r="J355" s="7" t="s">
        <v>1688</v>
      </c>
      <c r="K355" s="7" t="s">
        <v>1694</v>
      </c>
      <c r="L355" s="2">
        <v>1</v>
      </c>
    </row>
    <row r="356" spans="1:12" ht="15" customHeight="1" x14ac:dyDescent="0.35">
      <c r="A356" s="7" t="s">
        <v>1</v>
      </c>
      <c r="B356" s="7" t="s">
        <v>312</v>
      </c>
      <c r="C356" s="7" t="s">
        <v>679</v>
      </c>
      <c r="D356" s="7" t="s">
        <v>679</v>
      </c>
      <c r="E356" s="9" t="s">
        <v>2111</v>
      </c>
      <c r="F356" s="7" t="s">
        <v>1404</v>
      </c>
      <c r="G356" s="7" t="s">
        <v>1737</v>
      </c>
      <c r="H356" s="7" t="s">
        <v>1678</v>
      </c>
      <c r="I356" s="7" t="s">
        <v>1686</v>
      </c>
      <c r="J356" s="7" t="s">
        <v>1688</v>
      </c>
      <c r="K356" s="7" t="s">
        <v>1696</v>
      </c>
      <c r="L356" s="2">
        <v>1</v>
      </c>
    </row>
    <row r="357" spans="1:12" ht="15" customHeight="1" x14ac:dyDescent="0.35">
      <c r="A357" s="7" t="s">
        <v>1</v>
      </c>
      <c r="B357" s="7" t="s">
        <v>312</v>
      </c>
      <c r="C357" s="7" t="s">
        <v>654</v>
      </c>
      <c r="D357" s="7" t="s">
        <v>589</v>
      </c>
      <c r="E357" s="9" t="s">
        <v>2112</v>
      </c>
      <c r="F357" s="7" t="s">
        <v>1405</v>
      </c>
      <c r="G357" s="7" t="s">
        <v>1747</v>
      </c>
      <c r="H357" s="7" t="s">
        <v>1680</v>
      </c>
      <c r="I357" s="7" t="s">
        <v>1686</v>
      </c>
      <c r="J357" s="7" t="s">
        <v>1688</v>
      </c>
      <c r="K357" s="7" t="s">
        <v>1723</v>
      </c>
      <c r="L357" s="2">
        <v>1</v>
      </c>
    </row>
    <row r="358" spans="1:12" ht="15" customHeight="1" x14ac:dyDescent="0.35">
      <c r="A358" s="7" t="s">
        <v>1</v>
      </c>
      <c r="B358" s="7" t="s">
        <v>312</v>
      </c>
      <c r="C358" s="7" t="s">
        <v>755</v>
      </c>
      <c r="D358" s="7" t="s">
        <v>786</v>
      </c>
      <c r="E358" s="9" t="s">
        <v>2113</v>
      </c>
      <c r="F358" s="7" t="s">
        <v>1406</v>
      </c>
      <c r="G358" s="7" t="s">
        <v>1742</v>
      </c>
      <c r="H358" s="7" t="s">
        <v>1680</v>
      </c>
      <c r="I358" s="7" t="s">
        <v>1686</v>
      </c>
      <c r="J358" s="7" t="s">
        <v>1688</v>
      </c>
      <c r="K358" s="7" t="s">
        <v>1695</v>
      </c>
      <c r="L358" s="2">
        <v>1</v>
      </c>
    </row>
    <row r="359" spans="1:12" ht="15" customHeight="1" x14ac:dyDescent="0.35">
      <c r="A359" s="7" t="s">
        <v>1</v>
      </c>
      <c r="B359" s="7" t="s">
        <v>312</v>
      </c>
      <c r="C359" s="7" t="s">
        <v>756</v>
      </c>
      <c r="D359" s="7" t="s">
        <v>544</v>
      </c>
      <c r="E359" s="9" t="s">
        <v>2114</v>
      </c>
      <c r="F359" s="7" t="s">
        <v>1407</v>
      </c>
      <c r="G359" s="7" t="s">
        <v>1745</v>
      </c>
      <c r="H359" s="7" t="s">
        <v>1680</v>
      </c>
      <c r="I359" s="7" t="s">
        <v>1686</v>
      </c>
      <c r="J359" s="7" t="s">
        <v>1688</v>
      </c>
      <c r="K359" s="7" t="s">
        <v>1718</v>
      </c>
      <c r="L359" s="2">
        <v>1</v>
      </c>
    </row>
    <row r="360" spans="1:12" ht="15" customHeight="1" x14ac:dyDescent="0.35">
      <c r="A360" s="7" t="s">
        <v>1</v>
      </c>
      <c r="B360" s="7" t="s">
        <v>313</v>
      </c>
      <c r="C360" s="7" t="s">
        <v>689</v>
      </c>
      <c r="D360" s="7" t="s">
        <v>803</v>
      </c>
      <c r="E360" s="9" t="s">
        <v>2115</v>
      </c>
      <c r="F360" s="7" t="s">
        <v>1408</v>
      </c>
      <c r="G360" s="7" t="s">
        <v>1744</v>
      </c>
      <c r="H360" s="7" t="s">
        <v>1678</v>
      </c>
      <c r="I360" s="7" t="s">
        <v>1685</v>
      </c>
      <c r="J360" s="7" t="s">
        <v>1688</v>
      </c>
      <c r="K360" s="7" t="s">
        <v>1711</v>
      </c>
      <c r="L360" s="2">
        <v>1</v>
      </c>
    </row>
    <row r="361" spans="1:12" ht="15" customHeight="1" x14ac:dyDescent="0.35">
      <c r="A361" s="7" t="s">
        <v>1</v>
      </c>
      <c r="B361" s="7" t="s">
        <v>314</v>
      </c>
      <c r="C361" s="7" t="s">
        <v>757</v>
      </c>
      <c r="D361" s="7" t="s">
        <v>588</v>
      </c>
      <c r="E361" s="9" t="s">
        <v>2116</v>
      </c>
      <c r="F361" s="7" t="s">
        <v>1409</v>
      </c>
      <c r="G361" s="7" t="s">
        <v>1743</v>
      </c>
      <c r="H361" s="7" t="s">
        <v>1677</v>
      </c>
      <c r="I361" s="7" t="s">
        <v>1685</v>
      </c>
      <c r="J361" s="7" t="s">
        <v>1688</v>
      </c>
      <c r="K361" s="7" t="s">
        <v>1720</v>
      </c>
      <c r="L361" s="2">
        <v>1</v>
      </c>
    </row>
    <row r="362" spans="1:12" ht="15" customHeight="1" x14ac:dyDescent="0.35">
      <c r="A362" s="7" t="s">
        <v>1</v>
      </c>
      <c r="B362" s="7" t="s">
        <v>315</v>
      </c>
      <c r="C362" s="7" t="s">
        <v>758</v>
      </c>
      <c r="D362" s="7" t="s">
        <v>539</v>
      </c>
      <c r="E362" s="9" t="s">
        <v>2117</v>
      </c>
      <c r="F362" s="7" t="s">
        <v>1410</v>
      </c>
      <c r="G362" s="7" t="s">
        <v>1745</v>
      </c>
      <c r="H362" s="7" t="s">
        <v>1680</v>
      </c>
      <c r="I362" s="7" t="s">
        <v>1685</v>
      </c>
      <c r="J362" s="7" t="s">
        <v>1688</v>
      </c>
      <c r="K362" s="7" t="s">
        <v>1718</v>
      </c>
      <c r="L362" s="2">
        <v>1</v>
      </c>
    </row>
    <row r="363" spans="1:12" ht="15" customHeight="1" x14ac:dyDescent="0.35">
      <c r="A363" s="7" t="s">
        <v>1</v>
      </c>
      <c r="B363" s="7" t="s">
        <v>316</v>
      </c>
      <c r="C363" s="7" t="s">
        <v>629</v>
      </c>
      <c r="D363" s="7" t="s">
        <v>738</v>
      </c>
      <c r="E363" s="9" t="s">
        <v>2118</v>
      </c>
      <c r="F363" s="7" t="s">
        <v>1411</v>
      </c>
      <c r="G363" s="7" t="s">
        <v>1738</v>
      </c>
      <c r="H363" s="7" t="s">
        <v>1677</v>
      </c>
      <c r="I363" s="7" t="s">
        <v>1686</v>
      </c>
      <c r="J363" s="7" t="s">
        <v>1688</v>
      </c>
      <c r="K363" s="7" t="s">
        <v>1732</v>
      </c>
      <c r="L363" s="2">
        <v>1</v>
      </c>
    </row>
    <row r="364" spans="1:12" ht="15" customHeight="1" x14ac:dyDescent="0.35">
      <c r="A364" s="7" t="s">
        <v>1</v>
      </c>
      <c r="B364" s="7" t="s">
        <v>317</v>
      </c>
      <c r="C364" s="7" t="s">
        <v>531</v>
      </c>
      <c r="D364" s="7" t="s">
        <v>817</v>
      </c>
      <c r="E364" s="9" t="s">
        <v>2119</v>
      </c>
      <c r="F364" s="7" t="s">
        <v>1412</v>
      </c>
      <c r="G364" s="7" t="s">
        <v>1745</v>
      </c>
      <c r="H364" s="7" t="s">
        <v>1678</v>
      </c>
      <c r="I364" s="7" t="s">
        <v>1685</v>
      </c>
      <c r="J364" s="7" t="s">
        <v>1688</v>
      </c>
      <c r="K364" s="7" t="s">
        <v>1710</v>
      </c>
      <c r="L364" s="2">
        <v>1</v>
      </c>
    </row>
    <row r="365" spans="1:12" ht="15" customHeight="1" x14ac:dyDescent="0.35">
      <c r="A365" s="7" t="s">
        <v>1</v>
      </c>
      <c r="B365" s="7" t="s">
        <v>318</v>
      </c>
      <c r="C365" s="7" t="s">
        <v>654</v>
      </c>
      <c r="D365" s="7" t="s">
        <v>636</v>
      </c>
      <c r="E365" s="9" t="s">
        <v>2120</v>
      </c>
      <c r="F365" s="7" t="s">
        <v>1413</v>
      </c>
      <c r="G365" s="7" t="s">
        <v>1742</v>
      </c>
      <c r="H365" s="7" t="s">
        <v>1678</v>
      </c>
      <c r="I365" s="7" t="s">
        <v>1685</v>
      </c>
      <c r="J365" s="7" t="s">
        <v>1688</v>
      </c>
      <c r="K365" s="7" t="s">
        <v>1700</v>
      </c>
      <c r="L365" s="2">
        <v>1</v>
      </c>
    </row>
    <row r="366" spans="1:12" ht="15" customHeight="1" x14ac:dyDescent="0.35">
      <c r="A366" s="7" t="s">
        <v>1</v>
      </c>
      <c r="B366" s="7" t="s">
        <v>319</v>
      </c>
      <c r="C366" s="7" t="s">
        <v>759</v>
      </c>
      <c r="D366" s="7" t="s">
        <v>981</v>
      </c>
      <c r="E366" s="9" t="s">
        <v>2121</v>
      </c>
      <c r="F366" s="7" t="s">
        <v>1414</v>
      </c>
      <c r="G366" s="7" t="s">
        <v>1745</v>
      </c>
      <c r="H366" s="7" t="s">
        <v>1680</v>
      </c>
      <c r="I366" s="7" t="s">
        <v>1685</v>
      </c>
      <c r="J366" s="7" t="s">
        <v>1688</v>
      </c>
      <c r="K366" s="7" t="s">
        <v>1718</v>
      </c>
      <c r="L366" s="2">
        <v>1</v>
      </c>
    </row>
    <row r="367" spans="1:12" ht="15" customHeight="1" x14ac:dyDescent="0.35">
      <c r="A367" s="7" t="s">
        <v>1</v>
      </c>
      <c r="B367" s="7" t="s">
        <v>320</v>
      </c>
      <c r="C367" s="7" t="s">
        <v>531</v>
      </c>
      <c r="D367" s="7" t="s">
        <v>570</v>
      </c>
      <c r="E367" s="9" t="s">
        <v>2122</v>
      </c>
      <c r="F367" s="7" t="s">
        <v>1415</v>
      </c>
      <c r="G367" s="7" t="s">
        <v>1739</v>
      </c>
      <c r="H367" s="7" t="s">
        <v>1679</v>
      </c>
      <c r="I367" s="7" t="s">
        <v>1685</v>
      </c>
      <c r="J367" s="7" t="s">
        <v>1688</v>
      </c>
      <c r="K367" s="7" t="s">
        <v>1708</v>
      </c>
      <c r="L367" s="2">
        <v>1</v>
      </c>
    </row>
    <row r="368" spans="1:12" ht="15" customHeight="1" x14ac:dyDescent="0.35">
      <c r="A368" s="7" t="s">
        <v>1</v>
      </c>
      <c r="B368" s="7" t="s">
        <v>321</v>
      </c>
      <c r="C368" s="7" t="s">
        <v>702</v>
      </c>
      <c r="D368" s="7" t="s">
        <v>982</v>
      </c>
      <c r="E368" s="9" t="s">
        <v>2123</v>
      </c>
      <c r="F368" s="7" t="s">
        <v>1416</v>
      </c>
      <c r="G368" s="7" t="s">
        <v>1740</v>
      </c>
      <c r="H368" s="7" t="s">
        <v>1680</v>
      </c>
      <c r="I368" s="7" t="s">
        <v>1685</v>
      </c>
      <c r="J368" s="7" t="s">
        <v>1688</v>
      </c>
      <c r="K368" s="7" t="s">
        <v>1715</v>
      </c>
      <c r="L368" s="2">
        <v>1</v>
      </c>
    </row>
    <row r="369" spans="1:12" ht="15" customHeight="1" x14ac:dyDescent="0.35">
      <c r="A369" s="7" t="s">
        <v>1</v>
      </c>
      <c r="B369" s="7" t="s">
        <v>322</v>
      </c>
      <c r="C369" s="7" t="s">
        <v>745</v>
      </c>
      <c r="D369" s="7" t="s">
        <v>589</v>
      </c>
      <c r="E369" s="9" t="s">
        <v>2124</v>
      </c>
      <c r="F369" s="7" t="s">
        <v>1417</v>
      </c>
      <c r="G369" s="7" t="s">
        <v>1742</v>
      </c>
      <c r="H369" s="7" t="s">
        <v>1677</v>
      </c>
      <c r="I369" s="7" t="s">
        <v>1686</v>
      </c>
      <c r="J369" s="7" t="s">
        <v>1688</v>
      </c>
      <c r="K369" s="7" t="s">
        <v>1703</v>
      </c>
      <c r="L369" s="2">
        <v>1</v>
      </c>
    </row>
    <row r="370" spans="1:12" ht="15" customHeight="1" x14ac:dyDescent="0.35">
      <c r="A370" s="7" t="s">
        <v>1</v>
      </c>
      <c r="B370" s="7" t="s">
        <v>323</v>
      </c>
      <c r="C370" s="7" t="s">
        <v>597</v>
      </c>
      <c r="D370" s="7" t="s">
        <v>983</v>
      </c>
      <c r="E370" s="9" t="s">
        <v>2125</v>
      </c>
      <c r="F370" s="7" t="s">
        <v>1418</v>
      </c>
      <c r="G370" s="7" t="s">
        <v>1745</v>
      </c>
      <c r="H370" s="7" t="s">
        <v>1678</v>
      </c>
      <c r="I370" s="7" t="s">
        <v>1685</v>
      </c>
      <c r="J370" s="7" t="s">
        <v>1688</v>
      </c>
      <c r="K370" s="7" t="s">
        <v>1710</v>
      </c>
      <c r="L370" s="2">
        <v>1</v>
      </c>
    </row>
    <row r="371" spans="1:12" ht="15" customHeight="1" x14ac:dyDescent="0.35">
      <c r="A371" s="7" t="s">
        <v>1</v>
      </c>
      <c r="B371" s="7" t="s">
        <v>324</v>
      </c>
      <c r="C371" s="7" t="s">
        <v>760</v>
      </c>
      <c r="D371" s="7" t="s">
        <v>57</v>
      </c>
      <c r="E371" s="9" t="s">
        <v>2126</v>
      </c>
      <c r="F371" s="7" t="s">
        <v>1419</v>
      </c>
      <c r="G371" s="7" t="s">
        <v>1742</v>
      </c>
      <c r="H371" s="7" t="s">
        <v>1677</v>
      </c>
      <c r="I371" s="7" t="s">
        <v>1685</v>
      </c>
      <c r="J371" s="7" t="s">
        <v>1688</v>
      </c>
      <c r="K371" s="7" t="s">
        <v>1703</v>
      </c>
      <c r="L371" s="2">
        <v>1</v>
      </c>
    </row>
    <row r="372" spans="1:12" ht="15" customHeight="1" x14ac:dyDescent="0.35">
      <c r="A372" s="7" t="s">
        <v>1</v>
      </c>
      <c r="B372" s="7" t="s">
        <v>325</v>
      </c>
      <c r="C372" s="7" t="s">
        <v>761</v>
      </c>
      <c r="D372" s="7" t="s">
        <v>648</v>
      </c>
      <c r="E372" s="9" t="s">
        <v>2127</v>
      </c>
      <c r="F372" s="7" t="s">
        <v>1420</v>
      </c>
      <c r="G372" s="7" t="s">
        <v>1738</v>
      </c>
      <c r="H372" s="7" t="s">
        <v>1677</v>
      </c>
      <c r="I372" s="7" t="s">
        <v>1685</v>
      </c>
      <c r="J372" s="7" t="s">
        <v>1688</v>
      </c>
      <c r="K372" s="7" t="s">
        <v>1732</v>
      </c>
      <c r="L372" s="2">
        <v>1</v>
      </c>
    </row>
    <row r="373" spans="1:12" ht="15" customHeight="1" x14ac:dyDescent="0.35">
      <c r="A373" s="7" t="s">
        <v>1</v>
      </c>
      <c r="B373" s="7" t="s">
        <v>326</v>
      </c>
      <c r="C373" s="7" t="s">
        <v>762</v>
      </c>
      <c r="D373" s="7" t="s">
        <v>553</v>
      </c>
      <c r="E373" s="9" t="s">
        <v>2128</v>
      </c>
      <c r="F373" s="7" t="s">
        <v>1421</v>
      </c>
      <c r="G373" s="7" t="s">
        <v>1743</v>
      </c>
      <c r="H373" s="7" t="s">
        <v>1679</v>
      </c>
      <c r="I373" s="7" t="s">
        <v>1685</v>
      </c>
      <c r="J373" s="7" t="s">
        <v>1688</v>
      </c>
      <c r="K373" s="7" t="s">
        <v>1702</v>
      </c>
      <c r="L373" s="2">
        <v>1</v>
      </c>
    </row>
    <row r="374" spans="1:12" ht="15" customHeight="1" x14ac:dyDescent="0.35">
      <c r="A374" s="7" t="s">
        <v>1</v>
      </c>
      <c r="B374" s="7" t="s">
        <v>327</v>
      </c>
      <c r="C374" s="7" t="s">
        <v>763</v>
      </c>
      <c r="D374" s="7" t="s">
        <v>650</v>
      </c>
      <c r="E374" s="9" t="s">
        <v>2129</v>
      </c>
      <c r="F374" s="7" t="s">
        <v>1422</v>
      </c>
      <c r="G374" s="7" t="s">
        <v>1742</v>
      </c>
      <c r="H374" s="7" t="s">
        <v>1681</v>
      </c>
      <c r="I374" s="7" t="s">
        <v>1685</v>
      </c>
      <c r="J374" s="7" t="s">
        <v>1688</v>
      </c>
      <c r="K374" s="7" t="s">
        <v>1697</v>
      </c>
      <c r="L374" s="2">
        <v>1</v>
      </c>
    </row>
    <row r="375" spans="1:12" ht="15" customHeight="1" x14ac:dyDescent="0.35">
      <c r="A375" s="7" t="s">
        <v>1</v>
      </c>
      <c r="B375" s="7" t="s">
        <v>328</v>
      </c>
      <c r="C375" s="7" t="s">
        <v>534</v>
      </c>
      <c r="D375" s="7" t="s">
        <v>531</v>
      </c>
      <c r="E375" s="9" t="s">
        <v>2130</v>
      </c>
      <c r="F375" s="7" t="s">
        <v>1423</v>
      </c>
      <c r="G375" s="7" t="s">
        <v>1750</v>
      </c>
      <c r="H375" s="7" t="s">
        <v>1680</v>
      </c>
      <c r="I375" s="7" t="s">
        <v>1685</v>
      </c>
      <c r="J375" s="7" t="s">
        <v>1688</v>
      </c>
      <c r="K375" s="7" t="s">
        <v>1730</v>
      </c>
      <c r="L375" s="2">
        <v>1</v>
      </c>
    </row>
    <row r="376" spans="1:12" ht="15" customHeight="1" x14ac:dyDescent="0.35">
      <c r="A376" s="7" t="s">
        <v>1</v>
      </c>
      <c r="B376" s="7" t="s">
        <v>329</v>
      </c>
      <c r="C376" s="7" t="s">
        <v>722</v>
      </c>
      <c r="D376" s="7" t="s">
        <v>984</v>
      </c>
      <c r="E376" s="9" t="s">
        <v>2131</v>
      </c>
      <c r="F376" s="7" t="s">
        <v>1424</v>
      </c>
      <c r="G376" s="7" t="s">
        <v>1745</v>
      </c>
      <c r="H376" s="7" t="s">
        <v>1679</v>
      </c>
      <c r="I376" s="7" t="s">
        <v>1685</v>
      </c>
      <c r="J376" s="7" t="s">
        <v>1688</v>
      </c>
      <c r="K376" s="7" t="s">
        <v>1717</v>
      </c>
      <c r="L376" s="2">
        <v>1</v>
      </c>
    </row>
    <row r="377" spans="1:12" ht="15" customHeight="1" x14ac:dyDescent="0.35">
      <c r="A377" s="7" t="s">
        <v>1</v>
      </c>
      <c r="B377" s="7" t="s">
        <v>330</v>
      </c>
      <c r="C377" s="7" t="s">
        <v>620</v>
      </c>
      <c r="D377" s="7" t="s">
        <v>985</v>
      </c>
      <c r="E377" s="9" t="s">
        <v>2132</v>
      </c>
      <c r="F377" s="7" t="s">
        <v>1425</v>
      </c>
      <c r="G377" s="7" t="s">
        <v>1744</v>
      </c>
      <c r="H377" s="7" t="s">
        <v>1680</v>
      </c>
      <c r="I377" s="7" t="s">
        <v>1685</v>
      </c>
      <c r="J377" s="7" t="s">
        <v>1689</v>
      </c>
      <c r="K377" s="7" t="s">
        <v>1706</v>
      </c>
      <c r="L377" s="2">
        <v>1</v>
      </c>
    </row>
    <row r="378" spans="1:12" ht="15" customHeight="1" x14ac:dyDescent="0.35">
      <c r="A378" s="7" t="s">
        <v>1</v>
      </c>
      <c r="B378" s="7" t="s">
        <v>331</v>
      </c>
      <c r="C378" s="7" t="s">
        <v>610</v>
      </c>
      <c r="D378" s="7" t="s">
        <v>544</v>
      </c>
      <c r="E378" s="9" t="s">
        <v>2133</v>
      </c>
      <c r="F378" s="7" t="s">
        <v>1426</v>
      </c>
      <c r="G378" s="7" t="s">
        <v>1739</v>
      </c>
      <c r="H378" s="7" t="s">
        <v>1682</v>
      </c>
      <c r="I378" s="7" t="s">
        <v>1685</v>
      </c>
      <c r="J378" s="7" t="s">
        <v>1688</v>
      </c>
      <c r="K378" s="8"/>
      <c r="L378" s="2">
        <v>1</v>
      </c>
    </row>
    <row r="379" spans="1:12" ht="15" customHeight="1" x14ac:dyDescent="0.35">
      <c r="A379" s="7" t="s">
        <v>1</v>
      </c>
      <c r="B379" s="7" t="s">
        <v>332</v>
      </c>
      <c r="C379" s="7" t="s">
        <v>530</v>
      </c>
      <c r="D379" s="7" t="s">
        <v>532</v>
      </c>
      <c r="E379" s="9" t="s">
        <v>2134</v>
      </c>
      <c r="F379" s="7" t="s">
        <v>1427</v>
      </c>
      <c r="G379" s="7" t="s">
        <v>1740</v>
      </c>
      <c r="H379" s="7" t="s">
        <v>1678</v>
      </c>
      <c r="I379" s="7" t="s">
        <v>1685</v>
      </c>
      <c r="J379" s="7" t="s">
        <v>1688</v>
      </c>
      <c r="K379" s="7" t="s">
        <v>1692</v>
      </c>
      <c r="L379" s="2">
        <v>1</v>
      </c>
    </row>
    <row r="380" spans="1:12" ht="15" customHeight="1" x14ac:dyDescent="0.35">
      <c r="A380" s="7" t="s">
        <v>1</v>
      </c>
      <c r="B380" s="7" t="s">
        <v>333</v>
      </c>
      <c r="C380" s="7" t="s">
        <v>764</v>
      </c>
      <c r="D380" s="7" t="s">
        <v>589</v>
      </c>
      <c r="E380" s="9" t="s">
        <v>2135</v>
      </c>
      <c r="F380" s="7" t="s">
        <v>1428</v>
      </c>
      <c r="G380" s="7" t="s">
        <v>1737</v>
      </c>
      <c r="H380" s="7" t="s">
        <v>1678</v>
      </c>
      <c r="I380" s="7" t="s">
        <v>1686</v>
      </c>
      <c r="J380" s="7" t="s">
        <v>1688</v>
      </c>
      <c r="K380" s="7" t="s">
        <v>1721</v>
      </c>
      <c r="L380" s="2">
        <v>1</v>
      </c>
    </row>
    <row r="381" spans="1:12" ht="15" customHeight="1" x14ac:dyDescent="0.35">
      <c r="A381" s="7" t="s">
        <v>1</v>
      </c>
      <c r="B381" s="7" t="s">
        <v>334</v>
      </c>
      <c r="C381" s="7" t="s">
        <v>765</v>
      </c>
      <c r="D381" s="7" t="s">
        <v>621</v>
      </c>
      <c r="E381" s="9" t="s">
        <v>2136</v>
      </c>
      <c r="F381" s="7" t="s">
        <v>1429</v>
      </c>
      <c r="G381" s="7" t="s">
        <v>1737</v>
      </c>
      <c r="H381" s="7" t="s">
        <v>1677</v>
      </c>
      <c r="I381" s="7" t="s">
        <v>1685</v>
      </c>
      <c r="J381" s="7" t="s">
        <v>1688</v>
      </c>
      <c r="K381" s="7" t="s">
        <v>1698</v>
      </c>
      <c r="L381" s="2">
        <v>1</v>
      </c>
    </row>
    <row r="382" spans="1:12" ht="15" customHeight="1" x14ac:dyDescent="0.35">
      <c r="A382" s="7" t="s">
        <v>1</v>
      </c>
      <c r="B382" s="7" t="s">
        <v>335</v>
      </c>
      <c r="C382" s="7" t="s">
        <v>659</v>
      </c>
      <c r="D382" s="7" t="s">
        <v>986</v>
      </c>
      <c r="E382" s="9" t="s">
        <v>2137</v>
      </c>
      <c r="F382" s="7" t="s">
        <v>1430</v>
      </c>
      <c r="G382" s="7" t="s">
        <v>1743</v>
      </c>
      <c r="H382" s="7" t="s">
        <v>1679</v>
      </c>
      <c r="I382" s="7" t="s">
        <v>1685</v>
      </c>
      <c r="J382" s="7" t="s">
        <v>1688</v>
      </c>
      <c r="K382" s="7" t="s">
        <v>1702</v>
      </c>
      <c r="L382" s="2">
        <v>1</v>
      </c>
    </row>
    <row r="383" spans="1:12" ht="15" customHeight="1" x14ac:dyDescent="0.35">
      <c r="A383" s="7" t="s">
        <v>1</v>
      </c>
      <c r="B383" s="7" t="s">
        <v>336</v>
      </c>
      <c r="C383" s="7" t="s">
        <v>650</v>
      </c>
      <c r="D383" s="7" t="s">
        <v>528</v>
      </c>
      <c r="E383" s="9" t="s">
        <v>2138</v>
      </c>
      <c r="F383" s="7" t="s">
        <v>1431</v>
      </c>
      <c r="G383" s="7" t="s">
        <v>1737</v>
      </c>
      <c r="H383" s="7" t="s">
        <v>1677</v>
      </c>
      <c r="I383" s="7" t="s">
        <v>1686</v>
      </c>
      <c r="J383" s="7" t="s">
        <v>1688</v>
      </c>
      <c r="K383" s="7" t="s">
        <v>1698</v>
      </c>
      <c r="L383" s="2">
        <v>1</v>
      </c>
    </row>
    <row r="384" spans="1:12" ht="15" customHeight="1" x14ac:dyDescent="0.35">
      <c r="A384" s="7" t="s">
        <v>1</v>
      </c>
      <c r="B384" s="7" t="s">
        <v>337</v>
      </c>
      <c r="C384" s="7" t="s">
        <v>593</v>
      </c>
      <c r="D384" s="7" t="s">
        <v>762</v>
      </c>
      <c r="E384" s="9" t="s">
        <v>2139</v>
      </c>
      <c r="F384" s="7" t="s">
        <v>1432</v>
      </c>
      <c r="G384" s="7" t="s">
        <v>1737</v>
      </c>
      <c r="H384" s="7" t="s">
        <v>1677</v>
      </c>
      <c r="I384" s="7" t="s">
        <v>1686</v>
      </c>
      <c r="J384" s="7" t="s">
        <v>1688</v>
      </c>
      <c r="K384" s="7" t="s">
        <v>1698</v>
      </c>
      <c r="L384" s="2">
        <v>1</v>
      </c>
    </row>
    <row r="385" spans="1:12" ht="15" customHeight="1" x14ac:dyDescent="0.35">
      <c r="A385" s="7" t="s">
        <v>1</v>
      </c>
      <c r="B385" s="7" t="s">
        <v>338</v>
      </c>
      <c r="C385" s="7" t="s">
        <v>544</v>
      </c>
      <c r="D385" s="7" t="s">
        <v>987</v>
      </c>
      <c r="E385" s="9" t="s">
        <v>2140</v>
      </c>
      <c r="F385" s="7" t="s">
        <v>1433</v>
      </c>
      <c r="G385" s="7" t="s">
        <v>1742</v>
      </c>
      <c r="H385" s="7" t="s">
        <v>1677</v>
      </c>
      <c r="I385" s="7" t="s">
        <v>1686</v>
      </c>
      <c r="J385" s="7" t="s">
        <v>1688</v>
      </c>
      <c r="K385" s="7" t="s">
        <v>1712</v>
      </c>
      <c r="L385" s="2">
        <v>1</v>
      </c>
    </row>
    <row r="386" spans="1:12" ht="15" customHeight="1" x14ac:dyDescent="0.35">
      <c r="A386" s="7" t="s">
        <v>1</v>
      </c>
      <c r="B386" s="7" t="s">
        <v>339</v>
      </c>
      <c r="C386" s="7" t="s">
        <v>766</v>
      </c>
      <c r="D386" s="7" t="s">
        <v>669</v>
      </c>
      <c r="E386" s="9" t="s">
        <v>2141</v>
      </c>
      <c r="F386" s="7" t="s">
        <v>1434</v>
      </c>
      <c r="G386" s="7" t="s">
        <v>1744</v>
      </c>
      <c r="H386" s="7" t="s">
        <v>1677</v>
      </c>
      <c r="I386" s="7" t="s">
        <v>1686</v>
      </c>
      <c r="J386" s="7" t="s">
        <v>1688</v>
      </c>
      <c r="K386" s="7" t="s">
        <v>1713</v>
      </c>
      <c r="L386" s="2">
        <v>1</v>
      </c>
    </row>
    <row r="387" spans="1:12" ht="15" customHeight="1" x14ac:dyDescent="0.35">
      <c r="A387" s="7" t="s">
        <v>1</v>
      </c>
      <c r="B387" s="7" t="s">
        <v>340</v>
      </c>
      <c r="C387" s="7" t="s">
        <v>543</v>
      </c>
      <c r="D387" s="7" t="s">
        <v>988</v>
      </c>
      <c r="E387" s="9" t="s">
        <v>2142</v>
      </c>
      <c r="F387" s="7" t="s">
        <v>1435</v>
      </c>
      <c r="G387" s="7" t="s">
        <v>1742</v>
      </c>
      <c r="H387" s="7" t="s">
        <v>1678</v>
      </c>
      <c r="I387" s="7" t="s">
        <v>1686</v>
      </c>
      <c r="J387" s="7" t="s">
        <v>1688</v>
      </c>
      <c r="K387" s="7" t="s">
        <v>1701</v>
      </c>
      <c r="L387" s="2">
        <v>1</v>
      </c>
    </row>
    <row r="388" spans="1:12" ht="15" customHeight="1" x14ac:dyDescent="0.35">
      <c r="A388" s="7" t="s">
        <v>1</v>
      </c>
      <c r="B388" s="7" t="s">
        <v>341</v>
      </c>
      <c r="C388" s="7" t="s">
        <v>695</v>
      </c>
      <c r="D388" s="7" t="s">
        <v>627</v>
      </c>
      <c r="E388" s="9" t="s">
        <v>2143</v>
      </c>
      <c r="F388" s="7" t="s">
        <v>1436</v>
      </c>
      <c r="G388" s="7" t="s">
        <v>1743</v>
      </c>
      <c r="H388" s="7" t="s">
        <v>1680</v>
      </c>
      <c r="I388" s="7" t="s">
        <v>1686</v>
      </c>
      <c r="J388" s="7" t="s">
        <v>1688</v>
      </c>
      <c r="K388" s="7" t="s">
        <v>1704</v>
      </c>
      <c r="L388" s="2">
        <v>1</v>
      </c>
    </row>
    <row r="389" spans="1:12" ht="15" customHeight="1" x14ac:dyDescent="0.35">
      <c r="A389" s="7" t="s">
        <v>1</v>
      </c>
      <c r="B389" s="7" t="s">
        <v>342</v>
      </c>
      <c r="C389" s="7" t="s">
        <v>767</v>
      </c>
      <c r="D389" s="7" t="s">
        <v>610</v>
      </c>
      <c r="E389" s="9" t="s">
        <v>2144</v>
      </c>
      <c r="F389" s="7" t="s">
        <v>1437</v>
      </c>
      <c r="G389" s="7" t="s">
        <v>1742</v>
      </c>
      <c r="H389" s="7" t="s">
        <v>1680</v>
      </c>
      <c r="I389" s="7" t="s">
        <v>1686</v>
      </c>
      <c r="J389" s="7" t="s">
        <v>1688</v>
      </c>
      <c r="K389" s="7" t="s">
        <v>1695</v>
      </c>
      <c r="L389" s="2">
        <v>1</v>
      </c>
    </row>
    <row r="390" spans="1:12" ht="15" customHeight="1" x14ac:dyDescent="0.35">
      <c r="A390" s="7" t="s">
        <v>1</v>
      </c>
      <c r="B390" s="7" t="s">
        <v>343</v>
      </c>
      <c r="C390" s="7" t="s">
        <v>768</v>
      </c>
      <c r="D390" s="7" t="s">
        <v>589</v>
      </c>
      <c r="E390" s="9" t="s">
        <v>2145</v>
      </c>
      <c r="F390" s="7" t="s">
        <v>1438</v>
      </c>
      <c r="G390" s="7" t="s">
        <v>1743</v>
      </c>
      <c r="H390" s="7" t="s">
        <v>1677</v>
      </c>
      <c r="I390" s="7" t="s">
        <v>1685</v>
      </c>
      <c r="J390" s="7" t="s">
        <v>1688</v>
      </c>
      <c r="K390" s="7" t="s">
        <v>1720</v>
      </c>
      <c r="L390" s="2">
        <v>1</v>
      </c>
    </row>
    <row r="391" spans="1:12" ht="15" customHeight="1" x14ac:dyDescent="0.35">
      <c r="A391" s="7" t="s">
        <v>1</v>
      </c>
      <c r="B391" s="7" t="s">
        <v>344</v>
      </c>
      <c r="C391" s="7" t="s">
        <v>619</v>
      </c>
      <c r="D391" s="7" t="s">
        <v>989</v>
      </c>
      <c r="E391" s="9" t="s">
        <v>2146</v>
      </c>
      <c r="F391" s="7" t="s">
        <v>1439</v>
      </c>
      <c r="G391" s="7" t="s">
        <v>1740</v>
      </c>
      <c r="H391" s="7" t="s">
        <v>1679</v>
      </c>
      <c r="I391" s="7" t="s">
        <v>1685</v>
      </c>
      <c r="J391" s="7" t="s">
        <v>1688</v>
      </c>
      <c r="K391" s="7" t="s">
        <v>1714</v>
      </c>
      <c r="L391" s="2">
        <v>1</v>
      </c>
    </row>
    <row r="392" spans="1:12" ht="15" customHeight="1" x14ac:dyDescent="0.35">
      <c r="A392" s="7" t="s">
        <v>1</v>
      </c>
      <c r="B392" s="7" t="s">
        <v>345</v>
      </c>
      <c r="C392" s="7" t="s">
        <v>656</v>
      </c>
      <c r="D392" s="7" t="s">
        <v>532</v>
      </c>
      <c r="E392" s="9" t="s">
        <v>2147</v>
      </c>
      <c r="F392" s="7" t="s">
        <v>1440</v>
      </c>
      <c r="G392" s="7" t="s">
        <v>1742</v>
      </c>
      <c r="H392" s="7" t="s">
        <v>1681</v>
      </c>
      <c r="I392" s="7" t="s">
        <v>1685</v>
      </c>
      <c r="J392" s="7" t="s">
        <v>1688</v>
      </c>
      <c r="K392" s="7" t="s">
        <v>1697</v>
      </c>
      <c r="L392" s="2">
        <v>1</v>
      </c>
    </row>
    <row r="393" spans="1:12" ht="15" customHeight="1" x14ac:dyDescent="0.35">
      <c r="A393" s="7" t="s">
        <v>1</v>
      </c>
      <c r="B393" s="7" t="s">
        <v>346</v>
      </c>
      <c r="C393" s="7" t="s">
        <v>613</v>
      </c>
      <c r="D393" s="7" t="s">
        <v>895</v>
      </c>
      <c r="E393" s="9" t="s">
        <v>2148</v>
      </c>
      <c r="F393" s="7" t="s">
        <v>1441</v>
      </c>
      <c r="G393" s="7" t="s">
        <v>1744</v>
      </c>
      <c r="H393" s="7" t="s">
        <v>1679</v>
      </c>
      <c r="I393" s="7" t="s">
        <v>1685</v>
      </c>
      <c r="J393" s="7" t="s">
        <v>1688</v>
      </c>
      <c r="K393" s="7" t="s">
        <v>1722</v>
      </c>
      <c r="L393" s="2">
        <v>1</v>
      </c>
    </row>
    <row r="394" spans="1:12" ht="15" customHeight="1" x14ac:dyDescent="0.35">
      <c r="A394" s="7" t="s">
        <v>1</v>
      </c>
      <c r="B394" s="7" t="s">
        <v>347</v>
      </c>
      <c r="C394" s="7" t="s">
        <v>551</v>
      </c>
      <c r="D394" s="7" t="s">
        <v>548</v>
      </c>
      <c r="E394" s="9" t="s">
        <v>2149</v>
      </c>
      <c r="F394" s="7" t="s">
        <v>1442</v>
      </c>
      <c r="G394" s="7" t="s">
        <v>1742</v>
      </c>
      <c r="H394" s="7" t="s">
        <v>1679</v>
      </c>
      <c r="I394" s="7" t="s">
        <v>1685</v>
      </c>
      <c r="J394" s="7" t="s">
        <v>1688</v>
      </c>
      <c r="K394" s="7" t="s">
        <v>1694</v>
      </c>
      <c r="L394" s="2">
        <v>1</v>
      </c>
    </row>
    <row r="395" spans="1:12" ht="15" customHeight="1" x14ac:dyDescent="0.35">
      <c r="A395" s="7" t="s">
        <v>1</v>
      </c>
      <c r="B395" s="7" t="s">
        <v>348</v>
      </c>
      <c r="C395" s="7" t="s">
        <v>600</v>
      </c>
      <c r="D395" s="7" t="s">
        <v>892</v>
      </c>
      <c r="E395" s="9" t="s">
        <v>2150</v>
      </c>
      <c r="F395" s="7" t="s">
        <v>1443</v>
      </c>
      <c r="G395" s="7" t="s">
        <v>1750</v>
      </c>
      <c r="H395" s="7" t="s">
        <v>1680</v>
      </c>
      <c r="I395" s="7" t="s">
        <v>1685</v>
      </c>
      <c r="J395" s="7" t="s">
        <v>1688</v>
      </c>
      <c r="K395" s="7" t="s">
        <v>1730</v>
      </c>
      <c r="L395" s="2">
        <v>1</v>
      </c>
    </row>
    <row r="396" spans="1:12" ht="15" customHeight="1" x14ac:dyDescent="0.35">
      <c r="A396" s="7" t="s">
        <v>1</v>
      </c>
      <c r="B396" s="7" t="s">
        <v>349</v>
      </c>
      <c r="C396" s="7" t="s">
        <v>531</v>
      </c>
      <c r="D396" s="7" t="s">
        <v>866</v>
      </c>
      <c r="E396" s="9" t="s">
        <v>2151</v>
      </c>
      <c r="F396" s="7" t="s">
        <v>1444</v>
      </c>
      <c r="G396" s="7" t="s">
        <v>1741</v>
      </c>
      <c r="H396" s="7" t="s">
        <v>1679</v>
      </c>
      <c r="I396" s="7" t="s">
        <v>1685</v>
      </c>
      <c r="J396" s="7" t="s">
        <v>1688</v>
      </c>
      <c r="K396" s="7" t="s">
        <v>1693</v>
      </c>
      <c r="L396" s="2">
        <v>1</v>
      </c>
    </row>
    <row r="397" spans="1:12" ht="15" customHeight="1" x14ac:dyDescent="0.35">
      <c r="A397" s="7" t="s">
        <v>1</v>
      </c>
      <c r="B397" s="7" t="s">
        <v>350</v>
      </c>
      <c r="C397" s="7" t="s">
        <v>636</v>
      </c>
      <c r="D397" s="7" t="s">
        <v>990</v>
      </c>
      <c r="E397" s="9" t="s">
        <v>2152</v>
      </c>
      <c r="F397" s="7" t="s">
        <v>1445</v>
      </c>
      <c r="G397" s="7" t="s">
        <v>1737</v>
      </c>
      <c r="H397" s="7" t="s">
        <v>1677</v>
      </c>
      <c r="I397" s="7" t="s">
        <v>1686</v>
      </c>
      <c r="J397" s="7" t="s">
        <v>1688</v>
      </c>
      <c r="K397" s="7" t="s">
        <v>1698</v>
      </c>
      <c r="L397" s="2">
        <v>1</v>
      </c>
    </row>
    <row r="398" spans="1:12" ht="15" customHeight="1" x14ac:dyDescent="0.35">
      <c r="A398" s="7" t="s">
        <v>1</v>
      </c>
      <c r="B398" s="7" t="s">
        <v>350</v>
      </c>
      <c r="C398" s="7" t="s">
        <v>769</v>
      </c>
      <c r="D398" s="7" t="s">
        <v>991</v>
      </c>
      <c r="E398" s="9" t="s">
        <v>2153</v>
      </c>
      <c r="F398" s="7" t="s">
        <v>1446</v>
      </c>
      <c r="G398" s="7" t="s">
        <v>1745</v>
      </c>
      <c r="H398" s="7" t="s">
        <v>1677</v>
      </c>
      <c r="I398" s="7" t="s">
        <v>1686</v>
      </c>
      <c r="J398" s="7" t="s">
        <v>1688</v>
      </c>
      <c r="K398" s="7" t="s">
        <v>1709</v>
      </c>
      <c r="L398" s="2">
        <v>1</v>
      </c>
    </row>
    <row r="399" spans="1:12" ht="15" customHeight="1" x14ac:dyDescent="0.35">
      <c r="A399" s="7" t="s">
        <v>1</v>
      </c>
      <c r="B399" s="7" t="s">
        <v>351</v>
      </c>
      <c r="C399" s="7" t="s">
        <v>770</v>
      </c>
      <c r="D399" s="7" t="s">
        <v>593</v>
      </c>
      <c r="E399" s="9" t="s">
        <v>2154</v>
      </c>
      <c r="F399" s="7" t="s">
        <v>1447</v>
      </c>
      <c r="G399" s="7" t="s">
        <v>1742</v>
      </c>
      <c r="H399" s="7" t="s">
        <v>1678</v>
      </c>
      <c r="I399" s="7" t="s">
        <v>1686</v>
      </c>
      <c r="J399" s="7" t="s">
        <v>1688</v>
      </c>
      <c r="K399" s="7" t="s">
        <v>1700</v>
      </c>
      <c r="L399" s="2">
        <v>1</v>
      </c>
    </row>
    <row r="400" spans="1:12" ht="15" customHeight="1" x14ac:dyDescent="0.35">
      <c r="A400" s="7" t="s">
        <v>1</v>
      </c>
      <c r="B400" s="7" t="s">
        <v>352</v>
      </c>
      <c r="C400" s="7" t="s">
        <v>543</v>
      </c>
      <c r="D400" s="7" t="s">
        <v>648</v>
      </c>
      <c r="E400" s="9" t="s">
        <v>2155</v>
      </c>
      <c r="F400" s="7" t="s">
        <v>1448</v>
      </c>
      <c r="G400" s="7" t="s">
        <v>1745</v>
      </c>
      <c r="H400" s="7" t="s">
        <v>1677</v>
      </c>
      <c r="I400" s="7" t="s">
        <v>1686</v>
      </c>
      <c r="J400" s="7" t="s">
        <v>1688</v>
      </c>
      <c r="K400" s="7" t="s">
        <v>1709</v>
      </c>
      <c r="L400" s="2">
        <v>1</v>
      </c>
    </row>
    <row r="401" spans="1:12" ht="15" customHeight="1" x14ac:dyDescent="0.35">
      <c r="A401" s="7" t="s">
        <v>1</v>
      </c>
      <c r="B401" s="7" t="s">
        <v>353</v>
      </c>
      <c r="C401" s="7" t="s">
        <v>771</v>
      </c>
      <c r="D401" s="7" t="s">
        <v>742</v>
      </c>
      <c r="E401" s="9" t="s">
        <v>2156</v>
      </c>
      <c r="F401" s="7" t="s">
        <v>1449</v>
      </c>
      <c r="G401" s="7" t="s">
        <v>1742</v>
      </c>
      <c r="H401" s="7" t="s">
        <v>1680</v>
      </c>
      <c r="I401" s="7" t="s">
        <v>1686</v>
      </c>
      <c r="J401" s="7" t="s">
        <v>1688</v>
      </c>
      <c r="K401" s="7" t="s">
        <v>1695</v>
      </c>
      <c r="L401" s="2">
        <v>1</v>
      </c>
    </row>
    <row r="402" spans="1:12" ht="15" customHeight="1" x14ac:dyDescent="0.35">
      <c r="A402" s="7" t="s">
        <v>1</v>
      </c>
      <c r="B402" s="7" t="s">
        <v>354</v>
      </c>
      <c r="C402" s="7" t="s">
        <v>772</v>
      </c>
      <c r="D402" s="7" t="s">
        <v>530</v>
      </c>
      <c r="E402" s="9" t="s">
        <v>2157</v>
      </c>
      <c r="F402" s="7" t="s">
        <v>1450</v>
      </c>
      <c r="G402" s="7" t="s">
        <v>1750</v>
      </c>
      <c r="H402" s="7" t="s">
        <v>1680</v>
      </c>
      <c r="I402" s="7" t="s">
        <v>1686</v>
      </c>
      <c r="J402" s="7" t="s">
        <v>1688</v>
      </c>
      <c r="K402" s="7" t="s">
        <v>1730</v>
      </c>
      <c r="L402" s="2">
        <v>1</v>
      </c>
    </row>
    <row r="403" spans="1:12" ht="15" customHeight="1" x14ac:dyDescent="0.35">
      <c r="A403" s="7" t="s">
        <v>1</v>
      </c>
      <c r="B403" s="7" t="s">
        <v>355</v>
      </c>
      <c r="C403" s="7" t="s">
        <v>773</v>
      </c>
      <c r="D403" s="7" t="s">
        <v>539</v>
      </c>
      <c r="E403" s="9" t="s">
        <v>2158</v>
      </c>
      <c r="F403" s="7" t="s">
        <v>1451</v>
      </c>
      <c r="G403" s="7" t="s">
        <v>1745</v>
      </c>
      <c r="H403" s="7" t="s">
        <v>1680</v>
      </c>
      <c r="I403" s="7" t="s">
        <v>1685</v>
      </c>
      <c r="J403" s="7" t="s">
        <v>1688</v>
      </c>
      <c r="K403" s="7" t="s">
        <v>1718</v>
      </c>
      <c r="L403" s="2">
        <v>1</v>
      </c>
    </row>
    <row r="404" spans="1:12" ht="15" customHeight="1" x14ac:dyDescent="0.35">
      <c r="A404" s="7" t="s">
        <v>1</v>
      </c>
      <c r="B404" s="7" t="s">
        <v>356</v>
      </c>
      <c r="C404" s="7" t="s">
        <v>635</v>
      </c>
      <c r="D404" s="7" t="s">
        <v>550</v>
      </c>
      <c r="E404" s="9" t="s">
        <v>2159</v>
      </c>
      <c r="F404" s="7" t="s">
        <v>1452</v>
      </c>
      <c r="G404" s="7" t="s">
        <v>1742</v>
      </c>
      <c r="H404" s="7" t="s">
        <v>1680</v>
      </c>
      <c r="I404" s="7" t="s">
        <v>1685</v>
      </c>
      <c r="J404" s="7" t="s">
        <v>1688</v>
      </c>
      <c r="K404" s="7" t="s">
        <v>1695</v>
      </c>
      <c r="L404" s="2">
        <v>1</v>
      </c>
    </row>
    <row r="405" spans="1:12" ht="15" customHeight="1" x14ac:dyDescent="0.35">
      <c r="A405" s="7" t="s">
        <v>1</v>
      </c>
      <c r="B405" s="7" t="s">
        <v>357</v>
      </c>
      <c r="C405" s="7" t="s">
        <v>772</v>
      </c>
      <c r="D405" s="7" t="s">
        <v>530</v>
      </c>
      <c r="E405" s="9" t="s">
        <v>2160</v>
      </c>
      <c r="F405" s="7" t="s">
        <v>1453</v>
      </c>
      <c r="G405" s="7" t="s">
        <v>1739</v>
      </c>
      <c r="H405" s="7" t="s">
        <v>1680</v>
      </c>
      <c r="I405" s="7" t="s">
        <v>1685</v>
      </c>
      <c r="J405" s="7" t="s">
        <v>1688</v>
      </c>
      <c r="K405" s="7" t="s">
        <v>1716</v>
      </c>
      <c r="L405" s="2">
        <v>1</v>
      </c>
    </row>
    <row r="406" spans="1:12" ht="15" customHeight="1" x14ac:dyDescent="0.35">
      <c r="A406" s="7" t="s">
        <v>1</v>
      </c>
      <c r="B406" s="7" t="s">
        <v>358</v>
      </c>
      <c r="C406" s="7" t="s">
        <v>530</v>
      </c>
      <c r="D406" s="7" t="s">
        <v>992</v>
      </c>
      <c r="E406" s="9" t="s">
        <v>2161</v>
      </c>
      <c r="F406" s="7" t="s">
        <v>1454</v>
      </c>
      <c r="G406" s="7" t="s">
        <v>1742</v>
      </c>
      <c r="H406" s="7" t="s">
        <v>1680</v>
      </c>
      <c r="I406" s="7" t="s">
        <v>1685</v>
      </c>
      <c r="J406" s="7" t="s">
        <v>1688</v>
      </c>
      <c r="K406" s="7" t="s">
        <v>1695</v>
      </c>
      <c r="L406" s="2">
        <v>1</v>
      </c>
    </row>
    <row r="407" spans="1:12" ht="15" customHeight="1" x14ac:dyDescent="0.35">
      <c r="A407" s="7" t="s">
        <v>1</v>
      </c>
      <c r="B407" s="7" t="s">
        <v>359</v>
      </c>
      <c r="C407" s="7" t="s">
        <v>774</v>
      </c>
      <c r="D407" s="7" t="s">
        <v>993</v>
      </c>
      <c r="E407" s="9" t="s">
        <v>2162</v>
      </c>
      <c r="F407" s="7" t="s">
        <v>1455</v>
      </c>
      <c r="G407" s="7" t="s">
        <v>1740</v>
      </c>
      <c r="H407" s="7" t="s">
        <v>1678</v>
      </c>
      <c r="I407" s="7" t="s">
        <v>1686</v>
      </c>
      <c r="J407" s="7" t="s">
        <v>1688</v>
      </c>
      <c r="K407" s="7" t="s">
        <v>1692</v>
      </c>
      <c r="L407" s="2">
        <v>1</v>
      </c>
    </row>
    <row r="408" spans="1:12" ht="15" customHeight="1" x14ac:dyDescent="0.35">
      <c r="A408" s="7" t="s">
        <v>1</v>
      </c>
      <c r="B408" s="7" t="s">
        <v>360</v>
      </c>
      <c r="C408" s="7" t="s">
        <v>687</v>
      </c>
      <c r="D408" s="7" t="s">
        <v>593</v>
      </c>
      <c r="E408" s="9" t="s">
        <v>2163</v>
      </c>
      <c r="F408" s="7" t="s">
        <v>1456</v>
      </c>
      <c r="G408" s="7" t="s">
        <v>1742</v>
      </c>
      <c r="H408" s="7" t="s">
        <v>1677</v>
      </c>
      <c r="I408" s="7" t="s">
        <v>1686</v>
      </c>
      <c r="J408" s="7" t="s">
        <v>1688</v>
      </c>
      <c r="K408" s="7" t="s">
        <v>1703</v>
      </c>
      <c r="L408" s="2">
        <v>1</v>
      </c>
    </row>
    <row r="409" spans="1:12" ht="15" customHeight="1" x14ac:dyDescent="0.35">
      <c r="A409" s="7" t="s">
        <v>1</v>
      </c>
      <c r="B409" s="7" t="s">
        <v>361</v>
      </c>
      <c r="C409" s="7" t="s">
        <v>589</v>
      </c>
      <c r="D409" s="7" t="s">
        <v>589</v>
      </c>
      <c r="E409" s="9" t="s">
        <v>2164</v>
      </c>
      <c r="F409" s="7" t="s">
        <v>1457</v>
      </c>
      <c r="G409" s="7" t="s">
        <v>1743</v>
      </c>
      <c r="H409" s="7" t="s">
        <v>1677</v>
      </c>
      <c r="I409" s="7" t="s">
        <v>1686</v>
      </c>
      <c r="J409" s="7" t="s">
        <v>1688</v>
      </c>
      <c r="K409" s="7" t="s">
        <v>1720</v>
      </c>
      <c r="L409" s="2">
        <v>1</v>
      </c>
    </row>
    <row r="410" spans="1:12" ht="15" customHeight="1" x14ac:dyDescent="0.35">
      <c r="A410" s="7" t="s">
        <v>1</v>
      </c>
      <c r="B410" s="7" t="s">
        <v>362</v>
      </c>
      <c r="C410" s="7" t="s">
        <v>775</v>
      </c>
      <c r="D410" s="7" t="s">
        <v>659</v>
      </c>
      <c r="E410" s="9" t="s">
        <v>2165</v>
      </c>
      <c r="F410" s="7" t="s">
        <v>1458</v>
      </c>
      <c r="G410" s="7" t="s">
        <v>1737</v>
      </c>
      <c r="H410" s="7" t="s">
        <v>1679</v>
      </c>
      <c r="I410" s="7" t="s">
        <v>1686</v>
      </c>
      <c r="J410" s="7" t="s">
        <v>1688</v>
      </c>
      <c r="K410" s="7" t="s">
        <v>1707</v>
      </c>
      <c r="L410" s="2">
        <v>1</v>
      </c>
    </row>
    <row r="411" spans="1:12" ht="15" customHeight="1" x14ac:dyDescent="0.35">
      <c r="A411" s="7" t="s">
        <v>1</v>
      </c>
      <c r="B411" s="7" t="s">
        <v>363</v>
      </c>
      <c r="C411" s="7" t="s">
        <v>589</v>
      </c>
      <c r="D411" s="7" t="s">
        <v>994</v>
      </c>
      <c r="E411" s="9" t="s">
        <v>2166</v>
      </c>
      <c r="F411" s="7" t="s">
        <v>1459</v>
      </c>
      <c r="G411" s="7" t="s">
        <v>1745</v>
      </c>
      <c r="H411" s="7" t="s">
        <v>1678</v>
      </c>
      <c r="I411" s="7" t="s">
        <v>1686</v>
      </c>
      <c r="J411" s="7" t="s">
        <v>1688</v>
      </c>
      <c r="K411" s="7" t="s">
        <v>1710</v>
      </c>
      <c r="L411" s="2">
        <v>1</v>
      </c>
    </row>
    <row r="412" spans="1:12" ht="15" customHeight="1" x14ac:dyDescent="0.35">
      <c r="A412" s="7" t="s">
        <v>1</v>
      </c>
      <c r="B412" s="7" t="s">
        <v>364</v>
      </c>
      <c r="C412" s="7" t="s">
        <v>621</v>
      </c>
      <c r="D412" s="7" t="s">
        <v>577</v>
      </c>
      <c r="E412" s="9" t="s">
        <v>2167</v>
      </c>
      <c r="F412" s="7" t="s">
        <v>1460</v>
      </c>
      <c r="G412" s="7" t="s">
        <v>1744</v>
      </c>
      <c r="H412" s="7" t="s">
        <v>1679</v>
      </c>
      <c r="I412" s="7" t="s">
        <v>1686</v>
      </c>
      <c r="J412" s="7" t="s">
        <v>1688</v>
      </c>
      <c r="K412" s="7" t="s">
        <v>1722</v>
      </c>
      <c r="L412" s="2">
        <v>1</v>
      </c>
    </row>
    <row r="413" spans="1:12" ht="15" customHeight="1" x14ac:dyDescent="0.35">
      <c r="A413" s="7" t="s">
        <v>1</v>
      </c>
      <c r="B413" s="7" t="s">
        <v>364</v>
      </c>
      <c r="C413" s="7" t="s">
        <v>766</v>
      </c>
      <c r="D413" s="7" t="s">
        <v>932</v>
      </c>
      <c r="E413" s="9" t="s">
        <v>2168</v>
      </c>
      <c r="F413" s="7" t="s">
        <v>1461</v>
      </c>
      <c r="G413" s="7" t="s">
        <v>1750</v>
      </c>
      <c r="H413" s="7" t="s">
        <v>1680</v>
      </c>
      <c r="I413" s="7" t="s">
        <v>1686</v>
      </c>
      <c r="J413" s="7" t="s">
        <v>1688</v>
      </c>
      <c r="K413" s="7" t="s">
        <v>1730</v>
      </c>
      <c r="L413" s="2">
        <v>1</v>
      </c>
    </row>
    <row r="414" spans="1:12" ht="15" customHeight="1" x14ac:dyDescent="0.35">
      <c r="A414" s="7" t="s">
        <v>1</v>
      </c>
      <c r="B414" s="7" t="s">
        <v>364</v>
      </c>
      <c r="C414" s="7" t="s">
        <v>569</v>
      </c>
      <c r="D414" s="7" t="s">
        <v>995</v>
      </c>
      <c r="E414" s="9" t="s">
        <v>2169</v>
      </c>
      <c r="F414" s="7" t="s">
        <v>1462</v>
      </c>
      <c r="G414" s="7" t="s">
        <v>1744</v>
      </c>
      <c r="H414" s="7" t="s">
        <v>1679</v>
      </c>
      <c r="I414" s="7" t="s">
        <v>1686</v>
      </c>
      <c r="J414" s="7" t="s">
        <v>1688</v>
      </c>
      <c r="K414" s="7" t="s">
        <v>1722</v>
      </c>
      <c r="L414" s="2">
        <v>1</v>
      </c>
    </row>
    <row r="415" spans="1:12" ht="15" customHeight="1" x14ac:dyDescent="0.35">
      <c r="A415" s="7" t="s">
        <v>1</v>
      </c>
      <c r="B415" s="7" t="s">
        <v>364</v>
      </c>
      <c r="C415" s="7" t="s">
        <v>548</v>
      </c>
      <c r="D415" s="7" t="s">
        <v>584</v>
      </c>
      <c r="E415" s="9" t="s">
        <v>2170</v>
      </c>
      <c r="F415" s="7" t="s">
        <v>1463</v>
      </c>
      <c r="G415" s="7" t="s">
        <v>1745</v>
      </c>
      <c r="H415" s="7" t="s">
        <v>1677</v>
      </c>
      <c r="I415" s="7" t="s">
        <v>1686</v>
      </c>
      <c r="J415" s="7" t="s">
        <v>1688</v>
      </c>
      <c r="K415" s="7" t="s">
        <v>1709</v>
      </c>
      <c r="L415" s="2">
        <v>1</v>
      </c>
    </row>
    <row r="416" spans="1:12" ht="15" customHeight="1" x14ac:dyDescent="0.35">
      <c r="A416" s="7" t="s">
        <v>1</v>
      </c>
      <c r="B416" s="7" t="s">
        <v>364</v>
      </c>
      <c r="C416" s="7" t="s">
        <v>776</v>
      </c>
      <c r="D416" s="7" t="s">
        <v>600</v>
      </c>
      <c r="E416" s="9" t="s">
        <v>2171</v>
      </c>
      <c r="F416" s="7" t="s">
        <v>1464</v>
      </c>
      <c r="G416" s="7" t="s">
        <v>1738</v>
      </c>
      <c r="H416" s="7" t="s">
        <v>1679</v>
      </c>
      <c r="I416" s="7" t="s">
        <v>1686</v>
      </c>
      <c r="J416" s="7" t="s">
        <v>1688</v>
      </c>
      <c r="K416" s="7" t="s">
        <v>1725</v>
      </c>
      <c r="L416" s="2">
        <v>1</v>
      </c>
    </row>
    <row r="417" spans="1:12" ht="15" customHeight="1" x14ac:dyDescent="0.35">
      <c r="A417" s="7" t="s">
        <v>1</v>
      </c>
      <c r="B417" s="7" t="s">
        <v>365</v>
      </c>
      <c r="C417" s="7" t="s">
        <v>777</v>
      </c>
      <c r="D417" s="7" t="s">
        <v>764</v>
      </c>
      <c r="E417" s="9" t="s">
        <v>2172</v>
      </c>
      <c r="F417" s="7" t="s">
        <v>1465</v>
      </c>
      <c r="G417" s="7" t="s">
        <v>1750</v>
      </c>
      <c r="H417" s="7" t="s">
        <v>1680</v>
      </c>
      <c r="I417" s="7" t="s">
        <v>1686</v>
      </c>
      <c r="J417" s="7" t="s">
        <v>1688</v>
      </c>
      <c r="K417" s="7" t="s">
        <v>1730</v>
      </c>
      <c r="L417" s="2">
        <v>1</v>
      </c>
    </row>
    <row r="418" spans="1:12" ht="15" customHeight="1" x14ac:dyDescent="0.35">
      <c r="A418" s="7" t="s">
        <v>1</v>
      </c>
      <c r="B418" s="7" t="s">
        <v>366</v>
      </c>
      <c r="C418" s="7" t="s">
        <v>588</v>
      </c>
      <c r="D418" s="7" t="s">
        <v>539</v>
      </c>
      <c r="E418" s="9" t="s">
        <v>2173</v>
      </c>
      <c r="F418" s="7" t="s">
        <v>1466</v>
      </c>
      <c r="G418" s="7" t="s">
        <v>1742</v>
      </c>
      <c r="H418" s="7" t="s">
        <v>1680</v>
      </c>
      <c r="I418" s="7" t="s">
        <v>1686</v>
      </c>
      <c r="J418" s="7" t="s">
        <v>1688</v>
      </c>
      <c r="K418" s="7" t="s">
        <v>1695</v>
      </c>
      <c r="L418" s="2">
        <v>1</v>
      </c>
    </row>
    <row r="419" spans="1:12" ht="15" customHeight="1" x14ac:dyDescent="0.35">
      <c r="A419" s="7" t="s">
        <v>1</v>
      </c>
      <c r="B419" s="7" t="s">
        <v>367</v>
      </c>
      <c r="C419" s="7" t="s">
        <v>591</v>
      </c>
      <c r="D419" s="7" t="s">
        <v>578</v>
      </c>
      <c r="E419" s="9" t="s">
        <v>2174</v>
      </c>
      <c r="F419" s="7" t="s">
        <v>1467</v>
      </c>
      <c r="G419" s="7" t="s">
        <v>1742</v>
      </c>
      <c r="H419" s="7" t="s">
        <v>1678</v>
      </c>
      <c r="I419" s="7" t="s">
        <v>1686</v>
      </c>
      <c r="J419" s="7" t="s">
        <v>1688</v>
      </c>
      <c r="K419" s="7" t="s">
        <v>1701</v>
      </c>
      <c r="L419" s="2">
        <v>1</v>
      </c>
    </row>
    <row r="420" spans="1:12" ht="15" customHeight="1" x14ac:dyDescent="0.35">
      <c r="A420" s="7" t="s">
        <v>1</v>
      </c>
      <c r="B420" s="7" t="s">
        <v>367</v>
      </c>
      <c r="C420" s="7" t="s">
        <v>689</v>
      </c>
      <c r="D420" s="7" t="s">
        <v>593</v>
      </c>
      <c r="E420" s="9" t="s">
        <v>2175</v>
      </c>
      <c r="F420" s="7" t="s">
        <v>1468</v>
      </c>
      <c r="G420" s="7" t="s">
        <v>1737</v>
      </c>
      <c r="H420" s="7" t="s">
        <v>1678</v>
      </c>
      <c r="I420" s="7" t="s">
        <v>1686</v>
      </c>
      <c r="J420" s="7" t="s">
        <v>1688</v>
      </c>
      <c r="K420" s="7" t="s">
        <v>1696</v>
      </c>
      <c r="L420" s="2">
        <v>1</v>
      </c>
    </row>
    <row r="421" spans="1:12" ht="15" customHeight="1" x14ac:dyDescent="0.35">
      <c r="A421" s="7" t="s">
        <v>1</v>
      </c>
      <c r="B421" s="7" t="s">
        <v>368</v>
      </c>
      <c r="C421" s="7" t="s">
        <v>774</v>
      </c>
      <c r="D421" s="7" t="s">
        <v>600</v>
      </c>
      <c r="E421" s="9" t="s">
        <v>2176</v>
      </c>
      <c r="F421" s="7" t="s">
        <v>1469</v>
      </c>
      <c r="G421" s="7" t="s">
        <v>1747</v>
      </c>
      <c r="H421" s="7" t="s">
        <v>1680</v>
      </c>
      <c r="I421" s="7" t="s">
        <v>1686</v>
      </c>
      <c r="J421" s="7" t="s">
        <v>1688</v>
      </c>
      <c r="K421" s="7" t="s">
        <v>1723</v>
      </c>
      <c r="L421" s="2">
        <v>1</v>
      </c>
    </row>
    <row r="422" spans="1:12" ht="15" customHeight="1" x14ac:dyDescent="0.35">
      <c r="A422" s="7" t="s">
        <v>1</v>
      </c>
      <c r="B422" s="7" t="s">
        <v>369</v>
      </c>
      <c r="C422" s="7" t="s">
        <v>653</v>
      </c>
      <c r="D422" s="7" t="s">
        <v>996</v>
      </c>
      <c r="E422" s="9" t="s">
        <v>2177</v>
      </c>
      <c r="F422" s="7" t="s">
        <v>1470</v>
      </c>
      <c r="G422" s="7" t="s">
        <v>1743</v>
      </c>
      <c r="H422" s="7" t="s">
        <v>1680</v>
      </c>
      <c r="I422" s="7" t="s">
        <v>1686</v>
      </c>
      <c r="J422" s="7" t="s">
        <v>1688</v>
      </c>
      <c r="K422" s="7" t="s">
        <v>1704</v>
      </c>
      <c r="L422" s="2">
        <v>1</v>
      </c>
    </row>
    <row r="423" spans="1:12" ht="15" customHeight="1" x14ac:dyDescent="0.35">
      <c r="A423" s="7" t="s">
        <v>1</v>
      </c>
      <c r="B423" s="7" t="s">
        <v>370</v>
      </c>
      <c r="C423" s="7" t="s">
        <v>689</v>
      </c>
      <c r="D423" s="7" t="s">
        <v>997</v>
      </c>
      <c r="E423" s="9" t="s">
        <v>2178</v>
      </c>
      <c r="F423" s="7" t="s">
        <v>1471</v>
      </c>
      <c r="G423" s="7" t="s">
        <v>1739</v>
      </c>
      <c r="H423" s="7" t="s">
        <v>1680</v>
      </c>
      <c r="I423" s="7" t="s">
        <v>1685</v>
      </c>
      <c r="J423" s="7" t="s">
        <v>1688</v>
      </c>
      <c r="K423" s="7" t="s">
        <v>1716</v>
      </c>
      <c r="L423" s="2">
        <v>1</v>
      </c>
    </row>
    <row r="424" spans="1:12" ht="15" customHeight="1" x14ac:dyDescent="0.35">
      <c r="A424" s="7" t="s">
        <v>1</v>
      </c>
      <c r="B424" s="7" t="s">
        <v>371</v>
      </c>
      <c r="C424" s="7" t="s">
        <v>537</v>
      </c>
      <c r="D424" s="7" t="s">
        <v>998</v>
      </c>
      <c r="E424" s="9" t="s">
        <v>2179</v>
      </c>
      <c r="F424" s="7" t="s">
        <v>1472</v>
      </c>
      <c r="G424" s="7" t="s">
        <v>1743</v>
      </c>
      <c r="H424" s="7" t="s">
        <v>1680</v>
      </c>
      <c r="I424" s="7" t="s">
        <v>1685</v>
      </c>
      <c r="J424" s="7" t="s">
        <v>1688</v>
      </c>
      <c r="K424" s="7" t="s">
        <v>1704</v>
      </c>
      <c r="L424" s="2">
        <v>1</v>
      </c>
    </row>
    <row r="425" spans="1:12" ht="15" customHeight="1" x14ac:dyDescent="0.35">
      <c r="A425" s="7" t="s">
        <v>1</v>
      </c>
      <c r="B425" s="7" t="s">
        <v>372</v>
      </c>
      <c r="C425" s="7" t="s">
        <v>679</v>
      </c>
      <c r="D425" s="7" t="s">
        <v>999</v>
      </c>
      <c r="E425" s="9" t="s">
        <v>2180</v>
      </c>
      <c r="F425" s="7" t="s">
        <v>1473</v>
      </c>
      <c r="G425" s="7" t="s">
        <v>1740</v>
      </c>
      <c r="H425" s="7" t="s">
        <v>1677</v>
      </c>
      <c r="I425" s="7" t="s">
        <v>1685</v>
      </c>
      <c r="J425" s="7" t="s">
        <v>1688</v>
      </c>
      <c r="K425" s="7" t="s">
        <v>1699</v>
      </c>
      <c r="L425" s="2">
        <v>1</v>
      </c>
    </row>
    <row r="426" spans="1:12" ht="15" customHeight="1" x14ac:dyDescent="0.35">
      <c r="A426" s="7" t="s">
        <v>1</v>
      </c>
      <c r="B426" s="7" t="s">
        <v>373</v>
      </c>
      <c r="C426" s="7" t="s">
        <v>778</v>
      </c>
      <c r="D426" s="7" t="s">
        <v>621</v>
      </c>
      <c r="E426" s="9" t="s">
        <v>2181</v>
      </c>
      <c r="F426" s="7" t="s">
        <v>1474</v>
      </c>
      <c r="G426" s="7" t="s">
        <v>1739</v>
      </c>
      <c r="H426" s="7" t="s">
        <v>1679</v>
      </c>
      <c r="I426" s="7" t="s">
        <v>1685</v>
      </c>
      <c r="J426" s="7" t="s">
        <v>1688</v>
      </c>
      <c r="K426" s="7" t="s">
        <v>1708</v>
      </c>
      <c r="L426" s="2">
        <v>1</v>
      </c>
    </row>
    <row r="427" spans="1:12" ht="15" customHeight="1" x14ac:dyDescent="0.35">
      <c r="A427" s="7" t="s">
        <v>1</v>
      </c>
      <c r="B427" s="7" t="s">
        <v>374</v>
      </c>
      <c r="C427" s="7" t="s">
        <v>652</v>
      </c>
      <c r="D427" s="7" t="s">
        <v>593</v>
      </c>
      <c r="E427" s="9" t="s">
        <v>2182</v>
      </c>
      <c r="F427" s="7" t="s">
        <v>1475</v>
      </c>
      <c r="G427" s="7" t="s">
        <v>1742</v>
      </c>
      <c r="H427" s="7" t="s">
        <v>1678</v>
      </c>
      <c r="I427" s="7" t="s">
        <v>1685</v>
      </c>
      <c r="J427" s="7" t="s">
        <v>1688</v>
      </c>
      <c r="K427" s="7" t="s">
        <v>1701</v>
      </c>
      <c r="L427" s="2">
        <v>1</v>
      </c>
    </row>
    <row r="428" spans="1:12" ht="15" customHeight="1" x14ac:dyDescent="0.35">
      <c r="A428" s="7" t="s">
        <v>1</v>
      </c>
      <c r="B428" s="7" t="s">
        <v>375</v>
      </c>
      <c r="C428" s="7" t="s">
        <v>779</v>
      </c>
      <c r="D428" s="7" t="s">
        <v>727</v>
      </c>
      <c r="E428" s="9" t="s">
        <v>2183</v>
      </c>
      <c r="F428" s="7" t="s">
        <v>1476</v>
      </c>
      <c r="G428" s="7" t="s">
        <v>1742</v>
      </c>
      <c r="H428" s="7" t="s">
        <v>1680</v>
      </c>
      <c r="I428" s="7" t="s">
        <v>1686</v>
      </c>
      <c r="J428" s="7" t="s">
        <v>1688</v>
      </c>
      <c r="K428" s="7" t="s">
        <v>1695</v>
      </c>
      <c r="L428" s="2">
        <v>1</v>
      </c>
    </row>
    <row r="429" spans="1:12" ht="15" customHeight="1" x14ac:dyDescent="0.35">
      <c r="A429" s="7" t="s">
        <v>1</v>
      </c>
      <c r="B429" s="7" t="s">
        <v>376</v>
      </c>
      <c r="C429" s="7" t="s">
        <v>621</v>
      </c>
      <c r="D429" s="7" t="s">
        <v>1000</v>
      </c>
      <c r="E429" s="9" t="s">
        <v>2184</v>
      </c>
      <c r="F429" s="7" t="s">
        <v>1477</v>
      </c>
      <c r="G429" s="7" t="s">
        <v>1737</v>
      </c>
      <c r="H429" s="7" t="s">
        <v>1679</v>
      </c>
      <c r="I429" s="7" t="s">
        <v>1686</v>
      </c>
      <c r="J429" s="7" t="s">
        <v>1688</v>
      </c>
      <c r="K429" s="7" t="s">
        <v>1707</v>
      </c>
      <c r="L429" s="2">
        <v>1</v>
      </c>
    </row>
    <row r="430" spans="1:12" ht="15" customHeight="1" x14ac:dyDescent="0.35">
      <c r="A430" s="7" t="s">
        <v>1</v>
      </c>
      <c r="B430" s="7" t="s">
        <v>377</v>
      </c>
      <c r="C430" s="7" t="s">
        <v>771</v>
      </c>
      <c r="D430" s="7" t="s">
        <v>742</v>
      </c>
      <c r="E430" s="9" t="s">
        <v>2185</v>
      </c>
      <c r="F430" s="7" t="s">
        <v>1478</v>
      </c>
      <c r="G430" s="7" t="s">
        <v>1741</v>
      </c>
      <c r="H430" s="7" t="s">
        <v>1680</v>
      </c>
      <c r="I430" s="7" t="s">
        <v>1686</v>
      </c>
      <c r="J430" s="7" t="s">
        <v>1688</v>
      </c>
      <c r="K430" s="7" t="s">
        <v>1724</v>
      </c>
      <c r="L430" s="2">
        <v>1</v>
      </c>
    </row>
    <row r="431" spans="1:12" ht="15" customHeight="1" x14ac:dyDescent="0.35">
      <c r="A431" s="7" t="s">
        <v>1</v>
      </c>
      <c r="B431" s="7" t="s">
        <v>378</v>
      </c>
      <c r="C431" s="7" t="s">
        <v>780</v>
      </c>
      <c r="D431" s="7" t="s">
        <v>971</v>
      </c>
      <c r="E431" s="9" t="s">
        <v>2186</v>
      </c>
      <c r="F431" s="7" t="s">
        <v>1479</v>
      </c>
      <c r="G431" s="7" t="s">
        <v>1742</v>
      </c>
      <c r="H431" s="7" t="s">
        <v>1677</v>
      </c>
      <c r="I431" s="7" t="s">
        <v>1686</v>
      </c>
      <c r="J431" s="7" t="s">
        <v>1688</v>
      </c>
      <c r="K431" s="7" t="s">
        <v>1703</v>
      </c>
      <c r="L431" s="2">
        <v>1</v>
      </c>
    </row>
    <row r="432" spans="1:12" ht="15" customHeight="1" x14ac:dyDescent="0.35">
      <c r="A432" s="7" t="s">
        <v>1</v>
      </c>
      <c r="B432" s="7" t="s">
        <v>379</v>
      </c>
      <c r="C432" s="7" t="s">
        <v>544</v>
      </c>
      <c r="D432" s="7" t="s">
        <v>544</v>
      </c>
      <c r="E432" s="9" t="s">
        <v>2187</v>
      </c>
      <c r="F432" s="7" t="s">
        <v>1480</v>
      </c>
      <c r="G432" s="7" t="s">
        <v>1748</v>
      </c>
      <c r="H432" s="7" t="s">
        <v>1679</v>
      </c>
      <c r="I432" s="7" t="s">
        <v>1685</v>
      </c>
      <c r="J432" s="7" t="s">
        <v>1688</v>
      </c>
      <c r="K432" s="7" t="s">
        <v>1729</v>
      </c>
      <c r="L432" s="2">
        <v>1</v>
      </c>
    </row>
    <row r="433" spans="1:12" ht="15" customHeight="1" x14ac:dyDescent="0.35">
      <c r="A433" s="7" t="s">
        <v>1</v>
      </c>
      <c r="B433" s="7" t="s">
        <v>380</v>
      </c>
      <c r="C433" s="7" t="s">
        <v>558</v>
      </c>
      <c r="D433" s="7" t="s">
        <v>589</v>
      </c>
      <c r="E433" s="9" t="s">
        <v>2188</v>
      </c>
      <c r="F433" s="7" t="s">
        <v>1481</v>
      </c>
      <c r="G433" s="7" t="s">
        <v>1740</v>
      </c>
      <c r="H433" s="7" t="s">
        <v>1680</v>
      </c>
      <c r="I433" s="7" t="s">
        <v>1685</v>
      </c>
      <c r="J433" s="7" t="s">
        <v>1688</v>
      </c>
      <c r="K433" s="7" t="s">
        <v>1715</v>
      </c>
      <c r="L433" s="2">
        <v>1</v>
      </c>
    </row>
    <row r="434" spans="1:12" ht="15" customHeight="1" x14ac:dyDescent="0.35">
      <c r="A434" s="7" t="s">
        <v>1</v>
      </c>
      <c r="B434" s="7" t="s">
        <v>381</v>
      </c>
      <c r="C434" s="7" t="s">
        <v>659</v>
      </c>
      <c r="D434" s="7" t="s">
        <v>832</v>
      </c>
      <c r="E434" s="9" t="s">
        <v>2189</v>
      </c>
      <c r="F434" s="7" t="s">
        <v>1482</v>
      </c>
      <c r="G434" s="7" t="s">
        <v>1744</v>
      </c>
      <c r="H434" s="7" t="s">
        <v>1679</v>
      </c>
      <c r="I434" s="7" t="s">
        <v>1685</v>
      </c>
      <c r="J434" s="7" t="s">
        <v>1688</v>
      </c>
      <c r="K434" s="7" t="s">
        <v>1722</v>
      </c>
      <c r="L434" s="2">
        <v>1</v>
      </c>
    </row>
    <row r="435" spans="1:12" ht="15" customHeight="1" x14ac:dyDescent="0.35">
      <c r="A435" s="7" t="s">
        <v>1</v>
      </c>
      <c r="B435" s="7" t="s">
        <v>381</v>
      </c>
      <c r="C435" s="7" t="s">
        <v>549</v>
      </c>
      <c r="D435" s="7" t="s">
        <v>621</v>
      </c>
      <c r="E435" s="9" t="s">
        <v>2190</v>
      </c>
      <c r="F435" s="7" t="s">
        <v>1483</v>
      </c>
      <c r="G435" s="7" t="s">
        <v>1748</v>
      </c>
      <c r="H435" s="7" t="s">
        <v>1679</v>
      </c>
      <c r="I435" s="7" t="s">
        <v>1685</v>
      </c>
      <c r="J435" s="7" t="s">
        <v>1688</v>
      </c>
      <c r="K435" s="7" t="s">
        <v>1729</v>
      </c>
      <c r="L435" s="2">
        <v>1</v>
      </c>
    </row>
    <row r="436" spans="1:12" ht="15" customHeight="1" x14ac:dyDescent="0.35">
      <c r="A436" s="7" t="s">
        <v>1</v>
      </c>
      <c r="B436" s="7" t="s">
        <v>381</v>
      </c>
      <c r="C436" s="7" t="s">
        <v>549</v>
      </c>
      <c r="D436" s="7" t="s">
        <v>569</v>
      </c>
      <c r="E436" s="9" t="s">
        <v>2191</v>
      </c>
      <c r="F436" s="7" t="s">
        <v>1484</v>
      </c>
      <c r="G436" s="7" t="s">
        <v>1750</v>
      </c>
      <c r="H436" s="7" t="s">
        <v>1680</v>
      </c>
      <c r="I436" s="7" t="s">
        <v>1685</v>
      </c>
      <c r="J436" s="7" t="s">
        <v>1688</v>
      </c>
      <c r="K436" s="7" t="s">
        <v>1730</v>
      </c>
      <c r="L436" s="2">
        <v>1</v>
      </c>
    </row>
    <row r="437" spans="1:12" ht="15" customHeight="1" x14ac:dyDescent="0.35">
      <c r="A437" s="7" t="s">
        <v>1</v>
      </c>
      <c r="B437" s="7" t="s">
        <v>381</v>
      </c>
      <c r="C437" s="7" t="s">
        <v>630</v>
      </c>
      <c r="D437" s="7" t="s">
        <v>531</v>
      </c>
      <c r="E437" s="9" t="s">
        <v>2192</v>
      </c>
      <c r="F437" s="7" t="s">
        <v>1485</v>
      </c>
      <c r="G437" s="7" t="s">
        <v>1739</v>
      </c>
      <c r="H437" s="7" t="s">
        <v>1679</v>
      </c>
      <c r="I437" s="7" t="s">
        <v>1685</v>
      </c>
      <c r="J437" s="7" t="s">
        <v>1688</v>
      </c>
      <c r="K437" s="7" t="s">
        <v>1708</v>
      </c>
      <c r="L437" s="2">
        <v>1</v>
      </c>
    </row>
    <row r="438" spans="1:12" ht="15" customHeight="1" x14ac:dyDescent="0.35">
      <c r="A438" s="7" t="s">
        <v>1</v>
      </c>
      <c r="B438" s="7" t="s">
        <v>381</v>
      </c>
      <c r="C438" s="7" t="s">
        <v>552</v>
      </c>
      <c r="D438" s="7" t="s">
        <v>1001</v>
      </c>
      <c r="E438" s="9" t="s">
        <v>2193</v>
      </c>
      <c r="F438" s="7" t="s">
        <v>1486</v>
      </c>
      <c r="G438" s="7" t="s">
        <v>1739</v>
      </c>
      <c r="H438" s="7" t="s">
        <v>1679</v>
      </c>
      <c r="I438" s="7" t="s">
        <v>1685</v>
      </c>
      <c r="J438" s="7" t="s">
        <v>1688</v>
      </c>
      <c r="K438" s="7" t="s">
        <v>1708</v>
      </c>
      <c r="L438" s="2">
        <v>1</v>
      </c>
    </row>
    <row r="439" spans="1:12" ht="15" customHeight="1" x14ac:dyDescent="0.35">
      <c r="A439" s="7" t="s">
        <v>1</v>
      </c>
      <c r="B439" s="7" t="s">
        <v>381</v>
      </c>
      <c r="C439" s="7" t="s">
        <v>636</v>
      </c>
      <c r="D439" s="7" t="s">
        <v>565</v>
      </c>
      <c r="E439" s="9" t="s">
        <v>2194</v>
      </c>
      <c r="F439" s="7" t="s">
        <v>1487</v>
      </c>
      <c r="G439" s="7" t="s">
        <v>1743</v>
      </c>
      <c r="H439" s="7" t="s">
        <v>1680</v>
      </c>
      <c r="I439" s="7" t="s">
        <v>1685</v>
      </c>
      <c r="J439" s="7" t="s">
        <v>1688</v>
      </c>
      <c r="K439" s="7" t="s">
        <v>1704</v>
      </c>
      <c r="L439" s="2">
        <v>1</v>
      </c>
    </row>
    <row r="440" spans="1:12" ht="15" customHeight="1" x14ac:dyDescent="0.35">
      <c r="A440" s="7" t="s">
        <v>1</v>
      </c>
      <c r="B440" s="7" t="s">
        <v>381</v>
      </c>
      <c r="C440" s="7" t="s">
        <v>539</v>
      </c>
      <c r="D440" s="7" t="s">
        <v>735</v>
      </c>
      <c r="E440" s="9" t="s">
        <v>2195</v>
      </c>
      <c r="F440" s="7" t="s">
        <v>1488</v>
      </c>
      <c r="G440" s="7" t="s">
        <v>1742</v>
      </c>
      <c r="H440" s="7" t="s">
        <v>1678</v>
      </c>
      <c r="I440" s="7" t="s">
        <v>1685</v>
      </c>
      <c r="J440" s="7" t="s">
        <v>1688</v>
      </c>
      <c r="K440" s="7" t="s">
        <v>1700</v>
      </c>
      <c r="L440" s="2">
        <v>1</v>
      </c>
    </row>
    <row r="441" spans="1:12" ht="15" customHeight="1" x14ac:dyDescent="0.35">
      <c r="A441" s="7" t="s">
        <v>1</v>
      </c>
      <c r="B441" s="7" t="s">
        <v>381</v>
      </c>
      <c r="C441" s="7" t="s">
        <v>530</v>
      </c>
      <c r="D441" s="7" t="s">
        <v>539</v>
      </c>
      <c r="E441" s="9" t="s">
        <v>2196</v>
      </c>
      <c r="F441" s="7" t="s">
        <v>1489</v>
      </c>
      <c r="G441" s="7" t="s">
        <v>1739</v>
      </c>
      <c r="H441" s="7" t="s">
        <v>1677</v>
      </c>
      <c r="I441" s="7" t="s">
        <v>1685</v>
      </c>
      <c r="J441" s="7" t="s">
        <v>1688</v>
      </c>
      <c r="K441" s="7" t="s">
        <v>1691</v>
      </c>
      <c r="L441" s="2">
        <v>1</v>
      </c>
    </row>
    <row r="442" spans="1:12" ht="15" customHeight="1" x14ac:dyDescent="0.35">
      <c r="A442" s="7" t="s">
        <v>1</v>
      </c>
      <c r="B442" s="7" t="s">
        <v>382</v>
      </c>
      <c r="C442" s="7" t="s">
        <v>654</v>
      </c>
      <c r="D442" s="7" t="s">
        <v>621</v>
      </c>
      <c r="E442" s="9" t="s">
        <v>2197</v>
      </c>
      <c r="F442" s="7" t="s">
        <v>1490</v>
      </c>
      <c r="G442" s="7" t="s">
        <v>1750</v>
      </c>
      <c r="H442" s="7" t="s">
        <v>1680</v>
      </c>
      <c r="I442" s="7" t="s">
        <v>1685</v>
      </c>
      <c r="J442" s="7" t="s">
        <v>1688</v>
      </c>
      <c r="K442" s="7" t="s">
        <v>1730</v>
      </c>
      <c r="L442" s="2">
        <v>1</v>
      </c>
    </row>
    <row r="443" spans="1:12" ht="15" customHeight="1" x14ac:dyDescent="0.35">
      <c r="A443" s="7" t="s">
        <v>1</v>
      </c>
      <c r="B443" s="7" t="s">
        <v>383</v>
      </c>
      <c r="C443" s="7" t="s">
        <v>687</v>
      </c>
      <c r="D443" s="7" t="s">
        <v>656</v>
      </c>
      <c r="E443" s="9" t="s">
        <v>2198</v>
      </c>
      <c r="F443" s="7" t="s">
        <v>1491</v>
      </c>
      <c r="G443" s="7" t="s">
        <v>1744</v>
      </c>
      <c r="H443" s="7" t="s">
        <v>1679</v>
      </c>
      <c r="I443" s="7" t="s">
        <v>1685</v>
      </c>
      <c r="J443" s="7" t="s">
        <v>1688</v>
      </c>
      <c r="K443" s="7" t="s">
        <v>1722</v>
      </c>
      <c r="L443" s="2">
        <v>1</v>
      </c>
    </row>
    <row r="444" spans="1:12" ht="15" customHeight="1" x14ac:dyDescent="0.35">
      <c r="A444" s="7" t="s">
        <v>1</v>
      </c>
      <c r="B444" s="7" t="s">
        <v>384</v>
      </c>
      <c r="C444" s="7" t="s">
        <v>654</v>
      </c>
      <c r="D444" s="7" t="s">
        <v>838</v>
      </c>
      <c r="E444" s="9" t="s">
        <v>2199</v>
      </c>
      <c r="F444" s="7" t="s">
        <v>1492</v>
      </c>
      <c r="G444" s="7" t="s">
        <v>1742</v>
      </c>
      <c r="H444" s="7" t="s">
        <v>1677</v>
      </c>
      <c r="I444" s="7" t="s">
        <v>1685</v>
      </c>
      <c r="J444" s="7" t="s">
        <v>1688</v>
      </c>
      <c r="K444" s="7" t="s">
        <v>1703</v>
      </c>
      <c r="L444" s="2">
        <v>1</v>
      </c>
    </row>
    <row r="445" spans="1:12" ht="15" customHeight="1" x14ac:dyDescent="0.35">
      <c r="A445" s="7" t="s">
        <v>1</v>
      </c>
      <c r="B445" s="7" t="s">
        <v>385</v>
      </c>
      <c r="C445" s="7" t="s">
        <v>728</v>
      </c>
      <c r="D445" s="7" t="s">
        <v>767</v>
      </c>
      <c r="E445" s="9" t="s">
        <v>2200</v>
      </c>
      <c r="F445" s="7" t="s">
        <v>1493</v>
      </c>
      <c r="G445" s="7" t="s">
        <v>1740</v>
      </c>
      <c r="H445" s="7" t="s">
        <v>1679</v>
      </c>
      <c r="I445" s="7" t="s">
        <v>1685</v>
      </c>
      <c r="J445" s="7" t="s">
        <v>1688</v>
      </c>
      <c r="K445" s="7" t="s">
        <v>1714</v>
      </c>
      <c r="L445" s="2">
        <v>1</v>
      </c>
    </row>
    <row r="446" spans="1:12" ht="15" customHeight="1" x14ac:dyDescent="0.35">
      <c r="A446" s="7" t="s">
        <v>1</v>
      </c>
      <c r="B446" s="7" t="s">
        <v>385</v>
      </c>
      <c r="C446" s="7" t="s">
        <v>690</v>
      </c>
      <c r="D446" s="7" t="s">
        <v>977</v>
      </c>
      <c r="E446" s="9" t="s">
        <v>2201</v>
      </c>
      <c r="F446" s="7" t="s">
        <v>1494</v>
      </c>
      <c r="G446" s="7" t="s">
        <v>1745</v>
      </c>
      <c r="H446" s="7" t="s">
        <v>1677</v>
      </c>
      <c r="I446" s="7" t="s">
        <v>1685</v>
      </c>
      <c r="J446" s="7" t="s">
        <v>1688</v>
      </c>
      <c r="K446" s="7" t="s">
        <v>1709</v>
      </c>
      <c r="L446" s="2">
        <v>1</v>
      </c>
    </row>
    <row r="447" spans="1:12" ht="15" customHeight="1" x14ac:dyDescent="0.35">
      <c r="A447" s="7" t="s">
        <v>1</v>
      </c>
      <c r="B447" s="7" t="s">
        <v>385</v>
      </c>
      <c r="C447" s="7" t="s">
        <v>589</v>
      </c>
      <c r="D447" s="7" t="s">
        <v>1002</v>
      </c>
      <c r="E447" s="9" t="s">
        <v>2202</v>
      </c>
      <c r="F447" s="7" t="s">
        <v>1495</v>
      </c>
      <c r="G447" s="7" t="s">
        <v>1745</v>
      </c>
      <c r="H447" s="7" t="s">
        <v>1679</v>
      </c>
      <c r="I447" s="7" t="s">
        <v>1685</v>
      </c>
      <c r="J447" s="7" t="s">
        <v>1688</v>
      </c>
      <c r="K447" s="7" t="s">
        <v>1717</v>
      </c>
      <c r="L447" s="2">
        <v>1</v>
      </c>
    </row>
    <row r="448" spans="1:12" ht="15" customHeight="1" x14ac:dyDescent="0.35">
      <c r="A448" s="7" t="s">
        <v>1</v>
      </c>
      <c r="B448" s="7" t="s">
        <v>385</v>
      </c>
      <c r="C448" s="7" t="s">
        <v>600</v>
      </c>
      <c r="D448" s="7" t="s">
        <v>811</v>
      </c>
      <c r="E448" s="9" t="s">
        <v>2203</v>
      </c>
      <c r="F448" s="7" t="s">
        <v>1496</v>
      </c>
      <c r="G448" s="7" t="s">
        <v>1740</v>
      </c>
      <c r="H448" s="7" t="s">
        <v>1679</v>
      </c>
      <c r="I448" s="7" t="s">
        <v>1685</v>
      </c>
      <c r="J448" s="7" t="s">
        <v>1688</v>
      </c>
      <c r="K448" s="7" t="s">
        <v>1714</v>
      </c>
      <c r="L448" s="2">
        <v>1</v>
      </c>
    </row>
    <row r="449" spans="1:12" ht="15" customHeight="1" x14ac:dyDescent="0.35">
      <c r="A449" s="7" t="s">
        <v>1</v>
      </c>
      <c r="B449" s="7" t="s">
        <v>386</v>
      </c>
      <c r="C449" s="7" t="s">
        <v>627</v>
      </c>
      <c r="D449" s="7" t="s">
        <v>629</v>
      </c>
      <c r="E449" s="9" t="s">
        <v>2204</v>
      </c>
      <c r="F449" s="7" t="s">
        <v>1497</v>
      </c>
      <c r="G449" s="7" t="s">
        <v>1745</v>
      </c>
      <c r="H449" s="7" t="s">
        <v>1679</v>
      </c>
      <c r="I449" s="7" t="s">
        <v>1685</v>
      </c>
      <c r="J449" s="7" t="s">
        <v>1688</v>
      </c>
      <c r="K449" s="7" t="s">
        <v>1717</v>
      </c>
      <c r="L449" s="2">
        <v>1</v>
      </c>
    </row>
    <row r="450" spans="1:12" ht="15" customHeight="1" x14ac:dyDescent="0.35">
      <c r="A450" s="7" t="s">
        <v>1</v>
      </c>
      <c r="B450" s="7" t="s">
        <v>387</v>
      </c>
      <c r="C450" s="7" t="s">
        <v>709</v>
      </c>
      <c r="D450" s="7" t="s">
        <v>1003</v>
      </c>
      <c r="E450" s="9" t="s">
        <v>2205</v>
      </c>
      <c r="F450" s="7" t="s">
        <v>1498</v>
      </c>
      <c r="G450" s="7" t="s">
        <v>1742</v>
      </c>
      <c r="H450" s="7" t="s">
        <v>1677</v>
      </c>
      <c r="I450" s="7" t="s">
        <v>1685</v>
      </c>
      <c r="J450" s="7" t="s">
        <v>1688</v>
      </c>
      <c r="K450" s="7" t="s">
        <v>1703</v>
      </c>
      <c r="L450" s="2">
        <v>1</v>
      </c>
    </row>
    <row r="451" spans="1:12" ht="15" customHeight="1" x14ac:dyDescent="0.35">
      <c r="A451" s="7" t="s">
        <v>1</v>
      </c>
      <c r="B451" s="7" t="s">
        <v>388</v>
      </c>
      <c r="C451" s="7" t="s">
        <v>781</v>
      </c>
      <c r="D451" s="7" t="s">
        <v>742</v>
      </c>
      <c r="E451" s="9" t="s">
        <v>2206</v>
      </c>
      <c r="F451" s="7" t="s">
        <v>1499</v>
      </c>
      <c r="G451" s="7" t="s">
        <v>1744</v>
      </c>
      <c r="H451" s="7" t="s">
        <v>1678</v>
      </c>
      <c r="I451" s="7" t="s">
        <v>1685</v>
      </c>
      <c r="J451" s="7" t="s">
        <v>1688</v>
      </c>
      <c r="K451" s="7" t="s">
        <v>1711</v>
      </c>
      <c r="L451" s="2">
        <v>1</v>
      </c>
    </row>
    <row r="452" spans="1:12" ht="15" customHeight="1" x14ac:dyDescent="0.35">
      <c r="A452" s="7" t="s">
        <v>1</v>
      </c>
      <c r="B452" s="7" t="s">
        <v>389</v>
      </c>
      <c r="C452" s="7" t="s">
        <v>627</v>
      </c>
      <c r="D452" s="7" t="s">
        <v>659</v>
      </c>
      <c r="E452" s="9" t="s">
        <v>2207</v>
      </c>
      <c r="F452" s="7" t="s">
        <v>1500</v>
      </c>
      <c r="G452" s="7" t="s">
        <v>1739</v>
      </c>
      <c r="H452" s="7" t="s">
        <v>1679</v>
      </c>
      <c r="I452" s="7" t="s">
        <v>1685</v>
      </c>
      <c r="J452" s="7" t="s">
        <v>1688</v>
      </c>
      <c r="K452" s="7" t="s">
        <v>1708</v>
      </c>
      <c r="L452" s="2">
        <v>1</v>
      </c>
    </row>
    <row r="453" spans="1:12" ht="15" customHeight="1" x14ac:dyDescent="0.35">
      <c r="A453" s="7" t="s">
        <v>1</v>
      </c>
      <c r="B453" s="7" t="s">
        <v>390</v>
      </c>
      <c r="C453" s="7" t="s">
        <v>782</v>
      </c>
      <c r="D453" s="7" t="s">
        <v>1004</v>
      </c>
      <c r="E453" s="9" t="s">
        <v>2208</v>
      </c>
      <c r="F453" s="7" t="s">
        <v>1501</v>
      </c>
      <c r="G453" s="7" t="s">
        <v>1743</v>
      </c>
      <c r="H453" s="7" t="s">
        <v>1680</v>
      </c>
      <c r="I453" s="7" t="s">
        <v>1685</v>
      </c>
      <c r="J453" s="7" t="s">
        <v>1688</v>
      </c>
      <c r="K453" s="7" t="s">
        <v>1704</v>
      </c>
      <c r="L453" s="2">
        <v>1</v>
      </c>
    </row>
    <row r="454" spans="1:12" ht="15" customHeight="1" x14ac:dyDescent="0.35">
      <c r="A454" s="7" t="s">
        <v>1</v>
      </c>
      <c r="B454" s="7" t="s">
        <v>391</v>
      </c>
      <c r="C454" s="7" t="s">
        <v>636</v>
      </c>
      <c r="D454" s="7" t="s">
        <v>1005</v>
      </c>
      <c r="E454" s="9" t="s">
        <v>2209</v>
      </c>
      <c r="F454" s="7" t="s">
        <v>1502</v>
      </c>
      <c r="G454" s="7" t="s">
        <v>1743</v>
      </c>
      <c r="H454" s="7" t="s">
        <v>1679</v>
      </c>
      <c r="I454" s="7" t="s">
        <v>1686</v>
      </c>
      <c r="J454" s="7" t="s">
        <v>1688</v>
      </c>
      <c r="K454" s="7" t="s">
        <v>1702</v>
      </c>
      <c r="L454" s="2">
        <v>1</v>
      </c>
    </row>
    <row r="455" spans="1:12" ht="15" customHeight="1" x14ac:dyDescent="0.35">
      <c r="A455" s="7" t="s">
        <v>1</v>
      </c>
      <c r="B455" s="7" t="s">
        <v>392</v>
      </c>
      <c r="C455" s="7" t="s">
        <v>783</v>
      </c>
      <c r="D455" s="7" t="s">
        <v>704</v>
      </c>
      <c r="E455" s="9" t="s">
        <v>2210</v>
      </c>
      <c r="F455" s="7" t="s">
        <v>1503</v>
      </c>
      <c r="G455" s="7" t="s">
        <v>1737</v>
      </c>
      <c r="H455" s="7" t="s">
        <v>1678</v>
      </c>
      <c r="I455" s="7" t="s">
        <v>1686</v>
      </c>
      <c r="J455" s="7" t="s">
        <v>1688</v>
      </c>
      <c r="K455" s="7" t="s">
        <v>1721</v>
      </c>
      <c r="L455" s="2">
        <v>1</v>
      </c>
    </row>
    <row r="456" spans="1:12" ht="15" customHeight="1" x14ac:dyDescent="0.35">
      <c r="A456" s="7" t="s">
        <v>1</v>
      </c>
      <c r="B456" s="7" t="s">
        <v>393</v>
      </c>
      <c r="C456" s="7" t="s">
        <v>531</v>
      </c>
      <c r="D456" s="7" t="s">
        <v>711</v>
      </c>
      <c r="E456" s="9" t="s">
        <v>2211</v>
      </c>
      <c r="F456" s="7" t="s">
        <v>1504</v>
      </c>
      <c r="G456" s="7" t="s">
        <v>1745</v>
      </c>
      <c r="H456" s="7" t="s">
        <v>1677</v>
      </c>
      <c r="I456" s="7" t="s">
        <v>1685</v>
      </c>
      <c r="J456" s="7" t="s">
        <v>1689</v>
      </c>
      <c r="K456" s="7" t="s">
        <v>1709</v>
      </c>
      <c r="L456" s="2">
        <v>1</v>
      </c>
    </row>
    <row r="457" spans="1:12" ht="15" customHeight="1" x14ac:dyDescent="0.35">
      <c r="A457" s="7" t="s">
        <v>1</v>
      </c>
      <c r="B457" s="7" t="s">
        <v>394</v>
      </c>
      <c r="C457" s="7" t="s">
        <v>679</v>
      </c>
      <c r="D457" s="7" t="s">
        <v>1006</v>
      </c>
      <c r="E457" s="9" t="s">
        <v>2212</v>
      </c>
      <c r="F457" s="7" t="s">
        <v>1505</v>
      </c>
      <c r="G457" s="7" t="s">
        <v>1748</v>
      </c>
      <c r="H457" s="7" t="s">
        <v>1679</v>
      </c>
      <c r="I457" s="7" t="s">
        <v>1685</v>
      </c>
      <c r="J457" s="7" t="s">
        <v>1688</v>
      </c>
      <c r="K457" s="7" t="s">
        <v>1729</v>
      </c>
      <c r="L457" s="2">
        <v>1</v>
      </c>
    </row>
    <row r="458" spans="1:12" ht="15" customHeight="1" x14ac:dyDescent="0.35">
      <c r="A458" s="7" t="s">
        <v>1</v>
      </c>
      <c r="B458" s="7" t="s">
        <v>395</v>
      </c>
      <c r="C458" s="7" t="s">
        <v>784</v>
      </c>
      <c r="D458" s="7" t="s">
        <v>577</v>
      </c>
      <c r="E458" s="9" t="s">
        <v>2213</v>
      </c>
      <c r="F458" s="7" t="s">
        <v>1506</v>
      </c>
      <c r="G458" s="7" t="s">
        <v>1741</v>
      </c>
      <c r="H458" s="7" t="s">
        <v>1680</v>
      </c>
      <c r="I458" s="7" t="s">
        <v>1686</v>
      </c>
      <c r="J458" s="7" t="s">
        <v>1688</v>
      </c>
      <c r="K458" s="7" t="s">
        <v>1724</v>
      </c>
      <c r="L458" s="2">
        <v>1</v>
      </c>
    </row>
    <row r="459" spans="1:12" ht="15" customHeight="1" x14ac:dyDescent="0.35">
      <c r="A459" s="7" t="s">
        <v>1</v>
      </c>
      <c r="B459" s="7" t="s">
        <v>396</v>
      </c>
      <c r="C459" s="7" t="s">
        <v>679</v>
      </c>
      <c r="D459" s="7" t="s">
        <v>560</v>
      </c>
      <c r="E459" s="9" t="s">
        <v>2214</v>
      </c>
      <c r="F459" s="7" t="s">
        <v>1507</v>
      </c>
      <c r="G459" s="7" t="s">
        <v>1739</v>
      </c>
      <c r="H459" s="7" t="s">
        <v>1679</v>
      </c>
      <c r="I459" s="7" t="s">
        <v>1686</v>
      </c>
      <c r="J459" s="7" t="s">
        <v>1688</v>
      </c>
      <c r="K459" s="7" t="s">
        <v>1708</v>
      </c>
      <c r="L459" s="2">
        <v>1</v>
      </c>
    </row>
    <row r="460" spans="1:12" ht="15" customHeight="1" x14ac:dyDescent="0.35">
      <c r="A460" s="7" t="s">
        <v>1</v>
      </c>
      <c r="B460" s="7" t="s">
        <v>397</v>
      </c>
      <c r="C460" s="7" t="s">
        <v>564</v>
      </c>
      <c r="D460" s="7" t="s">
        <v>596</v>
      </c>
      <c r="E460" s="9" t="s">
        <v>2215</v>
      </c>
      <c r="F460" s="7" t="s">
        <v>1508</v>
      </c>
      <c r="G460" s="7" t="s">
        <v>1743</v>
      </c>
      <c r="H460" s="7" t="s">
        <v>1679</v>
      </c>
      <c r="I460" s="7" t="s">
        <v>1685</v>
      </c>
      <c r="J460" s="7" t="s">
        <v>1688</v>
      </c>
      <c r="K460" s="7" t="s">
        <v>1702</v>
      </c>
      <c r="L460" s="2">
        <v>1</v>
      </c>
    </row>
    <row r="461" spans="1:12" ht="15" customHeight="1" x14ac:dyDescent="0.35">
      <c r="A461" s="7" t="s">
        <v>1</v>
      </c>
      <c r="B461" s="7" t="s">
        <v>397</v>
      </c>
      <c r="C461" s="7" t="s">
        <v>785</v>
      </c>
      <c r="D461" s="7" t="s">
        <v>552</v>
      </c>
      <c r="E461" s="9" t="s">
        <v>2216</v>
      </c>
      <c r="F461" s="7" t="s">
        <v>1509</v>
      </c>
      <c r="G461" s="7" t="s">
        <v>1740</v>
      </c>
      <c r="H461" s="7" t="s">
        <v>1679</v>
      </c>
      <c r="I461" s="7" t="s">
        <v>1685</v>
      </c>
      <c r="J461" s="7" t="s">
        <v>1688</v>
      </c>
      <c r="K461" s="7" t="s">
        <v>1714</v>
      </c>
      <c r="L461" s="2">
        <v>1</v>
      </c>
    </row>
    <row r="462" spans="1:12" ht="15" customHeight="1" x14ac:dyDescent="0.35">
      <c r="A462" s="7" t="s">
        <v>1</v>
      </c>
      <c r="B462" s="7" t="s">
        <v>398</v>
      </c>
      <c r="C462" s="7" t="s">
        <v>544</v>
      </c>
      <c r="D462" s="7" t="s">
        <v>589</v>
      </c>
      <c r="E462" s="9" t="s">
        <v>2217</v>
      </c>
      <c r="F462" s="7" t="s">
        <v>1510</v>
      </c>
      <c r="G462" s="7" t="s">
        <v>1740</v>
      </c>
      <c r="H462" s="7" t="s">
        <v>1680</v>
      </c>
      <c r="I462" s="7" t="s">
        <v>1685</v>
      </c>
      <c r="J462" s="7" t="s">
        <v>1688</v>
      </c>
      <c r="K462" s="7" t="s">
        <v>1715</v>
      </c>
      <c r="L462" s="2">
        <v>1</v>
      </c>
    </row>
    <row r="463" spans="1:12" ht="15" customHeight="1" x14ac:dyDescent="0.35">
      <c r="A463" s="7" t="s">
        <v>1</v>
      </c>
      <c r="B463" s="7" t="s">
        <v>399</v>
      </c>
      <c r="C463" s="7" t="s">
        <v>209</v>
      </c>
      <c r="D463" s="7" t="s">
        <v>627</v>
      </c>
      <c r="E463" s="9" t="s">
        <v>2218</v>
      </c>
      <c r="F463" s="7" t="s">
        <v>1511</v>
      </c>
      <c r="G463" s="7" t="s">
        <v>1745</v>
      </c>
      <c r="H463" s="7" t="s">
        <v>1678</v>
      </c>
      <c r="I463" s="7" t="s">
        <v>1685</v>
      </c>
      <c r="J463" s="7" t="s">
        <v>1688</v>
      </c>
      <c r="K463" s="7" t="s">
        <v>1710</v>
      </c>
      <c r="L463" s="2">
        <v>1</v>
      </c>
    </row>
    <row r="464" spans="1:12" ht="15" customHeight="1" x14ac:dyDescent="0.35">
      <c r="A464" s="7" t="s">
        <v>1</v>
      </c>
      <c r="B464" s="7" t="s">
        <v>400</v>
      </c>
      <c r="C464" s="7" t="s">
        <v>786</v>
      </c>
      <c r="D464" s="7" t="s">
        <v>597</v>
      </c>
      <c r="E464" s="9" t="s">
        <v>2219</v>
      </c>
      <c r="F464" s="7" t="s">
        <v>1512</v>
      </c>
      <c r="G464" s="7" t="s">
        <v>1742</v>
      </c>
      <c r="H464" s="7" t="s">
        <v>1681</v>
      </c>
      <c r="I464" s="7" t="s">
        <v>1686</v>
      </c>
      <c r="J464" s="7" t="s">
        <v>1688</v>
      </c>
      <c r="K464" s="7" t="s">
        <v>1697</v>
      </c>
      <c r="L464" s="2">
        <v>1</v>
      </c>
    </row>
    <row r="465" spans="1:12" ht="15" customHeight="1" x14ac:dyDescent="0.35">
      <c r="A465" s="7" t="s">
        <v>1</v>
      </c>
      <c r="B465" s="7" t="s">
        <v>401</v>
      </c>
      <c r="C465" s="7" t="s">
        <v>787</v>
      </c>
      <c r="D465" s="7" t="s">
        <v>1007</v>
      </c>
      <c r="E465" s="9" t="s">
        <v>2220</v>
      </c>
      <c r="F465" s="7" t="s">
        <v>1513</v>
      </c>
      <c r="G465" s="7" t="s">
        <v>1742</v>
      </c>
      <c r="H465" s="7" t="s">
        <v>1677</v>
      </c>
      <c r="I465" s="7" t="s">
        <v>1686</v>
      </c>
      <c r="J465" s="7" t="s">
        <v>1688</v>
      </c>
      <c r="K465" s="7" t="s">
        <v>1703</v>
      </c>
      <c r="L465" s="2">
        <v>1</v>
      </c>
    </row>
    <row r="466" spans="1:12" ht="15" customHeight="1" x14ac:dyDescent="0.35">
      <c r="A466" s="7" t="s">
        <v>1</v>
      </c>
      <c r="B466" s="7" t="s">
        <v>402</v>
      </c>
      <c r="C466" s="7" t="s">
        <v>589</v>
      </c>
      <c r="D466" s="7" t="s">
        <v>626</v>
      </c>
      <c r="E466" s="9" t="s">
        <v>2221</v>
      </c>
      <c r="F466" s="7" t="s">
        <v>1514</v>
      </c>
      <c r="G466" s="7" t="s">
        <v>1739</v>
      </c>
      <c r="H466" s="7" t="s">
        <v>1678</v>
      </c>
      <c r="I466" s="7" t="s">
        <v>1686</v>
      </c>
      <c r="J466" s="7" t="s">
        <v>1688</v>
      </c>
      <c r="K466" s="7" t="s">
        <v>1726</v>
      </c>
      <c r="L466" s="2">
        <v>1</v>
      </c>
    </row>
    <row r="467" spans="1:12" ht="15" customHeight="1" x14ac:dyDescent="0.35">
      <c r="A467" s="7" t="s">
        <v>1</v>
      </c>
      <c r="B467" s="7" t="s">
        <v>403</v>
      </c>
      <c r="C467" s="7" t="s">
        <v>788</v>
      </c>
      <c r="D467" s="7" t="s">
        <v>1008</v>
      </c>
      <c r="E467" s="9" t="s">
        <v>2222</v>
      </c>
      <c r="F467" s="7" t="s">
        <v>1515</v>
      </c>
      <c r="G467" s="7" t="s">
        <v>1737</v>
      </c>
      <c r="H467" s="7" t="s">
        <v>1678</v>
      </c>
      <c r="I467" s="7" t="s">
        <v>1686</v>
      </c>
      <c r="J467" s="7" t="s">
        <v>1688</v>
      </c>
      <c r="K467" s="7" t="s">
        <v>1696</v>
      </c>
      <c r="L467" s="2">
        <v>1</v>
      </c>
    </row>
    <row r="468" spans="1:12" ht="15" customHeight="1" x14ac:dyDescent="0.35">
      <c r="A468" s="7" t="s">
        <v>1</v>
      </c>
      <c r="B468" s="7" t="s">
        <v>404</v>
      </c>
      <c r="C468" s="7" t="s">
        <v>557</v>
      </c>
      <c r="D468" s="7" t="s">
        <v>793</v>
      </c>
      <c r="E468" s="9" t="s">
        <v>2223</v>
      </c>
      <c r="F468" s="7" t="s">
        <v>1516</v>
      </c>
      <c r="G468" s="7" t="s">
        <v>1739</v>
      </c>
      <c r="H468" s="7" t="s">
        <v>1680</v>
      </c>
      <c r="I468" s="7" t="s">
        <v>1685</v>
      </c>
      <c r="J468" s="7" t="s">
        <v>1688</v>
      </c>
      <c r="K468" s="7" t="s">
        <v>1716</v>
      </c>
      <c r="L468" s="2">
        <v>1</v>
      </c>
    </row>
    <row r="469" spans="1:12" ht="15" customHeight="1" x14ac:dyDescent="0.35">
      <c r="A469" s="7" t="s">
        <v>1</v>
      </c>
      <c r="B469" s="7" t="s">
        <v>405</v>
      </c>
      <c r="C469" s="7" t="s">
        <v>789</v>
      </c>
      <c r="D469" s="7" t="s">
        <v>591</v>
      </c>
      <c r="E469" s="9" t="s">
        <v>2224</v>
      </c>
      <c r="F469" s="7" t="s">
        <v>1517</v>
      </c>
      <c r="G469" s="7" t="s">
        <v>1740</v>
      </c>
      <c r="H469" s="7" t="s">
        <v>1677</v>
      </c>
      <c r="I469" s="7" t="s">
        <v>1685</v>
      </c>
      <c r="J469" s="7" t="s">
        <v>1688</v>
      </c>
      <c r="K469" s="7" t="s">
        <v>1699</v>
      </c>
      <c r="L469" s="2">
        <v>1</v>
      </c>
    </row>
    <row r="470" spans="1:12" ht="15" customHeight="1" x14ac:dyDescent="0.35">
      <c r="A470" s="7" t="s">
        <v>1</v>
      </c>
      <c r="B470" s="7" t="s">
        <v>406</v>
      </c>
      <c r="C470" s="7" t="s">
        <v>728</v>
      </c>
      <c r="D470" s="7" t="s">
        <v>767</v>
      </c>
      <c r="E470" s="9" t="s">
        <v>2225</v>
      </c>
      <c r="F470" s="7" t="s">
        <v>1518</v>
      </c>
      <c r="G470" s="7" t="s">
        <v>1742</v>
      </c>
      <c r="H470" s="7" t="s">
        <v>1679</v>
      </c>
      <c r="I470" s="7" t="s">
        <v>1685</v>
      </c>
      <c r="J470" s="7" t="s">
        <v>1688</v>
      </c>
      <c r="K470" s="7" t="s">
        <v>1694</v>
      </c>
      <c r="L470" s="2">
        <v>1</v>
      </c>
    </row>
    <row r="471" spans="1:12" ht="15" customHeight="1" x14ac:dyDescent="0.35">
      <c r="A471" s="7" t="s">
        <v>1</v>
      </c>
      <c r="B471" s="7" t="s">
        <v>407</v>
      </c>
      <c r="C471" s="7" t="s">
        <v>790</v>
      </c>
      <c r="D471" s="7" t="s">
        <v>679</v>
      </c>
      <c r="E471" s="9" t="s">
        <v>2226</v>
      </c>
      <c r="F471" s="7" t="s">
        <v>1519</v>
      </c>
      <c r="G471" s="7" t="s">
        <v>1743</v>
      </c>
      <c r="H471" s="7" t="s">
        <v>1679</v>
      </c>
      <c r="I471" s="7" t="s">
        <v>1685</v>
      </c>
      <c r="J471" s="7" t="s">
        <v>1688</v>
      </c>
      <c r="K471" s="7" t="s">
        <v>1702</v>
      </c>
      <c r="L471" s="2">
        <v>1</v>
      </c>
    </row>
    <row r="472" spans="1:12" ht="15" customHeight="1" x14ac:dyDescent="0.35">
      <c r="A472" s="7" t="s">
        <v>1</v>
      </c>
      <c r="B472" s="7" t="s">
        <v>407</v>
      </c>
      <c r="C472" s="7" t="s">
        <v>774</v>
      </c>
      <c r="D472" s="7" t="s">
        <v>636</v>
      </c>
      <c r="E472" s="9" t="s">
        <v>2227</v>
      </c>
      <c r="F472" s="7" t="s">
        <v>1520</v>
      </c>
      <c r="G472" s="7" t="s">
        <v>1740</v>
      </c>
      <c r="H472" s="7" t="s">
        <v>1679</v>
      </c>
      <c r="I472" s="7" t="s">
        <v>1685</v>
      </c>
      <c r="J472" s="7" t="s">
        <v>1688</v>
      </c>
      <c r="K472" s="7" t="s">
        <v>1714</v>
      </c>
      <c r="L472" s="2">
        <v>1</v>
      </c>
    </row>
    <row r="473" spans="1:12" ht="15" customHeight="1" x14ac:dyDescent="0.35">
      <c r="A473" s="7" t="s">
        <v>1</v>
      </c>
      <c r="B473" s="7" t="s">
        <v>408</v>
      </c>
      <c r="C473" s="7" t="s">
        <v>654</v>
      </c>
      <c r="D473" s="7" t="s">
        <v>992</v>
      </c>
      <c r="E473" s="9" t="s">
        <v>2228</v>
      </c>
      <c r="F473" s="7" t="s">
        <v>1521</v>
      </c>
      <c r="G473" s="7" t="s">
        <v>1745</v>
      </c>
      <c r="H473" s="7" t="s">
        <v>1679</v>
      </c>
      <c r="I473" s="7" t="s">
        <v>1685</v>
      </c>
      <c r="J473" s="7" t="s">
        <v>1688</v>
      </c>
      <c r="K473" s="7" t="s">
        <v>1717</v>
      </c>
      <c r="L473" s="2">
        <v>1</v>
      </c>
    </row>
    <row r="474" spans="1:12" ht="15" customHeight="1" x14ac:dyDescent="0.35">
      <c r="A474" s="7" t="s">
        <v>1</v>
      </c>
      <c r="B474" s="7" t="s">
        <v>409</v>
      </c>
      <c r="C474" s="7" t="s">
        <v>626</v>
      </c>
      <c r="D474" s="7" t="s">
        <v>1009</v>
      </c>
      <c r="E474" s="9" t="s">
        <v>2229</v>
      </c>
      <c r="F474" s="7" t="s">
        <v>1522</v>
      </c>
      <c r="G474" s="7" t="s">
        <v>1743</v>
      </c>
      <c r="H474" s="7" t="s">
        <v>1677</v>
      </c>
      <c r="I474" s="7" t="s">
        <v>1685</v>
      </c>
      <c r="J474" s="7" t="s">
        <v>1688</v>
      </c>
      <c r="K474" s="7" t="s">
        <v>1720</v>
      </c>
      <c r="L474" s="2">
        <v>1</v>
      </c>
    </row>
    <row r="475" spans="1:12" ht="15" customHeight="1" x14ac:dyDescent="0.35">
      <c r="A475" s="7" t="s">
        <v>1</v>
      </c>
      <c r="B475" s="7" t="s">
        <v>410</v>
      </c>
      <c r="C475" s="7" t="s">
        <v>569</v>
      </c>
      <c r="D475" s="7" t="s">
        <v>531</v>
      </c>
      <c r="E475" s="9" t="s">
        <v>2230</v>
      </c>
      <c r="F475" s="7" t="s">
        <v>1523</v>
      </c>
      <c r="G475" s="7" t="s">
        <v>1745</v>
      </c>
      <c r="H475" s="7" t="s">
        <v>1679</v>
      </c>
      <c r="I475" s="7" t="s">
        <v>1685</v>
      </c>
      <c r="J475" s="7" t="s">
        <v>1688</v>
      </c>
      <c r="K475" s="7" t="s">
        <v>1717</v>
      </c>
      <c r="L475" s="2">
        <v>1</v>
      </c>
    </row>
    <row r="476" spans="1:12" ht="15" customHeight="1" x14ac:dyDescent="0.35">
      <c r="A476" s="7" t="s">
        <v>1</v>
      </c>
      <c r="B476" s="7" t="s">
        <v>411</v>
      </c>
      <c r="C476" s="7" t="s">
        <v>791</v>
      </c>
      <c r="D476" s="8"/>
      <c r="E476" s="9" t="s">
        <v>2231</v>
      </c>
      <c r="F476" s="7" t="s">
        <v>1524</v>
      </c>
      <c r="G476" s="7" t="s">
        <v>1742</v>
      </c>
      <c r="H476" s="7" t="s">
        <v>1677</v>
      </c>
      <c r="I476" s="7" t="s">
        <v>1686</v>
      </c>
      <c r="J476" s="7" t="s">
        <v>1688</v>
      </c>
      <c r="K476" s="7" t="s">
        <v>1703</v>
      </c>
      <c r="L476" s="2">
        <v>1</v>
      </c>
    </row>
    <row r="477" spans="1:12" ht="15" customHeight="1" x14ac:dyDescent="0.35">
      <c r="A477" s="7" t="s">
        <v>1</v>
      </c>
      <c r="B477" s="7" t="s">
        <v>412</v>
      </c>
      <c r="C477" s="7" t="s">
        <v>792</v>
      </c>
      <c r="D477" s="7" t="s">
        <v>1010</v>
      </c>
      <c r="E477" s="9" t="s">
        <v>2232</v>
      </c>
      <c r="F477" s="7" t="s">
        <v>1525</v>
      </c>
      <c r="G477" s="7" t="s">
        <v>1738</v>
      </c>
      <c r="H477" s="7" t="s">
        <v>1678</v>
      </c>
      <c r="I477" s="7" t="s">
        <v>1686</v>
      </c>
      <c r="J477" s="7" t="s">
        <v>1688</v>
      </c>
      <c r="K477" s="7" t="s">
        <v>1705</v>
      </c>
      <c r="L477" s="2">
        <v>1</v>
      </c>
    </row>
    <row r="478" spans="1:12" ht="15" customHeight="1" x14ac:dyDescent="0.35">
      <c r="A478" s="7" t="s">
        <v>1</v>
      </c>
      <c r="B478" s="7" t="s">
        <v>413</v>
      </c>
      <c r="C478" s="7" t="s">
        <v>654</v>
      </c>
      <c r="D478" s="7" t="s">
        <v>1011</v>
      </c>
      <c r="E478" s="9" t="s">
        <v>2233</v>
      </c>
      <c r="F478" s="7" t="s">
        <v>1526</v>
      </c>
      <c r="G478" s="7" t="s">
        <v>1743</v>
      </c>
      <c r="H478" s="7" t="s">
        <v>1678</v>
      </c>
      <c r="I478" s="7" t="s">
        <v>1686</v>
      </c>
      <c r="J478" s="7" t="s">
        <v>1688</v>
      </c>
      <c r="K478" s="7" t="s">
        <v>1731</v>
      </c>
      <c r="L478" s="2">
        <v>1</v>
      </c>
    </row>
    <row r="479" spans="1:12" ht="15" customHeight="1" x14ac:dyDescent="0.35">
      <c r="A479" s="7" t="s">
        <v>1</v>
      </c>
      <c r="B479" s="7" t="s">
        <v>414</v>
      </c>
      <c r="C479" s="7" t="s">
        <v>621</v>
      </c>
      <c r="D479" s="7" t="s">
        <v>873</v>
      </c>
      <c r="E479" s="9" t="s">
        <v>2234</v>
      </c>
      <c r="F479" s="7" t="s">
        <v>1527</v>
      </c>
      <c r="G479" s="7" t="s">
        <v>1742</v>
      </c>
      <c r="H479" s="7" t="s">
        <v>1677</v>
      </c>
      <c r="I479" s="7" t="s">
        <v>1685</v>
      </c>
      <c r="J479" s="7" t="s">
        <v>1688</v>
      </c>
      <c r="K479" s="7" t="s">
        <v>1703</v>
      </c>
      <c r="L479" s="2">
        <v>1</v>
      </c>
    </row>
    <row r="480" spans="1:12" ht="15" customHeight="1" x14ac:dyDescent="0.35">
      <c r="A480" s="7" t="s">
        <v>1</v>
      </c>
      <c r="B480" s="7" t="s">
        <v>415</v>
      </c>
      <c r="C480" s="7" t="s">
        <v>539</v>
      </c>
      <c r="D480" s="7" t="s">
        <v>636</v>
      </c>
      <c r="E480" s="9" t="s">
        <v>2235</v>
      </c>
      <c r="F480" s="7" t="s">
        <v>1528</v>
      </c>
      <c r="G480" s="7" t="s">
        <v>1739</v>
      </c>
      <c r="H480" s="7" t="s">
        <v>1677</v>
      </c>
      <c r="I480" s="7" t="s">
        <v>1685</v>
      </c>
      <c r="J480" s="7" t="s">
        <v>1688</v>
      </c>
      <c r="K480" s="7" t="s">
        <v>1691</v>
      </c>
      <c r="L480" s="2">
        <v>1</v>
      </c>
    </row>
    <row r="481" spans="1:12" ht="15" customHeight="1" x14ac:dyDescent="0.35">
      <c r="A481" s="7" t="s">
        <v>1</v>
      </c>
      <c r="B481" s="7" t="s">
        <v>416</v>
      </c>
      <c r="C481" s="7" t="s">
        <v>531</v>
      </c>
      <c r="D481" s="7" t="s">
        <v>1012</v>
      </c>
      <c r="E481" s="9" t="s">
        <v>2236</v>
      </c>
      <c r="F481" s="7" t="s">
        <v>1529</v>
      </c>
      <c r="G481" s="7" t="s">
        <v>1743</v>
      </c>
      <c r="H481" s="7" t="s">
        <v>1679</v>
      </c>
      <c r="I481" s="7" t="s">
        <v>1685</v>
      </c>
      <c r="J481" s="7" t="s">
        <v>1688</v>
      </c>
      <c r="K481" s="7" t="s">
        <v>1702</v>
      </c>
      <c r="L481" s="2">
        <v>1</v>
      </c>
    </row>
    <row r="482" spans="1:12" ht="15" customHeight="1" x14ac:dyDescent="0.35">
      <c r="A482" s="7" t="s">
        <v>1</v>
      </c>
      <c r="B482" s="7" t="s">
        <v>417</v>
      </c>
      <c r="C482" s="7" t="s">
        <v>793</v>
      </c>
      <c r="D482" s="7" t="s">
        <v>1013</v>
      </c>
      <c r="E482" s="9" t="s">
        <v>2237</v>
      </c>
      <c r="F482" s="7" t="s">
        <v>1530</v>
      </c>
      <c r="G482" s="7" t="s">
        <v>1740</v>
      </c>
      <c r="H482" s="7" t="s">
        <v>1680</v>
      </c>
      <c r="I482" s="7" t="s">
        <v>1685</v>
      </c>
      <c r="J482" s="7" t="s">
        <v>1688</v>
      </c>
      <c r="K482" s="7" t="s">
        <v>1715</v>
      </c>
      <c r="L482" s="2">
        <v>1</v>
      </c>
    </row>
    <row r="483" spans="1:12" ht="15" customHeight="1" x14ac:dyDescent="0.35">
      <c r="A483" s="7" t="s">
        <v>1</v>
      </c>
      <c r="B483" s="7" t="s">
        <v>417</v>
      </c>
      <c r="C483" s="7" t="s">
        <v>540</v>
      </c>
      <c r="D483" s="7" t="s">
        <v>736</v>
      </c>
      <c r="E483" s="9" t="s">
        <v>2238</v>
      </c>
      <c r="F483" s="7" t="s">
        <v>1531</v>
      </c>
      <c r="G483" s="7" t="s">
        <v>1743</v>
      </c>
      <c r="H483" s="7" t="s">
        <v>1680</v>
      </c>
      <c r="I483" s="7" t="s">
        <v>1685</v>
      </c>
      <c r="J483" s="7" t="s">
        <v>1688</v>
      </c>
      <c r="K483" s="7" t="s">
        <v>1704</v>
      </c>
      <c r="L483" s="2">
        <v>1</v>
      </c>
    </row>
    <row r="484" spans="1:12" ht="15" customHeight="1" x14ac:dyDescent="0.35">
      <c r="A484" s="7" t="s">
        <v>1</v>
      </c>
      <c r="B484" s="7" t="s">
        <v>418</v>
      </c>
      <c r="C484" s="7" t="s">
        <v>794</v>
      </c>
      <c r="D484" s="7" t="s">
        <v>1014</v>
      </c>
      <c r="E484" s="9" t="s">
        <v>2239</v>
      </c>
      <c r="F484" s="7" t="s">
        <v>1532</v>
      </c>
      <c r="G484" s="7" t="s">
        <v>1745</v>
      </c>
      <c r="H484" s="7" t="s">
        <v>1679</v>
      </c>
      <c r="I484" s="7" t="s">
        <v>1685</v>
      </c>
      <c r="J484" s="7" t="s">
        <v>1688</v>
      </c>
      <c r="K484" s="7" t="s">
        <v>1717</v>
      </c>
      <c r="L484" s="2">
        <v>1</v>
      </c>
    </row>
    <row r="485" spans="1:12" ht="15" customHeight="1" x14ac:dyDescent="0.35">
      <c r="A485" s="7" t="s">
        <v>1</v>
      </c>
      <c r="B485" s="7" t="s">
        <v>419</v>
      </c>
      <c r="C485" s="7" t="s">
        <v>629</v>
      </c>
      <c r="D485" s="7" t="s">
        <v>1015</v>
      </c>
      <c r="E485" s="9" t="s">
        <v>2240</v>
      </c>
      <c r="F485" s="7" t="s">
        <v>1533</v>
      </c>
      <c r="G485" s="7" t="s">
        <v>1745</v>
      </c>
      <c r="H485" s="7" t="s">
        <v>1678</v>
      </c>
      <c r="I485" s="7" t="s">
        <v>1685</v>
      </c>
      <c r="J485" s="7" t="s">
        <v>1688</v>
      </c>
      <c r="K485" s="7" t="s">
        <v>1710</v>
      </c>
      <c r="L485" s="2">
        <v>1</v>
      </c>
    </row>
    <row r="486" spans="1:12" ht="15" customHeight="1" x14ac:dyDescent="0.35">
      <c r="A486" s="7" t="s">
        <v>1</v>
      </c>
      <c r="B486" s="7" t="s">
        <v>420</v>
      </c>
      <c r="C486" s="7" t="s">
        <v>544</v>
      </c>
      <c r="D486" s="7" t="s">
        <v>589</v>
      </c>
      <c r="E486" s="9" t="s">
        <v>2241</v>
      </c>
      <c r="F486" s="7" t="s">
        <v>1534</v>
      </c>
      <c r="G486" s="7" t="s">
        <v>1740</v>
      </c>
      <c r="H486" s="7" t="s">
        <v>1680</v>
      </c>
      <c r="I486" s="7" t="s">
        <v>1685</v>
      </c>
      <c r="J486" s="7" t="s">
        <v>1688</v>
      </c>
      <c r="K486" s="7" t="s">
        <v>1715</v>
      </c>
      <c r="L486" s="2">
        <v>1</v>
      </c>
    </row>
    <row r="487" spans="1:12" ht="15" customHeight="1" x14ac:dyDescent="0.35">
      <c r="A487" s="7" t="s">
        <v>1</v>
      </c>
      <c r="B487" s="7" t="s">
        <v>421</v>
      </c>
      <c r="C487" s="7" t="s">
        <v>795</v>
      </c>
      <c r="D487" s="7" t="s">
        <v>1016</v>
      </c>
      <c r="E487" s="9" t="s">
        <v>2242</v>
      </c>
      <c r="F487" s="7" t="s">
        <v>1535</v>
      </c>
      <c r="G487" s="7" t="s">
        <v>1739</v>
      </c>
      <c r="H487" s="7" t="s">
        <v>1679</v>
      </c>
      <c r="I487" s="7" t="s">
        <v>1685</v>
      </c>
      <c r="J487" s="7" t="s">
        <v>1688</v>
      </c>
      <c r="K487" s="7" t="s">
        <v>1708</v>
      </c>
      <c r="L487" s="2">
        <v>1</v>
      </c>
    </row>
    <row r="488" spans="1:12" ht="15" customHeight="1" x14ac:dyDescent="0.35">
      <c r="A488" s="7" t="s">
        <v>1</v>
      </c>
      <c r="B488" s="7" t="s">
        <v>421</v>
      </c>
      <c r="C488" s="7" t="s">
        <v>796</v>
      </c>
      <c r="D488" s="7" t="s">
        <v>636</v>
      </c>
      <c r="E488" s="9" t="s">
        <v>2243</v>
      </c>
      <c r="F488" s="7" t="s">
        <v>1536</v>
      </c>
      <c r="G488" s="7" t="s">
        <v>1743</v>
      </c>
      <c r="H488" s="7" t="s">
        <v>1679</v>
      </c>
      <c r="I488" s="7" t="s">
        <v>1685</v>
      </c>
      <c r="J488" s="7" t="s">
        <v>1688</v>
      </c>
      <c r="K488" s="7" t="s">
        <v>1702</v>
      </c>
      <c r="L488" s="2">
        <v>1</v>
      </c>
    </row>
    <row r="489" spans="1:12" ht="15" customHeight="1" x14ac:dyDescent="0.35">
      <c r="A489" s="7" t="s">
        <v>1</v>
      </c>
      <c r="B489" s="7" t="s">
        <v>421</v>
      </c>
      <c r="C489" s="7" t="s">
        <v>797</v>
      </c>
      <c r="D489" s="7" t="s">
        <v>689</v>
      </c>
      <c r="E489" s="9" t="s">
        <v>2244</v>
      </c>
      <c r="F489" s="7" t="s">
        <v>1537</v>
      </c>
      <c r="G489" s="7" t="s">
        <v>1743</v>
      </c>
      <c r="H489" s="7" t="s">
        <v>1678</v>
      </c>
      <c r="I489" s="7" t="s">
        <v>1685</v>
      </c>
      <c r="J489" s="7" t="s">
        <v>1688</v>
      </c>
      <c r="K489" s="7" t="s">
        <v>1731</v>
      </c>
      <c r="L489" s="2">
        <v>1</v>
      </c>
    </row>
    <row r="490" spans="1:12" ht="15" customHeight="1" x14ac:dyDescent="0.35">
      <c r="A490" s="7" t="s">
        <v>1</v>
      </c>
      <c r="B490" s="7" t="s">
        <v>421</v>
      </c>
      <c r="C490" s="7" t="s">
        <v>660</v>
      </c>
      <c r="D490" s="7" t="s">
        <v>621</v>
      </c>
      <c r="E490" s="9" t="s">
        <v>2245</v>
      </c>
      <c r="F490" s="7" t="s">
        <v>1538</v>
      </c>
      <c r="G490" s="7" t="s">
        <v>1740</v>
      </c>
      <c r="H490" s="7" t="s">
        <v>1677</v>
      </c>
      <c r="I490" s="7" t="s">
        <v>1685</v>
      </c>
      <c r="J490" s="7" t="s">
        <v>1688</v>
      </c>
      <c r="K490" s="7" t="s">
        <v>1699</v>
      </c>
      <c r="L490" s="2">
        <v>1</v>
      </c>
    </row>
    <row r="491" spans="1:12" ht="15" customHeight="1" x14ac:dyDescent="0.35">
      <c r="A491" s="7" t="s">
        <v>1</v>
      </c>
      <c r="B491" s="7" t="s">
        <v>421</v>
      </c>
      <c r="C491" s="7" t="s">
        <v>774</v>
      </c>
      <c r="D491" s="7" t="s">
        <v>966</v>
      </c>
      <c r="E491" s="9" t="s">
        <v>2246</v>
      </c>
      <c r="F491" s="7" t="s">
        <v>1539</v>
      </c>
      <c r="G491" s="7" t="s">
        <v>1737</v>
      </c>
      <c r="H491" s="7" t="s">
        <v>1678</v>
      </c>
      <c r="I491" s="7" t="s">
        <v>1685</v>
      </c>
      <c r="J491" s="7" t="s">
        <v>1688</v>
      </c>
      <c r="K491" s="7" t="s">
        <v>1696</v>
      </c>
      <c r="L491" s="2">
        <v>1</v>
      </c>
    </row>
    <row r="492" spans="1:12" ht="15" customHeight="1" x14ac:dyDescent="0.35">
      <c r="A492" s="7" t="s">
        <v>1</v>
      </c>
      <c r="B492" s="7" t="s">
        <v>422</v>
      </c>
      <c r="C492" s="7" t="s">
        <v>798</v>
      </c>
      <c r="D492" s="7" t="s">
        <v>1017</v>
      </c>
      <c r="E492" s="9" t="s">
        <v>2247</v>
      </c>
      <c r="F492" s="7" t="s">
        <v>1540</v>
      </c>
      <c r="G492" s="7" t="s">
        <v>1737</v>
      </c>
      <c r="H492" s="7" t="s">
        <v>1678</v>
      </c>
      <c r="I492" s="7" t="s">
        <v>1685</v>
      </c>
      <c r="J492" s="7" t="s">
        <v>1688</v>
      </c>
      <c r="K492" s="7" t="s">
        <v>1696</v>
      </c>
      <c r="L492" s="2">
        <v>1</v>
      </c>
    </row>
    <row r="493" spans="1:12" ht="15" customHeight="1" x14ac:dyDescent="0.35">
      <c r="A493" s="7" t="s">
        <v>1</v>
      </c>
      <c r="B493" s="7" t="s">
        <v>423</v>
      </c>
      <c r="C493" s="7" t="s">
        <v>636</v>
      </c>
      <c r="D493" s="7" t="s">
        <v>854</v>
      </c>
      <c r="E493" s="9" t="s">
        <v>2248</v>
      </c>
      <c r="F493" s="7" t="s">
        <v>1541</v>
      </c>
      <c r="G493" s="7" t="s">
        <v>1742</v>
      </c>
      <c r="H493" s="7" t="s">
        <v>1679</v>
      </c>
      <c r="I493" s="7" t="s">
        <v>1686</v>
      </c>
      <c r="J493" s="7" t="s">
        <v>1688</v>
      </c>
      <c r="K493" s="7" t="s">
        <v>1694</v>
      </c>
      <c r="L493" s="2">
        <v>1</v>
      </c>
    </row>
    <row r="494" spans="1:12" ht="15" customHeight="1" x14ac:dyDescent="0.35">
      <c r="A494" s="7" t="s">
        <v>1</v>
      </c>
      <c r="B494" s="7" t="s">
        <v>424</v>
      </c>
      <c r="C494" s="7" t="s">
        <v>799</v>
      </c>
      <c r="D494" s="7" t="s">
        <v>1018</v>
      </c>
      <c r="E494" s="9" t="s">
        <v>2249</v>
      </c>
      <c r="F494" s="7" t="s">
        <v>1542</v>
      </c>
      <c r="G494" s="7" t="s">
        <v>1743</v>
      </c>
      <c r="H494" s="7" t="s">
        <v>1680</v>
      </c>
      <c r="I494" s="7" t="s">
        <v>1685</v>
      </c>
      <c r="J494" s="7" t="s">
        <v>1688</v>
      </c>
      <c r="K494" s="7" t="s">
        <v>1704</v>
      </c>
      <c r="L494" s="2">
        <v>1</v>
      </c>
    </row>
    <row r="495" spans="1:12" ht="15" customHeight="1" x14ac:dyDescent="0.35">
      <c r="A495" s="7" t="s">
        <v>1</v>
      </c>
      <c r="B495" s="7" t="s">
        <v>425</v>
      </c>
      <c r="C495" s="7" t="s">
        <v>800</v>
      </c>
      <c r="D495" s="7" t="s">
        <v>1019</v>
      </c>
      <c r="E495" s="9" t="s">
        <v>2250</v>
      </c>
      <c r="F495" s="7" t="s">
        <v>1543</v>
      </c>
      <c r="G495" s="7" t="s">
        <v>1742</v>
      </c>
      <c r="H495" s="7" t="s">
        <v>1681</v>
      </c>
      <c r="I495" s="7" t="s">
        <v>1685</v>
      </c>
      <c r="J495" s="7" t="s">
        <v>1688</v>
      </c>
      <c r="K495" s="7" t="s">
        <v>1697</v>
      </c>
      <c r="L495" s="2">
        <v>1</v>
      </c>
    </row>
    <row r="496" spans="1:12" ht="15" customHeight="1" x14ac:dyDescent="0.35">
      <c r="A496" s="7" t="s">
        <v>1</v>
      </c>
      <c r="B496" s="7" t="s">
        <v>426</v>
      </c>
      <c r="C496" s="7" t="s">
        <v>570</v>
      </c>
      <c r="D496" s="7" t="s">
        <v>1020</v>
      </c>
      <c r="E496" s="9" t="s">
        <v>2251</v>
      </c>
      <c r="F496" s="7" t="s">
        <v>1544</v>
      </c>
      <c r="G496" s="7" t="s">
        <v>1744</v>
      </c>
      <c r="H496" s="7" t="s">
        <v>1679</v>
      </c>
      <c r="I496" s="7" t="s">
        <v>1685</v>
      </c>
      <c r="J496" s="7" t="s">
        <v>1688</v>
      </c>
      <c r="K496" s="7" t="s">
        <v>1722</v>
      </c>
      <c r="L496" s="2">
        <v>1</v>
      </c>
    </row>
    <row r="497" spans="1:12" ht="15" customHeight="1" x14ac:dyDescent="0.35">
      <c r="A497" s="7" t="s">
        <v>1</v>
      </c>
      <c r="B497" s="7" t="s">
        <v>427</v>
      </c>
      <c r="C497" s="7" t="s">
        <v>531</v>
      </c>
      <c r="D497" s="7" t="s">
        <v>678</v>
      </c>
      <c r="E497" s="9" t="s">
        <v>2252</v>
      </c>
      <c r="F497" s="7" t="s">
        <v>1545</v>
      </c>
      <c r="G497" s="7" t="s">
        <v>1746</v>
      </c>
      <c r="H497" s="7" t="s">
        <v>1680</v>
      </c>
      <c r="I497" s="7" t="s">
        <v>1685</v>
      </c>
      <c r="J497" s="7" t="s">
        <v>1688</v>
      </c>
      <c r="K497" s="7" t="s">
        <v>1719</v>
      </c>
      <c r="L497" s="2">
        <v>1</v>
      </c>
    </row>
    <row r="498" spans="1:12" ht="15" customHeight="1" x14ac:dyDescent="0.35">
      <c r="A498" s="7" t="s">
        <v>1</v>
      </c>
      <c r="B498" s="7" t="s">
        <v>428</v>
      </c>
      <c r="C498" s="7" t="s">
        <v>801</v>
      </c>
      <c r="D498" s="8"/>
      <c r="E498" s="9" t="s">
        <v>2253</v>
      </c>
      <c r="F498" s="7" t="s">
        <v>1546</v>
      </c>
      <c r="G498" s="7" t="s">
        <v>1742</v>
      </c>
      <c r="H498" s="7" t="s">
        <v>1678</v>
      </c>
      <c r="I498" s="7" t="s">
        <v>1685</v>
      </c>
      <c r="J498" s="7" t="s">
        <v>1688</v>
      </c>
      <c r="K498" s="7" t="s">
        <v>1701</v>
      </c>
      <c r="L498" s="2">
        <v>1</v>
      </c>
    </row>
    <row r="499" spans="1:12" ht="15" customHeight="1" x14ac:dyDescent="0.35">
      <c r="A499" s="7" t="s">
        <v>1</v>
      </c>
      <c r="B499" s="7" t="s">
        <v>429</v>
      </c>
      <c r="C499" s="7" t="s">
        <v>802</v>
      </c>
      <c r="D499" s="7" t="s">
        <v>589</v>
      </c>
      <c r="E499" s="9" t="s">
        <v>2254</v>
      </c>
      <c r="F499" s="7" t="s">
        <v>1547</v>
      </c>
      <c r="G499" s="7" t="s">
        <v>1740</v>
      </c>
      <c r="H499" s="7" t="s">
        <v>1677</v>
      </c>
      <c r="I499" s="7" t="s">
        <v>1686</v>
      </c>
      <c r="J499" s="7" t="s">
        <v>1688</v>
      </c>
      <c r="K499" s="7" t="s">
        <v>1699</v>
      </c>
      <c r="L499" s="2">
        <v>1</v>
      </c>
    </row>
    <row r="500" spans="1:12" ht="15" customHeight="1" x14ac:dyDescent="0.35">
      <c r="A500" s="7" t="s">
        <v>1</v>
      </c>
      <c r="B500" s="7" t="s">
        <v>430</v>
      </c>
      <c r="C500" s="7" t="s">
        <v>803</v>
      </c>
      <c r="D500" s="7" t="s">
        <v>822</v>
      </c>
      <c r="E500" s="9" t="s">
        <v>2255</v>
      </c>
      <c r="F500" s="7" t="s">
        <v>1548</v>
      </c>
      <c r="G500" s="7" t="s">
        <v>1737</v>
      </c>
      <c r="H500" s="7" t="s">
        <v>1678</v>
      </c>
      <c r="I500" s="7" t="s">
        <v>1686</v>
      </c>
      <c r="J500" s="7" t="s">
        <v>1688</v>
      </c>
      <c r="K500" s="7" t="s">
        <v>1696</v>
      </c>
      <c r="L500" s="2">
        <v>1</v>
      </c>
    </row>
    <row r="501" spans="1:12" ht="15" customHeight="1" x14ac:dyDescent="0.35">
      <c r="A501" s="7" t="s">
        <v>1</v>
      </c>
      <c r="B501" s="7" t="s">
        <v>431</v>
      </c>
      <c r="C501" s="7" t="s">
        <v>622</v>
      </c>
      <c r="D501" s="7" t="s">
        <v>539</v>
      </c>
      <c r="E501" s="9" t="s">
        <v>2256</v>
      </c>
      <c r="F501" s="7" t="s">
        <v>1549</v>
      </c>
      <c r="G501" s="7" t="s">
        <v>1737</v>
      </c>
      <c r="H501" s="7" t="s">
        <v>1679</v>
      </c>
      <c r="I501" s="7" t="s">
        <v>1686</v>
      </c>
      <c r="J501" s="7" t="s">
        <v>1688</v>
      </c>
      <c r="K501" s="7" t="s">
        <v>1707</v>
      </c>
      <c r="L501" s="2">
        <v>1</v>
      </c>
    </row>
    <row r="502" spans="1:12" ht="15" customHeight="1" x14ac:dyDescent="0.35">
      <c r="A502" s="7" t="s">
        <v>1</v>
      </c>
      <c r="B502" s="7" t="s">
        <v>432</v>
      </c>
      <c r="C502" s="7" t="s">
        <v>679</v>
      </c>
      <c r="D502" s="7" t="s">
        <v>531</v>
      </c>
      <c r="E502" s="9" t="s">
        <v>2257</v>
      </c>
      <c r="F502" s="7" t="s">
        <v>1550</v>
      </c>
      <c r="G502" s="7" t="s">
        <v>1742</v>
      </c>
      <c r="H502" s="7" t="s">
        <v>1681</v>
      </c>
      <c r="I502" s="7" t="s">
        <v>1686</v>
      </c>
      <c r="J502" s="7" t="s">
        <v>1688</v>
      </c>
      <c r="K502" s="7" t="s">
        <v>1697</v>
      </c>
      <c r="L502" s="2">
        <v>1</v>
      </c>
    </row>
    <row r="503" spans="1:12" ht="15" customHeight="1" x14ac:dyDescent="0.35">
      <c r="A503" s="7" t="s">
        <v>1</v>
      </c>
      <c r="B503" s="7" t="s">
        <v>433</v>
      </c>
      <c r="C503" s="7" t="s">
        <v>629</v>
      </c>
      <c r="D503" s="7" t="s">
        <v>560</v>
      </c>
      <c r="E503" s="9" t="s">
        <v>2258</v>
      </c>
      <c r="F503" s="7" t="s">
        <v>1551</v>
      </c>
      <c r="G503" s="7" t="s">
        <v>1740</v>
      </c>
      <c r="H503" s="7" t="s">
        <v>1678</v>
      </c>
      <c r="I503" s="7" t="s">
        <v>1686</v>
      </c>
      <c r="J503" s="7" t="s">
        <v>1688</v>
      </c>
      <c r="K503" s="7" t="s">
        <v>1692</v>
      </c>
      <c r="L503" s="2">
        <v>1</v>
      </c>
    </row>
    <row r="504" spans="1:12" ht="15" customHeight="1" x14ac:dyDescent="0.35">
      <c r="A504" s="7" t="s">
        <v>1</v>
      </c>
      <c r="B504" s="7" t="s">
        <v>434</v>
      </c>
      <c r="C504" s="7" t="s">
        <v>564</v>
      </c>
      <c r="D504" s="7" t="s">
        <v>543</v>
      </c>
      <c r="E504" s="9" t="s">
        <v>2259</v>
      </c>
      <c r="F504" s="7" t="s">
        <v>1552</v>
      </c>
      <c r="G504" s="7" t="s">
        <v>1742</v>
      </c>
      <c r="H504" s="7" t="s">
        <v>1678</v>
      </c>
      <c r="I504" s="7" t="s">
        <v>1686</v>
      </c>
      <c r="J504" s="7" t="s">
        <v>1688</v>
      </c>
      <c r="K504" s="7" t="s">
        <v>1700</v>
      </c>
      <c r="L504" s="2">
        <v>1</v>
      </c>
    </row>
    <row r="505" spans="1:12" ht="15" customHeight="1" x14ac:dyDescent="0.35">
      <c r="A505" s="7" t="s">
        <v>1</v>
      </c>
      <c r="B505" s="7" t="s">
        <v>435</v>
      </c>
      <c r="C505" s="7" t="s">
        <v>804</v>
      </c>
      <c r="D505" s="7" t="s">
        <v>199</v>
      </c>
      <c r="E505" s="9" t="s">
        <v>2260</v>
      </c>
      <c r="F505" s="7" t="s">
        <v>1553</v>
      </c>
      <c r="G505" s="7" t="s">
        <v>1742</v>
      </c>
      <c r="H505" s="7" t="s">
        <v>1680</v>
      </c>
      <c r="I505" s="7" t="s">
        <v>1686</v>
      </c>
      <c r="J505" s="7" t="s">
        <v>1688</v>
      </c>
      <c r="K505" s="7" t="s">
        <v>1695</v>
      </c>
      <c r="L505" s="2">
        <v>1</v>
      </c>
    </row>
    <row r="506" spans="1:12" ht="15" customHeight="1" x14ac:dyDescent="0.35">
      <c r="A506" s="7" t="s">
        <v>1</v>
      </c>
      <c r="B506" s="7" t="s">
        <v>435</v>
      </c>
      <c r="C506" s="7" t="s">
        <v>805</v>
      </c>
      <c r="D506" s="7" t="s">
        <v>728</v>
      </c>
      <c r="E506" s="9" t="s">
        <v>2261</v>
      </c>
      <c r="F506" s="7" t="s">
        <v>1554</v>
      </c>
      <c r="G506" s="7" t="s">
        <v>1742</v>
      </c>
      <c r="H506" s="7" t="s">
        <v>1680</v>
      </c>
      <c r="I506" s="7" t="s">
        <v>1686</v>
      </c>
      <c r="J506" s="7" t="s">
        <v>1688</v>
      </c>
      <c r="K506" s="7" t="s">
        <v>1695</v>
      </c>
      <c r="L506" s="2">
        <v>1</v>
      </c>
    </row>
    <row r="507" spans="1:12" ht="15" customHeight="1" x14ac:dyDescent="0.35">
      <c r="A507" s="7" t="s">
        <v>1</v>
      </c>
      <c r="B507" s="7" t="s">
        <v>436</v>
      </c>
      <c r="C507" s="7" t="s">
        <v>561</v>
      </c>
      <c r="D507" s="7" t="s">
        <v>762</v>
      </c>
      <c r="E507" s="9" t="s">
        <v>2262</v>
      </c>
      <c r="F507" s="7" t="s">
        <v>1555</v>
      </c>
      <c r="G507" s="7" t="s">
        <v>1745</v>
      </c>
      <c r="H507" s="7" t="s">
        <v>1680</v>
      </c>
      <c r="I507" s="7" t="s">
        <v>1686</v>
      </c>
      <c r="J507" s="7" t="s">
        <v>1688</v>
      </c>
      <c r="K507" s="7" t="s">
        <v>1718</v>
      </c>
      <c r="L507" s="2">
        <v>1</v>
      </c>
    </row>
    <row r="508" spans="1:12" ht="15" customHeight="1" x14ac:dyDescent="0.35">
      <c r="A508" s="7" t="s">
        <v>1</v>
      </c>
      <c r="B508" s="7" t="s">
        <v>437</v>
      </c>
      <c r="C508" s="7" t="s">
        <v>806</v>
      </c>
      <c r="D508" s="7" t="s">
        <v>736</v>
      </c>
      <c r="E508" s="9" t="s">
        <v>2263</v>
      </c>
      <c r="F508" s="7" t="s">
        <v>1556</v>
      </c>
      <c r="G508" s="7" t="s">
        <v>1744</v>
      </c>
      <c r="H508" s="7" t="s">
        <v>1679</v>
      </c>
      <c r="I508" s="7" t="s">
        <v>1686</v>
      </c>
      <c r="J508" s="7" t="s">
        <v>1688</v>
      </c>
      <c r="K508" s="7" t="s">
        <v>1722</v>
      </c>
      <c r="L508" s="2">
        <v>1</v>
      </c>
    </row>
    <row r="509" spans="1:12" ht="15" customHeight="1" x14ac:dyDescent="0.35">
      <c r="A509" s="7" t="s">
        <v>1</v>
      </c>
      <c r="B509" s="7" t="s">
        <v>438</v>
      </c>
      <c r="C509" s="7" t="s">
        <v>807</v>
      </c>
      <c r="D509" s="7" t="s">
        <v>539</v>
      </c>
      <c r="E509" s="9" t="s">
        <v>2264</v>
      </c>
      <c r="F509" s="7" t="s">
        <v>1557</v>
      </c>
      <c r="G509" s="7" t="s">
        <v>1744</v>
      </c>
      <c r="H509" s="7" t="s">
        <v>1678</v>
      </c>
      <c r="I509" s="7" t="s">
        <v>1686</v>
      </c>
      <c r="J509" s="7" t="s">
        <v>1688</v>
      </c>
      <c r="K509" s="7" t="s">
        <v>1711</v>
      </c>
      <c r="L509" s="2">
        <v>1</v>
      </c>
    </row>
    <row r="510" spans="1:12" ht="15" customHeight="1" x14ac:dyDescent="0.35">
      <c r="A510" s="7" t="s">
        <v>1</v>
      </c>
      <c r="B510" s="7" t="s">
        <v>439</v>
      </c>
      <c r="C510" s="7" t="s">
        <v>543</v>
      </c>
      <c r="D510" s="7" t="s">
        <v>622</v>
      </c>
      <c r="E510" s="9" t="s">
        <v>2265</v>
      </c>
      <c r="F510" s="7" t="s">
        <v>1558</v>
      </c>
      <c r="G510" s="7" t="s">
        <v>1744</v>
      </c>
      <c r="H510" s="7" t="s">
        <v>1678</v>
      </c>
      <c r="I510" s="7" t="s">
        <v>1686</v>
      </c>
      <c r="J510" s="7" t="s">
        <v>1688</v>
      </c>
      <c r="K510" s="7" t="s">
        <v>1711</v>
      </c>
      <c r="L510" s="2">
        <v>1</v>
      </c>
    </row>
    <row r="511" spans="1:12" ht="15" customHeight="1" x14ac:dyDescent="0.35">
      <c r="A511" s="7" t="s">
        <v>1</v>
      </c>
      <c r="B511" s="7" t="s">
        <v>440</v>
      </c>
      <c r="C511" s="7" t="s">
        <v>808</v>
      </c>
      <c r="D511" s="7" t="s">
        <v>1021</v>
      </c>
      <c r="E511" s="9" t="s">
        <v>2266</v>
      </c>
      <c r="F511" s="7" t="s">
        <v>1559</v>
      </c>
      <c r="G511" s="7" t="s">
        <v>1742</v>
      </c>
      <c r="H511" s="7" t="s">
        <v>1679</v>
      </c>
      <c r="I511" s="7" t="s">
        <v>1686</v>
      </c>
      <c r="J511" s="7" t="s">
        <v>1688</v>
      </c>
      <c r="K511" s="7" t="s">
        <v>1694</v>
      </c>
      <c r="L511" s="2">
        <v>1</v>
      </c>
    </row>
    <row r="512" spans="1:12" ht="15" customHeight="1" x14ac:dyDescent="0.35">
      <c r="A512" s="7" t="s">
        <v>1</v>
      </c>
      <c r="B512" s="7" t="s">
        <v>441</v>
      </c>
      <c r="C512" s="7" t="s">
        <v>531</v>
      </c>
      <c r="D512" s="7" t="s">
        <v>711</v>
      </c>
      <c r="E512" s="9" t="s">
        <v>2267</v>
      </c>
      <c r="F512" s="7" t="s">
        <v>1560</v>
      </c>
      <c r="G512" s="7" t="s">
        <v>1737</v>
      </c>
      <c r="H512" s="7" t="s">
        <v>1677</v>
      </c>
      <c r="I512" s="7" t="s">
        <v>1686</v>
      </c>
      <c r="J512" s="7" t="s">
        <v>1689</v>
      </c>
      <c r="K512" s="7" t="s">
        <v>1698</v>
      </c>
      <c r="L512" s="2">
        <v>1</v>
      </c>
    </row>
    <row r="513" spans="1:12" ht="15" customHeight="1" x14ac:dyDescent="0.35">
      <c r="A513" s="7" t="s">
        <v>1</v>
      </c>
      <c r="B513" s="7" t="s">
        <v>442</v>
      </c>
      <c r="C513" s="7" t="s">
        <v>809</v>
      </c>
      <c r="D513" s="7" t="s">
        <v>914</v>
      </c>
      <c r="E513" s="9" t="s">
        <v>2268</v>
      </c>
      <c r="F513" s="7" t="s">
        <v>1561</v>
      </c>
      <c r="G513" s="7" t="s">
        <v>1737</v>
      </c>
      <c r="H513" s="7" t="s">
        <v>1678</v>
      </c>
      <c r="I513" s="7" t="s">
        <v>1686</v>
      </c>
      <c r="J513" s="7" t="s">
        <v>1688</v>
      </c>
      <c r="K513" s="7" t="s">
        <v>1721</v>
      </c>
      <c r="L513" s="2">
        <v>1</v>
      </c>
    </row>
    <row r="514" spans="1:12" ht="15" customHeight="1" x14ac:dyDescent="0.35">
      <c r="A514" s="7" t="s">
        <v>1</v>
      </c>
      <c r="B514" s="7" t="s">
        <v>443</v>
      </c>
      <c r="C514" s="7" t="s">
        <v>639</v>
      </c>
      <c r="D514" s="7" t="s">
        <v>792</v>
      </c>
      <c r="E514" s="9" t="s">
        <v>2269</v>
      </c>
      <c r="F514" s="7" t="s">
        <v>1562</v>
      </c>
      <c r="G514" s="7" t="s">
        <v>1737</v>
      </c>
      <c r="H514" s="7" t="s">
        <v>1679</v>
      </c>
      <c r="I514" s="7" t="s">
        <v>1686</v>
      </c>
      <c r="J514" s="7" t="s">
        <v>1688</v>
      </c>
      <c r="K514" s="7" t="s">
        <v>1707</v>
      </c>
      <c r="L514" s="2">
        <v>1</v>
      </c>
    </row>
    <row r="515" spans="1:12" ht="15" customHeight="1" x14ac:dyDescent="0.35">
      <c r="A515" s="7" t="s">
        <v>1</v>
      </c>
      <c r="B515" s="7" t="s">
        <v>444</v>
      </c>
      <c r="C515" s="7" t="s">
        <v>549</v>
      </c>
      <c r="D515" s="7" t="s">
        <v>742</v>
      </c>
      <c r="E515" s="9" t="s">
        <v>2270</v>
      </c>
      <c r="F515" s="7" t="s">
        <v>1563</v>
      </c>
      <c r="G515" s="7" t="s">
        <v>1737</v>
      </c>
      <c r="H515" s="7" t="s">
        <v>1678</v>
      </c>
      <c r="I515" s="7" t="s">
        <v>1686</v>
      </c>
      <c r="J515" s="7" t="s">
        <v>1688</v>
      </c>
      <c r="K515" s="7" t="s">
        <v>1696</v>
      </c>
      <c r="L515" s="2">
        <v>1</v>
      </c>
    </row>
    <row r="516" spans="1:12" ht="15" customHeight="1" x14ac:dyDescent="0.35">
      <c r="A516" s="7" t="s">
        <v>1</v>
      </c>
      <c r="B516" s="7" t="s">
        <v>445</v>
      </c>
      <c r="C516" s="7" t="s">
        <v>810</v>
      </c>
      <c r="D516" s="7" t="s">
        <v>698</v>
      </c>
      <c r="E516" s="9" t="s">
        <v>2271</v>
      </c>
      <c r="F516" s="7" t="s">
        <v>1564</v>
      </c>
      <c r="G516" s="7" t="s">
        <v>1739</v>
      </c>
      <c r="H516" s="7" t="s">
        <v>1678</v>
      </c>
      <c r="I516" s="7" t="s">
        <v>1686</v>
      </c>
      <c r="J516" s="7" t="s">
        <v>1688</v>
      </c>
      <c r="K516" s="7" t="s">
        <v>1726</v>
      </c>
      <c r="L516" s="2">
        <v>1</v>
      </c>
    </row>
    <row r="517" spans="1:12" ht="15" customHeight="1" x14ac:dyDescent="0.35">
      <c r="A517" s="7" t="s">
        <v>1</v>
      </c>
      <c r="B517" s="7" t="s">
        <v>446</v>
      </c>
      <c r="C517" s="7" t="s">
        <v>811</v>
      </c>
      <c r="D517" s="7" t="s">
        <v>531</v>
      </c>
      <c r="E517" s="9" t="s">
        <v>2272</v>
      </c>
      <c r="F517" s="7" t="s">
        <v>1565</v>
      </c>
      <c r="G517" s="7" t="s">
        <v>1742</v>
      </c>
      <c r="H517" s="7" t="s">
        <v>1680</v>
      </c>
      <c r="I517" s="7" t="s">
        <v>1686</v>
      </c>
      <c r="J517" s="7" t="s">
        <v>1688</v>
      </c>
      <c r="K517" s="7" t="s">
        <v>1695</v>
      </c>
      <c r="L517" s="2">
        <v>1</v>
      </c>
    </row>
    <row r="518" spans="1:12" ht="15" customHeight="1" x14ac:dyDescent="0.35">
      <c r="A518" s="7" t="s">
        <v>1</v>
      </c>
      <c r="B518" s="7" t="s">
        <v>447</v>
      </c>
      <c r="C518" s="7" t="s">
        <v>812</v>
      </c>
      <c r="D518" s="7" t="s">
        <v>1022</v>
      </c>
      <c r="E518" s="9" t="s">
        <v>2273</v>
      </c>
      <c r="F518" s="7" t="s">
        <v>1566</v>
      </c>
      <c r="G518" s="7" t="s">
        <v>1742</v>
      </c>
      <c r="H518" s="7" t="s">
        <v>1681</v>
      </c>
      <c r="I518" s="7" t="s">
        <v>1686</v>
      </c>
      <c r="J518" s="7" t="s">
        <v>1688</v>
      </c>
      <c r="K518" s="7" t="s">
        <v>1697</v>
      </c>
      <c r="L518" s="2">
        <v>1</v>
      </c>
    </row>
    <row r="519" spans="1:12" ht="15" customHeight="1" x14ac:dyDescent="0.35">
      <c r="A519" s="7" t="s">
        <v>1</v>
      </c>
      <c r="B519" s="7" t="s">
        <v>448</v>
      </c>
      <c r="C519" s="7" t="s">
        <v>577</v>
      </c>
      <c r="D519" s="7" t="s">
        <v>1023</v>
      </c>
      <c r="E519" s="9" t="s">
        <v>2274</v>
      </c>
      <c r="F519" s="7" t="s">
        <v>1567</v>
      </c>
      <c r="G519" s="7" t="s">
        <v>1743</v>
      </c>
      <c r="H519" s="7" t="s">
        <v>1680</v>
      </c>
      <c r="I519" s="7" t="s">
        <v>1686</v>
      </c>
      <c r="J519" s="7" t="s">
        <v>1688</v>
      </c>
      <c r="K519" s="7" t="s">
        <v>1704</v>
      </c>
      <c r="L519" s="2">
        <v>1</v>
      </c>
    </row>
    <row r="520" spans="1:12" ht="15" customHeight="1" x14ac:dyDescent="0.35">
      <c r="A520" s="7" t="s">
        <v>1</v>
      </c>
      <c r="B520" s="7" t="s">
        <v>449</v>
      </c>
      <c r="C520" s="7" t="s">
        <v>678</v>
      </c>
      <c r="D520" s="7" t="s">
        <v>1024</v>
      </c>
      <c r="E520" s="9" t="s">
        <v>2275</v>
      </c>
      <c r="F520" s="7" t="s">
        <v>1568</v>
      </c>
      <c r="G520" s="7" t="s">
        <v>1742</v>
      </c>
      <c r="H520" s="7" t="s">
        <v>1677</v>
      </c>
      <c r="I520" s="7" t="s">
        <v>1686</v>
      </c>
      <c r="J520" s="7" t="s">
        <v>1688</v>
      </c>
      <c r="K520" s="7" t="s">
        <v>1712</v>
      </c>
      <c r="L520" s="2">
        <v>1</v>
      </c>
    </row>
    <row r="521" spans="1:12" ht="15" customHeight="1" x14ac:dyDescent="0.35">
      <c r="A521" s="7" t="s">
        <v>1</v>
      </c>
      <c r="B521" s="7" t="s">
        <v>450</v>
      </c>
      <c r="C521" s="7" t="s">
        <v>654</v>
      </c>
      <c r="D521" s="7" t="s">
        <v>679</v>
      </c>
      <c r="E521" s="9" t="s">
        <v>2276</v>
      </c>
      <c r="F521" s="7" t="s">
        <v>1569</v>
      </c>
      <c r="G521" s="7" t="s">
        <v>1745</v>
      </c>
      <c r="H521" s="7" t="s">
        <v>1677</v>
      </c>
      <c r="I521" s="7" t="s">
        <v>1686</v>
      </c>
      <c r="J521" s="7" t="s">
        <v>1688</v>
      </c>
      <c r="K521" s="7" t="s">
        <v>1709</v>
      </c>
      <c r="L521" s="2">
        <v>1</v>
      </c>
    </row>
    <row r="522" spans="1:12" ht="15" customHeight="1" x14ac:dyDescent="0.35">
      <c r="A522" s="7" t="s">
        <v>1</v>
      </c>
      <c r="B522" s="7" t="s">
        <v>451</v>
      </c>
      <c r="C522" s="7" t="s">
        <v>813</v>
      </c>
      <c r="D522" s="7" t="s">
        <v>570</v>
      </c>
      <c r="E522" s="9" t="s">
        <v>2277</v>
      </c>
      <c r="F522" s="7" t="s">
        <v>1570</v>
      </c>
      <c r="G522" s="7" t="s">
        <v>1742</v>
      </c>
      <c r="H522" s="7" t="s">
        <v>1680</v>
      </c>
      <c r="I522" s="7" t="s">
        <v>1686</v>
      </c>
      <c r="J522" s="7" t="s">
        <v>1688</v>
      </c>
      <c r="K522" s="7" t="s">
        <v>1695</v>
      </c>
      <c r="L522" s="2">
        <v>1</v>
      </c>
    </row>
    <row r="523" spans="1:12" ht="15" customHeight="1" x14ac:dyDescent="0.35">
      <c r="A523" s="7" t="s">
        <v>1</v>
      </c>
      <c r="B523" s="7" t="s">
        <v>452</v>
      </c>
      <c r="C523" s="7" t="s">
        <v>651</v>
      </c>
      <c r="D523" s="7" t="s">
        <v>560</v>
      </c>
      <c r="E523" s="9" t="s">
        <v>2278</v>
      </c>
      <c r="F523" s="7" t="s">
        <v>1571</v>
      </c>
      <c r="G523" s="7" t="s">
        <v>1740</v>
      </c>
      <c r="H523" s="7" t="s">
        <v>1677</v>
      </c>
      <c r="I523" s="7" t="s">
        <v>1686</v>
      </c>
      <c r="J523" s="7" t="s">
        <v>1688</v>
      </c>
      <c r="K523" s="7" t="s">
        <v>1699</v>
      </c>
      <c r="L523" s="2">
        <v>1</v>
      </c>
    </row>
    <row r="524" spans="1:12" ht="15" customHeight="1" x14ac:dyDescent="0.35">
      <c r="A524" s="7" t="s">
        <v>1</v>
      </c>
      <c r="B524" s="7" t="s">
        <v>453</v>
      </c>
      <c r="C524" s="7" t="s">
        <v>627</v>
      </c>
      <c r="D524" s="7" t="s">
        <v>766</v>
      </c>
      <c r="E524" s="9" t="s">
        <v>2279</v>
      </c>
      <c r="F524" s="7" t="s">
        <v>1572</v>
      </c>
      <c r="G524" s="7" t="s">
        <v>1737</v>
      </c>
      <c r="H524" s="7" t="s">
        <v>1679</v>
      </c>
      <c r="I524" s="7" t="s">
        <v>1686</v>
      </c>
      <c r="J524" s="7" t="s">
        <v>1688</v>
      </c>
      <c r="K524" s="7" t="s">
        <v>1707</v>
      </c>
      <c r="L524" s="2">
        <v>1</v>
      </c>
    </row>
    <row r="525" spans="1:12" ht="15" customHeight="1" x14ac:dyDescent="0.35">
      <c r="A525" s="7" t="s">
        <v>1</v>
      </c>
      <c r="B525" s="7" t="s">
        <v>454</v>
      </c>
      <c r="C525" s="7" t="s">
        <v>814</v>
      </c>
      <c r="D525" s="7" t="s">
        <v>811</v>
      </c>
      <c r="E525" s="9" t="s">
        <v>2280</v>
      </c>
      <c r="F525" s="7" t="s">
        <v>1573</v>
      </c>
      <c r="G525" s="7" t="s">
        <v>1740</v>
      </c>
      <c r="H525" s="7" t="s">
        <v>1680</v>
      </c>
      <c r="I525" s="7" t="s">
        <v>1685</v>
      </c>
      <c r="J525" s="7" t="s">
        <v>1688</v>
      </c>
      <c r="K525" s="7" t="s">
        <v>1715</v>
      </c>
      <c r="L525" s="2">
        <v>1</v>
      </c>
    </row>
    <row r="526" spans="1:12" ht="15" customHeight="1" x14ac:dyDescent="0.35">
      <c r="A526" s="7" t="s">
        <v>1</v>
      </c>
      <c r="B526" s="7" t="s">
        <v>455</v>
      </c>
      <c r="C526" s="7" t="s">
        <v>815</v>
      </c>
      <c r="D526" s="7" t="s">
        <v>621</v>
      </c>
      <c r="E526" s="9" t="s">
        <v>2281</v>
      </c>
      <c r="F526" s="7" t="s">
        <v>1574</v>
      </c>
      <c r="G526" s="7" t="s">
        <v>1739</v>
      </c>
      <c r="H526" s="7" t="s">
        <v>1680</v>
      </c>
      <c r="I526" s="7" t="s">
        <v>1685</v>
      </c>
      <c r="J526" s="7" t="s">
        <v>1688</v>
      </c>
      <c r="K526" s="7" t="s">
        <v>1716</v>
      </c>
      <c r="L526" s="2">
        <v>1</v>
      </c>
    </row>
    <row r="527" spans="1:12" ht="15" customHeight="1" x14ac:dyDescent="0.35">
      <c r="A527" s="7" t="s">
        <v>1</v>
      </c>
      <c r="B527" s="7" t="s">
        <v>456</v>
      </c>
      <c r="C527" s="7" t="s">
        <v>627</v>
      </c>
      <c r="D527" s="7" t="s">
        <v>1025</v>
      </c>
      <c r="E527" s="9" t="s">
        <v>2282</v>
      </c>
      <c r="F527" s="7" t="s">
        <v>1575</v>
      </c>
      <c r="G527" s="7" t="s">
        <v>1739</v>
      </c>
      <c r="H527" s="7" t="s">
        <v>1678</v>
      </c>
      <c r="I527" s="7" t="s">
        <v>1685</v>
      </c>
      <c r="J527" s="7" t="s">
        <v>1688</v>
      </c>
      <c r="K527" s="7" t="s">
        <v>1726</v>
      </c>
      <c r="L527" s="2">
        <v>1</v>
      </c>
    </row>
    <row r="528" spans="1:12" ht="15" customHeight="1" x14ac:dyDescent="0.35">
      <c r="A528" s="7" t="s">
        <v>1</v>
      </c>
      <c r="B528" s="7" t="s">
        <v>456</v>
      </c>
      <c r="C528" s="7" t="s">
        <v>591</v>
      </c>
      <c r="D528" s="7" t="s">
        <v>982</v>
      </c>
      <c r="E528" s="9" t="s">
        <v>2283</v>
      </c>
      <c r="F528" s="7" t="s">
        <v>1576</v>
      </c>
      <c r="G528" s="7" t="s">
        <v>1743</v>
      </c>
      <c r="H528" s="7" t="s">
        <v>1680</v>
      </c>
      <c r="I528" s="7" t="s">
        <v>1685</v>
      </c>
      <c r="J528" s="7" t="s">
        <v>1688</v>
      </c>
      <c r="K528" s="7" t="s">
        <v>1704</v>
      </c>
      <c r="L528" s="2">
        <v>1</v>
      </c>
    </row>
    <row r="529" spans="1:12" ht="15" customHeight="1" x14ac:dyDescent="0.35">
      <c r="A529" s="7" t="s">
        <v>1</v>
      </c>
      <c r="B529" s="7" t="s">
        <v>457</v>
      </c>
      <c r="C529" s="7" t="s">
        <v>816</v>
      </c>
      <c r="D529" s="7" t="s">
        <v>554</v>
      </c>
      <c r="E529" s="9" t="s">
        <v>2284</v>
      </c>
      <c r="F529" s="7" t="s">
        <v>1577</v>
      </c>
      <c r="G529" s="7" t="s">
        <v>1740</v>
      </c>
      <c r="H529" s="7" t="s">
        <v>1680</v>
      </c>
      <c r="I529" s="7" t="s">
        <v>1685</v>
      </c>
      <c r="J529" s="7" t="s">
        <v>1688</v>
      </c>
      <c r="K529" s="7" t="s">
        <v>1715</v>
      </c>
      <c r="L529" s="2">
        <v>1</v>
      </c>
    </row>
    <row r="530" spans="1:12" ht="15" customHeight="1" x14ac:dyDescent="0.35">
      <c r="A530" s="7" t="s">
        <v>1</v>
      </c>
      <c r="B530" s="7" t="s">
        <v>458</v>
      </c>
      <c r="C530" s="7" t="s">
        <v>548</v>
      </c>
      <c r="D530" s="7" t="s">
        <v>600</v>
      </c>
      <c r="E530" s="9" t="s">
        <v>2285</v>
      </c>
      <c r="F530" s="7" t="s">
        <v>1578</v>
      </c>
      <c r="G530" s="7" t="s">
        <v>1749</v>
      </c>
      <c r="H530" s="7" t="s">
        <v>1679</v>
      </c>
      <c r="I530" s="7" t="s">
        <v>1685</v>
      </c>
      <c r="J530" s="7" t="s">
        <v>1688</v>
      </c>
      <c r="K530" s="7" t="s">
        <v>1728</v>
      </c>
      <c r="L530" s="2">
        <v>1</v>
      </c>
    </row>
    <row r="531" spans="1:12" ht="15" customHeight="1" x14ac:dyDescent="0.35">
      <c r="A531" s="7" t="s">
        <v>1</v>
      </c>
      <c r="B531" s="7" t="s">
        <v>459</v>
      </c>
      <c r="C531" s="7" t="s">
        <v>817</v>
      </c>
      <c r="D531" s="7" t="s">
        <v>811</v>
      </c>
      <c r="E531" s="9" t="s">
        <v>2286</v>
      </c>
      <c r="F531" s="7" t="s">
        <v>1579</v>
      </c>
      <c r="G531" s="7" t="s">
        <v>1742</v>
      </c>
      <c r="H531" s="7" t="s">
        <v>1681</v>
      </c>
      <c r="I531" s="7" t="s">
        <v>1685</v>
      </c>
      <c r="J531" s="7" t="s">
        <v>1688</v>
      </c>
      <c r="K531" s="7" t="s">
        <v>1697</v>
      </c>
      <c r="L531" s="2">
        <v>1</v>
      </c>
    </row>
    <row r="532" spans="1:12" ht="15" customHeight="1" x14ac:dyDescent="0.35">
      <c r="A532" s="7" t="s">
        <v>1</v>
      </c>
      <c r="B532" s="7" t="s">
        <v>460</v>
      </c>
      <c r="C532" s="7" t="s">
        <v>818</v>
      </c>
      <c r="D532" s="7" t="s">
        <v>597</v>
      </c>
      <c r="E532" s="9" t="s">
        <v>2287</v>
      </c>
      <c r="F532" s="7" t="s">
        <v>1580</v>
      </c>
      <c r="G532" s="7" t="s">
        <v>1745</v>
      </c>
      <c r="H532" s="7" t="s">
        <v>1679</v>
      </c>
      <c r="I532" s="7" t="s">
        <v>1685</v>
      </c>
      <c r="J532" s="7" t="s">
        <v>1688</v>
      </c>
      <c r="K532" s="7" t="s">
        <v>1717</v>
      </c>
      <c r="L532" s="2">
        <v>1</v>
      </c>
    </row>
    <row r="533" spans="1:12" ht="15" customHeight="1" x14ac:dyDescent="0.35">
      <c r="A533" s="7" t="s">
        <v>1</v>
      </c>
      <c r="B533" s="7" t="s">
        <v>461</v>
      </c>
      <c r="C533" s="7" t="s">
        <v>636</v>
      </c>
      <c r="D533" s="7" t="s">
        <v>570</v>
      </c>
      <c r="E533" s="9" t="s">
        <v>2288</v>
      </c>
      <c r="F533" s="7" t="s">
        <v>1581</v>
      </c>
      <c r="G533" s="7" t="s">
        <v>1740</v>
      </c>
      <c r="H533" s="7" t="s">
        <v>1680</v>
      </c>
      <c r="I533" s="7" t="s">
        <v>1686</v>
      </c>
      <c r="J533" s="7" t="s">
        <v>1688</v>
      </c>
      <c r="K533" s="7" t="s">
        <v>1714</v>
      </c>
      <c r="L533" s="2">
        <v>1</v>
      </c>
    </row>
    <row r="534" spans="1:12" ht="15" customHeight="1" x14ac:dyDescent="0.35">
      <c r="A534" s="7" t="s">
        <v>1</v>
      </c>
      <c r="B534" s="7" t="s">
        <v>462</v>
      </c>
      <c r="C534" s="7" t="s">
        <v>819</v>
      </c>
      <c r="D534" s="7" t="s">
        <v>660</v>
      </c>
      <c r="E534" s="9" t="s">
        <v>2289</v>
      </c>
      <c r="F534" s="7" t="s">
        <v>1582</v>
      </c>
      <c r="G534" s="7" t="s">
        <v>1742</v>
      </c>
      <c r="H534" s="7" t="s">
        <v>1677</v>
      </c>
      <c r="I534" s="7" t="s">
        <v>1686</v>
      </c>
      <c r="J534" s="7" t="s">
        <v>1688</v>
      </c>
      <c r="K534" s="7" t="s">
        <v>1712</v>
      </c>
      <c r="L534" s="2">
        <v>1</v>
      </c>
    </row>
    <row r="535" spans="1:12" ht="15" customHeight="1" x14ac:dyDescent="0.35">
      <c r="A535" s="7" t="s">
        <v>1</v>
      </c>
      <c r="B535" s="7" t="s">
        <v>463</v>
      </c>
      <c r="C535" s="7" t="s">
        <v>820</v>
      </c>
      <c r="D535" s="7" t="s">
        <v>544</v>
      </c>
      <c r="E535" s="9" t="s">
        <v>2290</v>
      </c>
      <c r="F535" s="7" t="s">
        <v>1583</v>
      </c>
      <c r="G535" s="7" t="s">
        <v>1743</v>
      </c>
      <c r="H535" s="7" t="s">
        <v>1677</v>
      </c>
      <c r="I535" s="7" t="s">
        <v>1686</v>
      </c>
      <c r="J535" s="7" t="s">
        <v>1688</v>
      </c>
      <c r="K535" s="7" t="s">
        <v>1720</v>
      </c>
      <c r="L535" s="2">
        <v>1</v>
      </c>
    </row>
    <row r="536" spans="1:12" ht="15" customHeight="1" x14ac:dyDescent="0.35">
      <c r="A536" s="7" t="s">
        <v>1</v>
      </c>
      <c r="B536" s="7" t="s">
        <v>464</v>
      </c>
      <c r="C536" s="7" t="s">
        <v>821</v>
      </c>
      <c r="D536" s="7" t="s">
        <v>1026</v>
      </c>
      <c r="E536" s="9" t="s">
        <v>2291</v>
      </c>
      <c r="F536" s="7" t="s">
        <v>1584</v>
      </c>
      <c r="G536" s="7" t="s">
        <v>1740</v>
      </c>
      <c r="H536" s="7" t="s">
        <v>1677</v>
      </c>
      <c r="I536" s="7" t="s">
        <v>1685</v>
      </c>
      <c r="J536" s="7" t="s">
        <v>1688</v>
      </c>
      <c r="K536" s="7" t="s">
        <v>1699</v>
      </c>
      <c r="L536" s="2">
        <v>1</v>
      </c>
    </row>
    <row r="537" spans="1:12" ht="15" customHeight="1" x14ac:dyDescent="0.35">
      <c r="A537" s="7" t="s">
        <v>1</v>
      </c>
      <c r="B537" s="7" t="s">
        <v>465</v>
      </c>
      <c r="C537" s="7" t="s">
        <v>822</v>
      </c>
      <c r="D537" s="8"/>
      <c r="E537" s="9" t="s">
        <v>2292</v>
      </c>
      <c r="F537" s="7" t="s">
        <v>1585</v>
      </c>
      <c r="G537" s="7" t="s">
        <v>1737</v>
      </c>
      <c r="H537" s="7" t="s">
        <v>1678</v>
      </c>
      <c r="I537" s="7" t="s">
        <v>1686</v>
      </c>
      <c r="J537" s="7" t="s">
        <v>1688</v>
      </c>
      <c r="K537" s="7" t="s">
        <v>1696</v>
      </c>
      <c r="L537" s="2">
        <v>1</v>
      </c>
    </row>
    <row r="538" spans="1:12" ht="15" customHeight="1" x14ac:dyDescent="0.35">
      <c r="A538" s="7" t="s">
        <v>1</v>
      </c>
      <c r="B538" s="7" t="s">
        <v>466</v>
      </c>
      <c r="C538" s="7" t="s">
        <v>621</v>
      </c>
      <c r="D538" s="7" t="s">
        <v>549</v>
      </c>
      <c r="E538" s="9" t="s">
        <v>2293</v>
      </c>
      <c r="F538" s="7" t="s">
        <v>1586</v>
      </c>
      <c r="G538" s="7" t="s">
        <v>1745</v>
      </c>
      <c r="H538" s="7" t="s">
        <v>1677</v>
      </c>
      <c r="I538" s="7" t="s">
        <v>1685</v>
      </c>
      <c r="J538" s="7" t="s">
        <v>1688</v>
      </c>
      <c r="K538" s="7" t="s">
        <v>1709</v>
      </c>
      <c r="L538" s="2">
        <v>1</v>
      </c>
    </row>
    <row r="539" spans="1:12" ht="15" customHeight="1" x14ac:dyDescent="0.35">
      <c r="A539" s="7" t="s">
        <v>1</v>
      </c>
      <c r="B539" s="7" t="s">
        <v>466</v>
      </c>
      <c r="C539" s="7" t="s">
        <v>823</v>
      </c>
      <c r="D539" s="7" t="s">
        <v>548</v>
      </c>
      <c r="E539" s="9" t="s">
        <v>2294</v>
      </c>
      <c r="F539" s="7" t="s">
        <v>1587</v>
      </c>
      <c r="G539" s="7" t="s">
        <v>1740</v>
      </c>
      <c r="H539" s="7" t="s">
        <v>1678</v>
      </c>
      <c r="I539" s="7" t="s">
        <v>1685</v>
      </c>
      <c r="J539" s="7" t="s">
        <v>1688</v>
      </c>
      <c r="K539" s="7" t="s">
        <v>1692</v>
      </c>
      <c r="L539" s="2">
        <v>1</v>
      </c>
    </row>
    <row r="540" spans="1:12" ht="15" customHeight="1" x14ac:dyDescent="0.35">
      <c r="A540" s="7" t="s">
        <v>1</v>
      </c>
      <c r="B540" s="7" t="s">
        <v>467</v>
      </c>
      <c r="C540" s="7" t="s">
        <v>616</v>
      </c>
      <c r="D540" s="7" t="s">
        <v>751</v>
      </c>
      <c r="E540" s="9" t="s">
        <v>2295</v>
      </c>
      <c r="F540" s="7" t="s">
        <v>1588</v>
      </c>
      <c r="G540" s="7" t="s">
        <v>1745</v>
      </c>
      <c r="H540" s="7" t="s">
        <v>1679</v>
      </c>
      <c r="I540" s="7" t="s">
        <v>1685</v>
      </c>
      <c r="J540" s="7" t="s">
        <v>1688</v>
      </c>
      <c r="K540" s="7" t="s">
        <v>1717</v>
      </c>
      <c r="L540" s="2">
        <v>1</v>
      </c>
    </row>
    <row r="541" spans="1:12" ht="15" customHeight="1" x14ac:dyDescent="0.35">
      <c r="A541" s="7" t="s">
        <v>1</v>
      </c>
      <c r="B541" s="7" t="s">
        <v>468</v>
      </c>
      <c r="C541" s="7" t="s">
        <v>824</v>
      </c>
      <c r="D541" s="7" t="s">
        <v>1027</v>
      </c>
      <c r="E541" s="9" t="s">
        <v>2296</v>
      </c>
      <c r="F541" s="7" t="s">
        <v>1589</v>
      </c>
      <c r="G541" s="7" t="s">
        <v>1745</v>
      </c>
      <c r="H541" s="7" t="s">
        <v>1678</v>
      </c>
      <c r="I541" s="7" t="s">
        <v>1685</v>
      </c>
      <c r="J541" s="7" t="s">
        <v>1688</v>
      </c>
      <c r="K541" s="7" t="s">
        <v>1710</v>
      </c>
      <c r="L541" s="2">
        <v>1</v>
      </c>
    </row>
    <row r="542" spans="1:12" ht="15" customHeight="1" x14ac:dyDescent="0.35">
      <c r="A542" s="7" t="s">
        <v>1</v>
      </c>
      <c r="B542" s="7" t="s">
        <v>468</v>
      </c>
      <c r="C542" s="7" t="s">
        <v>825</v>
      </c>
      <c r="D542" s="7" t="s">
        <v>534</v>
      </c>
      <c r="E542" s="9" t="s">
        <v>2297</v>
      </c>
      <c r="F542" s="7" t="s">
        <v>1590</v>
      </c>
      <c r="G542" s="7" t="s">
        <v>1742</v>
      </c>
      <c r="H542" s="7" t="s">
        <v>1681</v>
      </c>
      <c r="I542" s="7" t="s">
        <v>1685</v>
      </c>
      <c r="J542" s="7" t="s">
        <v>1688</v>
      </c>
      <c r="K542" s="7" t="s">
        <v>1697</v>
      </c>
      <c r="L542" s="2">
        <v>1</v>
      </c>
    </row>
    <row r="543" spans="1:12" ht="15" customHeight="1" x14ac:dyDescent="0.35">
      <c r="A543" s="7" t="s">
        <v>1</v>
      </c>
      <c r="B543" s="7" t="s">
        <v>469</v>
      </c>
      <c r="C543" s="7" t="s">
        <v>826</v>
      </c>
      <c r="D543" s="7" t="s">
        <v>629</v>
      </c>
      <c r="E543" s="9" t="s">
        <v>2298</v>
      </c>
      <c r="F543" s="7" t="s">
        <v>1591</v>
      </c>
      <c r="G543" s="7" t="s">
        <v>1743</v>
      </c>
      <c r="H543" s="7" t="s">
        <v>1678</v>
      </c>
      <c r="I543" s="7" t="s">
        <v>1685</v>
      </c>
      <c r="J543" s="7" t="s">
        <v>1688</v>
      </c>
      <c r="K543" s="7" t="s">
        <v>1731</v>
      </c>
      <c r="L543" s="2">
        <v>1</v>
      </c>
    </row>
    <row r="544" spans="1:12" ht="15" customHeight="1" x14ac:dyDescent="0.35">
      <c r="A544" s="7" t="s">
        <v>1</v>
      </c>
      <c r="B544" s="7" t="s">
        <v>470</v>
      </c>
      <c r="C544" s="7" t="s">
        <v>621</v>
      </c>
      <c r="D544" s="7" t="s">
        <v>774</v>
      </c>
      <c r="E544" s="9" t="s">
        <v>2299</v>
      </c>
      <c r="F544" s="7" t="s">
        <v>1592</v>
      </c>
      <c r="G544" s="7" t="s">
        <v>1743</v>
      </c>
      <c r="H544" s="7" t="s">
        <v>1680</v>
      </c>
      <c r="I544" s="7" t="s">
        <v>1686</v>
      </c>
      <c r="J544" s="7" t="s">
        <v>1688</v>
      </c>
      <c r="K544" s="7" t="s">
        <v>1704</v>
      </c>
      <c r="L544" s="2">
        <v>1</v>
      </c>
    </row>
    <row r="545" spans="1:12" ht="15" customHeight="1" x14ac:dyDescent="0.35">
      <c r="A545" s="7" t="s">
        <v>1</v>
      </c>
      <c r="B545" s="7" t="s">
        <v>470</v>
      </c>
      <c r="C545" s="7" t="s">
        <v>827</v>
      </c>
      <c r="D545" s="7" t="s">
        <v>679</v>
      </c>
      <c r="E545" s="9" t="s">
        <v>2300</v>
      </c>
      <c r="F545" s="7" t="s">
        <v>1593</v>
      </c>
      <c r="G545" s="7" t="s">
        <v>1738</v>
      </c>
      <c r="H545" s="7" t="s">
        <v>1678</v>
      </c>
      <c r="I545" s="7" t="s">
        <v>1686</v>
      </c>
      <c r="J545" s="7" t="s">
        <v>1688</v>
      </c>
      <c r="K545" s="7" t="s">
        <v>1705</v>
      </c>
      <c r="L545" s="2">
        <v>1</v>
      </c>
    </row>
    <row r="546" spans="1:12" ht="15" customHeight="1" x14ac:dyDescent="0.35">
      <c r="A546" s="7" t="s">
        <v>1</v>
      </c>
      <c r="B546" s="7" t="s">
        <v>471</v>
      </c>
      <c r="C546" s="7" t="s">
        <v>589</v>
      </c>
      <c r="D546" s="7" t="s">
        <v>539</v>
      </c>
      <c r="E546" s="9" t="s">
        <v>2301</v>
      </c>
      <c r="F546" s="7" t="s">
        <v>1594</v>
      </c>
      <c r="G546" s="7" t="s">
        <v>1742</v>
      </c>
      <c r="H546" s="7" t="s">
        <v>1678</v>
      </c>
      <c r="I546" s="7" t="s">
        <v>1686</v>
      </c>
      <c r="J546" s="7" t="s">
        <v>1688</v>
      </c>
      <c r="K546" s="7" t="s">
        <v>1700</v>
      </c>
      <c r="L546" s="2">
        <v>1</v>
      </c>
    </row>
    <row r="547" spans="1:12" ht="15" customHeight="1" x14ac:dyDescent="0.35">
      <c r="A547" s="7" t="s">
        <v>1</v>
      </c>
      <c r="B547" s="7" t="s">
        <v>472</v>
      </c>
      <c r="C547" s="7" t="s">
        <v>805</v>
      </c>
      <c r="D547" s="7" t="s">
        <v>1028</v>
      </c>
      <c r="E547" s="9" t="s">
        <v>2302</v>
      </c>
      <c r="F547" s="7" t="s">
        <v>1595</v>
      </c>
      <c r="G547" s="7" t="s">
        <v>1742</v>
      </c>
      <c r="H547" s="7" t="s">
        <v>1677</v>
      </c>
      <c r="I547" s="7" t="s">
        <v>1686</v>
      </c>
      <c r="J547" s="7" t="s">
        <v>1688</v>
      </c>
      <c r="K547" s="7" t="s">
        <v>1703</v>
      </c>
      <c r="L547" s="2">
        <v>1</v>
      </c>
    </row>
    <row r="548" spans="1:12" ht="15" customHeight="1" x14ac:dyDescent="0.35">
      <c r="A548" s="7" t="s">
        <v>1</v>
      </c>
      <c r="B548" s="7" t="s">
        <v>473</v>
      </c>
      <c r="C548" s="7" t="s">
        <v>531</v>
      </c>
      <c r="D548" s="7" t="s">
        <v>540</v>
      </c>
      <c r="E548" s="9" t="s">
        <v>2303</v>
      </c>
      <c r="F548" s="7" t="s">
        <v>1596</v>
      </c>
      <c r="G548" s="7" t="s">
        <v>1742</v>
      </c>
      <c r="H548" s="7" t="s">
        <v>1678</v>
      </c>
      <c r="I548" s="7" t="s">
        <v>1686</v>
      </c>
      <c r="J548" s="7" t="s">
        <v>1688</v>
      </c>
      <c r="K548" s="7" t="s">
        <v>1700</v>
      </c>
      <c r="L548" s="2">
        <v>1</v>
      </c>
    </row>
    <row r="549" spans="1:12" ht="15" customHeight="1" x14ac:dyDescent="0.35">
      <c r="A549" s="7" t="s">
        <v>1</v>
      </c>
      <c r="B549" s="7" t="s">
        <v>474</v>
      </c>
      <c r="C549" s="7" t="s">
        <v>698</v>
      </c>
      <c r="D549" s="7" t="s">
        <v>776</v>
      </c>
      <c r="E549" s="9" t="s">
        <v>2304</v>
      </c>
      <c r="F549" s="7" t="s">
        <v>1597</v>
      </c>
      <c r="G549" s="7" t="s">
        <v>1738</v>
      </c>
      <c r="H549" s="7" t="s">
        <v>1678</v>
      </c>
      <c r="I549" s="7" t="s">
        <v>1686</v>
      </c>
      <c r="J549" s="7" t="s">
        <v>1688</v>
      </c>
      <c r="K549" s="7" t="s">
        <v>1705</v>
      </c>
      <c r="L549" s="2">
        <v>1</v>
      </c>
    </row>
    <row r="550" spans="1:12" ht="15" customHeight="1" x14ac:dyDescent="0.35">
      <c r="A550" s="7" t="s">
        <v>1</v>
      </c>
      <c r="B550" s="7" t="s">
        <v>475</v>
      </c>
      <c r="C550" s="7" t="s">
        <v>549</v>
      </c>
      <c r="D550" s="7" t="s">
        <v>1003</v>
      </c>
      <c r="E550" s="9" t="s">
        <v>2305</v>
      </c>
      <c r="F550" s="7" t="s">
        <v>1598</v>
      </c>
      <c r="G550" s="7" t="s">
        <v>1740</v>
      </c>
      <c r="H550" s="7" t="s">
        <v>1679</v>
      </c>
      <c r="I550" s="7" t="s">
        <v>1686</v>
      </c>
      <c r="J550" s="7" t="s">
        <v>1688</v>
      </c>
      <c r="K550" s="7" t="s">
        <v>1714</v>
      </c>
      <c r="L550" s="2">
        <v>1</v>
      </c>
    </row>
    <row r="551" spans="1:12" ht="15" customHeight="1" x14ac:dyDescent="0.35">
      <c r="A551" s="7" t="s">
        <v>1</v>
      </c>
      <c r="B551" s="7" t="s">
        <v>475</v>
      </c>
      <c r="C551" s="7" t="s">
        <v>636</v>
      </c>
      <c r="D551" s="7" t="s">
        <v>648</v>
      </c>
      <c r="E551" s="9" t="s">
        <v>2306</v>
      </c>
      <c r="F551" s="7" t="s">
        <v>1599</v>
      </c>
      <c r="G551" s="7" t="s">
        <v>1743</v>
      </c>
      <c r="H551" s="7" t="s">
        <v>1680</v>
      </c>
      <c r="I551" s="7" t="s">
        <v>1686</v>
      </c>
      <c r="J551" s="7" t="s">
        <v>1688</v>
      </c>
      <c r="K551" s="7" t="s">
        <v>1704</v>
      </c>
      <c r="L551" s="2">
        <v>1</v>
      </c>
    </row>
    <row r="552" spans="1:12" ht="15" customHeight="1" x14ac:dyDescent="0.35">
      <c r="A552" s="7" t="s">
        <v>1</v>
      </c>
      <c r="B552" s="7" t="s">
        <v>475</v>
      </c>
      <c r="C552" s="7" t="s">
        <v>636</v>
      </c>
      <c r="D552" s="7" t="s">
        <v>636</v>
      </c>
      <c r="E552" s="9" t="s">
        <v>2307</v>
      </c>
      <c r="F552" s="7" t="s">
        <v>1600</v>
      </c>
      <c r="G552" s="7" t="s">
        <v>1741</v>
      </c>
      <c r="H552" s="7" t="s">
        <v>1680</v>
      </c>
      <c r="I552" s="7" t="s">
        <v>1686</v>
      </c>
      <c r="J552" s="7" t="s">
        <v>1688</v>
      </c>
      <c r="K552" s="7" t="s">
        <v>1724</v>
      </c>
      <c r="L552" s="2">
        <v>1</v>
      </c>
    </row>
    <row r="553" spans="1:12" ht="15" customHeight="1" x14ac:dyDescent="0.35">
      <c r="A553" s="7" t="s">
        <v>1</v>
      </c>
      <c r="B553" s="7" t="s">
        <v>475</v>
      </c>
      <c r="C553" s="7" t="s">
        <v>828</v>
      </c>
      <c r="D553" s="7" t="s">
        <v>771</v>
      </c>
      <c r="E553" s="9" t="s">
        <v>2308</v>
      </c>
      <c r="F553" s="7" t="s">
        <v>1601</v>
      </c>
      <c r="G553" s="7" t="s">
        <v>1741</v>
      </c>
      <c r="H553" s="7" t="s">
        <v>1680</v>
      </c>
      <c r="I553" s="7" t="s">
        <v>1686</v>
      </c>
      <c r="J553" s="7" t="s">
        <v>1688</v>
      </c>
      <c r="K553" s="7" t="s">
        <v>1724</v>
      </c>
      <c r="L553" s="2">
        <v>1</v>
      </c>
    </row>
    <row r="554" spans="1:12" ht="15" customHeight="1" x14ac:dyDescent="0.35">
      <c r="A554" s="7" t="s">
        <v>1</v>
      </c>
      <c r="B554" s="7" t="s">
        <v>475</v>
      </c>
      <c r="C554" s="7" t="s">
        <v>597</v>
      </c>
      <c r="D554" s="7" t="s">
        <v>671</v>
      </c>
      <c r="E554" s="9" t="s">
        <v>2309</v>
      </c>
      <c r="F554" s="7" t="s">
        <v>1602</v>
      </c>
      <c r="G554" s="7" t="s">
        <v>1743</v>
      </c>
      <c r="H554" s="7" t="s">
        <v>1680</v>
      </c>
      <c r="I554" s="7" t="s">
        <v>1686</v>
      </c>
      <c r="J554" s="7" t="s">
        <v>1688</v>
      </c>
      <c r="K554" s="7" t="s">
        <v>1704</v>
      </c>
      <c r="L554" s="2">
        <v>1</v>
      </c>
    </row>
    <row r="555" spans="1:12" ht="15" customHeight="1" x14ac:dyDescent="0.35">
      <c r="A555" s="7" t="s">
        <v>1</v>
      </c>
      <c r="B555" s="7" t="s">
        <v>475</v>
      </c>
      <c r="C555" s="7" t="s">
        <v>829</v>
      </c>
      <c r="D555" s="7" t="s">
        <v>1029</v>
      </c>
      <c r="E555" s="9" t="s">
        <v>2310</v>
      </c>
      <c r="F555" s="7" t="s">
        <v>1603</v>
      </c>
      <c r="G555" s="7" t="s">
        <v>1742</v>
      </c>
      <c r="H555" s="7" t="s">
        <v>1678</v>
      </c>
      <c r="I555" s="7" t="s">
        <v>1686</v>
      </c>
      <c r="J555" s="7" t="s">
        <v>1688</v>
      </c>
      <c r="K555" s="7" t="s">
        <v>1701</v>
      </c>
      <c r="L555" s="2">
        <v>1</v>
      </c>
    </row>
    <row r="556" spans="1:12" ht="15" customHeight="1" x14ac:dyDescent="0.35">
      <c r="A556" s="7" t="s">
        <v>1</v>
      </c>
      <c r="B556" s="7" t="s">
        <v>476</v>
      </c>
      <c r="C556" s="7" t="s">
        <v>621</v>
      </c>
      <c r="D556" s="7" t="s">
        <v>1030</v>
      </c>
      <c r="E556" s="9" t="s">
        <v>2311</v>
      </c>
      <c r="F556" s="7" t="s">
        <v>1604</v>
      </c>
      <c r="G556" s="7" t="s">
        <v>1745</v>
      </c>
      <c r="H556" s="7" t="s">
        <v>1679</v>
      </c>
      <c r="I556" s="7" t="s">
        <v>1686</v>
      </c>
      <c r="J556" s="7" t="s">
        <v>1688</v>
      </c>
      <c r="K556" s="7" t="s">
        <v>1717</v>
      </c>
      <c r="L556" s="2">
        <v>1</v>
      </c>
    </row>
    <row r="557" spans="1:12" ht="15" customHeight="1" x14ac:dyDescent="0.35">
      <c r="A557" s="7" t="s">
        <v>1</v>
      </c>
      <c r="B557" s="7" t="s">
        <v>477</v>
      </c>
      <c r="C557" s="7" t="s">
        <v>621</v>
      </c>
      <c r="D557" s="7" t="s">
        <v>1031</v>
      </c>
      <c r="E557" s="9" t="s">
        <v>2312</v>
      </c>
      <c r="F557" s="7" t="s">
        <v>1605</v>
      </c>
      <c r="G557" s="7" t="s">
        <v>1740</v>
      </c>
      <c r="H557" s="7" t="s">
        <v>1680</v>
      </c>
      <c r="I557" s="7" t="s">
        <v>1685</v>
      </c>
      <c r="J557" s="7" t="s">
        <v>1688</v>
      </c>
      <c r="K557" s="7" t="s">
        <v>1715</v>
      </c>
      <c r="L557" s="2">
        <v>1</v>
      </c>
    </row>
    <row r="558" spans="1:12" ht="15" customHeight="1" x14ac:dyDescent="0.35">
      <c r="A558" s="7" t="s">
        <v>1</v>
      </c>
      <c r="B558" s="7" t="s">
        <v>478</v>
      </c>
      <c r="C558" s="7" t="s">
        <v>830</v>
      </c>
      <c r="D558" s="7" t="s">
        <v>548</v>
      </c>
      <c r="E558" s="9" t="s">
        <v>2313</v>
      </c>
      <c r="F558" s="7" t="s">
        <v>1606</v>
      </c>
      <c r="G558" s="7" t="s">
        <v>1741</v>
      </c>
      <c r="H558" s="7" t="s">
        <v>1680</v>
      </c>
      <c r="I558" s="7" t="s">
        <v>1685</v>
      </c>
      <c r="J558" s="7" t="s">
        <v>1688</v>
      </c>
      <c r="K558" s="7" t="s">
        <v>1724</v>
      </c>
      <c r="L558" s="2">
        <v>1</v>
      </c>
    </row>
    <row r="559" spans="1:12" ht="15" customHeight="1" x14ac:dyDescent="0.35">
      <c r="A559" s="7" t="s">
        <v>1</v>
      </c>
      <c r="B559" s="7" t="s">
        <v>479</v>
      </c>
      <c r="C559" s="7" t="s">
        <v>544</v>
      </c>
      <c r="D559" s="7" t="s">
        <v>1032</v>
      </c>
      <c r="E559" s="9" t="s">
        <v>2314</v>
      </c>
      <c r="F559" s="7" t="s">
        <v>1607</v>
      </c>
      <c r="G559" s="7" t="s">
        <v>1743</v>
      </c>
      <c r="H559" s="7" t="s">
        <v>1680</v>
      </c>
      <c r="I559" s="7" t="s">
        <v>1685</v>
      </c>
      <c r="J559" s="7" t="s">
        <v>1688</v>
      </c>
      <c r="K559" s="7" t="s">
        <v>1704</v>
      </c>
      <c r="L559" s="2">
        <v>1</v>
      </c>
    </row>
    <row r="560" spans="1:12" ht="15" customHeight="1" x14ac:dyDescent="0.35">
      <c r="A560" s="7" t="s">
        <v>1</v>
      </c>
      <c r="B560" s="7" t="s">
        <v>480</v>
      </c>
      <c r="C560" s="7" t="s">
        <v>589</v>
      </c>
      <c r="D560" s="7" t="s">
        <v>735</v>
      </c>
      <c r="E560" s="9" t="s">
        <v>2315</v>
      </c>
      <c r="F560" s="7" t="s">
        <v>1608</v>
      </c>
      <c r="G560" s="7" t="s">
        <v>1742</v>
      </c>
      <c r="H560" s="7" t="s">
        <v>1678</v>
      </c>
      <c r="I560" s="7" t="s">
        <v>1686</v>
      </c>
      <c r="J560" s="7" t="s">
        <v>1688</v>
      </c>
      <c r="K560" s="7" t="s">
        <v>1701</v>
      </c>
      <c r="L560" s="2">
        <v>1</v>
      </c>
    </row>
    <row r="561" spans="1:12" ht="15" customHeight="1" x14ac:dyDescent="0.35">
      <c r="A561" s="7" t="s">
        <v>1</v>
      </c>
      <c r="B561" s="7" t="s">
        <v>481</v>
      </c>
      <c r="C561" s="7" t="s">
        <v>831</v>
      </c>
      <c r="D561" s="7" t="s">
        <v>1033</v>
      </c>
      <c r="E561" s="9" t="s">
        <v>2316</v>
      </c>
      <c r="F561" s="7" t="s">
        <v>1609</v>
      </c>
      <c r="G561" s="7" t="s">
        <v>1744</v>
      </c>
      <c r="H561" s="7" t="s">
        <v>1679</v>
      </c>
      <c r="I561" s="7" t="s">
        <v>1686</v>
      </c>
      <c r="J561" s="7" t="s">
        <v>1688</v>
      </c>
      <c r="K561" s="7" t="s">
        <v>1722</v>
      </c>
      <c r="L561" s="2">
        <v>1</v>
      </c>
    </row>
    <row r="562" spans="1:12" ht="15" customHeight="1" x14ac:dyDescent="0.35">
      <c r="A562" s="7" t="s">
        <v>1</v>
      </c>
      <c r="B562" s="7" t="s">
        <v>482</v>
      </c>
      <c r="C562" s="7" t="s">
        <v>832</v>
      </c>
      <c r="D562" s="7" t="s">
        <v>1034</v>
      </c>
      <c r="E562" s="9" t="s">
        <v>2317</v>
      </c>
      <c r="F562" s="7" t="s">
        <v>1610</v>
      </c>
      <c r="G562" s="7" t="s">
        <v>1742</v>
      </c>
      <c r="H562" s="7" t="s">
        <v>1681</v>
      </c>
      <c r="I562" s="7" t="s">
        <v>1686</v>
      </c>
      <c r="J562" s="7" t="s">
        <v>1688</v>
      </c>
      <c r="K562" s="7" t="s">
        <v>1697</v>
      </c>
      <c r="L562" s="2">
        <v>1</v>
      </c>
    </row>
    <row r="563" spans="1:12" ht="15" customHeight="1" x14ac:dyDescent="0.35">
      <c r="A563" s="7" t="s">
        <v>1</v>
      </c>
      <c r="B563" s="7" t="s">
        <v>483</v>
      </c>
      <c r="C563" s="7" t="s">
        <v>833</v>
      </c>
      <c r="D563" s="7" t="s">
        <v>1035</v>
      </c>
      <c r="E563" s="9" t="s">
        <v>2318</v>
      </c>
      <c r="F563" s="7" t="s">
        <v>1611</v>
      </c>
      <c r="G563" s="7" t="s">
        <v>1742</v>
      </c>
      <c r="H563" s="7" t="s">
        <v>1677</v>
      </c>
      <c r="I563" s="7" t="s">
        <v>1686</v>
      </c>
      <c r="J563" s="7" t="s">
        <v>1688</v>
      </c>
      <c r="K563" s="7" t="s">
        <v>1712</v>
      </c>
      <c r="L563" s="2">
        <v>1</v>
      </c>
    </row>
    <row r="564" spans="1:12" ht="15" customHeight="1" x14ac:dyDescent="0.35">
      <c r="A564" s="7" t="s">
        <v>1</v>
      </c>
      <c r="B564" s="7" t="s">
        <v>484</v>
      </c>
      <c r="C564" s="7" t="s">
        <v>636</v>
      </c>
      <c r="D564" s="7" t="s">
        <v>626</v>
      </c>
      <c r="E564" s="9" t="s">
        <v>2319</v>
      </c>
      <c r="F564" s="7" t="s">
        <v>1612</v>
      </c>
      <c r="G564" s="7" t="s">
        <v>1739</v>
      </c>
      <c r="H564" s="7" t="s">
        <v>1677</v>
      </c>
      <c r="I564" s="7" t="s">
        <v>1685</v>
      </c>
      <c r="J564" s="7" t="s">
        <v>1688</v>
      </c>
      <c r="K564" s="7" t="s">
        <v>1691</v>
      </c>
      <c r="L564" s="2">
        <v>1</v>
      </c>
    </row>
    <row r="565" spans="1:12" ht="15" customHeight="1" x14ac:dyDescent="0.35">
      <c r="A565" s="7" t="s">
        <v>1</v>
      </c>
      <c r="B565" s="7" t="s">
        <v>485</v>
      </c>
      <c r="C565" s="7" t="s">
        <v>568</v>
      </c>
      <c r="D565" s="7" t="s">
        <v>1036</v>
      </c>
      <c r="E565" s="9" t="s">
        <v>2320</v>
      </c>
      <c r="F565" s="7" t="s">
        <v>1613</v>
      </c>
      <c r="G565" s="7" t="s">
        <v>1738</v>
      </c>
      <c r="H565" s="7" t="s">
        <v>1677</v>
      </c>
      <c r="I565" s="7" t="s">
        <v>1685</v>
      </c>
      <c r="J565" s="7" t="s">
        <v>1688</v>
      </c>
      <c r="K565" s="7" t="s">
        <v>1732</v>
      </c>
      <c r="L565" s="2">
        <v>1</v>
      </c>
    </row>
    <row r="566" spans="1:12" ht="15" customHeight="1" x14ac:dyDescent="0.35">
      <c r="A566" s="7" t="s">
        <v>1</v>
      </c>
      <c r="B566" s="7" t="s">
        <v>486</v>
      </c>
      <c r="C566" s="7" t="s">
        <v>834</v>
      </c>
      <c r="D566" s="7" t="s">
        <v>531</v>
      </c>
      <c r="E566" s="9" t="s">
        <v>2321</v>
      </c>
      <c r="F566" s="7" t="s">
        <v>1614</v>
      </c>
      <c r="G566" s="7" t="s">
        <v>1744</v>
      </c>
      <c r="H566" s="7" t="s">
        <v>1678</v>
      </c>
      <c r="I566" s="7" t="s">
        <v>1686</v>
      </c>
      <c r="J566" s="7" t="s">
        <v>1688</v>
      </c>
      <c r="K566" s="7" t="s">
        <v>1711</v>
      </c>
      <c r="L566" s="2">
        <v>1</v>
      </c>
    </row>
    <row r="567" spans="1:12" ht="15" customHeight="1" x14ac:dyDescent="0.35">
      <c r="A567" s="7" t="s">
        <v>1</v>
      </c>
      <c r="B567" s="7" t="s">
        <v>486</v>
      </c>
      <c r="C567" s="7" t="s">
        <v>527</v>
      </c>
      <c r="D567" s="7" t="s">
        <v>1003</v>
      </c>
      <c r="E567" s="9" t="s">
        <v>2322</v>
      </c>
      <c r="F567" s="7" t="s">
        <v>1615</v>
      </c>
      <c r="G567" s="7" t="s">
        <v>1740</v>
      </c>
      <c r="H567" s="7" t="s">
        <v>1679</v>
      </c>
      <c r="I567" s="7" t="s">
        <v>1686</v>
      </c>
      <c r="J567" s="7" t="s">
        <v>1688</v>
      </c>
      <c r="K567" s="7" t="s">
        <v>1714</v>
      </c>
      <c r="L567" s="2">
        <v>1</v>
      </c>
    </row>
    <row r="568" spans="1:12" ht="15" customHeight="1" x14ac:dyDescent="0.35">
      <c r="A568" s="7" t="s">
        <v>1</v>
      </c>
      <c r="B568" s="7" t="s">
        <v>487</v>
      </c>
      <c r="C568" s="7" t="s">
        <v>764</v>
      </c>
      <c r="D568" s="7" t="s">
        <v>1035</v>
      </c>
      <c r="E568" s="9" t="s">
        <v>2323</v>
      </c>
      <c r="F568" s="7" t="s">
        <v>1616</v>
      </c>
      <c r="G568" s="7" t="s">
        <v>1737</v>
      </c>
      <c r="H568" s="7" t="s">
        <v>1679</v>
      </c>
      <c r="I568" s="7" t="s">
        <v>1686</v>
      </c>
      <c r="J568" s="7" t="s">
        <v>1688</v>
      </c>
      <c r="K568" s="7" t="s">
        <v>1707</v>
      </c>
      <c r="L568" s="2">
        <v>1</v>
      </c>
    </row>
    <row r="569" spans="1:12" ht="15" customHeight="1" x14ac:dyDescent="0.35">
      <c r="A569" s="7" t="s">
        <v>1</v>
      </c>
      <c r="B569" s="7" t="s">
        <v>488</v>
      </c>
      <c r="C569" s="7" t="s">
        <v>835</v>
      </c>
      <c r="D569" s="7" t="s">
        <v>1037</v>
      </c>
      <c r="E569" s="9" t="s">
        <v>2324</v>
      </c>
      <c r="F569" s="7" t="s">
        <v>1617</v>
      </c>
      <c r="G569" s="7" t="s">
        <v>1741</v>
      </c>
      <c r="H569" s="7" t="s">
        <v>1679</v>
      </c>
      <c r="I569" s="7" t="s">
        <v>1685</v>
      </c>
      <c r="J569" s="7" t="s">
        <v>1688</v>
      </c>
      <c r="K569" s="7" t="s">
        <v>1693</v>
      </c>
      <c r="L569" s="2">
        <v>1</v>
      </c>
    </row>
    <row r="570" spans="1:12" ht="15" customHeight="1" x14ac:dyDescent="0.35">
      <c r="A570" s="7" t="s">
        <v>1</v>
      </c>
      <c r="B570" s="7" t="s">
        <v>489</v>
      </c>
      <c r="C570" s="7" t="s">
        <v>836</v>
      </c>
      <c r="D570" s="7" t="s">
        <v>622</v>
      </c>
      <c r="E570" s="9" t="s">
        <v>2325</v>
      </c>
      <c r="F570" s="7" t="s">
        <v>1618</v>
      </c>
      <c r="G570" s="7" t="s">
        <v>1745</v>
      </c>
      <c r="H570" s="7" t="s">
        <v>1678</v>
      </c>
      <c r="I570" s="7" t="s">
        <v>1685</v>
      </c>
      <c r="J570" s="7" t="s">
        <v>1688</v>
      </c>
      <c r="K570" s="7" t="s">
        <v>1710</v>
      </c>
      <c r="L570" s="2">
        <v>1</v>
      </c>
    </row>
    <row r="571" spans="1:12" ht="15" customHeight="1" x14ac:dyDescent="0.35">
      <c r="A571" s="7" t="s">
        <v>1</v>
      </c>
      <c r="B571" s="7" t="s">
        <v>490</v>
      </c>
      <c r="C571" s="7" t="s">
        <v>837</v>
      </c>
      <c r="D571" s="7" t="s">
        <v>548</v>
      </c>
      <c r="E571" s="9" t="s">
        <v>2326</v>
      </c>
      <c r="F571" s="7" t="s">
        <v>1619</v>
      </c>
      <c r="G571" s="7" t="s">
        <v>1740</v>
      </c>
      <c r="H571" s="7" t="s">
        <v>1679</v>
      </c>
      <c r="I571" s="7" t="s">
        <v>1685</v>
      </c>
      <c r="J571" s="7" t="s">
        <v>1688</v>
      </c>
      <c r="K571" s="7" t="s">
        <v>1714</v>
      </c>
      <c r="L571" s="2">
        <v>1</v>
      </c>
    </row>
    <row r="572" spans="1:12" ht="15" customHeight="1" x14ac:dyDescent="0.35">
      <c r="A572" s="7" t="s">
        <v>1</v>
      </c>
      <c r="B572" s="7" t="s">
        <v>491</v>
      </c>
      <c r="C572" s="7" t="s">
        <v>650</v>
      </c>
      <c r="D572" s="7" t="s">
        <v>841</v>
      </c>
      <c r="E572" s="9" t="s">
        <v>2327</v>
      </c>
      <c r="F572" s="7" t="s">
        <v>1620</v>
      </c>
      <c r="G572" s="7" t="s">
        <v>1742</v>
      </c>
      <c r="H572" s="7" t="s">
        <v>1677</v>
      </c>
      <c r="I572" s="7" t="s">
        <v>1686</v>
      </c>
      <c r="J572" s="7" t="s">
        <v>1688</v>
      </c>
      <c r="K572" s="7" t="s">
        <v>1703</v>
      </c>
      <c r="L572" s="2">
        <v>1</v>
      </c>
    </row>
    <row r="573" spans="1:12" ht="15" customHeight="1" x14ac:dyDescent="0.35">
      <c r="A573" s="7" t="s">
        <v>1</v>
      </c>
      <c r="B573" s="7" t="s">
        <v>492</v>
      </c>
      <c r="C573" s="7" t="s">
        <v>589</v>
      </c>
      <c r="D573" s="7" t="s">
        <v>764</v>
      </c>
      <c r="E573" s="9" t="s">
        <v>2328</v>
      </c>
      <c r="F573" s="7" t="s">
        <v>1621</v>
      </c>
      <c r="G573" s="7" t="s">
        <v>1742</v>
      </c>
      <c r="H573" s="7" t="s">
        <v>1679</v>
      </c>
      <c r="I573" s="7" t="s">
        <v>1686</v>
      </c>
      <c r="J573" s="7" t="s">
        <v>1688</v>
      </c>
      <c r="K573" s="7" t="s">
        <v>1694</v>
      </c>
      <c r="L573" s="2">
        <v>1</v>
      </c>
    </row>
    <row r="574" spans="1:12" ht="15" customHeight="1" x14ac:dyDescent="0.35">
      <c r="A574" s="7" t="s">
        <v>1</v>
      </c>
      <c r="B574" s="7" t="s">
        <v>492</v>
      </c>
      <c r="C574" s="7" t="s">
        <v>838</v>
      </c>
      <c r="D574" s="7" t="s">
        <v>711</v>
      </c>
      <c r="E574" s="9" t="s">
        <v>2329</v>
      </c>
      <c r="F574" s="7" t="s">
        <v>1622</v>
      </c>
      <c r="G574" s="7" t="s">
        <v>1742</v>
      </c>
      <c r="H574" s="7" t="s">
        <v>1681</v>
      </c>
      <c r="I574" s="7" t="s">
        <v>1686</v>
      </c>
      <c r="J574" s="7" t="s">
        <v>1688</v>
      </c>
      <c r="K574" s="7" t="s">
        <v>1697</v>
      </c>
      <c r="L574" s="2">
        <v>1</v>
      </c>
    </row>
    <row r="575" spans="1:12" ht="15" customHeight="1" x14ac:dyDescent="0.35">
      <c r="A575" s="7" t="s">
        <v>1</v>
      </c>
      <c r="B575" s="7" t="s">
        <v>492</v>
      </c>
      <c r="C575" s="7" t="s">
        <v>802</v>
      </c>
      <c r="D575" s="7" t="s">
        <v>689</v>
      </c>
      <c r="E575" s="9" t="s">
        <v>2330</v>
      </c>
      <c r="F575" s="7" t="s">
        <v>1623</v>
      </c>
      <c r="G575" s="7" t="s">
        <v>1737</v>
      </c>
      <c r="H575" s="7" t="s">
        <v>1679</v>
      </c>
      <c r="I575" s="7" t="s">
        <v>1686</v>
      </c>
      <c r="J575" s="7" t="s">
        <v>1688</v>
      </c>
      <c r="K575" s="7" t="s">
        <v>1707</v>
      </c>
      <c r="L575" s="2">
        <v>1</v>
      </c>
    </row>
    <row r="576" spans="1:12" ht="15" customHeight="1" x14ac:dyDescent="0.35">
      <c r="A576" s="7" t="s">
        <v>1</v>
      </c>
      <c r="B576" s="7" t="s">
        <v>493</v>
      </c>
      <c r="C576" s="7" t="s">
        <v>839</v>
      </c>
      <c r="D576" s="7" t="s">
        <v>639</v>
      </c>
      <c r="E576" s="9" t="s">
        <v>2331</v>
      </c>
      <c r="F576" s="7" t="s">
        <v>1624</v>
      </c>
      <c r="G576" s="7" t="s">
        <v>1737</v>
      </c>
      <c r="H576" s="7" t="s">
        <v>1678</v>
      </c>
      <c r="I576" s="7" t="s">
        <v>1686</v>
      </c>
      <c r="J576" s="7" t="s">
        <v>1688</v>
      </c>
      <c r="K576" s="7" t="s">
        <v>1721</v>
      </c>
      <c r="L576" s="2">
        <v>1</v>
      </c>
    </row>
    <row r="577" spans="1:12" ht="15" customHeight="1" x14ac:dyDescent="0.35">
      <c r="A577" s="7" t="s">
        <v>1</v>
      </c>
      <c r="B577" s="7" t="s">
        <v>494</v>
      </c>
      <c r="C577" s="7" t="s">
        <v>840</v>
      </c>
      <c r="D577" s="7" t="s">
        <v>626</v>
      </c>
      <c r="E577" s="9" t="s">
        <v>2332</v>
      </c>
      <c r="F577" s="7" t="s">
        <v>1625</v>
      </c>
      <c r="G577" s="7" t="s">
        <v>1744</v>
      </c>
      <c r="H577" s="7" t="s">
        <v>1679</v>
      </c>
      <c r="I577" s="7" t="s">
        <v>1686</v>
      </c>
      <c r="J577" s="7" t="s">
        <v>1688</v>
      </c>
      <c r="K577" s="7" t="s">
        <v>1722</v>
      </c>
      <c r="L577" s="2">
        <v>1</v>
      </c>
    </row>
    <row r="578" spans="1:12" ht="15" customHeight="1" x14ac:dyDescent="0.35">
      <c r="A578" s="7" t="s">
        <v>1</v>
      </c>
      <c r="B578" s="7" t="s">
        <v>495</v>
      </c>
      <c r="C578" s="7" t="s">
        <v>615</v>
      </c>
      <c r="D578" s="7" t="s">
        <v>560</v>
      </c>
      <c r="E578" s="9" t="s">
        <v>2333</v>
      </c>
      <c r="F578" s="7" t="s">
        <v>1626</v>
      </c>
      <c r="G578" s="7" t="s">
        <v>1740</v>
      </c>
      <c r="H578" s="7" t="s">
        <v>1680</v>
      </c>
      <c r="I578" s="7" t="s">
        <v>1686</v>
      </c>
      <c r="J578" s="7" t="s">
        <v>1688</v>
      </c>
      <c r="K578" s="7" t="s">
        <v>1715</v>
      </c>
      <c r="L578" s="2">
        <v>1</v>
      </c>
    </row>
    <row r="579" spans="1:12" ht="15" customHeight="1" x14ac:dyDescent="0.35">
      <c r="A579" s="7" t="s">
        <v>1</v>
      </c>
      <c r="B579" s="7" t="s">
        <v>496</v>
      </c>
      <c r="C579" s="7" t="s">
        <v>543</v>
      </c>
      <c r="D579" s="7" t="s">
        <v>539</v>
      </c>
      <c r="E579" s="9" t="s">
        <v>2334</v>
      </c>
      <c r="F579" s="7" t="s">
        <v>1627</v>
      </c>
      <c r="G579" s="7" t="s">
        <v>1743</v>
      </c>
      <c r="H579" s="7" t="s">
        <v>1679</v>
      </c>
      <c r="I579" s="7" t="s">
        <v>1685</v>
      </c>
      <c r="J579" s="7" t="s">
        <v>1688</v>
      </c>
      <c r="K579" s="7" t="s">
        <v>1702</v>
      </c>
      <c r="L579" s="2">
        <v>1</v>
      </c>
    </row>
    <row r="580" spans="1:12" ht="15" customHeight="1" x14ac:dyDescent="0.35">
      <c r="A580" s="7" t="s">
        <v>1</v>
      </c>
      <c r="B580" s="7" t="s">
        <v>497</v>
      </c>
      <c r="C580" s="7" t="s">
        <v>550</v>
      </c>
      <c r="D580" s="7" t="s">
        <v>629</v>
      </c>
      <c r="E580" s="9" t="s">
        <v>2335</v>
      </c>
      <c r="F580" s="7" t="s">
        <v>1628</v>
      </c>
      <c r="G580" s="7" t="s">
        <v>1740</v>
      </c>
      <c r="H580" s="7" t="s">
        <v>1678</v>
      </c>
      <c r="I580" s="7" t="s">
        <v>1685</v>
      </c>
      <c r="J580" s="7" t="s">
        <v>1688</v>
      </c>
      <c r="K580" s="7" t="s">
        <v>1692</v>
      </c>
      <c r="L580" s="2">
        <v>1</v>
      </c>
    </row>
    <row r="581" spans="1:12" ht="15" customHeight="1" x14ac:dyDescent="0.35">
      <c r="A581" s="7" t="s">
        <v>1</v>
      </c>
      <c r="B581" s="7" t="s">
        <v>497</v>
      </c>
      <c r="C581" s="7" t="s">
        <v>841</v>
      </c>
      <c r="D581" s="7" t="s">
        <v>1038</v>
      </c>
      <c r="E581" s="9" t="s">
        <v>2336</v>
      </c>
      <c r="F581" s="7" t="s">
        <v>1629</v>
      </c>
      <c r="G581" s="7" t="s">
        <v>1742</v>
      </c>
      <c r="H581" s="7" t="s">
        <v>1680</v>
      </c>
      <c r="I581" s="7" t="s">
        <v>1685</v>
      </c>
      <c r="J581" s="7" t="s">
        <v>1688</v>
      </c>
      <c r="K581" s="7" t="s">
        <v>1695</v>
      </c>
      <c r="L581" s="2">
        <v>1</v>
      </c>
    </row>
    <row r="582" spans="1:12" ht="15" customHeight="1" x14ac:dyDescent="0.35">
      <c r="A582" s="7" t="s">
        <v>1</v>
      </c>
      <c r="B582" s="7" t="s">
        <v>497</v>
      </c>
      <c r="C582" s="7" t="s">
        <v>842</v>
      </c>
      <c r="D582" s="7" t="s">
        <v>1039</v>
      </c>
      <c r="E582" s="9" t="s">
        <v>2337</v>
      </c>
      <c r="F582" s="7" t="s">
        <v>1630</v>
      </c>
      <c r="G582" s="7" t="s">
        <v>1748</v>
      </c>
      <c r="H582" s="7" t="s">
        <v>1680</v>
      </c>
      <c r="I582" s="7" t="s">
        <v>1685</v>
      </c>
      <c r="J582" s="7" t="s">
        <v>1688</v>
      </c>
      <c r="K582" s="7" t="s">
        <v>1727</v>
      </c>
      <c r="L582" s="2">
        <v>1</v>
      </c>
    </row>
    <row r="583" spans="1:12" ht="15" customHeight="1" x14ac:dyDescent="0.35">
      <c r="A583" s="7" t="s">
        <v>1</v>
      </c>
      <c r="B583" s="7" t="s">
        <v>497</v>
      </c>
      <c r="C583" s="7" t="s">
        <v>843</v>
      </c>
      <c r="D583" s="7" t="s">
        <v>924</v>
      </c>
      <c r="E583" s="9" t="s">
        <v>2338</v>
      </c>
      <c r="F583" s="7" t="s">
        <v>1631</v>
      </c>
      <c r="G583" s="7" t="s">
        <v>1739</v>
      </c>
      <c r="H583" s="7" t="s">
        <v>1680</v>
      </c>
      <c r="I583" s="7" t="s">
        <v>1685</v>
      </c>
      <c r="J583" s="7" t="s">
        <v>1688</v>
      </c>
      <c r="K583" s="7" t="s">
        <v>1716</v>
      </c>
      <c r="L583" s="2">
        <v>1</v>
      </c>
    </row>
    <row r="584" spans="1:12" ht="15" customHeight="1" x14ac:dyDescent="0.35">
      <c r="A584" s="7" t="s">
        <v>1</v>
      </c>
      <c r="B584" s="7" t="s">
        <v>497</v>
      </c>
      <c r="C584" s="7" t="s">
        <v>820</v>
      </c>
      <c r="D584" s="7" t="s">
        <v>544</v>
      </c>
      <c r="E584" s="9" t="s">
        <v>2339</v>
      </c>
      <c r="F584" s="7" t="s">
        <v>1632</v>
      </c>
      <c r="G584" s="7" t="s">
        <v>1740</v>
      </c>
      <c r="H584" s="7" t="s">
        <v>1680</v>
      </c>
      <c r="I584" s="7" t="s">
        <v>1685</v>
      </c>
      <c r="J584" s="7" t="s">
        <v>1688</v>
      </c>
      <c r="K584" s="7" t="s">
        <v>1715</v>
      </c>
      <c r="L584" s="2">
        <v>1</v>
      </c>
    </row>
    <row r="585" spans="1:12" ht="15" customHeight="1" x14ac:dyDescent="0.35">
      <c r="A585" s="7" t="s">
        <v>1</v>
      </c>
      <c r="B585" s="7" t="s">
        <v>498</v>
      </c>
      <c r="C585" s="7" t="s">
        <v>844</v>
      </c>
      <c r="D585" s="7" t="s">
        <v>539</v>
      </c>
      <c r="E585" s="9" t="s">
        <v>2340</v>
      </c>
      <c r="F585" s="7" t="s">
        <v>1633</v>
      </c>
      <c r="G585" s="7" t="s">
        <v>1744</v>
      </c>
      <c r="H585" s="7" t="s">
        <v>1679</v>
      </c>
      <c r="I585" s="7" t="s">
        <v>1685</v>
      </c>
      <c r="J585" s="7" t="s">
        <v>1688</v>
      </c>
      <c r="K585" s="7" t="s">
        <v>1722</v>
      </c>
      <c r="L585" s="2">
        <v>1</v>
      </c>
    </row>
    <row r="586" spans="1:12" ht="15" customHeight="1" x14ac:dyDescent="0.35">
      <c r="A586" s="7" t="s">
        <v>1</v>
      </c>
      <c r="B586" s="7" t="s">
        <v>499</v>
      </c>
      <c r="C586" s="7" t="s">
        <v>656</v>
      </c>
      <c r="D586" s="7" t="s">
        <v>593</v>
      </c>
      <c r="E586" s="9" t="s">
        <v>2341</v>
      </c>
      <c r="F586" s="7" t="s">
        <v>1634</v>
      </c>
      <c r="G586" s="7" t="s">
        <v>1742</v>
      </c>
      <c r="H586" s="7" t="s">
        <v>1679</v>
      </c>
      <c r="I586" s="7" t="s">
        <v>1685</v>
      </c>
      <c r="J586" s="7" t="s">
        <v>1688</v>
      </c>
      <c r="K586" s="7" t="s">
        <v>1694</v>
      </c>
      <c r="L586" s="2">
        <v>1</v>
      </c>
    </row>
    <row r="587" spans="1:12" ht="15" customHeight="1" x14ac:dyDescent="0.35">
      <c r="A587" s="7" t="s">
        <v>1</v>
      </c>
      <c r="B587" s="7" t="s">
        <v>500</v>
      </c>
      <c r="C587" s="7" t="s">
        <v>597</v>
      </c>
      <c r="D587" s="7" t="s">
        <v>1040</v>
      </c>
      <c r="E587" s="9" t="s">
        <v>2342</v>
      </c>
      <c r="F587" s="7" t="s">
        <v>1635</v>
      </c>
      <c r="G587" s="7" t="s">
        <v>1745</v>
      </c>
      <c r="H587" s="7" t="s">
        <v>1677</v>
      </c>
      <c r="I587" s="7" t="s">
        <v>1685</v>
      </c>
      <c r="J587" s="7" t="s">
        <v>1688</v>
      </c>
      <c r="K587" s="7" t="s">
        <v>1709</v>
      </c>
      <c r="L587" s="2">
        <v>1</v>
      </c>
    </row>
    <row r="588" spans="1:12" ht="15" customHeight="1" x14ac:dyDescent="0.35">
      <c r="A588" s="7" t="s">
        <v>1</v>
      </c>
      <c r="B588" s="7" t="s">
        <v>501</v>
      </c>
      <c r="C588" s="7" t="s">
        <v>845</v>
      </c>
      <c r="D588" s="7" t="s">
        <v>636</v>
      </c>
      <c r="E588" s="9" t="s">
        <v>2343</v>
      </c>
      <c r="F588" s="7" t="s">
        <v>1636</v>
      </c>
      <c r="G588" s="7" t="s">
        <v>1740</v>
      </c>
      <c r="H588" s="7" t="s">
        <v>1679</v>
      </c>
      <c r="I588" s="7" t="s">
        <v>1685</v>
      </c>
      <c r="J588" s="7" t="s">
        <v>1688</v>
      </c>
      <c r="K588" s="7" t="s">
        <v>1714</v>
      </c>
      <c r="L588" s="2">
        <v>1</v>
      </c>
    </row>
    <row r="589" spans="1:12" ht="15" customHeight="1" x14ac:dyDescent="0.35">
      <c r="A589" s="7" t="s">
        <v>1</v>
      </c>
      <c r="B589" s="7" t="s">
        <v>502</v>
      </c>
      <c r="C589" s="7" t="s">
        <v>846</v>
      </c>
      <c r="D589" s="7" t="s">
        <v>1041</v>
      </c>
      <c r="E589" s="9" t="s">
        <v>2344</v>
      </c>
      <c r="F589" s="7" t="s">
        <v>1637</v>
      </c>
      <c r="G589" s="7" t="s">
        <v>1742</v>
      </c>
      <c r="H589" s="7" t="s">
        <v>1678</v>
      </c>
      <c r="I589" s="7" t="s">
        <v>1686</v>
      </c>
      <c r="J589" s="7" t="s">
        <v>1688</v>
      </c>
      <c r="K589" s="7" t="s">
        <v>1701</v>
      </c>
      <c r="L589" s="2">
        <v>1</v>
      </c>
    </row>
    <row r="590" spans="1:12" ht="15" customHeight="1" x14ac:dyDescent="0.35">
      <c r="A590" s="7" t="s">
        <v>1</v>
      </c>
      <c r="B590" s="7" t="s">
        <v>503</v>
      </c>
      <c r="C590" s="7" t="s">
        <v>531</v>
      </c>
      <c r="D590" s="7" t="s">
        <v>621</v>
      </c>
      <c r="E590" s="9" t="s">
        <v>2345</v>
      </c>
      <c r="F590" s="7" t="s">
        <v>1638</v>
      </c>
      <c r="G590" s="7" t="s">
        <v>1741</v>
      </c>
      <c r="H590" s="7" t="s">
        <v>1680</v>
      </c>
      <c r="I590" s="7" t="s">
        <v>1686</v>
      </c>
      <c r="J590" s="7" t="s">
        <v>1688</v>
      </c>
      <c r="K590" s="7" t="s">
        <v>1724</v>
      </c>
      <c r="L590" s="2">
        <v>1</v>
      </c>
    </row>
    <row r="591" spans="1:12" ht="15" customHeight="1" x14ac:dyDescent="0.35">
      <c r="A591" s="7" t="s">
        <v>1</v>
      </c>
      <c r="B591" s="7" t="s">
        <v>504</v>
      </c>
      <c r="C591" s="7" t="s">
        <v>847</v>
      </c>
      <c r="D591" s="7" t="s">
        <v>629</v>
      </c>
      <c r="E591" s="9" t="s">
        <v>2346</v>
      </c>
      <c r="F591" s="7" t="s">
        <v>1639</v>
      </c>
      <c r="G591" s="7" t="s">
        <v>1742</v>
      </c>
      <c r="H591" s="7" t="s">
        <v>1677</v>
      </c>
      <c r="I591" s="7" t="s">
        <v>1685</v>
      </c>
      <c r="J591" s="7" t="s">
        <v>1688</v>
      </c>
      <c r="K591" s="7" t="s">
        <v>1703</v>
      </c>
      <c r="L591" s="2">
        <v>1</v>
      </c>
    </row>
    <row r="592" spans="1:12" ht="15" customHeight="1" x14ac:dyDescent="0.35">
      <c r="A592" s="7" t="s">
        <v>1</v>
      </c>
      <c r="B592" s="7" t="s">
        <v>504</v>
      </c>
      <c r="C592" s="7" t="s">
        <v>848</v>
      </c>
      <c r="D592" s="7" t="s">
        <v>539</v>
      </c>
      <c r="E592" s="9" t="s">
        <v>2347</v>
      </c>
      <c r="F592" s="7" t="s">
        <v>1640</v>
      </c>
      <c r="G592" s="7" t="s">
        <v>1737</v>
      </c>
      <c r="H592" s="7" t="s">
        <v>1678</v>
      </c>
      <c r="I592" s="7" t="s">
        <v>1685</v>
      </c>
      <c r="J592" s="7" t="s">
        <v>1688</v>
      </c>
      <c r="K592" s="7" t="s">
        <v>1721</v>
      </c>
      <c r="L592" s="2">
        <v>1</v>
      </c>
    </row>
    <row r="593" spans="1:12" ht="15" customHeight="1" x14ac:dyDescent="0.35">
      <c r="A593" s="7" t="s">
        <v>1</v>
      </c>
      <c r="B593" s="7" t="s">
        <v>505</v>
      </c>
      <c r="C593" s="7" t="s">
        <v>849</v>
      </c>
      <c r="D593" s="7" t="s">
        <v>787</v>
      </c>
      <c r="E593" s="9" t="s">
        <v>2348</v>
      </c>
      <c r="F593" s="7" t="s">
        <v>1641</v>
      </c>
      <c r="G593" s="7" t="s">
        <v>1742</v>
      </c>
      <c r="H593" s="7" t="s">
        <v>1677</v>
      </c>
      <c r="I593" s="7" t="s">
        <v>1686</v>
      </c>
      <c r="J593" s="7" t="s">
        <v>1688</v>
      </c>
      <c r="K593" s="7" t="s">
        <v>1712</v>
      </c>
      <c r="L593" s="2">
        <v>1</v>
      </c>
    </row>
    <row r="594" spans="1:12" ht="15" customHeight="1" x14ac:dyDescent="0.35">
      <c r="A594" s="7" t="s">
        <v>1</v>
      </c>
      <c r="B594" s="7" t="s">
        <v>506</v>
      </c>
      <c r="C594" s="7" t="s">
        <v>850</v>
      </c>
      <c r="D594" s="7" t="s">
        <v>531</v>
      </c>
      <c r="E594" s="9" t="s">
        <v>2349</v>
      </c>
      <c r="F594" s="7" t="s">
        <v>1642</v>
      </c>
      <c r="G594" s="7" t="s">
        <v>1745</v>
      </c>
      <c r="H594" s="7" t="s">
        <v>1679</v>
      </c>
      <c r="I594" s="7" t="s">
        <v>1685</v>
      </c>
      <c r="J594" s="7" t="s">
        <v>1688</v>
      </c>
      <c r="K594" s="7" t="s">
        <v>1717</v>
      </c>
      <c r="L594" s="2">
        <v>1</v>
      </c>
    </row>
    <row r="595" spans="1:12" ht="15" customHeight="1" x14ac:dyDescent="0.35">
      <c r="A595" s="7" t="s">
        <v>1</v>
      </c>
      <c r="B595" s="7" t="s">
        <v>506</v>
      </c>
      <c r="C595" s="7" t="s">
        <v>751</v>
      </c>
      <c r="D595" s="7" t="s">
        <v>1042</v>
      </c>
      <c r="E595" s="9" t="s">
        <v>2350</v>
      </c>
      <c r="F595" s="7" t="s">
        <v>1643</v>
      </c>
      <c r="G595" s="7" t="s">
        <v>1741</v>
      </c>
      <c r="H595" s="7" t="s">
        <v>1680</v>
      </c>
      <c r="I595" s="7" t="s">
        <v>1685</v>
      </c>
      <c r="J595" s="7" t="s">
        <v>1688</v>
      </c>
      <c r="K595" s="7" t="s">
        <v>1724</v>
      </c>
      <c r="L595" s="2">
        <v>1</v>
      </c>
    </row>
    <row r="596" spans="1:12" ht="15" customHeight="1" x14ac:dyDescent="0.35">
      <c r="A596" s="7" t="s">
        <v>1</v>
      </c>
      <c r="B596" s="7" t="s">
        <v>506</v>
      </c>
      <c r="C596" s="7" t="s">
        <v>851</v>
      </c>
      <c r="D596" s="7" t="s">
        <v>635</v>
      </c>
      <c r="E596" s="9" t="s">
        <v>2351</v>
      </c>
      <c r="F596" s="7" t="s">
        <v>1644</v>
      </c>
      <c r="G596" s="7" t="s">
        <v>1740</v>
      </c>
      <c r="H596" s="7" t="s">
        <v>1680</v>
      </c>
      <c r="I596" s="7" t="s">
        <v>1685</v>
      </c>
      <c r="J596" s="7" t="s">
        <v>1688</v>
      </c>
      <c r="K596" s="7" t="s">
        <v>1715</v>
      </c>
      <c r="L596" s="2">
        <v>1</v>
      </c>
    </row>
    <row r="597" spans="1:12" ht="15" customHeight="1" x14ac:dyDescent="0.35">
      <c r="A597" s="7" t="s">
        <v>1</v>
      </c>
      <c r="B597" s="7" t="s">
        <v>506</v>
      </c>
      <c r="C597" s="7" t="s">
        <v>630</v>
      </c>
      <c r="D597" s="7" t="s">
        <v>621</v>
      </c>
      <c r="E597" s="9" t="s">
        <v>2352</v>
      </c>
      <c r="F597" s="7" t="s">
        <v>1645</v>
      </c>
      <c r="G597" s="7" t="s">
        <v>1744</v>
      </c>
      <c r="H597" s="7" t="s">
        <v>1677</v>
      </c>
      <c r="I597" s="7" t="s">
        <v>1685</v>
      </c>
      <c r="J597" s="7" t="s">
        <v>1688</v>
      </c>
      <c r="K597" s="7" t="s">
        <v>1713</v>
      </c>
      <c r="L597" s="2">
        <v>1</v>
      </c>
    </row>
    <row r="598" spans="1:12" ht="15" customHeight="1" x14ac:dyDescent="0.35">
      <c r="A598" s="7" t="s">
        <v>1</v>
      </c>
      <c r="B598" s="7" t="s">
        <v>506</v>
      </c>
      <c r="C598" s="7" t="s">
        <v>852</v>
      </c>
      <c r="D598" s="7" t="s">
        <v>681</v>
      </c>
      <c r="E598" s="9" t="s">
        <v>2353</v>
      </c>
      <c r="F598" s="7" t="s">
        <v>1646</v>
      </c>
      <c r="G598" s="7" t="s">
        <v>1747</v>
      </c>
      <c r="H598" s="7" t="s">
        <v>1680</v>
      </c>
      <c r="I598" s="7" t="s">
        <v>1685</v>
      </c>
      <c r="J598" s="7" t="s">
        <v>1688</v>
      </c>
      <c r="K598" s="7" t="s">
        <v>1723</v>
      </c>
      <c r="L598" s="2">
        <v>1</v>
      </c>
    </row>
    <row r="599" spans="1:12" ht="15" customHeight="1" x14ac:dyDescent="0.35">
      <c r="A599" s="7" t="s">
        <v>1</v>
      </c>
      <c r="B599" s="7" t="s">
        <v>506</v>
      </c>
      <c r="C599" s="7" t="s">
        <v>853</v>
      </c>
      <c r="D599" s="7" t="s">
        <v>736</v>
      </c>
      <c r="E599" s="9" t="s">
        <v>2354</v>
      </c>
      <c r="F599" s="7" t="s">
        <v>1647</v>
      </c>
      <c r="G599" s="7" t="s">
        <v>1742</v>
      </c>
      <c r="H599" s="7" t="s">
        <v>1680</v>
      </c>
      <c r="I599" s="7" t="s">
        <v>1685</v>
      </c>
      <c r="J599" s="7" t="s">
        <v>1688</v>
      </c>
      <c r="K599" s="7" t="s">
        <v>1695</v>
      </c>
      <c r="L599" s="2">
        <v>1</v>
      </c>
    </row>
    <row r="600" spans="1:12" ht="15" customHeight="1" x14ac:dyDescent="0.35">
      <c r="A600" s="7" t="s">
        <v>1</v>
      </c>
      <c r="B600" s="7" t="s">
        <v>506</v>
      </c>
      <c r="C600" s="7" t="s">
        <v>544</v>
      </c>
      <c r="D600" s="7" t="s">
        <v>679</v>
      </c>
      <c r="E600" s="9" t="s">
        <v>2355</v>
      </c>
      <c r="F600" s="7" t="s">
        <v>1648</v>
      </c>
      <c r="G600" s="7" t="s">
        <v>1740</v>
      </c>
      <c r="H600" s="7" t="s">
        <v>1678</v>
      </c>
      <c r="I600" s="7" t="s">
        <v>1685</v>
      </c>
      <c r="J600" s="7" t="s">
        <v>1688</v>
      </c>
      <c r="K600" s="7" t="s">
        <v>1692</v>
      </c>
      <c r="L600" s="2">
        <v>1</v>
      </c>
    </row>
    <row r="601" spans="1:12" ht="15" customHeight="1" x14ac:dyDescent="0.35">
      <c r="A601" s="7" t="s">
        <v>1</v>
      </c>
      <c r="B601" s="7" t="s">
        <v>506</v>
      </c>
      <c r="C601" s="7" t="s">
        <v>854</v>
      </c>
      <c r="D601" s="7" t="s">
        <v>897</v>
      </c>
      <c r="E601" s="9" t="s">
        <v>2356</v>
      </c>
      <c r="F601" s="7" t="s">
        <v>1649</v>
      </c>
      <c r="G601" s="7" t="s">
        <v>1746</v>
      </c>
      <c r="H601" s="7" t="s">
        <v>1680</v>
      </c>
      <c r="I601" s="7" t="s">
        <v>1685</v>
      </c>
      <c r="J601" s="7" t="s">
        <v>1688</v>
      </c>
      <c r="K601" s="7" t="s">
        <v>1719</v>
      </c>
      <c r="L601" s="2">
        <v>1</v>
      </c>
    </row>
    <row r="602" spans="1:12" ht="15" customHeight="1" x14ac:dyDescent="0.35">
      <c r="A602" s="7" t="s">
        <v>1</v>
      </c>
      <c r="B602" s="7" t="s">
        <v>506</v>
      </c>
      <c r="C602" s="7" t="s">
        <v>855</v>
      </c>
      <c r="D602" s="7" t="s">
        <v>873</v>
      </c>
      <c r="E602" s="9" t="s">
        <v>2357</v>
      </c>
      <c r="F602" s="7" t="s">
        <v>1650</v>
      </c>
      <c r="G602" s="7" t="s">
        <v>1742</v>
      </c>
      <c r="H602" s="7" t="s">
        <v>1678</v>
      </c>
      <c r="I602" s="7" t="s">
        <v>1685</v>
      </c>
      <c r="J602" s="7" t="s">
        <v>1688</v>
      </c>
      <c r="K602" s="7" t="s">
        <v>1700</v>
      </c>
      <c r="L602" s="2">
        <v>1</v>
      </c>
    </row>
    <row r="603" spans="1:12" ht="15" customHeight="1" x14ac:dyDescent="0.35">
      <c r="A603" s="7" t="s">
        <v>1</v>
      </c>
      <c r="B603" s="7" t="s">
        <v>506</v>
      </c>
      <c r="C603" s="7" t="s">
        <v>600</v>
      </c>
      <c r="D603" s="7" t="s">
        <v>1043</v>
      </c>
      <c r="E603" s="9" t="s">
        <v>2358</v>
      </c>
      <c r="F603" s="7" t="s">
        <v>1651</v>
      </c>
      <c r="G603" s="7" t="s">
        <v>1743</v>
      </c>
      <c r="H603" s="7" t="s">
        <v>1677</v>
      </c>
      <c r="I603" s="7" t="s">
        <v>1685</v>
      </c>
      <c r="J603" s="7" t="s">
        <v>1688</v>
      </c>
      <c r="K603" s="7" t="s">
        <v>1720</v>
      </c>
      <c r="L603" s="2">
        <v>1</v>
      </c>
    </row>
    <row r="604" spans="1:12" ht="15" customHeight="1" x14ac:dyDescent="0.35">
      <c r="A604" s="7" t="s">
        <v>1</v>
      </c>
      <c r="B604" s="7" t="s">
        <v>507</v>
      </c>
      <c r="C604" s="7" t="s">
        <v>767</v>
      </c>
      <c r="D604" s="7" t="s">
        <v>876</v>
      </c>
      <c r="E604" s="9" t="s">
        <v>2359</v>
      </c>
      <c r="F604" s="7" t="s">
        <v>1652</v>
      </c>
      <c r="G604" s="7" t="s">
        <v>1744</v>
      </c>
      <c r="H604" s="7" t="s">
        <v>1677</v>
      </c>
      <c r="I604" s="7" t="s">
        <v>1685</v>
      </c>
      <c r="J604" s="7" t="s">
        <v>1688</v>
      </c>
      <c r="K604" s="7" t="s">
        <v>1713</v>
      </c>
      <c r="L604" s="2">
        <v>1</v>
      </c>
    </row>
    <row r="605" spans="1:12" ht="15" customHeight="1" x14ac:dyDescent="0.35">
      <c r="A605" s="7" t="s">
        <v>1</v>
      </c>
      <c r="B605" s="7" t="s">
        <v>508</v>
      </c>
      <c r="C605" s="7" t="s">
        <v>569</v>
      </c>
      <c r="D605" s="7" t="s">
        <v>762</v>
      </c>
      <c r="E605" s="9" t="s">
        <v>2360</v>
      </c>
      <c r="F605" s="7" t="s">
        <v>1653</v>
      </c>
      <c r="G605" s="7" t="s">
        <v>1742</v>
      </c>
      <c r="H605" s="7" t="s">
        <v>1677</v>
      </c>
      <c r="I605" s="7" t="s">
        <v>1685</v>
      </c>
      <c r="J605" s="7" t="s">
        <v>1688</v>
      </c>
      <c r="K605" s="7" t="s">
        <v>1712</v>
      </c>
      <c r="L605" s="2">
        <v>1</v>
      </c>
    </row>
    <row r="606" spans="1:12" ht="15" customHeight="1" x14ac:dyDescent="0.35">
      <c r="A606" s="7" t="s">
        <v>1</v>
      </c>
      <c r="B606" s="7" t="s">
        <v>509</v>
      </c>
      <c r="C606" s="7" t="s">
        <v>856</v>
      </c>
      <c r="D606" s="7" t="s">
        <v>568</v>
      </c>
      <c r="E606" s="9" t="s">
        <v>1756</v>
      </c>
      <c r="F606" s="7" t="s">
        <v>1654</v>
      </c>
      <c r="G606" s="7" t="s">
        <v>1675</v>
      </c>
      <c r="H606" s="7" t="s">
        <v>1683</v>
      </c>
      <c r="I606" s="7" t="s">
        <v>1685</v>
      </c>
      <c r="J606" s="7" t="s">
        <v>1688</v>
      </c>
      <c r="K606" s="8"/>
      <c r="L606" s="2">
        <v>1</v>
      </c>
    </row>
    <row r="607" spans="1:12" ht="15" customHeight="1" x14ac:dyDescent="0.35">
      <c r="A607" s="7" t="s">
        <v>1</v>
      </c>
      <c r="B607" s="7" t="s">
        <v>510</v>
      </c>
      <c r="C607" s="7" t="s">
        <v>209</v>
      </c>
      <c r="D607" s="7" t="s">
        <v>565</v>
      </c>
      <c r="E607" s="9" t="s">
        <v>2361</v>
      </c>
      <c r="F607" s="7" t="s">
        <v>1655</v>
      </c>
      <c r="G607" s="7" t="s">
        <v>1740</v>
      </c>
      <c r="H607" s="7" t="s">
        <v>1679</v>
      </c>
      <c r="I607" s="7" t="s">
        <v>1686</v>
      </c>
      <c r="J607" s="7" t="s">
        <v>1688</v>
      </c>
      <c r="K607" s="7" t="s">
        <v>1714</v>
      </c>
      <c r="L607" s="2">
        <v>1</v>
      </c>
    </row>
    <row r="608" spans="1:12" ht="15" customHeight="1" x14ac:dyDescent="0.35">
      <c r="A608" s="7" t="s">
        <v>1</v>
      </c>
      <c r="B608" s="7" t="s">
        <v>511</v>
      </c>
      <c r="C608" s="7" t="s">
        <v>814</v>
      </c>
      <c r="D608" s="7" t="s">
        <v>816</v>
      </c>
      <c r="E608" s="9" t="s">
        <v>2362</v>
      </c>
      <c r="F608" s="7" t="s">
        <v>1656</v>
      </c>
      <c r="G608" s="7" t="s">
        <v>1740</v>
      </c>
      <c r="H608" s="7" t="s">
        <v>1679</v>
      </c>
      <c r="I608" s="7" t="s">
        <v>1686</v>
      </c>
      <c r="J608" s="7" t="s">
        <v>1688</v>
      </c>
      <c r="K608" s="7" t="s">
        <v>1714</v>
      </c>
      <c r="L608" s="2">
        <v>1</v>
      </c>
    </row>
    <row r="609" spans="1:12" ht="15" customHeight="1" x14ac:dyDescent="0.35">
      <c r="A609" s="7" t="s">
        <v>1</v>
      </c>
      <c r="B609" s="7" t="s">
        <v>511</v>
      </c>
      <c r="C609" s="7" t="s">
        <v>857</v>
      </c>
      <c r="D609" s="7" t="s">
        <v>1044</v>
      </c>
      <c r="E609" s="9" t="s">
        <v>2363</v>
      </c>
      <c r="F609" s="7" t="s">
        <v>1657</v>
      </c>
      <c r="G609" s="7" t="s">
        <v>1737</v>
      </c>
      <c r="H609" s="7" t="s">
        <v>1678</v>
      </c>
      <c r="I609" s="7" t="s">
        <v>1686</v>
      </c>
      <c r="J609" s="7" t="s">
        <v>1688</v>
      </c>
      <c r="K609" s="7" t="s">
        <v>1696</v>
      </c>
      <c r="L609" s="2">
        <v>1</v>
      </c>
    </row>
    <row r="610" spans="1:12" ht="15" customHeight="1" x14ac:dyDescent="0.35">
      <c r="A610" s="7" t="s">
        <v>1</v>
      </c>
      <c r="B610" s="7" t="s">
        <v>512</v>
      </c>
      <c r="C610" s="7" t="s">
        <v>568</v>
      </c>
      <c r="D610" s="7" t="s">
        <v>627</v>
      </c>
      <c r="E610" s="9" t="s">
        <v>2364</v>
      </c>
      <c r="F610" s="7" t="s">
        <v>1658</v>
      </c>
      <c r="G610" s="7" t="s">
        <v>1739</v>
      </c>
      <c r="H610" s="7" t="s">
        <v>1679</v>
      </c>
      <c r="I610" s="7" t="s">
        <v>1685</v>
      </c>
      <c r="J610" s="7" t="s">
        <v>1688</v>
      </c>
      <c r="K610" s="7" t="s">
        <v>1708</v>
      </c>
      <c r="L610" s="2">
        <v>1</v>
      </c>
    </row>
    <row r="611" spans="1:12" ht="15" customHeight="1" x14ac:dyDescent="0.35">
      <c r="A611" s="7" t="s">
        <v>1</v>
      </c>
      <c r="B611" s="7" t="s">
        <v>512</v>
      </c>
      <c r="C611" s="7" t="s">
        <v>634</v>
      </c>
      <c r="D611" s="7" t="s">
        <v>679</v>
      </c>
      <c r="E611" s="9" t="s">
        <v>2365</v>
      </c>
      <c r="F611" s="7" t="s">
        <v>1659</v>
      </c>
      <c r="G611" s="7" t="s">
        <v>1739</v>
      </c>
      <c r="H611" s="7" t="s">
        <v>1677</v>
      </c>
      <c r="I611" s="7" t="s">
        <v>1685</v>
      </c>
      <c r="J611" s="7" t="s">
        <v>1688</v>
      </c>
      <c r="K611" s="7" t="s">
        <v>1691</v>
      </c>
      <c r="L611" s="2">
        <v>1</v>
      </c>
    </row>
    <row r="612" spans="1:12" ht="15" customHeight="1" x14ac:dyDescent="0.35">
      <c r="A612" s="7" t="s">
        <v>1</v>
      </c>
      <c r="B612" s="7" t="s">
        <v>513</v>
      </c>
      <c r="C612" s="7" t="s">
        <v>597</v>
      </c>
      <c r="D612" s="7" t="s">
        <v>429</v>
      </c>
      <c r="E612" s="9" t="s">
        <v>2366</v>
      </c>
      <c r="F612" s="7" t="s">
        <v>1660</v>
      </c>
      <c r="G612" s="7" t="s">
        <v>1740</v>
      </c>
      <c r="H612" s="7" t="s">
        <v>1677</v>
      </c>
      <c r="I612" s="7" t="s">
        <v>1685</v>
      </c>
      <c r="J612" s="7" t="s">
        <v>1688</v>
      </c>
      <c r="K612" s="7" t="s">
        <v>1715</v>
      </c>
      <c r="L612" s="2">
        <v>1</v>
      </c>
    </row>
    <row r="613" spans="1:12" ht="15" customHeight="1" x14ac:dyDescent="0.35">
      <c r="A613" s="7" t="s">
        <v>1</v>
      </c>
      <c r="B613" s="7" t="s">
        <v>514</v>
      </c>
      <c r="C613" s="7" t="s">
        <v>858</v>
      </c>
      <c r="D613" s="7" t="s">
        <v>1045</v>
      </c>
      <c r="E613" s="9" t="s">
        <v>2367</v>
      </c>
      <c r="F613" s="7" t="s">
        <v>1661</v>
      </c>
      <c r="G613" s="7" t="s">
        <v>1750</v>
      </c>
      <c r="H613" s="7" t="s">
        <v>1680</v>
      </c>
      <c r="I613" s="7" t="s">
        <v>1686</v>
      </c>
      <c r="J613" s="7" t="s">
        <v>1688</v>
      </c>
      <c r="K613" s="7" t="s">
        <v>1730</v>
      </c>
      <c r="L613" s="2">
        <v>1</v>
      </c>
    </row>
    <row r="614" spans="1:12" ht="15" customHeight="1" x14ac:dyDescent="0.35">
      <c r="A614" s="7" t="s">
        <v>1</v>
      </c>
      <c r="B614" s="7" t="s">
        <v>515</v>
      </c>
      <c r="C614" s="7" t="s">
        <v>599</v>
      </c>
      <c r="D614" s="7" t="s">
        <v>589</v>
      </c>
      <c r="E614" s="9" t="s">
        <v>2368</v>
      </c>
      <c r="F614" s="7" t="s">
        <v>1662</v>
      </c>
      <c r="G614" s="7" t="s">
        <v>1740</v>
      </c>
      <c r="H614" s="7" t="s">
        <v>1680</v>
      </c>
      <c r="I614" s="7" t="s">
        <v>1685</v>
      </c>
      <c r="J614" s="7" t="s">
        <v>1688</v>
      </c>
      <c r="K614" s="7" t="s">
        <v>1715</v>
      </c>
      <c r="L614" s="2">
        <v>1</v>
      </c>
    </row>
    <row r="615" spans="1:12" ht="15" customHeight="1" x14ac:dyDescent="0.35">
      <c r="A615" s="7" t="s">
        <v>1</v>
      </c>
      <c r="B615" s="7" t="s">
        <v>515</v>
      </c>
      <c r="C615" s="7" t="s">
        <v>702</v>
      </c>
      <c r="D615" s="7" t="s">
        <v>868</v>
      </c>
      <c r="E615" s="9" t="s">
        <v>2369</v>
      </c>
      <c r="F615" s="7" t="s">
        <v>1663</v>
      </c>
      <c r="G615" s="7" t="s">
        <v>1740</v>
      </c>
      <c r="H615" s="7" t="s">
        <v>1679</v>
      </c>
      <c r="I615" s="7" t="s">
        <v>1685</v>
      </c>
      <c r="J615" s="7" t="s">
        <v>1688</v>
      </c>
      <c r="K615" s="7" t="s">
        <v>1714</v>
      </c>
      <c r="L615" s="2">
        <v>1</v>
      </c>
    </row>
    <row r="616" spans="1:12" ht="15" customHeight="1" x14ac:dyDescent="0.35">
      <c r="A616" s="7" t="s">
        <v>1</v>
      </c>
      <c r="B616" s="7" t="s">
        <v>516</v>
      </c>
      <c r="C616" s="7" t="s">
        <v>539</v>
      </c>
      <c r="D616" s="7" t="s">
        <v>745</v>
      </c>
      <c r="E616" s="9" t="s">
        <v>2370</v>
      </c>
      <c r="F616" s="7" t="s">
        <v>1664</v>
      </c>
      <c r="G616" s="7" t="s">
        <v>1740</v>
      </c>
      <c r="H616" s="7" t="s">
        <v>1678</v>
      </c>
      <c r="I616" s="7" t="s">
        <v>1685</v>
      </c>
      <c r="J616" s="7" t="s">
        <v>1688</v>
      </c>
      <c r="K616" s="7" t="s">
        <v>1692</v>
      </c>
      <c r="L616" s="2">
        <v>1</v>
      </c>
    </row>
    <row r="617" spans="1:12" ht="15" customHeight="1" x14ac:dyDescent="0.35">
      <c r="A617" s="7" t="s">
        <v>1</v>
      </c>
      <c r="B617" s="7" t="s">
        <v>517</v>
      </c>
      <c r="C617" s="7" t="s">
        <v>544</v>
      </c>
      <c r="D617" s="7" t="s">
        <v>531</v>
      </c>
      <c r="E617" s="9" t="s">
        <v>2371</v>
      </c>
      <c r="F617" s="7" t="s">
        <v>1665</v>
      </c>
      <c r="G617" s="7" t="s">
        <v>1750</v>
      </c>
      <c r="H617" s="7" t="s">
        <v>1680</v>
      </c>
      <c r="I617" s="7" t="s">
        <v>1686</v>
      </c>
      <c r="J617" s="7" t="s">
        <v>1689</v>
      </c>
      <c r="K617" s="7" t="s">
        <v>1730</v>
      </c>
      <c r="L617" s="2">
        <v>1</v>
      </c>
    </row>
    <row r="618" spans="1:12" ht="15" customHeight="1" x14ac:dyDescent="0.35">
      <c r="A618" s="7" t="s">
        <v>1</v>
      </c>
      <c r="B618" s="7" t="s">
        <v>518</v>
      </c>
      <c r="C618" s="7" t="s">
        <v>628</v>
      </c>
      <c r="D618" s="7" t="s">
        <v>539</v>
      </c>
      <c r="E618" s="9" t="s">
        <v>2372</v>
      </c>
      <c r="F618" s="7" t="s">
        <v>1666</v>
      </c>
      <c r="G618" s="7" t="s">
        <v>1742</v>
      </c>
      <c r="H618" s="7" t="s">
        <v>1680</v>
      </c>
      <c r="I618" s="7" t="s">
        <v>1686</v>
      </c>
      <c r="J618" s="7" t="s">
        <v>1688</v>
      </c>
      <c r="K618" s="7" t="s">
        <v>1695</v>
      </c>
      <c r="L618" s="2">
        <v>1</v>
      </c>
    </row>
    <row r="619" spans="1:12" ht="15" customHeight="1" x14ac:dyDescent="0.35">
      <c r="A619" s="7" t="s">
        <v>1</v>
      </c>
      <c r="B619" s="7" t="s">
        <v>519</v>
      </c>
      <c r="C619" s="7" t="s">
        <v>589</v>
      </c>
      <c r="D619" s="7" t="s">
        <v>1046</v>
      </c>
      <c r="E619" s="9" t="s">
        <v>2373</v>
      </c>
      <c r="F619" s="7" t="s">
        <v>1667</v>
      </c>
      <c r="G619" s="7" t="s">
        <v>1743</v>
      </c>
      <c r="H619" s="7" t="s">
        <v>1680</v>
      </c>
      <c r="I619" s="7" t="s">
        <v>1685</v>
      </c>
      <c r="J619" s="7" t="s">
        <v>1688</v>
      </c>
      <c r="K619" s="7" t="s">
        <v>1704</v>
      </c>
      <c r="L619" s="2">
        <v>1</v>
      </c>
    </row>
    <row r="620" spans="1:12" ht="15" customHeight="1" x14ac:dyDescent="0.35">
      <c r="A620" s="7" t="s">
        <v>1</v>
      </c>
      <c r="B620" s="7" t="s">
        <v>520</v>
      </c>
      <c r="C620" s="7" t="s">
        <v>593</v>
      </c>
      <c r="D620" s="7" t="s">
        <v>1040</v>
      </c>
      <c r="E620" s="9" t="s">
        <v>2374</v>
      </c>
      <c r="F620" s="7" t="s">
        <v>1668</v>
      </c>
      <c r="G620" s="7" t="s">
        <v>1738</v>
      </c>
      <c r="H620" s="7" t="s">
        <v>1678</v>
      </c>
      <c r="I620" s="7" t="s">
        <v>1685</v>
      </c>
      <c r="J620" s="7" t="s">
        <v>1688</v>
      </c>
      <c r="K620" s="7" t="s">
        <v>1705</v>
      </c>
      <c r="L620" s="2">
        <v>1</v>
      </c>
    </row>
    <row r="621" spans="1:12" ht="15" customHeight="1" x14ac:dyDescent="0.35">
      <c r="A621" s="7" t="s">
        <v>1</v>
      </c>
      <c r="B621" s="7" t="s">
        <v>521</v>
      </c>
      <c r="C621" s="7" t="s">
        <v>654</v>
      </c>
      <c r="D621" s="7" t="s">
        <v>531</v>
      </c>
      <c r="E621" s="9" t="s">
        <v>2375</v>
      </c>
      <c r="F621" s="7" t="s">
        <v>1669</v>
      </c>
      <c r="G621" s="7" t="s">
        <v>1740</v>
      </c>
      <c r="H621" s="7" t="s">
        <v>1678</v>
      </c>
      <c r="I621" s="7" t="s">
        <v>1685</v>
      </c>
      <c r="J621" s="7" t="s">
        <v>1688</v>
      </c>
      <c r="K621" s="7" t="s">
        <v>1692</v>
      </c>
      <c r="L621" s="2">
        <v>1</v>
      </c>
    </row>
    <row r="622" spans="1:12" ht="15" customHeight="1" x14ac:dyDescent="0.35">
      <c r="A622" s="7" t="s">
        <v>1</v>
      </c>
      <c r="B622" s="7" t="s">
        <v>522</v>
      </c>
      <c r="C622" s="7" t="s">
        <v>859</v>
      </c>
      <c r="D622" s="7" t="s">
        <v>544</v>
      </c>
      <c r="E622" s="9" t="s">
        <v>2376</v>
      </c>
      <c r="F622" s="7" t="s">
        <v>1670</v>
      </c>
      <c r="G622" s="7" t="s">
        <v>1742</v>
      </c>
      <c r="H622" s="7" t="s">
        <v>1677</v>
      </c>
      <c r="I622" s="7" t="s">
        <v>1686</v>
      </c>
      <c r="J622" s="7" t="s">
        <v>1688</v>
      </c>
      <c r="K622" s="7" t="s">
        <v>1703</v>
      </c>
      <c r="L622" s="2">
        <v>1</v>
      </c>
    </row>
    <row r="623" spans="1:12" ht="15" customHeight="1" x14ac:dyDescent="0.35">
      <c r="A623" s="7" t="s">
        <v>1</v>
      </c>
      <c r="B623" s="7" t="s">
        <v>523</v>
      </c>
      <c r="C623" s="7" t="s">
        <v>571</v>
      </c>
      <c r="D623" s="7" t="s">
        <v>593</v>
      </c>
      <c r="E623" s="9" t="s">
        <v>2377</v>
      </c>
      <c r="F623" s="7" t="s">
        <v>1671</v>
      </c>
      <c r="G623" s="7" t="s">
        <v>1744</v>
      </c>
      <c r="H623" s="7" t="s">
        <v>1677</v>
      </c>
      <c r="I623" s="7" t="s">
        <v>1685</v>
      </c>
      <c r="J623" s="7" t="s">
        <v>1688</v>
      </c>
      <c r="K623" s="7" t="s">
        <v>1713</v>
      </c>
      <c r="L623" s="2">
        <v>1</v>
      </c>
    </row>
    <row r="624" spans="1:12" ht="15" customHeight="1" x14ac:dyDescent="0.35">
      <c r="A624" s="7" t="s">
        <v>1</v>
      </c>
      <c r="B624" s="7" t="s">
        <v>524</v>
      </c>
      <c r="C624" s="7" t="s">
        <v>663</v>
      </c>
      <c r="D624" s="7" t="s">
        <v>906</v>
      </c>
      <c r="E624" s="9" t="s">
        <v>2378</v>
      </c>
      <c r="F624" s="7" t="s">
        <v>1672</v>
      </c>
      <c r="G624" s="7" t="s">
        <v>1740</v>
      </c>
      <c r="H624" s="7" t="s">
        <v>1678</v>
      </c>
      <c r="I624" s="7" t="s">
        <v>1685</v>
      </c>
      <c r="J624" s="7" t="s">
        <v>1688</v>
      </c>
      <c r="K624" s="7" t="s">
        <v>1692</v>
      </c>
      <c r="L624" s="2">
        <v>1</v>
      </c>
    </row>
    <row r="625" spans="1:12" ht="15" customHeight="1" x14ac:dyDescent="0.35">
      <c r="A625" s="7" t="s">
        <v>1</v>
      </c>
      <c r="B625" s="7" t="s">
        <v>525</v>
      </c>
      <c r="C625" s="7" t="s">
        <v>860</v>
      </c>
      <c r="D625" s="7" t="s">
        <v>1047</v>
      </c>
      <c r="E625" s="9" t="s">
        <v>2379</v>
      </c>
      <c r="F625" s="7" t="s">
        <v>1673</v>
      </c>
      <c r="G625" s="7" t="s">
        <v>1737</v>
      </c>
      <c r="H625" s="7" t="s">
        <v>1677</v>
      </c>
      <c r="I625" s="7" t="s">
        <v>1685</v>
      </c>
      <c r="J625" s="7" t="s">
        <v>1688</v>
      </c>
      <c r="K625" s="7" t="s">
        <v>1698</v>
      </c>
      <c r="L62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AFE5-8784-4D1B-9774-7E144A4F3951}">
  <dimension ref="A1:M624"/>
  <sheetViews>
    <sheetView topLeftCell="A249" workbookViewId="0">
      <selection activeCell="E267" sqref="E267"/>
    </sheetView>
  </sheetViews>
  <sheetFormatPr baseColWidth="10" defaultRowHeight="14.5" x14ac:dyDescent="0.35"/>
  <cols>
    <col min="1" max="1" width="13.7265625" bestFit="1" customWidth="1"/>
    <col min="2" max="2" width="26.1796875" style="5" bestFit="1" customWidth="1"/>
    <col min="3" max="3" width="17.81640625" bestFit="1" customWidth="1"/>
    <col min="4" max="4" width="18.54296875" bestFit="1" customWidth="1"/>
    <col min="5" max="5" width="30.26953125" bestFit="1" customWidth="1"/>
    <col min="6" max="6" width="9.453125" bestFit="1" customWidth="1"/>
    <col min="7" max="7" width="15.7265625" bestFit="1" customWidth="1"/>
    <col min="8" max="8" width="43.7265625" bestFit="1" customWidth="1"/>
    <col min="9" max="9" width="55.7265625" bestFit="1" customWidth="1"/>
    <col min="10" max="10" width="6.453125" bestFit="1" customWidth="1"/>
    <col min="11" max="11" width="10" bestFit="1" customWidth="1"/>
    <col min="12" max="12" width="10.54296875" bestFit="1" customWidth="1"/>
    <col min="13" max="13" width="11.1796875" bestFit="1" customWidth="1"/>
  </cols>
  <sheetData>
    <row r="1" spans="1:13" x14ac:dyDescent="0.35">
      <c r="A1" s="3" t="s">
        <v>0</v>
      </c>
      <c r="B1" s="6" t="s">
        <v>2</v>
      </c>
      <c r="C1" s="3" t="s">
        <v>526</v>
      </c>
      <c r="D1" s="3" t="s">
        <v>861</v>
      </c>
      <c r="E1" s="3" t="s">
        <v>1734</v>
      </c>
      <c r="F1" s="3" t="s">
        <v>1048</v>
      </c>
      <c r="G1" s="3" t="s">
        <v>1735</v>
      </c>
      <c r="H1" s="3" t="s">
        <v>1049</v>
      </c>
      <c r="I1" s="3" t="s">
        <v>1674</v>
      </c>
      <c r="J1" s="3" t="s">
        <v>1676</v>
      </c>
      <c r="K1" s="3" t="s">
        <v>1684</v>
      </c>
      <c r="L1" s="3" t="s">
        <v>1687</v>
      </c>
      <c r="M1" s="3" t="s">
        <v>1690</v>
      </c>
    </row>
    <row r="2" spans="1:13" x14ac:dyDescent="0.35">
      <c r="A2" t="s">
        <v>1</v>
      </c>
      <c r="B2" s="4" t="s">
        <v>3</v>
      </c>
      <c r="C2" s="4" t="s">
        <v>527</v>
      </c>
      <c r="D2" s="4" t="s">
        <v>736</v>
      </c>
      <c r="E2" t="s">
        <v>2384</v>
      </c>
      <c r="F2" t="str">
        <f>CONCATENATE("'",Sheet!E2)</f>
        <v>'111772</v>
      </c>
      <c r="G2" t="s">
        <v>1736</v>
      </c>
      <c r="H2" s="4" t="str">
        <f>Sheet!F2</f>
        <v>PELAYO DIAZ ABBY DESSIRE</v>
      </c>
      <c r="I2" s="4" t="str">
        <f>Sheet!G2</f>
        <v>NUTRICION Y GASTRONOMIA</v>
      </c>
      <c r="J2" s="4" t="str">
        <f>Sheet!H2</f>
        <v>4to</v>
      </c>
      <c r="K2" s="4" t="str">
        <f>Sheet!I2</f>
        <v>Femenino</v>
      </c>
      <c r="L2" s="4" t="str">
        <f>Sheet!J2</f>
        <v>Activo</v>
      </c>
      <c r="M2" s="4" t="str">
        <f>Sheet!K2</f>
        <v xml:space="preserve">NUT 4°    </v>
      </c>
    </row>
    <row r="3" spans="1:13" x14ac:dyDescent="0.35">
      <c r="A3" t="s">
        <v>1</v>
      </c>
      <c r="B3" s="5" t="s">
        <v>4</v>
      </c>
      <c r="C3" s="4" t="s">
        <v>528</v>
      </c>
      <c r="D3" s="4" t="s">
        <v>862</v>
      </c>
      <c r="E3" t="s">
        <v>2387</v>
      </c>
      <c r="F3" t="str">
        <f>CONCATENATE("'",Sheet!E3)</f>
        <v>'112156</v>
      </c>
      <c r="G3" t="s">
        <v>1736</v>
      </c>
      <c r="H3" s="4" t="str">
        <f>Sheet!F3</f>
        <v>MENDOZA VILLELA ABIGAIL</v>
      </c>
      <c r="I3" s="4" t="str">
        <f>Sheet!G3</f>
        <v>PSICOLOGIA</v>
      </c>
      <c r="J3" s="4" t="str">
        <f>Sheet!H3</f>
        <v>2do</v>
      </c>
      <c r="K3" s="4" t="str">
        <f>Sheet!I3</f>
        <v>Femenino</v>
      </c>
      <c r="L3" s="4" t="str">
        <f>Sheet!J3</f>
        <v>Activo</v>
      </c>
      <c r="M3" s="4" t="str">
        <f>Sheet!K3</f>
        <v xml:space="preserve">PSI 2°    </v>
      </c>
    </row>
    <row r="4" spans="1:13" x14ac:dyDescent="0.35">
      <c r="A4" t="s">
        <v>1</v>
      </c>
      <c r="B4" s="5" t="s">
        <v>5</v>
      </c>
      <c r="C4" s="4" t="s">
        <v>529</v>
      </c>
      <c r="D4" s="4" t="s">
        <v>627</v>
      </c>
      <c r="E4" t="s">
        <v>2390</v>
      </c>
      <c r="F4" t="str">
        <f>CONCATENATE("'",Sheet!E4)</f>
        <v>'111103</v>
      </c>
      <c r="G4" t="s">
        <v>1736</v>
      </c>
      <c r="H4" s="4" t="str">
        <f>Sheet!F4</f>
        <v>GODOY FLORES ABRIL ISABELLA</v>
      </c>
      <c r="I4" s="4" t="str">
        <f>Sheet!G4</f>
        <v>INGENIERIA CIBERNETICA Y EN SISTEMAS COMPUTACIONALES</v>
      </c>
      <c r="J4" s="4" t="str">
        <f>Sheet!H4</f>
        <v>6to</v>
      </c>
      <c r="K4" s="4" t="str">
        <f>Sheet!I4</f>
        <v>Femenino</v>
      </c>
      <c r="L4" s="4" t="str">
        <f>Sheet!J4</f>
        <v>Activo</v>
      </c>
      <c r="M4" s="4" t="str">
        <f>Sheet!K4</f>
        <v xml:space="preserve">CIB 6°    </v>
      </c>
    </row>
    <row r="5" spans="1:13" x14ac:dyDescent="0.35">
      <c r="A5" t="s">
        <v>1</v>
      </c>
      <c r="B5" s="5" t="s">
        <v>6</v>
      </c>
      <c r="C5" s="4" t="s">
        <v>530</v>
      </c>
      <c r="D5" s="4" t="s">
        <v>599</v>
      </c>
      <c r="E5" t="s">
        <v>2393</v>
      </c>
      <c r="F5" t="str">
        <f>CONCATENATE("'",Sheet!E5)</f>
        <v>'111031</v>
      </c>
      <c r="G5" t="s">
        <v>1736</v>
      </c>
      <c r="H5" s="4" t="str">
        <f>Sheet!F5</f>
        <v>SANDOVAL CARDENAS ADAN OSWALDO</v>
      </c>
      <c r="I5" s="4" t="str">
        <f>Sheet!G5</f>
        <v>INGENIERIA AEROESPACIAL</v>
      </c>
      <c r="J5" s="4" t="str">
        <f>Sheet!H5</f>
        <v>6to</v>
      </c>
      <c r="K5" s="4" t="str">
        <f>Sheet!I5</f>
        <v>Masculino</v>
      </c>
      <c r="L5" s="4" t="str">
        <f>Sheet!J5</f>
        <v>Activo</v>
      </c>
      <c r="M5" s="4" t="str">
        <f>Sheet!K5</f>
        <v xml:space="preserve">AERO 6°   </v>
      </c>
    </row>
    <row r="6" spans="1:13" x14ac:dyDescent="0.35">
      <c r="A6" t="s">
        <v>1</v>
      </c>
      <c r="B6" s="5" t="s">
        <v>7</v>
      </c>
      <c r="C6" s="4" t="s">
        <v>531</v>
      </c>
      <c r="D6" s="4" t="s">
        <v>863</v>
      </c>
      <c r="E6" t="s">
        <v>2396</v>
      </c>
      <c r="F6" t="str">
        <f>CONCATENATE("'",Sheet!E6)</f>
        <v>'110517</v>
      </c>
      <c r="G6" t="s">
        <v>1736</v>
      </c>
      <c r="H6" s="4" t="str">
        <f>Sheet!F6</f>
        <v>GONZALEZ TOSCANO ADIB KALEB</v>
      </c>
      <c r="I6" s="4" t="str">
        <f>Sheet!G6</f>
        <v>INGENIERIA AEROESPACIAL</v>
      </c>
      <c r="J6" s="4" t="str">
        <f>Sheet!H6</f>
        <v>8vo</v>
      </c>
      <c r="K6" s="4" t="str">
        <f>Sheet!I6</f>
        <v>Masculino</v>
      </c>
      <c r="L6" s="4" t="str">
        <f>Sheet!J6</f>
        <v>Activo</v>
      </c>
      <c r="M6" s="4" t="str">
        <f>Sheet!K6</f>
        <v xml:space="preserve">AERO 8°   </v>
      </c>
    </row>
    <row r="7" spans="1:13" x14ac:dyDescent="0.35">
      <c r="A7" t="s">
        <v>1</v>
      </c>
      <c r="B7" s="5" t="s">
        <v>8</v>
      </c>
      <c r="C7" s="4" t="s">
        <v>532</v>
      </c>
      <c r="D7" s="4" t="s">
        <v>573</v>
      </c>
      <c r="E7" t="s">
        <v>2399</v>
      </c>
      <c r="F7" t="str">
        <f>CONCATENATE("'",Sheet!E7)</f>
        <v>'112194</v>
      </c>
      <c r="G7" t="s">
        <v>1736</v>
      </c>
      <c r="H7" s="4" t="str">
        <f>Sheet!F7</f>
        <v>VEGA RUELAS ADOLFO ALEXANDER</v>
      </c>
      <c r="I7" s="4" t="str">
        <f>Sheet!G7</f>
        <v>INGENIERÍA AUTOMOTRIZ</v>
      </c>
      <c r="J7" s="4" t="str">
        <f>Sheet!H7</f>
        <v>2do</v>
      </c>
      <c r="K7" s="4" t="str">
        <f>Sheet!I7</f>
        <v>Masculino</v>
      </c>
      <c r="L7" s="4" t="str">
        <f>Sheet!J7</f>
        <v>Activo</v>
      </c>
      <c r="M7" s="4" t="str">
        <f>Sheet!K7</f>
        <v xml:space="preserve">AUTO 2° A </v>
      </c>
    </row>
    <row r="8" spans="1:13" x14ac:dyDescent="0.35">
      <c r="A8" t="s">
        <v>1</v>
      </c>
      <c r="B8" s="5" t="s">
        <v>9</v>
      </c>
      <c r="C8" s="4" t="s">
        <v>533</v>
      </c>
      <c r="D8" s="4" t="s">
        <v>620</v>
      </c>
      <c r="E8" t="s">
        <v>2402</v>
      </c>
      <c r="F8" t="str">
        <f>CONCATENATE("'",Sheet!E8)</f>
        <v>'109814</v>
      </c>
      <c r="G8" t="s">
        <v>1736</v>
      </c>
      <c r="H8" s="4" t="str">
        <f>Sheet!F8</f>
        <v>ESQUEDA MACIAS ADRIAN</v>
      </c>
      <c r="I8" s="4" t="str">
        <f>Sheet!G8</f>
        <v>INGENIERIA AEROESPACIAL</v>
      </c>
      <c r="J8" s="4" t="str">
        <f>Sheet!H8</f>
        <v>10mo</v>
      </c>
      <c r="K8" s="4" t="str">
        <f>Sheet!I8</f>
        <v>Masculino</v>
      </c>
      <c r="L8" s="4" t="str">
        <f>Sheet!J8</f>
        <v>Activo</v>
      </c>
      <c r="M8" s="4" t="str">
        <f>Sheet!K8</f>
        <v xml:space="preserve">AERO_10°  </v>
      </c>
    </row>
    <row r="9" spans="1:13" x14ac:dyDescent="0.35">
      <c r="A9" t="s">
        <v>1</v>
      </c>
      <c r="B9" s="5" t="s">
        <v>9</v>
      </c>
      <c r="C9" s="4" t="s">
        <v>534</v>
      </c>
      <c r="D9" s="4" t="s">
        <v>546</v>
      </c>
      <c r="E9" t="s">
        <v>2405</v>
      </c>
      <c r="F9" t="str">
        <f>CONCATENATE("'",Sheet!E9)</f>
        <v>'111784</v>
      </c>
      <c r="G9" t="s">
        <v>1736</v>
      </c>
      <c r="H9" s="4" t="str">
        <f>Sheet!F9</f>
        <v>JAIME OJEDA ADRIAN</v>
      </c>
      <c r="I9" s="4" t="str">
        <f>Sheet!G9</f>
        <v>INGENIERÍA AUTOMOTRIZ</v>
      </c>
      <c r="J9" s="4" t="str">
        <f>Sheet!H9</f>
        <v>4to</v>
      </c>
      <c r="K9" s="4" t="str">
        <f>Sheet!I9</f>
        <v>Masculino</v>
      </c>
      <c r="L9" s="4" t="str">
        <f>Sheet!J9</f>
        <v>Activo</v>
      </c>
      <c r="M9" s="4" t="str">
        <f>Sheet!K9</f>
        <v xml:space="preserve">AUTO 4°   </v>
      </c>
    </row>
    <row r="10" spans="1:13" x14ac:dyDescent="0.35">
      <c r="A10" t="s">
        <v>1</v>
      </c>
      <c r="B10" s="5" t="s">
        <v>10</v>
      </c>
      <c r="C10" s="4" t="s">
        <v>535</v>
      </c>
      <c r="D10" s="4" t="s">
        <v>864</v>
      </c>
      <c r="E10" t="s">
        <v>2417</v>
      </c>
      <c r="F10" t="str">
        <f>CONCATENATE("'",Sheet!E10)</f>
        <v>'109374</v>
      </c>
      <c r="G10" t="s">
        <v>1736</v>
      </c>
      <c r="H10" s="4" t="str">
        <f>Sheet!F10</f>
        <v>TAPIA CORRIPIO ADRIAN ASSIS</v>
      </c>
      <c r="I10" s="4" t="str">
        <f>Sheet!G10</f>
        <v>INGENIERIA AEROESPACIAL</v>
      </c>
      <c r="J10" s="4" t="str">
        <f>Sheet!H10</f>
        <v>6to</v>
      </c>
      <c r="K10" s="4" t="str">
        <f>Sheet!I10</f>
        <v>Masculino</v>
      </c>
      <c r="L10" s="4" t="str">
        <f>Sheet!J10</f>
        <v>Activo</v>
      </c>
      <c r="M10" s="4" t="str">
        <f>Sheet!K10</f>
        <v xml:space="preserve">AERO 6°   </v>
      </c>
    </row>
    <row r="11" spans="1:13" x14ac:dyDescent="0.35">
      <c r="A11" t="s">
        <v>1</v>
      </c>
      <c r="B11" s="5" t="s">
        <v>11</v>
      </c>
      <c r="C11" s="4" t="s">
        <v>532</v>
      </c>
      <c r="D11" s="4" t="s">
        <v>607</v>
      </c>
      <c r="E11" t="s">
        <v>2420</v>
      </c>
      <c r="F11" t="str">
        <f>CONCATENATE("'",Sheet!E11)</f>
        <v>'111793</v>
      </c>
      <c r="G11" t="s">
        <v>1736</v>
      </c>
      <c r="H11" s="4" t="str">
        <f>Sheet!F11</f>
        <v>VEGA CASTAÑEDA ADRIAN BRYANT</v>
      </c>
      <c r="I11" s="4" t="str">
        <f>Sheet!G11</f>
        <v>PSICOLOGIA</v>
      </c>
      <c r="J11" s="4" t="str">
        <f>Sheet!H11</f>
        <v>4to</v>
      </c>
      <c r="K11" s="4" t="str">
        <f>Sheet!I11</f>
        <v>Masculino</v>
      </c>
      <c r="L11" s="4" t="str">
        <f>Sheet!J11</f>
        <v>Activo</v>
      </c>
      <c r="M11" s="4" t="str">
        <f>Sheet!K11</f>
        <v xml:space="preserve">PSI 4°    </v>
      </c>
    </row>
    <row r="12" spans="1:13" x14ac:dyDescent="0.35">
      <c r="A12" t="s">
        <v>1</v>
      </c>
      <c r="B12" s="5" t="s">
        <v>12</v>
      </c>
      <c r="C12" s="4" t="s">
        <v>536</v>
      </c>
      <c r="D12" s="4" t="s">
        <v>660</v>
      </c>
      <c r="E12" t="s">
        <v>2423</v>
      </c>
      <c r="F12" t="str">
        <f>CONCATENATE("'",Sheet!E12)</f>
        <v>'112223</v>
      </c>
      <c r="G12" t="s">
        <v>1736</v>
      </c>
      <c r="H12" s="4" t="str">
        <f>Sheet!F12</f>
        <v>MORALES ORTIZ ADRIAN ENRIQUE</v>
      </c>
      <c r="I12" s="4" t="str">
        <f>Sheet!G12</f>
        <v>INGENIERIA AEROESPACIAL</v>
      </c>
      <c r="J12" s="4" t="str">
        <f>Sheet!H12</f>
        <v>2do</v>
      </c>
      <c r="K12" s="4" t="str">
        <f>Sheet!I12</f>
        <v>Masculino</v>
      </c>
      <c r="L12" s="4" t="str">
        <f>Sheet!J12</f>
        <v>Activo</v>
      </c>
      <c r="M12" s="4" t="str">
        <f>Sheet!K12</f>
        <v xml:space="preserve">AERO 2°A  </v>
      </c>
    </row>
    <row r="13" spans="1:13" x14ac:dyDescent="0.35">
      <c r="A13" t="s">
        <v>1</v>
      </c>
      <c r="B13" s="5" t="s">
        <v>13</v>
      </c>
      <c r="C13" s="4" t="s">
        <v>537</v>
      </c>
      <c r="D13" s="4" t="s">
        <v>865</v>
      </c>
      <c r="E13" t="s">
        <v>2408</v>
      </c>
      <c r="F13" t="str">
        <f>CONCATENATE("'",Sheet!E13)</f>
        <v>'111068</v>
      </c>
      <c r="G13" t="s">
        <v>1736</v>
      </c>
      <c r="H13" s="4" t="str">
        <f>Sheet!F13</f>
        <v>AMARO BALTIERRA ADRIANA</v>
      </c>
      <c r="I13" s="4" t="str">
        <f>Sheet!G13</f>
        <v>INGENIERIA AEROESPACIAL</v>
      </c>
      <c r="J13" s="4" t="str">
        <f>Sheet!H13</f>
        <v>6to</v>
      </c>
      <c r="K13" s="4" t="str">
        <f>Sheet!I13</f>
        <v>Femenino</v>
      </c>
      <c r="L13" s="4" t="str">
        <f>Sheet!J13</f>
        <v>Activo</v>
      </c>
      <c r="M13" s="4" t="str">
        <f>Sheet!K13</f>
        <v xml:space="preserve">AERO 6°   </v>
      </c>
    </row>
    <row r="14" spans="1:13" x14ac:dyDescent="0.35">
      <c r="A14" t="s">
        <v>1</v>
      </c>
      <c r="B14" s="5" t="s">
        <v>13</v>
      </c>
      <c r="C14" s="4" t="s">
        <v>538</v>
      </c>
      <c r="D14" s="4" t="s">
        <v>627</v>
      </c>
      <c r="E14" t="s">
        <v>2411</v>
      </c>
      <c r="F14" t="str">
        <f>CONCATENATE("'",Sheet!E14)</f>
        <v>'112225</v>
      </c>
      <c r="G14" t="s">
        <v>1736</v>
      </c>
      <c r="H14" s="4" t="str">
        <f>Sheet!F14</f>
        <v>ZAVALA FLORES ADRIANA</v>
      </c>
      <c r="I14" s="4" t="str">
        <f>Sheet!G14</f>
        <v>INGENIERIA AEROESPACIAL</v>
      </c>
      <c r="J14" s="4" t="str">
        <f>Sheet!H14</f>
        <v>2do</v>
      </c>
      <c r="K14" s="4" t="str">
        <f>Sheet!I14</f>
        <v>Femenino</v>
      </c>
      <c r="L14" s="4" t="str">
        <f>Sheet!J14</f>
        <v>Activo</v>
      </c>
      <c r="M14" s="4" t="str">
        <f>Sheet!K14</f>
        <v xml:space="preserve">AERO 2°B  </v>
      </c>
    </row>
    <row r="15" spans="1:13" x14ac:dyDescent="0.35">
      <c r="A15" t="s">
        <v>1</v>
      </c>
      <c r="B15" s="5" t="s">
        <v>14</v>
      </c>
      <c r="C15" s="4" t="s">
        <v>539</v>
      </c>
      <c r="D15" s="4" t="s">
        <v>636</v>
      </c>
      <c r="E15" t="s">
        <v>2414</v>
      </c>
      <c r="F15" t="str">
        <f>CONCATENATE("'",Sheet!E15)</f>
        <v>'111179</v>
      </c>
      <c r="G15" t="s">
        <v>1736</v>
      </c>
      <c r="H15" s="4" t="str">
        <f>Sheet!F15</f>
        <v>RODRIGUEZ MARTINEZ ADRIANA PAOLA</v>
      </c>
      <c r="I15" s="4" t="str">
        <f>Sheet!G15</f>
        <v>ANIMACION DIGITAL Y VIDEOJUEGOS</v>
      </c>
      <c r="J15" s="4" t="str">
        <f>Sheet!H15</f>
        <v>6to</v>
      </c>
      <c r="K15" s="4" t="str">
        <f>Sheet!I15</f>
        <v>Femenino</v>
      </c>
      <c r="L15" s="4" t="str">
        <f>Sheet!J15</f>
        <v>Activo</v>
      </c>
      <c r="M15" s="4" t="str">
        <f>Sheet!K15</f>
        <v xml:space="preserve">ANIM 6°   </v>
      </c>
    </row>
    <row r="16" spans="1:13" x14ac:dyDescent="0.35">
      <c r="A16" t="s">
        <v>1</v>
      </c>
      <c r="B16" s="5" t="s">
        <v>15</v>
      </c>
      <c r="C16" s="4" t="s">
        <v>540</v>
      </c>
      <c r="D16" s="4" t="s">
        <v>866</v>
      </c>
      <c r="E16" t="s">
        <v>2426</v>
      </c>
      <c r="F16" t="str">
        <f>CONCATENATE("'",Sheet!E16)</f>
        <v>'111763</v>
      </c>
      <c r="G16" t="s">
        <v>1736</v>
      </c>
      <c r="H16" s="4" t="str">
        <f>Sheet!F16</f>
        <v>MIRANDA GUERRA AIRAM VICTORIA</v>
      </c>
      <c r="I16" s="4" t="str">
        <f>Sheet!G16</f>
        <v>INGENIERIA AEROESPACIAL</v>
      </c>
      <c r="J16" s="4" t="str">
        <f>Sheet!H16</f>
        <v>4to</v>
      </c>
      <c r="K16" s="4" t="str">
        <f>Sheet!I16</f>
        <v>Femenino</v>
      </c>
      <c r="L16" s="4" t="str">
        <f>Sheet!J16</f>
        <v>Activo</v>
      </c>
      <c r="M16" s="4" t="str">
        <f>Sheet!K16</f>
        <v xml:space="preserve">AERO 4°A  </v>
      </c>
    </row>
    <row r="17" spans="1:13" x14ac:dyDescent="0.35">
      <c r="A17" t="s">
        <v>1</v>
      </c>
      <c r="B17" s="5" t="s">
        <v>16</v>
      </c>
      <c r="C17" s="4" t="s">
        <v>541</v>
      </c>
      <c r="D17" s="4" t="s">
        <v>867</v>
      </c>
      <c r="E17" t="s">
        <v>2429</v>
      </c>
      <c r="F17" t="str">
        <f>CONCATENATE("'",Sheet!E17)</f>
        <v>'110549</v>
      </c>
      <c r="G17" t="s">
        <v>1736</v>
      </c>
      <c r="H17" s="4" t="str">
        <f>Sheet!F17</f>
        <v>YAMAGUCHI RAZO AKARI ANDREA</v>
      </c>
      <c r="I17" s="4" t="str">
        <f>Sheet!G17</f>
        <v>ANIMACION DIGITAL Y VIDEOJUEGOS</v>
      </c>
      <c r="J17" s="4" t="str">
        <f>Sheet!H17</f>
        <v>8vo</v>
      </c>
      <c r="K17" s="4" t="str">
        <f>Sheet!I17</f>
        <v>Femenino</v>
      </c>
      <c r="L17" s="4" t="str">
        <f>Sheet!J17</f>
        <v>Activo</v>
      </c>
      <c r="M17" s="4" t="str">
        <f>Sheet!K17</f>
        <v xml:space="preserve">ANIM 8°   </v>
      </c>
    </row>
    <row r="18" spans="1:13" x14ac:dyDescent="0.35">
      <c r="A18" t="s">
        <v>1</v>
      </c>
      <c r="B18" s="5" t="s">
        <v>17</v>
      </c>
      <c r="C18" s="4" t="s">
        <v>542</v>
      </c>
      <c r="D18" s="4" t="s">
        <v>570</v>
      </c>
      <c r="E18" t="s">
        <v>2432</v>
      </c>
      <c r="F18" t="str">
        <f>CONCATENATE("'",Sheet!E18)</f>
        <v>'112160</v>
      </c>
      <c r="G18" t="s">
        <v>1736</v>
      </c>
      <c r="H18" s="4" t="str">
        <f>Sheet!F18</f>
        <v>ANGULO JIMENEZ ALAN</v>
      </c>
      <c r="I18" s="4" t="str">
        <f>Sheet!G18</f>
        <v>INGENIERÍA EN INTELIGENCIA ARTIFICIAL</v>
      </c>
      <c r="J18" s="4" t="str">
        <f>Sheet!H18</f>
        <v>2do</v>
      </c>
      <c r="K18" s="4" t="str">
        <f>Sheet!I18</f>
        <v>Masculino</v>
      </c>
      <c r="L18" s="4" t="str">
        <f>Sheet!J18</f>
        <v>Activo</v>
      </c>
      <c r="M18" s="4" t="str">
        <f>Sheet!K18</f>
        <v xml:space="preserve">IA 2°     </v>
      </c>
    </row>
    <row r="19" spans="1:13" x14ac:dyDescent="0.35">
      <c r="A19" t="s">
        <v>1</v>
      </c>
      <c r="B19" s="5" t="s">
        <v>18</v>
      </c>
      <c r="C19" s="4" t="s">
        <v>543</v>
      </c>
      <c r="D19" s="4" t="s">
        <v>589</v>
      </c>
      <c r="E19" t="s">
        <v>2435</v>
      </c>
      <c r="F19" t="str">
        <f>CONCATENATE("'",Sheet!E19)</f>
        <v>'112166</v>
      </c>
      <c r="G19" t="s">
        <v>1736</v>
      </c>
      <c r="H19" s="4" t="str">
        <f>Sheet!F19</f>
        <v>VAZQUEZ GARCIA ALAN ENRIQUE</v>
      </c>
      <c r="I19" s="4" t="str">
        <f>Sheet!G19</f>
        <v>INGENIERÍA AUTOMOTRIZ</v>
      </c>
      <c r="J19" s="4" t="str">
        <f>Sheet!H19</f>
        <v>2do</v>
      </c>
      <c r="K19" s="4" t="str">
        <f>Sheet!I19</f>
        <v>Masculino</v>
      </c>
      <c r="L19" s="4" t="str">
        <f>Sheet!J19</f>
        <v>Activo</v>
      </c>
      <c r="M19" s="4" t="str">
        <f>Sheet!K19</f>
        <v xml:space="preserve">AUTO 2° A </v>
      </c>
    </row>
    <row r="20" spans="1:13" x14ac:dyDescent="0.35">
      <c r="A20" t="s">
        <v>1</v>
      </c>
      <c r="B20" s="5" t="s">
        <v>19</v>
      </c>
      <c r="C20" s="4" t="s">
        <v>544</v>
      </c>
      <c r="D20" s="4" t="s">
        <v>630</v>
      </c>
      <c r="E20" t="s">
        <v>2438</v>
      </c>
      <c r="F20" t="str">
        <f>CONCATENATE("'",Sheet!E20)</f>
        <v>'110421</v>
      </c>
      <c r="G20" t="s">
        <v>1736</v>
      </c>
      <c r="H20" s="4" t="str">
        <f>Sheet!F20</f>
        <v>HERNANDEZ CASTILLO ALAN OSWALDO</v>
      </c>
      <c r="I20" s="4" t="str">
        <f>Sheet!G20</f>
        <v>ADMINISTRACION Y DIRECCION DE NEGOCIOS</v>
      </c>
      <c r="J20" s="4" t="str">
        <f>Sheet!H20</f>
        <v>8vo</v>
      </c>
      <c r="K20" s="4" t="str">
        <f>Sheet!I20</f>
        <v>Masculino</v>
      </c>
      <c r="L20" s="4" t="str">
        <f>Sheet!J20</f>
        <v>Activo</v>
      </c>
      <c r="M20" s="4" t="str">
        <f>Sheet!K20</f>
        <v xml:space="preserve">ADMON 8°  </v>
      </c>
    </row>
    <row r="21" spans="1:13" x14ac:dyDescent="0.35">
      <c r="A21" t="s">
        <v>1</v>
      </c>
      <c r="B21" s="5" t="s">
        <v>20</v>
      </c>
      <c r="C21" s="4" t="s">
        <v>543</v>
      </c>
      <c r="D21" s="4" t="s">
        <v>569</v>
      </c>
      <c r="E21" t="s">
        <v>2441</v>
      </c>
      <c r="F21" t="str">
        <f>CONCATENATE("'",Sheet!E21)</f>
        <v>'111193</v>
      </c>
      <c r="G21" t="s">
        <v>1736</v>
      </c>
      <c r="H21" s="4" t="str">
        <f>Sheet!F21</f>
        <v>VAZQUEZ OCHOA ALAN YAEL</v>
      </c>
      <c r="I21" s="4" t="str">
        <f>Sheet!G21</f>
        <v>INGENIERÍA AUTOMOTRIZ</v>
      </c>
      <c r="J21" s="4" t="str">
        <f>Sheet!H21</f>
        <v>6to</v>
      </c>
      <c r="K21" s="4" t="str">
        <f>Sheet!I21</f>
        <v>Masculino</v>
      </c>
      <c r="L21" s="4" t="str">
        <f>Sheet!J21</f>
        <v>Activo</v>
      </c>
      <c r="M21" s="4" t="str">
        <f>Sheet!K21</f>
        <v xml:space="preserve">AUTO 6°   </v>
      </c>
    </row>
    <row r="22" spans="1:13" x14ac:dyDescent="0.35">
      <c r="A22" t="s">
        <v>1</v>
      </c>
      <c r="B22" s="5" t="s">
        <v>21</v>
      </c>
      <c r="C22" s="4" t="s">
        <v>545</v>
      </c>
      <c r="D22" s="4" t="s">
        <v>613</v>
      </c>
      <c r="E22" t="s">
        <v>2444</v>
      </c>
      <c r="F22" t="str">
        <f>CONCATENATE("'",Sheet!E22)</f>
        <v>'111159</v>
      </c>
      <c r="G22" t="s">
        <v>1736</v>
      </c>
      <c r="H22" s="4" t="str">
        <f>Sheet!F22</f>
        <v>LARIOS IÑIGUEZ ALBERTO</v>
      </c>
      <c r="I22" s="4" t="str">
        <f>Sheet!G22</f>
        <v>NUTRICION Y GASTRONOMIA</v>
      </c>
      <c r="J22" s="4" t="str">
        <f>Sheet!H22</f>
        <v>6to</v>
      </c>
      <c r="K22" s="4" t="str">
        <f>Sheet!I22</f>
        <v>Masculino</v>
      </c>
      <c r="L22" s="4" t="str">
        <f>Sheet!J22</f>
        <v>Activo</v>
      </c>
      <c r="M22" s="4" t="str">
        <f>Sheet!K22</f>
        <v xml:space="preserve">NUT 6°    </v>
      </c>
    </row>
    <row r="23" spans="1:13" x14ac:dyDescent="0.35">
      <c r="A23" t="s">
        <v>1</v>
      </c>
      <c r="B23" s="5" t="s">
        <v>22</v>
      </c>
      <c r="C23" s="4" t="s">
        <v>546</v>
      </c>
      <c r="D23" s="4" t="s">
        <v>591</v>
      </c>
      <c r="E23" t="s">
        <v>2447</v>
      </c>
      <c r="F23" t="str">
        <f>CONCATENATE("'",Sheet!E23)</f>
        <v>'109997</v>
      </c>
      <c r="G23" t="s">
        <v>1736</v>
      </c>
      <c r="H23" s="4" t="str">
        <f>Sheet!F23</f>
        <v>OJEDA GUTIERREZ ALBERTO JAVIER</v>
      </c>
      <c r="I23" s="4" t="str">
        <f>Sheet!G23</f>
        <v>INGENIERIA AEROESPACIAL</v>
      </c>
      <c r="J23" s="4" t="str">
        <f>Sheet!H23</f>
        <v>10mo</v>
      </c>
      <c r="K23" s="4" t="str">
        <f>Sheet!I23</f>
        <v>Masculino</v>
      </c>
      <c r="L23" s="4" t="str">
        <f>Sheet!J23</f>
        <v>Activo</v>
      </c>
      <c r="M23" s="4" t="str">
        <f>Sheet!K23</f>
        <v xml:space="preserve">AERO_10°  </v>
      </c>
    </row>
    <row r="24" spans="1:13" x14ac:dyDescent="0.35">
      <c r="A24" t="s">
        <v>1</v>
      </c>
      <c r="B24" s="5" t="s">
        <v>23</v>
      </c>
      <c r="C24" s="4" t="s">
        <v>547</v>
      </c>
      <c r="D24" s="4" t="s">
        <v>627</v>
      </c>
      <c r="E24" t="s">
        <v>2450</v>
      </c>
      <c r="F24" t="str">
        <f>CONCATENATE("'",Sheet!E24)</f>
        <v>'111618</v>
      </c>
      <c r="G24" t="s">
        <v>1736</v>
      </c>
      <c r="H24" s="4" t="str">
        <f>Sheet!F24</f>
        <v>NERI FLORES ALEJANDRA</v>
      </c>
      <c r="I24" s="4" t="str">
        <f>Sheet!G24</f>
        <v>ARQUITECTURA</v>
      </c>
      <c r="J24" s="4" t="str">
        <f>Sheet!H24</f>
        <v>4to</v>
      </c>
      <c r="K24" s="4" t="str">
        <f>Sheet!I24</f>
        <v>Femenino</v>
      </c>
      <c r="L24" s="4" t="str">
        <f>Sheet!J24</f>
        <v>Activo</v>
      </c>
      <c r="M24" s="4" t="str">
        <f>Sheet!K24</f>
        <v xml:space="preserve">ARQ 4°    </v>
      </c>
    </row>
    <row r="25" spans="1:13" x14ac:dyDescent="0.35">
      <c r="A25" t="s">
        <v>1</v>
      </c>
      <c r="B25" s="5" t="s">
        <v>23</v>
      </c>
      <c r="C25" s="4" t="s">
        <v>548</v>
      </c>
      <c r="D25" s="4" t="s">
        <v>868</v>
      </c>
      <c r="E25" t="s">
        <v>2453</v>
      </c>
      <c r="F25" t="str">
        <f>CONCATENATE("'",Sheet!E25)</f>
        <v>'111819</v>
      </c>
      <c r="G25" t="s">
        <v>1736</v>
      </c>
      <c r="H25" s="4" t="str">
        <f>Sheet!F25</f>
        <v>PEREZ LIMON ALEJANDRA</v>
      </c>
      <c r="I25" s="4" t="str">
        <f>Sheet!G25</f>
        <v>PSICOLOGIA</v>
      </c>
      <c r="J25" s="4" t="str">
        <f>Sheet!H25</f>
        <v>4to</v>
      </c>
      <c r="K25" s="4" t="str">
        <f>Sheet!I25</f>
        <v>Femenino</v>
      </c>
      <c r="L25" s="4" t="str">
        <f>Sheet!J25</f>
        <v>Activo</v>
      </c>
      <c r="M25" s="4" t="str">
        <f>Sheet!K25</f>
        <v xml:space="preserve">PSI 4°    </v>
      </c>
    </row>
    <row r="26" spans="1:13" x14ac:dyDescent="0.35">
      <c r="A26" t="s">
        <v>1</v>
      </c>
      <c r="B26" s="5" t="s">
        <v>24</v>
      </c>
      <c r="C26" s="4" t="s">
        <v>549</v>
      </c>
      <c r="D26" s="4" t="s">
        <v>621</v>
      </c>
      <c r="E26" t="s">
        <v>2456</v>
      </c>
      <c r="F26" t="str">
        <f>CONCATENATE("'",Sheet!E26)</f>
        <v>'008268</v>
      </c>
      <c r="G26" t="s">
        <v>1736</v>
      </c>
      <c r="H26" s="4" t="str">
        <f>Sheet!F26</f>
        <v>ALVAREZ LOPEZ ALEJANDRO</v>
      </c>
      <c r="I26" s="4" t="str">
        <f>Sheet!G26</f>
        <v>ARQUITECTURA</v>
      </c>
      <c r="J26" s="4" t="str">
        <f>Sheet!H26</f>
        <v>2do</v>
      </c>
      <c r="K26" s="4" t="str">
        <f>Sheet!I26</f>
        <v>Masculino</v>
      </c>
      <c r="L26" s="4" t="str">
        <f>Sheet!J26</f>
        <v>Activo</v>
      </c>
      <c r="M26" s="4" t="str">
        <f>Sheet!K26</f>
        <v xml:space="preserve">ARQ 2°    </v>
      </c>
    </row>
    <row r="27" spans="1:13" x14ac:dyDescent="0.35">
      <c r="A27" t="s">
        <v>1</v>
      </c>
      <c r="B27" s="5" t="s">
        <v>24</v>
      </c>
      <c r="C27" s="4" t="s">
        <v>550</v>
      </c>
      <c r="D27" s="4" t="s">
        <v>727</v>
      </c>
      <c r="E27" t="s">
        <v>2459</v>
      </c>
      <c r="F27" t="str">
        <f>CONCATENATE("'",Sheet!E27)</f>
        <v>'109839</v>
      </c>
      <c r="G27" t="s">
        <v>1736</v>
      </c>
      <c r="H27" s="4" t="str">
        <f>Sheet!F27</f>
        <v>BARAJAS ARIAS ALEJANDRO</v>
      </c>
      <c r="I27" s="4" t="str">
        <f>Sheet!G27</f>
        <v>INGENIERIA AEROESPACIAL</v>
      </c>
      <c r="J27" s="4" t="str">
        <f>Sheet!H27</f>
        <v>10mo</v>
      </c>
      <c r="K27" s="4" t="str">
        <f>Sheet!I27</f>
        <v>Masculino</v>
      </c>
      <c r="L27" s="4" t="str">
        <f>Sheet!J27</f>
        <v>Activo</v>
      </c>
      <c r="M27" s="4" t="str">
        <f>Sheet!K27</f>
        <v xml:space="preserve">AERO_10°  </v>
      </c>
    </row>
    <row r="28" spans="1:13" x14ac:dyDescent="0.35">
      <c r="A28" t="s">
        <v>1</v>
      </c>
      <c r="B28" s="5" t="s">
        <v>24</v>
      </c>
      <c r="C28" s="4" t="s">
        <v>551</v>
      </c>
      <c r="D28" s="4" t="s">
        <v>869</v>
      </c>
      <c r="E28" t="s">
        <v>2462</v>
      </c>
      <c r="F28" t="str">
        <f>CONCATENATE("'",Sheet!E28)</f>
        <v>'112182</v>
      </c>
      <c r="G28" t="s">
        <v>1736</v>
      </c>
      <c r="H28" s="4" t="str">
        <f>Sheet!F28</f>
        <v>CEJA CORRALES ALEJANDRO</v>
      </c>
      <c r="I28" s="4" t="str">
        <f>Sheet!G28</f>
        <v>ADMINISTRACION Y DIRECCION DE NEGOCIOS</v>
      </c>
      <c r="J28" s="4" t="str">
        <f>Sheet!H28</f>
        <v>2do</v>
      </c>
      <c r="K28" s="4" t="str">
        <f>Sheet!I28</f>
        <v>Masculino</v>
      </c>
      <c r="L28" s="4" t="str">
        <f>Sheet!J28</f>
        <v>Activo</v>
      </c>
      <c r="M28" s="4" t="str">
        <f>Sheet!K28</f>
        <v xml:space="preserve">ADMON 2°  </v>
      </c>
    </row>
    <row r="29" spans="1:13" x14ac:dyDescent="0.35">
      <c r="A29" t="s">
        <v>1</v>
      </c>
      <c r="B29" s="5" t="s">
        <v>24</v>
      </c>
      <c r="C29" s="4" t="s">
        <v>552</v>
      </c>
      <c r="D29" s="4" t="s">
        <v>870</v>
      </c>
      <c r="E29" t="s">
        <v>2465</v>
      </c>
      <c r="F29" t="str">
        <f>CONCATENATE("'",Sheet!E29)</f>
        <v>'111687</v>
      </c>
      <c r="G29" t="s">
        <v>1736</v>
      </c>
      <c r="H29" s="4" t="str">
        <f>Sheet!F29</f>
        <v>DOMINGUEZ HERVERT ALEJANDRO</v>
      </c>
      <c r="I29" s="4" t="str">
        <f>Sheet!G29</f>
        <v>INGENIERIA AEROESPACIAL</v>
      </c>
      <c r="J29" s="4" t="str">
        <f>Sheet!H29</f>
        <v>4to</v>
      </c>
      <c r="K29" s="4" t="str">
        <f>Sheet!I29</f>
        <v>Masculino</v>
      </c>
      <c r="L29" s="4" t="str">
        <f>Sheet!J29</f>
        <v>Activo</v>
      </c>
      <c r="M29" s="4" t="str">
        <f>Sheet!K29</f>
        <v xml:space="preserve">AERO 4°A  </v>
      </c>
    </row>
    <row r="30" spans="1:13" x14ac:dyDescent="0.35">
      <c r="A30" t="s">
        <v>1</v>
      </c>
      <c r="B30" s="5" t="s">
        <v>24</v>
      </c>
      <c r="C30" s="4" t="s">
        <v>553</v>
      </c>
      <c r="D30" s="4" t="s">
        <v>762</v>
      </c>
      <c r="E30" t="s">
        <v>2468</v>
      </c>
      <c r="F30" t="str">
        <f>CONCATENATE("'",Sheet!E30)</f>
        <v>'111677</v>
      </c>
      <c r="G30" t="s">
        <v>1736</v>
      </c>
      <c r="H30" s="4" t="str">
        <f>Sheet!F30</f>
        <v>PALACIOS REYES ALEJANDRO</v>
      </c>
      <c r="I30" s="4" t="str">
        <f>Sheet!G30</f>
        <v>INGENIERIA AEROESPACIAL</v>
      </c>
      <c r="J30" s="4" t="str">
        <f>Sheet!H30</f>
        <v>4to</v>
      </c>
      <c r="K30" s="4" t="str">
        <f>Sheet!I30</f>
        <v>Masculino</v>
      </c>
      <c r="L30" s="4" t="str">
        <f>Sheet!J30</f>
        <v>Activo</v>
      </c>
      <c r="M30" s="4" t="str">
        <f>Sheet!K30</f>
        <v xml:space="preserve">AERO 4°B  </v>
      </c>
    </row>
    <row r="31" spans="1:13" x14ac:dyDescent="0.35">
      <c r="A31" t="s">
        <v>1</v>
      </c>
      <c r="B31" s="5" t="s">
        <v>24</v>
      </c>
      <c r="C31" s="4" t="s">
        <v>554</v>
      </c>
      <c r="D31" s="4" t="s">
        <v>871</v>
      </c>
      <c r="E31" t="s">
        <v>2471</v>
      </c>
      <c r="F31" t="str">
        <f>CONCATENATE("'",Sheet!E31)</f>
        <v>'111827</v>
      </c>
      <c r="G31" t="s">
        <v>1736</v>
      </c>
      <c r="H31" s="4" t="str">
        <f>Sheet!F31</f>
        <v>SOLIS ARRIOLA ALEJANDRO</v>
      </c>
      <c r="I31" s="4" t="str">
        <f>Sheet!G31</f>
        <v>ADMINISTRACION Y DIRECCION DE NEGOCIOS</v>
      </c>
      <c r="J31" s="4" t="str">
        <f>Sheet!H31</f>
        <v>4to</v>
      </c>
      <c r="K31" s="4" t="str">
        <f>Sheet!I31</f>
        <v>Masculino</v>
      </c>
      <c r="L31" s="4" t="str">
        <f>Sheet!J31</f>
        <v>Activo</v>
      </c>
      <c r="M31" s="4" t="str">
        <f>Sheet!K31</f>
        <v xml:space="preserve">ADMON 4°  </v>
      </c>
    </row>
    <row r="32" spans="1:13" x14ac:dyDescent="0.35">
      <c r="A32" t="s">
        <v>1</v>
      </c>
      <c r="B32" s="5" t="s">
        <v>25</v>
      </c>
      <c r="C32" s="4" t="s">
        <v>555</v>
      </c>
      <c r="D32" s="4" t="s">
        <v>738</v>
      </c>
      <c r="E32" t="s">
        <v>2474</v>
      </c>
      <c r="F32" t="str">
        <f>CONCATENATE("'",Sheet!E32)</f>
        <v>'111082</v>
      </c>
      <c r="G32" t="s">
        <v>1736</v>
      </c>
      <c r="H32" s="4" t="str">
        <f>Sheet!F32</f>
        <v>MOYA ROBLES ALEXA</v>
      </c>
      <c r="I32" s="4" t="str">
        <f>Sheet!G32</f>
        <v>PSICOLOGIA</v>
      </c>
      <c r="J32" s="4" t="str">
        <f>Sheet!H32</f>
        <v>6to</v>
      </c>
      <c r="K32" s="4" t="str">
        <f>Sheet!I32</f>
        <v>Femenino</v>
      </c>
      <c r="L32" s="4" t="str">
        <f>Sheet!J32</f>
        <v>Activo</v>
      </c>
      <c r="M32" s="4" t="str">
        <f>Sheet!K32</f>
        <v xml:space="preserve">PSI 6°    </v>
      </c>
    </row>
    <row r="33" spans="1:13" x14ac:dyDescent="0.35">
      <c r="A33" t="s">
        <v>1</v>
      </c>
      <c r="B33" s="5" t="s">
        <v>26</v>
      </c>
      <c r="C33" s="4" t="s">
        <v>556</v>
      </c>
      <c r="D33" s="4" t="s">
        <v>872</v>
      </c>
      <c r="E33" t="s">
        <v>2477</v>
      </c>
      <c r="F33" t="str">
        <f>CONCATENATE("'",Sheet!E33)</f>
        <v>'110525</v>
      </c>
      <c r="G33" t="s">
        <v>1736</v>
      </c>
      <c r="H33" s="4" t="str">
        <f>Sheet!F33</f>
        <v>TRUJILLO NAPOLES ALEXA VIANEY</v>
      </c>
      <c r="I33" s="4" t="str">
        <f>Sheet!G33</f>
        <v>PSICOLOGIA</v>
      </c>
      <c r="J33" s="4" t="str">
        <f>Sheet!H33</f>
        <v>8vo</v>
      </c>
      <c r="K33" s="4" t="str">
        <f>Sheet!I33</f>
        <v>Femenino</v>
      </c>
      <c r="L33" s="4" t="str">
        <f>Sheet!J33</f>
        <v>Activo</v>
      </c>
      <c r="M33" s="4" t="str">
        <f>Sheet!K33</f>
        <v xml:space="preserve">PSI 8°    </v>
      </c>
    </row>
    <row r="34" spans="1:13" x14ac:dyDescent="0.35">
      <c r="A34" t="s">
        <v>1</v>
      </c>
      <c r="B34" s="5" t="s">
        <v>27</v>
      </c>
      <c r="C34" s="4" t="s">
        <v>557</v>
      </c>
      <c r="D34" s="4" t="s">
        <v>873</v>
      </c>
      <c r="E34" t="s">
        <v>2480</v>
      </c>
      <c r="F34" t="str">
        <f>CONCATENATE("'",Sheet!E34)</f>
        <v>'110596</v>
      </c>
      <c r="G34" t="s">
        <v>1736</v>
      </c>
      <c r="H34" s="4" t="str">
        <f>Sheet!F34</f>
        <v>ROSALES VARGAS ALFONSO</v>
      </c>
      <c r="I34" s="4" t="str">
        <f>Sheet!G34</f>
        <v>NUTRICION Y GASTRONOMIA</v>
      </c>
      <c r="J34" s="4" t="str">
        <f>Sheet!H34</f>
        <v>8vo</v>
      </c>
      <c r="K34" s="4" t="str">
        <f>Sheet!I34</f>
        <v>Masculino</v>
      </c>
      <c r="L34" s="4" t="str">
        <f>Sheet!J34</f>
        <v>Activo</v>
      </c>
      <c r="M34" s="4" t="str">
        <f>Sheet!K34</f>
        <v xml:space="preserve">NUT 8°    </v>
      </c>
    </row>
    <row r="35" spans="1:13" x14ac:dyDescent="0.35">
      <c r="A35" t="s">
        <v>1</v>
      </c>
      <c r="B35" s="5" t="s">
        <v>28</v>
      </c>
      <c r="C35" s="4" t="s">
        <v>558</v>
      </c>
      <c r="D35" s="4" t="s">
        <v>589</v>
      </c>
      <c r="E35" t="s">
        <v>2483</v>
      </c>
      <c r="F35" t="str">
        <f>CONCATENATE("'",Sheet!E35)</f>
        <v>'111758</v>
      </c>
      <c r="G35" t="s">
        <v>1736</v>
      </c>
      <c r="H35" s="4" t="str">
        <f>Sheet!F35</f>
        <v>SANTOYO GARCIA ALMA DANIELA</v>
      </c>
      <c r="I35" s="4" t="str">
        <f>Sheet!G35</f>
        <v>NUTRICION Y GASTRONOMIA</v>
      </c>
      <c r="J35" s="4" t="str">
        <f>Sheet!H35</f>
        <v>4to</v>
      </c>
      <c r="K35" s="4" t="str">
        <f>Sheet!I35</f>
        <v>Femenino</v>
      </c>
      <c r="L35" s="4" t="str">
        <f>Sheet!J35</f>
        <v>Activo</v>
      </c>
      <c r="M35" s="4" t="str">
        <f>Sheet!K35</f>
        <v xml:space="preserve">NUT 4°    </v>
      </c>
    </row>
    <row r="36" spans="1:13" x14ac:dyDescent="0.35">
      <c r="A36" t="s">
        <v>1</v>
      </c>
      <c r="B36" s="5" t="s">
        <v>29</v>
      </c>
      <c r="C36" s="4" t="s">
        <v>559</v>
      </c>
      <c r="D36" s="4" t="s">
        <v>610</v>
      </c>
      <c r="E36" t="s">
        <v>2486</v>
      </c>
      <c r="F36" t="str">
        <f>CONCATENATE("'",Sheet!E36)</f>
        <v>'109846</v>
      </c>
      <c r="G36" t="s">
        <v>1736</v>
      </c>
      <c r="H36" s="4" t="str">
        <f>Sheet!F36</f>
        <v>ARREDONDO BAUTISTA ALONDRA</v>
      </c>
      <c r="I36" s="4" t="str">
        <f>Sheet!G36</f>
        <v>INGENIERIA AEROESPACIAL</v>
      </c>
      <c r="J36" s="4" t="str">
        <f>Sheet!H36</f>
        <v>10mo</v>
      </c>
      <c r="K36" s="4" t="str">
        <f>Sheet!I36</f>
        <v>Femenino</v>
      </c>
      <c r="L36" s="4" t="str">
        <f>Sheet!J36</f>
        <v>Activo</v>
      </c>
      <c r="M36" s="4" t="str">
        <f>Sheet!K36</f>
        <v xml:space="preserve">AERO_10°  </v>
      </c>
    </row>
    <row r="37" spans="1:13" x14ac:dyDescent="0.35">
      <c r="A37" t="s">
        <v>1</v>
      </c>
      <c r="B37" s="5" t="s">
        <v>29</v>
      </c>
      <c r="C37" s="4" t="s">
        <v>560</v>
      </c>
      <c r="D37" s="4" t="s">
        <v>874</v>
      </c>
      <c r="E37" t="s">
        <v>2489</v>
      </c>
      <c r="F37" t="str">
        <f>CONCATENATE("'",Sheet!E37)</f>
        <v>'111091</v>
      </c>
      <c r="G37" t="s">
        <v>1736</v>
      </c>
      <c r="H37" s="4" t="str">
        <f>Sheet!F37</f>
        <v>RAMOS AVALOS ALONDRA</v>
      </c>
      <c r="I37" s="4" t="str">
        <f>Sheet!G37</f>
        <v>ANIMACION DIGITAL Y VIDEOJUEGOS</v>
      </c>
      <c r="J37" s="4" t="str">
        <f>Sheet!H37</f>
        <v>6to</v>
      </c>
      <c r="K37" s="4" t="str">
        <f>Sheet!I37</f>
        <v>Femenino</v>
      </c>
      <c r="L37" s="4" t="str">
        <f>Sheet!J37</f>
        <v>Activo</v>
      </c>
      <c r="M37" s="4" t="str">
        <f>Sheet!K37</f>
        <v xml:space="preserve">ANIM 6°   </v>
      </c>
    </row>
    <row r="38" spans="1:13" x14ac:dyDescent="0.35">
      <c r="A38" t="s">
        <v>1</v>
      </c>
      <c r="B38" s="5" t="s">
        <v>30</v>
      </c>
      <c r="C38" s="4" t="s">
        <v>531</v>
      </c>
      <c r="D38" s="4" t="s">
        <v>577</v>
      </c>
      <c r="E38" t="s">
        <v>2492</v>
      </c>
      <c r="F38" t="str">
        <f>CONCATENATE("'",Sheet!E38)</f>
        <v>'109856</v>
      </c>
      <c r="G38" t="s">
        <v>1736</v>
      </c>
      <c r="H38" s="4" t="str">
        <f>Sheet!F38</f>
        <v>GONZALEZ OROZCO ALONDRA ARHEMI</v>
      </c>
      <c r="I38" s="4" t="str">
        <f>Sheet!G38</f>
        <v>INGENIERIA AEROESPACIAL</v>
      </c>
      <c r="J38" s="4" t="str">
        <f>Sheet!H38</f>
        <v>10mo</v>
      </c>
      <c r="K38" s="4" t="str">
        <f>Sheet!I38</f>
        <v>Femenino</v>
      </c>
      <c r="L38" s="4" t="str">
        <f>Sheet!J38</f>
        <v>Activo</v>
      </c>
      <c r="M38" s="4" t="str">
        <f>Sheet!K38</f>
        <v xml:space="preserve">AERO_10°  </v>
      </c>
    </row>
    <row r="39" spans="1:13" x14ac:dyDescent="0.35">
      <c r="A39" t="s">
        <v>1</v>
      </c>
      <c r="B39" s="5" t="s">
        <v>31</v>
      </c>
      <c r="C39" s="4" t="s">
        <v>561</v>
      </c>
      <c r="D39" s="4" t="s">
        <v>690</v>
      </c>
      <c r="E39" t="s">
        <v>2495</v>
      </c>
      <c r="F39" t="str">
        <f>CONCATENATE("'",Sheet!E39)</f>
        <v>'111113</v>
      </c>
      <c r="G39" t="s">
        <v>1736</v>
      </c>
      <c r="H39" s="4" t="str">
        <f>Sheet!F39</f>
        <v>VELAZQUEZ CASTRO ALONDRA JAMILETH</v>
      </c>
      <c r="I39" s="4" t="str">
        <f>Sheet!G39</f>
        <v>INGENIERIA AEROESPACIAL</v>
      </c>
      <c r="J39" s="4" t="str">
        <f>Sheet!H39</f>
        <v>6to</v>
      </c>
      <c r="K39" s="4" t="str">
        <f>Sheet!I39</f>
        <v>Femenino</v>
      </c>
      <c r="L39" s="4" t="str">
        <f>Sheet!J39</f>
        <v>Activo</v>
      </c>
      <c r="M39" s="4" t="str">
        <f>Sheet!K39</f>
        <v xml:space="preserve">AERO 6°   </v>
      </c>
    </row>
    <row r="40" spans="1:13" x14ac:dyDescent="0.35">
      <c r="A40" t="s">
        <v>1</v>
      </c>
      <c r="B40" s="5" t="s">
        <v>32</v>
      </c>
      <c r="C40" s="4" t="s">
        <v>560</v>
      </c>
      <c r="D40" s="4" t="s">
        <v>727</v>
      </c>
      <c r="E40" t="s">
        <v>2498</v>
      </c>
      <c r="F40" t="str">
        <f>CONCATENATE("'",Sheet!E40)</f>
        <v>'111074</v>
      </c>
      <c r="G40" t="s">
        <v>1736</v>
      </c>
      <c r="H40" s="4" t="str">
        <f>Sheet!F40</f>
        <v>RAMOS ARIAS ALONDRA MARISOL</v>
      </c>
      <c r="I40" s="4" t="str">
        <f>Sheet!G40</f>
        <v>ARQUITECTURA</v>
      </c>
      <c r="J40" s="4" t="str">
        <f>Sheet!H40</f>
        <v>6to</v>
      </c>
      <c r="K40" s="4" t="str">
        <f>Sheet!I40</f>
        <v>Femenino</v>
      </c>
      <c r="L40" s="4" t="str">
        <f>Sheet!J40</f>
        <v>Activo</v>
      </c>
      <c r="M40" s="4" t="str">
        <f>Sheet!K40</f>
        <v xml:space="preserve">ARQ 6°    </v>
      </c>
    </row>
    <row r="41" spans="1:13" x14ac:dyDescent="0.35">
      <c r="A41" t="s">
        <v>1</v>
      </c>
      <c r="B41" s="5" t="s">
        <v>33</v>
      </c>
      <c r="C41" s="4" t="s">
        <v>562</v>
      </c>
      <c r="D41" s="4" t="s">
        <v>548</v>
      </c>
      <c r="E41" t="s">
        <v>4196</v>
      </c>
      <c r="F41" t="str">
        <f>CONCATENATE("'",Sheet!E41)</f>
        <v>'111100</v>
      </c>
      <c r="G41" t="s">
        <v>1736</v>
      </c>
      <c r="H41" s="4" t="str">
        <f>Sheet!F41</f>
        <v>DE LA PEÑA PEREZ ALVARO</v>
      </c>
      <c r="I41" s="4" t="str">
        <f>Sheet!G41</f>
        <v>INGENIERIA AEROESPACIAL</v>
      </c>
      <c r="J41" s="4" t="str">
        <f>Sheet!H41</f>
        <v>6to</v>
      </c>
      <c r="K41" s="4" t="str">
        <f>Sheet!I41</f>
        <v>Masculino</v>
      </c>
      <c r="L41" s="4" t="str">
        <f>Sheet!J41</f>
        <v>Activo</v>
      </c>
      <c r="M41" s="4" t="str">
        <f>Sheet!K41</f>
        <v xml:space="preserve">AERO 6°   </v>
      </c>
    </row>
    <row r="42" spans="1:13" x14ac:dyDescent="0.35">
      <c r="A42" t="s">
        <v>1</v>
      </c>
      <c r="B42" s="5" t="s">
        <v>34</v>
      </c>
      <c r="C42" s="4" t="s">
        <v>563</v>
      </c>
      <c r="D42" s="4" t="s">
        <v>629</v>
      </c>
      <c r="E42" t="s">
        <v>2501</v>
      </c>
      <c r="F42" t="str">
        <f>CONCATENATE("'",Sheet!E42)</f>
        <v>'112169</v>
      </c>
      <c r="G42" t="s">
        <v>1736</v>
      </c>
      <c r="H42" s="4" t="str">
        <f>Sheet!F42</f>
        <v>SAAVEDRA RAMIREZ ALVARO DANIEL</v>
      </c>
      <c r="I42" s="4" t="str">
        <f>Sheet!G42</f>
        <v>ARQUITECTURA</v>
      </c>
      <c r="J42" s="4" t="str">
        <f>Sheet!H42</f>
        <v>2do</v>
      </c>
      <c r="K42" s="4" t="str">
        <f>Sheet!I42</f>
        <v>Masculino</v>
      </c>
      <c r="L42" s="4" t="str">
        <f>Sheet!J42</f>
        <v>Activo</v>
      </c>
      <c r="M42" s="4" t="str">
        <f>Sheet!K42</f>
        <v xml:space="preserve">ARQ 2°    </v>
      </c>
    </row>
    <row r="43" spans="1:13" x14ac:dyDescent="0.35">
      <c r="A43" t="s">
        <v>1</v>
      </c>
      <c r="B43" s="5" t="s">
        <v>35</v>
      </c>
      <c r="C43" s="4" t="s">
        <v>564</v>
      </c>
      <c r="D43" s="4" t="s">
        <v>727</v>
      </c>
      <c r="E43" t="s">
        <v>2504</v>
      </c>
      <c r="F43" t="str">
        <f>CONCATENATE("'",Sheet!E43)</f>
        <v>'109882</v>
      </c>
      <c r="G43" t="s">
        <v>1736</v>
      </c>
      <c r="H43" s="4" t="str">
        <f>Sheet!F43</f>
        <v>GUZMAN ARIAS AMANDA CARMIÑA</v>
      </c>
      <c r="I43" s="4" t="str">
        <f>Sheet!G43</f>
        <v>INGENIERIA AEROESPACIAL</v>
      </c>
      <c r="J43" s="4" t="str">
        <f>Sheet!H43</f>
        <v>10mo</v>
      </c>
      <c r="K43" s="4" t="str">
        <f>Sheet!I43</f>
        <v>Femenino</v>
      </c>
      <c r="L43" s="4" t="str">
        <f>Sheet!J43</f>
        <v>Activo</v>
      </c>
      <c r="M43" s="4" t="str">
        <f>Sheet!K43</f>
        <v xml:space="preserve">AERO_10°  </v>
      </c>
    </row>
    <row r="44" spans="1:13" x14ac:dyDescent="0.35">
      <c r="A44" t="s">
        <v>1</v>
      </c>
      <c r="B44" s="5" t="s">
        <v>36</v>
      </c>
      <c r="C44" s="4" t="s">
        <v>565</v>
      </c>
      <c r="D44" s="4" t="s">
        <v>875</v>
      </c>
      <c r="E44" t="s">
        <v>2507</v>
      </c>
      <c r="F44" t="str">
        <f>CONCATENATE("'",Sheet!E44)</f>
        <v>'110666</v>
      </c>
      <c r="G44" t="s">
        <v>1736</v>
      </c>
      <c r="H44" s="4" t="str">
        <f>Sheet!F44</f>
        <v>MENDEZ CANCELADA AMERICA</v>
      </c>
      <c r="I44" s="4" t="str">
        <f>Sheet!G44</f>
        <v>ARQUITECTURA</v>
      </c>
      <c r="J44" s="4" t="str">
        <f>Sheet!H44</f>
        <v>8vo</v>
      </c>
      <c r="K44" s="4" t="str">
        <f>Sheet!I44</f>
        <v>Femenino</v>
      </c>
      <c r="L44" s="4" t="str">
        <f>Sheet!J44</f>
        <v>Activo</v>
      </c>
      <c r="M44" s="4" t="str">
        <f>Sheet!K44</f>
        <v xml:space="preserve">ARQ 8°    </v>
      </c>
    </row>
    <row r="45" spans="1:13" x14ac:dyDescent="0.35">
      <c r="A45" t="s">
        <v>1</v>
      </c>
      <c r="B45" s="5" t="s">
        <v>37</v>
      </c>
      <c r="C45" s="4" t="s">
        <v>566</v>
      </c>
      <c r="D45" s="4" t="s">
        <v>876</v>
      </c>
      <c r="E45" t="s">
        <v>2510</v>
      </c>
      <c r="F45" t="str">
        <f>CONCATENATE("'",Sheet!E45)</f>
        <v>'111204</v>
      </c>
      <c r="G45" t="s">
        <v>1736</v>
      </c>
      <c r="H45" s="4" t="str">
        <f>Sheet!F45</f>
        <v>OCEGUEDA GIL ANA BELEN</v>
      </c>
      <c r="I45" s="4" t="str">
        <f>Sheet!G45</f>
        <v>PSICOLOGIA</v>
      </c>
      <c r="J45" s="4" t="str">
        <f>Sheet!H45</f>
        <v>6to</v>
      </c>
      <c r="K45" s="4" t="str">
        <f>Sheet!I45</f>
        <v>Femenino</v>
      </c>
      <c r="L45" s="4" t="str">
        <f>Sheet!J45</f>
        <v>Activo</v>
      </c>
      <c r="M45" s="4" t="str">
        <f>Sheet!K45</f>
        <v xml:space="preserve">PSI 6°    </v>
      </c>
    </row>
    <row r="46" spans="1:13" x14ac:dyDescent="0.35">
      <c r="A46" t="s">
        <v>1</v>
      </c>
      <c r="B46" s="5" t="s">
        <v>38</v>
      </c>
      <c r="C46" s="4" t="s">
        <v>567</v>
      </c>
      <c r="D46" s="4" t="s">
        <v>607</v>
      </c>
      <c r="E46" t="s">
        <v>2513</v>
      </c>
      <c r="F46" t="str">
        <f>CONCATENATE("'",Sheet!E46)</f>
        <v>'111188</v>
      </c>
      <c r="G46" t="s">
        <v>1736</v>
      </c>
      <c r="H46" s="4" t="str">
        <f>Sheet!F46</f>
        <v>JUAREZ CASTAÑEDA ANA CECILIA</v>
      </c>
      <c r="I46" s="4" t="str">
        <f>Sheet!G46</f>
        <v>ARQUITECTURA</v>
      </c>
      <c r="J46" s="4" t="str">
        <f>Sheet!H46</f>
        <v>6to</v>
      </c>
      <c r="K46" s="4" t="str">
        <f>Sheet!I46</f>
        <v>Femenino</v>
      </c>
      <c r="L46" s="4" t="str">
        <f>Sheet!J46</f>
        <v>Activo</v>
      </c>
      <c r="M46" s="4" t="str">
        <f>Sheet!K46</f>
        <v xml:space="preserve">ARQ 6°    </v>
      </c>
    </row>
    <row r="47" spans="1:13" x14ac:dyDescent="0.35">
      <c r="A47" t="s">
        <v>1</v>
      </c>
      <c r="B47" s="5" t="s">
        <v>39</v>
      </c>
      <c r="C47" s="4" t="s">
        <v>568</v>
      </c>
      <c r="D47" s="4" t="s">
        <v>877</v>
      </c>
      <c r="E47" t="s">
        <v>2516</v>
      </c>
      <c r="F47" t="str">
        <f>CONCATENATE("'",Sheet!E47)</f>
        <v>'110475</v>
      </c>
      <c r="G47" t="s">
        <v>1736</v>
      </c>
      <c r="H47" s="4" t="str">
        <f>Sheet!F47</f>
        <v>GUERRERO SOLTERO ANA CRISTINA</v>
      </c>
      <c r="I47" s="4" t="str">
        <f>Sheet!G47</f>
        <v>NUTRICION Y GASTRONOMIA</v>
      </c>
      <c r="J47" s="4" t="str">
        <f>Sheet!H47</f>
        <v>8vo</v>
      </c>
      <c r="K47" s="4" t="str">
        <f>Sheet!I47</f>
        <v>Femenino</v>
      </c>
      <c r="L47" s="4" t="str">
        <f>Sheet!J47</f>
        <v>Activo</v>
      </c>
      <c r="M47" s="4" t="str">
        <f>Sheet!K47</f>
        <v xml:space="preserve">NUT 8°    </v>
      </c>
    </row>
    <row r="48" spans="1:13" x14ac:dyDescent="0.35">
      <c r="A48" t="s">
        <v>1</v>
      </c>
      <c r="B48" s="5" t="s">
        <v>40</v>
      </c>
      <c r="C48" s="4" t="s">
        <v>569</v>
      </c>
      <c r="D48" s="4" t="s">
        <v>878</v>
      </c>
      <c r="E48" t="s">
        <v>2522</v>
      </c>
      <c r="F48" t="str">
        <f>CONCATENATE("'",Sheet!E48)</f>
        <v>'110500</v>
      </c>
      <c r="G48" t="s">
        <v>1736</v>
      </c>
      <c r="H48" s="4" t="str">
        <f>Sheet!F48</f>
        <v>OCHOA SAMANO ANA ISABEL</v>
      </c>
      <c r="I48" s="4" t="str">
        <f>Sheet!G48</f>
        <v>MERCADOTECNIA Y PUBLICIDAD</v>
      </c>
      <c r="J48" s="4" t="str">
        <f>Sheet!H48</f>
        <v>8vo</v>
      </c>
      <c r="K48" s="4" t="str">
        <f>Sheet!I48</f>
        <v>Femenino</v>
      </c>
      <c r="L48" s="4" t="str">
        <f>Sheet!J48</f>
        <v>Activo</v>
      </c>
      <c r="M48" s="4" t="str">
        <f>Sheet!K48</f>
        <v xml:space="preserve">MKT 8°    </v>
      </c>
    </row>
    <row r="49" spans="1:13" x14ac:dyDescent="0.35">
      <c r="A49" t="s">
        <v>1</v>
      </c>
      <c r="B49" s="5" t="s">
        <v>41</v>
      </c>
      <c r="C49" s="4" t="s">
        <v>570</v>
      </c>
      <c r="D49" s="4" t="s">
        <v>636</v>
      </c>
      <c r="E49" t="s">
        <v>2525</v>
      </c>
      <c r="F49" t="str">
        <f>CONCATENATE("'",Sheet!E49)</f>
        <v>'111765</v>
      </c>
      <c r="G49" t="s">
        <v>1736</v>
      </c>
      <c r="H49" s="4" t="str">
        <f>Sheet!F49</f>
        <v>JIMENEZ MARTINEZ ANA KAROL</v>
      </c>
      <c r="I49" s="4" t="str">
        <f>Sheet!G49</f>
        <v>NUTRICION Y GASTRONOMIA</v>
      </c>
      <c r="J49" s="4" t="str">
        <f>Sheet!H49</f>
        <v>4to</v>
      </c>
      <c r="K49" s="4" t="str">
        <f>Sheet!I49</f>
        <v>Femenino</v>
      </c>
      <c r="L49" s="4" t="str">
        <f>Sheet!J49</f>
        <v>Activo</v>
      </c>
      <c r="M49" s="4" t="str">
        <f>Sheet!K49</f>
        <v xml:space="preserve">NUT 4°    </v>
      </c>
    </row>
    <row r="50" spans="1:13" x14ac:dyDescent="0.35">
      <c r="A50" t="s">
        <v>1</v>
      </c>
      <c r="B50" s="5" t="s">
        <v>42</v>
      </c>
      <c r="C50" s="4" t="s">
        <v>571</v>
      </c>
      <c r="D50" s="4" t="s">
        <v>548</v>
      </c>
      <c r="E50" t="s">
        <v>2528</v>
      </c>
      <c r="F50" t="str">
        <f>CONCATENATE("'",Sheet!E50)</f>
        <v>'112293</v>
      </c>
      <c r="G50" t="s">
        <v>1736</v>
      </c>
      <c r="H50" s="4" t="str">
        <f>Sheet!F50</f>
        <v>ENRIQUEZ PEREZ ANA LUCIA</v>
      </c>
      <c r="I50" s="4" t="str">
        <f>Sheet!G50</f>
        <v>ADMINISTRACION Y DIRECCION DE NEGOCIOS</v>
      </c>
      <c r="J50" s="4" t="str">
        <f>Sheet!H50</f>
        <v>2do</v>
      </c>
      <c r="K50" s="4" t="str">
        <f>Sheet!I50</f>
        <v>Femenino</v>
      </c>
      <c r="L50" s="4" t="str">
        <f>Sheet!J50</f>
        <v>Activo</v>
      </c>
      <c r="M50" s="4" t="str">
        <f>Sheet!K50</f>
        <v xml:space="preserve">ADMON 2°  </v>
      </c>
    </row>
    <row r="51" spans="1:13" x14ac:dyDescent="0.35">
      <c r="A51" t="s">
        <v>1</v>
      </c>
      <c r="B51" s="5" t="s">
        <v>42</v>
      </c>
      <c r="C51" s="4" t="s">
        <v>572</v>
      </c>
      <c r="D51" s="4" t="s">
        <v>879</v>
      </c>
      <c r="E51" t="s">
        <v>2531</v>
      </c>
      <c r="F51" t="str">
        <f>CONCATENATE("'",Sheet!E51)</f>
        <v>'111097</v>
      </c>
      <c r="G51" t="s">
        <v>1736</v>
      </c>
      <c r="H51" s="4" t="str">
        <f>Sheet!F51</f>
        <v>FONG URQUIDY ANA LUCIA</v>
      </c>
      <c r="I51" s="4" t="str">
        <f>Sheet!G51</f>
        <v>ARQUITECTURA</v>
      </c>
      <c r="J51" s="4" t="str">
        <f>Sheet!H51</f>
        <v>6to</v>
      </c>
      <c r="K51" s="4" t="str">
        <f>Sheet!I51</f>
        <v>Femenino</v>
      </c>
      <c r="L51" s="4" t="str">
        <f>Sheet!J51</f>
        <v>Activo</v>
      </c>
      <c r="M51" s="4" t="str">
        <f>Sheet!K51</f>
        <v xml:space="preserve">ARQ 6°    </v>
      </c>
    </row>
    <row r="52" spans="1:13" x14ac:dyDescent="0.35">
      <c r="A52" t="s">
        <v>1</v>
      </c>
      <c r="B52" s="5" t="s">
        <v>43</v>
      </c>
      <c r="C52" s="4" t="s">
        <v>573</v>
      </c>
      <c r="D52" s="4" t="s">
        <v>626</v>
      </c>
      <c r="E52" t="s">
        <v>2534</v>
      </c>
      <c r="F52" t="str">
        <f>CONCATENATE("'",Sheet!E52)</f>
        <v>'111152</v>
      </c>
      <c r="G52" t="s">
        <v>1736</v>
      </c>
      <c r="H52" s="4" t="str">
        <f>Sheet!F52</f>
        <v>RUELAS NAVARRO ANA PAULA</v>
      </c>
      <c r="I52" s="4" t="str">
        <f>Sheet!G52</f>
        <v>PSICOLOGIA</v>
      </c>
      <c r="J52" s="4" t="str">
        <f>Sheet!H52</f>
        <v>6to</v>
      </c>
      <c r="K52" s="4" t="str">
        <f>Sheet!I52</f>
        <v>Femenino</v>
      </c>
      <c r="L52" s="4" t="str">
        <f>Sheet!J52</f>
        <v>Activo</v>
      </c>
      <c r="M52" s="4" t="str">
        <f>Sheet!K52</f>
        <v xml:space="preserve">PSI 6°    </v>
      </c>
    </row>
    <row r="53" spans="1:13" x14ac:dyDescent="0.35">
      <c r="A53" t="s">
        <v>1</v>
      </c>
      <c r="B53" s="5" t="s">
        <v>44</v>
      </c>
      <c r="C53" s="4" t="s">
        <v>574</v>
      </c>
      <c r="D53" s="4" t="s">
        <v>621</v>
      </c>
      <c r="E53" t="s">
        <v>2537</v>
      </c>
      <c r="F53" t="str">
        <f>CONCATENATE("'",Sheet!E53)</f>
        <v>'111799</v>
      </c>
      <c r="G53" t="s">
        <v>1736</v>
      </c>
      <c r="H53" s="4" t="str">
        <f>Sheet!F53</f>
        <v>CARRION LOPEZ ANA SOFIA</v>
      </c>
      <c r="I53" s="4" t="str">
        <f>Sheet!G53</f>
        <v>ANIMACION DIGITAL Y VIDEOJUEGOS</v>
      </c>
      <c r="J53" s="4" t="str">
        <f>Sheet!H53</f>
        <v>4to</v>
      </c>
      <c r="K53" s="4" t="str">
        <f>Sheet!I53</f>
        <v>Femenino</v>
      </c>
      <c r="L53" s="4" t="str">
        <f>Sheet!J53</f>
        <v>Activo</v>
      </c>
      <c r="M53" s="4" t="str">
        <f>Sheet!K53</f>
        <v xml:space="preserve">ANIM 4°   </v>
      </c>
    </row>
    <row r="54" spans="1:13" x14ac:dyDescent="0.35">
      <c r="A54" t="s">
        <v>1</v>
      </c>
      <c r="B54" s="5" t="s">
        <v>44</v>
      </c>
      <c r="C54" s="4" t="s">
        <v>575</v>
      </c>
      <c r="D54" s="4" t="s">
        <v>680</v>
      </c>
      <c r="E54" t="s">
        <v>2540</v>
      </c>
      <c r="F54" t="str">
        <f>CONCATENATE("'",Sheet!E54)</f>
        <v>'111625</v>
      </c>
      <c r="G54" t="s">
        <v>1736</v>
      </c>
      <c r="H54" s="4" t="str">
        <f>Sheet!F54</f>
        <v>FIERROS LUNA ANA SOFIA</v>
      </c>
      <c r="I54" s="4" t="str">
        <f>Sheet!G54</f>
        <v>INGENIERÍA AUTOMOTRIZ</v>
      </c>
      <c r="J54" s="4" t="str">
        <f>Sheet!H54</f>
        <v>4to</v>
      </c>
      <c r="K54" s="4" t="str">
        <f>Sheet!I54</f>
        <v>Femenino</v>
      </c>
      <c r="L54" s="4" t="str">
        <f>Sheet!J54</f>
        <v>Activo</v>
      </c>
      <c r="M54" s="4" t="str">
        <f>Sheet!K54</f>
        <v xml:space="preserve">AUTO 4°   </v>
      </c>
    </row>
    <row r="55" spans="1:13" x14ac:dyDescent="0.35">
      <c r="A55" t="s">
        <v>1</v>
      </c>
      <c r="B55" s="5" t="s">
        <v>45</v>
      </c>
      <c r="C55" s="4" t="s">
        <v>576</v>
      </c>
      <c r="D55" s="4" t="s">
        <v>593</v>
      </c>
      <c r="E55" t="s">
        <v>2543</v>
      </c>
      <c r="F55" t="str">
        <f>CONCATENATE("'",Sheet!E55)</f>
        <v>'111604</v>
      </c>
      <c r="G55" t="s">
        <v>1736</v>
      </c>
      <c r="H55" s="4" t="str">
        <f>Sheet!F55</f>
        <v>GODINEZ SANCHEZ ANA VALERIA</v>
      </c>
      <c r="I55" s="4" t="str">
        <f>Sheet!G55</f>
        <v>PSICOLOGIA</v>
      </c>
      <c r="J55" s="4" t="str">
        <f>Sheet!H55</f>
        <v>4to</v>
      </c>
      <c r="K55" s="4" t="str">
        <f>Sheet!I55</f>
        <v>Femenino</v>
      </c>
      <c r="L55" s="4" t="str">
        <f>Sheet!J55</f>
        <v>Activo</v>
      </c>
      <c r="M55" s="4" t="str">
        <f>Sheet!K55</f>
        <v xml:space="preserve">PSI 4°    </v>
      </c>
    </row>
    <row r="56" spans="1:13" x14ac:dyDescent="0.35">
      <c r="A56" t="s">
        <v>1</v>
      </c>
      <c r="B56" s="5" t="s">
        <v>46</v>
      </c>
      <c r="C56" s="4" t="s">
        <v>577</v>
      </c>
      <c r="D56" s="4" t="s">
        <v>880</v>
      </c>
      <c r="E56" t="s">
        <v>2546</v>
      </c>
      <c r="F56" t="str">
        <f>CONCATENATE("'",Sheet!E56)</f>
        <v>'110613</v>
      </c>
      <c r="G56" t="s">
        <v>1736</v>
      </c>
      <c r="H56" s="4" t="str">
        <f>Sheet!F56</f>
        <v>OROZCO QUIÑONEZ ANA VICTORIA</v>
      </c>
      <c r="I56" s="4" t="str">
        <f>Sheet!G56</f>
        <v>ARQUITECTURA</v>
      </c>
      <c r="J56" s="4" t="str">
        <f>Sheet!H56</f>
        <v>8vo</v>
      </c>
      <c r="K56" s="4" t="str">
        <f>Sheet!I56</f>
        <v>Femenino</v>
      </c>
      <c r="L56" s="4" t="str">
        <f>Sheet!J56</f>
        <v>Activo</v>
      </c>
      <c r="M56" s="4" t="str">
        <f>Sheet!K56</f>
        <v xml:space="preserve">ARQ 8°    </v>
      </c>
    </row>
    <row r="57" spans="1:13" x14ac:dyDescent="0.35">
      <c r="A57" t="s">
        <v>1</v>
      </c>
      <c r="B57" s="5" t="s">
        <v>47</v>
      </c>
      <c r="C57" s="4" t="s">
        <v>578</v>
      </c>
      <c r="D57" s="4" t="s">
        <v>660</v>
      </c>
      <c r="E57" t="s">
        <v>2519</v>
      </c>
      <c r="F57" t="str">
        <f>CONCATENATE("'",Sheet!E57)</f>
        <v>'111181</v>
      </c>
      <c r="G57" t="s">
        <v>1736</v>
      </c>
      <c r="H57" s="4" t="str">
        <f>Sheet!F57</f>
        <v>CHAVEZ ORTIZ ANAILY GUADALUPE</v>
      </c>
      <c r="I57" s="4" t="str">
        <f>Sheet!G57</f>
        <v>ARQUITECTURA</v>
      </c>
      <c r="J57" s="4" t="str">
        <f>Sheet!H57</f>
        <v>6to</v>
      </c>
      <c r="K57" s="4" t="str">
        <f>Sheet!I57</f>
        <v>Femenino</v>
      </c>
      <c r="L57" s="4" t="str">
        <f>Sheet!J57</f>
        <v>Activo</v>
      </c>
      <c r="M57" s="4" t="str">
        <f>Sheet!K57</f>
        <v xml:space="preserve">ARQ 6°    </v>
      </c>
    </row>
    <row r="58" spans="1:13" x14ac:dyDescent="0.35">
      <c r="A58" t="s">
        <v>1</v>
      </c>
      <c r="B58" s="5" t="s">
        <v>48</v>
      </c>
      <c r="C58" s="4" t="s">
        <v>579</v>
      </c>
      <c r="D58" s="4" t="s">
        <v>539</v>
      </c>
      <c r="E58" t="s">
        <v>2570</v>
      </c>
      <c r="F58" t="str">
        <f>CONCATENATE("'",Sheet!E58)</f>
        <v>'109808</v>
      </c>
      <c r="G58" t="s">
        <v>1736</v>
      </c>
      <c r="H58" s="4" t="str">
        <f>Sheet!F58</f>
        <v>VILLAGRANA RODRIGUEZ ANDRE SEBASTIAN</v>
      </c>
      <c r="I58" s="4" t="str">
        <f>Sheet!G58</f>
        <v>INGENIERIA AEROESPACIAL</v>
      </c>
      <c r="J58" s="4" t="str">
        <f>Sheet!H58</f>
        <v>10mo</v>
      </c>
      <c r="K58" s="4" t="str">
        <f>Sheet!I58</f>
        <v>Masculino</v>
      </c>
      <c r="L58" s="4" t="str">
        <f>Sheet!J58</f>
        <v>Activo</v>
      </c>
      <c r="M58" s="4" t="str">
        <f>Sheet!K58</f>
        <v xml:space="preserve">AERO_10°  </v>
      </c>
    </row>
    <row r="59" spans="1:13" x14ac:dyDescent="0.35">
      <c r="A59" t="s">
        <v>1</v>
      </c>
      <c r="B59" s="5" t="s">
        <v>49</v>
      </c>
      <c r="C59" s="4" t="s">
        <v>548</v>
      </c>
      <c r="D59" s="4" t="s">
        <v>660</v>
      </c>
      <c r="E59" t="s">
        <v>2549</v>
      </c>
      <c r="F59" t="str">
        <f>CONCATENATE("'",Sheet!E59)</f>
        <v>'112173</v>
      </c>
      <c r="G59" t="s">
        <v>1736</v>
      </c>
      <c r="H59" s="4" t="str">
        <f>Sheet!F59</f>
        <v>PEREZ ORTIZ ANDREA</v>
      </c>
      <c r="I59" s="4" t="str">
        <f>Sheet!G59</f>
        <v>PSICOLOGIA</v>
      </c>
      <c r="J59" s="4" t="str">
        <f>Sheet!H59</f>
        <v>2do</v>
      </c>
      <c r="K59" s="4" t="str">
        <f>Sheet!I59</f>
        <v>Femenino</v>
      </c>
      <c r="L59" s="4" t="str">
        <f>Sheet!J59</f>
        <v>Activo</v>
      </c>
      <c r="M59" s="4" t="str">
        <f>Sheet!K59</f>
        <v xml:space="preserve">PSI 2°    </v>
      </c>
    </row>
    <row r="60" spans="1:13" x14ac:dyDescent="0.35">
      <c r="A60" t="s">
        <v>1</v>
      </c>
      <c r="B60" s="5" t="s">
        <v>49</v>
      </c>
      <c r="C60" s="4" t="s">
        <v>543</v>
      </c>
      <c r="D60" s="4" t="s">
        <v>881</v>
      </c>
      <c r="E60" t="s">
        <v>2552</v>
      </c>
      <c r="F60" t="str">
        <f>CONCATENATE("'",Sheet!E60)</f>
        <v>'110501</v>
      </c>
      <c r="G60" t="s">
        <v>1736</v>
      </c>
      <c r="H60" s="4" t="str">
        <f>Sheet!F60</f>
        <v>VAZQUEZ CORTES ANDREA</v>
      </c>
      <c r="I60" s="4" t="str">
        <f>Sheet!G60</f>
        <v>NUTRICION Y GASTRONOMIA</v>
      </c>
      <c r="J60" s="4" t="str">
        <f>Sheet!H60</f>
        <v>8vo</v>
      </c>
      <c r="K60" s="4" t="str">
        <f>Sheet!I60</f>
        <v>Femenino</v>
      </c>
      <c r="L60" s="4" t="str">
        <f>Sheet!J60</f>
        <v>Activo</v>
      </c>
      <c r="M60" s="4" t="str">
        <f>Sheet!K60</f>
        <v xml:space="preserve">NUT 8°    </v>
      </c>
    </row>
    <row r="61" spans="1:13" x14ac:dyDescent="0.35">
      <c r="A61" t="s">
        <v>1</v>
      </c>
      <c r="B61" s="5" t="s">
        <v>50</v>
      </c>
      <c r="C61" s="4" t="s">
        <v>580</v>
      </c>
      <c r="D61" s="4" t="s">
        <v>882</v>
      </c>
      <c r="E61" t="s">
        <v>2555</v>
      </c>
      <c r="F61" t="str">
        <f>CONCATENATE("'",Sheet!E61)</f>
        <v>'111742</v>
      </c>
      <c r="G61" t="s">
        <v>1736</v>
      </c>
      <c r="H61" s="4" t="str">
        <f>Sheet!F61</f>
        <v>REBOLLAR ARRIERO ANDREA NAOMI</v>
      </c>
      <c r="I61" s="4" t="str">
        <f>Sheet!G61</f>
        <v>NUTRICION Y GASTRONOMIA</v>
      </c>
      <c r="J61" s="4" t="str">
        <f>Sheet!H61</f>
        <v>4to</v>
      </c>
      <c r="K61" s="4" t="str">
        <f>Sheet!I61</f>
        <v>Femenino</v>
      </c>
      <c r="L61" s="4" t="str">
        <f>Sheet!J61</f>
        <v>Activo</v>
      </c>
      <c r="M61" s="4" t="str">
        <f>Sheet!K61</f>
        <v xml:space="preserve">NUT 4°    </v>
      </c>
    </row>
    <row r="62" spans="1:13" x14ac:dyDescent="0.35">
      <c r="A62" t="s">
        <v>1</v>
      </c>
      <c r="B62" s="5" t="s">
        <v>51</v>
      </c>
      <c r="C62" s="4" t="s">
        <v>539</v>
      </c>
      <c r="D62" s="4" t="s">
        <v>532</v>
      </c>
      <c r="E62" t="s">
        <v>2558</v>
      </c>
      <c r="F62" t="str">
        <f>CONCATENATE("'",Sheet!E62)</f>
        <v>'111276</v>
      </c>
      <c r="G62" t="s">
        <v>1736</v>
      </c>
      <c r="H62" s="4" t="str">
        <f>Sheet!F62</f>
        <v>RODRIGUEZ VEGA ANDREA PAOLA</v>
      </c>
      <c r="I62" s="4" t="str">
        <f>Sheet!G62</f>
        <v>NUTRICION Y GASTRONOMIA</v>
      </c>
      <c r="J62" s="4" t="str">
        <f>Sheet!H62</f>
        <v>6to</v>
      </c>
      <c r="K62" s="4" t="str">
        <f>Sheet!I62</f>
        <v>Femenino</v>
      </c>
      <c r="L62" s="4" t="str">
        <f>Sheet!J62</f>
        <v>Activo</v>
      </c>
      <c r="M62" s="4" t="str">
        <f>Sheet!K62</f>
        <v xml:space="preserve">NUT 6°    </v>
      </c>
    </row>
    <row r="63" spans="1:13" x14ac:dyDescent="0.35">
      <c r="A63" t="s">
        <v>1</v>
      </c>
      <c r="B63" s="5" t="s">
        <v>52</v>
      </c>
      <c r="C63" s="4" t="s">
        <v>581</v>
      </c>
      <c r="D63" s="4" t="s">
        <v>883</v>
      </c>
      <c r="E63" t="s">
        <v>2561</v>
      </c>
      <c r="F63" t="str">
        <f>CONCATENATE("'",Sheet!E63)</f>
        <v>'112277</v>
      </c>
      <c r="G63" t="s">
        <v>1736</v>
      </c>
      <c r="H63" s="4" t="str">
        <f>Sheet!F63</f>
        <v>ANTUNEZ BRACHO ANDRES</v>
      </c>
      <c r="I63" s="4" t="str">
        <f>Sheet!G63</f>
        <v>INGENIERIA AEROESPACIAL</v>
      </c>
      <c r="J63" s="4" t="str">
        <f>Sheet!H63</f>
        <v>2do</v>
      </c>
      <c r="K63" s="4" t="str">
        <f>Sheet!I63</f>
        <v>Masculino</v>
      </c>
      <c r="L63" s="4" t="str">
        <f>Sheet!J63</f>
        <v>Activo</v>
      </c>
      <c r="M63" s="4" t="str">
        <f>Sheet!K63</f>
        <v xml:space="preserve">AERO 2°A  </v>
      </c>
    </row>
    <row r="64" spans="1:13" x14ac:dyDescent="0.35">
      <c r="A64" t="s">
        <v>1</v>
      </c>
      <c r="B64" s="5" t="s">
        <v>52</v>
      </c>
      <c r="C64" s="4" t="s">
        <v>582</v>
      </c>
      <c r="D64" s="4" t="s">
        <v>884</v>
      </c>
      <c r="E64" t="s">
        <v>2564</v>
      </c>
      <c r="F64" t="str">
        <f>CONCATENATE("'",Sheet!E64)</f>
        <v>'111077</v>
      </c>
      <c r="G64" t="s">
        <v>1736</v>
      </c>
      <c r="H64" s="4" t="str">
        <f>Sheet!F64</f>
        <v>CABRERA CHAVIRA ANDRES</v>
      </c>
      <c r="I64" s="4" t="str">
        <f>Sheet!G64</f>
        <v>INGENIERIA AEROESPACIAL</v>
      </c>
      <c r="J64" s="4" t="str">
        <f>Sheet!H64</f>
        <v>6to</v>
      </c>
      <c r="K64" s="4" t="str">
        <f>Sheet!I64</f>
        <v>Masculino</v>
      </c>
      <c r="L64" s="4" t="str">
        <f>Sheet!J64</f>
        <v>Activo</v>
      </c>
      <c r="M64" s="4" t="str">
        <f>Sheet!K64</f>
        <v xml:space="preserve">AERO 6°   </v>
      </c>
    </row>
    <row r="65" spans="1:13" x14ac:dyDescent="0.35">
      <c r="A65" t="s">
        <v>1</v>
      </c>
      <c r="B65" s="5" t="s">
        <v>52</v>
      </c>
      <c r="C65" s="4" t="s">
        <v>583</v>
      </c>
      <c r="D65" s="4" t="s">
        <v>548</v>
      </c>
      <c r="E65" t="s">
        <v>2567</v>
      </c>
      <c r="F65" t="str">
        <f>CONCATENATE("'",Sheet!E65)</f>
        <v>'112200</v>
      </c>
      <c r="G65" t="s">
        <v>1736</v>
      </c>
      <c r="H65" s="4" t="str">
        <f>Sheet!F65</f>
        <v>DE LA TORRE PEREZ ANDRES</v>
      </c>
      <c r="I65" s="4" t="str">
        <f>Sheet!G65</f>
        <v>INGENIERÍA AUTOMOTRIZ</v>
      </c>
      <c r="J65" s="4" t="str">
        <f>Sheet!H65</f>
        <v>2do</v>
      </c>
      <c r="K65" s="4" t="str">
        <f>Sheet!I65</f>
        <v>Masculino</v>
      </c>
      <c r="L65" s="4" t="str">
        <f>Sheet!J65</f>
        <v>Activo</v>
      </c>
      <c r="M65" s="4" t="str">
        <f>Sheet!K65</f>
        <v xml:space="preserve">AUTO 2° A </v>
      </c>
    </row>
    <row r="66" spans="1:13" x14ac:dyDescent="0.35">
      <c r="A66" t="s">
        <v>1</v>
      </c>
      <c r="B66" s="5" t="s">
        <v>53</v>
      </c>
      <c r="C66" s="4" t="s">
        <v>584</v>
      </c>
      <c r="D66" s="4" t="s">
        <v>679</v>
      </c>
      <c r="E66" t="s">
        <v>2573</v>
      </c>
      <c r="F66" t="str">
        <f>CONCATENATE("'",Sheet!E66)</f>
        <v>'112227</v>
      </c>
      <c r="G66" t="s">
        <v>1736</v>
      </c>
      <c r="H66" s="4" t="str">
        <f>Sheet!F66</f>
        <v>ENCISO GOMEZ ANDRES ENRIQUE</v>
      </c>
      <c r="I66" s="4" t="str">
        <f>Sheet!G66</f>
        <v>INGENIERÍA AUTOMOTRIZ</v>
      </c>
      <c r="J66" s="4" t="str">
        <f>Sheet!H66</f>
        <v>2do</v>
      </c>
      <c r="K66" s="4" t="str">
        <f>Sheet!I66</f>
        <v>Masculino</v>
      </c>
      <c r="L66" s="4" t="str">
        <f>Sheet!J66</f>
        <v>Activo</v>
      </c>
      <c r="M66" s="4" t="str">
        <f>Sheet!K66</f>
        <v xml:space="preserve">AUTO 2° A </v>
      </c>
    </row>
    <row r="67" spans="1:13" x14ac:dyDescent="0.35">
      <c r="A67" t="s">
        <v>1</v>
      </c>
      <c r="B67" s="5" t="s">
        <v>54</v>
      </c>
      <c r="C67" s="4" t="s">
        <v>585</v>
      </c>
      <c r="D67" s="4" t="s">
        <v>560</v>
      </c>
      <c r="E67" t="s">
        <v>2576</v>
      </c>
      <c r="F67" t="str">
        <f>CONCATENATE("'",Sheet!E67)</f>
        <v>'111728</v>
      </c>
      <c r="G67" t="s">
        <v>1736</v>
      </c>
      <c r="H67" s="4" t="str">
        <f>Sheet!F67</f>
        <v>NUÑEZ RAMOS ANDRES EZEQUIEL</v>
      </c>
      <c r="I67" s="4" t="str">
        <f>Sheet!G67</f>
        <v>INGENIERIA AEROESPACIAL</v>
      </c>
      <c r="J67" s="4" t="str">
        <f>Sheet!H67</f>
        <v>4to</v>
      </c>
      <c r="K67" s="4" t="str">
        <f>Sheet!I67</f>
        <v>Masculino</v>
      </c>
      <c r="L67" s="4" t="str">
        <f>Sheet!J67</f>
        <v>Activo</v>
      </c>
      <c r="M67" s="4" t="str">
        <f>Sheet!K67</f>
        <v xml:space="preserve">AERO 4°A  </v>
      </c>
    </row>
    <row r="68" spans="1:13" x14ac:dyDescent="0.35">
      <c r="A68" t="s">
        <v>1</v>
      </c>
      <c r="B68" s="5" t="s">
        <v>55</v>
      </c>
      <c r="C68" s="4" t="s">
        <v>548</v>
      </c>
      <c r="D68" s="4" t="s">
        <v>548</v>
      </c>
      <c r="E68" t="s">
        <v>2579</v>
      </c>
      <c r="F68" t="str">
        <f>CONCATENATE("'",Sheet!E68)</f>
        <v>'112206</v>
      </c>
      <c r="G68" t="s">
        <v>1736</v>
      </c>
      <c r="H68" s="4" t="str">
        <f>Sheet!F68</f>
        <v>PEREZ PEREZ ANDRES ISMAEL</v>
      </c>
      <c r="I68" s="4" t="str">
        <f>Sheet!G68</f>
        <v>INGENIERÍA AUTOMOTRIZ</v>
      </c>
      <c r="J68" s="4" t="str">
        <f>Sheet!H68</f>
        <v>2do</v>
      </c>
      <c r="K68" s="4" t="str">
        <f>Sheet!I68</f>
        <v>Masculino</v>
      </c>
      <c r="L68" s="4" t="str">
        <f>Sheet!J68</f>
        <v>Activo</v>
      </c>
      <c r="M68" s="4" t="str">
        <f>Sheet!K68</f>
        <v xml:space="preserve">AUTO 2° B </v>
      </c>
    </row>
    <row r="69" spans="1:13" x14ac:dyDescent="0.35">
      <c r="A69" t="s">
        <v>1</v>
      </c>
      <c r="B69" s="5" t="s">
        <v>56</v>
      </c>
      <c r="C69" s="4" t="s">
        <v>539</v>
      </c>
      <c r="D69" s="4" t="s">
        <v>885</v>
      </c>
      <c r="E69" t="s">
        <v>2582</v>
      </c>
      <c r="F69" t="str">
        <f>CONCATENATE("'",Sheet!E69)</f>
        <v>'111202</v>
      </c>
      <c r="G69" t="s">
        <v>1736</v>
      </c>
      <c r="H69" s="4" t="str">
        <f>Sheet!F69</f>
        <v>RODRIGUEZ LAZARO ANDY</v>
      </c>
      <c r="I69" s="4" t="str">
        <f>Sheet!G69</f>
        <v>ADMINISTRACION Y DIRECCION DE NEGOCIOS</v>
      </c>
      <c r="J69" s="4" t="str">
        <f>Sheet!H69</f>
        <v>6to</v>
      </c>
      <c r="K69" s="4" t="str">
        <f>Sheet!I69</f>
        <v>Masculino</v>
      </c>
      <c r="L69" s="4" t="str">
        <f>Sheet!J69</f>
        <v>Activo</v>
      </c>
      <c r="M69" s="4" t="str">
        <f>Sheet!K69</f>
        <v xml:space="preserve">ADMON 6°  </v>
      </c>
    </row>
    <row r="70" spans="1:13" x14ac:dyDescent="0.35">
      <c r="A70" t="s">
        <v>1</v>
      </c>
      <c r="B70" s="5" t="s">
        <v>57</v>
      </c>
      <c r="C70" s="4" t="s">
        <v>586</v>
      </c>
      <c r="D70" s="4" t="s">
        <v>789</v>
      </c>
      <c r="E70" t="s">
        <v>2585</v>
      </c>
      <c r="F70" t="str">
        <f>CONCATENATE("'",Sheet!E70)</f>
        <v>'007113</v>
      </c>
      <c r="G70" t="s">
        <v>1736</v>
      </c>
      <c r="H70" s="4" t="str">
        <f>Sheet!F70</f>
        <v>ESCALONA BUENO ANGEL</v>
      </c>
      <c r="I70" s="4" t="str">
        <f>Sheet!G70</f>
        <v>INGENIERIA AEROESPACIAL</v>
      </c>
      <c r="J70" s="4" t="str">
        <f>Sheet!H70</f>
        <v>8vo</v>
      </c>
      <c r="K70" s="4" t="str">
        <f>Sheet!I70</f>
        <v>Masculino</v>
      </c>
      <c r="L70" s="4" t="str">
        <f>Sheet!J70</f>
        <v>Activo</v>
      </c>
      <c r="M70" s="4" t="str">
        <f>Sheet!K70</f>
        <v xml:space="preserve">AERO 8°   </v>
      </c>
    </row>
    <row r="71" spans="1:13" x14ac:dyDescent="0.35">
      <c r="A71" t="s">
        <v>1</v>
      </c>
      <c r="B71" s="5" t="s">
        <v>57</v>
      </c>
      <c r="C71" s="4" t="s">
        <v>531</v>
      </c>
      <c r="D71" s="4" t="s">
        <v>886</v>
      </c>
      <c r="E71" t="s">
        <v>2588</v>
      </c>
      <c r="F71" t="str">
        <f>CONCATENATE("'",Sheet!E71)</f>
        <v>'110730</v>
      </c>
      <c r="G71" t="s">
        <v>1736</v>
      </c>
      <c r="H71" s="4" t="str">
        <f>Sheet!F71</f>
        <v>GONZALEZ PARRA ANGEL</v>
      </c>
      <c r="I71" s="4" t="str">
        <f>Sheet!G71</f>
        <v>DERECHO</v>
      </c>
      <c r="J71" s="4" t="str">
        <f>Sheet!H71</f>
        <v>8vo</v>
      </c>
      <c r="K71" s="4" t="str">
        <f>Sheet!I71</f>
        <v>Masculino</v>
      </c>
      <c r="L71" s="4" t="str">
        <f>Sheet!J71</f>
        <v>Activo</v>
      </c>
      <c r="M71" s="4" t="str">
        <f>Sheet!K71</f>
        <v xml:space="preserve">DER 8°    </v>
      </c>
    </row>
    <row r="72" spans="1:13" x14ac:dyDescent="0.35">
      <c r="A72" t="s">
        <v>1</v>
      </c>
      <c r="B72" s="5" t="s">
        <v>57</v>
      </c>
      <c r="C72" s="4" t="s">
        <v>587</v>
      </c>
      <c r="D72" s="4" t="s">
        <v>544</v>
      </c>
      <c r="E72" t="s">
        <v>2591</v>
      </c>
      <c r="F72" t="str">
        <f>CONCATENATE("'",Sheet!E72)</f>
        <v>'110449</v>
      </c>
      <c r="G72" t="s">
        <v>1736</v>
      </c>
      <c r="H72" s="4" t="str">
        <f>Sheet!F72</f>
        <v>MONDRAGON HERNANDEZ ANGEL</v>
      </c>
      <c r="I72" s="4" t="str">
        <f>Sheet!G72</f>
        <v>INGENIERIA AEROESPACIAL</v>
      </c>
      <c r="J72" s="4" t="str">
        <f>Sheet!H72</f>
        <v>8vo</v>
      </c>
      <c r="K72" s="4" t="str">
        <f>Sheet!I72</f>
        <v>Masculino</v>
      </c>
      <c r="L72" s="4" t="str">
        <f>Sheet!J72</f>
        <v>Activo</v>
      </c>
      <c r="M72" s="4" t="str">
        <f>Sheet!K72</f>
        <v xml:space="preserve">AERO 8°   </v>
      </c>
    </row>
    <row r="73" spans="1:13" x14ac:dyDescent="0.35">
      <c r="A73" t="s">
        <v>1</v>
      </c>
      <c r="B73" s="5" t="s">
        <v>58</v>
      </c>
      <c r="C73" s="4" t="s">
        <v>588</v>
      </c>
      <c r="D73" s="4" t="s">
        <v>589</v>
      </c>
      <c r="E73" t="s">
        <v>2594</v>
      </c>
      <c r="F73" t="str">
        <f>CONCATENATE("'",Sheet!E73)</f>
        <v>'111670</v>
      </c>
      <c r="G73" t="s">
        <v>1736</v>
      </c>
      <c r="H73" s="4" t="str">
        <f>Sheet!F73</f>
        <v>DAVALOS GARCIA ANGEL AIOROS</v>
      </c>
      <c r="I73" s="4" t="str">
        <f>Sheet!G73</f>
        <v>INGENIERIA AEROESPACIAL</v>
      </c>
      <c r="J73" s="4" t="str">
        <f>Sheet!H73</f>
        <v>4to</v>
      </c>
      <c r="K73" s="4" t="str">
        <f>Sheet!I73</f>
        <v>Masculino</v>
      </c>
      <c r="L73" s="4" t="str">
        <f>Sheet!J73</f>
        <v>Activo</v>
      </c>
      <c r="M73" s="4" t="str">
        <f>Sheet!K73</f>
        <v xml:space="preserve">AERO 4°B  </v>
      </c>
    </row>
    <row r="74" spans="1:13" x14ac:dyDescent="0.35">
      <c r="A74" t="s">
        <v>1</v>
      </c>
      <c r="B74" s="5" t="s">
        <v>59</v>
      </c>
      <c r="C74" s="4" t="s">
        <v>589</v>
      </c>
      <c r="D74" s="4" t="s">
        <v>766</v>
      </c>
      <c r="E74" t="s">
        <v>2597</v>
      </c>
      <c r="F74" t="str">
        <f>CONCATENATE("'",Sheet!E74)</f>
        <v>'110420</v>
      </c>
      <c r="G74" t="s">
        <v>1736</v>
      </c>
      <c r="H74" s="4" t="str">
        <f>Sheet!F74</f>
        <v>GARCIA MORA ANGEL ALEXANDER</v>
      </c>
      <c r="I74" s="4" t="str">
        <f>Sheet!G74</f>
        <v>ADMINISTRACION Y DIRECCION DE NEGOCIOS</v>
      </c>
      <c r="J74" s="4" t="str">
        <f>Sheet!H74</f>
        <v>8vo</v>
      </c>
      <c r="K74" s="4" t="str">
        <f>Sheet!I74</f>
        <v>Masculino</v>
      </c>
      <c r="L74" s="4" t="str">
        <f>Sheet!J74</f>
        <v>Activo</v>
      </c>
      <c r="M74" s="4" t="str">
        <f>Sheet!K74</f>
        <v xml:space="preserve">ADMON 8°  </v>
      </c>
    </row>
    <row r="75" spans="1:13" x14ac:dyDescent="0.35">
      <c r="A75" t="s">
        <v>1</v>
      </c>
      <c r="B75" s="5" t="s">
        <v>59</v>
      </c>
      <c r="C75" s="4" t="s">
        <v>590</v>
      </c>
      <c r="D75" s="4" t="s">
        <v>606</v>
      </c>
      <c r="E75" t="s">
        <v>2600</v>
      </c>
      <c r="F75" t="str">
        <f>CONCATENATE("'",Sheet!E75)</f>
        <v>'111839</v>
      </c>
      <c r="G75" t="s">
        <v>1736</v>
      </c>
      <c r="H75" s="4" t="str">
        <f>Sheet!F75</f>
        <v>VIRGEN SERRANO ANGEL ALEXANDER</v>
      </c>
      <c r="I75" s="4" t="str">
        <f>Sheet!G75</f>
        <v>INGENIERIA AEROESPACIAL</v>
      </c>
      <c r="J75" s="4" t="str">
        <f>Sheet!H75</f>
        <v>4to</v>
      </c>
      <c r="K75" s="4" t="str">
        <f>Sheet!I75</f>
        <v>Masculino</v>
      </c>
      <c r="L75" s="4" t="str">
        <f>Sheet!J75</f>
        <v>Activo</v>
      </c>
      <c r="M75" s="4" t="str">
        <f>Sheet!K75</f>
        <v xml:space="preserve">AERO 4°A  </v>
      </c>
    </row>
    <row r="76" spans="1:13" x14ac:dyDescent="0.35">
      <c r="A76" t="s">
        <v>1</v>
      </c>
      <c r="B76" s="5" t="s">
        <v>60</v>
      </c>
      <c r="C76" s="4" t="s">
        <v>589</v>
      </c>
      <c r="D76" s="4" t="s">
        <v>887</v>
      </c>
      <c r="E76" t="s">
        <v>2603</v>
      </c>
      <c r="F76" t="str">
        <f>CONCATENATE("'",Sheet!E76)</f>
        <v>'111750</v>
      </c>
      <c r="G76" t="s">
        <v>1736</v>
      </c>
      <c r="H76" s="4" t="str">
        <f>Sheet!F76</f>
        <v>GARCIA CHERRINGTON ANGEL ANDRES</v>
      </c>
      <c r="I76" s="4" t="str">
        <f>Sheet!G76</f>
        <v>INGENIERIA AEROESPACIAL</v>
      </c>
      <c r="J76" s="4" t="str">
        <f>Sheet!H76</f>
        <v>4to</v>
      </c>
      <c r="K76" s="4" t="str">
        <f>Sheet!I76</f>
        <v>Masculino</v>
      </c>
      <c r="L76" s="4" t="str">
        <f>Sheet!J76</f>
        <v>Activo</v>
      </c>
      <c r="M76" s="4" t="str">
        <f>Sheet!K76</f>
        <v xml:space="preserve">AERO 4°A  </v>
      </c>
    </row>
    <row r="77" spans="1:13" x14ac:dyDescent="0.35">
      <c r="A77" t="s">
        <v>1</v>
      </c>
      <c r="B77" s="5" t="s">
        <v>61</v>
      </c>
      <c r="C77" s="4" t="s">
        <v>591</v>
      </c>
      <c r="D77" s="4" t="s">
        <v>682</v>
      </c>
      <c r="E77" t="s">
        <v>2606</v>
      </c>
      <c r="F77" t="str">
        <f>CONCATENATE("'",Sheet!E77)</f>
        <v>'112175</v>
      </c>
      <c r="G77" t="s">
        <v>1736</v>
      </c>
      <c r="H77" s="4" t="str">
        <f>Sheet!F77</f>
        <v>GUTIERREZ DE LA CRUZ ANGEL DANIEL</v>
      </c>
      <c r="I77" s="4" t="str">
        <f>Sheet!G77</f>
        <v>INGENIERÍA AUTOMOTRIZ</v>
      </c>
      <c r="J77" s="4" t="str">
        <f>Sheet!H77</f>
        <v>2do</v>
      </c>
      <c r="K77" s="4" t="str">
        <f>Sheet!I77</f>
        <v>Masculino</v>
      </c>
      <c r="L77" s="4" t="str">
        <f>Sheet!J77</f>
        <v>Activo</v>
      </c>
      <c r="M77" s="4" t="str">
        <f>Sheet!K77</f>
        <v xml:space="preserve">AUTO 2° A </v>
      </c>
    </row>
    <row r="78" spans="1:13" x14ac:dyDescent="0.35">
      <c r="A78" t="s">
        <v>1</v>
      </c>
      <c r="B78" s="5" t="s">
        <v>62</v>
      </c>
      <c r="C78" s="4" t="s">
        <v>592</v>
      </c>
      <c r="D78" s="4" t="s">
        <v>630</v>
      </c>
      <c r="E78" t="s">
        <v>2609</v>
      </c>
      <c r="F78" t="str">
        <f>CONCATENATE("'",Sheet!E78)</f>
        <v>'112311</v>
      </c>
      <c r="G78" t="s">
        <v>1736</v>
      </c>
      <c r="H78" s="4" t="str">
        <f>Sheet!F78</f>
        <v>IGNACIO CASTILLO ANGEL DAVID</v>
      </c>
      <c r="I78" s="4" t="str">
        <f>Sheet!G78</f>
        <v>INGENIERÍA AUTOMOTRIZ</v>
      </c>
      <c r="J78" s="4" t="str">
        <f>Sheet!H78</f>
        <v>2do</v>
      </c>
      <c r="K78" s="4" t="str">
        <f>Sheet!I78</f>
        <v>Masculino</v>
      </c>
      <c r="L78" s="4" t="str">
        <f>Sheet!J78</f>
        <v>Activo</v>
      </c>
      <c r="M78" s="4" t="str">
        <f>Sheet!K78</f>
        <v xml:space="preserve">AUTO 2° A </v>
      </c>
    </row>
    <row r="79" spans="1:13" x14ac:dyDescent="0.35">
      <c r="A79" t="s">
        <v>1</v>
      </c>
      <c r="B79" s="5" t="s">
        <v>62</v>
      </c>
      <c r="C79" s="4" t="s">
        <v>593</v>
      </c>
      <c r="D79" s="4" t="s">
        <v>621</v>
      </c>
      <c r="E79" t="s">
        <v>2612</v>
      </c>
      <c r="F79" t="str">
        <f>CONCATENATE("'",Sheet!E79)</f>
        <v>'111802</v>
      </c>
      <c r="G79" t="s">
        <v>1736</v>
      </c>
      <c r="H79" s="4" t="str">
        <f>Sheet!F79</f>
        <v>SANCHEZ LOPEZ ANGEL DAVID</v>
      </c>
      <c r="I79" s="4" t="str">
        <f>Sheet!G79</f>
        <v>INGENIERÍA AUTOMOTRIZ</v>
      </c>
      <c r="J79" s="4" t="str">
        <f>Sheet!H79</f>
        <v>4to</v>
      </c>
      <c r="K79" s="4" t="str">
        <f>Sheet!I79</f>
        <v>Masculino</v>
      </c>
      <c r="L79" s="4" t="str">
        <f>Sheet!J79</f>
        <v>Activo</v>
      </c>
      <c r="M79" s="4" t="str">
        <f>Sheet!K79</f>
        <v xml:space="preserve">AUTO 4°   </v>
      </c>
    </row>
    <row r="80" spans="1:13" x14ac:dyDescent="0.35">
      <c r="A80" t="s">
        <v>1</v>
      </c>
      <c r="B80" s="5" t="s">
        <v>63</v>
      </c>
      <c r="C80" s="4" t="s">
        <v>594</v>
      </c>
      <c r="D80" s="4" t="s">
        <v>560</v>
      </c>
      <c r="E80" t="s">
        <v>2615</v>
      </c>
      <c r="F80" t="str">
        <f>CONCATENATE("'",Sheet!E80)</f>
        <v>'111723</v>
      </c>
      <c r="G80" t="s">
        <v>1736</v>
      </c>
      <c r="H80" s="4" t="str">
        <f>Sheet!F80</f>
        <v>CUETO RAMOS ANGEL EMANUEL</v>
      </c>
      <c r="I80" s="4" t="str">
        <f>Sheet!G80</f>
        <v>INGENIERÍA AUTOMOTRIZ</v>
      </c>
      <c r="J80" s="4" t="str">
        <f>Sheet!H80</f>
        <v>4to</v>
      </c>
      <c r="K80" s="4" t="str">
        <f>Sheet!I80</f>
        <v>Masculino</v>
      </c>
      <c r="L80" s="4" t="str">
        <f>Sheet!J80</f>
        <v>Activo</v>
      </c>
      <c r="M80" s="4" t="str">
        <f>Sheet!K80</f>
        <v xml:space="preserve">AUTO 4°   </v>
      </c>
    </row>
    <row r="81" spans="1:13" x14ac:dyDescent="0.35">
      <c r="A81" t="s">
        <v>1</v>
      </c>
      <c r="B81" s="5" t="s">
        <v>64</v>
      </c>
      <c r="C81" s="4" t="s">
        <v>595</v>
      </c>
      <c r="D81" s="4" t="s">
        <v>567</v>
      </c>
      <c r="E81" t="s">
        <v>2618</v>
      </c>
      <c r="F81" t="str">
        <f>CONCATENATE("'",Sheet!E81)</f>
        <v>'109824</v>
      </c>
      <c r="G81" t="s">
        <v>1736</v>
      </c>
      <c r="H81" s="4" t="str">
        <f>Sheet!F81</f>
        <v>ABRAHAM JUAREZ ANGEL FABIAN</v>
      </c>
      <c r="I81" s="4" t="str">
        <f>Sheet!G81</f>
        <v>INGENIERIA AEROESPACIAL</v>
      </c>
      <c r="J81" s="4" t="str">
        <f>Sheet!H81</f>
        <v>10mo</v>
      </c>
      <c r="K81" s="4" t="str">
        <f>Sheet!I81</f>
        <v>Masculino</v>
      </c>
      <c r="L81" s="4" t="str">
        <f>Sheet!J81</f>
        <v>Activo</v>
      </c>
      <c r="M81" s="4" t="str">
        <f>Sheet!K81</f>
        <v xml:space="preserve">AERO_10°  </v>
      </c>
    </row>
    <row r="82" spans="1:13" x14ac:dyDescent="0.35">
      <c r="A82" t="s">
        <v>1</v>
      </c>
      <c r="B82" s="5" t="s">
        <v>65</v>
      </c>
      <c r="C82" s="4" t="s">
        <v>596</v>
      </c>
      <c r="D82" s="4" t="s">
        <v>888</v>
      </c>
      <c r="E82" t="s">
        <v>2621</v>
      </c>
      <c r="F82" t="str">
        <f>CONCATENATE("'",Sheet!E82)</f>
        <v>'110444</v>
      </c>
      <c r="G82" t="s">
        <v>1736</v>
      </c>
      <c r="H82" s="4" t="str">
        <f>Sheet!F82</f>
        <v>MORENO ZUMAYA ANGEL FERNANDO</v>
      </c>
      <c r="I82" s="4" t="str">
        <f>Sheet!G82</f>
        <v>PSICOLOGIA</v>
      </c>
      <c r="J82" s="4" t="str">
        <f>Sheet!H82</f>
        <v>8vo</v>
      </c>
      <c r="K82" s="4" t="str">
        <f>Sheet!I82</f>
        <v>Masculino</v>
      </c>
      <c r="L82" s="4" t="str">
        <f>Sheet!J82</f>
        <v>Activo</v>
      </c>
      <c r="M82" s="4" t="str">
        <f>Sheet!K82</f>
        <v xml:space="preserve">PSI 8°    </v>
      </c>
    </row>
    <row r="83" spans="1:13" x14ac:dyDescent="0.35">
      <c r="A83" t="s">
        <v>1</v>
      </c>
      <c r="B83" s="5" t="s">
        <v>66</v>
      </c>
      <c r="C83" s="4" t="s">
        <v>532</v>
      </c>
      <c r="D83" s="4" t="s">
        <v>539</v>
      </c>
      <c r="E83" t="s">
        <v>2624</v>
      </c>
      <c r="F83" t="str">
        <f>CONCATENATE("'",Sheet!E83)</f>
        <v>'111237</v>
      </c>
      <c r="G83" t="s">
        <v>1736</v>
      </c>
      <c r="H83" s="4" t="str">
        <f>Sheet!F83</f>
        <v>VEGA RODRIGUEZ ANGEL GUILLERMO</v>
      </c>
      <c r="I83" s="4" t="str">
        <f>Sheet!G83</f>
        <v>ARQUITECTURA</v>
      </c>
      <c r="J83" s="4" t="str">
        <f>Sheet!H83</f>
        <v>6to</v>
      </c>
      <c r="K83" s="4" t="str">
        <f>Sheet!I83</f>
        <v>Masculino</v>
      </c>
      <c r="L83" s="4" t="str">
        <f>Sheet!J83</f>
        <v>Activo</v>
      </c>
      <c r="M83" s="4" t="str">
        <f>Sheet!K83</f>
        <v xml:space="preserve">ARQ 6°    </v>
      </c>
    </row>
    <row r="84" spans="1:13" x14ac:dyDescent="0.35">
      <c r="A84" t="s">
        <v>1</v>
      </c>
      <c r="B84" s="5" t="s">
        <v>67</v>
      </c>
      <c r="C84" s="4" t="s">
        <v>597</v>
      </c>
      <c r="D84" s="4" t="s">
        <v>585</v>
      </c>
      <c r="E84" t="s">
        <v>2630</v>
      </c>
      <c r="F84" t="str">
        <f>CONCATENATE("'",Sheet!E84)</f>
        <v>'112191</v>
      </c>
      <c r="G84" t="s">
        <v>1736</v>
      </c>
      <c r="H84" s="4" t="str">
        <f>Sheet!F84</f>
        <v>RIVERA NUÑEZ ANGEL LEONEL</v>
      </c>
      <c r="I84" s="4" t="str">
        <f>Sheet!G84</f>
        <v>INGENIERÍA AUTOMOTRIZ</v>
      </c>
      <c r="J84" s="4" t="str">
        <f>Sheet!H84</f>
        <v>2do</v>
      </c>
      <c r="K84" s="4" t="str">
        <f>Sheet!I84</f>
        <v>Masculino</v>
      </c>
      <c r="L84" s="4" t="str">
        <f>Sheet!J84</f>
        <v>Activo</v>
      </c>
      <c r="M84" s="4" t="str">
        <f>Sheet!K84</f>
        <v xml:space="preserve">AUTO 2° B </v>
      </c>
    </row>
    <row r="85" spans="1:13" x14ac:dyDescent="0.35">
      <c r="A85" t="s">
        <v>1</v>
      </c>
      <c r="B85" s="5" t="s">
        <v>68</v>
      </c>
      <c r="C85" s="4" t="s">
        <v>598</v>
      </c>
      <c r="D85" s="4" t="s">
        <v>889</v>
      </c>
      <c r="E85" t="s">
        <v>2633</v>
      </c>
      <c r="F85" t="str">
        <f>CONCATENATE("'",Sheet!E85)</f>
        <v>'111668</v>
      </c>
      <c r="G85" t="s">
        <v>1736</v>
      </c>
      <c r="H85" s="4" t="str">
        <f>Sheet!F85</f>
        <v>CECEÑA PONCE ANGEL MARTIN</v>
      </c>
      <c r="I85" s="4" t="str">
        <f>Sheet!G85</f>
        <v>INGENIERIA AEROESPACIAL</v>
      </c>
      <c r="J85" s="4" t="str">
        <f>Sheet!H85</f>
        <v>4to</v>
      </c>
      <c r="K85" s="4" t="str">
        <f>Sheet!I85</f>
        <v>Masculino</v>
      </c>
      <c r="L85" s="4" t="str">
        <f>Sheet!J85</f>
        <v>Activo</v>
      </c>
      <c r="M85" s="4" t="str">
        <f>Sheet!K85</f>
        <v xml:space="preserve">AERO 4°B  </v>
      </c>
    </row>
    <row r="86" spans="1:13" x14ac:dyDescent="0.35">
      <c r="A86" t="s">
        <v>1</v>
      </c>
      <c r="B86" s="5" t="s">
        <v>69</v>
      </c>
      <c r="C86" s="4" t="s">
        <v>599</v>
      </c>
      <c r="D86" s="4" t="s">
        <v>654</v>
      </c>
      <c r="E86" t="s">
        <v>2636</v>
      </c>
      <c r="F86" t="str">
        <f>CONCATENATE("'",Sheet!E86)</f>
        <v>'112168</v>
      </c>
      <c r="G86" t="s">
        <v>1736</v>
      </c>
      <c r="H86" s="4" t="str">
        <f>Sheet!F86</f>
        <v>CARDENAS RUIZ ANGEL YAEL</v>
      </c>
      <c r="I86" s="4" t="str">
        <f>Sheet!G86</f>
        <v>ARQUITECTURA</v>
      </c>
      <c r="J86" s="4" t="str">
        <f>Sheet!H86</f>
        <v>2do</v>
      </c>
      <c r="K86" s="4" t="str">
        <f>Sheet!I86</f>
        <v>Masculino</v>
      </c>
      <c r="L86" s="4" t="str">
        <f>Sheet!J86</f>
        <v>Activo</v>
      </c>
      <c r="M86" s="4" t="str">
        <f>Sheet!K86</f>
        <v xml:space="preserve">ARQ 2°    </v>
      </c>
    </row>
    <row r="87" spans="1:13" x14ac:dyDescent="0.35">
      <c r="A87" t="s">
        <v>1</v>
      </c>
      <c r="B87" s="5" t="s">
        <v>70</v>
      </c>
      <c r="C87" s="4" t="s">
        <v>600</v>
      </c>
      <c r="D87" s="4" t="s">
        <v>591</v>
      </c>
      <c r="E87" t="s">
        <v>2627</v>
      </c>
      <c r="F87" t="str">
        <f>CONCATENATE("'",Sheet!E87)</f>
        <v>'110486</v>
      </c>
      <c r="G87" t="s">
        <v>1736</v>
      </c>
      <c r="H87" s="4" t="str">
        <f>Sheet!F87</f>
        <v>TORRES GUTIERREZ ANGELICA</v>
      </c>
      <c r="I87" s="4" t="str">
        <f>Sheet!G87</f>
        <v>PSICOLOGIA</v>
      </c>
      <c r="J87" s="4" t="str">
        <f>Sheet!H87</f>
        <v>8vo</v>
      </c>
      <c r="K87" s="4" t="str">
        <f>Sheet!I87</f>
        <v>Femenino</v>
      </c>
      <c r="L87" s="4" t="str">
        <f>Sheet!J87</f>
        <v>Activo</v>
      </c>
      <c r="M87" s="4" t="str">
        <f>Sheet!K87</f>
        <v xml:space="preserve">PSI 8°    </v>
      </c>
    </row>
    <row r="88" spans="1:13" x14ac:dyDescent="0.35">
      <c r="A88" t="s">
        <v>1</v>
      </c>
      <c r="B88" s="5" t="s">
        <v>71</v>
      </c>
      <c r="C88" s="4" t="s">
        <v>601</v>
      </c>
      <c r="D88" s="4" t="s">
        <v>890</v>
      </c>
      <c r="E88" t="s">
        <v>2639</v>
      </c>
      <c r="F88" t="str">
        <f>CONCATENATE("'",Sheet!E88)</f>
        <v>'111609</v>
      </c>
      <c r="G88" t="s">
        <v>1736</v>
      </c>
      <c r="H88" s="4" t="str">
        <f>Sheet!F88</f>
        <v>VERDUZCO VAZQUEZ ALDANA ANTONIO</v>
      </c>
      <c r="I88" s="4" t="str">
        <f>Sheet!G88</f>
        <v>ADMINISTRACION Y DIRECCION DE NEGOCIOS</v>
      </c>
      <c r="J88" s="4" t="str">
        <f>Sheet!H88</f>
        <v>4to</v>
      </c>
      <c r="K88" s="4" t="str">
        <f>Sheet!I88</f>
        <v>Masculino</v>
      </c>
      <c r="L88" s="4" t="str">
        <f>Sheet!J88</f>
        <v>Activo</v>
      </c>
      <c r="M88" s="4" t="str">
        <f>Sheet!K88</f>
        <v xml:space="preserve">ADMON 4°  </v>
      </c>
    </row>
    <row r="89" spans="1:13" x14ac:dyDescent="0.35">
      <c r="A89" t="s">
        <v>1</v>
      </c>
      <c r="B89" s="5" t="s">
        <v>72</v>
      </c>
      <c r="C89" s="4" t="s">
        <v>602</v>
      </c>
      <c r="D89" s="4" t="s">
        <v>690</v>
      </c>
      <c r="E89" t="s">
        <v>2642</v>
      </c>
      <c r="F89" t="str">
        <f>CONCATENATE("'",Sheet!E89)</f>
        <v>'111182</v>
      </c>
      <c r="G89" t="s">
        <v>1736</v>
      </c>
      <c r="H89" s="4" t="str">
        <f>Sheet!F89</f>
        <v>NEGRETE CASTRO AOLANI XAXBE</v>
      </c>
      <c r="I89" s="4" t="str">
        <f>Sheet!G89</f>
        <v>ANIMACION DIGITAL Y VIDEOJUEGOS</v>
      </c>
      <c r="J89" s="4" t="str">
        <f>Sheet!H89</f>
        <v>6to</v>
      </c>
      <c r="K89" s="4" t="str">
        <f>Sheet!I89</f>
        <v>Femenino</v>
      </c>
      <c r="L89" s="4" t="str">
        <f>Sheet!J89</f>
        <v>Activo</v>
      </c>
      <c r="M89" s="4" t="str">
        <f>Sheet!K89</f>
        <v xml:space="preserve">ANIM 6°   </v>
      </c>
    </row>
    <row r="90" spans="1:13" x14ac:dyDescent="0.35">
      <c r="A90" t="s">
        <v>1</v>
      </c>
      <c r="B90" s="5" t="s">
        <v>73</v>
      </c>
      <c r="C90" s="4" t="s">
        <v>603</v>
      </c>
      <c r="D90" s="4" t="s">
        <v>627</v>
      </c>
      <c r="E90" t="s">
        <v>2645</v>
      </c>
      <c r="F90" t="str">
        <f>CONCATENATE("'",Sheet!E90)</f>
        <v>'111087</v>
      </c>
      <c r="G90" t="s">
        <v>1736</v>
      </c>
      <c r="H90" s="4" t="str">
        <f>Sheet!F90</f>
        <v>LIÑAN FLORES ARACELI ESMERALDA</v>
      </c>
      <c r="I90" s="4" t="str">
        <f>Sheet!G90</f>
        <v>INGENIERIA AEROESPACIAL</v>
      </c>
      <c r="J90" s="4" t="str">
        <f>Sheet!H90</f>
        <v>6to</v>
      </c>
      <c r="K90" s="4" t="str">
        <f>Sheet!I90</f>
        <v>Femenino</v>
      </c>
      <c r="L90" s="4" t="str">
        <f>Sheet!J90</f>
        <v>Activo</v>
      </c>
      <c r="M90" s="4" t="str">
        <f>Sheet!K90</f>
        <v xml:space="preserve">AERO 6°   </v>
      </c>
    </row>
    <row r="91" spans="1:13" x14ac:dyDescent="0.35">
      <c r="A91" t="s">
        <v>1</v>
      </c>
      <c r="B91" s="5" t="s">
        <v>74</v>
      </c>
      <c r="C91" s="4" t="s">
        <v>604</v>
      </c>
      <c r="D91" s="4" t="s">
        <v>596</v>
      </c>
      <c r="E91" t="s">
        <v>2648</v>
      </c>
      <c r="F91" t="str">
        <f>CONCATENATE("'",Sheet!E91)</f>
        <v>'007290</v>
      </c>
      <c r="G91" t="s">
        <v>1736</v>
      </c>
      <c r="H91" s="4" t="str">
        <f>Sheet!F91</f>
        <v>ALVARADO MORENO ARANZA SINHAI</v>
      </c>
      <c r="I91" s="4" t="str">
        <f>Sheet!G91</f>
        <v>PSICOLOGIA</v>
      </c>
      <c r="J91" s="4" t="str">
        <f>Sheet!H91</f>
        <v>4to</v>
      </c>
      <c r="K91" s="4" t="str">
        <f>Sheet!I91</f>
        <v>Femenino</v>
      </c>
      <c r="L91" s="4" t="str">
        <f>Sheet!J91</f>
        <v>Activo</v>
      </c>
      <c r="M91" s="4" t="str">
        <f>Sheet!K91</f>
        <v xml:space="preserve">PSI 4°    </v>
      </c>
    </row>
    <row r="92" spans="1:13" x14ac:dyDescent="0.35">
      <c r="A92" t="s">
        <v>1</v>
      </c>
      <c r="B92" s="5" t="s">
        <v>75</v>
      </c>
      <c r="C92" s="4" t="s">
        <v>605</v>
      </c>
      <c r="D92" s="4" t="s">
        <v>891</v>
      </c>
      <c r="E92" t="s">
        <v>2651</v>
      </c>
      <c r="F92" t="str">
        <f>CONCATENATE("'",Sheet!E92)</f>
        <v>'112221</v>
      </c>
      <c r="G92" t="s">
        <v>1736</v>
      </c>
      <c r="H92" s="4" t="str">
        <f>Sheet!F92</f>
        <v>ZABRANA KÖNIG ARIF BENJAMIN</v>
      </c>
      <c r="I92" s="4" t="str">
        <f>Sheet!G92</f>
        <v>INGENIERIA AEROESPACIAL</v>
      </c>
      <c r="J92" s="4" t="str">
        <f>Sheet!H92</f>
        <v>2do</v>
      </c>
      <c r="K92" s="4" t="str">
        <f>Sheet!I92</f>
        <v>Masculino</v>
      </c>
      <c r="L92" s="4" t="str">
        <f>Sheet!J92</f>
        <v>Activo</v>
      </c>
      <c r="M92" s="4" t="str">
        <f>Sheet!K92</f>
        <v xml:space="preserve">AERO 2°A  </v>
      </c>
    </row>
    <row r="93" spans="1:13" x14ac:dyDescent="0.35">
      <c r="A93" t="s">
        <v>1</v>
      </c>
      <c r="B93" s="5" t="s">
        <v>76</v>
      </c>
      <c r="C93" s="4" t="s">
        <v>531</v>
      </c>
      <c r="D93" s="4" t="s">
        <v>544</v>
      </c>
      <c r="E93" t="s">
        <v>2654</v>
      </c>
      <c r="F93" t="str">
        <f>CONCATENATE("'",Sheet!E93)</f>
        <v>'112163</v>
      </c>
      <c r="G93" t="s">
        <v>1736</v>
      </c>
      <c r="H93" s="4" t="str">
        <f>Sheet!F93</f>
        <v>GONZALEZ HERNANDEZ ARMANDO</v>
      </c>
      <c r="I93" s="4" t="str">
        <f>Sheet!G93</f>
        <v>INGENIERÍA EN INTELIGENCIA ARTIFICIAL</v>
      </c>
      <c r="J93" s="4" t="str">
        <f>Sheet!H93</f>
        <v>2do</v>
      </c>
      <c r="K93" s="4" t="str">
        <f>Sheet!I93</f>
        <v>Masculino</v>
      </c>
      <c r="L93" s="4" t="str">
        <f>Sheet!J93</f>
        <v>Activo</v>
      </c>
      <c r="M93" s="4" t="str">
        <f>Sheet!K93</f>
        <v xml:space="preserve">IA 2°     </v>
      </c>
    </row>
    <row r="94" spans="1:13" x14ac:dyDescent="0.35">
      <c r="A94" t="s">
        <v>1</v>
      </c>
      <c r="B94" s="5" t="s">
        <v>77</v>
      </c>
      <c r="C94" s="4" t="s">
        <v>591</v>
      </c>
      <c r="D94" s="4" t="s">
        <v>600</v>
      </c>
      <c r="E94" t="s">
        <v>2657</v>
      </c>
      <c r="F94" t="str">
        <f>CONCATENATE("'",Sheet!E94)</f>
        <v>'112358</v>
      </c>
      <c r="G94" t="s">
        <v>1736</v>
      </c>
      <c r="H94" s="4" t="str">
        <f>Sheet!F94</f>
        <v>GUTIERREZ TORRES ARTURO ALEJANDRO</v>
      </c>
      <c r="I94" s="4" t="str">
        <f>Sheet!G94</f>
        <v>INGENIERÍA AUTOMOTRIZ</v>
      </c>
      <c r="J94" s="4" t="str">
        <f>Sheet!H94</f>
        <v>2do</v>
      </c>
      <c r="K94" s="4" t="str">
        <f>Sheet!I94</f>
        <v>Masculino</v>
      </c>
      <c r="L94" s="4" t="str">
        <f>Sheet!J94</f>
        <v>Activo</v>
      </c>
      <c r="M94" s="4" t="str">
        <f>Sheet!K94</f>
        <v xml:space="preserve">AUTO 2° B </v>
      </c>
    </row>
    <row r="95" spans="1:13" x14ac:dyDescent="0.35">
      <c r="A95" t="s">
        <v>1</v>
      </c>
      <c r="B95" s="5" t="s">
        <v>78</v>
      </c>
      <c r="C95" s="4" t="s">
        <v>606</v>
      </c>
      <c r="D95" s="4" t="s">
        <v>892</v>
      </c>
      <c r="E95" t="s">
        <v>2660</v>
      </c>
      <c r="F95" t="str">
        <f>CONCATENATE("'",Sheet!E95)</f>
        <v>'112177</v>
      </c>
      <c r="G95" t="s">
        <v>1736</v>
      </c>
      <c r="H95" s="4" t="str">
        <f>Sheet!F95</f>
        <v>SERRANO GUEVARA ARTURO ALEXEI</v>
      </c>
      <c r="I95" s="4" t="str">
        <f>Sheet!G95</f>
        <v>INGENIERIA AEROESPACIAL</v>
      </c>
      <c r="J95" s="4" t="str">
        <f>Sheet!H95</f>
        <v>2do</v>
      </c>
      <c r="K95" s="4" t="str">
        <f>Sheet!I95</f>
        <v>Masculino</v>
      </c>
      <c r="L95" s="4" t="str">
        <f>Sheet!J95</f>
        <v>Activo</v>
      </c>
      <c r="M95" s="4" t="str">
        <f>Sheet!K95</f>
        <v xml:space="preserve">AERO 2°A  </v>
      </c>
    </row>
    <row r="96" spans="1:13" x14ac:dyDescent="0.35">
      <c r="A96" t="s">
        <v>1</v>
      </c>
      <c r="B96" s="5" t="s">
        <v>79</v>
      </c>
      <c r="C96" s="4" t="s">
        <v>607</v>
      </c>
      <c r="D96" s="4" t="s">
        <v>544</v>
      </c>
      <c r="E96" t="s">
        <v>2663</v>
      </c>
      <c r="F96" t="str">
        <f>CONCATENATE("'",Sheet!E96)</f>
        <v>'111656</v>
      </c>
      <c r="G96" t="s">
        <v>1736</v>
      </c>
      <c r="H96" s="4" t="str">
        <f>Sheet!F96</f>
        <v>CASTAÑEDA HERNANDEZ ARTURO EMMANUEL</v>
      </c>
      <c r="I96" s="4" t="str">
        <f>Sheet!G96</f>
        <v>INGENIERIA AEROESPACIAL</v>
      </c>
      <c r="J96" s="4" t="str">
        <f>Sheet!H96</f>
        <v>4to</v>
      </c>
      <c r="K96" s="4" t="str">
        <f>Sheet!I96</f>
        <v>Masculino</v>
      </c>
      <c r="L96" s="4" t="str">
        <f>Sheet!J96</f>
        <v>Activo</v>
      </c>
      <c r="M96" s="4" t="str">
        <f>Sheet!K96</f>
        <v xml:space="preserve">AERO 4°B  </v>
      </c>
    </row>
    <row r="97" spans="1:13" x14ac:dyDescent="0.35">
      <c r="A97" t="s">
        <v>1</v>
      </c>
      <c r="B97" s="5" t="s">
        <v>80</v>
      </c>
      <c r="C97" s="4" t="s">
        <v>608</v>
      </c>
      <c r="D97" s="4" t="s">
        <v>893</v>
      </c>
      <c r="E97" t="s">
        <v>2666</v>
      </c>
      <c r="F97" t="str">
        <f>CONCATENATE("'",Sheet!E97)</f>
        <v>'007948</v>
      </c>
      <c r="G97" t="s">
        <v>1736</v>
      </c>
      <c r="H97" s="4" t="str">
        <f>Sheet!F97</f>
        <v>BERNAL MONTAÑEZ ASTRID AVRIL</v>
      </c>
      <c r="I97" s="4" t="str">
        <f>Sheet!G97</f>
        <v>PSICOLOGIA</v>
      </c>
      <c r="J97" s="4" t="str">
        <f>Sheet!H97</f>
        <v>4to</v>
      </c>
      <c r="K97" s="4" t="str">
        <f>Sheet!I97</f>
        <v>Femenino</v>
      </c>
      <c r="L97" s="4" t="str">
        <f>Sheet!J97</f>
        <v>Activo</v>
      </c>
      <c r="M97" s="4" t="str">
        <f>Sheet!K97</f>
        <v xml:space="preserve">PSI 4°    </v>
      </c>
    </row>
    <row r="98" spans="1:13" x14ac:dyDescent="0.35">
      <c r="A98" t="s">
        <v>1</v>
      </c>
      <c r="B98" s="5" t="s">
        <v>81</v>
      </c>
      <c r="C98" s="4" t="s">
        <v>609</v>
      </c>
      <c r="D98" s="4" t="s">
        <v>656</v>
      </c>
      <c r="E98" t="s">
        <v>2669</v>
      </c>
      <c r="F98" t="str">
        <f>CONCATENATE("'",Sheet!E98)</f>
        <v>'111054</v>
      </c>
      <c r="G98" t="s">
        <v>1736</v>
      </c>
      <c r="H98" s="4" t="str">
        <f>Sheet!F98</f>
        <v>OSORNIO CONTRERAS AUREA EMILY</v>
      </c>
      <c r="I98" s="4" t="str">
        <f>Sheet!G98</f>
        <v>PSICOLOGIA</v>
      </c>
      <c r="J98" s="4" t="str">
        <f>Sheet!H98</f>
        <v>6to</v>
      </c>
      <c r="K98" s="4" t="str">
        <f>Sheet!I98</f>
        <v>Femenino</v>
      </c>
      <c r="L98" s="4" t="str">
        <f>Sheet!J98</f>
        <v>Activo</v>
      </c>
      <c r="M98" s="4" t="str">
        <f>Sheet!K98</f>
        <v xml:space="preserve">PSI 6°    </v>
      </c>
    </row>
    <row r="99" spans="1:13" x14ac:dyDescent="0.35">
      <c r="A99" t="s">
        <v>1</v>
      </c>
      <c r="B99" s="5" t="s">
        <v>82</v>
      </c>
      <c r="C99" s="4" t="s">
        <v>610</v>
      </c>
      <c r="D99" s="4" t="s">
        <v>391</v>
      </c>
      <c r="E99" t="s">
        <v>2672</v>
      </c>
      <c r="F99" t="str">
        <f>CONCATENATE("'",Sheet!E99)</f>
        <v>'112016</v>
      </c>
      <c r="G99" t="s">
        <v>1736</v>
      </c>
      <c r="H99" s="4" t="str">
        <f>Sheet!F99</f>
        <v>BAUTISTA MARIANO BERNARDA</v>
      </c>
      <c r="I99" s="4" t="str">
        <f>Sheet!G99</f>
        <v>PSICOLOGIA</v>
      </c>
      <c r="J99" s="4" t="str">
        <f>Sheet!H99</f>
        <v>4to</v>
      </c>
      <c r="K99" s="4" t="str">
        <f>Sheet!I99</f>
        <v>Femenino</v>
      </c>
      <c r="L99" s="4" t="str">
        <f>Sheet!J99</f>
        <v>Activo</v>
      </c>
      <c r="M99" s="4" t="str">
        <f>Sheet!K99</f>
        <v xml:space="preserve">PSI 4°    </v>
      </c>
    </row>
    <row r="100" spans="1:13" x14ac:dyDescent="0.35">
      <c r="A100" t="s">
        <v>1</v>
      </c>
      <c r="B100" s="5" t="s">
        <v>83</v>
      </c>
      <c r="C100" s="4" t="s">
        <v>611</v>
      </c>
      <c r="D100" s="4" t="s">
        <v>531</v>
      </c>
      <c r="E100" t="s">
        <v>2675</v>
      </c>
      <c r="F100" t="str">
        <f>CONCATENATE("'",Sheet!E100)</f>
        <v>'112152</v>
      </c>
      <c r="G100" t="s">
        <v>1736</v>
      </c>
      <c r="H100" s="4" t="str">
        <f>Sheet!F100</f>
        <v>DESSAVRE GONZALEZ BERNARDO</v>
      </c>
      <c r="I100" s="4" t="str">
        <f>Sheet!G100</f>
        <v>INGENIERIA AEROESPACIAL</v>
      </c>
      <c r="J100" s="4" t="str">
        <f>Sheet!H100</f>
        <v>2do</v>
      </c>
      <c r="K100" s="4" t="str">
        <f>Sheet!I100</f>
        <v>Masculino</v>
      </c>
      <c r="L100" s="4" t="str">
        <f>Sheet!J100</f>
        <v>Activo</v>
      </c>
      <c r="M100" s="4" t="str">
        <f>Sheet!K100</f>
        <v xml:space="preserve">AERO 2°B  </v>
      </c>
    </row>
    <row r="101" spans="1:13" x14ac:dyDescent="0.35">
      <c r="A101" t="s">
        <v>1</v>
      </c>
      <c r="B101" s="5" t="s">
        <v>84</v>
      </c>
      <c r="C101" s="4" t="s">
        <v>564</v>
      </c>
      <c r="D101" s="4" t="s">
        <v>894</v>
      </c>
      <c r="E101" t="s">
        <v>2678</v>
      </c>
      <c r="F101" t="str">
        <f>CONCATENATE("'",Sheet!E101)</f>
        <v>'111791</v>
      </c>
      <c r="G101" t="s">
        <v>1736</v>
      </c>
      <c r="H101" s="4" t="str">
        <f>Sheet!F101</f>
        <v>GUZMAN APARICIO BERTHA ERICA</v>
      </c>
      <c r="I101" s="4" t="str">
        <f>Sheet!G101</f>
        <v>ANIMACION DIGITAL Y VIDEOJUEGOS</v>
      </c>
      <c r="J101" s="4" t="str">
        <f>Sheet!H101</f>
        <v>4to</v>
      </c>
      <c r="K101" s="4" t="str">
        <f>Sheet!I101</f>
        <v>Femenino</v>
      </c>
      <c r="L101" s="4" t="str">
        <f>Sheet!J101</f>
        <v>Activo</v>
      </c>
      <c r="M101" s="4" t="str">
        <f>Sheet!K101</f>
        <v xml:space="preserve">ANIM 4°   </v>
      </c>
    </row>
    <row r="102" spans="1:13" x14ac:dyDescent="0.35">
      <c r="A102" t="s">
        <v>1</v>
      </c>
      <c r="B102" s="5" t="s">
        <v>85</v>
      </c>
      <c r="C102" s="4" t="s">
        <v>612</v>
      </c>
      <c r="D102" s="4" t="s">
        <v>600</v>
      </c>
      <c r="E102" t="s">
        <v>2681</v>
      </c>
      <c r="F102" t="str">
        <f>CONCATENATE("'",Sheet!E102)</f>
        <v>'110565</v>
      </c>
      <c r="G102" t="s">
        <v>1736</v>
      </c>
      <c r="H102" s="4" t="str">
        <f>Sheet!F102</f>
        <v>SOSA TORRES BETHEL CITLALI</v>
      </c>
      <c r="I102" s="4" t="str">
        <f>Sheet!G102</f>
        <v>ANIMACION DIGITAL Y VIDEOJUEGOS</v>
      </c>
      <c r="J102" s="4" t="str">
        <f>Sheet!H102</f>
        <v>8vo</v>
      </c>
      <c r="K102" s="4" t="str">
        <f>Sheet!I102</f>
        <v>Femenino</v>
      </c>
      <c r="L102" s="4" t="str">
        <f>Sheet!J102</f>
        <v>Activo</v>
      </c>
      <c r="M102" s="4" t="str">
        <f>Sheet!K102</f>
        <v xml:space="preserve">ANIM 8°   </v>
      </c>
    </row>
    <row r="103" spans="1:13" x14ac:dyDescent="0.35">
      <c r="A103" t="s">
        <v>1</v>
      </c>
      <c r="B103" s="5" t="s">
        <v>86</v>
      </c>
      <c r="C103" s="4" t="s">
        <v>613</v>
      </c>
      <c r="D103" s="4" t="s">
        <v>895</v>
      </c>
      <c r="E103" t="s">
        <v>2684</v>
      </c>
      <c r="F103" t="str">
        <f>CONCATENATE("'",Sheet!E103)</f>
        <v>'111636</v>
      </c>
      <c r="G103" t="s">
        <v>1736</v>
      </c>
      <c r="H103" s="4" t="str">
        <f>Sheet!F103</f>
        <v>IÑIGUEZ OSEGUERA BLANCA LETICIA</v>
      </c>
      <c r="I103" s="4" t="str">
        <f>Sheet!G103</f>
        <v>PSICOLOGIA</v>
      </c>
      <c r="J103" s="4" t="str">
        <f>Sheet!H103</f>
        <v>4to</v>
      </c>
      <c r="K103" s="4" t="str">
        <f>Sheet!I103</f>
        <v>Femenino</v>
      </c>
      <c r="L103" s="4" t="str">
        <f>Sheet!J103</f>
        <v>Activo</v>
      </c>
      <c r="M103" s="4" t="str">
        <f>Sheet!K103</f>
        <v xml:space="preserve">PSI 4°    </v>
      </c>
    </row>
    <row r="104" spans="1:13" x14ac:dyDescent="0.35">
      <c r="A104" t="s">
        <v>1</v>
      </c>
      <c r="B104" s="5" t="s">
        <v>87</v>
      </c>
      <c r="C104" s="4" t="s">
        <v>614</v>
      </c>
      <c r="D104" s="4" t="s">
        <v>543</v>
      </c>
      <c r="E104" t="s">
        <v>2687</v>
      </c>
      <c r="F104" t="str">
        <f>CONCATENATE("'",Sheet!E104)</f>
        <v>'111738</v>
      </c>
      <c r="G104" t="s">
        <v>1736</v>
      </c>
      <c r="H104" s="4" t="str">
        <f>Sheet!F104</f>
        <v>PADRON VAZQUEZ BLAS</v>
      </c>
      <c r="I104" s="4" t="str">
        <f>Sheet!G104</f>
        <v>INGENIERIA AEROESPACIAL</v>
      </c>
      <c r="J104" s="4" t="str">
        <f>Sheet!H104</f>
        <v>4to</v>
      </c>
      <c r="K104" s="4" t="str">
        <f>Sheet!I104</f>
        <v>Masculino</v>
      </c>
      <c r="L104" s="4" t="str">
        <f>Sheet!J104</f>
        <v>Activo</v>
      </c>
      <c r="M104" s="4" t="str">
        <f>Sheet!K104</f>
        <v xml:space="preserve">AERO 4°B  </v>
      </c>
    </row>
    <row r="105" spans="1:13" x14ac:dyDescent="0.35">
      <c r="A105" t="s">
        <v>1</v>
      </c>
      <c r="B105" s="5" t="s">
        <v>88</v>
      </c>
      <c r="C105" s="4" t="s">
        <v>615</v>
      </c>
      <c r="D105" s="4" t="s">
        <v>896</v>
      </c>
      <c r="E105" t="s">
        <v>2690</v>
      </c>
      <c r="F105" t="str">
        <f>CONCATENATE("'",Sheet!E105)</f>
        <v>'110531</v>
      </c>
      <c r="G105" t="s">
        <v>1736</v>
      </c>
      <c r="H105" s="4" t="str">
        <f>Sheet!F105</f>
        <v>GALLEGOS ARCINIEGA BOGAR GERARDO</v>
      </c>
      <c r="I105" s="4" t="str">
        <f>Sheet!G105</f>
        <v>INGENIERIA AEROESPACIAL</v>
      </c>
      <c r="J105" s="4" t="str">
        <f>Sheet!H105</f>
        <v>8vo</v>
      </c>
      <c r="K105" s="4" t="str">
        <f>Sheet!I105</f>
        <v>Masculino</v>
      </c>
      <c r="L105" s="4" t="str">
        <f>Sheet!J105</f>
        <v>Activo</v>
      </c>
      <c r="M105" s="4" t="str">
        <f>Sheet!K105</f>
        <v xml:space="preserve">AERO 8°   </v>
      </c>
    </row>
    <row r="106" spans="1:13" x14ac:dyDescent="0.35">
      <c r="A106" t="s">
        <v>1</v>
      </c>
      <c r="B106" s="5" t="s">
        <v>89</v>
      </c>
      <c r="C106" s="4" t="s">
        <v>616</v>
      </c>
      <c r="D106" s="4" t="s">
        <v>621</v>
      </c>
      <c r="E106" t="s">
        <v>2693</v>
      </c>
      <c r="F106" t="str">
        <f>CONCATENATE("'",Sheet!E106)</f>
        <v>'112258</v>
      </c>
      <c r="G106" t="s">
        <v>1736</v>
      </c>
      <c r="H106" s="4" t="str">
        <f>Sheet!F106</f>
        <v>ARELLANO LOPEZ BRANDO CRISTOPHER</v>
      </c>
      <c r="I106" s="4" t="str">
        <f>Sheet!G106</f>
        <v>INGENIERÍA AUTOMOTRIZ</v>
      </c>
      <c r="J106" s="4" t="str">
        <f>Sheet!H106</f>
        <v>2do</v>
      </c>
      <c r="K106" s="4" t="str">
        <f>Sheet!I106</f>
        <v>Masculino</v>
      </c>
      <c r="L106" s="4" t="str">
        <f>Sheet!J106</f>
        <v>Activo</v>
      </c>
      <c r="M106" s="4" t="str">
        <f>Sheet!K106</f>
        <v xml:space="preserve">AUTO 2° A </v>
      </c>
    </row>
    <row r="107" spans="1:13" x14ac:dyDescent="0.35">
      <c r="A107" t="s">
        <v>1</v>
      </c>
      <c r="B107" s="5" t="s">
        <v>90</v>
      </c>
      <c r="C107" s="4" t="s">
        <v>617</v>
      </c>
      <c r="D107" s="4" t="s">
        <v>897</v>
      </c>
      <c r="E107" t="s">
        <v>2696</v>
      </c>
      <c r="F107" t="str">
        <f>CONCATENATE("'",Sheet!E107)</f>
        <v>'111130</v>
      </c>
      <c r="G107" t="s">
        <v>1736</v>
      </c>
      <c r="H107" s="4" t="str">
        <f>Sheet!F107</f>
        <v>GATICA CANO BRAULIO AARON</v>
      </c>
      <c r="I107" s="4" t="str">
        <f>Sheet!G107</f>
        <v>INGENIERIA AEROESPACIAL</v>
      </c>
      <c r="J107" s="4" t="str">
        <f>Sheet!H107</f>
        <v>6to</v>
      </c>
      <c r="K107" s="4" t="str">
        <f>Sheet!I107</f>
        <v>Masculino</v>
      </c>
      <c r="L107" s="4" t="str">
        <f>Sheet!J107</f>
        <v>Activo</v>
      </c>
      <c r="M107" s="4" t="str">
        <f>Sheet!K107</f>
        <v xml:space="preserve">AERO 6°   </v>
      </c>
    </row>
    <row r="108" spans="1:13" x14ac:dyDescent="0.35">
      <c r="A108" t="s">
        <v>1</v>
      </c>
      <c r="B108" s="5" t="s">
        <v>91</v>
      </c>
      <c r="C108" s="4" t="s">
        <v>548</v>
      </c>
      <c r="D108" s="4" t="s">
        <v>549</v>
      </c>
      <c r="E108" t="s">
        <v>2699</v>
      </c>
      <c r="F108" t="str">
        <f>CONCATENATE("'",Sheet!E108)</f>
        <v>'111072</v>
      </c>
      <c r="G108" t="s">
        <v>1736</v>
      </c>
      <c r="H108" s="4" t="str">
        <f>Sheet!F108</f>
        <v>PEREZ ALVAREZ BRAULIO ISAIAS</v>
      </c>
      <c r="I108" s="4" t="str">
        <f>Sheet!G108</f>
        <v>ANIMACION DIGITAL Y VIDEOJUEGOS</v>
      </c>
      <c r="J108" s="4" t="str">
        <f>Sheet!H108</f>
        <v>6to</v>
      </c>
      <c r="K108" s="4" t="str">
        <f>Sheet!I108</f>
        <v>Masculino</v>
      </c>
      <c r="L108" s="4" t="str">
        <f>Sheet!J108</f>
        <v>Activo</v>
      </c>
      <c r="M108" s="4" t="str">
        <f>Sheet!K108</f>
        <v xml:space="preserve">ANIM 6°   </v>
      </c>
    </row>
    <row r="109" spans="1:13" x14ac:dyDescent="0.35">
      <c r="A109" t="s">
        <v>1</v>
      </c>
      <c r="B109" s="5" t="s">
        <v>92</v>
      </c>
      <c r="C109" s="4" t="s">
        <v>597</v>
      </c>
      <c r="D109" s="4" t="s">
        <v>898</v>
      </c>
      <c r="E109" t="s">
        <v>2702</v>
      </c>
      <c r="F109" t="str">
        <f>CONCATENATE("'",Sheet!E109)</f>
        <v>'111627</v>
      </c>
      <c r="G109" t="s">
        <v>1736</v>
      </c>
      <c r="H109" s="4" t="str">
        <f>Sheet!F109</f>
        <v>RIVERA ACOSTA BRAYAN JOSE</v>
      </c>
      <c r="I109" s="4" t="str">
        <f>Sheet!G109</f>
        <v>INGENIERÍA AUTOMOTRIZ</v>
      </c>
      <c r="J109" s="4" t="str">
        <f>Sheet!H109</f>
        <v>4to</v>
      </c>
      <c r="K109" s="4" t="str">
        <f>Sheet!I109</f>
        <v>Masculino</v>
      </c>
      <c r="L109" s="4" t="str">
        <f>Sheet!J109</f>
        <v>Activo</v>
      </c>
      <c r="M109" s="4" t="str">
        <f>Sheet!K109</f>
        <v xml:space="preserve">AUTO 4°   </v>
      </c>
    </row>
    <row r="110" spans="1:13" x14ac:dyDescent="0.35">
      <c r="A110" t="s">
        <v>1</v>
      </c>
      <c r="B110" s="5" t="s">
        <v>93</v>
      </c>
      <c r="C110" s="4" t="s">
        <v>618</v>
      </c>
      <c r="D110" s="4" t="s">
        <v>899</v>
      </c>
      <c r="E110" t="s">
        <v>2705</v>
      </c>
      <c r="F110" t="str">
        <f>CONCATENATE("'",Sheet!E110)</f>
        <v>'111798</v>
      </c>
      <c r="G110" t="s">
        <v>1736</v>
      </c>
      <c r="H110" s="4" t="str">
        <f>Sheet!F110</f>
        <v>BOJADO DEL REAL BRENDA GUADALUPE</v>
      </c>
      <c r="I110" s="4" t="str">
        <f>Sheet!G110</f>
        <v>ARQUITECTURA</v>
      </c>
      <c r="J110" s="4" t="str">
        <f>Sheet!H110</f>
        <v>4to</v>
      </c>
      <c r="K110" s="4" t="str">
        <f>Sheet!I110</f>
        <v>Femenino</v>
      </c>
      <c r="L110" s="4" t="str">
        <f>Sheet!J110</f>
        <v>Activo</v>
      </c>
      <c r="M110" s="4" t="str">
        <f>Sheet!K110</f>
        <v xml:space="preserve">ARQ 4°    </v>
      </c>
    </row>
    <row r="111" spans="1:13" x14ac:dyDescent="0.35">
      <c r="A111" t="s">
        <v>1</v>
      </c>
      <c r="B111" s="5" t="s">
        <v>94</v>
      </c>
      <c r="C111" s="4" t="s">
        <v>554</v>
      </c>
      <c r="D111" s="4" t="s">
        <v>900</v>
      </c>
      <c r="E111" t="s">
        <v>2708</v>
      </c>
      <c r="F111" t="str">
        <f>CONCATENATE("'",Sheet!E111)</f>
        <v>'111815</v>
      </c>
      <c r="G111" t="s">
        <v>1736</v>
      </c>
      <c r="H111" s="4" t="str">
        <f>Sheet!F111</f>
        <v>SOLIS CERPA BRENDA MELISSA</v>
      </c>
      <c r="I111" s="4" t="str">
        <f>Sheet!G111</f>
        <v>PSICOLOGIA</v>
      </c>
      <c r="J111" s="4" t="str">
        <f>Sheet!H111</f>
        <v>4to</v>
      </c>
      <c r="K111" s="4" t="str">
        <f>Sheet!I111</f>
        <v>Femenino</v>
      </c>
      <c r="L111" s="4" t="str">
        <f>Sheet!J111</f>
        <v>Activo</v>
      </c>
      <c r="M111" s="4" t="str">
        <f>Sheet!K111</f>
        <v xml:space="preserve">PSI 4°    </v>
      </c>
    </row>
    <row r="112" spans="1:13" x14ac:dyDescent="0.35">
      <c r="A112" t="s">
        <v>1</v>
      </c>
      <c r="B112" s="5" t="s">
        <v>95</v>
      </c>
      <c r="C112" s="4" t="s">
        <v>619</v>
      </c>
      <c r="D112" s="4" t="s">
        <v>901</v>
      </c>
      <c r="E112" t="s">
        <v>2711</v>
      </c>
      <c r="F112" t="str">
        <f>CONCATENATE("'",Sheet!E112)</f>
        <v>'111119</v>
      </c>
      <c r="G112" t="s">
        <v>1736</v>
      </c>
      <c r="H112" s="4" t="str">
        <f>Sheet!F112</f>
        <v>PADILLA VIDALES BRENDA SUSANA</v>
      </c>
      <c r="I112" s="4" t="str">
        <f>Sheet!G112</f>
        <v>PSICOLOGIA</v>
      </c>
      <c r="J112" s="4" t="str">
        <f>Sheet!H112</f>
        <v>6to</v>
      </c>
      <c r="K112" s="4" t="str">
        <f>Sheet!I112</f>
        <v>Femenino</v>
      </c>
      <c r="L112" s="4" t="str">
        <f>Sheet!J112</f>
        <v>Activo</v>
      </c>
      <c r="M112" s="4" t="str">
        <f>Sheet!K112</f>
        <v xml:space="preserve">PSI 6°    </v>
      </c>
    </row>
    <row r="113" spans="1:13" x14ac:dyDescent="0.35">
      <c r="A113" t="s">
        <v>1</v>
      </c>
      <c r="B113" s="5" t="s">
        <v>96</v>
      </c>
      <c r="C113" s="4" t="s">
        <v>620</v>
      </c>
      <c r="D113" s="4" t="s">
        <v>646</v>
      </c>
      <c r="E113" t="s">
        <v>2714</v>
      </c>
      <c r="F113" t="str">
        <f>CONCATENATE("'",Sheet!E113)</f>
        <v>'110467</v>
      </c>
      <c r="G113" t="s">
        <v>1736</v>
      </c>
      <c r="H113" s="4" t="str">
        <f>Sheet!F113</f>
        <v>MACIAS AYALA BRENDA XIADANI</v>
      </c>
      <c r="I113" s="4" t="str">
        <f>Sheet!G113</f>
        <v>INGENIERIA AEROESPACIAL</v>
      </c>
      <c r="J113" s="4" t="str">
        <f>Sheet!H113</f>
        <v>8vo</v>
      </c>
      <c r="K113" s="4" t="str">
        <f>Sheet!I113</f>
        <v>Femenino</v>
      </c>
      <c r="L113" s="4" t="str">
        <f>Sheet!J113</f>
        <v>Activo</v>
      </c>
      <c r="M113" s="4" t="str">
        <f>Sheet!K113</f>
        <v xml:space="preserve">AERO 8°   </v>
      </c>
    </row>
    <row r="114" spans="1:13" x14ac:dyDescent="0.35">
      <c r="A114" t="s">
        <v>1</v>
      </c>
      <c r="B114" s="5" t="s">
        <v>97</v>
      </c>
      <c r="C114" s="4" t="s">
        <v>577</v>
      </c>
      <c r="D114" s="4" t="s">
        <v>902</v>
      </c>
      <c r="E114" t="s">
        <v>2717</v>
      </c>
      <c r="F114" t="str">
        <f>CONCATENATE("'",Sheet!E114)</f>
        <v>'112147</v>
      </c>
      <c r="G114" t="s">
        <v>1736</v>
      </c>
      <c r="H114" s="4" t="str">
        <f>Sheet!F114</f>
        <v>OROZCO VIZCARRA BRENDA XIMENA</v>
      </c>
      <c r="I114" s="4" t="str">
        <f>Sheet!G114</f>
        <v>INGENIERÍA AUTOMOTRIZ</v>
      </c>
      <c r="J114" s="4" t="str">
        <f>Sheet!H114</f>
        <v>2do</v>
      </c>
      <c r="K114" s="4" t="str">
        <f>Sheet!I114</f>
        <v>Femenino</v>
      </c>
      <c r="L114" s="4" t="str">
        <f>Sheet!J114</f>
        <v>Activo</v>
      </c>
      <c r="M114" s="4" t="str">
        <f>Sheet!K114</f>
        <v xml:space="preserve">AUTO 2° B </v>
      </c>
    </row>
    <row r="115" spans="1:13" x14ac:dyDescent="0.35">
      <c r="A115" t="s">
        <v>1</v>
      </c>
      <c r="B115" s="5" t="s">
        <v>98</v>
      </c>
      <c r="C115" s="4" t="s">
        <v>621</v>
      </c>
      <c r="D115" s="4" t="s">
        <v>903</v>
      </c>
      <c r="E115" t="s">
        <v>2720</v>
      </c>
      <c r="F115" t="str">
        <f>CONCATENATE("'",Sheet!E115)</f>
        <v>'112235</v>
      </c>
      <c r="G115" t="s">
        <v>1736</v>
      </c>
      <c r="H115" s="4" t="str">
        <f>Sheet!F115</f>
        <v>LOPEZ CEBALLOS BRUNO GAEL</v>
      </c>
      <c r="I115" s="4" t="str">
        <f>Sheet!G115</f>
        <v>INGENIERIA AEROESPACIAL</v>
      </c>
      <c r="J115" s="4" t="str">
        <f>Sheet!H115</f>
        <v>2do</v>
      </c>
      <c r="K115" s="4" t="str">
        <f>Sheet!I115</f>
        <v>Masculino</v>
      </c>
      <c r="L115" s="4" t="str">
        <f>Sheet!J115</f>
        <v>Activo</v>
      </c>
      <c r="M115" s="4" t="str">
        <f>Sheet!K115</f>
        <v xml:space="preserve">AERO 2°A  </v>
      </c>
    </row>
    <row r="116" spans="1:13" x14ac:dyDescent="0.35">
      <c r="A116" t="s">
        <v>1</v>
      </c>
      <c r="B116" s="5" t="s">
        <v>99</v>
      </c>
      <c r="C116" s="4" t="s">
        <v>604</v>
      </c>
      <c r="D116" s="4" t="s">
        <v>578</v>
      </c>
      <c r="E116" t="s">
        <v>2723</v>
      </c>
      <c r="F116" t="str">
        <f>CONCATENATE("'",Sheet!E116)</f>
        <v>'109852</v>
      </c>
      <c r="G116" t="s">
        <v>1736</v>
      </c>
      <c r="H116" s="4" t="str">
        <f>Sheet!F116</f>
        <v>ALVARADO CHAVEZ BRUNO JOEL</v>
      </c>
      <c r="I116" s="4" t="str">
        <f>Sheet!G116</f>
        <v>INGENIERIA AEROESPACIAL</v>
      </c>
      <c r="J116" s="4" t="str">
        <f>Sheet!H116</f>
        <v>10mo</v>
      </c>
      <c r="K116" s="4" t="str">
        <f>Sheet!I116</f>
        <v>Masculino</v>
      </c>
      <c r="L116" s="4" t="str">
        <f>Sheet!J116</f>
        <v>Activo</v>
      </c>
      <c r="M116" s="4" t="str">
        <f>Sheet!K116</f>
        <v xml:space="preserve">AERO_10°  </v>
      </c>
    </row>
    <row r="117" spans="1:13" x14ac:dyDescent="0.35">
      <c r="A117" t="s">
        <v>1</v>
      </c>
      <c r="B117" s="5" t="s">
        <v>100</v>
      </c>
      <c r="C117" s="4" t="s">
        <v>622</v>
      </c>
      <c r="D117" s="4" t="s">
        <v>591</v>
      </c>
      <c r="E117" t="s">
        <v>2726</v>
      </c>
      <c r="F117" t="str">
        <f>CONCATENATE("'",Sheet!E117)</f>
        <v>'112196</v>
      </c>
      <c r="G117" t="s">
        <v>1736</v>
      </c>
      <c r="H117" s="4" t="str">
        <f>Sheet!F117</f>
        <v>MUÑOZ GUTIERREZ BRUNO SANTIAGO</v>
      </c>
      <c r="I117" s="4" t="str">
        <f>Sheet!G117</f>
        <v>INGENIERÍA AUTOMOTRIZ</v>
      </c>
      <c r="J117" s="4" t="str">
        <f>Sheet!H117</f>
        <v>2do</v>
      </c>
      <c r="K117" s="4" t="str">
        <f>Sheet!I117</f>
        <v>Masculino</v>
      </c>
      <c r="L117" s="4" t="str">
        <f>Sheet!J117</f>
        <v>Activo</v>
      </c>
      <c r="M117" s="4" t="str">
        <f>Sheet!K117</f>
        <v xml:space="preserve">AUTO 2° B </v>
      </c>
    </row>
    <row r="118" spans="1:13" x14ac:dyDescent="0.35">
      <c r="A118" t="s">
        <v>1</v>
      </c>
      <c r="B118" s="5" t="s">
        <v>101</v>
      </c>
      <c r="C118" s="4" t="s">
        <v>623</v>
      </c>
      <c r="D118" s="4" t="s">
        <v>591</v>
      </c>
      <c r="E118" t="s">
        <v>2729</v>
      </c>
      <c r="F118" t="str">
        <f>CONCATENATE("'",Sheet!E118)</f>
        <v>'112248</v>
      </c>
      <c r="G118" t="s">
        <v>1736</v>
      </c>
      <c r="H118" s="4" t="str">
        <f>Sheet!F118</f>
        <v>ZEPEDA JIMENEZ   CAMILLA</v>
      </c>
      <c r="I118" s="4" t="str">
        <f>Sheet!G118</f>
        <v>INGENIERIA AEROESPACIAL</v>
      </c>
      <c r="J118" s="4" t="str">
        <f>Sheet!H118</f>
        <v>2do</v>
      </c>
      <c r="K118" s="4" t="str">
        <f>Sheet!I118</f>
        <v>Femenino</v>
      </c>
      <c r="L118" s="4" t="str">
        <f>Sheet!J118</f>
        <v>Activo</v>
      </c>
      <c r="M118" s="4" t="str">
        <f>Sheet!K118</f>
        <v xml:space="preserve">AERO 2°A  </v>
      </c>
    </row>
    <row r="119" spans="1:13" x14ac:dyDescent="0.35">
      <c r="A119" t="s">
        <v>1</v>
      </c>
      <c r="B119" s="5" t="s">
        <v>102</v>
      </c>
      <c r="C119" s="4" t="s">
        <v>624</v>
      </c>
      <c r="D119" s="4" t="s">
        <v>905</v>
      </c>
      <c r="E119" t="s">
        <v>2732</v>
      </c>
      <c r="F119" t="str">
        <f>CONCATENATE("'",Sheet!E119)</f>
        <v>'110478</v>
      </c>
      <c r="G119" t="s">
        <v>1736</v>
      </c>
      <c r="H119" s="4" t="str">
        <f>Sheet!F119</f>
        <v>CARPINTERO MERINO CARLA</v>
      </c>
      <c r="I119" s="4" t="str">
        <f>Sheet!G119</f>
        <v>INGENIERIA CIBERNETICA Y EN SISTEMAS COMPUTACIONALES</v>
      </c>
      <c r="J119" s="4" t="str">
        <f>Sheet!H119</f>
        <v>8vo</v>
      </c>
      <c r="K119" s="4" t="str">
        <f>Sheet!I119</f>
        <v>Femenino</v>
      </c>
      <c r="L119" s="4" t="str">
        <f>Sheet!J119</f>
        <v>Activo</v>
      </c>
      <c r="M119" s="4" t="str">
        <f>Sheet!K119</f>
        <v xml:space="preserve">CIB 8°    </v>
      </c>
    </row>
    <row r="120" spans="1:13" x14ac:dyDescent="0.35">
      <c r="A120" t="s">
        <v>1</v>
      </c>
      <c r="B120" s="5" t="s">
        <v>103</v>
      </c>
      <c r="C120" s="4" t="s">
        <v>596</v>
      </c>
      <c r="D120" s="4" t="s">
        <v>736</v>
      </c>
      <c r="E120" t="s">
        <v>2735</v>
      </c>
      <c r="F120" t="str">
        <f>CONCATENATE("'",Sheet!E120)</f>
        <v>'112218</v>
      </c>
      <c r="G120" t="s">
        <v>1736</v>
      </c>
      <c r="H120" s="4" t="str">
        <f>Sheet!F120</f>
        <v>MORENO DIAZ CARLOS ALONSO</v>
      </c>
      <c r="I120" s="4" t="str">
        <f>Sheet!G120</f>
        <v>PSICOLOGIA</v>
      </c>
      <c r="J120" s="4" t="str">
        <f>Sheet!H120</f>
        <v>2do</v>
      </c>
      <c r="K120" s="4" t="str">
        <f>Sheet!I120</f>
        <v>Masculino</v>
      </c>
      <c r="L120" s="4" t="str">
        <f>Sheet!J120</f>
        <v>Activo</v>
      </c>
      <c r="M120" s="4" t="str">
        <f>Sheet!K120</f>
        <v xml:space="preserve">PSI 2°    </v>
      </c>
    </row>
    <row r="121" spans="1:13" x14ac:dyDescent="0.35">
      <c r="A121" t="s">
        <v>1</v>
      </c>
      <c r="B121" s="5" t="s">
        <v>104</v>
      </c>
      <c r="C121" s="4" t="s">
        <v>625</v>
      </c>
      <c r="D121" s="4" t="s">
        <v>626</v>
      </c>
      <c r="E121" t="s">
        <v>2738</v>
      </c>
      <c r="F121" t="str">
        <f>CONCATENATE("'",Sheet!E121)</f>
        <v>'007404</v>
      </c>
      <c r="G121" t="s">
        <v>1736</v>
      </c>
      <c r="H121" s="4" t="str">
        <f>Sheet!F121</f>
        <v>YERENA NAVARRO CARLOS EDUARDO</v>
      </c>
      <c r="I121" s="4" t="str">
        <f>Sheet!G121</f>
        <v>PSICOLOGIA</v>
      </c>
      <c r="J121" s="4" t="str">
        <f>Sheet!H121</f>
        <v>8vo</v>
      </c>
      <c r="K121" s="4" t="str">
        <f>Sheet!I121</f>
        <v>Masculino</v>
      </c>
      <c r="L121" s="4" t="str">
        <f>Sheet!J121</f>
        <v>Activo</v>
      </c>
      <c r="M121" s="4" t="str">
        <f>Sheet!K121</f>
        <v xml:space="preserve">PSI 8°    </v>
      </c>
    </row>
    <row r="122" spans="1:13" x14ac:dyDescent="0.35">
      <c r="A122" t="s">
        <v>1</v>
      </c>
      <c r="B122" s="5" t="s">
        <v>105</v>
      </c>
      <c r="C122" s="4" t="s">
        <v>626</v>
      </c>
      <c r="D122" s="4" t="s">
        <v>906</v>
      </c>
      <c r="E122" t="s">
        <v>2741</v>
      </c>
      <c r="F122" t="str">
        <f>CONCATENATE("'",Sheet!E122)</f>
        <v>'112346</v>
      </c>
      <c r="G122" t="s">
        <v>1736</v>
      </c>
      <c r="H122" s="4" t="str">
        <f>Sheet!F122</f>
        <v>NAVARRO LESPRON CARLOS ERNESTO</v>
      </c>
      <c r="I122" s="4" t="str">
        <f>Sheet!G122</f>
        <v>ARQUITECTURA</v>
      </c>
      <c r="J122" s="4" t="str">
        <f>Sheet!H122</f>
        <v>2do</v>
      </c>
      <c r="K122" s="4" t="str">
        <f>Sheet!I122</f>
        <v>Masculino</v>
      </c>
      <c r="L122" s="4" t="str">
        <f>Sheet!J122</f>
        <v>Activo</v>
      </c>
      <c r="M122" s="4" t="str">
        <f>Sheet!K122</f>
        <v xml:space="preserve">ARQ 2°    </v>
      </c>
    </row>
    <row r="123" spans="1:13" x14ac:dyDescent="0.35">
      <c r="A123" t="s">
        <v>1</v>
      </c>
      <c r="B123" s="5" t="s">
        <v>106</v>
      </c>
      <c r="C123" s="4" t="s">
        <v>606</v>
      </c>
      <c r="D123" s="4" t="s">
        <v>907</v>
      </c>
      <c r="E123" t="s">
        <v>2744</v>
      </c>
      <c r="F123" t="str">
        <f>CONCATENATE("'",Sheet!E123)</f>
        <v>'111208</v>
      </c>
      <c r="G123" t="s">
        <v>1736</v>
      </c>
      <c r="H123" s="4" t="str">
        <f>Sheet!F123</f>
        <v>SERRANO AMADOR CARLOS FERNANDO</v>
      </c>
      <c r="I123" s="4" t="str">
        <f>Sheet!G123</f>
        <v>INGENIERÍA EN INTELIGENCIA ARTIFICIAL</v>
      </c>
      <c r="J123" s="4" t="str">
        <f>Sheet!H123</f>
        <v>6to</v>
      </c>
      <c r="K123" s="4" t="str">
        <f>Sheet!I123</f>
        <v>Masculino</v>
      </c>
      <c r="L123" s="4" t="str">
        <f>Sheet!J123</f>
        <v>Activo</v>
      </c>
      <c r="M123" s="4" t="str">
        <f>Sheet!K123</f>
        <v xml:space="preserve">IA 6°     </v>
      </c>
    </row>
    <row r="124" spans="1:13" x14ac:dyDescent="0.35">
      <c r="A124" t="s">
        <v>1</v>
      </c>
      <c r="B124" s="5" t="s">
        <v>107</v>
      </c>
      <c r="C124" s="4" t="s">
        <v>627</v>
      </c>
      <c r="D124" s="4" t="s">
        <v>591</v>
      </c>
      <c r="E124" t="s">
        <v>2747</v>
      </c>
      <c r="F124" t="str">
        <f>CONCATENATE("'",Sheet!E124)</f>
        <v>'110559</v>
      </c>
      <c r="G124" t="s">
        <v>1736</v>
      </c>
      <c r="H124" s="4" t="str">
        <f>Sheet!F124</f>
        <v>FLORES GUTIERREZ CARLOS IVAN</v>
      </c>
      <c r="I124" s="4" t="str">
        <f>Sheet!G124</f>
        <v>ANIMACION DIGITAL Y VIDEOJUEGOS</v>
      </c>
      <c r="J124" s="4" t="str">
        <f>Sheet!H124</f>
        <v>8vo</v>
      </c>
      <c r="K124" s="4" t="str">
        <f>Sheet!I124</f>
        <v>Masculino</v>
      </c>
      <c r="L124" s="4" t="str">
        <f>Sheet!J124</f>
        <v>Activo</v>
      </c>
      <c r="M124" s="4" t="str">
        <f>Sheet!K124</f>
        <v xml:space="preserve">ANIM 8°   </v>
      </c>
    </row>
    <row r="125" spans="1:13" x14ac:dyDescent="0.35">
      <c r="A125" t="s">
        <v>1</v>
      </c>
      <c r="B125" s="5" t="s">
        <v>108</v>
      </c>
      <c r="C125" s="4" t="s">
        <v>628</v>
      </c>
      <c r="D125" s="4" t="s">
        <v>736</v>
      </c>
      <c r="E125" t="s">
        <v>2750</v>
      </c>
      <c r="F125" t="str">
        <f>CONCATENATE("'",Sheet!E125)</f>
        <v>'112201</v>
      </c>
      <c r="G125" t="s">
        <v>1736</v>
      </c>
      <c r="H125" s="4" t="str">
        <f>Sheet!F125</f>
        <v>MEDINA DIAZ CARLOS OSVALDO</v>
      </c>
      <c r="I125" s="4" t="str">
        <f>Sheet!G125</f>
        <v>INGENIERÍA AUTOMOTRIZ</v>
      </c>
      <c r="J125" s="4" t="str">
        <f>Sheet!H125</f>
        <v>2do</v>
      </c>
      <c r="K125" s="4" t="str">
        <f>Sheet!I125</f>
        <v>Masculino</v>
      </c>
      <c r="L125" s="4" t="str">
        <f>Sheet!J125</f>
        <v>Activo</v>
      </c>
      <c r="M125" s="4" t="str">
        <f>Sheet!K125</f>
        <v xml:space="preserve">AUTO 2° B </v>
      </c>
    </row>
    <row r="126" spans="1:13" x14ac:dyDescent="0.35">
      <c r="A126" t="s">
        <v>1</v>
      </c>
      <c r="B126" s="5" t="s">
        <v>109</v>
      </c>
      <c r="C126" s="4" t="s">
        <v>629</v>
      </c>
      <c r="D126" s="4" t="s">
        <v>589</v>
      </c>
      <c r="E126" t="s">
        <v>2753</v>
      </c>
      <c r="F126" t="str">
        <f>CONCATENATE("'",Sheet!E126)</f>
        <v>'110498</v>
      </c>
      <c r="G126" t="s">
        <v>1736</v>
      </c>
      <c r="H126" s="4" t="str">
        <f>Sheet!F126</f>
        <v>RAMIREZ GARCIA CARLOS ROBERTO</v>
      </c>
      <c r="I126" s="4" t="str">
        <f>Sheet!G126</f>
        <v>ANIMACION DIGITAL Y VIDEOJUEGOS</v>
      </c>
      <c r="J126" s="4" t="str">
        <f>Sheet!H126</f>
        <v>8vo</v>
      </c>
      <c r="K126" s="4" t="str">
        <f>Sheet!I126</f>
        <v>Masculino</v>
      </c>
      <c r="L126" s="4" t="str">
        <f>Sheet!J126</f>
        <v>Activo</v>
      </c>
      <c r="M126" s="4" t="str">
        <f>Sheet!K126</f>
        <v xml:space="preserve">ANIM 8°   </v>
      </c>
    </row>
    <row r="127" spans="1:13" x14ac:dyDescent="0.35">
      <c r="A127" t="s">
        <v>1</v>
      </c>
      <c r="B127" s="5" t="s">
        <v>110</v>
      </c>
      <c r="C127" s="4" t="s">
        <v>548</v>
      </c>
      <c r="D127" s="4" t="s">
        <v>908</v>
      </c>
      <c r="E127" t="s">
        <v>2759</v>
      </c>
      <c r="F127" t="str">
        <f>CONCATENATE("'",Sheet!E127)</f>
        <v>'111663</v>
      </c>
      <c r="G127" t="s">
        <v>1736</v>
      </c>
      <c r="H127" s="4" t="str">
        <f>Sheet!F127</f>
        <v>PEREZ DIEZ CARLOS SANTIAGO</v>
      </c>
      <c r="I127" s="4" t="str">
        <f>Sheet!G127</f>
        <v>INGENIERIA AEROESPACIAL</v>
      </c>
      <c r="J127" s="4" t="str">
        <f>Sheet!H127</f>
        <v>4to</v>
      </c>
      <c r="K127" s="4" t="str">
        <f>Sheet!I127</f>
        <v>Masculino</v>
      </c>
      <c r="L127" s="4" t="str">
        <f>Sheet!J127</f>
        <v>Activo</v>
      </c>
      <c r="M127" s="4" t="str">
        <f>Sheet!K127</f>
        <v xml:space="preserve">AERO 4°B  </v>
      </c>
    </row>
    <row r="128" spans="1:13" x14ac:dyDescent="0.35">
      <c r="A128" t="s">
        <v>1</v>
      </c>
      <c r="B128" s="5" t="s">
        <v>111</v>
      </c>
      <c r="C128" s="4" t="s">
        <v>630</v>
      </c>
      <c r="D128" s="4" t="s">
        <v>909</v>
      </c>
      <c r="E128" t="s">
        <v>2765</v>
      </c>
      <c r="F128" t="str">
        <f>CONCATENATE("'",Sheet!E128)</f>
        <v>'109970</v>
      </c>
      <c r="G128" t="s">
        <v>1736</v>
      </c>
      <c r="H128" s="4" t="str">
        <f>Sheet!F128</f>
        <v>CASTILLO MUNGUIA CAROL MARIAN</v>
      </c>
      <c r="I128" s="4" t="str">
        <f>Sheet!G128</f>
        <v>INGENIERIA AEROESPACIAL</v>
      </c>
      <c r="J128" s="4" t="str">
        <f>Sheet!H128</f>
        <v>10mo</v>
      </c>
      <c r="K128" s="4" t="str">
        <f>Sheet!I128</f>
        <v>Femenino</v>
      </c>
      <c r="L128" s="4" t="str">
        <f>Sheet!J128</f>
        <v>Activo</v>
      </c>
      <c r="M128" s="4" t="str">
        <f>Sheet!K128</f>
        <v xml:space="preserve">AERO_10°  </v>
      </c>
    </row>
    <row r="129" spans="1:13" x14ac:dyDescent="0.35">
      <c r="A129" t="s">
        <v>1</v>
      </c>
      <c r="B129" s="5" t="s">
        <v>112</v>
      </c>
      <c r="C129" s="4" t="s">
        <v>631</v>
      </c>
      <c r="D129" s="4" t="s">
        <v>620</v>
      </c>
      <c r="E129" t="s">
        <v>2768</v>
      </c>
      <c r="F129" t="str">
        <f>CONCATENATE("'",Sheet!E129)</f>
        <v>'110423</v>
      </c>
      <c r="G129" t="s">
        <v>1736</v>
      </c>
      <c r="H129" s="4" t="str">
        <f>Sheet!F129</f>
        <v>HURTADO MACIAS CAROL NOEMI</v>
      </c>
      <c r="I129" s="4" t="str">
        <f>Sheet!G129</f>
        <v>ANIMACION DIGITAL Y VIDEOJUEGOS</v>
      </c>
      <c r="J129" s="4" t="str">
        <f>Sheet!H129</f>
        <v>8vo</v>
      </c>
      <c r="K129" s="4" t="str">
        <f>Sheet!I129</f>
        <v>Femenino</v>
      </c>
      <c r="L129" s="4" t="str">
        <f>Sheet!J129</f>
        <v>Activo</v>
      </c>
      <c r="M129" s="4" t="str">
        <f>Sheet!K129</f>
        <v xml:space="preserve">ANIM 8°   </v>
      </c>
    </row>
    <row r="130" spans="1:13" x14ac:dyDescent="0.35">
      <c r="A130" t="s">
        <v>1</v>
      </c>
      <c r="B130" s="5" t="s">
        <v>113</v>
      </c>
      <c r="C130" s="4" t="s">
        <v>632</v>
      </c>
      <c r="D130" s="4" t="s">
        <v>910</v>
      </c>
      <c r="E130" t="s">
        <v>2771</v>
      </c>
      <c r="F130" t="str">
        <f>CONCATENATE("'",Sheet!E130)</f>
        <v>'112237</v>
      </c>
      <c r="G130" t="s">
        <v>1736</v>
      </c>
      <c r="H130" s="4" t="str">
        <f>Sheet!F130</f>
        <v>CAMARGO CARMONA CAROL VANESSA</v>
      </c>
      <c r="I130" s="4" t="str">
        <f>Sheet!G130</f>
        <v>INGENIERÍA AUTOMOTRIZ</v>
      </c>
      <c r="J130" s="4" t="str">
        <f>Sheet!H130</f>
        <v>2do</v>
      </c>
      <c r="K130" s="4" t="str">
        <f>Sheet!I130</f>
        <v>Femenino</v>
      </c>
      <c r="L130" s="4" t="str">
        <f>Sheet!J130</f>
        <v>Activo</v>
      </c>
      <c r="M130" s="4" t="str">
        <f>Sheet!K130</f>
        <v xml:space="preserve">AUTO 2° A </v>
      </c>
    </row>
    <row r="131" spans="1:13" x14ac:dyDescent="0.35">
      <c r="A131" t="s">
        <v>1</v>
      </c>
      <c r="B131" s="5" t="s">
        <v>114</v>
      </c>
      <c r="C131" s="4" t="s">
        <v>530</v>
      </c>
      <c r="D131" s="4" t="s">
        <v>911</v>
      </c>
      <c r="E131" t="s">
        <v>2762</v>
      </c>
      <c r="F131" t="str">
        <f>CONCATENATE("'",Sheet!E131)</f>
        <v>'111155</v>
      </c>
      <c r="G131" t="s">
        <v>1736</v>
      </c>
      <c r="H131" s="4" t="str">
        <f>Sheet!F131</f>
        <v>SANDOVAL BERUMEN CAROLINA ALEXANDRA</v>
      </c>
      <c r="I131" s="4" t="str">
        <f>Sheet!G131</f>
        <v>PSICOLOGIA</v>
      </c>
      <c r="J131" s="4" t="str">
        <f>Sheet!H131</f>
        <v>6to</v>
      </c>
      <c r="K131" s="4" t="str">
        <f>Sheet!I131</f>
        <v>Femenino</v>
      </c>
      <c r="L131" s="4" t="str">
        <f>Sheet!J131</f>
        <v>Activo</v>
      </c>
      <c r="M131" s="4" t="str">
        <f>Sheet!K131</f>
        <v xml:space="preserve">PSI 6°    </v>
      </c>
    </row>
    <row r="132" spans="1:13" x14ac:dyDescent="0.35">
      <c r="A132" t="s">
        <v>1</v>
      </c>
      <c r="B132" s="5" t="s">
        <v>115</v>
      </c>
      <c r="C132" s="4" t="s">
        <v>633</v>
      </c>
      <c r="D132" s="4" t="s">
        <v>636</v>
      </c>
      <c r="E132" t="s">
        <v>2774</v>
      </c>
      <c r="F132" t="str">
        <f>CONCATENATE("'",Sheet!E132)</f>
        <v>'110455</v>
      </c>
      <c r="G132" t="s">
        <v>1736</v>
      </c>
      <c r="H132" s="4" t="str">
        <f>Sheet!F132</f>
        <v>OBLEDO MARTINEZ CESAR</v>
      </c>
      <c r="I132" s="4" t="str">
        <f>Sheet!G132</f>
        <v>ARQUITECTURA</v>
      </c>
      <c r="J132" s="4" t="str">
        <f>Sheet!H132</f>
        <v>8vo</v>
      </c>
      <c r="K132" s="4" t="str">
        <f>Sheet!I132</f>
        <v>Masculino</v>
      </c>
      <c r="L132" s="4" t="str">
        <f>Sheet!J132</f>
        <v>Activo</v>
      </c>
      <c r="M132" s="4" t="str">
        <f>Sheet!K132</f>
        <v xml:space="preserve">ARQ 8°    </v>
      </c>
    </row>
    <row r="133" spans="1:13" x14ac:dyDescent="0.35">
      <c r="A133" t="s">
        <v>1</v>
      </c>
      <c r="B133" s="5" t="s">
        <v>116</v>
      </c>
      <c r="C133" s="4" t="s">
        <v>634</v>
      </c>
      <c r="D133" s="4" t="s">
        <v>912</v>
      </c>
      <c r="E133" t="s">
        <v>2777</v>
      </c>
      <c r="F133" t="str">
        <f>CONCATENATE("'",Sheet!E133)</f>
        <v>'112244</v>
      </c>
      <c r="G133" t="s">
        <v>1736</v>
      </c>
      <c r="H133" s="4" t="str">
        <f>Sheet!F133</f>
        <v>ROMERO MANZANO CESAR ALEJANDRO</v>
      </c>
      <c r="I133" s="4" t="str">
        <f>Sheet!G133</f>
        <v>INGENIERÍA AUTOMOTRIZ</v>
      </c>
      <c r="J133" s="4" t="str">
        <f>Sheet!H133</f>
        <v>2do</v>
      </c>
      <c r="K133" s="4" t="str">
        <f>Sheet!I133</f>
        <v>Masculino</v>
      </c>
      <c r="L133" s="4" t="str">
        <f>Sheet!J133</f>
        <v>Activo</v>
      </c>
      <c r="M133" s="4" t="str">
        <f>Sheet!K133</f>
        <v xml:space="preserve">AUTO 2° B </v>
      </c>
    </row>
    <row r="134" spans="1:13" x14ac:dyDescent="0.35">
      <c r="A134" t="s">
        <v>1</v>
      </c>
      <c r="B134" s="5" t="s">
        <v>117</v>
      </c>
      <c r="C134" s="4" t="s">
        <v>635</v>
      </c>
      <c r="D134" s="4" t="s">
        <v>630</v>
      </c>
      <c r="E134" t="s">
        <v>2780</v>
      </c>
      <c r="F134" t="str">
        <f>CONCATENATE("'",Sheet!E134)</f>
        <v>'109810</v>
      </c>
      <c r="G134" t="s">
        <v>1736</v>
      </c>
      <c r="H134" s="4" t="str">
        <f>Sheet!F134</f>
        <v>VALENCIA CASTILLO CESAR EDUARDO</v>
      </c>
      <c r="I134" s="4" t="str">
        <f>Sheet!G134</f>
        <v>INGENIERIA AEROESPACIAL</v>
      </c>
      <c r="J134" s="4" t="str">
        <f>Sheet!H134</f>
        <v>10mo</v>
      </c>
      <c r="K134" s="4" t="str">
        <f>Sheet!I134</f>
        <v>Masculino</v>
      </c>
      <c r="L134" s="4" t="str">
        <f>Sheet!J134</f>
        <v>Activo</v>
      </c>
      <c r="M134" s="4" t="str">
        <f>Sheet!K134</f>
        <v xml:space="preserve">AERO_10°  </v>
      </c>
    </row>
    <row r="135" spans="1:13" x14ac:dyDescent="0.35">
      <c r="A135" t="s">
        <v>1</v>
      </c>
      <c r="B135" s="5" t="s">
        <v>118</v>
      </c>
      <c r="C135" s="4" t="s">
        <v>582</v>
      </c>
      <c r="D135" s="4" t="s">
        <v>728</v>
      </c>
      <c r="E135" t="s">
        <v>2783</v>
      </c>
      <c r="F135" t="str">
        <f>CONCATENATE("'",Sheet!E135)</f>
        <v>'112257</v>
      </c>
      <c r="G135" t="s">
        <v>1736</v>
      </c>
      <c r="H135" s="4" t="str">
        <f>Sheet!F135</f>
        <v>CABRERA AVILA CESAR ISMAEL</v>
      </c>
      <c r="I135" s="4" t="str">
        <f>Sheet!G135</f>
        <v>INGENIERÍA AUTOMOTRIZ</v>
      </c>
      <c r="J135" s="4" t="str">
        <f>Sheet!H135</f>
        <v>2do</v>
      </c>
      <c r="K135" s="4" t="str">
        <f>Sheet!I135</f>
        <v>Masculino</v>
      </c>
      <c r="L135" s="4" t="str">
        <f>Sheet!J135</f>
        <v>Activo</v>
      </c>
      <c r="M135" s="4" t="str">
        <f>Sheet!K135</f>
        <v xml:space="preserve">AUTO 2° B </v>
      </c>
    </row>
    <row r="136" spans="1:13" x14ac:dyDescent="0.35">
      <c r="A136" t="s">
        <v>1</v>
      </c>
      <c r="B136" s="5" t="s">
        <v>119</v>
      </c>
      <c r="C136" s="4" t="s">
        <v>636</v>
      </c>
      <c r="D136" s="4" t="s">
        <v>629</v>
      </c>
      <c r="E136" t="s">
        <v>2786</v>
      </c>
      <c r="F136" t="str">
        <f>CONCATENATE("'",Sheet!E136)</f>
        <v>'112143</v>
      </c>
      <c r="G136" t="s">
        <v>1736</v>
      </c>
      <c r="H136" s="4" t="str">
        <f>Sheet!F136</f>
        <v>MARTINEZ RAMIREZ CHELSEA VIANNEY</v>
      </c>
      <c r="I136" s="4" t="str">
        <f>Sheet!G136</f>
        <v>NUTRICION Y GASTRONOMIA</v>
      </c>
      <c r="J136" s="4" t="str">
        <f>Sheet!H136</f>
        <v>2do</v>
      </c>
      <c r="K136" s="4" t="str">
        <f>Sheet!I136</f>
        <v>Femenino</v>
      </c>
      <c r="L136" s="4" t="str">
        <f>Sheet!J136</f>
        <v>Activo</v>
      </c>
      <c r="M136" s="4" t="str">
        <f>Sheet!K136</f>
        <v xml:space="preserve">NUT 2°    </v>
      </c>
    </row>
    <row r="137" spans="1:13" x14ac:dyDescent="0.35">
      <c r="A137" t="s">
        <v>1</v>
      </c>
      <c r="B137" s="5" t="s">
        <v>120</v>
      </c>
      <c r="C137" s="4" t="s">
        <v>637</v>
      </c>
      <c r="D137" s="4" t="s">
        <v>591</v>
      </c>
      <c r="E137" t="s">
        <v>2789</v>
      </c>
      <c r="F137" t="str">
        <f>CONCATENATE("'",Sheet!E137)</f>
        <v>'109813</v>
      </c>
      <c r="G137" t="s">
        <v>1736</v>
      </c>
      <c r="H137" s="4" t="str">
        <f>Sheet!F137</f>
        <v>DE ALBA GUTIERREZ CHRISTIAN ALEJANDRO</v>
      </c>
      <c r="I137" s="4" t="str">
        <f>Sheet!G137</f>
        <v>INGENIERIA AEROESPACIAL</v>
      </c>
      <c r="J137" s="4" t="str">
        <f>Sheet!H137</f>
        <v>10mo</v>
      </c>
      <c r="K137" s="4" t="str">
        <f>Sheet!I137</f>
        <v>Masculino</v>
      </c>
      <c r="L137" s="4" t="str">
        <f>Sheet!J137</f>
        <v>Activo</v>
      </c>
      <c r="M137" s="4" t="str">
        <f>Sheet!K137</f>
        <v xml:space="preserve">AERO_10°  </v>
      </c>
    </row>
    <row r="138" spans="1:13" x14ac:dyDescent="0.35">
      <c r="A138" t="s">
        <v>1</v>
      </c>
      <c r="B138" s="5" t="s">
        <v>121</v>
      </c>
      <c r="C138" s="4" t="s">
        <v>638</v>
      </c>
      <c r="D138" s="4" t="s">
        <v>654</v>
      </c>
      <c r="E138" t="s">
        <v>2792</v>
      </c>
      <c r="F138" t="str">
        <f>CONCATENATE("'",Sheet!E138)</f>
        <v>'111768</v>
      </c>
      <c r="G138" t="s">
        <v>1736</v>
      </c>
      <c r="H138" s="4" t="str">
        <f>Sheet!F138</f>
        <v>ALFARO RUIZ CLAUDIA BERENICE</v>
      </c>
      <c r="I138" s="4" t="str">
        <f>Sheet!G138</f>
        <v>INGENIERIA AEROESPACIAL</v>
      </c>
      <c r="J138" s="4" t="str">
        <f>Sheet!H138</f>
        <v>4to</v>
      </c>
      <c r="K138" s="4" t="str">
        <f>Sheet!I138</f>
        <v>Femenino</v>
      </c>
      <c r="L138" s="4" t="str">
        <f>Sheet!J138</f>
        <v>Activo</v>
      </c>
      <c r="M138" s="4" t="str">
        <f>Sheet!K138</f>
        <v xml:space="preserve">AERO 4°A  </v>
      </c>
    </row>
    <row r="139" spans="1:13" x14ac:dyDescent="0.35">
      <c r="A139" t="s">
        <v>1</v>
      </c>
      <c r="B139" s="5" t="s">
        <v>122</v>
      </c>
      <c r="C139" s="4" t="s">
        <v>639</v>
      </c>
      <c r="D139" s="4" t="s">
        <v>539</v>
      </c>
      <c r="E139" t="s">
        <v>2795</v>
      </c>
      <c r="F139" t="str">
        <f>CONCATENATE("'",Sheet!E139)</f>
        <v>'110598</v>
      </c>
      <c r="G139" t="s">
        <v>1736</v>
      </c>
      <c r="H139" s="4" t="str">
        <f>Sheet!F139</f>
        <v>FIGUEROA RODRIGUEZ CLAUDIA DANIELA</v>
      </c>
      <c r="I139" s="4" t="str">
        <f>Sheet!G139</f>
        <v>ADMINISTRACION Y DIRECCION DE NEGOCIOS</v>
      </c>
      <c r="J139" s="4" t="str">
        <f>Sheet!H139</f>
        <v>8vo</v>
      </c>
      <c r="K139" s="4" t="str">
        <f>Sheet!I139</f>
        <v>Femenino</v>
      </c>
      <c r="L139" s="4" t="str">
        <f>Sheet!J139</f>
        <v>Activo</v>
      </c>
      <c r="M139" s="4" t="str">
        <f>Sheet!K139</f>
        <v xml:space="preserve">ADMON 8°  </v>
      </c>
    </row>
    <row r="140" spans="1:13" x14ac:dyDescent="0.35">
      <c r="A140" t="s">
        <v>1</v>
      </c>
      <c r="B140" s="5" t="s">
        <v>123</v>
      </c>
      <c r="C140" s="4" t="s">
        <v>629</v>
      </c>
      <c r="D140" s="4" t="s">
        <v>913</v>
      </c>
      <c r="E140" t="s">
        <v>2798</v>
      </c>
      <c r="F140" t="str">
        <f>CONCATENATE("'",Sheet!E140)</f>
        <v>'111206</v>
      </c>
      <c r="G140" t="s">
        <v>1736</v>
      </c>
      <c r="H140" s="4" t="str">
        <f>Sheet!F140</f>
        <v>RAMIREZ ARREOLA CLAUDIA FERNANDA</v>
      </c>
      <c r="I140" s="4" t="str">
        <f>Sheet!G140</f>
        <v>ANIMACION DIGITAL Y VIDEOJUEGOS</v>
      </c>
      <c r="J140" s="4" t="str">
        <f>Sheet!H140</f>
        <v>6to</v>
      </c>
      <c r="K140" s="4" t="str">
        <f>Sheet!I140</f>
        <v>Femenino</v>
      </c>
      <c r="L140" s="4" t="str">
        <f>Sheet!J140</f>
        <v>Activo</v>
      </c>
      <c r="M140" s="4" t="str">
        <f>Sheet!K140</f>
        <v xml:space="preserve">ANIM 6°   </v>
      </c>
    </row>
    <row r="141" spans="1:13" x14ac:dyDescent="0.35">
      <c r="A141" t="s">
        <v>1</v>
      </c>
      <c r="B141" s="5" t="s">
        <v>124</v>
      </c>
      <c r="C141" s="4" t="s">
        <v>640</v>
      </c>
      <c r="D141" s="4" t="s">
        <v>686</v>
      </c>
      <c r="E141" t="s">
        <v>2801</v>
      </c>
      <c r="F141" t="str">
        <f>CONCATENATE("'",Sheet!E141)</f>
        <v>'110672</v>
      </c>
      <c r="G141" t="s">
        <v>1736</v>
      </c>
      <c r="H141" s="4" t="str">
        <f>Sheet!F141</f>
        <v>REGALADO ANAYA CLAUDIA MARIAN</v>
      </c>
      <c r="I141" s="4" t="str">
        <f>Sheet!G141</f>
        <v>DISEÑO GRAFICO Y DIGITAL</v>
      </c>
      <c r="J141" s="4" t="str">
        <f>Sheet!H141</f>
        <v>8vo</v>
      </c>
      <c r="K141" s="4" t="str">
        <f>Sheet!I141</f>
        <v>Femenino</v>
      </c>
      <c r="L141" s="4" t="str">
        <f>Sheet!J141</f>
        <v>Activo</v>
      </c>
      <c r="M141" s="4" t="str">
        <f>Sheet!K141</f>
        <v xml:space="preserve">DGD 8°    </v>
      </c>
    </row>
    <row r="142" spans="1:13" x14ac:dyDescent="0.35">
      <c r="A142" t="s">
        <v>1</v>
      </c>
      <c r="B142" s="5" t="s">
        <v>125</v>
      </c>
      <c r="C142" s="4" t="s">
        <v>636</v>
      </c>
      <c r="D142" s="4" t="s">
        <v>914</v>
      </c>
      <c r="E142" t="s">
        <v>2804</v>
      </c>
      <c r="F142" t="str">
        <f>CONCATENATE("'",Sheet!E142)</f>
        <v>'111805</v>
      </c>
      <c r="G142" t="s">
        <v>1736</v>
      </c>
      <c r="H142" s="4" t="str">
        <f>Sheet!F142</f>
        <v>MARTINEZ REYNOSO CLAUDIA PATRICIA</v>
      </c>
      <c r="I142" s="4" t="str">
        <f>Sheet!G142</f>
        <v>PSICOLOGIA</v>
      </c>
      <c r="J142" s="4" t="str">
        <f>Sheet!H142</f>
        <v>4to</v>
      </c>
      <c r="K142" s="4" t="str">
        <f>Sheet!I142</f>
        <v>Femenino</v>
      </c>
      <c r="L142" s="4" t="str">
        <f>Sheet!J142</f>
        <v>Activo</v>
      </c>
      <c r="M142" s="4" t="str">
        <f>Sheet!K142</f>
        <v xml:space="preserve">PSI 4°    </v>
      </c>
    </row>
    <row r="143" spans="1:13" x14ac:dyDescent="0.35">
      <c r="A143" t="s">
        <v>1</v>
      </c>
      <c r="B143" s="5" t="s">
        <v>126</v>
      </c>
      <c r="C143" s="4" t="s">
        <v>641</v>
      </c>
      <c r="D143" s="4" t="s">
        <v>530</v>
      </c>
      <c r="E143" t="s">
        <v>2807</v>
      </c>
      <c r="F143" t="str">
        <f>CONCATENATE("'",Sheet!E143)</f>
        <v>'111773</v>
      </c>
      <c r="G143" t="s">
        <v>1736</v>
      </c>
      <c r="H143" s="4" t="str">
        <f>Sheet!F143</f>
        <v>VILLARRUEL SANDOVAL CRISTIAN</v>
      </c>
      <c r="I143" s="4" t="str">
        <f>Sheet!G143</f>
        <v>ADMINISTRACION Y DIRECCION DE NEGOCIOS</v>
      </c>
      <c r="J143" s="4" t="str">
        <f>Sheet!H143</f>
        <v>4to</v>
      </c>
      <c r="K143" s="4" t="str">
        <f>Sheet!I143</f>
        <v>Masculino</v>
      </c>
      <c r="L143" s="4" t="str">
        <f>Sheet!J143</f>
        <v>Activo</v>
      </c>
      <c r="M143" s="4" t="str">
        <f>Sheet!K143</f>
        <v xml:space="preserve">ADMON 4°  </v>
      </c>
    </row>
    <row r="144" spans="1:13" x14ac:dyDescent="0.35">
      <c r="A144" t="s">
        <v>1</v>
      </c>
      <c r="B144" s="5" t="s">
        <v>127</v>
      </c>
      <c r="C144" s="4" t="s">
        <v>642</v>
      </c>
      <c r="D144" s="4" t="s">
        <v>543</v>
      </c>
      <c r="E144" t="s">
        <v>2810</v>
      </c>
      <c r="F144" t="str">
        <f>CONCATENATE("'",Sheet!E144)</f>
        <v>'111210</v>
      </c>
      <c r="G144" t="s">
        <v>1736</v>
      </c>
      <c r="H144" s="4" t="str">
        <f>Sheet!F144</f>
        <v>ZAMUDIO VAZQUEZ CRISTIAN FABIAN</v>
      </c>
      <c r="I144" s="4" t="str">
        <f>Sheet!G144</f>
        <v>ARQUITECTURA</v>
      </c>
      <c r="J144" s="4" t="str">
        <f>Sheet!H144</f>
        <v>6to</v>
      </c>
      <c r="K144" s="4" t="str">
        <f>Sheet!I144</f>
        <v>Masculino</v>
      </c>
      <c r="L144" s="4" t="str">
        <f>Sheet!J144</f>
        <v>Activo</v>
      </c>
      <c r="M144" s="4" t="str">
        <f>Sheet!K144</f>
        <v xml:space="preserve">ARQ 6°    </v>
      </c>
    </row>
    <row r="145" spans="1:13" x14ac:dyDescent="0.35">
      <c r="A145" t="s">
        <v>1</v>
      </c>
      <c r="B145" s="5" t="s">
        <v>128</v>
      </c>
      <c r="C145" s="4" t="s">
        <v>627</v>
      </c>
      <c r="D145" s="4" t="s">
        <v>538</v>
      </c>
      <c r="E145" t="s">
        <v>2816</v>
      </c>
      <c r="F145" t="str">
        <f>CONCATENATE("'",Sheet!E145)</f>
        <v>'110535</v>
      </c>
      <c r="G145" t="s">
        <v>1736</v>
      </c>
      <c r="H145" s="4" t="str">
        <f>Sheet!F145</f>
        <v>FLORES ZAVALA CRISTO TEODORO</v>
      </c>
      <c r="I145" s="4" t="str">
        <f>Sheet!G145</f>
        <v>ARQUITECTURA</v>
      </c>
      <c r="J145" s="4" t="str">
        <f>Sheet!H145</f>
        <v>8vo</v>
      </c>
      <c r="K145" s="4" t="str">
        <f>Sheet!I145</f>
        <v>Masculino</v>
      </c>
      <c r="L145" s="4" t="str">
        <f>Sheet!J145</f>
        <v>Activo</v>
      </c>
      <c r="M145" s="4" t="str">
        <f>Sheet!K145</f>
        <v xml:space="preserve">ARQ 8°    </v>
      </c>
    </row>
    <row r="146" spans="1:13" x14ac:dyDescent="0.35">
      <c r="A146" t="s">
        <v>1</v>
      </c>
      <c r="B146" s="5" t="s">
        <v>129</v>
      </c>
      <c r="C146" s="4" t="s">
        <v>643</v>
      </c>
      <c r="D146" s="4" t="s">
        <v>915</v>
      </c>
      <c r="E146" t="s">
        <v>2813</v>
      </c>
      <c r="F146" t="str">
        <f>CONCATENATE("'",Sheet!E146)</f>
        <v>'111757</v>
      </c>
      <c r="G146" t="s">
        <v>1736</v>
      </c>
      <c r="H146" s="4" t="str">
        <f>Sheet!F146</f>
        <v>SAUCEDO LUPERCIO CRISTOPHER ADRIAN</v>
      </c>
      <c r="I146" s="4" t="str">
        <f>Sheet!G146</f>
        <v>INGENIERIA AEROESPACIAL</v>
      </c>
      <c r="J146" s="4" t="str">
        <f>Sheet!H146</f>
        <v>4to</v>
      </c>
      <c r="K146" s="4" t="str">
        <f>Sheet!I146</f>
        <v>Masculino</v>
      </c>
      <c r="L146" s="4" t="str">
        <f>Sheet!J146</f>
        <v>Activo</v>
      </c>
      <c r="M146" s="4" t="str">
        <f>Sheet!K146</f>
        <v xml:space="preserve">AERO 4°B  </v>
      </c>
    </row>
    <row r="147" spans="1:13" x14ac:dyDescent="0.35">
      <c r="A147" t="s">
        <v>1</v>
      </c>
      <c r="B147" s="5" t="s">
        <v>130</v>
      </c>
      <c r="C147" s="4" t="s">
        <v>350</v>
      </c>
      <c r="D147" s="4" t="s">
        <v>597</v>
      </c>
      <c r="E147" t="s">
        <v>2819</v>
      </c>
      <c r="F147" t="str">
        <f>CONCATENATE("'",Sheet!E147)</f>
        <v>'007663</v>
      </c>
      <c r="G147" t="s">
        <v>1736</v>
      </c>
      <c r="H147" s="4" t="str">
        <f>Sheet!F147</f>
        <v>LEONARDO RIVERA DAFNE GALILEA</v>
      </c>
      <c r="I147" s="4" t="str">
        <f>Sheet!G147</f>
        <v>INGENIERIA INDUSTRIAL Y EN SISTEMAS ORGANIZACIONALES</v>
      </c>
      <c r="J147" s="4" t="str">
        <f>Sheet!H147</f>
        <v>6to</v>
      </c>
      <c r="K147" s="4" t="str">
        <f>Sheet!I147</f>
        <v>Femenino</v>
      </c>
      <c r="L147" s="4" t="str">
        <f>Sheet!J147</f>
        <v>Activo</v>
      </c>
      <c r="M147" s="4" t="str">
        <f>Sheet!K147</f>
        <v xml:space="preserve">IND 6°    </v>
      </c>
    </row>
    <row r="148" spans="1:13" x14ac:dyDescent="0.35">
      <c r="A148" t="s">
        <v>1</v>
      </c>
      <c r="B148" s="5" t="s">
        <v>131</v>
      </c>
      <c r="C148" s="4" t="s">
        <v>567</v>
      </c>
      <c r="D148" s="4" t="s">
        <v>570</v>
      </c>
      <c r="E148" t="s">
        <v>2822</v>
      </c>
      <c r="F148" t="str">
        <f>CONCATENATE("'",Sheet!E148)</f>
        <v>'111647</v>
      </c>
      <c r="G148" t="s">
        <v>1736</v>
      </c>
      <c r="H148" s="4" t="str">
        <f>Sheet!F148</f>
        <v>JUAREZ JIMENEZ DAFNE MONTSERRAT</v>
      </c>
      <c r="I148" s="4" t="str">
        <f>Sheet!G148</f>
        <v>INGENIERÍA AUTOMOTRIZ</v>
      </c>
      <c r="J148" s="4" t="str">
        <f>Sheet!H148</f>
        <v>4to</v>
      </c>
      <c r="K148" s="4" t="str">
        <f>Sheet!I148</f>
        <v>Femenino</v>
      </c>
      <c r="L148" s="4" t="str">
        <f>Sheet!J148</f>
        <v>Activo</v>
      </c>
      <c r="M148" s="4" t="str">
        <f>Sheet!K148</f>
        <v xml:space="preserve">AUTO 4°   </v>
      </c>
    </row>
    <row r="149" spans="1:13" x14ac:dyDescent="0.35">
      <c r="A149" t="s">
        <v>1</v>
      </c>
      <c r="B149" s="5" t="s">
        <v>132</v>
      </c>
      <c r="C149" s="4" t="s">
        <v>636</v>
      </c>
      <c r="D149" s="4" t="s">
        <v>604</v>
      </c>
      <c r="E149" t="s">
        <v>2825</v>
      </c>
      <c r="F149" t="str">
        <f>CONCATENATE("'",Sheet!E149)</f>
        <v>'111854</v>
      </c>
      <c r="G149" t="s">
        <v>1736</v>
      </c>
      <c r="H149" s="4" t="str">
        <f>Sheet!F149</f>
        <v>MARTINEZ ALVARADO DAMIAN</v>
      </c>
      <c r="I149" s="4" t="str">
        <f>Sheet!G149</f>
        <v>ANIMACION DIGITAL Y VIDEOJUEGOS</v>
      </c>
      <c r="J149" s="4" t="str">
        <f>Sheet!H149</f>
        <v>4to</v>
      </c>
      <c r="K149" s="4" t="str">
        <f>Sheet!I149</f>
        <v>Masculino</v>
      </c>
      <c r="L149" s="4" t="str">
        <f>Sheet!J149</f>
        <v>Activo</v>
      </c>
      <c r="M149" s="4" t="str">
        <f>Sheet!K149</f>
        <v xml:space="preserve">ANIM 4°   </v>
      </c>
    </row>
    <row r="150" spans="1:13" x14ac:dyDescent="0.35">
      <c r="A150" t="s">
        <v>1</v>
      </c>
      <c r="B150" s="5" t="s">
        <v>133</v>
      </c>
      <c r="C150" s="4" t="s">
        <v>627</v>
      </c>
      <c r="D150" s="4" t="s">
        <v>916</v>
      </c>
      <c r="E150" t="s">
        <v>2828</v>
      </c>
      <c r="F150" t="str">
        <f>CONCATENATE("'",Sheet!E150)</f>
        <v>'112142</v>
      </c>
      <c r="G150" t="s">
        <v>1736</v>
      </c>
      <c r="H150" s="4" t="str">
        <f>Sheet!F150</f>
        <v>FLORES DE LIRA DAMIAN EDOARDO</v>
      </c>
      <c r="I150" s="4" t="str">
        <f>Sheet!G150</f>
        <v>ADMINISTRACION Y DIRECCION DE NEGOCIOS</v>
      </c>
      <c r="J150" s="4" t="str">
        <f>Sheet!H150</f>
        <v>2do</v>
      </c>
      <c r="K150" s="4" t="str">
        <f>Sheet!I150</f>
        <v>Masculino</v>
      </c>
      <c r="L150" s="4" t="str">
        <f>Sheet!J150</f>
        <v>Activo</v>
      </c>
      <c r="M150" s="4" t="str">
        <f>Sheet!K150</f>
        <v xml:space="preserve">ADMON 2°  </v>
      </c>
    </row>
    <row r="151" spans="1:13" x14ac:dyDescent="0.35">
      <c r="A151" t="s">
        <v>1</v>
      </c>
      <c r="B151" s="5" t="s">
        <v>134</v>
      </c>
      <c r="C151" s="4" t="s">
        <v>644</v>
      </c>
      <c r="D151" s="4" t="s">
        <v>917</v>
      </c>
      <c r="E151" t="s">
        <v>2831</v>
      </c>
      <c r="F151" t="str">
        <f>CONCATENATE("'",Sheet!E151)</f>
        <v>'111608</v>
      </c>
      <c r="G151" t="s">
        <v>1736</v>
      </c>
      <c r="H151" s="4" t="str">
        <f>Sheet!F151</f>
        <v>RENDON DEL RIO DANA ELENA</v>
      </c>
      <c r="I151" s="4" t="str">
        <f>Sheet!G151</f>
        <v>ADMINISTRACION Y DIRECCION DE NEGOCIOS</v>
      </c>
      <c r="J151" s="4" t="str">
        <f>Sheet!H151</f>
        <v>4to</v>
      </c>
      <c r="K151" s="4" t="str">
        <f>Sheet!I151</f>
        <v>Femenino</v>
      </c>
      <c r="L151" s="4" t="str">
        <f>Sheet!J151</f>
        <v>Activo</v>
      </c>
      <c r="M151" s="4" t="str">
        <f>Sheet!K151</f>
        <v xml:space="preserve">ADMON 4°  </v>
      </c>
    </row>
    <row r="152" spans="1:13" x14ac:dyDescent="0.35">
      <c r="A152" t="s">
        <v>1</v>
      </c>
      <c r="B152" s="5" t="s">
        <v>135</v>
      </c>
      <c r="C152" s="4" t="s">
        <v>645</v>
      </c>
      <c r="D152" s="4" t="s">
        <v>600</v>
      </c>
      <c r="E152" t="s">
        <v>2834</v>
      </c>
      <c r="F152" t="str">
        <f>CONCATENATE("'",Sheet!E152)</f>
        <v>'111123</v>
      </c>
      <c r="G152" t="s">
        <v>1736</v>
      </c>
      <c r="H152" s="4" t="str">
        <f>Sheet!F152</f>
        <v>MERCADO TORRES DANA JOANELLE</v>
      </c>
      <c r="I152" s="4" t="str">
        <f>Sheet!G152</f>
        <v>DISEÑO GRAFICO Y DIGITAL</v>
      </c>
      <c r="J152" s="4" t="str">
        <f>Sheet!H152</f>
        <v>6to</v>
      </c>
      <c r="K152" s="4" t="str">
        <f>Sheet!I152</f>
        <v>Femenino</v>
      </c>
      <c r="L152" s="4" t="str">
        <f>Sheet!J152</f>
        <v>Activo</v>
      </c>
      <c r="M152" s="4" t="str">
        <f>Sheet!K152</f>
        <v xml:space="preserve">DGD 6°    </v>
      </c>
    </row>
    <row r="153" spans="1:13" x14ac:dyDescent="0.35">
      <c r="A153" t="s">
        <v>1</v>
      </c>
      <c r="B153" s="5" t="s">
        <v>136</v>
      </c>
      <c r="C153" s="4" t="s">
        <v>646</v>
      </c>
      <c r="D153" s="4" t="s">
        <v>918</v>
      </c>
      <c r="E153" t="s">
        <v>2837</v>
      </c>
      <c r="F153" t="str">
        <f>CONCATENATE("'",Sheet!E153)</f>
        <v>'110661</v>
      </c>
      <c r="G153" t="s">
        <v>1736</v>
      </c>
      <c r="H153" s="4" t="str">
        <f>Sheet!F153</f>
        <v>AYALA MAGALLON DANA PAULINA</v>
      </c>
      <c r="I153" s="4" t="str">
        <f>Sheet!G153</f>
        <v>ARQUITECTURA</v>
      </c>
      <c r="J153" s="4" t="str">
        <f>Sheet!H153</f>
        <v>8vo</v>
      </c>
      <c r="K153" s="4" t="str">
        <f>Sheet!I153</f>
        <v>Femenino</v>
      </c>
      <c r="L153" s="4" t="str">
        <f>Sheet!J153</f>
        <v>Activo</v>
      </c>
      <c r="M153" s="4" t="str">
        <f>Sheet!K153</f>
        <v xml:space="preserve">ARQ 8°    </v>
      </c>
    </row>
    <row r="154" spans="1:13" x14ac:dyDescent="0.35">
      <c r="A154" t="s">
        <v>1</v>
      </c>
      <c r="B154" s="5" t="s">
        <v>137</v>
      </c>
      <c r="C154" s="4" t="s">
        <v>627</v>
      </c>
      <c r="D154" s="4" t="s">
        <v>919</v>
      </c>
      <c r="E154" t="s">
        <v>2840</v>
      </c>
      <c r="F154" t="str">
        <f>CONCATENATE("'",Sheet!E154)</f>
        <v>'111133</v>
      </c>
      <c r="G154" t="s">
        <v>1736</v>
      </c>
      <c r="H154" s="4" t="str">
        <f>Sheet!F154</f>
        <v>FLORES RAYA DANIEL</v>
      </c>
      <c r="I154" s="4" t="str">
        <f>Sheet!G154</f>
        <v>NUTRICION Y GASTRONOMIA</v>
      </c>
      <c r="J154" s="4" t="str">
        <f>Sheet!H154</f>
        <v>6to</v>
      </c>
      <c r="K154" s="4" t="str">
        <f>Sheet!I154</f>
        <v>Masculino</v>
      </c>
      <c r="L154" s="4" t="str">
        <f>Sheet!J154</f>
        <v>Activo</v>
      </c>
      <c r="M154" s="4" t="str">
        <f>Sheet!K154</f>
        <v xml:space="preserve">NUT 6°    </v>
      </c>
    </row>
    <row r="155" spans="1:13" x14ac:dyDescent="0.35">
      <c r="A155" t="s">
        <v>1</v>
      </c>
      <c r="B155" s="5" t="s">
        <v>137</v>
      </c>
      <c r="C155" s="4" t="s">
        <v>647</v>
      </c>
      <c r="D155" s="4" t="s">
        <v>786</v>
      </c>
      <c r="E155" t="s">
        <v>2843</v>
      </c>
      <c r="F155" t="str">
        <f>CONCATENATE("'",Sheet!E155)</f>
        <v>'112306</v>
      </c>
      <c r="G155" t="s">
        <v>1736</v>
      </c>
      <c r="H155" s="4" t="str">
        <f>Sheet!F155</f>
        <v>MOSQUEIRA YAÑEZ DANIEL</v>
      </c>
      <c r="I155" s="4" t="str">
        <f>Sheet!G155</f>
        <v>INGENIERIA AEROESPACIAL</v>
      </c>
      <c r="J155" s="4" t="str">
        <f>Sheet!H155</f>
        <v>2do</v>
      </c>
      <c r="K155" s="4" t="str">
        <f>Sheet!I155</f>
        <v>Masculino</v>
      </c>
      <c r="L155" s="4" t="str">
        <f>Sheet!J155</f>
        <v>Activo</v>
      </c>
      <c r="M155" s="4" t="str">
        <f>Sheet!K155</f>
        <v xml:space="preserve">AERO 2°B  </v>
      </c>
    </row>
    <row r="156" spans="1:13" x14ac:dyDescent="0.35">
      <c r="A156" t="s">
        <v>1</v>
      </c>
      <c r="B156" s="5" t="s">
        <v>138</v>
      </c>
      <c r="C156" s="4" t="s">
        <v>648</v>
      </c>
      <c r="D156" s="4" t="s">
        <v>629</v>
      </c>
      <c r="E156" t="s">
        <v>2861</v>
      </c>
      <c r="F156" t="str">
        <f>CONCATENATE("'",Sheet!E156)</f>
        <v>'108892</v>
      </c>
      <c r="G156" t="s">
        <v>1736</v>
      </c>
      <c r="H156" s="4" t="str">
        <f>Sheet!F156</f>
        <v>CASTELLANOS RAMIREZ DANIEL ALEJANDRO</v>
      </c>
      <c r="I156" s="4" t="str">
        <f>Sheet!G156</f>
        <v>ADMINISTRACION Y DIRECCION DE NEGOCIOS</v>
      </c>
      <c r="J156" s="4" t="str">
        <f>Sheet!H156</f>
        <v>8vo</v>
      </c>
      <c r="K156" s="4" t="str">
        <f>Sheet!I156</f>
        <v>Masculino</v>
      </c>
      <c r="L156" s="4" t="str">
        <f>Sheet!J156</f>
        <v>Activo</v>
      </c>
      <c r="M156" s="4" t="str">
        <f>Sheet!K156</f>
        <v xml:space="preserve">ADMON 8°  </v>
      </c>
    </row>
    <row r="157" spans="1:13" x14ac:dyDescent="0.35">
      <c r="A157" t="s">
        <v>1</v>
      </c>
      <c r="B157" s="5" t="s">
        <v>139</v>
      </c>
      <c r="C157" s="4" t="s">
        <v>649</v>
      </c>
      <c r="D157" s="4" t="s">
        <v>727</v>
      </c>
      <c r="E157" t="s">
        <v>2867</v>
      </c>
      <c r="F157" t="str">
        <f>CONCATENATE("'",Sheet!E157)</f>
        <v>'007339</v>
      </c>
      <c r="G157" t="s">
        <v>1736</v>
      </c>
      <c r="H157" s="4" t="str">
        <f>Sheet!F157</f>
        <v>LEMUS ARIAS DANIEL EDUARDO</v>
      </c>
      <c r="I157" s="4" t="str">
        <f>Sheet!G157</f>
        <v>ADMINISTRACION Y DIRECCION DE NEGOCIOS</v>
      </c>
      <c r="J157" s="4" t="str">
        <f>Sheet!H157</f>
        <v>8vo</v>
      </c>
      <c r="K157" s="4" t="str">
        <f>Sheet!I157</f>
        <v>Masculino</v>
      </c>
      <c r="L157" s="4" t="str">
        <f>Sheet!J157</f>
        <v>Activo</v>
      </c>
      <c r="M157" s="4" t="str">
        <f>Sheet!K157</f>
        <v xml:space="preserve">ADMON 8°  </v>
      </c>
    </row>
    <row r="158" spans="1:13" x14ac:dyDescent="0.35">
      <c r="A158" t="s">
        <v>1</v>
      </c>
      <c r="B158" s="5" t="s">
        <v>140</v>
      </c>
      <c r="C158" s="4" t="s">
        <v>650</v>
      </c>
      <c r="D158" s="4" t="s">
        <v>589</v>
      </c>
      <c r="E158" t="s">
        <v>2870</v>
      </c>
      <c r="F158" t="str">
        <f>CONCATENATE("'",Sheet!E158)</f>
        <v>'112246</v>
      </c>
      <c r="G158" t="s">
        <v>1736</v>
      </c>
      <c r="H158" s="4" t="str">
        <f>Sheet!F158</f>
        <v>VILLALOBOS GARCIA DANIEL ENRIQUE</v>
      </c>
      <c r="I158" s="4" t="str">
        <f>Sheet!G158</f>
        <v>ARQUITECTURA</v>
      </c>
      <c r="J158" s="4" t="str">
        <f>Sheet!H158</f>
        <v>2do</v>
      </c>
      <c r="K158" s="4" t="str">
        <f>Sheet!I158</f>
        <v>Masculino</v>
      </c>
      <c r="L158" s="4" t="str">
        <f>Sheet!J158</f>
        <v>Activo</v>
      </c>
      <c r="M158" s="4" t="str">
        <f>Sheet!K158</f>
        <v xml:space="preserve">ARQ 2°    </v>
      </c>
    </row>
    <row r="159" spans="1:13" x14ac:dyDescent="0.35">
      <c r="A159" t="s">
        <v>1</v>
      </c>
      <c r="B159" s="5" t="s">
        <v>141</v>
      </c>
      <c r="C159" s="4" t="s">
        <v>651</v>
      </c>
      <c r="D159" s="4" t="s">
        <v>560</v>
      </c>
      <c r="E159" t="s">
        <v>2873</v>
      </c>
      <c r="F159" t="str">
        <f>CONCATENATE("'",Sheet!E159)</f>
        <v>'110652</v>
      </c>
      <c r="G159" t="s">
        <v>1736</v>
      </c>
      <c r="H159" s="4" t="str">
        <f>Sheet!F159</f>
        <v>SALCIDO RAMOS DANIEL IGNACIO</v>
      </c>
      <c r="I159" s="4" t="str">
        <f>Sheet!G159</f>
        <v>COMERCIO INTERNACIONAL</v>
      </c>
      <c r="J159" s="4" t="str">
        <f>Sheet!H159</f>
        <v>8vo</v>
      </c>
      <c r="K159" s="4" t="str">
        <f>Sheet!I159</f>
        <v>Masculino</v>
      </c>
      <c r="L159" s="4" t="str">
        <f>Sheet!J159</f>
        <v>Activo</v>
      </c>
      <c r="M159" s="4" t="str">
        <f>Sheet!K159</f>
        <v xml:space="preserve">COM 8°    </v>
      </c>
    </row>
    <row r="160" spans="1:13" x14ac:dyDescent="0.35">
      <c r="A160" t="s">
        <v>1</v>
      </c>
      <c r="B160" s="5" t="s">
        <v>142</v>
      </c>
      <c r="C160" s="4" t="s">
        <v>544</v>
      </c>
      <c r="D160" s="4" t="s">
        <v>920</v>
      </c>
      <c r="E160" t="s">
        <v>2846</v>
      </c>
      <c r="F160" t="str">
        <f>CONCATENATE("'",Sheet!E160)</f>
        <v>'111034</v>
      </c>
      <c r="G160" t="s">
        <v>1736</v>
      </c>
      <c r="H160" s="4" t="str">
        <f>Sheet!F160</f>
        <v>HERNANDEZ VENDRAMINI DANIELA</v>
      </c>
      <c r="I160" s="4" t="str">
        <f>Sheet!G160</f>
        <v>DISEÑO GRAFICO Y DIGITAL</v>
      </c>
      <c r="J160" s="4" t="str">
        <f>Sheet!H160</f>
        <v>6to</v>
      </c>
      <c r="K160" s="4" t="str">
        <f>Sheet!I160</f>
        <v>Femenino</v>
      </c>
      <c r="L160" s="4" t="str">
        <f>Sheet!J160</f>
        <v>Activo</v>
      </c>
      <c r="M160" s="4" t="str">
        <f>Sheet!K160</f>
        <v xml:space="preserve">DGD 6°    </v>
      </c>
    </row>
    <row r="161" spans="1:13" x14ac:dyDescent="0.35">
      <c r="A161" t="s">
        <v>1</v>
      </c>
      <c r="B161" s="5" t="s">
        <v>142</v>
      </c>
      <c r="C161" s="4" t="s">
        <v>652</v>
      </c>
      <c r="D161" s="4" t="s">
        <v>621</v>
      </c>
      <c r="E161" t="s">
        <v>2849</v>
      </c>
      <c r="F161" t="str">
        <f>CONCATENATE("'",Sheet!E161)</f>
        <v>'111169</v>
      </c>
      <c r="G161" t="s">
        <v>1736</v>
      </c>
      <c r="H161" s="4" t="str">
        <f>Sheet!F161</f>
        <v>ROJAS LOPEZ DANIELA</v>
      </c>
      <c r="I161" s="4" t="str">
        <f>Sheet!G161</f>
        <v>INGENIERIA INDUSTRIAL Y EN SISTEMAS ORGANIZACIONALES</v>
      </c>
      <c r="J161" s="4" t="str">
        <f>Sheet!H161</f>
        <v>6to</v>
      </c>
      <c r="K161" s="4" t="str">
        <f>Sheet!I161</f>
        <v>Femenino</v>
      </c>
      <c r="L161" s="4" t="str">
        <f>Sheet!J161</f>
        <v>Activo</v>
      </c>
      <c r="M161" s="4" t="str">
        <f>Sheet!K161</f>
        <v xml:space="preserve">IND 6°    </v>
      </c>
    </row>
    <row r="162" spans="1:13" x14ac:dyDescent="0.35">
      <c r="A162" t="s">
        <v>1</v>
      </c>
      <c r="B162" s="5" t="s">
        <v>142</v>
      </c>
      <c r="C162" s="4" t="s">
        <v>653</v>
      </c>
      <c r="D162" s="4" t="s">
        <v>589</v>
      </c>
      <c r="E162" t="s">
        <v>2852</v>
      </c>
      <c r="F162" t="str">
        <f>CONCATENATE("'",Sheet!E162)</f>
        <v>'111684</v>
      </c>
      <c r="G162" t="s">
        <v>1736</v>
      </c>
      <c r="H162" s="4" t="str">
        <f>Sheet!F162</f>
        <v>ROJO GARCIA DANIELA</v>
      </c>
      <c r="I162" s="4" t="str">
        <f>Sheet!G162</f>
        <v>ADMINISTRACION Y DIRECCION DE NEGOCIOS</v>
      </c>
      <c r="J162" s="4" t="str">
        <f>Sheet!H162</f>
        <v>4to</v>
      </c>
      <c r="K162" s="4" t="str">
        <f>Sheet!I162</f>
        <v>Femenino</v>
      </c>
      <c r="L162" s="4" t="str">
        <f>Sheet!J162</f>
        <v>Activo</v>
      </c>
      <c r="M162" s="4" t="str">
        <f>Sheet!K162</f>
        <v xml:space="preserve">ADMON 4°  </v>
      </c>
    </row>
    <row r="163" spans="1:13" x14ac:dyDescent="0.35">
      <c r="A163" t="s">
        <v>1</v>
      </c>
      <c r="B163" s="5" t="s">
        <v>142</v>
      </c>
      <c r="C163" s="4" t="s">
        <v>654</v>
      </c>
      <c r="D163" s="4" t="s">
        <v>621</v>
      </c>
      <c r="E163" t="s">
        <v>2855</v>
      </c>
      <c r="F163" t="str">
        <f>CONCATENATE("'",Sheet!E163)</f>
        <v>'112241</v>
      </c>
      <c r="G163" t="s">
        <v>1736</v>
      </c>
      <c r="H163" s="4" t="str">
        <f>Sheet!F163</f>
        <v>RUIZ LOPEZ DANIELA</v>
      </c>
      <c r="I163" s="4" t="str">
        <f>Sheet!G163</f>
        <v>NUTRICION Y GASTRONOMIA</v>
      </c>
      <c r="J163" s="4" t="str">
        <f>Sheet!H163</f>
        <v>2do</v>
      </c>
      <c r="K163" s="4" t="str">
        <f>Sheet!I163</f>
        <v>Femenino</v>
      </c>
      <c r="L163" s="4" t="str">
        <f>Sheet!J163</f>
        <v>Activo</v>
      </c>
      <c r="M163" s="4" t="str">
        <f>Sheet!K163</f>
        <v xml:space="preserve">NUT 2°    </v>
      </c>
    </row>
    <row r="164" spans="1:13" x14ac:dyDescent="0.35">
      <c r="A164" t="s">
        <v>1</v>
      </c>
      <c r="B164" s="5" t="s">
        <v>143</v>
      </c>
      <c r="C164" s="4" t="s">
        <v>600</v>
      </c>
      <c r="D164" s="4" t="s">
        <v>889</v>
      </c>
      <c r="E164" t="s">
        <v>2858</v>
      </c>
      <c r="F164" t="str">
        <f>CONCATENATE("'",Sheet!E164)</f>
        <v>'110571</v>
      </c>
      <c r="G164" t="s">
        <v>1736</v>
      </c>
      <c r="H164" s="4" t="str">
        <f>Sheet!F164</f>
        <v>TORRES PONCE DANIELA GISEL</v>
      </c>
      <c r="I164" s="4" t="str">
        <f>Sheet!G164</f>
        <v>ANIMACION DIGITAL Y VIDEOJUEGOS</v>
      </c>
      <c r="J164" s="4" t="str">
        <f>Sheet!H164</f>
        <v>8vo</v>
      </c>
      <c r="K164" s="4" t="str">
        <f>Sheet!I164</f>
        <v>Femenino</v>
      </c>
      <c r="L164" s="4" t="str">
        <f>Sheet!J164</f>
        <v>Activo</v>
      </c>
      <c r="M164" s="4" t="str">
        <f>Sheet!K164</f>
        <v xml:space="preserve">ANIM 8°   </v>
      </c>
    </row>
    <row r="165" spans="1:13" x14ac:dyDescent="0.35">
      <c r="A165" t="s">
        <v>1</v>
      </c>
      <c r="B165" s="5" t="s">
        <v>144</v>
      </c>
      <c r="C165" s="4" t="s">
        <v>540</v>
      </c>
      <c r="D165" s="4" t="s">
        <v>593</v>
      </c>
      <c r="E165" t="s">
        <v>2864</v>
      </c>
      <c r="F165" t="str">
        <f>CONCATENATE("'",Sheet!E165)</f>
        <v>'110711</v>
      </c>
      <c r="G165" t="s">
        <v>1736</v>
      </c>
      <c r="H165" s="4" t="str">
        <f>Sheet!F165</f>
        <v>MIRANDA SANCHEZ DANIELA RENEE</v>
      </c>
      <c r="I165" s="4" t="str">
        <f>Sheet!G165</f>
        <v>DISEÑO GRAFICO Y DIGITAL</v>
      </c>
      <c r="J165" s="4" t="str">
        <f>Sheet!H165</f>
        <v>8vo</v>
      </c>
      <c r="K165" s="4" t="str">
        <f>Sheet!I165</f>
        <v>Femenino</v>
      </c>
      <c r="L165" s="4" t="str">
        <f>Sheet!J165</f>
        <v>Activo</v>
      </c>
      <c r="M165" s="4" t="str">
        <f>Sheet!K165</f>
        <v xml:space="preserve">DGD 8°    </v>
      </c>
    </row>
    <row r="166" spans="1:13" x14ac:dyDescent="0.35">
      <c r="A166" t="s">
        <v>1</v>
      </c>
      <c r="B166" s="5" t="s">
        <v>145</v>
      </c>
      <c r="C166" s="4" t="s">
        <v>655</v>
      </c>
      <c r="D166" s="4" t="s">
        <v>921</v>
      </c>
      <c r="E166" t="s">
        <v>2876</v>
      </c>
      <c r="F166" t="str">
        <f>CONCATENATE("'",Sheet!E166)</f>
        <v>'111164</v>
      </c>
      <c r="G166" t="s">
        <v>1736</v>
      </c>
      <c r="H166" s="4" t="str">
        <f>Sheet!F166</f>
        <v>MURILLO IPARRAGUIRRE DANILA RAQUEL</v>
      </c>
      <c r="I166" s="4" t="str">
        <f>Sheet!G166</f>
        <v>PSICOLOGIA</v>
      </c>
      <c r="J166" s="4" t="str">
        <f>Sheet!H166</f>
        <v>8vo</v>
      </c>
      <c r="K166" s="4" t="str">
        <f>Sheet!I166</f>
        <v>Femenino</v>
      </c>
      <c r="L166" s="4" t="str">
        <f>Sheet!J166</f>
        <v>Activo</v>
      </c>
      <c r="M166" s="4" t="str">
        <f>Sheet!K166</f>
        <v xml:space="preserve">PSI 8°    </v>
      </c>
    </row>
    <row r="167" spans="1:13" x14ac:dyDescent="0.35">
      <c r="A167" t="s">
        <v>1</v>
      </c>
      <c r="B167" s="5" t="s">
        <v>146</v>
      </c>
      <c r="C167" s="4" t="s">
        <v>656</v>
      </c>
      <c r="D167" s="4" t="s">
        <v>531</v>
      </c>
      <c r="E167" t="s">
        <v>2879</v>
      </c>
      <c r="F167" t="str">
        <f>CONCATENATE("'",Sheet!E167)</f>
        <v>'110468</v>
      </c>
      <c r="G167" t="s">
        <v>1736</v>
      </c>
      <c r="H167" s="4" t="str">
        <f>Sheet!F167</f>
        <v>CONTRERAS GONZALEZ DANNA</v>
      </c>
      <c r="I167" s="4" t="str">
        <f>Sheet!G167</f>
        <v>PSICOLOGIA</v>
      </c>
      <c r="J167" s="4" t="str">
        <f>Sheet!H167</f>
        <v>8vo</v>
      </c>
      <c r="K167" s="4" t="str">
        <f>Sheet!I167</f>
        <v>Femenino</v>
      </c>
      <c r="L167" s="4" t="str">
        <f>Sheet!J167</f>
        <v>Activo</v>
      </c>
      <c r="M167" s="4" t="str">
        <f>Sheet!K167</f>
        <v xml:space="preserve">PSI 8°    </v>
      </c>
    </row>
    <row r="168" spans="1:13" x14ac:dyDescent="0.35">
      <c r="A168" t="s">
        <v>1</v>
      </c>
      <c r="B168" s="5" t="s">
        <v>147</v>
      </c>
      <c r="C168" s="4" t="s">
        <v>657</v>
      </c>
      <c r="D168" s="4" t="s">
        <v>621</v>
      </c>
      <c r="E168" t="s">
        <v>2882</v>
      </c>
      <c r="F168" t="str">
        <f>CONCATENATE("'",Sheet!E168)</f>
        <v>'110523</v>
      </c>
      <c r="G168" t="s">
        <v>1736</v>
      </c>
      <c r="H168" s="4" t="str">
        <f>Sheet!F168</f>
        <v>VALLADARES LOPEZ DANTE YAEL</v>
      </c>
      <c r="I168" s="4" t="str">
        <f>Sheet!G168</f>
        <v>NUTRICION Y GASTRONOMIA</v>
      </c>
      <c r="J168" s="4" t="str">
        <f>Sheet!H168</f>
        <v>8vo</v>
      </c>
      <c r="K168" s="4" t="str">
        <f>Sheet!I168</f>
        <v>Masculino</v>
      </c>
      <c r="L168" s="4" t="str">
        <f>Sheet!J168</f>
        <v>Activo</v>
      </c>
      <c r="M168" s="4" t="str">
        <f>Sheet!K168</f>
        <v xml:space="preserve">NUT 8°    </v>
      </c>
    </row>
    <row r="169" spans="1:13" x14ac:dyDescent="0.35">
      <c r="A169" t="s">
        <v>1</v>
      </c>
      <c r="B169" s="5" t="s">
        <v>148</v>
      </c>
      <c r="C169" s="4" t="s">
        <v>658</v>
      </c>
      <c r="D169" s="4" t="s">
        <v>922</v>
      </c>
      <c r="E169" t="s">
        <v>2885</v>
      </c>
      <c r="F169" t="str">
        <f>CONCATENATE("'",Sheet!E169)</f>
        <v>'112215</v>
      </c>
      <c r="G169" t="s">
        <v>1736</v>
      </c>
      <c r="H169" s="4" t="str">
        <f>Sheet!F169</f>
        <v>ALCARAZ ARROYO DARIA MADAI</v>
      </c>
      <c r="I169" s="4" t="str">
        <f>Sheet!G169</f>
        <v>INGENIERIA AEROESPACIAL</v>
      </c>
      <c r="J169" s="4" t="str">
        <f>Sheet!H169</f>
        <v>2do</v>
      </c>
      <c r="K169" s="4" t="str">
        <f>Sheet!I169</f>
        <v>Femenino</v>
      </c>
      <c r="L169" s="4" t="str">
        <f>Sheet!J169</f>
        <v>Activo</v>
      </c>
      <c r="M169" s="4" t="str">
        <f>Sheet!K169</f>
        <v xml:space="preserve">AERO 2°A  </v>
      </c>
    </row>
    <row r="170" spans="1:13" x14ac:dyDescent="0.35">
      <c r="A170" t="s">
        <v>1</v>
      </c>
      <c r="B170" s="5" t="s">
        <v>149</v>
      </c>
      <c r="C170" s="4" t="s">
        <v>659</v>
      </c>
      <c r="D170" s="4" t="s">
        <v>922</v>
      </c>
      <c r="E170" t="s">
        <v>2888</v>
      </c>
      <c r="F170" t="str">
        <f>CONCATENATE("'",Sheet!E170)</f>
        <v>'111170</v>
      </c>
      <c r="G170" t="s">
        <v>1736</v>
      </c>
      <c r="H170" s="4" t="str">
        <f>Sheet!F170</f>
        <v>AGUILAR  DARIO</v>
      </c>
      <c r="I170" s="4" t="str">
        <f>Sheet!G170</f>
        <v>INGENIERÍA AUTOMOTRIZ</v>
      </c>
      <c r="J170" s="4" t="str">
        <f>Sheet!H170</f>
        <v>6to</v>
      </c>
      <c r="K170" s="4" t="str">
        <f>Sheet!I170</f>
        <v>Masculino</v>
      </c>
      <c r="L170" s="4" t="str">
        <f>Sheet!J170</f>
        <v>Activo</v>
      </c>
      <c r="M170" s="4" t="str">
        <f>Sheet!K170</f>
        <v xml:space="preserve">AUTO 6°   </v>
      </c>
    </row>
    <row r="171" spans="1:13" x14ac:dyDescent="0.35">
      <c r="A171" t="s">
        <v>1</v>
      </c>
      <c r="B171" s="5" t="s">
        <v>150</v>
      </c>
      <c r="C171" s="4" t="s">
        <v>660</v>
      </c>
      <c r="D171" s="4" t="s">
        <v>923</v>
      </c>
      <c r="E171" t="s">
        <v>2891</v>
      </c>
      <c r="F171" t="str">
        <f>CONCATENATE("'",Sheet!E171)</f>
        <v>'110477</v>
      </c>
      <c r="G171" t="s">
        <v>1736</v>
      </c>
      <c r="H171" s="4" t="str">
        <f>Sheet!F171</f>
        <v>ORTIZ ARIZA DARSHAN GAEL</v>
      </c>
      <c r="I171" s="4" t="str">
        <f>Sheet!G171</f>
        <v>NUTRICION Y GASTRONOMIA</v>
      </c>
      <c r="J171" s="4" t="str">
        <f>Sheet!H171</f>
        <v>8vo</v>
      </c>
      <c r="K171" s="4" t="str">
        <f>Sheet!I171</f>
        <v>Masculino</v>
      </c>
      <c r="L171" s="4" t="str">
        <f>Sheet!J171</f>
        <v>Activo</v>
      </c>
      <c r="M171" s="4" t="str">
        <f>Sheet!K171</f>
        <v xml:space="preserve">NUT 8°    </v>
      </c>
    </row>
    <row r="172" spans="1:13" x14ac:dyDescent="0.35">
      <c r="A172" t="s">
        <v>1</v>
      </c>
      <c r="B172" s="5" t="s">
        <v>151</v>
      </c>
      <c r="C172" s="4" t="s">
        <v>661</v>
      </c>
      <c r="D172" s="4" t="s">
        <v>755</v>
      </c>
      <c r="E172" t="s">
        <v>2894</v>
      </c>
      <c r="F172" t="str">
        <f>CONCATENATE("'",Sheet!E172)</f>
        <v>'006890</v>
      </c>
      <c r="G172" t="s">
        <v>1736</v>
      </c>
      <c r="H172" s="4" t="str">
        <f>Sheet!F172</f>
        <v>ARECHEDERRA TREJO DAVID</v>
      </c>
      <c r="I172" s="4" t="str">
        <f>Sheet!G172</f>
        <v>INGENIERIA CIBERNETICA Y EN SISTEMAS COMPUTACIONALES</v>
      </c>
      <c r="J172" s="4" t="str">
        <f>Sheet!H172</f>
        <v>8vo</v>
      </c>
      <c r="K172" s="4" t="str">
        <f>Sheet!I172</f>
        <v>Masculino</v>
      </c>
      <c r="L172" s="4" t="str">
        <f>Sheet!J172</f>
        <v>Activo</v>
      </c>
      <c r="M172" s="4" t="str">
        <f>Sheet!K172</f>
        <v xml:space="preserve">CIB 8°    </v>
      </c>
    </row>
    <row r="173" spans="1:13" x14ac:dyDescent="0.35">
      <c r="A173" t="s">
        <v>1</v>
      </c>
      <c r="B173" s="5" t="s">
        <v>151</v>
      </c>
      <c r="C173" s="4" t="s">
        <v>662</v>
      </c>
      <c r="D173" s="4" t="s">
        <v>600</v>
      </c>
      <c r="E173" t="s">
        <v>2897</v>
      </c>
      <c r="F173" t="str">
        <f>CONCATENATE("'",Sheet!E173)</f>
        <v>'110508</v>
      </c>
      <c r="G173" t="s">
        <v>1736</v>
      </c>
      <c r="H173" s="4" t="str">
        <f>Sheet!F173</f>
        <v>WILSON TORRES DAVID</v>
      </c>
      <c r="I173" s="4" t="str">
        <f>Sheet!G173</f>
        <v>INGENIERIA AEROESPACIAL</v>
      </c>
      <c r="J173" s="4" t="str">
        <f>Sheet!H173</f>
        <v>8vo</v>
      </c>
      <c r="K173" s="4" t="str">
        <f>Sheet!I173</f>
        <v>Masculino</v>
      </c>
      <c r="L173" s="4" t="str">
        <f>Sheet!J173</f>
        <v>Activo</v>
      </c>
      <c r="M173" s="4" t="str">
        <f>Sheet!K173</f>
        <v xml:space="preserve">AERO 8°   </v>
      </c>
    </row>
    <row r="174" spans="1:13" x14ac:dyDescent="0.35">
      <c r="A174" t="s">
        <v>1</v>
      </c>
      <c r="B174" s="5" t="s">
        <v>152</v>
      </c>
      <c r="C174" s="4" t="s">
        <v>549</v>
      </c>
      <c r="D174" s="4" t="s">
        <v>570</v>
      </c>
      <c r="E174" t="s">
        <v>2900</v>
      </c>
      <c r="F174" t="str">
        <f>CONCATENATE("'",Sheet!E174)</f>
        <v>'108218</v>
      </c>
      <c r="G174" t="s">
        <v>1736</v>
      </c>
      <c r="H174" s="4" t="str">
        <f>Sheet!F174</f>
        <v>ALVAREZ JIMENEZ DAVID ISRAEL</v>
      </c>
      <c r="I174" s="4" t="str">
        <f>Sheet!G174</f>
        <v>INGENIERIA AEROESPACIAL</v>
      </c>
      <c r="J174" s="4" t="str">
        <f>Sheet!H174</f>
        <v>8vo</v>
      </c>
      <c r="K174" s="4" t="str">
        <f>Sheet!I174</f>
        <v>Masculino</v>
      </c>
      <c r="L174" s="4" t="str">
        <f>Sheet!J174</f>
        <v>Activo</v>
      </c>
      <c r="M174" s="4" t="str">
        <f>Sheet!K174</f>
        <v xml:space="preserve">AERO 8°   </v>
      </c>
    </row>
    <row r="175" spans="1:13" x14ac:dyDescent="0.35">
      <c r="A175" t="s">
        <v>1</v>
      </c>
      <c r="B175" s="5" t="s">
        <v>153</v>
      </c>
      <c r="C175" s="4" t="s">
        <v>663</v>
      </c>
      <c r="D175" s="4" t="s">
        <v>924</v>
      </c>
      <c r="E175" t="s">
        <v>2903</v>
      </c>
      <c r="F175" t="str">
        <f>CONCATENATE("'",Sheet!E175)</f>
        <v>'110464</v>
      </c>
      <c r="G175" t="s">
        <v>1736</v>
      </c>
      <c r="H175" s="4" t="str">
        <f>Sheet!F175</f>
        <v>CARRANZA BARBA DAVID IVAN</v>
      </c>
      <c r="I175" s="4" t="str">
        <f>Sheet!G175</f>
        <v>ARQUITECTURA</v>
      </c>
      <c r="J175" s="4" t="str">
        <f>Sheet!H175</f>
        <v>8vo</v>
      </c>
      <c r="K175" s="4" t="str">
        <f>Sheet!I175</f>
        <v>Masculino</v>
      </c>
      <c r="L175" s="4" t="str">
        <f>Sheet!J175</f>
        <v>Activo</v>
      </c>
      <c r="M175" s="4" t="str">
        <f>Sheet!K175</f>
        <v xml:space="preserve">ARQ 8°    </v>
      </c>
    </row>
    <row r="176" spans="1:13" x14ac:dyDescent="0.35">
      <c r="A176" t="s">
        <v>1</v>
      </c>
      <c r="B176" s="5" t="s">
        <v>154</v>
      </c>
      <c r="C176" s="4" t="s">
        <v>664</v>
      </c>
      <c r="D176" s="4" t="s">
        <v>925</v>
      </c>
      <c r="E176" t="s">
        <v>2906</v>
      </c>
      <c r="F176" t="str">
        <f>CONCATENATE("'",Sheet!E176)</f>
        <v>'112298</v>
      </c>
      <c r="G176" t="s">
        <v>1736</v>
      </c>
      <c r="H176" s="4" t="str">
        <f>Sheet!F176</f>
        <v>MONTERO JARAMILLO DAVID RICARDO</v>
      </c>
      <c r="I176" s="4" t="str">
        <f>Sheet!G176</f>
        <v>ANIMACION DIGITAL Y VIDEOJUEGOS</v>
      </c>
      <c r="J176" s="4" t="str">
        <f>Sheet!H176</f>
        <v>2do</v>
      </c>
      <c r="K176" s="4" t="str">
        <f>Sheet!I176</f>
        <v>Masculino</v>
      </c>
      <c r="L176" s="4" t="str">
        <f>Sheet!J176</f>
        <v>Activo</v>
      </c>
      <c r="M176" s="4" t="str">
        <f>Sheet!K176</f>
        <v xml:space="preserve">ANIM 2°   </v>
      </c>
    </row>
    <row r="177" spans="1:13" x14ac:dyDescent="0.35">
      <c r="A177" t="s">
        <v>1</v>
      </c>
      <c r="B177" s="5" t="s">
        <v>155</v>
      </c>
      <c r="C177" s="4" t="s">
        <v>665</v>
      </c>
      <c r="D177" s="4" t="s">
        <v>544</v>
      </c>
      <c r="E177" t="s">
        <v>2909</v>
      </c>
      <c r="F177" t="str">
        <f>CONCATENATE("'",Sheet!E177)</f>
        <v>'111764</v>
      </c>
      <c r="G177" t="s">
        <v>1736</v>
      </c>
      <c r="H177" s="4" t="str">
        <f>Sheet!F177</f>
        <v>ZUÑIGA HERNANDEZ DAYRA MICHELLE</v>
      </c>
      <c r="I177" s="4" t="str">
        <f>Sheet!G177</f>
        <v>ADMINISTRACION Y DIRECCION DE NEGOCIOS</v>
      </c>
      <c r="J177" s="4" t="str">
        <f>Sheet!H177</f>
        <v>4to</v>
      </c>
      <c r="K177" s="4" t="str">
        <f>Sheet!I177</f>
        <v>Femenino</v>
      </c>
      <c r="L177" s="4" t="str">
        <f>Sheet!J177</f>
        <v>Activo</v>
      </c>
      <c r="M177" s="4" t="str">
        <f>Sheet!K177</f>
        <v xml:space="preserve">ADMON 4°  </v>
      </c>
    </row>
    <row r="178" spans="1:13" x14ac:dyDescent="0.35">
      <c r="A178" t="s">
        <v>1</v>
      </c>
      <c r="B178" s="5" t="s">
        <v>156</v>
      </c>
      <c r="C178" s="4" t="s">
        <v>666</v>
      </c>
      <c r="D178" s="4" t="s">
        <v>552</v>
      </c>
      <c r="E178" t="s">
        <v>2912</v>
      </c>
      <c r="F178" t="str">
        <f>CONCATENATE("'",Sheet!E178)</f>
        <v>'112318</v>
      </c>
      <c r="G178" t="s">
        <v>1736</v>
      </c>
      <c r="H178" s="4" t="str">
        <f>Sheet!F178</f>
        <v>DE LOS SANTOS DOMINGUEZ DENZZEL</v>
      </c>
      <c r="I178" s="4" t="str">
        <f>Sheet!G178</f>
        <v>INGENIERÍA AUTOMOTRIZ</v>
      </c>
      <c r="J178" s="4" t="str">
        <f>Sheet!H178</f>
        <v>2do</v>
      </c>
      <c r="K178" s="4" t="str">
        <f>Sheet!I178</f>
        <v>Masculino</v>
      </c>
      <c r="L178" s="4" t="str">
        <f>Sheet!J178</f>
        <v>Activo</v>
      </c>
      <c r="M178" s="4" t="str">
        <f>Sheet!K178</f>
        <v xml:space="preserve">AUTO 2° A </v>
      </c>
    </row>
    <row r="179" spans="1:13" x14ac:dyDescent="0.35">
      <c r="A179" t="s">
        <v>1</v>
      </c>
      <c r="B179" s="5" t="s">
        <v>157</v>
      </c>
      <c r="C179" s="4" t="s">
        <v>667</v>
      </c>
      <c r="D179" s="4" t="s">
        <v>926</v>
      </c>
      <c r="E179" t="s">
        <v>2915</v>
      </c>
      <c r="F179" t="str">
        <f>CONCATENATE("'",Sheet!E179)</f>
        <v>'111201</v>
      </c>
      <c r="G179" t="s">
        <v>1736</v>
      </c>
      <c r="H179" s="4" t="str">
        <f>Sheet!F179</f>
        <v>CORONADO TIRADO DIANA PAOLA</v>
      </c>
      <c r="I179" s="4" t="str">
        <f>Sheet!G179</f>
        <v>INGENIERÍA EN INTELIGENCIA ARTIFICIAL</v>
      </c>
      <c r="J179" s="4" t="str">
        <f>Sheet!H179</f>
        <v>6to</v>
      </c>
      <c r="K179" s="4" t="str">
        <f>Sheet!I179</f>
        <v>Femenino</v>
      </c>
      <c r="L179" s="4" t="str">
        <f>Sheet!J179</f>
        <v>Activo</v>
      </c>
      <c r="M179" s="4" t="str">
        <f>Sheet!K179</f>
        <v xml:space="preserve">IA 6°     </v>
      </c>
    </row>
    <row r="180" spans="1:13" x14ac:dyDescent="0.35">
      <c r="A180" t="s">
        <v>1</v>
      </c>
      <c r="B180" s="5" t="s">
        <v>158</v>
      </c>
      <c r="C180" s="4" t="s">
        <v>668</v>
      </c>
      <c r="D180" s="4" t="s">
        <v>702</v>
      </c>
      <c r="E180" t="s">
        <v>2918</v>
      </c>
      <c r="F180" t="str">
        <f>CONCATENATE("'",Sheet!E180)</f>
        <v>'110430</v>
      </c>
      <c r="G180" t="s">
        <v>1736</v>
      </c>
      <c r="H180" s="4" t="str">
        <f>Sheet!F180</f>
        <v>DE ALVA COVARRUBIAS DIANA PAULA</v>
      </c>
      <c r="I180" s="4" t="str">
        <f>Sheet!G180</f>
        <v>ARQUITECTURA</v>
      </c>
      <c r="J180" s="4" t="str">
        <f>Sheet!H180</f>
        <v>8vo</v>
      </c>
      <c r="K180" s="4" t="str">
        <f>Sheet!I180</f>
        <v>Femenino</v>
      </c>
      <c r="L180" s="4" t="str">
        <f>Sheet!J180</f>
        <v>Activo</v>
      </c>
      <c r="M180" s="4" t="str">
        <f>Sheet!K180</f>
        <v xml:space="preserve">ARQ 8°    </v>
      </c>
    </row>
    <row r="181" spans="1:13" x14ac:dyDescent="0.35">
      <c r="A181" t="s">
        <v>1</v>
      </c>
      <c r="B181" s="5" t="s">
        <v>159</v>
      </c>
      <c r="C181" s="4" t="s">
        <v>629</v>
      </c>
      <c r="D181" s="4" t="s">
        <v>927</v>
      </c>
      <c r="E181" t="s">
        <v>2921</v>
      </c>
      <c r="F181" t="str">
        <f>CONCATENATE("'",Sheet!E181)</f>
        <v>'111053</v>
      </c>
      <c r="G181" t="s">
        <v>1736</v>
      </c>
      <c r="H181" s="4" t="str">
        <f>Sheet!F181</f>
        <v>RAMIREZ TABAREZ DIANA SARAHI</v>
      </c>
      <c r="I181" s="4" t="str">
        <f>Sheet!G181</f>
        <v>PSICOLOGIA</v>
      </c>
      <c r="J181" s="4" t="str">
        <f>Sheet!H181</f>
        <v>6to</v>
      </c>
      <c r="K181" s="4" t="str">
        <f>Sheet!I181</f>
        <v>Femenino</v>
      </c>
      <c r="L181" s="4" t="str">
        <f>Sheet!J181</f>
        <v>Activo</v>
      </c>
      <c r="M181" s="4" t="str">
        <f>Sheet!K181</f>
        <v xml:space="preserve">PSI 6°    </v>
      </c>
    </row>
    <row r="182" spans="1:13" x14ac:dyDescent="0.35">
      <c r="A182" t="s">
        <v>1</v>
      </c>
      <c r="B182" s="5" t="s">
        <v>160</v>
      </c>
      <c r="C182" s="4" t="s">
        <v>669</v>
      </c>
      <c r="D182" s="4" t="s">
        <v>621</v>
      </c>
      <c r="E182" t="s">
        <v>2924</v>
      </c>
      <c r="F182" t="str">
        <f>CONCATENATE("'",Sheet!E182)</f>
        <v>'111086</v>
      </c>
      <c r="G182" t="s">
        <v>1736</v>
      </c>
      <c r="H182" s="4" t="str">
        <f>Sheet!F182</f>
        <v>ZEPEDA LOPEZ DIEGGO</v>
      </c>
      <c r="I182" s="4" t="str">
        <f>Sheet!G182</f>
        <v>INGENIERIA AEROESPACIAL</v>
      </c>
      <c r="J182" s="4" t="str">
        <f>Sheet!H182</f>
        <v>6to</v>
      </c>
      <c r="K182" s="4" t="str">
        <f>Sheet!I182</f>
        <v>Masculino</v>
      </c>
      <c r="L182" s="4" t="str">
        <f>Sheet!J182</f>
        <v>Activo</v>
      </c>
      <c r="M182" s="4" t="str">
        <f>Sheet!K182</f>
        <v xml:space="preserve">AERO 6°   </v>
      </c>
    </row>
    <row r="183" spans="1:13" x14ac:dyDescent="0.35">
      <c r="A183" t="s">
        <v>1</v>
      </c>
      <c r="B183" s="5" t="s">
        <v>161</v>
      </c>
      <c r="C183" s="4" t="s">
        <v>578</v>
      </c>
      <c r="D183" s="4" t="s">
        <v>656</v>
      </c>
      <c r="E183" t="s">
        <v>2927</v>
      </c>
      <c r="F183" t="str">
        <f>CONCATENATE("'",Sheet!E183)</f>
        <v>'110510</v>
      </c>
      <c r="G183" t="s">
        <v>1736</v>
      </c>
      <c r="H183" s="4" t="str">
        <f>Sheet!F183</f>
        <v>CHAVEZ CONTRERAS DIEGO</v>
      </c>
      <c r="I183" s="4" t="str">
        <f>Sheet!G183</f>
        <v>INGENIERIA AEROESPACIAL</v>
      </c>
      <c r="J183" s="4" t="str">
        <f>Sheet!H183</f>
        <v>8vo</v>
      </c>
      <c r="K183" s="4" t="str">
        <f>Sheet!I183</f>
        <v>Masculino</v>
      </c>
      <c r="L183" s="4" t="str">
        <f>Sheet!J183</f>
        <v>Activo</v>
      </c>
      <c r="M183" s="4" t="str">
        <f>Sheet!K183</f>
        <v xml:space="preserve">AERO 8°   </v>
      </c>
    </row>
    <row r="184" spans="1:13" x14ac:dyDescent="0.35">
      <c r="A184" t="s">
        <v>1</v>
      </c>
      <c r="B184" s="5" t="s">
        <v>161</v>
      </c>
      <c r="C184" s="4" t="s">
        <v>670</v>
      </c>
      <c r="D184" s="4" t="s">
        <v>928</v>
      </c>
      <c r="E184" t="s">
        <v>2930</v>
      </c>
      <c r="F184" t="str">
        <f>CONCATENATE("'",Sheet!E184)</f>
        <v>'112286</v>
      </c>
      <c r="G184" t="s">
        <v>1736</v>
      </c>
      <c r="H184" s="4" t="str">
        <f>Sheet!F184</f>
        <v>DE ANDA MONZON DIEGO</v>
      </c>
      <c r="I184" s="4" t="str">
        <f>Sheet!G184</f>
        <v>INGENIERÍA AUTOMOTRIZ</v>
      </c>
      <c r="J184" s="4" t="str">
        <f>Sheet!H184</f>
        <v>2do</v>
      </c>
      <c r="K184" s="4" t="str">
        <f>Sheet!I184</f>
        <v>Masculino</v>
      </c>
      <c r="L184" s="4" t="str">
        <f>Sheet!J184</f>
        <v>Activo</v>
      </c>
      <c r="M184" s="4" t="str">
        <f>Sheet!K184</f>
        <v xml:space="preserve">AUTO 2° A </v>
      </c>
    </row>
    <row r="185" spans="1:13" x14ac:dyDescent="0.35">
      <c r="A185" t="s">
        <v>1</v>
      </c>
      <c r="B185" s="5" t="s">
        <v>161</v>
      </c>
      <c r="C185" s="4" t="s">
        <v>531</v>
      </c>
      <c r="D185" s="4" t="s">
        <v>593</v>
      </c>
      <c r="E185" t="s">
        <v>2933</v>
      </c>
      <c r="F185" t="str">
        <f>CONCATENATE("'",Sheet!E185)</f>
        <v>'112232</v>
      </c>
      <c r="G185" t="s">
        <v>1736</v>
      </c>
      <c r="H185" s="4" t="str">
        <f>Sheet!F185</f>
        <v>GONZALEZ SANCHEZ DIEGO</v>
      </c>
      <c r="I185" s="4" t="str">
        <f>Sheet!G185</f>
        <v>INGENIERÍA AUTOMOTRIZ</v>
      </c>
      <c r="J185" s="4" t="str">
        <f>Sheet!H185</f>
        <v>2do</v>
      </c>
      <c r="K185" s="4" t="str">
        <f>Sheet!I185</f>
        <v>Masculino</v>
      </c>
      <c r="L185" s="4" t="str">
        <f>Sheet!J185</f>
        <v>Activo</v>
      </c>
      <c r="M185" s="4" t="str">
        <f>Sheet!K185</f>
        <v xml:space="preserve">AUTO 2° A </v>
      </c>
    </row>
    <row r="186" spans="1:13" x14ac:dyDescent="0.35">
      <c r="A186" t="s">
        <v>1</v>
      </c>
      <c r="B186" s="5" t="s">
        <v>161</v>
      </c>
      <c r="C186" s="4" t="s">
        <v>531</v>
      </c>
      <c r="D186" s="4" t="s">
        <v>929</v>
      </c>
      <c r="E186" t="s">
        <v>2936</v>
      </c>
      <c r="F186" t="str">
        <f>CONCATENATE("'",Sheet!E186)</f>
        <v>'110518</v>
      </c>
      <c r="G186" t="s">
        <v>1736</v>
      </c>
      <c r="H186" s="4" t="str">
        <f>Sheet!F186</f>
        <v>GONZALEZ TELLES DIEGO</v>
      </c>
      <c r="I186" s="4" t="str">
        <f>Sheet!G186</f>
        <v>DERECHO</v>
      </c>
      <c r="J186" s="4" t="str">
        <f>Sheet!H186</f>
        <v>8vo</v>
      </c>
      <c r="K186" s="4" t="str">
        <f>Sheet!I186</f>
        <v>Masculino</v>
      </c>
      <c r="L186" s="4" t="str">
        <f>Sheet!J186</f>
        <v>Activo</v>
      </c>
      <c r="M186" s="4" t="str">
        <f>Sheet!K186</f>
        <v xml:space="preserve">DER 8°    </v>
      </c>
    </row>
    <row r="187" spans="1:13" x14ac:dyDescent="0.35">
      <c r="A187" t="s">
        <v>1</v>
      </c>
      <c r="B187" s="5" t="s">
        <v>161</v>
      </c>
      <c r="C187" s="4" t="s">
        <v>654</v>
      </c>
      <c r="D187" s="4" t="s">
        <v>930</v>
      </c>
      <c r="E187" t="s">
        <v>2939</v>
      </c>
      <c r="F187" t="str">
        <f>CONCATENATE("'",Sheet!E187)</f>
        <v>'112296</v>
      </c>
      <c r="G187" t="s">
        <v>1736</v>
      </c>
      <c r="H187" s="4" t="str">
        <f>Sheet!F187</f>
        <v>RUIZ ALLAR DIEGO</v>
      </c>
      <c r="I187" s="4" t="str">
        <f>Sheet!G187</f>
        <v>INGENIERIA AEROESPACIAL</v>
      </c>
      <c r="J187" s="4" t="str">
        <f>Sheet!H187</f>
        <v>2do</v>
      </c>
      <c r="K187" s="4" t="str">
        <f>Sheet!I187</f>
        <v>Masculino</v>
      </c>
      <c r="L187" s="4" t="str">
        <f>Sheet!J187</f>
        <v>Activo</v>
      </c>
      <c r="M187" s="4" t="str">
        <f>Sheet!K187</f>
        <v xml:space="preserve">AERO 2°B  </v>
      </c>
    </row>
    <row r="188" spans="1:13" x14ac:dyDescent="0.35">
      <c r="A188" t="s">
        <v>1</v>
      </c>
      <c r="B188" s="5" t="s">
        <v>161</v>
      </c>
      <c r="C188" s="4" t="s">
        <v>671</v>
      </c>
      <c r="D188" s="4" t="s">
        <v>931</v>
      </c>
      <c r="E188" t="s">
        <v>2942</v>
      </c>
      <c r="F188" t="str">
        <f>CONCATENATE("'",Sheet!E188)</f>
        <v>'111108</v>
      </c>
      <c r="G188" t="s">
        <v>1736</v>
      </c>
      <c r="H188" s="4" t="str">
        <f>Sheet!F188</f>
        <v>VILLASEÑOR CLAUDIN DIEGO</v>
      </c>
      <c r="I188" s="4" t="str">
        <f>Sheet!G188</f>
        <v>INGENIERIA AEROESPACIAL</v>
      </c>
      <c r="J188" s="4" t="str">
        <f>Sheet!H188</f>
        <v>6to</v>
      </c>
      <c r="K188" s="4" t="str">
        <f>Sheet!I188</f>
        <v>Masculino</v>
      </c>
      <c r="L188" s="4" t="str">
        <f>Sheet!J188</f>
        <v>Activo</v>
      </c>
      <c r="M188" s="4" t="str">
        <f>Sheet!K188</f>
        <v xml:space="preserve">AERO 6°   </v>
      </c>
    </row>
    <row r="189" spans="1:13" x14ac:dyDescent="0.35">
      <c r="A189" t="s">
        <v>1</v>
      </c>
      <c r="B189" s="5" t="s">
        <v>162</v>
      </c>
      <c r="C189" s="4" t="s">
        <v>549</v>
      </c>
      <c r="D189" s="4" t="s">
        <v>932</v>
      </c>
      <c r="E189" t="s">
        <v>2945</v>
      </c>
      <c r="F189" t="str">
        <f>CONCATENATE("'",Sheet!E189)</f>
        <v>'112275</v>
      </c>
      <c r="G189" t="s">
        <v>1736</v>
      </c>
      <c r="H189" s="4" t="str">
        <f>Sheet!F189</f>
        <v>ALVAREZ DEL TORO DIEGO ALBERTO</v>
      </c>
      <c r="I189" s="4" t="str">
        <f>Sheet!G189</f>
        <v>PSICOLOGIA</v>
      </c>
      <c r="J189" s="4" t="str">
        <f>Sheet!H189</f>
        <v>2do</v>
      </c>
      <c r="K189" s="4" t="str">
        <f>Sheet!I189</f>
        <v>Masculino</v>
      </c>
      <c r="L189" s="4" t="str">
        <f>Sheet!J189</f>
        <v>Activo</v>
      </c>
      <c r="M189" s="4" t="str">
        <f>Sheet!K189</f>
        <v xml:space="preserve">PSI 2°    </v>
      </c>
    </row>
    <row r="190" spans="1:13" x14ac:dyDescent="0.35">
      <c r="A190" t="s">
        <v>1</v>
      </c>
      <c r="B190" s="5" t="s">
        <v>162</v>
      </c>
      <c r="C190" s="4" t="s">
        <v>606</v>
      </c>
      <c r="D190" s="4" t="s">
        <v>933</v>
      </c>
      <c r="E190" t="s">
        <v>2948</v>
      </c>
      <c r="F190" t="str">
        <f>CONCATENATE("'",Sheet!E190)</f>
        <v>'112278</v>
      </c>
      <c r="G190" t="s">
        <v>1736</v>
      </c>
      <c r="H190" s="4" t="str">
        <f>Sheet!F190</f>
        <v>SERRANO VARELA DIEGO ALBERTO</v>
      </c>
      <c r="I190" s="4" t="str">
        <f>Sheet!G190</f>
        <v>INGENIERÍA AUTOMOTRIZ</v>
      </c>
      <c r="J190" s="4" t="str">
        <f>Sheet!H190</f>
        <v>2do</v>
      </c>
      <c r="K190" s="4" t="str">
        <f>Sheet!I190</f>
        <v>Masculino</v>
      </c>
      <c r="L190" s="4" t="str">
        <f>Sheet!J190</f>
        <v>Activo</v>
      </c>
      <c r="M190" s="4" t="str">
        <f>Sheet!K190</f>
        <v xml:space="preserve">AUTO 2° A </v>
      </c>
    </row>
    <row r="191" spans="1:13" x14ac:dyDescent="0.35">
      <c r="A191" t="s">
        <v>1</v>
      </c>
      <c r="B191" s="5" t="s">
        <v>163</v>
      </c>
      <c r="C191" s="4" t="s">
        <v>672</v>
      </c>
      <c r="D191" s="4" t="s">
        <v>636</v>
      </c>
      <c r="E191" t="s">
        <v>2951</v>
      </c>
      <c r="F191" t="str">
        <f>CONCATENATE("'",Sheet!E191)</f>
        <v>'110628</v>
      </c>
      <c r="G191" t="s">
        <v>1736</v>
      </c>
      <c r="H191" s="4" t="str">
        <f>Sheet!F191</f>
        <v>TORIZ MARTINEZ DIEGO ALFONSO</v>
      </c>
      <c r="I191" s="4" t="str">
        <f>Sheet!G191</f>
        <v>INGENIERIA CIBERNETICA Y EN SISTEMAS COMPUTACIONALES</v>
      </c>
      <c r="J191" s="4" t="str">
        <f>Sheet!H191</f>
        <v>8vo</v>
      </c>
      <c r="K191" s="4" t="str">
        <f>Sheet!I191</f>
        <v>Masculino</v>
      </c>
      <c r="L191" s="4" t="str">
        <f>Sheet!J191</f>
        <v>Activo</v>
      </c>
      <c r="M191" s="4" t="str">
        <f>Sheet!K191</f>
        <v xml:space="preserve">CIB 8°    </v>
      </c>
    </row>
    <row r="192" spans="1:13" x14ac:dyDescent="0.35">
      <c r="A192" t="s">
        <v>1</v>
      </c>
      <c r="B192" s="5" t="s">
        <v>164</v>
      </c>
      <c r="C192" s="4" t="s">
        <v>593</v>
      </c>
      <c r="D192" s="4" t="s">
        <v>543</v>
      </c>
      <c r="E192" t="s">
        <v>2954</v>
      </c>
      <c r="F192" t="str">
        <f>CONCATENATE("'",Sheet!E192)</f>
        <v>'111646</v>
      </c>
      <c r="G192" t="s">
        <v>1736</v>
      </c>
      <c r="H192" s="4" t="str">
        <f>Sheet!F192</f>
        <v>SANCHEZ VAZQUEZ DIEGO CRISTAN</v>
      </c>
      <c r="I192" s="4" t="str">
        <f>Sheet!G192</f>
        <v>INGENIERÍA EN INTELIGENCIA ARTIFICIAL</v>
      </c>
      <c r="J192" s="4" t="str">
        <f>Sheet!H192</f>
        <v>4to</v>
      </c>
      <c r="K192" s="4" t="str">
        <f>Sheet!I192</f>
        <v>Masculino</v>
      </c>
      <c r="L192" s="4" t="str">
        <f>Sheet!J192</f>
        <v>Activo</v>
      </c>
      <c r="M192" s="4" t="str">
        <f>Sheet!K192</f>
        <v xml:space="preserve">IA 4°     </v>
      </c>
    </row>
    <row r="193" spans="1:13" x14ac:dyDescent="0.35">
      <c r="A193" t="s">
        <v>1</v>
      </c>
      <c r="B193" s="5" t="s">
        <v>165</v>
      </c>
      <c r="C193" s="4" t="s">
        <v>673</v>
      </c>
      <c r="D193" s="4" t="s">
        <v>841</v>
      </c>
      <c r="E193" t="s">
        <v>2957</v>
      </c>
      <c r="F193" t="str">
        <f>CONCATENATE("'",Sheet!E193)</f>
        <v>'112161</v>
      </c>
      <c r="G193" t="s">
        <v>1736</v>
      </c>
      <c r="H193" s="4" t="str">
        <f>Sheet!F193</f>
        <v>BOLAÑOS CARRILLO DIEGO EDUARDO</v>
      </c>
      <c r="I193" s="4" t="str">
        <f>Sheet!G193</f>
        <v>INGENIERÍA AUTOMOTRIZ</v>
      </c>
      <c r="J193" s="4" t="str">
        <f>Sheet!H193</f>
        <v>2do</v>
      </c>
      <c r="K193" s="4" t="str">
        <f>Sheet!I193</f>
        <v>Masculino</v>
      </c>
      <c r="L193" s="4" t="str">
        <f>Sheet!J193</f>
        <v>Activo</v>
      </c>
      <c r="M193" s="4" t="str">
        <f>Sheet!K193</f>
        <v xml:space="preserve">AUTO 2° B </v>
      </c>
    </row>
    <row r="194" spans="1:13" x14ac:dyDescent="0.35">
      <c r="A194" t="s">
        <v>1</v>
      </c>
      <c r="B194" s="5" t="s">
        <v>166</v>
      </c>
      <c r="C194" s="4" t="s">
        <v>674</v>
      </c>
      <c r="D194" s="4" t="s">
        <v>822</v>
      </c>
      <c r="E194" t="s">
        <v>2960</v>
      </c>
      <c r="F194" t="str">
        <f>CONCATENATE("'",Sheet!E194)</f>
        <v>'111699</v>
      </c>
      <c r="G194" t="s">
        <v>1736</v>
      </c>
      <c r="H194" s="4" t="str">
        <f>Sheet!F194</f>
        <v>PRECIADO LARA DIEGO FRANCISCO</v>
      </c>
      <c r="I194" s="4" t="str">
        <f>Sheet!G194</f>
        <v>INGENIERÍA AUTOMOTRIZ</v>
      </c>
      <c r="J194" s="4" t="str">
        <f>Sheet!H194</f>
        <v>4to</v>
      </c>
      <c r="K194" s="4" t="str">
        <f>Sheet!I194</f>
        <v>Masculino</v>
      </c>
      <c r="L194" s="4" t="str">
        <f>Sheet!J194</f>
        <v>Activo</v>
      </c>
      <c r="M194" s="4" t="str">
        <f>Sheet!K194</f>
        <v xml:space="preserve">AUTO 4°   </v>
      </c>
    </row>
    <row r="195" spans="1:13" x14ac:dyDescent="0.35">
      <c r="A195" t="s">
        <v>1</v>
      </c>
      <c r="B195" s="5" t="s">
        <v>167</v>
      </c>
      <c r="C195" s="4" t="s">
        <v>538</v>
      </c>
      <c r="D195" s="4" t="s">
        <v>934</v>
      </c>
      <c r="E195" t="s">
        <v>2963</v>
      </c>
      <c r="F195" t="str">
        <f>CONCATENATE("'",Sheet!E195)</f>
        <v>'111727</v>
      </c>
      <c r="G195" t="s">
        <v>1736</v>
      </c>
      <c r="H195" s="4" t="str">
        <f>Sheet!F195</f>
        <v>ZAVALA CUELLAR DIEGO MARTIN</v>
      </c>
      <c r="I195" s="4" t="str">
        <f>Sheet!G195</f>
        <v>INGENIERIA AEROESPACIAL</v>
      </c>
      <c r="J195" s="4" t="str">
        <f>Sheet!H195</f>
        <v>4to</v>
      </c>
      <c r="K195" s="4" t="str">
        <f>Sheet!I195</f>
        <v>Masculino</v>
      </c>
      <c r="L195" s="4" t="str">
        <f>Sheet!J195</f>
        <v>Activo</v>
      </c>
      <c r="M195" s="4" t="str">
        <f>Sheet!K195</f>
        <v xml:space="preserve">AERO 4°B  </v>
      </c>
    </row>
    <row r="196" spans="1:13" x14ac:dyDescent="0.35">
      <c r="A196" t="s">
        <v>1</v>
      </c>
      <c r="B196" s="5" t="s">
        <v>168</v>
      </c>
      <c r="C196" s="4" t="s">
        <v>675</v>
      </c>
      <c r="D196" s="4" t="s">
        <v>764</v>
      </c>
      <c r="E196" t="s">
        <v>2966</v>
      </c>
      <c r="F196" t="str">
        <f>CONCATENATE("'",Sheet!E196)</f>
        <v>'111753</v>
      </c>
      <c r="G196" t="s">
        <v>1736</v>
      </c>
      <c r="H196" s="4" t="str">
        <f>Sheet!F196</f>
        <v>PATIÑO MEJIA DIEGO MISAEL</v>
      </c>
      <c r="I196" s="4" t="str">
        <f>Sheet!G196</f>
        <v>INGENIERIA AEROESPACIAL</v>
      </c>
      <c r="J196" s="4" t="str">
        <f>Sheet!H196</f>
        <v>4to</v>
      </c>
      <c r="K196" s="4" t="str">
        <f>Sheet!I196</f>
        <v>Masculino</v>
      </c>
      <c r="L196" s="4" t="str">
        <f>Sheet!J196</f>
        <v>Activo</v>
      </c>
      <c r="M196" s="4" t="str">
        <f>Sheet!K196</f>
        <v xml:space="preserve">AERO 4°A  </v>
      </c>
    </row>
    <row r="197" spans="1:13" x14ac:dyDescent="0.35">
      <c r="A197" t="s">
        <v>1</v>
      </c>
      <c r="B197" s="5" t="s">
        <v>169</v>
      </c>
      <c r="C197" s="4" t="s">
        <v>676</v>
      </c>
      <c r="D197" s="4" t="s">
        <v>935</v>
      </c>
      <c r="E197" t="s">
        <v>2969</v>
      </c>
      <c r="F197" t="str">
        <f>CONCATENATE("'",Sheet!E197)</f>
        <v>'110803</v>
      </c>
      <c r="G197" t="s">
        <v>1736</v>
      </c>
      <c r="H197" s="4" t="str">
        <f>Sheet!F197</f>
        <v>VON HAUSKE DELLA SERA DIEGO SEBASTIAN</v>
      </c>
      <c r="I197" s="4" t="str">
        <f>Sheet!G197</f>
        <v>DISEÑO GRAFICO Y DIGITAL</v>
      </c>
      <c r="J197" s="4" t="str">
        <f>Sheet!H197</f>
        <v>8vo</v>
      </c>
      <c r="K197" s="4" t="str">
        <f>Sheet!I197</f>
        <v>Masculino</v>
      </c>
      <c r="L197" s="4" t="str">
        <f>Sheet!J197</f>
        <v>Activo</v>
      </c>
      <c r="M197" s="4" t="str">
        <f>Sheet!K197</f>
        <v xml:space="preserve">DGD 8°    </v>
      </c>
    </row>
    <row r="198" spans="1:13" x14ac:dyDescent="0.35">
      <c r="A198" t="s">
        <v>1</v>
      </c>
      <c r="B198" s="5" t="s">
        <v>170</v>
      </c>
      <c r="C198" s="4" t="s">
        <v>677</v>
      </c>
      <c r="D198" s="4" t="s">
        <v>936</v>
      </c>
      <c r="E198" t="s">
        <v>2972</v>
      </c>
      <c r="F198" t="str">
        <f>CONCATENATE("'",Sheet!E198)</f>
        <v>'112185</v>
      </c>
      <c r="G198" t="s">
        <v>1736</v>
      </c>
      <c r="H198" s="4" t="str">
        <f>Sheet!F198</f>
        <v>MORGAN GALLARDO DUILIO ALFONSO</v>
      </c>
      <c r="I198" s="4" t="str">
        <f>Sheet!G198</f>
        <v>INGENIERIA AEROESPACIAL</v>
      </c>
      <c r="J198" s="4" t="str">
        <f>Sheet!H198</f>
        <v>2do</v>
      </c>
      <c r="K198" s="4" t="str">
        <f>Sheet!I198</f>
        <v>Masculino</v>
      </c>
      <c r="L198" s="4" t="str">
        <f>Sheet!J198</f>
        <v>Activo</v>
      </c>
      <c r="M198" s="4" t="str">
        <f>Sheet!K198</f>
        <v xml:space="preserve">AERO 2°B  </v>
      </c>
    </row>
    <row r="199" spans="1:13" x14ac:dyDescent="0.35">
      <c r="A199" t="s">
        <v>1</v>
      </c>
      <c r="B199" s="5" t="s">
        <v>171</v>
      </c>
      <c r="C199" s="4" t="s">
        <v>630</v>
      </c>
      <c r="D199" s="4" t="s">
        <v>679</v>
      </c>
      <c r="E199" t="s">
        <v>2975</v>
      </c>
      <c r="F199" t="str">
        <f>CONCATENATE("'",Sheet!E199)</f>
        <v>'111214</v>
      </c>
      <c r="G199" t="s">
        <v>1736</v>
      </c>
      <c r="H199" s="4" t="str">
        <f>Sheet!F199</f>
        <v>CASTILLO GOMEZ DYLAN ADRIAN</v>
      </c>
      <c r="I199" s="4" t="str">
        <f>Sheet!G199</f>
        <v>INGENIERÍA AUTOMOTRIZ</v>
      </c>
      <c r="J199" s="4" t="str">
        <f>Sheet!H199</f>
        <v>6to</v>
      </c>
      <c r="K199" s="4" t="str">
        <f>Sheet!I199</f>
        <v>Masculino</v>
      </c>
      <c r="L199" s="4" t="str">
        <f>Sheet!J199</f>
        <v>Activo</v>
      </c>
      <c r="M199" s="4" t="str">
        <f>Sheet!K199</f>
        <v xml:space="preserve">AUTO 6°   </v>
      </c>
    </row>
    <row r="200" spans="1:13" x14ac:dyDescent="0.35">
      <c r="A200" t="s">
        <v>1</v>
      </c>
      <c r="B200" s="5" t="s">
        <v>172</v>
      </c>
      <c r="C200" s="4" t="s">
        <v>544</v>
      </c>
      <c r="D200" s="4" t="s">
        <v>530</v>
      </c>
      <c r="E200" t="s">
        <v>2978</v>
      </c>
      <c r="F200" t="str">
        <f>CONCATENATE("'",Sheet!E200)</f>
        <v>'111614</v>
      </c>
      <c r="G200" t="s">
        <v>1736</v>
      </c>
      <c r="H200" s="4" t="str">
        <f>Sheet!F200</f>
        <v>HERNANDEZ SANDOVAL EDGAR</v>
      </c>
      <c r="I200" s="4" t="str">
        <f>Sheet!G200</f>
        <v>INGENIERIA AEROESPACIAL</v>
      </c>
      <c r="J200" s="4" t="str">
        <f>Sheet!H200</f>
        <v>4to</v>
      </c>
      <c r="K200" s="4" t="str">
        <f>Sheet!I200</f>
        <v>Masculino</v>
      </c>
      <c r="L200" s="4" t="str">
        <f>Sheet!J200</f>
        <v>Activo</v>
      </c>
      <c r="M200" s="4" t="str">
        <f>Sheet!K200</f>
        <v xml:space="preserve">AERO 4°A  </v>
      </c>
    </row>
    <row r="201" spans="1:13" x14ac:dyDescent="0.35">
      <c r="A201" t="s">
        <v>1</v>
      </c>
      <c r="B201" s="5" t="s">
        <v>173</v>
      </c>
      <c r="C201" s="4" t="s">
        <v>660</v>
      </c>
      <c r="D201" s="4" t="s">
        <v>532</v>
      </c>
      <c r="E201" t="s">
        <v>2981</v>
      </c>
      <c r="F201" t="str">
        <f>CONCATENATE("'",Sheet!E201)</f>
        <v>'110505</v>
      </c>
      <c r="G201" t="s">
        <v>1736</v>
      </c>
      <c r="H201" s="4" t="str">
        <f>Sheet!F201</f>
        <v>ORTIZ VEGA EDGAR ALEJANDRO</v>
      </c>
      <c r="I201" s="4" t="str">
        <f>Sheet!G201</f>
        <v>INGENIERIA AEROESPACIAL</v>
      </c>
      <c r="J201" s="4" t="str">
        <f>Sheet!H201</f>
        <v>8vo</v>
      </c>
      <c r="K201" s="4" t="str">
        <f>Sheet!I201</f>
        <v>Masculino</v>
      </c>
      <c r="L201" s="4" t="str">
        <f>Sheet!J201</f>
        <v>Activo</v>
      </c>
      <c r="M201" s="4" t="str">
        <f>Sheet!K201</f>
        <v xml:space="preserve">AERO 8°   </v>
      </c>
    </row>
    <row r="202" spans="1:13" x14ac:dyDescent="0.35">
      <c r="A202" t="s">
        <v>1</v>
      </c>
      <c r="B202" s="5" t="s">
        <v>174</v>
      </c>
      <c r="C202" s="4" t="s">
        <v>543</v>
      </c>
      <c r="D202" s="4" t="s">
        <v>568</v>
      </c>
      <c r="E202" t="s">
        <v>2984</v>
      </c>
      <c r="F202" t="str">
        <f>CONCATENATE("'",Sheet!E202)</f>
        <v>'111083</v>
      </c>
      <c r="G202" t="s">
        <v>1736</v>
      </c>
      <c r="H202" s="4" t="str">
        <f>Sheet!F202</f>
        <v>VAZQUEZ GUERRERO EDUARDO</v>
      </c>
      <c r="I202" s="4" t="str">
        <f>Sheet!G202</f>
        <v>INGENIERIA AEROESPACIAL</v>
      </c>
      <c r="J202" s="4" t="str">
        <f>Sheet!H202</f>
        <v>6to</v>
      </c>
      <c r="K202" s="4" t="str">
        <f>Sheet!I202</f>
        <v>Masculino</v>
      </c>
      <c r="L202" s="4" t="str">
        <f>Sheet!J202</f>
        <v>Activo</v>
      </c>
      <c r="M202" s="4" t="str">
        <f>Sheet!K202</f>
        <v xml:space="preserve">AERO 6°   </v>
      </c>
    </row>
    <row r="203" spans="1:13" x14ac:dyDescent="0.35">
      <c r="A203" t="s">
        <v>1</v>
      </c>
      <c r="B203" s="5" t="s">
        <v>175</v>
      </c>
      <c r="C203" s="4" t="s">
        <v>678</v>
      </c>
      <c r="D203" s="4" t="s">
        <v>803</v>
      </c>
      <c r="E203" t="s">
        <v>2987</v>
      </c>
      <c r="F203" t="str">
        <f>CONCATENATE("'",Sheet!E203)</f>
        <v>'112144</v>
      </c>
      <c r="G203" t="s">
        <v>1736</v>
      </c>
      <c r="H203" s="4" t="str">
        <f>Sheet!F203</f>
        <v>AGUIRRE RIOS EDUARDO ANTONIO</v>
      </c>
      <c r="I203" s="4" t="str">
        <f>Sheet!G203</f>
        <v>ANIMACION DIGITAL Y VIDEOJUEGOS</v>
      </c>
      <c r="J203" s="4" t="str">
        <f>Sheet!H203</f>
        <v>2do</v>
      </c>
      <c r="K203" s="4" t="str">
        <f>Sheet!I203</f>
        <v>Masculino</v>
      </c>
      <c r="L203" s="4" t="str">
        <f>Sheet!J203</f>
        <v>Activo</v>
      </c>
      <c r="M203" s="4" t="str">
        <f>Sheet!K203</f>
        <v xml:space="preserve">ANIM 2°   </v>
      </c>
    </row>
    <row r="204" spans="1:13" x14ac:dyDescent="0.35">
      <c r="A204" t="s">
        <v>1</v>
      </c>
      <c r="B204" s="5" t="s">
        <v>176</v>
      </c>
      <c r="C204" s="4" t="s">
        <v>679</v>
      </c>
      <c r="D204" s="4" t="s">
        <v>937</v>
      </c>
      <c r="E204" t="s">
        <v>2990</v>
      </c>
      <c r="F204" t="str">
        <f>CONCATENATE("'",Sheet!E204)</f>
        <v>'112305</v>
      </c>
      <c r="G204" t="s">
        <v>1736</v>
      </c>
      <c r="H204" s="4" t="str">
        <f>Sheet!F204</f>
        <v>GOMEZ ALONSO EDUARDO GUADALUPE</v>
      </c>
      <c r="I204" s="4" t="str">
        <f>Sheet!G204</f>
        <v>INGENIERÍA AUTOMOTRIZ</v>
      </c>
      <c r="J204" s="4" t="str">
        <f>Sheet!H204</f>
        <v>2do</v>
      </c>
      <c r="K204" s="4" t="str">
        <f>Sheet!I204</f>
        <v>Masculino</v>
      </c>
      <c r="L204" s="4" t="str">
        <f>Sheet!J204</f>
        <v>Activo</v>
      </c>
      <c r="M204" s="4" t="str">
        <f>Sheet!K204</f>
        <v xml:space="preserve">AUTO 2° A </v>
      </c>
    </row>
    <row r="205" spans="1:13" x14ac:dyDescent="0.35">
      <c r="A205" t="s">
        <v>1</v>
      </c>
      <c r="B205" s="5" t="s">
        <v>177</v>
      </c>
      <c r="C205" s="4" t="s">
        <v>593</v>
      </c>
      <c r="D205" s="4" t="s">
        <v>531</v>
      </c>
      <c r="E205" t="s">
        <v>2993</v>
      </c>
      <c r="F205" t="str">
        <f>CONCATENATE("'",Sheet!E205)</f>
        <v>'112299</v>
      </c>
      <c r="G205" t="s">
        <v>1736</v>
      </c>
      <c r="H205" s="4" t="str">
        <f>Sheet!F205</f>
        <v>SANCHEZ GONZALEZ EDWIN ELIAS</v>
      </c>
      <c r="I205" s="4" t="str">
        <f>Sheet!G205</f>
        <v>INGENIERIA AEROESPACIAL</v>
      </c>
      <c r="J205" s="4" t="str">
        <f>Sheet!H205</f>
        <v>2do</v>
      </c>
      <c r="K205" s="4" t="str">
        <f>Sheet!I205</f>
        <v>Masculino</v>
      </c>
      <c r="L205" s="4" t="str">
        <f>Sheet!J205</f>
        <v>Activo</v>
      </c>
      <c r="M205" s="4" t="str">
        <f>Sheet!K205</f>
        <v xml:space="preserve">AERO 2°A  </v>
      </c>
    </row>
    <row r="206" spans="1:13" x14ac:dyDescent="0.35">
      <c r="A206" t="s">
        <v>1</v>
      </c>
      <c r="B206" s="5" t="s">
        <v>178</v>
      </c>
      <c r="C206" s="4" t="s">
        <v>680</v>
      </c>
      <c r="D206" s="4" t="s">
        <v>938</v>
      </c>
      <c r="E206" t="s">
        <v>2996</v>
      </c>
      <c r="F206" t="str">
        <f>CONCATENATE("'",Sheet!E206)</f>
        <v>'111703</v>
      </c>
      <c r="G206" t="s">
        <v>1736</v>
      </c>
      <c r="H206" s="4" t="str">
        <f>Sheet!F206</f>
        <v>LUNA BARRIENTOS EDWIN FERNANDO</v>
      </c>
      <c r="I206" s="4" t="str">
        <f>Sheet!G206</f>
        <v>INGENIERÍA AUTOMOTRIZ</v>
      </c>
      <c r="J206" s="4" t="str">
        <f>Sheet!H206</f>
        <v>4to</v>
      </c>
      <c r="K206" s="4" t="str">
        <f>Sheet!I206</f>
        <v>Masculino</v>
      </c>
      <c r="L206" s="4" t="str">
        <f>Sheet!J206</f>
        <v>Activo</v>
      </c>
      <c r="M206" s="4" t="str">
        <f>Sheet!K206</f>
        <v xml:space="preserve">AUTO 4°   </v>
      </c>
    </row>
    <row r="207" spans="1:13" x14ac:dyDescent="0.35">
      <c r="A207" t="s">
        <v>1</v>
      </c>
      <c r="B207" s="5" t="s">
        <v>179</v>
      </c>
      <c r="C207" s="4" t="s">
        <v>681</v>
      </c>
      <c r="D207" s="4" t="s">
        <v>715</v>
      </c>
      <c r="E207" t="s">
        <v>3001</v>
      </c>
      <c r="F207" t="str">
        <f>CONCATENATE("'",Sheet!E207)</f>
        <v>'112264</v>
      </c>
      <c r="G207" t="s">
        <v>1736</v>
      </c>
      <c r="H207" s="4" t="str">
        <f>Sheet!F207</f>
        <v>ACEVES BARRAGAN ELIA SOFIA</v>
      </c>
      <c r="I207" s="4" t="str">
        <f>Sheet!G207</f>
        <v>ARQUITECTURA</v>
      </c>
      <c r="J207" s="4" t="str">
        <f>Sheet!H207</f>
        <v>2do</v>
      </c>
      <c r="K207" s="4" t="str">
        <f>Sheet!I207</f>
        <v>Femenino</v>
      </c>
      <c r="L207" s="4" t="str">
        <f>Sheet!J207</f>
        <v>Activo</v>
      </c>
      <c r="M207" s="4" t="str">
        <f>Sheet!K207</f>
        <v xml:space="preserve">ARQ 2°    </v>
      </c>
    </row>
    <row r="208" spans="1:13" x14ac:dyDescent="0.35">
      <c r="A208" t="s">
        <v>1</v>
      </c>
      <c r="B208" s="5" t="s">
        <v>180</v>
      </c>
      <c r="C208" s="4" t="s">
        <v>350</v>
      </c>
      <c r="D208" s="4" t="s">
        <v>597</v>
      </c>
      <c r="E208" t="s">
        <v>2998</v>
      </c>
      <c r="F208" t="str">
        <f>CONCATENATE("'",Sheet!E208)</f>
        <v>'007424</v>
      </c>
      <c r="G208" t="s">
        <v>1736</v>
      </c>
      <c r="H208" s="4" t="str">
        <f>Sheet!F208</f>
        <v>LEONARDO RIVERA ELIAS</v>
      </c>
      <c r="I208" s="4" t="str">
        <f>Sheet!G208</f>
        <v>INGENIERIA CIBERNETICA Y EN SISTEMAS COMPUTACIONALES</v>
      </c>
      <c r="J208" s="4" t="str">
        <f>Sheet!H208</f>
        <v>8vo</v>
      </c>
      <c r="K208" s="4" t="str">
        <f>Sheet!I208</f>
        <v>Masculino</v>
      </c>
      <c r="L208" s="4" t="str">
        <f>Sheet!J208</f>
        <v>Activo</v>
      </c>
      <c r="M208" s="4" t="str">
        <f>Sheet!K208</f>
        <v xml:space="preserve">CIB 8°    </v>
      </c>
    </row>
    <row r="209" spans="1:13" x14ac:dyDescent="0.35">
      <c r="A209" t="s">
        <v>1</v>
      </c>
      <c r="B209" s="5" t="s">
        <v>181</v>
      </c>
      <c r="C209" s="4" t="s">
        <v>682</v>
      </c>
      <c r="D209" s="4" t="s">
        <v>939</v>
      </c>
      <c r="E209" t="s">
        <v>3004</v>
      </c>
      <c r="F209" t="str">
        <f>CONCATENATE("'",Sheet!E209)</f>
        <v>'110703</v>
      </c>
      <c r="G209" t="s">
        <v>1736</v>
      </c>
      <c r="H209" s="4" t="str">
        <f>Sheet!F209</f>
        <v>DE LA CRUZ BRAMBILA ELIZABETH</v>
      </c>
      <c r="I209" s="4" t="str">
        <f>Sheet!G209</f>
        <v>ARQUITECTURA</v>
      </c>
      <c r="J209" s="4" t="str">
        <f>Sheet!H209</f>
        <v>8vo</v>
      </c>
      <c r="K209" s="4" t="str">
        <f>Sheet!I209</f>
        <v>Femenino</v>
      </c>
      <c r="L209" s="4" t="str">
        <f>Sheet!J209</f>
        <v>Activo</v>
      </c>
      <c r="M209" s="4" t="str">
        <f>Sheet!K209</f>
        <v xml:space="preserve">ARQ 8°    </v>
      </c>
    </row>
    <row r="210" spans="1:13" x14ac:dyDescent="0.35">
      <c r="A210" t="s">
        <v>1</v>
      </c>
      <c r="B210" s="5" t="s">
        <v>182</v>
      </c>
      <c r="C210" s="4" t="s">
        <v>209</v>
      </c>
      <c r="D210" s="4" t="s">
        <v>577</v>
      </c>
      <c r="E210" t="s">
        <v>3007</v>
      </c>
      <c r="F210" t="str">
        <f>CONCATENATE("'",Sheet!E210)</f>
        <v>'111118</v>
      </c>
      <c r="G210" t="s">
        <v>1736</v>
      </c>
      <c r="H210" s="4" t="str">
        <f>Sheet!F210</f>
        <v>FRANCO OROZCO EMILIANO</v>
      </c>
      <c r="I210" s="4" t="str">
        <f>Sheet!G210</f>
        <v>INGENIERIA CIBERNETICA Y EN SISTEMAS COMPUTACIONALES</v>
      </c>
      <c r="J210" s="4" t="str">
        <f>Sheet!H210</f>
        <v>6to</v>
      </c>
      <c r="K210" s="4" t="str">
        <f>Sheet!I210</f>
        <v>Masculino</v>
      </c>
      <c r="L210" s="4" t="str">
        <f>Sheet!J210</f>
        <v>Activo</v>
      </c>
      <c r="M210" s="4" t="str">
        <f>Sheet!K210</f>
        <v xml:space="preserve">CIB 6°    </v>
      </c>
    </row>
    <row r="211" spans="1:13" x14ac:dyDescent="0.35">
      <c r="A211" t="s">
        <v>1</v>
      </c>
      <c r="B211" s="5" t="s">
        <v>182</v>
      </c>
      <c r="C211" s="4" t="s">
        <v>679</v>
      </c>
      <c r="D211" s="4" t="s">
        <v>544</v>
      </c>
      <c r="E211" t="s">
        <v>3010</v>
      </c>
      <c r="F211" t="str">
        <f>CONCATENATE("'",Sheet!E211)</f>
        <v>'110543</v>
      </c>
      <c r="G211" t="s">
        <v>1736</v>
      </c>
      <c r="H211" s="4" t="str">
        <f>Sheet!F211</f>
        <v>GOMEZ HERNANDEZ EMILIANO</v>
      </c>
      <c r="I211" s="4" t="str">
        <f>Sheet!G211</f>
        <v>ANIMACION DIGITAL Y VIDEOJUEGOS</v>
      </c>
      <c r="J211" s="4" t="str">
        <f>Sheet!H211</f>
        <v>8vo</v>
      </c>
      <c r="K211" s="4" t="str">
        <f>Sheet!I211</f>
        <v>Masculino</v>
      </c>
      <c r="L211" s="4" t="str">
        <f>Sheet!J211</f>
        <v>Activo</v>
      </c>
      <c r="M211" s="4" t="str">
        <f>Sheet!K211</f>
        <v xml:space="preserve">ANIM 8°   </v>
      </c>
    </row>
    <row r="212" spans="1:13" x14ac:dyDescent="0.35">
      <c r="A212" t="s">
        <v>1</v>
      </c>
      <c r="B212" s="5" t="s">
        <v>182</v>
      </c>
      <c r="C212" s="4" t="s">
        <v>683</v>
      </c>
      <c r="D212" s="4" t="s">
        <v>873</v>
      </c>
      <c r="E212" t="s">
        <v>3013</v>
      </c>
      <c r="F212" t="str">
        <f>CONCATENATE("'",Sheet!E212)</f>
        <v>'111044</v>
      </c>
      <c r="G212" t="s">
        <v>1736</v>
      </c>
      <c r="H212" s="4" t="str">
        <f>Sheet!F212</f>
        <v>GRACIANO VARGAS EMILIANO</v>
      </c>
      <c r="I212" s="4" t="str">
        <f>Sheet!G212</f>
        <v>ADMINISTRACION Y DIRECCION DE NEGOCIOS</v>
      </c>
      <c r="J212" s="4" t="str">
        <f>Sheet!H212</f>
        <v>6to</v>
      </c>
      <c r="K212" s="4" t="str">
        <f>Sheet!I212</f>
        <v>Masculino</v>
      </c>
      <c r="L212" s="4" t="str">
        <f>Sheet!J212</f>
        <v>Activo</v>
      </c>
      <c r="M212" s="4" t="str">
        <f>Sheet!K212</f>
        <v xml:space="preserve">ADMON 6°  </v>
      </c>
    </row>
    <row r="213" spans="1:13" x14ac:dyDescent="0.35">
      <c r="A213" t="s">
        <v>1</v>
      </c>
      <c r="B213" s="5" t="s">
        <v>182</v>
      </c>
      <c r="C213" s="4" t="s">
        <v>684</v>
      </c>
      <c r="D213" s="4" t="s">
        <v>857</v>
      </c>
      <c r="E213" t="s">
        <v>3016</v>
      </c>
      <c r="F213" t="str">
        <f>CONCATENATE("'",Sheet!E213)</f>
        <v>'111682</v>
      </c>
      <c r="G213" t="s">
        <v>1736</v>
      </c>
      <c r="H213" s="4" t="str">
        <f>Sheet!F213</f>
        <v>NAVA VELASCO EMILIANO</v>
      </c>
      <c r="I213" s="4" t="str">
        <f>Sheet!G213</f>
        <v>INGENIERIA AEROESPACIAL</v>
      </c>
      <c r="J213" s="4" t="str">
        <f>Sheet!H213</f>
        <v>4to</v>
      </c>
      <c r="K213" s="4" t="str">
        <f>Sheet!I213</f>
        <v>Masculino</v>
      </c>
      <c r="L213" s="4" t="str">
        <f>Sheet!J213</f>
        <v>Activo</v>
      </c>
      <c r="M213" s="4" t="str">
        <f>Sheet!K213</f>
        <v xml:space="preserve">AERO 4°B  </v>
      </c>
    </row>
    <row r="214" spans="1:13" x14ac:dyDescent="0.35">
      <c r="A214" t="s">
        <v>1</v>
      </c>
      <c r="B214" s="5" t="s">
        <v>182</v>
      </c>
      <c r="C214" s="4" t="s">
        <v>539</v>
      </c>
      <c r="D214" s="4" t="s">
        <v>564</v>
      </c>
      <c r="E214" t="s">
        <v>3019</v>
      </c>
      <c r="F214" t="str">
        <f>CONCATENATE("'",Sheet!E214)</f>
        <v>'111737</v>
      </c>
      <c r="G214" t="s">
        <v>1736</v>
      </c>
      <c r="H214" s="4" t="str">
        <f>Sheet!F214</f>
        <v>RODRIGUEZ GUZMAN EMILIANO</v>
      </c>
      <c r="I214" s="4" t="str">
        <f>Sheet!G214</f>
        <v>ANIMACION DIGITAL Y VIDEOJUEGOS</v>
      </c>
      <c r="J214" s="4" t="str">
        <f>Sheet!H214</f>
        <v>4to</v>
      </c>
      <c r="K214" s="4" t="str">
        <f>Sheet!I214</f>
        <v>Masculino</v>
      </c>
      <c r="L214" s="4" t="str">
        <f>Sheet!J214</f>
        <v>Activo</v>
      </c>
      <c r="M214" s="4" t="str">
        <f>Sheet!K214</f>
        <v xml:space="preserve">ANIM 4°   </v>
      </c>
    </row>
    <row r="215" spans="1:13" x14ac:dyDescent="0.35">
      <c r="A215" t="s">
        <v>1</v>
      </c>
      <c r="B215" s="5" t="s">
        <v>183</v>
      </c>
      <c r="C215" s="4" t="s">
        <v>685</v>
      </c>
      <c r="D215" s="4" t="s">
        <v>535</v>
      </c>
      <c r="E215" t="s">
        <v>3022</v>
      </c>
      <c r="F215" t="str">
        <f>CONCATENATE("'",Sheet!E215)</f>
        <v>'112179</v>
      </c>
      <c r="G215" t="s">
        <v>1736</v>
      </c>
      <c r="H215" s="4" t="str">
        <f>Sheet!F215</f>
        <v>ENTZIN TAPIA EMILIANO SANTIAGO</v>
      </c>
      <c r="I215" s="4" t="str">
        <f>Sheet!G215</f>
        <v>INGENIERIA AEROESPACIAL</v>
      </c>
      <c r="J215" s="4" t="str">
        <f>Sheet!H215</f>
        <v>2do</v>
      </c>
      <c r="K215" s="4" t="str">
        <f>Sheet!I215</f>
        <v>Masculino</v>
      </c>
      <c r="L215" s="4" t="str">
        <f>Sheet!J215</f>
        <v>Activo</v>
      </c>
      <c r="M215" s="4" t="str">
        <f>Sheet!K215</f>
        <v xml:space="preserve">AERO 2°A  </v>
      </c>
    </row>
    <row r="216" spans="1:13" x14ac:dyDescent="0.35">
      <c r="A216" t="s">
        <v>1</v>
      </c>
      <c r="B216" s="5" t="s">
        <v>184</v>
      </c>
      <c r="C216" s="4" t="s">
        <v>686</v>
      </c>
      <c r="D216" s="4" t="s">
        <v>539</v>
      </c>
      <c r="E216" t="s">
        <v>3025</v>
      </c>
      <c r="F216" t="str">
        <f>CONCATENATE("'",Sheet!E216)</f>
        <v>'111128</v>
      </c>
      <c r="G216" t="s">
        <v>1736</v>
      </c>
      <c r="H216" s="4" t="str">
        <f>Sheet!F216</f>
        <v>ANAYA RODRIGUEZ EMILIO</v>
      </c>
      <c r="I216" s="4" t="str">
        <f>Sheet!G216</f>
        <v>NUTRICION Y GASTRONOMIA</v>
      </c>
      <c r="J216" s="4" t="str">
        <f>Sheet!H216</f>
        <v>6to</v>
      </c>
      <c r="K216" s="4" t="str">
        <f>Sheet!I216</f>
        <v>Masculino</v>
      </c>
      <c r="L216" s="4" t="str">
        <f>Sheet!J216</f>
        <v>Activo</v>
      </c>
      <c r="M216" s="4" t="str">
        <f>Sheet!K216</f>
        <v xml:space="preserve">NUT 6°    </v>
      </c>
    </row>
    <row r="217" spans="1:13" x14ac:dyDescent="0.35">
      <c r="A217" t="s">
        <v>1</v>
      </c>
      <c r="B217" s="5" t="s">
        <v>184</v>
      </c>
      <c r="C217" s="4" t="s">
        <v>687</v>
      </c>
      <c r="D217" s="4" t="s">
        <v>940</v>
      </c>
      <c r="E217" t="s">
        <v>3028</v>
      </c>
      <c r="F217" t="str">
        <f>CONCATENATE("'",Sheet!E217)</f>
        <v>'112217</v>
      </c>
      <c r="G217" t="s">
        <v>1736</v>
      </c>
      <c r="H217" s="4" t="str">
        <f>Sheet!F217</f>
        <v>ESPARZA AMARAL EMILIO</v>
      </c>
      <c r="I217" s="4" t="str">
        <f>Sheet!G217</f>
        <v>INGENIERIA AEROESPACIAL</v>
      </c>
      <c r="J217" s="4" t="str">
        <f>Sheet!H217</f>
        <v>2do</v>
      </c>
      <c r="K217" s="4" t="str">
        <f>Sheet!I217</f>
        <v>Masculino</v>
      </c>
      <c r="L217" s="4" t="str">
        <f>Sheet!J217</f>
        <v>Activo</v>
      </c>
      <c r="M217" s="4" t="str">
        <f>Sheet!K217</f>
        <v xml:space="preserve">AERO 2°B  </v>
      </c>
    </row>
    <row r="218" spans="1:13" x14ac:dyDescent="0.35">
      <c r="A218" t="s">
        <v>1</v>
      </c>
      <c r="B218" s="5" t="s">
        <v>184</v>
      </c>
      <c r="C218" s="4" t="s">
        <v>688</v>
      </c>
      <c r="D218" s="4" t="s">
        <v>549</v>
      </c>
      <c r="E218" t="s">
        <v>3031</v>
      </c>
      <c r="F218" t="str">
        <f>CONCATENATE("'",Sheet!E218)</f>
        <v>'111676</v>
      </c>
      <c r="G218" t="s">
        <v>1736</v>
      </c>
      <c r="H218" s="4" t="str">
        <f>Sheet!F218</f>
        <v>TADEO ALVAREZ EMILIO</v>
      </c>
      <c r="I218" s="4" t="str">
        <f>Sheet!G218</f>
        <v>INGENIERÍA AUTOMOTRIZ</v>
      </c>
      <c r="J218" s="4" t="str">
        <f>Sheet!H218</f>
        <v>4to</v>
      </c>
      <c r="K218" s="4" t="str">
        <f>Sheet!I218</f>
        <v>Masculino</v>
      </c>
      <c r="L218" s="4" t="str">
        <f>Sheet!J218</f>
        <v>Activo</v>
      </c>
      <c r="M218" s="4" t="str">
        <f>Sheet!K218</f>
        <v xml:space="preserve">AUTO 4°   </v>
      </c>
    </row>
    <row r="219" spans="1:13" x14ac:dyDescent="0.35">
      <c r="A219" t="s">
        <v>1</v>
      </c>
      <c r="B219" s="5" t="s">
        <v>185</v>
      </c>
      <c r="C219" s="4" t="s">
        <v>689</v>
      </c>
      <c r="D219" s="4" t="s">
        <v>687</v>
      </c>
      <c r="E219" t="s">
        <v>3034</v>
      </c>
      <c r="F219" t="str">
        <f>CONCATENATE("'",Sheet!E219)</f>
        <v>'111070</v>
      </c>
      <c r="G219" t="s">
        <v>1736</v>
      </c>
      <c r="H219" s="4" t="str">
        <f>Sheet!F219</f>
        <v>LOZANO ESPARZA EMMANUEL</v>
      </c>
      <c r="I219" s="4" t="str">
        <f>Sheet!G219</f>
        <v>INGENIERIA AEROESPACIAL</v>
      </c>
      <c r="J219" s="4" t="str">
        <f>Sheet!H219</f>
        <v>6to</v>
      </c>
      <c r="K219" s="4" t="str">
        <f>Sheet!I219</f>
        <v>Masculino</v>
      </c>
      <c r="L219" s="4" t="str">
        <f>Sheet!J219</f>
        <v>Activo</v>
      </c>
      <c r="M219" s="4" t="str">
        <f>Sheet!K219</f>
        <v xml:space="preserve">AERO 6°   </v>
      </c>
    </row>
    <row r="220" spans="1:13" x14ac:dyDescent="0.35">
      <c r="A220" t="s">
        <v>1</v>
      </c>
      <c r="B220" s="5" t="s">
        <v>186</v>
      </c>
      <c r="C220" s="4" t="s">
        <v>690</v>
      </c>
      <c r="D220" s="4" t="s">
        <v>589</v>
      </c>
      <c r="E220" t="s">
        <v>3037</v>
      </c>
      <c r="F220" t="str">
        <f>CONCATENATE("'",Sheet!E220)</f>
        <v>'111607</v>
      </c>
      <c r="G220" t="s">
        <v>1736</v>
      </c>
      <c r="H220" s="4" t="str">
        <f>Sheet!F220</f>
        <v>CASTRO GARCIA EMMANUEL SEBASTIAN</v>
      </c>
      <c r="I220" s="4" t="str">
        <f>Sheet!G220</f>
        <v>ADMINISTRACION Y DIRECCION DE NEGOCIOS</v>
      </c>
      <c r="J220" s="4" t="str">
        <f>Sheet!H220</f>
        <v>4to</v>
      </c>
      <c r="K220" s="4" t="str">
        <f>Sheet!I220</f>
        <v>Masculino</v>
      </c>
      <c r="L220" s="4" t="str">
        <f>Sheet!J220</f>
        <v>Activo</v>
      </c>
      <c r="M220" s="4" t="str">
        <f>Sheet!K220</f>
        <v xml:space="preserve">ADMON 4°  </v>
      </c>
    </row>
    <row r="221" spans="1:13" x14ac:dyDescent="0.35">
      <c r="A221" t="s">
        <v>1</v>
      </c>
      <c r="B221" s="5" t="s">
        <v>187</v>
      </c>
      <c r="C221" s="4" t="s">
        <v>567</v>
      </c>
      <c r="D221" s="4" t="s">
        <v>607</v>
      </c>
      <c r="E221" t="s">
        <v>3039</v>
      </c>
      <c r="F221" t="str">
        <f>CONCATENATE("'",Sheet!E221)</f>
        <v>'109984</v>
      </c>
      <c r="G221" t="s">
        <v>1736</v>
      </c>
      <c r="H221" s="4" t="str">
        <f>Sheet!F221</f>
        <v>JUAREZ CASTAÑEDA ENRIQUE</v>
      </c>
      <c r="I221" s="4" t="str">
        <f>Sheet!G221</f>
        <v>INGENIERÍA AUTOMOTRIZ</v>
      </c>
      <c r="J221" s="4" t="str">
        <f>Sheet!H221</f>
        <v>6to</v>
      </c>
      <c r="K221" s="4" t="str">
        <f>Sheet!I221</f>
        <v>Masculino</v>
      </c>
      <c r="L221" s="4" t="str">
        <f>Sheet!J221</f>
        <v>Activo</v>
      </c>
      <c r="M221" s="4" t="str">
        <f>Sheet!K221</f>
        <v xml:space="preserve">AUTO 6°   </v>
      </c>
    </row>
    <row r="222" spans="1:13" x14ac:dyDescent="0.35">
      <c r="A222" t="s">
        <v>1</v>
      </c>
      <c r="B222" s="5" t="s">
        <v>188</v>
      </c>
      <c r="C222" s="4" t="s">
        <v>582</v>
      </c>
      <c r="D222" s="4" t="s">
        <v>941</v>
      </c>
      <c r="E222" t="s">
        <v>3042</v>
      </c>
      <c r="F222" t="str">
        <f>CONCATENATE("'",Sheet!E222)</f>
        <v>'111740</v>
      </c>
      <c r="G222" t="s">
        <v>1736</v>
      </c>
      <c r="H222" s="4" t="str">
        <f>Sheet!F222</f>
        <v>CABRERA LIZARRAGA ENRIQUE JESUS</v>
      </c>
      <c r="I222" s="4" t="str">
        <f>Sheet!G222</f>
        <v>INGENIERIA AEROESPACIAL</v>
      </c>
      <c r="J222" s="4" t="str">
        <f>Sheet!H222</f>
        <v>4to</v>
      </c>
      <c r="K222" s="4" t="str">
        <f>Sheet!I222</f>
        <v>Masculino</v>
      </c>
      <c r="L222" s="4" t="str">
        <f>Sheet!J222</f>
        <v>Activo</v>
      </c>
      <c r="M222" s="4" t="str">
        <f>Sheet!K222</f>
        <v xml:space="preserve">AERO 4°B  </v>
      </c>
    </row>
    <row r="223" spans="1:13" x14ac:dyDescent="0.35">
      <c r="A223" t="s">
        <v>1</v>
      </c>
      <c r="B223" s="5" t="s">
        <v>189</v>
      </c>
      <c r="C223" s="4" t="s">
        <v>691</v>
      </c>
      <c r="D223" s="4" t="s">
        <v>942</v>
      </c>
      <c r="E223" t="s">
        <v>3045</v>
      </c>
      <c r="F223" t="str">
        <f>CONCATENATE("'",Sheet!E223)</f>
        <v>'111115</v>
      </c>
      <c r="G223" t="s">
        <v>1736</v>
      </c>
      <c r="H223" s="4" t="str">
        <f>Sheet!F223</f>
        <v>TOLEDO SEGOVIA ENRIQUE RENE</v>
      </c>
      <c r="I223" s="4" t="str">
        <f>Sheet!G223</f>
        <v>PSICOLOGIA</v>
      </c>
      <c r="J223" s="4" t="str">
        <f>Sheet!H223</f>
        <v>6to</v>
      </c>
      <c r="K223" s="4" t="str">
        <f>Sheet!I223</f>
        <v>Masculino</v>
      </c>
      <c r="L223" s="4" t="str">
        <f>Sheet!J223</f>
        <v>Activo</v>
      </c>
      <c r="M223" s="4" t="str">
        <f>Sheet!K223</f>
        <v xml:space="preserve">PSI 6°    </v>
      </c>
    </row>
    <row r="224" spans="1:13" x14ac:dyDescent="0.35">
      <c r="A224" t="s">
        <v>1</v>
      </c>
      <c r="B224" s="5" t="s">
        <v>190</v>
      </c>
      <c r="C224" s="4" t="s">
        <v>692</v>
      </c>
      <c r="D224" s="4" t="s">
        <v>943</v>
      </c>
      <c r="E224" t="s">
        <v>3048</v>
      </c>
      <c r="F224" t="str">
        <f>CONCATENATE("'",Sheet!E224)</f>
        <v>'111624</v>
      </c>
      <c r="G224" t="s">
        <v>1736</v>
      </c>
      <c r="H224" s="4" t="str">
        <f>Sheet!F224</f>
        <v>ISIDORO QUIÑONES ERICK GERMAIN</v>
      </c>
      <c r="I224" s="4" t="str">
        <f>Sheet!G224</f>
        <v>INGENIERÍA AUTOMOTRIZ</v>
      </c>
      <c r="J224" s="4" t="str">
        <f>Sheet!H224</f>
        <v>4to</v>
      </c>
      <c r="K224" s="4" t="str">
        <f>Sheet!I224</f>
        <v>Masculino</v>
      </c>
      <c r="L224" s="4" t="str">
        <f>Sheet!J224</f>
        <v>Activo</v>
      </c>
      <c r="M224" s="4" t="str">
        <f>Sheet!K224</f>
        <v xml:space="preserve">AUTO 4°   </v>
      </c>
    </row>
    <row r="225" spans="1:13" x14ac:dyDescent="0.35">
      <c r="A225" t="s">
        <v>1</v>
      </c>
      <c r="B225" s="5" t="s">
        <v>191</v>
      </c>
      <c r="C225" s="4" t="s">
        <v>693</v>
      </c>
      <c r="D225" s="4" t="s">
        <v>629</v>
      </c>
      <c r="E225" t="s">
        <v>4192</v>
      </c>
      <c r="F225" t="str">
        <f>CONCATENATE("'",Sheet!E225)</f>
        <v>'110555</v>
      </c>
      <c r="G225" t="s">
        <v>1736</v>
      </c>
      <c r="H225" s="4" t="str">
        <f>Sheet!F225</f>
        <v>SANTAMARIA RAMIREZ ERIK ALEJANDRO</v>
      </c>
      <c r="I225" s="4" t="str">
        <f>Sheet!G225</f>
        <v>INGENIERIA AEROESPACIAL</v>
      </c>
      <c r="J225" s="4" t="str">
        <f>Sheet!H225</f>
        <v>6to</v>
      </c>
      <c r="K225" s="4" t="str">
        <f>Sheet!I225</f>
        <v>Masculino</v>
      </c>
      <c r="L225" s="4" t="str">
        <f>Sheet!J225</f>
        <v>Activo</v>
      </c>
      <c r="M225" s="4" t="str">
        <f>Sheet!K225</f>
        <v xml:space="preserve">AERO 6°   </v>
      </c>
    </row>
    <row r="226" spans="1:13" x14ac:dyDescent="0.35">
      <c r="A226" t="s">
        <v>1</v>
      </c>
      <c r="B226" s="5" t="s">
        <v>192</v>
      </c>
      <c r="C226" s="4" t="s">
        <v>652</v>
      </c>
      <c r="D226" s="4" t="s">
        <v>539</v>
      </c>
      <c r="E226" t="s">
        <v>4197</v>
      </c>
      <c r="F226" t="str">
        <f>CONCATENATE("'",Sheet!E226)</f>
        <v>'110550</v>
      </c>
      <c r="G226" t="s">
        <v>1736</v>
      </c>
      <c r="H226" s="4" t="str">
        <f>Sheet!F226</f>
        <v>ROJAS RODRIGUEZ ERNESTO</v>
      </c>
      <c r="I226" s="4" t="str">
        <f>Sheet!G226</f>
        <v>INGENIERIA AEROESPACIAL</v>
      </c>
      <c r="J226" s="4" t="str">
        <f>Sheet!H226</f>
        <v>8vo</v>
      </c>
      <c r="K226" s="4" t="str">
        <f>Sheet!I226</f>
        <v>Masculino</v>
      </c>
      <c r="L226" s="4" t="str">
        <f>Sheet!J226</f>
        <v>Activo</v>
      </c>
      <c r="M226" s="4" t="str">
        <f>Sheet!K226</f>
        <v xml:space="preserve">AERO 8°   </v>
      </c>
    </row>
    <row r="227" spans="1:13" x14ac:dyDescent="0.35">
      <c r="A227" t="s">
        <v>1</v>
      </c>
      <c r="B227" s="5" t="s">
        <v>193</v>
      </c>
      <c r="C227" s="4" t="s">
        <v>694</v>
      </c>
      <c r="D227" s="4" t="s">
        <v>944</v>
      </c>
      <c r="E227" t="s">
        <v>3051</v>
      </c>
      <c r="F227" t="str">
        <f>CONCATENATE("'",Sheet!E227)</f>
        <v>'111804</v>
      </c>
      <c r="G227" t="s">
        <v>1736</v>
      </c>
      <c r="H227" s="4" t="str">
        <f>Sheet!F227</f>
        <v>CADENA BOBADILLA ESMERALDA</v>
      </c>
      <c r="I227" s="4" t="str">
        <f>Sheet!G227</f>
        <v>NUTRICION Y GASTRONOMIA</v>
      </c>
      <c r="J227" s="4" t="str">
        <f>Sheet!H227</f>
        <v>4to</v>
      </c>
      <c r="K227" s="4" t="str">
        <f>Sheet!I227</f>
        <v>Femenino</v>
      </c>
      <c r="L227" s="4" t="str">
        <f>Sheet!J227</f>
        <v>Activo</v>
      </c>
      <c r="M227" s="4" t="str">
        <f>Sheet!K227</f>
        <v xml:space="preserve">NUT 4°    </v>
      </c>
    </row>
    <row r="228" spans="1:13" x14ac:dyDescent="0.35">
      <c r="A228" t="s">
        <v>1</v>
      </c>
      <c r="B228" s="5" t="s">
        <v>194</v>
      </c>
      <c r="C228" s="4" t="s">
        <v>679</v>
      </c>
      <c r="D228" s="4" t="s">
        <v>945</v>
      </c>
      <c r="E228" t="s">
        <v>3054</v>
      </c>
      <c r="F228" t="str">
        <f>CONCATENATE("'",Sheet!E228)</f>
        <v>'111035</v>
      </c>
      <c r="G228" t="s">
        <v>1736</v>
      </c>
      <c r="H228" s="4" t="str">
        <f>Sheet!F228</f>
        <v>GOMEZ GAONA ESMERALDA GABRIELA</v>
      </c>
      <c r="I228" s="4" t="str">
        <f>Sheet!G228</f>
        <v>PSICOLOGIA</v>
      </c>
      <c r="J228" s="4" t="str">
        <f>Sheet!H228</f>
        <v>6to</v>
      </c>
      <c r="K228" s="4" t="str">
        <f>Sheet!I228</f>
        <v>Femenino</v>
      </c>
      <c r="L228" s="4" t="str">
        <f>Sheet!J228</f>
        <v>Activo</v>
      </c>
      <c r="M228" s="4" t="str">
        <f>Sheet!K228</f>
        <v xml:space="preserve">PSI 6°    </v>
      </c>
    </row>
    <row r="229" spans="1:13" x14ac:dyDescent="0.35">
      <c r="A229" t="s">
        <v>1</v>
      </c>
      <c r="B229" s="5" t="s">
        <v>195</v>
      </c>
      <c r="C229" s="4" t="s">
        <v>619</v>
      </c>
      <c r="D229" s="4" t="s">
        <v>946</v>
      </c>
      <c r="E229" t="s">
        <v>3057</v>
      </c>
      <c r="F229" t="str">
        <f>CONCATENATE("'",Sheet!E229)</f>
        <v>'111724</v>
      </c>
      <c r="G229" t="s">
        <v>1736</v>
      </c>
      <c r="H229" s="4" t="str">
        <f>Sheet!F229</f>
        <v>PADILLA PERAZA ESTEBAN ENRIQUE</v>
      </c>
      <c r="I229" s="4" t="str">
        <f>Sheet!G229</f>
        <v>INGENIERÍA AUTOMOTRIZ</v>
      </c>
      <c r="J229" s="4" t="str">
        <f>Sheet!H229</f>
        <v>4to</v>
      </c>
      <c r="K229" s="4" t="str">
        <f>Sheet!I229</f>
        <v>Masculino</v>
      </c>
      <c r="L229" s="4" t="str">
        <f>Sheet!J229</f>
        <v>Activo</v>
      </c>
      <c r="M229" s="4" t="str">
        <f>Sheet!K229</f>
        <v xml:space="preserve">AUTO 4°   </v>
      </c>
    </row>
    <row r="230" spans="1:13" x14ac:dyDescent="0.35">
      <c r="A230" t="s">
        <v>1</v>
      </c>
      <c r="B230" s="5" t="s">
        <v>196</v>
      </c>
      <c r="C230" s="4" t="s">
        <v>577</v>
      </c>
      <c r="D230" s="4" t="s">
        <v>947</v>
      </c>
      <c r="E230" t="s">
        <v>3060</v>
      </c>
      <c r="F230" t="str">
        <f>CONCATENATE("'",Sheet!E230)</f>
        <v>'110763</v>
      </c>
      <c r="G230" t="s">
        <v>1736</v>
      </c>
      <c r="H230" s="4" t="str">
        <f>Sheet!F230</f>
        <v>OROZCO RIVAS ESTEFANI NICOLE</v>
      </c>
      <c r="I230" s="4" t="str">
        <f>Sheet!G230</f>
        <v>DERECHO</v>
      </c>
      <c r="J230" s="4" t="str">
        <f>Sheet!H230</f>
        <v>8vo</v>
      </c>
      <c r="K230" s="4" t="str">
        <f>Sheet!I230</f>
        <v>Femenino</v>
      </c>
      <c r="L230" s="4" t="str">
        <f>Sheet!J230</f>
        <v>Activo</v>
      </c>
      <c r="M230" s="4" t="str">
        <f>Sheet!K230</f>
        <v xml:space="preserve">DER 8°    </v>
      </c>
    </row>
    <row r="231" spans="1:13" x14ac:dyDescent="0.35">
      <c r="A231" t="s">
        <v>1</v>
      </c>
      <c r="B231" s="5" t="s">
        <v>197</v>
      </c>
      <c r="C231" s="4" t="s">
        <v>695</v>
      </c>
      <c r="D231" s="4" t="s">
        <v>627</v>
      </c>
      <c r="E231" t="s">
        <v>3063</v>
      </c>
      <c r="F231" t="str">
        <f>CONCATENATE("'",Sheet!E231)</f>
        <v>'111605</v>
      </c>
      <c r="G231" t="s">
        <v>1736</v>
      </c>
      <c r="H231" s="4" t="str">
        <f>Sheet!F231</f>
        <v>COLDIVAR FLORES ESTEPHANY</v>
      </c>
      <c r="I231" s="4" t="str">
        <f>Sheet!G231</f>
        <v>ANIMACION DIGITAL Y VIDEOJUEGOS</v>
      </c>
      <c r="J231" s="4" t="str">
        <f>Sheet!H231</f>
        <v>4to</v>
      </c>
      <c r="K231" s="4" t="str">
        <f>Sheet!I231</f>
        <v>Femenino</v>
      </c>
      <c r="L231" s="4" t="str">
        <f>Sheet!J231</f>
        <v>Activo</v>
      </c>
      <c r="M231" s="4" t="str">
        <f>Sheet!K231</f>
        <v xml:space="preserve">ANIM 4°   </v>
      </c>
    </row>
    <row r="232" spans="1:13" x14ac:dyDescent="0.35">
      <c r="A232" t="s">
        <v>1</v>
      </c>
      <c r="B232" s="5" t="s">
        <v>198</v>
      </c>
      <c r="C232" s="4" t="s">
        <v>564</v>
      </c>
      <c r="D232" s="4" t="s">
        <v>671</v>
      </c>
      <c r="E232" t="s">
        <v>3066</v>
      </c>
      <c r="F232" t="str">
        <f>CONCATENATE("'",Sheet!E232)</f>
        <v>'110553</v>
      </c>
      <c r="G232" t="s">
        <v>1736</v>
      </c>
      <c r="H232" s="4" t="str">
        <f>Sheet!F232</f>
        <v>GUZMAN VILLASEÑOR EVA REGINA</v>
      </c>
      <c r="I232" s="4" t="str">
        <f>Sheet!G232</f>
        <v>NUTRICION Y GASTRONOMIA</v>
      </c>
      <c r="J232" s="4" t="str">
        <f>Sheet!H232</f>
        <v>8vo</v>
      </c>
      <c r="K232" s="4" t="str">
        <f>Sheet!I232</f>
        <v>Femenino</v>
      </c>
      <c r="L232" s="4" t="str">
        <f>Sheet!J232</f>
        <v>Activo</v>
      </c>
      <c r="M232" s="4" t="str">
        <f>Sheet!K232</f>
        <v xml:space="preserve">NUT 8°    </v>
      </c>
    </row>
    <row r="233" spans="1:13" x14ac:dyDescent="0.35">
      <c r="A233" t="s">
        <v>1</v>
      </c>
      <c r="B233" s="5" t="s">
        <v>199</v>
      </c>
      <c r="C233" s="4" t="s">
        <v>696</v>
      </c>
      <c r="D233" s="4" t="s">
        <v>648</v>
      </c>
      <c r="E233" t="s">
        <v>3069</v>
      </c>
      <c r="F233" t="str">
        <f>CONCATENATE("'",Sheet!E233)</f>
        <v>'111626</v>
      </c>
      <c r="G233" t="s">
        <v>1736</v>
      </c>
      <c r="H233" s="4" t="str">
        <f>Sheet!F233</f>
        <v>AMEZCUA CASTELLANOS FABIAN</v>
      </c>
      <c r="I233" s="4" t="str">
        <f>Sheet!G233</f>
        <v>INGENIERÍA AUTOMOTRIZ</v>
      </c>
      <c r="J233" s="4" t="str">
        <f>Sheet!H233</f>
        <v>4to</v>
      </c>
      <c r="K233" s="4" t="str">
        <f>Sheet!I233</f>
        <v>Masculino</v>
      </c>
      <c r="L233" s="4" t="str">
        <f>Sheet!J233</f>
        <v>Activo</v>
      </c>
      <c r="M233" s="4" t="str">
        <f>Sheet!K233</f>
        <v xml:space="preserve">AUTO 4°   </v>
      </c>
    </row>
    <row r="234" spans="1:13" x14ac:dyDescent="0.35">
      <c r="A234" t="s">
        <v>1</v>
      </c>
      <c r="B234" s="5" t="s">
        <v>200</v>
      </c>
      <c r="C234" s="4" t="s">
        <v>627</v>
      </c>
      <c r="D234" s="4" t="s">
        <v>535</v>
      </c>
      <c r="E234" t="s">
        <v>3072</v>
      </c>
      <c r="F234" t="str">
        <f>CONCATENATE("'",Sheet!E234)</f>
        <v>'111761</v>
      </c>
      <c r="G234" t="s">
        <v>1736</v>
      </c>
      <c r="H234" s="4" t="str">
        <f>Sheet!F234</f>
        <v>FLORES TAPIA FARAH ISABELLA</v>
      </c>
      <c r="I234" s="4" t="str">
        <f>Sheet!G234</f>
        <v>PSICOLOGIA</v>
      </c>
      <c r="J234" s="4" t="str">
        <f>Sheet!H234</f>
        <v>4to</v>
      </c>
      <c r="K234" s="4" t="str">
        <f>Sheet!I234</f>
        <v>Femenino</v>
      </c>
      <c r="L234" s="4" t="str">
        <f>Sheet!J234</f>
        <v>Activo</v>
      </c>
      <c r="M234" s="4" t="str">
        <f>Sheet!K234</f>
        <v xml:space="preserve">PSI 4°    </v>
      </c>
    </row>
    <row r="235" spans="1:13" x14ac:dyDescent="0.35">
      <c r="A235" t="s">
        <v>1</v>
      </c>
      <c r="B235" s="5" t="s">
        <v>201</v>
      </c>
      <c r="C235" s="4" t="s">
        <v>697</v>
      </c>
      <c r="D235" s="4" t="s">
        <v>948</v>
      </c>
      <c r="E235" t="s">
        <v>3075</v>
      </c>
      <c r="F235" t="str">
        <f>CONCATENATE("'",Sheet!E235)</f>
        <v>'111163</v>
      </c>
      <c r="G235" t="s">
        <v>1736</v>
      </c>
      <c r="H235" s="4" t="str">
        <f>Sheet!F235</f>
        <v>ARCE ESPINO FATIMA DENNISE</v>
      </c>
      <c r="I235" s="4" t="str">
        <f>Sheet!G235</f>
        <v>PSICOLOGIA</v>
      </c>
      <c r="J235" s="4" t="str">
        <f>Sheet!H235</f>
        <v>6to</v>
      </c>
      <c r="K235" s="4" t="str">
        <f>Sheet!I235</f>
        <v>Femenino</v>
      </c>
      <c r="L235" s="4" t="str">
        <f>Sheet!J235</f>
        <v>Activo</v>
      </c>
      <c r="M235" s="4" t="str">
        <f>Sheet!K235</f>
        <v xml:space="preserve">PSI 6°    </v>
      </c>
    </row>
    <row r="236" spans="1:13" x14ac:dyDescent="0.35">
      <c r="A236" t="s">
        <v>1</v>
      </c>
      <c r="B236" s="5" t="s">
        <v>202</v>
      </c>
      <c r="C236" s="4" t="s">
        <v>698</v>
      </c>
      <c r="D236" s="4" t="s">
        <v>949</v>
      </c>
      <c r="E236" t="s">
        <v>3078</v>
      </c>
      <c r="F236" t="str">
        <f>CONCATENATE("'",Sheet!E236)</f>
        <v>'110472</v>
      </c>
      <c r="G236" t="s">
        <v>1736</v>
      </c>
      <c r="H236" s="4" t="str">
        <f>Sheet!F236</f>
        <v>ZAMORA MICHEL FATIMA JULIANA</v>
      </c>
      <c r="I236" s="4" t="str">
        <f>Sheet!G236</f>
        <v>INGENIERIA CIBERNETICA Y EN SISTEMAS COMPUTACIONALES</v>
      </c>
      <c r="J236" s="4" t="str">
        <f>Sheet!H236</f>
        <v>8vo</v>
      </c>
      <c r="K236" s="4" t="str">
        <f>Sheet!I236</f>
        <v>Femenino</v>
      </c>
      <c r="L236" s="4" t="str">
        <f>Sheet!J236</f>
        <v>Activo</v>
      </c>
      <c r="M236" s="4" t="str">
        <f>Sheet!K236</f>
        <v xml:space="preserve">CIB 8°    </v>
      </c>
    </row>
    <row r="237" spans="1:13" x14ac:dyDescent="0.35">
      <c r="A237" t="s">
        <v>1</v>
      </c>
      <c r="B237" s="5" t="s">
        <v>203</v>
      </c>
      <c r="C237" s="4" t="s">
        <v>699</v>
      </c>
      <c r="D237" s="4" t="s">
        <v>591</v>
      </c>
      <c r="E237" t="s">
        <v>3081</v>
      </c>
      <c r="F237" t="str">
        <f>CONCATENATE("'",Sheet!E237)</f>
        <v>'112262</v>
      </c>
      <c r="G237" t="s">
        <v>1736</v>
      </c>
      <c r="H237" s="4" t="str">
        <f>Sheet!F237</f>
        <v>REVELES GUTIERREZ FATIMA MARISOL</v>
      </c>
      <c r="I237" s="4" t="str">
        <f>Sheet!G237</f>
        <v>ARQUITECTURA</v>
      </c>
      <c r="J237" s="4" t="str">
        <f>Sheet!H237</f>
        <v>2do</v>
      </c>
      <c r="K237" s="4" t="str">
        <f>Sheet!I237</f>
        <v>Femenino</v>
      </c>
      <c r="L237" s="4" t="str">
        <f>Sheet!J237</f>
        <v>Activo</v>
      </c>
      <c r="M237" s="4" t="str">
        <f>Sheet!K237</f>
        <v xml:space="preserve">ARQ 2°    </v>
      </c>
    </row>
    <row r="238" spans="1:13" x14ac:dyDescent="0.35">
      <c r="A238" t="s">
        <v>1</v>
      </c>
      <c r="B238" s="5" t="s">
        <v>204</v>
      </c>
      <c r="C238" s="4" t="s">
        <v>669</v>
      </c>
      <c r="D238" s="4" t="s">
        <v>621</v>
      </c>
      <c r="E238" t="s">
        <v>3083</v>
      </c>
      <c r="F238" t="str">
        <f>CONCATENATE("'",Sheet!E238)</f>
        <v>'110536</v>
      </c>
      <c r="G238" t="s">
        <v>1736</v>
      </c>
      <c r="H238" s="4" t="str">
        <f>Sheet!F238</f>
        <v>ZEPEDA LOPEZ FERNAN</v>
      </c>
      <c r="I238" s="4" t="str">
        <f>Sheet!G238</f>
        <v>ANIMACION DIGITAL Y VIDEOJUEGOS</v>
      </c>
      <c r="J238" s="4" t="str">
        <f>Sheet!H238</f>
        <v>8vo</v>
      </c>
      <c r="K238" s="4" t="str">
        <f>Sheet!I238</f>
        <v>Masculino</v>
      </c>
      <c r="L238" s="4" t="str">
        <f>Sheet!J238</f>
        <v>Activo</v>
      </c>
      <c r="M238" s="4" t="str">
        <f>Sheet!K238</f>
        <v xml:space="preserve">ANIM 8°   </v>
      </c>
    </row>
    <row r="239" spans="1:13" x14ac:dyDescent="0.35">
      <c r="A239" t="s">
        <v>1</v>
      </c>
      <c r="B239" s="5" t="s">
        <v>205</v>
      </c>
      <c r="C239" s="4" t="s">
        <v>634</v>
      </c>
      <c r="D239" s="4" t="s">
        <v>589</v>
      </c>
      <c r="E239" t="s">
        <v>3086</v>
      </c>
      <c r="F239" t="str">
        <f>CONCATENATE("'",Sheet!E239)</f>
        <v>'111806</v>
      </c>
      <c r="G239" t="s">
        <v>1736</v>
      </c>
      <c r="H239" s="4" t="str">
        <f>Sheet!F239</f>
        <v>ROMERO GARCIA FERNANDA ARACELI</v>
      </c>
      <c r="I239" s="4" t="str">
        <f>Sheet!G239</f>
        <v>ARQUITECTURA</v>
      </c>
      <c r="J239" s="4" t="str">
        <f>Sheet!H239</f>
        <v>4to</v>
      </c>
      <c r="K239" s="4" t="str">
        <f>Sheet!I239</f>
        <v>Femenino</v>
      </c>
      <c r="L239" s="4" t="str">
        <f>Sheet!J239</f>
        <v>Activo</v>
      </c>
      <c r="M239" s="4" t="str">
        <f>Sheet!K239</f>
        <v xml:space="preserve">ARQ 4°    </v>
      </c>
    </row>
    <row r="240" spans="1:13" x14ac:dyDescent="0.35">
      <c r="A240" t="s">
        <v>1</v>
      </c>
      <c r="B240" s="5" t="s">
        <v>206</v>
      </c>
      <c r="C240" s="4" t="s">
        <v>550</v>
      </c>
      <c r="D240" s="4" t="s">
        <v>949</v>
      </c>
      <c r="E240" t="s">
        <v>3089</v>
      </c>
      <c r="F240" t="str">
        <f>CONCATENATE("'",Sheet!E240)</f>
        <v>'111655</v>
      </c>
      <c r="G240" t="s">
        <v>1736</v>
      </c>
      <c r="H240" s="4" t="str">
        <f>Sheet!F240</f>
        <v>BARAJAS MICHEL FERNANDA DANAE</v>
      </c>
      <c r="I240" s="4" t="str">
        <f>Sheet!G240</f>
        <v>NUTRICION Y GASTRONOMIA</v>
      </c>
      <c r="J240" s="4" t="str">
        <f>Sheet!H240</f>
        <v>4to</v>
      </c>
      <c r="K240" s="4" t="str">
        <f>Sheet!I240</f>
        <v>Masculino</v>
      </c>
      <c r="L240" s="4" t="str">
        <f>Sheet!J240</f>
        <v>Activo</v>
      </c>
      <c r="M240" s="4" t="str">
        <f>Sheet!K240</f>
        <v xml:space="preserve">NUT 4°    </v>
      </c>
    </row>
    <row r="241" spans="1:13" x14ac:dyDescent="0.35">
      <c r="A241" t="s">
        <v>1</v>
      </c>
      <c r="B241" s="5" t="s">
        <v>207</v>
      </c>
      <c r="C241" s="4" t="s">
        <v>591</v>
      </c>
      <c r="D241" s="4" t="s">
        <v>857</v>
      </c>
      <c r="E241" t="s">
        <v>3092</v>
      </c>
      <c r="F241" t="str">
        <f>CONCATENATE("'",Sheet!E241)</f>
        <v>'112269</v>
      </c>
      <c r="G241" t="s">
        <v>1736</v>
      </c>
      <c r="H241" s="4" t="str">
        <f>Sheet!F241</f>
        <v>GUTIERREZ VELASCO FERNANDO</v>
      </c>
      <c r="I241" s="4" t="str">
        <f>Sheet!G241</f>
        <v>ANIMACION DIGITAL Y VIDEOJUEGOS</v>
      </c>
      <c r="J241" s="4" t="str">
        <f>Sheet!H241</f>
        <v>2do</v>
      </c>
      <c r="K241" s="4" t="str">
        <f>Sheet!I241</f>
        <v>Masculino</v>
      </c>
      <c r="L241" s="4" t="str">
        <f>Sheet!J241</f>
        <v>Activo</v>
      </c>
      <c r="M241" s="4" t="str">
        <f>Sheet!K241</f>
        <v xml:space="preserve">ANIM 2°   </v>
      </c>
    </row>
    <row r="242" spans="1:13" x14ac:dyDescent="0.35">
      <c r="A242" t="s">
        <v>1</v>
      </c>
      <c r="B242" s="5" t="s">
        <v>208</v>
      </c>
      <c r="C242" s="4" t="s">
        <v>604</v>
      </c>
      <c r="D242" s="4" t="s">
        <v>950</v>
      </c>
      <c r="E242" t="s">
        <v>3095</v>
      </c>
      <c r="F242" t="str">
        <f>CONCATENATE("'",Sheet!E242)</f>
        <v>'110485</v>
      </c>
      <c r="G242" t="s">
        <v>1736</v>
      </c>
      <c r="H242" s="4" t="str">
        <f>Sheet!F242</f>
        <v>ALVARADO AÑORVE FLOR MONSERRAT</v>
      </c>
      <c r="I242" s="4" t="str">
        <f>Sheet!G242</f>
        <v>INGENIERIA AEROESPACIAL</v>
      </c>
      <c r="J242" s="4" t="str">
        <f>Sheet!H242</f>
        <v>8vo</v>
      </c>
      <c r="K242" s="4" t="str">
        <f>Sheet!I242</f>
        <v>Femenino</v>
      </c>
      <c r="L242" s="4" t="str">
        <f>Sheet!J242</f>
        <v>Activo</v>
      </c>
      <c r="M242" s="4" t="str">
        <f>Sheet!K242</f>
        <v xml:space="preserve">AERO 8°   </v>
      </c>
    </row>
    <row r="243" spans="1:13" x14ac:dyDescent="0.35">
      <c r="A243" t="s">
        <v>1</v>
      </c>
      <c r="B243" s="5" t="s">
        <v>209</v>
      </c>
      <c r="C243" s="4" t="s">
        <v>660</v>
      </c>
      <c r="D243" s="4" t="s">
        <v>715</v>
      </c>
      <c r="E243" t="s">
        <v>3098</v>
      </c>
      <c r="F243" t="str">
        <f>CONCATENATE("'",Sheet!E243)</f>
        <v>'112240</v>
      </c>
      <c r="G243" t="s">
        <v>1736</v>
      </c>
      <c r="H243" s="4" t="str">
        <f>Sheet!F243</f>
        <v>ORTIZ BARRAGAN FRANCO</v>
      </c>
      <c r="I243" s="4" t="str">
        <f>Sheet!G243</f>
        <v>INGENIERIA AEROESPACIAL</v>
      </c>
      <c r="J243" s="4" t="str">
        <f>Sheet!H243</f>
        <v>2do</v>
      </c>
      <c r="K243" s="4" t="str">
        <f>Sheet!I243</f>
        <v>Masculino</v>
      </c>
      <c r="L243" s="4" t="str">
        <f>Sheet!J243</f>
        <v>Activo</v>
      </c>
      <c r="M243" s="4" t="str">
        <f>Sheet!K243</f>
        <v xml:space="preserve">AERO 2°A  </v>
      </c>
    </row>
    <row r="244" spans="1:13" x14ac:dyDescent="0.35">
      <c r="A244" t="s">
        <v>1</v>
      </c>
      <c r="B244" s="5" t="s">
        <v>210</v>
      </c>
      <c r="C244" s="4" t="s">
        <v>634</v>
      </c>
      <c r="D244" s="4" t="s">
        <v>951</v>
      </c>
      <c r="E244" t="s">
        <v>3101</v>
      </c>
      <c r="F244" t="str">
        <f>CONCATENATE("'",Sheet!E244)</f>
        <v>'112202</v>
      </c>
      <c r="G244" t="s">
        <v>1736</v>
      </c>
      <c r="H244" s="4" t="str">
        <f>Sheet!F244</f>
        <v>ROMERO VALERIO FRANCO EDUARDO</v>
      </c>
      <c r="I244" s="4" t="str">
        <f>Sheet!G244</f>
        <v>INGENIERÍA AUTOMOTRIZ</v>
      </c>
      <c r="J244" s="4" t="str">
        <f>Sheet!H244</f>
        <v>2do</v>
      </c>
      <c r="K244" s="4" t="str">
        <f>Sheet!I244</f>
        <v>Masculino</v>
      </c>
      <c r="L244" s="4" t="str">
        <f>Sheet!J244</f>
        <v>Activo</v>
      </c>
      <c r="M244" s="4" t="str">
        <f>Sheet!K244</f>
        <v xml:space="preserve">AUTO 2° B </v>
      </c>
    </row>
    <row r="245" spans="1:13" x14ac:dyDescent="0.35">
      <c r="A245" t="s">
        <v>1</v>
      </c>
      <c r="B245" s="5" t="s">
        <v>211</v>
      </c>
      <c r="C245" s="4" t="s">
        <v>700</v>
      </c>
      <c r="D245" s="4" t="s">
        <v>653</v>
      </c>
      <c r="E245" t="s">
        <v>3104</v>
      </c>
      <c r="F245" t="str">
        <f>CONCATENATE("'",Sheet!E245)</f>
        <v>'111845</v>
      </c>
      <c r="G245" t="s">
        <v>1736</v>
      </c>
      <c r="H245" s="4" t="str">
        <f>Sheet!F245</f>
        <v>ALENCASTRO ROJO FRIDA SOPHIA</v>
      </c>
      <c r="I245" s="4" t="str">
        <f>Sheet!G245</f>
        <v>ADMINISTRACION Y DIRECCION DE NEGOCIOS</v>
      </c>
      <c r="J245" s="4" t="str">
        <f>Sheet!H245</f>
        <v>4to</v>
      </c>
      <c r="K245" s="4" t="str">
        <f>Sheet!I245</f>
        <v>Femenino</v>
      </c>
      <c r="L245" s="4" t="str">
        <f>Sheet!J245</f>
        <v>Activo</v>
      </c>
      <c r="M245" s="4" t="str">
        <f>Sheet!K245</f>
        <v xml:space="preserve">ADMON 4°  </v>
      </c>
    </row>
    <row r="246" spans="1:13" x14ac:dyDescent="0.35">
      <c r="A246" t="s">
        <v>1</v>
      </c>
      <c r="B246" s="5" t="s">
        <v>212</v>
      </c>
      <c r="C246" s="4" t="s">
        <v>701</v>
      </c>
      <c r="D246" s="4" t="s">
        <v>711</v>
      </c>
      <c r="E246" t="s">
        <v>3116</v>
      </c>
      <c r="F246" t="str">
        <f>CONCATENATE("'",Sheet!E246)</f>
        <v>'110456</v>
      </c>
      <c r="G246" t="s">
        <v>1736</v>
      </c>
      <c r="H246" s="4" t="str">
        <f>Sheet!F246</f>
        <v>COLOME CAMPOS GABRIEL EDUARDO</v>
      </c>
      <c r="I246" s="4" t="str">
        <f>Sheet!G246</f>
        <v>INGENIERIA AEROESPACIAL</v>
      </c>
      <c r="J246" s="4" t="str">
        <f>Sheet!H246</f>
        <v>8vo</v>
      </c>
      <c r="K246" s="4" t="str">
        <f>Sheet!I246</f>
        <v>Masculino</v>
      </c>
      <c r="L246" s="4" t="str">
        <f>Sheet!J246</f>
        <v>Activo</v>
      </c>
      <c r="M246" s="4" t="str">
        <f>Sheet!K246</f>
        <v xml:space="preserve">AERO 8°   </v>
      </c>
    </row>
    <row r="247" spans="1:13" x14ac:dyDescent="0.35">
      <c r="A247" t="s">
        <v>1</v>
      </c>
      <c r="B247" s="5" t="s">
        <v>213</v>
      </c>
      <c r="C247" s="4" t="s">
        <v>528</v>
      </c>
      <c r="D247" s="4" t="s">
        <v>679</v>
      </c>
      <c r="E247" t="s">
        <v>3119</v>
      </c>
      <c r="F247" t="str">
        <f>CONCATENATE("'",Sheet!E247)</f>
        <v>'112186</v>
      </c>
      <c r="G247" t="s">
        <v>1736</v>
      </c>
      <c r="H247" s="4" t="str">
        <f>Sheet!F247</f>
        <v>MENDOZA GOMEZ GABRIEL FRANCISCO</v>
      </c>
      <c r="I247" s="4" t="str">
        <f>Sheet!G247</f>
        <v>INGENIERIA AEROESPACIAL</v>
      </c>
      <c r="J247" s="4" t="str">
        <f>Sheet!H247</f>
        <v>2do</v>
      </c>
      <c r="K247" s="4" t="str">
        <f>Sheet!I247</f>
        <v>Masculino</v>
      </c>
      <c r="L247" s="4" t="str">
        <f>Sheet!J247</f>
        <v>Activo</v>
      </c>
      <c r="M247" s="4" t="str">
        <f>Sheet!K247</f>
        <v xml:space="preserve">AERO 2°A  </v>
      </c>
    </row>
    <row r="248" spans="1:13" x14ac:dyDescent="0.35">
      <c r="A248" t="s">
        <v>1</v>
      </c>
      <c r="B248" s="5" t="s">
        <v>214</v>
      </c>
      <c r="C248" s="4" t="s">
        <v>544</v>
      </c>
      <c r="D248" s="4" t="s">
        <v>589</v>
      </c>
      <c r="E248" t="s">
        <v>3122</v>
      </c>
      <c r="F248" t="str">
        <f>CONCATENATE("'",Sheet!E248)</f>
        <v>'112164</v>
      </c>
      <c r="G248" t="s">
        <v>1736</v>
      </c>
      <c r="H248" s="4" t="str">
        <f>Sheet!F248</f>
        <v>HERNANDEZ GARCIA GABRIEL OMAR</v>
      </c>
      <c r="I248" s="4" t="str">
        <f>Sheet!G248</f>
        <v>INGENIERÍA EN INTELIGENCIA ARTIFICIAL</v>
      </c>
      <c r="J248" s="4" t="str">
        <f>Sheet!H248</f>
        <v>2do</v>
      </c>
      <c r="K248" s="4" t="str">
        <f>Sheet!I248</f>
        <v>Masculino</v>
      </c>
      <c r="L248" s="4" t="str">
        <f>Sheet!J248</f>
        <v>Activo</v>
      </c>
      <c r="M248" s="4" t="str">
        <f>Sheet!K248</f>
        <v xml:space="preserve">IA 2°     </v>
      </c>
    </row>
    <row r="249" spans="1:13" x14ac:dyDescent="0.35">
      <c r="A249" t="s">
        <v>1</v>
      </c>
      <c r="B249" s="5" t="s">
        <v>215</v>
      </c>
      <c r="C249" s="4" t="s">
        <v>599</v>
      </c>
      <c r="D249" s="4" t="s">
        <v>952</v>
      </c>
      <c r="E249" t="s">
        <v>3107</v>
      </c>
      <c r="F249" t="str">
        <f>CONCATENATE("'",Sheet!E249)</f>
        <v>'110481</v>
      </c>
      <c r="G249" t="s">
        <v>1736</v>
      </c>
      <c r="H249" s="4" t="str">
        <f>Sheet!F249</f>
        <v>CARDENAS DE HARO GABRIELA</v>
      </c>
      <c r="I249" s="4" t="str">
        <f>Sheet!G249</f>
        <v>DERECHO</v>
      </c>
      <c r="J249" s="4" t="str">
        <f>Sheet!H249</f>
        <v>8vo</v>
      </c>
      <c r="K249" s="4" t="str">
        <f>Sheet!I249</f>
        <v>Femenino</v>
      </c>
      <c r="L249" s="4" t="str">
        <f>Sheet!J249</f>
        <v>Activo</v>
      </c>
      <c r="M249" s="4" t="str">
        <f>Sheet!K249</f>
        <v xml:space="preserve">DER 8°    </v>
      </c>
    </row>
    <row r="250" spans="1:13" x14ac:dyDescent="0.35">
      <c r="A250" t="s">
        <v>1</v>
      </c>
      <c r="B250" s="5" t="s">
        <v>216</v>
      </c>
      <c r="C250" s="4" t="s">
        <v>702</v>
      </c>
      <c r="D250" s="4" t="s">
        <v>868</v>
      </c>
      <c r="E250" t="s">
        <v>3110</v>
      </c>
      <c r="F250" t="str">
        <f>CONCATENATE("'",Sheet!E250)</f>
        <v>'111174</v>
      </c>
      <c r="G250" t="s">
        <v>1736</v>
      </c>
      <c r="H250" s="4" t="str">
        <f>Sheet!F250</f>
        <v>COVARRUBIAS LIMON GABRIELA MONSERRAT</v>
      </c>
      <c r="I250" s="4" t="str">
        <f>Sheet!G250</f>
        <v>ADMINISTRACION Y DIRECCION DE NEGOCIOS</v>
      </c>
      <c r="J250" s="4" t="str">
        <f>Sheet!H250</f>
        <v>6to</v>
      </c>
      <c r="K250" s="4" t="str">
        <f>Sheet!I250</f>
        <v>Femenino</v>
      </c>
      <c r="L250" s="4" t="str">
        <f>Sheet!J250</f>
        <v>Activo</v>
      </c>
      <c r="M250" s="4" t="str">
        <f>Sheet!K250</f>
        <v xml:space="preserve">ADMON 6°  </v>
      </c>
    </row>
    <row r="251" spans="1:13" x14ac:dyDescent="0.35">
      <c r="A251" t="s">
        <v>1</v>
      </c>
      <c r="B251" s="5" t="s">
        <v>216</v>
      </c>
      <c r="C251" s="4" t="s">
        <v>703</v>
      </c>
      <c r="D251" s="4" t="s">
        <v>792</v>
      </c>
      <c r="E251" t="s">
        <v>3113</v>
      </c>
      <c r="F251" t="str">
        <f>CONCATENATE("'",Sheet!E251)</f>
        <v>'110487</v>
      </c>
      <c r="G251" t="s">
        <v>1736</v>
      </c>
      <c r="H251" s="4" t="str">
        <f>Sheet!F251</f>
        <v>MADRIGAL NUÑO GABRIELA MONSERRAT</v>
      </c>
      <c r="I251" s="4" t="str">
        <f>Sheet!G251</f>
        <v>ARQUITECTURA</v>
      </c>
      <c r="J251" s="4" t="str">
        <f>Sheet!H251</f>
        <v>8vo</v>
      </c>
      <c r="K251" s="4" t="str">
        <f>Sheet!I251</f>
        <v>Femenino</v>
      </c>
      <c r="L251" s="4" t="str">
        <f>Sheet!J251</f>
        <v>Activo</v>
      </c>
      <c r="M251" s="4" t="str">
        <f>Sheet!K251</f>
        <v xml:space="preserve">ARQ 8°    </v>
      </c>
    </row>
    <row r="252" spans="1:13" x14ac:dyDescent="0.35">
      <c r="A252" t="s">
        <v>1</v>
      </c>
      <c r="B252" s="5" t="s">
        <v>217</v>
      </c>
      <c r="C252" s="4" t="s">
        <v>704</v>
      </c>
      <c r="D252" s="4" t="s">
        <v>610</v>
      </c>
      <c r="E252" t="s">
        <v>3125</v>
      </c>
      <c r="F252" t="str">
        <f>CONCATENATE("'",Sheet!E252)</f>
        <v>'112309</v>
      </c>
      <c r="G252" t="s">
        <v>1736</v>
      </c>
      <c r="H252" s="4" t="str">
        <f>Sheet!F252</f>
        <v>DELGADILLO BAUTISTA GAEL</v>
      </c>
      <c r="I252" s="4" t="str">
        <f>Sheet!G252</f>
        <v>ARQUITECTURA</v>
      </c>
      <c r="J252" s="4" t="str">
        <f>Sheet!H252</f>
        <v>2do</v>
      </c>
      <c r="K252" s="4" t="str">
        <f>Sheet!I252</f>
        <v>Masculino</v>
      </c>
      <c r="L252" s="4" t="str">
        <f>Sheet!J252</f>
        <v>Activo</v>
      </c>
      <c r="M252" s="4" t="str">
        <f>Sheet!K252</f>
        <v xml:space="preserve">ARQ 2°    </v>
      </c>
    </row>
    <row r="253" spans="1:13" x14ac:dyDescent="0.35">
      <c r="A253" t="s">
        <v>1</v>
      </c>
      <c r="B253" s="5" t="s">
        <v>218</v>
      </c>
      <c r="C253" s="4" t="s">
        <v>636</v>
      </c>
      <c r="D253" s="4" t="s">
        <v>953</v>
      </c>
      <c r="E253" t="s">
        <v>3128</v>
      </c>
      <c r="F253" t="str">
        <f>CONCATENATE("'",Sheet!E253)</f>
        <v>'110786</v>
      </c>
      <c r="G253" t="s">
        <v>1736</v>
      </c>
      <c r="H253" s="4" t="str">
        <f>Sheet!F253</f>
        <v>MARTINEZ ORBE GEMA</v>
      </c>
      <c r="I253" s="4" t="str">
        <f>Sheet!G253</f>
        <v>PSICOLOGIA</v>
      </c>
      <c r="J253" s="4" t="str">
        <f>Sheet!H253</f>
        <v>8vo</v>
      </c>
      <c r="K253" s="4" t="str">
        <f>Sheet!I253</f>
        <v>Femenino</v>
      </c>
      <c r="L253" s="4" t="str">
        <f>Sheet!J253</f>
        <v>Activo</v>
      </c>
      <c r="M253" s="4" t="str">
        <f>Sheet!K253</f>
        <v xml:space="preserve">PSI 8°    </v>
      </c>
    </row>
    <row r="254" spans="1:13" x14ac:dyDescent="0.35">
      <c r="A254" t="s">
        <v>1</v>
      </c>
      <c r="B254" s="5" t="s">
        <v>219</v>
      </c>
      <c r="C254" s="4" t="s">
        <v>585</v>
      </c>
      <c r="D254" s="4" t="s">
        <v>656</v>
      </c>
      <c r="E254" t="s">
        <v>3131</v>
      </c>
      <c r="F254" t="str">
        <f>CONCATENATE("'",Sheet!E254)</f>
        <v>'109865</v>
      </c>
      <c r="G254" t="s">
        <v>1736</v>
      </c>
      <c r="H254" s="4" t="str">
        <f>Sheet!F254</f>
        <v>NUÑEZ CONTRERAS GILBERTO</v>
      </c>
      <c r="I254" s="4" t="str">
        <f>Sheet!G254</f>
        <v>INGENIERIA AEROESPACIAL</v>
      </c>
      <c r="J254" s="4" t="str">
        <f>Sheet!H254</f>
        <v>10mo</v>
      </c>
      <c r="K254" s="4" t="str">
        <f>Sheet!I254</f>
        <v>Masculino</v>
      </c>
      <c r="L254" s="4" t="str">
        <f>Sheet!J254</f>
        <v>Activo</v>
      </c>
      <c r="M254" s="4" t="str">
        <f>Sheet!K254</f>
        <v xml:space="preserve">AERO_10°  </v>
      </c>
    </row>
    <row r="255" spans="1:13" x14ac:dyDescent="0.35">
      <c r="A255" t="s">
        <v>1</v>
      </c>
      <c r="B255" s="5" t="s">
        <v>220</v>
      </c>
      <c r="C255" s="4" t="s">
        <v>652</v>
      </c>
      <c r="D255" s="4" t="s">
        <v>591</v>
      </c>
      <c r="E255" t="s">
        <v>3134</v>
      </c>
      <c r="F255" t="str">
        <f>CONCATENATE("'",Sheet!E255)</f>
        <v>'110465</v>
      </c>
      <c r="G255" t="s">
        <v>1736</v>
      </c>
      <c r="H255" s="4" t="str">
        <f>Sheet!F255</f>
        <v>ROJAS GUTIERREZ GILBERTO ALEJANDRO</v>
      </c>
      <c r="I255" s="4" t="str">
        <f>Sheet!G255</f>
        <v>ARQUITECTURA</v>
      </c>
      <c r="J255" s="4" t="str">
        <f>Sheet!H255</f>
        <v>8vo</v>
      </c>
      <c r="K255" s="4" t="str">
        <f>Sheet!I255</f>
        <v>Masculino</v>
      </c>
      <c r="L255" s="4" t="str">
        <f>Sheet!J255</f>
        <v>Activo</v>
      </c>
      <c r="M255" s="4" t="str">
        <f>Sheet!K255</f>
        <v xml:space="preserve">ARQ 8°    </v>
      </c>
    </row>
    <row r="256" spans="1:13" x14ac:dyDescent="0.35">
      <c r="A256" t="s">
        <v>1</v>
      </c>
      <c r="B256" s="5" t="s">
        <v>221</v>
      </c>
      <c r="C256" s="4" t="s">
        <v>705</v>
      </c>
      <c r="D256" s="4" t="s">
        <v>715</v>
      </c>
      <c r="E256" t="s">
        <v>3137</v>
      </c>
      <c r="F256" t="str">
        <f>CONCATENATE("'",Sheet!E256)</f>
        <v>'111095</v>
      </c>
      <c r="G256" t="s">
        <v>1736</v>
      </c>
      <c r="H256" s="4" t="str">
        <f>Sheet!F256</f>
        <v>SANTILLAN BARRAGAN GIOVANNA</v>
      </c>
      <c r="I256" s="4" t="str">
        <f>Sheet!G256</f>
        <v>DISEÑO GRAFICO Y DIGITAL</v>
      </c>
      <c r="J256" s="4" t="str">
        <f>Sheet!H256</f>
        <v>6to</v>
      </c>
      <c r="K256" s="4" t="str">
        <f>Sheet!I256</f>
        <v>Femenino</v>
      </c>
      <c r="L256" s="4" t="str">
        <f>Sheet!J256</f>
        <v>Activo</v>
      </c>
      <c r="M256" s="4" t="str">
        <f>Sheet!K256</f>
        <v xml:space="preserve">DGD 6°    </v>
      </c>
    </row>
    <row r="257" spans="1:13" x14ac:dyDescent="0.35">
      <c r="A257" t="s">
        <v>1</v>
      </c>
      <c r="B257" s="5" t="s">
        <v>222</v>
      </c>
      <c r="C257" s="4" t="s">
        <v>607</v>
      </c>
      <c r="D257" s="4" t="s">
        <v>849</v>
      </c>
      <c r="E257" t="s">
        <v>3140</v>
      </c>
      <c r="F257" t="str">
        <f>CONCATENATE("'",Sheet!E257)</f>
        <v>'112226</v>
      </c>
      <c r="G257" t="s">
        <v>1736</v>
      </c>
      <c r="H257" s="4" t="str">
        <f>Sheet!F257</f>
        <v>CASTAÑEDA ELIZALDE GIOVANNA PAOLA</v>
      </c>
      <c r="I257" s="4" t="str">
        <f>Sheet!G257</f>
        <v>NUTRICION Y GASTRONOMIA</v>
      </c>
      <c r="J257" s="4" t="str">
        <f>Sheet!H257</f>
        <v>2do</v>
      </c>
      <c r="K257" s="4" t="str">
        <f>Sheet!I257</f>
        <v>Femenino</v>
      </c>
      <c r="L257" s="4" t="str">
        <f>Sheet!J257</f>
        <v>Activo</v>
      </c>
      <c r="M257" s="4" t="str">
        <f>Sheet!K257</f>
        <v xml:space="preserve">NUT 2°    </v>
      </c>
    </row>
    <row r="258" spans="1:13" x14ac:dyDescent="0.35">
      <c r="A258" t="s">
        <v>1</v>
      </c>
      <c r="B258" s="5" t="s">
        <v>223</v>
      </c>
      <c r="C258" s="4" t="s">
        <v>637</v>
      </c>
      <c r="D258" s="4" t="s">
        <v>954</v>
      </c>
      <c r="E258" t="s">
        <v>3143</v>
      </c>
      <c r="F258" t="str">
        <f>CONCATENATE("'",Sheet!E258)</f>
        <v>'111812</v>
      </c>
      <c r="G258" t="s">
        <v>1736</v>
      </c>
      <c r="H258" s="4" t="str">
        <f>Sheet!F258</f>
        <v>DE ALBA TOVAR GIOVANNI</v>
      </c>
      <c r="I258" s="4" t="str">
        <f>Sheet!G258</f>
        <v>INGENIERÍA AUTOMOTRIZ</v>
      </c>
      <c r="J258" s="4" t="str">
        <f>Sheet!H258</f>
        <v>4to</v>
      </c>
      <c r="K258" s="4" t="str">
        <f>Sheet!I258</f>
        <v>Masculino</v>
      </c>
      <c r="L258" s="4" t="str">
        <f>Sheet!J258</f>
        <v>Activo</v>
      </c>
      <c r="M258" s="4" t="str">
        <f>Sheet!K258</f>
        <v xml:space="preserve">AUTO 4°   </v>
      </c>
    </row>
    <row r="259" spans="1:13" x14ac:dyDescent="0.35">
      <c r="A259" t="s">
        <v>1</v>
      </c>
      <c r="B259" s="5" t="s">
        <v>224</v>
      </c>
      <c r="C259" s="4" t="s">
        <v>706</v>
      </c>
      <c r="D259" s="4" t="s">
        <v>597</v>
      </c>
      <c r="E259" t="s">
        <v>4198</v>
      </c>
      <c r="F259" t="str">
        <f>CONCATENATE("'",Sheet!E259)</f>
        <v>'112405</v>
      </c>
      <c r="G259" t="s">
        <v>1736</v>
      </c>
      <c r="H259" s="4" t="str">
        <f>Sheet!F259</f>
        <v>JAUREGUI RIVERA GISEL NAILEA</v>
      </c>
      <c r="I259" s="4" t="str">
        <f>Sheet!G259</f>
        <v>ARQUITECTURA</v>
      </c>
      <c r="J259" s="4" t="str">
        <f>Sheet!H259</f>
        <v>6to</v>
      </c>
      <c r="K259" s="4" t="str">
        <f>Sheet!I259</f>
        <v>Femenino</v>
      </c>
      <c r="L259" s="4" t="str">
        <f>Sheet!J259</f>
        <v>Activo</v>
      </c>
      <c r="M259" s="4" t="str">
        <f>Sheet!K259</f>
        <v xml:space="preserve">ARQ 6°    </v>
      </c>
    </row>
    <row r="260" spans="1:13" x14ac:dyDescent="0.35">
      <c r="A260" t="s">
        <v>1</v>
      </c>
      <c r="B260" s="5" t="s">
        <v>225</v>
      </c>
      <c r="C260" s="4" t="s">
        <v>544</v>
      </c>
      <c r="D260" s="4" t="s">
        <v>873</v>
      </c>
      <c r="E260" t="s">
        <v>3146</v>
      </c>
      <c r="F260" t="str">
        <f>CONCATENATE("'",Sheet!E260)</f>
        <v>'111105</v>
      </c>
      <c r="G260" t="s">
        <v>1736</v>
      </c>
      <c r="H260" s="4" t="str">
        <f>Sheet!F260</f>
        <v>HERNANDEZ VARGAS GLORIA MIRANDA</v>
      </c>
      <c r="I260" s="4" t="str">
        <f>Sheet!G260</f>
        <v>ANIMACION DIGITAL Y VIDEOJUEGOS</v>
      </c>
      <c r="J260" s="4" t="str">
        <f>Sheet!H260</f>
        <v>6to</v>
      </c>
      <c r="K260" s="4" t="str">
        <f>Sheet!I260</f>
        <v>Femenino</v>
      </c>
      <c r="L260" s="4" t="str">
        <f>Sheet!J260</f>
        <v>Activo</v>
      </c>
      <c r="M260" s="4" t="str">
        <f>Sheet!K260</f>
        <v xml:space="preserve">ANIM 6°   </v>
      </c>
    </row>
    <row r="261" spans="1:13" x14ac:dyDescent="0.35">
      <c r="A261" t="s">
        <v>1</v>
      </c>
      <c r="B261" s="5" t="s">
        <v>226</v>
      </c>
      <c r="C261" s="4" t="s">
        <v>622</v>
      </c>
      <c r="D261" s="4" t="s">
        <v>793</v>
      </c>
      <c r="E261" t="s">
        <v>3149</v>
      </c>
      <c r="F261" t="str">
        <f>CONCATENATE("'",Sheet!E261)</f>
        <v>'112252</v>
      </c>
      <c r="G261" t="s">
        <v>1736</v>
      </c>
      <c r="H261" s="4" t="str">
        <f>Sheet!F261</f>
        <v>MUÑOZ HERRERA GRAHAM ANTONIO</v>
      </c>
      <c r="I261" s="4" t="str">
        <f>Sheet!G261</f>
        <v>INGENIERIA AEROESPACIAL</v>
      </c>
      <c r="J261" s="4" t="str">
        <f>Sheet!H261</f>
        <v>2do</v>
      </c>
      <c r="K261" s="4" t="str">
        <f>Sheet!I261</f>
        <v>Masculino</v>
      </c>
      <c r="L261" s="4" t="str">
        <f>Sheet!J261</f>
        <v>Activo</v>
      </c>
      <c r="M261" s="4" t="str">
        <f>Sheet!K261</f>
        <v xml:space="preserve">AERO 2°B  </v>
      </c>
    </row>
    <row r="262" spans="1:13" x14ac:dyDescent="0.35">
      <c r="A262" t="s">
        <v>1</v>
      </c>
      <c r="B262" s="5" t="s">
        <v>227</v>
      </c>
      <c r="C262" s="4" t="s">
        <v>707</v>
      </c>
      <c r="D262" s="4" t="s">
        <v>531</v>
      </c>
      <c r="E262" t="s">
        <v>3152</v>
      </c>
      <c r="F262" t="str">
        <f>CONCATENATE("'",Sheet!E262)</f>
        <v>'111774</v>
      </c>
      <c r="G262" t="s">
        <v>1736</v>
      </c>
      <c r="H262" s="4" t="str">
        <f>Sheet!F262</f>
        <v>SOSA Y AVILA GONZALEZ GUILLERMO JOSE</v>
      </c>
      <c r="I262" s="4" t="str">
        <f>Sheet!G262</f>
        <v>INGENIERIA AEROESPACIAL</v>
      </c>
      <c r="J262" s="4" t="str">
        <f>Sheet!H262</f>
        <v>4to</v>
      </c>
      <c r="K262" s="4" t="str">
        <f>Sheet!I262</f>
        <v>Masculino</v>
      </c>
      <c r="L262" s="4" t="str">
        <f>Sheet!J262</f>
        <v>Activo</v>
      </c>
      <c r="M262" s="4" t="str">
        <f>Sheet!K262</f>
        <v xml:space="preserve">AERO 4°B  </v>
      </c>
    </row>
    <row r="263" spans="1:13" x14ac:dyDescent="0.35">
      <c r="A263" t="s">
        <v>1</v>
      </c>
      <c r="B263" s="5" t="s">
        <v>228</v>
      </c>
      <c r="C263" s="4" t="s">
        <v>708</v>
      </c>
      <c r="D263" s="4" t="s">
        <v>873</v>
      </c>
      <c r="E263" t="s">
        <v>4199</v>
      </c>
      <c r="F263" t="str">
        <f>CONCATENATE("'",Sheet!E263)</f>
        <v>'007486</v>
      </c>
      <c r="G263" t="s">
        <v>1736</v>
      </c>
      <c r="H263" s="4" t="str">
        <f>Sheet!F263</f>
        <v>ARAUJO VARGAS GUILLERMO KALEB</v>
      </c>
      <c r="I263" s="4" t="str">
        <f>Sheet!G263</f>
        <v>INGENIERIA INDUSTRIAL Y EN SISTEMAS ORGANIZACIONALES</v>
      </c>
      <c r="J263" s="4" t="str">
        <f>Sheet!H263</f>
        <v>6to</v>
      </c>
      <c r="K263" s="4" t="str">
        <f>Sheet!I263</f>
        <v>Masculino</v>
      </c>
      <c r="L263" s="4" t="str">
        <f>Sheet!J263</f>
        <v>Activo</v>
      </c>
      <c r="M263" s="4" t="str">
        <f>Sheet!K263</f>
        <v xml:space="preserve">IND 6°    </v>
      </c>
    </row>
    <row r="264" spans="1:13" x14ac:dyDescent="0.35">
      <c r="A264" t="s">
        <v>1</v>
      </c>
      <c r="B264" s="5" t="s">
        <v>229</v>
      </c>
      <c r="C264" s="4" t="s">
        <v>709</v>
      </c>
      <c r="D264" s="4" t="s">
        <v>873</v>
      </c>
      <c r="E264" t="s">
        <v>3155</v>
      </c>
      <c r="F264" t="str">
        <f>CONCATENATE("'",Sheet!E264)</f>
        <v>'112193</v>
      </c>
      <c r="G264" t="s">
        <v>1736</v>
      </c>
      <c r="H264" s="4" t="str">
        <f>Sheet!F264</f>
        <v>JASSO VARGAS GUSTAVO EMILIANO</v>
      </c>
      <c r="I264" s="4" t="str">
        <f>Sheet!G264</f>
        <v>INGENIERÍA AUTOMOTRIZ</v>
      </c>
      <c r="J264" s="4" t="str">
        <f>Sheet!H264</f>
        <v>2do</v>
      </c>
      <c r="K264" s="4" t="str">
        <f>Sheet!I264</f>
        <v>Masculino</v>
      </c>
      <c r="L264" s="4" t="str">
        <f>Sheet!J264</f>
        <v>Activo</v>
      </c>
      <c r="M264" s="4" t="str">
        <f>Sheet!K264</f>
        <v xml:space="preserve">AUTO 2° B </v>
      </c>
    </row>
    <row r="265" spans="1:13" x14ac:dyDescent="0.35">
      <c r="A265" t="s">
        <v>1</v>
      </c>
      <c r="B265" s="5" t="s">
        <v>230</v>
      </c>
      <c r="C265" s="4" t="s">
        <v>710</v>
      </c>
      <c r="D265" s="4" t="s">
        <v>548</v>
      </c>
      <c r="E265" t="s">
        <v>3158</v>
      </c>
      <c r="F265" t="str">
        <f>CONCATENATE("'",Sheet!E265)</f>
        <v>'112247</v>
      </c>
      <c r="G265" t="s">
        <v>1736</v>
      </c>
      <c r="H265" s="4" t="str">
        <f>Sheet!F265</f>
        <v>JURADO PEREZ GUSTAVO KALEN</v>
      </c>
      <c r="I265" s="4" t="str">
        <f>Sheet!G265</f>
        <v>INGENIERIA AEROESPACIAL</v>
      </c>
      <c r="J265" s="4" t="str">
        <f>Sheet!H265</f>
        <v>2do</v>
      </c>
      <c r="K265" s="4" t="str">
        <f>Sheet!I265</f>
        <v>Masculino</v>
      </c>
      <c r="L265" s="4" t="str">
        <f>Sheet!J265</f>
        <v>Activo</v>
      </c>
      <c r="M265" s="4" t="str">
        <f>Sheet!K265</f>
        <v xml:space="preserve">AERO 2°B  </v>
      </c>
    </row>
    <row r="266" spans="1:13" x14ac:dyDescent="0.35">
      <c r="A266" t="s">
        <v>1</v>
      </c>
      <c r="B266" s="5" t="s">
        <v>231</v>
      </c>
      <c r="C266" s="4" t="s">
        <v>682</v>
      </c>
      <c r="D266" s="4" t="s">
        <v>630</v>
      </c>
      <c r="E266" t="s">
        <v>3161</v>
      </c>
      <c r="F266" t="str">
        <f>CONCATENATE("'",Sheet!E266)</f>
        <v>'110489</v>
      </c>
      <c r="G266" t="s">
        <v>1736</v>
      </c>
      <c r="H266" s="4" t="str">
        <f>Sheet!F266</f>
        <v>DE LA CRUZ CASTILLO HANNAH CITLALI</v>
      </c>
      <c r="I266" s="4" t="str">
        <f>Sheet!G266</f>
        <v>ANIMACION DIGITAL Y VIDEOJUEGOS</v>
      </c>
      <c r="J266" s="4" t="str">
        <f>Sheet!H266</f>
        <v>8vo</v>
      </c>
      <c r="K266" s="4" t="str">
        <f>Sheet!I266</f>
        <v>Femenino</v>
      </c>
      <c r="L266" s="4" t="str">
        <f>Sheet!J266</f>
        <v>Activo</v>
      </c>
      <c r="M266" s="4" t="str">
        <f>Sheet!K266</f>
        <v xml:space="preserve">ANIM 8°   </v>
      </c>
    </row>
    <row r="267" spans="1:13" x14ac:dyDescent="0.35">
      <c r="A267" t="s">
        <v>1</v>
      </c>
      <c r="B267" s="5" t="s">
        <v>232</v>
      </c>
      <c r="C267" s="4" t="s">
        <v>573</v>
      </c>
      <c r="D267" s="4" t="s">
        <v>855</v>
      </c>
      <c r="E267" t="s">
        <v>3164</v>
      </c>
      <c r="F267" t="str">
        <f>CONCATENATE("'",Sheet!E267)</f>
        <v>'112294</v>
      </c>
      <c r="G267" t="s">
        <v>1736</v>
      </c>
      <c r="H267" s="4" t="str">
        <f>Sheet!F267</f>
        <v>RUELAS SALDAÑA HANNIBAL ENRIQUE</v>
      </c>
      <c r="I267" s="4" t="str">
        <f>Sheet!G267</f>
        <v>INGENIERÍA AUTOMOTRIZ</v>
      </c>
      <c r="J267" s="4" t="str">
        <f>Sheet!H267</f>
        <v>2do</v>
      </c>
      <c r="K267" s="4" t="str">
        <f>Sheet!I267</f>
        <v>Masculino</v>
      </c>
      <c r="L267" s="4" t="str">
        <f>Sheet!J267</f>
        <v>Activo</v>
      </c>
      <c r="M267" s="4" t="str">
        <f>Sheet!K267</f>
        <v xml:space="preserve">AUTO 2° B </v>
      </c>
    </row>
    <row r="268" spans="1:13" x14ac:dyDescent="0.35">
      <c r="A268" t="s">
        <v>1</v>
      </c>
      <c r="B268" s="5" t="s">
        <v>233</v>
      </c>
      <c r="C268" s="4" t="s">
        <v>711</v>
      </c>
      <c r="D268" s="4" t="s">
        <v>599</v>
      </c>
      <c r="E268" t="s">
        <v>3167</v>
      </c>
      <c r="F268" t="str">
        <f>CONCATENATE("'",Sheet!E268)</f>
        <v>'111787</v>
      </c>
      <c r="G268" t="s">
        <v>1736</v>
      </c>
      <c r="H268" s="4" t="str">
        <f>Sheet!F268</f>
        <v>CAMPOS CARDENAS HECTOR</v>
      </c>
      <c r="I268" s="4" t="str">
        <f>Sheet!G268</f>
        <v>INGENIERÍA AUTOMOTRIZ</v>
      </c>
      <c r="J268" s="4" t="str">
        <f>Sheet!H268</f>
        <v>4to</v>
      </c>
      <c r="K268" s="4" t="str">
        <f>Sheet!I268</f>
        <v>Masculino</v>
      </c>
      <c r="L268" s="4" t="str">
        <f>Sheet!J268</f>
        <v>Activo</v>
      </c>
      <c r="M268" s="4" t="str">
        <f>Sheet!K268</f>
        <v xml:space="preserve">AUTO 4°   </v>
      </c>
    </row>
    <row r="269" spans="1:13" x14ac:dyDescent="0.35">
      <c r="A269" t="s">
        <v>1</v>
      </c>
      <c r="B269" s="5" t="s">
        <v>234</v>
      </c>
      <c r="C269" s="4" t="s">
        <v>613</v>
      </c>
      <c r="D269" s="4" t="s">
        <v>955</v>
      </c>
      <c r="E269" t="s">
        <v>3170</v>
      </c>
      <c r="F269" t="str">
        <f>CONCATENATE("'",Sheet!E269)</f>
        <v>'110520</v>
      </c>
      <c r="G269" t="s">
        <v>1736</v>
      </c>
      <c r="H269" s="4" t="str">
        <f>Sheet!F269</f>
        <v>IÑIGUEZ PULIDO HECTOR BERNARDO</v>
      </c>
      <c r="I269" s="4" t="str">
        <f>Sheet!G269</f>
        <v>INGENIERIA AEROESPACIAL</v>
      </c>
      <c r="J269" s="4" t="str">
        <f>Sheet!H269</f>
        <v>8vo</v>
      </c>
      <c r="K269" s="4" t="str">
        <f>Sheet!I269</f>
        <v>Masculino</v>
      </c>
      <c r="L269" s="4" t="str">
        <f>Sheet!J269</f>
        <v>Activo</v>
      </c>
      <c r="M269" s="4" t="str">
        <f>Sheet!K269</f>
        <v xml:space="preserve">AERO 8°   </v>
      </c>
    </row>
    <row r="270" spans="1:13" x14ac:dyDescent="0.35">
      <c r="A270" t="s">
        <v>1</v>
      </c>
      <c r="B270" s="5" t="s">
        <v>235</v>
      </c>
      <c r="C270" s="4" t="s">
        <v>712</v>
      </c>
      <c r="D270" s="4" t="s">
        <v>593</v>
      </c>
      <c r="E270" t="s">
        <v>3173</v>
      </c>
      <c r="F270" t="str">
        <f>CONCATENATE("'",Sheet!E270)</f>
        <v>'111154</v>
      </c>
      <c r="G270" t="s">
        <v>1736</v>
      </c>
      <c r="H270" s="4" t="str">
        <f>Sheet!F270</f>
        <v>MARISCAL SANCHEZ HECTOR ENRIQUE</v>
      </c>
      <c r="I270" s="4" t="str">
        <f>Sheet!G270</f>
        <v>INGENIERIA CIBERNETICA Y EN SISTEMAS COMPUTACIONALES</v>
      </c>
      <c r="J270" s="4" t="str">
        <f>Sheet!H270</f>
        <v>6to</v>
      </c>
      <c r="K270" s="4" t="str">
        <f>Sheet!I270</f>
        <v>Masculino</v>
      </c>
      <c r="L270" s="4" t="str">
        <f>Sheet!J270</f>
        <v>Activo</v>
      </c>
      <c r="M270" s="4" t="str">
        <f>Sheet!K270</f>
        <v xml:space="preserve">CIB 6°    </v>
      </c>
    </row>
    <row r="271" spans="1:13" x14ac:dyDescent="0.35">
      <c r="A271" t="s">
        <v>1</v>
      </c>
      <c r="B271" s="5" t="s">
        <v>236</v>
      </c>
      <c r="C271" s="4" t="s">
        <v>531</v>
      </c>
      <c r="D271" s="4" t="s">
        <v>956</v>
      </c>
      <c r="E271" t="s">
        <v>3176</v>
      </c>
      <c r="F271" t="str">
        <f>CONCATENATE("'",Sheet!E271)</f>
        <v>'111809</v>
      </c>
      <c r="G271" t="s">
        <v>1736</v>
      </c>
      <c r="H271" s="4" t="str">
        <f>Sheet!F271</f>
        <v>GONZALEZ DE LOZA HECTOR FABIAN</v>
      </c>
      <c r="I271" s="4" t="str">
        <f>Sheet!G271</f>
        <v>INGENIERÍA AUTOMOTRIZ</v>
      </c>
      <c r="J271" s="4" t="str">
        <f>Sheet!H271</f>
        <v>4to</v>
      </c>
      <c r="K271" s="4" t="str">
        <f>Sheet!I271</f>
        <v>Masculino</v>
      </c>
      <c r="L271" s="4" t="str">
        <f>Sheet!J271</f>
        <v>Activo</v>
      </c>
      <c r="M271" s="4" t="str">
        <f>Sheet!K271</f>
        <v xml:space="preserve">AUTO 4°   </v>
      </c>
    </row>
    <row r="272" spans="1:13" x14ac:dyDescent="0.35">
      <c r="A272" t="s">
        <v>1</v>
      </c>
      <c r="B272" s="5" t="s">
        <v>237</v>
      </c>
      <c r="C272" s="4" t="s">
        <v>713</v>
      </c>
      <c r="D272" s="4" t="s">
        <v>957</v>
      </c>
      <c r="E272" t="s">
        <v>3179</v>
      </c>
      <c r="F272" t="str">
        <f>CONCATENATE("'",Sheet!E272)</f>
        <v>'111326</v>
      </c>
      <c r="G272" t="s">
        <v>1736</v>
      </c>
      <c r="H272" s="4" t="str">
        <f>Sheet!F272</f>
        <v>VALDIVIA ANGUIANO HECTOR ORLANDO</v>
      </c>
      <c r="I272" s="4" t="str">
        <f>Sheet!G272</f>
        <v>INGENIERÍA AUTOMOTRIZ</v>
      </c>
      <c r="J272" s="4" t="str">
        <f>Sheet!H272</f>
        <v>6to</v>
      </c>
      <c r="K272" s="4" t="str">
        <f>Sheet!I272</f>
        <v>Masculino</v>
      </c>
      <c r="L272" s="4" t="str">
        <f>Sheet!J272</f>
        <v>Activo</v>
      </c>
      <c r="M272" s="4" t="str">
        <f>Sheet!K272</f>
        <v xml:space="preserve">AUTO 6°   </v>
      </c>
    </row>
    <row r="273" spans="1:13" x14ac:dyDescent="0.35">
      <c r="A273" t="s">
        <v>1</v>
      </c>
      <c r="B273" s="5" t="s">
        <v>238</v>
      </c>
      <c r="C273" s="4" t="s">
        <v>606</v>
      </c>
      <c r="D273" s="4" t="s">
        <v>531</v>
      </c>
      <c r="E273" t="s">
        <v>3182</v>
      </c>
      <c r="F273" t="str">
        <f>CONCATENATE("'",Sheet!E273)</f>
        <v>'111686</v>
      </c>
      <c r="G273" t="s">
        <v>1736</v>
      </c>
      <c r="H273" s="4" t="str">
        <f>Sheet!F273</f>
        <v>SERRANO GONZALEZ HELI</v>
      </c>
      <c r="I273" s="4" t="str">
        <f>Sheet!G273</f>
        <v>INGENIERIA AEROESPACIAL</v>
      </c>
      <c r="J273" s="4" t="str">
        <f>Sheet!H273</f>
        <v>4to</v>
      </c>
      <c r="K273" s="4" t="str">
        <f>Sheet!I273</f>
        <v>Femenino</v>
      </c>
      <c r="L273" s="4" t="str">
        <f>Sheet!J273</f>
        <v>Activo</v>
      </c>
      <c r="M273" s="4" t="str">
        <f>Sheet!K273</f>
        <v xml:space="preserve">AERO 4°B  </v>
      </c>
    </row>
    <row r="274" spans="1:13" x14ac:dyDescent="0.35">
      <c r="A274" t="s">
        <v>1</v>
      </c>
      <c r="B274" s="5" t="s">
        <v>239</v>
      </c>
      <c r="C274" s="4" t="s">
        <v>544</v>
      </c>
      <c r="D274" s="4" t="s">
        <v>544</v>
      </c>
      <c r="E274" t="s">
        <v>3185</v>
      </c>
      <c r="F274" t="str">
        <f>CONCATENATE("'",Sheet!E274)</f>
        <v>'110617</v>
      </c>
      <c r="G274" t="s">
        <v>1736</v>
      </c>
      <c r="H274" s="4" t="str">
        <f>Sheet!F274</f>
        <v>HERNANDEZ HERNANDEZ HERMELINDA</v>
      </c>
      <c r="I274" s="4" t="str">
        <f>Sheet!G274</f>
        <v>DISEÑO GRAFICO Y DIGITAL</v>
      </c>
      <c r="J274" s="4" t="str">
        <f>Sheet!H274</f>
        <v>6to</v>
      </c>
      <c r="K274" s="4" t="str">
        <f>Sheet!I274</f>
        <v>Femenino</v>
      </c>
      <c r="L274" s="4" t="str">
        <f>Sheet!J274</f>
        <v>Activo</v>
      </c>
      <c r="M274" s="4" t="str">
        <f>Sheet!K274</f>
        <v xml:space="preserve">DGD 6°    </v>
      </c>
    </row>
    <row r="275" spans="1:13" x14ac:dyDescent="0.35">
      <c r="A275" t="s">
        <v>1</v>
      </c>
      <c r="B275" s="5" t="s">
        <v>240</v>
      </c>
      <c r="C275" s="4" t="s">
        <v>714</v>
      </c>
      <c r="D275" s="4" t="s">
        <v>635</v>
      </c>
      <c r="E275" t="s">
        <v>3188</v>
      </c>
      <c r="F275" t="str">
        <f>CONCATENATE("'",Sheet!E275)</f>
        <v>'112158</v>
      </c>
      <c r="G275" t="s">
        <v>1736</v>
      </c>
      <c r="H275" s="4" t="str">
        <f>Sheet!F275</f>
        <v>CARBAJAL VALENCIA HUGO FERNANDO</v>
      </c>
      <c r="I275" s="4" t="str">
        <f>Sheet!G275</f>
        <v>ANIMACION DIGITAL Y VIDEOJUEGOS</v>
      </c>
      <c r="J275" s="4" t="str">
        <f>Sheet!H275</f>
        <v>2do</v>
      </c>
      <c r="K275" s="4" t="str">
        <f>Sheet!I275</f>
        <v>Masculino</v>
      </c>
      <c r="L275" s="4" t="str">
        <f>Sheet!J275</f>
        <v>Activo</v>
      </c>
      <c r="M275" s="4" t="str">
        <f>Sheet!K275</f>
        <v xml:space="preserve">ANIM 2°   </v>
      </c>
    </row>
    <row r="276" spans="1:13" x14ac:dyDescent="0.35">
      <c r="A276" t="s">
        <v>1</v>
      </c>
      <c r="B276" s="5" t="s">
        <v>241</v>
      </c>
      <c r="C276" s="4" t="s">
        <v>715</v>
      </c>
      <c r="D276" s="4" t="s">
        <v>958</v>
      </c>
      <c r="E276" t="s">
        <v>3191</v>
      </c>
      <c r="F276" t="str">
        <f>CONCATENATE("'",Sheet!E276)</f>
        <v>'111671</v>
      </c>
      <c r="G276" t="s">
        <v>1736</v>
      </c>
      <c r="H276" s="4" t="str">
        <f>Sheet!F276</f>
        <v>BARRAGAN LAGOS IAN FERNANDO</v>
      </c>
      <c r="I276" s="4" t="str">
        <f>Sheet!G276</f>
        <v>INGENIERÍA AUTOMOTRIZ</v>
      </c>
      <c r="J276" s="4" t="str">
        <f>Sheet!H276</f>
        <v>4to</v>
      </c>
      <c r="K276" s="4" t="str">
        <f>Sheet!I276</f>
        <v>Masculino</v>
      </c>
      <c r="L276" s="4" t="str">
        <f>Sheet!J276</f>
        <v>Activo</v>
      </c>
      <c r="M276" s="4" t="str">
        <f>Sheet!K276</f>
        <v xml:space="preserve">AUTO 4°   </v>
      </c>
    </row>
    <row r="277" spans="1:13" x14ac:dyDescent="0.35">
      <c r="A277" t="s">
        <v>1</v>
      </c>
      <c r="B277" s="5" t="s">
        <v>242</v>
      </c>
      <c r="C277" s="4" t="s">
        <v>716</v>
      </c>
      <c r="D277" s="4" t="s">
        <v>959</v>
      </c>
      <c r="E277" t="s">
        <v>3194</v>
      </c>
      <c r="F277" t="str">
        <f>CONCATENATE("'",Sheet!E277)</f>
        <v>'111756</v>
      </c>
      <c r="G277" t="s">
        <v>1736</v>
      </c>
      <c r="H277" s="4" t="str">
        <f>Sheet!F277</f>
        <v>DE JESUS PRADO ILICH LENIN</v>
      </c>
      <c r="I277" s="4" t="str">
        <f>Sheet!G277</f>
        <v>INGENIERÍA AUTOMOTRIZ</v>
      </c>
      <c r="J277" s="4" t="str">
        <f>Sheet!H277</f>
        <v>4to</v>
      </c>
      <c r="K277" s="4" t="str">
        <f>Sheet!I277</f>
        <v>Masculino</v>
      </c>
      <c r="L277" s="4" t="str">
        <f>Sheet!J277</f>
        <v>Activo</v>
      </c>
      <c r="M277" s="4" t="str">
        <f>Sheet!K277</f>
        <v xml:space="preserve">AUTO 4°   </v>
      </c>
    </row>
    <row r="278" spans="1:13" x14ac:dyDescent="0.35">
      <c r="A278" t="s">
        <v>1</v>
      </c>
      <c r="B278" s="5" t="s">
        <v>243</v>
      </c>
      <c r="C278" s="4" t="s">
        <v>539</v>
      </c>
      <c r="D278" s="4" t="s">
        <v>636</v>
      </c>
      <c r="E278" t="s">
        <v>3196</v>
      </c>
      <c r="F278" t="str">
        <f>CONCATENATE("'",Sheet!E278)</f>
        <v>'006990</v>
      </c>
      <c r="G278" t="s">
        <v>1736</v>
      </c>
      <c r="H278" s="4" t="str">
        <f>Sheet!F278</f>
        <v>RODRIGUEZ MARTINEZ IRVING ALEJANDRO</v>
      </c>
      <c r="I278" s="4" t="str">
        <f>Sheet!G278</f>
        <v>MERCADOTECNIA Y PUBLICIDAD</v>
      </c>
      <c r="J278" s="4" t="str">
        <f>Sheet!H278</f>
        <v>8vo</v>
      </c>
      <c r="K278" s="4" t="str">
        <f>Sheet!I278</f>
        <v>Masculino</v>
      </c>
      <c r="L278" s="4" t="str">
        <f>Sheet!J278</f>
        <v>Activo</v>
      </c>
      <c r="M278" s="4" t="str">
        <f>Sheet!K278</f>
        <v xml:space="preserve">MKT 8°    </v>
      </c>
    </row>
    <row r="279" spans="1:13" x14ac:dyDescent="0.35">
      <c r="A279" t="s">
        <v>1</v>
      </c>
      <c r="B279" s="5" t="s">
        <v>244</v>
      </c>
      <c r="C279" s="4" t="s">
        <v>543</v>
      </c>
      <c r="D279" s="4" t="s">
        <v>960</v>
      </c>
      <c r="E279" t="s">
        <v>3199</v>
      </c>
      <c r="F279" t="str">
        <f>CONCATENATE("'",Sheet!E279)</f>
        <v>'111673</v>
      </c>
      <c r="G279" t="s">
        <v>1736</v>
      </c>
      <c r="H279" s="4" t="str">
        <f>Sheet!F279</f>
        <v>VAZQUEZ CARDONA ISAAC</v>
      </c>
      <c r="I279" s="4" t="str">
        <f>Sheet!G279</f>
        <v>INGENIERIA AEROESPACIAL</v>
      </c>
      <c r="J279" s="4" t="str">
        <f>Sheet!H279</f>
        <v>4to</v>
      </c>
      <c r="K279" s="4" t="str">
        <f>Sheet!I279</f>
        <v>Masculino</v>
      </c>
      <c r="L279" s="4" t="str">
        <f>Sheet!J279</f>
        <v>Activo</v>
      </c>
      <c r="M279" s="4" t="str">
        <f>Sheet!K279</f>
        <v xml:space="preserve">AERO 4°B  </v>
      </c>
    </row>
    <row r="280" spans="1:13" x14ac:dyDescent="0.35">
      <c r="A280" t="s">
        <v>1</v>
      </c>
      <c r="B280" s="5" t="s">
        <v>245</v>
      </c>
      <c r="C280" s="4" t="s">
        <v>578</v>
      </c>
      <c r="D280" s="4" t="s">
        <v>563</v>
      </c>
      <c r="E280" t="s">
        <v>3202</v>
      </c>
      <c r="F280" t="str">
        <f>CONCATENATE("'",Sheet!E280)</f>
        <v>'111800</v>
      </c>
      <c r="G280" t="s">
        <v>1736</v>
      </c>
      <c r="H280" s="4" t="str">
        <f>Sheet!F280</f>
        <v>CHAVEZ SAAVEDRA ISAAC EMILIANO</v>
      </c>
      <c r="I280" s="4" t="str">
        <f>Sheet!G280</f>
        <v>INGENIERÍA AUTOMOTRIZ</v>
      </c>
      <c r="J280" s="4" t="str">
        <f>Sheet!H280</f>
        <v>4to</v>
      </c>
      <c r="K280" s="4" t="str">
        <f>Sheet!I280</f>
        <v>Masculino</v>
      </c>
      <c r="L280" s="4" t="str">
        <f>Sheet!J280</f>
        <v>Activo</v>
      </c>
      <c r="M280" s="4" t="str">
        <f>Sheet!K280</f>
        <v xml:space="preserve">AUTO 4°   </v>
      </c>
    </row>
    <row r="281" spans="1:13" x14ac:dyDescent="0.35">
      <c r="A281" t="s">
        <v>1</v>
      </c>
      <c r="B281" s="5" t="s">
        <v>246</v>
      </c>
      <c r="C281" s="4" t="s">
        <v>717</v>
      </c>
      <c r="D281" s="4" t="s">
        <v>536</v>
      </c>
      <c r="E281" t="s">
        <v>3205</v>
      </c>
      <c r="F281" t="str">
        <f>CONCATENATE("'",Sheet!E281)</f>
        <v>'111766</v>
      </c>
      <c r="G281" t="s">
        <v>1736</v>
      </c>
      <c r="H281" s="4" t="str">
        <f>Sheet!F281</f>
        <v>INUKAI MORALES ISABEL HIROMI</v>
      </c>
      <c r="I281" s="4" t="str">
        <f>Sheet!G281</f>
        <v>ANIMACION DIGITAL Y VIDEOJUEGOS</v>
      </c>
      <c r="J281" s="4" t="str">
        <f>Sheet!H281</f>
        <v>4to</v>
      </c>
      <c r="K281" s="4" t="str">
        <f>Sheet!I281</f>
        <v>Femenino</v>
      </c>
      <c r="L281" s="4" t="str">
        <f>Sheet!J281</f>
        <v>Activo</v>
      </c>
      <c r="M281" s="4" t="str">
        <f>Sheet!K281</f>
        <v xml:space="preserve">ANIM 4°   </v>
      </c>
    </row>
    <row r="282" spans="1:13" x14ac:dyDescent="0.35">
      <c r="A282" t="s">
        <v>1</v>
      </c>
      <c r="B282" s="5" t="s">
        <v>247</v>
      </c>
      <c r="C282" s="4" t="s">
        <v>718</v>
      </c>
      <c r="D282" s="4" t="s">
        <v>961</v>
      </c>
      <c r="E282" t="s">
        <v>3208</v>
      </c>
      <c r="F282" t="str">
        <f>CONCATENATE("'",Sheet!E282)</f>
        <v>'111654</v>
      </c>
      <c r="G282" t="s">
        <v>1736</v>
      </c>
      <c r="H282" s="4" t="str">
        <f>Sheet!F282</f>
        <v>GORIBAR LOZA ISABELLA</v>
      </c>
      <c r="I282" s="4" t="str">
        <f>Sheet!G282</f>
        <v>PSICOLOGIA</v>
      </c>
      <c r="J282" s="4" t="str">
        <f>Sheet!H282</f>
        <v>4to</v>
      </c>
      <c r="K282" s="4" t="str">
        <f>Sheet!I282</f>
        <v>Femenino</v>
      </c>
      <c r="L282" s="4" t="str">
        <f>Sheet!J282</f>
        <v>Activo</v>
      </c>
      <c r="M282" s="4" t="str">
        <f>Sheet!K282</f>
        <v xml:space="preserve">PSI 4°    </v>
      </c>
    </row>
    <row r="283" spans="1:13" x14ac:dyDescent="0.35">
      <c r="A283" t="s">
        <v>1</v>
      </c>
      <c r="B283" s="5" t="s">
        <v>248</v>
      </c>
      <c r="C283" s="4" t="s">
        <v>719</v>
      </c>
      <c r="D283" s="4" t="s">
        <v>873</v>
      </c>
      <c r="E283" t="s">
        <v>3211</v>
      </c>
      <c r="F283" t="str">
        <f>CONCATENATE("'",Sheet!E283)</f>
        <v>'110488</v>
      </c>
      <c r="G283" t="s">
        <v>1736</v>
      </c>
      <c r="H283" s="4" t="str">
        <f>Sheet!F283</f>
        <v>MONTIEL VARGAS ISABELLA DE LOS ANGELES</v>
      </c>
      <c r="I283" s="4" t="str">
        <f>Sheet!G283</f>
        <v>INGENIERIA AEROESPACIAL</v>
      </c>
      <c r="J283" s="4" t="str">
        <f>Sheet!H283</f>
        <v>8vo</v>
      </c>
      <c r="K283" s="4" t="str">
        <f>Sheet!I283</f>
        <v>Femenino</v>
      </c>
      <c r="L283" s="4" t="str">
        <f>Sheet!J283</f>
        <v>Activo</v>
      </c>
      <c r="M283" s="4" t="str">
        <f>Sheet!K283</f>
        <v xml:space="preserve">AERO 8°   </v>
      </c>
    </row>
    <row r="284" spans="1:13" x14ac:dyDescent="0.35">
      <c r="A284" t="s">
        <v>1</v>
      </c>
      <c r="B284" s="5" t="s">
        <v>249</v>
      </c>
      <c r="C284" s="4" t="s">
        <v>720</v>
      </c>
      <c r="D284" s="4" t="s">
        <v>962</v>
      </c>
      <c r="E284" t="s">
        <v>3214</v>
      </c>
      <c r="F284" t="str">
        <f>CONCATENATE("'",Sheet!E284)</f>
        <v>'110714</v>
      </c>
      <c r="G284" t="s">
        <v>1736</v>
      </c>
      <c r="H284" s="4" t="str">
        <f>Sheet!F284</f>
        <v>ALVES CORNEJO ISABELY</v>
      </c>
      <c r="I284" s="4" t="str">
        <f>Sheet!G284</f>
        <v>NUTRICION Y GASTRONOMIA</v>
      </c>
      <c r="J284" s="4" t="str">
        <f>Sheet!H284</f>
        <v>8vo</v>
      </c>
      <c r="K284" s="4" t="str">
        <f>Sheet!I284</f>
        <v>Femenino</v>
      </c>
      <c r="L284" s="4" t="str">
        <f>Sheet!J284</f>
        <v>Activo</v>
      </c>
      <c r="M284" s="4" t="str">
        <f>Sheet!K284</f>
        <v xml:space="preserve">NUT 8°    </v>
      </c>
    </row>
    <row r="285" spans="1:13" x14ac:dyDescent="0.35">
      <c r="A285" t="s">
        <v>1</v>
      </c>
      <c r="B285" s="5" t="s">
        <v>250</v>
      </c>
      <c r="C285" s="4" t="s">
        <v>721</v>
      </c>
      <c r="D285" s="4" t="s">
        <v>963</v>
      </c>
      <c r="E285" t="s">
        <v>3217</v>
      </c>
      <c r="F285" t="str">
        <f>CONCATENATE("'",Sheet!E285)</f>
        <v>'112165</v>
      </c>
      <c r="G285" t="s">
        <v>1736</v>
      </c>
      <c r="H285" s="4" t="str">
        <f>Sheet!F285</f>
        <v>CENTENO REA ISRAEL</v>
      </c>
      <c r="I285" s="4" t="str">
        <f>Sheet!G285</f>
        <v>ARQUITECTURA</v>
      </c>
      <c r="J285" s="4" t="str">
        <f>Sheet!H285</f>
        <v>2do</v>
      </c>
      <c r="K285" s="4" t="str">
        <f>Sheet!I285</f>
        <v>Masculino</v>
      </c>
      <c r="L285" s="4" t="str">
        <f>Sheet!J285</f>
        <v>Activo</v>
      </c>
      <c r="M285" s="4" t="str">
        <f>Sheet!K285</f>
        <v xml:space="preserve">ARQ 2°    </v>
      </c>
    </row>
    <row r="286" spans="1:13" x14ac:dyDescent="0.35">
      <c r="A286" t="s">
        <v>1</v>
      </c>
      <c r="B286" s="5" t="s">
        <v>251</v>
      </c>
      <c r="C286" s="4" t="s">
        <v>654</v>
      </c>
      <c r="D286" s="4" t="s">
        <v>734</v>
      </c>
      <c r="E286" t="s">
        <v>3220</v>
      </c>
      <c r="F286" t="str">
        <f>CONCATENATE("'",Sheet!E286)</f>
        <v>'110620</v>
      </c>
      <c r="G286" t="s">
        <v>1736</v>
      </c>
      <c r="H286" s="4" t="str">
        <f>Sheet!F286</f>
        <v>RUIZ FUENTES IVAN</v>
      </c>
      <c r="I286" s="4" t="str">
        <f>Sheet!G286</f>
        <v>ARQUITECTURA</v>
      </c>
      <c r="J286" s="4" t="str">
        <f>Sheet!H286</f>
        <v>8vo</v>
      </c>
      <c r="K286" s="4" t="str">
        <f>Sheet!I286</f>
        <v>Masculino</v>
      </c>
      <c r="L286" s="4" t="str">
        <f>Sheet!J286</f>
        <v>Activo</v>
      </c>
      <c r="M286" s="4" t="str">
        <f>Sheet!K286</f>
        <v xml:space="preserve">ARQ 8°    </v>
      </c>
    </row>
    <row r="287" spans="1:13" x14ac:dyDescent="0.35">
      <c r="A287" t="s">
        <v>1</v>
      </c>
      <c r="B287" s="5" t="s">
        <v>252</v>
      </c>
      <c r="C287" s="4" t="s">
        <v>722</v>
      </c>
      <c r="D287" s="4" t="s">
        <v>964</v>
      </c>
      <c r="E287" t="s">
        <v>3223</v>
      </c>
      <c r="F287" t="str">
        <f>CONCATENATE("'",Sheet!E287)</f>
        <v>'109976</v>
      </c>
      <c r="G287" t="s">
        <v>1736</v>
      </c>
      <c r="H287" s="4" t="str">
        <f>Sheet!F287</f>
        <v>GRAJALES SAINZ IVANA</v>
      </c>
      <c r="I287" s="4" t="str">
        <f>Sheet!G287</f>
        <v>INGENIERIA AEROESPACIAL</v>
      </c>
      <c r="J287" s="4" t="str">
        <f>Sheet!H287</f>
        <v>10mo</v>
      </c>
      <c r="K287" s="4" t="str">
        <f>Sheet!I287</f>
        <v>Femenino</v>
      </c>
      <c r="L287" s="4" t="str">
        <f>Sheet!J287</f>
        <v>Activo</v>
      </c>
      <c r="M287" s="4" t="str">
        <f>Sheet!K287</f>
        <v xml:space="preserve">AERO_10°  </v>
      </c>
    </row>
    <row r="288" spans="1:13" x14ac:dyDescent="0.35">
      <c r="A288" t="s">
        <v>1</v>
      </c>
      <c r="B288" s="5" t="s">
        <v>253</v>
      </c>
      <c r="C288" s="4" t="s">
        <v>596</v>
      </c>
      <c r="D288" s="4" t="s">
        <v>863</v>
      </c>
      <c r="E288" t="s">
        <v>3226</v>
      </c>
      <c r="F288" t="str">
        <f>CONCATENATE("'",Sheet!E288)</f>
        <v>'110570</v>
      </c>
      <c r="G288" t="s">
        <v>1736</v>
      </c>
      <c r="H288" s="4" t="str">
        <f>Sheet!F288</f>
        <v>MORENO TOSCANO JAAZIEL ALEJANDRO</v>
      </c>
      <c r="I288" s="4" t="str">
        <f>Sheet!G288</f>
        <v>INGENIERIA AEROESPACIAL</v>
      </c>
      <c r="J288" s="4" t="str">
        <f>Sheet!H288</f>
        <v>8vo</v>
      </c>
      <c r="K288" s="4" t="str">
        <f>Sheet!I288</f>
        <v>Masculino</v>
      </c>
      <c r="L288" s="4" t="str">
        <f>Sheet!J288</f>
        <v>Activo</v>
      </c>
      <c r="M288" s="4" t="str">
        <f>Sheet!K288</f>
        <v xml:space="preserve">AERO 8°   </v>
      </c>
    </row>
    <row r="289" spans="1:13" x14ac:dyDescent="0.35">
      <c r="A289" t="s">
        <v>1</v>
      </c>
      <c r="B289" s="5" t="s">
        <v>254</v>
      </c>
      <c r="C289" s="4" t="s">
        <v>544</v>
      </c>
      <c r="D289" s="4"/>
      <c r="E289" t="s">
        <v>3229</v>
      </c>
      <c r="F289" t="str">
        <f>CONCATENATE("'",Sheet!E289)</f>
        <v>'111213</v>
      </c>
      <c r="G289" t="s">
        <v>1736</v>
      </c>
      <c r="H289" s="4" t="str">
        <f>Sheet!F289</f>
        <v>HERNANDEZ  JACKELINE</v>
      </c>
      <c r="I289" s="4" t="str">
        <f>Sheet!G289</f>
        <v>ARQUITECTURA</v>
      </c>
      <c r="J289" s="4" t="str">
        <f>Sheet!H289</f>
        <v>6to</v>
      </c>
      <c r="K289" s="4" t="str">
        <f>Sheet!I289</f>
        <v>Femenino</v>
      </c>
      <c r="L289" s="4" t="str">
        <f>Sheet!J289</f>
        <v>Activo</v>
      </c>
      <c r="M289" s="4" t="str">
        <f>Sheet!K289</f>
        <v xml:space="preserve">ARQ 6°    </v>
      </c>
    </row>
    <row r="290" spans="1:13" x14ac:dyDescent="0.35">
      <c r="A290" t="s">
        <v>1</v>
      </c>
      <c r="B290" s="5" t="s">
        <v>255</v>
      </c>
      <c r="C290" s="4" t="s">
        <v>585</v>
      </c>
      <c r="D290" s="4" t="s">
        <v>532</v>
      </c>
      <c r="E290" t="s">
        <v>3232</v>
      </c>
      <c r="F290" t="str">
        <f>CONCATENATE("'",Sheet!E290)</f>
        <v>'112211</v>
      </c>
      <c r="G290" t="s">
        <v>1736</v>
      </c>
      <c r="H290" s="4" t="str">
        <f>Sheet!F290</f>
        <v>NUÑEZ VEGA JACOBO</v>
      </c>
      <c r="I290" s="4" t="str">
        <f>Sheet!G290</f>
        <v>INGENIERIA AEROESPACIAL</v>
      </c>
      <c r="J290" s="4" t="str">
        <f>Sheet!H290</f>
        <v>2do</v>
      </c>
      <c r="K290" s="4" t="str">
        <f>Sheet!I290</f>
        <v>Masculino</v>
      </c>
      <c r="L290" s="4" t="str">
        <f>Sheet!J290</f>
        <v>Activo</v>
      </c>
      <c r="M290" s="4" t="str">
        <f>Sheet!K290</f>
        <v xml:space="preserve">AERO 2°B  </v>
      </c>
    </row>
    <row r="291" spans="1:13" x14ac:dyDescent="0.35">
      <c r="A291" t="s">
        <v>1</v>
      </c>
      <c r="B291" s="5" t="s">
        <v>256</v>
      </c>
      <c r="C291" s="4" t="s">
        <v>723</v>
      </c>
      <c r="D291" s="4" t="s">
        <v>881</v>
      </c>
      <c r="E291" t="s">
        <v>3235</v>
      </c>
      <c r="F291" t="str">
        <f>CONCATENATE("'",Sheet!E291)</f>
        <v>'110425</v>
      </c>
      <c r="G291" t="s">
        <v>1736</v>
      </c>
      <c r="H291" s="4" t="str">
        <f>Sheet!F291</f>
        <v>MEZA CORTES JADYN</v>
      </c>
      <c r="I291" s="4" t="str">
        <f>Sheet!G291</f>
        <v>ANIMACION DIGITAL Y VIDEOJUEGOS</v>
      </c>
      <c r="J291" s="4" t="str">
        <f>Sheet!H291</f>
        <v>8vo</v>
      </c>
      <c r="K291" s="4" t="str">
        <f>Sheet!I291</f>
        <v>Femenino</v>
      </c>
      <c r="L291" s="4" t="str">
        <f>Sheet!J291</f>
        <v>Activo</v>
      </c>
      <c r="M291" s="4" t="str">
        <f>Sheet!K291</f>
        <v xml:space="preserve">ANIM 8°   </v>
      </c>
    </row>
    <row r="292" spans="1:13" x14ac:dyDescent="0.35">
      <c r="A292" t="s">
        <v>1</v>
      </c>
      <c r="B292" s="5" t="s">
        <v>257</v>
      </c>
      <c r="C292" s="4" t="s">
        <v>591</v>
      </c>
      <c r="D292" s="4" t="s">
        <v>728</v>
      </c>
      <c r="E292" t="s">
        <v>3238</v>
      </c>
      <c r="F292" t="str">
        <f>CONCATENATE("'",Sheet!E292)</f>
        <v>'109993</v>
      </c>
      <c r="G292" t="s">
        <v>1736</v>
      </c>
      <c r="H292" s="4" t="str">
        <f>Sheet!F292</f>
        <v>GUTIERREZ AVILA JAIME EMMANUEL</v>
      </c>
      <c r="I292" s="4" t="str">
        <f>Sheet!G292</f>
        <v>INGENIERIA AEROESPACIAL</v>
      </c>
      <c r="J292" s="4" t="str">
        <f>Sheet!H292</f>
        <v>10mo</v>
      </c>
      <c r="K292" s="4" t="str">
        <f>Sheet!I292</f>
        <v>Masculino</v>
      </c>
      <c r="L292" s="4" t="str">
        <f>Sheet!J292</f>
        <v>Activo</v>
      </c>
      <c r="M292" s="4" t="str">
        <f>Sheet!K292</f>
        <v xml:space="preserve">AERO_10°  </v>
      </c>
    </row>
    <row r="293" spans="1:13" x14ac:dyDescent="0.35">
      <c r="A293" t="s">
        <v>1</v>
      </c>
      <c r="B293" s="5" t="s">
        <v>258</v>
      </c>
      <c r="C293" s="4" t="s">
        <v>622</v>
      </c>
      <c r="D293" s="4" t="s">
        <v>530</v>
      </c>
      <c r="E293" t="s">
        <v>3241</v>
      </c>
      <c r="F293" t="str">
        <f>CONCATENATE("'",Sheet!E293)</f>
        <v>'111762</v>
      </c>
      <c r="G293" t="s">
        <v>1736</v>
      </c>
      <c r="H293" s="4" t="str">
        <f>Sheet!F293</f>
        <v>MUÑOZ SANDOVAL JAIME GABRIEL</v>
      </c>
      <c r="I293" s="4" t="str">
        <f>Sheet!G293</f>
        <v>INGENIERIA AEROESPACIAL</v>
      </c>
      <c r="J293" s="4" t="str">
        <f>Sheet!H293</f>
        <v>4to</v>
      </c>
      <c r="K293" s="4" t="str">
        <f>Sheet!I293</f>
        <v>Masculino</v>
      </c>
      <c r="L293" s="4" t="str">
        <f>Sheet!J293</f>
        <v>Activo</v>
      </c>
      <c r="M293" s="4" t="str">
        <f>Sheet!K293</f>
        <v xml:space="preserve">AERO 4°B  </v>
      </c>
    </row>
    <row r="294" spans="1:13" x14ac:dyDescent="0.35">
      <c r="A294" t="s">
        <v>1</v>
      </c>
      <c r="B294" s="5" t="s">
        <v>259</v>
      </c>
      <c r="C294" s="4" t="s">
        <v>724</v>
      </c>
      <c r="D294" s="4" t="s">
        <v>582</v>
      </c>
      <c r="E294" t="s">
        <v>3244</v>
      </c>
      <c r="F294" t="str">
        <f>CONCATENATE("'",Sheet!E294)</f>
        <v>'111731</v>
      </c>
      <c r="G294" t="s">
        <v>1736</v>
      </c>
      <c r="H294" s="4" t="str">
        <f>Sheet!F294</f>
        <v>QUESNEY CABRERA JANETH</v>
      </c>
      <c r="I294" s="4" t="str">
        <f>Sheet!G294</f>
        <v>ANIMACION DIGITAL Y VIDEOJUEGOS</v>
      </c>
      <c r="J294" s="4" t="str">
        <f>Sheet!H294</f>
        <v>4to</v>
      </c>
      <c r="K294" s="4" t="str">
        <f>Sheet!I294</f>
        <v>Femenino</v>
      </c>
      <c r="L294" s="4" t="str">
        <f>Sheet!J294</f>
        <v>Activo</v>
      </c>
      <c r="M294" s="4" t="str">
        <f>Sheet!K294</f>
        <v xml:space="preserve">ANIM 4°   </v>
      </c>
    </row>
    <row r="295" spans="1:13" x14ac:dyDescent="0.35">
      <c r="A295" t="s">
        <v>1</v>
      </c>
      <c r="B295" s="5" t="s">
        <v>260</v>
      </c>
      <c r="C295" s="4" t="s">
        <v>725</v>
      </c>
      <c r="D295" s="4" t="s">
        <v>589</v>
      </c>
      <c r="E295" t="s">
        <v>3247</v>
      </c>
      <c r="F295" t="str">
        <f>CONCATENATE("'",Sheet!E295)</f>
        <v>'112302</v>
      </c>
      <c r="G295" t="s">
        <v>1736</v>
      </c>
      <c r="H295" s="4" t="str">
        <f>Sheet!F295</f>
        <v>VALLADOLID GARCIA JARED ESAU</v>
      </c>
      <c r="I295" s="4" t="str">
        <f>Sheet!G295</f>
        <v>INGENIERIA AEROESPACIAL</v>
      </c>
      <c r="J295" s="4" t="str">
        <f>Sheet!H295</f>
        <v>2do</v>
      </c>
      <c r="K295" s="4" t="str">
        <f>Sheet!I295</f>
        <v>Masculino</v>
      </c>
      <c r="L295" s="4" t="str">
        <f>Sheet!J295</f>
        <v>Activo</v>
      </c>
      <c r="M295" s="4" t="str">
        <f>Sheet!K295</f>
        <v xml:space="preserve">AERO 2°A  </v>
      </c>
    </row>
    <row r="296" spans="1:13" x14ac:dyDescent="0.35">
      <c r="A296" t="s">
        <v>1</v>
      </c>
      <c r="B296" s="5" t="s">
        <v>261</v>
      </c>
      <c r="C296" s="4" t="s">
        <v>646</v>
      </c>
      <c r="D296" s="4" t="s">
        <v>687</v>
      </c>
      <c r="E296" t="s">
        <v>3250</v>
      </c>
      <c r="F296" t="str">
        <f>CONCATENATE("'",Sheet!E296)</f>
        <v>'111171</v>
      </c>
      <c r="G296" t="s">
        <v>1736</v>
      </c>
      <c r="H296" s="4" t="str">
        <f>Sheet!F296</f>
        <v>AYALA ESPARZA JAVIER</v>
      </c>
      <c r="I296" s="4" t="str">
        <f>Sheet!G296</f>
        <v>INGENIERÍA AUTOMOTRIZ</v>
      </c>
      <c r="J296" s="4" t="str">
        <f>Sheet!H296</f>
        <v>6to</v>
      </c>
      <c r="K296" s="4" t="str">
        <f>Sheet!I296</f>
        <v>Masculino</v>
      </c>
      <c r="L296" s="4" t="str">
        <f>Sheet!J296</f>
        <v>Activo</v>
      </c>
      <c r="M296" s="4" t="str">
        <f>Sheet!K296</f>
        <v xml:space="preserve">AUTO 6°   </v>
      </c>
    </row>
    <row r="297" spans="1:13" x14ac:dyDescent="0.35">
      <c r="A297" t="s">
        <v>1</v>
      </c>
      <c r="B297" s="5" t="s">
        <v>261</v>
      </c>
      <c r="C297" s="4" t="s">
        <v>544</v>
      </c>
      <c r="D297" s="4" t="s">
        <v>644</v>
      </c>
      <c r="E297" t="s">
        <v>3253</v>
      </c>
      <c r="F297" t="str">
        <f>CONCATENATE("'",Sheet!E297)</f>
        <v>'110442</v>
      </c>
      <c r="G297" t="s">
        <v>1736</v>
      </c>
      <c r="H297" s="4" t="str">
        <f>Sheet!F297</f>
        <v>HERNANDEZ RENDON JAVIER</v>
      </c>
      <c r="I297" s="4" t="str">
        <f>Sheet!G297</f>
        <v>PSICOLOGIA</v>
      </c>
      <c r="J297" s="4" t="str">
        <f>Sheet!H297</f>
        <v>8vo</v>
      </c>
      <c r="K297" s="4" t="str">
        <f>Sheet!I297</f>
        <v>Masculino</v>
      </c>
      <c r="L297" s="4" t="str">
        <f>Sheet!J297</f>
        <v>Activo</v>
      </c>
      <c r="M297" s="4" t="str">
        <f>Sheet!K297</f>
        <v xml:space="preserve">PSI 8°    </v>
      </c>
    </row>
    <row r="298" spans="1:13" x14ac:dyDescent="0.35">
      <c r="A298" t="s">
        <v>1</v>
      </c>
      <c r="B298" s="5" t="s">
        <v>262</v>
      </c>
      <c r="C298" s="4" t="s">
        <v>726</v>
      </c>
      <c r="D298" s="4" t="s">
        <v>544</v>
      </c>
      <c r="E298" t="s">
        <v>3256</v>
      </c>
      <c r="F298" t="str">
        <f>CONCATENATE("'",Sheet!E298)</f>
        <v>'112189</v>
      </c>
      <c r="G298" t="s">
        <v>1736</v>
      </c>
      <c r="H298" s="4" t="str">
        <f>Sheet!F298</f>
        <v>CORONA HERNANDEZ JAVIER ALEJANDRO</v>
      </c>
      <c r="I298" s="4" t="str">
        <f>Sheet!G298</f>
        <v>INGENIERÍA AUTOMOTRIZ</v>
      </c>
      <c r="J298" s="4" t="str">
        <f>Sheet!H298</f>
        <v>2do</v>
      </c>
      <c r="K298" s="4" t="str">
        <f>Sheet!I298</f>
        <v>Masculino</v>
      </c>
      <c r="L298" s="4" t="str">
        <f>Sheet!J298</f>
        <v>Activo</v>
      </c>
      <c r="M298" s="4" t="str">
        <f>Sheet!K298</f>
        <v xml:space="preserve">AUTO 2° B </v>
      </c>
    </row>
    <row r="299" spans="1:13" x14ac:dyDescent="0.35">
      <c r="A299" t="s">
        <v>1</v>
      </c>
      <c r="B299" s="5" t="s">
        <v>263</v>
      </c>
      <c r="C299" s="4" t="s">
        <v>727</v>
      </c>
      <c r="D299" s="4" t="s">
        <v>965</v>
      </c>
      <c r="E299" t="s">
        <v>3259</v>
      </c>
      <c r="F299" t="str">
        <f>CONCATENATE("'",Sheet!E299)</f>
        <v>'111330</v>
      </c>
      <c r="G299" t="s">
        <v>1736</v>
      </c>
      <c r="H299" s="4" t="str">
        <f>Sheet!F299</f>
        <v>ARIAS ESCOBAR JAVIER ANDRES</v>
      </c>
      <c r="I299" s="4" t="str">
        <f>Sheet!G299</f>
        <v>ANIMACION DIGITAL Y VIDEOJUEGOS</v>
      </c>
      <c r="J299" s="4" t="str">
        <f>Sheet!H299</f>
        <v>4to</v>
      </c>
      <c r="K299" s="4" t="str">
        <f>Sheet!I299</f>
        <v>Masculino</v>
      </c>
      <c r="L299" s="4" t="str">
        <f>Sheet!J299</f>
        <v>Activo</v>
      </c>
      <c r="M299" s="4" t="str">
        <f>Sheet!K299</f>
        <v xml:space="preserve">ANIM 4°   </v>
      </c>
    </row>
    <row r="300" spans="1:13" x14ac:dyDescent="0.35">
      <c r="A300" t="s">
        <v>1</v>
      </c>
      <c r="B300" s="5" t="s">
        <v>264</v>
      </c>
      <c r="C300" s="4" t="s">
        <v>712</v>
      </c>
      <c r="D300" s="4" t="s">
        <v>762</v>
      </c>
      <c r="E300" t="s">
        <v>3262</v>
      </c>
      <c r="F300" t="str">
        <f>CONCATENATE("'",Sheet!E300)</f>
        <v>'111613</v>
      </c>
      <c r="G300" t="s">
        <v>1736</v>
      </c>
      <c r="H300" s="4" t="str">
        <f>Sheet!F300</f>
        <v>MARISCAL REYES JAVIER ANTONIO</v>
      </c>
      <c r="I300" s="4" t="str">
        <f>Sheet!G300</f>
        <v>INGENIERIA AEROESPACIAL</v>
      </c>
      <c r="J300" s="4" t="str">
        <f>Sheet!H300</f>
        <v>4to</v>
      </c>
      <c r="K300" s="4" t="str">
        <f>Sheet!I300</f>
        <v>Masculino</v>
      </c>
      <c r="L300" s="4" t="str">
        <f>Sheet!J300</f>
        <v>Activo</v>
      </c>
      <c r="M300" s="4" t="str">
        <f>Sheet!K300</f>
        <v xml:space="preserve">AERO 4°B  </v>
      </c>
    </row>
    <row r="301" spans="1:13" x14ac:dyDescent="0.35">
      <c r="A301" t="s">
        <v>1</v>
      </c>
      <c r="B301" s="5" t="s">
        <v>265</v>
      </c>
      <c r="C301" s="4" t="s">
        <v>659</v>
      </c>
      <c r="D301" s="4" t="s">
        <v>966</v>
      </c>
      <c r="E301" t="s">
        <v>3265</v>
      </c>
      <c r="F301" t="str">
        <f>CONCATENATE("'",Sheet!E301)</f>
        <v>'109958</v>
      </c>
      <c r="G301" t="s">
        <v>1736</v>
      </c>
      <c r="H301" s="4" t="str">
        <f>Sheet!F301</f>
        <v>AGUILAR LUGO JAVIER EDUARDO</v>
      </c>
      <c r="I301" s="4" t="str">
        <f>Sheet!G301</f>
        <v>INGENIERIA AEROESPACIAL</v>
      </c>
      <c r="J301" s="4" t="str">
        <f>Sheet!H301</f>
        <v>10mo</v>
      </c>
      <c r="K301" s="4" t="str">
        <f>Sheet!I301</f>
        <v>Masculino</v>
      </c>
      <c r="L301" s="4" t="str">
        <f>Sheet!J301</f>
        <v>Activo</v>
      </c>
      <c r="M301" s="4" t="str">
        <f>Sheet!K301</f>
        <v xml:space="preserve">AERO_10°  </v>
      </c>
    </row>
    <row r="302" spans="1:13" x14ac:dyDescent="0.35">
      <c r="A302" t="s">
        <v>1</v>
      </c>
      <c r="B302" s="5" t="s">
        <v>266</v>
      </c>
      <c r="C302" s="4" t="s">
        <v>728</v>
      </c>
      <c r="D302" s="4" t="s">
        <v>967</v>
      </c>
      <c r="E302" t="s">
        <v>3268</v>
      </c>
      <c r="F302" t="str">
        <f>CONCATENATE("'",Sheet!E302)</f>
        <v>'112238</v>
      </c>
      <c r="G302" t="s">
        <v>1736</v>
      </c>
      <c r="H302" s="4" t="str">
        <f>Sheet!F302</f>
        <v>AVILA PLASCENCIA JAVIER ISAIAS</v>
      </c>
      <c r="I302" s="4" t="str">
        <f>Sheet!G302</f>
        <v>INGENIERÍA AUTOMOTRIZ</v>
      </c>
      <c r="J302" s="4" t="str">
        <f>Sheet!H302</f>
        <v>2do</v>
      </c>
      <c r="K302" s="4" t="str">
        <f>Sheet!I302</f>
        <v>Masculino</v>
      </c>
      <c r="L302" s="4" t="str">
        <f>Sheet!J302</f>
        <v>Activo</v>
      </c>
      <c r="M302" s="4" t="str">
        <f>Sheet!K302</f>
        <v xml:space="preserve">AUTO 2° A </v>
      </c>
    </row>
    <row r="303" spans="1:13" x14ac:dyDescent="0.35">
      <c r="A303" t="s">
        <v>1</v>
      </c>
      <c r="B303" s="5" t="s">
        <v>267</v>
      </c>
      <c r="C303" s="4" t="s">
        <v>659</v>
      </c>
      <c r="D303" s="4" t="s">
        <v>654</v>
      </c>
      <c r="E303" t="s">
        <v>3271</v>
      </c>
      <c r="F303" t="str">
        <f>CONCATENATE("'",Sheet!E303)</f>
        <v>'112266</v>
      </c>
      <c r="G303" t="s">
        <v>1736</v>
      </c>
      <c r="H303" s="4" t="str">
        <f>Sheet!F303</f>
        <v>AGUILAR RUIZ JENIFER VANESSA</v>
      </c>
      <c r="I303" s="4" t="str">
        <f>Sheet!G303</f>
        <v>INGENIERIA AEROESPACIAL</v>
      </c>
      <c r="J303" s="4" t="str">
        <f>Sheet!H303</f>
        <v>2do</v>
      </c>
      <c r="K303" s="4" t="str">
        <f>Sheet!I303</f>
        <v>Femenino</v>
      </c>
      <c r="L303" s="4" t="str">
        <f>Sheet!J303</f>
        <v>Activo</v>
      </c>
      <c r="M303" s="4" t="str">
        <f>Sheet!K303</f>
        <v xml:space="preserve">AERO 2°A  </v>
      </c>
    </row>
    <row r="304" spans="1:13" x14ac:dyDescent="0.35">
      <c r="A304" t="s">
        <v>1</v>
      </c>
      <c r="B304" s="5" t="s">
        <v>268</v>
      </c>
      <c r="C304" s="4" t="s">
        <v>596</v>
      </c>
      <c r="D304" s="4" t="s">
        <v>968</v>
      </c>
      <c r="E304" t="s">
        <v>3274</v>
      </c>
      <c r="F304" t="str">
        <f>CONCATENATE("'",Sheet!E304)</f>
        <v>'110533</v>
      </c>
      <c r="G304" t="s">
        <v>1736</v>
      </c>
      <c r="H304" s="4" t="str">
        <f>Sheet!F304</f>
        <v>MORENO LEPE JENNIFER</v>
      </c>
      <c r="I304" s="4" t="str">
        <f>Sheet!G304</f>
        <v>ADMINISTRACION Y DIRECCION DE NEGOCIOS</v>
      </c>
      <c r="J304" s="4" t="str">
        <f>Sheet!H304</f>
        <v>8vo</v>
      </c>
      <c r="K304" s="4" t="str">
        <f>Sheet!I304</f>
        <v>Femenino</v>
      </c>
      <c r="L304" s="4" t="str">
        <f>Sheet!J304</f>
        <v>Activo</v>
      </c>
      <c r="M304" s="4" t="str">
        <f>Sheet!K304</f>
        <v xml:space="preserve">ADMON 8°  </v>
      </c>
    </row>
    <row r="305" spans="1:13" x14ac:dyDescent="0.35">
      <c r="A305" t="s">
        <v>1</v>
      </c>
      <c r="B305" s="5" t="s">
        <v>269</v>
      </c>
      <c r="C305" s="4" t="s">
        <v>636</v>
      </c>
      <c r="D305" s="4" t="s">
        <v>776</v>
      </c>
      <c r="E305" t="s">
        <v>3277</v>
      </c>
      <c r="F305" t="str">
        <f>CONCATENATE("'",Sheet!E305)</f>
        <v>'112230</v>
      </c>
      <c r="G305" t="s">
        <v>1736</v>
      </c>
      <c r="H305" s="4" t="str">
        <f>Sheet!F305</f>
        <v>MARTINEZ SALAZAR JESSIE ESTEFANIA</v>
      </c>
      <c r="I305" s="4" t="str">
        <f>Sheet!G305</f>
        <v>INGENIERIA AEROESPACIAL</v>
      </c>
      <c r="J305" s="4" t="str">
        <f>Sheet!H305</f>
        <v>2do</v>
      </c>
      <c r="K305" s="4" t="str">
        <f>Sheet!I305</f>
        <v>Femenino</v>
      </c>
      <c r="L305" s="4" t="str">
        <f>Sheet!J305</f>
        <v>Activo</v>
      </c>
      <c r="M305" s="4" t="str">
        <f>Sheet!K305</f>
        <v xml:space="preserve">AERO 2°B  </v>
      </c>
    </row>
    <row r="306" spans="1:13" x14ac:dyDescent="0.35">
      <c r="A306" t="s">
        <v>1</v>
      </c>
      <c r="B306" s="5" t="s">
        <v>270</v>
      </c>
      <c r="C306" s="4" t="s">
        <v>729</v>
      </c>
      <c r="D306" s="4" t="s">
        <v>969</v>
      </c>
      <c r="E306" t="s">
        <v>3280</v>
      </c>
      <c r="F306" t="str">
        <f>CONCATENATE("'",Sheet!E306)</f>
        <v>'111749</v>
      </c>
      <c r="G306" t="s">
        <v>1736</v>
      </c>
      <c r="H306" s="4" t="str">
        <f>Sheet!F306</f>
        <v>NAVARRETE TERRONES JESUS ABRAHAM</v>
      </c>
      <c r="I306" s="4" t="str">
        <f>Sheet!G306</f>
        <v>INGENIERIA AEROESPACIAL</v>
      </c>
      <c r="J306" s="4" t="str">
        <f>Sheet!H306</f>
        <v>4to</v>
      </c>
      <c r="K306" s="4" t="str">
        <f>Sheet!I306</f>
        <v>Masculino</v>
      </c>
      <c r="L306" s="4" t="str">
        <f>Sheet!J306</f>
        <v>Activo</v>
      </c>
      <c r="M306" s="4" t="str">
        <f>Sheet!K306</f>
        <v xml:space="preserve">AERO 4°B  </v>
      </c>
    </row>
    <row r="307" spans="1:13" x14ac:dyDescent="0.35">
      <c r="A307" t="s">
        <v>1</v>
      </c>
      <c r="B307" s="5" t="s">
        <v>271</v>
      </c>
      <c r="C307" s="4" t="s">
        <v>536</v>
      </c>
      <c r="D307" s="4" t="s">
        <v>762</v>
      </c>
      <c r="E307" t="s">
        <v>3283</v>
      </c>
      <c r="F307" t="str">
        <f>CONCATENATE("'",Sheet!E307)</f>
        <v>'111820</v>
      </c>
      <c r="G307" t="s">
        <v>1736</v>
      </c>
      <c r="H307" s="4" t="str">
        <f>Sheet!F307</f>
        <v>MORALES REYES JESUS ANDRES</v>
      </c>
      <c r="I307" s="4" t="str">
        <f>Sheet!G307</f>
        <v>PSICOLOGIA</v>
      </c>
      <c r="J307" s="4" t="str">
        <f>Sheet!H307</f>
        <v>4to</v>
      </c>
      <c r="K307" s="4" t="str">
        <f>Sheet!I307</f>
        <v>Masculino</v>
      </c>
      <c r="L307" s="4" t="str">
        <f>Sheet!J307</f>
        <v>Activo</v>
      </c>
      <c r="M307" s="4" t="str">
        <f>Sheet!K307</f>
        <v xml:space="preserve">PSI 4°    </v>
      </c>
    </row>
    <row r="308" spans="1:13" x14ac:dyDescent="0.35">
      <c r="A308" t="s">
        <v>1</v>
      </c>
      <c r="B308" s="5" t="s">
        <v>272</v>
      </c>
      <c r="C308" s="4" t="s">
        <v>730</v>
      </c>
      <c r="D308" s="4" t="s">
        <v>819</v>
      </c>
      <c r="E308" t="s">
        <v>3286</v>
      </c>
      <c r="F308" t="str">
        <f>CONCATENATE("'",Sheet!E308)</f>
        <v>'111055</v>
      </c>
      <c r="G308" t="s">
        <v>1736</v>
      </c>
      <c r="H308" s="4" t="str">
        <f>Sheet!F308</f>
        <v>ARGANDA RUBIO JESUS BENJAMIN</v>
      </c>
      <c r="I308" s="4" t="str">
        <f>Sheet!G308</f>
        <v>ANIMACION DIGITAL Y VIDEOJUEGOS</v>
      </c>
      <c r="J308" s="4" t="str">
        <f>Sheet!H308</f>
        <v>6to</v>
      </c>
      <c r="K308" s="4" t="str">
        <f>Sheet!I308</f>
        <v>Masculino</v>
      </c>
      <c r="L308" s="4" t="str">
        <f>Sheet!J308</f>
        <v>Activo</v>
      </c>
      <c r="M308" s="4" t="str">
        <f>Sheet!K308</f>
        <v xml:space="preserve">ANIM 6°   </v>
      </c>
    </row>
    <row r="309" spans="1:13" x14ac:dyDescent="0.35">
      <c r="A309" t="s">
        <v>1</v>
      </c>
      <c r="B309" s="5" t="s">
        <v>273</v>
      </c>
      <c r="C309" s="4" t="s">
        <v>560</v>
      </c>
      <c r="D309" s="4" t="s">
        <v>656</v>
      </c>
      <c r="E309" t="s">
        <v>3289</v>
      </c>
      <c r="F309" t="str">
        <f>CONCATENATE("'",Sheet!E309)</f>
        <v>'110459</v>
      </c>
      <c r="G309" t="s">
        <v>1736</v>
      </c>
      <c r="H309" s="4" t="str">
        <f>Sheet!F309</f>
        <v>RAMOS CONTRERAS JESUS EDUARDO</v>
      </c>
      <c r="I309" s="4" t="str">
        <f>Sheet!G309</f>
        <v>INGENIERIA AEROESPACIAL</v>
      </c>
      <c r="J309" s="4" t="str">
        <f>Sheet!H309</f>
        <v>8vo</v>
      </c>
      <c r="K309" s="4" t="str">
        <f>Sheet!I309</f>
        <v>Masculino</v>
      </c>
      <c r="L309" s="4" t="str">
        <f>Sheet!J309</f>
        <v>Activo</v>
      </c>
      <c r="M309" s="4" t="str">
        <f>Sheet!K309</f>
        <v xml:space="preserve">AERO 8°   </v>
      </c>
    </row>
    <row r="310" spans="1:13" x14ac:dyDescent="0.35">
      <c r="A310" t="s">
        <v>1</v>
      </c>
      <c r="B310" s="5" t="s">
        <v>274</v>
      </c>
      <c r="C310" s="4" t="s">
        <v>599</v>
      </c>
      <c r="D310" s="4" t="s">
        <v>660</v>
      </c>
      <c r="E310" t="s">
        <v>3292</v>
      </c>
      <c r="F310" t="str">
        <f>CONCATENATE("'",Sheet!E310)</f>
        <v>'112253</v>
      </c>
      <c r="G310" t="s">
        <v>1736</v>
      </c>
      <c r="H310" s="4" t="str">
        <f>Sheet!F310</f>
        <v>CARDENAS ORTIZ JESUS EMMANUEL</v>
      </c>
      <c r="I310" s="4" t="str">
        <f>Sheet!G310</f>
        <v>INGENIERIA AEROESPACIAL</v>
      </c>
      <c r="J310" s="4" t="str">
        <f>Sheet!H310</f>
        <v>2do</v>
      </c>
      <c r="K310" s="4" t="str">
        <f>Sheet!I310</f>
        <v>Masculino</v>
      </c>
      <c r="L310" s="4" t="str">
        <f>Sheet!J310</f>
        <v>Activo</v>
      </c>
      <c r="M310" s="4" t="str">
        <f>Sheet!K310</f>
        <v xml:space="preserve">AERO 2°A  </v>
      </c>
    </row>
    <row r="311" spans="1:13" x14ac:dyDescent="0.35">
      <c r="A311" t="s">
        <v>1</v>
      </c>
      <c r="B311" s="5" t="s">
        <v>275</v>
      </c>
      <c r="C311" s="4" t="s">
        <v>731</v>
      </c>
      <c r="D311" s="4" t="s">
        <v>528</v>
      </c>
      <c r="E311" t="s">
        <v>3295</v>
      </c>
      <c r="F311" t="str">
        <f>CONCATENATE("'",Sheet!E311)</f>
        <v>'109899</v>
      </c>
      <c r="G311" t="s">
        <v>1736</v>
      </c>
      <c r="H311" s="4" t="str">
        <f>Sheet!F311</f>
        <v>ARIZMENDI MENDOZA JESUS ISSAHI</v>
      </c>
      <c r="I311" s="4" t="str">
        <f>Sheet!G311</f>
        <v>INGENIERIA AEROESPACIAL</v>
      </c>
      <c r="J311" s="4" t="str">
        <f>Sheet!H311</f>
        <v>10mo</v>
      </c>
      <c r="K311" s="4" t="str">
        <f>Sheet!I311</f>
        <v>Masculino</v>
      </c>
      <c r="L311" s="4" t="str">
        <f>Sheet!J311</f>
        <v>Activo</v>
      </c>
      <c r="M311" s="4" t="str">
        <f>Sheet!K311</f>
        <v xml:space="preserve">AERO_10°  </v>
      </c>
    </row>
    <row r="312" spans="1:13" x14ac:dyDescent="0.35">
      <c r="A312" t="s">
        <v>1</v>
      </c>
      <c r="B312" s="5" t="s">
        <v>276</v>
      </c>
      <c r="C312" s="4" t="s">
        <v>626</v>
      </c>
      <c r="D312" s="4" t="s">
        <v>621</v>
      </c>
      <c r="E312" t="s">
        <v>3298</v>
      </c>
      <c r="F312" t="str">
        <f>CONCATENATE("'",Sheet!E312)</f>
        <v>'110470</v>
      </c>
      <c r="G312" t="s">
        <v>1736</v>
      </c>
      <c r="H312" s="4" t="str">
        <f>Sheet!F312</f>
        <v>NAVARRO LOPEZ JIMENA</v>
      </c>
      <c r="I312" s="4" t="str">
        <f>Sheet!G312</f>
        <v>ADMINISTRACION Y DIRECCION DE NEGOCIOS</v>
      </c>
      <c r="J312" s="4" t="str">
        <f>Sheet!H312</f>
        <v>8vo</v>
      </c>
      <c r="K312" s="4" t="str">
        <f>Sheet!I312</f>
        <v>Femenino</v>
      </c>
      <c r="L312" s="4" t="str">
        <f>Sheet!J312</f>
        <v>Activo</v>
      </c>
      <c r="M312" s="4" t="str">
        <f>Sheet!K312</f>
        <v xml:space="preserve">ADMON 8°  </v>
      </c>
    </row>
    <row r="313" spans="1:13" x14ac:dyDescent="0.35">
      <c r="A313" t="s">
        <v>1</v>
      </c>
      <c r="B313" s="5" t="s">
        <v>277</v>
      </c>
      <c r="C313" s="4" t="s">
        <v>732</v>
      </c>
      <c r="D313" s="4" t="s">
        <v>679</v>
      </c>
      <c r="E313" t="s">
        <v>3301</v>
      </c>
      <c r="F313" t="str">
        <f>CONCATENATE("'",Sheet!E313)</f>
        <v>'111084</v>
      </c>
      <c r="G313" t="s">
        <v>1736</v>
      </c>
      <c r="H313" s="4" t="str">
        <f>Sheet!F313</f>
        <v>ZEA GOMEZ JOAQUIN</v>
      </c>
      <c r="I313" s="4" t="str">
        <f>Sheet!G313</f>
        <v>ARQUITECTURA</v>
      </c>
      <c r="J313" s="4" t="str">
        <f>Sheet!H313</f>
        <v>6to</v>
      </c>
      <c r="K313" s="4" t="str">
        <f>Sheet!I313</f>
        <v>Masculino</v>
      </c>
      <c r="L313" s="4" t="str">
        <f>Sheet!J313</f>
        <v>Activo</v>
      </c>
      <c r="M313" s="4" t="str">
        <f>Sheet!K313</f>
        <v xml:space="preserve">ARQ 6°    </v>
      </c>
    </row>
    <row r="314" spans="1:13" x14ac:dyDescent="0.35">
      <c r="A314" t="s">
        <v>1</v>
      </c>
      <c r="B314" s="5" t="s">
        <v>278</v>
      </c>
      <c r="C314" s="4" t="s">
        <v>733</v>
      </c>
      <c r="D314" s="4" t="s">
        <v>636</v>
      </c>
      <c r="E314" t="s">
        <v>3304</v>
      </c>
      <c r="F314" t="str">
        <f>CONCATENATE("'",Sheet!E314)</f>
        <v>'111638</v>
      </c>
      <c r="G314" t="s">
        <v>1736</v>
      </c>
      <c r="H314" s="4" t="str">
        <f>Sheet!F314</f>
        <v>VALDENEBRO MARTINEZ JOAQUIN ALEJANDRO</v>
      </c>
      <c r="I314" s="4" t="str">
        <f>Sheet!G314</f>
        <v>INGENIERÍA AUTOMOTRIZ</v>
      </c>
      <c r="J314" s="4" t="str">
        <f>Sheet!H314</f>
        <v>4to</v>
      </c>
      <c r="K314" s="4" t="str">
        <f>Sheet!I314</f>
        <v>Masculino</v>
      </c>
      <c r="L314" s="4" t="str">
        <f>Sheet!J314</f>
        <v>Activo</v>
      </c>
      <c r="M314" s="4" t="str">
        <f>Sheet!K314</f>
        <v xml:space="preserve">AUTO 4°   </v>
      </c>
    </row>
    <row r="315" spans="1:13" x14ac:dyDescent="0.35">
      <c r="A315" t="s">
        <v>1</v>
      </c>
      <c r="B315" s="5" t="s">
        <v>279</v>
      </c>
      <c r="C315" s="4" t="s">
        <v>734</v>
      </c>
      <c r="D315" s="4" t="s">
        <v>970</v>
      </c>
      <c r="E315" t="s">
        <v>3307</v>
      </c>
      <c r="F315" t="str">
        <f>CONCATENATE("'",Sheet!E315)</f>
        <v>'110534</v>
      </c>
      <c r="G315" t="s">
        <v>1736</v>
      </c>
      <c r="H315" s="4" t="str">
        <f>Sheet!F315</f>
        <v>FUENTES TALAVERA JOCELYN MONTSERRAT</v>
      </c>
      <c r="I315" s="4" t="str">
        <f>Sheet!G315</f>
        <v>ANIMACION DIGITAL Y VIDEOJUEGOS</v>
      </c>
      <c r="J315" s="4" t="str">
        <f>Sheet!H315</f>
        <v>8vo</v>
      </c>
      <c r="K315" s="4" t="str">
        <f>Sheet!I315</f>
        <v>Femenino</v>
      </c>
      <c r="L315" s="4" t="str">
        <f>Sheet!J315</f>
        <v>Activo</v>
      </c>
      <c r="M315" s="4" t="str">
        <f>Sheet!K315</f>
        <v xml:space="preserve">ANIM 8°   </v>
      </c>
    </row>
    <row r="316" spans="1:13" x14ac:dyDescent="0.35">
      <c r="A316" t="s">
        <v>1</v>
      </c>
      <c r="B316" s="5" t="s">
        <v>280</v>
      </c>
      <c r="C316" s="4" t="s">
        <v>735</v>
      </c>
      <c r="D316" s="4" t="s">
        <v>971</v>
      </c>
      <c r="E316" t="s">
        <v>3310</v>
      </c>
      <c r="F316" t="str">
        <f>CONCATENATE("'",Sheet!E316)</f>
        <v>'111726</v>
      </c>
      <c r="G316" t="s">
        <v>1736</v>
      </c>
      <c r="H316" s="4" t="str">
        <f>Sheet!F316</f>
        <v>DURAN RUVALCABA JONATHAN OSWALDO</v>
      </c>
      <c r="I316" s="4" t="str">
        <f>Sheet!G316</f>
        <v>INGENIERIA AEROESPACIAL</v>
      </c>
      <c r="J316" s="4" t="str">
        <f>Sheet!H316</f>
        <v>4to</v>
      </c>
      <c r="K316" s="4" t="str">
        <f>Sheet!I316</f>
        <v>Masculino</v>
      </c>
      <c r="L316" s="4" t="str">
        <f>Sheet!J316</f>
        <v>Activo</v>
      </c>
      <c r="M316" s="4" t="str">
        <f>Sheet!K316</f>
        <v xml:space="preserve">AERO 4°A  </v>
      </c>
    </row>
    <row r="317" spans="1:13" x14ac:dyDescent="0.35">
      <c r="A317" t="s">
        <v>1</v>
      </c>
      <c r="B317" s="5" t="s">
        <v>281</v>
      </c>
      <c r="C317" s="4" t="s">
        <v>639</v>
      </c>
      <c r="D317" s="4" t="s">
        <v>751</v>
      </c>
      <c r="E317" t="s">
        <v>3313</v>
      </c>
      <c r="F317" t="str">
        <f>CONCATENATE("'",Sheet!E317)</f>
        <v>'111748</v>
      </c>
      <c r="G317" t="s">
        <v>1736</v>
      </c>
      <c r="H317" s="4" t="str">
        <f>Sheet!F317</f>
        <v>FIGUEROA BAÑUELOS JONATHAN ULISES</v>
      </c>
      <c r="I317" s="4" t="str">
        <f>Sheet!G317</f>
        <v>INGENIERÍA AUTOMOTRIZ</v>
      </c>
      <c r="J317" s="4" t="str">
        <f>Sheet!H317</f>
        <v>4to</v>
      </c>
      <c r="K317" s="4" t="str">
        <f>Sheet!I317</f>
        <v>Masculino</v>
      </c>
      <c r="L317" s="4" t="str">
        <f>Sheet!J317</f>
        <v>Activo</v>
      </c>
      <c r="M317" s="4" t="str">
        <f>Sheet!K317</f>
        <v xml:space="preserve">AUTO 4°   </v>
      </c>
    </row>
    <row r="318" spans="1:13" x14ac:dyDescent="0.35">
      <c r="A318" t="s">
        <v>1</v>
      </c>
      <c r="B318" s="5" t="s">
        <v>282</v>
      </c>
      <c r="C318" s="4" t="s">
        <v>736</v>
      </c>
      <c r="D318" s="4" t="s">
        <v>687</v>
      </c>
      <c r="E318" t="s">
        <v>3316</v>
      </c>
      <c r="F318" t="str">
        <f>CONCATENATE("'",Sheet!E318)</f>
        <v>'111120</v>
      </c>
      <c r="G318" t="s">
        <v>1736</v>
      </c>
      <c r="H318" s="4" t="str">
        <f>Sheet!F318</f>
        <v>DIAZ ESPARZA JORGE ARMANDO</v>
      </c>
      <c r="I318" s="4" t="str">
        <f>Sheet!G318</f>
        <v>INGENIERIA AEROESPACIAL</v>
      </c>
      <c r="J318" s="4" t="str">
        <f>Sheet!H318</f>
        <v>6to</v>
      </c>
      <c r="K318" s="4" t="str">
        <f>Sheet!I318</f>
        <v>Masculino</v>
      </c>
      <c r="L318" s="4" t="str">
        <f>Sheet!J318</f>
        <v>Activo</v>
      </c>
      <c r="M318" s="4" t="str">
        <f>Sheet!K318</f>
        <v xml:space="preserve">AERO 6°   </v>
      </c>
    </row>
    <row r="319" spans="1:13" x14ac:dyDescent="0.35">
      <c r="A319" t="s">
        <v>1</v>
      </c>
      <c r="B319" s="5" t="s">
        <v>283</v>
      </c>
      <c r="C319" s="4" t="s">
        <v>690</v>
      </c>
      <c r="D319" s="4" t="s">
        <v>554</v>
      </c>
      <c r="E319" t="s">
        <v>3319</v>
      </c>
      <c r="F319" t="str">
        <f>CONCATENATE("'",Sheet!E319)</f>
        <v>'112183</v>
      </c>
      <c r="G319" t="s">
        <v>1736</v>
      </c>
      <c r="H319" s="4" t="str">
        <f>Sheet!F319</f>
        <v>CASTRO SOLIS JORGE EDUARDO</v>
      </c>
      <c r="I319" s="4" t="str">
        <f>Sheet!G319</f>
        <v>INGENIERIA AEROESPACIAL</v>
      </c>
      <c r="J319" s="4" t="str">
        <f>Sheet!H319</f>
        <v>2do</v>
      </c>
      <c r="K319" s="4" t="str">
        <f>Sheet!I319</f>
        <v>Masculino</v>
      </c>
      <c r="L319" s="4" t="str">
        <f>Sheet!J319</f>
        <v>Activo</v>
      </c>
      <c r="M319" s="4" t="str">
        <f>Sheet!K319</f>
        <v xml:space="preserve">AERO 2°A  </v>
      </c>
    </row>
    <row r="320" spans="1:13" x14ac:dyDescent="0.35">
      <c r="A320" t="s">
        <v>1</v>
      </c>
      <c r="B320" s="5" t="s">
        <v>283</v>
      </c>
      <c r="C320" s="4" t="s">
        <v>737</v>
      </c>
      <c r="D320" s="4" t="s">
        <v>670</v>
      </c>
      <c r="E320" t="s">
        <v>3322</v>
      </c>
      <c r="F320" t="str">
        <f>CONCATENATE("'",Sheet!E320)</f>
        <v>'007341</v>
      </c>
      <c r="G320" t="s">
        <v>1736</v>
      </c>
      <c r="H320" s="4" t="str">
        <f>Sheet!F320</f>
        <v>LLAMAS DE ANDA JORGE EDUARDO</v>
      </c>
      <c r="I320" s="4" t="str">
        <f>Sheet!G320</f>
        <v>ARQUITECTURA</v>
      </c>
      <c r="J320" s="4" t="str">
        <f>Sheet!H320</f>
        <v>8vo</v>
      </c>
      <c r="K320" s="4" t="str">
        <f>Sheet!I320</f>
        <v>Masculino</v>
      </c>
      <c r="L320" s="4" t="str">
        <f>Sheet!J320</f>
        <v>Activo</v>
      </c>
      <c r="M320" s="4" t="str">
        <f>Sheet!K320</f>
        <v xml:space="preserve">ARQ 8°    </v>
      </c>
    </row>
    <row r="321" spans="1:13" x14ac:dyDescent="0.35">
      <c r="A321" t="s">
        <v>1</v>
      </c>
      <c r="B321" s="5" t="s">
        <v>284</v>
      </c>
      <c r="C321" s="4" t="s">
        <v>660</v>
      </c>
      <c r="D321" s="4" t="s">
        <v>539</v>
      </c>
      <c r="E321" t="s">
        <v>3325</v>
      </c>
      <c r="F321" t="str">
        <f>CONCATENATE("'",Sheet!E321)</f>
        <v>'111672</v>
      </c>
      <c r="G321" t="s">
        <v>1736</v>
      </c>
      <c r="H321" s="4" t="str">
        <f>Sheet!F321</f>
        <v>ORTIZ RODRIGUEZ JORGE JULIAN</v>
      </c>
      <c r="I321" s="4" t="str">
        <f>Sheet!G321</f>
        <v>INGENIERIA AEROESPACIAL</v>
      </c>
      <c r="J321" s="4" t="str">
        <f>Sheet!H321</f>
        <v>4to</v>
      </c>
      <c r="K321" s="4" t="str">
        <f>Sheet!I321</f>
        <v>Masculino</v>
      </c>
      <c r="L321" s="4" t="str">
        <f>Sheet!J321</f>
        <v>Activo</v>
      </c>
      <c r="M321" s="4" t="str">
        <f>Sheet!K321</f>
        <v xml:space="preserve">AERO 4°A  </v>
      </c>
    </row>
    <row r="322" spans="1:13" x14ac:dyDescent="0.35">
      <c r="A322" t="s">
        <v>1</v>
      </c>
      <c r="B322" s="5" t="s">
        <v>285</v>
      </c>
      <c r="C322" s="4" t="s">
        <v>690</v>
      </c>
      <c r="D322" s="4" t="s">
        <v>783</v>
      </c>
      <c r="E322" t="s">
        <v>3328</v>
      </c>
      <c r="F322" t="str">
        <f>CONCATENATE("'",Sheet!E322)</f>
        <v>'112195</v>
      </c>
      <c r="G322" t="s">
        <v>1736</v>
      </c>
      <c r="H322" s="4" t="str">
        <f>Sheet!F322</f>
        <v>CASTRO MARQUEZ JORGE LUIS</v>
      </c>
      <c r="I322" s="4" t="str">
        <f>Sheet!G322</f>
        <v>INGENIERÍA AUTOMOTRIZ</v>
      </c>
      <c r="J322" s="4" t="str">
        <f>Sheet!H322</f>
        <v>2do</v>
      </c>
      <c r="K322" s="4" t="str">
        <f>Sheet!I322</f>
        <v>Masculino</v>
      </c>
      <c r="L322" s="4" t="str">
        <f>Sheet!J322</f>
        <v>Activo</v>
      </c>
      <c r="M322" s="4" t="str">
        <f>Sheet!K322</f>
        <v xml:space="preserve">AUTO 2° B </v>
      </c>
    </row>
    <row r="323" spans="1:13" x14ac:dyDescent="0.35">
      <c r="A323" t="s">
        <v>1</v>
      </c>
      <c r="B323" s="5" t="s">
        <v>285</v>
      </c>
      <c r="C323" s="4" t="s">
        <v>738</v>
      </c>
      <c r="D323" s="4" t="s">
        <v>621</v>
      </c>
      <c r="E323" t="s">
        <v>3331</v>
      </c>
      <c r="F323" t="str">
        <f>CONCATENATE("'",Sheet!E323)</f>
        <v>'110497</v>
      </c>
      <c r="G323" t="s">
        <v>1736</v>
      </c>
      <c r="H323" s="4" t="str">
        <f>Sheet!F323</f>
        <v>ROBLES LOPEZ JORGE LUIS</v>
      </c>
      <c r="I323" s="4" t="str">
        <f>Sheet!G323</f>
        <v>INGENIERIA CIBERNETICA Y EN SISTEMAS COMPUTACIONALES</v>
      </c>
      <c r="J323" s="4" t="str">
        <f>Sheet!H323</f>
        <v>8vo</v>
      </c>
      <c r="K323" s="4" t="str">
        <f>Sheet!I323</f>
        <v>Masculino</v>
      </c>
      <c r="L323" s="4" t="str">
        <f>Sheet!J323</f>
        <v>Activo</v>
      </c>
      <c r="M323" s="4" t="str">
        <f>Sheet!K323</f>
        <v xml:space="preserve">CIB 8°    </v>
      </c>
    </row>
    <row r="324" spans="1:13" x14ac:dyDescent="0.35">
      <c r="A324" t="s">
        <v>1</v>
      </c>
      <c r="B324" s="5" t="s">
        <v>286</v>
      </c>
      <c r="C324" s="4" t="s">
        <v>593</v>
      </c>
      <c r="D324" s="4" t="s">
        <v>629</v>
      </c>
      <c r="E324" t="s">
        <v>3334</v>
      </c>
      <c r="F324" t="str">
        <f>CONCATENATE("'",Sheet!E324)</f>
        <v>'112233</v>
      </c>
      <c r="G324" t="s">
        <v>1736</v>
      </c>
      <c r="H324" s="4" t="str">
        <f>Sheet!F324</f>
        <v>SANCHEZ RAMIREZ JORGE SANTANA</v>
      </c>
      <c r="I324" s="4" t="str">
        <f>Sheet!G324</f>
        <v>INGENIERÍA AUTOMOTRIZ</v>
      </c>
      <c r="J324" s="4" t="str">
        <f>Sheet!H324</f>
        <v>2do</v>
      </c>
      <c r="K324" s="4" t="str">
        <f>Sheet!I324</f>
        <v>Masculino</v>
      </c>
      <c r="L324" s="4" t="str">
        <f>Sheet!J324</f>
        <v>Activo</v>
      </c>
      <c r="M324" s="4" t="str">
        <f>Sheet!K324</f>
        <v xml:space="preserve">AUTO 2° B </v>
      </c>
    </row>
    <row r="325" spans="1:13" x14ac:dyDescent="0.35">
      <c r="A325" t="s">
        <v>1</v>
      </c>
      <c r="B325" s="5" t="s">
        <v>287</v>
      </c>
      <c r="C325" s="4" t="s">
        <v>739</v>
      </c>
      <c r="D325" s="4" t="s">
        <v>589</v>
      </c>
      <c r="E325" t="s">
        <v>3337</v>
      </c>
      <c r="F325" t="str">
        <f>CONCATENATE("'",Sheet!E325)</f>
        <v>'112197</v>
      </c>
      <c r="G325" t="s">
        <v>1736</v>
      </c>
      <c r="H325" s="4" t="str">
        <f>Sheet!F325</f>
        <v>ESCOBEDO GARCIA JOSE</v>
      </c>
      <c r="I325" s="4" t="str">
        <f>Sheet!G325</f>
        <v>INGENIERÍA AUTOMOTRIZ</v>
      </c>
      <c r="J325" s="4" t="str">
        <f>Sheet!H325</f>
        <v>2do</v>
      </c>
      <c r="K325" s="4" t="str">
        <f>Sheet!I325</f>
        <v>Masculino</v>
      </c>
      <c r="L325" s="4" t="str">
        <f>Sheet!J325</f>
        <v>Activo</v>
      </c>
      <c r="M325" s="4" t="str">
        <f>Sheet!K325</f>
        <v xml:space="preserve">AUTO 2° B </v>
      </c>
    </row>
    <row r="326" spans="1:13" x14ac:dyDescent="0.35">
      <c r="A326" t="s">
        <v>1</v>
      </c>
      <c r="B326" s="5" t="s">
        <v>288</v>
      </c>
      <c r="C326" s="4" t="s">
        <v>740</v>
      </c>
      <c r="D326" s="4" t="s">
        <v>645</v>
      </c>
      <c r="E326" t="s">
        <v>3340</v>
      </c>
      <c r="F326" t="str">
        <f>CONCATENATE("'",Sheet!E326)</f>
        <v>'110673</v>
      </c>
      <c r="G326" t="s">
        <v>1736</v>
      </c>
      <c r="H326" s="4" t="str">
        <f>Sheet!F326</f>
        <v>RUBALCAVA MERCADO JOSE ALBERTO</v>
      </c>
      <c r="I326" s="4" t="str">
        <f>Sheet!G326</f>
        <v>MERCADOTECNIA Y PUBLICIDAD</v>
      </c>
      <c r="J326" s="4" t="str">
        <f>Sheet!H326</f>
        <v>8vo</v>
      </c>
      <c r="K326" s="4" t="str">
        <f>Sheet!I326</f>
        <v>Masculino</v>
      </c>
      <c r="L326" s="4" t="str">
        <f>Sheet!J326</f>
        <v>Activo</v>
      </c>
      <c r="M326" s="4" t="str">
        <f>Sheet!K326</f>
        <v xml:space="preserve">MKT 8°    </v>
      </c>
    </row>
    <row r="327" spans="1:13" x14ac:dyDescent="0.35">
      <c r="A327" t="s">
        <v>1</v>
      </c>
      <c r="B327" s="5" t="s">
        <v>289</v>
      </c>
      <c r="C327" s="4" t="s">
        <v>741</v>
      </c>
      <c r="D327" s="4" t="s">
        <v>854</v>
      </c>
      <c r="E327" t="s">
        <v>3343</v>
      </c>
      <c r="F327" t="str">
        <f>CONCATENATE("'",Sheet!E327)</f>
        <v>'110451</v>
      </c>
      <c r="G327" t="s">
        <v>1736</v>
      </c>
      <c r="H327" s="4" t="str">
        <f>Sheet!F327</f>
        <v>URSIEL ORTEGA JOSE ALEJANDRO</v>
      </c>
      <c r="I327" s="4" t="str">
        <f>Sheet!G327</f>
        <v>INGENIERIA AEROESPACIAL</v>
      </c>
      <c r="J327" s="4" t="str">
        <f>Sheet!H327</f>
        <v>8vo</v>
      </c>
      <c r="K327" s="4" t="str">
        <f>Sheet!I327</f>
        <v>Masculino</v>
      </c>
      <c r="L327" s="4" t="str">
        <f>Sheet!J327</f>
        <v>Activo</v>
      </c>
      <c r="M327" s="4" t="str">
        <f>Sheet!K327</f>
        <v xml:space="preserve">AERO 8°   </v>
      </c>
    </row>
    <row r="328" spans="1:13" x14ac:dyDescent="0.35">
      <c r="A328" t="s">
        <v>1</v>
      </c>
      <c r="B328" s="5" t="s">
        <v>290</v>
      </c>
      <c r="C328" s="4" t="s">
        <v>548</v>
      </c>
      <c r="D328" s="4" t="s">
        <v>783</v>
      </c>
      <c r="E328" t="s">
        <v>3346</v>
      </c>
      <c r="F328" t="str">
        <f>CONCATENATE("'",Sheet!E328)</f>
        <v>'112205</v>
      </c>
      <c r="G328" t="s">
        <v>1736</v>
      </c>
      <c r="H328" s="4" t="str">
        <f>Sheet!F328</f>
        <v>PEREZ MARQUEZ JOSE ALFREDO</v>
      </c>
      <c r="I328" s="4" t="str">
        <f>Sheet!G328</f>
        <v>INGENIERÍA AUTOMOTRIZ</v>
      </c>
      <c r="J328" s="4" t="str">
        <f>Sheet!H328</f>
        <v>2do</v>
      </c>
      <c r="K328" s="4" t="str">
        <f>Sheet!I328</f>
        <v>Masculino</v>
      </c>
      <c r="L328" s="4" t="str">
        <f>Sheet!J328</f>
        <v>Activo</v>
      </c>
      <c r="M328" s="4" t="str">
        <f>Sheet!K328</f>
        <v xml:space="preserve">AUTO 2° B </v>
      </c>
    </row>
    <row r="329" spans="1:13" x14ac:dyDescent="0.35">
      <c r="A329" t="s">
        <v>1</v>
      </c>
      <c r="B329" s="5" t="s">
        <v>291</v>
      </c>
      <c r="C329" s="4" t="s">
        <v>548</v>
      </c>
      <c r="D329" s="4" t="s">
        <v>656</v>
      </c>
      <c r="E329" t="s">
        <v>3349</v>
      </c>
      <c r="F329" t="str">
        <f>CONCATENATE("'",Sheet!E329)</f>
        <v>'111771</v>
      </c>
      <c r="G329" t="s">
        <v>1736</v>
      </c>
      <c r="H329" s="4" t="str">
        <f>Sheet!F329</f>
        <v>PEREZ CONTRERAS JOSE ANGEL</v>
      </c>
      <c r="I329" s="4" t="str">
        <f>Sheet!G329</f>
        <v>INGENIERÍA AUTOMOTRIZ</v>
      </c>
      <c r="J329" s="4" t="str">
        <f>Sheet!H329</f>
        <v>4to</v>
      </c>
      <c r="K329" s="4" t="str">
        <f>Sheet!I329</f>
        <v>Masculino</v>
      </c>
      <c r="L329" s="4" t="str">
        <f>Sheet!J329</f>
        <v>Activo</v>
      </c>
      <c r="M329" s="4" t="str">
        <f>Sheet!K329</f>
        <v xml:space="preserve">AUTO 4°   </v>
      </c>
    </row>
    <row r="330" spans="1:13" x14ac:dyDescent="0.35">
      <c r="A330" t="s">
        <v>1</v>
      </c>
      <c r="B330" s="5" t="s">
        <v>292</v>
      </c>
      <c r="C330" s="4" t="s">
        <v>622</v>
      </c>
      <c r="D330" s="4" t="s">
        <v>972</v>
      </c>
      <c r="E330" t="s">
        <v>3352</v>
      </c>
      <c r="F330" t="str">
        <f>CONCATENATE("'",Sheet!E330)</f>
        <v>'111751</v>
      </c>
      <c r="G330" t="s">
        <v>1736</v>
      </c>
      <c r="H330" s="4" t="str">
        <f>Sheet!F330</f>
        <v>MUÑOZ SEVILLA JOSE ANTONIO</v>
      </c>
      <c r="I330" s="4" t="str">
        <f>Sheet!G330</f>
        <v>INGENIERÍA AUTOMOTRIZ</v>
      </c>
      <c r="J330" s="4" t="str">
        <f>Sheet!H330</f>
        <v>4to</v>
      </c>
      <c r="K330" s="4" t="str">
        <f>Sheet!I330</f>
        <v>Masculino</v>
      </c>
      <c r="L330" s="4" t="str">
        <f>Sheet!J330</f>
        <v>Activo</v>
      </c>
      <c r="M330" s="4" t="str">
        <f>Sheet!K330</f>
        <v xml:space="preserve">AUTO 4°   </v>
      </c>
    </row>
    <row r="331" spans="1:13" x14ac:dyDescent="0.35">
      <c r="A331" t="s">
        <v>1</v>
      </c>
      <c r="B331" s="5" t="s">
        <v>293</v>
      </c>
      <c r="C331" s="4" t="s">
        <v>539</v>
      </c>
      <c r="D331" s="4" t="s">
        <v>636</v>
      </c>
      <c r="E331" t="s">
        <v>3354</v>
      </c>
      <c r="F331" t="str">
        <f>CONCATENATE("'",Sheet!E331)</f>
        <v>'110480</v>
      </c>
      <c r="G331" t="s">
        <v>1736</v>
      </c>
      <c r="H331" s="4" t="str">
        <f>Sheet!F331</f>
        <v>RODRIGUEZ MARTINEZ JOSE DANIEL</v>
      </c>
      <c r="I331" s="4" t="str">
        <f>Sheet!G331</f>
        <v>INGENIERIA AEROESPACIAL</v>
      </c>
      <c r="J331" s="4" t="str">
        <f>Sheet!H331</f>
        <v>8vo</v>
      </c>
      <c r="K331" s="4" t="str">
        <f>Sheet!I331</f>
        <v>Masculino</v>
      </c>
      <c r="L331" s="4" t="str">
        <f>Sheet!J331</f>
        <v>Activo</v>
      </c>
      <c r="M331" s="4" t="str">
        <f>Sheet!K331</f>
        <v xml:space="preserve">AERO 8°   </v>
      </c>
    </row>
    <row r="332" spans="1:13" x14ac:dyDescent="0.35">
      <c r="A332" t="s">
        <v>1</v>
      </c>
      <c r="B332" s="5" t="s">
        <v>294</v>
      </c>
      <c r="C332" s="4" t="s">
        <v>742</v>
      </c>
      <c r="D332" s="4" t="s">
        <v>973</v>
      </c>
      <c r="E332" t="s">
        <v>3357</v>
      </c>
      <c r="F332" t="str">
        <f>CONCATENATE("'",Sheet!E332)</f>
        <v>'110614</v>
      </c>
      <c r="G332" t="s">
        <v>1736</v>
      </c>
      <c r="H332" s="4" t="str">
        <f>Sheet!F332</f>
        <v>CRUZ TELLEZ JOSE DAVID</v>
      </c>
      <c r="I332" s="4" t="str">
        <f>Sheet!G332</f>
        <v>ARQUITECTURA</v>
      </c>
      <c r="J332" s="4" t="str">
        <f>Sheet!H332</f>
        <v>8vo</v>
      </c>
      <c r="K332" s="4" t="str">
        <f>Sheet!I332</f>
        <v>Masculino</v>
      </c>
      <c r="L332" s="4" t="str">
        <f>Sheet!J332</f>
        <v>Activo</v>
      </c>
      <c r="M332" s="4" t="str">
        <f>Sheet!K332</f>
        <v xml:space="preserve">ARQ 8°    </v>
      </c>
    </row>
    <row r="333" spans="1:13" x14ac:dyDescent="0.35">
      <c r="A333" t="s">
        <v>1</v>
      </c>
      <c r="B333" s="5" t="s">
        <v>295</v>
      </c>
      <c r="C333" s="4" t="s">
        <v>600</v>
      </c>
      <c r="D333" s="4" t="s">
        <v>974</v>
      </c>
      <c r="E333" t="s">
        <v>3360</v>
      </c>
      <c r="F333" t="str">
        <f>CONCATENATE("'",Sheet!E333)</f>
        <v>'112224</v>
      </c>
      <c r="G333" t="s">
        <v>1736</v>
      </c>
      <c r="H333" s="4" t="str">
        <f>Sheet!F333</f>
        <v>TORRES LUA JOSE EDUARDO</v>
      </c>
      <c r="I333" s="4" t="str">
        <f>Sheet!G333</f>
        <v>INGENIERIA AEROESPACIAL</v>
      </c>
      <c r="J333" s="4" t="str">
        <f>Sheet!H333</f>
        <v>2do</v>
      </c>
      <c r="K333" s="4" t="str">
        <f>Sheet!I333</f>
        <v>Masculino</v>
      </c>
      <c r="L333" s="4" t="str">
        <f>Sheet!J333</f>
        <v>Activo</v>
      </c>
      <c r="M333" s="4" t="str">
        <f>Sheet!K333</f>
        <v xml:space="preserve">AERO 2°B  </v>
      </c>
    </row>
    <row r="334" spans="1:13" x14ac:dyDescent="0.35">
      <c r="A334" t="s">
        <v>1</v>
      </c>
      <c r="B334" s="5" t="s">
        <v>296</v>
      </c>
      <c r="C334" s="4" t="s">
        <v>743</v>
      </c>
      <c r="D334" s="4" t="s">
        <v>589</v>
      </c>
      <c r="E334" t="s">
        <v>3363</v>
      </c>
      <c r="F334" t="str">
        <f>CONCATENATE("'",Sheet!E334)</f>
        <v>'111616</v>
      </c>
      <c r="G334" t="s">
        <v>1736</v>
      </c>
      <c r="H334" s="4" t="str">
        <f>Sheet!F334</f>
        <v>BECERRIL GARCIA JOSE EMMANUEL</v>
      </c>
      <c r="I334" s="4" t="str">
        <f>Sheet!G334</f>
        <v>ARQUITECTURA</v>
      </c>
      <c r="J334" s="4" t="str">
        <f>Sheet!H334</f>
        <v>4to</v>
      </c>
      <c r="K334" s="4" t="str">
        <f>Sheet!I334</f>
        <v>Masculino</v>
      </c>
      <c r="L334" s="4" t="str">
        <f>Sheet!J334</f>
        <v>Activo</v>
      </c>
      <c r="M334" s="4" t="str">
        <f>Sheet!K334</f>
        <v xml:space="preserve">ARQ 4°    </v>
      </c>
    </row>
    <row r="335" spans="1:13" x14ac:dyDescent="0.35">
      <c r="A335" t="s">
        <v>1</v>
      </c>
      <c r="B335" s="5" t="s">
        <v>297</v>
      </c>
      <c r="C335" s="4" t="s">
        <v>744</v>
      </c>
      <c r="D335" s="4" t="s">
        <v>589</v>
      </c>
      <c r="E335" t="s">
        <v>3366</v>
      </c>
      <c r="F335" t="str">
        <f>CONCATENATE("'",Sheet!E335)</f>
        <v>'111735</v>
      </c>
      <c r="G335" t="s">
        <v>1736</v>
      </c>
      <c r="H335" s="4" t="str">
        <f>Sheet!F335</f>
        <v>DIAZ DE LEON GARCIA JOSE HUMBERTO</v>
      </c>
      <c r="I335" s="4" t="str">
        <f>Sheet!G335</f>
        <v>NUTRICION Y GASTRONOMIA</v>
      </c>
      <c r="J335" s="4" t="str">
        <f>Sheet!H335</f>
        <v>4to</v>
      </c>
      <c r="K335" s="4" t="str">
        <f>Sheet!I335</f>
        <v>Masculino</v>
      </c>
      <c r="L335" s="4" t="str">
        <f>Sheet!J335</f>
        <v>Activo</v>
      </c>
      <c r="M335" s="4" t="str">
        <f>Sheet!K335</f>
        <v xml:space="preserve">NUT 4°    </v>
      </c>
    </row>
    <row r="336" spans="1:13" x14ac:dyDescent="0.35">
      <c r="A336" t="s">
        <v>1</v>
      </c>
      <c r="B336" s="5" t="s">
        <v>298</v>
      </c>
      <c r="C336" s="4" t="s">
        <v>745</v>
      </c>
      <c r="D336" s="4" t="s">
        <v>881</v>
      </c>
      <c r="E336" t="s">
        <v>3369</v>
      </c>
      <c r="F336" t="str">
        <f>CONCATENATE("'",Sheet!E336)</f>
        <v>'111051</v>
      </c>
      <c r="G336" t="s">
        <v>1736</v>
      </c>
      <c r="H336" s="4" t="str">
        <f>Sheet!F336</f>
        <v>CISNEROS CORTES JOSE ISAAC</v>
      </c>
      <c r="I336" s="4" t="str">
        <f>Sheet!G336</f>
        <v>ARQUITECTURA</v>
      </c>
      <c r="J336" s="4" t="str">
        <f>Sheet!H336</f>
        <v>6to</v>
      </c>
      <c r="K336" s="4" t="str">
        <f>Sheet!I336</f>
        <v>Masculino</v>
      </c>
      <c r="L336" s="4" t="str">
        <f>Sheet!J336</f>
        <v>Activo</v>
      </c>
      <c r="M336" s="4" t="str">
        <f>Sheet!K336</f>
        <v xml:space="preserve">ARQ 6°    </v>
      </c>
    </row>
    <row r="337" spans="1:13" x14ac:dyDescent="0.35">
      <c r="A337" t="s">
        <v>1</v>
      </c>
      <c r="B337" s="5" t="s">
        <v>299</v>
      </c>
      <c r="C337" s="4" t="s">
        <v>746</v>
      </c>
      <c r="D337" s="4" t="s">
        <v>877</v>
      </c>
      <c r="E337" t="s">
        <v>3372</v>
      </c>
      <c r="F337" t="str">
        <f>CONCATENATE("'",Sheet!E337)</f>
        <v>'111783</v>
      </c>
      <c r="G337" t="s">
        <v>1736</v>
      </c>
      <c r="H337" s="4" t="str">
        <f>Sheet!F337</f>
        <v>HORTA SOLTERO JOSE LUIS</v>
      </c>
      <c r="I337" s="4" t="str">
        <f>Sheet!G337</f>
        <v>INGENIERÍA AUTOMOTRIZ</v>
      </c>
      <c r="J337" s="4" t="str">
        <f>Sheet!H337</f>
        <v>4to</v>
      </c>
      <c r="K337" s="4" t="str">
        <f>Sheet!I337</f>
        <v>Masculino</v>
      </c>
      <c r="L337" s="4" t="str">
        <f>Sheet!J337</f>
        <v>Activo</v>
      </c>
      <c r="M337" s="4" t="str">
        <f>Sheet!K337</f>
        <v xml:space="preserve">AUTO 4°   </v>
      </c>
    </row>
    <row r="338" spans="1:13" x14ac:dyDescent="0.35">
      <c r="A338" t="s">
        <v>1</v>
      </c>
      <c r="B338" s="5" t="s">
        <v>300</v>
      </c>
      <c r="C338" s="4" t="s">
        <v>539</v>
      </c>
      <c r="D338" s="4" t="s">
        <v>817</v>
      </c>
      <c r="E338" t="s">
        <v>3375</v>
      </c>
      <c r="F338" t="str">
        <f>CONCATENATE("'",Sheet!E338)</f>
        <v>'111042</v>
      </c>
      <c r="G338" t="s">
        <v>1736</v>
      </c>
      <c r="H338" s="4" t="str">
        <f>Sheet!F338</f>
        <v>RODRIGUEZ AGUAYO JOSE MANUEL</v>
      </c>
      <c r="I338" s="4" t="str">
        <f>Sheet!G338</f>
        <v>ARQUITECTURA</v>
      </c>
      <c r="J338" s="4" t="str">
        <f>Sheet!H338</f>
        <v>6to</v>
      </c>
      <c r="K338" s="4" t="str">
        <f>Sheet!I338</f>
        <v>Masculino</v>
      </c>
      <c r="L338" s="4" t="str">
        <f>Sheet!J338</f>
        <v>Activo</v>
      </c>
      <c r="M338" s="4" t="str">
        <f>Sheet!K338</f>
        <v xml:space="preserve">ARQ 6°    </v>
      </c>
    </row>
    <row r="339" spans="1:13" x14ac:dyDescent="0.35">
      <c r="A339" t="s">
        <v>1</v>
      </c>
      <c r="B339" s="5" t="s">
        <v>301</v>
      </c>
      <c r="C339" s="4" t="s">
        <v>667</v>
      </c>
      <c r="D339" s="4" t="s">
        <v>582</v>
      </c>
      <c r="E339" t="s">
        <v>3378</v>
      </c>
      <c r="F339" t="str">
        <f>CONCATENATE("'",Sheet!E339)</f>
        <v>'110664</v>
      </c>
      <c r="G339" t="s">
        <v>1736</v>
      </c>
      <c r="H339" s="4" t="str">
        <f>Sheet!F339</f>
        <v>CORONADO CABRERA JOSE MARIA</v>
      </c>
      <c r="I339" s="4" t="str">
        <f>Sheet!G339</f>
        <v>NUTRICION Y GASTRONOMIA</v>
      </c>
      <c r="J339" s="4" t="str">
        <f>Sheet!H339</f>
        <v>8vo</v>
      </c>
      <c r="K339" s="4" t="str">
        <f>Sheet!I339</f>
        <v>Masculino</v>
      </c>
      <c r="L339" s="4" t="str">
        <f>Sheet!J339</f>
        <v>Activo</v>
      </c>
      <c r="M339" s="4" t="str">
        <f>Sheet!K339</f>
        <v xml:space="preserve">NUT 8°    </v>
      </c>
    </row>
    <row r="340" spans="1:13" x14ac:dyDescent="0.35">
      <c r="A340" t="s">
        <v>1</v>
      </c>
      <c r="B340" s="5" t="s">
        <v>302</v>
      </c>
      <c r="C340" s="4" t="s">
        <v>747</v>
      </c>
      <c r="D340" s="4" t="s">
        <v>593</v>
      </c>
      <c r="E340" t="s">
        <v>3381</v>
      </c>
      <c r="F340" t="str">
        <f>CONCATENATE("'",Sheet!E340)</f>
        <v>'110594</v>
      </c>
      <c r="G340" t="s">
        <v>1736</v>
      </c>
      <c r="H340" s="4" t="str">
        <f>Sheet!F340</f>
        <v>HUITRON SANCHEZ JOSE MAURICIO</v>
      </c>
      <c r="I340" s="4" t="str">
        <f>Sheet!G340</f>
        <v>INGENIERIA AEROESPACIAL</v>
      </c>
      <c r="J340" s="4" t="str">
        <f>Sheet!H340</f>
        <v>8vo</v>
      </c>
      <c r="K340" s="4" t="str">
        <f>Sheet!I340</f>
        <v>Masculino</v>
      </c>
      <c r="L340" s="4" t="str">
        <f>Sheet!J340</f>
        <v>Activo</v>
      </c>
      <c r="M340" s="4" t="str">
        <f>Sheet!K340</f>
        <v xml:space="preserve">AERO 8°   </v>
      </c>
    </row>
    <row r="341" spans="1:13" x14ac:dyDescent="0.35">
      <c r="A341" t="s">
        <v>1</v>
      </c>
      <c r="B341" s="5" t="s">
        <v>302</v>
      </c>
      <c r="C341" s="4" t="s">
        <v>748</v>
      </c>
      <c r="D341" s="4" t="s">
        <v>600</v>
      </c>
      <c r="E341" t="s">
        <v>3384</v>
      </c>
      <c r="F341" t="str">
        <f>CONCATENATE("'",Sheet!E341)</f>
        <v>'112300</v>
      </c>
      <c r="G341" t="s">
        <v>1736</v>
      </c>
      <c r="H341" s="4" t="str">
        <f>Sheet!F341</f>
        <v>OLIVAS TORRES JOSE MAURICIO</v>
      </c>
      <c r="I341" s="4" t="str">
        <f>Sheet!G341</f>
        <v>INGENIERIA AEROESPACIAL</v>
      </c>
      <c r="J341" s="4" t="str">
        <f>Sheet!H341</f>
        <v>2do</v>
      </c>
      <c r="K341" s="4" t="str">
        <f>Sheet!I341</f>
        <v>Masculino</v>
      </c>
      <c r="L341" s="4" t="str">
        <f>Sheet!J341</f>
        <v>Activo</v>
      </c>
      <c r="M341" s="4" t="str">
        <f>Sheet!K341</f>
        <v xml:space="preserve">AERO 2°B  </v>
      </c>
    </row>
    <row r="342" spans="1:13" x14ac:dyDescent="0.35">
      <c r="A342" t="s">
        <v>1</v>
      </c>
      <c r="B342" s="5" t="s">
        <v>303</v>
      </c>
      <c r="C342" s="4" t="s">
        <v>532</v>
      </c>
      <c r="D342" s="4" t="s">
        <v>975</v>
      </c>
      <c r="E342" t="s">
        <v>4200</v>
      </c>
      <c r="F342" t="str">
        <f>CONCATENATE("'",Sheet!E342)</f>
        <v>'111126</v>
      </c>
      <c r="G342" t="s">
        <v>1736</v>
      </c>
      <c r="H342" s="4" t="str">
        <f>Sheet!F342</f>
        <v>VEGA PACHECO JOSE RAMON</v>
      </c>
      <c r="I342" s="4" t="str">
        <f>Sheet!G342</f>
        <v>INGENIERIA AEROESPACIAL</v>
      </c>
      <c r="J342" s="4" t="str">
        <f>Sheet!H342</f>
        <v>6to</v>
      </c>
      <c r="K342" s="4" t="str">
        <f>Sheet!I342</f>
        <v>Masculino</v>
      </c>
      <c r="L342" s="4" t="str">
        <f>Sheet!J342</f>
        <v>Activo</v>
      </c>
      <c r="M342" s="4" t="str">
        <f>Sheet!K342</f>
        <v xml:space="preserve">AERO 6°   </v>
      </c>
    </row>
    <row r="343" spans="1:13" x14ac:dyDescent="0.35">
      <c r="A343" t="s">
        <v>1</v>
      </c>
      <c r="B343" s="5" t="s">
        <v>304</v>
      </c>
      <c r="C343" s="4" t="s">
        <v>749</v>
      </c>
      <c r="D343" s="4" t="s">
        <v>973</v>
      </c>
      <c r="E343" t="s">
        <v>3387</v>
      </c>
      <c r="F343" t="str">
        <f>CONCATENATE("'",Sheet!E343)</f>
        <v>'111747</v>
      </c>
      <c r="G343" t="s">
        <v>1736</v>
      </c>
      <c r="H343" s="4" t="str">
        <f>Sheet!F343</f>
        <v>GASCA TELLEZ JOSHUA ALEJANDRO</v>
      </c>
      <c r="I343" s="4" t="str">
        <f>Sheet!G343</f>
        <v>INGENIERÍA AUTOMOTRIZ</v>
      </c>
      <c r="J343" s="4" t="str">
        <f>Sheet!H343</f>
        <v>4to</v>
      </c>
      <c r="K343" s="4" t="str">
        <f>Sheet!I343</f>
        <v>Masculino</v>
      </c>
      <c r="L343" s="4" t="str">
        <f>Sheet!J343</f>
        <v>Activo</v>
      </c>
      <c r="M343" s="4" t="str">
        <f>Sheet!K343</f>
        <v xml:space="preserve">AUTO 4°   </v>
      </c>
    </row>
    <row r="344" spans="1:13" x14ac:dyDescent="0.35">
      <c r="A344" t="s">
        <v>1</v>
      </c>
      <c r="B344" s="5" t="s">
        <v>305</v>
      </c>
      <c r="C344" s="4" t="s">
        <v>548</v>
      </c>
      <c r="D344" s="4" t="s">
        <v>621</v>
      </c>
      <c r="E344" t="s">
        <v>3390</v>
      </c>
      <c r="F344" t="str">
        <f>CONCATENATE("'",Sheet!E344)</f>
        <v>'111770</v>
      </c>
      <c r="G344" t="s">
        <v>1736</v>
      </c>
      <c r="H344" s="4" t="str">
        <f>Sheet!F344</f>
        <v>PEREZ LOPEZ JOSUE JAVIER</v>
      </c>
      <c r="I344" s="4" t="str">
        <f>Sheet!G344</f>
        <v>INGENIERIA AEROESPACIAL</v>
      </c>
      <c r="J344" s="4" t="str">
        <f>Sheet!H344</f>
        <v>4to</v>
      </c>
      <c r="K344" s="4" t="str">
        <f>Sheet!I344</f>
        <v>Masculino</v>
      </c>
      <c r="L344" s="4" t="str">
        <f>Sheet!J344</f>
        <v>Activo</v>
      </c>
      <c r="M344" s="4" t="str">
        <f>Sheet!K344</f>
        <v xml:space="preserve">AERO 4°A  </v>
      </c>
    </row>
    <row r="345" spans="1:13" x14ac:dyDescent="0.35">
      <c r="A345" t="s">
        <v>1</v>
      </c>
      <c r="B345" s="5" t="s">
        <v>306</v>
      </c>
      <c r="C345" s="4" t="s">
        <v>750</v>
      </c>
      <c r="D345" s="4" t="s">
        <v>770</v>
      </c>
      <c r="E345" t="s">
        <v>3393</v>
      </c>
      <c r="F345" t="str">
        <f>CONCATENATE("'",Sheet!E345)</f>
        <v>'111172</v>
      </c>
      <c r="G345" t="s">
        <v>1736</v>
      </c>
      <c r="H345" s="4" t="str">
        <f>Sheet!F345</f>
        <v>MATA DE LA MORA JOSUE SEBASTIAN EMILIANO</v>
      </c>
      <c r="I345" s="4" t="str">
        <f>Sheet!G345</f>
        <v>ARQUITECTURA</v>
      </c>
      <c r="J345" s="4" t="str">
        <f>Sheet!H345</f>
        <v>6to</v>
      </c>
      <c r="K345" s="4" t="str">
        <f>Sheet!I345</f>
        <v>Masculino</v>
      </c>
      <c r="L345" s="4" t="str">
        <f>Sheet!J345</f>
        <v>Activo</v>
      </c>
      <c r="M345" s="4" t="str">
        <f>Sheet!K345</f>
        <v xml:space="preserve">ARQ 6°    </v>
      </c>
    </row>
    <row r="346" spans="1:13" x14ac:dyDescent="0.35">
      <c r="A346" t="s">
        <v>1</v>
      </c>
      <c r="B346" s="5" t="s">
        <v>307</v>
      </c>
      <c r="C346" s="4" t="s">
        <v>627</v>
      </c>
      <c r="D346" s="4" t="s">
        <v>627</v>
      </c>
      <c r="E346" t="s">
        <v>3396</v>
      </c>
      <c r="F346" t="str">
        <f>CONCATENATE("'",Sheet!E346)</f>
        <v>'111650</v>
      </c>
      <c r="G346" t="s">
        <v>1736</v>
      </c>
      <c r="H346" s="4" t="str">
        <f>Sheet!F346</f>
        <v>FLORES FLORES JUAN ARMANDO</v>
      </c>
      <c r="I346" s="4" t="str">
        <f>Sheet!G346</f>
        <v>INGENIERÍA AUTOMOTRIZ</v>
      </c>
      <c r="J346" s="4" t="str">
        <f>Sheet!H346</f>
        <v>4to</v>
      </c>
      <c r="K346" s="4" t="str">
        <f>Sheet!I346</f>
        <v>Masculino</v>
      </c>
      <c r="L346" s="4" t="str">
        <f>Sheet!J346</f>
        <v>Activo</v>
      </c>
      <c r="M346" s="4" t="str">
        <f>Sheet!K346</f>
        <v xml:space="preserve">AUTO 4°   </v>
      </c>
    </row>
    <row r="347" spans="1:13" x14ac:dyDescent="0.35">
      <c r="A347" t="s">
        <v>1</v>
      </c>
      <c r="B347" s="5" t="s">
        <v>308</v>
      </c>
      <c r="C347" s="4" t="s">
        <v>751</v>
      </c>
      <c r="D347" s="4" t="s">
        <v>548</v>
      </c>
      <c r="E347" t="s">
        <v>3399</v>
      </c>
      <c r="F347" t="str">
        <f>CONCATENATE("'",Sheet!E347)</f>
        <v>'111796</v>
      </c>
      <c r="G347" t="s">
        <v>1736</v>
      </c>
      <c r="H347" s="4" t="str">
        <f>Sheet!F347</f>
        <v>BAÑUELOS PEREZ JUAN CARLOS</v>
      </c>
      <c r="I347" s="4" t="str">
        <f>Sheet!G347</f>
        <v>ARQUITECTURA</v>
      </c>
      <c r="J347" s="4" t="str">
        <f>Sheet!H347</f>
        <v>4to</v>
      </c>
      <c r="K347" s="4" t="str">
        <f>Sheet!I347</f>
        <v>Masculino</v>
      </c>
      <c r="L347" s="4" t="str">
        <f>Sheet!J347</f>
        <v>Activo</v>
      </c>
      <c r="M347" s="4" t="str">
        <f>Sheet!K347</f>
        <v xml:space="preserve">ARQ 4°    </v>
      </c>
    </row>
    <row r="348" spans="1:13" x14ac:dyDescent="0.35">
      <c r="A348" t="s">
        <v>1</v>
      </c>
      <c r="B348" s="5" t="s">
        <v>308</v>
      </c>
      <c r="C348" s="4" t="s">
        <v>752</v>
      </c>
      <c r="D348" s="4" t="s">
        <v>976</v>
      </c>
      <c r="E348" t="s">
        <v>3402</v>
      </c>
      <c r="F348" t="str">
        <f>CONCATENATE("'",Sheet!E348)</f>
        <v>'111722</v>
      </c>
      <c r="G348" t="s">
        <v>1736</v>
      </c>
      <c r="H348" s="4" t="str">
        <f>Sheet!F348</f>
        <v>CASTILLERO SOLANO JUAN CARLOS</v>
      </c>
      <c r="I348" s="4" t="str">
        <f>Sheet!G348</f>
        <v>INGENIERÍA AUTOMOTRIZ</v>
      </c>
      <c r="J348" s="4" t="str">
        <f>Sheet!H348</f>
        <v>4to</v>
      </c>
      <c r="K348" s="4" t="str">
        <f>Sheet!I348</f>
        <v>Masculino</v>
      </c>
      <c r="L348" s="4" t="str">
        <f>Sheet!J348</f>
        <v>Activo</v>
      </c>
      <c r="M348" s="4" t="str">
        <f>Sheet!K348</f>
        <v xml:space="preserve">AUTO 4°   </v>
      </c>
    </row>
    <row r="349" spans="1:13" x14ac:dyDescent="0.35">
      <c r="A349" t="s">
        <v>1</v>
      </c>
      <c r="B349" s="5" t="s">
        <v>308</v>
      </c>
      <c r="C349" s="4" t="s">
        <v>690</v>
      </c>
      <c r="D349" s="4" t="s">
        <v>977</v>
      </c>
      <c r="E349" t="s">
        <v>3405</v>
      </c>
      <c r="F349" t="str">
        <f>CONCATENATE("'",Sheet!E349)</f>
        <v>'111645</v>
      </c>
      <c r="G349" t="s">
        <v>1736</v>
      </c>
      <c r="H349" s="4" t="str">
        <f>Sheet!F349</f>
        <v>CASTRO ANZOATEGUI JUAN CARLOS</v>
      </c>
      <c r="I349" s="4" t="str">
        <f>Sheet!G349</f>
        <v>ADMINISTRACION Y DIRECCION DE NEGOCIOS</v>
      </c>
      <c r="J349" s="4" t="str">
        <f>Sheet!H349</f>
        <v>4to</v>
      </c>
      <c r="K349" s="4" t="str">
        <f>Sheet!I349</f>
        <v>Masculino</v>
      </c>
      <c r="L349" s="4" t="str">
        <f>Sheet!J349</f>
        <v>Activo</v>
      </c>
      <c r="M349" s="4" t="str">
        <f>Sheet!K349</f>
        <v xml:space="preserve">ADMON 4°  </v>
      </c>
    </row>
    <row r="350" spans="1:13" x14ac:dyDescent="0.35">
      <c r="A350" t="s">
        <v>1</v>
      </c>
      <c r="B350" s="5" t="s">
        <v>308</v>
      </c>
      <c r="C350" s="4" t="s">
        <v>528</v>
      </c>
      <c r="D350" s="4" t="s">
        <v>978</v>
      </c>
      <c r="E350" t="s">
        <v>3408</v>
      </c>
      <c r="F350" t="str">
        <f>CONCATENATE("'",Sheet!E350)</f>
        <v>'110503</v>
      </c>
      <c r="G350" t="s">
        <v>1736</v>
      </c>
      <c r="H350" s="4" t="str">
        <f>Sheet!F350</f>
        <v>MENDOZA ARMAS JUAN CARLOS</v>
      </c>
      <c r="I350" s="4" t="str">
        <f>Sheet!G350</f>
        <v>INGENIERIA AEROESPACIAL</v>
      </c>
      <c r="J350" s="4" t="str">
        <f>Sheet!H350</f>
        <v>8vo</v>
      </c>
      <c r="K350" s="4" t="str">
        <f>Sheet!I350</f>
        <v>Masculino</v>
      </c>
      <c r="L350" s="4" t="str">
        <f>Sheet!J350</f>
        <v>Activo</v>
      </c>
      <c r="M350" s="4" t="str">
        <f>Sheet!K350</f>
        <v xml:space="preserve">AERO 8°   </v>
      </c>
    </row>
    <row r="351" spans="1:13" x14ac:dyDescent="0.35">
      <c r="A351" t="s">
        <v>1</v>
      </c>
      <c r="B351" s="5" t="s">
        <v>309</v>
      </c>
      <c r="C351" s="4" t="s">
        <v>753</v>
      </c>
      <c r="D351" s="4" t="s">
        <v>659</v>
      </c>
      <c r="E351" t="s">
        <v>3411</v>
      </c>
      <c r="F351" t="str">
        <f>CONCATENATE("'",Sheet!E351)</f>
        <v>'111752</v>
      </c>
      <c r="G351" t="s">
        <v>1736</v>
      </c>
      <c r="H351" s="4" t="str">
        <f>Sheet!F351</f>
        <v>ZACARIAS AGUILAR JUAN JESUS</v>
      </c>
      <c r="I351" s="4" t="str">
        <f>Sheet!G351</f>
        <v>INGENIERIA AEROESPACIAL</v>
      </c>
      <c r="J351" s="4" t="str">
        <f>Sheet!H351</f>
        <v>4to</v>
      </c>
      <c r="K351" s="4" t="str">
        <f>Sheet!I351</f>
        <v>Masculino</v>
      </c>
      <c r="L351" s="4" t="str">
        <f>Sheet!J351</f>
        <v>Activo</v>
      </c>
      <c r="M351" s="4" t="str">
        <f>Sheet!K351</f>
        <v xml:space="preserve">AERO 4°B  </v>
      </c>
    </row>
    <row r="352" spans="1:13" x14ac:dyDescent="0.35">
      <c r="A352" t="s">
        <v>1</v>
      </c>
      <c r="B352" s="5" t="s">
        <v>310</v>
      </c>
      <c r="C352" s="4" t="s">
        <v>674</v>
      </c>
      <c r="D352" s="4" t="s">
        <v>979</v>
      </c>
      <c r="E352" t="s">
        <v>3414</v>
      </c>
      <c r="F352" t="str">
        <f>CONCATENATE("'",Sheet!E352)</f>
        <v>'111830</v>
      </c>
      <c r="G352" t="s">
        <v>1736</v>
      </c>
      <c r="H352" s="4" t="str">
        <f>Sheet!F352</f>
        <v>PRECIADO VALLE JUAN LUIS</v>
      </c>
      <c r="I352" s="4" t="str">
        <f>Sheet!G352</f>
        <v>INGENIERÍA AUTOMOTRIZ</v>
      </c>
      <c r="J352" s="4" t="str">
        <f>Sheet!H352</f>
        <v>4to</v>
      </c>
      <c r="K352" s="4" t="str">
        <f>Sheet!I352</f>
        <v>Masculino</v>
      </c>
      <c r="L352" s="4" t="str">
        <f>Sheet!J352</f>
        <v>Activo</v>
      </c>
      <c r="M352" s="4" t="str">
        <f>Sheet!K352</f>
        <v xml:space="preserve">AUTO 4°   </v>
      </c>
    </row>
    <row r="353" spans="1:13" x14ac:dyDescent="0.35">
      <c r="A353" t="s">
        <v>1</v>
      </c>
      <c r="B353" s="5" t="s">
        <v>311</v>
      </c>
      <c r="C353" s="4" t="s">
        <v>588</v>
      </c>
      <c r="D353" s="4" t="s">
        <v>544</v>
      </c>
      <c r="E353" t="s">
        <v>3417</v>
      </c>
      <c r="F353" t="str">
        <f>CONCATENATE("'",Sheet!E353)</f>
        <v>'109906</v>
      </c>
      <c r="G353" t="s">
        <v>1736</v>
      </c>
      <c r="H353" s="4" t="str">
        <f>Sheet!F353</f>
        <v>DAVALOS HERNANDEZ JUAN MANUEL</v>
      </c>
      <c r="I353" s="4" t="str">
        <f>Sheet!G353</f>
        <v>INGENIERIA AEROESPACIAL</v>
      </c>
      <c r="J353" s="4" t="str">
        <f>Sheet!H353</f>
        <v>10mo</v>
      </c>
      <c r="K353" s="4" t="str">
        <f>Sheet!I353</f>
        <v>Masculino</v>
      </c>
      <c r="L353" s="4" t="str">
        <f>Sheet!J353</f>
        <v>Activo</v>
      </c>
      <c r="M353" s="4" t="str">
        <f>Sheet!K353</f>
        <v xml:space="preserve">AERO_10°  </v>
      </c>
    </row>
    <row r="354" spans="1:13" x14ac:dyDescent="0.35">
      <c r="A354" t="s">
        <v>1</v>
      </c>
      <c r="B354" s="5" t="s">
        <v>312</v>
      </c>
      <c r="C354" s="4" t="s">
        <v>754</v>
      </c>
      <c r="D354" s="4" t="s">
        <v>980</v>
      </c>
      <c r="E354" t="s">
        <v>3420</v>
      </c>
      <c r="F354" t="str">
        <f>CONCATENATE("'",Sheet!E354)</f>
        <v>'112219</v>
      </c>
      <c r="G354" t="s">
        <v>1736</v>
      </c>
      <c r="H354" s="4" t="str">
        <f>Sheet!F354</f>
        <v>BALCAZAR FERREL JUAN PABLO</v>
      </c>
      <c r="I354" s="4" t="str">
        <f>Sheet!G354</f>
        <v>INGENIERIA AEROESPACIAL</v>
      </c>
      <c r="J354" s="4" t="str">
        <f>Sheet!H354</f>
        <v>2do</v>
      </c>
      <c r="K354" s="4" t="str">
        <f>Sheet!I354</f>
        <v>Masculino</v>
      </c>
      <c r="L354" s="4" t="str">
        <f>Sheet!J354</f>
        <v>Activo</v>
      </c>
      <c r="M354" s="4" t="str">
        <f>Sheet!K354</f>
        <v xml:space="preserve">AERO 2°A  </v>
      </c>
    </row>
    <row r="355" spans="1:13" x14ac:dyDescent="0.35">
      <c r="A355" t="s">
        <v>1</v>
      </c>
      <c r="B355" s="5" t="s">
        <v>312</v>
      </c>
      <c r="C355" s="4" t="s">
        <v>639</v>
      </c>
      <c r="D355" s="4" t="s">
        <v>539</v>
      </c>
      <c r="E355" t="s">
        <v>3422</v>
      </c>
      <c r="F355" t="str">
        <f>CONCATENATE("'",Sheet!E355)</f>
        <v>'111125</v>
      </c>
      <c r="G355" t="s">
        <v>1736</v>
      </c>
      <c r="H355" s="4" t="str">
        <f>Sheet!F355</f>
        <v>FIGUEROA RODRIGUEZ JUAN PABLO</v>
      </c>
      <c r="I355" s="4" t="str">
        <f>Sheet!G355</f>
        <v>INGENIERIA AEROESPACIAL</v>
      </c>
      <c r="J355" s="4" t="str">
        <f>Sheet!H355</f>
        <v>6to</v>
      </c>
      <c r="K355" s="4" t="str">
        <f>Sheet!I355</f>
        <v>Masculino</v>
      </c>
      <c r="L355" s="4" t="str">
        <f>Sheet!J355</f>
        <v>Activo</v>
      </c>
      <c r="M355" s="4" t="str">
        <f>Sheet!K355</f>
        <v xml:space="preserve">AERO 6°   </v>
      </c>
    </row>
    <row r="356" spans="1:13" x14ac:dyDescent="0.35">
      <c r="A356" t="s">
        <v>1</v>
      </c>
      <c r="B356" s="5" t="s">
        <v>312</v>
      </c>
      <c r="C356" s="4" t="s">
        <v>679</v>
      </c>
      <c r="D356" s="4" t="s">
        <v>679</v>
      </c>
      <c r="E356" t="s">
        <v>3425</v>
      </c>
      <c r="F356" t="str">
        <f>CONCATENATE("'",Sheet!E356)</f>
        <v>'112242</v>
      </c>
      <c r="G356" t="s">
        <v>1736</v>
      </c>
      <c r="H356" s="4" t="str">
        <f>Sheet!F356</f>
        <v>GOMEZ GOMEZ JUAN PABLO</v>
      </c>
      <c r="I356" s="4" t="str">
        <f>Sheet!G356</f>
        <v>INGENIERÍA AUTOMOTRIZ</v>
      </c>
      <c r="J356" s="4" t="str">
        <f>Sheet!H356</f>
        <v>2do</v>
      </c>
      <c r="K356" s="4" t="str">
        <f>Sheet!I356</f>
        <v>Masculino</v>
      </c>
      <c r="L356" s="4" t="str">
        <f>Sheet!J356</f>
        <v>Activo</v>
      </c>
      <c r="M356" s="4" t="str">
        <f>Sheet!K356</f>
        <v xml:space="preserve">AUTO 2° A </v>
      </c>
    </row>
    <row r="357" spans="1:13" x14ac:dyDescent="0.35">
      <c r="A357" t="s">
        <v>1</v>
      </c>
      <c r="B357" s="5" t="s">
        <v>312</v>
      </c>
      <c r="C357" s="4" t="s">
        <v>654</v>
      </c>
      <c r="D357" s="4" t="s">
        <v>589</v>
      </c>
      <c r="E357" t="s">
        <v>3428</v>
      </c>
      <c r="F357" t="str">
        <f>CONCATENATE("'",Sheet!E357)</f>
        <v>'110604</v>
      </c>
      <c r="G357" t="s">
        <v>1736</v>
      </c>
      <c r="H357" s="4" t="str">
        <f>Sheet!F357</f>
        <v>RUIZ GARCIA JUAN PABLO</v>
      </c>
      <c r="I357" s="4" t="str">
        <f>Sheet!G357</f>
        <v>DERECHO</v>
      </c>
      <c r="J357" s="4" t="str">
        <f>Sheet!H357</f>
        <v>8vo</v>
      </c>
      <c r="K357" s="4" t="str">
        <f>Sheet!I357</f>
        <v>Masculino</v>
      </c>
      <c r="L357" s="4" t="str">
        <f>Sheet!J357</f>
        <v>Activo</v>
      </c>
      <c r="M357" s="4" t="str">
        <f>Sheet!K357</f>
        <v xml:space="preserve">DER 8°    </v>
      </c>
    </row>
    <row r="358" spans="1:13" x14ac:dyDescent="0.35">
      <c r="A358" t="s">
        <v>1</v>
      </c>
      <c r="B358" s="5" t="s">
        <v>312</v>
      </c>
      <c r="C358" s="4" t="s">
        <v>755</v>
      </c>
      <c r="D358" s="4" t="s">
        <v>786</v>
      </c>
      <c r="E358" t="s">
        <v>3431</v>
      </c>
      <c r="F358" t="str">
        <f>CONCATENATE("'",Sheet!E358)</f>
        <v>'110506</v>
      </c>
      <c r="G358" t="s">
        <v>1736</v>
      </c>
      <c r="H358" s="4" t="str">
        <f>Sheet!F358</f>
        <v>TREJO YAÑEZ JUAN PABLO</v>
      </c>
      <c r="I358" s="4" t="str">
        <f>Sheet!G358</f>
        <v>INGENIERIA AEROESPACIAL</v>
      </c>
      <c r="J358" s="4" t="str">
        <f>Sheet!H358</f>
        <v>8vo</v>
      </c>
      <c r="K358" s="4" t="str">
        <f>Sheet!I358</f>
        <v>Masculino</v>
      </c>
      <c r="L358" s="4" t="str">
        <f>Sheet!J358</f>
        <v>Activo</v>
      </c>
      <c r="M358" s="4" t="str">
        <f>Sheet!K358</f>
        <v xml:space="preserve">AERO 8°   </v>
      </c>
    </row>
    <row r="359" spans="1:13" x14ac:dyDescent="0.35">
      <c r="A359" t="s">
        <v>1</v>
      </c>
      <c r="B359" s="5" t="s">
        <v>312</v>
      </c>
      <c r="C359" s="4" t="s">
        <v>756</v>
      </c>
      <c r="D359" s="4" t="s">
        <v>544</v>
      </c>
      <c r="E359" t="s">
        <v>3434</v>
      </c>
      <c r="F359" t="str">
        <f>CONCATENATE("'",Sheet!E359)</f>
        <v>'110653</v>
      </c>
      <c r="G359" t="s">
        <v>1736</v>
      </c>
      <c r="H359" s="4" t="str">
        <f>Sheet!F359</f>
        <v>VACA HERNANDEZ JUAN PABLO</v>
      </c>
      <c r="I359" s="4" t="str">
        <f>Sheet!G359</f>
        <v>ARQUITECTURA</v>
      </c>
      <c r="J359" s="4" t="str">
        <f>Sheet!H359</f>
        <v>8vo</v>
      </c>
      <c r="K359" s="4" t="str">
        <f>Sheet!I359</f>
        <v>Masculino</v>
      </c>
      <c r="L359" s="4" t="str">
        <f>Sheet!J359</f>
        <v>Activo</v>
      </c>
      <c r="M359" s="4" t="str">
        <f>Sheet!K359</f>
        <v xml:space="preserve">ARQ 8°    </v>
      </c>
    </row>
    <row r="360" spans="1:13" x14ac:dyDescent="0.35">
      <c r="A360" t="s">
        <v>1</v>
      </c>
      <c r="B360" s="5" t="s">
        <v>313</v>
      </c>
      <c r="C360" s="4" t="s">
        <v>689</v>
      </c>
      <c r="D360" s="4" t="s">
        <v>803</v>
      </c>
      <c r="E360" t="s">
        <v>3437</v>
      </c>
      <c r="F360" t="str">
        <f>CONCATENATE("'",Sheet!E360)</f>
        <v>'112271</v>
      </c>
      <c r="G360" t="s">
        <v>1736</v>
      </c>
      <c r="H360" s="4" t="str">
        <f>Sheet!F360</f>
        <v>LOZANO RIOS JULIANA VALENTINA</v>
      </c>
      <c r="I360" s="4" t="str">
        <f>Sheet!G360</f>
        <v>ADMINISTRACION Y DIRECCION DE NEGOCIOS</v>
      </c>
      <c r="J360" s="4" t="str">
        <f>Sheet!H360</f>
        <v>2do</v>
      </c>
      <c r="K360" s="4" t="str">
        <f>Sheet!I360</f>
        <v>Femenino</v>
      </c>
      <c r="L360" s="4" t="str">
        <f>Sheet!J360</f>
        <v>Activo</v>
      </c>
      <c r="M360" s="4" t="str">
        <f>Sheet!K360</f>
        <v xml:space="preserve">ADMON 2°  </v>
      </c>
    </row>
    <row r="361" spans="1:13" x14ac:dyDescent="0.35">
      <c r="A361" t="s">
        <v>1</v>
      </c>
      <c r="B361" s="5" t="s">
        <v>314</v>
      </c>
      <c r="C361" s="4" t="s">
        <v>757</v>
      </c>
      <c r="D361" s="4" t="s">
        <v>588</v>
      </c>
      <c r="E361" t="s">
        <v>3440</v>
      </c>
      <c r="F361" t="str">
        <f>CONCATENATE("'",Sheet!E361)</f>
        <v>'007760</v>
      </c>
      <c r="G361" t="s">
        <v>1736</v>
      </c>
      <c r="H361" s="4" t="str">
        <f>Sheet!F361</f>
        <v>TEJEDA DAVALOS JULIETA</v>
      </c>
      <c r="I361" s="4" t="str">
        <f>Sheet!G361</f>
        <v>ANIMACION DIGITAL Y VIDEOJUEGOS</v>
      </c>
      <c r="J361" s="4" t="str">
        <f>Sheet!H361</f>
        <v>4to</v>
      </c>
      <c r="K361" s="4" t="str">
        <f>Sheet!I361</f>
        <v>Femenino</v>
      </c>
      <c r="L361" s="4" t="str">
        <f>Sheet!J361</f>
        <v>Activo</v>
      </c>
      <c r="M361" s="4" t="str">
        <f>Sheet!K361</f>
        <v xml:space="preserve">ANIM 4°   </v>
      </c>
    </row>
    <row r="362" spans="1:13" x14ac:dyDescent="0.35">
      <c r="A362" t="s">
        <v>1</v>
      </c>
      <c r="B362" s="5" t="s">
        <v>315</v>
      </c>
      <c r="C362" s="4" t="s">
        <v>758</v>
      </c>
      <c r="D362" s="4" t="s">
        <v>539</v>
      </c>
      <c r="E362" t="s">
        <v>3443</v>
      </c>
      <c r="F362" t="str">
        <f>CONCATENATE("'",Sheet!E362)</f>
        <v>'110429</v>
      </c>
      <c r="G362" t="s">
        <v>1736</v>
      </c>
      <c r="H362" s="4" t="str">
        <f>Sheet!F362</f>
        <v>CORDOVA RODRIGUEZ JULIETA RENATA</v>
      </c>
      <c r="I362" s="4" t="str">
        <f>Sheet!G362</f>
        <v>ARQUITECTURA</v>
      </c>
      <c r="J362" s="4" t="str">
        <f>Sheet!H362</f>
        <v>8vo</v>
      </c>
      <c r="K362" s="4" t="str">
        <f>Sheet!I362</f>
        <v>Femenino</v>
      </c>
      <c r="L362" s="4" t="str">
        <f>Sheet!J362</f>
        <v>Activo</v>
      </c>
      <c r="M362" s="4" t="str">
        <f>Sheet!K362</f>
        <v xml:space="preserve">ARQ 8°    </v>
      </c>
    </row>
    <row r="363" spans="1:13" x14ac:dyDescent="0.35">
      <c r="A363" t="s">
        <v>1</v>
      </c>
      <c r="B363" s="5" t="s">
        <v>316</v>
      </c>
      <c r="C363" s="4" t="s">
        <v>629</v>
      </c>
      <c r="D363" s="4" t="s">
        <v>738</v>
      </c>
      <c r="E363" t="s">
        <v>3446</v>
      </c>
      <c r="F363" t="str">
        <f>CONCATENATE("'",Sheet!E363)</f>
        <v>'111666</v>
      </c>
      <c r="G363" t="s">
        <v>1736</v>
      </c>
      <c r="H363" s="4" t="str">
        <f>Sheet!F363</f>
        <v>RAMIREZ ROBLES KAHLEB ALEJANDRO</v>
      </c>
      <c r="I363" s="4" t="str">
        <f>Sheet!G363</f>
        <v>INGENIERÍA EN INTELIGENCIA ARTIFICIAL</v>
      </c>
      <c r="J363" s="4" t="str">
        <f>Sheet!H363</f>
        <v>4to</v>
      </c>
      <c r="K363" s="4" t="str">
        <f>Sheet!I363</f>
        <v>Masculino</v>
      </c>
      <c r="L363" s="4" t="str">
        <f>Sheet!J363</f>
        <v>Activo</v>
      </c>
      <c r="M363" s="4" t="str">
        <f>Sheet!K363</f>
        <v xml:space="preserve">IA 4°     </v>
      </c>
    </row>
    <row r="364" spans="1:13" x14ac:dyDescent="0.35">
      <c r="A364" t="s">
        <v>1</v>
      </c>
      <c r="B364" s="5" t="s">
        <v>317</v>
      </c>
      <c r="C364" s="4" t="s">
        <v>531</v>
      </c>
      <c r="D364" s="4" t="s">
        <v>817</v>
      </c>
      <c r="E364" t="s">
        <v>3449</v>
      </c>
      <c r="F364" t="str">
        <f>CONCATENATE("'",Sheet!E364)</f>
        <v>'112282</v>
      </c>
      <c r="G364" t="s">
        <v>1736</v>
      </c>
      <c r="H364" s="4" t="str">
        <f>Sheet!F364</f>
        <v>GONZALEZ AGUAYO KAREN ALEJANDRA</v>
      </c>
      <c r="I364" s="4" t="str">
        <f>Sheet!G364</f>
        <v>ARQUITECTURA</v>
      </c>
      <c r="J364" s="4" t="str">
        <f>Sheet!H364</f>
        <v>2do</v>
      </c>
      <c r="K364" s="4" t="str">
        <f>Sheet!I364</f>
        <v>Femenino</v>
      </c>
      <c r="L364" s="4" t="str">
        <f>Sheet!J364</f>
        <v>Activo</v>
      </c>
      <c r="M364" s="4" t="str">
        <f>Sheet!K364</f>
        <v xml:space="preserve">ARQ 2°    </v>
      </c>
    </row>
    <row r="365" spans="1:13" x14ac:dyDescent="0.35">
      <c r="A365" t="s">
        <v>1</v>
      </c>
      <c r="B365" s="5" t="s">
        <v>318</v>
      </c>
      <c r="C365" s="4" t="s">
        <v>654</v>
      </c>
      <c r="D365" s="4" t="s">
        <v>636</v>
      </c>
      <c r="E365" t="s">
        <v>3452</v>
      </c>
      <c r="F365" t="str">
        <f>CONCATENATE("'",Sheet!E365)</f>
        <v>'112149</v>
      </c>
      <c r="G365" t="s">
        <v>1736</v>
      </c>
      <c r="H365" s="4" t="str">
        <f>Sheet!F365</f>
        <v>RUIZ MARTINEZ KAREN GUADALUPE</v>
      </c>
      <c r="I365" s="4" t="str">
        <f>Sheet!G365</f>
        <v>INGENIERIA AEROESPACIAL</v>
      </c>
      <c r="J365" s="4" t="str">
        <f>Sheet!H365</f>
        <v>2do</v>
      </c>
      <c r="K365" s="4" t="str">
        <f>Sheet!I365</f>
        <v>Femenino</v>
      </c>
      <c r="L365" s="4" t="str">
        <f>Sheet!J365</f>
        <v>Activo</v>
      </c>
      <c r="M365" s="4" t="str">
        <f>Sheet!K365</f>
        <v xml:space="preserve">AERO 2°A  </v>
      </c>
    </row>
    <row r="366" spans="1:13" x14ac:dyDescent="0.35">
      <c r="A366" t="s">
        <v>1</v>
      </c>
      <c r="B366" s="5" t="s">
        <v>319</v>
      </c>
      <c r="C366" s="4" t="s">
        <v>759</v>
      </c>
      <c r="D366" s="4" t="s">
        <v>981</v>
      </c>
      <c r="E366" t="s">
        <v>3455</v>
      </c>
      <c r="F366" t="str">
        <f>CONCATENATE("'",Sheet!E366)</f>
        <v>'110428</v>
      </c>
      <c r="G366" t="s">
        <v>1736</v>
      </c>
      <c r="H366" s="4" t="str">
        <f>Sheet!F366</f>
        <v>CARRETERO AGUILERA KAREN ITZEL</v>
      </c>
      <c r="I366" s="4" t="str">
        <f>Sheet!G366</f>
        <v>ARQUITECTURA</v>
      </c>
      <c r="J366" s="4" t="str">
        <f>Sheet!H366</f>
        <v>8vo</v>
      </c>
      <c r="K366" s="4" t="str">
        <f>Sheet!I366</f>
        <v>Femenino</v>
      </c>
      <c r="L366" s="4" t="str">
        <f>Sheet!J366</f>
        <v>Activo</v>
      </c>
      <c r="M366" s="4" t="str">
        <f>Sheet!K366</f>
        <v xml:space="preserve">ARQ 8°    </v>
      </c>
    </row>
    <row r="367" spans="1:13" x14ac:dyDescent="0.35">
      <c r="A367" t="s">
        <v>1</v>
      </c>
      <c r="B367" s="5" t="s">
        <v>320</v>
      </c>
      <c r="C367" s="4" t="s">
        <v>531</v>
      </c>
      <c r="D367" s="4" t="s">
        <v>570</v>
      </c>
      <c r="E367" t="s">
        <v>3458</v>
      </c>
      <c r="F367" t="str">
        <f>CONCATENATE("'",Sheet!E367)</f>
        <v>'111124</v>
      </c>
      <c r="G367" t="s">
        <v>1736</v>
      </c>
      <c r="H367" s="4" t="str">
        <f>Sheet!F367</f>
        <v>GONZALEZ JIMENEZ KAREN JANETTE</v>
      </c>
      <c r="I367" s="4" t="str">
        <f>Sheet!G367</f>
        <v>NUTRICION Y GASTRONOMIA</v>
      </c>
      <c r="J367" s="4" t="str">
        <f>Sheet!H367</f>
        <v>6to</v>
      </c>
      <c r="K367" s="4" t="str">
        <f>Sheet!I367</f>
        <v>Femenino</v>
      </c>
      <c r="L367" s="4" t="str">
        <f>Sheet!J367</f>
        <v>Activo</v>
      </c>
      <c r="M367" s="4" t="str">
        <f>Sheet!K367</f>
        <v xml:space="preserve">NUT 6°    </v>
      </c>
    </row>
    <row r="368" spans="1:13" x14ac:dyDescent="0.35">
      <c r="A368" t="s">
        <v>1</v>
      </c>
      <c r="B368" s="5" t="s">
        <v>321</v>
      </c>
      <c r="C368" s="4" t="s">
        <v>702</v>
      </c>
      <c r="D368" s="4" t="s">
        <v>982</v>
      </c>
      <c r="E368" t="s">
        <v>3461</v>
      </c>
      <c r="F368" t="str">
        <f>CONCATENATE("'",Sheet!E368)</f>
        <v>'110474</v>
      </c>
      <c r="G368" t="s">
        <v>1736</v>
      </c>
      <c r="H368" s="4" t="str">
        <f>Sheet!F368</f>
        <v>COVARRUBIAS RENTERIA KAREN MICHELLE</v>
      </c>
      <c r="I368" s="4" t="str">
        <f>Sheet!G368</f>
        <v>PSICOLOGIA</v>
      </c>
      <c r="J368" s="4" t="str">
        <f>Sheet!H368</f>
        <v>8vo</v>
      </c>
      <c r="K368" s="4" t="str">
        <f>Sheet!I368</f>
        <v>Femenino</v>
      </c>
      <c r="L368" s="4" t="str">
        <f>Sheet!J368</f>
        <v>Activo</v>
      </c>
      <c r="M368" s="4" t="str">
        <f>Sheet!K368</f>
        <v xml:space="preserve">PSI 8°    </v>
      </c>
    </row>
    <row r="369" spans="1:13" x14ac:dyDescent="0.35">
      <c r="A369" t="s">
        <v>1</v>
      </c>
      <c r="B369" s="5" t="s">
        <v>322</v>
      </c>
      <c r="C369" s="4" t="s">
        <v>745</v>
      </c>
      <c r="D369" s="4" t="s">
        <v>589</v>
      </c>
      <c r="E369" t="s">
        <v>3464</v>
      </c>
      <c r="F369" t="str">
        <f>CONCATENATE("'",Sheet!E369)</f>
        <v>'111674</v>
      </c>
      <c r="G369" t="s">
        <v>1736</v>
      </c>
      <c r="H369" s="4" t="str">
        <f>Sheet!F369</f>
        <v>CISNEROS GARCIA KARIM DANIEL</v>
      </c>
      <c r="I369" s="4" t="str">
        <f>Sheet!G369</f>
        <v>INGENIERIA AEROESPACIAL</v>
      </c>
      <c r="J369" s="4" t="str">
        <f>Sheet!H369</f>
        <v>4to</v>
      </c>
      <c r="K369" s="4" t="str">
        <f>Sheet!I369</f>
        <v>Masculino</v>
      </c>
      <c r="L369" s="4" t="str">
        <f>Sheet!J369</f>
        <v>Activo</v>
      </c>
      <c r="M369" s="4" t="str">
        <f>Sheet!K369</f>
        <v xml:space="preserve">AERO 4°A  </v>
      </c>
    </row>
    <row r="370" spans="1:13" x14ac:dyDescent="0.35">
      <c r="A370" t="s">
        <v>1</v>
      </c>
      <c r="B370" s="5" t="s">
        <v>323</v>
      </c>
      <c r="C370" s="4" t="s">
        <v>597</v>
      </c>
      <c r="D370" s="4" t="s">
        <v>983</v>
      </c>
      <c r="E370" t="s">
        <v>3467</v>
      </c>
      <c r="F370" t="str">
        <f>CONCATENATE("'",Sheet!E370)</f>
        <v>'007936</v>
      </c>
      <c r="G370" t="s">
        <v>1736</v>
      </c>
      <c r="H370" s="4" t="str">
        <f>Sheet!F370</f>
        <v>RIVERA BALBUENA KARIME ANAHI</v>
      </c>
      <c r="I370" s="4" t="str">
        <f>Sheet!G370</f>
        <v>ARQUITECTURA</v>
      </c>
      <c r="J370" s="4" t="str">
        <f>Sheet!H370</f>
        <v>2do</v>
      </c>
      <c r="K370" s="4" t="str">
        <f>Sheet!I370</f>
        <v>Femenino</v>
      </c>
      <c r="L370" s="4" t="str">
        <f>Sheet!J370</f>
        <v>Activo</v>
      </c>
      <c r="M370" s="4" t="str">
        <f>Sheet!K370</f>
        <v xml:space="preserve">ARQ 2°    </v>
      </c>
    </row>
    <row r="371" spans="1:13" x14ac:dyDescent="0.35">
      <c r="A371" t="s">
        <v>1</v>
      </c>
      <c r="B371" s="5" t="s">
        <v>324</v>
      </c>
      <c r="C371" s="4" t="s">
        <v>760</v>
      </c>
      <c r="D371" s="4" t="s">
        <v>57</v>
      </c>
      <c r="E371" t="s">
        <v>3470</v>
      </c>
      <c r="F371" t="str">
        <f>CONCATENATE("'",Sheet!E371)</f>
        <v>'111678</v>
      </c>
      <c r="G371" t="s">
        <v>1736</v>
      </c>
      <c r="H371" s="4" t="str">
        <f>Sheet!F371</f>
        <v>VILLEGAS ANGEL KARINA</v>
      </c>
      <c r="I371" s="4" t="str">
        <f>Sheet!G371</f>
        <v>INGENIERIA AEROESPACIAL</v>
      </c>
      <c r="J371" s="4" t="str">
        <f>Sheet!H371</f>
        <v>4to</v>
      </c>
      <c r="K371" s="4" t="str">
        <f>Sheet!I371</f>
        <v>Femenino</v>
      </c>
      <c r="L371" s="4" t="str">
        <f>Sheet!J371</f>
        <v>Activo</v>
      </c>
      <c r="M371" s="4" t="str">
        <f>Sheet!K371</f>
        <v xml:space="preserve">AERO 4°A  </v>
      </c>
    </row>
    <row r="372" spans="1:13" x14ac:dyDescent="0.35">
      <c r="A372" t="s">
        <v>1</v>
      </c>
      <c r="B372" s="5" t="s">
        <v>325</v>
      </c>
      <c r="C372" s="4" t="s">
        <v>761</v>
      </c>
      <c r="D372" s="4" t="s">
        <v>648</v>
      </c>
      <c r="E372" t="s">
        <v>3473</v>
      </c>
      <c r="F372" t="str">
        <f>CONCATENATE("'",Sheet!E372)</f>
        <v>'111741</v>
      </c>
      <c r="G372" t="s">
        <v>1736</v>
      </c>
      <c r="H372" s="4" t="str">
        <f>Sheet!F372</f>
        <v>PICENO CASTELLANOS KARINA ITZELL</v>
      </c>
      <c r="I372" s="4" t="str">
        <f>Sheet!G372</f>
        <v>INGENIERÍA EN INTELIGENCIA ARTIFICIAL</v>
      </c>
      <c r="J372" s="4" t="str">
        <f>Sheet!H372</f>
        <v>4to</v>
      </c>
      <c r="K372" s="4" t="str">
        <f>Sheet!I372</f>
        <v>Femenino</v>
      </c>
      <c r="L372" s="4" t="str">
        <f>Sheet!J372</f>
        <v>Activo</v>
      </c>
      <c r="M372" s="4" t="str">
        <f>Sheet!K372</f>
        <v xml:space="preserve">IA 4°     </v>
      </c>
    </row>
    <row r="373" spans="1:13" x14ac:dyDescent="0.35">
      <c r="A373" t="s">
        <v>1</v>
      </c>
      <c r="B373" s="5" t="s">
        <v>326</v>
      </c>
      <c r="C373" s="4" t="s">
        <v>762</v>
      </c>
      <c r="D373" s="4" t="s">
        <v>553</v>
      </c>
      <c r="E373" t="s">
        <v>3476</v>
      </c>
      <c r="F373" t="str">
        <f>CONCATENATE("'",Sheet!E373)</f>
        <v>'111162</v>
      </c>
      <c r="G373" t="s">
        <v>1736</v>
      </c>
      <c r="H373" s="4" t="str">
        <f>Sheet!F373</f>
        <v>REYES PALACIOS KARLA ALEXIA</v>
      </c>
      <c r="I373" s="4" t="str">
        <f>Sheet!G373</f>
        <v>ANIMACION DIGITAL Y VIDEOJUEGOS</v>
      </c>
      <c r="J373" s="4" t="str">
        <f>Sheet!H373</f>
        <v>6to</v>
      </c>
      <c r="K373" s="4" t="str">
        <f>Sheet!I373</f>
        <v>Femenino</v>
      </c>
      <c r="L373" s="4" t="str">
        <f>Sheet!J373</f>
        <v>Activo</v>
      </c>
      <c r="M373" s="4" t="str">
        <f>Sheet!K373</f>
        <v xml:space="preserve">ANIM 6°   </v>
      </c>
    </row>
    <row r="374" spans="1:13" x14ac:dyDescent="0.35">
      <c r="A374" t="s">
        <v>1</v>
      </c>
      <c r="B374" s="5" t="s">
        <v>327</v>
      </c>
      <c r="C374" s="4" t="s">
        <v>763</v>
      </c>
      <c r="D374" s="4" t="s">
        <v>650</v>
      </c>
      <c r="E374" t="s">
        <v>3479</v>
      </c>
      <c r="F374" t="str">
        <f>CONCATENATE("'",Sheet!E374)</f>
        <v>'109955</v>
      </c>
      <c r="G374" t="s">
        <v>1736</v>
      </c>
      <c r="H374" s="4" t="str">
        <f>Sheet!F374</f>
        <v>ZAYAS VILLALOBOS KARLA DANIELA</v>
      </c>
      <c r="I374" s="4" t="str">
        <f>Sheet!G374</f>
        <v>INGENIERIA AEROESPACIAL</v>
      </c>
      <c r="J374" s="4" t="str">
        <f>Sheet!H374</f>
        <v>10mo</v>
      </c>
      <c r="K374" s="4" t="str">
        <f>Sheet!I374</f>
        <v>Femenino</v>
      </c>
      <c r="L374" s="4" t="str">
        <f>Sheet!J374</f>
        <v>Activo</v>
      </c>
      <c r="M374" s="4" t="str">
        <f>Sheet!K374</f>
        <v xml:space="preserve">AERO_10°  </v>
      </c>
    </row>
    <row r="375" spans="1:13" x14ac:dyDescent="0.35">
      <c r="A375" t="s">
        <v>1</v>
      </c>
      <c r="B375" s="5" t="s">
        <v>328</v>
      </c>
      <c r="C375" s="4" t="s">
        <v>534</v>
      </c>
      <c r="D375" s="4" t="s">
        <v>531</v>
      </c>
      <c r="E375" t="s">
        <v>3482</v>
      </c>
      <c r="F375" t="str">
        <f>CONCATENATE("'",Sheet!E375)</f>
        <v>'110491</v>
      </c>
      <c r="G375" t="s">
        <v>1736</v>
      </c>
      <c r="H375" s="4" t="str">
        <f>Sheet!F375</f>
        <v>JAIME GONZALEZ KARLA GABRIELA</v>
      </c>
      <c r="I375" s="4" t="str">
        <f>Sheet!G375</f>
        <v>COMERCIO INTERNACIONAL</v>
      </c>
      <c r="J375" s="4" t="str">
        <f>Sheet!H375</f>
        <v>8vo</v>
      </c>
      <c r="K375" s="4" t="str">
        <f>Sheet!I375</f>
        <v>Femenino</v>
      </c>
      <c r="L375" s="4" t="str">
        <f>Sheet!J375</f>
        <v>Activo</v>
      </c>
      <c r="M375" s="4" t="str">
        <f>Sheet!K375</f>
        <v xml:space="preserve">COM 8°    </v>
      </c>
    </row>
    <row r="376" spans="1:13" x14ac:dyDescent="0.35">
      <c r="A376" t="s">
        <v>1</v>
      </c>
      <c r="B376" s="5" t="s">
        <v>329</v>
      </c>
      <c r="C376" s="4" t="s">
        <v>722</v>
      </c>
      <c r="D376" s="4" t="s">
        <v>984</v>
      </c>
      <c r="E376" t="s">
        <v>3485</v>
      </c>
      <c r="F376" t="str">
        <f>CONCATENATE("'",Sheet!E376)</f>
        <v>'111085</v>
      </c>
      <c r="G376" t="s">
        <v>1736</v>
      </c>
      <c r="H376" s="4" t="str">
        <f>Sheet!F376</f>
        <v>GRAJALES MASINI KARLA GUADALUPE</v>
      </c>
      <c r="I376" s="4" t="str">
        <f>Sheet!G376</f>
        <v>ARQUITECTURA</v>
      </c>
      <c r="J376" s="4" t="str">
        <f>Sheet!H376</f>
        <v>6to</v>
      </c>
      <c r="K376" s="4" t="str">
        <f>Sheet!I376</f>
        <v>Femenino</v>
      </c>
      <c r="L376" s="4" t="str">
        <f>Sheet!J376</f>
        <v>Activo</v>
      </c>
      <c r="M376" s="4" t="str">
        <f>Sheet!K376</f>
        <v xml:space="preserve">ARQ 6°    </v>
      </c>
    </row>
    <row r="377" spans="1:13" x14ac:dyDescent="0.35">
      <c r="A377" t="s">
        <v>1</v>
      </c>
      <c r="B377" s="5" t="s">
        <v>330</v>
      </c>
      <c r="C377" s="4" t="s">
        <v>620</v>
      </c>
      <c r="D377" s="4" t="s">
        <v>985</v>
      </c>
      <c r="E377" t="s">
        <v>4201</v>
      </c>
      <c r="F377" t="str">
        <f>CONCATENATE("'",Sheet!E377)</f>
        <v>'110644</v>
      </c>
      <c r="G377" t="s">
        <v>1736</v>
      </c>
      <c r="H377" s="4" t="str">
        <f>Sheet!F377</f>
        <v>MACIAS ONTIVEROS KARLA MICHELLE</v>
      </c>
      <c r="I377" s="4" t="str">
        <f>Sheet!G377</f>
        <v>ADMINISTRACION Y DIRECCION DE NEGOCIOS</v>
      </c>
      <c r="J377" s="4" t="str">
        <f>Sheet!H377</f>
        <v>8vo</v>
      </c>
      <c r="K377" s="4" t="str">
        <f>Sheet!I377</f>
        <v>Femenino</v>
      </c>
      <c r="L377" s="4" t="str">
        <f>Sheet!J377</f>
        <v>Bloqueado</v>
      </c>
      <c r="M377" s="4" t="str">
        <f>Sheet!K377</f>
        <v xml:space="preserve">ADMON 8°  </v>
      </c>
    </row>
    <row r="378" spans="1:13" x14ac:dyDescent="0.35">
      <c r="A378" t="s">
        <v>1</v>
      </c>
      <c r="B378" s="5" t="s">
        <v>331</v>
      </c>
      <c r="C378" s="4" t="s">
        <v>610</v>
      </c>
      <c r="D378" s="4" t="s">
        <v>544</v>
      </c>
      <c r="E378" t="s">
        <v>4202</v>
      </c>
      <c r="F378" t="str">
        <f>CONCATENATE("'",Sheet!E378)</f>
        <v>'007449</v>
      </c>
      <c r="G378" t="s">
        <v>1736</v>
      </c>
      <c r="H378" s="4" t="str">
        <f>Sheet!F378</f>
        <v>BAUTISTA HERNANDEZ KARLA VALERIA</v>
      </c>
      <c r="I378" s="4" t="str">
        <f>Sheet!G378</f>
        <v>NUTRICION Y GASTRONOMIA</v>
      </c>
      <c r="J378" s="4" t="str">
        <f>Sheet!H378</f>
        <v>9no</v>
      </c>
      <c r="K378" s="4" t="str">
        <f>Sheet!I378</f>
        <v>Femenino</v>
      </c>
      <c r="L378" s="4" t="str">
        <f>Sheet!J378</f>
        <v>Activo</v>
      </c>
      <c r="M378" s="4">
        <f>Sheet!K378</f>
        <v>0</v>
      </c>
    </row>
    <row r="379" spans="1:13" x14ac:dyDescent="0.35">
      <c r="A379" t="s">
        <v>1</v>
      </c>
      <c r="B379" s="5" t="s">
        <v>332</v>
      </c>
      <c r="C379" s="4" t="s">
        <v>530</v>
      </c>
      <c r="D379" s="4" t="s">
        <v>532</v>
      </c>
      <c r="E379" t="s">
        <v>3488</v>
      </c>
      <c r="F379" t="str">
        <f>CONCATENATE("'",Sheet!E379)</f>
        <v>'112172</v>
      </c>
      <c r="G379" t="s">
        <v>1736</v>
      </c>
      <c r="H379" s="4" t="str">
        <f>Sheet!F379</f>
        <v>SANDOVAL VEGA KAROL GUADALUPE</v>
      </c>
      <c r="I379" s="4" t="str">
        <f>Sheet!G379</f>
        <v>PSICOLOGIA</v>
      </c>
      <c r="J379" s="4" t="str">
        <f>Sheet!H379</f>
        <v>2do</v>
      </c>
      <c r="K379" s="4" t="str">
        <f>Sheet!I379</f>
        <v>Femenino</v>
      </c>
      <c r="L379" s="4" t="str">
        <f>Sheet!J379</f>
        <v>Activo</v>
      </c>
      <c r="M379" s="4" t="str">
        <f>Sheet!K379</f>
        <v xml:space="preserve">PSI 2°    </v>
      </c>
    </row>
    <row r="380" spans="1:13" x14ac:dyDescent="0.35">
      <c r="A380" t="s">
        <v>1</v>
      </c>
      <c r="B380" s="5" t="s">
        <v>333</v>
      </c>
      <c r="C380" s="4" t="s">
        <v>764</v>
      </c>
      <c r="D380" s="4" t="s">
        <v>589</v>
      </c>
      <c r="E380" t="s">
        <v>3491</v>
      </c>
      <c r="F380" t="str">
        <f>CONCATENATE("'",Sheet!E380)</f>
        <v>'112292</v>
      </c>
      <c r="G380" t="s">
        <v>1736</v>
      </c>
      <c r="H380" s="4" t="str">
        <f>Sheet!F380</f>
        <v>MEJIA GARCIA KAROL NICOLAS</v>
      </c>
      <c r="I380" s="4" t="str">
        <f>Sheet!G380</f>
        <v>INGENIERÍA AUTOMOTRIZ</v>
      </c>
      <c r="J380" s="4" t="str">
        <f>Sheet!H380</f>
        <v>2do</v>
      </c>
      <c r="K380" s="4" t="str">
        <f>Sheet!I380</f>
        <v>Masculino</v>
      </c>
      <c r="L380" s="4" t="str">
        <f>Sheet!J380</f>
        <v>Activo</v>
      </c>
      <c r="M380" s="4" t="str">
        <f>Sheet!K380</f>
        <v xml:space="preserve">AUTO 2° B </v>
      </c>
    </row>
    <row r="381" spans="1:13" x14ac:dyDescent="0.35">
      <c r="A381" t="s">
        <v>1</v>
      </c>
      <c r="B381" s="5" t="s">
        <v>334</v>
      </c>
      <c r="C381" s="4" t="s">
        <v>765</v>
      </c>
      <c r="D381" s="4" t="s">
        <v>621</v>
      </c>
      <c r="E381" t="s">
        <v>3494</v>
      </c>
      <c r="F381" t="str">
        <f>CONCATENATE("'",Sheet!E381)</f>
        <v>'111744</v>
      </c>
      <c r="G381" t="s">
        <v>1736</v>
      </c>
      <c r="H381" s="4" t="str">
        <f>Sheet!F381</f>
        <v>PALMA LOPEZ KATIA</v>
      </c>
      <c r="I381" s="4" t="str">
        <f>Sheet!G381</f>
        <v>INGENIERÍA AUTOMOTRIZ</v>
      </c>
      <c r="J381" s="4" t="str">
        <f>Sheet!H381</f>
        <v>4to</v>
      </c>
      <c r="K381" s="4" t="str">
        <f>Sheet!I381</f>
        <v>Femenino</v>
      </c>
      <c r="L381" s="4" t="str">
        <f>Sheet!J381</f>
        <v>Activo</v>
      </c>
      <c r="M381" s="4" t="str">
        <f>Sheet!K381</f>
        <v xml:space="preserve">AUTO 4°   </v>
      </c>
    </row>
    <row r="382" spans="1:13" x14ac:dyDescent="0.35">
      <c r="A382" t="s">
        <v>1</v>
      </c>
      <c r="B382" s="5" t="s">
        <v>335</v>
      </c>
      <c r="C382" s="4" t="s">
        <v>659</v>
      </c>
      <c r="D382" s="4" t="s">
        <v>986</v>
      </c>
      <c r="E382" t="s">
        <v>3497</v>
      </c>
      <c r="F382" t="str">
        <f>CONCATENATE("'",Sheet!E382)</f>
        <v>'111129</v>
      </c>
      <c r="G382" t="s">
        <v>1736</v>
      </c>
      <c r="H382" s="4" t="str">
        <f>Sheet!F382</f>
        <v>AGUILAR CALLEJAS KENNIA GUADALUPE</v>
      </c>
      <c r="I382" s="4" t="str">
        <f>Sheet!G382</f>
        <v>ANIMACION DIGITAL Y VIDEOJUEGOS</v>
      </c>
      <c r="J382" s="4" t="str">
        <f>Sheet!H382</f>
        <v>6to</v>
      </c>
      <c r="K382" s="4" t="str">
        <f>Sheet!I382</f>
        <v>Femenino</v>
      </c>
      <c r="L382" s="4" t="str">
        <f>Sheet!J382</f>
        <v>Activo</v>
      </c>
      <c r="M382" s="4" t="str">
        <f>Sheet!K382</f>
        <v xml:space="preserve">ANIM 6°   </v>
      </c>
    </row>
    <row r="383" spans="1:13" x14ac:dyDescent="0.35">
      <c r="A383" t="s">
        <v>1</v>
      </c>
      <c r="B383" s="5" t="s">
        <v>336</v>
      </c>
      <c r="C383" s="4" t="s">
        <v>650</v>
      </c>
      <c r="D383" s="4" t="s">
        <v>528</v>
      </c>
      <c r="E383" t="s">
        <v>3500</v>
      </c>
      <c r="F383" t="str">
        <f>CONCATENATE("'",Sheet!E383)</f>
        <v>'111797</v>
      </c>
      <c r="G383" t="s">
        <v>1736</v>
      </c>
      <c r="H383" s="4" t="str">
        <f>Sheet!F383</f>
        <v>VILLALOBOS MENDOZA KEVIN</v>
      </c>
      <c r="I383" s="4" t="str">
        <f>Sheet!G383</f>
        <v>INGENIERÍA AUTOMOTRIZ</v>
      </c>
      <c r="J383" s="4" t="str">
        <f>Sheet!H383</f>
        <v>4to</v>
      </c>
      <c r="K383" s="4" t="str">
        <f>Sheet!I383</f>
        <v>Masculino</v>
      </c>
      <c r="L383" s="4" t="str">
        <f>Sheet!J383</f>
        <v>Activo</v>
      </c>
      <c r="M383" s="4" t="str">
        <f>Sheet!K383</f>
        <v xml:space="preserve">AUTO 4°   </v>
      </c>
    </row>
    <row r="384" spans="1:13" x14ac:dyDescent="0.35">
      <c r="A384" t="s">
        <v>1</v>
      </c>
      <c r="B384" s="5" t="s">
        <v>337</v>
      </c>
      <c r="C384" s="4" t="s">
        <v>593</v>
      </c>
      <c r="D384" s="4" t="s">
        <v>762</v>
      </c>
      <c r="E384" t="s">
        <v>3503</v>
      </c>
      <c r="F384" t="str">
        <f>CONCATENATE("'",Sheet!E384)</f>
        <v>'111658</v>
      </c>
      <c r="G384" t="s">
        <v>1736</v>
      </c>
      <c r="H384" s="4" t="str">
        <f>Sheet!F384</f>
        <v>SANCHEZ REYES KEVIN CARLOS</v>
      </c>
      <c r="I384" s="4" t="str">
        <f>Sheet!G384</f>
        <v>INGENIERÍA AUTOMOTRIZ</v>
      </c>
      <c r="J384" s="4" t="str">
        <f>Sheet!H384</f>
        <v>4to</v>
      </c>
      <c r="K384" s="4" t="str">
        <f>Sheet!I384</f>
        <v>Masculino</v>
      </c>
      <c r="L384" s="4" t="str">
        <f>Sheet!J384</f>
        <v>Activo</v>
      </c>
      <c r="M384" s="4" t="str">
        <f>Sheet!K384</f>
        <v xml:space="preserve">AUTO 4°   </v>
      </c>
    </row>
    <row r="385" spans="1:13" x14ac:dyDescent="0.35">
      <c r="A385" t="s">
        <v>1</v>
      </c>
      <c r="B385" s="5" t="s">
        <v>338</v>
      </c>
      <c r="C385" s="4" t="s">
        <v>544</v>
      </c>
      <c r="D385" s="4" t="s">
        <v>987</v>
      </c>
      <c r="E385" t="s">
        <v>3506</v>
      </c>
      <c r="F385" t="str">
        <f>CONCATENATE("'",Sheet!E385)</f>
        <v>'111615</v>
      </c>
      <c r="G385" t="s">
        <v>1736</v>
      </c>
      <c r="H385" s="4" t="str">
        <f>Sheet!F385</f>
        <v>HERNANDEZ QUEZADA KEVIN EMMANUEL</v>
      </c>
      <c r="I385" s="4" t="str">
        <f>Sheet!G385</f>
        <v>INGENIERIA AEROESPACIAL</v>
      </c>
      <c r="J385" s="4" t="str">
        <f>Sheet!H385</f>
        <v>4to</v>
      </c>
      <c r="K385" s="4" t="str">
        <f>Sheet!I385</f>
        <v>Masculino</v>
      </c>
      <c r="L385" s="4" t="str">
        <f>Sheet!J385</f>
        <v>Activo</v>
      </c>
      <c r="M385" s="4" t="str">
        <f>Sheet!K385</f>
        <v xml:space="preserve">AERO 4°B  </v>
      </c>
    </row>
    <row r="386" spans="1:13" x14ac:dyDescent="0.35">
      <c r="A386" t="s">
        <v>1</v>
      </c>
      <c r="B386" s="5" t="s">
        <v>339</v>
      </c>
      <c r="C386" s="4" t="s">
        <v>766</v>
      </c>
      <c r="D386" s="4" t="s">
        <v>669</v>
      </c>
      <c r="E386" t="s">
        <v>4195</v>
      </c>
      <c r="F386" t="str">
        <f>CONCATENATE("'",Sheet!E386)</f>
        <v>'111842</v>
      </c>
      <c r="G386" t="s">
        <v>1736</v>
      </c>
      <c r="H386" s="4" t="str">
        <f>Sheet!F386</f>
        <v>MORA ZEPEDA KEVIN JOSUE</v>
      </c>
      <c r="I386" s="4" t="str">
        <f>Sheet!G386</f>
        <v>ADMINISTRACION Y DIRECCION DE NEGOCIOS</v>
      </c>
      <c r="J386" s="4" t="str">
        <f>Sheet!H386</f>
        <v>4to</v>
      </c>
      <c r="K386" s="4" t="str">
        <f>Sheet!I386</f>
        <v>Masculino</v>
      </c>
      <c r="L386" s="4" t="str">
        <f>Sheet!J386</f>
        <v>Activo</v>
      </c>
      <c r="M386" s="4" t="str">
        <f>Sheet!K386</f>
        <v xml:space="preserve">ADMON 4°  </v>
      </c>
    </row>
    <row r="387" spans="1:13" x14ac:dyDescent="0.35">
      <c r="A387" t="s">
        <v>1</v>
      </c>
      <c r="B387" s="5" t="s">
        <v>340</v>
      </c>
      <c r="C387" s="4" t="s">
        <v>543</v>
      </c>
      <c r="D387" s="4" t="s">
        <v>988</v>
      </c>
      <c r="E387" t="s">
        <v>3509</v>
      </c>
      <c r="F387" t="str">
        <f>CONCATENATE("'",Sheet!E387)</f>
        <v>'112280</v>
      </c>
      <c r="G387" t="s">
        <v>1736</v>
      </c>
      <c r="H387" s="4" t="str">
        <f>Sheet!F387</f>
        <v>VAZQUEZ ECHEAGARAY KEVIN MATTHEW</v>
      </c>
      <c r="I387" s="4" t="str">
        <f>Sheet!G387</f>
        <v>INGENIERIA AEROESPACIAL</v>
      </c>
      <c r="J387" s="4" t="str">
        <f>Sheet!H387</f>
        <v>2do</v>
      </c>
      <c r="K387" s="4" t="str">
        <f>Sheet!I387</f>
        <v>Masculino</v>
      </c>
      <c r="L387" s="4" t="str">
        <f>Sheet!J387</f>
        <v>Activo</v>
      </c>
      <c r="M387" s="4" t="str">
        <f>Sheet!K387</f>
        <v xml:space="preserve">AERO 2°B  </v>
      </c>
    </row>
    <row r="388" spans="1:13" x14ac:dyDescent="0.35">
      <c r="A388" t="s">
        <v>1</v>
      </c>
      <c r="B388" s="5" t="s">
        <v>341</v>
      </c>
      <c r="C388" s="4" t="s">
        <v>695</v>
      </c>
      <c r="D388" s="4" t="s">
        <v>627</v>
      </c>
      <c r="E388" t="s">
        <v>3511</v>
      </c>
      <c r="F388" t="str">
        <f>CONCATENATE("'",Sheet!E388)</f>
        <v>'110422</v>
      </c>
      <c r="G388" t="s">
        <v>1736</v>
      </c>
      <c r="H388" s="4" t="str">
        <f>Sheet!F388</f>
        <v>COLDIVAR FLORES KEVIN RAMON</v>
      </c>
      <c r="I388" s="4" t="str">
        <f>Sheet!G388</f>
        <v>ANIMACION DIGITAL Y VIDEOJUEGOS</v>
      </c>
      <c r="J388" s="4" t="str">
        <f>Sheet!H388</f>
        <v>8vo</v>
      </c>
      <c r="K388" s="4" t="str">
        <f>Sheet!I388</f>
        <v>Masculino</v>
      </c>
      <c r="L388" s="4" t="str">
        <f>Sheet!J388</f>
        <v>Activo</v>
      </c>
      <c r="M388" s="4" t="str">
        <f>Sheet!K388</f>
        <v xml:space="preserve">ANIM 8°   </v>
      </c>
    </row>
    <row r="389" spans="1:13" x14ac:dyDescent="0.35">
      <c r="A389" t="s">
        <v>1</v>
      </c>
      <c r="B389" s="5" t="s">
        <v>342</v>
      </c>
      <c r="C389" s="4" t="s">
        <v>767</v>
      </c>
      <c r="D389" s="4" t="s">
        <v>610</v>
      </c>
      <c r="E389" t="s">
        <v>3514</v>
      </c>
      <c r="F389" t="str">
        <f>CONCATENATE("'",Sheet!E389)</f>
        <v>'110452</v>
      </c>
      <c r="G389" t="s">
        <v>1736</v>
      </c>
      <c r="H389" s="4" t="str">
        <f>Sheet!F389</f>
        <v>ESTRADA BAUTISTA KEVIN RODRIGO PASCAL</v>
      </c>
      <c r="I389" s="4" t="str">
        <f>Sheet!G389</f>
        <v>INGENIERIA AEROESPACIAL</v>
      </c>
      <c r="J389" s="4" t="str">
        <f>Sheet!H389</f>
        <v>8vo</v>
      </c>
      <c r="K389" s="4" t="str">
        <f>Sheet!I389</f>
        <v>Masculino</v>
      </c>
      <c r="L389" s="4" t="str">
        <f>Sheet!J389</f>
        <v>Activo</v>
      </c>
      <c r="M389" s="4" t="str">
        <f>Sheet!K389</f>
        <v xml:space="preserve">AERO 8°   </v>
      </c>
    </row>
    <row r="390" spans="1:13" x14ac:dyDescent="0.35">
      <c r="A390" t="s">
        <v>1</v>
      </c>
      <c r="B390" s="5" t="s">
        <v>343</v>
      </c>
      <c r="C390" s="4" t="s">
        <v>768</v>
      </c>
      <c r="D390" s="4" t="s">
        <v>589</v>
      </c>
      <c r="E390" t="s">
        <v>3517</v>
      </c>
      <c r="F390" t="str">
        <f>CONCATENATE("'",Sheet!E390)</f>
        <v>'111622</v>
      </c>
      <c r="G390" t="s">
        <v>1736</v>
      </c>
      <c r="H390" s="4" t="str">
        <f>Sheet!F390</f>
        <v>SOLORZANO GARCIA KIARA MAUREEN</v>
      </c>
      <c r="I390" s="4" t="str">
        <f>Sheet!G390</f>
        <v>ANIMACION DIGITAL Y VIDEOJUEGOS</v>
      </c>
      <c r="J390" s="4" t="str">
        <f>Sheet!H390</f>
        <v>4to</v>
      </c>
      <c r="K390" s="4" t="str">
        <f>Sheet!I390</f>
        <v>Femenino</v>
      </c>
      <c r="L390" s="4" t="str">
        <f>Sheet!J390</f>
        <v>Activo</v>
      </c>
      <c r="M390" s="4" t="str">
        <f>Sheet!K390</f>
        <v xml:space="preserve">ANIM 4°   </v>
      </c>
    </row>
    <row r="391" spans="1:13" x14ac:dyDescent="0.35">
      <c r="A391" t="s">
        <v>1</v>
      </c>
      <c r="B391" s="5" t="s">
        <v>344</v>
      </c>
      <c r="C391" s="4" t="s">
        <v>619</v>
      </c>
      <c r="D391" s="4" t="s">
        <v>989</v>
      </c>
      <c r="E391" t="s">
        <v>3520</v>
      </c>
      <c r="F391" t="str">
        <f>CONCATENATE("'",Sheet!E391)</f>
        <v>'111043</v>
      </c>
      <c r="G391" t="s">
        <v>1736</v>
      </c>
      <c r="H391" s="4" t="str">
        <f>Sheet!F391</f>
        <v>PADILLA SALINAS KITZYA ANGELINA</v>
      </c>
      <c r="I391" s="4" t="str">
        <f>Sheet!G391</f>
        <v>PSICOLOGIA</v>
      </c>
      <c r="J391" s="4" t="str">
        <f>Sheet!H391</f>
        <v>6to</v>
      </c>
      <c r="K391" s="4" t="str">
        <f>Sheet!I391</f>
        <v>Femenino</v>
      </c>
      <c r="L391" s="4" t="str">
        <f>Sheet!J391</f>
        <v>Activo</v>
      </c>
      <c r="M391" s="4" t="str">
        <f>Sheet!K391</f>
        <v xml:space="preserve">PSI 6°    </v>
      </c>
    </row>
    <row r="392" spans="1:13" x14ac:dyDescent="0.35">
      <c r="A392" t="s">
        <v>1</v>
      </c>
      <c r="B392" s="5" t="s">
        <v>345</v>
      </c>
      <c r="C392" s="4" t="s">
        <v>656</v>
      </c>
      <c r="D392" s="4" t="s">
        <v>532</v>
      </c>
      <c r="E392" t="s">
        <v>3523</v>
      </c>
      <c r="F392" t="str">
        <f>CONCATENATE("'",Sheet!E392)</f>
        <v>'109863</v>
      </c>
      <c r="G392" t="s">
        <v>1736</v>
      </c>
      <c r="H392" s="4" t="str">
        <f>Sheet!F392</f>
        <v>CONTRERAS VEGA LAURA JOSSELIN</v>
      </c>
      <c r="I392" s="4" t="str">
        <f>Sheet!G392</f>
        <v>INGENIERIA AEROESPACIAL</v>
      </c>
      <c r="J392" s="4" t="str">
        <f>Sheet!H392</f>
        <v>10mo</v>
      </c>
      <c r="K392" s="4" t="str">
        <f>Sheet!I392</f>
        <v>Femenino</v>
      </c>
      <c r="L392" s="4" t="str">
        <f>Sheet!J392</f>
        <v>Activo</v>
      </c>
      <c r="M392" s="4" t="str">
        <f>Sheet!K392</f>
        <v xml:space="preserve">AERO_10°  </v>
      </c>
    </row>
    <row r="393" spans="1:13" x14ac:dyDescent="0.35">
      <c r="A393" t="s">
        <v>1</v>
      </c>
      <c r="B393" s="5" t="s">
        <v>346</v>
      </c>
      <c r="C393" s="4" t="s">
        <v>613</v>
      </c>
      <c r="D393" s="4" t="s">
        <v>895</v>
      </c>
      <c r="E393" t="s">
        <v>3525</v>
      </c>
      <c r="F393" t="str">
        <f>CONCATENATE("'",Sheet!E393)</f>
        <v>'111117</v>
      </c>
      <c r="G393" t="s">
        <v>1736</v>
      </c>
      <c r="H393" s="4" t="str">
        <f>Sheet!F393</f>
        <v>IÑIGUEZ OSEGUERA LAURA MARIA</v>
      </c>
      <c r="I393" s="4" t="str">
        <f>Sheet!G393</f>
        <v>ADMINISTRACION Y DIRECCION DE NEGOCIOS</v>
      </c>
      <c r="J393" s="4" t="str">
        <f>Sheet!H393</f>
        <v>6to</v>
      </c>
      <c r="K393" s="4" t="str">
        <f>Sheet!I393</f>
        <v>Femenino</v>
      </c>
      <c r="L393" s="4" t="str">
        <f>Sheet!J393</f>
        <v>Activo</v>
      </c>
      <c r="M393" s="4" t="str">
        <f>Sheet!K393</f>
        <v xml:space="preserve">ADMON 6°  </v>
      </c>
    </row>
    <row r="394" spans="1:13" x14ac:dyDescent="0.35">
      <c r="A394" t="s">
        <v>1</v>
      </c>
      <c r="B394" s="5" t="s">
        <v>347</v>
      </c>
      <c r="C394" s="4" t="s">
        <v>551</v>
      </c>
      <c r="D394" s="4" t="s">
        <v>548</v>
      </c>
      <c r="E394" t="s">
        <v>3528</v>
      </c>
      <c r="F394" t="str">
        <f>CONCATENATE("'",Sheet!E394)</f>
        <v>'111153</v>
      </c>
      <c r="G394" t="s">
        <v>1736</v>
      </c>
      <c r="H394" s="4" t="str">
        <f>Sheet!F394</f>
        <v>CEJA PEREZ LAURA SUSANA</v>
      </c>
      <c r="I394" s="4" t="str">
        <f>Sheet!G394</f>
        <v>INGENIERIA AEROESPACIAL</v>
      </c>
      <c r="J394" s="4" t="str">
        <f>Sheet!H394</f>
        <v>6to</v>
      </c>
      <c r="K394" s="4" t="str">
        <f>Sheet!I394</f>
        <v>Femenino</v>
      </c>
      <c r="L394" s="4" t="str">
        <f>Sheet!J394</f>
        <v>Activo</v>
      </c>
      <c r="M394" s="4" t="str">
        <f>Sheet!K394</f>
        <v xml:space="preserve">AERO 6°   </v>
      </c>
    </row>
    <row r="395" spans="1:13" x14ac:dyDescent="0.35">
      <c r="A395" t="s">
        <v>1</v>
      </c>
      <c r="B395" s="5" t="s">
        <v>348</v>
      </c>
      <c r="C395" s="4" t="s">
        <v>600</v>
      </c>
      <c r="D395" s="4" t="s">
        <v>892</v>
      </c>
      <c r="E395" t="s">
        <v>3531</v>
      </c>
      <c r="F395" t="str">
        <f>CONCATENATE("'",Sheet!E395)</f>
        <v>'110694</v>
      </c>
      <c r="G395" t="s">
        <v>1736</v>
      </c>
      <c r="H395" s="4" t="str">
        <f>Sheet!F395</f>
        <v>TORRES GUEVARA LAVINIA ZARINA</v>
      </c>
      <c r="I395" s="4" t="str">
        <f>Sheet!G395</f>
        <v>COMERCIO INTERNACIONAL</v>
      </c>
      <c r="J395" s="4" t="str">
        <f>Sheet!H395</f>
        <v>8vo</v>
      </c>
      <c r="K395" s="4" t="str">
        <f>Sheet!I395</f>
        <v>Femenino</v>
      </c>
      <c r="L395" s="4" t="str">
        <f>Sheet!J395</f>
        <v>Activo</v>
      </c>
      <c r="M395" s="4" t="str">
        <f>Sheet!K395</f>
        <v xml:space="preserve">COM 8°    </v>
      </c>
    </row>
    <row r="396" spans="1:13" x14ac:dyDescent="0.35">
      <c r="A396" t="s">
        <v>1</v>
      </c>
      <c r="B396" s="5" t="s">
        <v>349</v>
      </c>
      <c r="C396" s="4" t="s">
        <v>531</v>
      </c>
      <c r="D396" s="4" t="s">
        <v>866</v>
      </c>
      <c r="E396" t="s">
        <v>3534</v>
      </c>
      <c r="F396" t="str">
        <f>CONCATENATE("'",Sheet!E396)</f>
        <v>'111190</v>
      </c>
      <c r="G396" t="s">
        <v>1736</v>
      </c>
      <c r="H396" s="4" t="str">
        <f>Sheet!F396</f>
        <v>GONZALEZ GUERRA LAYSSA</v>
      </c>
      <c r="I396" s="4" t="str">
        <f>Sheet!G396</f>
        <v>INGENIERIA CIBERNETICA Y EN SISTEMAS COMPUTACIONALES</v>
      </c>
      <c r="J396" s="4" t="str">
        <f>Sheet!H396</f>
        <v>6to</v>
      </c>
      <c r="K396" s="4" t="str">
        <f>Sheet!I396</f>
        <v>Femenino</v>
      </c>
      <c r="L396" s="4" t="str">
        <f>Sheet!J396</f>
        <v>Activo</v>
      </c>
      <c r="M396" s="4" t="str">
        <f>Sheet!K396</f>
        <v xml:space="preserve">CIB 6°    </v>
      </c>
    </row>
    <row r="397" spans="1:13" x14ac:dyDescent="0.35">
      <c r="A397" t="s">
        <v>1</v>
      </c>
      <c r="B397" s="5" t="s">
        <v>350</v>
      </c>
      <c r="C397" s="4" t="s">
        <v>636</v>
      </c>
      <c r="D397" s="4" t="s">
        <v>990</v>
      </c>
      <c r="E397" t="s">
        <v>3537</v>
      </c>
      <c r="F397" t="str">
        <f>CONCATENATE("'",Sheet!E397)</f>
        <v>'111739</v>
      </c>
      <c r="G397" t="s">
        <v>1736</v>
      </c>
      <c r="H397" s="4" t="str">
        <f>Sheet!F397</f>
        <v>MARTINEZ RUAN LEONARDO</v>
      </c>
      <c r="I397" s="4" t="str">
        <f>Sheet!G397</f>
        <v>INGENIERÍA AUTOMOTRIZ</v>
      </c>
      <c r="J397" s="4" t="str">
        <f>Sheet!H397</f>
        <v>4to</v>
      </c>
      <c r="K397" s="4" t="str">
        <f>Sheet!I397</f>
        <v>Masculino</v>
      </c>
      <c r="L397" s="4" t="str">
        <f>Sheet!J397</f>
        <v>Activo</v>
      </c>
      <c r="M397" s="4" t="str">
        <f>Sheet!K397</f>
        <v xml:space="preserve">AUTO 4°   </v>
      </c>
    </row>
    <row r="398" spans="1:13" x14ac:dyDescent="0.35">
      <c r="A398" t="s">
        <v>1</v>
      </c>
      <c r="B398" s="5" t="s">
        <v>350</v>
      </c>
      <c r="C398" s="4" t="s">
        <v>769</v>
      </c>
      <c r="D398" s="4" t="s">
        <v>991</v>
      </c>
      <c r="E398" t="s">
        <v>3540</v>
      </c>
      <c r="F398" t="str">
        <f>CONCATENATE("'",Sheet!E398)</f>
        <v>'007767</v>
      </c>
      <c r="G398" t="s">
        <v>1736</v>
      </c>
      <c r="H398" s="4" t="str">
        <f>Sheet!F398</f>
        <v>VILLAVICENCIO OCEGUERA LEONARDO</v>
      </c>
      <c r="I398" s="4" t="str">
        <f>Sheet!G398</f>
        <v>ARQUITECTURA</v>
      </c>
      <c r="J398" s="4" t="str">
        <f>Sheet!H398</f>
        <v>4to</v>
      </c>
      <c r="K398" s="4" t="str">
        <f>Sheet!I398</f>
        <v>Masculino</v>
      </c>
      <c r="L398" s="4" t="str">
        <f>Sheet!J398</f>
        <v>Activo</v>
      </c>
      <c r="M398" s="4" t="str">
        <f>Sheet!K398</f>
        <v xml:space="preserve">ARQ 4°    </v>
      </c>
    </row>
    <row r="399" spans="1:13" x14ac:dyDescent="0.35">
      <c r="A399" t="s">
        <v>1</v>
      </c>
      <c r="B399" s="5" t="s">
        <v>351</v>
      </c>
      <c r="C399" s="4" t="s">
        <v>770</v>
      </c>
      <c r="D399" s="4" t="s">
        <v>593</v>
      </c>
      <c r="E399" t="s">
        <v>3543</v>
      </c>
      <c r="F399" t="str">
        <f>CONCATENATE("'",Sheet!E399)</f>
        <v>'112141</v>
      </c>
      <c r="G399" t="s">
        <v>1736</v>
      </c>
      <c r="H399" s="4" t="str">
        <f>Sheet!F399</f>
        <v>DE LA MORA SANCHEZ LEONARDO ALEJANDRO</v>
      </c>
      <c r="I399" s="4" t="str">
        <f>Sheet!G399</f>
        <v>INGENIERIA AEROESPACIAL</v>
      </c>
      <c r="J399" s="4" t="str">
        <f>Sheet!H399</f>
        <v>2do</v>
      </c>
      <c r="K399" s="4" t="str">
        <f>Sheet!I399</f>
        <v>Masculino</v>
      </c>
      <c r="L399" s="4" t="str">
        <f>Sheet!J399</f>
        <v>Activo</v>
      </c>
      <c r="M399" s="4" t="str">
        <f>Sheet!K399</f>
        <v xml:space="preserve">AERO 2°A  </v>
      </c>
    </row>
    <row r="400" spans="1:13" x14ac:dyDescent="0.35">
      <c r="A400" t="s">
        <v>1</v>
      </c>
      <c r="B400" s="5" t="s">
        <v>352</v>
      </c>
      <c r="C400" s="4" t="s">
        <v>543</v>
      </c>
      <c r="D400" s="4" t="s">
        <v>648</v>
      </c>
      <c r="E400" t="s">
        <v>3546</v>
      </c>
      <c r="F400" t="str">
        <f>CONCATENATE("'",Sheet!E400)</f>
        <v>'111792</v>
      </c>
      <c r="G400" t="s">
        <v>1736</v>
      </c>
      <c r="H400" s="4" t="str">
        <f>Sheet!F400</f>
        <v>VAZQUEZ CASTELLANOS LEONARDO AUGUSTO</v>
      </c>
      <c r="I400" s="4" t="str">
        <f>Sheet!G400</f>
        <v>ARQUITECTURA</v>
      </c>
      <c r="J400" s="4" t="str">
        <f>Sheet!H400</f>
        <v>4to</v>
      </c>
      <c r="K400" s="4" t="str">
        <f>Sheet!I400</f>
        <v>Masculino</v>
      </c>
      <c r="L400" s="4" t="str">
        <f>Sheet!J400</f>
        <v>Activo</v>
      </c>
      <c r="M400" s="4" t="str">
        <f>Sheet!K400</f>
        <v xml:space="preserve">ARQ 4°    </v>
      </c>
    </row>
    <row r="401" spans="1:13" x14ac:dyDescent="0.35">
      <c r="A401" t="s">
        <v>1</v>
      </c>
      <c r="B401" s="5" t="s">
        <v>353</v>
      </c>
      <c r="C401" s="4" t="s">
        <v>771</v>
      </c>
      <c r="D401" s="4" t="s">
        <v>742</v>
      </c>
      <c r="E401" t="s">
        <v>3549</v>
      </c>
      <c r="F401" t="str">
        <f>CONCATENATE("'",Sheet!E401)</f>
        <v>'110557</v>
      </c>
      <c r="G401" t="s">
        <v>1736</v>
      </c>
      <c r="H401" s="4" t="str">
        <f>Sheet!F401</f>
        <v>ORTA CRUZ LEONEL MAXIMILIANO</v>
      </c>
      <c r="I401" s="4" t="str">
        <f>Sheet!G401</f>
        <v>INGENIERIA AEROESPACIAL</v>
      </c>
      <c r="J401" s="4" t="str">
        <f>Sheet!H401</f>
        <v>8vo</v>
      </c>
      <c r="K401" s="4" t="str">
        <f>Sheet!I401</f>
        <v>Masculino</v>
      </c>
      <c r="L401" s="4" t="str">
        <f>Sheet!J401</f>
        <v>Activo</v>
      </c>
      <c r="M401" s="4" t="str">
        <f>Sheet!K401</f>
        <v xml:space="preserve">AERO 8°   </v>
      </c>
    </row>
    <row r="402" spans="1:13" x14ac:dyDescent="0.35">
      <c r="A402" t="s">
        <v>1</v>
      </c>
      <c r="B402" s="5" t="s">
        <v>354</v>
      </c>
      <c r="C402" s="4" t="s">
        <v>772</v>
      </c>
      <c r="D402" s="4" t="s">
        <v>530</v>
      </c>
      <c r="E402" t="s">
        <v>3552</v>
      </c>
      <c r="F402" t="str">
        <f>CONCATENATE("'",Sheet!E402)</f>
        <v>'007095</v>
      </c>
      <c r="G402" t="s">
        <v>1736</v>
      </c>
      <c r="H402" s="4" t="str">
        <f>Sheet!F402</f>
        <v>BARRIOS SANDOVAL LEONEL RICARDO</v>
      </c>
      <c r="I402" s="4" t="str">
        <f>Sheet!G402</f>
        <v>COMERCIO INTERNACIONAL</v>
      </c>
      <c r="J402" s="4" t="str">
        <f>Sheet!H402</f>
        <v>8vo</v>
      </c>
      <c r="K402" s="4" t="str">
        <f>Sheet!I402</f>
        <v>Masculino</v>
      </c>
      <c r="L402" s="4" t="str">
        <f>Sheet!J402</f>
        <v>Activo</v>
      </c>
      <c r="M402" s="4" t="str">
        <f>Sheet!K402</f>
        <v xml:space="preserve">COM 8°    </v>
      </c>
    </row>
    <row r="403" spans="1:13" x14ac:dyDescent="0.35">
      <c r="A403" t="s">
        <v>1</v>
      </c>
      <c r="B403" s="5" t="s">
        <v>355</v>
      </c>
      <c r="C403" s="4" t="s">
        <v>773</v>
      </c>
      <c r="D403" s="4" t="s">
        <v>539</v>
      </c>
      <c r="E403" t="s">
        <v>3555</v>
      </c>
      <c r="F403" t="str">
        <f>CONCATENATE("'",Sheet!E403)</f>
        <v>'110665</v>
      </c>
      <c r="G403" t="s">
        <v>1736</v>
      </c>
      <c r="H403" s="4" t="str">
        <f>Sheet!F403</f>
        <v>ROBLEDO RODRIGUEZ LESLY DANIELA</v>
      </c>
      <c r="I403" s="4" t="str">
        <f>Sheet!G403</f>
        <v>ARQUITECTURA</v>
      </c>
      <c r="J403" s="4" t="str">
        <f>Sheet!H403</f>
        <v>8vo</v>
      </c>
      <c r="K403" s="4" t="str">
        <f>Sheet!I403</f>
        <v>Femenino</v>
      </c>
      <c r="L403" s="4" t="str">
        <f>Sheet!J403</f>
        <v>Activo</v>
      </c>
      <c r="M403" s="4" t="str">
        <f>Sheet!K403</f>
        <v xml:space="preserve">ARQ 8°    </v>
      </c>
    </row>
    <row r="404" spans="1:13" x14ac:dyDescent="0.35">
      <c r="A404" t="s">
        <v>1</v>
      </c>
      <c r="B404" s="5" t="s">
        <v>356</v>
      </c>
      <c r="C404" s="4" t="s">
        <v>635</v>
      </c>
      <c r="D404" s="4" t="s">
        <v>550</v>
      </c>
      <c r="E404" t="s">
        <v>3558</v>
      </c>
      <c r="F404" t="str">
        <f>CONCATENATE("'",Sheet!E404)</f>
        <v>'110524</v>
      </c>
      <c r="G404" t="s">
        <v>1736</v>
      </c>
      <c r="H404" s="4" t="str">
        <f>Sheet!F404</f>
        <v>VALENCIA BARAJAS LILIAN</v>
      </c>
      <c r="I404" s="4" t="str">
        <f>Sheet!G404</f>
        <v>INGENIERIA AEROESPACIAL</v>
      </c>
      <c r="J404" s="4" t="str">
        <f>Sheet!H404</f>
        <v>8vo</v>
      </c>
      <c r="K404" s="4" t="str">
        <f>Sheet!I404</f>
        <v>Femenino</v>
      </c>
      <c r="L404" s="4" t="str">
        <f>Sheet!J404</f>
        <v>Activo</v>
      </c>
      <c r="M404" s="4" t="str">
        <f>Sheet!K404</f>
        <v xml:space="preserve">AERO 8°   </v>
      </c>
    </row>
    <row r="405" spans="1:13" x14ac:dyDescent="0.35">
      <c r="A405" t="s">
        <v>1</v>
      </c>
      <c r="B405" s="5" t="s">
        <v>357</v>
      </c>
      <c r="C405" s="4" t="s">
        <v>772</v>
      </c>
      <c r="D405" s="4" t="s">
        <v>530</v>
      </c>
      <c r="E405" t="s">
        <v>3560</v>
      </c>
      <c r="F405" t="str">
        <f>CONCATENATE("'",Sheet!E405)</f>
        <v>'007079</v>
      </c>
      <c r="G405" t="s">
        <v>1736</v>
      </c>
      <c r="H405" s="4" t="str">
        <f>Sheet!F405</f>
        <v>BARRIOS SANDOVAL LILLIAN REBECA</v>
      </c>
      <c r="I405" s="4" t="str">
        <f>Sheet!G405</f>
        <v>NUTRICION Y GASTRONOMIA</v>
      </c>
      <c r="J405" s="4" t="str">
        <f>Sheet!H405</f>
        <v>8vo</v>
      </c>
      <c r="K405" s="4" t="str">
        <f>Sheet!I405</f>
        <v>Femenino</v>
      </c>
      <c r="L405" s="4" t="str">
        <f>Sheet!J405</f>
        <v>Activo</v>
      </c>
      <c r="M405" s="4" t="str">
        <f>Sheet!K405</f>
        <v xml:space="preserve">NUT 8°    </v>
      </c>
    </row>
    <row r="406" spans="1:13" x14ac:dyDescent="0.35">
      <c r="A406" t="s">
        <v>1</v>
      </c>
      <c r="B406" s="5" t="s">
        <v>358</v>
      </c>
      <c r="C406" s="4" t="s">
        <v>530</v>
      </c>
      <c r="D406" s="4" t="s">
        <v>992</v>
      </c>
      <c r="E406" t="s">
        <v>3563</v>
      </c>
      <c r="F406" t="str">
        <f>CONCATENATE("'",Sheet!E406)</f>
        <v>'110605</v>
      </c>
      <c r="G406" t="s">
        <v>1736</v>
      </c>
      <c r="H406" s="4" t="str">
        <f>Sheet!F406</f>
        <v>SANDOVAL VALENZUELA LISSET</v>
      </c>
      <c r="I406" s="4" t="str">
        <f>Sheet!G406</f>
        <v>INGENIERIA AEROESPACIAL</v>
      </c>
      <c r="J406" s="4" t="str">
        <f>Sheet!H406</f>
        <v>8vo</v>
      </c>
      <c r="K406" s="4" t="str">
        <f>Sheet!I406</f>
        <v>Femenino</v>
      </c>
      <c r="L406" s="4" t="str">
        <f>Sheet!J406</f>
        <v>Activo</v>
      </c>
      <c r="M406" s="4" t="str">
        <f>Sheet!K406</f>
        <v xml:space="preserve">AERO 8°   </v>
      </c>
    </row>
    <row r="407" spans="1:13" x14ac:dyDescent="0.35">
      <c r="A407" t="s">
        <v>1</v>
      </c>
      <c r="B407" s="5" t="s">
        <v>359</v>
      </c>
      <c r="C407" s="4" t="s">
        <v>774</v>
      </c>
      <c r="D407" s="4" t="s">
        <v>993</v>
      </c>
      <c r="E407" t="s">
        <v>3566</v>
      </c>
      <c r="F407" t="str">
        <f>CONCATENATE("'",Sheet!E407)</f>
        <v>'112170</v>
      </c>
      <c r="G407" t="s">
        <v>1736</v>
      </c>
      <c r="H407" s="4" t="str">
        <f>Sheet!F407</f>
        <v>SILVA SOTELO LUIS ALBERTO</v>
      </c>
      <c r="I407" s="4" t="str">
        <f>Sheet!G407</f>
        <v>PSICOLOGIA</v>
      </c>
      <c r="J407" s="4" t="str">
        <f>Sheet!H407</f>
        <v>2do</v>
      </c>
      <c r="K407" s="4" t="str">
        <f>Sheet!I407</f>
        <v>Masculino</v>
      </c>
      <c r="L407" s="4" t="str">
        <f>Sheet!J407</f>
        <v>Activo</v>
      </c>
      <c r="M407" s="4" t="str">
        <f>Sheet!K407</f>
        <v xml:space="preserve">PSI 2°    </v>
      </c>
    </row>
    <row r="408" spans="1:13" x14ac:dyDescent="0.35">
      <c r="A408" t="s">
        <v>1</v>
      </c>
      <c r="B408" s="5" t="s">
        <v>360</v>
      </c>
      <c r="C408" s="4" t="s">
        <v>687</v>
      </c>
      <c r="D408" s="4" t="s">
        <v>593</v>
      </c>
      <c r="E408" t="s">
        <v>3569</v>
      </c>
      <c r="F408" t="str">
        <f>CONCATENATE("'",Sheet!E408)</f>
        <v>'111642</v>
      </c>
      <c r="G408" t="s">
        <v>1736</v>
      </c>
      <c r="H408" s="4" t="str">
        <f>Sheet!F408</f>
        <v>ESPARZA SANCHEZ LUIS ALEJANDRO</v>
      </c>
      <c r="I408" s="4" t="str">
        <f>Sheet!G408</f>
        <v>INGENIERIA AEROESPACIAL</v>
      </c>
      <c r="J408" s="4" t="str">
        <f>Sheet!H408</f>
        <v>4to</v>
      </c>
      <c r="K408" s="4" t="str">
        <f>Sheet!I408</f>
        <v>Masculino</v>
      </c>
      <c r="L408" s="4" t="str">
        <f>Sheet!J408</f>
        <v>Activo</v>
      </c>
      <c r="M408" s="4" t="str">
        <f>Sheet!K408</f>
        <v xml:space="preserve">AERO 4°A  </v>
      </c>
    </row>
    <row r="409" spans="1:13" x14ac:dyDescent="0.35">
      <c r="A409" t="s">
        <v>1</v>
      </c>
      <c r="B409" s="5" t="s">
        <v>361</v>
      </c>
      <c r="C409" s="4" t="s">
        <v>589</v>
      </c>
      <c r="D409" s="4" t="s">
        <v>589</v>
      </c>
      <c r="E409" t="s">
        <v>3572</v>
      </c>
      <c r="F409" t="str">
        <f>CONCATENATE("'",Sheet!E409)</f>
        <v>'111817</v>
      </c>
      <c r="G409" t="s">
        <v>1736</v>
      </c>
      <c r="H409" s="4" t="str">
        <f>Sheet!F409</f>
        <v>GARCIA GARCIA LUIS ALONSO</v>
      </c>
      <c r="I409" s="4" t="str">
        <f>Sheet!G409</f>
        <v>ANIMACION DIGITAL Y VIDEOJUEGOS</v>
      </c>
      <c r="J409" s="4" t="str">
        <f>Sheet!H409</f>
        <v>4to</v>
      </c>
      <c r="K409" s="4" t="str">
        <f>Sheet!I409</f>
        <v>Masculino</v>
      </c>
      <c r="L409" s="4" t="str">
        <f>Sheet!J409</f>
        <v>Activo</v>
      </c>
      <c r="M409" s="4" t="str">
        <f>Sheet!K409</f>
        <v xml:space="preserve">ANIM 4°   </v>
      </c>
    </row>
    <row r="410" spans="1:13" x14ac:dyDescent="0.35">
      <c r="A410" t="s">
        <v>1</v>
      </c>
      <c r="B410" s="5" t="s">
        <v>362</v>
      </c>
      <c r="C410" s="4" t="s">
        <v>775</v>
      </c>
      <c r="D410" s="4" t="s">
        <v>659</v>
      </c>
      <c r="E410" t="s">
        <v>3575</v>
      </c>
      <c r="F410" t="str">
        <f>CONCATENATE("'",Sheet!E410)</f>
        <v>'111112</v>
      </c>
      <c r="G410" t="s">
        <v>1736</v>
      </c>
      <c r="H410" s="4" t="str">
        <f>Sheet!F410</f>
        <v>SANTANA AGUILAR LUIS ANTONIO</v>
      </c>
      <c r="I410" s="4" t="str">
        <f>Sheet!G410</f>
        <v>INGENIERÍA AUTOMOTRIZ</v>
      </c>
      <c r="J410" s="4" t="str">
        <f>Sheet!H410</f>
        <v>6to</v>
      </c>
      <c r="K410" s="4" t="str">
        <f>Sheet!I410</f>
        <v>Masculino</v>
      </c>
      <c r="L410" s="4" t="str">
        <f>Sheet!J410</f>
        <v>Activo</v>
      </c>
      <c r="M410" s="4" t="str">
        <f>Sheet!K410</f>
        <v xml:space="preserve">AUTO 6°   </v>
      </c>
    </row>
    <row r="411" spans="1:13" x14ac:dyDescent="0.35">
      <c r="A411" t="s">
        <v>1</v>
      </c>
      <c r="B411" s="5" t="s">
        <v>363</v>
      </c>
      <c r="C411" s="4" t="s">
        <v>589</v>
      </c>
      <c r="D411" s="4" t="s">
        <v>994</v>
      </c>
      <c r="E411" t="s">
        <v>3578</v>
      </c>
      <c r="F411" t="str">
        <f>CONCATENATE("'",Sheet!E411)</f>
        <v>'112362</v>
      </c>
      <c r="G411" t="s">
        <v>1736</v>
      </c>
      <c r="H411" s="4" t="str">
        <f>Sheet!F411</f>
        <v>GARCIA FERNANDEZ LUIS DANIEL</v>
      </c>
      <c r="I411" s="4" t="str">
        <f>Sheet!G411</f>
        <v>ARQUITECTURA</v>
      </c>
      <c r="J411" s="4" t="str">
        <f>Sheet!H411</f>
        <v>2do</v>
      </c>
      <c r="K411" s="4" t="str">
        <f>Sheet!I411</f>
        <v>Masculino</v>
      </c>
      <c r="L411" s="4" t="str">
        <f>Sheet!J411</f>
        <v>Activo</v>
      </c>
      <c r="M411" s="4" t="str">
        <f>Sheet!K411</f>
        <v xml:space="preserve">ARQ 2°    </v>
      </c>
    </row>
    <row r="412" spans="1:13" x14ac:dyDescent="0.35">
      <c r="A412" t="s">
        <v>1</v>
      </c>
      <c r="B412" s="5" t="s">
        <v>364</v>
      </c>
      <c r="C412" s="4" t="s">
        <v>621</v>
      </c>
      <c r="D412" s="4" t="s">
        <v>577</v>
      </c>
      <c r="E412" t="s">
        <v>3581</v>
      </c>
      <c r="F412" t="str">
        <f>CONCATENATE("'",Sheet!E412)</f>
        <v>'111157</v>
      </c>
      <c r="G412" t="s">
        <v>1736</v>
      </c>
      <c r="H412" s="4" t="str">
        <f>Sheet!F412</f>
        <v>LOPEZ OROZCO LUIS FERNANDO</v>
      </c>
      <c r="I412" s="4" t="str">
        <f>Sheet!G412</f>
        <v>ADMINISTRACION Y DIRECCION DE NEGOCIOS</v>
      </c>
      <c r="J412" s="4" t="str">
        <f>Sheet!H412</f>
        <v>6to</v>
      </c>
      <c r="K412" s="4" t="str">
        <f>Sheet!I412</f>
        <v>Masculino</v>
      </c>
      <c r="L412" s="4" t="str">
        <f>Sheet!J412</f>
        <v>Activo</v>
      </c>
      <c r="M412" s="4" t="str">
        <f>Sheet!K412</f>
        <v xml:space="preserve">ADMON 6°  </v>
      </c>
    </row>
    <row r="413" spans="1:13" x14ac:dyDescent="0.35">
      <c r="A413" t="s">
        <v>1</v>
      </c>
      <c r="B413" s="5" t="s">
        <v>364</v>
      </c>
      <c r="C413" s="4" t="s">
        <v>766</v>
      </c>
      <c r="D413" s="4" t="s">
        <v>932</v>
      </c>
      <c r="E413" t="s">
        <v>3584</v>
      </c>
      <c r="F413" t="str">
        <f>CONCATENATE("'",Sheet!E413)</f>
        <v>'110434</v>
      </c>
      <c r="G413" t="s">
        <v>1736</v>
      </c>
      <c r="H413" s="4" t="str">
        <f>Sheet!F413</f>
        <v>MORA DEL TORO LUIS FERNANDO</v>
      </c>
      <c r="I413" s="4" t="str">
        <f>Sheet!G413</f>
        <v>COMERCIO INTERNACIONAL</v>
      </c>
      <c r="J413" s="4" t="str">
        <f>Sheet!H413</f>
        <v>8vo</v>
      </c>
      <c r="K413" s="4" t="str">
        <f>Sheet!I413</f>
        <v>Masculino</v>
      </c>
      <c r="L413" s="4" t="str">
        <f>Sheet!J413</f>
        <v>Activo</v>
      </c>
      <c r="M413" s="4" t="str">
        <f>Sheet!K413</f>
        <v xml:space="preserve">COM 8°    </v>
      </c>
    </row>
    <row r="414" spans="1:13" x14ac:dyDescent="0.35">
      <c r="A414" t="s">
        <v>1</v>
      </c>
      <c r="B414" s="5" t="s">
        <v>364</v>
      </c>
      <c r="C414" s="4" t="s">
        <v>569</v>
      </c>
      <c r="D414" s="4" t="s">
        <v>995</v>
      </c>
      <c r="E414" t="s">
        <v>4183</v>
      </c>
      <c r="F414" t="str">
        <f>CONCATENATE("'",Sheet!E414)</f>
        <v>'007359</v>
      </c>
      <c r="G414" t="s">
        <v>1736</v>
      </c>
      <c r="H414" s="4" t="str">
        <f>Sheet!F414</f>
        <v>OCHOA FONSECA LUIS FERNANDO</v>
      </c>
      <c r="I414" s="4" t="str">
        <f>Sheet!G414</f>
        <v>ADMINISTRACION Y DIRECCION DE NEGOCIOS</v>
      </c>
      <c r="J414" s="4" t="str">
        <f>Sheet!H414</f>
        <v>6to</v>
      </c>
      <c r="K414" s="4" t="str">
        <f>Sheet!I414</f>
        <v>Masculino</v>
      </c>
      <c r="L414" s="4" t="str">
        <f>Sheet!J414</f>
        <v>Activo</v>
      </c>
      <c r="M414" s="4" t="str">
        <f>Sheet!K414</f>
        <v xml:space="preserve">ADMON 6°  </v>
      </c>
    </row>
    <row r="415" spans="1:13" x14ac:dyDescent="0.35">
      <c r="A415" t="s">
        <v>1</v>
      </c>
      <c r="B415" s="5" t="s">
        <v>364</v>
      </c>
      <c r="C415" s="4" t="s">
        <v>548</v>
      </c>
      <c r="D415" s="4" t="s">
        <v>584</v>
      </c>
      <c r="E415" t="s">
        <v>3587</v>
      </c>
      <c r="F415" t="str">
        <f>CONCATENATE("'",Sheet!E415)</f>
        <v>'111838</v>
      </c>
      <c r="G415" t="s">
        <v>1736</v>
      </c>
      <c r="H415" s="4" t="str">
        <f>Sheet!F415</f>
        <v>PEREZ ENCISO LUIS FERNANDO</v>
      </c>
      <c r="I415" s="4" t="str">
        <f>Sheet!G415</f>
        <v>ARQUITECTURA</v>
      </c>
      <c r="J415" s="4" t="str">
        <f>Sheet!H415</f>
        <v>4to</v>
      </c>
      <c r="K415" s="4" t="str">
        <f>Sheet!I415</f>
        <v>Masculino</v>
      </c>
      <c r="L415" s="4" t="str">
        <f>Sheet!J415</f>
        <v>Activo</v>
      </c>
      <c r="M415" s="4" t="str">
        <f>Sheet!K415</f>
        <v xml:space="preserve">ARQ 4°    </v>
      </c>
    </row>
    <row r="416" spans="1:13" x14ac:dyDescent="0.35">
      <c r="A416" t="s">
        <v>1</v>
      </c>
      <c r="B416" s="5" t="s">
        <v>364</v>
      </c>
      <c r="C416" s="4" t="s">
        <v>776</v>
      </c>
      <c r="D416" s="4" t="s">
        <v>600</v>
      </c>
      <c r="E416" t="s">
        <v>3590</v>
      </c>
      <c r="F416" t="str">
        <f>CONCATENATE("'",Sheet!E416)</f>
        <v>'111076</v>
      </c>
      <c r="G416" t="s">
        <v>1736</v>
      </c>
      <c r="H416" s="4" t="str">
        <f>Sheet!F416</f>
        <v>SALAZAR TORRES LUIS FERNANDO</v>
      </c>
      <c r="I416" s="4" t="str">
        <f>Sheet!G416</f>
        <v>INGENIERÍA EN INTELIGENCIA ARTIFICIAL</v>
      </c>
      <c r="J416" s="4" t="str">
        <f>Sheet!H416</f>
        <v>6to</v>
      </c>
      <c r="K416" s="4" t="str">
        <f>Sheet!I416</f>
        <v>Masculino</v>
      </c>
      <c r="L416" s="4" t="str">
        <f>Sheet!J416</f>
        <v>Activo</v>
      </c>
      <c r="M416" s="4" t="str">
        <f>Sheet!K416</f>
        <v xml:space="preserve">IA 6°     </v>
      </c>
    </row>
    <row r="417" spans="1:13" x14ac:dyDescent="0.35">
      <c r="A417" t="s">
        <v>1</v>
      </c>
      <c r="B417" s="5" t="s">
        <v>365</v>
      </c>
      <c r="C417" s="4" t="s">
        <v>777</v>
      </c>
      <c r="D417" s="4" t="s">
        <v>764</v>
      </c>
      <c r="E417" t="s">
        <v>4189</v>
      </c>
      <c r="F417" t="str">
        <f>CONCATENATE("'",Sheet!E417)</f>
        <v>'110433</v>
      </c>
      <c r="G417" t="s">
        <v>1736</v>
      </c>
      <c r="H417" s="4" t="str">
        <f>Sheet!F417</f>
        <v>ALMONTE MEJIA LUIS JAVIER</v>
      </c>
      <c r="I417" s="4" t="str">
        <f>Sheet!G417</f>
        <v>COMERCIO INTERNACIONAL</v>
      </c>
      <c r="J417" s="4" t="str">
        <f>Sheet!H417</f>
        <v>8vo</v>
      </c>
      <c r="K417" s="4" t="str">
        <f>Sheet!I417</f>
        <v>Masculino</v>
      </c>
      <c r="L417" s="4" t="str">
        <f>Sheet!J417</f>
        <v>Activo</v>
      </c>
      <c r="M417" s="4" t="str">
        <f>Sheet!K417</f>
        <v xml:space="preserve">COM 8°    </v>
      </c>
    </row>
    <row r="418" spans="1:13" x14ac:dyDescent="0.35">
      <c r="A418" t="s">
        <v>1</v>
      </c>
      <c r="B418" s="5" t="s">
        <v>366</v>
      </c>
      <c r="C418" s="4" t="s">
        <v>588</v>
      </c>
      <c r="D418" s="4" t="s">
        <v>539</v>
      </c>
      <c r="E418" t="s">
        <v>3593</v>
      </c>
      <c r="F418" t="str">
        <f>CONCATENATE("'",Sheet!E418)</f>
        <v>'110471</v>
      </c>
      <c r="G418" t="s">
        <v>1736</v>
      </c>
      <c r="H418" s="4" t="str">
        <f>Sheet!F418</f>
        <v>DAVALOS RODRIGUEZ LUIS MANUEL</v>
      </c>
      <c r="I418" s="4" t="str">
        <f>Sheet!G418</f>
        <v>INGENIERIA AEROESPACIAL</v>
      </c>
      <c r="J418" s="4" t="str">
        <f>Sheet!H418</f>
        <v>8vo</v>
      </c>
      <c r="K418" s="4" t="str">
        <f>Sheet!I418</f>
        <v>Masculino</v>
      </c>
      <c r="L418" s="4" t="str">
        <f>Sheet!J418</f>
        <v>Activo</v>
      </c>
      <c r="M418" s="4" t="str">
        <f>Sheet!K418</f>
        <v xml:space="preserve">AERO 8°   </v>
      </c>
    </row>
    <row r="419" spans="1:13" x14ac:dyDescent="0.35">
      <c r="A419" t="s">
        <v>1</v>
      </c>
      <c r="B419" s="5" t="s">
        <v>367</v>
      </c>
      <c r="C419" s="4" t="s">
        <v>591</v>
      </c>
      <c r="D419" s="4" t="s">
        <v>578</v>
      </c>
      <c r="E419" t="s">
        <v>3596</v>
      </c>
      <c r="F419" t="str">
        <f>CONCATENATE("'",Sheet!E419)</f>
        <v>'112268</v>
      </c>
      <c r="G419" t="s">
        <v>1736</v>
      </c>
      <c r="H419" s="4" t="str">
        <f>Sheet!F419</f>
        <v>GUTIERREZ CHAVEZ LUIS RODOLFO</v>
      </c>
      <c r="I419" s="4" t="str">
        <f>Sheet!G419</f>
        <v>INGENIERIA AEROESPACIAL</v>
      </c>
      <c r="J419" s="4" t="str">
        <f>Sheet!H419</f>
        <v>2do</v>
      </c>
      <c r="K419" s="4" t="str">
        <f>Sheet!I419</f>
        <v>Masculino</v>
      </c>
      <c r="L419" s="4" t="str">
        <f>Sheet!J419</f>
        <v>Activo</v>
      </c>
      <c r="M419" s="4" t="str">
        <f>Sheet!K419</f>
        <v xml:space="preserve">AERO 2°B  </v>
      </c>
    </row>
    <row r="420" spans="1:13" x14ac:dyDescent="0.35">
      <c r="A420" t="s">
        <v>1</v>
      </c>
      <c r="B420" s="5" t="s">
        <v>367</v>
      </c>
      <c r="C420" s="4" t="s">
        <v>689</v>
      </c>
      <c r="D420" s="4" t="s">
        <v>593</v>
      </c>
      <c r="E420" t="s">
        <v>3599</v>
      </c>
      <c r="F420" t="str">
        <f>CONCATENATE("'",Sheet!E420)</f>
        <v>'112198</v>
      </c>
      <c r="G420" t="s">
        <v>1736</v>
      </c>
      <c r="H420" s="4" t="str">
        <f>Sheet!F420</f>
        <v>LOZANO SANCHEZ LUIS RODOLFO</v>
      </c>
      <c r="I420" s="4" t="str">
        <f>Sheet!G420</f>
        <v>INGENIERÍA AUTOMOTRIZ</v>
      </c>
      <c r="J420" s="4" t="str">
        <f>Sheet!H420</f>
        <v>2do</v>
      </c>
      <c r="K420" s="4" t="str">
        <f>Sheet!I420</f>
        <v>Masculino</v>
      </c>
      <c r="L420" s="4" t="str">
        <f>Sheet!J420</f>
        <v>Activo</v>
      </c>
      <c r="M420" s="4" t="str">
        <f>Sheet!K420</f>
        <v xml:space="preserve">AUTO 2° A </v>
      </c>
    </row>
    <row r="421" spans="1:13" x14ac:dyDescent="0.35">
      <c r="A421" t="s">
        <v>1</v>
      </c>
      <c r="B421" s="5" t="s">
        <v>368</v>
      </c>
      <c r="C421" s="4" t="s">
        <v>774</v>
      </c>
      <c r="D421" s="4" t="s">
        <v>600</v>
      </c>
      <c r="E421" t="s">
        <v>3602</v>
      </c>
      <c r="F421" t="str">
        <f>CONCATENATE("'",Sheet!E421)</f>
        <v>'110493</v>
      </c>
      <c r="G421" t="s">
        <v>1736</v>
      </c>
      <c r="H421" s="4" t="str">
        <f>Sheet!F421</f>
        <v>SILVA TORRES LUIS RONALDO</v>
      </c>
      <c r="I421" s="4" t="str">
        <f>Sheet!G421</f>
        <v>DERECHO</v>
      </c>
      <c r="J421" s="4" t="str">
        <f>Sheet!H421</f>
        <v>8vo</v>
      </c>
      <c r="K421" s="4" t="str">
        <f>Sheet!I421</f>
        <v>Masculino</v>
      </c>
      <c r="L421" s="4" t="str">
        <f>Sheet!J421</f>
        <v>Activo</v>
      </c>
      <c r="M421" s="4" t="str">
        <f>Sheet!K421</f>
        <v xml:space="preserve">DER 8°    </v>
      </c>
    </row>
    <row r="422" spans="1:13" x14ac:dyDescent="0.35">
      <c r="A422" t="s">
        <v>1</v>
      </c>
      <c r="B422" s="5" t="s">
        <v>369</v>
      </c>
      <c r="C422" s="4" t="s">
        <v>653</v>
      </c>
      <c r="D422" s="4" t="s">
        <v>996</v>
      </c>
      <c r="E422" t="s">
        <v>3605</v>
      </c>
      <c r="F422" t="str">
        <f>CONCATENATE("'",Sheet!E422)</f>
        <v>'007026</v>
      </c>
      <c r="G422" t="s">
        <v>1736</v>
      </c>
      <c r="H422" s="4" t="str">
        <f>Sheet!F422</f>
        <v>ROJO GAXIOLA LUIS SERGIO</v>
      </c>
      <c r="I422" s="4" t="str">
        <f>Sheet!G422</f>
        <v>ANIMACION DIGITAL Y VIDEOJUEGOS</v>
      </c>
      <c r="J422" s="4" t="str">
        <f>Sheet!H422</f>
        <v>8vo</v>
      </c>
      <c r="K422" s="4" t="str">
        <f>Sheet!I422</f>
        <v>Masculino</v>
      </c>
      <c r="L422" s="4" t="str">
        <f>Sheet!J422</f>
        <v>Activo</v>
      </c>
      <c r="M422" s="4" t="str">
        <f>Sheet!K422</f>
        <v xml:space="preserve">ANIM 8°   </v>
      </c>
    </row>
    <row r="423" spans="1:13" x14ac:dyDescent="0.35">
      <c r="A423" t="s">
        <v>1</v>
      </c>
      <c r="B423" s="5" t="s">
        <v>370</v>
      </c>
      <c r="C423" s="4" t="s">
        <v>689</v>
      </c>
      <c r="D423" s="4" t="s">
        <v>997</v>
      </c>
      <c r="E423" t="s">
        <v>3608</v>
      </c>
      <c r="F423" t="str">
        <f>CONCATENATE("'",Sheet!E423)</f>
        <v>'110623</v>
      </c>
      <c r="G423" t="s">
        <v>1736</v>
      </c>
      <c r="H423" s="4" t="str">
        <f>Sheet!F423</f>
        <v>LOZANO DE LA O LUNA DALAI</v>
      </c>
      <c r="I423" s="4" t="str">
        <f>Sheet!G423</f>
        <v>NUTRICION Y GASTRONOMIA</v>
      </c>
      <c r="J423" s="4" t="str">
        <f>Sheet!H423</f>
        <v>8vo</v>
      </c>
      <c r="K423" s="4" t="str">
        <f>Sheet!I423</f>
        <v>Femenino</v>
      </c>
      <c r="L423" s="4" t="str">
        <f>Sheet!J423</f>
        <v>Activo</v>
      </c>
      <c r="M423" s="4" t="str">
        <f>Sheet!K423</f>
        <v xml:space="preserve">NUT 8°    </v>
      </c>
    </row>
    <row r="424" spans="1:13" x14ac:dyDescent="0.35">
      <c r="A424" t="s">
        <v>1</v>
      </c>
      <c r="B424" s="5" t="s">
        <v>371</v>
      </c>
      <c r="C424" s="4" t="s">
        <v>537</v>
      </c>
      <c r="D424" s="4" t="s">
        <v>998</v>
      </c>
      <c r="E424" t="s">
        <v>3611</v>
      </c>
      <c r="F424" t="str">
        <f>CONCATENATE("'",Sheet!E424)</f>
        <v>'110554</v>
      </c>
      <c r="G424" t="s">
        <v>1736</v>
      </c>
      <c r="H424" s="4" t="str">
        <f>Sheet!F424</f>
        <v>AMARO RIVERON LUNIA MARGARITA</v>
      </c>
      <c r="I424" s="4" t="str">
        <f>Sheet!G424</f>
        <v>ANIMACION DIGITAL Y VIDEOJUEGOS</v>
      </c>
      <c r="J424" s="4" t="str">
        <f>Sheet!H424</f>
        <v>8vo</v>
      </c>
      <c r="K424" s="4" t="str">
        <f>Sheet!I424</f>
        <v>Femenino</v>
      </c>
      <c r="L424" s="4" t="str">
        <f>Sheet!J424</f>
        <v>Activo</v>
      </c>
      <c r="M424" s="4" t="str">
        <f>Sheet!K424</f>
        <v xml:space="preserve">ANIM 8°   </v>
      </c>
    </row>
    <row r="425" spans="1:13" x14ac:dyDescent="0.35">
      <c r="A425" t="s">
        <v>1</v>
      </c>
      <c r="B425" s="5" t="s">
        <v>372</v>
      </c>
      <c r="C425" s="4" t="s">
        <v>679</v>
      </c>
      <c r="D425" s="4" t="s">
        <v>999</v>
      </c>
      <c r="E425" t="s">
        <v>3614</v>
      </c>
      <c r="F425" t="str">
        <f>CONCATENATE("'",Sheet!E425)</f>
        <v>'111795</v>
      </c>
      <c r="G425" t="s">
        <v>1736</v>
      </c>
      <c r="H425" s="4" t="str">
        <f>Sheet!F425</f>
        <v>GOMEZ OSORIO LUZ ANGELICA NAOMI</v>
      </c>
      <c r="I425" s="4" t="str">
        <f>Sheet!G425</f>
        <v>PSICOLOGIA</v>
      </c>
      <c r="J425" s="4" t="str">
        <f>Sheet!H425</f>
        <v>4to</v>
      </c>
      <c r="K425" s="4" t="str">
        <f>Sheet!I425</f>
        <v>Femenino</v>
      </c>
      <c r="L425" s="4" t="str">
        <f>Sheet!J425</f>
        <v>Activo</v>
      </c>
      <c r="M425" s="4" t="str">
        <f>Sheet!K425</f>
        <v xml:space="preserve">PSI 4°    </v>
      </c>
    </row>
    <row r="426" spans="1:13" x14ac:dyDescent="0.35">
      <c r="A426" t="s">
        <v>1</v>
      </c>
      <c r="B426" s="5" t="s">
        <v>373</v>
      </c>
      <c r="C426" s="4" t="s">
        <v>778</v>
      </c>
      <c r="D426" s="4" t="s">
        <v>621</v>
      </c>
      <c r="E426" t="s">
        <v>3617</v>
      </c>
      <c r="F426" t="str">
        <f>CONCATENATE("'",Sheet!E426)</f>
        <v>'111114</v>
      </c>
      <c r="G426" t="s">
        <v>1736</v>
      </c>
      <c r="H426" s="4" t="str">
        <f>Sheet!F426</f>
        <v>HUERTA LOPEZ LYA ABIGAIL</v>
      </c>
      <c r="I426" s="4" t="str">
        <f>Sheet!G426</f>
        <v>NUTRICION Y GASTRONOMIA</v>
      </c>
      <c r="J426" s="4" t="str">
        <f>Sheet!H426</f>
        <v>6to</v>
      </c>
      <c r="K426" s="4" t="str">
        <f>Sheet!I426</f>
        <v>Femenino</v>
      </c>
      <c r="L426" s="4" t="str">
        <f>Sheet!J426</f>
        <v>Activo</v>
      </c>
      <c r="M426" s="4" t="str">
        <f>Sheet!K426</f>
        <v xml:space="preserve">NUT 6°    </v>
      </c>
    </row>
    <row r="427" spans="1:13" x14ac:dyDescent="0.35">
      <c r="A427" t="s">
        <v>1</v>
      </c>
      <c r="B427" s="5" t="s">
        <v>374</v>
      </c>
      <c r="C427" s="4" t="s">
        <v>652</v>
      </c>
      <c r="D427" s="4" t="s">
        <v>593</v>
      </c>
      <c r="E427" t="s">
        <v>3620</v>
      </c>
      <c r="F427" t="str">
        <f>CONCATENATE("'",Sheet!E427)</f>
        <v>'112178</v>
      </c>
      <c r="G427" t="s">
        <v>1736</v>
      </c>
      <c r="H427" s="4" t="str">
        <f>Sheet!F427</f>
        <v>ROJAS SANCHEZ MANUELA MARIA</v>
      </c>
      <c r="I427" s="4" t="str">
        <f>Sheet!G427</f>
        <v>INGENIERIA AEROESPACIAL</v>
      </c>
      <c r="J427" s="4" t="str">
        <f>Sheet!H427</f>
        <v>2do</v>
      </c>
      <c r="K427" s="4" t="str">
        <f>Sheet!I427</f>
        <v>Femenino</v>
      </c>
      <c r="L427" s="4" t="str">
        <f>Sheet!J427</f>
        <v>Activo</v>
      </c>
      <c r="M427" s="4" t="str">
        <f>Sheet!K427</f>
        <v xml:space="preserve">AERO 2°B  </v>
      </c>
    </row>
    <row r="428" spans="1:13" x14ac:dyDescent="0.35">
      <c r="A428" t="s">
        <v>1</v>
      </c>
      <c r="B428" s="5" t="s">
        <v>375</v>
      </c>
      <c r="C428" s="4" t="s">
        <v>779</v>
      </c>
      <c r="D428" s="4" t="s">
        <v>727</v>
      </c>
      <c r="E428" t="s">
        <v>3623</v>
      </c>
      <c r="F428" t="str">
        <f>CONCATENATE("'",Sheet!E428)</f>
        <v>'110558</v>
      </c>
      <c r="G428" t="s">
        <v>1736</v>
      </c>
      <c r="H428" s="4" t="str">
        <f>Sheet!F428</f>
        <v>BELLO ARIAS MARCELIANO</v>
      </c>
      <c r="I428" s="4" t="str">
        <f>Sheet!G428</f>
        <v>INGENIERIA AEROESPACIAL</v>
      </c>
      <c r="J428" s="4" t="str">
        <f>Sheet!H428</f>
        <v>8vo</v>
      </c>
      <c r="K428" s="4" t="str">
        <f>Sheet!I428</f>
        <v>Masculino</v>
      </c>
      <c r="L428" s="4" t="str">
        <f>Sheet!J428</f>
        <v>Activo</v>
      </c>
      <c r="M428" s="4" t="str">
        <f>Sheet!K428</f>
        <v xml:space="preserve">AERO 8°   </v>
      </c>
    </row>
    <row r="429" spans="1:13" x14ac:dyDescent="0.35">
      <c r="A429" t="s">
        <v>1</v>
      </c>
      <c r="B429" s="5" t="s">
        <v>376</v>
      </c>
      <c r="C429" s="4" t="s">
        <v>621</v>
      </c>
      <c r="D429" s="4" t="s">
        <v>1000</v>
      </c>
      <c r="E429" t="s">
        <v>3626</v>
      </c>
      <c r="F429" t="str">
        <f>CONCATENATE("'",Sheet!E429)</f>
        <v>'111069</v>
      </c>
      <c r="G429" t="s">
        <v>1736</v>
      </c>
      <c r="H429" s="4" t="str">
        <f>Sheet!F429</f>
        <v>LOPEZ LUVIAN MARCO ANTONIO</v>
      </c>
      <c r="I429" s="4" t="str">
        <f>Sheet!G429</f>
        <v>INGENIERÍA AUTOMOTRIZ</v>
      </c>
      <c r="J429" s="4" t="str">
        <f>Sheet!H429</f>
        <v>6to</v>
      </c>
      <c r="K429" s="4" t="str">
        <f>Sheet!I429</f>
        <v>Masculino</v>
      </c>
      <c r="L429" s="4" t="str">
        <f>Sheet!J429</f>
        <v>Activo</v>
      </c>
      <c r="M429" s="4" t="str">
        <f>Sheet!K429</f>
        <v xml:space="preserve">AUTO 6°   </v>
      </c>
    </row>
    <row r="430" spans="1:13" x14ac:dyDescent="0.35">
      <c r="A430" t="s">
        <v>1</v>
      </c>
      <c r="B430" s="5" t="s">
        <v>377</v>
      </c>
      <c r="C430" s="4" t="s">
        <v>771</v>
      </c>
      <c r="D430" s="4" t="s">
        <v>742</v>
      </c>
      <c r="E430" t="s">
        <v>3628</v>
      </c>
      <c r="F430" t="str">
        <f>CONCATENATE("'",Sheet!E430)</f>
        <v>'110556</v>
      </c>
      <c r="G430" t="s">
        <v>1736</v>
      </c>
      <c r="H430" s="4" t="str">
        <f>Sheet!F430</f>
        <v>ORTA CRUZ MARCO ARTURO</v>
      </c>
      <c r="I430" s="4" t="str">
        <f>Sheet!G430</f>
        <v>INGENIERIA CIBERNETICA Y EN SISTEMAS COMPUTACIONALES</v>
      </c>
      <c r="J430" s="4" t="str">
        <f>Sheet!H430</f>
        <v>8vo</v>
      </c>
      <c r="K430" s="4" t="str">
        <f>Sheet!I430</f>
        <v>Masculino</v>
      </c>
      <c r="L430" s="4" t="str">
        <f>Sheet!J430</f>
        <v>Activo</v>
      </c>
      <c r="M430" s="4" t="str">
        <f>Sheet!K430</f>
        <v xml:space="preserve">CIB 8°    </v>
      </c>
    </row>
    <row r="431" spans="1:13" x14ac:dyDescent="0.35">
      <c r="A431" t="s">
        <v>1</v>
      </c>
      <c r="B431" s="5" t="s">
        <v>378</v>
      </c>
      <c r="C431" s="4" t="s">
        <v>780</v>
      </c>
      <c r="D431" s="4" t="s">
        <v>971</v>
      </c>
      <c r="E431" t="s">
        <v>3631</v>
      </c>
      <c r="F431" t="str">
        <f>CONCATENATE("'",Sheet!E431)</f>
        <v>'111755</v>
      </c>
      <c r="G431" t="s">
        <v>1736</v>
      </c>
      <c r="H431" s="4" t="str">
        <f>Sheet!F431</f>
        <v>PREZA RUVALCABA MARCO GABRIEL</v>
      </c>
      <c r="I431" s="4" t="str">
        <f>Sheet!G431</f>
        <v>INGENIERIA AEROESPACIAL</v>
      </c>
      <c r="J431" s="4" t="str">
        <f>Sheet!H431</f>
        <v>4to</v>
      </c>
      <c r="K431" s="4" t="str">
        <f>Sheet!I431</f>
        <v>Masculino</v>
      </c>
      <c r="L431" s="4" t="str">
        <f>Sheet!J431</f>
        <v>Activo</v>
      </c>
      <c r="M431" s="4" t="str">
        <f>Sheet!K431</f>
        <v xml:space="preserve">AERO 4°A  </v>
      </c>
    </row>
    <row r="432" spans="1:13" x14ac:dyDescent="0.35">
      <c r="A432" t="s">
        <v>1</v>
      </c>
      <c r="B432" s="5" t="s">
        <v>379</v>
      </c>
      <c r="C432" s="4" t="s">
        <v>544</v>
      </c>
      <c r="D432" s="4" t="s">
        <v>544</v>
      </c>
      <c r="E432" t="s">
        <v>3633</v>
      </c>
      <c r="F432" t="str">
        <f>CONCATENATE("'",Sheet!E432)</f>
        <v>'110616</v>
      </c>
      <c r="G432" t="s">
        <v>1736</v>
      </c>
      <c r="H432" s="4" t="str">
        <f>Sheet!F432</f>
        <v>HERNANDEZ HERNANDEZ MARIA ANTONIA</v>
      </c>
      <c r="I432" s="4" t="str">
        <f>Sheet!G432</f>
        <v>DISEÑO GRAFICO Y DIGITAL</v>
      </c>
      <c r="J432" s="4" t="str">
        <f>Sheet!H432</f>
        <v>6to</v>
      </c>
      <c r="K432" s="4" t="str">
        <f>Sheet!I432</f>
        <v>Femenino</v>
      </c>
      <c r="L432" s="4" t="str">
        <f>Sheet!J432</f>
        <v>Activo</v>
      </c>
      <c r="M432" s="4" t="str">
        <f>Sheet!K432</f>
        <v xml:space="preserve">DGD 6°    </v>
      </c>
    </row>
    <row r="433" spans="1:13" x14ac:dyDescent="0.35">
      <c r="A433" t="s">
        <v>1</v>
      </c>
      <c r="B433" s="5" t="s">
        <v>380</v>
      </c>
      <c r="C433" s="4" t="s">
        <v>558</v>
      </c>
      <c r="D433" s="4" t="s">
        <v>589</v>
      </c>
      <c r="E433" t="s">
        <v>3635</v>
      </c>
      <c r="F433" t="str">
        <f>CONCATENATE("'",Sheet!E433)</f>
        <v>'110445</v>
      </c>
      <c r="G433" t="s">
        <v>1736</v>
      </c>
      <c r="H433" s="4" t="str">
        <f>Sheet!F433</f>
        <v>SANTOYO GARCIA MARIA DE LOS ANGELES</v>
      </c>
      <c r="I433" s="4" t="str">
        <f>Sheet!G433</f>
        <v>PSICOLOGIA</v>
      </c>
      <c r="J433" s="4" t="str">
        <f>Sheet!H433</f>
        <v>8vo</v>
      </c>
      <c r="K433" s="4" t="str">
        <f>Sheet!I433</f>
        <v>Femenino</v>
      </c>
      <c r="L433" s="4" t="str">
        <f>Sheet!J433</f>
        <v>Activo</v>
      </c>
      <c r="M433" s="4" t="str">
        <f>Sheet!K433</f>
        <v xml:space="preserve">PSI 8°    </v>
      </c>
    </row>
    <row r="434" spans="1:13" x14ac:dyDescent="0.35">
      <c r="A434" t="s">
        <v>1</v>
      </c>
      <c r="B434" s="5" t="s">
        <v>381</v>
      </c>
      <c r="C434" s="4" t="s">
        <v>659</v>
      </c>
      <c r="D434" s="4" t="s">
        <v>832</v>
      </c>
      <c r="E434" t="s">
        <v>3638</v>
      </c>
      <c r="F434" t="str">
        <f>CONCATENATE("'",Sheet!E434)</f>
        <v>'111050</v>
      </c>
      <c r="G434" t="s">
        <v>1736</v>
      </c>
      <c r="H434" s="4" t="str">
        <f>Sheet!F434</f>
        <v>AGUILAR MONTES MARIA FERNANDA</v>
      </c>
      <c r="I434" s="4" t="str">
        <f>Sheet!G434</f>
        <v>ADMINISTRACION Y DIRECCION DE NEGOCIOS</v>
      </c>
      <c r="J434" s="4" t="str">
        <f>Sheet!H434</f>
        <v>6to</v>
      </c>
      <c r="K434" s="4" t="str">
        <f>Sheet!I434</f>
        <v>Femenino</v>
      </c>
      <c r="L434" s="4" t="str">
        <f>Sheet!J434</f>
        <v>Activo</v>
      </c>
      <c r="M434" s="4" t="str">
        <f>Sheet!K434</f>
        <v xml:space="preserve">ADMON 6°  </v>
      </c>
    </row>
    <row r="435" spans="1:13" x14ac:dyDescent="0.35">
      <c r="A435" t="s">
        <v>1</v>
      </c>
      <c r="B435" s="5" t="s">
        <v>381</v>
      </c>
      <c r="C435" s="4" t="s">
        <v>549</v>
      </c>
      <c r="D435" s="4" t="s">
        <v>621</v>
      </c>
      <c r="E435" t="s">
        <v>3640</v>
      </c>
      <c r="F435" t="str">
        <f>CONCATENATE("'",Sheet!E435)</f>
        <v>'111111</v>
      </c>
      <c r="G435" t="s">
        <v>1736</v>
      </c>
      <c r="H435" s="4" t="str">
        <f>Sheet!F435</f>
        <v>ALVAREZ LOPEZ MARIA FERNANDA</v>
      </c>
      <c r="I435" s="4" t="str">
        <f>Sheet!G435</f>
        <v>DISEÑO GRAFICO Y DIGITAL</v>
      </c>
      <c r="J435" s="4" t="str">
        <f>Sheet!H435</f>
        <v>6to</v>
      </c>
      <c r="K435" s="4" t="str">
        <f>Sheet!I435</f>
        <v>Femenino</v>
      </c>
      <c r="L435" s="4" t="str">
        <f>Sheet!J435</f>
        <v>Activo</v>
      </c>
      <c r="M435" s="4" t="str">
        <f>Sheet!K435</f>
        <v xml:space="preserve">DGD 6°    </v>
      </c>
    </row>
    <row r="436" spans="1:13" x14ac:dyDescent="0.35">
      <c r="A436" t="s">
        <v>1</v>
      </c>
      <c r="B436" s="5" t="s">
        <v>381</v>
      </c>
      <c r="C436" s="4" t="s">
        <v>549</v>
      </c>
      <c r="D436" s="4" t="s">
        <v>569</v>
      </c>
      <c r="E436" t="s">
        <v>3643</v>
      </c>
      <c r="F436" t="str">
        <f>CONCATENATE("'",Sheet!E436)</f>
        <v>'110544</v>
      </c>
      <c r="G436" t="s">
        <v>1736</v>
      </c>
      <c r="H436" s="4" t="str">
        <f>Sheet!F436</f>
        <v>ALVAREZ OCHOA MARIA FERNANDA</v>
      </c>
      <c r="I436" s="4" t="str">
        <f>Sheet!G436</f>
        <v>COMERCIO INTERNACIONAL</v>
      </c>
      <c r="J436" s="4" t="str">
        <f>Sheet!H436</f>
        <v>8vo</v>
      </c>
      <c r="K436" s="4" t="str">
        <f>Sheet!I436</f>
        <v>Femenino</v>
      </c>
      <c r="L436" s="4" t="str">
        <f>Sheet!J436</f>
        <v>Activo</v>
      </c>
      <c r="M436" s="4" t="str">
        <f>Sheet!K436</f>
        <v xml:space="preserve">COM 8°    </v>
      </c>
    </row>
    <row r="437" spans="1:13" x14ac:dyDescent="0.35">
      <c r="A437" t="s">
        <v>1</v>
      </c>
      <c r="B437" s="5" t="s">
        <v>381</v>
      </c>
      <c r="C437" s="4" t="s">
        <v>630</v>
      </c>
      <c r="D437" s="4" t="s">
        <v>531</v>
      </c>
      <c r="E437" t="s">
        <v>3646</v>
      </c>
      <c r="F437" t="str">
        <f>CONCATENATE("'",Sheet!E437)</f>
        <v>'111197</v>
      </c>
      <c r="G437" t="s">
        <v>1736</v>
      </c>
      <c r="H437" s="4" t="str">
        <f>Sheet!F437</f>
        <v>CASTILLO GONZALEZ MARIA FERNANDA</v>
      </c>
      <c r="I437" s="4" t="str">
        <f>Sheet!G437</f>
        <v>NUTRICION Y GASTRONOMIA</v>
      </c>
      <c r="J437" s="4" t="str">
        <f>Sheet!H437</f>
        <v>6to</v>
      </c>
      <c r="K437" s="4" t="str">
        <f>Sheet!I437</f>
        <v>Femenino</v>
      </c>
      <c r="L437" s="4" t="str">
        <f>Sheet!J437</f>
        <v>Activo</v>
      </c>
      <c r="M437" s="4" t="str">
        <f>Sheet!K437</f>
        <v xml:space="preserve">NUT 6°    </v>
      </c>
    </row>
    <row r="438" spans="1:13" x14ac:dyDescent="0.35">
      <c r="A438" t="s">
        <v>1</v>
      </c>
      <c r="B438" s="5" t="s">
        <v>381</v>
      </c>
      <c r="C438" s="4" t="s">
        <v>552</v>
      </c>
      <c r="D438" s="4" t="s">
        <v>1001</v>
      </c>
      <c r="E438" t="s">
        <v>3649</v>
      </c>
      <c r="F438" t="str">
        <f>CONCATENATE("'",Sheet!E438)</f>
        <v>'007514</v>
      </c>
      <c r="G438" t="s">
        <v>1736</v>
      </c>
      <c r="H438" s="4" t="str">
        <f>Sheet!F438</f>
        <v>DOMINGUEZ NIEBLAS MARIA FERNANDA</v>
      </c>
      <c r="I438" s="4" t="str">
        <f>Sheet!G438</f>
        <v>NUTRICION Y GASTRONOMIA</v>
      </c>
      <c r="J438" s="4" t="str">
        <f>Sheet!H438</f>
        <v>6to</v>
      </c>
      <c r="K438" s="4" t="str">
        <f>Sheet!I438</f>
        <v>Femenino</v>
      </c>
      <c r="L438" s="4" t="str">
        <f>Sheet!J438</f>
        <v>Activo</v>
      </c>
      <c r="M438" s="4" t="str">
        <f>Sheet!K438</f>
        <v xml:space="preserve">NUT 6°    </v>
      </c>
    </row>
    <row r="439" spans="1:13" x14ac:dyDescent="0.35">
      <c r="A439" t="s">
        <v>1</v>
      </c>
      <c r="B439" s="5" t="s">
        <v>381</v>
      </c>
      <c r="C439" s="4" t="s">
        <v>636</v>
      </c>
      <c r="D439" s="4" t="s">
        <v>565</v>
      </c>
      <c r="E439" t="s">
        <v>3652</v>
      </c>
      <c r="F439" t="str">
        <f>CONCATENATE("'",Sheet!E439)</f>
        <v>'110490</v>
      </c>
      <c r="G439" t="s">
        <v>1736</v>
      </c>
      <c r="H439" s="4" t="str">
        <f>Sheet!F439</f>
        <v>MARTINEZ MENDEZ MARIA FERNANDA</v>
      </c>
      <c r="I439" s="4" t="str">
        <f>Sheet!G439</f>
        <v>ANIMACION DIGITAL Y VIDEOJUEGOS</v>
      </c>
      <c r="J439" s="4" t="str">
        <f>Sheet!H439</f>
        <v>8vo</v>
      </c>
      <c r="K439" s="4" t="str">
        <f>Sheet!I439</f>
        <v>Femenino</v>
      </c>
      <c r="L439" s="4" t="str">
        <f>Sheet!J439</f>
        <v>Activo</v>
      </c>
      <c r="M439" s="4" t="str">
        <f>Sheet!K439</f>
        <v xml:space="preserve">ANIM 8°   </v>
      </c>
    </row>
    <row r="440" spans="1:13" x14ac:dyDescent="0.35">
      <c r="A440" t="s">
        <v>1</v>
      </c>
      <c r="B440" s="5" t="s">
        <v>381</v>
      </c>
      <c r="C440" s="4" t="s">
        <v>539</v>
      </c>
      <c r="D440" s="4" t="s">
        <v>735</v>
      </c>
      <c r="E440" t="s">
        <v>3655</v>
      </c>
      <c r="F440" t="str">
        <f>CONCATENATE("'",Sheet!E440)</f>
        <v>'112180</v>
      </c>
      <c r="G440" t="s">
        <v>1736</v>
      </c>
      <c r="H440" s="4" t="str">
        <f>Sheet!F440</f>
        <v>RODRIGUEZ DURAN MARIA FERNANDA</v>
      </c>
      <c r="I440" s="4" t="str">
        <f>Sheet!G440</f>
        <v>INGENIERIA AEROESPACIAL</v>
      </c>
      <c r="J440" s="4" t="str">
        <f>Sheet!H440</f>
        <v>2do</v>
      </c>
      <c r="K440" s="4" t="str">
        <f>Sheet!I440</f>
        <v>Femenino</v>
      </c>
      <c r="L440" s="4" t="str">
        <f>Sheet!J440</f>
        <v>Activo</v>
      </c>
      <c r="M440" s="4" t="str">
        <f>Sheet!K440</f>
        <v xml:space="preserve">AERO 2°A  </v>
      </c>
    </row>
    <row r="441" spans="1:13" x14ac:dyDescent="0.35">
      <c r="A441" t="s">
        <v>1</v>
      </c>
      <c r="B441" s="5" t="s">
        <v>381</v>
      </c>
      <c r="C441" s="4" t="s">
        <v>530</v>
      </c>
      <c r="D441" s="4" t="s">
        <v>539</v>
      </c>
      <c r="E441" t="s">
        <v>3658</v>
      </c>
      <c r="F441" t="str">
        <f>CONCATENATE("'",Sheet!E441)</f>
        <v>'007756</v>
      </c>
      <c r="G441" t="s">
        <v>1736</v>
      </c>
      <c r="H441" s="4" t="str">
        <f>Sheet!F441</f>
        <v>SANDOVAL RODRIGUEZ MARIA FERNANDA</v>
      </c>
      <c r="I441" s="4" t="str">
        <f>Sheet!G441</f>
        <v>NUTRICION Y GASTRONOMIA</v>
      </c>
      <c r="J441" s="4" t="str">
        <f>Sheet!H441</f>
        <v>4to</v>
      </c>
      <c r="K441" s="4" t="str">
        <f>Sheet!I441</f>
        <v>Femenino</v>
      </c>
      <c r="L441" s="4" t="str">
        <f>Sheet!J441</f>
        <v>Activo</v>
      </c>
      <c r="M441" s="4" t="str">
        <f>Sheet!K441</f>
        <v xml:space="preserve">NUT 4°    </v>
      </c>
    </row>
    <row r="442" spans="1:13" x14ac:dyDescent="0.35">
      <c r="A442" t="s">
        <v>1</v>
      </c>
      <c r="B442" s="5" t="s">
        <v>382</v>
      </c>
      <c r="C442" s="4" t="s">
        <v>654</v>
      </c>
      <c r="D442" s="4" t="s">
        <v>621</v>
      </c>
      <c r="E442" t="s">
        <v>3660</v>
      </c>
      <c r="F442" t="str">
        <f>CONCATENATE("'",Sheet!E442)</f>
        <v>'110435</v>
      </c>
      <c r="G442" t="s">
        <v>1736</v>
      </c>
      <c r="H442" s="4" t="str">
        <f>Sheet!F442</f>
        <v>RUIZ LOPEZ MARIA INES</v>
      </c>
      <c r="I442" s="4" t="str">
        <f>Sheet!G442</f>
        <v>COMERCIO INTERNACIONAL</v>
      </c>
      <c r="J442" s="4" t="str">
        <f>Sheet!H442</f>
        <v>8vo</v>
      </c>
      <c r="K442" s="4" t="str">
        <f>Sheet!I442</f>
        <v>Femenino</v>
      </c>
      <c r="L442" s="4" t="str">
        <f>Sheet!J442</f>
        <v>Activo</v>
      </c>
      <c r="M442" s="4" t="str">
        <f>Sheet!K442</f>
        <v xml:space="preserve">COM 8°    </v>
      </c>
    </row>
    <row r="443" spans="1:13" x14ac:dyDescent="0.35">
      <c r="A443" t="s">
        <v>1</v>
      </c>
      <c r="B443" s="5" t="s">
        <v>383</v>
      </c>
      <c r="C443" s="4" t="s">
        <v>687</v>
      </c>
      <c r="D443" s="4" t="s">
        <v>656</v>
      </c>
      <c r="E443" t="s">
        <v>3698</v>
      </c>
      <c r="F443" t="str">
        <f>CONCATENATE("'",Sheet!E443)</f>
        <v>'111110</v>
      </c>
      <c r="G443" t="s">
        <v>1736</v>
      </c>
      <c r="H443" s="4" t="str">
        <f>Sheet!F443</f>
        <v>ESPARZA CONTRERAS MARIA SOFIA</v>
      </c>
      <c r="I443" s="4" t="str">
        <f>Sheet!G443</f>
        <v>ADMINISTRACION Y DIRECCION DE NEGOCIOS</v>
      </c>
      <c r="J443" s="4" t="str">
        <f>Sheet!H443</f>
        <v>6to</v>
      </c>
      <c r="K443" s="4" t="str">
        <f>Sheet!I443</f>
        <v>Femenino</v>
      </c>
      <c r="L443" s="4" t="str">
        <f>Sheet!J443</f>
        <v>Activo</v>
      </c>
      <c r="M443" s="4" t="str">
        <f>Sheet!K443</f>
        <v xml:space="preserve">ADMON 6°  </v>
      </c>
    </row>
    <row r="444" spans="1:13" x14ac:dyDescent="0.35">
      <c r="A444" t="s">
        <v>1</v>
      </c>
      <c r="B444" s="5" t="s">
        <v>384</v>
      </c>
      <c r="C444" s="4" t="s">
        <v>654</v>
      </c>
      <c r="D444" s="4" t="s">
        <v>838</v>
      </c>
      <c r="E444" t="s">
        <v>3686</v>
      </c>
      <c r="F444" t="str">
        <f>CONCATENATE("'",Sheet!E444)</f>
        <v>'111669</v>
      </c>
      <c r="G444" t="s">
        <v>1736</v>
      </c>
      <c r="H444" s="4" t="str">
        <f>Sheet!F444</f>
        <v>RUIZ MARTIN MARIAN ISABELLA</v>
      </c>
      <c r="I444" s="4" t="str">
        <f>Sheet!G444</f>
        <v>INGENIERIA AEROESPACIAL</v>
      </c>
      <c r="J444" s="4" t="str">
        <f>Sheet!H444</f>
        <v>4to</v>
      </c>
      <c r="K444" s="4" t="str">
        <f>Sheet!I444</f>
        <v>Femenino</v>
      </c>
      <c r="L444" s="4" t="str">
        <f>Sheet!J444</f>
        <v>Activo</v>
      </c>
      <c r="M444" s="4" t="str">
        <f>Sheet!K444</f>
        <v xml:space="preserve">AERO 4°A  </v>
      </c>
    </row>
    <row r="445" spans="1:13" x14ac:dyDescent="0.35">
      <c r="A445" t="s">
        <v>1</v>
      </c>
      <c r="B445" s="5" t="s">
        <v>385</v>
      </c>
      <c r="C445" s="4" t="s">
        <v>728</v>
      </c>
      <c r="D445" s="4" t="s">
        <v>767</v>
      </c>
      <c r="E445" t="s">
        <v>3663</v>
      </c>
      <c r="F445" t="str">
        <f>CONCATENATE("'",Sheet!E445)</f>
        <v>'111116</v>
      </c>
      <c r="G445" t="s">
        <v>1736</v>
      </c>
      <c r="H445" s="4" t="str">
        <f>Sheet!F445</f>
        <v>AVILA ESTRADA MARIANA</v>
      </c>
      <c r="I445" s="4" t="str">
        <f>Sheet!G445</f>
        <v>PSICOLOGIA</v>
      </c>
      <c r="J445" s="4" t="str">
        <f>Sheet!H445</f>
        <v>6to</v>
      </c>
      <c r="K445" s="4" t="str">
        <f>Sheet!I445</f>
        <v>Femenino</v>
      </c>
      <c r="L445" s="4" t="str">
        <f>Sheet!J445</f>
        <v>Activo</v>
      </c>
      <c r="M445" s="4" t="str">
        <f>Sheet!K445</f>
        <v xml:space="preserve">PSI 6°    </v>
      </c>
    </row>
    <row r="446" spans="1:13" x14ac:dyDescent="0.35">
      <c r="A446" t="s">
        <v>1</v>
      </c>
      <c r="B446" s="5" t="s">
        <v>385</v>
      </c>
      <c r="C446" s="4" t="s">
        <v>690</v>
      </c>
      <c r="D446" s="4" t="s">
        <v>977</v>
      </c>
      <c r="E446" t="s">
        <v>3665</v>
      </c>
      <c r="F446" t="str">
        <f>CONCATENATE("'",Sheet!E446)</f>
        <v>'111648</v>
      </c>
      <c r="G446" t="s">
        <v>1736</v>
      </c>
      <c r="H446" s="4" t="str">
        <f>Sheet!F446</f>
        <v>CASTRO ANZOATEGUI MARIANA</v>
      </c>
      <c r="I446" s="4" t="str">
        <f>Sheet!G446</f>
        <v>ARQUITECTURA</v>
      </c>
      <c r="J446" s="4" t="str">
        <f>Sheet!H446</f>
        <v>4to</v>
      </c>
      <c r="K446" s="4" t="str">
        <f>Sheet!I446</f>
        <v>Femenino</v>
      </c>
      <c r="L446" s="4" t="str">
        <f>Sheet!J446</f>
        <v>Activo</v>
      </c>
      <c r="M446" s="4" t="str">
        <f>Sheet!K446</f>
        <v xml:space="preserve">ARQ 4°    </v>
      </c>
    </row>
    <row r="447" spans="1:13" x14ac:dyDescent="0.35">
      <c r="A447" t="s">
        <v>1</v>
      </c>
      <c r="B447" s="5" t="s">
        <v>385</v>
      </c>
      <c r="C447" s="4" t="s">
        <v>589</v>
      </c>
      <c r="D447" s="4" t="s">
        <v>1002</v>
      </c>
      <c r="E447" t="s">
        <v>3668</v>
      </c>
      <c r="F447" t="str">
        <f>CONCATENATE("'",Sheet!E447)</f>
        <v>'111052</v>
      </c>
      <c r="G447" t="s">
        <v>1736</v>
      </c>
      <c r="H447" s="4" t="str">
        <f>Sheet!F447</f>
        <v>GARCIA VILLANUEVA MARIANA</v>
      </c>
      <c r="I447" s="4" t="str">
        <f>Sheet!G447</f>
        <v>ARQUITECTURA</v>
      </c>
      <c r="J447" s="4" t="str">
        <f>Sheet!H447</f>
        <v>6to</v>
      </c>
      <c r="K447" s="4" t="str">
        <f>Sheet!I447</f>
        <v>Femenino</v>
      </c>
      <c r="L447" s="4" t="str">
        <f>Sheet!J447</f>
        <v>Activo</v>
      </c>
      <c r="M447" s="4" t="str">
        <f>Sheet!K447</f>
        <v xml:space="preserve">ARQ 6°    </v>
      </c>
    </row>
    <row r="448" spans="1:13" x14ac:dyDescent="0.35">
      <c r="A448" t="s">
        <v>1</v>
      </c>
      <c r="B448" s="5" t="s">
        <v>385</v>
      </c>
      <c r="C448" s="4" t="s">
        <v>600</v>
      </c>
      <c r="D448" s="4" t="s">
        <v>811</v>
      </c>
      <c r="E448" t="s">
        <v>3671</v>
      </c>
      <c r="F448" t="str">
        <f>CONCATENATE("'",Sheet!E448)</f>
        <v>'111098</v>
      </c>
      <c r="G448" t="s">
        <v>1736</v>
      </c>
      <c r="H448" s="4" t="str">
        <f>Sheet!F448</f>
        <v>TORRES CAMACHO MARIANA</v>
      </c>
      <c r="I448" s="4" t="str">
        <f>Sheet!G448</f>
        <v>PSICOLOGIA</v>
      </c>
      <c r="J448" s="4" t="str">
        <f>Sheet!H448</f>
        <v>6to</v>
      </c>
      <c r="K448" s="4" t="str">
        <f>Sheet!I448</f>
        <v>Femenino</v>
      </c>
      <c r="L448" s="4" t="str">
        <f>Sheet!J448</f>
        <v>Activo</v>
      </c>
      <c r="M448" s="4" t="str">
        <f>Sheet!K448</f>
        <v xml:space="preserve">PSI 6°    </v>
      </c>
    </row>
    <row r="449" spans="1:13" x14ac:dyDescent="0.35">
      <c r="A449" t="s">
        <v>1</v>
      </c>
      <c r="B449" s="5" t="s">
        <v>386</v>
      </c>
      <c r="C449" s="4" t="s">
        <v>627</v>
      </c>
      <c r="D449" s="4" t="s">
        <v>629</v>
      </c>
      <c r="E449" t="s">
        <v>3674</v>
      </c>
      <c r="F449" t="str">
        <f>CONCATENATE("'",Sheet!E449)</f>
        <v>'007521</v>
      </c>
      <c r="G449" t="s">
        <v>1736</v>
      </c>
      <c r="H449" s="4" t="str">
        <f>Sheet!F449</f>
        <v>FLORES RAMIREZ MARIANA ITZEL</v>
      </c>
      <c r="I449" s="4" t="str">
        <f>Sheet!G449</f>
        <v>ARQUITECTURA</v>
      </c>
      <c r="J449" s="4" t="str">
        <f>Sheet!H449</f>
        <v>6to</v>
      </c>
      <c r="K449" s="4" t="str">
        <f>Sheet!I449</f>
        <v>Femenino</v>
      </c>
      <c r="L449" s="4" t="str">
        <f>Sheet!J449</f>
        <v>Activo</v>
      </c>
      <c r="M449" s="4" t="str">
        <f>Sheet!K449</f>
        <v xml:space="preserve">ARQ 6°    </v>
      </c>
    </row>
    <row r="450" spans="1:13" x14ac:dyDescent="0.35">
      <c r="A450" t="s">
        <v>1</v>
      </c>
      <c r="B450" s="5" t="s">
        <v>387</v>
      </c>
      <c r="C450" s="4" t="s">
        <v>709</v>
      </c>
      <c r="D450" s="4" t="s">
        <v>1003</v>
      </c>
      <c r="E450" t="s">
        <v>3677</v>
      </c>
      <c r="F450" t="str">
        <f>CONCATENATE("'",Sheet!E450)</f>
        <v>'111632</v>
      </c>
      <c r="G450" t="s">
        <v>1736</v>
      </c>
      <c r="H450" s="4" t="str">
        <f>Sheet!F450</f>
        <v>JASSO ESPINOSA MARIANA JOSELYNE</v>
      </c>
      <c r="I450" s="4" t="str">
        <f>Sheet!G450</f>
        <v>INGENIERIA AEROESPACIAL</v>
      </c>
      <c r="J450" s="4" t="str">
        <f>Sheet!H450</f>
        <v>4to</v>
      </c>
      <c r="K450" s="4" t="str">
        <f>Sheet!I450</f>
        <v>Femenino</v>
      </c>
      <c r="L450" s="4" t="str">
        <f>Sheet!J450</f>
        <v>Activo</v>
      </c>
      <c r="M450" s="4" t="str">
        <f>Sheet!K450</f>
        <v xml:space="preserve">AERO 4°A  </v>
      </c>
    </row>
    <row r="451" spans="1:13" x14ac:dyDescent="0.35">
      <c r="A451" t="s">
        <v>1</v>
      </c>
      <c r="B451" s="5" t="s">
        <v>388</v>
      </c>
      <c r="C451" s="4" t="s">
        <v>781</v>
      </c>
      <c r="D451" s="4" t="s">
        <v>742</v>
      </c>
      <c r="E451" t="s">
        <v>3680</v>
      </c>
      <c r="F451" t="str">
        <f>CONCATENATE("'",Sheet!E451)</f>
        <v>'112213</v>
      </c>
      <c r="G451" t="s">
        <v>1736</v>
      </c>
      <c r="H451" s="4" t="str">
        <f>Sheet!F451</f>
        <v>VILLA CRUZ MARIANA SUJEY</v>
      </c>
      <c r="I451" s="4" t="str">
        <f>Sheet!G451</f>
        <v>ADMINISTRACION Y DIRECCION DE NEGOCIOS</v>
      </c>
      <c r="J451" s="4" t="str">
        <f>Sheet!H451</f>
        <v>2do</v>
      </c>
      <c r="K451" s="4" t="str">
        <f>Sheet!I451</f>
        <v>Femenino</v>
      </c>
      <c r="L451" s="4" t="str">
        <f>Sheet!J451</f>
        <v>Activo</v>
      </c>
      <c r="M451" s="4" t="str">
        <f>Sheet!K451</f>
        <v xml:space="preserve">ADMON 2°  </v>
      </c>
    </row>
    <row r="452" spans="1:13" x14ac:dyDescent="0.35">
      <c r="A452" t="s">
        <v>1</v>
      </c>
      <c r="B452" s="5" t="s">
        <v>389</v>
      </c>
      <c r="C452" s="4" t="s">
        <v>627</v>
      </c>
      <c r="D452" s="4" t="s">
        <v>659</v>
      </c>
      <c r="E452" t="s">
        <v>3683</v>
      </c>
      <c r="F452" t="str">
        <f>CONCATENATE("'",Sheet!E452)</f>
        <v>'111065</v>
      </c>
      <c r="G452" t="s">
        <v>1736</v>
      </c>
      <c r="H452" s="4" t="str">
        <f>Sheet!F452</f>
        <v>FLORES AGUILAR MARIANGEL</v>
      </c>
      <c r="I452" s="4" t="str">
        <f>Sheet!G452</f>
        <v>NUTRICION Y GASTRONOMIA</v>
      </c>
      <c r="J452" s="4" t="str">
        <f>Sheet!H452</f>
        <v>6to</v>
      </c>
      <c r="K452" s="4" t="str">
        <f>Sheet!I452</f>
        <v>Femenino</v>
      </c>
      <c r="L452" s="4" t="str">
        <f>Sheet!J452</f>
        <v>Activo</v>
      </c>
      <c r="M452" s="4" t="str">
        <f>Sheet!K452</f>
        <v xml:space="preserve">NUT 6°    </v>
      </c>
    </row>
    <row r="453" spans="1:13" x14ac:dyDescent="0.35">
      <c r="A453" t="s">
        <v>1</v>
      </c>
      <c r="B453" s="5" t="s">
        <v>390</v>
      </c>
      <c r="C453" s="4" t="s">
        <v>782</v>
      </c>
      <c r="D453" s="4" t="s">
        <v>1004</v>
      </c>
      <c r="E453" t="s">
        <v>3689</v>
      </c>
      <c r="F453" t="str">
        <f>CONCATENATE("'",Sheet!E453)</f>
        <v>'110532</v>
      </c>
      <c r="G453" t="s">
        <v>1736</v>
      </c>
      <c r="H453" s="4" t="str">
        <f>Sheet!F453</f>
        <v>OLMEDO CASILLAS MARIANNE</v>
      </c>
      <c r="I453" s="4" t="str">
        <f>Sheet!G453</f>
        <v>ANIMACION DIGITAL Y VIDEOJUEGOS</v>
      </c>
      <c r="J453" s="4" t="str">
        <f>Sheet!H453</f>
        <v>8vo</v>
      </c>
      <c r="K453" s="4" t="str">
        <f>Sheet!I453</f>
        <v>Femenino</v>
      </c>
      <c r="L453" s="4" t="str">
        <f>Sheet!J453</f>
        <v>Activo</v>
      </c>
      <c r="M453" s="4" t="str">
        <f>Sheet!K453</f>
        <v xml:space="preserve">ANIM 8°   </v>
      </c>
    </row>
    <row r="454" spans="1:13" x14ac:dyDescent="0.35">
      <c r="A454" t="s">
        <v>1</v>
      </c>
      <c r="B454" s="5" t="s">
        <v>391</v>
      </c>
      <c r="C454" s="4" t="s">
        <v>636</v>
      </c>
      <c r="D454" s="4" t="s">
        <v>1005</v>
      </c>
      <c r="E454" t="s">
        <v>3692</v>
      </c>
      <c r="F454" t="str">
        <f>CONCATENATE("'",Sheet!E454)</f>
        <v>'111037</v>
      </c>
      <c r="G454" t="s">
        <v>1736</v>
      </c>
      <c r="H454" s="4" t="str">
        <f>Sheet!F454</f>
        <v>MARTINEZ BUENROSTRO MARIANO</v>
      </c>
      <c r="I454" s="4" t="str">
        <f>Sheet!G454</f>
        <v>ANIMACION DIGITAL Y VIDEOJUEGOS</v>
      </c>
      <c r="J454" s="4" t="str">
        <f>Sheet!H454</f>
        <v>6to</v>
      </c>
      <c r="K454" s="4" t="str">
        <f>Sheet!I454</f>
        <v>Masculino</v>
      </c>
      <c r="L454" s="4" t="str">
        <f>Sheet!J454</f>
        <v>Activo</v>
      </c>
      <c r="M454" s="4" t="str">
        <f>Sheet!K454</f>
        <v xml:space="preserve">ANIM 6°   </v>
      </c>
    </row>
    <row r="455" spans="1:13" x14ac:dyDescent="0.35">
      <c r="A455" t="s">
        <v>1</v>
      </c>
      <c r="B455" s="5" t="s">
        <v>392</v>
      </c>
      <c r="C455" s="4" t="s">
        <v>783</v>
      </c>
      <c r="D455" s="4" t="s">
        <v>704</v>
      </c>
      <c r="E455" t="s">
        <v>3695</v>
      </c>
      <c r="F455" t="str">
        <f>CONCATENATE("'",Sheet!E455)</f>
        <v>'112174</v>
      </c>
      <c r="G455" t="s">
        <v>1736</v>
      </c>
      <c r="H455" s="4" t="str">
        <f>Sheet!F455</f>
        <v>MARQUEZ DELGADILLO MARIANO ADONAI</v>
      </c>
      <c r="I455" s="4" t="str">
        <f>Sheet!G455</f>
        <v>INGENIERÍA AUTOMOTRIZ</v>
      </c>
      <c r="J455" s="4" t="str">
        <f>Sheet!H455</f>
        <v>2do</v>
      </c>
      <c r="K455" s="4" t="str">
        <f>Sheet!I455</f>
        <v>Masculino</v>
      </c>
      <c r="L455" s="4" t="str">
        <f>Sheet!J455</f>
        <v>Activo</v>
      </c>
      <c r="M455" s="4" t="str">
        <f>Sheet!K455</f>
        <v xml:space="preserve">AUTO 2° B </v>
      </c>
    </row>
    <row r="456" spans="1:13" x14ac:dyDescent="0.35">
      <c r="A456" t="s">
        <v>1</v>
      </c>
      <c r="B456" s="5" t="s">
        <v>393</v>
      </c>
      <c r="C456" s="4" t="s">
        <v>531</v>
      </c>
      <c r="D456" s="4" t="s">
        <v>711</v>
      </c>
      <c r="E456" t="s">
        <v>4203</v>
      </c>
      <c r="F456" t="str">
        <f>CONCATENATE("'",Sheet!E456)</f>
        <v>'111823</v>
      </c>
      <c r="G456" t="s">
        <v>1736</v>
      </c>
      <c r="H456" s="4" t="str">
        <f>Sheet!F456</f>
        <v>GONZALEZ CAMPOS MARIEL CAROLINA</v>
      </c>
      <c r="I456" s="4" t="str">
        <f>Sheet!G456</f>
        <v>ARQUITECTURA</v>
      </c>
      <c r="J456" s="4" t="str">
        <f>Sheet!H456</f>
        <v>4to</v>
      </c>
      <c r="K456" s="4" t="str">
        <f>Sheet!I456</f>
        <v>Femenino</v>
      </c>
      <c r="L456" s="4" t="str">
        <f>Sheet!J456</f>
        <v>Bloqueado</v>
      </c>
      <c r="M456" s="4" t="str">
        <f>Sheet!K456</f>
        <v xml:space="preserve">ARQ 4°    </v>
      </c>
    </row>
    <row r="457" spans="1:13" x14ac:dyDescent="0.35">
      <c r="A457" t="s">
        <v>1</v>
      </c>
      <c r="B457" s="5" t="s">
        <v>394</v>
      </c>
      <c r="C457" s="4" t="s">
        <v>679</v>
      </c>
      <c r="D457" s="4" t="s">
        <v>1006</v>
      </c>
      <c r="E457" t="s">
        <v>3701</v>
      </c>
      <c r="F457" t="str">
        <f>CONCATENATE("'",Sheet!E457)</f>
        <v>'111078</v>
      </c>
      <c r="G457" t="s">
        <v>1736</v>
      </c>
      <c r="H457" s="4" t="str">
        <f>Sheet!F457</f>
        <v>GOMEZ MURGUIA MARIFER</v>
      </c>
      <c r="I457" s="4" t="str">
        <f>Sheet!G457</f>
        <v>DISEÑO GRAFICO Y DIGITAL</v>
      </c>
      <c r="J457" s="4" t="str">
        <f>Sheet!H457</f>
        <v>6to</v>
      </c>
      <c r="K457" s="4" t="str">
        <f>Sheet!I457</f>
        <v>Femenino</v>
      </c>
      <c r="L457" s="4" t="str">
        <f>Sheet!J457</f>
        <v>Activo</v>
      </c>
      <c r="M457" s="4" t="str">
        <f>Sheet!K457</f>
        <v xml:space="preserve">DGD 6°    </v>
      </c>
    </row>
    <row r="458" spans="1:13" x14ac:dyDescent="0.35">
      <c r="A458" t="s">
        <v>1</v>
      </c>
      <c r="B458" s="5" t="s">
        <v>395</v>
      </c>
      <c r="C458" s="4" t="s">
        <v>784</v>
      </c>
      <c r="D458" s="4" t="s">
        <v>577</v>
      </c>
      <c r="E458" t="s">
        <v>3704</v>
      </c>
      <c r="F458" t="str">
        <f>CONCATENATE("'",Sheet!E458)</f>
        <v>'110561</v>
      </c>
      <c r="G458" t="s">
        <v>1736</v>
      </c>
      <c r="H458" s="4" t="str">
        <f>Sheet!F458</f>
        <v>GAYTAN OROZCO MARIO ARTURO</v>
      </c>
      <c r="I458" s="4" t="str">
        <f>Sheet!G458</f>
        <v>INGENIERIA CIBERNETICA Y EN SISTEMAS COMPUTACIONALES</v>
      </c>
      <c r="J458" s="4" t="str">
        <f>Sheet!H458</f>
        <v>8vo</v>
      </c>
      <c r="K458" s="4" t="str">
        <f>Sheet!I458</f>
        <v>Masculino</v>
      </c>
      <c r="L458" s="4" t="str">
        <f>Sheet!J458</f>
        <v>Activo</v>
      </c>
      <c r="M458" s="4" t="str">
        <f>Sheet!K458</f>
        <v xml:space="preserve">CIB 8°    </v>
      </c>
    </row>
    <row r="459" spans="1:13" x14ac:dyDescent="0.35">
      <c r="A459" t="s">
        <v>1</v>
      </c>
      <c r="B459" s="5" t="s">
        <v>396</v>
      </c>
      <c r="C459" s="4" t="s">
        <v>679</v>
      </c>
      <c r="D459" s="4" t="s">
        <v>560</v>
      </c>
      <c r="E459" t="s">
        <v>3707</v>
      </c>
      <c r="F459" t="str">
        <f>CONCATENATE("'",Sheet!E459)</f>
        <v>'111032</v>
      </c>
      <c r="G459" t="s">
        <v>1736</v>
      </c>
      <c r="H459" s="4" t="str">
        <f>Sheet!F459</f>
        <v>GOMEZ RAMOS MARIO ISAIAS</v>
      </c>
      <c r="I459" s="4" t="str">
        <f>Sheet!G459</f>
        <v>NUTRICION Y GASTRONOMIA</v>
      </c>
      <c r="J459" s="4" t="str">
        <f>Sheet!H459</f>
        <v>6to</v>
      </c>
      <c r="K459" s="4" t="str">
        <f>Sheet!I459</f>
        <v>Masculino</v>
      </c>
      <c r="L459" s="4" t="str">
        <f>Sheet!J459</f>
        <v>Activo</v>
      </c>
      <c r="M459" s="4" t="str">
        <f>Sheet!K459</f>
        <v xml:space="preserve">NUT 6°    </v>
      </c>
    </row>
    <row r="460" spans="1:13" x14ac:dyDescent="0.35">
      <c r="A460" t="s">
        <v>1</v>
      </c>
      <c r="B460" s="5" t="s">
        <v>397</v>
      </c>
      <c r="C460" s="4" t="s">
        <v>564</v>
      </c>
      <c r="D460" s="4" t="s">
        <v>596</v>
      </c>
      <c r="E460" t="s">
        <v>3710</v>
      </c>
      <c r="F460" t="str">
        <f>CONCATENATE("'",Sheet!E460)</f>
        <v>'111251</v>
      </c>
      <c r="G460" t="s">
        <v>1736</v>
      </c>
      <c r="H460" s="4" t="str">
        <f>Sheet!F460</f>
        <v>GUZMAN MORENO MARISOL</v>
      </c>
      <c r="I460" s="4" t="str">
        <f>Sheet!G460</f>
        <v>ANIMACION DIGITAL Y VIDEOJUEGOS</v>
      </c>
      <c r="J460" s="4" t="str">
        <f>Sheet!H460</f>
        <v>6to</v>
      </c>
      <c r="K460" s="4" t="str">
        <f>Sheet!I460</f>
        <v>Femenino</v>
      </c>
      <c r="L460" s="4" t="str">
        <f>Sheet!J460</f>
        <v>Activo</v>
      </c>
      <c r="M460" s="4" t="str">
        <f>Sheet!K460</f>
        <v xml:space="preserve">ANIM 6°   </v>
      </c>
    </row>
    <row r="461" spans="1:13" x14ac:dyDescent="0.35">
      <c r="A461" t="s">
        <v>1</v>
      </c>
      <c r="B461" s="5" t="s">
        <v>397</v>
      </c>
      <c r="C461" s="4" t="s">
        <v>785</v>
      </c>
      <c r="D461" s="4" t="s">
        <v>552</v>
      </c>
      <c r="E461" t="s">
        <v>3713</v>
      </c>
      <c r="F461" t="str">
        <f>CONCATENATE("'",Sheet!E461)</f>
        <v>'111036</v>
      </c>
      <c r="G461" t="s">
        <v>1736</v>
      </c>
      <c r="H461" s="4" t="str">
        <f>Sheet!F461</f>
        <v>SANCHEZ GIL DOMINGUEZ MARISOL</v>
      </c>
      <c r="I461" s="4" t="str">
        <f>Sheet!G461</f>
        <v>PSICOLOGIA</v>
      </c>
      <c r="J461" s="4" t="str">
        <f>Sheet!H461</f>
        <v>6to</v>
      </c>
      <c r="K461" s="4" t="str">
        <f>Sheet!I461</f>
        <v>Femenino</v>
      </c>
      <c r="L461" s="4" t="str">
        <f>Sheet!J461</f>
        <v>Activo</v>
      </c>
      <c r="M461" s="4" t="str">
        <f>Sheet!K461</f>
        <v xml:space="preserve">PSI 6°    </v>
      </c>
    </row>
    <row r="462" spans="1:13" x14ac:dyDescent="0.35">
      <c r="A462" t="s">
        <v>1</v>
      </c>
      <c r="B462" s="5" t="s">
        <v>398</v>
      </c>
      <c r="C462" s="4" t="s">
        <v>544</v>
      </c>
      <c r="D462" s="4" t="s">
        <v>589</v>
      </c>
      <c r="E462" t="s">
        <v>3715</v>
      </c>
      <c r="F462" t="str">
        <f>CONCATENATE("'",Sheet!E462)</f>
        <v>'110461</v>
      </c>
      <c r="G462" t="s">
        <v>1736</v>
      </c>
      <c r="H462" s="4" t="str">
        <f>Sheet!F462</f>
        <v>HERNANDEZ GARCIA MARITZA ELIZABETH</v>
      </c>
      <c r="I462" s="4" t="str">
        <f>Sheet!G462</f>
        <v>PSICOLOGIA</v>
      </c>
      <c r="J462" s="4" t="str">
        <f>Sheet!H462</f>
        <v>8vo</v>
      </c>
      <c r="K462" s="4" t="str">
        <f>Sheet!I462</f>
        <v>Femenino</v>
      </c>
      <c r="L462" s="4" t="str">
        <f>Sheet!J462</f>
        <v>Activo</v>
      </c>
      <c r="M462" s="4" t="str">
        <f>Sheet!K462</f>
        <v xml:space="preserve">PSI 8°    </v>
      </c>
    </row>
    <row r="463" spans="1:13" x14ac:dyDescent="0.35">
      <c r="A463" t="s">
        <v>1</v>
      </c>
      <c r="B463" s="5" t="s">
        <v>399</v>
      </c>
      <c r="C463" s="4" t="s">
        <v>209</v>
      </c>
      <c r="D463" s="4" t="s">
        <v>627</v>
      </c>
      <c r="E463" t="s">
        <v>3718</v>
      </c>
      <c r="F463" t="str">
        <f>CONCATENATE("'",Sheet!E463)</f>
        <v>'112319</v>
      </c>
      <c r="G463" t="s">
        <v>1736</v>
      </c>
      <c r="H463" s="4" t="str">
        <f>Sheet!F463</f>
        <v>FRANCO FLORES MARTHA CAROLINA</v>
      </c>
      <c r="I463" s="4" t="str">
        <f>Sheet!G463</f>
        <v>ARQUITECTURA</v>
      </c>
      <c r="J463" s="4" t="str">
        <f>Sheet!H463</f>
        <v>2do</v>
      </c>
      <c r="K463" s="4" t="str">
        <f>Sheet!I463</f>
        <v>Femenino</v>
      </c>
      <c r="L463" s="4" t="str">
        <f>Sheet!J463</f>
        <v>Activo</v>
      </c>
      <c r="M463" s="4" t="str">
        <f>Sheet!K463</f>
        <v xml:space="preserve">ARQ 2°    </v>
      </c>
    </row>
    <row r="464" spans="1:13" x14ac:dyDescent="0.35">
      <c r="A464" t="s">
        <v>1</v>
      </c>
      <c r="B464" s="5" t="s">
        <v>400</v>
      </c>
      <c r="C464" s="4" t="s">
        <v>786</v>
      </c>
      <c r="D464" s="4" t="s">
        <v>597</v>
      </c>
      <c r="E464" t="s">
        <v>3721</v>
      </c>
      <c r="F464" t="str">
        <f>CONCATENATE("'",Sheet!E464)</f>
        <v>'109992</v>
      </c>
      <c r="G464" t="s">
        <v>1736</v>
      </c>
      <c r="H464" s="4" t="str">
        <f>Sheet!F464</f>
        <v>YAÑEZ RIVERA MAURICIO</v>
      </c>
      <c r="I464" s="4" t="str">
        <f>Sheet!G464</f>
        <v>INGENIERIA AEROESPACIAL</v>
      </c>
      <c r="J464" s="4" t="str">
        <f>Sheet!H464</f>
        <v>10mo</v>
      </c>
      <c r="K464" s="4" t="str">
        <f>Sheet!I464</f>
        <v>Masculino</v>
      </c>
      <c r="L464" s="4" t="str">
        <f>Sheet!J464</f>
        <v>Activo</v>
      </c>
      <c r="M464" s="4" t="str">
        <f>Sheet!K464</f>
        <v xml:space="preserve">AERO_10°  </v>
      </c>
    </row>
    <row r="465" spans="1:13" x14ac:dyDescent="0.35">
      <c r="A465" t="s">
        <v>1</v>
      </c>
      <c r="B465" s="5" t="s">
        <v>401</v>
      </c>
      <c r="C465" s="4" t="s">
        <v>787</v>
      </c>
      <c r="D465" s="4" t="s">
        <v>1007</v>
      </c>
      <c r="E465" t="s">
        <v>3724</v>
      </c>
      <c r="F465" t="str">
        <f>CONCATENATE("'",Sheet!E465)</f>
        <v>'111759</v>
      </c>
      <c r="G465" t="s">
        <v>1736</v>
      </c>
      <c r="H465" s="4" t="str">
        <f>Sheet!F465</f>
        <v>QUINTERO URZUA MAURICIO JAVIER</v>
      </c>
      <c r="I465" s="4" t="str">
        <f>Sheet!G465</f>
        <v>INGENIERIA AEROESPACIAL</v>
      </c>
      <c r="J465" s="4" t="str">
        <f>Sheet!H465</f>
        <v>4to</v>
      </c>
      <c r="K465" s="4" t="str">
        <f>Sheet!I465</f>
        <v>Masculino</v>
      </c>
      <c r="L465" s="4" t="str">
        <f>Sheet!J465</f>
        <v>Activo</v>
      </c>
      <c r="M465" s="4" t="str">
        <f>Sheet!K465</f>
        <v xml:space="preserve">AERO 4°A  </v>
      </c>
    </row>
    <row r="466" spans="1:13" x14ac:dyDescent="0.35">
      <c r="A466" t="s">
        <v>1</v>
      </c>
      <c r="B466" s="5" t="s">
        <v>402</v>
      </c>
      <c r="C466" s="4" t="s">
        <v>589</v>
      </c>
      <c r="D466" s="4" t="s">
        <v>626</v>
      </c>
      <c r="E466" t="s">
        <v>3727</v>
      </c>
      <c r="F466" t="str">
        <f>CONCATENATE("'",Sheet!E466)</f>
        <v>'112157</v>
      </c>
      <c r="G466" t="s">
        <v>1736</v>
      </c>
      <c r="H466" s="4" t="str">
        <f>Sheet!F466</f>
        <v>GARCIA NAVARRO MAURO</v>
      </c>
      <c r="I466" s="4" t="str">
        <f>Sheet!G466</f>
        <v>NUTRICION Y GASTRONOMIA</v>
      </c>
      <c r="J466" s="4" t="str">
        <f>Sheet!H466</f>
        <v>2do</v>
      </c>
      <c r="K466" s="4" t="str">
        <f>Sheet!I466</f>
        <v>Masculino</v>
      </c>
      <c r="L466" s="4" t="str">
        <f>Sheet!J466</f>
        <v>Activo</v>
      </c>
      <c r="M466" s="4" t="str">
        <f>Sheet!K466</f>
        <v xml:space="preserve">NUT 2°    </v>
      </c>
    </row>
    <row r="467" spans="1:13" x14ac:dyDescent="0.35">
      <c r="A467" t="s">
        <v>1</v>
      </c>
      <c r="B467" s="5" t="s">
        <v>403</v>
      </c>
      <c r="C467" s="4" t="s">
        <v>788</v>
      </c>
      <c r="D467" s="4" t="s">
        <v>1008</v>
      </c>
      <c r="E467" t="s">
        <v>3730</v>
      </c>
      <c r="F467" t="str">
        <f>CONCATENATE("'",Sheet!E467)</f>
        <v>'112151</v>
      </c>
      <c r="G467" t="s">
        <v>1736</v>
      </c>
      <c r="H467" s="4" t="str">
        <f>Sheet!F467</f>
        <v>RESENDIZ PIÑA MAXIMILIANO</v>
      </c>
      <c r="I467" s="4" t="str">
        <f>Sheet!G467</f>
        <v>INGENIERÍA AUTOMOTRIZ</v>
      </c>
      <c r="J467" s="4" t="str">
        <f>Sheet!H467</f>
        <v>2do</v>
      </c>
      <c r="K467" s="4" t="str">
        <f>Sheet!I467</f>
        <v>Masculino</v>
      </c>
      <c r="L467" s="4" t="str">
        <f>Sheet!J467</f>
        <v>Activo</v>
      </c>
      <c r="M467" s="4" t="str">
        <f>Sheet!K467</f>
        <v xml:space="preserve">AUTO 2° A </v>
      </c>
    </row>
    <row r="468" spans="1:13" x14ac:dyDescent="0.35">
      <c r="A468" t="s">
        <v>1</v>
      </c>
      <c r="B468" s="5" t="s">
        <v>404</v>
      </c>
      <c r="C468" s="4" t="s">
        <v>557</v>
      </c>
      <c r="D468" s="4" t="s">
        <v>793</v>
      </c>
      <c r="E468" t="s">
        <v>3733</v>
      </c>
      <c r="F468" t="str">
        <f>CONCATENATE("'",Sheet!E468)</f>
        <v>'110492</v>
      </c>
      <c r="G468" t="s">
        <v>1736</v>
      </c>
      <c r="H468" s="4" t="str">
        <f>Sheet!F468</f>
        <v>ROSALES HERRERA MAYRA JESUS DE BELEN</v>
      </c>
      <c r="I468" s="4" t="str">
        <f>Sheet!G468</f>
        <v>NUTRICION Y GASTRONOMIA</v>
      </c>
      <c r="J468" s="4" t="str">
        <f>Sheet!H468</f>
        <v>8vo</v>
      </c>
      <c r="K468" s="4" t="str">
        <f>Sheet!I468</f>
        <v>Femenino</v>
      </c>
      <c r="L468" s="4" t="str">
        <f>Sheet!J468</f>
        <v>Activo</v>
      </c>
      <c r="M468" s="4" t="str">
        <f>Sheet!K468</f>
        <v xml:space="preserve">NUT 8°    </v>
      </c>
    </row>
    <row r="469" spans="1:13" x14ac:dyDescent="0.35">
      <c r="A469" t="s">
        <v>1</v>
      </c>
      <c r="B469" s="5" t="s">
        <v>405</v>
      </c>
      <c r="C469" s="4" t="s">
        <v>789</v>
      </c>
      <c r="D469" s="4" t="s">
        <v>591</v>
      </c>
      <c r="E469" t="s">
        <v>3736</v>
      </c>
      <c r="F469" t="str">
        <f>CONCATENATE("'",Sheet!E469)</f>
        <v>'111644</v>
      </c>
      <c r="G469" t="s">
        <v>1736</v>
      </c>
      <c r="H469" s="4" t="str">
        <f>Sheet!F469</f>
        <v>BUENO GUTIERREZ MELANI RACHEL</v>
      </c>
      <c r="I469" s="4" t="str">
        <f>Sheet!G469</f>
        <v>PSICOLOGIA</v>
      </c>
      <c r="J469" s="4" t="str">
        <f>Sheet!H469</f>
        <v>4to</v>
      </c>
      <c r="K469" s="4" t="str">
        <f>Sheet!I469</f>
        <v>Femenino</v>
      </c>
      <c r="L469" s="4" t="str">
        <f>Sheet!J469</f>
        <v>Activo</v>
      </c>
      <c r="M469" s="4" t="str">
        <f>Sheet!K469</f>
        <v xml:space="preserve">PSI 4°    </v>
      </c>
    </row>
    <row r="470" spans="1:13" x14ac:dyDescent="0.35">
      <c r="A470" t="s">
        <v>1</v>
      </c>
      <c r="B470" s="5" t="s">
        <v>406</v>
      </c>
      <c r="C470" s="4" t="s">
        <v>728</v>
      </c>
      <c r="D470" s="4" t="s">
        <v>767</v>
      </c>
      <c r="E470" t="s">
        <v>3738</v>
      </c>
      <c r="F470" t="str">
        <f>CONCATENATE("'",Sheet!E470)</f>
        <v>'111150</v>
      </c>
      <c r="G470" t="s">
        <v>1736</v>
      </c>
      <c r="H470" s="4" t="str">
        <f>Sheet!F470</f>
        <v>AVILA ESTRADA MELANY DENISSE</v>
      </c>
      <c r="I470" s="4" t="str">
        <f>Sheet!G470</f>
        <v>INGENIERIA AEROESPACIAL</v>
      </c>
      <c r="J470" s="4" t="str">
        <f>Sheet!H470</f>
        <v>6to</v>
      </c>
      <c r="K470" s="4" t="str">
        <f>Sheet!I470</f>
        <v>Femenino</v>
      </c>
      <c r="L470" s="4" t="str">
        <f>Sheet!J470</f>
        <v>Activo</v>
      </c>
      <c r="M470" s="4" t="str">
        <f>Sheet!K470</f>
        <v xml:space="preserve">AERO 6°   </v>
      </c>
    </row>
    <row r="471" spans="1:13" x14ac:dyDescent="0.35">
      <c r="A471" t="s">
        <v>1</v>
      </c>
      <c r="B471" s="5" t="s">
        <v>407</v>
      </c>
      <c r="C471" s="4" t="s">
        <v>790</v>
      </c>
      <c r="D471" s="4" t="s">
        <v>679</v>
      </c>
      <c r="E471" t="s">
        <v>3741</v>
      </c>
      <c r="F471" t="str">
        <f>CONCATENATE("'",Sheet!E471)</f>
        <v>'111223</v>
      </c>
      <c r="G471" t="s">
        <v>1736</v>
      </c>
      <c r="H471" s="4" t="str">
        <f>Sheet!F471</f>
        <v>ALATORRE GOMEZ MELISSA ITZEL</v>
      </c>
      <c r="I471" s="4" t="str">
        <f>Sheet!G471</f>
        <v>ANIMACION DIGITAL Y VIDEOJUEGOS</v>
      </c>
      <c r="J471" s="4" t="str">
        <f>Sheet!H471</f>
        <v>6to</v>
      </c>
      <c r="K471" s="4" t="str">
        <f>Sheet!I471</f>
        <v>Femenino</v>
      </c>
      <c r="L471" s="4" t="str">
        <f>Sheet!J471</f>
        <v>Activo</v>
      </c>
      <c r="M471" s="4" t="str">
        <f>Sheet!K471</f>
        <v xml:space="preserve">ANIM 6°   </v>
      </c>
    </row>
    <row r="472" spans="1:13" x14ac:dyDescent="0.35">
      <c r="A472" t="s">
        <v>1</v>
      </c>
      <c r="B472" s="5" t="s">
        <v>407</v>
      </c>
      <c r="C472" s="4" t="s">
        <v>774</v>
      </c>
      <c r="D472" s="4" t="s">
        <v>636</v>
      </c>
      <c r="E472" t="s">
        <v>3744</v>
      </c>
      <c r="F472" t="str">
        <f>CONCATENATE("'",Sheet!E472)</f>
        <v>'111225</v>
      </c>
      <c r="G472" t="s">
        <v>1736</v>
      </c>
      <c r="H472" s="4" t="str">
        <f>Sheet!F472</f>
        <v>SILVA MARTINEZ MELISSA ITZEL</v>
      </c>
      <c r="I472" s="4" t="str">
        <f>Sheet!G472</f>
        <v>PSICOLOGIA</v>
      </c>
      <c r="J472" s="4" t="str">
        <f>Sheet!H472</f>
        <v>6to</v>
      </c>
      <c r="K472" s="4" t="str">
        <f>Sheet!I472</f>
        <v>Femenino</v>
      </c>
      <c r="L472" s="4" t="str">
        <f>Sheet!J472</f>
        <v>Activo</v>
      </c>
      <c r="M472" s="4" t="str">
        <f>Sheet!K472</f>
        <v xml:space="preserve">PSI 6°    </v>
      </c>
    </row>
    <row r="473" spans="1:13" x14ac:dyDescent="0.35">
      <c r="A473" t="s">
        <v>1</v>
      </c>
      <c r="B473" s="5" t="s">
        <v>408</v>
      </c>
      <c r="C473" s="4" t="s">
        <v>654</v>
      </c>
      <c r="D473" s="4" t="s">
        <v>992</v>
      </c>
      <c r="E473" t="s">
        <v>3747</v>
      </c>
      <c r="F473" t="str">
        <f>CONCATENATE("'",Sheet!E473)</f>
        <v>'111228</v>
      </c>
      <c r="G473" t="s">
        <v>1736</v>
      </c>
      <c r="H473" s="4" t="str">
        <f>Sheet!F473</f>
        <v>RUIZ VALENZUELA MICHELLE</v>
      </c>
      <c r="I473" s="4" t="str">
        <f>Sheet!G473</f>
        <v>ARQUITECTURA</v>
      </c>
      <c r="J473" s="4" t="str">
        <f>Sheet!H473</f>
        <v>6to</v>
      </c>
      <c r="K473" s="4" t="str">
        <f>Sheet!I473</f>
        <v>Femenino</v>
      </c>
      <c r="L473" s="4" t="str">
        <f>Sheet!J473</f>
        <v>Activo</v>
      </c>
      <c r="M473" s="4" t="str">
        <f>Sheet!K473</f>
        <v xml:space="preserve">ARQ 6°    </v>
      </c>
    </row>
    <row r="474" spans="1:13" x14ac:dyDescent="0.35">
      <c r="A474" t="s">
        <v>1</v>
      </c>
      <c r="B474" s="5" t="s">
        <v>409</v>
      </c>
      <c r="C474" s="4" t="s">
        <v>626</v>
      </c>
      <c r="D474" s="4" t="s">
        <v>1009</v>
      </c>
      <c r="E474" t="s">
        <v>3750</v>
      </c>
      <c r="F474" t="str">
        <f>CONCATENATE("'",Sheet!E474)</f>
        <v>'111779</v>
      </c>
      <c r="G474" t="s">
        <v>1736</v>
      </c>
      <c r="H474" s="4" t="str">
        <f>Sheet!F474</f>
        <v>NAVARRO ZAPATA MICHELLE ANAHI</v>
      </c>
      <c r="I474" s="4" t="str">
        <f>Sheet!G474</f>
        <v>ANIMACION DIGITAL Y VIDEOJUEGOS</v>
      </c>
      <c r="J474" s="4" t="str">
        <f>Sheet!H474</f>
        <v>4to</v>
      </c>
      <c r="K474" s="4" t="str">
        <f>Sheet!I474</f>
        <v>Femenino</v>
      </c>
      <c r="L474" s="4" t="str">
        <f>Sheet!J474</f>
        <v>Activo</v>
      </c>
      <c r="M474" s="4" t="str">
        <f>Sheet!K474</f>
        <v xml:space="preserve">ANIM 4°   </v>
      </c>
    </row>
    <row r="475" spans="1:13" x14ac:dyDescent="0.35">
      <c r="A475" t="s">
        <v>1</v>
      </c>
      <c r="B475" s="5" t="s">
        <v>410</v>
      </c>
      <c r="C475" s="4" t="s">
        <v>569</v>
      </c>
      <c r="D475" s="4" t="s">
        <v>531</v>
      </c>
      <c r="E475" t="s">
        <v>3753</v>
      </c>
      <c r="F475" t="str">
        <f>CONCATENATE("'",Sheet!E475)</f>
        <v>'111189</v>
      </c>
      <c r="G475" t="s">
        <v>1736</v>
      </c>
      <c r="H475" s="4" t="str">
        <f>Sheet!F475</f>
        <v>OCHOA GONZALEZ MICHELLE CAROLINA</v>
      </c>
      <c r="I475" s="4" t="str">
        <f>Sheet!G475</f>
        <v>ARQUITECTURA</v>
      </c>
      <c r="J475" s="4" t="str">
        <f>Sheet!H475</f>
        <v>6to</v>
      </c>
      <c r="K475" s="4" t="str">
        <f>Sheet!I475</f>
        <v>Femenino</v>
      </c>
      <c r="L475" s="4" t="str">
        <f>Sheet!J475</f>
        <v>Activo</v>
      </c>
      <c r="M475" s="4" t="str">
        <f>Sheet!K475</f>
        <v xml:space="preserve">ARQ 6°    </v>
      </c>
    </row>
    <row r="476" spans="1:13" x14ac:dyDescent="0.35">
      <c r="A476" t="s">
        <v>1</v>
      </c>
      <c r="B476" s="5" t="s">
        <v>411</v>
      </c>
      <c r="C476" s="4" t="s">
        <v>791</v>
      </c>
      <c r="D476" s="4"/>
      <c r="E476" t="s">
        <v>3756</v>
      </c>
      <c r="F476" t="str">
        <f>CONCATENATE("'",Sheet!E476)</f>
        <v>'111610</v>
      </c>
      <c r="G476" t="s">
        <v>1736</v>
      </c>
      <c r="H476" s="4" t="str">
        <f>Sheet!F476</f>
        <v>DELGADO  MIGUEL</v>
      </c>
      <c r="I476" s="4" t="str">
        <f>Sheet!G476</f>
        <v>INGENIERIA AEROESPACIAL</v>
      </c>
      <c r="J476" s="4" t="str">
        <f>Sheet!H476</f>
        <v>4to</v>
      </c>
      <c r="K476" s="4" t="str">
        <f>Sheet!I476</f>
        <v>Masculino</v>
      </c>
      <c r="L476" s="4" t="str">
        <f>Sheet!J476</f>
        <v>Activo</v>
      </c>
      <c r="M476" s="4" t="str">
        <f>Sheet!K476</f>
        <v xml:space="preserve">AERO 4°A  </v>
      </c>
    </row>
    <row r="477" spans="1:13" x14ac:dyDescent="0.35">
      <c r="A477" t="s">
        <v>1</v>
      </c>
      <c r="B477" s="5" t="s">
        <v>412</v>
      </c>
      <c r="C477" s="4" t="s">
        <v>792</v>
      </c>
      <c r="D477" s="4" t="s">
        <v>1010</v>
      </c>
      <c r="E477" t="s">
        <v>3759</v>
      </c>
      <c r="F477" t="str">
        <f>CONCATENATE("'",Sheet!E477)</f>
        <v>'112236</v>
      </c>
      <c r="G477" t="s">
        <v>1736</v>
      </c>
      <c r="H477" s="4" t="str">
        <f>Sheet!F477</f>
        <v>NUÑO ARANA MIGUEL ANGEL</v>
      </c>
      <c r="I477" s="4" t="str">
        <f>Sheet!G477</f>
        <v>INGENIERÍA EN INTELIGENCIA ARTIFICIAL</v>
      </c>
      <c r="J477" s="4" t="str">
        <f>Sheet!H477</f>
        <v>2do</v>
      </c>
      <c r="K477" s="4" t="str">
        <f>Sheet!I477</f>
        <v>Masculino</v>
      </c>
      <c r="L477" s="4" t="str">
        <f>Sheet!J477</f>
        <v>Activo</v>
      </c>
      <c r="M477" s="4" t="str">
        <f>Sheet!K477</f>
        <v xml:space="preserve">IA 2°     </v>
      </c>
    </row>
    <row r="478" spans="1:13" x14ac:dyDescent="0.35">
      <c r="A478" t="s">
        <v>1</v>
      </c>
      <c r="B478" s="5" t="s">
        <v>413</v>
      </c>
      <c r="C478" s="4" t="s">
        <v>654</v>
      </c>
      <c r="D478" s="4" t="s">
        <v>1011</v>
      </c>
      <c r="E478" t="s">
        <v>3762</v>
      </c>
      <c r="F478" t="str">
        <f>CONCATENATE("'",Sheet!E478)</f>
        <v>'112251</v>
      </c>
      <c r="G478" t="s">
        <v>1736</v>
      </c>
      <c r="H478" s="4" t="str">
        <f>Sheet!F478</f>
        <v>RUIZ GAMARRA MIGUEL ANGEL SNAYDER</v>
      </c>
      <c r="I478" s="4" t="str">
        <f>Sheet!G478</f>
        <v>ANIMACION DIGITAL Y VIDEOJUEGOS</v>
      </c>
      <c r="J478" s="4" t="str">
        <f>Sheet!H478</f>
        <v>2do</v>
      </c>
      <c r="K478" s="4" t="str">
        <f>Sheet!I478</f>
        <v>Masculino</v>
      </c>
      <c r="L478" s="4" t="str">
        <f>Sheet!J478</f>
        <v>Activo</v>
      </c>
      <c r="M478" s="4" t="str">
        <f>Sheet!K478</f>
        <v xml:space="preserve">ANIM 2°   </v>
      </c>
    </row>
    <row r="479" spans="1:13" x14ac:dyDescent="0.35">
      <c r="A479" t="s">
        <v>1</v>
      </c>
      <c r="B479" s="5" t="s">
        <v>414</v>
      </c>
      <c r="C479" s="4" t="s">
        <v>621</v>
      </c>
      <c r="D479" s="4" t="s">
        <v>873</v>
      </c>
      <c r="E479" t="s">
        <v>3765</v>
      </c>
      <c r="F479" t="str">
        <f>CONCATENATE("'",Sheet!E479)</f>
        <v>'111746</v>
      </c>
      <c r="G479" t="s">
        <v>1736</v>
      </c>
      <c r="H479" s="4" t="str">
        <f>Sheet!F479</f>
        <v>LOPEZ VARGAS MIRANDA CAROLINA</v>
      </c>
      <c r="I479" s="4" t="str">
        <f>Sheet!G479</f>
        <v>INGENIERIA AEROESPACIAL</v>
      </c>
      <c r="J479" s="4" t="str">
        <f>Sheet!H479</f>
        <v>4to</v>
      </c>
      <c r="K479" s="4" t="str">
        <f>Sheet!I479</f>
        <v>Femenino</v>
      </c>
      <c r="L479" s="4" t="str">
        <f>Sheet!J479</f>
        <v>Activo</v>
      </c>
      <c r="M479" s="4" t="str">
        <f>Sheet!K479</f>
        <v xml:space="preserve">AERO 4°A  </v>
      </c>
    </row>
    <row r="480" spans="1:13" x14ac:dyDescent="0.35">
      <c r="A480" t="s">
        <v>1</v>
      </c>
      <c r="B480" s="5" t="s">
        <v>415</v>
      </c>
      <c r="C480" s="4" t="s">
        <v>539</v>
      </c>
      <c r="D480" s="4" t="s">
        <v>636</v>
      </c>
      <c r="E480" t="s">
        <v>3767</v>
      </c>
      <c r="F480" t="str">
        <f>CONCATENATE("'",Sheet!E480)</f>
        <v>'111824</v>
      </c>
      <c r="G480" t="s">
        <v>1736</v>
      </c>
      <c r="H480" s="4" t="str">
        <f>Sheet!F480</f>
        <v>RODRIGUEZ MARTINEZ MIRIAM ALEJANDRA</v>
      </c>
      <c r="I480" s="4" t="str">
        <f>Sheet!G480</f>
        <v>NUTRICION Y GASTRONOMIA</v>
      </c>
      <c r="J480" s="4" t="str">
        <f>Sheet!H480</f>
        <v>4to</v>
      </c>
      <c r="K480" s="4" t="str">
        <f>Sheet!I480</f>
        <v>Femenino</v>
      </c>
      <c r="L480" s="4" t="str">
        <f>Sheet!J480</f>
        <v>Activo</v>
      </c>
      <c r="M480" s="4" t="str">
        <f>Sheet!K480</f>
        <v xml:space="preserve">NUT 4°    </v>
      </c>
    </row>
    <row r="481" spans="1:13" x14ac:dyDescent="0.35">
      <c r="A481" t="s">
        <v>1</v>
      </c>
      <c r="B481" s="5" t="s">
        <v>416</v>
      </c>
      <c r="C481" s="4" t="s">
        <v>531</v>
      </c>
      <c r="D481" s="4" t="s">
        <v>1012</v>
      </c>
      <c r="E481" t="s">
        <v>3770</v>
      </c>
      <c r="F481" t="str">
        <f>CONCATENATE("'",Sheet!E481)</f>
        <v>'007662</v>
      </c>
      <c r="G481" t="s">
        <v>1736</v>
      </c>
      <c r="H481" s="4" t="str">
        <f>Sheet!F481</f>
        <v>GONZALEZ BLANCO MONICA ALEJANDRA</v>
      </c>
      <c r="I481" s="4" t="str">
        <f>Sheet!G481</f>
        <v>ANIMACION DIGITAL Y VIDEOJUEGOS</v>
      </c>
      <c r="J481" s="4" t="str">
        <f>Sheet!H481</f>
        <v>6to</v>
      </c>
      <c r="K481" s="4" t="str">
        <f>Sheet!I481</f>
        <v>Femenino</v>
      </c>
      <c r="L481" s="4" t="str">
        <f>Sheet!J481</f>
        <v>Activo</v>
      </c>
      <c r="M481" s="4" t="str">
        <f>Sheet!K481</f>
        <v xml:space="preserve">ANIM 6°   </v>
      </c>
    </row>
    <row r="482" spans="1:13" x14ac:dyDescent="0.35">
      <c r="A482" t="s">
        <v>1</v>
      </c>
      <c r="B482" s="5" t="s">
        <v>417</v>
      </c>
      <c r="C482" s="4" t="s">
        <v>793</v>
      </c>
      <c r="D482" s="4" t="s">
        <v>1013</v>
      </c>
      <c r="E482" t="s">
        <v>3773</v>
      </c>
      <c r="F482" t="str">
        <f>CONCATENATE("'",Sheet!E482)</f>
        <v>'110443</v>
      </c>
      <c r="G482" t="s">
        <v>1736</v>
      </c>
      <c r="H482" s="4" t="str">
        <f>Sheet!F482</f>
        <v>HERRERA DUEÑAS MONTSERRAT</v>
      </c>
      <c r="I482" s="4" t="str">
        <f>Sheet!G482</f>
        <v>PSICOLOGIA</v>
      </c>
      <c r="J482" s="4" t="str">
        <f>Sheet!H482</f>
        <v>8vo</v>
      </c>
      <c r="K482" s="4" t="str">
        <f>Sheet!I482</f>
        <v>Femenino</v>
      </c>
      <c r="L482" s="4" t="str">
        <f>Sheet!J482</f>
        <v>Activo</v>
      </c>
      <c r="M482" s="4" t="str">
        <f>Sheet!K482</f>
        <v xml:space="preserve">PSI 8°    </v>
      </c>
    </row>
    <row r="483" spans="1:13" x14ac:dyDescent="0.35">
      <c r="A483" t="s">
        <v>1</v>
      </c>
      <c r="B483" s="5" t="s">
        <v>417</v>
      </c>
      <c r="C483" s="4" t="s">
        <v>540</v>
      </c>
      <c r="D483" s="4" t="s">
        <v>736</v>
      </c>
      <c r="E483" t="s">
        <v>3776</v>
      </c>
      <c r="F483" t="str">
        <f>CONCATENATE("'",Sheet!E483)</f>
        <v>'110426</v>
      </c>
      <c r="G483" t="s">
        <v>1736</v>
      </c>
      <c r="H483" s="4" t="str">
        <f>Sheet!F483</f>
        <v>MIRANDA DIAZ MONTSERRAT</v>
      </c>
      <c r="I483" s="4" t="str">
        <f>Sheet!G483</f>
        <v>ANIMACION DIGITAL Y VIDEOJUEGOS</v>
      </c>
      <c r="J483" s="4" t="str">
        <f>Sheet!H483</f>
        <v>8vo</v>
      </c>
      <c r="K483" s="4" t="str">
        <f>Sheet!I483</f>
        <v>Femenino</v>
      </c>
      <c r="L483" s="4" t="str">
        <f>Sheet!J483</f>
        <v>Activo</v>
      </c>
      <c r="M483" s="4" t="str">
        <f>Sheet!K483</f>
        <v xml:space="preserve">ANIM 8°   </v>
      </c>
    </row>
    <row r="484" spans="1:13" x14ac:dyDescent="0.35">
      <c r="A484" t="s">
        <v>1</v>
      </c>
      <c r="B484" s="5" t="s">
        <v>418</v>
      </c>
      <c r="C484" s="4" t="s">
        <v>794</v>
      </c>
      <c r="D484" s="4" t="s">
        <v>1014</v>
      </c>
      <c r="E484" t="s">
        <v>3779</v>
      </c>
      <c r="F484" t="str">
        <f>CONCATENATE("'",Sheet!E484)</f>
        <v>'111028</v>
      </c>
      <c r="G484" t="s">
        <v>1736</v>
      </c>
      <c r="H484" s="4" t="str">
        <f>Sheet!F484</f>
        <v>ESQUIVEL ENCARNACION MYRIAM SOFIA</v>
      </c>
      <c r="I484" s="4" t="str">
        <f>Sheet!G484</f>
        <v>ARQUITECTURA</v>
      </c>
      <c r="J484" s="4" t="str">
        <f>Sheet!H484</f>
        <v>6to</v>
      </c>
      <c r="K484" s="4" t="str">
        <f>Sheet!I484</f>
        <v>Femenino</v>
      </c>
      <c r="L484" s="4" t="str">
        <f>Sheet!J484</f>
        <v>Activo</v>
      </c>
      <c r="M484" s="4" t="str">
        <f>Sheet!K484</f>
        <v xml:space="preserve">ARQ 6°    </v>
      </c>
    </row>
    <row r="485" spans="1:13" x14ac:dyDescent="0.35">
      <c r="A485" t="s">
        <v>1</v>
      </c>
      <c r="B485" s="5" t="s">
        <v>419</v>
      </c>
      <c r="C485" s="4" t="s">
        <v>629</v>
      </c>
      <c r="D485" s="4" t="s">
        <v>1015</v>
      </c>
      <c r="E485" t="s">
        <v>3782</v>
      </c>
      <c r="F485" t="str">
        <f>CONCATENATE("'",Sheet!E485)</f>
        <v>'112167</v>
      </c>
      <c r="G485" t="s">
        <v>1736</v>
      </c>
      <c r="H485" s="4" t="str">
        <f>Sheet!F485</f>
        <v>RAMIREZ HIDALGO NAOMI DANAI</v>
      </c>
      <c r="I485" s="4" t="str">
        <f>Sheet!G485</f>
        <v>ARQUITECTURA</v>
      </c>
      <c r="J485" s="4" t="str">
        <f>Sheet!H485</f>
        <v>2do</v>
      </c>
      <c r="K485" s="4" t="str">
        <f>Sheet!I485</f>
        <v>Femenino</v>
      </c>
      <c r="L485" s="4" t="str">
        <f>Sheet!J485</f>
        <v>Activo</v>
      </c>
      <c r="M485" s="4" t="str">
        <f>Sheet!K485</f>
        <v xml:space="preserve">ARQ 2°    </v>
      </c>
    </row>
    <row r="486" spans="1:13" x14ac:dyDescent="0.35">
      <c r="A486" t="s">
        <v>1</v>
      </c>
      <c r="B486" s="5" t="s">
        <v>420</v>
      </c>
      <c r="C486" s="4" t="s">
        <v>544</v>
      </c>
      <c r="D486" s="4" t="s">
        <v>589</v>
      </c>
      <c r="E486" t="s">
        <v>3784</v>
      </c>
      <c r="F486" t="str">
        <f>CONCATENATE("'",Sheet!E486)</f>
        <v>'110645</v>
      </c>
      <c r="G486" t="s">
        <v>1736</v>
      </c>
      <c r="H486" s="4" t="str">
        <f>Sheet!F486</f>
        <v>HERNANDEZ GARCIA NAOMI JIMENA</v>
      </c>
      <c r="I486" s="4" t="str">
        <f>Sheet!G486</f>
        <v>PSICOLOGIA</v>
      </c>
      <c r="J486" s="4" t="str">
        <f>Sheet!H486</f>
        <v>8vo</v>
      </c>
      <c r="K486" s="4" t="str">
        <f>Sheet!I486</f>
        <v>Femenino</v>
      </c>
      <c r="L486" s="4" t="str">
        <f>Sheet!J486</f>
        <v>Activo</v>
      </c>
      <c r="M486" s="4" t="str">
        <f>Sheet!K486</f>
        <v xml:space="preserve">PSI 8°    </v>
      </c>
    </row>
    <row r="487" spans="1:13" x14ac:dyDescent="0.35">
      <c r="A487" t="s">
        <v>1</v>
      </c>
      <c r="B487" s="5" t="s">
        <v>421</v>
      </c>
      <c r="C487" s="4" t="s">
        <v>795</v>
      </c>
      <c r="D487" s="4" t="s">
        <v>1016</v>
      </c>
      <c r="E487" t="s">
        <v>3787</v>
      </c>
      <c r="F487" t="str">
        <f>CONCATENATE("'",Sheet!E487)</f>
        <v>'111122</v>
      </c>
      <c r="G487" t="s">
        <v>1736</v>
      </c>
      <c r="H487" s="4" t="str">
        <f>Sheet!F487</f>
        <v>ESQUER QUINTANILLA NATALIA</v>
      </c>
      <c r="I487" s="4" t="str">
        <f>Sheet!G487</f>
        <v>NUTRICION Y GASTRONOMIA</v>
      </c>
      <c r="J487" s="4" t="str">
        <f>Sheet!H487</f>
        <v>6to</v>
      </c>
      <c r="K487" s="4" t="str">
        <f>Sheet!I487</f>
        <v>Femenino</v>
      </c>
      <c r="L487" s="4" t="str">
        <f>Sheet!J487</f>
        <v>Activo</v>
      </c>
      <c r="M487" s="4" t="str">
        <f>Sheet!K487</f>
        <v xml:space="preserve">NUT 6°    </v>
      </c>
    </row>
    <row r="488" spans="1:13" x14ac:dyDescent="0.35">
      <c r="A488" t="s">
        <v>1</v>
      </c>
      <c r="B488" s="5" t="s">
        <v>421</v>
      </c>
      <c r="C488" s="4" t="s">
        <v>796</v>
      </c>
      <c r="D488" s="4" t="s">
        <v>636</v>
      </c>
      <c r="E488" t="s">
        <v>3790</v>
      </c>
      <c r="F488" t="str">
        <f>CONCATENATE("'",Sheet!E488)</f>
        <v>'111063</v>
      </c>
      <c r="G488" t="s">
        <v>1736</v>
      </c>
      <c r="H488" s="4" t="str">
        <f>Sheet!F488</f>
        <v>IZQUIERDO MARTINEZ NATALIA</v>
      </c>
      <c r="I488" s="4" t="str">
        <f>Sheet!G488</f>
        <v>ANIMACION DIGITAL Y VIDEOJUEGOS</v>
      </c>
      <c r="J488" s="4" t="str">
        <f>Sheet!H488</f>
        <v>6to</v>
      </c>
      <c r="K488" s="4" t="str">
        <f>Sheet!I488</f>
        <v>Femenino</v>
      </c>
      <c r="L488" s="4" t="str">
        <f>Sheet!J488</f>
        <v>Activo</v>
      </c>
      <c r="M488" s="4" t="str">
        <f>Sheet!K488</f>
        <v xml:space="preserve">ANIM 6°   </v>
      </c>
    </row>
    <row r="489" spans="1:13" x14ac:dyDescent="0.35">
      <c r="A489" t="s">
        <v>1</v>
      </c>
      <c r="B489" s="5" t="s">
        <v>421</v>
      </c>
      <c r="C489" s="4" t="s">
        <v>797</v>
      </c>
      <c r="D489" s="4" t="s">
        <v>689</v>
      </c>
      <c r="E489" t="s">
        <v>3793</v>
      </c>
      <c r="F489" t="str">
        <f>CONCATENATE("'",Sheet!E489)</f>
        <v>'112307</v>
      </c>
      <c r="G489" t="s">
        <v>1736</v>
      </c>
      <c r="H489" s="4" t="str">
        <f>Sheet!F489</f>
        <v>NARVAEZ LOZANO NATALIA</v>
      </c>
      <c r="I489" s="4" t="str">
        <f>Sheet!G489</f>
        <v>ANIMACION DIGITAL Y VIDEOJUEGOS</v>
      </c>
      <c r="J489" s="4" t="str">
        <f>Sheet!H489</f>
        <v>2do</v>
      </c>
      <c r="K489" s="4" t="str">
        <f>Sheet!I489</f>
        <v>Femenino</v>
      </c>
      <c r="L489" s="4" t="str">
        <f>Sheet!J489</f>
        <v>Activo</v>
      </c>
      <c r="M489" s="4" t="str">
        <f>Sheet!K489</f>
        <v xml:space="preserve">ANIM 2°   </v>
      </c>
    </row>
    <row r="490" spans="1:13" x14ac:dyDescent="0.35">
      <c r="A490" t="s">
        <v>1</v>
      </c>
      <c r="B490" s="5" t="s">
        <v>421</v>
      </c>
      <c r="C490" s="4" t="s">
        <v>660</v>
      </c>
      <c r="D490" s="4" t="s">
        <v>621</v>
      </c>
      <c r="E490" t="s">
        <v>3796</v>
      </c>
      <c r="F490" t="str">
        <f>CONCATENATE("'",Sheet!E490)</f>
        <v>'111777</v>
      </c>
      <c r="G490" t="s">
        <v>1736</v>
      </c>
      <c r="H490" s="4" t="str">
        <f>Sheet!F490</f>
        <v>ORTIZ LOPEZ NATALIA</v>
      </c>
      <c r="I490" s="4" t="str">
        <f>Sheet!G490</f>
        <v>PSICOLOGIA</v>
      </c>
      <c r="J490" s="4" t="str">
        <f>Sheet!H490</f>
        <v>4to</v>
      </c>
      <c r="K490" s="4" t="str">
        <f>Sheet!I490</f>
        <v>Femenino</v>
      </c>
      <c r="L490" s="4" t="str">
        <f>Sheet!J490</f>
        <v>Activo</v>
      </c>
      <c r="M490" s="4" t="str">
        <f>Sheet!K490</f>
        <v xml:space="preserve">PSI 4°    </v>
      </c>
    </row>
    <row r="491" spans="1:13" x14ac:dyDescent="0.35">
      <c r="A491" t="s">
        <v>1</v>
      </c>
      <c r="B491" s="5" t="s">
        <v>421</v>
      </c>
      <c r="C491" s="4" t="s">
        <v>774</v>
      </c>
      <c r="D491" s="4" t="s">
        <v>966</v>
      </c>
      <c r="E491" t="s">
        <v>3799</v>
      </c>
      <c r="F491" t="str">
        <f>CONCATENATE("'",Sheet!E491)</f>
        <v>'112190</v>
      </c>
      <c r="G491" t="s">
        <v>1736</v>
      </c>
      <c r="H491" s="4" t="str">
        <f>Sheet!F491</f>
        <v>SILVA LUGO NATALIA</v>
      </c>
      <c r="I491" s="4" t="str">
        <f>Sheet!G491</f>
        <v>INGENIERÍA AUTOMOTRIZ</v>
      </c>
      <c r="J491" s="4" t="str">
        <f>Sheet!H491</f>
        <v>2do</v>
      </c>
      <c r="K491" s="4" t="str">
        <f>Sheet!I491</f>
        <v>Femenino</v>
      </c>
      <c r="L491" s="4" t="str">
        <f>Sheet!J491</f>
        <v>Activo</v>
      </c>
      <c r="M491" s="4" t="str">
        <f>Sheet!K491</f>
        <v xml:space="preserve">AUTO 2° A </v>
      </c>
    </row>
    <row r="492" spans="1:13" x14ac:dyDescent="0.35">
      <c r="A492" t="s">
        <v>1</v>
      </c>
      <c r="B492" s="5" t="s">
        <v>422</v>
      </c>
      <c r="C492" s="4" t="s">
        <v>798</v>
      </c>
      <c r="D492" s="4" t="s">
        <v>1017</v>
      </c>
      <c r="E492" t="s">
        <v>3802</v>
      </c>
      <c r="F492" t="str">
        <f>CONCATENATE("'",Sheet!E492)</f>
        <v>'112216</v>
      </c>
      <c r="G492" t="s">
        <v>1736</v>
      </c>
      <c r="H492" s="4" t="str">
        <f>Sheet!F492</f>
        <v>FERNLEY SUCCAR NATALIE</v>
      </c>
      <c r="I492" s="4" t="str">
        <f>Sheet!G492</f>
        <v>INGENIERÍA AUTOMOTRIZ</v>
      </c>
      <c r="J492" s="4" t="str">
        <f>Sheet!H492</f>
        <v>2do</v>
      </c>
      <c r="K492" s="4" t="str">
        <f>Sheet!I492</f>
        <v>Femenino</v>
      </c>
      <c r="L492" s="4" t="str">
        <f>Sheet!J492</f>
        <v>Activo</v>
      </c>
      <c r="M492" s="4" t="str">
        <f>Sheet!K492</f>
        <v xml:space="preserve">AUTO 2° A </v>
      </c>
    </row>
    <row r="493" spans="1:13" x14ac:dyDescent="0.35">
      <c r="A493" t="s">
        <v>1</v>
      </c>
      <c r="B493" s="5" t="s">
        <v>423</v>
      </c>
      <c r="C493" s="4" t="s">
        <v>636</v>
      </c>
      <c r="D493" s="4" t="s">
        <v>854</v>
      </c>
      <c r="E493" t="s">
        <v>3805</v>
      </c>
      <c r="F493" t="str">
        <f>CONCATENATE("'",Sheet!E493)</f>
        <v>'111092</v>
      </c>
      <c r="G493" t="s">
        <v>1736</v>
      </c>
      <c r="H493" s="4" t="str">
        <f>Sheet!F493</f>
        <v>MARTINEZ ORTEGA NEIZER JESUS</v>
      </c>
      <c r="I493" s="4" t="str">
        <f>Sheet!G493</f>
        <v>INGENIERIA AEROESPACIAL</v>
      </c>
      <c r="J493" s="4" t="str">
        <f>Sheet!H493</f>
        <v>6to</v>
      </c>
      <c r="K493" s="4" t="str">
        <f>Sheet!I493</f>
        <v>Masculino</v>
      </c>
      <c r="L493" s="4" t="str">
        <f>Sheet!J493</f>
        <v>Activo</v>
      </c>
      <c r="M493" s="4" t="str">
        <f>Sheet!K493</f>
        <v xml:space="preserve">AERO 6°   </v>
      </c>
    </row>
    <row r="494" spans="1:13" x14ac:dyDescent="0.35">
      <c r="A494" t="s">
        <v>1</v>
      </c>
      <c r="B494" s="5" t="s">
        <v>424</v>
      </c>
      <c r="C494" s="4" t="s">
        <v>799</v>
      </c>
      <c r="D494" s="4" t="s">
        <v>1018</v>
      </c>
      <c r="E494" t="s">
        <v>3808</v>
      </c>
      <c r="F494" t="str">
        <f>CONCATENATE("'",Sheet!E494)</f>
        <v>'110466</v>
      </c>
      <c r="G494" t="s">
        <v>1736</v>
      </c>
      <c r="H494" s="4" t="str">
        <f>Sheet!F494</f>
        <v>BARROSO PAZ NELLY</v>
      </c>
      <c r="I494" s="4" t="str">
        <f>Sheet!G494</f>
        <v>ANIMACION DIGITAL Y VIDEOJUEGOS</v>
      </c>
      <c r="J494" s="4" t="str">
        <f>Sheet!H494</f>
        <v>8vo</v>
      </c>
      <c r="K494" s="4" t="str">
        <f>Sheet!I494</f>
        <v>Femenino</v>
      </c>
      <c r="L494" s="4" t="str">
        <f>Sheet!J494</f>
        <v>Activo</v>
      </c>
      <c r="M494" s="4" t="str">
        <f>Sheet!K494</f>
        <v xml:space="preserve">ANIM 8°   </v>
      </c>
    </row>
    <row r="495" spans="1:13" x14ac:dyDescent="0.35">
      <c r="A495" t="s">
        <v>1</v>
      </c>
      <c r="B495" s="5" t="s">
        <v>425</v>
      </c>
      <c r="C495" s="4" t="s">
        <v>800</v>
      </c>
      <c r="D495" s="4" t="s">
        <v>1019</v>
      </c>
      <c r="E495" t="s">
        <v>3814</v>
      </c>
      <c r="F495" t="str">
        <f>CONCATENATE("'",Sheet!E495)</f>
        <v>'109849</v>
      </c>
      <c r="G495" t="s">
        <v>1736</v>
      </c>
      <c r="H495" s="4" t="str">
        <f>Sheet!F495</f>
        <v>HERMOSILLO MEXIA NICOL GUADALUPE</v>
      </c>
      <c r="I495" s="4" t="str">
        <f>Sheet!G495</f>
        <v>INGENIERIA AEROESPACIAL</v>
      </c>
      <c r="J495" s="4" t="str">
        <f>Sheet!H495</f>
        <v>10mo</v>
      </c>
      <c r="K495" s="4" t="str">
        <f>Sheet!I495</f>
        <v>Femenino</v>
      </c>
      <c r="L495" s="4" t="str">
        <f>Sheet!J495</f>
        <v>Activo</v>
      </c>
      <c r="M495" s="4" t="str">
        <f>Sheet!K495</f>
        <v xml:space="preserve">AERO_10°  </v>
      </c>
    </row>
    <row r="496" spans="1:13" x14ac:dyDescent="0.35">
      <c r="A496" t="s">
        <v>1</v>
      </c>
      <c r="B496" s="5" t="s">
        <v>426</v>
      </c>
      <c r="C496" s="4" t="s">
        <v>570</v>
      </c>
      <c r="D496" s="4" t="s">
        <v>1020</v>
      </c>
      <c r="E496" t="s">
        <v>3811</v>
      </c>
      <c r="F496" t="str">
        <f>CONCATENATE("'",Sheet!E496)</f>
        <v>'111186</v>
      </c>
      <c r="G496" t="s">
        <v>1736</v>
      </c>
      <c r="H496" s="4" t="str">
        <f>Sheet!F496</f>
        <v>JIMENEZ MC LANE NICOLE</v>
      </c>
      <c r="I496" s="4" t="str">
        <f>Sheet!G496</f>
        <v>ADMINISTRACION Y DIRECCION DE NEGOCIOS</v>
      </c>
      <c r="J496" s="4" t="str">
        <f>Sheet!H496</f>
        <v>6to</v>
      </c>
      <c r="K496" s="4" t="str">
        <f>Sheet!I496</f>
        <v>Femenino</v>
      </c>
      <c r="L496" s="4" t="str">
        <f>Sheet!J496</f>
        <v>Activo</v>
      </c>
      <c r="M496" s="4" t="str">
        <f>Sheet!K496</f>
        <v xml:space="preserve">ADMON 6°  </v>
      </c>
    </row>
    <row r="497" spans="1:13" x14ac:dyDescent="0.35">
      <c r="A497" t="s">
        <v>1</v>
      </c>
      <c r="B497" s="5" t="s">
        <v>427</v>
      </c>
      <c r="C497" s="4" t="s">
        <v>531</v>
      </c>
      <c r="D497" s="4" t="s">
        <v>678</v>
      </c>
      <c r="E497" t="s">
        <v>3817</v>
      </c>
      <c r="F497" t="str">
        <f>CONCATENATE("'",Sheet!E497)</f>
        <v>'110463</v>
      </c>
      <c r="G497" t="s">
        <v>1736</v>
      </c>
      <c r="H497" s="4" t="str">
        <f>Sheet!F497</f>
        <v>GONZALEZ AGUIRRE NOEMI JOCELYN</v>
      </c>
      <c r="I497" s="4" t="str">
        <f>Sheet!G497</f>
        <v>MERCADOTECNIA Y PUBLICIDAD</v>
      </c>
      <c r="J497" s="4" t="str">
        <f>Sheet!H497</f>
        <v>8vo</v>
      </c>
      <c r="K497" s="4" t="str">
        <f>Sheet!I497</f>
        <v>Femenino</v>
      </c>
      <c r="L497" s="4" t="str">
        <f>Sheet!J497</f>
        <v>Activo</v>
      </c>
      <c r="M497" s="4" t="str">
        <f>Sheet!K497</f>
        <v xml:space="preserve">MKT 8°    </v>
      </c>
    </row>
    <row r="498" spans="1:13" x14ac:dyDescent="0.35">
      <c r="A498" t="s">
        <v>1</v>
      </c>
      <c r="B498" s="5" t="s">
        <v>428</v>
      </c>
      <c r="C498" s="4" t="s">
        <v>801</v>
      </c>
      <c r="D498" s="4"/>
      <c r="E498" t="s">
        <v>3820</v>
      </c>
      <c r="F498" t="str">
        <f>CONCATENATE("'",Sheet!E498)</f>
        <v>'112234</v>
      </c>
      <c r="G498" t="s">
        <v>1736</v>
      </c>
      <c r="H498" s="4" t="str">
        <f>Sheet!F498</f>
        <v>SAKODA  NOZOMI</v>
      </c>
      <c r="I498" s="4" t="str">
        <f>Sheet!G498</f>
        <v>INGENIERIA AEROESPACIAL</v>
      </c>
      <c r="J498" s="4" t="str">
        <f>Sheet!H498</f>
        <v>2do</v>
      </c>
      <c r="K498" s="4" t="str">
        <f>Sheet!I498</f>
        <v>Femenino</v>
      </c>
      <c r="L498" s="4" t="str">
        <f>Sheet!J498</f>
        <v>Activo</v>
      </c>
      <c r="M498" s="4" t="str">
        <f>Sheet!K498</f>
        <v xml:space="preserve">AERO 2°B  </v>
      </c>
    </row>
    <row r="499" spans="1:13" x14ac:dyDescent="0.35">
      <c r="A499" t="s">
        <v>1</v>
      </c>
      <c r="B499" s="5" t="s">
        <v>429</v>
      </c>
      <c r="C499" s="4" t="s">
        <v>802</v>
      </c>
      <c r="D499" s="4" t="s">
        <v>589</v>
      </c>
      <c r="E499" t="s">
        <v>3823</v>
      </c>
      <c r="F499" t="str">
        <f>CONCATENATE("'",Sheet!E499)</f>
        <v>'111788</v>
      </c>
      <c r="G499" t="s">
        <v>1736</v>
      </c>
      <c r="H499" s="4" t="str">
        <f>Sheet!F499</f>
        <v>ROCHA GARCIA OLIVER</v>
      </c>
      <c r="I499" s="4" t="str">
        <f>Sheet!G499</f>
        <v>PSICOLOGIA</v>
      </c>
      <c r="J499" s="4" t="str">
        <f>Sheet!H499</f>
        <v>4to</v>
      </c>
      <c r="K499" s="4" t="str">
        <f>Sheet!I499</f>
        <v>Masculino</v>
      </c>
      <c r="L499" s="4" t="str">
        <f>Sheet!J499</f>
        <v>Activo</v>
      </c>
      <c r="M499" s="4" t="str">
        <f>Sheet!K499</f>
        <v xml:space="preserve">PSI 4°    </v>
      </c>
    </row>
    <row r="500" spans="1:13" x14ac:dyDescent="0.35">
      <c r="A500" t="s">
        <v>1</v>
      </c>
      <c r="B500" s="5" t="s">
        <v>430</v>
      </c>
      <c r="C500" s="4" t="s">
        <v>803</v>
      </c>
      <c r="D500" s="4" t="s">
        <v>822</v>
      </c>
      <c r="E500" t="s">
        <v>3826</v>
      </c>
      <c r="F500" t="str">
        <f>CONCATENATE("'",Sheet!E500)</f>
        <v>'112245</v>
      </c>
      <c r="G500" t="s">
        <v>1736</v>
      </c>
      <c r="H500" s="4" t="str">
        <f>Sheet!F500</f>
        <v>RIOS LARA OMAR</v>
      </c>
      <c r="I500" s="4" t="str">
        <f>Sheet!G500</f>
        <v>INGENIERÍA AUTOMOTRIZ</v>
      </c>
      <c r="J500" s="4" t="str">
        <f>Sheet!H500</f>
        <v>2do</v>
      </c>
      <c r="K500" s="4" t="str">
        <f>Sheet!I500</f>
        <v>Masculino</v>
      </c>
      <c r="L500" s="4" t="str">
        <f>Sheet!J500</f>
        <v>Activo</v>
      </c>
      <c r="M500" s="4" t="str">
        <f>Sheet!K500</f>
        <v xml:space="preserve">AUTO 2° A </v>
      </c>
    </row>
    <row r="501" spans="1:13" x14ac:dyDescent="0.35">
      <c r="A501" t="s">
        <v>1</v>
      </c>
      <c r="B501" s="5" t="s">
        <v>431</v>
      </c>
      <c r="C501" s="4" t="s">
        <v>622</v>
      </c>
      <c r="D501" s="4" t="s">
        <v>539</v>
      </c>
      <c r="E501" t="s">
        <v>3829</v>
      </c>
      <c r="F501" t="str">
        <f>CONCATENATE("'",Sheet!E501)</f>
        <v>'111168</v>
      </c>
      <c r="G501" t="s">
        <v>1736</v>
      </c>
      <c r="H501" s="4" t="str">
        <f>Sheet!F501</f>
        <v>MUÑOZ RODRIGUEZ ORLANDO BARU</v>
      </c>
      <c r="I501" s="4" t="str">
        <f>Sheet!G501</f>
        <v>INGENIERÍA AUTOMOTRIZ</v>
      </c>
      <c r="J501" s="4" t="str">
        <f>Sheet!H501</f>
        <v>6to</v>
      </c>
      <c r="K501" s="4" t="str">
        <f>Sheet!I501</f>
        <v>Masculino</v>
      </c>
      <c r="L501" s="4" t="str">
        <f>Sheet!J501</f>
        <v>Activo</v>
      </c>
      <c r="M501" s="4" t="str">
        <f>Sheet!K501</f>
        <v xml:space="preserve">AUTO 6°   </v>
      </c>
    </row>
    <row r="502" spans="1:13" x14ac:dyDescent="0.35">
      <c r="A502" t="s">
        <v>1</v>
      </c>
      <c r="B502" s="5" t="s">
        <v>432</v>
      </c>
      <c r="C502" s="4" t="s">
        <v>679</v>
      </c>
      <c r="D502" s="4" t="s">
        <v>531</v>
      </c>
      <c r="E502" t="s">
        <v>3832</v>
      </c>
      <c r="F502" t="str">
        <f>CONCATENATE("'",Sheet!E502)</f>
        <v>'109834</v>
      </c>
      <c r="G502" t="s">
        <v>1736</v>
      </c>
      <c r="H502" s="4" t="str">
        <f>Sheet!F502</f>
        <v>GOMEZ GONZALEZ OSCAR</v>
      </c>
      <c r="I502" s="4" t="str">
        <f>Sheet!G502</f>
        <v>INGENIERIA AEROESPACIAL</v>
      </c>
      <c r="J502" s="4" t="str">
        <f>Sheet!H502</f>
        <v>10mo</v>
      </c>
      <c r="K502" s="4" t="str">
        <f>Sheet!I502</f>
        <v>Masculino</v>
      </c>
      <c r="L502" s="4" t="str">
        <f>Sheet!J502</f>
        <v>Activo</v>
      </c>
      <c r="M502" s="4" t="str">
        <f>Sheet!K502</f>
        <v xml:space="preserve">AERO_10°  </v>
      </c>
    </row>
    <row r="503" spans="1:13" x14ac:dyDescent="0.35">
      <c r="A503" t="s">
        <v>1</v>
      </c>
      <c r="B503" s="5" t="s">
        <v>433</v>
      </c>
      <c r="C503" s="4" t="s">
        <v>629</v>
      </c>
      <c r="D503" s="4" t="s">
        <v>560</v>
      </c>
      <c r="E503" t="s">
        <v>3835</v>
      </c>
      <c r="F503" t="str">
        <f>CONCATENATE("'",Sheet!E503)</f>
        <v>'112316</v>
      </c>
      <c r="G503" t="s">
        <v>1736</v>
      </c>
      <c r="H503" s="4" t="str">
        <f>Sheet!F503</f>
        <v>RAMIREZ RAMOS OSCAR ALFREDO</v>
      </c>
      <c r="I503" s="4" t="str">
        <f>Sheet!G503</f>
        <v>PSICOLOGIA</v>
      </c>
      <c r="J503" s="4" t="str">
        <f>Sheet!H503</f>
        <v>2do</v>
      </c>
      <c r="K503" s="4" t="str">
        <f>Sheet!I503</f>
        <v>Masculino</v>
      </c>
      <c r="L503" s="4" t="str">
        <f>Sheet!J503</f>
        <v>Activo</v>
      </c>
      <c r="M503" s="4" t="str">
        <f>Sheet!K503</f>
        <v xml:space="preserve">PSI 2°    </v>
      </c>
    </row>
    <row r="504" spans="1:13" x14ac:dyDescent="0.35">
      <c r="A504" t="s">
        <v>1</v>
      </c>
      <c r="B504" s="5" t="s">
        <v>434</v>
      </c>
      <c r="C504" s="4" t="s">
        <v>564</v>
      </c>
      <c r="D504" s="4" t="s">
        <v>543</v>
      </c>
      <c r="E504" t="s">
        <v>3838</v>
      </c>
      <c r="F504" t="str">
        <f>CONCATENATE("'",Sheet!E504)</f>
        <v>'112184</v>
      </c>
      <c r="G504" t="s">
        <v>1736</v>
      </c>
      <c r="H504" s="4" t="str">
        <f>Sheet!F504</f>
        <v>GUZMAN VAZQUEZ OSCAR ANDRES</v>
      </c>
      <c r="I504" s="4" t="str">
        <f>Sheet!G504</f>
        <v>INGENIERIA AEROESPACIAL</v>
      </c>
      <c r="J504" s="4" t="str">
        <f>Sheet!H504</f>
        <v>2do</v>
      </c>
      <c r="K504" s="4" t="str">
        <f>Sheet!I504</f>
        <v>Masculino</v>
      </c>
      <c r="L504" s="4" t="str">
        <f>Sheet!J504</f>
        <v>Activo</v>
      </c>
      <c r="M504" s="4" t="str">
        <f>Sheet!K504</f>
        <v xml:space="preserve">AERO 2°A  </v>
      </c>
    </row>
    <row r="505" spans="1:13" x14ac:dyDescent="0.35">
      <c r="A505" t="s">
        <v>1</v>
      </c>
      <c r="B505" s="5" t="s">
        <v>435</v>
      </c>
      <c r="C505" s="4" t="s">
        <v>804</v>
      </c>
      <c r="D505" s="4" t="s">
        <v>199</v>
      </c>
      <c r="E505" t="s">
        <v>3841</v>
      </c>
      <c r="F505" t="str">
        <f>CONCATENATE("'",Sheet!E505)</f>
        <v>'110482</v>
      </c>
      <c r="G505" t="s">
        <v>1736</v>
      </c>
      <c r="H505" s="4" t="str">
        <f>Sheet!F505</f>
        <v>TIBURCIO FABIAN OSCAR DANIEL</v>
      </c>
      <c r="I505" s="4" t="str">
        <f>Sheet!G505</f>
        <v>INGENIERIA AEROESPACIAL</v>
      </c>
      <c r="J505" s="4" t="str">
        <f>Sheet!H505</f>
        <v>8vo</v>
      </c>
      <c r="K505" s="4" t="str">
        <f>Sheet!I505</f>
        <v>Masculino</v>
      </c>
      <c r="L505" s="4" t="str">
        <f>Sheet!J505</f>
        <v>Activo</v>
      </c>
      <c r="M505" s="4" t="str">
        <f>Sheet!K505</f>
        <v xml:space="preserve">AERO 8°   </v>
      </c>
    </row>
    <row r="506" spans="1:13" x14ac:dyDescent="0.35">
      <c r="A506" t="s">
        <v>1</v>
      </c>
      <c r="B506" s="5" t="s">
        <v>435</v>
      </c>
      <c r="C506" s="4" t="s">
        <v>805</v>
      </c>
      <c r="D506" s="4" t="s">
        <v>728</v>
      </c>
      <c r="E506" t="s">
        <v>3844</v>
      </c>
      <c r="F506" t="str">
        <f>CONCATENATE("'",Sheet!E506)</f>
        <v>'110450</v>
      </c>
      <c r="G506" t="s">
        <v>1736</v>
      </c>
      <c r="H506" s="4" t="str">
        <f>Sheet!F506</f>
        <v>TINOCO AVILA OSCAR DANIEL</v>
      </c>
      <c r="I506" s="4" t="str">
        <f>Sheet!G506</f>
        <v>INGENIERIA AEROESPACIAL</v>
      </c>
      <c r="J506" s="4" t="str">
        <f>Sheet!H506</f>
        <v>8vo</v>
      </c>
      <c r="K506" s="4" t="str">
        <f>Sheet!I506</f>
        <v>Masculino</v>
      </c>
      <c r="L506" s="4" t="str">
        <f>Sheet!J506</f>
        <v>Activo</v>
      </c>
      <c r="M506" s="4" t="str">
        <f>Sheet!K506</f>
        <v xml:space="preserve">AERO 8°   </v>
      </c>
    </row>
    <row r="507" spans="1:13" x14ac:dyDescent="0.35">
      <c r="A507" t="s">
        <v>1</v>
      </c>
      <c r="B507" s="5" t="s">
        <v>436</v>
      </c>
      <c r="C507" s="4" t="s">
        <v>561</v>
      </c>
      <c r="D507" s="4" t="s">
        <v>762</v>
      </c>
      <c r="E507" t="s">
        <v>3847</v>
      </c>
      <c r="F507" t="str">
        <f>CONCATENATE("'",Sheet!E507)</f>
        <v>'110432</v>
      </c>
      <c r="G507" t="s">
        <v>1736</v>
      </c>
      <c r="H507" s="4" t="str">
        <f>Sheet!F507</f>
        <v>VELAZQUEZ REYES OSCAR DIEGO</v>
      </c>
      <c r="I507" s="4" t="str">
        <f>Sheet!G507</f>
        <v>ARQUITECTURA</v>
      </c>
      <c r="J507" s="4" t="str">
        <f>Sheet!H507</f>
        <v>8vo</v>
      </c>
      <c r="K507" s="4" t="str">
        <f>Sheet!I507</f>
        <v>Masculino</v>
      </c>
      <c r="L507" s="4" t="str">
        <f>Sheet!J507</f>
        <v>Activo</v>
      </c>
      <c r="M507" s="4" t="str">
        <f>Sheet!K507</f>
        <v xml:space="preserve">ARQ 8°    </v>
      </c>
    </row>
    <row r="508" spans="1:13" x14ac:dyDescent="0.35">
      <c r="A508" t="s">
        <v>1</v>
      </c>
      <c r="B508" s="5" t="s">
        <v>437</v>
      </c>
      <c r="C508" s="4" t="s">
        <v>806</v>
      </c>
      <c r="D508" s="4" t="s">
        <v>736</v>
      </c>
      <c r="E508" t="s">
        <v>3850</v>
      </c>
      <c r="F508" t="str">
        <f>CONCATENATE("'",Sheet!E508)</f>
        <v>'111049</v>
      </c>
      <c r="G508" t="s">
        <v>1736</v>
      </c>
      <c r="H508" s="4" t="str">
        <f>Sheet!F508</f>
        <v>CAYO DIAZ OSCAR EMILIO</v>
      </c>
      <c r="I508" s="4" t="str">
        <f>Sheet!G508</f>
        <v>ADMINISTRACION Y DIRECCION DE NEGOCIOS</v>
      </c>
      <c r="J508" s="4" t="str">
        <f>Sheet!H508</f>
        <v>6to</v>
      </c>
      <c r="K508" s="4" t="str">
        <f>Sheet!I508</f>
        <v>Masculino</v>
      </c>
      <c r="L508" s="4" t="str">
        <f>Sheet!J508</f>
        <v>Activo</v>
      </c>
      <c r="M508" s="4" t="str">
        <f>Sheet!K508</f>
        <v xml:space="preserve">ADMON 6°  </v>
      </c>
    </row>
    <row r="509" spans="1:13" x14ac:dyDescent="0.35">
      <c r="A509" t="s">
        <v>1</v>
      </c>
      <c r="B509" s="5" t="s">
        <v>438</v>
      </c>
      <c r="C509" s="4" t="s">
        <v>807</v>
      </c>
      <c r="D509" s="4" t="s">
        <v>539</v>
      </c>
      <c r="E509" t="s">
        <v>3853</v>
      </c>
      <c r="F509" t="str">
        <f>CONCATENATE("'",Sheet!E509)</f>
        <v>'112283</v>
      </c>
      <c r="G509" t="s">
        <v>1736</v>
      </c>
      <c r="H509" s="4" t="str">
        <f>Sheet!F509</f>
        <v>OLIVA RODRIGUEZ OSCAR HIRAM</v>
      </c>
      <c r="I509" s="4" t="str">
        <f>Sheet!G509</f>
        <v>ADMINISTRACION Y DIRECCION DE NEGOCIOS</v>
      </c>
      <c r="J509" s="4" t="str">
        <f>Sheet!H509</f>
        <v>2do</v>
      </c>
      <c r="K509" s="4" t="str">
        <f>Sheet!I509</f>
        <v>Masculino</v>
      </c>
      <c r="L509" s="4" t="str">
        <f>Sheet!J509</f>
        <v>Activo</v>
      </c>
      <c r="M509" s="4" t="str">
        <f>Sheet!K509</f>
        <v xml:space="preserve">ADMON 2°  </v>
      </c>
    </row>
    <row r="510" spans="1:13" x14ac:dyDescent="0.35">
      <c r="A510" t="s">
        <v>1</v>
      </c>
      <c r="B510" s="5" t="s">
        <v>439</v>
      </c>
      <c r="C510" s="4" t="s">
        <v>543</v>
      </c>
      <c r="D510" s="4" t="s">
        <v>622</v>
      </c>
      <c r="E510" t="s">
        <v>3856</v>
      </c>
      <c r="F510" t="str">
        <f>CONCATENATE("'",Sheet!E510)</f>
        <v>'112210</v>
      </c>
      <c r="G510" t="s">
        <v>1736</v>
      </c>
      <c r="H510" s="4" t="str">
        <f>Sheet!F510</f>
        <v>VAZQUEZ MUÑOZ OSCAR ISRAEL</v>
      </c>
      <c r="I510" s="4" t="str">
        <f>Sheet!G510</f>
        <v>ADMINISTRACION Y DIRECCION DE NEGOCIOS</v>
      </c>
      <c r="J510" s="4" t="str">
        <f>Sheet!H510</f>
        <v>2do</v>
      </c>
      <c r="K510" s="4" t="str">
        <f>Sheet!I510</f>
        <v>Masculino</v>
      </c>
      <c r="L510" s="4" t="str">
        <f>Sheet!J510</f>
        <v>Activo</v>
      </c>
      <c r="M510" s="4" t="str">
        <f>Sheet!K510</f>
        <v xml:space="preserve">ADMON 2°  </v>
      </c>
    </row>
    <row r="511" spans="1:13" x14ac:dyDescent="0.35">
      <c r="A511" t="s">
        <v>1</v>
      </c>
      <c r="B511" s="5" t="s">
        <v>440</v>
      </c>
      <c r="C511" s="4" t="s">
        <v>808</v>
      </c>
      <c r="D511" s="4" t="s">
        <v>1021</v>
      </c>
      <c r="E511" t="s">
        <v>3859</v>
      </c>
      <c r="F511" t="str">
        <f>CONCATENATE("'",Sheet!E511)</f>
        <v>'007492</v>
      </c>
      <c r="G511" t="s">
        <v>1736</v>
      </c>
      <c r="H511" s="4" t="str">
        <f>Sheet!F511</f>
        <v>BALLESTEROS GALVAN OSCAR OSVALDO</v>
      </c>
      <c r="I511" s="4" t="str">
        <f>Sheet!G511</f>
        <v>INGENIERIA AEROESPACIAL</v>
      </c>
      <c r="J511" s="4" t="str">
        <f>Sheet!H511</f>
        <v>6to</v>
      </c>
      <c r="K511" s="4" t="str">
        <f>Sheet!I511</f>
        <v>Masculino</v>
      </c>
      <c r="L511" s="4" t="str">
        <f>Sheet!J511</f>
        <v>Activo</v>
      </c>
      <c r="M511" s="4" t="str">
        <f>Sheet!K511</f>
        <v xml:space="preserve">AERO 6°   </v>
      </c>
    </row>
    <row r="512" spans="1:13" x14ac:dyDescent="0.35">
      <c r="A512" t="s">
        <v>1</v>
      </c>
      <c r="B512" s="5" t="s">
        <v>441</v>
      </c>
      <c r="C512" s="4" t="s">
        <v>531</v>
      </c>
      <c r="D512" s="4" t="s">
        <v>711</v>
      </c>
      <c r="E512" t="s">
        <v>4204</v>
      </c>
      <c r="F512" t="str">
        <f>CONCATENATE("'",Sheet!E512)</f>
        <v>'111822</v>
      </c>
      <c r="G512" t="s">
        <v>1736</v>
      </c>
      <c r="H512" s="4" t="str">
        <f>Sheet!F512</f>
        <v>GONZALEZ CAMPOS OSCAR ROBERTO</v>
      </c>
      <c r="I512" s="4" t="str">
        <f>Sheet!G512</f>
        <v>INGENIERÍA AUTOMOTRIZ</v>
      </c>
      <c r="J512" s="4" t="str">
        <f>Sheet!H512</f>
        <v>4to</v>
      </c>
      <c r="K512" s="4" t="str">
        <f>Sheet!I512</f>
        <v>Masculino</v>
      </c>
      <c r="L512" s="4" t="str">
        <f>Sheet!J512</f>
        <v>Bloqueado</v>
      </c>
      <c r="M512" s="4" t="str">
        <f>Sheet!K512</f>
        <v xml:space="preserve">AUTO 4°   </v>
      </c>
    </row>
    <row r="513" spans="1:13" x14ac:dyDescent="0.35">
      <c r="A513" t="s">
        <v>1</v>
      </c>
      <c r="B513" s="5" t="s">
        <v>442</v>
      </c>
      <c r="C513" s="4" t="s">
        <v>809</v>
      </c>
      <c r="D513" s="4" t="s">
        <v>914</v>
      </c>
      <c r="E513" t="s">
        <v>3862</v>
      </c>
      <c r="F513" t="str">
        <f>CONCATENATE("'",Sheet!E513)</f>
        <v>'112261</v>
      </c>
      <c r="G513" t="s">
        <v>1736</v>
      </c>
      <c r="H513" s="4" t="str">
        <f>Sheet!F513</f>
        <v>VELEZ REYNOSO OSCAR URIEL</v>
      </c>
      <c r="I513" s="4" t="str">
        <f>Sheet!G513</f>
        <v>INGENIERÍA AUTOMOTRIZ</v>
      </c>
      <c r="J513" s="4" t="str">
        <f>Sheet!H513</f>
        <v>2do</v>
      </c>
      <c r="K513" s="4" t="str">
        <f>Sheet!I513</f>
        <v>Masculino</v>
      </c>
      <c r="L513" s="4" t="str">
        <f>Sheet!J513</f>
        <v>Activo</v>
      </c>
      <c r="M513" s="4" t="str">
        <f>Sheet!K513</f>
        <v xml:space="preserve">AUTO 2° B </v>
      </c>
    </row>
    <row r="514" spans="1:13" x14ac:dyDescent="0.35">
      <c r="A514" t="s">
        <v>1</v>
      </c>
      <c r="B514" s="5" t="s">
        <v>443</v>
      </c>
      <c r="C514" s="4" t="s">
        <v>639</v>
      </c>
      <c r="D514" s="4" t="s">
        <v>792</v>
      </c>
      <c r="E514" t="s">
        <v>3865</v>
      </c>
      <c r="F514" t="str">
        <f>CONCATENATE("'",Sheet!E514)</f>
        <v>'111191</v>
      </c>
      <c r="G514" t="s">
        <v>1736</v>
      </c>
      <c r="H514" s="4" t="str">
        <f>Sheet!F514</f>
        <v>FIGUEROA NUÑO OSMAR ANDREY</v>
      </c>
      <c r="I514" s="4" t="str">
        <f>Sheet!G514</f>
        <v>INGENIERÍA AUTOMOTRIZ</v>
      </c>
      <c r="J514" s="4" t="str">
        <f>Sheet!H514</f>
        <v>6to</v>
      </c>
      <c r="K514" s="4" t="str">
        <f>Sheet!I514</f>
        <v>Masculino</v>
      </c>
      <c r="L514" s="4" t="str">
        <f>Sheet!J514</f>
        <v>Activo</v>
      </c>
      <c r="M514" s="4" t="str">
        <f>Sheet!K514</f>
        <v xml:space="preserve">AUTO 6°   </v>
      </c>
    </row>
    <row r="515" spans="1:13" x14ac:dyDescent="0.35">
      <c r="A515" t="s">
        <v>1</v>
      </c>
      <c r="B515" s="5" t="s">
        <v>444</v>
      </c>
      <c r="C515" s="4" t="s">
        <v>549</v>
      </c>
      <c r="D515" s="4" t="s">
        <v>742</v>
      </c>
      <c r="E515" t="s">
        <v>3868</v>
      </c>
      <c r="F515" t="str">
        <f>CONCATENATE("'",Sheet!E515)</f>
        <v>'112353</v>
      </c>
      <c r="G515" t="s">
        <v>1736</v>
      </c>
      <c r="H515" s="4" t="str">
        <f>Sheet!F515</f>
        <v>ALVAREZ CRUZ OSWALDO</v>
      </c>
      <c r="I515" s="4" t="str">
        <f>Sheet!G515</f>
        <v>INGENIERÍA AUTOMOTRIZ</v>
      </c>
      <c r="J515" s="4" t="str">
        <f>Sheet!H515</f>
        <v>2do</v>
      </c>
      <c r="K515" s="4" t="str">
        <f>Sheet!I515</f>
        <v>Masculino</v>
      </c>
      <c r="L515" s="4" t="str">
        <f>Sheet!J515</f>
        <v>Activo</v>
      </c>
      <c r="M515" s="4" t="str">
        <f>Sheet!K515</f>
        <v xml:space="preserve">AUTO 2° A </v>
      </c>
    </row>
    <row r="516" spans="1:13" x14ac:dyDescent="0.35">
      <c r="A516" t="s">
        <v>1</v>
      </c>
      <c r="B516" s="5" t="s">
        <v>445</v>
      </c>
      <c r="C516" s="4" t="s">
        <v>810</v>
      </c>
      <c r="D516" s="4" t="s">
        <v>698</v>
      </c>
      <c r="E516" t="s">
        <v>3871</v>
      </c>
      <c r="F516" t="str">
        <f>CONCATENATE("'",Sheet!E516)</f>
        <v>'112145</v>
      </c>
      <c r="G516" t="s">
        <v>1736</v>
      </c>
      <c r="H516" s="4" t="str">
        <f>Sheet!F516</f>
        <v>MOLINA ZAMORA OSWALDO JOSAFAT</v>
      </c>
      <c r="I516" s="4" t="str">
        <f>Sheet!G516</f>
        <v>NUTRICION Y GASTRONOMIA</v>
      </c>
      <c r="J516" s="4" t="str">
        <f>Sheet!H516</f>
        <v>2do</v>
      </c>
      <c r="K516" s="4" t="str">
        <f>Sheet!I516</f>
        <v>Masculino</v>
      </c>
      <c r="L516" s="4" t="str">
        <f>Sheet!J516</f>
        <v>Activo</v>
      </c>
      <c r="M516" s="4" t="str">
        <f>Sheet!K516</f>
        <v xml:space="preserve">NUT 2°    </v>
      </c>
    </row>
    <row r="517" spans="1:13" x14ac:dyDescent="0.35">
      <c r="A517" t="s">
        <v>1</v>
      </c>
      <c r="B517" s="5" t="s">
        <v>446</v>
      </c>
      <c r="C517" s="4" t="s">
        <v>811</v>
      </c>
      <c r="D517" s="4" t="s">
        <v>531</v>
      </c>
      <c r="E517" t="s">
        <v>3874</v>
      </c>
      <c r="F517" t="str">
        <f>CONCATENATE("'",Sheet!E517)</f>
        <v>'109978</v>
      </c>
      <c r="G517" t="s">
        <v>1736</v>
      </c>
      <c r="H517" s="4" t="str">
        <f>Sheet!F517</f>
        <v>CAMACHO GONZALEZ PABLO ANGEL</v>
      </c>
      <c r="I517" s="4" t="str">
        <f>Sheet!G517</f>
        <v>INGENIERIA AEROESPACIAL</v>
      </c>
      <c r="J517" s="4" t="str">
        <f>Sheet!H517</f>
        <v>8vo</v>
      </c>
      <c r="K517" s="4" t="str">
        <f>Sheet!I517</f>
        <v>Masculino</v>
      </c>
      <c r="L517" s="4" t="str">
        <f>Sheet!J517</f>
        <v>Activo</v>
      </c>
      <c r="M517" s="4" t="str">
        <f>Sheet!K517</f>
        <v xml:space="preserve">AERO 8°   </v>
      </c>
    </row>
    <row r="518" spans="1:13" x14ac:dyDescent="0.35">
      <c r="A518" t="s">
        <v>1</v>
      </c>
      <c r="B518" s="5" t="s">
        <v>447</v>
      </c>
      <c r="C518" s="4" t="s">
        <v>812</v>
      </c>
      <c r="D518" s="4" t="s">
        <v>1022</v>
      </c>
      <c r="E518" t="s">
        <v>3877</v>
      </c>
      <c r="F518" t="str">
        <f>CONCATENATE("'",Sheet!E518)</f>
        <v>'109982</v>
      </c>
      <c r="G518" t="s">
        <v>1736</v>
      </c>
      <c r="H518" s="4" t="str">
        <f>Sheet!F518</f>
        <v>ENCINOS SANTIZ PABLO DOMINGO</v>
      </c>
      <c r="I518" s="4" t="str">
        <f>Sheet!G518</f>
        <v>INGENIERIA AEROESPACIAL</v>
      </c>
      <c r="J518" s="4" t="str">
        <f>Sheet!H518</f>
        <v>10mo</v>
      </c>
      <c r="K518" s="4" t="str">
        <f>Sheet!I518</f>
        <v>Masculino</v>
      </c>
      <c r="L518" s="4" t="str">
        <f>Sheet!J518</f>
        <v>Activo</v>
      </c>
      <c r="M518" s="4" t="str">
        <f>Sheet!K518</f>
        <v xml:space="preserve">AERO_10°  </v>
      </c>
    </row>
    <row r="519" spans="1:13" x14ac:dyDescent="0.35">
      <c r="A519" t="s">
        <v>1</v>
      </c>
      <c r="B519" s="5" t="s">
        <v>448</v>
      </c>
      <c r="C519" s="4" t="s">
        <v>577</v>
      </c>
      <c r="D519" s="4" t="s">
        <v>1023</v>
      </c>
      <c r="E519" t="s">
        <v>3880</v>
      </c>
      <c r="F519" t="str">
        <f>CONCATENATE("'",Sheet!E519)</f>
        <v>'110530</v>
      </c>
      <c r="G519" t="s">
        <v>1736</v>
      </c>
      <c r="H519" s="4" t="str">
        <f>Sheet!F519</f>
        <v>OROZCO BRIZUELA PABLO JARED</v>
      </c>
      <c r="I519" s="4" t="str">
        <f>Sheet!G519</f>
        <v>ANIMACION DIGITAL Y VIDEOJUEGOS</v>
      </c>
      <c r="J519" s="4" t="str">
        <f>Sheet!H519</f>
        <v>8vo</v>
      </c>
      <c r="K519" s="4" t="str">
        <f>Sheet!I519</f>
        <v>Masculino</v>
      </c>
      <c r="L519" s="4" t="str">
        <f>Sheet!J519</f>
        <v>Activo</v>
      </c>
      <c r="M519" s="4" t="str">
        <f>Sheet!K519</f>
        <v xml:space="preserve">ANIM 8°   </v>
      </c>
    </row>
    <row r="520" spans="1:13" x14ac:dyDescent="0.35">
      <c r="A520" t="s">
        <v>1</v>
      </c>
      <c r="B520" s="5" t="s">
        <v>449</v>
      </c>
      <c r="C520" s="4" t="s">
        <v>678</v>
      </c>
      <c r="D520" s="4" t="s">
        <v>1024</v>
      </c>
      <c r="E520" t="s">
        <v>4186</v>
      </c>
      <c r="F520" t="str">
        <f>CONCATENATE("'",Sheet!E520)</f>
        <v>'109851</v>
      </c>
      <c r="G520" t="s">
        <v>1736</v>
      </c>
      <c r="H520" s="4" t="str">
        <f>Sheet!F520</f>
        <v>AGUIRRE ASTORGA PABLO LEONARDO</v>
      </c>
      <c r="I520" s="4" t="str">
        <f>Sheet!G520</f>
        <v>INGENIERIA AEROESPACIAL</v>
      </c>
      <c r="J520" s="4" t="str">
        <f>Sheet!H520</f>
        <v>4to</v>
      </c>
      <c r="K520" s="4" t="str">
        <f>Sheet!I520</f>
        <v>Masculino</v>
      </c>
      <c r="L520" s="4" t="str">
        <f>Sheet!J520</f>
        <v>Activo</v>
      </c>
      <c r="M520" s="4" t="str">
        <f>Sheet!K520</f>
        <v xml:space="preserve">AERO 4°B  </v>
      </c>
    </row>
    <row r="521" spans="1:13" x14ac:dyDescent="0.35">
      <c r="A521" t="s">
        <v>1</v>
      </c>
      <c r="B521" s="5" t="s">
        <v>450</v>
      </c>
      <c r="C521" s="4" t="s">
        <v>654</v>
      </c>
      <c r="D521" s="4" t="s">
        <v>679</v>
      </c>
      <c r="E521" t="s">
        <v>3883</v>
      </c>
      <c r="F521" t="str">
        <f>CONCATENATE("'",Sheet!E521)</f>
        <v>'111619</v>
      </c>
      <c r="G521" t="s">
        <v>1736</v>
      </c>
      <c r="H521" s="4" t="str">
        <f>Sheet!F521</f>
        <v>RUIZ GOMEZ PABLO MANUEL</v>
      </c>
      <c r="I521" s="4" t="str">
        <f>Sheet!G521</f>
        <v>ARQUITECTURA</v>
      </c>
      <c r="J521" s="4" t="str">
        <f>Sheet!H521</f>
        <v>4to</v>
      </c>
      <c r="K521" s="4" t="str">
        <f>Sheet!I521</f>
        <v>Masculino</v>
      </c>
      <c r="L521" s="4" t="str">
        <f>Sheet!J521</f>
        <v>Activo</v>
      </c>
      <c r="M521" s="4" t="str">
        <f>Sheet!K521</f>
        <v xml:space="preserve">ARQ 4°    </v>
      </c>
    </row>
    <row r="522" spans="1:13" x14ac:dyDescent="0.35">
      <c r="A522" t="s">
        <v>1</v>
      </c>
      <c r="B522" s="5" t="s">
        <v>451</v>
      </c>
      <c r="C522" s="4" t="s">
        <v>813</v>
      </c>
      <c r="D522" s="4" t="s">
        <v>570</v>
      </c>
      <c r="E522" t="s">
        <v>3886</v>
      </c>
      <c r="F522" t="str">
        <f>CONCATENATE("'",Sheet!E522)</f>
        <v>'110473</v>
      </c>
      <c r="G522" t="s">
        <v>1736</v>
      </c>
      <c r="H522" s="4" t="str">
        <f>Sheet!F522</f>
        <v>BECCARIS JIMENEZ PABLO MARIA</v>
      </c>
      <c r="I522" s="4" t="str">
        <f>Sheet!G522</f>
        <v>INGENIERIA AEROESPACIAL</v>
      </c>
      <c r="J522" s="4" t="str">
        <f>Sheet!H522</f>
        <v>8vo</v>
      </c>
      <c r="K522" s="4" t="str">
        <f>Sheet!I522</f>
        <v>Masculino</v>
      </c>
      <c r="L522" s="4" t="str">
        <f>Sheet!J522</f>
        <v>Activo</v>
      </c>
      <c r="M522" s="4" t="str">
        <f>Sheet!K522</f>
        <v xml:space="preserve">AERO 8°   </v>
      </c>
    </row>
    <row r="523" spans="1:13" x14ac:dyDescent="0.35">
      <c r="A523" t="s">
        <v>1</v>
      </c>
      <c r="B523" s="5" t="s">
        <v>452</v>
      </c>
      <c r="C523" s="4" t="s">
        <v>651</v>
      </c>
      <c r="D523" s="4" t="s">
        <v>560</v>
      </c>
      <c r="E523" t="s">
        <v>3888</v>
      </c>
      <c r="F523" t="str">
        <f>CONCATENATE("'",Sheet!E523)</f>
        <v>'111853</v>
      </c>
      <c r="G523" t="s">
        <v>1736</v>
      </c>
      <c r="H523" s="4" t="str">
        <f>Sheet!F523</f>
        <v>SALCIDO RAMOS PABLO OSCAR</v>
      </c>
      <c r="I523" s="4" t="str">
        <f>Sheet!G523</f>
        <v>PSICOLOGIA</v>
      </c>
      <c r="J523" s="4" t="str">
        <f>Sheet!H523</f>
        <v>4to</v>
      </c>
      <c r="K523" s="4" t="str">
        <f>Sheet!I523</f>
        <v>Masculino</v>
      </c>
      <c r="L523" s="4" t="str">
        <f>Sheet!J523</f>
        <v>Activo</v>
      </c>
      <c r="M523" s="4" t="str">
        <f>Sheet!K523</f>
        <v xml:space="preserve">PSI 4°    </v>
      </c>
    </row>
    <row r="524" spans="1:13" x14ac:dyDescent="0.35">
      <c r="A524" t="s">
        <v>1</v>
      </c>
      <c r="B524" s="5" t="s">
        <v>453</v>
      </c>
      <c r="C524" s="4" t="s">
        <v>627</v>
      </c>
      <c r="D524" s="4" t="s">
        <v>766</v>
      </c>
      <c r="E524" t="s">
        <v>3891</v>
      </c>
      <c r="F524" t="str">
        <f>CONCATENATE("'",Sheet!E524)</f>
        <v>'111040</v>
      </c>
      <c r="G524" t="s">
        <v>1736</v>
      </c>
      <c r="H524" s="4" t="str">
        <f>Sheet!F524</f>
        <v>FLORES MORA PABLO SAMUEL</v>
      </c>
      <c r="I524" s="4" t="str">
        <f>Sheet!G524</f>
        <v>INGENIERÍA AUTOMOTRIZ</v>
      </c>
      <c r="J524" s="4" t="str">
        <f>Sheet!H524</f>
        <v>6to</v>
      </c>
      <c r="K524" s="4" t="str">
        <f>Sheet!I524</f>
        <v>Masculino</v>
      </c>
      <c r="L524" s="4" t="str">
        <f>Sheet!J524</f>
        <v>Activo</v>
      </c>
      <c r="M524" s="4" t="str">
        <f>Sheet!K524</f>
        <v xml:space="preserve">AUTO 6°   </v>
      </c>
    </row>
    <row r="525" spans="1:13" x14ac:dyDescent="0.35">
      <c r="A525" t="s">
        <v>1</v>
      </c>
      <c r="B525" s="5" t="s">
        <v>454</v>
      </c>
      <c r="C525" s="4" t="s">
        <v>814</v>
      </c>
      <c r="D525" s="4" t="s">
        <v>811</v>
      </c>
      <c r="E525" t="s">
        <v>3894</v>
      </c>
      <c r="F525" t="str">
        <f>CONCATENATE("'",Sheet!E525)</f>
        <v>'109845</v>
      </c>
      <c r="G525" t="s">
        <v>1736</v>
      </c>
      <c r="H525" s="4" t="str">
        <f>Sheet!F525</f>
        <v>CERVANTES CAMACHO PALOMA</v>
      </c>
      <c r="I525" s="4" t="str">
        <f>Sheet!G525</f>
        <v>PSICOLOGIA</v>
      </c>
      <c r="J525" s="4" t="str">
        <f>Sheet!H525</f>
        <v>8vo</v>
      </c>
      <c r="K525" s="4" t="str">
        <f>Sheet!I525</f>
        <v>Femenino</v>
      </c>
      <c r="L525" s="4" t="str">
        <f>Sheet!J525</f>
        <v>Activo</v>
      </c>
      <c r="M525" s="4" t="str">
        <f>Sheet!K525</f>
        <v xml:space="preserve">PSI 8°    </v>
      </c>
    </row>
    <row r="526" spans="1:13" x14ac:dyDescent="0.35">
      <c r="A526" t="s">
        <v>1</v>
      </c>
      <c r="B526" s="5" t="s">
        <v>455</v>
      </c>
      <c r="C526" s="4" t="s">
        <v>815</v>
      </c>
      <c r="D526" s="4" t="s">
        <v>621</v>
      </c>
      <c r="E526" t="s">
        <v>3897</v>
      </c>
      <c r="F526" t="str">
        <f>CONCATENATE("'",Sheet!E526)</f>
        <v>'110495</v>
      </c>
      <c r="G526" t="s">
        <v>1736</v>
      </c>
      <c r="H526" s="4" t="str">
        <f>Sheet!F526</f>
        <v>COSIO LOPEZ PALOMA MICHELLE</v>
      </c>
      <c r="I526" s="4" t="str">
        <f>Sheet!G526</f>
        <v>NUTRICION Y GASTRONOMIA</v>
      </c>
      <c r="J526" s="4" t="str">
        <f>Sheet!H526</f>
        <v>8vo</v>
      </c>
      <c r="K526" s="4" t="str">
        <f>Sheet!I526</f>
        <v>Femenino</v>
      </c>
      <c r="L526" s="4" t="str">
        <f>Sheet!J526</f>
        <v>Activo</v>
      </c>
      <c r="M526" s="4" t="str">
        <f>Sheet!K526</f>
        <v xml:space="preserve">NUT 8°    </v>
      </c>
    </row>
    <row r="527" spans="1:13" x14ac:dyDescent="0.35">
      <c r="A527" t="s">
        <v>1</v>
      </c>
      <c r="B527" s="5" t="s">
        <v>456</v>
      </c>
      <c r="C527" s="4" t="s">
        <v>627</v>
      </c>
      <c r="D527" s="4" t="s">
        <v>1025</v>
      </c>
      <c r="E527" t="s">
        <v>3900</v>
      </c>
      <c r="F527" t="str">
        <f>CONCATENATE("'",Sheet!E527)</f>
        <v>'112154</v>
      </c>
      <c r="G527" t="s">
        <v>1736</v>
      </c>
      <c r="H527" s="4" t="str">
        <f>Sheet!F527</f>
        <v>FLORES ZAVALETA PAOLA</v>
      </c>
      <c r="I527" s="4" t="str">
        <f>Sheet!G527</f>
        <v>NUTRICION Y GASTRONOMIA</v>
      </c>
      <c r="J527" s="4" t="str">
        <f>Sheet!H527</f>
        <v>2do</v>
      </c>
      <c r="K527" s="4" t="str">
        <f>Sheet!I527</f>
        <v>Femenino</v>
      </c>
      <c r="L527" s="4" t="str">
        <f>Sheet!J527</f>
        <v>Activo</v>
      </c>
      <c r="M527" s="4" t="str">
        <f>Sheet!K527</f>
        <v xml:space="preserve">NUT 2°    </v>
      </c>
    </row>
    <row r="528" spans="1:13" x14ac:dyDescent="0.35">
      <c r="A528" t="s">
        <v>1</v>
      </c>
      <c r="B528" s="5" t="s">
        <v>456</v>
      </c>
      <c r="C528" s="4" t="s">
        <v>591</v>
      </c>
      <c r="D528" s="4" t="s">
        <v>982</v>
      </c>
      <c r="E528" t="s">
        <v>3903</v>
      </c>
      <c r="F528" t="str">
        <f>CONCATENATE("'",Sheet!E528)</f>
        <v>'110529</v>
      </c>
      <c r="G528" t="s">
        <v>1736</v>
      </c>
      <c r="H528" s="4" t="str">
        <f>Sheet!F528</f>
        <v>GUTIERREZ RENTERIA PAOLA</v>
      </c>
      <c r="I528" s="4" t="str">
        <f>Sheet!G528</f>
        <v>ANIMACION DIGITAL Y VIDEOJUEGOS</v>
      </c>
      <c r="J528" s="4" t="str">
        <f>Sheet!H528</f>
        <v>8vo</v>
      </c>
      <c r="K528" s="4" t="str">
        <f>Sheet!I528</f>
        <v>Femenino</v>
      </c>
      <c r="L528" s="4" t="str">
        <f>Sheet!J528</f>
        <v>Activo</v>
      </c>
      <c r="M528" s="4" t="str">
        <f>Sheet!K528</f>
        <v xml:space="preserve">ANIM 8°   </v>
      </c>
    </row>
    <row r="529" spans="1:13" x14ac:dyDescent="0.35">
      <c r="A529" t="s">
        <v>1</v>
      </c>
      <c r="B529" s="5" t="s">
        <v>457</v>
      </c>
      <c r="C529" s="4" t="s">
        <v>816</v>
      </c>
      <c r="D529" s="4" t="s">
        <v>554</v>
      </c>
      <c r="E529" t="s">
        <v>3906</v>
      </c>
      <c r="F529" t="str">
        <f>CONCATENATE("'",Sheet!E529)</f>
        <v>'110695</v>
      </c>
      <c r="G529" t="s">
        <v>1736</v>
      </c>
      <c r="H529" s="4" t="str">
        <f>Sheet!F529</f>
        <v>PANDURO SOLIS PAOLA DENICE</v>
      </c>
      <c r="I529" s="4" t="str">
        <f>Sheet!G529</f>
        <v>PSICOLOGIA</v>
      </c>
      <c r="J529" s="4" t="str">
        <f>Sheet!H529</f>
        <v>8vo</v>
      </c>
      <c r="K529" s="4" t="str">
        <f>Sheet!I529</f>
        <v>Femenino</v>
      </c>
      <c r="L529" s="4" t="str">
        <f>Sheet!J529</f>
        <v>Activo</v>
      </c>
      <c r="M529" s="4" t="str">
        <f>Sheet!K529</f>
        <v xml:space="preserve">PSI 8°    </v>
      </c>
    </row>
    <row r="530" spans="1:13" x14ac:dyDescent="0.35">
      <c r="A530" t="s">
        <v>1</v>
      </c>
      <c r="B530" s="5" t="s">
        <v>458</v>
      </c>
      <c r="C530" s="4" t="s">
        <v>548</v>
      </c>
      <c r="D530" s="4" t="s">
        <v>600</v>
      </c>
      <c r="E530" t="s">
        <v>3909</v>
      </c>
      <c r="F530" t="str">
        <f>CONCATENATE("'",Sheet!E530)</f>
        <v>'007595</v>
      </c>
      <c r="G530" t="s">
        <v>1736</v>
      </c>
      <c r="H530" s="4" t="str">
        <f>Sheet!F530</f>
        <v>PEREZ TORRES PATRICIA</v>
      </c>
      <c r="I530" s="4" t="str">
        <f>Sheet!G530</f>
        <v>INGENIERIA INDUSTRIAL Y EN SISTEMAS ORGANIZACIONALES</v>
      </c>
      <c r="J530" s="4" t="str">
        <f>Sheet!H530</f>
        <v>6to</v>
      </c>
      <c r="K530" s="4" t="str">
        <f>Sheet!I530</f>
        <v>Femenino</v>
      </c>
      <c r="L530" s="4" t="str">
        <f>Sheet!J530</f>
        <v>Activo</v>
      </c>
      <c r="M530" s="4" t="str">
        <f>Sheet!K530</f>
        <v xml:space="preserve">IND 6°    </v>
      </c>
    </row>
    <row r="531" spans="1:13" x14ac:dyDescent="0.35">
      <c r="A531" t="s">
        <v>1</v>
      </c>
      <c r="B531" s="5" t="s">
        <v>459</v>
      </c>
      <c r="C531" s="4" t="s">
        <v>817</v>
      </c>
      <c r="D531" s="4" t="s">
        <v>811</v>
      </c>
      <c r="E531" t="s">
        <v>3912</v>
      </c>
      <c r="F531" t="str">
        <f>CONCATENATE("'",Sheet!E531)</f>
        <v>'109861</v>
      </c>
      <c r="G531" t="s">
        <v>1736</v>
      </c>
      <c r="H531" s="4" t="str">
        <f>Sheet!F531</f>
        <v>AGUAYO CAMACHO PAULINA</v>
      </c>
      <c r="I531" s="4" t="str">
        <f>Sheet!G531</f>
        <v>INGENIERIA AEROESPACIAL</v>
      </c>
      <c r="J531" s="4" t="str">
        <f>Sheet!H531</f>
        <v>10mo</v>
      </c>
      <c r="K531" s="4" t="str">
        <f>Sheet!I531</f>
        <v>Femenino</v>
      </c>
      <c r="L531" s="4" t="str">
        <f>Sheet!J531</f>
        <v>Activo</v>
      </c>
      <c r="M531" s="4" t="str">
        <f>Sheet!K531</f>
        <v xml:space="preserve">AERO_10°  </v>
      </c>
    </row>
    <row r="532" spans="1:13" x14ac:dyDescent="0.35">
      <c r="A532" t="s">
        <v>1</v>
      </c>
      <c r="B532" s="5" t="s">
        <v>460</v>
      </c>
      <c r="C532" s="4" t="s">
        <v>818</v>
      </c>
      <c r="D532" s="4" t="s">
        <v>597</v>
      </c>
      <c r="E532" t="s">
        <v>3915</v>
      </c>
      <c r="F532" t="str">
        <f>CONCATENATE("'",Sheet!E532)</f>
        <v>'111203</v>
      </c>
      <c r="G532" t="s">
        <v>1736</v>
      </c>
      <c r="H532" s="4" t="str">
        <f>Sheet!F532</f>
        <v>VALADEZ RIVERA PAULINA NATALY</v>
      </c>
      <c r="I532" s="4" t="str">
        <f>Sheet!G532</f>
        <v>ARQUITECTURA</v>
      </c>
      <c r="J532" s="4" t="str">
        <f>Sheet!H532</f>
        <v>6to</v>
      </c>
      <c r="K532" s="4" t="str">
        <f>Sheet!I532</f>
        <v>Femenino</v>
      </c>
      <c r="L532" s="4" t="str">
        <f>Sheet!J532</f>
        <v>Activo</v>
      </c>
      <c r="M532" s="4" t="str">
        <f>Sheet!K532</f>
        <v xml:space="preserve">ARQ 6°    </v>
      </c>
    </row>
    <row r="533" spans="1:13" s="10" customFormat="1" x14ac:dyDescent="0.35">
      <c r="A533" s="10" t="s">
        <v>1</v>
      </c>
      <c r="B533" s="11" t="s">
        <v>461</v>
      </c>
      <c r="C533" s="12" t="s">
        <v>636</v>
      </c>
      <c r="D533" s="12" t="s">
        <v>570</v>
      </c>
      <c r="E533" s="13" t="s">
        <v>4207</v>
      </c>
      <c r="F533" s="10" t="str">
        <f>CONCATENATE("'",Sheet!E533)</f>
        <v>'112406</v>
      </c>
      <c r="G533" s="10" t="s">
        <v>1736</v>
      </c>
      <c r="H533" s="12" t="str">
        <f>Sheet!F533</f>
        <v>MARTINEZ JIMENEZ PAULO ALBERTO</v>
      </c>
      <c r="I533" s="12" t="str">
        <f>Sheet!G533</f>
        <v>PSICOLOGIA</v>
      </c>
      <c r="J533" s="12" t="str">
        <f>Sheet!H533</f>
        <v>8vo</v>
      </c>
      <c r="K533" s="12" t="str">
        <f>Sheet!I533</f>
        <v>Masculino</v>
      </c>
      <c r="L533" s="12" t="str">
        <f>Sheet!J533</f>
        <v>Activo</v>
      </c>
      <c r="M533" s="12" t="str">
        <f>Sheet!K533</f>
        <v xml:space="preserve">PSI 6°    </v>
      </c>
    </row>
    <row r="534" spans="1:13" x14ac:dyDescent="0.35">
      <c r="A534" t="s">
        <v>1</v>
      </c>
      <c r="B534" s="5" t="s">
        <v>462</v>
      </c>
      <c r="C534" s="4" t="s">
        <v>819</v>
      </c>
      <c r="D534" s="4" t="s">
        <v>660</v>
      </c>
      <c r="E534" t="s">
        <v>3918</v>
      </c>
      <c r="F534" t="str">
        <f>CONCATENATE("'",Sheet!E534)</f>
        <v>'111743</v>
      </c>
      <c r="G534" t="s">
        <v>1736</v>
      </c>
      <c r="H534" s="4" t="str">
        <f>Sheet!F534</f>
        <v>RUBIO ORTIZ PEDRO EMILIANO</v>
      </c>
      <c r="I534" s="4" t="str">
        <f>Sheet!G534</f>
        <v>INGENIERIA AEROESPACIAL</v>
      </c>
      <c r="J534" s="4" t="str">
        <f>Sheet!H534</f>
        <v>4to</v>
      </c>
      <c r="K534" s="4" t="str">
        <f>Sheet!I534</f>
        <v>Masculino</v>
      </c>
      <c r="L534" s="4" t="str">
        <f>Sheet!J534</f>
        <v>Activo</v>
      </c>
      <c r="M534" s="4" t="str">
        <f>Sheet!K534</f>
        <v xml:space="preserve">AERO 4°B  </v>
      </c>
    </row>
    <row r="535" spans="1:13" x14ac:dyDescent="0.35">
      <c r="A535" t="s">
        <v>1</v>
      </c>
      <c r="B535" s="5" t="s">
        <v>463</v>
      </c>
      <c r="C535" s="4" t="s">
        <v>820</v>
      </c>
      <c r="D535" s="4" t="s">
        <v>544</v>
      </c>
      <c r="E535" t="s">
        <v>3921</v>
      </c>
      <c r="F535" t="str">
        <f>CONCATENATE("'",Sheet!E535)</f>
        <v>'007758</v>
      </c>
      <c r="G535" t="s">
        <v>1736</v>
      </c>
      <c r="H535" s="4" t="str">
        <f>Sheet!F535</f>
        <v>SOLAEGUI HERNANDEZ PEDRO IKER</v>
      </c>
      <c r="I535" s="4" t="str">
        <f>Sheet!G535</f>
        <v>ANIMACION DIGITAL Y VIDEOJUEGOS</v>
      </c>
      <c r="J535" s="4" t="str">
        <f>Sheet!H535</f>
        <v>4to</v>
      </c>
      <c r="K535" s="4" t="str">
        <f>Sheet!I535</f>
        <v>Masculino</v>
      </c>
      <c r="L535" s="4" t="str">
        <f>Sheet!J535</f>
        <v>Activo</v>
      </c>
      <c r="M535" s="4" t="str">
        <f>Sheet!K535</f>
        <v xml:space="preserve">ANIM 4°   </v>
      </c>
    </row>
    <row r="536" spans="1:13" x14ac:dyDescent="0.35">
      <c r="A536" t="s">
        <v>1</v>
      </c>
      <c r="B536" s="5" t="s">
        <v>464</v>
      </c>
      <c r="C536" s="4" t="s">
        <v>821</v>
      </c>
      <c r="D536" s="4" t="s">
        <v>1026</v>
      </c>
      <c r="E536" t="s">
        <v>3924</v>
      </c>
      <c r="F536" t="str">
        <f>CONCATENATE("'",Sheet!E536)</f>
        <v>'111760</v>
      </c>
      <c r="G536" t="s">
        <v>1736</v>
      </c>
      <c r="H536" s="4" t="str">
        <f>Sheet!F536</f>
        <v>AVILES BRETADO PERLA BEATRIZ</v>
      </c>
      <c r="I536" s="4" t="str">
        <f>Sheet!G536</f>
        <v>PSICOLOGIA</v>
      </c>
      <c r="J536" s="4" t="str">
        <f>Sheet!H536</f>
        <v>4to</v>
      </c>
      <c r="K536" s="4" t="str">
        <f>Sheet!I536</f>
        <v>Femenino</v>
      </c>
      <c r="L536" s="4" t="str">
        <f>Sheet!J536</f>
        <v>Activo</v>
      </c>
      <c r="M536" s="4" t="str">
        <f>Sheet!K536</f>
        <v xml:space="preserve">PSI 4°    </v>
      </c>
    </row>
    <row r="537" spans="1:13" x14ac:dyDescent="0.35">
      <c r="A537" t="s">
        <v>1</v>
      </c>
      <c r="B537" s="5" t="s">
        <v>465</v>
      </c>
      <c r="C537" s="4" t="s">
        <v>822</v>
      </c>
      <c r="D537" s="4"/>
      <c r="E537" t="s">
        <v>3927</v>
      </c>
      <c r="F537" t="str">
        <f>CONCATENATE("'",Sheet!E537)</f>
        <v>'112272</v>
      </c>
      <c r="G537" t="s">
        <v>1736</v>
      </c>
      <c r="H537" s="4" t="str">
        <f>Sheet!F537</f>
        <v>LARA  RAFAEL VALENTIN</v>
      </c>
      <c r="I537" s="4" t="str">
        <f>Sheet!G537</f>
        <v>INGENIERÍA AUTOMOTRIZ</v>
      </c>
      <c r="J537" s="4" t="str">
        <f>Sheet!H537</f>
        <v>2do</v>
      </c>
      <c r="K537" s="4" t="str">
        <f>Sheet!I537</f>
        <v>Masculino</v>
      </c>
      <c r="L537" s="4" t="str">
        <f>Sheet!J537</f>
        <v>Activo</v>
      </c>
      <c r="M537" s="4" t="str">
        <f>Sheet!K537</f>
        <v xml:space="preserve">AUTO 2° A </v>
      </c>
    </row>
    <row r="538" spans="1:13" x14ac:dyDescent="0.35">
      <c r="A538" t="s">
        <v>1</v>
      </c>
      <c r="B538" s="5" t="s">
        <v>466</v>
      </c>
      <c r="C538" s="4" t="s">
        <v>621</v>
      </c>
      <c r="D538" s="4" t="s">
        <v>549</v>
      </c>
      <c r="E538" t="s">
        <v>3930</v>
      </c>
      <c r="F538" t="str">
        <f>CONCATENATE("'",Sheet!E538)</f>
        <v>'111767</v>
      </c>
      <c r="G538" t="s">
        <v>1736</v>
      </c>
      <c r="H538" s="4" t="str">
        <f>Sheet!F538</f>
        <v>LOPEZ ALVAREZ REGINA</v>
      </c>
      <c r="I538" s="4" t="str">
        <f>Sheet!G538</f>
        <v>ARQUITECTURA</v>
      </c>
      <c r="J538" s="4" t="str">
        <f>Sheet!H538</f>
        <v>4to</v>
      </c>
      <c r="K538" s="4" t="str">
        <f>Sheet!I538</f>
        <v>Femenino</v>
      </c>
      <c r="L538" s="4" t="str">
        <f>Sheet!J538</f>
        <v>Activo</v>
      </c>
      <c r="M538" s="4" t="str">
        <f>Sheet!K538</f>
        <v xml:space="preserve">ARQ 4°    </v>
      </c>
    </row>
    <row r="539" spans="1:13" x14ac:dyDescent="0.35">
      <c r="A539" t="s">
        <v>1</v>
      </c>
      <c r="B539" s="5" t="s">
        <v>466</v>
      </c>
      <c r="C539" s="4" t="s">
        <v>823</v>
      </c>
      <c r="D539" s="4" t="s">
        <v>548</v>
      </c>
      <c r="E539" t="s">
        <v>3933</v>
      </c>
      <c r="F539" t="str">
        <f>CONCATENATE("'",Sheet!E539)</f>
        <v>'112171</v>
      </c>
      <c r="G539" t="s">
        <v>1736</v>
      </c>
      <c r="H539" s="4" t="str">
        <f>Sheet!F539</f>
        <v>MARRON PEREZ REGINA</v>
      </c>
      <c r="I539" s="4" t="str">
        <f>Sheet!G539</f>
        <v>PSICOLOGIA</v>
      </c>
      <c r="J539" s="4" t="str">
        <f>Sheet!H539</f>
        <v>2do</v>
      </c>
      <c r="K539" s="4" t="str">
        <f>Sheet!I539</f>
        <v>Femenino</v>
      </c>
      <c r="L539" s="4" t="str">
        <f>Sheet!J539</f>
        <v>Activo</v>
      </c>
      <c r="M539" s="4" t="str">
        <f>Sheet!K539</f>
        <v xml:space="preserve">PSI 2°    </v>
      </c>
    </row>
    <row r="540" spans="1:13" x14ac:dyDescent="0.35">
      <c r="A540" t="s">
        <v>1</v>
      </c>
      <c r="B540" s="5" t="s">
        <v>467</v>
      </c>
      <c r="C540" s="4" t="s">
        <v>616</v>
      </c>
      <c r="D540" s="4" t="s">
        <v>751</v>
      </c>
      <c r="E540" t="s">
        <v>3936</v>
      </c>
      <c r="F540" t="str">
        <f>CONCATENATE("'",Sheet!E540)</f>
        <v>'111336</v>
      </c>
      <c r="G540" t="s">
        <v>1736</v>
      </c>
      <c r="H540" s="4" t="str">
        <f>Sheet!F540</f>
        <v>ARELLANO BAÑUELOS REGINA MARGARITA</v>
      </c>
      <c r="I540" s="4" t="str">
        <f>Sheet!G540</f>
        <v>ARQUITECTURA</v>
      </c>
      <c r="J540" s="4" t="str">
        <f>Sheet!H540</f>
        <v>6to</v>
      </c>
      <c r="K540" s="4" t="str">
        <f>Sheet!I540</f>
        <v>Femenino</v>
      </c>
      <c r="L540" s="4" t="str">
        <f>Sheet!J540</f>
        <v>Activo</v>
      </c>
      <c r="M540" s="4" t="str">
        <f>Sheet!K540</f>
        <v xml:space="preserve">ARQ 6°    </v>
      </c>
    </row>
    <row r="541" spans="1:13" x14ac:dyDescent="0.35">
      <c r="A541" t="s">
        <v>1</v>
      </c>
      <c r="B541" s="5" t="s">
        <v>468</v>
      </c>
      <c r="C541" s="4" t="s">
        <v>824</v>
      </c>
      <c r="D541" s="4" t="s">
        <v>1027</v>
      </c>
      <c r="E541" t="s">
        <v>3939</v>
      </c>
      <c r="F541" t="str">
        <f>CONCATENATE("'",Sheet!E541)</f>
        <v>'112255</v>
      </c>
      <c r="G541" t="s">
        <v>1736</v>
      </c>
      <c r="H541" s="4" t="str">
        <f>Sheet!F541</f>
        <v>BARBOSA CUEVAS RENATA</v>
      </c>
      <c r="I541" s="4" t="str">
        <f>Sheet!G541</f>
        <v>ARQUITECTURA</v>
      </c>
      <c r="J541" s="4" t="str">
        <f>Sheet!H541</f>
        <v>2do</v>
      </c>
      <c r="K541" s="4" t="str">
        <f>Sheet!I541</f>
        <v>Femenino</v>
      </c>
      <c r="L541" s="4" t="str">
        <f>Sheet!J541</f>
        <v>Activo</v>
      </c>
      <c r="M541" s="4" t="str">
        <f>Sheet!K541</f>
        <v xml:space="preserve">ARQ 2°    </v>
      </c>
    </row>
    <row r="542" spans="1:13" x14ac:dyDescent="0.35">
      <c r="A542" t="s">
        <v>1</v>
      </c>
      <c r="B542" s="5" t="s">
        <v>468</v>
      </c>
      <c r="C542" s="4" t="s">
        <v>825</v>
      </c>
      <c r="D542" s="4" t="s">
        <v>534</v>
      </c>
      <c r="E542" t="s">
        <v>3942</v>
      </c>
      <c r="F542" t="str">
        <f>CONCATENATE("'",Sheet!E542)</f>
        <v>'109902</v>
      </c>
      <c r="G542" t="s">
        <v>1736</v>
      </c>
      <c r="H542" s="4" t="str">
        <f>Sheet!F542</f>
        <v>PICHARDO JAIME RENATA</v>
      </c>
      <c r="I542" s="4" t="str">
        <f>Sheet!G542</f>
        <v>INGENIERIA AEROESPACIAL</v>
      </c>
      <c r="J542" s="4" t="str">
        <f>Sheet!H542</f>
        <v>10mo</v>
      </c>
      <c r="K542" s="4" t="str">
        <f>Sheet!I542</f>
        <v>Femenino</v>
      </c>
      <c r="L542" s="4" t="str">
        <f>Sheet!J542</f>
        <v>Activo</v>
      </c>
      <c r="M542" s="4" t="str">
        <f>Sheet!K542</f>
        <v xml:space="preserve">AERO_10°  </v>
      </c>
    </row>
    <row r="543" spans="1:13" x14ac:dyDescent="0.35">
      <c r="A543" t="s">
        <v>1</v>
      </c>
      <c r="B543" s="5" t="s">
        <v>469</v>
      </c>
      <c r="C543" s="4" t="s">
        <v>826</v>
      </c>
      <c r="D543" s="4" t="s">
        <v>629</v>
      </c>
      <c r="E543" t="s">
        <v>3945</v>
      </c>
      <c r="F543" t="str">
        <f>CONCATENATE("'",Sheet!E543)</f>
        <v>'112150</v>
      </c>
      <c r="G543" t="s">
        <v>1736</v>
      </c>
      <c r="H543" s="4" t="str">
        <f>Sheet!F543</f>
        <v>CAREY RAMIREZ RENATA GABRIELA</v>
      </c>
      <c r="I543" s="4" t="str">
        <f>Sheet!G543</f>
        <v>ANIMACION DIGITAL Y VIDEOJUEGOS</v>
      </c>
      <c r="J543" s="4" t="str">
        <f>Sheet!H543</f>
        <v>2do</v>
      </c>
      <c r="K543" s="4" t="str">
        <f>Sheet!I543</f>
        <v>Femenino</v>
      </c>
      <c r="L543" s="4" t="str">
        <f>Sheet!J543</f>
        <v>Activo</v>
      </c>
      <c r="M543" s="4" t="str">
        <f>Sheet!K543</f>
        <v xml:space="preserve">ANIM 2°   </v>
      </c>
    </row>
    <row r="544" spans="1:13" x14ac:dyDescent="0.35">
      <c r="A544" t="s">
        <v>1</v>
      </c>
      <c r="B544" s="5" t="s">
        <v>470</v>
      </c>
      <c r="C544" s="4" t="s">
        <v>621</v>
      </c>
      <c r="D544" s="4" t="s">
        <v>774</v>
      </c>
      <c r="E544" t="s">
        <v>3948</v>
      </c>
      <c r="F544" t="str">
        <f>CONCATENATE("'",Sheet!E544)</f>
        <v>'110496</v>
      </c>
      <c r="G544" t="s">
        <v>1736</v>
      </c>
      <c r="H544" s="4" t="str">
        <f>Sheet!F544</f>
        <v>LOPEZ SILVA RICARDO</v>
      </c>
      <c r="I544" s="4" t="str">
        <f>Sheet!G544</f>
        <v>ANIMACION DIGITAL Y VIDEOJUEGOS</v>
      </c>
      <c r="J544" s="4" t="str">
        <f>Sheet!H544</f>
        <v>8vo</v>
      </c>
      <c r="K544" s="4" t="str">
        <f>Sheet!I544</f>
        <v>Masculino</v>
      </c>
      <c r="L544" s="4" t="str">
        <f>Sheet!J544</f>
        <v>Activo</v>
      </c>
      <c r="M544" s="4" t="str">
        <f>Sheet!K544</f>
        <v xml:space="preserve">ANIM 8°   </v>
      </c>
    </row>
    <row r="545" spans="1:13" x14ac:dyDescent="0.35">
      <c r="A545" t="s">
        <v>1</v>
      </c>
      <c r="B545" s="5" t="s">
        <v>470</v>
      </c>
      <c r="C545" s="4" t="s">
        <v>827</v>
      </c>
      <c r="D545" s="4" t="s">
        <v>679</v>
      </c>
      <c r="E545" t="s">
        <v>3951</v>
      </c>
      <c r="F545" t="str">
        <f>CONCATENATE("'",Sheet!E545)</f>
        <v>'112159</v>
      </c>
      <c r="G545" t="s">
        <v>1736</v>
      </c>
      <c r="H545" s="4" t="str">
        <f>Sheet!F545</f>
        <v>RAYGOZA GOMEZ RICARDO</v>
      </c>
      <c r="I545" s="4" t="str">
        <f>Sheet!G545</f>
        <v>INGENIERÍA EN INTELIGENCIA ARTIFICIAL</v>
      </c>
      <c r="J545" s="4" t="str">
        <f>Sheet!H545</f>
        <v>2do</v>
      </c>
      <c r="K545" s="4" t="str">
        <f>Sheet!I545</f>
        <v>Masculino</v>
      </c>
      <c r="L545" s="4" t="str">
        <f>Sheet!J545</f>
        <v>Activo</v>
      </c>
      <c r="M545" s="4" t="str">
        <f>Sheet!K545</f>
        <v xml:space="preserve">IA 2°     </v>
      </c>
    </row>
    <row r="546" spans="1:13" x14ac:dyDescent="0.35">
      <c r="A546" t="s">
        <v>1</v>
      </c>
      <c r="B546" s="5" t="s">
        <v>471</v>
      </c>
      <c r="C546" s="4" t="s">
        <v>589</v>
      </c>
      <c r="D546" s="4" t="s">
        <v>539</v>
      </c>
      <c r="E546" t="s">
        <v>3954</v>
      </c>
      <c r="F546" t="str">
        <f>CONCATENATE("'",Sheet!E546)</f>
        <v>'112181</v>
      </c>
      <c r="G546" t="s">
        <v>1736</v>
      </c>
      <c r="H546" s="4" t="str">
        <f>Sheet!F546</f>
        <v>GARCIA RODRIGUEZ RICARDO ALEXANDER</v>
      </c>
      <c r="I546" s="4" t="str">
        <f>Sheet!G546</f>
        <v>INGENIERIA AEROESPACIAL</v>
      </c>
      <c r="J546" s="4" t="str">
        <f>Sheet!H546</f>
        <v>2do</v>
      </c>
      <c r="K546" s="4" t="str">
        <f>Sheet!I546</f>
        <v>Masculino</v>
      </c>
      <c r="L546" s="4" t="str">
        <f>Sheet!J546</f>
        <v>Activo</v>
      </c>
      <c r="M546" s="4" t="str">
        <f>Sheet!K546</f>
        <v xml:space="preserve">AERO 2°A  </v>
      </c>
    </row>
    <row r="547" spans="1:13" x14ac:dyDescent="0.35">
      <c r="A547" t="s">
        <v>1</v>
      </c>
      <c r="B547" s="5" t="s">
        <v>472</v>
      </c>
      <c r="C547" s="4" t="s">
        <v>805</v>
      </c>
      <c r="D547" s="4" t="s">
        <v>1028</v>
      </c>
      <c r="E547" t="s">
        <v>3957</v>
      </c>
      <c r="F547" t="str">
        <f>CONCATENATE("'",Sheet!E547)</f>
        <v>'111661</v>
      </c>
      <c r="G547" t="s">
        <v>1736</v>
      </c>
      <c r="H547" s="4" t="str">
        <f>Sheet!F547</f>
        <v>TINOCO ARICEAGA ROBERTO</v>
      </c>
      <c r="I547" s="4" t="str">
        <f>Sheet!G547</f>
        <v>INGENIERIA AEROESPACIAL</v>
      </c>
      <c r="J547" s="4" t="str">
        <f>Sheet!H547</f>
        <v>4to</v>
      </c>
      <c r="K547" s="4" t="str">
        <f>Sheet!I547</f>
        <v>Masculino</v>
      </c>
      <c r="L547" s="4" t="str">
        <f>Sheet!J547</f>
        <v>Activo</v>
      </c>
      <c r="M547" s="4" t="str">
        <f>Sheet!K547</f>
        <v xml:space="preserve">AERO 4°A  </v>
      </c>
    </row>
    <row r="548" spans="1:13" x14ac:dyDescent="0.35">
      <c r="A548" t="s">
        <v>1</v>
      </c>
      <c r="B548" s="5" t="s">
        <v>473</v>
      </c>
      <c r="C548" s="4" t="s">
        <v>531</v>
      </c>
      <c r="D548" s="4" t="s">
        <v>540</v>
      </c>
      <c r="E548" t="s">
        <v>3960</v>
      </c>
      <c r="F548" t="str">
        <f>CONCATENATE("'",Sheet!E548)</f>
        <v>'112188</v>
      </c>
      <c r="G548" t="s">
        <v>1736</v>
      </c>
      <c r="H548" s="4" t="str">
        <f>Sheet!F548</f>
        <v>GONZALEZ MIRANDA ROBERTO ANTONIO</v>
      </c>
      <c r="I548" s="4" t="str">
        <f>Sheet!G548</f>
        <v>INGENIERIA AEROESPACIAL</v>
      </c>
      <c r="J548" s="4" t="str">
        <f>Sheet!H548</f>
        <v>2do</v>
      </c>
      <c r="K548" s="4" t="str">
        <f>Sheet!I548</f>
        <v>Masculino</v>
      </c>
      <c r="L548" s="4" t="str">
        <f>Sheet!J548</f>
        <v>Activo</v>
      </c>
      <c r="M548" s="4" t="str">
        <f>Sheet!K548</f>
        <v xml:space="preserve">AERO 2°A  </v>
      </c>
    </row>
    <row r="549" spans="1:13" x14ac:dyDescent="0.35">
      <c r="A549" t="s">
        <v>1</v>
      </c>
      <c r="B549" s="5" t="s">
        <v>474</v>
      </c>
      <c r="C549" s="4" t="s">
        <v>698</v>
      </c>
      <c r="D549" s="4" t="s">
        <v>776</v>
      </c>
      <c r="E549" t="s">
        <v>3963</v>
      </c>
      <c r="F549" t="str">
        <f>CONCATENATE("'",Sheet!E549)</f>
        <v>'112256</v>
      </c>
      <c r="G549" t="s">
        <v>1736</v>
      </c>
      <c r="H549" s="4" t="str">
        <f>Sheet!F549</f>
        <v>ZAMORA SALAZAR ROBERTO EMMANUEL</v>
      </c>
      <c r="I549" s="4" t="str">
        <f>Sheet!G549</f>
        <v>INGENIERÍA EN INTELIGENCIA ARTIFICIAL</v>
      </c>
      <c r="J549" s="4" t="str">
        <f>Sheet!H549</f>
        <v>2do</v>
      </c>
      <c r="K549" s="4" t="str">
        <f>Sheet!I549</f>
        <v>Masculino</v>
      </c>
      <c r="L549" s="4" t="str">
        <f>Sheet!J549</f>
        <v>Activo</v>
      </c>
      <c r="M549" s="4" t="str">
        <f>Sheet!K549</f>
        <v xml:space="preserve">IA 2°     </v>
      </c>
    </row>
    <row r="550" spans="1:13" x14ac:dyDescent="0.35">
      <c r="A550" t="s">
        <v>1</v>
      </c>
      <c r="B550" s="5" t="s">
        <v>475</v>
      </c>
      <c r="C550" s="4" t="s">
        <v>549</v>
      </c>
      <c r="D550" s="4" t="s">
        <v>1003</v>
      </c>
      <c r="E550" t="s">
        <v>3966</v>
      </c>
      <c r="F550" t="str">
        <f>CONCATENATE("'",Sheet!E550)</f>
        <v>'111094</v>
      </c>
      <c r="G550" t="s">
        <v>1736</v>
      </c>
      <c r="H550" s="4" t="str">
        <f>Sheet!F550</f>
        <v>ALVAREZ ESPINOSA RODRIGO</v>
      </c>
      <c r="I550" s="4" t="str">
        <f>Sheet!G550</f>
        <v>PSICOLOGIA</v>
      </c>
      <c r="J550" s="4" t="str">
        <f>Sheet!H550</f>
        <v>6to</v>
      </c>
      <c r="K550" s="4" t="str">
        <f>Sheet!I550</f>
        <v>Masculino</v>
      </c>
      <c r="L550" s="4" t="str">
        <f>Sheet!J550</f>
        <v>Activo</v>
      </c>
      <c r="M550" s="4" t="str">
        <f>Sheet!K550</f>
        <v xml:space="preserve">PSI 6°    </v>
      </c>
    </row>
    <row r="551" spans="1:13" x14ac:dyDescent="0.35">
      <c r="A551" t="s">
        <v>1</v>
      </c>
      <c r="B551" s="5" t="s">
        <v>475</v>
      </c>
      <c r="C551" s="4" t="s">
        <v>636</v>
      </c>
      <c r="D551" s="4" t="s">
        <v>648</v>
      </c>
      <c r="E551" t="s">
        <v>3969</v>
      </c>
      <c r="F551" t="str">
        <f>CONCATENATE("'",Sheet!E551)</f>
        <v>'110526</v>
      </c>
      <c r="G551" t="s">
        <v>1736</v>
      </c>
      <c r="H551" s="4" t="str">
        <f>Sheet!F551</f>
        <v>MARTINEZ CASTELLANOS RODRIGO</v>
      </c>
      <c r="I551" s="4" t="str">
        <f>Sheet!G551</f>
        <v>ANIMACION DIGITAL Y VIDEOJUEGOS</v>
      </c>
      <c r="J551" s="4" t="str">
        <f>Sheet!H551</f>
        <v>8vo</v>
      </c>
      <c r="K551" s="4" t="str">
        <f>Sheet!I551</f>
        <v>Masculino</v>
      </c>
      <c r="L551" s="4" t="str">
        <f>Sheet!J551</f>
        <v>Activo</v>
      </c>
      <c r="M551" s="4" t="str">
        <f>Sheet!K551</f>
        <v xml:space="preserve">ANIM 8°   </v>
      </c>
    </row>
    <row r="552" spans="1:13" x14ac:dyDescent="0.35">
      <c r="A552" t="s">
        <v>1</v>
      </c>
      <c r="B552" s="5" t="s">
        <v>475</v>
      </c>
      <c r="C552" s="4" t="s">
        <v>636</v>
      </c>
      <c r="D552" s="4" t="s">
        <v>636</v>
      </c>
      <c r="E552" t="s">
        <v>3972</v>
      </c>
      <c r="F552" t="str">
        <f>CONCATENATE("'",Sheet!E552)</f>
        <v>'110674</v>
      </c>
      <c r="G552" t="s">
        <v>1736</v>
      </c>
      <c r="H552" s="4" t="str">
        <f>Sheet!F552</f>
        <v>MARTINEZ MARTINEZ RODRIGO</v>
      </c>
      <c r="I552" s="4" t="str">
        <f>Sheet!G552</f>
        <v>INGENIERIA CIBERNETICA Y EN SISTEMAS COMPUTACIONALES</v>
      </c>
      <c r="J552" s="4" t="str">
        <f>Sheet!H552</f>
        <v>8vo</v>
      </c>
      <c r="K552" s="4" t="str">
        <f>Sheet!I552</f>
        <v>Masculino</v>
      </c>
      <c r="L552" s="4" t="str">
        <f>Sheet!J552</f>
        <v>Activo</v>
      </c>
      <c r="M552" s="4" t="str">
        <f>Sheet!K552</f>
        <v xml:space="preserve">CIB 8°    </v>
      </c>
    </row>
    <row r="553" spans="1:13" x14ac:dyDescent="0.35">
      <c r="A553" t="s">
        <v>1</v>
      </c>
      <c r="B553" s="5" t="s">
        <v>475</v>
      </c>
      <c r="C553" s="4" t="s">
        <v>828</v>
      </c>
      <c r="D553" s="4" t="s">
        <v>771</v>
      </c>
      <c r="E553" t="s">
        <v>3975</v>
      </c>
      <c r="F553" t="str">
        <f>CONCATENATE("'",Sheet!E553)</f>
        <v>'110527</v>
      </c>
      <c r="G553" t="s">
        <v>1736</v>
      </c>
      <c r="H553" s="4" t="str">
        <f>Sheet!F553</f>
        <v>MEDRANO ORTA RODRIGO</v>
      </c>
      <c r="I553" s="4" t="str">
        <f>Sheet!G553</f>
        <v>INGENIERIA CIBERNETICA Y EN SISTEMAS COMPUTACIONALES</v>
      </c>
      <c r="J553" s="4" t="str">
        <f>Sheet!H553</f>
        <v>8vo</v>
      </c>
      <c r="K553" s="4" t="str">
        <f>Sheet!I553</f>
        <v>Masculino</v>
      </c>
      <c r="L553" s="4" t="str">
        <f>Sheet!J553</f>
        <v>Activo</v>
      </c>
      <c r="M553" s="4" t="str">
        <f>Sheet!K553</f>
        <v xml:space="preserve">CIB 8°    </v>
      </c>
    </row>
    <row r="554" spans="1:13" x14ac:dyDescent="0.35">
      <c r="A554" t="s">
        <v>1</v>
      </c>
      <c r="B554" s="5" t="s">
        <v>475</v>
      </c>
      <c r="C554" s="4" t="s">
        <v>597</v>
      </c>
      <c r="D554" s="4" t="s">
        <v>671</v>
      </c>
      <c r="E554" t="s">
        <v>3978</v>
      </c>
      <c r="F554" t="str">
        <f>CONCATENATE("'",Sheet!E554)</f>
        <v>'110564</v>
      </c>
      <c r="G554" t="s">
        <v>1736</v>
      </c>
      <c r="H554" s="4" t="str">
        <f>Sheet!F554</f>
        <v>RIVERA VILLASEÑOR RODRIGO</v>
      </c>
      <c r="I554" s="4" t="str">
        <f>Sheet!G554</f>
        <v>ANIMACION DIGITAL Y VIDEOJUEGOS</v>
      </c>
      <c r="J554" s="4" t="str">
        <f>Sheet!H554</f>
        <v>8vo</v>
      </c>
      <c r="K554" s="4" t="str">
        <f>Sheet!I554</f>
        <v>Masculino</v>
      </c>
      <c r="L554" s="4" t="str">
        <f>Sheet!J554</f>
        <v>Activo</v>
      </c>
      <c r="M554" s="4" t="str">
        <f>Sheet!K554</f>
        <v xml:space="preserve">ANIM 8°   </v>
      </c>
    </row>
    <row r="555" spans="1:13" x14ac:dyDescent="0.35">
      <c r="A555" t="s">
        <v>1</v>
      </c>
      <c r="B555" s="5" t="s">
        <v>475</v>
      </c>
      <c r="C555" s="4" t="s">
        <v>829</v>
      </c>
      <c r="D555" s="4" t="s">
        <v>1029</v>
      </c>
      <c r="E555" t="s">
        <v>3981</v>
      </c>
      <c r="F555" t="str">
        <f>CONCATENATE("'",Sheet!E555)</f>
        <v>'112176</v>
      </c>
      <c r="G555" t="s">
        <v>1736</v>
      </c>
      <c r="H555" s="4" t="str">
        <f>Sheet!F555</f>
        <v>ROMO GUADARRAMA RODRIGO</v>
      </c>
      <c r="I555" s="4" t="str">
        <f>Sheet!G555</f>
        <v>INGENIERIA AEROESPACIAL</v>
      </c>
      <c r="J555" s="4" t="str">
        <f>Sheet!H555</f>
        <v>2do</v>
      </c>
      <c r="K555" s="4" t="str">
        <f>Sheet!I555</f>
        <v>Masculino</v>
      </c>
      <c r="L555" s="4" t="str">
        <f>Sheet!J555</f>
        <v>Activo</v>
      </c>
      <c r="M555" s="4" t="str">
        <f>Sheet!K555</f>
        <v xml:space="preserve">AERO 2°B  </v>
      </c>
    </row>
    <row r="556" spans="1:13" x14ac:dyDescent="0.35">
      <c r="A556" t="s">
        <v>1</v>
      </c>
      <c r="B556" s="5" t="s">
        <v>476</v>
      </c>
      <c r="C556" s="4" t="s">
        <v>621</v>
      </c>
      <c r="D556" s="4" t="s">
        <v>1030</v>
      </c>
      <c r="E556" t="s">
        <v>3984</v>
      </c>
      <c r="F556" t="str">
        <f>CONCATENATE("'",Sheet!E556)</f>
        <v>'111102</v>
      </c>
      <c r="G556" t="s">
        <v>1736</v>
      </c>
      <c r="H556" s="4" t="str">
        <f>Sheet!F556</f>
        <v>LOPEZ ALFEREZ RODRIGO SAUL</v>
      </c>
      <c r="I556" s="4" t="str">
        <f>Sheet!G556</f>
        <v>ARQUITECTURA</v>
      </c>
      <c r="J556" s="4" t="str">
        <f>Sheet!H556</f>
        <v>6to</v>
      </c>
      <c r="K556" s="4" t="str">
        <f>Sheet!I556</f>
        <v>Masculino</v>
      </c>
      <c r="L556" s="4" t="str">
        <f>Sheet!J556</f>
        <v>Activo</v>
      </c>
      <c r="M556" s="4" t="str">
        <f>Sheet!K556</f>
        <v xml:space="preserve">ARQ 6°    </v>
      </c>
    </row>
    <row r="557" spans="1:13" x14ac:dyDescent="0.35">
      <c r="A557" t="s">
        <v>1</v>
      </c>
      <c r="B557" s="5" t="s">
        <v>477</v>
      </c>
      <c r="C557" s="4" t="s">
        <v>621</v>
      </c>
      <c r="D557" s="4" t="s">
        <v>1031</v>
      </c>
      <c r="E557" t="s">
        <v>3987</v>
      </c>
      <c r="F557" t="str">
        <f>CONCATENATE("'",Sheet!E557)</f>
        <v>'110494</v>
      </c>
      <c r="G557" t="s">
        <v>1736</v>
      </c>
      <c r="H557" s="4" t="str">
        <f>Sheet!F557</f>
        <v>LOPEZ MAGAÑA ROMINA</v>
      </c>
      <c r="I557" s="4" t="str">
        <f>Sheet!G557</f>
        <v>PSICOLOGIA</v>
      </c>
      <c r="J557" s="4" t="str">
        <f>Sheet!H557</f>
        <v>8vo</v>
      </c>
      <c r="K557" s="4" t="str">
        <f>Sheet!I557</f>
        <v>Femenino</v>
      </c>
      <c r="L557" s="4" t="str">
        <f>Sheet!J557</f>
        <v>Activo</v>
      </c>
      <c r="M557" s="4" t="str">
        <f>Sheet!K557</f>
        <v xml:space="preserve">PSI 8°    </v>
      </c>
    </row>
    <row r="558" spans="1:13" x14ac:dyDescent="0.35">
      <c r="A558" t="s">
        <v>1</v>
      </c>
      <c r="B558" s="5" t="s">
        <v>478</v>
      </c>
      <c r="C558" s="4" t="s">
        <v>830</v>
      </c>
      <c r="D558" s="4" t="s">
        <v>548</v>
      </c>
      <c r="E558" t="s">
        <v>3990</v>
      </c>
      <c r="F558" t="str">
        <f>CONCATENATE("'",Sheet!E558)</f>
        <v>'110612</v>
      </c>
      <c r="G558" t="s">
        <v>1736</v>
      </c>
      <c r="H558" s="4" t="str">
        <f>Sheet!F558</f>
        <v>ROSAS PEREZ ROSARIO</v>
      </c>
      <c r="I558" s="4" t="str">
        <f>Sheet!G558</f>
        <v>INGENIERIA CIBERNETICA Y EN SISTEMAS COMPUTACIONALES</v>
      </c>
      <c r="J558" s="4" t="str">
        <f>Sheet!H558</f>
        <v>8vo</v>
      </c>
      <c r="K558" s="4" t="str">
        <f>Sheet!I558</f>
        <v>Femenino</v>
      </c>
      <c r="L558" s="4" t="str">
        <f>Sheet!J558</f>
        <v>Activo</v>
      </c>
      <c r="M558" s="4" t="str">
        <f>Sheet!K558</f>
        <v xml:space="preserve">CIB 8°    </v>
      </c>
    </row>
    <row r="559" spans="1:13" x14ac:dyDescent="0.35">
      <c r="A559" t="s">
        <v>1</v>
      </c>
      <c r="B559" s="5" t="s">
        <v>479</v>
      </c>
      <c r="C559" s="4" t="s">
        <v>544</v>
      </c>
      <c r="D559" s="4" t="s">
        <v>1032</v>
      </c>
      <c r="E559" t="s">
        <v>3993</v>
      </c>
      <c r="F559" t="str">
        <f>CONCATENATE("'",Sheet!E559)</f>
        <v>'110437</v>
      </c>
      <c r="G559" t="s">
        <v>1736</v>
      </c>
      <c r="H559" s="4" t="str">
        <f>Sheet!F559</f>
        <v>HERNANDEZ ROMAN RUTH PAOLA</v>
      </c>
      <c r="I559" s="4" t="str">
        <f>Sheet!G559</f>
        <v>ANIMACION DIGITAL Y VIDEOJUEGOS</v>
      </c>
      <c r="J559" s="4" t="str">
        <f>Sheet!H559</f>
        <v>8vo</v>
      </c>
      <c r="K559" s="4" t="str">
        <f>Sheet!I559</f>
        <v>Femenino</v>
      </c>
      <c r="L559" s="4" t="str">
        <f>Sheet!J559</f>
        <v>Activo</v>
      </c>
      <c r="M559" s="4" t="str">
        <f>Sheet!K559</f>
        <v xml:space="preserve">ANIM 8°   </v>
      </c>
    </row>
    <row r="560" spans="1:13" x14ac:dyDescent="0.35">
      <c r="A560" t="s">
        <v>1</v>
      </c>
      <c r="B560" s="5" t="s">
        <v>480</v>
      </c>
      <c r="C560" s="4" t="s">
        <v>589</v>
      </c>
      <c r="D560" s="4" t="s">
        <v>735</v>
      </c>
      <c r="E560" t="s">
        <v>3996</v>
      </c>
      <c r="F560" t="str">
        <f>CONCATENATE("'",Sheet!E560)</f>
        <v>'112187</v>
      </c>
      <c r="G560" t="s">
        <v>1736</v>
      </c>
      <c r="H560" s="4" t="str">
        <f>Sheet!F560</f>
        <v>GARCIA DURAN SALVADOR CEO</v>
      </c>
      <c r="I560" s="4" t="str">
        <f>Sheet!G560</f>
        <v>INGENIERIA AEROESPACIAL</v>
      </c>
      <c r="J560" s="4" t="str">
        <f>Sheet!H560</f>
        <v>2do</v>
      </c>
      <c r="K560" s="4" t="str">
        <f>Sheet!I560</f>
        <v>Masculino</v>
      </c>
      <c r="L560" s="4" t="str">
        <f>Sheet!J560</f>
        <v>Activo</v>
      </c>
      <c r="M560" s="4" t="str">
        <f>Sheet!K560</f>
        <v xml:space="preserve">AERO 2°B  </v>
      </c>
    </row>
    <row r="561" spans="1:13" x14ac:dyDescent="0.35">
      <c r="A561" t="s">
        <v>1</v>
      </c>
      <c r="B561" s="5" t="s">
        <v>481</v>
      </c>
      <c r="C561" s="4" t="s">
        <v>831</v>
      </c>
      <c r="D561" s="4" t="s">
        <v>1033</v>
      </c>
      <c r="E561" t="s">
        <v>3999</v>
      </c>
      <c r="F561" t="str">
        <f>CONCATENATE("'",Sheet!E561)</f>
        <v>'110643</v>
      </c>
      <c r="G561" t="s">
        <v>1736</v>
      </c>
      <c r="H561" s="4" t="str">
        <f>Sheet!F561</f>
        <v>PIÑON CARO SALVADOR NICOLAS</v>
      </c>
      <c r="I561" s="4" t="str">
        <f>Sheet!G561</f>
        <v>ADMINISTRACION Y DIRECCION DE NEGOCIOS</v>
      </c>
      <c r="J561" s="4" t="str">
        <f>Sheet!H561</f>
        <v>6to</v>
      </c>
      <c r="K561" s="4" t="str">
        <f>Sheet!I561</f>
        <v>Masculino</v>
      </c>
      <c r="L561" s="4" t="str">
        <f>Sheet!J561</f>
        <v>Activo</v>
      </c>
      <c r="M561" s="4" t="str">
        <f>Sheet!K561</f>
        <v xml:space="preserve">ADMON 6°  </v>
      </c>
    </row>
    <row r="562" spans="1:13" x14ac:dyDescent="0.35">
      <c r="A562" t="s">
        <v>1</v>
      </c>
      <c r="B562" s="5" t="s">
        <v>482</v>
      </c>
      <c r="C562" s="4" t="s">
        <v>832</v>
      </c>
      <c r="D562" s="4" t="s">
        <v>1034</v>
      </c>
      <c r="E562" t="s">
        <v>4002</v>
      </c>
      <c r="F562" t="str">
        <f>CONCATENATE("'",Sheet!E562)</f>
        <v>'109891</v>
      </c>
      <c r="G562" t="s">
        <v>1736</v>
      </c>
      <c r="H562" s="4" t="str">
        <f>Sheet!F562</f>
        <v>MONTES SALDATE SAMUEL ALEJANDRO</v>
      </c>
      <c r="I562" s="4" t="str">
        <f>Sheet!G562</f>
        <v>INGENIERIA AEROESPACIAL</v>
      </c>
      <c r="J562" s="4" t="str">
        <f>Sheet!H562</f>
        <v>10mo</v>
      </c>
      <c r="K562" s="4" t="str">
        <f>Sheet!I562</f>
        <v>Masculino</v>
      </c>
      <c r="L562" s="4" t="str">
        <f>Sheet!J562</f>
        <v>Activo</v>
      </c>
      <c r="M562" s="4" t="str">
        <f>Sheet!K562</f>
        <v xml:space="preserve">AERO_10°  </v>
      </c>
    </row>
    <row r="563" spans="1:13" x14ac:dyDescent="0.35">
      <c r="A563" t="s">
        <v>1</v>
      </c>
      <c r="B563" s="5" t="s">
        <v>483</v>
      </c>
      <c r="C563" s="4" t="s">
        <v>833</v>
      </c>
      <c r="D563" s="4" t="s">
        <v>1035</v>
      </c>
      <c r="E563" t="s">
        <v>4005</v>
      </c>
      <c r="F563" t="str">
        <f>CONCATENATE("'",Sheet!E563)</f>
        <v>'111729</v>
      </c>
      <c r="G563" t="s">
        <v>1736</v>
      </c>
      <c r="H563" s="4" t="str">
        <f>Sheet!F563</f>
        <v>VERA DE LA ROSA SAMUEL RICARDO</v>
      </c>
      <c r="I563" s="4" t="str">
        <f>Sheet!G563</f>
        <v>INGENIERIA AEROESPACIAL</v>
      </c>
      <c r="J563" s="4" t="str">
        <f>Sheet!H563</f>
        <v>4to</v>
      </c>
      <c r="K563" s="4" t="str">
        <f>Sheet!I563</f>
        <v>Masculino</v>
      </c>
      <c r="L563" s="4" t="str">
        <f>Sheet!J563</f>
        <v>Activo</v>
      </c>
      <c r="M563" s="4" t="str">
        <f>Sheet!K563</f>
        <v xml:space="preserve">AERO 4°B  </v>
      </c>
    </row>
    <row r="564" spans="1:13" x14ac:dyDescent="0.35">
      <c r="A564" t="s">
        <v>1</v>
      </c>
      <c r="B564" s="5" t="s">
        <v>484</v>
      </c>
      <c r="C564" s="4" t="s">
        <v>636</v>
      </c>
      <c r="D564" s="4" t="s">
        <v>626</v>
      </c>
      <c r="E564" t="s">
        <v>4008</v>
      </c>
      <c r="F564" t="str">
        <f>CONCATENATE("'",Sheet!E564)</f>
        <v>'111688</v>
      </c>
      <c r="G564" t="s">
        <v>1736</v>
      </c>
      <c r="H564" s="4" t="str">
        <f>Sheet!F564</f>
        <v>MARTINEZ NAVARRO SANDRA</v>
      </c>
      <c r="I564" s="4" t="str">
        <f>Sheet!G564</f>
        <v>NUTRICION Y GASTRONOMIA</v>
      </c>
      <c r="J564" s="4" t="str">
        <f>Sheet!H564</f>
        <v>4to</v>
      </c>
      <c r="K564" s="4" t="str">
        <f>Sheet!I564</f>
        <v>Femenino</v>
      </c>
      <c r="L564" s="4" t="str">
        <f>Sheet!J564</f>
        <v>Activo</v>
      </c>
      <c r="M564" s="4" t="str">
        <f>Sheet!K564</f>
        <v xml:space="preserve">NUT 4°    </v>
      </c>
    </row>
    <row r="565" spans="1:13" x14ac:dyDescent="0.35">
      <c r="A565" t="s">
        <v>1</v>
      </c>
      <c r="B565" s="5" t="s">
        <v>485</v>
      </c>
      <c r="C565" s="4" t="s">
        <v>568</v>
      </c>
      <c r="D565" s="4" t="s">
        <v>1036</v>
      </c>
      <c r="E565" t="s">
        <v>4011</v>
      </c>
      <c r="F565" t="str">
        <f>CONCATENATE("'",Sheet!E565)</f>
        <v>'111690</v>
      </c>
      <c r="G565" t="s">
        <v>1736</v>
      </c>
      <c r="H565" s="4" t="str">
        <f>Sheet!F565</f>
        <v>GUERRERO GRIMALDO SANDRA BEATRIZ</v>
      </c>
      <c r="I565" s="4" t="str">
        <f>Sheet!G565</f>
        <v>INGENIERÍA EN INTELIGENCIA ARTIFICIAL</v>
      </c>
      <c r="J565" s="4" t="str">
        <f>Sheet!H565</f>
        <v>4to</v>
      </c>
      <c r="K565" s="4" t="str">
        <f>Sheet!I565</f>
        <v>Femenino</v>
      </c>
      <c r="L565" s="4" t="str">
        <f>Sheet!J565</f>
        <v>Activo</v>
      </c>
      <c r="M565" s="4" t="str">
        <f>Sheet!K565</f>
        <v xml:space="preserve">IA 4°     </v>
      </c>
    </row>
    <row r="566" spans="1:13" x14ac:dyDescent="0.35">
      <c r="A566" t="s">
        <v>1</v>
      </c>
      <c r="B566" s="5" t="s">
        <v>486</v>
      </c>
      <c r="C566" s="4" t="s">
        <v>834</v>
      </c>
      <c r="D566" s="4" t="s">
        <v>531</v>
      </c>
      <c r="E566" t="s">
        <v>4014</v>
      </c>
      <c r="F566" t="str">
        <f>CONCATENATE("'",Sheet!E566)</f>
        <v>'112229</v>
      </c>
      <c r="G566" t="s">
        <v>1736</v>
      </c>
      <c r="H566" s="4" t="str">
        <f>Sheet!F566</f>
        <v>CALDERON GONZALEZ SANTIAGO</v>
      </c>
      <c r="I566" s="4" t="str">
        <f>Sheet!G566</f>
        <v>ADMINISTRACION Y DIRECCION DE NEGOCIOS</v>
      </c>
      <c r="J566" s="4" t="str">
        <f>Sheet!H566</f>
        <v>2do</v>
      </c>
      <c r="K566" s="4" t="str">
        <f>Sheet!I566</f>
        <v>Masculino</v>
      </c>
      <c r="L566" s="4" t="str">
        <f>Sheet!J566</f>
        <v>Activo</v>
      </c>
      <c r="M566" s="4" t="str">
        <f>Sheet!K566</f>
        <v xml:space="preserve">ADMON 2°  </v>
      </c>
    </row>
    <row r="567" spans="1:13" x14ac:dyDescent="0.35">
      <c r="A567" t="s">
        <v>1</v>
      </c>
      <c r="B567" s="5" t="s">
        <v>486</v>
      </c>
      <c r="C567" s="4" t="s">
        <v>527</v>
      </c>
      <c r="D567" s="4" t="s">
        <v>1003</v>
      </c>
      <c r="E567" t="s">
        <v>4017</v>
      </c>
      <c r="F567" t="str">
        <f>CONCATENATE("'",Sheet!E567)</f>
        <v>'111121</v>
      </c>
      <c r="G567" t="s">
        <v>1736</v>
      </c>
      <c r="H567" s="4" t="str">
        <f>Sheet!F567</f>
        <v>PELAYO ESPINOSA SANTIAGO</v>
      </c>
      <c r="I567" s="4" t="str">
        <f>Sheet!G567</f>
        <v>PSICOLOGIA</v>
      </c>
      <c r="J567" s="4" t="str">
        <f>Sheet!H567</f>
        <v>6to</v>
      </c>
      <c r="K567" s="4" t="str">
        <f>Sheet!I567</f>
        <v>Masculino</v>
      </c>
      <c r="L567" s="4" t="str">
        <f>Sheet!J567</f>
        <v>Activo</v>
      </c>
      <c r="M567" s="4" t="str">
        <f>Sheet!K567</f>
        <v xml:space="preserve">PSI 6°    </v>
      </c>
    </row>
    <row r="568" spans="1:13" x14ac:dyDescent="0.35">
      <c r="A568" t="s">
        <v>1</v>
      </c>
      <c r="B568" s="5" t="s">
        <v>487</v>
      </c>
      <c r="C568" s="4" t="s">
        <v>764</v>
      </c>
      <c r="D568" s="4" t="s">
        <v>1035</v>
      </c>
      <c r="E568" t="s">
        <v>4020</v>
      </c>
      <c r="F568" t="str">
        <f>CONCATENATE("'",Sheet!E568)</f>
        <v>'111236</v>
      </c>
      <c r="G568" t="s">
        <v>1736</v>
      </c>
      <c r="H568" s="4" t="str">
        <f>Sheet!F568</f>
        <v>MEJIA DE LA ROSA SANTIAGO RENE</v>
      </c>
      <c r="I568" s="4" t="str">
        <f>Sheet!G568</f>
        <v>INGENIERÍA AUTOMOTRIZ</v>
      </c>
      <c r="J568" s="4" t="str">
        <f>Sheet!H568</f>
        <v>6to</v>
      </c>
      <c r="K568" s="4" t="str">
        <f>Sheet!I568</f>
        <v>Masculino</v>
      </c>
      <c r="L568" s="4" t="str">
        <f>Sheet!J568</f>
        <v>Activo</v>
      </c>
      <c r="M568" s="4" t="str">
        <f>Sheet!K568</f>
        <v xml:space="preserve">AUTO 6°   </v>
      </c>
    </row>
    <row r="569" spans="1:13" x14ac:dyDescent="0.35">
      <c r="A569" t="s">
        <v>1</v>
      </c>
      <c r="B569" s="5" t="s">
        <v>488</v>
      </c>
      <c r="C569" s="4" t="s">
        <v>835</v>
      </c>
      <c r="D569" s="4" t="s">
        <v>1037</v>
      </c>
      <c r="E569" t="s">
        <v>4023</v>
      </c>
      <c r="F569" t="str">
        <f>CONCATENATE("'",Sheet!E569)</f>
        <v>'111366</v>
      </c>
      <c r="G569" t="s">
        <v>1736</v>
      </c>
      <c r="H569" s="4" t="str">
        <f>Sheet!F569</f>
        <v>CAJERO EINUNG SARA AGALI</v>
      </c>
      <c r="I569" s="4" t="str">
        <f>Sheet!G569</f>
        <v>INGENIERIA CIBERNETICA Y EN SISTEMAS COMPUTACIONALES</v>
      </c>
      <c r="J569" s="4" t="str">
        <f>Sheet!H569</f>
        <v>6to</v>
      </c>
      <c r="K569" s="4" t="str">
        <f>Sheet!I569</f>
        <v>Femenino</v>
      </c>
      <c r="L569" s="4" t="str">
        <f>Sheet!J569</f>
        <v>Activo</v>
      </c>
      <c r="M569" s="4" t="str">
        <f>Sheet!K569</f>
        <v xml:space="preserve">CIB 6°    </v>
      </c>
    </row>
    <row r="570" spans="1:13" x14ac:dyDescent="0.35">
      <c r="A570" t="s">
        <v>1</v>
      </c>
      <c r="B570" s="5" t="s">
        <v>489</v>
      </c>
      <c r="C570" s="4" t="s">
        <v>836</v>
      </c>
      <c r="D570" s="4" t="s">
        <v>622</v>
      </c>
      <c r="E570" t="s">
        <v>4026</v>
      </c>
      <c r="F570" t="str">
        <f>CONCATENATE("'",Sheet!E570)</f>
        <v>'112276</v>
      </c>
      <c r="G570" t="s">
        <v>1736</v>
      </c>
      <c r="H570" s="4" t="str">
        <f>Sheet!F570</f>
        <v>LEON MUÑOZ SARA ALICIA</v>
      </c>
      <c r="I570" s="4" t="str">
        <f>Sheet!G570</f>
        <v>ARQUITECTURA</v>
      </c>
      <c r="J570" s="4" t="str">
        <f>Sheet!H570</f>
        <v>2do</v>
      </c>
      <c r="K570" s="4" t="str">
        <f>Sheet!I570</f>
        <v>Femenino</v>
      </c>
      <c r="L570" s="4" t="str">
        <f>Sheet!J570</f>
        <v>Activo</v>
      </c>
      <c r="M570" s="4" t="str">
        <f>Sheet!K570</f>
        <v xml:space="preserve">ARQ 2°    </v>
      </c>
    </row>
    <row r="571" spans="1:13" x14ac:dyDescent="0.35">
      <c r="A571" t="s">
        <v>1</v>
      </c>
      <c r="B571" s="5" t="s">
        <v>490</v>
      </c>
      <c r="C571" s="4" t="s">
        <v>837</v>
      </c>
      <c r="D571" s="4" t="s">
        <v>548</v>
      </c>
      <c r="E571" t="s">
        <v>4029</v>
      </c>
      <c r="F571" t="str">
        <f>CONCATENATE("'",Sheet!E571)</f>
        <v>'111250</v>
      </c>
      <c r="G571" t="s">
        <v>1736</v>
      </c>
      <c r="H571" s="4" t="str">
        <f>Sheet!F571</f>
        <v>BAJO PEREZ SARAHI</v>
      </c>
      <c r="I571" s="4" t="str">
        <f>Sheet!G571</f>
        <v>PSICOLOGIA</v>
      </c>
      <c r="J571" s="4" t="str">
        <f>Sheet!H571</f>
        <v>6to</v>
      </c>
      <c r="K571" s="4" t="str">
        <f>Sheet!I571</f>
        <v>Femenino</v>
      </c>
      <c r="L571" s="4" t="str">
        <f>Sheet!J571</f>
        <v>Activo</v>
      </c>
      <c r="M571" s="4" t="str">
        <f>Sheet!K571</f>
        <v xml:space="preserve">PSI 6°    </v>
      </c>
    </row>
    <row r="572" spans="1:13" x14ac:dyDescent="0.35">
      <c r="A572" t="s">
        <v>1</v>
      </c>
      <c r="B572" s="5" t="s">
        <v>491</v>
      </c>
      <c r="C572" s="4" t="s">
        <v>650</v>
      </c>
      <c r="D572" s="4" t="s">
        <v>841</v>
      </c>
      <c r="E572" t="s">
        <v>4032</v>
      </c>
      <c r="F572" t="str">
        <f>CONCATENATE("'",Sheet!E572)</f>
        <v>'111532</v>
      </c>
      <c r="G572" t="s">
        <v>1736</v>
      </c>
      <c r="H572" s="4" t="str">
        <f>Sheet!F572</f>
        <v>VILLALOBOS CARRILLO SAUL DE JESUS</v>
      </c>
      <c r="I572" s="4" t="str">
        <f>Sheet!G572</f>
        <v>INGENIERIA AEROESPACIAL</v>
      </c>
      <c r="J572" s="4" t="str">
        <f>Sheet!H572</f>
        <v>4to</v>
      </c>
      <c r="K572" s="4" t="str">
        <f>Sheet!I572</f>
        <v>Masculino</v>
      </c>
      <c r="L572" s="4" t="str">
        <f>Sheet!J572</f>
        <v>Activo</v>
      </c>
      <c r="M572" s="4" t="str">
        <f>Sheet!K572</f>
        <v xml:space="preserve">AERO 4°A  </v>
      </c>
    </row>
    <row r="573" spans="1:13" x14ac:dyDescent="0.35">
      <c r="A573" t="s">
        <v>1</v>
      </c>
      <c r="B573" s="5" t="s">
        <v>492</v>
      </c>
      <c r="C573" s="4" t="s">
        <v>589</v>
      </c>
      <c r="D573" s="4" t="s">
        <v>764</v>
      </c>
      <c r="E573" t="s">
        <v>4035</v>
      </c>
      <c r="F573" t="str">
        <f>CONCATENATE("'",Sheet!E573)</f>
        <v>'111093</v>
      </c>
      <c r="G573" t="s">
        <v>1736</v>
      </c>
      <c r="H573" s="4" t="str">
        <f>Sheet!F573</f>
        <v>GARCIA MEJIA SEBASTIAN</v>
      </c>
      <c r="I573" s="4" t="str">
        <f>Sheet!G573</f>
        <v>INGENIERIA AEROESPACIAL</v>
      </c>
      <c r="J573" s="4" t="str">
        <f>Sheet!H573</f>
        <v>6to</v>
      </c>
      <c r="K573" s="4" t="str">
        <f>Sheet!I573</f>
        <v>Masculino</v>
      </c>
      <c r="L573" s="4" t="str">
        <f>Sheet!J573</f>
        <v>Activo</v>
      </c>
      <c r="M573" s="4" t="str">
        <f>Sheet!K573</f>
        <v xml:space="preserve">AERO 6°   </v>
      </c>
    </row>
    <row r="574" spans="1:13" x14ac:dyDescent="0.35">
      <c r="A574" t="s">
        <v>1</v>
      </c>
      <c r="B574" s="5" t="s">
        <v>492</v>
      </c>
      <c r="C574" s="4" t="s">
        <v>838</v>
      </c>
      <c r="D574" s="4" t="s">
        <v>711</v>
      </c>
      <c r="E574" t="s">
        <v>4038</v>
      </c>
      <c r="F574" t="str">
        <f>CONCATENATE("'",Sheet!E574)</f>
        <v>'109812</v>
      </c>
      <c r="G574" t="s">
        <v>1736</v>
      </c>
      <c r="H574" s="4" t="str">
        <f>Sheet!F574</f>
        <v>MARTIN CAMPOS SEBASTIAN</v>
      </c>
      <c r="I574" s="4" t="str">
        <f>Sheet!G574</f>
        <v>INGENIERIA AEROESPACIAL</v>
      </c>
      <c r="J574" s="4" t="str">
        <f>Sheet!H574</f>
        <v>10mo</v>
      </c>
      <c r="K574" s="4" t="str">
        <f>Sheet!I574</f>
        <v>Masculino</v>
      </c>
      <c r="L574" s="4" t="str">
        <f>Sheet!J574</f>
        <v>Activo</v>
      </c>
      <c r="M574" s="4" t="str">
        <f>Sheet!K574</f>
        <v xml:space="preserve">AERO_10°  </v>
      </c>
    </row>
    <row r="575" spans="1:13" x14ac:dyDescent="0.35">
      <c r="A575" t="s">
        <v>1</v>
      </c>
      <c r="B575" s="5" t="s">
        <v>492</v>
      </c>
      <c r="C575" s="4" t="s">
        <v>802</v>
      </c>
      <c r="D575" s="4" t="s">
        <v>689</v>
      </c>
      <c r="E575" t="s">
        <v>4041</v>
      </c>
      <c r="F575" t="str">
        <f>CONCATENATE("'",Sheet!E575)</f>
        <v>'111127</v>
      </c>
      <c r="G575" t="s">
        <v>1736</v>
      </c>
      <c r="H575" s="4" t="str">
        <f>Sheet!F575</f>
        <v>ROCHA LOZANO SEBASTIAN</v>
      </c>
      <c r="I575" s="4" t="str">
        <f>Sheet!G575</f>
        <v>INGENIERÍA AUTOMOTRIZ</v>
      </c>
      <c r="J575" s="4" t="str">
        <f>Sheet!H575</f>
        <v>6to</v>
      </c>
      <c r="K575" s="4" t="str">
        <f>Sheet!I575</f>
        <v>Masculino</v>
      </c>
      <c r="L575" s="4" t="str">
        <f>Sheet!J575</f>
        <v>Activo</v>
      </c>
      <c r="M575" s="4" t="str">
        <f>Sheet!K575</f>
        <v xml:space="preserve">AUTO 6°   </v>
      </c>
    </row>
    <row r="576" spans="1:13" x14ac:dyDescent="0.35">
      <c r="A576" t="s">
        <v>1</v>
      </c>
      <c r="B576" s="5" t="s">
        <v>493</v>
      </c>
      <c r="C576" s="4" t="s">
        <v>839</v>
      </c>
      <c r="D576" s="4" t="s">
        <v>639</v>
      </c>
      <c r="E576" t="s">
        <v>4044</v>
      </c>
      <c r="F576" t="str">
        <f>CONCATENATE("'",Sheet!E576)</f>
        <v>'112192</v>
      </c>
      <c r="G576" t="s">
        <v>1736</v>
      </c>
      <c r="H576" s="4" t="str">
        <f>Sheet!F576</f>
        <v>PALAFOX FIGUEROA SEBASTIAN ALONSO</v>
      </c>
      <c r="I576" s="4" t="str">
        <f>Sheet!G576</f>
        <v>INGENIERÍA AUTOMOTRIZ</v>
      </c>
      <c r="J576" s="4" t="str">
        <f>Sheet!H576</f>
        <v>2do</v>
      </c>
      <c r="K576" s="4" t="str">
        <f>Sheet!I576</f>
        <v>Masculino</v>
      </c>
      <c r="L576" s="4" t="str">
        <f>Sheet!J576</f>
        <v>Activo</v>
      </c>
      <c r="M576" s="4" t="str">
        <f>Sheet!K576</f>
        <v xml:space="preserve">AUTO 2° B </v>
      </c>
    </row>
    <row r="577" spans="1:13" x14ac:dyDescent="0.35">
      <c r="A577" t="s">
        <v>1</v>
      </c>
      <c r="B577" s="5" t="s">
        <v>494</v>
      </c>
      <c r="C577" s="4" t="s">
        <v>840</v>
      </c>
      <c r="D577" s="4" t="s">
        <v>626</v>
      </c>
      <c r="E577" t="s">
        <v>4047</v>
      </c>
      <c r="F577" t="str">
        <f>CONCATENATE("'",Sheet!E577)</f>
        <v>'111226</v>
      </c>
      <c r="G577" t="s">
        <v>1736</v>
      </c>
      <c r="H577" s="4" t="str">
        <f>Sheet!F577</f>
        <v>APONTE NAVARRO SEBASTIAN EMILIANO</v>
      </c>
      <c r="I577" s="4" t="str">
        <f>Sheet!G577</f>
        <v>ADMINISTRACION Y DIRECCION DE NEGOCIOS</v>
      </c>
      <c r="J577" s="4" t="str">
        <f>Sheet!H577</f>
        <v>6to</v>
      </c>
      <c r="K577" s="4" t="str">
        <f>Sheet!I577</f>
        <v>Masculino</v>
      </c>
      <c r="L577" s="4" t="str">
        <f>Sheet!J577</f>
        <v>Activo</v>
      </c>
      <c r="M577" s="4" t="str">
        <f>Sheet!K577</f>
        <v xml:space="preserve">ADMON 6°  </v>
      </c>
    </row>
    <row r="578" spans="1:13" x14ac:dyDescent="0.35">
      <c r="A578" t="s">
        <v>1</v>
      </c>
      <c r="B578" s="5" t="s">
        <v>495</v>
      </c>
      <c r="C578" s="4" t="s">
        <v>615</v>
      </c>
      <c r="D578" s="4" t="s">
        <v>560</v>
      </c>
      <c r="E578" t="s">
        <v>4050</v>
      </c>
      <c r="F578" t="str">
        <f>CONCATENATE("'",Sheet!E578)</f>
        <v>'109836</v>
      </c>
      <c r="G578" t="s">
        <v>1736</v>
      </c>
      <c r="H578" s="4" t="str">
        <f>Sheet!F578</f>
        <v>GALLEGOS RAMOS SERGIO JOSE</v>
      </c>
      <c r="I578" s="4" t="str">
        <f>Sheet!G578</f>
        <v>PSICOLOGIA</v>
      </c>
      <c r="J578" s="4" t="str">
        <f>Sheet!H578</f>
        <v>8vo</v>
      </c>
      <c r="K578" s="4" t="str">
        <f>Sheet!I578</f>
        <v>Masculino</v>
      </c>
      <c r="L578" s="4" t="str">
        <f>Sheet!J578</f>
        <v>Activo</v>
      </c>
      <c r="M578" s="4" t="str">
        <f>Sheet!K578</f>
        <v xml:space="preserve">PSI 8°    </v>
      </c>
    </row>
    <row r="579" spans="1:13" x14ac:dyDescent="0.35">
      <c r="A579" t="s">
        <v>1</v>
      </c>
      <c r="B579" s="5" t="s">
        <v>496</v>
      </c>
      <c r="C579" s="4" t="s">
        <v>543</v>
      </c>
      <c r="D579" s="4" t="s">
        <v>539</v>
      </c>
      <c r="E579" t="s">
        <v>4053</v>
      </c>
      <c r="F579" t="str">
        <f>CONCATENATE("'",Sheet!E579)</f>
        <v>'111183</v>
      </c>
      <c r="G579" t="s">
        <v>1736</v>
      </c>
      <c r="H579" s="4" t="str">
        <f>Sheet!F579</f>
        <v>VAZQUEZ RODRIGUEZ SHARON SOFIA</v>
      </c>
      <c r="I579" s="4" t="str">
        <f>Sheet!G579</f>
        <v>ANIMACION DIGITAL Y VIDEOJUEGOS</v>
      </c>
      <c r="J579" s="4" t="str">
        <f>Sheet!H579</f>
        <v>6to</v>
      </c>
      <c r="K579" s="4" t="str">
        <f>Sheet!I579</f>
        <v>Femenino</v>
      </c>
      <c r="L579" s="4" t="str">
        <f>Sheet!J579</f>
        <v>Activo</v>
      </c>
      <c r="M579" s="4" t="str">
        <f>Sheet!K579</f>
        <v xml:space="preserve">ANIM 6°   </v>
      </c>
    </row>
    <row r="580" spans="1:13" x14ac:dyDescent="0.35">
      <c r="A580" t="s">
        <v>1</v>
      </c>
      <c r="B580" s="5" t="s">
        <v>497</v>
      </c>
      <c r="C580" s="4" t="s">
        <v>550</v>
      </c>
      <c r="D580" s="4" t="s">
        <v>629</v>
      </c>
      <c r="E580" t="s">
        <v>4056</v>
      </c>
      <c r="F580" t="str">
        <f>CONCATENATE("'",Sheet!E580)</f>
        <v>'112270</v>
      </c>
      <c r="G580" t="s">
        <v>1736</v>
      </c>
      <c r="H580" s="4" t="str">
        <f>Sheet!F580</f>
        <v>BARAJAS RAMIREZ SOFIA</v>
      </c>
      <c r="I580" s="4" t="str">
        <f>Sheet!G580</f>
        <v>PSICOLOGIA</v>
      </c>
      <c r="J580" s="4" t="str">
        <f>Sheet!H580</f>
        <v>2do</v>
      </c>
      <c r="K580" s="4" t="str">
        <f>Sheet!I580</f>
        <v>Femenino</v>
      </c>
      <c r="L580" s="4" t="str">
        <f>Sheet!J580</f>
        <v>Activo</v>
      </c>
      <c r="M580" s="4" t="str">
        <f>Sheet!K580</f>
        <v xml:space="preserve">PSI 2°    </v>
      </c>
    </row>
    <row r="581" spans="1:13" x14ac:dyDescent="0.35">
      <c r="A581" t="s">
        <v>1</v>
      </c>
      <c r="B581" s="5" t="s">
        <v>497</v>
      </c>
      <c r="C581" s="4" t="s">
        <v>841</v>
      </c>
      <c r="D581" s="4" t="s">
        <v>1038</v>
      </c>
      <c r="E581" t="s">
        <v>4059</v>
      </c>
      <c r="F581" t="str">
        <f>CONCATENATE("'",Sheet!E581)</f>
        <v>'109835</v>
      </c>
      <c r="G581" t="s">
        <v>1736</v>
      </c>
      <c r="H581" s="4" t="str">
        <f>Sheet!F581</f>
        <v>CARRILLO MATUS SOFIA</v>
      </c>
      <c r="I581" s="4" t="str">
        <f>Sheet!G581</f>
        <v>INGENIERIA AEROESPACIAL</v>
      </c>
      <c r="J581" s="4" t="str">
        <f>Sheet!H581</f>
        <v>8vo</v>
      </c>
      <c r="K581" s="4" t="str">
        <f>Sheet!I581</f>
        <v>Femenino</v>
      </c>
      <c r="L581" s="4" t="str">
        <f>Sheet!J581</f>
        <v>Activo</v>
      </c>
      <c r="M581" s="4" t="str">
        <f>Sheet!K581</f>
        <v xml:space="preserve">AERO 8°   </v>
      </c>
    </row>
    <row r="582" spans="1:13" x14ac:dyDescent="0.35">
      <c r="A582" t="s">
        <v>1</v>
      </c>
      <c r="B582" s="5" t="s">
        <v>497</v>
      </c>
      <c r="C582" s="4" t="s">
        <v>842</v>
      </c>
      <c r="D582" s="4" t="s">
        <v>1039</v>
      </c>
      <c r="E582" t="s">
        <v>4062</v>
      </c>
      <c r="F582" t="str">
        <f>CONCATENATE("'",Sheet!E582)</f>
        <v>'007080</v>
      </c>
      <c r="G582" t="s">
        <v>1736</v>
      </c>
      <c r="H582" s="4" t="str">
        <f>Sheet!F582</f>
        <v>MANCILLA PAVIA SOFIA</v>
      </c>
      <c r="I582" s="4" t="str">
        <f>Sheet!G582</f>
        <v>DISEÑO GRAFICO Y DIGITAL</v>
      </c>
      <c r="J582" s="4" t="str">
        <f>Sheet!H582</f>
        <v>8vo</v>
      </c>
      <c r="K582" s="4" t="str">
        <f>Sheet!I582</f>
        <v>Femenino</v>
      </c>
      <c r="L582" s="4" t="str">
        <f>Sheet!J582</f>
        <v>Activo</v>
      </c>
      <c r="M582" s="4" t="str">
        <f>Sheet!K582</f>
        <v xml:space="preserve">DGD 8°    </v>
      </c>
    </row>
    <row r="583" spans="1:13" x14ac:dyDescent="0.35">
      <c r="A583" t="s">
        <v>1</v>
      </c>
      <c r="B583" s="5" t="s">
        <v>497</v>
      </c>
      <c r="C583" s="4" t="s">
        <v>843</v>
      </c>
      <c r="D583" s="4" t="s">
        <v>924</v>
      </c>
      <c r="E583" t="s">
        <v>4065</v>
      </c>
      <c r="F583" t="str">
        <f>CONCATENATE("'",Sheet!E583)</f>
        <v>'110504</v>
      </c>
      <c r="G583" t="s">
        <v>1736</v>
      </c>
      <c r="H583" s="4" t="str">
        <f>Sheet!F583</f>
        <v>PARTIDA BARBA SOFIA</v>
      </c>
      <c r="I583" s="4" t="str">
        <f>Sheet!G583</f>
        <v>NUTRICION Y GASTRONOMIA</v>
      </c>
      <c r="J583" s="4" t="str">
        <f>Sheet!H583</f>
        <v>8vo</v>
      </c>
      <c r="K583" s="4" t="str">
        <f>Sheet!I583</f>
        <v>Femenino</v>
      </c>
      <c r="L583" s="4" t="str">
        <f>Sheet!J583</f>
        <v>Activo</v>
      </c>
      <c r="M583" s="4" t="str">
        <f>Sheet!K583</f>
        <v xml:space="preserve">NUT 8°    </v>
      </c>
    </row>
    <row r="584" spans="1:13" x14ac:dyDescent="0.35">
      <c r="A584" t="s">
        <v>1</v>
      </c>
      <c r="B584" s="5" t="s">
        <v>497</v>
      </c>
      <c r="C584" s="4" t="s">
        <v>820</v>
      </c>
      <c r="D584" s="4" t="s">
        <v>544</v>
      </c>
      <c r="E584" t="s">
        <v>4067</v>
      </c>
      <c r="F584" t="str">
        <f>CONCATENATE("'",Sheet!E584)</f>
        <v>'110569</v>
      </c>
      <c r="G584" t="s">
        <v>1736</v>
      </c>
      <c r="H584" s="4" t="str">
        <f>Sheet!F584</f>
        <v>SOLAEGUI HERNANDEZ SOFIA</v>
      </c>
      <c r="I584" s="4" t="str">
        <f>Sheet!G584</f>
        <v>PSICOLOGIA</v>
      </c>
      <c r="J584" s="4" t="str">
        <f>Sheet!H584</f>
        <v>8vo</v>
      </c>
      <c r="K584" s="4" t="str">
        <f>Sheet!I584</f>
        <v>Femenino</v>
      </c>
      <c r="L584" s="4" t="str">
        <f>Sheet!J584</f>
        <v>Activo</v>
      </c>
      <c r="M584" s="4" t="str">
        <f>Sheet!K584</f>
        <v xml:space="preserve">PSI 8°    </v>
      </c>
    </row>
    <row r="585" spans="1:13" x14ac:dyDescent="0.35">
      <c r="A585" t="s">
        <v>1</v>
      </c>
      <c r="B585" s="5" t="s">
        <v>498</v>
      </c>
      <c r="C585" s="4" t="s">
        <v>844</v>
      </c>
      <c r="D585" s="4" t="s">
        <v>539</v>
      </c>
      <c r="E585" t="s">
        <v>4070</v>
      </c>
      <c r="F585" t="str">
        <f>CONCATENATE("'",Sheet!E585)</f>
        <v>'111088</v>
      </c>
      <c r="G585" t="s">
        <v>1736</v>
      </c>
      <c r="H585" s="4" t="str">
        <f>Sheet!F585</f>
        <v>MARMOLEJO RODRIGUEZ SONIA XIMENA</v>
      </c>
      <c r="I585" s="4" t="str">
        <f>Sheet!G585</f>
        <v>ADMINISTRACION Y DIRECCION DE NEGOCIOS</v>
      </c>
      <c r="J585" s="4" t="str">
        <f>Sheet!H585</f>
        <v>6to</v>
      </c>
      <c r="K585" s="4" t="str">
        <f>Sheet!I585</f>
        <v>Femenino</v>
      </c>
      <c r="L585" s="4" t="str">
        <f>Sheet!J585</f>
        <v>Activo</v>
      </c>
      <c r="M585" s="4" t="str">
        <f>Sheet!K585</f>
        <v xml:space="preserve">ADMON 6°  </v>
      </c>
    </row>
    <row r="586" spans="1:13" x14ac:dyDescent="0.35">
      <c r="A586" t="s">
        <v>1</v>
      </c>
      <c r="B586" s="5" t="s">
        <v>499</v>
      </c>
      <c r="C586" s="4" t="s">
        <v>656</v>
      </c>
      <c r="D586" s="4" t="s">
        <v>593</v>
      </c>
      <c r="E586" t="s">
        <v>4073</v>
      </c>
      <c r="F586" t="str">
        <f>CONCATENATE("'",Sheet!E586)</f>
        <v>'111075</v>
      </c>
      <c r="G586" t="s">
        <v>1736</v>
      </c>
      <c r="H586" s="4" t="str">
        <f>Sheet!F586</f>
        <v>CONTRERAS SANCHEZ TANIA DE LOS ANGELES</v>
      </c>
      <c r="I586" s="4" t="str">
        <f>Sheet!G586</f>
        <v>INGENIERIA AEROESPACIAL</v>
      </c>
      <c r="J586" s="4" t="str">
        <f>Sheet!H586</f>
        <v>6to</v>
      </c>
      <c r="K586" s="4" t="str">
        <f>Sheet!I586</f>
        <v>Femenino</v>
      </c>
      <c r="L586" s="4" t="str">
        <f>Sheet!J586</f>
        <v>Activo</v>
      </c>
      <c r="M586" s="4" t="str">
        <f>Sheet!K586</f>
        <v xml:space="preserve">AERO 6°   </v>
      </c>
    </row>
    <row r="587" spans="1:13" x14ac:dyDescent="0.35">
      <c r="A587" t="s">
        <v>1</v>
      </c>
      <c r="B587" s="5" t="s">
        <v>500</v>
      </c>
      <c r="C587" s="4" t="s">
        <v>597</v>
      </c>
      <c r="D587" s="4" t="s">
        <v>1040</v>
      </c>
      <c r="E587" t="s">
        <v>4076</v>
      </c>
      <c r="F587" t="str">
        <f>CONCATENATE("'",Sheet!E587)</f>
        <v>'111311</v>
      </c>
      <c r="G587" t="s">
        <v>1736</v>
      </c>
      <c r="H587" s="4" t="str">
        <f>Sheet!F587</f>
        <v>RIVERA RANGEL TANIA FERNANDA</v>
      </c>
      <c r="I587" s="4" t="str">
        <f>Sheet!G587</f>
        <v>ARQUITECTURA</v>
      </c>
      <c r="J587" s="4" t="str">
        <f>Sheet!H587</f>
        <v>4to</v>
      </c>
      <c r="K587" s="4" t="str">
        <f>Sheet!I587</f>
        <v>Femenino</v>
      </c>
      <c r="L587" s="4" t="str">
        <f>Sheet!J587</f>
        <v>Activo</v>
      </c>
      <c r="M587" s="4" t="str">
        <f>Sheet!K587</f>
        <v xml:space="preserve">ARQ 4°    </v>
      </c>
    </row>
    <row r="588" spans="1:13" x14ac:dyDescent="0.35">
      <c r="A588" t="s">
        <v>1</v>
      </c>
      <c r="B588" s="5" t="s">
        <v>501</v>
      </c>
      <c r="C588" s="4" t="s">
        <v>845</v>
      </c>
      <c r="D588" s="4" t="s">
        <v>636</v>
      </c>
      <c r="E588" t="s">
        <v>4079</v>
      </c>
      <c r="F588" t="str">
        <f>CONCATENATE("'",Sheet!E588)</f>
        <v>'111165</v>
      </c>
      <c r="G588" t="s">
        <v>1736</v>
      </c>
      <c r="H588" s="4" t="str">
        <f>Sheet!F588</f>
        <v>GALLI MARTINEZ TATIANA</v>
      </c>
      <c r="I588" s="4" t="str">
        <f>Sheet!G588</f>
        <v>PSICOLOGIA</v>
      </c>
      <c r="J588" s="4" t="str">
        <f>Sheet!H588</f>
        <v>6to</v>
      </c>
      <c r="K588" s="4" t="str">
        <f>Sheet!I588</f>
        <v>Femenino</v>
      </c>
      <c r="L588" s="4" t="str">
        <f>Sheet!J588</f>
        <v>Activo</v>
      </c>
      <c r="M588" s="4" t="str">
        <f>Sheet!K588</f>
        <v xml:space="preserve">PSI 6°    </v>
      </c>
    </row>
    <row r="589" spans="1:13" x14ac:dyDescent="0.35">
      <c r="A589" t="s">
        <v>1</v>
      </c>
      <c r="B589" s="5" t="s">
        <v>502</v>
      </c>
      <c r="C589" s="4" t="s">
        <v>846</v>
      </c>
      <c r="D589" s="4" t="s">
        <v>1041</v>
      </c>
      <c r="E589" t="s">
        <v>4082</v>
      </c>
      <c r="F589" t="str">
        <f>CONCATENATE("'",Sheet!E589)</f>
        <v>'112148</v>
      </c>
      <c r="G589" t="s">
        <v>1736</v>
      </c>
      <c r="H589" s="4" t="str">
        <f>Sheet!F589</f>
        <v>AVENDAÑO PANI UBALDO</v>
      </c>
      <c r="I589" s="4" t="str">
        <f>Sheet!G589</f>
        <v>INGENIERIA AEROESPACIAL</v>
      </c>
      <c r="J589" s="4" t="str">
        <f>Sheet!H589</f>
        <v>2do</v>
      </c>
      <c r="K589" s="4" t="str">
        <f>Sheet!I589</f>
        <v>Masculino</v>
      </c>
      <c r="L589" s="4" t="str">
        <f>Sheet!J589</f>
        <v>Activo</v>
      </c>
      <c r="M589" s="4" t="str">
        <f>Sheet!K589</f>
        <v xml:space="preserve">AERO 2°B  </v>
      </c>
    </row>
    <row r="590" spans="1:13" x14ac:dyDescent="0.35">
      <c r="A590" t="s">
        <v>1</v>
      </c>
      <c r="B590" s="5" t="s">
        <v>503</v>
      </c>
      <c r="C590" s="4" t="s">
        <v>531</v>
      </c>
      <c r="D590" s="4" t="s">
        <v>621</v>
      </c>
      <c r="E590" t="s">
        <v>4085</v>
      </c>
      <c r="F590" t="str">
        <f>CONCATENATE("'",Sheet!E590)</f>
        <v>'110667</v>
      </c>
      <c r="G590" t="s">
        <v>1736</v>
      </c>
      <c r="H590" s="4" t="str">
        <f>Sheet!F590</f>
        <v>GONZALEZ LOPEZ ULISES JOSELL</v>
      </c>
      <c r="I590" s="4" t="str">
        <f>Sheet!G590</f>
        <v>INGENIERIA CIBERNETICA Y EN SISTEMAS COMPUTACIONALES</v>
      </c>
      <c r="J590" s="4" t="str">
        <f>Sheet!H590</f>
        <v>8vo</v>
      </c>
      <c r="K590" s="4" t="str">
        <f>Sheet!I590</f>
        <v>Masculino</v>
      </c>
      <c r="L590" s="4" t="str">
        <f>Sheet!J590</f>
        <v>Activo</v>
      </c>
      <c r="M590" s="4" t="str">
        <f>Sheet!K590</f>
        <v xml:space="preserve">CIB 8°    </v>
      </c>
    </row>
    <row r="591" spans="1:13" x14ac:dyDescent="0.35">
      <c r="A591" t="s">
        <v>1</v>
      </c>
      <c r="B591" s="5" t="s">
        <v>504</v>
      </c>
      <c r="C591" s="4" t="s">
        <v>847</v>
      </c>
      <c r="D591" s="4" t="s">
        <v>629</v>
      </c>
      <c r="E591" t="s">
        <v>4088</v>
      </c>
      <c r="F591" t="str">
        <f>CONCATENATE("'",Sheet!E591)</f>
        <v>'111664</v>
      </c>
      <c r="G591" t="s">
        <v>1736</v>
      </c>
      <c r="H591" s="4" t="str">
        <f>Sheet!F591</f>
        <v>ESCALANTE RAMIREZ VALENTINA</v>
      </c>
      <c r="I591" s="4" t="str">
        <f>Sheet!G591</f>
        <v>INGENIERIA AEROESPACIAL</v>
      </c>
      <c r="J591" s="4" t="str">
        <f>Sheet!H591</f>
        <v>4to</v>
      </c>
      <c r="K591" s="4" t="str">
        <f>Sheet!I591</f>
        <v>Femenino</v>
      </c>
      <c r="L591" s="4" t="str">
        <f>Sheet!J591</f>
        <v>Activo</v>
      </c>
      <c r="M591" s="4" t="str">
        <f>Sheet!K591</f>
        <v xml:space="preserve">AERO 4°A  </v>
      </c>
    </row>
    <row r="592" spans="1:13" x14ac:dyDescent="0.35">
      <c r="A592" t="s">
        <v>1</v>
      </c>
      <c r="B592" s="5" t="s">
        <v>504</v>
      </c>
      <c r="C592" s="4" t="s">
        <v>848</v>
      </c>
      <c r="D592" s="4" t="s">
        <v>539</v>
      </c>
      <c r="E592" t="s">
        <v>4091</v>
      </c>
      <c r="F592" t="str">
        <f>CONCATENATE("'",Sheet!E592)</f>
        <v>'112204</v>
      </c>
      <c r="G592" t="s">
        <v>1736</v>
      </c>
      <c r="H592" s="4" t="str">
        <f>Sheet!F592</f>
        <v>PALOMINO RODRIGUEZ VALENTINA</v>
      </c>
      <c r="I592" s="4" t="str">
        <f>Sheet!G592</f>
        <v>INGENIERÍA AUTOMOTRIZ</v>
      </c>
      <c r="J592" s="4" t="str">
        <f>Sheet!H592</f>
        <v>2do</v>
      </c>
      <c r="K592" s="4" t="str">
        <f>Sheet!I592</f>
        <v>Femenino</v>
      </c>
      <c r="L592" s="4" t="str">
        <f>Sheet!J592</f>
        <v>Activo</v>
      </c>
      <c r="M592" s="4" t="str">
        <f>Sheet!K592</f>
        <v xml:space="preserve">AUTO 2° B </v>
      </c>
    </row>
    <row r="593" spans="1:13" x14ac:dyDescent="0.35">
      <c r="A593" t="s">
        <v>1</v>
      </c>
      <c r="B593" s="5" t="s">
        <v>505</v>
      </c>
      <c r="C593" s="4" t="s">
        <v>849</v>
      </c>
      <c r="D593" s="4" t="s">
        <v>787</v>
      </c>
      <c r="E593" t="s">
        <v>4094</v>
      </c>
      <c r="F593" t="str">
        <f>CONCATENATE("'",Sheet!E593)</f>
        <v>'111808</v>
      </c>
      <c r="G593" t="s">
        <v>1736</v>
      </c>
      <c r="H593" s="4" t="str">
        <f>Sheet!F593</f>
        <v>ELIZALDE QUINTERO VALENTINO</v>
      </c>
      <c r="I593" s="4" t="str">
        <f>Sheet!G593</f>
        <v>INGENIERIA AEROESPACIAL</v>
      </c>
      <c r="J593" s="4" t="str">
        <f>Sheet!H593</f>
        <v>4to</v>
      </c>
      <c r="K593" s="4" t="str">
        <f>Sheet!I593</f>
        <v>Masculino</v>
      </c>
      <c r="L593" s="4" t="str">
        <f>Sheet!J593</f>
        <v>Activo</v>
      </c>
      <c r="M593" s="4" t="str">
        <f>Sheet!K593</f>
        <v xml:space="preserve">AERO 4°B  </v>
      </c>
    </row>
    <row r="594" spans="1:13" x14ac:dyDescent="0.35">
      <c r="A594" t="s">
        <v>1</v>
      </c>
      <c r="B594" s="5" t="s">
        <v>506</v>
      </c>
      <c r="C594" s="4" t="s">
        <v>850</v>
      </c>
      <c r="D594" s="4" t="s">
        <v>531</v>
      </c>
      <c r="E594" t="s">
        <v>4097</v>
      </c>
      <c r="F594" t="str">
        <f>CONCATENATE("'",Sheet!E594)</f>
        <v>'111238</v>
      </c>
      <c r="G594" t="s">
        <v>1736</v>
      </c>
      <c r="H594" s="4" t="str">
        <f>Sheet!F594</f>
        <v>ALEJO GONZALEZ VALERIA</v>
      </c>
      <c r="I594" s="4" t="str">
        <f>Sheet!G594</f>
        <v>ARQUITECTURA</v>
      </c>
      <c r="J594" s="4" t="str">
        <f>Sheet!H594</f>
        <v>6to</v>
      </c>
      <c r="K594" s="4" t="str">
        <f>Sheet!I594</f>
        <v>Femenino</v>
      </c>
      <c r="L594" s="4" t="str">
        <f>Sheet!J594</f>
        <v>Activo</v>
      </c>
      <c r="M594" s="4" t="str">
        <f>Sheet!K594</f>
        <v xml:space="preserve">ARQ 6°    </v>
      </c>
    </row>
    <row r="595" spans="1:13" x14ac:dyDescent="0.35">
      <c r="A595" t="s">
        <v>1</v>
      </c>
      <c r="B595" s="5" t="s">
        <v>506</v>
      </c>
      <c r="C595" s="4" t="s">
        <v>751</v>
      </c>
      <c r="D595" s="4" t="s">
        <v>1042</v>
      </c>
      <c r="E595" t="s">
        <v>4100</v>
      </c>
      <c r="F595" t="str">
        <f>CONCATENATE("'",Sheet!E595)</f>
        <v>'007093</v>
      </c>
      <c r="G595" t="s">
        <v>1736</v>
      </c>
      <c r="H595" s="4" t="str">
        <f>Sheet!F595</f>
        <v>BAÑUELOS MONTEVERDE VALERIA</v>
      </c>
      <c r="I595" s="4" t="str">
        <f>Sheet!G595</f>
        <v>INGENIERIA CIBERNETICA Y EN SISTEMAS COMPUTACIONALES</v>
      </c>
      <c r="J595" s="4" t="str">
        <f>Sheet!H595</f>
        <v>8vo</v>
      </c>
      <c r="K595" s="4" t="str">
        <f>Sheet!I595</f>
        <v>Femenino</v>
      </c>
      <c r="L595" s="4" t="str">
        <f>Sheet!J595</f>
        <v>Activo</v>
      </c>
      <c r="M595" s="4" t="str">
        <f>Sheet!K595</f>
        <v xml:space="preserve">CIB 8°    </v>
      </c>
    </row>
    <row r="596" spans="1:13" x14ac:dyDescent="0.35">
      <c r="A596" t="s">
        <v>1</v>
      </c>
      <c r="B596" s="5" t="s">
        <v>506</v>
      </c>
      <c r="C596" s="4" t="s">
        <v>851</v>
      </c>
      <c r="D596" s="4" t="s">
        <v>635</v>
      </c>
      <c r="E596" t="s">
        <v>4103</v>
      </c>
      <c r="F596" t="str">
        <f>CONCATENATE("'",Sheet!E596)</f>
        <v>'111386</v>
      </c>
      <c r="G596" t="s">
        <v>1736</v>
      </c>
      <c r="H596" s="4" t="str">
        <f>Sheet!F596</f>
        <v>BUITRON VALENCIA VALERIA</v>
      </c>
      <c r="I596" s="4" t="str">
        <f>Sheet!G596</f>
        <v>PSICOLOGIA</v>
      </c>
      <c r="J596" s="4" t="str">
        <f>Sheet!H596</f>
        <v>8vo</v>
      </c>
      <c r="K596" s="4" t="str">
        <f>Sheet!I596</f>
        <v>Femenino</v>
      </c>
      <c r="L596" s="4" t="str">
        <f>Sheet!J596</f>
        <v>Activo</v>
      </c>
      <c r="M596" s="4" t="str">
        <f>Sheet!K596</f>
        <v xml:space="preserve">PSI 8°    </v>
      </c>
    </row>
    <row r="597" spans="1:13" x14ac:dyDescent="0.35">
      <c r="A597" t="s">
        <v>1</v>
      </c>
      <c r="B597" s="5" t="s">
        <v>506</v>
      </c>
      <c r="C597" s="4" t="s">
        <v>630</v>
      </c>
      <c r="D597" s="4" t="s">
        <v>621</v>
      </c>
      <c r="E597" t="s">
        <v>4106</v>
      </c>
      <c r="F597" t="str">
        <f>CONCATENATE("'",Sheet!E597)</f>
        <v>'111816</v>
      </c>
      <c r="G597" t="s">
        <v>1736</v>
      </c>
      <c r="H597" s="4" t="str">
        <f>Sheet!F597</f>
        <v>CASTILLO LOPEZ VALERIA</v>
      </c>
      <c r="I597" s="4" t="str">
        <f>Sheet!G597</f>
        <v>ADMINISTRACION Y DIRECCION DE NEGOCIOS</v>
      </c>
      <c r="J597" s="4" t="str">
        <f>Sheet!H597</f>
        <v>4to</v>
      </c>
      <c r="K597" s="4" t="str">
        <f>Sheet!I597</f>
        <v>Femenino</v>
      </c>
      <c r="L597" s="4" t="str">
        <f>Sheet!J597</f>
        <v>Activo</v>
      </c>
      <c r="M597" s="4" t="str">
        <f>Sheet!K597</f>
        <v xml:space="preserve">ADMON 4°  </v>
      </c>
    </row>
    <row r="598" spans="1:13" x14ac:dyDescent="0.35">
      <c r="A598" t="s">
        <v>1</v>
      </c>
      <c r="B598" s="5" t="s">
        <v>506</v>
      </c>
      <c r="C598" s="4" t="s">
        <v>852</v>
      </c>
      <c r="D598" s="4" t="s">
        <v>681</v>
      </c>
      <c r="E598" t="s">
        <v>4109</v>
      </c>
      <c r="F598" t="str">
        <f>CONCATENATE("'",Sheet!E598)</f>
        <v>'110630</v>
      </c>
      <c r="G598" t="s">
        <v>1736</v>
      </c>
      <c r="H598" s="4" t="str">
        <f>Sheet!F598</f>
        <v>GALLO ACEVES VALERIA</v>
      </c>
      <c r="I598" s="4" t="str">
        <f>Sheet!G598</f>
        <v>DERECHO</v>
      </c>
      <c r="J598" s="4" t="str">
        <f>Sheet!H598</f>
        <v>8vo</v>
      </c>
      <c r="K598" s="4" t="str">
        <f>Sheet!I598</f>
        <v>Femenino</v>
      </c>
      <c r="L598" s="4" t="str">
        <f>Sheet!J598</f>
        <v>Activo</v>
      </c>
      <c r="M598" s="4" t="str">
        <f>Sheet!K598</f>
        <v xml:space="preserve">DER 8°    </v>
      </c>
    </row>
    <row r="599" spans="1:13" x14ac:dyDescent="0.35">
      <c r="A599" t="s">
        <v>1</v>
      </c>
      <c r="B599" s="5" t="s">
        <v>506</v>
      </c>
      <c r="C599" s="4" t="s">
        <v>853</v>
      </c>
      <c r="D599" s="4" t="s">
        <v>736</v>
      </c>
      <c r="E599" t="s">
        <v>4112</v>
      </c>
      <c r="F599" t="str">
        <f>CONCATENATE("'",Sheet!E599)</f>
        <v>'110458</v>
      </c>
      <c r="G599" t="s">
        <v>1736</v>
      </c>
      <c r="H599" s="4" t="str">
        <f>Sheet!F599</f>
        <v>GALVEZ DIAZ VALERIA</v>
      </c>
      <c r="I599" s="4" t="str">
        <f>Sheet!G599</f>
        <v>INGENIERIA AEROESPACIAL</v>
      </c>
      <c r="J599" s="4" t="str">
        <f>Sheet!H599</f>
        <v>8vo</v>
      </c>
      <c r="K599" s="4" t="str">
        <f>Sheet!I599</f>
        <v>Femenino</v>
      </c>
      <c r="L599" s="4" t="str">
        <f>Sheet!J599</f>
        <v>Activo</v>
      </c>
      <c r="M599" s="4" t="str">
        <f>Sheet!K599</f>
        <v xml:space="preserve">AERO 8°   </v>
      </c>
    </row>
    <row r="600" spans="1:13" x14ac:dyDescent="0.35">
      <c r="A600" t="s">
        <v>1</v>
      </c>
      <c r="B600" s="5" t="s">
        <v>506</v>
      </c>
      <c r="C600" s="4" t="s">
        <v>544</v>
      </c>
      <c r="D600" s="4" t="s">
        <v>679</v>
      </c>
      <c r="E600" t="s">
        <v>4115</v>
      </c>
      <c r="F600" t="str">
        <f>CONCATENATE("'",Sheet!E600)</f>
        <v>'112308</v>
      </c>
      <c r="G600" t="s">
        <v>1736</v>
      </c>
      <c r="H600" s="4" t="str">
        <f>Sheet!F600</f>
        <v>HERNANDEZ GOMEZ VALERIA</v>
      </c>
      <c r="I600" s="4" t="str">
        <f>Sheet!G600</f>
        <v>PSICOLOGIA</v>
      </c>
      <c r="J600" s="4" t="str">
        <f>Sheet!H600</f>
        <v>2do</v>
      </c>
      <c r="K600" s="4" t="str">
        <f>Sheet!I600</f>
        <v>Femenino</v>
      </c>
      <c r="L600" s="4" t="str">
        <f>Sheet!J600</f>
        <v>Activo</v>
      </c>
      <c r="M600" s="4" t="str">
        <f>Sheet!K600</f>
        <v xml:space="preserve">PSI 2°    </v>
      </c>
    </row>
    <row r="601" spans="1:13" x14ac:dyDescent="0.35">
      <c r="A601" t="s">
        <v>1</v>
      </c>
      <c r="B601" s="5" t="s">
        <v>506</v>
      </c>
      <c r="C601" s="4" t="s">
        <v>854</v>
      </c>
      <c r="D601" s="4" t="s">
        <v>897</v>
      </c>
      <c r="E601" t="s">
        <v>4118</v>
      </c>
      <c r="F601" t="str">
        <f>CONCATENATE("'",Sheet!E601)</f>
        <v>'110624</v>
      </c>
      <c r="G601" t="s">
        <v>1736</v>
      </c>
      <c r="H601" s="4" t="str">
        <f>Sheet!F601</f>
        <v>ORTEGA CANO VALERIA</v>
      </c>
      <c r="I601" s="4" t="str">
        <f>Sheet!G601</f>
        <v>MERCADOTECNIA Y PUBLICIDAD</v>
      </c>
      <c r="J601" s="4" t="str">
        <f>Sheet!H601</f>
        <v>8vo</v>
      </c>
      <c r="K601" s="4" t="str">
        <f>Sheet!I601</f>
        <v>Femenino</v>
      </c>
      <c r="L601" s="4" t="str">
        <f>Sheet!J601</f>
        <v>Activo</v>
      </c>
      <c r="M601" s="4" t="str">
        <f>Sheet!K601</f>
        <v xml:space="preserve">MKT 8°    </v>
      </c>
    </row>
    <row r="602" spans="1:13" x14ac:dyDescent="0.35">
      <c r="A602" t="s">
        <v>1</v>
      </c>
      <c r="B602" s="5" t="s">
        <v>506</v>
      </c>
      <c r="C602" s="4" t="s">
        <v>855</v>
      </c>
      <c r="D602" s="4" t="s">
        <v>873</v>
      </c>
      <c r="E602" t="s">
        <v>4121</v>
      </c>
      <c r="F602" t="str">
        <f>CONCATENATE("'",Sheet!E602)</f>
        <v>'112254</v>
      </c>
      <c r="G602" t="s">
        <v>1736</v>
      </c>
      <c r="H602" s="4" t="str">
        <f>Sheet!F602</f>
        <v>SALDAÑA VARGAS VALERIA</v>
      </c>
      <c r="I602" s="4" t="str">
        <f>Sheet!G602</f>
        <v>INGENIERIA AEROESPACIAL</v>
      </c>
      <c r="J602" s="4" t="str">
        <f>Sheet!H602</f>
        <v>2do</v>
      </c>
      <c r="K602" s="4" t="str">
        <f>Sheet!I602</f>
        <v>Femenino</v>
      </c>
      <c r="L602" s="4" t="str">
        <f>Sheet!J602</f>
        <v>Activo</v>
      </c>
      <c r="M602" s="4" t="str">
        <f>Sheet!K602</f>
        <v xml:space="preserve">AERO 2°A  </v>
      </c>
    </row>
    <row r="603" spans="1:13" x14ac:dyDescent="0.35">
      <c r="A603" t="s">
        <v>1</v>
      </c>
      <c r="B603" s="5" t="s">
        <v>506</v>
      </c>
      <c r="C603" s="4" t="s">
        <v>600</v>
      </c>
      <c r="D603" s="4" t="s">
        <v>1043</v>
      </c>
      <c r="E603" t="s">
        <v>4124</v>
      </c>
      <c r="F603" t="str">
        <f>CONCATENATE("'",Sheet!E603)</f>
        <v>'111785</v>
      </c>
      <c r="G603" t="s">
        <v>1736</v>
      </c>
      <c r="H603" s="4" t="str">
        <f>Sheet!F603</f>
        <v>TORRES FARIAS VALERIA</v>
      </c>
      <c r="I603" s="4" t="str">
        <f>Sheet!G603</f>
        <v>ANIMACION DIGITAL Y VIDEOJUEGOS</v>
      </c>
      <c r="J603" s="4" t="str">
        <f>Sheet!H603</f>
        <v>4to</v>
      </c>
      <c r="K603" s="4" t="str">
        <f>Sheet!I603</f>
        <v>Femenino</v>
      </c>
      <c r="L603" s="4" t="str">
        <f>Sheet!J603</f>
        <v>Activo</v>
      </c>
      <c r="M603" s="4" t="str">
        <f>Sheet!K603</f>
        <v xml:space="preserve">ANIM 4°   </v>
      </c>
    </row>
    <row r="604" spans="1:13" x14ac:dyDescent="0.35">
      <c r="A604" t="s">
        <v>1</v>
      </c>
      <c r="B604" s="5" t="s">
        <v>507</v>
      </c>
      <c r="C604" s="4" t="s">
        <v>767</v>
      </c>
      <c r="D604" s="4" t="s">
        <v>876</v>
      </c>
      <c r="E604" t="s">
        <v>4127</v>
      </c>
      <c r="F604" t="str">
        <f>CONCATENATE("'",Sheet!E604)</f>
        <v>'111778</v>
      </c>
      <c r="G604" t="s">
        <v>1736</v>
      </c>
      <c r="H604" s="4" t="str">
        <f>Sheet!F604</f>
        <v>ESTRADA GIL VALERIA ALEJANDRA</v>
      </c>
      <c r="I604" s="4" t="str">
        <f>Sheet!G604</f>
        <v>ADMINISTRACION Y DIRECCION DE NEGOCIOS</v>
      </c>
      <c r="J604" s="4" t="str">
        <f>Sheet!H604</f>
        <v>4to</v>
      </c>
      <c r="K604" s="4" t="str">
        <f>Sheet!I604</f>
        <v>Femenino</v>
      </c>
      <c r="L604" s="4" t="str">
        <f>Sheet!J604</f>
        <v>Activo</v>
      </c>
      <c r="M604" s="4" t="str">
        <f>Sheet!K604</f>
        <v xml:space="preserve">ADMON 4°  </v>
      </c>
    </row>
    <row r="605" spans="1:13" x14ac:dyDescent="0.35">
      <c r="A605" t="s">
        <v>1</v>
      </c>
      <c r="B605" s="5" t="s">
        <v>508</v>
      </c>
      <c r="C605" s="4" t="s">
        <v>569</v>
      </c>
      <c r="D605" s="4" t="s">
        <v>762</v>
      </c>
      <c r="E605" t="s">
        <v>4130</v>
      </c>
      <c r="F605" t="str">
        <f>CONCATENATE("'",Sheet!E605)</f>
        <v>'111680</v>
      </c>
      <c r="G605" t="s">
        <v>1736</v>
      </c>
      <c r="H605" s="4" t="str">
        <f>Sheet!F605</f>
        <v>OCHOA REYES VALERIA SOFIA</v>
      </c>
      <c r="I605" s="4" t="str">
        <f>Sheet!G605</f>
        <v>INGENIERIA AEROESPACIAL</v>
      </c>
      <c r="J605" s="4" t="str">
        <f>Sheet!H605</f>
        <v>4to</v>
      </c>
      <c r="K605" s="4" t="str">
        <f>Sheet!I605</f>
        <v>Femenino</v>
      </c>
      <c r="L605" s="4" t="str">
        <f>Sheet!J605</f>
        <v>Activo</v>
      </c>
      <c r="M605" s="4" t="str">
        <f>Sheet!K605</f>
        <v xml:space="preserve">AERO 4°B  </v>
      </c>
    </row>
    <row r="606" spans="1:13" x14ac:dyDescent="0.35">
      <c r="A606" t="s">
        <v>1</v>
      </c>
      <c r="B606" s="5" t="s">
        <v>510</v>
      </c>
      <c r="C606" s="4" t="s">
        <v>209</v>
      </c>
      <c r="D606" s="4" t="s">
        <v>565</v>
      </c>
      <c r="E606" t="s">
        <v>4133</v>
      </c>
      <c r="F606" t="str">
        <f>CONCATENATE("'",Sheet!E607)</f>
        <v>'111030</v>
      </c>
      <c r="G606" t="s">
        <v>1736</v>
      </c>
      <c r="H606" s="4" t="str">
        <f>Sheet!F607</f>
        <v>FRANCO MENDEZ VICTOR HUGO</v>
      </c>
      <c r="I606" s="4" t="str">
        <f>Sheet!G607</f>
        <v>PSICOLOGIA</v>
      </c>
      <c r="J606" s="4" t="str">
        <f>Sheet!H607</f>
        <v>6to</v>
      </c>
      <c r="K606" s="4" t="str">
        <f>Sheet!I607</f>
        <v>Masculino</v>
      </c>
      <c r="L606" s="4" t="str">
        <f>Sheet!J607</f>
        <v>Activo</v>
      </c>
      <c r="M606" s="4" t="str">
        <f>Sheet!K607</f>
        <v xml:space="preserve">PSI 6°    </v>
      </c>
    </row>
    <row r="607" spans="1:13" x14ac:dyDescent="0.35">
      <c r="A607" t="s">
        <v>1</v>
      </c>
      <c r="B607" s="5" t="s">
        <v>511</v>
      </c>
      <c r="C607" s="4" t="s">
        <v>814</v>
      </c>
      <c r="D607" s="4" t="s">
        <v>816</v>
      </c>
      <c r="E607" t="s">
        <v>4142</v>
      </c>
      <c r="F607" t="str">
        <f>CONCATENATE("'",Sheet!E608)</f>
        <v>'111166</v>
      </c>
      <c r="G607" t="s">
        <v>1736</v>
      </c>
      <c r="H607" s="4" t="str">
        <f>Sheet!F608</f>
        <v>CERVANTES PANDURO VICTOR MANUEL</v>
      </c>
      <c r="I607" s="4" t="str">
        <f>Sheet!G608</f>
        <v>PSICOLOGIA</v>
      </c>
      <c r="J607" s="4" t="str">
        <f>Sheet!H608</f>
        <v>6to</v>
      </c>
      <c r="K607" s="4" t="str">
        <f>Sheet!I608</f>
        <v>Masculino</v>
      </c>
      <c r="L607" s="4" t="str">
        <f>Sheet!J608</f>
        <v>Activo</v>
      </c>
      <c r="M607" s="4" t="str">
        <f>Sheet!K608</f>
        <v xml:space="preserve">PSI 6°    </v>
      </c>
    </row>
    <row r="608" spans="1:13" x14ac:dyDescent="0.35">
      <c r="A608" t="s">
        <v>1</v>
      </c>
      <c r="B608" s="5" t="s">
        <v>511</v>
      </c>
      <c r="C608" s="4" t="s">
        <v>857</v>
      </c>
      <c r="D608" s="4" t="s">
        <v>1044</v>
      </c>
      <c r="E608" t="s">
        <v>4145</v>
      </c>
      <c r="F608" t="str">
        <f>CONCATENATE("'",Sheet!E609)</f>
        <v>'112208</v>
      </c>
      <c r="G608" t="s">
        <v>1736</v>
      </c>
      <c r="H608" s="4" t="str">
        <f>Sheet!F609</f>
        <v>VELASCO LIEVANOS VICTOR MANUEL</v>
      </c>
      <c r="I608" s="4" t="str">
        <f>Sheet!G609</f>
        <v>INGENIERÍA AUTOMOTRIZ</v>
      </c>
      <c r="J608" s="4" t="str">
        <f>Sheet!H609</f>
        <v>2do</v>
      </c>
      <c r="K608" s="4" t="str">
        <f>Sheet!I609</f>
        <v>Masculino</v>
      </c>
      <c r="L608" s="4" t="str">
        <f>Sheet!J609</f>
        <v>Activo</v>
      </c>
      <c r="M608" s="4" t="str">
        <f>Sheet!K609</f>
        <v xml:space="preserve">AUTO 2° A </v>
      </c>
    </row>
    <row r="609" spans="1:13" x14ac:dyDescent="0.35">
      <c r="A609" t="s">
        <v>1</v>
      </c>
      <c r="B609" s="5" t="s">
        <v>512</v>
      </c>
      <c r="C609" s="4" t="s">
        <v>568</v>
      </c>
      <c r="D609" s="4" t="s">
        <v>627</v>
      </c>
      <c r="E609" t="s">
        <v>4136</v>
      </c>
      <c r="F609" t="str">
        <f>CONCATENATE("'",Sheet!E610)</f>
        <v>'111221</v>
      </c>
      <c r="G609" t="s">
        <v>1736</v>
      </c>
      <c r="H609" s="4" t="str">
        <f>Sheet!F610</f>
        <v>GUERRERO FLORES VICTORIA</v>
      </c>
      <c r="I609" s="4" t="str">
        <f>Sheet!G610</f>
        <v>NUTRICION Y GASTRONOMIA</v>
      </c>
      <c r="J609" s="4" t="str">
        <f>Sheet!H610</f>
        <v>6to</v>
      </c>
      <c r="K609" s="4" t="str">
        <f>Sheet!I610</f>
        <v>Femenino</v>
      </c>
      <c r="L609" s="4" t="str">
        <f>Sheet!J610</f>
        <v>Activo</v>
      </c>
      <c r="M609" s="4" t="str">
        <f>Sheet!K610</f>
        <v xml:space="preserve">NUT 6°    </v>
      </c>
    </row>
    <row r="610" spans="1:13" x14ac:dyDescent="0.35">
      <c r="A610" t="s">
        <v>1</v>
      </c>
      <c r="B610" s="5" t="s">
        <v>512</v>
      </c>
      <c r="C610" s="4" t="s">
        <v>634</v>
      </c>
      <c r="D610" s="4" t="s">
        <v>679</v>
      </c>
      <c r="E610" t="s">
        <v>4139</v>
      </c>
      <c r="F610" t="str">
        <f>CONCATENATE("'",Sheet!E611)</f>
        <v>'111807</v>
      </c>
      <c r="G610" t="s">
        <v>1736</v>
      </c>
      <c r="H610" s="4" t="str">
        <f>Sheet!F611</f>
        <v>ROMERO GOMEZ VICTORIA</v>
      </c>
      <c r="I610" s="4" t="str">
        <f>Sheet!G611</f>
        <v>NUTRICION Y GASTRONOMIA</v>
      </c>
      <c r="J610" s="4" t="str">
        <f>Sheet!H611</f>
        <v>4to</v>
      </c>
      <c r="K610" s="4" t="str">
        <f>Sheet!I611</f>
        <v>Femenino</v>
      </c>
      <c r="L610" s="4" t="str">
        <f>Sheet!J611</f>
        <v>Activo</v>
      </c>
      <c r="M610" s="4" t="str">
        <f>Sheet!K611</f>
        <v xml:space="preserve">NUT 4°    </v>
      </c>
    </row>
    <row r="611" spans="1:13" x14ac:dyDescent="0.35">
      <c r="A611" t="s">
        <v>1</v>
      </c>
      <c r="B611" s="5" t="s">
        <v>513</v>
      </c>
      <c r="C611" s="4" t="s">
        <v>597</v>
      </c>
      <c r="D611" s="4" t="s">
        <v>429</v>
      </c>
      <c r="E611" t="s">
        <v>4205</v>
      </c>
      <c r="F611" t="str">
        <f>CONCATENATE("'",Sheet!E612)</f>
        <v>'112404</v>
      </c>
      <c r="G611" t="s">
        <v>1736</v>
      </c>
      <c r="H611" s="4" t="str">
        <f>Sheet!F612</f>
        <v>RIVERA OLIVER VIVIANA PAOLA</v>
      </c>
      <c r="I611" s="4" t="str">
        <f>Sheet!G612</f>
        <v>PSICOLOGIA</v>
      </c>
      <c r="J611" s="4" t="str">
        <f>Sheet!H612</f>
        <v>4to</v>
      </c>
      <c r="K611" s="4" t="str">
        <f>Sheet!I612</f>
        <v>Femenino</v>
      </c>
      <c r="L611" s="4" t="str">
        <f>Sheet!J612</f>
        <v>Activo</v>
      </c>
      <c r="M611" s="4" t="str">
        <f>Sheet!K612</f>
        <v xml:space="preserve">PSI 8°    </v>
      </c>
    </row>
    <row r="612" spans="1:13" x14ac:dyDescent="0.35">
      <c r="A612" t="s">
        <v>1</v>
      </c>
      <c r="B612" s="5" t="s">
        <v>514</v>
      </c>
      <c r="C612" s="4" t="s">
        <v>858</v>
      </c>
      <c r="D612" s="4" t="s">
        <v>1045</v>
      </c>
      <c r="E612" t="s">
        <v>4148</v>
      </c>
      <c r="F612" t="str">
        <f>CONCATENATE("'",Sheet!E613)</f>
        <v>'007076</v>
      </c>
      <c r="G612" t="s">
        <v>1736</v>
      </c>
      <c r="H612" s="4" t="str">
        <f>Sheet!F613</f>
        <v>STOBSCHINSKI FRANZ WILHELM</v>
      </c>
      <c r="I612" s="4" t="str">
        <f>Sheet!G613</f>
        <v>COMERCIO INTERNACIONAL</v>
      </c>
      <c r="J612" s="4" t="str">
        <f>Sheet!H613</f>
        <v>8vo</v>
      </c>
      <c r="K612" s="4" t="str">
        <f>Sheet!I613</f>
        <v>Masculino</v>
      </c>
      <c r="L612" s="4" t="str">
        <f>Sheet!J613</f>
        <v>Activo</v>
      </c>
      <c r="M612" s="4" t="str">
        <f>Sheet!K613</f>
        <v xml:space="preserve">COM 8°    </v>
      </c>
    </row>
    <row r="613" spans="1:13" x14ac:dyDescent="0.35">
      <c r="A613" t="s">
        <v>1</v>
      </c>
      <c r="B613" s="5" t="s">
        <v>515</v>
      </c>
      <c r="C613" s="4" t="s">
        <v>599</v>
      </c>
      <c r="D613" s="4" t="s">
        <v>589</v>
      </c>
      <c r="E613" t="s">
        <v>4151</v>
      </c>
      <c r="F613" t="str">
        <f>CONCATENATE("'",Sheet!E614)</f>
        <v>'110662</v>
      </c>
      <c r="G613" t="s">
        <v>1736</v>
      </c>
      <c r="H613" s="4" t="str">
        <f>Sheet!F614</f>
        <v>CARDENAS GARCIA XIMENA</v>
      </c>
      <c r="I613" s="4" t="str">
        <f>Sheet!G614</f>
        <v>PSICOLOGIA</v>
      </c>
      <c r="J613" s="4" t="str">
        <f>Sheet!H614</f>
        <v>8vo</v>
      </c>
      <c r="K613" s="4" t="str">
        <f>Sheet!I614</f>
        <v>Femenino</v>
      </c>
      <c r="L613" s="4" t="str">
        <f>Sheet!J614</f>
        <v>Activo</v>
      </c>
      <c r="M613" s="4" t="str">
        <f>Sheet!K614</f>
        <v xml:space="preserve">PSI 8°    </v>
      </c>
    </row>
    <row r="614" spans="1:13" x14ac:dyDescent="0.35">
      <c r="A614" t="s">
        <v>1</v>
      </c>
      <c r="B614" s="5" t="s">
        <v>515</v>
      </c>
      <c r="C614" s="4" t="s">
        <v>702</v>
      </c>
      <c r="D614" s="4" t="s">
        <v>868</v>
      </c>
      <c r="E614" t="s">
        <v>4153</v>
      </c>
      <c r="F614" t="str">
        <f>CONCATENATE("'",Sheet!E615)</f>
        <v>'111178</v>
      </c>
      <c r="G614" t="s">
        <v>1736</v>
      </c>
      <c r="H614" s="4" t="str">
        <f>Sheet!F615</f>
        <v>COVARRUBIAS LIMON XIMENA</v>
      </c>
      <c r="I614" s="4" t="str">
        <f>Sheet!G615</f>
        <v>PSICOLOGIA</v>
      </c>
      <c r="J614" s="4" t="str">
        <f>Sheet!H615</f>
        <v>6to</v>
      </c>
      <c r="K614" s="4" t="str">
        <f>Sheet!I615</f>
        <v>Femenino</v>
      </c>
      <c r="L614" s="4" t="str">
        <f>Sheet!J615</f>
        <v>Activo</v>
      </c>
      <c r="M614" s="4" t="str">
        <f>Sheet!K615</f>
        <v xml:space="preserve">PSI 6°    </v>
      </c>
    </row>
    <row r="615" spans="1:13" x14ac:dyDescent="0.35">
      <c r="A615" t="s">
        <v>1</v>
      </c>
      <c r="B615" s="5" t="s">
        <v>516</v>
      </c>
      <c r="C615" s="4" t="s">
        <v>539</v>
      </c>
      <c r="D615" s="4" t="s">
        <v>745</v>
      </c>
      <c r="E615" t="s">
        <v>4156</v>
      </c>
      <c r="F615" t="str">
        <f>CONCATENATE("'",Sheet!E616)</f>
        <v>'112301</v>
      </c>
      <c r="G615" t="s">
        <v>1736</v>
      </c>
      <c r="H615" s="4" t="str">
        <f>Sheet!F616</f>
        <v>RODRIGUEZ CISNEROS XIMENA SOFIA</v>
      </c>
      <c r="I615" s="4" t="str">
        <f>Sheet!G616</f>
        <v>PSICOLOGIA</v>
      </c>
      <c r="J615" s="4" t="str">
        <f>Sheet!H616</f>
        <v>2do</v>
      </c>
      <c r="K615" s="4" t="str">
        <f>Sheet!I616</f>
        <v>Femenino</v>
      </c>
      <c r="L615" s="4" t="str">
        <f>Sheet!J616</f>
        <v>Activo</v>
      </c>
      <c r="M615" s="4" t="str">
        <f>Sheet!K616</f>
        <v xml:space="preserve">PSI 2°    </v>
      </c>
    </row>
    <row r="616" spans="1:13" x14ac:dyDescent="0.35">
      <c r="A616" t="s">
        <v>1</v>
      </c>
      <c r="B616" s="5" t="s">
        <v>517</v>
      </c>
      <c r="C616" s="4" t="s">
        <v>544</v>
      </c>
      <c r="D616" s="4" t="s">
        <v>531</v>
      </c>
      <c r="E616" t="s">
        <v>4206</v>
      </c>
      <c r="F616" t="str">
        <f>CONCATENATE("'",Sheet!E617)</f>
        <v>'110483</v>
      </c>
      <c r="G616" t="s">
        <v>1736</v>
      </c>
      <c r="H616" s="4" t="str">
        <f>Sheet!F617</f>
        <v>HERNANDEZ GONZALEZ YAEL ALEJANDRO</v>
      </c>
      <c r="I616" s="4" t="str">
        <f>Sheet!G617</f>
        <v>COMERCIO INTERNACIONAL</v>
      </c>
      <c r="J616" s="4" t="str">
        <f>Sheet!H617</f>
        <v>8vo</v>
      </c>
      <c r="K616" s="4" t="str">
        <f>Sheet!I617</f>
        <v>Masculino</v>
      </c>
      <c r="L616" s="4" t="str">
        <f>Sheet!J617</f>
        <v>Bloqueado</v>
      </c>
      <c r="M616" s="4" t="str">
        <f>Sheet!K617</f>
        <v xml:space="preserve">COM 8°    </v>
      </c>
    </row>
    <row r="617" spans="1:13" x14ac:dyDescent="0.35">
      <c r="A617" t="s">
        <v>1</v>
      </c>
      <c r="B617" s="5" t="s">
        <v>518</v>
      </c>
      <c r="C617" s="4" t="s">
        <v>628</v>
      </c>
      <c r="D617" s="4" t="s">
        <v>539</v>
      </c>
      <c r="E617" t="s">
        <v>4159</v>
      </c>
      <c r="F617" t="str">
        <f>CONCATENATE("'",Sheet!E618)</f>
        <v>'110448</v>
      </c>
      <c r="G617" t="s">
        <v>1736</v>
      </c>
      <c r="H617" s="4" t="str">
        <f>Sheet!F618</f>
        <v>MEDINA RODRIGUEZ YAEL DE JESUS</v>
      </c>
      <c r="I617" s="4" t="str">
        <f>Sheet!G618</f>
        <v>INGENIERIA AEROESPACIAL</v>
      </c>
      <c r="J617" s="4" t="str">
        <f>Sheet!H618</f>
        <v>8vo</v>
      </c>
      <c r="K617" s="4" t="str">
        <f>Sheet!I618</f>
        <v>Masculino</v>
      </c>
      <c r="L617" s="4" t="str">
        <f>Sheet!J618</f>
        <v>Activo</v>
      </c>
      <c r="M617" s="4" t="str">
        <f>Sheet!K618</f>
        <v xml:space="preserve">AERO 8°   </v>
      </c>
    </row>
    <row r="618" spans="1:13" x14ac:dyDescent="0.35">
      <c r="A618" t="s">
        <v>1</v>
      </c>
      <c r="B618" s="5" t="s">
        <v>519</v>
      </c>
      <c r="C618" s="4" t="s">
        <v>589</v>
      </c>
      <c r="D618" s="4" t="s">
        <v>1046</v>
      </c>
      <c r="E618" t="s">
        <v>4162</v>
      </c>
      <c r="F618" t="str">
        <f>CONCATENATE("'",Sheet!E619)</f>
        <v>'110610</v>
      </c>
      <c r="G618" t="s">
        <v>1736</v>
      </c>
      <c r="H618" s="4" t="str">
        <f>Sheet!F619</f>
        <v>GARCIA IBARRA YAZMIN GABRIELA</v>
      </c>
      <c r="I618" s="4" t="str">
        <f>Sheet!G619</f>
        <v>ANIMACION DIGITAL Y VIDEOJUEGOS</v>
      </c>
      <c r="J618" s="4" t="str">
        <f>Sheet!H619</f>
        <v>8vo</v>
      </c>
      <c r="K618" s="4" t="str">
        <f>Sheet!I619</f>
        <v>Femenino</v>
      </c>
      <c r="L618" s="4" t="str">
        <f>Sheet!J619</f>
        <v>Activo</v>
      </c>
      <c r="M618" s="4" t="str">
        <f>Sheet!K619</f>
        <v xml:space="preserve">ANIM 8°   </v>
      </c>
    </row>
    <row r="619" spans="1:13" x14ac:dyDescent="0.35">
      <c r="A619" t="s">
        <v>1</v>
      </c>
      <c r="B619" s="5" t="s">
        <v>520</v>
      </c>
      <c r="C619" s="4" t="s">
        <v>593</v>
      </c>
      <c r="D619" s="4" t="s">
        <v>1040</v>
      </c>
      <c r="E619" t="s">
        <v>4165</v>
      </c>
      <c r="F619" t="str">
        <f>CONCATENATE("'",Sheet!E620)</f>
        <v>'112162</v>
      </c>
      <c r="G619" t="s">
        <v>1736</v>
      </c>
      <c r="H619" s="4" t="str">
        <f>Sheet!F620</f>
        <v>SANCHEZ RANGEL YESSIKA MICHELL</v>
      </c>
      <c r="I619" s="4" t="str">
        <f>Sheet!G620</f>
        <v>INGENIERÍA EN INTELIGENCIA ARTIFICIAL</v>
      </c>
      <c r="J619" s="4" t="str">
        <f>Sheet!H620</f>
        <v>2do</v>
      </c>
      <c r="K619" s="4" t="str">
        <f>Sheet!I620</f>
        <v>Femenino</v>
      </c>
      <c r="L619" s="4" t="str">
        <f>Sheet!J620</f>
        <v>Activo</v>
      </c>
      <c r="M619" s="4" t="str">
        <f>Sheet!K620</f>
        <v xml:space="preserve">IA 2°     </v>
      </c>
    </row>
    <row r="620" spans="1:13" x14ac:dyDescent="0.35">
      <c r="A620" t="s">
        <v>1</v>
      </c>
      <c r="B620" s="5" t="s">
        <v>521</v>
      </c>
      <c r="C620" s="4" t="s">
        <v>654</v>
      </c>
      <c r="D620" s="4" t="s">
        <v>531</v>
      </c>
      <c r="E620" t="s">
        <v>4168</v>
      </c>
      <c r="F620" t="str">
        <f>CONCATENATE("'",Sheet!E621)</f>
        <v>'112249</v>
      </c>
      <c r="G620" t="s">
        <v>1736</v>
      </c>
      <c r="H620" s="4" t="str">
        <f>Sheet!F621</f>
        <v>RUIZ GONZALEZ YOCELIN YAZMIN</v>
      </c>
      <c r="I620" s="4" t="str">
        <f>Sheet!G621</f>
        <v>PSICOLOGIA</v>
      </c>
      <c r="J620" s="4" t="str">
        <f>Sheet!H621</f>
        <v>2do</v>
      </c>
      <c r="K620" s="4" t="str">
        <f>Sheet!I621</f>
        <v>Femenino</v>
      </c>
      <c r="L620" s="4" t="str">
        <f>Sheet!J621</f>
        <v>Activo</v>
      </c>
      <c r="M620" s="4" t="str">
        <f>Sheet!K621</f>
        <v xml:space="preserve">PSI 2°    </v>
      </c>
    </row>
    <row r="621" spans="1:13" x14ac:dyDescent="0.35">
      <c r="A621" t="s">
        <v>1</v>
      </c>
      <c r="B621" s="5" t="s">
        <v>522</v>
      </c>
      <c r="C621" s="4" t="s">
        <v>859</v>
      </c>
      <c r="D621" s="4" t="s">
        <v>544</v>
      </c>
      <c r="E621" t="s">
        <v>4171</v>
      </c>
      <c r="F621" t="str">
        <f>CONCATENATE("'",Sheet!E622)</f>
        <v>'111667</v>
      </c>
      <c r="G621" t="s">
        <v>1736</v>
      </c>
      <c r="H621" s="4" t="str">
        <f>Sheet!F622</f>
        <v>GUILLEN HERNANDEZ ZAHID LIEVICH</v>
      </c>
      <c r="I621" s="4" t="str">
        <f>Sheet!G622</f>
        <v>INGENIERIA AEROESPACIAL</v>
      </c>
      <c r="J621" s="4" t="str">
        <f>Sheet!H622</f>
        <v>4to</v>
      </c>
      <c r="K621" s="4" t="str">
        <f>Sheet!I622</f>
        <v>Masculino</v>
      </c>
      <c r="L621" s="4" t="str">
        <f>Sheet!J622</f>
        <v>Activo</v>
      </c>
      <c r="M621" s="4" t="str">
        <f>Sheet!K622</f>
        <v xml:space="preserve">AERO 4°A  </v>
      </c>
    </row>
    <row r="622" spans="1:13" x14ac:dyDescent="0.35">
      <c r="A622" t="s">
        <v>1</v>
      </c>
      <c r="B622" s="5" t="s">
        <v>523</v>
      </c>
      <c r="C622" s="4" t="s">
        <v>571</v>
      </c>
      <c r="D622" s="4" t="s">
        <v>593</v>
      </c>
      <c r="E622" t="s">
        <v>4174</v>
      </c>
      <c r="F622" t="str">
        <f>CONCATENATE("'",Sheet!E623)</f>
        <v>'111811</v>
      </c>
      <c r="G622" t="s">
        <v>1736</v>
      </c>
      <c r="H622" s="4" t="str">
        <f>Sheet!F623</f>
        <v>ENRIQUEZ SANCHEZ ZAHIRA PAULETTE</v>
      </c>
      <c r="I622" s="4" t="str">
        <f>Sheet!G623</f>
        <v>ADMINISTRACION Y DIRECCION DE NEGOCIOS</v>
      </c>
      <c r="J622" s="4" t="str">
        <f>Sheet!H623</f>
        <v>4to</v>
      </c>
      <c r="K622" s="4" t="str">
        <f>Sheet!I623</f>
        <v>Femenino</v>
      </c>
      <c r="L622" s="4" t="str">
        <f>Sheet!J623</f>
        <v>Activo</v>
      </c>
      <c r="M622" s="4" t="str">
        <f>Sheet!K623</f>
        <v xml:space="preserve">ADMON 4°  </v>
      </c>
    </row>
    <row r="623" spans="1:13" x14ac:dyDescent="0.35">
      <c r="A623" t="s">
        <v>1</v>
      </c>
      <c r="B623" s="5" t="s">
        <v>524</v>
      </c>
      <c r="C623" s="4" t="s">
        <v>663</v>
      </c>
      <c r="D623" s="4" t="s">
        <v>906</v>
      </c>
      <c r="E623" t="s">
        <v>4177</v>
      </c>
      <c r="F623" t="str">
        <f>CONCATENATE("'",Sheet!E624)</f>
        <v>'112259</v>
      </c>
      <c r="G623" t="s">
        <v>1736</v>
      </c>
      <c r="H623" s="4" t="str">
        <f>Sheet!F624</f>
        <v>CARRANZA LESPRON ZARA PAULINA</v>
      </c>
      <c r="I623" s="4" t="str">
        <f>Sheet!G624</f>
        <v>PSICOLOGIA</v>
      </c>
      <c r="J623" s="4" t="str">
        <f>Sheet!H624</f>
        <v>2do</v>
      </c>
      <c r="K623" s="4" t="str">
        <f>Sheet!I624</f>
        <v>Femenino</v>
      </c>
      <c r="L623" s="4" t="str">
        <f>Sheet!J624</f>
        <v>Activo</v>
      </c>
      <c r="M623" s="4" t="str">
        <f>Sheet!K624</f>
        <v xml:space="preserve">PSI 2°    </v>
      </c>
    </row>
    <row r="624" spans="1:13" x14ac:dyDescent="0.35">
      <c r="A624" t="s">
        <v>1</v>
      </c>
      <c r="B624" s="5" t="s">
        <v>525</v>
      </c>
      <c r="C624" s="4" t="s">
        <v>860</v>
      </c>
      <c r="D624" s="4" t="s">
        <v>1047</v>
      </c>
      <c r="E624" t="s">
        <v>4180</v>
      </c>
      <c r="F624" t="str">
        <f>CONCATENATE("'",Sheet!E625)</f>
        <v>'111628</v>
      </c>
      <c r="G624" t="s">
        <v>1736</v>
      </c>
      <c r="H624" s="4" t="str">
        <f>Sheet!F625</f>
        <v>MONTAÑO AMBROCIO ZARA SOFIA</v>
      </c>
      <c r="I624" s="4" t="str">
        <f>Sheet!G625</f>
        <v>INGENIERÍA AUTOMOTRIZ</v>
      </c>
      <c r="J624" s="4" t="str">
        <f>Sheet!H625</f>
        <v>4to</v>
      </c>
      <c r="K624" s="4" t="str">
        <f>Sheet!I625</f>
        <v>Femenino</v>
      </c>
      <c r="L624" s="4" t="str">
        <f>Sheet!J625</f>
        <v>Activo</v>
      </c>
      <c r="M624" s="4" t="str">
        <f>Sheet!K625</f>
        <v xml:space="preserve">AUTO 4°   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751B-D060-4C36-B218-5FDEC6D7C6F9}">
  <dimension ref="A1:M616"/>
  <sheetViews>
    <sheetView tabSelected="1" topLeftCell="E613" workbookViewId="0">
      <selection activeCell="L2" sqref="L2:L616"/>
    </sheetView>
  </sheetViews>
  <sheetFormatPr baseColWidth="10" defaultRowHeight="14.5" x14ac:dyDescent="0.35"/>
  <cols>
    <col min="1" max="1" width="8" style="14" bestFit="1" customWidth="1"/>
    <col min="2" max="2" width="14.54296875" style="14" bestFit="1" customWidth="1"/>
    <col min="3" max="3" width="37.1796875" style="14" bestFit="1" customWidth="1"/>
    <col min="4" max="4" width="9.453125" style="14" bestFit="1" customWidth="1"/>
    <col min="5" max="5" width="15.7265625" style="14" bestFit="1" customWidth="1"/>
    <col min="6" max="6" width="44.54296875" style="14" bestFit="1" customWidth="1"/>
    <col min="7" max="7" width="56.54296875" style="14" bestFit="1" customWidth="1"/>
    <col min="8" max="8" width="6.7265625" style="14" bestFit="1" customWidth="1"/>
    <col min="9" max="9" width="12.54296875" style="14" bestFit="1" customWidth="1"/>
    <col min="10" max="10" width="13" style="14" bestFit="1" customWidth="1"/>
    <col min="11" max="13" width="50.6328125" style="14" customWidth="1"/>
    <col min="14" max="16384" width="10.90625" style="14"/>
  </cols>
  <sheetData>
    <row r="1" spans="1:13" ht="58" x14ac:dyDescent="0.35">
      <c r="A1" s="15" t="s">
        <v>1751</v>
      </c>
      <c r="B1" s="15" t="s">
        <v>0</v>
      </c>
      <c r="C1" s="15" t="s">
        <v>1734</v>
      </c>
      <c r="D1" s="15" t="s">
        <v>1048</v>
      </c>
      <c r="E1" s="15" t="s">
        <v>1752</v>
      </c>
      <c r="F1" s="15" t="s">
        <v>1049</v>
      </c>
      <c r="G1" s="15" t="s">
        <v>1674</v>
      </c>
      <c r="H1" s="15" t="s">
        <v>1676</v>
      </c>
      <c r="I1" s="15" t="s">
        <v>1684</v>
      </c>
      <c r="J1" s="15" t="s">
        <v>1687</v>
      </c>
      <c r="K1" s="16" t="str">
        <f>CONCATENATE("INSERT INTO participantes (",L1,") VALUES (")</f>
        <v>INSERT INTO participantes (id,nivel,correo,matricula,clave,nombre,carrera,grado,sexo,situacion,evaluados,num_evaluados,total_evaluaciones,ultimo_acceso,nivel_acceso) VALUES (</v>
      </c>
      <c r="L1" s="17" t="s">
        <v>1753</v>
      </c>
      <c r="M1" s="16"/>
    </row>
    <row r="2" spans="1:13" ht="116" x14ac:dyDescent="0.35">
      <c r="A2" s="16">
        <v>1001</v>
      </c>
      <c r="B2" s="18" t="s">
        <v>1754</v>
      </c>
      <c r="C2" s="16" t="str">
        <f>CONCATENATE("'",Alumnos!E2,"'")</f>
        <v>'abbydessire.pelayodiaz'</v>
      </c>
      <c r="D2" s="16" t="str">
        <f>CONCATENATE(Alumnos!F2,"'")</f>
        <v>'111772'</v>
      </c>
      <c r="E2" s="16" t="s">
        <v>1755</v>
      </c>
      <c r="F2" s="16" t="str">
        <f>CONCATENATE("'",Alumnos!H2,"'")</f>
        <v>'PELAYO DIAZ ABBY DESSIRE'</v>
      </c>
      <c r="G2" s="16" t="str">
        <f>CONCATENATE("'",Alumnos!I2,"'")</f>
        <v>'NUTRICION Y GASTRONOMIA'</v>
      </c>
      <c r="H2" s="16" t="str">
        <f>CONCATENATE("'",Alumnos!J2,"'")</f>
        <v>'4to'</v>
      </c>
      <c r="I2" s="16" t="str">
        <f>UPPER(CONCATENATE("'",Alumnos!K2,"'"))</f>
        <v>'FEMENINO'</v>
      </c>
      <c r="J2" s="16" t="str">
        <f>UPPER(CONCATENATE("'",Alumnos!L2,"'"))</f>
        <v>'ACTIVO'</v>
      </c>
      <c r="K2" s="16" t="str">
        <f>CONCATENATE(A2,",",B2,",",C2,",",D2,",'",E2,",",F2,",",G2,",",H2,",",UPPER(I2),",",UPPER(J2),",'',0,0,'','ALUMNO'")</f>
        <v>1001,'LICENCIATURA','abbydessire.pelayodiaz','111772','TOMAR DEL SND','PELAYO DIAZ ABBY DESSIRE','NUTRICION Y GASTRONOMIA','4to','FEMENINO','ACTIVO','',0,0,'','ALUMNO'</v>
      </c>
      <c r="L2" s="16" t="str">
        <f>CONCATENATE($K$1,K2,");")</f>
        <v>INSERT INTO participantes (id,nivel,correo,matricula,clave,nombre,carrera,grado,sexo,situacion,evaluados,num_evaluados,total_evaluaciones,ultimo_acceso,nivel_acceso) VALUES (1001,'LICENCIATURA','abbydessire.pelayodiaz','111772','TOMAR DEL SND','PELAYO DIAZ ABBY DESSIRE','NUTRICION Y GASTRONOMIA','4to','FEMENINO','ACTIVO','',0,0,'','ALUMNO');</v>
      </c>
      <c r="M2" s="16" t="str">
        <f>CONCATENATE("update participantes set correo=",C2," where id=",A2,";")</f>
        <v>update participantes set correo='abbydessire.pelayodiaz' where id=1001;</v>
      </c>
    </row>
    <row r="3" spans="1:13" ht="116" x14ac:dyDescent="0.35">
      <c r="A3" s="16">
        <v>1002</v>
      </c>
      <c r="B3" s="18" t="s">
        <v>1754</v>
      </c>
      <c r="C3" s="16" t="str">
        <f>CONCATENATE("'",Alumnos!E143,"'")</f>
        <v>'cristian.villarruelsandoval'</v>
      </c>
      <c r="D3" s="16" t="str">
        <f>CONCATENATE(Alumnos!F143,"'")</f>
        <v>'111773'</v>
      </c>
      <c r="E3" s="16" t="s">
        <v>1755</v>
      </c>
      <c r="F3" s="16" t="str">
        <f>CONCATENATE("'",Alumnos!H143,"'")</f>
        <v>'VILLARRUEL SANDOVAL CRISTIAN'</v>
      </c>
      <c r="G3" s="16" t="str">
        <f>CONCATENATE("'",Alumnos!I143,"'")</f>
        <v>'ADMINISTRACION Y DIRECCION DE NEGOCIOS'</v>
      </c>
      <c r="H3" s="16" t="str">
        <f>CONCATENATE("'",Alumnos!J143,"'")</f>
        <v>'4to'</v>
      </c>
      <c r="I3" s="16" t="str">
        <f>UPPER(CONCATENATE("'",Alumnos!K143,"'"))</f>
        <v>'MASCULINO'</v>
      </c>
      <c r="J3" s="16" t="str">
        <f>UPPER(CONCATENATE("'",Alumnos!L143,"'"))</f>
        <v>'ACTIVO'</v>
      </c>
      <c r="K3" s="16" t="str">
        <f>CONCATENATE(A3,",",B3,",",C3,",",D3,",'",E3,",",F3,",",G3,",",H3,",",UPPER(I3),",",UPPER(J3),",'',0,0,'','ALUMNO'")</f>
        <v>1002,'LICENCIATURA','cristian.villarruelsandoval','111773','TOMAR DEL SND','VILLARRUEL SANDOVAL CRISTIAN','ADMINISTRACION Y DIRECCION DE NEGOCIOS','4to','MASCULINO','ACTIVO','',0,0,'','ALUMNO'</v>
      </c>
      <c r="L3" s="16" t="str">
        <f>CONCATENATE($K$1,K3,");")</f>
        <v>INSERT INTO participantes (id,nivel,correo,matricula,clave,nombre,carrera,grado,sexo,situacion,evaluados,num_evaluados,total_evaluaciones,ultimo_acceso,nivel_acceso) VALUES (1002,'LICENCIATURA','cristian.villarruelsandoval','111773','TOMAR DEL SND','VILLARRUEL SANDOVAL CRISTIAN','ADMINISTRACION Y DIRECCION DE NEGOCIOS','4to','MASCULINO','ACTIVO','',0,0,'','ALUMNO');</v>
      </c>
      <c r="M3" s="16" t="str">
        <f>CONCATENATE("update participantes set correo=",C3," where id=",A3,";")</f>
        <v>update participantes set correo='cristian.villarruelsandoval' where id=1002;</v>
      </c>
    </row>
    <row r="4" spans="1:13" ht="130.5" x14ac:dyDescent="0.35">
      <c r="A4" s="16">
        <v>1003</v>
      </c>
      <c r="B4" s="18" t="s">
        <v>1754</v>
      </c>
      <c r="C4" s="16" t="str">
        <f>CONCATENATE("'",Alumnos!E262,"'")</f>
        <v>'guillermojose.sosayavilagonzalez'</v>
      </c>
      <c r="D4" s="16" t="str">
        <f>CONCATENATE(Alumnos!F262,"'")</f>
        <v>'111774'</v>
      </c>
      <c r="E4" s="16" t="s">
        <v>1755</v>
      </c>
      <c r="F4" s="16" t="str">
        <f>CONCATENATE("'",Alumnos!H262,"'")</f>
        <v>'SOSA Y AVILA GONZALEZ GUILLERMO JOSE'</v>
      </c>
      <c r="G4" s="16" t="str">
        <f>CONCATENATE("'",Alumnos!I262,"'")</f>
        <v>'INGENIERIA AEROESPACIAL'</v>
      </c>
      <c r="H4" s="16" t="str">
        <f>CONCATENATE("'",Alumnos!J262,"'")</f>
        <v>'4to'</v>
      </c>
      <c r="I4" s="16" t="str">
        <f>UPPER(CONCATENATE("'",Alumnos!K262,"'"))</f>
        <v>'MASCULINO'</v>
      </c>
      <c r="J4" s="16" t="str">
        <f>UPPER(CONCATENATE("'",Alumnos!L262,"'"))</f>
        <v>'ACTIVO'</v>
      </c>
      <c r="K4" s="16" t="str">
        <f>CONCATENATE(A4,",",B4,",",C4,",",D4,",'",E4,",",F4,",",G4,",",H4,",",UPPER(I4),",",UPPER(J4),",'',0,0,'','ALUMNO'")</f>
        <v>1003,'LICENCIATURA','guillermojose.sosayavilagonzalez','111774','TOMAR DEL SND','SOSA Y AVILA GONZALEZ GUILLERMO JOSE','INGENIERIA AEROESPACIAL','4to','MASCULINO','ACTIVO','',0,0,'','ALUMNO'</v>
      </c>
      <c r="L4" s="16" t="str">
        <f>CONCATENATE($K$1,K4,");")</f>
        <v>INSERT INTO participantes (id,nivel,correo,matricula,clave,nombre,carrera,grado,sexo,situacion,evaluados,num_evaluados,total_evaluaciones,ultimo_acceso,nivel_acceso) VALUES (1003,'LICENCIATURA','guillermojose.sosayavilagonzalez','111774','TOMAR DEL SND','SOSA Y AVILA GONZALEZ GUILLERMO JOSE','INGENIERIA AEROESPACIAL','4to','MASCULINO','ACTIVO','',0,0,'','ALUMNO');</v>
      </c>
      <c r="M4" s="16" t="str">
        <f>CONCATENATE("update participantes set correo=",C4," where id=",A4,";")</f>
        <v>update participantes set correo='guillermojose.sosayavilagonzalez' where id=1003;</v>
      </c>
    </row>
    <row r="5" spans="1:13" ht="116" x14ac:dyDescent="0.35">
      <c r="A5" s="16">
        <v>1004</v>
      </c>
      <c r="B5" s="18" t="s">
        <v>1754</v>
      </c>
      <c r="C5" s="16" t="str">
        <f>CONCATENATE("'",Alumnos!E490,"'")</f>
        <v>'natalia.ortizlopez'</v>
      </c>
      <c r="D5" s="16" t="str">
        <f>CONCATENATE(Alumnos!F490,"'")</f>
        <v>'111777'</v>
      </c>
      <c r="E5" s="16" t="s">
        <v>1755</v>
      </c>
      <c r="F5" s="16" t="str">
        <f>CONCATENATE("'",Alumnos!H490,"'")</f>
        <v>'ORTIZ LOPEZ NATALIA'</v>
      </c>
      <c r="G5" s="16" t="str">
        <f>CONCATENATE("'",Alumnos!I490,"'")</f>
        <v>'PSICOLOGIA'</v>
      </c>
      <c r="H5" s="16" t="str">
        <f>CONCATENATE("'",Alumnos!J490,"'")</f>
        <v>'4to'</v>
      </c>
      <c r="I5" s="16" t="str">
        <f>UPPER(CONCATENATE("'",Alumnos!K490,"'"))</f>
        <v>'FEMENINO'</v>
      </c>
      <c r="J5" s="16" t="str">
        <f>UPPER(CONCATENATE("'",Alumnos!L490,"'"))</f>
        <v>'ACTIVO'</v>
      </c>
      <c r="K5" s="16" t="str">
        <f>CONCATENATE(A5,",",B5,",",C5,",",D5,",'",E5,",",F5,",",G5,",",H5,",",UPPER(I5),",",UPPER(J5),",'',0,0,'','ALUMNO'")</f>
        <v>1004,'LICENCIATURA','natalia.ortizlopez','111777','TOMAR DEL SND','ORTIZ LOPEZ NATALIA','PSICOLOGIA','4to','FEMENINO','ACTIVO','',0,0,'','ALUMNO'</v>
      </c>
      <c r="L5" s="16" t="str">
        <f>CONCATENATE($K$1,K5,");")</f>
        <v>INSERT INTO participantes (id,nivel,correo,matricula,clave,nombre,carrera,grado,sexo,situacion,evaluados,num_evaluados,total_evaluaciones,ultimo_acceso,nivel_acceso) VALUES (1004,'LICENCIATURA','natalia.ortizlopez','111777','TOMAR DEL SND','ORTIZ LOPEZ NATALIA','PSICOLOGIA','4to','FEMENINO','ACTIVO','',0,0,'','ALUMNO');</v>
      </c>
      <c r="M5" s="16" t="str">
        <f>CONCATENATE("update participantes set correo=",C5," where id=",A5,";")</f>
        <v>update participantes set correo='natalia.ortizlopez' where id=1004;</v>
      </c>
    </row>
    <row r="6" spans="1:13" ht="116" x14ac:dyDescent="0.35">
      <c r="A6" s="16">
        <v>1005</v>
      </c>
      <c r="B6" s="18" t="s">
        <v>1754</v>
      </c>
      <c r="C6" s="16" t="str">
        <f>CONCATENATE("'",Alumnos!E604,"'")</f>
        <v>'valeriaalejandra.estradagil'</v>
      </c>
      <c r="D6" s="16" t="str">
        <f>CONCATENATE(Alumnos!F604,"'")</f>
        <v>'111778'</v>
      </c>
      <c r="E6" s="16" t="s">
        <v>1755</v>
      </c>
      <c r="F6" s="16" t="str">
        <f>CONCATENATE("'",Alumnos!H604,"'")</f>
        <v>'ESTRADA GIL VALERIA ALEJANDRA'</v>
      </c>
      <c r="G6" s="16" t="str">
        <f>CONCATENATE("'",Alumnos!I604,"'")</f>
        <v>'ADMINISTRACION Y DIRECCION DE NEGOCIOS'</v>
      </c>
      <c r="H6" s="16" t="str">
        <f>CONCATENATE("'",Alumnos!J604,"'")</f>
        <v>'4to'</v>
      </c>
      <c r="I6" s="16" t="str">
        <f>UPPER(CONCATENATE("'",Alumnos!K604,"'"))</f>
        <v>'FEMENINO'</v>
      </c>
      <c r="J6" s="16" t="str">
        <f>UPPER(CONCATENATE("'",Alumnos!L604,"'"))</f>
        <v>'ACTIVO'</v>
      </c>
      <c r="K6" s="16" t="str">
        <f>CONCATENATE(A6,",",B6,",",C6,",",D6,",'",E6,",",F6,",",G6,",",H6,",",UPPER(I6),",",UPPER(J6),",'',0,0,'','ALUMNO'")</f>
        <v>1005,'LICENCIATURA','valeriaalejandra.estradagil','111778','TOMAR DEL SND','ESTRADA GIL VALERIA ALEJANDRA','ADMINISTRACION Y DIRECCION DE NEGOCIOS','4to','FEMENINO','ACTIVO','',0,0,'','ALUMNO'</v>
      </c>
      <c r="L6" s="16" t="str">
        <f>CONCATENATE($K$1,K6,");")</f>
        <v>INSERT INTO participantes (id,nivel,correo,matricula,clave,nombre,carrera,grado,sexo,situacion,evaluados,num_evaluados,total_evaluaciones,ultimo_acceso,nivel_acceso) VALUES (1005,'LICENCIATURA','valeriaalejandra.estradagil','111778','TOMAR DEL SND','ESTRADA GIL VALERIA ALEJANDRA','ADMINISTRACION Y DIRECCION DE NEGOCIOS','4to','FEMENINO','ACTIVO','',0,0,'','ALUMNO');</v>
      </c>
      <c r="M6" s="16" t="str">
        <f>CONCATENATE("update participantes set correo=",C6," where id=",A6,";")</f>
        <v>update participantes set correo='valeriaalejandra.estradagil' where id=1005;</v>
      </c>
    </row>
    <row r="7" spans="1:13" ht="130.5" x14ac:dyDescent="0.35">
      <c r="A7" s="16">
        <v>1006</v>
      </c>
      <c r="B7" s="18" t="s">
        <v>1754</v>
      </c>
      <c r="C7" s="16" t="str">
        <f>CONCATENATE("'",Alumnos!E474,"'")</f>
        <v>'michelleanahi.navarrozapata'</v>
      </c>
      <c r="D7" s="16" t="str">
        <f>CONCATENATE(Alumnos!F474,"'")</f>
        <v>'111779'</v>
      </c>
      <c r="E7" s="16" t="s">
        <v>1755</v>
      </c>
      <c r="F7" s="16" t="str">
        <f>CONCATENATE("'",Alumnos!H474,"'")</f>
        <v>'NAVARRO ZAPATA MICHELLE ANAHI'</v>
      </c>
      <c r="G7" s="16" t="str">
        <f>CONCATENATE("'",Alumnos!I474,"'")</f>
        <v>'ANIMACION DIGITAL Y VIDEOJUEGOS'</v>
      </c>
      <c r="H7" s="16" t="str">
        <f>CONCATENATE("'",Alumnos!J474,"'")</f>
        <v>'4to'</v>
      </c>
      <c r="I7" s="16" t="str">
        <f>UPPER(CONCATENATE("'",Alumnos!K474,"'"))</f>
        <v>'FEMENINO'</v>
      </c>
      <c r="J7" s="16" t="str">
        <f>UPPER(CONCATENATE("'",Alumnos!L474,"'"))</f>
        <v>'ACTIVO'</v>
      </c>
      <c r="K7" s="16" t="str">
        <f>CONCATENATE(A7,",",B7,",",C7,",",D7,",'",E7,",",F7,",",G7,",",H7,",",UPPER(I7),",",UPPER(J7),",'',0,0,'','ALUMNO'")</f>
        <v>1006,'LICENCIATURA','michelleanahi.navarrozapata','111779','TOMAR DEL SND','NAVARRO ZAPATA MICHELLE ANAHI','ANIMACION DIGITAL Y VIDEOJUEGOS','4to','FEMENINO','ACTIVO','',0,0,'','ALUMNO'</v>
      </c>
      <c r="L7" s="16" t="str">
        <f>CONCATENATE($K$1,K7,");")</f>
        <v>INSERT INTO participantes (id,nivel,correo,matricula,clave,nombre,carrera,grado,sexo,situacion,evaluados,num_evaluados,total_evaluaciones,ultimo_acceso,nivel_acceso) VALUES (1006,'LICENCIATURA','michelleanahi.navarrozapata','111779','TOMAR DEL SND','NAVARRO ZAPATA MICHELLE ANAHI','ANIMACION DIGITAL Y VIDEOJUEGOS','4to','FEMENINO','ACTIVO','',0,0,'','ALUMNO');</v>
      </c>
      <c r="M7" s="16" t="str">
        <f>CONCATENATE("update participantes set correo=",C7," where id=",A7,";")</f>
        <v>update participantes set correo='michelleanahi.navarrozapata' where id=1006;</v>
      </c>
    </row>
    <row r="8" spans="1:13" ht="116" x14ac:dyDescent="0.35">
      <c r="A8" s="16">
        <v>1007</v>
      </c>
      <c r="B8" s="18" t="s">
        <v>1754</v>
      </c>
      <c r="C8" s="16" t="str">
        <f>CONCATENATE("'",Alumnos!E337,"'")</f>
        <v>'joseluis.hortasoltero'</v>
      </c>
      <c r="D8" s="16" t="str">
        <f>CONCATENATE(Alumnos!F337,"'")</f>
        <v>'111783'</v>
      </c>
      <c r="E8" s="16" t="s">
        <v>1755</v>
      </c>
      <c r="F8" s="16" t="str">
        <f>CONCATENATE("'",Alumnos!H337,"'")</f>
        <v>'HORTA SOLTERO JOSE LUIS'</v>
      </c>
      <c r="G8" s="16" t="str">
        <f>CONCATENATE("'",Alumnos!I337,"'")</f>
        <v>'INGENIERÍA AUTOMOTRIZ'</v>
      </c>
      <c r="H8" s="16" t="str">
        <f>CONCATENATE("'",Alumnos!J337,"'")</f>
        <v>'4to'</v>
      </c>
      <c r="I8" s="16" t="str">
        <f>UPPER(CONCATENATE("'",Alumnos!K337,"'"))</f>
        <v>'MASCULINO'</v>
      </c>
      <c r="J8" s="16" t="str">
        <f>UPPER(CONCATENATE("'",Alumnos!L337,"'"))</f>
        <v>'ACTIVO'</v>
      </c>
      <c r="K8" s="16" t="str">
        <f>CONCATENATE(A8,",",B8,",",C8,",",D8,",'",E8,",",F8,",",G8,",",H8,",",UPPER(I8),",",UPPER(J8),",'',0,0,'','ALUMNO'")</f>
        <v>1007,'LICENCIATURA','joseluis.hortasoltero','111783','TOMAR DEL SND','HORTA SOLTERO JOSE LUIS','INGENIERÍA AUTOMOTRIZ','4to','MASCULINO','ACTIVO','',0,0,'','ALUMNO'</v>
      </c>
      <c r="L8" s="16" t="str">
        <f>CONCATENATE($K$1,K8,");")</f>
        <v>INSERT INTO participantes (id,nivel,correo,matricula,clave,nombre,carrera,grado,sexo,situacion,evaluados,num_evaluados,total_evaluaciones,ultimo_acceso,nivel_acceso) VALUES (1007,'LICENCIATURA','joseluis.hortasoltero','111783','TOMAR DEL SND','HORTA SOLTERO JOSE LUIS','INGENIERÍA AUTOMOTRIZ','4to','MASCULINO','ACTIVO','',0,0,'','ALUMNO');</v>
      </c>
      <c r="M8" s="16" t="str">
        <f>CONCATENATE("update participantes set correo=",C8," where id=",A8,";")</f>
        <v>update participantes set correo='joseluis.hortasoltero' where id=1007;</v>
      </c>
    </row>
    <row r="9" spans="1:13" ht="116" x14ac:dyDescent="0.35">
      <c r="A9" s="16">
        <v>1008</v>
      </c>
      <c r="B9" s="18" t="s">
        <v>1754</v>
      </c>
      <c r="C9" s="16" t="str">
        <f>CONCATENATE("'",Alumnos!E9,"'")</f>
        <v>'adrian.jaimeojeda'</v>
      </c>
      <c r="D9" s="16" t="str">
        <f>CONCATENATE(Alumnos!F9,"'")</f>
        <v>'111784'</v>
      </c>
      <c r="E9" s="16" t="s">
        <v>1755</v>
      </c>
      <c r="F9" s="16" t="str">
        <f>CONCATENATE("'",Alumnos!H9,"'")</f>
        <v>'JAIME OJEDA ADRIAN'</v>
      </c>
      <c r="G9" s="16" t="str">
        <f>CONCATENATE("'",Alumnos!I9,"'")</f>
        <v>'INGENIERÍA AUTOMOTRIZ'</v>
      </c>
      <c r="H9" s="16" t="str">
        <f>CONCATENATE("'",Alumnos!J9,"'")</f>
        <v>'4to'</v>
      </c>
      <c r="I9" s="16" t="str">
        <f>UPPER(CONCATENATE("'",Alumnos!K9,"'"))</f>
        <v>'MASCULINO'</v>
      </c>
      <c r="J9" s="16" t="str">
        <f>UPPER(CONCATENATE("'",Alumnos!L9,"'"))</f>
        <v>'ACTIVO'</v>
      </c>
      <c r="K9" s="16" t="str">
        <f>CONCATENATE(A9,",",B9,",",C9,",",D9,",'",E9,",",F9,",",G9,",",H9,",",UPPER(I9),",",UPPER(J9),",'',0,0,'','ALUMNO'")</f>
        <v>1008,'LICENCIATURA','adrian.jaimeojeda','111784','TOMAR DEL SND','JAIME OJEDA ADRIAN','INGENIERÍA AUTOMOTRIZ','4to','MASCULINO','ACTIVO','',0,0,'','ALUMNO'</v>
      </c>
      <c r="L9" s="16" t="str">
        <f>CONCATENATE($K$1,K9,");")</f>
        <v>INSERT INTO participantes (id,nivel,correo,matricula,clave,nombre,carrera,grado,sexo,situacion,evaluados,num_evaluados,total_evaluaciones,ultimo_acceso,nivel_acceso) VALUES (1008,'LICENCIATURA','adrian.jaimeojeda','111784','TOMAR DEL SND','JAIME OJEDA ADRIAN','INGENIERÍA AUTOMOTRIZ','4to','MASCULINO','ACTIVO','',0,0,'','ALUMNO');</v>
      </c>
      <c r="M9" s="16" t="str">
        <f>CONCATENATE("update participantes set correo=",C9," where id=",A9,";")</f>
        <v>update participantes set correo='adrian.jaimeojeda' where id=1008;</v>
      </c>
    </row>
    <row r="10" spans="1:13" ht="130.5" x14ac:dyDescent="0.35">
      <c r="A10" s="16">
        <v>1009</v>
      </c>
      <c r="B10" s="18" t="s">
        <v>1754</v>
      </c>
      <c r="C10" s="16" t="str">
        <f>CONCATENATE("'",Alumnos!E603,"'")</f>
        <v>'valeria.torresfarias'</v>
      </c>
      <c r="D10" s="16" t="str">
        <f>CONCATENATE(Alumnos!F603,"'")</f>
        <v>'111785'</v>
      </c>
      <c r="E10" s="16" t="s">
        <v>1755</v>
      </c>
      <c r="F10" s="16" t="str">
        <f>CONCATENATE("'",Alumnos!H603,"'")</f>
        <v>'TORRES FARIAS VALERIA'</v>
      </c>
      <c r="G10" s="16" t="str">
        <f>CONCATENATE("'",Alumnos!I603,"'")</f>
        <v>'ANIMACION DIGITAL Y VIDEOJUEGOS'</v>
      </c>
      <c r="H10" s="16" t="str">
        <f>CONCATENATE("'",Alumnos!J603,"'")</f>
        <v>'4to'</v>
      </c>
      <c r="I10" s="16" t="str">
        <f>UPPER(CONCATENATE("'",Alumnos!K603,"'"))</f>
        <v>'FEMENINO'</v>
      </c>
      <c r="J10" s="16" t="str">
        <f>UPPER(CONCATENATE("'",Alumnos!L603,"'"))</f>
        <v>'ACTIVO'</v>
      </c>
      <c r="K10" s="16" t="str">
        <f>CONCATENATE(A10,",",B10,",",C10,",",D10,",'",E10,",",F10,",",G10,",",H10,",",UPPER(I10),",",UPPER(J10),",'',0,0,'','ALUMNO'")</f>
        <v>1009,'LICENCIATURA','valeria.torresfarias','111785','TOMAR DEL SND','TORRES FARIAS VALERIA','ANIMACION DIGITAL Y VIDEOJUEGOS','4to','FEMENINO','ACTIVO','',0,0,'','ALUMNO'</v>
      </c>
      <c r="L10" s="16" t="str">
        <f>CONCATENATE($K$1,K10,");")</f>
        <v>INSERT INTO participantes (id,nivel,correo,matricula,clave,nombre,carrera,grado,sexo,situacion,evaluados,num_evaluados,total_evaluaciones,ultimo_acceso,nivel_acceso) VALUES (1009,'LICENCIATURA','valeria.torresfarias','111785','TOMAR DEL SND','TORRES FARIAS VALERIA','ANIMACION DIGITAL Y VIDEOJUEGOS','4to','FEMENINO','ACTIVO','',0,0,'','ALUMNO');</v>
      </c>
      <c r="M10" s="16" t="str">
        <f>CONCATENATE("update participantes set correo=",C10," where id=",A10,";")</f>
        <v>update participantes set correo='valeria.torresfarias' where id=1009;</v>
      </c>
    </row>
    <row r="11" spans="1:13" ht="130.5" x14ac:dyDescent="0.35">
      <c r="A11" s="16">
        <v>1010</v>
      </c>
      <c r="B11" s="18" t="s">
        <v>1754</v>
      </c>
      <c r="C11" s="16" t="str">
        <f>CONCATENATE("'",Alumnos!E268,"'")</f>
        <v>'hector.camposcardenas'</v>
      </c>
      <c r="D11" s="16" t="str">
        <f>CONCATENATE(Alumnos!F268,"'")</f>
        <v>'111787'</v>
      </c>
      <c r="E11" s="16" t="s">
        <v>1755</v>
      </c>
      <c r="F11" s="16" t="str">
        <f>CONCATENATE("'",Alumnos!H268,"'")</f>
        <v>'CAMPOS CARDENAS HECTOR'</v>
      </c>
      <c r="G11" s="16" t="str">
        <f>CONCATENATE("'",Alumnos!I268,"'")</f>
        <v>'INGENIERÍA AUTOMOTRIZ'</v>
      </c>
      <c r="H11" s="16" t="str">
        <f>CONCATENATE("'",Alumnos!J268,"'")</f>
        <v>'4to'</v>
      </c>
      <c r="I11" s="16" t="str">
        <f>UPPER(CONCATENATE("'",Alumnos!K268,"'"))</f>
        <v>'MASCULINO'</v>
      </c>
      <c r="J11" s="16" t="str">
        <f>UPPER(CONCATENATE("'",Alumnos!L268,"'"))</f>
        <v>'ACTIVO'</v>
      </c>
      <c r="K11" s="16" t="str">
        <f>CONCATENATE(A11,",",B11,",",C11,",",D11,",'",E11,",",F11,",",G11,",",H11,",",UPPER(I11),",",UPPER(J11),",'',0,0,'','ALUMNO'")</f>
        <v>1010,'LICENCIATURA','hector.camposcardenas','111787','TOMAR DEL SND','CAMPOS CARDENAS HECTOR','INGENIERÍA AUTOMOTRIZ','4to','MASCULINO','ACTIVO','',0,0,'','ALUMNO'</v>
      </c>
      <c r="L11" s="16" t="str">
        <f>CONCATENATE($K$1,K11,");")</f>
        <v>INSERT INTO participantes (id,nivel,correo,matricula,clave,nombre,carrera,grado,sexo,situacion,evaluados,num_evaluados,total_evaluaciones,ultimo_acceso,nivel_acceso) VALUES (1010,'LICENCIATURA','hector.camposcardenas','111787','TOMAR DEL SND','CAMPOS CARDENAS HECTOR','INGENIERÍA AUTOMOTRIZ','4to','MASCULINO','ACTIVO','',0,0,'','ALUMNO');</v>
      </c>
      <c r="M11" s="16" t="str">
        <f>CONCATENATE("update participantes set correo=",C11," where id=",A11,";")</f>
        <v>update participantes set correo='hector.camposcardenas' where id=1010;</v>
      </c>
    </row>
    <row r="12" spans="1:13" ht="116" x14ac:dyDescent="0.35">
      <c r="A12" s="16">
        <v>1011</v>
      </c>
      <c r="B12" s="18" t="s">
        <v>1754</v>
      </c>
      <c r="C12" s="16" t="str">
        <f>CONCATENATE("'",Alumnos!E499,"'")</f>
        <v>'oliver.rochagarcia'</v>
      </c>
      <c r="D12" s="16" t="str">
        <f>CONCATENATE(Alumnos!F499,"'")</f>
        <v>'111788'</v>
      </c>
      <c r="E12" s="16" t="s">
        <v>1755</v>
      </c>
      <c r="F12" s="16" t="str">
        <f>CONCATENATE("'",Alumnos!H499,"'")</f>
        <v>'ROCHA GARCIA OLIVER'</v>
      </c>
      <c r="G12" s="16" t="str">
        <f>CONCATENATE("'",Alumnos!I499,"'")</f>
        <v>'PSICOLOGIA'</v>
      </c>
      <c r="H12" s="16" t="str">
        <f>CONCATENATE("'",Alumnos!J499,"'")</f>
        <v>'4to'</v>
      </c>
      <c r="I12" s="16" t="str">
        <f>UPPER(CONCATENATE("'",Alumnos!K499,"'"))</f>
        <v>'MASCULINO'</v>
      </c>
      <c r="J12" s="16" t="str">
        <f>UPPER(CONCATENATE("'",Alumnos!L499,"'"))</f>
        <v>'ACTIVO'</v>
      </c>
      <c r="K12" s="16" t="str">
        <f>CONCATENATE(A12,",",B12,",",C12,",",D12,",'",E12,",",F12,",",G12,",",H12,",",UPPER(I12),",",UPPER(J12),",'',0,0,'','ALUMNO'")</f>
        <v>1011,'LICENCIATURA','oliver.rochagarcia','111788','TOMAR DEL SND','ROCHA GARCIA OLIVER','PSICOLOGIA','4to','MASCULINO','ACTIVO','',0,0,'','ALUMNO'</v>
      </c>
      <c r="L12" s="16" t="str">
        <f>CONCATENATE($K$1,K12,");")</f>
        <v>INSERT INTO participantes (id,nivel,correo,matricula,clave,nombre,carrera,grado,sexo,situacion,evaluados,num_evaluados,total_evaluaciones,ultimo_acceso,nivel_acceso) VALUES (1011,'LICENCIATURA','oliver.rochagarcia','111788','TOMAR DEL SND','ROCHA GARCIA OLIVER','PSICOLOGIA','4to','MASCULINO','ACTIVO','',0,0,'','ALUMNO');</v>
      </c>
      <c r="M12" s="16" t="str">
        <f>CONCATENATE("update participantes set correo=",C12," where id=",A12,";")</f>
        <v>update participantes set correo='oliver.rochagarcia' where id=1011;</v>
      </c>
    </row>
    <row r="13" spans="1:13" ht="130.5" x14ac:dyDescent="0.35">
      <c r="A13" s="16">
        <v>1012</v>
      </c>
      <c r="B13" s="18" t="s">
        <v>1754</v>
      </c>
      <c r="C13" s="16" t="str">
        <f>CONCATENATE("'",Alumnos!E101,"'")</f>
        <v>'berthaerica.guzmanaparicio'</v>
      </c>
      <c r="D13" s="16" t="str">
        <f>CONCATENATE(Alumnos!F101,"'")</f>
        <v>'111791'</v>
      </c>
      <c r="E13" s="16" t="s">
        <v>1755</v>
      </c>
      <c r="F13" s="16" t="str">
        <f>CONCATENATE("'",Alumnos!H101,"'")</f>
        <v>'GUZMAN APARICIO BERTHA ERICA'</v>
      </c>
      <c r="G13" s="16" t="str">
        <f>CONCATENATE("'",Alumnos!I101,"'")</f>
        <v>'ANIMACION DIGITAL Y VIDEOJUEGOS'</v>
      </c>
      <c r="H13" s="16" t="str">
        <f>CONCATENATE("'",Alumnos!J101,"'")</f>
        <v>'4to'</v>
      </c>
      <c r="I13" s="16" t="str">
        <f>UPPER(CONCATENATE("'",Alumnos!K101,"'"))</f>
        <v>'FEMENINO'</v>
      </c>
      <c r="J13" s="16" t="str">
        <f>UPPER(CONCATENATE("'",Alumnos!L101,"'"))</f>
        <v>'ACTIVO'</v>
      </c>
      <c r="K13" s="16" t="str">
        <f>CONCATENATE(A13,",",B13,",",C13,",",D13,",'",E13,",",F13,",",G13,",",H13,",",UPPER(I13),",",UPPER(J13),",'',0,0,'','ALUMNO'")</f>
        <v>1012,'LICENCIATURA','berthaerica.guzmanaparicio','111791','TOMAR DEL SND','GUZMAN APARICIO BERTHA ERICA','ANIMACION DIGITAL Y VIDEOJUEGOS','4to','FEMENINO','ACTIVO','',0,0,'','ALUMNO'</v>
      </c>
      <c r="L13" s="16" t="str">
        <f>CONCATENATE($K$1,K13,");")</f>
        <v>INSERT INTO participantes (id,nivel,correo,matricula,clave,nombre,carrera,grado,sexo,situacion,evaluados,num_evaluados,total_evaluaciones,ultimo_acceso,nivel_acceso) VALUES (1012,'LICENCIATURA','berthaerica.guzmanaparicio','111791','TOMAR DEL SND','GUZMAN APARICIO BERTHA ERICA','ANIMACION DIGITAL Y VIDEOJUEGOS','4to','FEMENINO','ACTIVO','',0,0,'','ALUMNO');</v>
      </c>
      <c r="M13" s="16" t="str">
        <f>CONCATENATE("update participantes set correo=",C13," where id=",A13,";")</f>
        <v>update participantes set correo='berthaerica.guzmanaparicio' where id=1012;</v>
      </c>
    </row>
    <row r="14" spans="1:13" ht="130.5" x14ac:dyDescent="0.35">
      <c r="A14" s="16">
        <v>1013</v>
      </c>
      <c r="B14" s="18" t="s">
        <v>1754</v>
      </c>
      <c r="C14" s="16" t="str">
        <f>CONCATENATE("'",Alumnos!E400,"'")</f>
        <v>'leonardoaugusto.vazquezcastellanos'</v>
      </c>
      <c r="D14" s="16" t="str">
        <f>CONCATENATE(Alumnos!F400,"'")</f>
        <v>'111792'</v>
      </c>
      <c r="E14" s="16" t="s">
        <v>1755</v>
      </c>
      <c r="F14" s="16" t="str">
        <f>CONCATENATE("'",Alumnos!H400,"'")</f>
        <v>'VAZQUEZ CASTELLANOS LEONARDO AUGUSTO'</v>
      </c>
      <c r="G14" s="16" t="str">
        <f>CONCATENATE("'",Alumnos!I400,"'")</f>
        <v>'ARQUITECTURA'</v>
      </c>
      <c r="H14" s="16" t="str">
        <f>CONCATENATE("'",Alumnos!J400,"'")</f>
        <v>'4to'</v>
      </c>
      <c r="I14" s="16" t="str">
        <f>UPPER(CONCATENATE("'",Alumnos!K400,"'"))</f>
        <v>'MASCULINO'</v>
      </c>
      <c r="J14" s="16" t="str">
        <f>UPPER(CONCATENATE("'",Alumnos!L400,"'"))</f>
        <v>'ACTIVO'</v>
      </c>
      <c r="K14" s="16" t="str">
        <f>CONCATENATE(A14,",",B14,",",C14,",",D14,",'",E14,",",F14,",",G14,",",H14,",",UPPER(I14),",",UPPER(J14),",'',0,0,'','ALUMNO'")</f>
        <v>1013,'LICENCIATURA','leonardoaugusto.vazquezcastellanos','111792','TOMAR DEL SND','VAZQUEZ CASTELLANOS LEONARDO AUGUSTO','ARQUITECTURA','4to','MASCULINO','ACTIVO','',0,0,'','ALUMNO'</v>
      </c>
      <c r="L14" s="16" t="str">
        <f>CONCATENATE($K$1,K14,");")</f>
        <v>INSERT INTO participantes (id,nivel,correo,matricula,clave,nombre,carrera,grado,sexo,situacion,evaluados,num_evaluados,total_evaluaciones,ultimo_acceso,nivel_acceso) VALUES (1013,'LICENCIATURA','leonardoaugusto.vazquezcastellanos','111792','TOMAR DEL SND','VAZQUEZ CASTELLANOS LEONARDO AUGUSTO','ARQUITECTURA','4to','MASCULINO','ACTIVO','',0,0,'','ALUMNO');</v>
      </c>
      <c r="M14" s="16" t="str">
        <f>CONCATENATE("update participantes set correo=",C14," where id=",A14,";")</f>
        <v>update participantes set correo='leonardoaugusto.vazquezcastellanos' where id=1013;</v>
      </c>
    </row>
    <row r="15" spans="1:13" ht="116" x14ac:dyDescent="0.35">
      <c r="A15" s="16">
        <v>1014</v>
      </c>
      <c r="B15" s="18" t="s">
        <v>1754</v>
      </c>
      <c r="C15" s="16" t="str">
        <f>CONCATENATE("'",Alumnos!E11,"'")</f>
        <v>'adrianbryant.vegacastaneda'</v>
      </c>
      <c r="D15" s="16" t="str">
        <f>CONCATENATE(Alumnos!F11,"'")</f>
        <v>'111793'</v>
      </c>
      <c r="E15" s="16" t="s">
        <v>1755</v>
      </c>
      <c r="F15" s="16" t="str">
        <f>CONCATENATE("'",Alumnos!H11,"'")</f>
        <v>'VEGA CASTAÑEDA ADRIAN BRYANT'</v>
      </c>
      <c r="G15" s="16" t="str">
        <f>CONCATENATE("'",Alumnos!I11,"'")</f>
        <v>'PSICOLOGIA'</v>
      </c>
      <c r="H15" s="16" t="str">
        <f>CONCATENATE("'",Alumnos!J11,"'")</f>
        <v>'4to'</v>
      </c>
      <c r="I15" s="16" t="str">
        <f>UPPER(CONCATENATE("'",Alumnos!K11,"'"))</f>
        <v>'MASCULINO'</v>
      </c>
      <c r="J15" s="16" t="str">
        <f>UPPER(CONCATENATE("'",Alumnos!L11,"'"))</f>
        <v>'ACTIVO'</v>
      </c>
      <c r="K15" s="16" t="str">
        <f>CONCATENATE(A15,",",B15,",",C15,",",D15,",'",E15,",",F15,",",G15,",",H15,",",UPPER(I15),",",UPPER(J15),",'',0,0,'','ALUMNO'")</f>
        <v>1014,'LICENCIATURA','adrianbryant.vegacastaneda','111793','TOMAR DEL SND','VEGA CASTAÑEDA ADRIAN BRYANT','PSICOLOGIA','4to','MASCULINO','ACTIVO','',0,0,'','ALUMNO'</v>
      </c>
      <c r="L15" s="16" t="str">
        <f>CONCATENATE($K$1,K15,");")</f>
        <v>INSERT INTO participantes (id,nivel,correo,matricula,clave,nombre,carrera,grado,sexo,situacion,evaluados,num_evaluados,total_evaluaciones,ultimo_acceso,nivel_acceso) VALUES (1014,'LICENCIATURA','adrianbryant.vegacastaneda','111793','TOMAR DEL SND','VEGA CASTAÑEDA ADRIAN BRYANT','PSICOLOGIA','4to','MASCULINO','ACTIVO','',0,0,'','ALUMNO');</v>
      </c>
      <c r="M15" s="16" t="str">
        <f>CONCATENATE("update participantes set correo=",C15," where id=",A15,";")</f>
        <v>update participantes set correo='adrianbryant.vegacastaneda' where id=1014;</v>
      </c>
    </row>
    <row r="16" spans="1:13" ht="116" x14ac:dyDescent="0.35">
      <c r="A16" s="16">
        <v>1015</v>
      </c>
      <c r="B16" s="18" t="s">
        <v>1754</v>
      </c>
      <c r="C16" s="16" t="str">
        <f>CONCATENATE("'",Alumnos!E425,"'")</f>
        <v>'luzangelicanaomi.gomezosorio'</v>
      </c>
      <c r="D16" s="16" t="str">
        <f>CONCATENATE(Alumnos!F425,"'")</f>
        <v>'111795'</v>
      </c>
      <c r="E16" s="16" t="s">
        <v>1755</v>
      </c>
      <c r="F16" s="16" t="str">
        <f>CONCATENATE("'",Alumnos!H425,"'")</f>
        <v>'GOMEZ OSORIO LUZ ANGELICA NAOMI'</v>
      </c>
      <c r="G16" s="16" t="str">
        <f>CONCATENATE("'",Alumnos!I425,"'")</f>
        <v>'PSICOLOGIA'</v>
      </c>
      <c r="H16" s="16" t="str">
        <f>CONCATENATE("'",Alumnos!J425,"'")</f>
        <v>'4to'</v>
      </c>
      <c r="I16" s="16" t="str">
        <f>UPPER(CONCATENATE("'",Alumnos!K425,"'"))</f>
        <v>'FEMENINO'</v>
      </c>
      <c r="J16" s="16" t="str">
        <f>UPPER(CONCATENATE("'",Alumnos!L425,"'"))</f>
        <v>'ACTIVO'</v>
      </c>
      <c r="K16" s="16" t="str">
        <f>CONCATENATE(A16,",",B16,",",C16,",",D16,",'",E16,",",F16,",",G16,",",H16,",",UPPER(I16),",",UPPER(J16),",'',0,0,'','ALUMNO'")</f>
        <v>1015,'LICENCIATURA','luzangelicanaomi.gomezosorio','111795','TOMAR DEL SND','GOMEZ OSORIO LUZ ANGELICA NAOMI','PSICOLOGIA','4to','FEMENINO','ACTIVO','',0,0,'','ALUMNO'</v>
      </c>
      <c r="L16" s="16" t="str">
        <f>CONCATENATE($K$1,K16,");")</f>
        <v>INSERT INTO participantes (id,nivel,correo,matricula,clave,nombre,carrera,grado,sexo,situacion,evaluados,num_evaluados,total_evaluaciones,ultimo_acceso,nivel_acceso) VALUES (1015,'LICENCIATURA','luzangelicanaomi.gomezosorio','111795','TOMAR DEL SND','GOMEZ OSORIO LUZ ANGELICA NAOMI','PSICOLOGIA','4to','FEMENINO','ACTIVO','',0,0,'','ALUMNO');</v>
      </c>
      <c r="M16" s="16" t="str">
        <f>CONCATENATE("update participantes set correo=",C16," where id=",A16,";")</f>
        <v>update participantes set correo='luzangelicanaomi.gomezosorio' where id=1015;</v>
      </c>
    </row>
    <row r="17" spans="1:13" ht="116" x14ac:dyDescent="0.35">
      <c r="A17" s="16">
        <v>1016</v>
      </c>
      <c r="B17" s="18" t="s">
        <v>1754</v>
      </c>
      <c r="C17" s="16" t="str">
        <f>CONCATENATE("'",Alumnos!E347,"'")</f>
        <v>'juancarlos.banuelosperez'</v>
      </c>
      <c r="D17" s="16" t="str">
        <f>CONCATENATE(Alumnos!F347,"'")</f>
        <v>'111796'</v>
      </c>
      <c r="E17" s="16" t="s">
        <v>1755</v>
      </c>
      <c r="F17" s="16" t="str">
        <f>CONCATENATE("'",Alumnos!H347,"'")</f>
        <v>'BAÑUELOS PEREZ JUAN CARLOS'</v>
      </c>
      <c r="G17" s="16" t="str">
        <f>CONCATENATE("'",Alumnos!I347,"'")</f>
        <v>'ARQUITECTURA'</v>
      </c>
      <c r="H17" s="16" t="str">
        <f>CONCATENATE("'",Alumnos!J347,"'")</f>
        <v>'4to'</v>
      </c>
      <c r="I17" s="16" t="str">
        <f>UPPER(CONCATENATE("'",Alumnos!K347,"'"))</f>
        <v>'MASCULINO'</v>
      </c>
      <c r="J17" s="16" t="str">
        <f>UPPER(CONCATENATE("'",Alumnos!L347,"'"))</f>
        <v>'ACTIVO'</v>
      </c>
      <c r="K17" s="16" t="str">
        <f>CONCATENATE(A17,",",B17,",",C17,",",D17,",'",E17,",",F17,",",G17,",",H17,",",UPPER(I17),",",UPPER(J17),",'',0,0,'','ALUMNO'")</f>
        <v>1016,'LICENCIATURA','juancarlos.banuelosperez','111796','TOMAR DEL SND','BAÑUELOS PEREZ JUAN CARLOS','ARQUITECTURA','4to','MASCULINO','ACTIVO','',0,0,'','ALUMNO'</v>
      </c>
      <c r="L17" s="16" t="str">
        <f>CONCATENATE($K$1,K17,");")</f>
        <v>INSERT INTO participantes (id,nivel,correo,matricula,clave,nombre,carrera,grado,sexo,situacion,evaluados,num_evaluados,total_evaluaciones,ultimo_acceso,nivel_acceso) VALUES (1016,'LICENCIATURA','juancarlos.banuelosperez','111796','TOMAR DEL SND','BAÑUELOS PEREZ JUAN CARLOS','ARQUITECTURA','4to','MASCULINO','ACTIVO','',0,0,'','ALUMNO');</v>
      </c>
      <c r="M17" s="16" t="str">
        <f>CONCATENATE("update participantes set correo=",C17," where id=",A17,";")</f>
        <v>update participantes set correo='juancarlos.banuelosperez' where id=1016;</v>
      </c>
    </row>
    <row r="18" spans="1:13" ht="130.5" x14ac:dyDescent="0.35">
      <c r="A18" s="16">
        <v>1017</v>
      </c>
      <c r="B18" s="18" t="s">
        <v>1754</v>
      </c>
      <c r="C18" s="16" t="str">
        <f>CONCATENATE("'",Alumnos!E383,"'")</f>
        <v>'kevin.villalobosmendoza'</v>
      </c>
      <c r="D18" s="16" t="str">
        <f>CONCATENATE(Alumnos!F383,"'")</f>
        <v>'111797'</v>
      </c>
      <c r="E18" s="16" t="s">
        <v>1755</v>
      </c>
      <c r="F18" s="16" t="str">
        <f>CONCATENATE("'",Alumnos!H383,"'")</f>
        <v>'VILLALOBOS MENDOZA KEVIN'</v>
      </c>
      <c r="G18" s="16" t="str">
        <f>CONCATENATE("'",Alumnos!I383,"'")</f>
        <v>'INGENIERÍA AUTOMOTRIZ'</v>
      </c>
      <c r="H18" s="16" t="str">
        <f>CONCATENATE("'",Alumnos!J383,"'")</f>
        <v>'4to'</v>
      </c>
      <c r="I18" s="16" t="str">
        <f>UPPER(CONCATENATE("'",Alumnos!K383,"'"))</f>
        <v>'MASCULINO'</v>
      </c>
      <c r="J18" s="16" t="str">
        <f>UPPER(CONCATENATE("'",Alumnos!L383,"'"))</f>
        <v>'ACTIVO'</v>
      </c>
      <c r="K18" s="16" t="str">
        <f>CONCATENATE(A18,",",B18,",",C18,",",D18,",'",E18,",",F18,",",G18,",",H18,",",UPPER(I18),",",UPPER(J18),",'',0,0,'','ALUMNO'")</f>
        <v>1017,'LICENCIATURA','kevin.villalobosmendoza','111797','TOMAR DEL SND','VILLALOBOS MENDOZA KEVIN','INGENIERÍA AUTOMOTRIZ','4to','MASCULINO','ACTIVO','',0,0,'','ALUMNO'</v>
      </c>
      <c r="L18" s="16" t="str">
        <f>CONCATENATE($K$1,K18,");")</f>
        <v>INSERT INTO participantes (id,nivel,correo,matricula,clave,nombre,carrera,grado,sexo,situacion,evaluados,num_evaluados,total_evaluaciones,ultimo_acceso,nivel_acceso) VALUES (1017,'LICENCIATURA','kevin.villalobosmendoza','111797','TOMAR DEL SND','VILLALOBOS MENDOZA KEVIN','INGENIERÍA AUTOMOTRIZ','4to','MASCULINO','ACTIVO','',0,0,'','ALUMNO');</v>
      </c>
      <c r="M18" s="16" t="str">
        <f>CONCATENATE("update participantes set correo=",C18," where id=",A18,";")</f>
        <v>update participantes set correo='kevin.villalobosmendoza' where id=1017;</v>
      </c>
    </row>
    <row r="19" spans="1:13" ht="116" x14ac:dyDescent="0.35">
      <c r="A19" s="16">
        <v>1018</v>
      </c>
      <c r="B19" s="18" t="s">
        <v>1754</v>
      </c>
      <c r="C19" s="16" t="str">
        <f>CONCATENATE("'",Alumnos!E110,"'")</f>
        <v>'brendaguadalupe.bojadodelreal'</v>
      </c>
      <c r="D19" s="16" t="str">
        <f>CONCATENATE(Alumnos!F110,"'")</f>
        <v>'111798'</v>
      </c>
      <c r="E19" s="16" t="s">
        <v>1755</v>
      </c>
      <c r="F19" s="16" t="str">
        <f>CONCATENATE("'",Alumnos!H110,"'")</f>
        <v>'BOJADO DEL REAL BRENDA GUADALUPE'</v>
      </c>
      <c r="G19" s="16" t="str">
        <f>CONCATENATE("'",Alumnos!I110,"'")</f>
        <v>'ARQUITECTURA'</v>
      </c>
      <c r="H19" s="16" t="str">
        <f>CONCATENATE("'",Alumnos!J110,"'")</f>
        <v>'4to'</v>
      </c>
      <c r="I19" s="16" t="str">
        <f>UPPER(CONCATENATE("'",Alumnos!K110,"'"))</f>
        <v>'FEMENINO'</v>
      </c>
      <c r="J19" s="16" t="str">
        <f>UPPER(CONCATENATE("'",Alumnos!L110,"'"))</f>
        <v>'ACTIVO'</v>
      </c>
      <c r="K19" s="16" t="str">
        <f>CONCATENATE(A19,",",B19,",",C19,",",D19,",'",E19,",",F19,",",G19,",",H19,",",UPPER(I19),",",UPPER(J19),",'',0,0,'','ALUMNO'")</f>
        <v>1018,'LICENCIATURA','brendaguadalupe.bojadodelreal','111798','TOMAR DEL SND','BOJADO DEL REAL BRENDA GUADALUPE','ARQUITECTURA','4to','FEMENINO','ACTIVO','',0,0,'','ALUMNO'</v>
      </c>
      <c r="L19" s="16" t="str">
        <f>CONCATENATE($K$1,K19,");")</f>
        <v>INSERT INTO participantes (id,nivel,correo,matricula,clave,nombre,carrera,grado,sexo,situacion,evaluados,num_evaluados,total_evaluaciones,ultimo_acceso,nivel_acceso) VALUES (1018,'LICENCIATURA','brendaguadalupe.bojadodelreal','111798','TOMAR DEL SND','BOJADO DEL REAL BRENDA GUADALUPE','ARQUITECTURA','4to','FEMENINO','ACTIVO','',0,0,'','ALUMNO');</v>
      </c>
      <c r="M19" s="16" t="str">
        <f>CONCATENATE("update participantes set correo=",C19," where id=",A19,";")</f>
        <v>update participantes set correo='brendaguadalupe.bojadodelreal' where id=1018;</v>
      </c>
    </row>
    <row r="20" spans="1:13" ht="130.5" x14ac:dyDescent="0.35">
      <c r="A20" s="16">
        <v>1019</v>
      </c>
      <c r="B20" s="18" t="s">
        <v>1754</v>
      </c>
      <c r="C20" s="16" t="str">
        <f>CONCATENATE("'",Alumnos!E53,"'")</f>
        <v>'anasofia.carrionlopez'</v>
      </c>
      <c r="D20" s="16" t="str">
        <f>CONCATENATE(Alumnos!F53,"'")</f>
        <v>'111799'</v>
      </c>
      <c r="E20" s="16" t="s">
        <v>1755</v>
      </c>
      <c r="F20" s="16" t="str">
        <f>CONCATENATE("'",Alumnos!H53,"'")</f>
        <v>'CARRION LOPEZ ANA SOFIA'</v>
      </c>
      <c r="G20" s="16" t="str">
        <f>CONCATENATE("'",Alumnos!I53,"'")</f>
        <v>'ANIMACION DIGITAL Y VIDEOJUEGOS'</v>
      </c>
      <c r="H20" s="16" t="str">
        <f>CONCATENATE("'",Alumnos!J53,"'")</f>
        <v>'4to'</v>
      </c>
      <c r="I20" s="16" t="str">
        <f>UPPER(CONCATENATE("'",Alumnos!K53,"'"))</f>
        <v>'FEMENINO'</v>
      </c>
      <c r="J20" s="16" t="str">
        <f>UPPER(CONCATENATE("'",Alumnos!L53,"'"))</f>
        <v>'ACTIVO'</v>
      </c>
      <c r="K20" s="16" t="str">
        <f>CONCATENATE(A20,",",B20,",",C20,",",D20,",'",E20,",",F20,",",G20,",",H20,",",UPPER(I20),",",UPPER(J20),",'',0,0,'','ALUMNO'")</f>
        <v>1019,'LICENCIATURA','anasofia.carrionlopez','111799','TOMAR DEL SND','CARRION LOPEZ ANA SOFIA','ANIMACION DIGITAL Y VIDEOJUEGOS','4to','FEMENINO','ACTIVO','',0,0,'','ALUMNO'</v>
      </c>
      <c r="L20" s="16" t="str">
        <f>CONCATENATE($K$1,K20,");")</f>
        <v>INSERT INTO participantes (id,nivel,correo,matricula,clave,nombre,carrera,grado,sexo,situacion,evaluados,num_evaluados,total_evaluaciones,ultimo_acceso,nivel_acceso) VALUES (1019,'LICENCIATURA','anasofia.carrionlopez','111799','TOMAR DEL SND','CARRION LOPEZ ANA SOFIA','ANIMACION DIGITAL Y VIDEOJUEGOS','4to','FEMENINO','ACTIVO','',0,0,'','ALUMNO');</v>
      </c>
      <c r="M20" s="16" t="str">
        <f>CONCATENATE("update participantes set correo=",C20," where id=",A20,";")</f>
        <v>update participantes set correo='anasofia.carrionlopez' where id=1019;</v>
      </c>
    </row>
    <row r="21" spans="1:13" ht="130.5" x14ac:dyDescent="0.35">
      <c r="A21" s="16">
        <v>1020</v>
      </c>
      <c r="B21" s="18" t="s">
        <v>1754</v>
      </c>
      <c r="C21" s="16" t="str">
        <f>CONCATENATE("'",Alumnos!E280,"'")</f>
        <v>'isaacemiliano.chavezsaavedra'</v>
      </c>
      <c r="D21" s="16" t="str">
        <f>CONCATENATE(Alumnos!F280,"'")</f>
        <v>'111800'</v>
      </c>
      <c r="E21" s="16" t="s">
        <v>1755</v>
      </c>
      <c r="F21" s="16" t="str">
        <f>CONCATENATE("'",Alumnos!H280,"'")</f>
        <v>'CHAVEZ SAAVEDRA ISAAC EMILIANO'</v>
      </c>
      <c r="G21" s="16" t="str">
        <f>CONCATENATE("'",Alumnos!I280,"'")</f>
        <v>'INGENIERÍA AUTOMOTRIZ'</v>
      </c>
      <c r="H21" s="16" t="str">
        <f>CONCATENATE("'",Alumnos!J280,"'")</f>
        <v>'4to'</v>
      </c>
      <c r="I21" s="16" t="str">
        <f>UPPER(CONCATENATE("'",Alumnos!K280,"'"))</f>
        <v>'MASCULINO'</v>
      </c>
      <c r="J21" s="16" t="str">
        <f>UPPER(CONCATENATE("'",Alumnos!L280,"'"))</f>
        <v>'ACTIVO'</v>
      </c>
      <c r="K21" s="16" t="str">
        <f>CONCATENATE(A21,",",B21,",",C21,",",D21,",'",E21,",",F21,",",G21,",",H21,",",UPPER(I21),",",UPPER(J21),",'',0,0,'','ALUMNO'")</f>
        <v>1020,'LICENCIATURA','isaacemiliano.chavezsaavedra','111800','TOMAR DEL SND','CHAVEZ SAAVEDRA ISAAC EMILIANO','INGENIERÍA AUTOMOTRIZ','4to','MASCULINO','ACTIVO','',0,0,'','ALUMNO'</v>
      </c>
      <c r="L21" s="16" t="str">
        <f>CONCATENATE($K$1,K21,");")</f>
        <v>INSERT INTO participantes (id,nivel,correo,matricula,clave,nombre,carrera,grado,sexo,situacion,evaluados,num_evaluados,total_evaluaciones,ultimo_acceso,nivel_acceso) VALUES (1020,'LICENCIATURA','isaacemiliano.chavezsaavedra','111800','TOMAR DEL SND','CHAVEZ SAAVEDRA ISAAC EMILIANO','INGENIERÍA AUTOMOTRIZ','4to','MASCULINO','ACTIVO','',0,0,'','ALUMNO');</v>
      </c>
      <c r="M21" s="16" t="str">
        <f>CONCATENATE("update participantes set correo=",C21," where id=",A21,";")</f>
        <v>update participantes set correo='isaacemiliano.chavezsaavedra' where id=1020;</v>
      </c>
    </row>
    <row r="22" spans="1:13" ht="130.5" x14ac:dyDescent="0.35">
      <c r="A22" s="16">
        <v>1021</v>
      </c>
      <c r="B22" s="18" t="s">
        <v>1754</v>
      </c>
      <c r="C22" s="16" t="str">
        <f>CONCATENATE("'",Alumnos!E79,"'")</f>
        <v>'angeldavid.sanchezlopez'</v>
      </c>
      <c r="D22" s="16" t="str">
        <f>CONCATENATE(Alumnos!F79,"'")</f>
        <v>'111802'</v>
      </c>
      <c r="E22" s="16" t="s">
        <v>1755</v>
      </c>
      <c r="F22" s="16" t="str">
        <f>CONCATENATE("'",Alumnos!H79,"'")</f>
        <v>'SANCHEZ LOPEZ ANGEL DAVID'</v>
      </c>
      <c r="G22" s="16" t="str">
        <f>CONCATENATE("'",Alumnos!I79,"'")</f>
        <v>'INGENIERÍA AUTOMOTRIZ'</v>
      </c>
      <c r="H22" s="16" t="str">
        <f>CONCATENATE("'",Alumnos!J79,"'")</f>
        <v>'4to'</v>
      </c>
      <c r="I22" s="16" t="str">
        <f>UPPER(CONCATENATE("'",Alumnos!K79,"'"))</f>
        <v>'MASCULINO'</v>
      </c>
      <c r="J22" s="16" t="str">
        <f>UPPER(CONCATENATE("'",Alumnos!L79,"'"))</f>
        <v>'ACTIVO'</v>
      </c>
      <c r="K22" s="16" t="str">
        <f>CONCATENATE(A22,",",B22,",",C22,",",D22,",'",E22,",",F22,",",G22,",",H22,",",UPPER(I22),",",UPPER(J22),",'',0,0,'','ALUMNO'")</f>
        <v>1021,'LICENCIATURA','angeldavid.sanchezlopez','111802','TOMAR DEL SND','SANCHEZ LOPEZ ANGEL DAVID','INGENIERÍA AUTOMOTRIZ','4to','MASCULINO','ACTIVO','',0,0,'','ALUMNO'</v>
      </c>
      <c r="L22" s="16" t="str">
        <f>CONCATENATE($K$1,K22,");")</f>
        <v>INSERT INTO participantes (id,nivel,correo,matricula,clave,nombre,carrera,grado,sexo,situacion,evaluados,num_evaluados,total_evaluaciones,ultimo_acceso,nivel_acceso) VALUES (1021,'LICENCIATURA','angeldavid.sanchezlopez','111802','TOMAR DEL SND','SANCHEZ LOPEZ ANGEL DAVID','INGENIERÍA AUTOMOTRIZ','4to','MASCULINO','ACTIVO','',0,0,'','ALUMNO');</v>
      </c>
      <c r="M22" s="16" t="str">
        <f>CONCATENATE("update participantes set correo=",C22," where id=",A22,";")</f>
        <v>update participantes set correo='angeldavid.sanchezlopez' where id=1021;</v>
      </c>
    </row>
    <row r="23" spans="1:13" ht="130.5" x14ac:dyDescent="0.35">
      <c r="A23" s="16">
        <v>1022</v>
      </c>
      <c r="B23" s="18" t="s">
        <v>1754</v>
      </c>
      <c r="C23" s="16" t="str">
        <f>CONCATENATE("'",Alumnos!E227,"'")</f>
        <v>'esmeralda.cadenabobadilla'</v>
      </c>
      <c r="D23" s="16" t="str">
        <f>CONCATENATE(Alumnos!F227,"'")</f>
        <v>'111804'</v>
      </c>
      <c r="E23" s="16" t="s">
        <v>1755</v>
      </c>
      <c r="F23" s="16" t="str">
        <f>CONCATENATE("'",Alumnos!H227,"'")</f>
        <v>'CADENA BOBADILLA ESMERALDA'</v>
      </c>
      <c r="G23" s="16" t="str">
        <f>CONCATENATE("'",Alumnos!I227,"'")</f>
        <v>'NUTRICION Y GASTRONOMIA'</v>
      </c>
      <c r="H23" s="16" t="str">
        <f>CONCATENATE("'",Alumnos!J227,"'")</f>
        <v>'4to'</v>
      </c>
      <c r="I23" s="16" t="str">
        <f>UPPER(CONCATENATE("'",Alumnos!K227,"'"))</f>
        <v>'FEMENINO'</v>
      </c>
      <c r="J23" s="16" t="str">
        <f>UPPER(CONCATENATE("'",Alumnos!L227,"'"))</f>
        <v>'ACTIVO'</v>
      </c>
      <c r="K23" s="16" t="str">
        <f>CONCATENATE(A23,",",B23,",",C23,",",D23,",'",E23,",",F23,",",G23,",",H23,",",UPPER(I23),",",UPPER(J23),",'',0,0,'','ALUMNO'")</f>
        <v>1022,'LICENCIATURA','esmeralda.cadenabobadilla','111804','TOMAR DEL SND','CADENA BOBADILLA ESMERALDA','NUTRICION Y GASTRONOMIA','4to','FEMENINO','ACTIVO','',0,0,'','ALUMNO'</v>
      </c>
      <c r="L23" s="16" t="str">
        <f>CONCATENATE($K$1,K23,");")</f>
        <v>INSERT INTO participantes (id,nivel,correo,matricula,clave,nombre,carrera,grado,sexo,situacion,evaluados,num_evaluados,total_evaluaciones,ultimo_acceso,nivel_acceso) VALUES (1022,'LICENCIATURA','esmeralda.cadenabobadilla','111804','TOMAR DEL SND','CADENA BOBADILLA ESMERALDA','NUTRICION Y GASTRONOMIA','4to','FEMENINO','ACTIVO','',0,0,'','ALUMNO');</v>
      </c>
      <c r="M23" s="16" t="str">
        <f>CONCATENATE("update participantes set correo=",C23," where id=",A23,";")</f>
        <v>update participantes set correo='esmeralda.cadenabobadilla' where id=1022;</v>
      </c>
    </row>
    <row r="24" spans="1:13" ht="116" x14ac:dyDescent="0.35">
      <c r="A24" s="16">
        <v>1023</v>
      </c>
      <c r="B24" s="18" t="s">
        <v>1754</v>
      </c>
      <c r="C24" s="16" t="str">
        <f>CONCATENATE("'",Alumnos!E142,"'")</f>
        <v>'claudiapatricia.martinezreynoso'</v>
      </c>
      <c r="D24" s="16" t="str">
        <f>CONCATENATE(Alumnos!F142,"'")</f>
        <v>'111805'</v>
      </c>
      <c r="E24" s="16" t="s">
        <v>1755</v>
      </c>
      <c r="F24" s="16" t="str">
        <f>CONCATENATE("'",Alumnos!H142,"'")</f>
        <v>'MARTINEZ REYNOSO CLAUDIA PATRICIA'</v>
      </c>
      <c r="G24" s="16" t="str">
        <f>CONCATENATE("'",Alumnos!I142,"'")</f>
        <v>'PSICOLOGIA'</v>
      </c>
      <c r="H24" s="16" t="str">
        <f>CONCATENATE("'",Alumnos!J142,"'")</f>
        <v>'4to'</v>
      </c>
      <c r="I24" s="16" t="str">
        <f>UPPER(CONCATENATE("'",Alumnos!K142,"'"))</f>
        <v>'FEMENINO'</v>
      </c>
      <c r="J24" s="16" t="str">
        <f>UPPER(CONCATENATE("'",Alumnos!L142,"'"))</f>
        <v>'ACTIVO'</v>
      </c>
      <c r="K24" s="16" t="str">
        <f>CONCATENATE(A24,",",B24,",",C24,",",D24,",'",E24,",",F24,",",G24,",",H24,",",UPPER(I24),",",UPPER(J24),",'',0,0,'','ALUMNO'")</f>
        <v>1023,'LICENCIATURA','claudiapatricia.martinezreynoso','111805','TOMAR DEL SND','MARTINEZ REYNOSO CLAUDIA PATRICIA','PSICOLOGIA','4to','FEMENINO','ACTIVO','',0,0,'','ALUMNO'</v>
      </c>
      <c r="L24" s="16" t="str">
        <f>CONCATENATE($K$1,K24,");")</f>
        <v>INSERT INTO participantes (id,nivel,correo,matricula,clave,nombre,carrera,grado,sexo,situacion,evaluados,num_evaluados,total_evaluaciones,ultimo_acceso,nivel_acceso) VALUES (1023,'LICENCIATURA','claudiapatricia.martinezreynoso','111805','TOMAR DEL SND','MARTINEZ REYNOSO CLAUDIA PATRICIA','PSICOLOGIA','4to','FEMENINO','ACTIVO','',0,0,'','ALUMNO');</v>
      </c>
      <c r="M24" s="16" t="str">
        <f>CONCATENATE("update participantes set correo=",C24," where id=",A24,";")</f>
        <v>update participantes set correo='claudiapatricia.martinezreynoso' where id=1023;</v>
      </c>
    </row>
    <row r="25" spans="1:13" ht="116" x14ac:dyDescent="0.35">
      <c r="A25" s="16">
        <v>1024</v>
      </c>
      <c r="B25" s="18" t="s">
        <v>1754</v>
      </c>
      <c r="C25" s="16" t="str">
        <f>CONCATENATE("'",Alumnos!E239,"'")</f>
        <v>'fernandaaraceli.romerogarcia'</v>
      </c>
      <c r="D25" s="16" t="str">
        <f>CONCATENATE(Alumnos!F239,"'")</f>
        <v>'111806'</v>
      </c>
      <c r="E25" s="16" t="s">
        <v>1755</v>
      </c>
      <c r="F25" s="16" t="str">
        <f>CONCATENATE("'",Alumnos!H239,"'")</f>
        <v>'ROMERO GARCIA FERNANDA ARACELI'</v>
      </c>
      <c r="G25" s="16" t="str">
        <f>CONCATENATE("'",Alumnos!I239,"'")</f>
        <v>'ARQUITECTURA'</v>
      </c>
      <c r="H25" s="16" t="str">
        <f>CONCATENATE("'",Alumnos!J239,"'")</f>
        <v>'4to'</v>
      </c>
      <c r="I25" s="16" t="str">
        <f>UPPER(CONCATENATE("'",Alumnos!K239,"'"))</f>
        <v>'FEMENINO'</v>
      </c>
      <c r="J25" s="16" t="str">
        <f>UPPER(CONCATENATE("'",Alumnos!L239,"'"))</f>
        <v>'ACTIVO'</v>
      </c>
      <c r="K25" s="16" t="str">
        <f>CONCATENATE(A25,",",B25,",",C25,",",D25,",'",E25,",",F25,",",G25,",",H25,",",UPPER(I25),",",UPPER(J25),",'',0,0,'','ALUMNO'")</f>
        <v>1024,'LICENCIATURA','fernandaaraceli.romerogarcia','111806','TOMAR DEL SND','ROMERO GARCIA FERNANDA ARACELI','ARQUITECTURA','4to','FEMENINO','ACTIVO','',0,0,'','ALUMNO'</v>
      </c>
      <c r="L25" s="16" t="str">
        <f>CONCATENATE($K$1,K25,");")</f>
        <v>INSERT INTO participantes (id,nivel,correo,matricula,clave,nombre,carrera,grado,sexo,situacion,evaluados,num_evaluados,total_evaluaciones,ultimo_acceso,nivel_acceso) VALUES (1024,'LICENCIATURA','fernandaaraceli.romerogarcia','111806','TOMAR DEL SND','ROMERO GARCIA FERNANDA ARACELI','ARQUITECTURA','4to','FEMENINO','ACTIVO','',0,0,'','ALUMNO');</v>
      </c>
      <c r="M25" s="16" t="str">
        <f>CONCATENATE("update participantes set correo=",C25," where id=",A25,";")</f>
        <v>update participantes set correo='fernandaaraceli.romerogarcia' where id=1024;</v>
      </c>
    </row>
    <row r="26" spans="1:13" ht="116" x14ac:dyDescent="0.35">
      <c r="A26" s="16">
        <v>1025</v>
      </c>
      <c r="B26" s="18" t="s">
        <v>1754</v>
      </c>
      <c r="C26" s="16" t="str">
        <f>CONCATENATE("'",Alumnos!E610,"'")</f>
        <v>'victoria.romerogomez'</v>
      </c>
      <c r="D26" s="16" t="str">
        <f>CONCATENATE(Alumnos!F610,"'")</f>
        <v>'111807'</v>
      </c>
      <c r="E26" s="16" t="s">
        <v>1755</v>
      </c>
      <c r="F26" s="16" t="str">
        <f>CONCATENATE("'",Alumnos!H610,"'")</f>
        <v>'ROMERO GOMEZ VICTORIA'</v>
      </c>
      <c r="G26" s="16" t="str">
        <f>CONCATENATE("'",Alumnos!I610,"'")</f>
        <v>'NUTRICION Y GASTRONOMIA'</v>
      </c>
      <c r="H26" s="16" t="str">
        <f>CONCATENATE("'",Alumnos!J610,"'")</f>
        <v>'4to'</v>
      </c>
      <c r="I26" s="16" t="str">
        <f>UPPER(CONCATENATE("'",Alumnos!K610,"'"))</f>
        <v>'FEMENINO'</v>
      </c>
      <c r="J26" s="16" t="str">
        <f>UPPER(CONCATENATE("'",Alumnos!L610,"'"))</f>
        <v>'ACTIVO'</v>
      </c>
      <c r="K26" s="16" t="str">
        <f>CONCATENATE(A26,",",B26,",",C26,",",D26,",'",E26,",",F26,",",G26,",",H26,",",UPPER(I26),",",UPPER(J26),",'',0,0,'','ALUMNO'")</f>
        <v>1025,'LICENCIATURA','victoria.romerogomez','111807','TOMAR DEL SND','ROMERO GOMEZ VICTORIA','NUTRICION Y GASTRONOMIA','4to','FEMENINO','ACTIVO','',0,0,'','ALUMNO'</v>
      </c>
      <c r="L26" s="16" t="str">
        <f>CONCATENATE($K$1,K26,");")</f>
        <v>INSERT INTO participantes (id,nivel,correo,matricula,clave,nombre,carrera,grado,sexo,situacion,evaluados,num_evaluados,total_evaluaciones,ultimo_acceso,nivel_acceso) VALUES (1025,'LICENCIATURA','victoria.romerogomez','111807','TOMAR DEL SND','ROMERO GOMEZ VICTORIA','NUTRICION Y GASTRONOMIA','4to','FEMENINO','ACTIVO','',0,0,'','ALUMNO');</v>
      </c>
      <c r="M26" s="16" t="str">
        <f>CONCATENATE("update participantes set correo=",C26," where id=",A26,";")</f>
        <v>update participantes set correo='victoria.romerogomez' where id=1025;</v>
      </c>
    </row>
    <row r="27" spans="1:13" ht="130.5" x14ac:dyDescent="0.35">
      <c r="A27" s="16">
        <v>1026</v>
      </c>
      <c r="B27" s="18" t="s">
        <v>1754</v>
      </c>
      <c r="C27" s="16" t="str">
        <f>CONCATENATE("'",Alumnos!E593,"'")</f>
        <v>'valentino.elizaldequintero'</v>
      </c>
      <c r="D27" s="16" t="str">
        <f>CONCATENATE(Alumnos!F593,"'")</f>
        <v>'111808'</v>
      </c>
      <c r="E27" s="16" t="s">
        <v>1755</v>
      </c>
      <c r="F27" s="16" t="str">
        <f>CONCATENATE("'",Alumnos!H593,"'")</f>
        <v>'ELIZALDE QUINTERO VALENTINO'</v>
      </c>
      <c r="G27" s="16" t="str">
        <f>CONCATENATE("'",Alumnos!I593,"'")</f>
        <v>'INGENIERIA AEROESPACIAL'</v>
      </c>
      <c r="H27" s="16" t="str">
        <f>CONCATENATE("'",Alumnos!J593,"'")</f>
        <v>'4to'</v>
      </c>
      <c r="I27" s="16" t="str">
        <f>UPPER(CONCATENATE("'",Alumnos!K593,"'"))</f>
        <v>'MASCULINO'</v>
      </c>
      <c r="J27" s="16" t="str">
        <f>UPPER(CONCATENATE("'",Alumnos!L593,"'"))</f>
        <v>'ACTIVO'</v>
      </c>
      <c r="K27" s="16" t="str">
        <f>CONCATENATE(A27,",",B27,",",C27,",",D27,",'",E27,",",F27,",",G27,",",H27,",",UPPER(I27),",",UPPER(J27),",'',0,0,'','ALUMNO'")</f>
        <v>1026,'LICENCIATURA','valentino.elizaldequintero','111808','TOMAR DEL SND','ELIZALDE QUINTERO VALENTINO','INGENIERIA AEROESPACIAL','4to','MASCULINO','ACTIVO','',0,0,'','ALUMNO'</v>
      </c>
      <c r="L27" s="16" t="str">
        <f>CONCATENATE($K$1,K27,");")</f>
        <v>INSERT INTO participantes (id,nivel,correo,matricula,clave,nombre,carrera,grado,sexo,situacion,evaluados,num_evaluados,total_evaluaciones,ultimo_acceso,nivel_acceso) VALUES (1026,'LICENCIATURA','valentino.elizaldequintero','111808','TOMAR DEL SND','ELIZALDE QUINTERO VALENTINO','INGENIERIA AEROESPACIAL','4to','MASCULINO','ACTIVO','',0,0,'','ALUMNO');</v>
      </c>
      <c r="M27" s="16" t="str">
        <f>CONCATENATE("update participantes set correo=",C27," where id=",A27,";")</f>
        <v>update participantes set correo='valentino.elizaldequintero' where id=1026;</v>
      </c>
    </row>
    <row r="28" spans="1:13" ht="130.5" x14ac:dyDescent="0.35">
      <c r="A28" s="16">
        <v>1027</v>
      </c>
      <c r="B28" s="18" t="s">
        <v>1754</v>
      </c>
      <c r="C28" s="16" t="str">
        <f>CONCATENATE("'",Alumnos!E271,"'")</f>
        <v>'hectorfabian.gonzalezdeloza'</v>
      </c>
      <c r="D28" s="16" t="str">
        <f>CONCATENATE(Alumnos!F271,"'")</f>
        <v>'111809'</v>
      </c>
      <c r="E28" s="16" t="s">
        <v>1755</v>
      </c>
      <c r="F28" s="16" t="str">
        <f>CONCATENATE("'",Alumnos!H271,"'")</f>
        <v>'GONZALEZ DE LOZA HECTOR FABIAN'</v>
      </c>
      <c r="G28" s="16" t="str">
        <f>CONCATENATE("'",Alumnos!I271,"'")</f>
        <v>'INGENIERÍA AUTOMOTRIZ'</v>
      </c>
      <c r="H28" s="16" t="str">
        <f>CONCATENATE("'",Alumnos!J271,"'")</f>
        <v>'4to'</v>
      </c>
      <c r="I28" s="16" t="str">
        <f>UPPER(CONCATENATE("'",Alumnos!K271,"'"))</f>
        <v>'MASCULINO'</v>
      </c>
      <c r="J28" s="16" t="str">
        <f>UPPER(CONCATENATE("'",Alumnos!L271,"'"))</f>
        <v>'ACTIVO'</v>
      </c>
      <c r="K28" s="16" t="str">
        <f>CONCATENATE(A28,",",B28,",",C28,",",D28,",'",E28,",",F28,",",G28,",",H28,",",UPPER(I28),",",UPPER(J28),",'',0,0,'','ALUMNO'")</f>
        <v>1027,'LICENCIATURA','hectorfabian.gonzalezdeloza','111809','TOMAR DEL SND','GONZALEZ DE LOZA HECTOR FABIAN','INGENIERÍA AUTOMOTRIZ','4to','MASCULINO','ACTIVO','',0,0,'','ALUMNO'</v>
      </c>
      <c r="L28" s="16" t="str">
        <f>CONCATENATE($K$1,K28,");")</f>
        <v>INSERT INTO participantes (id,nivel,correo,matricula,clave,nombre,carrera,grado,sexo,situacion,evaluados,num_evaluados,total_evaluaciones,ultimo_acceso,nivel_acceso) VALUES (1027,'LICENCIATURA','hectorfabian.gonzalezdeloza','111809','TOMAR DEL SND','GONZALEZ DE LOZA HECTOR FABIAN','INGENIERÍA AUTOMOTRIZ','4to','MASCULINO','ACTIVO','',0,0,'','ALUMNO');</v>
      </c>
      <c r="M28" s="16" t="str">
        <f>CONCATENATE("update participantes set correo=",C28," where id=",A28,";")</f>
        <v>update participantes set correo='hectorfabian.gonzalezdeloza' where id=1027;</v>
      </c>
    </row>
    <row r="29" spans="1:13" ht="116" x14ac:dyDescent="0.35">
      <c r="A29" s="16">
        <v>1028</v>
      </c>
      <c r="B29" s="18" t="s">
        <v>1754</v>
      </c>
      <c r="C29" s="16" t="str">
        <f>CONCATENATE("'",Alumnos!E622,"'")</f>
        <v>'zahirapaulette.enriquezsanchez'</v>
      </c>
      <c r="D29" s="16" t="str">
        <f>CONCATENATE(Alumnos!F622,"'")</f>
        <v>'111811'</v>
      </c>
      <c r="E29" s="16" t="s">
        <v>1755</v>
      </c>
      <c r="F29" s="16" t="str">
        <f>CONCATENATE("'",Alumnos!H622,"'")</f>
        <v>'ENRIQUEZ SANCHEZ ZAHIRA PAULETTE'</v>
      </c>
      <c r="G29" s="16" t="str">
        <f>CONCATENATE("'",Alumnos!I622,"'")</f>
        <v>'ADMINISTRACION Y DIRECCION DE NEGOCIOS'</v>
      </c>
      <c r="H29" s="16" t="str">
        <f>CONCATENATE("'",Alumnos!J622,"'")</f>
        <v>'4to'</v>
      </c>
      <c r="I29" s="16" t="str">
        <f>UPPER(CONCATENATE("'",Alumnos!K622,"'"))</f>
        <v>'FEMENINO'</v>
      </c>
      <c r="J29" s="16" t="str">
        <f>UPPER(CONCATENATE("'",Alumnos!L622,"'"))</f>
        <v>'ACTIVO'</v>
      </c>
      <c r="K29" s="16" t="str">
        <f>CONCATENATE(A29,",",B29,",",C29,",",D29,",'",E29,",",F29,",",G29,",",H29,",",UPPER(I29),",",UPPER(J29),",'',0,0,'','ALUMNO'")</f>
        <v>1028,'LICENCIATURA','zahirapaulette.enriquezsanchez','111811','TOMAR DEL SND','ENRIQUEZ SANCHEZ ZAHIRA PAULETTE','ADMINISTRACION Y DIRECCION DE NEGOCIOS','4to','FEMENINO','ACTIVO','',0,0,'','ALUMNO'</v>
      </c>
      <c r="L29" s="16" t="str">
        <f>CONCATENATE($K$1,K29,");")</f>
        <v>INSERT INTO participantes (id,nivel,correo,matricula,clave,nombre,carrera,grado,sexo,situacion,evaluados,num_evaluados,total_evaluaciones,ultimo_acceso,nivel_acceso) VALUES (1028,'LICENCIATURA','zahirapaulette.enriquezsanchez','111811','TOMAR DEL SND','ENRIQUEZ SANCHEZ ZAHIRA PAULETTE','ADMINISTRACION Y DIRECCION DE NEGOCIOS','4to','FEMENINO','ACTIVO','',0,0,'','ALUMNO');</v>
      </c>
      <c r="M29" s="16" t="str">
        <f>CONCATENATE("update participantes set correo=",C29," where id=",A29,";")</f>
        <v>update participantes set correo='zahirapaulette.enriquezsanchez' where id=1028;</v>
      </c>
    </row>
    <row r="30" spans="1:13" ht="116" x14ac:dyDescent="0.35">
      <c r="A30" s="16">
        <v>1029</v>
      </c>
      <c r="B30" s="18" t="s">
        <v>1754</v>
      </c>
      <c r="C30" s="16" t="str">
        <f>CONCATENATE("'",Alumnos!E258,"'")</f>
        <v>'giovanni.dealbatovar'</v>
      </c>
      <c r="D30" s="16" t="str">
        <f>CONCATENATE(Alumnos!F258,"'")</f>
        <v>'111812'</v>
      </c>
      <c r="E30" s="16" t="s">
        <v>1755</v>
      </c>
      <c r="F30" s="16" t="str">
        <f>CONCATENATE("'",Alumnos!H258,"'")</f>
        <v>'DE ALBA TOVAR GIOVANNI'</v>
      </c>
      <c r="G30" s="16" t="str">
        <f>CONCATENATE("'",Alumnos!I258,"'")</f>
        <v>'INGENIERÍA AUTOMOTRIZ'</v>
      </c>
      <c r="H30" s="16" t="str">
        <f>CONCATENATE("'",Alumnos!J258,"'")</f>
        <v>'4to'</v>
      </c>
      <c r="I30" s="16" t="str">
        <f>UPPER(CONCATENATE("'",Alumnos!K258,"'"))</f>
        <v>'MASCULINO'</v>
      </c>
      <c r="J30" s="16" t="str">
        <f>UPPER(CONCATENATE("'",Alumnos!L258,"'"))</f>
        <v>'ACTIVO'</v>
      </c>
      <c r="K30" s="16" t="str">
        <f>CONCATENATE(A30,",",B30,",",C30,",",D30,",'",E30,",",F30,",",G30,",",H30,",",UPPER(I30),",",UPPER(J30),",'',0,0,'','ALUMNO'")</f>
        <v>1029,'LICENCIATURA','giovanni.dealbatovar','111812','TOMAR DEL SND','DE ALBA TOVAR GIOVANNI','INGENIERÍA AUTOMOTRIZ','4to','MASCULINO','ACTIVO','',0,0,'','ALUMNO'</v>
      </c>
      <c r="L30" s="16" t="str">
        <f>CONCATENATE($K$1,K30,");")</f>
        <v>INSERT INTO participantes (id,nivel,correo,matricula,clave,nombre,carrera,grado,sexo,situacion,evaluados,num_evaluados,total_evaluaciones,ultimo_acceso,nivel_acceso) VALUES (1029,'LICENCIATURA','giovanni.dealbatovar','111812','TOMAR DEL SND','DE ALBA TOVAR GIOVANNI','INGENIERÍA AUTOMOTRIZ','4to','MASCULINO','ACTIVO','',0,0,'','ALUMNO');</v>
      </c>
      <c r="M30" s="16" t="str">
        <f>CONCATENATE("update participantes set correo=",C30," where id=",A30,";")</f>
        <v>update participantes set correo='giovanni.dealbatovar' where id=1029;</v>
      </c>
    </row>
    <row r="31" spans="1:13" ht="116" x14ac:dyDescent="0.35">
      <c r="A31" s="16">
        <v>1030</v>
      </c>
      <c r="B31" s="18" t="s">
        <v>1754</v>
      </c>
      <c r="C31" s="16" t="str">
        <f>CONCATENATE("'",Alumnos!E111,"'")</f>
        <v>'brendamelissa.soliscerpa'</v>
      </c>
      <c r="D31" s="16" t="str">
        <f>CONCATENATE(Alumnos!F111,"'")</f>
        <v>'111815'</v>
      </c>
      <c r="E31" s="16" t="s">
        <v>1755</v>
      </c>
      <c r="F31" s="16" t="str">
        <f>CONCATENATE("'",Alumnos!H111,"'")</f>
        <v>'SOLIS CERPA BRENDA MELISSA'</v>
      </c>
      <c r="G31" s="16" t="str">
        <f>CONCATENATE("'",Alumnos!I111,"'")</f>
        <v>'PSICOLOGIA'</v>
      </c>
      <c r="H31" s="16" t="str">
        <f>CONCATENATE("'",Alumnos!J111,"'")</f>
        <v>'4to'</v>
      </c>
      <c r="I31" s="16" t="str">
        <f>UPPER(CONCATENATE("'",Alumnos!K111,"'"))</f>
        <v>'FEMENINO'</v>
      </c>
      <c r="J31" s="16" t="str">
        <f>UPPER(CONCATENATE("'",Alumnos!L111,"'"))</f>
        <v>'ACTIVO'</v>
      </c>
      <c r="K31" s="16" t="str">
        <f>CONCATENATE(A31,",",B31,",",C31,",",D31,",'",E31,",",F31,",",G31,",",H31,",",UPPER(I31),",",UPPER(J31),",'',0,0,'','ALUMNO'")</f>
        <v>1030,'LICENCIATURA','brendamelissa.soliscerpa','111815','TOMAR DEL SND','SOLIS CERPA BRENDA MELISSA','PSICOLOGIA','4to','FEMENINO','ACTIVO','',0,0,'','ALUMNO'</v>
      </c>
      <c r="L31" s="16" t="str">
        <f>CONCATENATE($K$1,K31,");")</f>
        <v>INSERT INTO participantes (id,nivel,correo,matricula,clave,nombre,carrera,grado,sexo,situacion,evaluados,num_evaluados,total_evaluaciones,ultimo_acceso,nivel_acceso) VALUES (1030,'LICENCIATURA','brendamelissa.soliscerpa','111815','TOMAR DEL SND','SOLIS CERPA BRENDA MELISSA','PSICOLOGIA','4to','FEMENINO','ACTIVO','',0,0,'','ALUMNO');</v>
      </c>
      <c r="M31" s="16" t="str">
        <f>CONCATENATE("update participantes set correo=",C31," where id=",A31,";")</f>
        <v>update participantes set correo='brendamelissa.soliscerpa' where id=1030;</v>
      </c>
    </row>
    <row r="32" spans="1:13" ht="116" x14ac:dyDescent="0.35">
      <c r="A32" s="16">
        <v>1031</v>
      </c>
      <c r="B32" s="18" t="s">
        <v>1754</v>
      </c>
      <c r="C32" s="16" t="str">
        <f>CONCATENATE("'",Alumnos!E597,"'")</f>
        <v>'valeria.castillolopez'</v>
      </c>
      <c r="D32" s="16" t="str">
        <f>CONCATENATE(Alumnos!F597,"'")</f>
        <v>'111816'</v>
      </c>
      <c r="E32" s="16" t="s">
        <v>1755</v>
      </c>
      <c r="F32" s="16" t="str">
        <f>CONCATENATE("'",Alumnos!H597,"'")</f>
        <v>'CASTILLO LOPEZ VALERIA'</v>
      </c>
      <c r="G32" s="16" t="str">
        <f>CONCATENATE("'",Alumnos!I597,"'")</f>
        <v>'ADMINISTRACION Y DIRECCION DE NEGOCIOS'</v>
      </c>
      <c r="H32" s="16" t="str">
        <f>CONCATENATE("'",Alumnos!J597,"'")</f>
        <v>'4to'</v>
      </c>
      <c r="I32" s="16" t="str">
        <f>UPPER(CONCATENATE("'",Alumnos!K597,"'"))</f>
        <v>'FEMENINO'</v>
      </c>
      <c r="J32" s="16" t="str">
        <f>UPPER(CONCATENATE("'",Alumnos!L597,"'"))</f>
        <v>'ACTIVO'</v>
      </c>
      <c r="K32" s="16" t="str">
        <f>CONCATENATE(A32,",",B32,",",C32,",",D32,",'",E32,",",F32,",",G32,",",H32,",",UPPER(I32),",",UPPER(J32),",'',0,0,'','ALUMNO'")</f>
        <v>1031,'LICENCIATURA','valeria.castillolopez','111816','TOMAR DEL SND','CASTILLO LOPEZ VALERIA','ADMINISTRACION Y DIRECCION DE NEGOCIOS','4to','FEMENINO','ACTIVO','',0,0,'','ALUMNO'</v>
      </c>
      <c r="L32" s="16" t="str">
        <f>CONCATENATE($K$1,K32,");")</f>
        <v>INSERT INTO participantes (id,nivel,correo,matricula,clave,nombre,carrera,grado,sexo,situacion,evaluados,num_evaluados,total_evaluaciones,ultimo_acceso,nivel_acceso) VALUES (1031,'LICENCIATURA','valeria.castillolopez','111816','TOMAR DEL SND','CASTILLO LOPEZ VALERIA','ADMINISTRACION Y DIRECCION DE NEGOCIOS','4to','FEMENINO','ACTIVO','',0,0,'','ALUMNO');</v>
      </c>
      <c r="M32" s="16" t="str">
        <f>CONCATENATE("update participantes set correo=",C32," where id=",A32,";")</f>
        <v>update participantes set correo='valeria.castillolopez' where id=1031;</v>
      </c>
    </row>
    <row r="33" spans="1:13" ht="130.5" x14ac:dyDescent="0.35">
      <c r="A33" s="16">
        <v>1032</v>
      </c>
      <c r="B33" s="18" t="s">
        <v>1754</v>
      </c>
      <c r="C33" s="16" t="str">
        <f>CONCATENATE("'",Alumnos!E409,"'")</f>
        <v>'luisalonso.garciagarcia'</v>
      </c>
      <c r="D33" s="16" t="str">
        <f>CONCATENATE(Alumnos!F409,"'")</f>
        <v>'111817'</v>
      </c>
      <c r="E33" s="16" t="s">
        <v>1755</v>
      </c>
      <c r="F33" s="16" t="str">
        <f>CONCATENATE("'",Alumnos!H409,"'")</f>
        <v>'GARCIA GARCIA LUIS ALONSO'</v>
      </c>
      <c r="G33" s="16" t="str">
        <f>CONCATENATE("'",Alumnos!I409,"'")</f>
        <v>'ANIMACION DIGITAL Y VIDEOJUEGOS'</v>
      </c>
      <c r="H33" s="16" t="str">
        <f>CONCATENATE("'",Alumnos!J409,"'")</f>
        <v>'4to'</v>
      </c>
      <c r="I33" s="16" t="str">
        <f>UPPER(CONCATENATE("'",Alumnos!K409,"'"))</f>
        <v>'MASCULINO'</v>
      </c>
      <c r="J33" s="16" t="str">
        <f>UPPER(CONCATENATE("'",Alumnos!L409,"'"))</f>
        <v>'ACTIVO'</v>
      </c>
      <c r="K33" s="16" t="str">
        <f>CONCATENATE(A33,",",B33,",",C33,",",D33,",'",E33,",",F33,",",G33,",",H33,",",UPPER(I33),",",UPPER(J33),",'',0,0,'','ALUMNO'")</f>
        <v>1032,'LICENCIATURA','luisalonso.garciagarcia','111817','TOMAR DEL SND','GARCIA GARCIA LUIS ALONSO','ANIMACION DIGITAL Y VIDEOJUEGOS','4to','MASCULINO','ACTIVO','',0,0,'','ALUMNO'</v>
      </c>
      <c r="L33" s="16" t="str">
        <f>CONCATENATE($K$1,K33,");")</f>
        <v>INSERT INTO participantes (id,nivel,correo,matricula,clave,nombre,carrera,grado,sexo,situacion,evaluados,num_evaluados,total_evaluaciones,ultimo_acceso,nivel_acceso) VALUES (1032,'LICENCIATURA','luisalonso.garciagarcia','111817','TOMAR DEL SND','GARCIA GARCIA LUIS ALONSO','ANIMACION DIGITAL Y VIDEOJUEGOS','4to','MASCULINO','ACTIVO','',0,0,'','ALUMNO');</v>
      </c>
      <c r="M33" s="16" t="str">
        <f>CONCATENATE("update participantes set correo=",C33," where id=",A33,";")</f>
        <v>update participantes set correo='luisalonso.garciagarcia' where id=1032;</v>
      </c>
    </row>
    <row r="34" spans="1:13" ht="116" x14ac:dyDescent="0.35">
      <c r="A34" s="16">
        <v>1033</v>
      </c>
      <c r="B34" s="18" t="s">
        <v>1754</v>
      </c>
      <c r="C34" s="16" t="str">
        <f>CONCATENATE("'",Alumnos!E25,"'")</f>
        <v>'alejandra.perezlimon'</v>
      </c>
      <c r="D34" s="16" t="str">
        <f>CONCATENATE(Alumnos!F25,"'")</f>
        <v>'111819'</v>
      </c>
      <c r="E34" s="16" t="s">
        <v>1755</v>
      </c>
      <c r="F34" s="16" t="str">
        <f>CONCATENATE("'",Alumnos!H25,"'")</f>
        <v>'PEREZ LIMON ALEJANDRA'</v>
      </c>
      <c r="G34" s="16" t="str">
        <f>CONCATENATE("'",Alumnos!I25,"'")</f>
        <v>'PSICOLOGIA'</v>
      </c>
      <c r="H34" s="16" t="str">
        <f>CONCATENATE("'",Alumnos!J25,"'")</f>
        <v>'4to'</v>
      </c>
      <c r="I34" s="16" t="str">
        <f>UPPER(CONCATENATE("'",Alumnos!K25,"'"))</f>
        <v>'FEMENINO'</v>
      </c>
      <c r="J34" s="16" t="str">
        <f>UPPER(CONCATENATE("'",Alumnos!L25,"'"))</f>
        <v>'ACTIVO'</v>
      </c>
      <c r="K34" s="16" t="str">
        <f>CONCATENATE(A34,",",B34,",",C34,",",D34,",'",E34,",",F34,",",G34,",",H34,",",UPPER(I34),",",UPPER(J34),",'',0,0,'','ALUMNO'")</f>
        <v>1033,'LICENCIATURA','alejandra.perezlimon','111819','TOMAR DEL SND','PEREZ LIMON ALEJANDRA','PSICOLOGIA','4to','FEMENINO','ACTIVO','',0,0,'','ALUMNO'</v>
      </c>
      <c r="L34" s="16" t="str">
        <f>CONCATENATE($K$1,K34,");")</f>
        <v>INSERT INTO participantes (id,nivel,correo,matricula,clave,nombre,carrera,grado,sexo,situacion,evaluados,num_evaluados,total_evaluaciones,ultimo_acceso,nivel_acceso) VALUES (1033,'LICENCIATURA','alejandra.perezlimon','111819','TOMAR DEL SND','PEREZ LIMON ALEJANDRA','PSICOLOGIA','4to','FEMENINO','ACTIVO','',0,0,'','ALUMNO');</v>
      </c>
      <c r="M34" s="16" t="str">
        <f>CONCATENATE("update participantes set correo=",C34," where id=",A34,";")</f>
        <v>update participantes set correo='alejandra.perezlimon' where id=1033;</v>
      </c>
    </row>
    <row r="35" spans="1:13" ht="116" x14ac:dyDescent="0.35">
      <c r="A35" s="16">
        <v>1034</v>
      </c>
      <c r="B35" s="18" t="s">
        <v>1754</v>
      </c>
      <c r="C35" s="16" t="str">
        <f>CONCATENATE("'",Alumnos!E307,"'")</f>
        <v>'jesusandres.moralesreyes'</v>
      </c>
      <c r="D35" s="16" t="str">
        <f>CONCATENATE(Alumnos!F307,"'")</f>
        <v>'111820'</v>
      </c>
      <c r="E35" s="16" t="s">
        <v>1755</v>
      </c>
      <c r="F35" s="16" t="str">
        <f>CONCATENATE("'",Alumnos!H307,"'")</f>
        <v>'MORALES REYES JESUS ANDRES'</v>
      </c>
      <c r="G35" s="16" t="str">
        <f>CONCATENATE("'",Alumnos!I307,"'")</f>
        <v>'PSICOLOGIA'</v>
      </c>
      <c r="H35" s="16" t="str">
        <f>CONCATENATE("'",Alumnos!J307,"'")</f>
        <v>'4to'</v>
      </c>
      <c r="I35" s="16" t="str">
        <f>UPPER(CONCATENATE("'",Alumnos!K307,"'"))</f>
        <v>'MASCULINO'</v>
      </c>
      <c r="J35" s="16" t="str">
        <f>UPPER(CONCATENATE("'",Alumnos!L307,"'"))</f>
        <v>'ACTIVO'</v>
      </c>
      <c r="K35" s="16" t="str">
        <f>CONCATENATE(A35,",",B35,",",C35,",",D35,",'",E35,",",F35,",",G35,",",H35,",",UPPER(I35),",",UPPER(J35),",'',0,0,'','ALUMNO'")</f>
        <v>1034,'LICENCIATURA','jesusandres.moralesreyes','111820','TOMAR DEL SND','MORALES REYES JESUS ANDRES','PSICOLOGIA','4to','MASCULINO','ACTIVO','',0,0,'','ALUMNO'</v>
      </c>
      <c r="L35" s="16" t="str">
        <f>CONCATENATE($K$1,K35,");")</f>
        <v>INSERT INTO participantes (id,nivel,correo,matricula,clave,nombre,carrera,grado,sexo,situacion,evaluados,num_evaluados,total_evaluaciones,ultimo_acceso,nivel_acceso) VALUES (1034,'LICENCIATURA','jesusandres.moralesreyes','111820','TOMAR DEL SND','MORALES REYES JESUS ANDRES','PSICOLOGIA','4to','MASCULINO','ACTIVO','',0,0,'','ALUMNO');</v>
      </c>
      <c r="M35" s="16" t="str">
        <f>CONCATENATE("update participantes set correo=",C35," where id=",A35,";")</f>
        <v>update participantes set correo='jesusandres.moralesreyes' where id=1034;</v>
      </c>
    </row>
    <row r="36" spans="1:13" ht="130.5" x14ac:dyDescent="0.35">
      <c r="A36" s="16">
        <v>1035</v>
      </c>
      <c r="B36" s="18" t="s">
        <v>1754</v>
      </c>
      <c r="C36" s="16" t="str">
        <f>CONCATENATE("'",Alumnos!E512,"'")</f>
        <v>'oscarroberto.gonzalezcampos'</v>
      </c>
      <c r="D36" s="16" t="str">
        <f>CONCATENATE(Alumnos!F512,"'")</f>
        <v>'111822'</v>
      </c>
      <c r="E36" s="16" t="s">
        <v>1755</v>
      </c>
      <c r="F36" s="16" t="str">
        <f>CONCATENATE("'",Alumnos!H512,"'")</f>
        <v>'GONZALEZ CAMPOS OSCAR ROBERTO'</v>
      </c>
      <c r="G36" s="16" t="str">
        <f>CONCATENATE("'",Alumnos!I512,"'")</f>
        <v>'INGENIERÍA AUTOMOTRIZ'</v>
      </c>
      <c r="H36" s="16" t="str">
        <f>CONCATENATE("'",Alumnos!J512,"'")</f>
        <v>'4to'</v>
      </c>
      <c r="I36" s="16" t="str">
        <f>UPPER(CONCATENATE("'",Alumnos!K512,"'"))</f>
        <v>'MASCULINO'</v>
      </c>
      <c r="J36" s="16" t="str">
        <f>UPPER(CONCATENATE("'",Alumnos!L512,"'"))</f>
        <v>'BLOQUEADO'</v>
      </c>
      <c r="K36" s="16" t="str">
        <f>CONCATENATE(A36,",",B36,",",C36,",",D36,",'",E36,",",F36,",",G36,",",H36,",",UPPER(I36),",",UPPER(J36),",'',0,0,'','ALUMNO'")</f>
        <v>1035,'LICENCIATURA','oscarroberto.gonzalezcampos','111822','TOMAR DEL SND','GONZALEZ CAMPOS OSCAR ROBERTO','INGENIERÍA AUTOMOTRIZ','4to','MASCULINO','BLOQUEADO','',0,0,'','ALUMNO'</v>
      </c>
      <c r="L36" s="16" t="str">
        <f>CONCATENATE($K$1,K36,");")</f>
        <v>INSERT INTO participantes (id,nivel,correo,matricula,clave,nombre,carrera,grado,sexo,situacion,evaluados,num_evaluados,total_evaluaciones,ultimo_acceso,nivel_acceso) VALUES (1035,'LICENCIATURA','oscarroberto.gonzalezcampos','111822','TOMAR DEL SND','GONZALEZ CAMPOS OSCAR ROBERTO','INGENIERÍA AUTOMOTRIZ','4to','MASCULINO','BLOQUEADO','',0,0,'','ALUMNO');</v>
      </c>
      <c r="M36" s="16" t="str">
        <f>CONCATENATE("update participantes set correo=",C36," where id=",A36,";")</f>
        <v>update participantes set correo='oscarroberto.gonzalezcampos' where id=1035;</v>
      </c>
    </row>
    <row r="37" spans="1:13" ht="116" x14ac:dyDescent="0.35">
      <c r="A37" s="16">
        <v>1036</v>
      </c>
      <c r="B37" s="18" t="s">
        <v>1754</v>
      </c>
      <c r="C37" s="16" t="str">
        <f>CONCATENATE("'",Alumnos!E456,"'")</f>
        <v>'marielcarolina.gonzalezcampos'</v>
      </c>
      <c r="D37" s="16" t="str">
        <f>CONCATENATE(Alumnos!F456,"'")</f>
        <v>'111823'</v>
      </c>
      <c r="E37" s="16" t="s">
        <v>1755</v>
      </c>
      <c r="F37" s="16" t="str">
        <f>CONCATENATE("'",Alumnos!H456,"'")</f>
        <v>'GONZALEZ CAMPOS MARIEL CAROLINA'</v>
      </c>
      <c r="G37" s="16" t="str">
        <f>CONCATENATE("'",Alumnos!I456,"'")</f>
        <v>'ARQUITECTURA'</v>
      </c>
      <c r="H37" s="16" t="str">
        <f>CONCATENATE("'",Alumnos!J456,"'")</f>
        <v>'4to'</v>
      </c>
      <c r="I37" s="16" t="str">
        <f>UPPER(CONCATENATE("'",Alumnos!K456,"'"))</f>
        <v>'FEMENINO'</v>
      </c>
      <c r="J37" s="16" t="str">
        <f>UPPER(CONCATENATE("'",Alumnos!L456,"'"))</f>
        <v>'BLOQUEADO'</v>
      </c>
      <c r="K37" s="16" t="str">
        <f>CONCATENATE(A37,",",B37,",",C37,",",D37,",'",E37,",",F37,",",G37,",",H37,",",UPPER(I37),",",UPPER(J37),",'',0,0,'','ALUMNO'")</f>
        <v>1036,'LICENCIATURA','marielcarolina.gonzalezcampos','111823','TOMAR DEL SND','GONZALEZ CAMPOS MARIEL CAROLINA','ARQUITECTURA','4to','FEMENINO','BLOQUEADO','',0,0,'','ALUMNO'</v>
      </c>
      <c r="L37" s="16" t="str">
        <f>CONCATENATE($K$1,K37,");")</f>
        <v>INSERT INTO participantes (id,nivel,correo,matricula,clave,nombre,carrera,grado,sexo,situacion,evaluados,num_evaluados,total_evaluaciones,ultimo_acceso,nivel_acceso) VALUES (1036,'LICENCIATURA','marielcarolina.gonzalezcampos','111823','TOMAR DEL SND','GONZALEZ CAMPOS MARIEL CAROLINA','ARQUITECTURA','4to','FEMENINO','BLOQUEADO','',0,0,'','ALUMNO');</v>
      </c>
      <c r="M37" s="16" t="str">
        <f>CONCATENATE("update participantes set correo=",C37," where id=",A37,";")</f>
        <v>update participantes set correo='marielcarolina.gonzalezcampos' where id=1036;</v>
      </c>
    </row>
    <row r="38" spans="1:13" ht="130.5" x14ac:dyDescent="0.35">
      <c r="A38" s="16">
        <v>1037</v>
      </c>
      <c r="B38" s="18" t="s">
        <v>1754</v>
      </c>
      <c r="C38" s="16" t="str">
        <f>CONCATENATE("'",Alumnos!E480,"'")</f>
        <v>'miriamalejandra.rodriguezmartinez'</v>
      </c>
      <c r="D38" s="16" t="str">
        <f>CONCATENATE(Alumnos!F480,"'")</f>
        <v>'111824'</v>
      </c>
      <c r="E38" s="16" t="s">
        <v>1755</v>
      </c>
      <c r="F38" s="16" t="str">
        <f>CONCATENATE("'",Alumnos!H480,"'")</f>
        <v>'RODRIGUEZ MARTINEZ MIRIAM ALEJANDRA'</v>
      </c>
      <c r="G38" s="16" t="str">
        <f>CONCATENATE("'",Alumnos!I480,"'")</f>
        <v>'NUTRICION Y GASTRONOMIA'</v>
      </c>
      <c r="H38" s="16" t="str">
        <f>CONCATENATE("'",Alumnos!J480,"'")</f>
        <v>'4to'</v>
      </c>
      <c r="I38" s="16" t="str">
        <f>UPPER(CONCATENATE("'",Alumnos!K480,"'"))</f>
        <v>'FEMENINO'</v>
      </c>
      <c r="J38" s="16" t="str">
        <f>UPPER(CONCATENATE("'",Alumnos!L480,"'"))</f>
        <v>'ACTIVO'</v>
      </c>
      <c r="K38" s="16" t="str">
        <f>CONCATENATE(A38,",",B38,",",C38,",",D38,",'",E38,",",F38,",",G38,",",H38,",",UPPER(I38),",",UPPER(J38),",'',0,0,'','ALUMNO'")</f>
        <v>1037,'LICENCIATURA','miriamalejandra.rodriguezmartinez','111824','TOMAR DEL SND','RODRIGUEZ MARTINEZ MIRIAM ALEJANDRA','NUTRICION Y GASTRONOMIA','4to','FEMENINO','ACTIVO','',0,0,'','ALUMNO'</v>
      </c>
      <c r="L38" s="16" t="str">
        <f>CONCATENATE($K$1,K38,");")</f>
        <v>INSERT INTO participantes (id,nivel,correo,matricula,clave,nombre,carrera,grado,sexo,situacion,evaluados,num_evaluados,total_evaluaciones,ultimo_acceso,nivel_acceso) VALUES (1037,'LICENCIATURA','miriamalejandra.rodriguezmartinez','111824','TOMAR DEL SND','RODRIGUEZ MARTINEZ MIRIAM ALEJANDRA','NUTRICION Y GASTRONOMIA','4to','FEMENINO','ACTIVO','',0,0,'','ALUMNO');</v>
      </c>
      <c r="M38" s="16" t="str">
        <f>CONCATENATE("update participantes set correo=",C38," where id=",A38,";")</f>
        <v>update participantes set correo='miriamalejandra.rodriguezmartinez' where id=1037;</v>
      </c>
    </row>
    <row r="39" spans="1:13" ht="116" x14ac:dyDescent="0.35">
      <c r="A39" s="16">
        <v>1038</v>
      </c>
      <c r="B39" s="18" t="s">
        <v>1754</v>
      </c>
      <c r="C39" s="16" t="str">
        <f>CONCATENATE("'",Alumnos!E31,"'")</f>
        <v>'alejandro.solisarriola'</v>
      </c>
      <c r="D39" s="16" t="str">
        <f>CONCATENATE(Alumnos!F31,"'")</f>
        <v>'111827'</v>
      </c>
      <c r="E39" s="16" t="s">
        <v>1755</v>
      </c>
      <c r="F39" s="16" t="str">
        <f>CONCATENATE("'",Alumnos!H31,"'")</f>
        <v>'SOLIS ARRIOLA ALEJANDRO'</v>
      </c>
      <c r="G39" s="16" t="str">
        <f>CONCATENATE("'",Alumnos!I31,"'")</f>
        <v>'ADMINISTRACION Y DIRECCION DE NEGOCIOS'</v>
      </c>
      <c r="H39" s="16" t="str">
        <f>CONCATENATE("'",Alumnos!J31,"'")</f>
        <v>'4to'</v>
      </c>
      <c r="I39" s="16" t="str">
        <f>UPPER(CONCATENATE("'",Alumnos!K31,"'"))</f>
        <v>'MASCULINO'</v>
      </c>
      <c r="J39" s="16" t="str">
        <f>UPPER(CONCATENATE("'",Alumnos!L31,"'"))</f>
        <v>'ACTIVO'</v>
      </c>
      <c r="K39" s="16" t="str">
        <f>CONCATENATE(A39,",",B39,",",C39,",",D39,",'",E39,",",F39,",",G39,",",H39,",",UPPER(I39),",",UPPER(J39),",'',0,0,'','ALUMNO'")</f>
        <v>1038,'LICENCIATURA','alejandro.solisarriola','111827','TOMAR DEL SND','SOLIS ARRIOLA ALEJANDRO','ADMINISTRACION Y DIRECCION DE NEGOCIOS','4to','MASCULINO','ACTIVO','',0,0,'','ALUMNO'</v>
      </c>
      <c r="L39" s="16" t="str">
        <f>CONCATENATE($K$1,K39,");")</f>
        <v>INSERT INTO participantes (id,nivel,correo,matricula,clave,nombre,carrera,grado,sexo,situacion,evaluados,num_evaluados,total_evaluaciones,ultimo_acceso,nivel_acceso) VALUES (1038,'LICENCIATURA','alejandro.solisarriola','111827','TOMAR DEL SND','SOLIS ARRIOLA ALEJANDRO','ADMINISTRACION Y DIRECCION DE NEGOCIOS','4to','MASCULINO','ACTIVO','',0,0,'','ALUMNO');</v>
      </c>
      <c r="M39" s="16" t="str">
        <f>CONCATENATE("update participantes set correo=",C39," where id=",A39,";")</f>
        <v>update participantes set correo='alejandro.solisarriola' where id=1038;</v>
      </c>
    </row>
    <row r="40" spans="1:13" ht="116" x14ac:dyDescent="0.35">
      <c r="A40" s="16">
        <v>1039</v>
      </c>
      <c r="B40" s="18" t="s">
        <v>1754</v>
      </c>
      <c r="C40" s="16" t="str">
        <f>CONCATENATE("'",Alumnos!E352,"'")</f>
        <v>'juanluis.preciadovalle'</v>
      </c>
      <c r="D40" s="16" t="str">
        <f>CONCATENATE(Alumnos!F352,"'")</f>
        <v>'111830'</v>
      </c>
      <c r="E40" s="16" t="s">
        <v>1755</v>
      </c>
      <c r="F40" s="16" t="str">
        <f>CONCATENATE("'",Alumnos!H352,"'")</f>
        <v>'PRECIADO VALLE JUAN LUIS'</v>
      </c>
      <c r="G40" s="16" t="str">
        <f>CONCATENATE("'",Alumnos!I352,"'")</f>
        <v>'INGENIERÍA AUTOMOTRIZ'</v>
      </c>
      <c r="H40" s="16" t="str">
        <f>CONCATENATE("'",Alumnos!J352,"'")</f>
        <v>'4to'</v>
      </c>
      <c r="I40" s="16" t="str">
        <f>UPPER(CONCATENATE("'",Alumnos!K352,"'"))</f>
        <v>'MASCULINO'</v>
      </c>
      <c r="J40" s="16" t="str">
        <f>UPPER(CONCATENATE("'",Alumnos!L352,"'"))</f>
        <v>'ACTIVO'</v>
      </c>
      <c r="K40" s="16" t="str">
        <f>CONCATENATE(A40,",",B40,",",C40,",",D40,",'",E40,",",F40,",",G40,",",H40,",",UPPER(I40),",",UPPER(J40),",'',0,0,'','ALUMNO'")</f>
        <v>1039,'LICENCIATURA','juanluis.preciadovalle','111830','TOMAR DEL SND','PRECIADO VALLE JUAN LUIS','INGENIERÍA AUTOMOTRIZ','4to','MASCULINO','ACTIVO','',0,0,'','ALUMNO'</v>
      </c>
      <c r="L40" s="16" t="str">
        <f>CONCATENATE($K$1,K40,");")</f>
        <v>INSERT INTO participantes (id,nivel,correo,matricula,clave,nombre,carrera,grado,sexo,situacion,evaluados,num_evaluados,total_evaluaciones,ultimo_acceso,nivel_acceso) VALUES (1039,'LICENCIATURA','juanluis.preciadovalle','111830','TOMAR DEL SND','PRECIADO VALLE JUAN LUIS','INGENIERÍA AUTOMOTRIZ','4to','MASCULINO','ACTIVO','',0,0,'','ALUMNO');</v>
      </c>
      <c r="M40" s="16" t="str">
        <f>CONCATENATE("update participantes set correo=",C40," where id=",A40,";")</f>
        <v>update participantes set correo='juanluis.preciadovalle' where id=1039;</v>
      </c>
    </row>
    <row r="41" spans="1:13" ht="116" x14ac:dyDescent="0.35">
      <c r="A41" s="16">
        <v>1040</v>
      </c>
      <c r="B41" s="18" t="s">
        <v>1754</v>
      </c>
      <c r="C41" s="16" t="str">
        <f>CONCATENATE("'",Alumnos!E415,"'")</f>
        <v>'luisfernando.perezenciso'</v>
      </c>
      <c r="D41" s="16" t="str">
        <f>CONCATENATE(Alumnos!F415,"'")</f>
        <v>'111838'</v>
      </c>
      <c r="E41" s="16" t="s">
        <v>1755</v>
      </c>
      <c r="F41" s="16" t="str">
        <f>CONCATENATE("'",Alumnos!H415,"'")</f>
        <v>'PEREZ ENCISO LUIS FERNANDO'</v>
      </c>
      <c r="G41" s="16" t="str">
        <f>CONCATENATE("'",Alumnos!I415,"'")</f>
        <v>'ARQUITECTURA'</v>
      </c>
      <c r="H41" s="16" t="str">
        <f>CONCATENATE("'",Alumnos!J415,"'")</f>
        <v>'4to'</v>
      </c>
      <c r="I41" s="16" t="str">
        <f>UPPER(CONCATENATE("'",Alumnos!K415,"'"))</f>
        <v>'MASCULINO'</v>
      </c>
      <c r="J41" s="16" t="str">
        <f>UPPER(CONCATENATE("'",Alumnos!L415,"'"))</f>
        <v>'ACTIVO'</v>
      </c>
      <c r="K41" s="16" t="str">
        <f>CONCATENATE(A41,",",B41,",",C41,",",D41,",'",E41,",",F41,",",G41,",",H41,",",UPPER(I41),",",UPPER(J41),",'',0,0,'','ALUMNO'")</f>
        <v>1040,'LICENCIATURA','luisfernando.perezenciso','111838','TOMAR DEL SND','PEREZ ENCISO LUIS FERNANDO','ARQUITECTURA','4to','MASCULINO','ACTIVO','',0,0,'','ALUMNO'</v>
      </c>
      <c r="L41" s="16" t="str">
        <f>CONCATENATE($K$1,K41,");")</f>
        <v>INSERT INTO participantes (id,nivel,correo,matricula,clave,nombre,carrera,grado,sexo,situacion,evaluados,num_evaluados,total_evaluaciones,ultimo_acceso,nivel_acceso) VALUES (1040,'LICENCIATURA','luisfernando.perezenciso','111838','TOMAR DEL SND','PEREZ ENCISO LUIS FERNANDO','ARQUITECTURA','4to','MASCULINO','ACTIVO','',0,0,'','ALUMNO');</v>
      </c>
      <c r="M41" s="16" t="str">
        <f>CONCATENATE("update participantes set correo=",C41," where id=",A41,";")</f>
        <v>update participantes set correo='luisfernando.perezenciso' where id=1040;</v>
      </c>
    </row>
    <row r="42" spans="1:13" ht="130.5" x14ac:dyDescent="0.35">
      <c r="A42" s="16">
        <v>1041</v>
      </c>
      <c r="B42" s="18" t="s">
        <v>1754</v>
      </c>
      <c r="C42" s="16" t="str">
        <f>CONCATENATE("'",Alumnos!E75,"'")</f>
        <v>'angelalexander.virgenserrano'</v>
      </c>
      <c r="D42" s="16" t="str">
        <f>CONCATENATE(Alumnos!F75,"'")</f>
        <v>'111839'</v>
      </c>
      <c r="E42" s="16" t="s">
        <v>1755</v>
      </c>
      <c r="F42" s="16" t="str">
        <f>CONCATENATE("'",Alumnos!H75,"'")</f>
        <v>'VIRGEN SERRANO ANGEL ALEXANDER'</v>
      </c>
      <c r="G42" s="16" t="str">
        <f>CONCATENATE("'",Alumnos!I75,"'")</f>
        <v>'INGENIERIA AEROESPACIAL'</v>
      </c>
      <c r="H42" s="16" t="str">
        <f>CONCATENATE("'",Alumnos!J75,"'")</f>
        <v>'4to'</v>
      </c>
      <c r="I42" s="16" t="str">
        <f>UPPER(CONCATENATE("'",Alumnos!K75,"'"))</f>
        <v>'MASCULINO'</v>
      </c>
      <c r="J42" s="16" t="str">
        <f>UPPER(CONCATENATE("'",Alumnos!L75,"'"))</f>
        <v>'ACTIVO'</v>
      </c>
      <c r="K42" s="16" t="str">
        <f>CONCATENATE(A42,",",B42,",",C42,",",D42,",'",E42,",",F42,",",G42,",",H42,",",UPPER(I42),",",UPPER(J42),",'',0,0,'','ALUMNO'")</f>
        <v>1041,'LICENCIATURA','angelalexander.virgenserrano','111839','TOMAR DEL SND','VIRGEN SERRANO ANGEL ALEXANDER','INGENIERIA AEROESPACIAL','4to','MASCULINO','ACTIVO','',0,0,'','ALUMNO'</v>
      </c>
      <c r="L42" s="16" t="str">
        <f>CONCATENATE($K$1,K42,");")</f>
        <v>INSERT INTO participantes (id,nivel,correo,matricula,clave,nombre,carrera,grado,sexo,situacion,evaluados,num_evaluados,total_evaluaciones,ultimo_acceso,nivel_acceso) VALUES (1041,'LICENCIATURA','angelalexander.virgenserrano','111839','TOMAR DEL SND','VIRGEN SERRANO ANGEL ALEXANDER','INGENIERIA AEROESPACIAL','4to','MASCULINO','ACTIVO','',0,0,'','ALUMNO');</v>
      </c>
      <c r="M42" s="16" t="str">
        <f>CONCATENATE("update participantes set correo=",C42," where id=",A42,";")</f>
        <v>update participantes set correo='angelalexander.virgenserrano' where id=1041;</v>
      </c>
    </row>
    <row r="43" spans="1:13" ht="116" x14ac:dyDescent="0.35">
      <c r="A43" s="16">
        <v>1042</v>
      </c>
      <c r="B43" s="18" t="s">
        <v>1754</v>
      </c>
      <c r="C43" s="16" t="str">
        <f>CONCATENATE("'",Alumnos!E386,"'")</f>
        <v>'kevinjosue.morazepeda'</v>
      </c>
      <c r="D43" s="16" t="str">
        <f>CONCATENATE(Alumnos!F386,"'")</f>
        <v>'111842'</v>
      </c>
      <c r="E43" s="16" t="s">
        <v>1755</v>
      </c>
      <c r="F43" s="16" t="str">
        <f>CONCATENATE("'",Alumnos!H386,"'")</f>
        <v>'MORA ZEPEDA KEVIN JOSUE'</v>
      </c>
      <c r="G43" s="16" t="str">
        <f>CONCATENATE("'",Alumnos!I386,"'")</f>
        <v>'ADMINISTRACION Y DIRECCION DE NEGOCIOS'</v>
      </c>
      <c r="H43" s="16" t="str">
        <f>CONCATENATE("'",Alumnos!J386,"'")</f>
        <v>'4to'</v>
      </c>
      <c r="I43" s="16" t="str">
        <f>UPPER(CONCATENATE("'",Alumnos!K386,"'"))</f>
        <v>'MASCULINO'</v>
      </c>
      <c r="J43" s="16" t="str">
        <f>UPPER(CONCATENATE("'",Alumnos!L386,"'"))</f>
        <v>'ACTIVO'</v>
      </c>
      <c r="K43" s="16" t="str">
        <f>CONCATENATE(A43,",",B43,",",C43,",",D43,",'",E43,",",F43,",",G43,",",H43,",",UPPER(I43),",",UPPER(J43),",'',0,0,'','ALUMNO'")</f>
        <v>1042,'LICENCIATURA','kevinjosue.morazepeda','111842','TOMAR DEL SND','MORA ZEPEDA KEVIN JOSUE','ADMINISTRACION Y DIRECCION DE NEGOCIOS','4to','MASCULINO','ACTIVO','',0,0,'','ALUMNO'</v>
      </c>
      <c r="L43" s="16" t="str">
        <f>CONCATENATE($K$1,K43,");")</f>
        <v>INSERT INTO participantes (id,nivel,correo,matricula,clave,nombre,carrera,grado,sexo,situacion,evaluados,num_evaluados,total_evaluaciones,ultimo_acceso,nivel_acceso) VALUES (1042,'LICENCIATURA','kevinjosue.morazepeda','111842','TOMAR DEL SND','MORA ZEPEDA KEVIN JOSUE','ADMINISTRACION Y DIRECCION DE NEGOCIOS','4to','MASCULINO','ACTIVO','',0,0,'','ALUMNO');</v>
      </c>
      <c r="M43" s="16" t="str">
        <f>CONCATENATE("update participantes set correo=",C43," where id=",A43,";")</f>
        <v>update participantes set correo='kevinjosue.morazepeda' where id=1042;</v>
      </c>
    </row>
    <row r="44" spans="1:13" ht="116" x14ac:dyDescent="0.35">
      <c r="A44" s="16">
        <v>1043</v>
      </c>
      <c r="B44" s="18" t="s">
        <v>1754</v>
      </c>
      <c r="C44" s="16" t="str">
        <f>CONCATENATE("'",Alumnos!E245,"'")</f>
        <v>'fridasophia.alencastrorojo'</v>
      </c>
      <c r="D44" s="16" t="str">
        <f>CONCATENATE(Alumnos!F245,"'")</f>
        <v>'111845'</v>
      </c>
      <c r="E44" s="16" t="s">
        <v>1755</v>
      </c>
      <c r="F44" s="16" t="str">
        <f>CONCATENATE("'",Alumnos!H245,"'")</f>
        <v>'ALENCASTRO ROJO FRIDA SOPHIA'</v>
      </c>
      <c r="G44" s="16" t="str">
        <f>CONCATENATE("'",Alumnos!I245,"'")</f>
        <v>'ADMINISTRACION Y DIRECCION DE NEGOCIOS'</v>
      </c>
      <c r="H44" s="16" t="str">
        <f>CONCATENATE("'",Alumnos!J245,"'")</f>
        <v>'4to'</v>
      </c>
      <c r="I44" s="16" t="str">
        <f>UPPER(CONCATENATE("'",Alumnos!K245,"'"))</f>
        <v>'FEMENINO'</v>
      </c>
      <c r="J44" s="16" t="str">
        <f>UPPER(CONCATENATE("'",Alumnos!L245,"'"))</f>
        <v>'ACTIVO'</v>
      </c>
      <c r="K44" s="16" t="str">
        <f>CONCATENATE(A44,",",B44,",",C44,",",D44,",'",E44,",",F44,",",G44,",",H44,",",UPPER(I44),",",UPPER(J44),",'',0,0,'','ALUMNO'")</f>
        <v>1043,'LICENCIATURA','fridasophia.alencastrorojo','111845','TOMAR DEL SND','ALENCASTRO ROJO FRIDA SOPHIA','ADMINISTRACION Y DIRECCION DE NEGOCIOS','4to','FEMENINO','ACTIVO','',0,0,'','ALUMNO'</v>
      </c>
      <c r="L44" s="16" t="str">
        <f>CONCATENATE($K$1,K44,");")</f>
        <v>INSERT INTO participantes (id,nivel,correo,matricula,clave,nombre,carrera,grado,sexo,situacion,evaluados,num_evaluados,total_evaluaciones,ultimo_acceso,nivel_acceso) VALUES (1043,'LICENCIATURA','fridasophia.alencastrorojo','111845','TOMAR DEL SND','ALENCASTRO ROJO FRIDA SOPHIA','ADMINISTRACION Y DIRECCION DE NEGOCIOS','4to','FEMENINO','ACTIVO','',0,0,'','ALUMNO');</v>
      </c>
      <c r="M44" s="16" t="str">
        <f>CONCATENATE("update participantes set correo=",C44," where id=",A44,";")</f>
        <v>update participantes set correo='fridasophia.alencastrorojo' where id=1043;</v>
      </c>
    </row>
    <row r="45" spans="1:13" ht="116" x14ac:dyDescent="0.35">
      <c r="A45" s="16">
        <v>1044</v>
      </c>
      <c r="B45" s="18" t="s">
        <v>1754</v>
      </c>
      <c r="C45" s="16" t="str">
        <f>CONCATENATE("'",Alumnos!E523,"'")</f>
        <v>'pablooscar.salcidoramos'</v>
      </c>
      <c r="D45" s="16" t="str">
        <f>CONCATENATE(Alumnos!F523,"'")</f>
        <v>'111853'</v>
      </c>
      <c r="E45" s="16" t="s">
        <v>1755</v>
      </c>
      <c r="F45" s="16" t="str">
        <f>CONCATENATE("'",Alumnos!H523,"'")</f>
        <v>'SALCIDO RAMOS PABLO OSCAR'</v>
      </c>
      <c r="G45" s="16" t="str">
        <f>CONCATENATE("'",Alumnos!I523,"'")</f>
        <v>'PSICOLOGIA'</v>
      </c>
      <c r="H45" s="16" t="str">
        <f>CONCATENATE("'",Alumnos!J523,"'")</f>
        <v>'4to'</v>
      </c>
      <c r="I45" s="16" t="str">
        <f>UPPER(CONCATENATE("'",Alumnos!K523,"'"))</f>
        <v>'MASCULINO'</v>
      </c>
      <c r="J45" s="16" t="str">
        <f>UPPER(CONCATENATE("'",Alumnos!L523,"'"))</f>
        <v>'ACTIVO'</v>
      </c>
      <c r="K45" s="16" t="str">
        <f>CONCATENATE(A45,",",B45,",",C45,",",D45,",'",E45,",",F45,",",G45,",",H45,",",UPPER(I45),",",UPPER(J45),",'',0,0,'','ALUMNO'")</f>
        <v>1044,'LICENCIATURA','pablooscar.salcidoramos','111853','TOMAR DEL SND','SALCIDO RAMOS PABLO OSCAR','PSICOLOGIA','4to','MASCULINO','ACTIVO','',0,0,'','ALUMNO'</v>
      </c>
      <c r="L45" s="16" t="str">
        <f>CONCATENATE($K$1,K45,");")</f>
        <v>INSERT INTO participantes (id,nivel,correo,matricula,clave,nombre,carrera,grado,sexo,situacion,evaluados,num_evaluados,total_evaluaciones,ultimo_acceso,nivel_acceso) VALUES (1044,'LICENCIATURA','pablooscar.salcidoramos','111853','TOMAR DEL SND','SALCIDO RAMOS PABLO OSCAR','PSICOLOGIA','4to','MASCULINO','ACTIVO','',0,0,'','ALUMNO');</v>
      </c>
      <c r="M45" s="16" t="str">
        <f>CONCATENATE("update participantes set correo=",C45," where id=",A45,";")</f>
        <v>update participantes set correo='pablooscar.salcidoramos' where id=1044;</v>
      </c>
    </row>
    <row r="46" spans="1:13" ht="130.5" x14ac:dyDescent="0.35">
      <c r="A46" s="16">
        <v>1045</v>
      </c>
      <c r="B46" s="18" t="s">
        <v>1754</v>
      </c>
      <c r="C46" s="16" t="str">
        <f>CONCATENATE("'",Alumnos!E149,"'")</f>
        <v>'damian.martinezalvarado'</v>
      </c>
      <c r="D46" s="16" t="str">
        <f>CONCATENATE(Alumnos!F149,"'")</f>
        <v>'111854'</v>
      </c>
      <c r="E46" s="16" t="s">
        <v>1755</v>
      </c>
      <c r="F46" s="16" t="str">
        <f>CONCATENATE("'",Alumnos!H149,"'")</f>
        <v>'MARTINEZ ALVARADO DAMIAN'</v>
      </c>
      <c r="G46" s="16" t="str">
        <f>CONCATENATE("'",Alumnos!I149,"'")</f>
        <v>'ANIMACION DIGITAL Y VIDEOJUEGOS'</v>
      </c>
      <c r="H46" s="16" t="str">
        <f>CONCATENATE("'",Alumnos!J149,"'")</f>
        <v>'4to'</v>
      </c>
      <c r="I46" s="16" t="str">
        <f>UPPER(CONCATENATE("'",Alumnos!K149,"'"))</f>
        <v>'MASCULINO'</v>
      </c>
      <c r="J46" s="16" t="str">
        <f>UPPER(CONCATENATE("'",Alumnos!L149,"'"))</f>
        <v>'ACTIVO'</v>
      </c>
      <c r="K46" s="16" t="str">
        <f>CONCATENATE(A46,",",B46,",",C46,",",D46,",'",E46,",",F46,",",G46,",",H46,",",UPPER(I46),",",UPPER(J46),",'',0,0,'','ALUMNO'")</f>
        <v>1045,'LICENCIATURA','damian.martinezalvarado','111854','TOMAR DEL SND','MARTINEZ ALVARADO DAMIAN','ANIMACION DIGITAL Y VIDEOJUEGOS','4to','MASCULINO','ACTIVO','',0,0,'','ALUMNO'</v>
      </c>
      <c r="L46" s="16" t="str">
        <f>CONCATENATE($K$1,K46,");")</f>
        <v>INSERT INTO participantes (id,nivel,correo,matricula,clave,nombre,carrera,grado,sexo,situacion,evaluados,num_evaluados,total_evaluaciones,ultimo_acceso,nivel_acceso) VALUES (1045,'LICENCIATURA','damian.martinezalvarado','111854','TOMAR DEL SND','MARTINEZ ALVARADO DAMIAN','ANIMACION DIGITAL Y VIDEOJUEGOS','4to','MASCULINO','ACTIVO','',0,0,'','ALUMNO');</v>
      </c>
      <c r="M46" s="16" t="str">
        <f>CONCATENATE("update participantes set correo=",C46," where id=",A46,";")</f>
        <v>update participantes set correo='damian.martinezalvarado' where id=1045;</v>
      </c>
    </row>
    <row r="47" spans="1:13" ht="116" x14ac:dyDescent="0.35">
      <c r="A47" s="16">
        <v>1046</v>
      </c>
      <c r="B47" s="18" t="s">
        <v>1754</v>
      </c>
      <c r="C47" s="16" t="str">
        <f>CONCATENATE("'",Alumnos!E99,"'")</f>
        <v>'bernarda.bautistamariano'</v>
      </c>
      <c r="D47" s="16" t="str">
        <f>CONCATENATE(Alumnos!F99,"'")</f>
        <v>'112016'</v>
      </c>
      <c r="E47" s="16" t="s">
        <v>1755</v>
      </c>
      <c r="F47" s="16" t="str">
        <f>CONCATENATE("'",Alumnos!H99,"'")</f>
        <v>'BAUTISTA MARIANO BERNARDA'</v>
      </c>
      <c r="G47" s="16" t="str">
        <f>CONCATENATE("'",Alumnos!I99,"'")</f>
        <v>'PSICOLOGIA'</v>
      </c>
      <c r="H47" s="16" t="str">
        <f>CONCATENATE("'",Alumnos!J99,"'")</f>
        <v>'4to'</v>
      </c>
      <c r="I47" s="16" t="str">
        <f>UPPER(CONCATENATE("'",Alumnos!K99,"'"))</f>
        <v>'FEMENINO'</v>
      </c>
      <c r="J47" s="16" t="str">
        <f>UPPER(CONCATENATE("'",Alumnos!L99,"'"))</f>
        <v>'ACTIVO'</v>
      </c>
      <c r="K47" s="16" t="str">
        <f>CONCATENATE(A47,",",B47,",",C47,",",D47,",'",E47,",",F47,",",G47,",",H47,",",UPPER(I47),",",UPPER(J47),",'',0,0,'','ALUMNO'")</f>
        <v>1046,'LICENCIATURA','bernarda.bautistamariano','112016','TOMAR DEL SND','BAUTISTA MARIANO BERNARDA','PSICOLOGIA','4to','FEMENINO','ACTIVO','',0,0,'','ALUMNO'</v>
      </c>
      <c r="L47" s="16" t="str">
        <f>CONCATENATE($K$1,K47,");")</f>
        <v>INSERT INTO participantes (id,nivel,correo,matricula,clave,nombre,carrera,grado,sexo,situacion,evaluados,num_evaluados,total_evaluaciones,ultimo_acceso,nivel_acceso) VALUES (1046,'LICENCIATURA','bernarda.bautistamariano','112016','TOMAR DEL SND','BAUTISTA MARIANO BERNARDA','PSICOLOGIA','4to','FEMENINO','ACTIVO','',0,0,'','ALUMNO');</v>
      </c>
      <c r="M47" s="16" t="str">
        <f>CONCATENATE("update participantes set correo=",C47," where id=",A47,";")</f>
        <v>update participantes set correo='bernarda.bautistamariano' where id=1046;</v>
      </c>
    </row>
    <row r="48" spans="1:13" ht="130.5" x14ac:dyDescent="0.35">
      <c r="A48" s="16">
        <v>1047</v>
      </c>
      <c r="B48" s="18" t="s">
        <v>1754</v>
      </c>
      <c r="C48" s="16" t="str">
        <f>CONCATENATE("'",Alumnos!E399,"'")</f>
        <v>'leonardoalejandro.delamorasanchez'</v>
      </c>
      <c r="D48" s="16" t="str">
        <f>CONCATENATE(Alumnos!F399,"'")</f>
        <v>'112141'</v>
      </c>
      <c r="E48" s="16" t="s">
        <v>1755</v>
      </c>
      <c r="F48" s="16" t="str">
        <f>CONCATENATE("'",Alumnos!H399,"'")</f>
        <v>'DE LA MORA SANCHEZ LEONARDO ALEJANDRO'</v>
      </c>
      <c r="G48" s="16" t="str">
        <f>CONCATENATE("'",Alumnos!I399,"'")</f>
        <v>'INGENIERIA AEROESPACIAL'</v>
      </c>
      <c r="H48" s="16" t="str">
        <f>CONCATENATE("'",Alumnos!J399,"'")</f>
        <v>'2do'</v>
      </c>
      <c r="I48" s="16" t="str">
        <f>UPPER(CONCATENATE("'",Alumnos!K399,"'"))</f>
        <v>'MASCULINO'</v>
      </c>
      <c r="J48" s="16" t="str">
        <f>UPPER(CONCATENATE("'",Alumnos!L399,"'"))</f>
        <v>'ACTIVO'</v>
      </c>
      <c r="K48" s="16" t="str">
        <f>CONCATENATE(A48,",",B48,",",C48,",",D48,",'",E48,",",F48,",",G48,",",H48,",",UPPER(I48),",",UPPER(J48),",'',0,0,'','ALUMNO'")</f>
        <v>1047,'LICENCIATURA','leonardoalejandro.delamorasanchez','112141','TOMAR DEL SND','DE LA MORA SANCHEZ LEONARDO ALEJANDRO','INGENIERIA AEROESPACIAL','2do','MASCULINO','ACTIVO','',0,0,'','ALUMNO'</v>
      </c>
      <c r="L48" s="16" t="str">
        <f>CONCATENATE($K$1,K48,");")</f>
        <v>INSERT INTO participantes (id,nivel,correo,matricula,clave,nombre,carrera,grado,sexo,situacion,evaluados,num_evaluados,total_evaluaciones,ultimo_acceso,nivel_acceso) VALUES (1047,'LICENCIATURA','leonardoalejandro.delamorasanchez','112141','TOMAR DEL SND','DE LA MORA SANCHEZ LEONARDO ALEJANDRO','INGENIERIA AEROESPACIAL','2do','MASCULINO','ACTIVO','',0,0,'','ALUMNO');</v>
      </c>
      <c r="M48" s="16" t="str">
        <f>CONCATENATE("update participantes set correo=",C48," where id=",A48,";")</f>
        <v>update participantes set correo='leonardoalejandro.delamorasanchez' where id=1047;</v>
      </c>
    </row>
    <row r="49" spans="1:13" ht="116" x14ac:dyDescent="0.35">
      <c r="A49" s="16">
        <v>1048</v>
      </c>
      <c r="B49" s="18" t="s">
        <v>1754</v>
      </c>
      <c r="C49" s="16" t="str">
        <f>CONCATENATE("'",Alumnos!E150,"'")</f>
        <v>'damianedoardo.floresdelira'</v>
      </c>
      <c r="D49" s="16" t="str">
        <f>CONCATENATE(Alumnos!F150,"'")</f>
        <v>'112142'</v>
      </c>
      <c r="E49" s="16" t="s">
        <v>1755</v>
      </c>
      <c r="F49" s="16" t="str">
        <f>CONCATENATE("'",Alumnos!H150,"'")</f>
        <v>'FLORES DE LIRA DAMIAN EDOARDO'</v>
      </c>
      <c r="G49" s="16" t="str">
        <f>CONCATENATE("'",Alumnos!I150,"'")</f>
        <v>'ADMINISTRACION Y DIRECCION DE NEGOCIOS'</v>
      </c>
      <c r="H49" s="16" t="str">
        <f>CONCATENATE("'",Alumnos!J150,"'")</f>
        <v>'2do'</v>
      </c>
      <c r="I49" s="16" t="str">
        <f>UPPER(CONCATENATE("'",Alumnos!K150,"'"))</f>
        <v>'MASCULINO'</v>
      </c>
      <c r="J49" s="16" t="str">
        <f>UPPER(CONCATENATE("'",Alumnos!L150,"'"))</f>
        <v>'ACTIVO'</v>
      </c>
      <c r="K49" s="16" t="str">
        <f>CONCATENATE(A49,",",B49,",",C49,",",D49,",'",E49,",",F49,",",G49,",",H49,",",UPPER(I49),",",UPPER(J49),",'',0,0,'','ALUMNO'")</f>
        <v>1048,'LICENCIATURA','damianedoardo.floresdelira','112142','TOMAR DEL SND','FLORES DE LIRA DAMIAN EDOARDO','ADMINISTRACION Y DIRECCION DE NEGOCIOS','2do','MASCULINO','ACTIVO','',0,0,'','ALUMNO'</v>
      </c>
      <c r="L49" s="16" t="str">
        <f>CONCATENATE($K$1,K49,");")</f>
        <v>INSERT INTO participantes (id,nivel,correo,matricula,clave,nombre,carrera,grado,sexo,situacion,evaluados,num_evaluados,total_evaluaciones,ultimo_acceso,nivel_acceso) VALUES (1048,'LICENCIATURA','damianedoardo.floresdelira','112142','TOMAR DEL SND','FLORES DE LIRA DAMIAN EDOARDO','ADMINISTRACION Y DIRECCION DE NEGOCIOS','2do','MASCULINO','ACTIVO','',0,0,'','ALUMNO');</v>
      </c>
      <c r="M49" s="16" t="str">
        <f>CONCATENATE("update participantes set correo=",C49," where id=",A49,";")</f>
        <v>update participantes set correo='damianedoardo.floresdelira' where id=1048;</v>
      </c>
    </row>
    <row r="50" spans="1:13" ht="130.5" x14ac:dyDescent="0.35">
      <c r="A50" s="16">
        <v>1049</v>
      </c>
      <c r="B50" s="18" t="s">
        <v>1754</v>
      </c>
      <c r="C50" s="16" t="str">
        <f>CONCATENATE("'",Alumnos!E136,"'")</f>
        <v>'chelseavianney.martinezramirez'</v>
      </c>
      <c r="D50" s="16" t="str">
        <f>CONCATENATE(Alumnos!F136,"'")</f>
        <v>'112143'</v>
      </c>
      <c r="E50" s="16" t="s">
        <v>1755</v>
      </c>
      <c r="F50" s="16" t="str">
        <f>CONCATENATE("'",Alumnos!H136,"'")</f>
        <v>'MARTINEZ RAMIREZ CHELSEA VIANNEY'</v>
      </c>
      <c r="G50" s="16" t="str">
        <f>CONCATENATE("'",Alumnos!I136,"'")</f>
        <v>'NUTRICION Y GASTRONOMIA'</v>
      </c>
      <c r="H50" s="16" t="str">
        <f>CONCATENATE("'",Alumnos!J136,"'")</f>
        <v>'2do'</v>
      </c>
      <c r="I50" s="16" t="str">
        <f>UPPER(CONCATENATE("'",Alumnos!K136,"'"))</f>
        <v>'FEMENINO'</v>
      </c>
      <c r="J50" s="16" t="str">
        <f>UPPER(CONCATENATE("'",Alumnos!L136,"'"))</f>
        <v>'ACTIVO'</v>
      </c>
      <c r="K50" s="16" t="str">
        <f>CONCATENATE(A50,",",B50,",",C50,",",D50,",'",E50,",",F50,",",G50,",",H50,",",UPPER(I50),",",UPPER(J50),",'',0,0,'','ALUMNO'")</f>
        <v>1049,'LICENCIATURA','chelseavianney.martinezramirez','112143','TOMAR DEL SND','MARTINEZ RAMIREZ CHELSEA VIANNEY','NUTRICION Y GASTRONOMIA','2do','FEMENINO','ACTIVO','',0,0,'','ALUMNO'</v>
      </c>
      <c r="L50" s="16" t="str">
        <f>CONCATENATE($K$1,K50,");")</f>
        <v>INSERT INTO participantes (id,nivel,correo,matricula,clave,nombre,carrera,grado,sexo,situacion,evaluados,num_evaluados,total_evaluaciones,ultimo_acceso,nivel_acceso) VALUES (1049,'LICENCIATURA','chelseavianney.martinezramirez','112143','TOMAR DEL SND','MARTINEZ RAMIREZ CHELSEA VIANNEY','NUTRICION Y GASTRONOMIA','2do','FEMENINO','ACTIVO','',0,0,'','ALUMNO');</v>
      </c>
      <c r="M50" s="16" t="str">
        <f>CONCATENATE("update participantes set correo=",C50," where id=",A50,";")</f>
        <v>update participantes set correo='chelseavianney.martinezramirez' where id=1049;</v>
      </c>
    </row>
    <row r="51" spans="1:13" ht="130.5" x14ac:dyDescent="0.35">
      <c r="A51" s="16">
        <v>1050</v>
      </c>
      <c r="B51" s="18" t="s">
        <v>1754</v>
      </c>
      <c r="C51" s="16" t="str">
        <f>CONCATENATE("'",Alumnos!E203,"'")</f>
        <v>'eduardoantonio.aguirrerios'</v>
      </c>
      <c r="D51" s="16" t="str">
        <f>CONCATENATE(Alumnos!F203,"'")</f>
        <v>'112144'</v>
      </c>
      <c r="E51" s="16" t="s">
        <v>1755</v>
      </c>
      <c r="F51" s="16" t="str">
        <f>CONCATENATE("'",Alumnos!H203,"'")</f>
        <v>'AGUIRRE RIOS EDUARDO ANTONIO'</v>
      </c>
      <c r="G51" s="16" t="str">
        <f>CONCATENATE("'",Alumnos!I203,"'")</f>
        <v>'ANIMACION DIGITAL Y VIDEOJUEGOS'</v>
      </c>
      <c r="H51" s="16" t="str">
        <f>CONCATENATE("'",Alumnos!J203,"'")</f>
        <v>'2do'</v>
      </c>
      <c r="I51" s="16" t="str">
        <f>UPPER(CONCATENATE("'",Alumnos!K203,"'"))</f>
        <v>'MASCULINO'</v>
      </c>
      <c r="J51" s="16" t="str">
        <f>UPPER(CONCATENATE("'",Alumnos!L203,"'"))</f>
        <v>'ACTIVO'</v>
      </c>
      <c r="K51" s="16" t="str">
        <f>CONCATENATE(A51,",",B51,",",C51,",",D51,",'",E51,",",F51,",",G51,",",H51,",",UPPER(I51),",",UPPER(J51),",'',0,0,'','ALUMNO'")</f>
        <v>1050,'LICENCIATURA','eduardoantonio.aguirrerios','112144','TOMAR DEL SND','AGUIRRE RIOS EDUARDO ANTONIO','ANIMACION DIGITAL Y VIDEOJUEGOS','2do','MASCULINO','ACTIVO','',0,0,'','ALUMNO'</v>
      </c>
      <c r="L51" s="16" t="str">
        <f>CONCATENATE($K$1,K51,");")</f>
        <v>INSERT INTO participantes (id,nivel,correo,matricula,clave,nombre,carrera,grado,sexo,situacion,evaluados,num_evaluados,total_evaluaciones,ultimo_acceso,nivel_acceso) VALUES (1050,'LICENCIATURA','eduardoantonio.aguirrerios','112144','TOMAR DEL SND','AGUIRRE RIOS EDUARDO ANTONIO','ANIMACION DIGITAL Y VIDEOJUEGOS','2do','MASCULINO','ACTIVO','',0,0,'','ALUMNO');</v>
      </c>
      <c r="M51" s="16" t="str">
        <f>CONCATENATE("update participantes set correo=",C51," where id=",A51,";")</f>
        <v>update participantes set correo='eduardoantonio.aguirrerios' where id=1050;</v>
      </c>
    </row>
    <row r="52" spans="1:13" ht="130.5" x14ac:dyDescent="0.35">
      <c r="A52" s="16">
        <v>1051</v>
      </c>
      <c r="B52" s="18" t="s">
        <v>1754</v>
      </c>
      <c r="C52" s="16" t="str">
        <f>CONCATENATE("'",Alumnos!E516,"'")</f>
        <v>'oswaldojosafat.molinazamora'</v>
      </c>
      <c r="D52" s="16" t="str">
        <f>CONCATENATE(Alumnos!F516,"'")</f>
        <v>'112145'</v>
      </c>
      <c r="E52" s="16" t="s">
        <v>1755</v>
      </c>
      <c r="F52" s="16" t="str">
        <f>CONCATENATE("'",Alumnos!H516,"'")</f>
        <v>'MOLINA ZAMORA OSWALDO JOSAFAT'</v>
      </c>
      <c r="G52" s="16" t="str">
        <f>CONCATENATE("'",Alumnos!I516,"'")</f>
        <v>'NUTRICION Y GASTRONOMIA'</v>
      </c>
      <c r="H52" s="16" t="str">
        <f>CONCATENATE("'",Alumnos!J516,"'")</f>
        <v>'2do'</v>
      </c>
      <c r="I52" s="16" t="str">
        <f>UPPER(CONCATENATE("'",Alumnos!K516,"'"))</f>
        <v>'MASCULINO'</v>
      </c>
      <c r="J52" s="16" t="str">
        <f>UPPER(CONCATENATE("'",Alumnos!L516,"'"))</f>
        <v>'ACTIVO'</v>
      </c>
      <c r="K52" s="16" t="str">
        <f>CONCATENATE(A52,",",B52,",",C52,",",D52,",'",E52,",",F52,",",G52,",",H52,",",UPPER(I52),",",UPPER(J52),",'',0,0,'','ALUMNO'")</f>
        <v>1051,'LICENCIATURA','oswaldojosafat.molinazamora','112145','TOMAR DEL SND','MOLINA ZAMORA OSWALDO JOSAFAT','NUTRICION Y GASTRONOMIA','2do','MASCULINO','ACTIVO','',0,0,'','ALUMNO'</v>
      </c>
      <c r="L52" s="16" t="str">
        <f>CONCATENATE($K$1,K52,");")</f>
        <v>INSERT INTO participantes (id,nivel,correo,matricula,clave,nombre,carrera,grado,sexo,situacion,evaluados,num_evaluados,total_evaluaciones,ultimo_acceso,nivel_acceso) VALUES (1051,'LICENCIATURA','oswaldojosafat.molinazamora','112145','TOMAR DEL SND','MOLINA ZAMORA OSWALDO JOSAFAT','NUTRICION Y GASTRONOMIA','2do','MASCULINO','ACTIVO','',0,0,'','ALUMNO');</v>
      </c>
      <c r="M52" s="16" t="str">
        <f>CONCATENATE("update participantes set correo=",C52," where id=",A52,";")</f>
        <v>update participantes set correo='oswaldojosafat.molinazamora' where id=1051;</v>
      </c>
    </row>
    <row r="53" spans="1:13" ht="130.5" x14ac:dyDescent="0.35">
      <c r="A53" s="16">
        <v>1052</v>
      </c>
      <c r="B53" s="18" t="s">
        <v>1754</v>
      </c>
      <c r="C53" s="16" t="str">
        <f>CONCATENATE("'",Alumnos!E114,"'")</f>
        <v>'brendaximena.orozcovizcarra'</v>
      </c>
      <c r="D53" s="16" t="str">
        <f>CONCATENATE(Alumnos!F114,"'")</f>
        <v>'112147'</v>
      </c>
      <c r="E53" s="16" t="s">
        <v>1755</v>
      </c>
      <c r="F53" s="16" t="str">
        <f>CONCATENATE("'",Alumnos!H114,"'")</f>
        <v>'OROZCO VIZCARRA BRENDA XIMENA'</v>
      </c>
      <c r="G53" s="16" t="str">
        <f>CONCATENATE("'",Alumnos!I114,"'")</f>
        <v>'INGENIERÍA AUTOMOTRIZ'</v>
      </c>
      <c r="H53" s="16" t="str">
        <f>CONCATENATE("'",Alumnos!J114,"'")</f>
        <v>'2do'</v>
      </c>
      <c r="I53" s="16" t="str">
        <f>UPPER(CONCATENATE("'",Alumnos!K114,"'"))</f>
        <v>'FEMENINO'</v>
      </c>
      <c r="J53" s="16" t="str">
        <f>UPPER(CONCATENATE("'",Alumnos!L114,"'"))</f>
        <v>'ACTIVO'</v>
      </c>
      <c r="K53" s="16" t="str">
        <f>CONCATENATE(A53,",",B53,",",C53,",",D53,",'",E53,",",F53,",",G53,",",H53,",",UPPER(I53),",",UPPER(J53),",'',0,0,'','ALUMNO'")</f>
        <v>1052,'LICENCIATURA','brendaximena.orozcovizcarra','112147','TOMAR DEL SND','OROZCO VIZCARRA BRENDA XIMENA','INGENIERÍA AUTOMOTRIZ','2do','FEMENINO','ACTIVO','',0,0,'','ALUMNO'</v>
      </c>
      <c r="L53" s="16" t="str">
        <f>CONCATENATE($K$1,K53,");")</f>
        <v>INSERT INTO participantes (id,nivel,correo,matricula,clave,nombre,carrera,grado,sexo,situacion,evaluados,num_evaluados,total_evaluaciones,ultimo_acceso,nivel_acceso) VALUES (1052,'LICENCIATURA','brendaximena.orozcovizcarra','112147','TOMAR DEL SND','OROZCO VIZCARRA BRENDA XIMENA','INGENIERÍA AUTOMOTRIZ','2do','FEMENINO','ACTIVO','',0,0,'','ALUMNO');</v>
      </c>
      <c r="M53" s="16" t="str">
        <f>CONCATENATE("update participantes set correo=",C53," where id=",A53,";")</f>
        <v>update participantes set correo='brendaximena.orozcovizcarra' where id=1052;</v>
      </c>
    </row>
    <row r="54" spans="1:13" ht="116" x14ac:dyDescent="0.35">
      <c r="A54" s="16">
        <v>1053</v>
      </c>
      <c r="B54" s="18" t="s">
        <v>1754</v>
      </c>
      <c r="C54" s="16" t="str">
        <f>CONCATENATE("'",Alumnos!E589,"'")</f>
        <v>'ubaldo.avendanopani'</v>
      </c>
      <c r="D54" s="16" t="str">
        <f>CONCATENATE(Alumnos!F589,"'")</f>
        <v>'112148'</v>
      </c>
      <c r="E54" s="16" t="s">
        <v>1755</v>
      </c>
      <c r="F54" s="16" t="str">
        <f>CONCATENATE("'",Alumnos!H589,"'")</f>
        <v>'AVENDAÑO PANI UBALDO'</v>
      </c>
      <c r="G54" s="16" t="str">
        <f>CONCATENATE("'",Alumnos!I589,"'")</f>
        <v>'INGENIERIA AEROESPACIAL'</v>
      </c>
      <c r="H54" s="16" t="str">
        <f>CONCATENATE("'",Alumnos!J589,"'")</f>
        <v>'2do'</v>
      </c>
      <c r="I54" s="16" t="str">
        <f>UPPER(CONCATENATE("'",Alumnos!K589,"'"))</f>
        <v>'MASCULINO'</v>
      </c>
      <c r="J54" s="16" t="str">
        <f>UPPER(CONCATENATE("'",Alumnos!L589,"'"))</f>
        <v>'ACTIVO'</v>
      </c>
      <c r="K54" s="16" t="str">
        <f>CONCATENATE(A54,",",B54,",",C54,",",D54,",'",E54,",",F54,",",G54,",",H54,",",UPPER(I54),",",UPPER(J54),",'',0,0,'','ALUMNO'")</f>
        <v>1053,'LICENCIATURA','ubaldo.avendanopani','112148','TOMAR DEL SND','AVENDAÑO PANI UBALDO','INGENIERIA AEROESPACIAL','2do','MASCULINO','ACTIVO','',0,0,'','ALUMNO'</v>
      </c>
      <c r="L54" s="16" t="str">
        <f>CONCATENATE($K$1,K54,");")</f>
        <v>INSERT INTO participantes (id,nivel,correo,matricula,clave,nombre,carrera,grado,sexo,situacion,evaluados,num_evaluados,total_evaluaciones,ultimo_acceso,nivel_acceso) VALUES (1053,'LICENCIATURA','ubaldo.avendanopani','112148','TOMAR DEL SND','AVENDAÑO PANI UBALDO','INGENIERIA AEROESPACIAL','2do','MASCULINO','ACTIVO','',0,0,'','ALUMNO');</v>
      </c>
      <c r="M54" s="16" t="str">
        <f>CONCATENATE("update participantes set correo=",C54," where id=",A54,";")</f>
        <v>update participantes set correo='ubaldo.avendanopani' where id=1053;</v>
      </c>
    </row>
    <row r="55" spans="1:13" ht="130.5" x14ac:dyDescent="0.35">
      <c r="A55" s="16">
        <v>1054</v>
      </c>
      <c r="B55" s="18" t="s">
        <v>1754</v>
      </c>
      <c r="C55" s="16" t="str">
        <f>CONCATENATE("'",Alumnos!E365,"'")</f>
        <v>'karenguadalupe.ruizmartinez'</v>
      </c>
      <c r="D55" s="16" t="str">
        <f>CONCATENATE(Alumnos!F365,"'")</f>
        <v>'112149'</v>
      </c>
      <c r="E55" s="16" t="s">
        <v>1755</v>
      </c>
      <c r="F55" s="16" t="str">
        <f>CONCATENATE("'",Alumnos!H365,"'")</f>
        <v>'RUIZ MARTINEZ KAREN GUADALUPE'</v>
      </c>
      <c r="G55" s="16" t="str">
        <f>CONCATENATE("'",Alumnos!I365,"'")</f>
        <v>'INGENIERIA AEROESPACIAL'</v>
      </c>
      <c r="H55" s="16" t="str">
        <f>CONCATENATE("'",Alumnos!J365,"'")</f>
        <v>'2do'</v>
      </c>
      <c r="I55" s="16" t="str">
        <f>UPPER(CONCATENATE("'",Alumnos!K365,"'"))</f>
        <v>'FEMENINO'</v>
      </c>
      <c r="J55" s="16" t="str">
        <f>UPPER(CONCATENATE("'",Alumnos!L365,"'"))</f>
        <v>'ACTIVO'</v>
      </c>
      <c r="K55" s="16" t="str">
        <f>CONCATENATE(A55,",",B55,",",C55,",",D55,",'",E55,",",F55,",",G55,",",H55,",",UPPER(I55),",",UPPER(J55),",'',0,0,'','ALUMNO'")</f>
        <v>1054,'LICENCIATURA','karenguadalupe.ruizmartinez','112149','TOMAR DEL SND','RUIZ MARTINEZ KAREN GUADALUPE','INGENIERIA AEROESPACIAL','2do','FEMENINO','ACTIVO','',0,0,'','ALUMNO'</v>
      </c>
      <c r="L55" s="16" t="str">
        <f>CONCATENATE($K$1,K55,");")</f>
        <v>INSERT INTO participantes (id,nivel,correo,matricula,clave,nombre,carrera,grado,sexo,situacion,evaluados,num_evaluados,total_evaluaciones,ultimo_acceso,nivel_acceso) VALUES (1054,'LICENCIATURA','karenguadalupe.ruizmartinez','112149','TOMAR DEL SND','RUIZ MARTINEZ KAREN GUADALUPE','INGENIERIA AEROESPACIAL','2do','FEMENINO','ACTIVO','',0,0,'','ALUMNO');</v>
      </c>
      <c r="M55" s="16" t="str">
        <f>CONCATENATE("update participantes set correo=",C55," where id=",A55,";")</f>
        <v>update participantes set correo='karenguadalupe.ruizmartinez' where id=1054;</v>
      </c>
    </row>
    <row r="56" spans="1:13" ht="130.5" x14ac:dyDescent="0.35">
      <c r="A56" s="16">
        <v>1055</v>
      </c>
      <c r="B56" s="18" t="s">
        <v>1754</v>
      </c>
      <c r="C56" s="16" t="str">
        <f>CONCATENATE("'",Alumnos!E543,"'")</f>
        <v>'renatagabriela.careyramirez'</v>
      </c>
      <c r="D56" s="16" t="str">
        <f>CONCATENATE(Alumnos!F543,"'")</f>
        <v>'112150'</v>
      </c>
      <c r="E56" s="16" t="s">
        <v>1755</v>
      </c>
      <c r="F56" s="16" t="str">
        <f>CONCATENATE("'",Alumnos!H543,"'")</f>
        <v>'CAREY RAMIREZ RENATA GABRIELA'</v>
      </c>
      <c r="G56" s="16" t="str">
        <f>CONCATENATE("'",Alumnos!I543,"'")</f>
        <v>'ANIMACION DIGITAL Y VIDEOJUEGOS'</v>
      </c>
      <c r="H56" s="16" t="str">
        <f>CONCATENATE("'",Alumnos!J543,"'")</f>
        <v>'2do'</v>
      </c>
      <c r="I56" s="16" t="str">
        <f>UPPER(CONCATENATE("'",Alumnos!K543,"'"))</f>
        <v>'FEMENINO'</v>
      </c>
      <c r="J56" s="16" t="str">
        <f>UPPER(CONCATENATE("'",Alumnos!L543,"'"))</f>
        <v>'ACTIVO'</v>
      </c>
      <c r="K56" s="16" t="str">
        <f>CONCATENATE(A56,",",B56,",",C56,",",D56,",'",E56,",",F56,",",G56,",",H56,",",UPPER(I56),",",UPPER(J56),",'',0,0,'','ALUMNO'")</f>
        <v>1055,'LICENCIATURA','renatagabriela.careyramirez','112150','TOMAR DEL SND','CAREY RAMIREZ RENATA GABRIELA','ANIMACION DIGITAL Y VIDEOJUEGOS','2do','FEMENINO','ACTIVO','',0,0,'','ALUMNO'</v>
      </c>
      <c r="L56" s="16" t="str">
        <f>CONCATENATE($K$1,K56,");")</f>
        <v>INSERT INTO participantes (id,nivel,correo,matricula,clave,nombre,carrera,grado,sexo,situacion,evaluados,num_evaluados,total_evaluaciones,ultimo_acceso,nivel_acceso) VALUES (1055,'LICENCIATURA','renatagabriela.careyramirez','112150','TOMAR DEL SND','CAREY RAMIREZ RENATA GABRIELA','ANIMACION DIGITAL Y VIDEOJUEGOS','2do','FEMENINO','ACTIVO','',0,0,'','ALUMNO');</v>
      </c>
      <c r="M56" s="16" t="str">
        <f>CONCATENATE("update participantes set correo=",C56," where id=",A56,";")</f>
        <v>update participantes set correo='renatagabriela.careyramirez' where id=1055;</v>
      </c>
    </row>
    <row r="57" spans="1:13" ht="130.5" x14ac:dyDescent="0.35">
      <c r="A57" s="16">
        <v>1056</v>
      </c>
      <c r="B57" s="18" t="s">
        <v>1754</v>
      </c>
      <c r="C57" s="16" t="str">
        <f>CONCATENATE("'",Alumnos!E467,"'")</f>
        <v>'maximiliano.resendizpina'</v>
      </c>
      <c r="D57" s="16" t="str">
        <f>CONCATENATE(Alumnos!F467,"'")</f>
        <v>'112151'</v>
      </c>
      <c r="E57" s="16" t="s">
        <v>1755</v>
      </c>
      <c r="F57" s="16" t="str">
        <f>CONCATENATE("'",Alumnos!H467,"'")</f>
        <v>'RESENDIZ PIÑA MAXIMILIANO'</v>
      </c>
      <c r="G57" s="16" t="str">
        <f>CONCATENATE("'",Alumnos!I467,"'")</f>
        <v>'INGENIERÍA AUTOMOTRIZ'</v>
      </c>
      <c r="H57" s="16" t="str">
        <f>CONCATENATE("'",Alumnos!J467,"'")</f>
        <v>'2do'</v>
      </c>
      <c r="I57" s="16" t="str">
        <f>UPPER(CONCATENATE("'",Alumnos!K467,"'"))</f>
        <v>'MASCULINO'</v>
      </c>
      <c r="J57" s="16" t="str">
        <f>UPPER(CONCATENATE("'",Alumnos!L467,"'"))</f>
        <v>'ACTIVO'</v>
      </c>
      <c r="K57" s="16" t="str">
        <f>CONCATENATE(A57,",",B57,",",C57,",",D57,",'",E57,",",F57,",",G57,",",H57,",",UPPER(I57),",",UPPER(J57),",'',0,0,'','ALUMNO'")</f>
        <v>1056,'LICENCIATURA','maximiliano.resendizpina','112151','TOMAR DEL SND','RESENDIZ PIÑA MAXIMILIANO','INGENIERÍA AUTOMOTRIZ','2do','MASCULINO','ACTIVO','',0,0,'','ALUMNO'</v>
      </c>
      <c r="L57" s="16" t="str">
        <f>CONCATENATE($K$1,K57,");")</f>
        <v>INSERT INTO participantes (id,nivel,correo,matricula,clave,nombre,carrera,grado,sexo,situacion,evaluados,num_evaluados,total_evaluaciones,ultimo_acceso,nivel_acceso) VALUES (1056,'LICENCIATURA','maximiliano.resendizpina','112151','TOMAR DEL SND','RESENDIZ PIÑA MAXIMILIANO','INGENIERÍA AUTOMOTRIZ','2do','MASCULINO','ACTIVO','',0,0,'','ALUMNO');</v>
      </c>
      <c r="M57" s="16" t="str">
        <f>CONCATENATE("update participantes set correo=",C57," where id=",A57,";")</f>
        <v>update participantes set correo='maximiliano.resendizpina' where id=1056;</v>
      </c>
    </row>
    <row r="58" spans="1:13" ht="130.5" x14ac:dyDescent="0.35">
      <c r="A58" s="16">
        <v>1057</v>
      </c>
      <c r="B58" s="18" t="s">
        <v>1754</v>
      </c>
      <c r="C58" s="16" t="str">
        <f>CONCATENATE("'",Alumnos!E100,"'")</f>
        <v>'bernardo.dessavregonzalez'</v>
      </c>
      <c r="D58" s="16" t="str">
        <f>CONCATENATE(Alumnos!F100,"'")</f>
        <v>'112152'</v>
      </c>
      <c r="E58" s="16" t="s">
        <v>1755</v>
      </c>
      <c r="F58" s="16" t="str">
        <f>CONCATENATE("'",Alumnos!H100,"'")</f>
        <v>'DESSAVRE GONZALEZ BERNARDO'</v>
      </c>
      <c r="G58" s="16" t="str">
        <f>CONCATENATE("'",Alumnos!I100,"'")</f>
        <v>'INGENIERIA AEROESPACIAL'</v>
      </c>
      <c r="H58" s="16" t="str">
        <f>CONCATENATE("'",Alumnos!J100,"'")</f>
        <v>'2do'</v>
      </c>
      <c r="I58" s="16" t="str">
        <f>UPPER(CONCATENATE("'",Alumnos!K100,"'"))</f>
        <v>'MASCULINO'</v>
      </c>
      <c r="J58" s="16" t="str">
        <f>UPPER(CONCATENATE("'",Alumnos!L100,"'"))</f>
        <v>'ACTIVO'</v>
      </c>
      <c r="K58" s="16" t="str">
        <f>CONCATENATE(A58,",",B58,",",C58,",",D58,",'",E58,",",F58,",",G58,",",H58,",",UPPER(I58),",",UPPER(J58),",'',0,0,'','ALUMNO'")</f>
        <v>1057,'LICENCIATURA','bernardo.dessavregonzalez','112152','TOMAR DEL SND','DESSAVRE GONZALEZ BERNARDO','INGENIERIA AEROESPACIAL','2do','MASCULINO','ACTIVO','',0,0,'','ALUMNO'</v>
      </c>
      <c r="L58" s="16" t="str">
        <f>CONCATENATE($K$1,K58,");")</f>
        <v>INSERT INTO participantes (id,nivel,correo,matricula,clave,nombre,carrera,grado,sexo,situacion,evaluados,num_evaluados,total_evaluaciones,ultimo_acceso,nivel_acceso) VALUES (1057,'LICENCIATURA','bernardo.dessavregonzalez','112152','TOMAR DEL SND','DESSAVRE GONZALEZ BERNARDO','INGENIERIA AEROESPACIAL','2do','MASCULINO','ACTIVO','',0,0,'','ALUMNO');</v>
      </c>
      <c r="M58" s="16" t="str">
        <f>CONCATENATE("update participantes set correo=",C58," where id=",A58,";")</f>
        <v>update participantes set correo='bernardo.dessavregonzalez' where id=1057;</v>
      </c>
    </row>
    <row r="59" spans="1:13" ht="116" x14ac:dyDescent="0.35">
      <c r="A59" s="16">
        <v>1058</v>
      </c>
      <c r="B59" s="18" t="s">
        <v>1754</v>
      </c>
      <c r="C59" s="16" t="str">
        <f>CONCATENATE("'",Alumnos!E527,"'")</f>
        <v>'paola.floreszavaleta'</v>
      </c>
      <c r="D59" s="16" t="str">
        <f>CONCATENATE(Alumnos!F527,"'")</f>
        <v>'112154'</v>
      </c>
      <c r="E59" s="16" t="s">
        <v>1755</v>
      </c>
      <c r="F59" s="16" t="str">
        <f>CONCATENATE("'",Alumnos!H527,"'")</f>
        <v>'FLORES ZAVALETA PAOLA'</v>
      </c>
      <c r="G59" s="16" t="str">
        <f>CONCATENATE("'",Alumnos!I527,"'")</f>
        <v>'NUTRICION Y GASTRONOMIA'</v>
      </c>
      <c r="H59" s="16" t="str">
        <f>CONCATENATE("'",Alumnos!J527,"'")</f>
        <v>'2do'</v>
      </c>
      <c r="I59" s="16" t="str">
        <f>UPPER(CONCATENATE("'",Alumnos!K527,"'"))</f>
        <v>'FEMENINO'</v>
      </c>
      <c r="J59" s="16" t="str">
        <f>UPPER(CONCATENATE("'",Alumnos!L527,"'"))</f>
        <v>'ACTIVO'</v>
      </c>
      <c r="K59" s="16" t="str">
        <f>CONCATENATE(A59,",",B59,",",C59,",",D59,",'",E59,",",F59,",",G59,",",H59,",",UPPER(I59),",",UPPER(J59),",'',0,0,'','ALUMNO'")</f>
        <v>1058,'LICENCIATURA','paola.floreszavaleta','112154','TOMAR DEL SND','FLORES ZAVALETA PAOLA','NUTRICION Y GASTRONOMIA','2do','FEMENINO','ACTIVO','',0,0,'','ALUMNO'</v>
      </c>
      <c r="L59" s="16" t="str">
        <f>CONCATENATE($K$1,K59,");")</f>
        <v>INSERT INTO participantes (id,nivel,correo,matricula,clave,nombre,carrera,grado,sexo,situacion,evaluados,num_evaluados,total_evaluaciones,ultimo_acceso,nivel_acceso) VALUES (1058,'LICENCIATURA','paola.floreszavaleta','112154','TOMAR DEL SND','FLORES ZAVALETA PAOLA','NUTRICION Y GASTRONOMIA','2do','FEMENINO','ACTIVO','',0,0,'','ALUMNO');</v>
      </c>
      <c r="M59" s="16" t="str">
        <f>CONCATENATE("update participantes set correo=",C59," where id=",A59,";")</f>
        <v>update participantes set correo='paola.floreszavaleta' where id=1058;</v>
      </c>
    </row>
    <row r="60" spans="1:13" ht="116" x14ac:dyDescent="0.35">
      <c r="A60" s="16">
        <v>1059</v>
      </c>
      <c r="B60" s="18" t="s">
        <v>1754</v>
      </c>
      <c r="C60" s="16" t="str">
        <f>CONCATENATE("'",Alumnos!E3,"'")</f>
        <v>'abigail.mendozavillela'</v>
      </c>
      <c r="D60" s="16" t="str">
        <f>CONCATENATE(Alumnos!F3,"'")</f>
        <v>'112156'</v>
      </c>
      <c r="E60" s="16" t="s">
        <v>1755</v>
      </c>
      <c r="F60" s="16" t="str">
        <f>CONCATENATE("'",Alumnos!H3,"'")</f>
        <v>'MENDOZA VILLELA ABIGAIL'</v>
      </c>
      <c r="G60" s="16" t="str">
        <f>CONCATENATE("'",Alumnos!I3,"'")</f>
        <v>'PSICOLOGIA'</v>
      </c>
      <c r="H60" s="16" t="str">
        <f>CONCATENATE("'",Alumnos!J3,"'")</f>
        <v>'2do'</v>
      </c>
      <c r="I60" s="16" t="str">
        <f>UPPER(CONCATENATE("'",Alumnos!K3,"'"))</f>
        <v>'FEMENINO'</v>
      </c>
      <c r="J60" s="16" t="str">
        <f>UPPER(CONCATENATE("'",Alumnos!L3,"'"))</f>
        <v>'ACTIVO'</v>
      </c>
      <c r="K60" s="16" t="str">
        <f>CONCATENATE(A60,",",B60,",",C60,",",D60,",'",E60,",",F60,",",G60,",",H60,",",UPPER(I60),",",UPPER(J60),",'',0,0,'','ALUMNO'")</f>
        <v>1059,'LICENCIATURA','abigail.mendozavillela','112156','TOMAR DEL SND','MENDOZA VILLELA ABIGAIL','PSICOLOGIA','2do','FEMENINO','ACTIVO','',0,0,'','ALUMNO'</v>
      </c>
      <c r="L60" s="16" t="str">
        <f>CONCATENATE($K$1,K60,");")</f>
        <v>INSERT INTO participantes (id,nivel,correo,matricula,clave,nombre,carrera,grado,sexo,situacion,evaluados,num_evaluados,total_evaluaciones,ultimo_acceso,nivel_acceso) VALUES (1059,'LICENCIATURA','abigail.mendozavillela','112156','TOMAR DEL SND','MENDOZA VILLELA ABIGAIL','PSICOLOGIA','2do','FEMENINO','ACTIVO','',0,0,'','ALUMNO');</v>
      </c>
      <c r="M60" s="16" t="str">
        <f>CONCATENATE("update participantes set correo=",C60," where id=",A60,";")</f>
        <v>update participantes set correo='abigail.mendozavillela' where id=1059;</v>
      </c>
    </row>
    <row r="61" spans="1:13" ht="116" x14ac:dyDescent="0.35">
      <c r="A61" s="16">
        <v>1060</v>
      </c>
      <c r="B61" s="18" t="s">
        <v>1754</v>
      </c>
      <c r="C61" s="16" t="str">
        <f>CONCATENATE("'",Alumnos!E466,"'")</f>
        <v>'mauro.garcianavarro'</v>
      </c>
      <c r="D61" s="16" t="str">
        <f>CONCATENATE(Alumnos!F466,"'")</f>
        <v>'112157'</v>
      </c>
      <c r="E61" s="16" t="s">
        <v>1755</v>
      </c>
      <c r="F61" s="16" t="str">
        <f>CONCATENATE("'",Alumnos!H466,"'")</f>
        <v>'GARCIA NAVARRO MAURO'</v>
      </c>
      <c r="G61" s="16" t="str">
        <f>CONCATENATE("'",Alumnos!I466,"'")</f>
        <v>'NUTRICION Y GASTRONOMIA'</v>
      </c>
      <c r="H61" s="16" t="str">
        <f>CONCATENATE("'",Alumnos!J466,"'")</f>
        <v>'2do'</v>
      </c>
      <c r="I61" s="16" t="str">
        <f>UPPER(CONCATENATE("'",Alumnos!K466,"'"))</f>
        <v>'MASCULINO'</v>
      </c>
      <c r="J61" s="16" t="str">
        <f>UPPER(CONCATENATE("'",Alumnos!L466,"'"))</f>
        <v>'ACTIVO'</v>
      </c>
      <c r="K61" s="16" t="str">
        <f>CONCATENATE(A61,",",B61,",",C61,",",D61,",'",E61,",",F61,",",G61,",",H61,",",UPPER(I61),",",UPPER(J61),",'',0,0,'','ALUMNO'")</f>
        <v>1060,'LICENCIATURA','mauro.garcianavarro','112157','TOMAR DEL SND','GARCIA NAVARRO MAURO','NUTRICION Y GASTRONOMIA','2do','MASCULINO','ACTIVO','',0,0,'','ALUMNO'</v>
      </c>
      <c r="L61" s="16" t="str">
        <f>CONCATENATE($K$1,K61,");")</f>
        <v>INSERT INTO participantes (id,nivel,correo,matricula,clave,nombre,carrera,grado,sexo,situacion,evaluados,num_evaluados,total_evaluaciones,ultimo_acceso,nivel_acceso) VALUES (1060,'LICENCIATURA','mauro.garcianavarro','112157','TOMAR DEL SND','GARCIA NAVARRO MAURO','NUTRICION Y GASTRONOMIA','2do','MASCULINO','ACTIVO','',0,0,'','ALUMNO');</v>
      </c>
      <c r="M61" s="16" t="str">
        <f>CONCATENATE("update participantes set correo=",C61," where id=",A61,";")</f>
        <v>update participantes set correo='mauro.garcianavarro' where id=1060;</v>
      </c>
    </row>
    <row r="62" spans="1:13" ht="130.5" x14ac:dyDescent="0.35">
      <c r="A62" s="16">
        <v>1061</v>
      </c>
      <c r="B62" s="18" t="s">
        <v>1754</v>
      </c>
      <c r="C62" s="16" t="str">
        <f>CONCATENATE("'",Alumnos!E275,"'")</f>
        <v>'hugofernando.carbajalvalencia'</v>
      </c>
      <c r="D62" s="16" t="str">
        <f>CONCATENATE(Alumnos!F275,"'")</f>
        <v>'112158'</v>
      </c>
      <c r="E62" s="16" t="s">
        <v>1755</v>
      </c>
      <c r="F62" s="16" t="str">
        <f>CONCATENATE("'",Alumnos!H275,"'")</f>
        <v>'CARBAJAL VALENCIA HUGO FERNANDO'</v>
      </c>
      <c r="G62" s="16" t="str">
        <f>CONCATENATE("'",Alumnos!I275,"'")</f>
        <v>'ANIMACION DIGITAL Y VIDEOJUEGOS'</v>
      </c>
      <c r="H62" s="16" t="str">
        <f>CONCATENATE("'",Alumnos!J275,"'")</f>
        <v>'2do'</v>
      </c>
      <c r="I62" s="16" t="str">
        <f>UPPER(CONCATENATE("'",Alumnos!K275,"'"))</f>
        <v>'MASCULINO'</v>
      </c>
      <c r="J62" s="16" t="str">
        <f>UPPER(CONCATENATE("'",Alumnos!L275,"'"))</f>
        <v>'ACTIVO'</v>
      </c>
      <c r="K62" s="16" t="str">
        <f>CONCATENATE(A62,",",B62,",",C62,",",D62,",'",E62,",",F62,",",G62,",",H62,",",UPPER(I62),",",UPPER(J62),",'',0,0,'','ALUMNO'")</f>
        <v>1061,'LICENCIATURA','hugofernando.carbajalvalencia','112158','TOMAR DEL SND','CARBAJAL VALENCIA HUGO FERNANDO','ANIMACION DIGITAL Y VIDEOJUEGOS','2do','MASCULINO','ACTIVO','',0,0,'','ALUMNO'</v>
      </c>
      <c r="L62" s="16" t="str">
        <f>CONCATENATE($K$1,K62,");")</f>
        <v>INSERT INTO participantes (id,nivel,correo,matricula,clave,nombre,carrera,grado,sexo,situacion,evaluados,num_evaluados,total_evaluaciones,ultimo_acceso,nivel_acceso) VALUES (1061,'LICENCIATURA','hugofernando.carbajalvalencia','112158','TOMAR DEL SND','CARBAJAL VALENCIA HUGO FERNANDO','ANIMACION DIGITAL Y VIDEOJUEGOS','2do','MASCULINO','ACTIVO','',0,0,'','ALUMNO');</v>
      </c>
      <c r="M62" s="16" t="str">
        <f>CONCATENATE("update participantes set correo=",C62," where id=",A62,";")</f>
        <v>update participantes set correo='hugofernando.carbajalvalencia' where id=1061;</v>
      </c>
    </row>
    <row r="63" spans="1:13" ht="116" x14ac:dyDescent="0.35">
      <c r="A63" s="16">
        <v>1062</v>
      </c>
      <c r="B63" s="18" t="s">
        <v>1754</v>
      </c>
      <c r="C63" s="16" t="str">
        <f>CONCATENATE("'",Alumnos!E545,"'")</f>
        <v>'ricardo.raygozagomez'</v>
      </c>
      <c r="D63" s="16" t="str">
        <f>CONCATENATE(Alumnos!F545,"'")</f>
        <v>'112159'</v>
      </c>
      <c r="E63" s="16" t="s">
        <v>1755</v>
      </c>
      <c r="F63" s="16" t="str">
        <f>CONCATENATE("'",Alumnos!H545,"'")</f>
        <v>'RAYGOZA GOMEZ RICARDO'</v>
      </c>
      <c r="G63" s="16" t="str">
        <f>CONCATENATE("'",Alumnos!I545,"'")</f>
        <v>'INGENIERÍA EN INTELIGENCIA ARTIFICIAL'</v>
      </c>
      <c r="H63" s="16" t="str">
        <f>CONCATENATE("'",Alumnos!J545,"'")</f>
        <v>'2do'</v>
      </c>
      <c r="I63" s="16" t="str">
        <f>UPPER(CONCATENATE("'",Alumnos!K545,"'"))</f>
        <v>'MASCULINO'</v>
      </c>
      <c r="J63" s="16" t="str">
        <f>UPPER(CONCATENATE("'",Alumnos!L545,"'"))</f>
        <v>'ACTIVO'</v>
      </c>
      <c r="K63" s="16" t="str">
        <f>CONCATENATE(A63,",",B63,",",C63,",",D63,",'",E63,",",F63,",",G63,",",H63,",",UPPER(I63),",",UPPER(J63),",'',0,0,'','ALUMNO'")</f>
        <v>1062,'LICENCIATURA','ricardo.raygozagomez','112159','TOMAR DEL SND','RAYGOZA GOMEZ RICARDO','INGENIERÍA EN INTELIGENCIA ARTIFICIAL','2do','MASCULINO','ACTIVO','',0,0,'','ALUMNO'</v>
      </c>
      <c r="L63" s="16" t="str">
        <f>CONCATENATE($K$1,K63,");")</f>
        <v>INSERT INTO participantes (id,nivel,correo,matricula,clave,nombre,carrera,grado,sexo,situacion,evaluados,num_evaluados,total_evaluaciones,ultimo_acceso,nivel_acceso) VALUES (1062,'LICENCIATURA','ricardo.raygozagomez','112159','TOMAR DEL SND','RAYGOZA GOMEZ RICARDO','INGENIERÍA EN INTELIGENCIA ARTIFICIAL','2do','MASCULINO','ACTIVO','',0,0,'','ALUMNO');</v>
      </c>
      <c r="M63" s="16" t="str">
        <f>CONCATENATE("update participantes set correo=",C63," where id=",A63,";")</f>
        <v>update participantes set correo='ricardo.raygozagomez' where id=1062;</v>
      </c>
    </row>
    <row r="64" spans="1:13" ht="116" x14ac:dyDescent="0.35">
      <c r="A64" s="16">
        <v>1063</v>
      </c>
      <c r="B64" s="18" t="s">
        <v>1754</v>
      </c>
      <c r="C64" s="16" t="str">
        <f>CONCATENATE("'",Alumnos!E18,"'")</f>
        <v>'alan.angulojimenez'</v>
      </c>
      <c r="D64" s="16" t="str">
        <f>CONCATENATE(Alumnos!F18,"'")</f>
        <v>'112160'</v>
      </c>
      <c r="E64" s="16" t="s">
        <v>1755</v>
      </c>
      <c r="F64" s="16" t="str">
        <f>CONCATENATE("'",Alumnos!H18,"'")</f>
        <v>'ANGULO JIMENEZ ALAN'</v>
      </c>
      <c r="G64" s="16" t="str">
        <f>CONCATENATE("'",Alumnos!I18,"'")</f>
        <v>'INGENIERÍA EN INTELIGENCIA ARTIFICIAL'</v>
      </c>
      <c r="H64" s="16" t="str">
        <f>CONCATENATE("'",Alumnos!J18,"'")</f>
        <v>'2do'</v>
      </c>
      <c r="I64" s="16" t="str">
        <f>UPPER(CONCATENATE("'",Alumnos!K18,"'"))</f>
        <v>'MASCULINO'</v>
      </c>
      <c r="J64" s="16" t="str">
        <f>UPPER(CONCATENATE("'",Alumnos!L18,"'"))</f>
        <v>'ACTIVO'</v>
      </c>
      <c r="K64" s="16" t="str">
        <f>CONCATENATE(A64,",",B64,",",C64,",",D64,",'",E64,",",F64,",",G64,",",H64,",",UPPER(I64),",",UPPER(J64),",'',0,0,'','ALUMNO'")</f>
        <v>1063,'LICENCIATURA','alan.angulojimenez','112160','TOMAR DEL SND','ANGULO JIMENEZ ALAN','INGENIERÍA EN INTELIGENCIA ARTIFICIAL','2do','MASCULINO','ACTIVO','',0,0,'','ALUMNO'</v>
      </c>
      <c r="L64" s="16" t="str">
        <f>CONCATENATE($K$1,K64,");")</f>
        <v>INSERT INTO participantes (id,nivel,correo,matricula,clave,nombre,carrera,grado,sexo,situacion,evaluados,num_evaluados,total_evaluaciones,ultimo_acceso,nivel_acceso) VALUES (1063,'LICENCIATURA','alan.angulojimenez','112160','TOMAR DEL SND','ANGULO JIMENEZ ALAN','INGENIERÍA EN INTELIGENCIA ARTIFICIAL','2do','MASCULINO','ACTIVO','',0,0,'','ALUMNO');</v>
      </c>
      <c r="M64" s="16" t="str">
        <f>CONCATENATE("update participantes set correo=",C64," where id=",A64,";")</f>
        <v>update participantes set correo='alan.angulojimenez' where id=1063;</v>
      </c>
    </row>
    <row r="65" spans="1:13" ht="130.5" x14ac:dyDescent="0.35">
      <c r="A65" s="16">
        <v>1064</v>
      </c>
      <c r="B65" s="18" t="s">
        <v>1754</v>
      </c>
      <c r="C65" s="16" t="str">
        <f>CONCATENATE("'",Alumnos!E193,"'")</f>
        <v>'diegoeduardo.bolanoscarrillo'</v>
      </c>
      <c r="D65" s="16" t="str">
        <f>CONCATENATE(Alumnos!F193,"'")</f>
        <v>'112161'</v>
      </c>
      <c r="E65" s="16" t="s">
        <v>1755</v>
      </c>
      <c r="F65" s="16" t="str">
        <f>CONCATENATE("'",Alumnos!H193,"'")</f>
        <v>'BOLAÑOS CARRILLO DIEGO EDUARDO'</v>
      </c>
      <c r="G65" s="16" t="str">
        <f>CONCATENATE("'",Alumnos!I193,"'")</f>
        <v>'INGENIERÍA AUTOMOTRIZ'</v>
      </c>
      <c r="H65" s="16" t="str">
        <f>CONCATENATE("'",Alumnos!J193,"'")</f>
        <v>'2do'</v>
      </c>
      <c r="I65" s="16" t="str">
        <f>UPPER(CONCATENATE("'",Alumnos!K193,"'"))</f>
        <v>'MASCULINO'</v>
      </c>
      <c r="J65" s="16" t="str">
        <f>UPPER(CONCATENATE("'",Alumnos!L193,"'"))</f>
        <v>'ACTIVO'</v>
      </c>
      <c r="K65" s="16" t="str">
        <f>CONCATENATE(A65,",",B65,",",C65,",",D65,",'",E65,",",F65,",",G65,",",H65,",",UPPER(I65),",",UPPER(J65),",'',0,0,'','ALUMNO'")</f>
        <v>1064,'LICENCIATURA','diegoeduardo.bolanoscarrillo','112161','TOMAR DEL SND','BOLAÑOS CARRILLO DIEGO EDUARDO','INGENIERÍA AUTOMOTRIZ','2do','MASCULINO','ACTIVO','',0,0,'','ALUMNO'</v>
      </c>
      <c r="L65" s="16" t="str">
        <f>CONCATENATE($K$1,K65,");")</f>
        <v>INSERT INTO participantes (id,nivel,correo,matricula,clave,nombre,carrera,grado,sexo,situacion,evaluados,num_evaluados,total_evaluaciones,ultimo_acceso,nivel_acceso) VALUES (1064,'LICENCIATURA','diegoeduardo.bolanoscarrillo','112161','TOMAR DEL SND','BOLAÑOS CARRILLO DIEGO EDUARDO','INGENIERÍA AUTOMOTRIZ','2do','MASCULINO','ACTIVO','',0,0,'','ALUMNO');</v>
      </c>
      <c r="M65" s="16" t="str">
        <f>CONCATENATE("update participantes set correo=",C65," where id=",A65,";")</f>
        <v>update participantes set correo='diegoeduardo.bolanoscarrillo' where id=1064;</v>
      </c>
    </row>
    <row r="66" spans="1:13" ht="116" x14ac:dyDescent="0.35">
      <c r="A66" s="16">
        <v>1065</v>
      </c>
      <c r="B66" s="18" t="s">
        <v>1754</v>
      </c>
      <c r="C66" s="16" t="str">
        <f>CONCATENATE("'",Alumnos!E619,"'")</f>
        <v>'yessikamichell.sanchezrangel'</v>
      </c>
      <c r="D66" s="16" t="str">
        <f>CONCATENATE(Alumnos!F619,"'")</f>
        <v>'112162'</v>
      </c>
      <c r="E66" s="16" t="s">
        <v>1755</v>
      </c>
      <c r="F66" s="16" t="str">
        <f>CONCATENATE("'",Alumnos!H619,"'")</f>
        <v>'SANCHEZ RANGEL YESSIKA MICHELL'</v>
      </c>
      <c r="G66" s="16" t="str">
        <f>CONCATENATE("'",Alumnos!I619,"'")</f>
        <v>'INGENIERÍA EN INTELIGENCIA ARTIFICIAL'</v>
      </c>
      <c r="H66" s="16" t="str">
        <f>CONCATENATE("'",Alumnos!J619,"'")</f>
        <v>'2do'</v>
      </c>
      <c r="I66" s="16" t="str">
        <f>UPPER(CONCATENATE("'",Alumnos!K619,"'"))</f>
        <v>'FEMENINO'</v>
      </c>
      <c r="J66" s="16" t="str">
        <f>UPPER(CONCATENATE("'",Alumnos!L619,"'"))</f>
        <v>'ACTIVO'</v>
      </c>
      <c r="K66" s="16" t="str">
        <f>CONCATENATE(A66,",",B66,",",C66,",",D66,",'",E66,",",F66,",",G66,",",H66,",",UPPER(I66),",",UPPER(J66),",'',0,0,'','ALUMNO'")</f>
        <v>1065,'LICENCIATURA','yessikamichell.sanchezrangel','112162','TOMAR DEL SND','SANCHEZ RANGEL YESSIKA MICHELL','INGENIERÍA EN INTELIGENCIA ARTIFICIAL','2do','FEMENINO','ACTIVO','',0,0,'','ALUMNO'</v>
      </c>
      <c r="L66" s="16" t="str">
        <f>CONCATENATE($K$1,K66,");")</f>
        <v>INSERT INTO participantes (id,nivel,correo,matricula,clave,nombre,carrera,grado,sexo,situacion,evaluados,num_evaluados,total_evaluaciones,ultimo_acceso,nivel_acceso) VALUES (1065,'LICENCIATURA','yessikamichell.sanchezrangel','112162','TOMAR DEL SND','SANCHEZ RANGEL YESSIKA MICHELL','INGENIERÍA EN INTELIGENCIA ARTIFICIAL','2do','FEMENINO','ACTIVO','',0,0,'','ALUMNO');</v>
      </c>
      <c r="M66" s="16" t="str">
        <f>CONCATENATE("update participantes set correo=",C66," where id=",A66,";")</f>
        <v>update participantes set correo='yessikamichell.sanchezrangel' where id=1065;</v>
      </c>
    </row>
    <row r="67" spans="1:13" ht="116" x14ac:dyDescent="0.35">
      <c r="A67" s="16">
        <v>1066</v>
      </c>
      <c r="B67" s="18" t="s">
        <v>1754</v>
      </c>
      <c r="C67" s="16" t="str">
        <f>CONCATENATE("'",Alumnos!E93,"'")</f>
        <v>'armando.gonzalezhernandez'</v>
      </c>
      <c r="D67" s="16" t="str">
        <f>CONCATENATE(Alumnos!F93,"'")</f>
        <v>'112163'</v>
      </c>
      <c r="E67" s="16" t="s">
        <v>1755</v>
      </c>
      <c r="F67" s="16" t="str">
        <f>CONCATENATE("'",Alumnos!H93,"'")</f>
        <v>'GONZALEZ HERNANDEZ ARMANDO'</v>
      </c>
      <c r="G67" s="16" t="str">
        <f>CONCATENATE("'",Alumnos!I93,"'")</f>
        <v>'INGENIERÍA EN INTELIGENCIA ARTIFICIAL'</v>
      </c>
      <c r="H67" s="16" t="str">
        <f>CONCATENATE("'",Alumnos!J93,"'")</f>
        <v>'2do'</v>
      </c>
      <c r="I67" s="16" t="str">
        <f>UPPER(CONCATENATE("'",Alumnos!K93,"'"))</f>
        <v>'MASCULINO'</v>
      </c>
      <c r="J67" s="16" t="str">
        <f>UPPER(CONCATENATE("'",Alumnos!L93,"'"))</f>
        <v>'ACTIVO'</v>
      </c>
      <c r="K67" s="16" t="str">
        <f>CONCATENATE(A67,",",B67,",",C67,",",D67,",'",E67,",",F67,",",G67,",",H67,",",UPPER(I67),",",UPPER(J67),",'',0,0,'','ALUMNO'")</f>
        <v>1066,'LICENCIATURA','armando.gonzalezhernandez','112163','TOMAR DEL SND','GONZALEZ HERNANDEZ ARMANDO','INGENIERÍA EN INTELIGENCIA ARTIFICIAL','2do','MASCULINO','ACTIVO','',0,0,'','ALUMNO'</v>
      </c>
      <c r="L67" s="16" t="str">
        <f>CONCATENATE($K$1,K67,");")</f>
        <v>INSERT INTO participantes (id,nivel,correo,matricula,clave,nombre,carrera,grado,sexo,situacion,evaluados,num_evaluados,total_evaluaciones,ultimo_acceso,nivel_acceso) VALUES (1066,'LICENCIATURA','armando.gonzalezhernandez','112163','TOMAR DEL SND','GONZALEZ HERNANDEZ ARMANDO','INGENIERÍA EN INTELIGENCIA ARTIFICIAL','2do','MASCULINO','ACTIVO','',0,0,'','ALUMNO');</v>
      </c>
      <c r="M67" s="16" t="str">
        <f>CONCATENATE("update participantes set correo=",C67," where id=",A67,";")</f>
        <v>update participantes set correo='armando.gonzalezhernandez' where id=1066;</v>
      </c>
    </row>
    <row r="68" spans="1:13" ht="116" x14ac:dyDescent="0.35">
      <c r="A68" s="16">
        <v>1067</v>
      </c>
      <c r="B68" s="18" t="s">
        <v>1754</v>
      </c>
      <c r="C68" s="16" t="str">
        <f>CONCATENATE("'",Alumnos!E248,"'")</f>
        <v>'gabrielomar.hernandezgarcia'</v>
      </c>
      <c r="D68" s="16" t="str">
        <f>CONCATENATE(Alumnos!F248,"'")</f>
        <v>'112164'</v>
      </c>
      <c r="E68" s="16" t="s">
        <v>1755</v>
      </c>
      <c r="F68" s="16" t="str">
        <f>CONCATENATE("'",Alumnos!H248,"'")</f>
        <v>'HERNANDEZ GARCIA GABRIEL OMAR'</v>
      </c>
      <c r="G68" s="16" t="str">
        <f>CONCATENATE("'",Alumnos!I248,"'")</f>
        <v>'INGENIERÍA EN INTELIGENCIA ARTIFICIAL'</v>
      </c>
      <c r="H68" s="16" t="str">
        <f>CONCATENATE("'",Alumnos!J248,"'")</f>
        <v>'2do'</v>
      </c>
      <c r="I68" s="16" t="str">
        <f>UPPER(CONCATENATE("'",Alumnos!K248,"'"))</f>
        <v>'MASCULINO'</v>
      </c>
      <c r="J68" s="16" t="str">
        <f>UPPER(CONCATENATE("'",Alumnos!L248,"'"))</f>
        <v>'ACTIVO'</v>
      </c>
      <c r="K68" s="16" t="str">
        <f>CONCATENATE(A68,",",B68,",",C68,",",D68,",'",E68,",",F68,",",G68,",",H68,",",UPPER(I68),",",UPPER(J68),",'',0,0,'','ALUMNO'")</f>
        <v>1067,'LICENCIATURA','gabrielomar.hernandezgarcia','112164','TOMAR DEL SND','HERNANDEZ GARCIA GABRIEL OMAR','INGENIERÍA EN INTELIGENCIA ARTIFICIAL','2do','MASCULINO','ACTIVO','',0,0,'','ALUMNO'</v>
      </c>
      <c r="L68" s="16" t="str">
        <f>CONCATENATE($K$1,K68,");")</f>
        <v>INSERT INTO participantes (id,nivel,correo,matricula,clave,nombre,carrera,grado,sexo,situacion,evaluados,num_evaluados,total_evaluaciones,ultimo_acceso,nivel_acceso) VALUES (1067,'LICENCIATURA','gabrielomar.hernandezgarcia','112164','TOMAR DEL SND','HERNANDEZ GARCIA GABRIEL OMAR','INGENIERÍA EN INTELIGENCIA ARTIFICIAL','2do','MASCULINO','ACTIVO','',0,0,'','ALUMNO');</v>
      </c>
      <c r="M68" s="16" t="str">
        <f>CONCATENATE("update participantes set correo=",C68," where id=",A68,";")</f>
        <v>update participantes set correo='gabrielomar.hernandezgarcia' where id=1067;</v>
      </c>
    </row>
    <row r="69" spans="1:13" ht="116" x14ac:dyDescent="0.35">
      <c r="A69" s="16">
        <v>1068</v>
      </c>
      <c r="B69" s="18" t="s">
        <v>1754</v>
      </c>
      <c r="C69" s="16" t="str">
        <f>CONCATENATE("'",Alumnos!E285,"'")</f>
        <v>'israel.centenorea'</v>
      </c>
      <c r="D69" s="16" t="str">
        <f>CONCATENATE(Alumnos!F285,"'")</f>
        <v>'112165'</v>
      </c>
      <c r="E69" s="16" t="s">
        <v>1755</v>
      </c>
      <c r="F69" s="16" t="str">
        <f>CONCATENATE("'",Alumnos!H285,"'")</f>
        <v>'CENTENO REA ISRAEL'</v>
      </c>
      <c r="G69" s="16" t="str">
        <f>CONCATENATE("'",Alumnos!I285,"'")</f>
        <v>'ARQUITECTURA'</v>
      </c>
      <c r="H69" s="16" t="str">
        <f>CONCATENATE("'",Alumnos!J285,"'")</f>
        <v>'2do'</v>
      </c>
      <c r="I69" s="16" t="str">
        <f>UPPER(CONCATENATE("'",Alumnos!K285,"'"))</f>
        <v>'MASCULINO'</v>
      </c>
      <c r="J69" s="16" t="str">
        <f>UPPER(CONCATENATE("'",Alumnos!L285,"'"))</f>
        <v>'ACTIVO'</v>
      </c>
      <c r="K69" s="16" t="str">
        <f>CONCATENATE(A69,",",B69,",",C69,",",D69,",'",E69,",",F69,",",G69,",",H69,",",UPPER(I69),",",UPPER(J69),",'',0,0,'','ALUMNO'")</f>
        <v>1068,'LICENCIATURA','israel.centenorea','112165','TOMAR DEL SND','CENTENO REA ISRAEL','ARQUITECTURA','2do','MASCULINO','ACTIVO','',0,0,'','ALUMNO'</v>
      </c>
      <c r="L69" s="16" t="str">
        <f>CONCATENATE($K$1,K69,");")</f>
        <v>INSERT INTO participantes (id,nivel,correo,matricula,clave,nombre,carrera,grado,sexo,situacion,evaluados,num_evaluados,total_evaluaciones,ultimo_acceso,nivel_acceso) VALUES (1068,'LICENCIATURA','israel.centenorea','112165','TOMAR DEL SND','CENTENO REA ISRAEL','ARQUITECTURA','2do','MASCULINO','ACTIVO','',0,0,'','ALUMNO');</v>
      </c>
      <c r="M69" s="16" t="str">
        <f>CONCATENATE("update participantes set correo=",C69," where id=",A69,";")</f>
        <v>update participantes set correo='israel.centenorea' where id=1068;</v>
      </c>
    </row>
    <row r="70" spans="1:13" ht="130.5" x14ac:dyDescent="0.35">
      <c r="A70" s="16">
        <v>1069</v>
      </c>
      <c r="B70" s="18" t="s">
        <v>1754</v>
      </c>
      <c r="C70" s="16" t="str">
        <f>CONCATENATE("'",Alumnos!E19,"'")</f>
        <v>'alanenrique.vazquezgarcia'</v>
      </c>
      <c r="D70" s="16" t="str">
        <f>CONCATENATE(Alumnos!F19,"'")</f>
        <v>'112166'</v>
      </c>
      <c r="E70" s="16" t="s">
        <v>1755</v>
      </c>
      <c r="F70" s="16" t="str">
        <f>CONCATENATE("'",Alumnos!H19,"'")</f>
        <v>'VAZQUEZ GARCIA ALAN ENRIQUE'</v>
      </c>
      <c r="G70" s="16" t="str">
        <f>CONCATENATE("'",Alumnos!I19,"'")</f>
        <v>'INGENIERÍA AUTOMOTRIZ'</v>
      </c>
      <c r="H70" s="16" t="str">
        <f>CONCATENATE("'",Alumnos!J19,"'")</f>
        <v>'2do'</v>
      </c>
      <c r="I70" s="16" t="str">
        <f>UPPER(CONCATENATE("'",Alumnos!K19,"'"))</f>
        <v>'MASCULINO'</v>
      </c>
      <c r="J70" s="16" t="str">
        <f>UPPER(CONCATENATE("'",Alumnos!L19,"'"))</f>
        <v>'ACTIVO'</v>
      </c>
      <c r="K70" s="16" t="str">
        <f>CONCATENATE(A70,",",B70,",",C70,",",D70,",'",E70,",",F70,",",G70,",",H70,",",UPPER(I70),",",UPPER(J70),",'',0,0,'','ALUMNO'")</f>
        <v>1069,'LICENCIATURA','alanenrique.vazquezgarcia','112166','TOMAR DEL SND','VAZQUEZ GARCIA ALAN ENRIQUE','INGENIERÍA AUTOMOTRIZ','2do','MASCULINO','ACTIVO','',0,0,'','ALUMNO'</v>
      </c>
      <c r="L70" s="16" t="str">
        <f>CONCATENATE($K$1,K70,");")</f>
        <v>INSERT INTO participantes (id,nivel,correo,matricula,clave,nombre,carrera,grado,sexo,situacion,evaluados,num_evaluados,total_evaluaciones,ultimo_acceso,nivel_acceso) VALUES (1069,'LICENCIATURA','alanenrique.vazquezgarcia','112166','TOMAR DEL SND','VAZQUEZ GARCIA ALAN ENRIQUE','INGENIERÍA AUTOMOTRIZ','2do','MASCULINO','ACTIVO','',0,0,'','ALUMNO');</v>
      </c>
      <c r="M70" s="16" t="str">
        <f>CONCATENATE("update participantes set correo=",C70," where id=",A70,";")</f>
        <v>update participantes set correo='alanenrique.vazquezgarcia' where id=1069;</v>
      </c>
    </row>
    <row r="71" spans="1:13" ht="116" x14ac:dyDescent="0.35">
      <c r="A71" s="16">
        <v>1070</v>
      </c>
      <c r="B71" s="18" t="s">
        <v>1754</v>
      </c>
      <c r="C71" s="16" t="str">
        <f>CONCATENATE("'",Alumnos!E485,"'")</f>
        <v>'naomidanai.ramirezhidalgo'</v>
      </c>
      <c r="D71" s="16" t="str">
        <f>CONCATENATE(Alumnos!F485,"'")</f>
        <v>'112167'</v>
      </c>
      <c r="E71" s="16" t="s">
        <v>1755</v>
      </c>
      <c r="F71" s="16" t="str">
        <f>CONCATENATE("'",Alumnos!H485,"'")</f>
        <v>'RAMIREZ HIDALGO NAOMI DANAI'</v>
      </c>
      <c r="G71" s="16" t="str">
        <f>CONCATENATE("'",Alumnos!I485,"'")</f>
        <v>'ARQUITECTURA'</v>
      </c>
      <c r="H71" s="16" t="str">
        <f>CONCATENATE("'",Alumnos!J485,"'")</f>
        <v>'2do'</v>
      </c>
      <c r="I71" s="16" t="str">
        <f>UPPER(CONCATENATE("'",Alumnos!K485,"'"))</f>
        <v>'FEMENINO'</v>
      </c>
      <c r="J71" s="16" t="str">
        <f>UPPER(CONCATENATE("'",Alumnos!L485,"'"))</f>
        <v>'ACTIVO'</v>
      </c>
      <c r="K71" s="16" t="str">
        <f>CONCATENATE(A71,",",B71,",",C71,",",D71,",'",E71,",",F71,",",G71,",",H71,",",UPPER(I71),",",UPPER(J71),",'',0,0,'','ALUMNO'")</f>
        <v>1070,'LICENCIATURA','naomidanai.ramirezhidalgo','112167','TOMAR DEL SND','RAMIREZ HIDALGO NAOMI DANAI','ARQUITECTURA','2do','FEMENINO','ACTIVO','',0,0,'','ALUMNO'</v>
      </c>
      <c r="L71" s="16" t="str">
        <f>CONCATENATE($K$1,K71,");")</f>
        <v>INSERT INTO participantes (id,nivel,correo,matricula,clave,nombre,carrera,grado,sexo,situacion,evaluados,num_evaluados,total_evaluaciones,ultimo_acceso,nivel_acceso) VALUES (1070,'LICENCIATURA','naomidanai.ramirezhidalgo','112167','TOMAR DEL SND','RAMIREZ HIDALGO NAOMI DANAI','ARQUITECTURA','2do','FEMENINO','ACTIVO','',0,0,'','ALUMNO');</v>
      </c>
      <c r="M71" s="16" t="str">
        <f>CONCATENATE("update participantes set correo=",C71," where id=",A71,";")</f>
        <v>update participantes set correo='naomidanai.ramirezhidalgo' where id=1070;</v>
      </c>
    </row>
    <row r="72" spans="1:13" ht="116" x14ac:dyDescent="0.35">
      <c r="A72" s="16">
        <v>1071</v>
      </c>
      <c r="B72" s="18" t="s">
        <v>1754</v>
      </c>
      <c r="C72" s="16" t="str">
        <f>CONCATENATE("'",Alumnos!E86,"'")</f>
        <v>'angelyael.cardenasruiz'</v>
      </c>
      <c r="D72" s="16" t="str">
        <f>CONCATENATE(Alumnos!F86,"'")</f>
        <v>'112168'</v>
      </c>
      <c r="E72" s="16" t="s">
        <v>1755</v>
      </c>
      <c r="F72" s="16" t="str">
        <f>CONCATENATE("'",Alumnos!H86,"'")</f>
        <v>'CARDENAS RUIZ ANGEL YAEL'</v>
      </c>
      <c r="G72" s="16" t="str">
        <f>CONCATENATE("'",Alumnos!I86,"'")</f>
        <v>'ARQUITECTURA'</v>
      </c>
      <c r="H72" s="16" t="str">
        <f>CONCATENATE("'",Alumnos!J86,"'")</f>
        <v>'2do'</v>
      </c>
      <c r="I72" s="16" t="str">
        <f>UPPER(CONCATENATE("'",Alumnos!K86,"'"))</f>
        <v>'MASCULINO'</v>
      </c>
      <c r="J72" s="16" t="str">
        <f>UPPER(CONCATENATE("'",Alumnos!L86,"'"))</f>
        <v>'ACTIVO'</v>
      </c>
      <c r="K72" s="16" t="str">
        <f>CONCATENATE(A72,",",B72,",",C72,",",D72,",'",E72,",",F72,",",G72,",",H72,",",UPPER(I72),",",UPPER(J72),",'',0,0,'','ALUMNO'")</f>
        <v>1071,'LICENCIATURA','angelyael.cardenasruiz','112168','TOMAR DEL SND','CARDENAS RUIZ ANGEL YAEL','ARQUITECTURA','2do','MASCULINO','ACTIVO','',0,0,'','ALUMNO'</v>
      </c>
      <c r="L72" s="16" t="str">
        <f>CONCATENATE($K$1,K72,");")</f>
        <v>INSERT INTO participantes (id,nivel,correo,matricula,clave,nombre,carrera,grado,sexo,situacion,evaluados,num_evaluados,total_evaluaciones,ultimo_acceso,nivel_acceso) VALUES (1071,'LICENCIATURA','angelyael.cardenasruiz','112168','TOMAR DEL SND','CARDENAS RUIZ ANGEL YAEL','ARQUITECTURA','2do','MASCULINO','ACTIVO','',0,0,'','ALUMNO');</v>
      </c>
      <c r="M72" s="16" t="str">
        <f>CONCATENATE("update participantes set correo=",C72," where id=",A72,";")</f>
        <v>update participantes set correo='angelyael.cardenasruiz' where id=1071;</v>
      </c>
    </row>
    <row r="73" spans="1:13" ht="116" x14ac:dyDescent="0.35">
      <c r="A73" s="16">
        <v>1072</v>
      </c>
      <c r="B73" s="18" t="s">
        <v>1754</v>
      </c>
      <c r="C73" s="16" t="str">
        <f>CONCATENATE("'",Alumnos!E42,"'")</f>
        <v>'alvarodaniel.saavedraramirez'</v>
      </c>
      <c r="D73" s="16" t="str">
        <f>CONCATENATE(Alumnos!F42,"'")</f>
        <v>'112169'</v>
      </c>
      <c r="E73" s="16" t="s">
        <v>1755</v>
      </c>
      <c r="F73" s="16" t="str">
        <f>CONCATENATE("'",Alumnos!H42,"'")</f>
        <v>'SAAVEDRA RAMIREZ ALVARO DANIEL'</v>
      </c>
      <c r="G73" s="16" t="str">
        <f>CONCATENATE("'",Alumnos!I42,"'")</f>
        <v>'ARQUITECTURA'</v>
      </c>
      <c r="H73" s="16" t="str">
        <f>CONCATENATE("'",Alumnos!J42,"'")</f>
        <v>'2do'</v>
      </c>
      <c r="I73" s="16" t="str">
        <f>UPPER(CONCATENATE("'",Alumnos!K42,"'"))</f>
        <v>'MASCULINO'</v>
      </c>
      <c r="J73" s="16" t="str">
        <f>UPPER(CONCATENATE("'",Alumnos!L42,"'"))</f>
        <v>'ACTIVO'</v>
      </c>
      <c r="K73" s="16" t="str">
        <f>CONCATENATE(A73,",",B73,",",C73,",",D73,",'",E73,",",F73,",",G73,",",H73,",",UPPER(I73),",",UPPER(J73),",'',0,0,'','ALUMNO'")</f>
        <v>1072,'LICENCIATURA','alvarodaniel.saavedraramirez','112169','TOMAR DEL SND','SAAVEDRA RAMIREZ ALVARO DANIEL','ARQUITECTURA','2do','MASCULINO','ACTIVO','',0,0,'','ALUMNO'</v>
      </c>
      <c r="L73" s="16" t="str">
        <f>CONCATENATE($K$1,K73,");")</f>
        <v>INSERT INTO participantes (id,nivel,correo,matricula,clave,nombre,carrera,grado,sexo,situacion,evaluados,num_evaluados,total_evaluaciones,ultimo_acceso,nivel_acceso) VALUES (1072,'LICENCIATURA','alvarodaniel.saavedraramirez','112169','TOMAR DEL SND','SAAVEDRA RAMIREZ ALVARO DANIEL','ARQUITECTURA','2do','MASCULINO','ACTIVO','',0,0,'','ALUMNO');</v>
      </c>
      <c r="M73" s="16" t="str">
        <f>CONCATENATE("update participantes set correo=",C73," where id=",A73,";")</f>
        <v>update participantes set correo='alvarodaniel.saavedraramirez' where id=1072;</v>
      </c>
    </row>
    <row r="74" spans="1:13" ht="116" x14ac:dyDescent="0.35">
      <c r="A74" s="16">
        <v>1073</v>
      </c>
      <c r="B74" s="18" t="s">
        <v>1754</v>
      </c>
      <c r="C74" s="16" t="str">
        <f>CONCATENATE("'",Alumnos!E407,"'")</f>
        <v>'luisalberto.silvasotelo'</v>
      </c>
      <c r="D74" s="16" t="str">
        <f>CONCATENATE(Alumnos!F407,"'")</f>
        <v>'112170'</v>
      </c>
      <c r="E74" s="16" t="s">
        <v>1755</v>
      </c>
      <c r="F74" s="16" t="str">
        <f>CONCATENATE("'",Alumnos!H407,"'")</f>
        <v>'SILVA SOTELO LUIS ALBERTO'</v>
      </c>
      <c r="G74" s="16" t="str">
        <f>CONCATENATE("'",Alumnos!I407,"'")</f>
        <v>'PSICOLOGIA'</v>
      </c>
      <c r="H74" s="16" t="str">
        <f>CONCATENATE("'",Alumnos!J407,"'")</f>
        <v>'2do'</v>
      </c>
      <c r="I74" s="16" t="str">
        <f>UPPER(CONCATENATE("'",Alumnos!K407,"'"))</f>
        <v>'MASCULINO'</v>
      </c>
      <c r="J74" s="16" t="str">
        <f>UPPER(CONCATENATE("'",Alumnos!L407,"'"))</f>
        <v>'ACTIVO'</v>
      </c>
      <c r="K74" s="16" t="str">
        <f>CONCATENATE(A74,",",B74,",",C74,",",D74,",'",E74,",",F74,",",G74,",",H74,",",UPPER(I74),",",UPPER(J74),",'',0,0,'','ALUMNO'")</f>
        <v>1073,'LICENCIATURA','luisalberto.silvasotelo','112170','TOMAR DEL SND','SILVA SOTELO LUIS ALBERTO','PSICOLOGIA','2do','MASCULINO','ACTIVO','',0,0,'','ALUMNO'</v>
      </c>
      <c r="L74" s="16" t="str">
        <f>CONCATENATE($K$1,K74,");")</f>
        <v>INSERT INTO participantes (id,nivel,correo,matricula,clave,nombre,carrera,grado,sexo,situacion,evaluados,num_evaluados,total_evaluaciones,ultimo_acceso,nivel_acceso) VALUES (1073,'LICENCIATURA','luisalberto.silvasotelo','112170','TOMAR DEL SND','SILVA SOTELO LUIS ALBERTO','PSICOLOGIA','2do','MASCULINO','ACTIVO','',0,0,'','ALUMNO');</v>
      </c>
      <c r="M74" s="16" t="str">
        <f>CONCATENATE("update participantes set correo=",C74," where id=",A74,";")</f>
        <v>update participantes set correo='luisalberto.silvasotelo' where id=1073;</v>
      </c>
    </row>
    <row r="75" spans="1:13" ht="116" x14ac:dyDescent="0.35">
      <c r="A75" s="16">
        <v>1074</v>
      </c>
      <c r="B75" s="18" t="s">
        <v>1754</v>
      </c>
      <c r="C75" s="16" t="str">
        <f>CONCATENATE("'",Alumnos!E539,"'")</f>
        <v>'regina.marronperez'</v>
      </c>
      <c r="D75" s="16" t="str">
        <f>CONCATENATE(Alumnos!F539,"'")</f>
        <v>'112171'</v>
      </c>
      <c r="E75" s="16" t="s">
        <v>1755</v>
      </c>
      <c r="F75" s="16" t="str">
        <f>CONCATENATE("'",Alumnos!H539,"'")</f>
        <v>'MARRON PEREZ REGINA'</v>
      </c>
      <c r="G75" s="16" t="str">
        <f>CONCATENATE("'",Alumnos!I539,"'")</f>
        <v>'PSICOLOGIA'</v>
      </c>
      <c r="H75" s="16" t="str">
        <f>CONCATENATE("'",Alumnos!J539,"'")</f>
        <v>'2do'</v>
      </c>
      <c r="I75" s="16" t="str">
        <f>UPPER(CONCATENATE("'",Alumnos!K539,"'"))</f>
        <v>'FEMENINO'</v>
      </c>
      <c r="J75" s="16" t="str">
        <f>UPPER(CONCATENATE("'",Alumnos!L539,"'"))</f>
        <v>'ACTIVO'</v>
      </c>
      <c r="K75" s="16" t="str">
        <f>CONCATENATE(A75,",",B75,",",C75,",",D75,",'",E75,",",F75,",",G75,",",H75,",",UPPER(I75),",",UPPER(J75),",'',0,0,'','ALUMNO'")</f>
        <v>1074,'LICENCIATURA','regina.marronperez','112171','TOMAR DEL SND','MARRON PEREZ REGINA','PSICOLOGIA','2do','FEMENINO','ACTIVO','',0,0,'','ALUMNO'</v>
      </c>
      <c r="L75" s="16" t="str">
        <f>CONCATENATE($K$1,K75,");")</f>
        <v>INSERT INTO participantes (id,nivel,correo,matricula,clave,nombre,carrera,grado,sexo,situacion,evaluados,num_evaluados,total_evaluaciones,ultimo_acceso,nivel_acceso) VALUES (1074,'LICENCIATURA','regina.marronperez','112171','TOMAR DEL SND','MARRON PEREZ REGINA','PSICOLOGIA','2do','FEMENINO','ACTIVO','',0,0,'','ALUMNO');</v>
      </c>
      <c r="M75" s="16" t="str">
        <f>CONCATENATE("update participantes set correo=",C75," where id=",A75,";")</f>
        <v>update participantes set correo='regina.marronperez' where id=1074;</v>
      </c>
    </row>
    <row r="76" spans="1:13" ht="116" x14ac:dyDescent="0.35">
      <c r="A76" s="16">
        <v>1075</v>
      </c>
      <c r="B76" s="18" t="s">
        <v>1754</v>
      </c>
      <c r="C76" s="16" t="str">
        <f>CONCATENATE("'",Alumnos!E379,"'")</f>
        <v>'karolguadalupe.sandovalvega'</v>
      </c>
      <c r="D76" s="16" t="str">
        <f>CONCATENATE(Alumnos!F379,"'")</f>
        <v>'112172'</v>
      </c>
      <c r="E76" s="16" t="s">
        <v>1755</v>
      </c>
      <c r="F76" s="16" t="str">
        <f>CONCATENATE("'",Alumnos!H379,"'")</f>
        <v>'SANDOVAL VEGA KAROL GUADALUPE'</v>
      </c>
      <c r="G76" s="16" t="str">
        <f>CONCATENATE("'",Alumnos!I379,"'")</f>
        <v>'PSICOLOGIA'</v>
      </c>
      <c r="H76" s="16" t="str">
        <f>CONCATENATE("'",Alumnos!J379,"'")</f>
        <v>'2do'</v>
      </c>
      <c r="I76" s="16" t="str">
        <f>UPPER(CONCATENATE("'",Alumnos!K379,"'"))</f>
        <v>'FEMENINO'</v>
      </c>
      <c r="J76" s="16" t="str">
        <f>UPPER(CONCATENATE("'",Alumnos!L379,"'"))</f>
        <v>'ACTIVO'</v>
      </c>
      <c r="K76" s="16" t="str">
        <f>CONCATENATE(A76,",",B76,",",C76,",",D76,",'",E76,",",F76,",",G76,",",H76,",",UPPER(I76),",",UPPER(J76),",'',0,0,'','ALUMNO'")</f>
        <v>1075,'LICENCIATURA','karolguadalupe.sandovalvega','112172','TOMAR DEL SND','SANDOVAL VEGA KAROL GUADALUPE','PSICOLOGIA','2do','FEMENINO','ACTIVO','',0,0,'','ALUMNO'</v>
      </c>
      <c r="L76" s="16" t="str">
        <f>CONCATENATE($K$1,K76,");")</f>
        <v>INSERT INTO participantes (id,nivel,correo,matricula,clave,nombre,carrera,grado,sexo,situacion,evaluados,num_evaluados,total_evaluaciones,ultimo_acceso,nivel_acceso) VALUES (1075,'LICENCIATURA','karolguadalupe.sandovalvega','112172','TOMAR DEL SND','SANDOVAL VEGA KAROL GUADALUPE','PSICOLOGIA','2do','FEMENINO','ACTIVO','',0,0,'','ALUMNO');</v>
      </c>
      <c r="M76" s="16" t="str">
        <f>CONCATENATE("update participantes set correo=",C76," where id=",A76,";")</f>
        <v>update participantes set correo='karolguadalupe.sandovalvega' where id=1075;</v>
      </c>
    </row>
    <row r="77" spans="1:13" ht="116" x14ac:dyDescent="0.35">
      <c r="A77" s="16">
        <v>1076</v>
      </c>
      <c r="B77" s="18" t="s">
        <v>1754</v>
      </c>
      <c r="C77" s="16" t="str">
        <f>CONCATENATE("'",Alumnos!E59,"'")</f>
        <v>'andrea.perezortiz'</v>
      </c>
      <c r="D77" s="16" t="str">
        <f>CONCATENATE(Alumnos!F59,"'")</f>
        <v>'112173'</v>
      </c>
      <c r="E77" s="16" t="s">
        <v>1755</v>
      </c>
      <c r="F77" s="16" t="str">
        <f>CONCATENATE("'",Alumnos!H59,"'")</f>
        <v>'PEREZ ORTIZ ANDREA'</v>
      </c>
      <c r="G77" s="16" t="str">
        <f>CONCATENATE("'",Alumnos!I59,"'")</f>
        <v>'PSICOLOGIA'</v>
      </c>
      <c r="H77" s="16" t="str">
        <f>CONCATENATE("'",Alumnos!J59,"'")</f>
        <v>'2do'</v>
      </c>
      <c r="I77" s="16" t="str">
        <f>UPPER(CONCATENATE("'",Alumnos!K59,"'"))</f>
        <v>'FEMENINO'</v>
      </c>
      <c r="J77" s="16" t="str">
        <f>UPPER(CONCATENATE("'",Alumnos!L59,"'"))</f>
        <v>'ACTIVO'</v>
      </c>
      <c r="K77" s="16" t="str">
        <f>CONCATENATE(A77,",",B77,",",C77,",",D77,",'",E77,",",F77,",",G77,",",H77,",",UPPER(I77),",",UPPER(J77),",'',0,0,'','ALUMNO'")</f>
        <v>1076,'LICENCIATURA','andrea.perezortiz','112173','TOMAR DEL SND','PEREZ ORTIZ ANDREA','PSICOLOGIA','2do','FEMENINO','ACTIVO','',0,0,'','ALUMNO'</v>
      </c>
      <c r="L77" s="16" t="str">
        <f>CONCATENATE($K$1,K77,");")</f>
        <v>INSERT INTO participantes (id,nivel,correo,matricula,clave,nombre,carrera,grado,sexo,situacion,evaluados,num_evaluados,total_evaluaciones,ultimo_acceso,nivel_acceso) VALUES (1076,'LICENCIATURA','andrea.perezortiz','112173','TOMAR DEL SND','PEREZ ORTIZ ANDREA','PSICOLOGIA','2do','FEMENINO','ACTIVO','',0,0,'','ALUMNO');</v>
      </c>
      <c r="M77" s="16" t="str">
        <f>CONCATENATE("update participantes set correo=",C77," where id=",A77,";")</f>
        <v>update participantes set correo='andrea.perezortiz' where id=1076;</v>
      </c>
    </row>
    <row r="78" spans="1:13" ht="130.5" x14ac:dyDescent="0.35">
      <c r="A78" s="16">
        <v>1077</v>
      </c>
      <c r="B78" s="18" t="s">
        <v>1754</v>
      </c>
      <c r="C78" s="16" t="str">
        <f>CONCATENATE("'",Alumnos!E455,"'")</f>
        <v>'marianoadonai.marquezdelgadillo'</v>
      </c>
      <c r="D78" s="16" t="str">
        <f>CONCATENATE(Alumnos!F455,"'")</f>
        <v>'112174'</v>
      </c>
      <c r="E78" s="16" t="s">
        <v>1755</v>
      </c>
      <c r="F78" s="16" t="str">
        <f>CONCATENATE("'",Alumnos!H455,"'")</f>
        <v>'MARQUEZ DELGADILLO MARIANO ADONAI'</v>
      </c>
      <c r="G78" s="16" t="str">
        <f>CONCATENATE("'",Alumnos!I455,"'")</f>
        <v>'INGENIERÍA AUTOMOTRIZ'</v>
      </c>
      <c r="H78" s="16" t="str">
        <f>CONCATENATE("'",Alumnos!J455,"'")</f>
        <v>'2do'</v>
      </c>
      <c r="I78" s="16" t="str">
        <f>UPPER(CONCATENATE("'",Alumnos!K455,"'"))</f>
        <v>'MASCULINO'</v>
      </c>
      <c r="J78" s="16" t="str">
        <f>UPPER(CONCATENATE("'",Alumnos!L455,"'"))</f>
        <v>'ACTIVO'</v>
      </c>
      <c r="K78" s="16" t="str">
        <f>CONCATENATE(A78,",",B78,",",C78,",",D78,",'",E78,",",F78,",",G78,",",H78,",",UPPER(I78),",",UPPER(J78),",'',0,0,'','ALUMNO'")</f>
        <v>1077,'LICENCIATURA','marianoadonai.marquezdelgadillo','112174','TOMAR DEL SND','MARQUEZ DELGADILLO MARIANO ADONAI','INGENIERÍA AUTOMOTRIZ','2do','MASCULINO','ACTIVO','',0,0,'','ALUMNO'</v>
      </c>
      <c r="L78" s="16" t="str">
        <f>CONCATENATE($K$1,K78,");")</f>
        <v>INSERT INTO participantes (id,nivel,correo,matricula,clave,nombre,carrera,grado,sexo,situacion,evaluados,num_evaluados,total_evaluaciones,ultimo_acceso,nivel_acceso) VALUES (1077,'LICENCIATURA','marianoadonai.marquezdelgadillo','112174','TOMAR DEL SND','MARQUEZ DELGADILLO MARIANO ADONAI','INGENIERÍA AUTOMOTRIZ','2do','MASCULINO','ACTIVO','',0,0,'','ALUMNO');</v>
      </c>
      <c r="M78" s="16" t="str">
        <f>CONCATENATE("update participantes set correo=",C78," where id=",A78,";")</f>
        <v>update participantes set correo='marianoadonai.marquezdelgadillo' where id=1077;</v>
      </c>
    </row>
    <row r="79" spans="1:13" ht="130.5" x14ac:dyDescent="0.35">
      <c r="A79" s="16">
        <v>1078</v>
      </c>
      <c r="B79" s="18" t="s">
        <v>1754</v>
      </c>
      <c r="C79" s="16" t="str">
        <f>CONCATENATE("'",Alumnos!E77,"'")</f>
        <v>'angeldaniel.gutierrezdelacruz'</v>
      </c>
      <c r="D79" s="16" t="str">
        <f>CONCATENATE(Alumnos!F77,"'")</f>
        <v>'112175'</v>
      </c>
      <c r="E79" s="16" t="s">
        <v>1755</v>
      </c>
      <c r="F79" s="16" t="str">
        <f>CONCATENATE("'",Alumnos!H77,"'")</f>
        <v>'GUTIERREZ DE LA CRUZ ANGEL DANIEL'</v>
      </c>
      <c r="G79" s="16" t="str">
        <f>CONCATENATE("'",Alumnos!I77,"'")</f>
        <v>'INGENIERÍA AUTOMOTRIZ'</v>
      </c>
      <c r="H79" s="16" t="str">
        <f>CONCATENATE("'",Alumnos!J77,"'")</f>
        <v>'2do'</v>
      </c>
      <c r="I79" s="16" t="str">
        <f>UPPER(CONCATENATE("'",Alumnos!K77,"'"))</f>
        <v>'MASCULINO'</v>
      </c>
      <c r="J79" s="16" t="str">
        <f>UPPER(CONCATENATE("'",Alumnos!L77,"'"))</f>
        <v>'ACTIVO'</v>
      </c>
      <c r="K79" s="16" t="str">
        <f>CONCATENATE(A79,",",B79,",",C79,",",D79,",'",E79,",",F79,",",G79,",",H79,",",UPPER(I79),",",UPPER(J79),",'',0,0,'','ALUMNO'")</f>
        <v>1078,'LICENCIATURA','angeldaniel.gutierrezdelacruz','112175','TOMAR DEL SND','GUTIERREZ DE LA CRUZ ANGEL DANIEL','INGENIERÍA AUTOMOTRIZ','2do','MASCULINO','ACTIVO','',0,0,'','ALUMNO'</v>
      </c>
      <c r="L79" s="16" t="str">
        <f>CONCATENATE($K$1,K79,");")</f>
        <v>INSERT INTO participantes (id,nivel,correo,matricula,clave,nombre,carrera,grado,sexo,situacion,evaluados,num_evaluados,total_evaluaciones,ultimo_acceso,nivel_acceso) VALUES (1078,'LICENCIATURA','angeldaniel.gutierrezdelacruz','112175','TOMAR DEL SND','GUTIERREZ DE LA CRUZ ANGEL DANIEL','INGENIERÍA AUTOMOTRIZ','2do','MASCULINO','ACTIVO','',0,0,'','ALUMNO');</v>
      </c>
      <c r="M79" s="16" t="str">
        <f>CONCATENATE("update participantes set correo=",C79," where id=",A79,";")</f>
        <v>update participantes set correo='angeldaniel.gutierrezdelacruz' where id=1078;</v>
      </c>
    </row>
    <row r="80" spans="1:13" ht="130.5" x14ac:dyDescent="0.35">
      <c r="A80" s="16">
        <v>1079</v>
      </c>
      <c r="B80" s="18" t="s">
        <v>1754</v>
      </c>
      <c r="C80" s="16" t="str">
        <f>CONCATENATE("'",Alumnos!E555,"'")</f>
        <v>'rodrigo.romoguadarrama'</v>
      </c>
      <c r="D80" s="16" t="str">
        <f>CONCATENATE(Alumnos!F555,"'")</f>
        <v>'112176'</v>
      </c>
      <c r="E80" s="16" t="s">
        <v>1755</v>
      </c>
      <c r="F80" s="16" t="str">
        <f>CONCATENATE("'",Alumnos!H555,"'")</f>
        <v>'ROMO GUADARRAMA RODRIGO'</v>
      </c>
      <c r="G80" s="16" t="str">
        <f>CONCATENATE("'",Alumnos!I555,"'")</f>
        <v>'INGENIERIA AEROESPACIAL'</v>
      </c>
      <c r="H80" s="16" t="str">
        <f>CONCATENATE("'",Alumnos!J555,"'")</f>
        <v>'2do'</v>
      </c>
      <c r="I80" s="16" t="str">
        <f>UPPER(CONCATENATE("'",Alumnos!K555,"'"))</f>
        <v>'MASCULINO'</v>
      </c>
      <c r="J80" s="16" t="str">
        <f>UPPER(CONCATENATE("'",Alumnos!L555,"'"))</f>
        <v>'ACTIVO'</v>
      </c>
      <c r="K80" s="16" t="str">
        <f>CONCATENATE(A80,",",B80,",",C80,",",D80,",'",E80,",",F80,",",G80,",",H80,",",UPPER(I80),",",UPPER(J80),",'',0,0,'','ALUMNO'")</f>
        <v>1079,'LICENCIATURA','rodrigo.romoguadarrama','112176','TOMAR DEL SND','ROMO GUADARRAMA RODRIGO','INGENIERIA AEROESPACIAL','2do','MASCULINO','ACTIVO','',0,0,'','ALUMNO'</v>
      </c>
      <c r="L80" s="16" t="str">
        <f>CONCATENATE($K$1,K80,");")</f>
        <v>INSERT INTO participantes (id,nivel,correo,matricula,clave,nombre,carrera,grado,sexo,situacion,evaluados,num_evaluados,total_evaluaciones,ultimo_acceso,nivel_acceso) VALUES (1079,'LICENCIATURA','rodrigo.romoguadarrama','112176','TOMAR DEL SND','ROMO GUADARRAMA RODRIGO','INGENIERIA AEROESPACIAL','2do','MASCULINO','ACTIVO','',0,0,'','ALUMNO');</v>
      </c>
      <c r="M80" s="16" t="str">
        <f>CONCATENATE("update participantes set correo=",C80," where id=",A80,";")</f>
        <v>update participantes set correo='rodrigo.romoguadarrama' where id=1079;</v>
      </c>
    </row>
    <row r="81" spans="1:13" ht="130.5" x14ac:dyDescent="0.35">
      <c r="A81" s="16">
        <v>1080</v>
      </c>
      <c r="B81" s="18" t="s">
        <v>1754</v>
      </c>
      <c r="C81" s="16" t="str">
        <f>CONCATENATE("'",Alumnos!E95,"'")</f>
        <v>'arturoalexei.serranoguevara'</v>
      </c>
      <c r="D81" s="16" t="str">
        <f>CONCATENATE(Alumnos!F95,"'")</f>
        <v>'112177'</v>
      </c>
      <c r="E81" s="16" t="s">
        <v>1755</v>
      </c>
      <c r="F81" s="16" t="str">
        <f>CONCATENATE("'",Alumnos!H95,"'")</f>
        <v>'SERRANO GUEVARA ARTURO ALEXEI'</v>
      </c>
      <c r="G81" s="16" t="str">
        <f>CONCATENATE("'",Alumnos!I95,"'")</f>
        <v>'INGENIERIA AEROESPACIAL'</v>
      </c>
      <c r="H81" s="16" t="str">
        <f>CONCATENATE("'",Alumnos!J95,"'")</f>
        <v>'2do'</v>
      </c>
      <c r="I81" s="16" t="str">
        <f>UPPER(CONCATENATE("'",Alumnos!K95,"'"))</f>
        <v>'MASCULINO'</v>
      </c>
      <c r="J81" s="16" t="str">
        <f>UPPER(CONCATENATE("'",Alumnos!L95,"'"))</f>
        <v>'ACTIVO'</v>
      </c>
      <c r="K81" s="16" t="str">
        <f>CONCATENATE(A81,",",B81,",",C81,",",D81,",'",E81,",",F81,",",G81,",",H81,",",UPPER(I81),",",UPPER(J81),",'',0,0,'','ALUMNO'")</f>
        <v>1080,'LICENCIATURA','arturoalexei.serranoguevara','112177','TOMAR DEL SND','SERRANO GUEVARA ARTURO ALEXEI','INGENIERIA AEROESPACIAL','2do','MASCULINO','ACTIVO','',0,0,'','ALUMNO'</v>
      </c>
      <c r="L81" s="16" t="str">
        <f>CONCATENATE($K$1,K81,");")</f>
        <v>INSERT INTO participantes (id,nivel,correo,matricula,clave,nombre,carrera,grado,sexo,situacion,evaluados,num_evaluados,total_evaluaciones,ultimo_acceso,nivel_acceso) VALUES (1080,'LICENCIATURA','arturoalexei.serranoguevara','112177','TOMAR DEL SND','SERRANO GUEVARA ARTURO ALEXEI','INGENIERIA AEROESPACIAL','2do','MASCULINO','ACTIVO','',0,0,'','ALUMNO');</v>
      </c>
      <c r="M81" s="16" t="str">
        <f>CONCATENATE("update participantes set correo=",C81," where id=",A81,";")</f>
        <v>update participantes set correo='arturoalexei.serranoguevara' where id=1080;</v>
      </c>
    </row>
    <row r="82" spans="1:13" ht="130.5" x14ac:dyDescent="0.35">
      <c r="A82" s="16">
        <v>1081</v>
      </c>
      <c r="B82" s="18" t="s">
        <v>1754</v>
      </c>
      <c r="C82" s="16" t="str">
        <f>CONCATENATE("'",Alumnos!E427,"'")</f>
        <v>'manuelamaria.rojassanchez'</v>
      </c>
      <c r="D82" s="16" t="str">
        <f>CONCATENATE(Alumnos!F427,"'")</f>
        <v>'112178'</v>
      </c>
      <c r="E82" s="16" t="s">
        <v>1755</v>
      </c>
      <c r="F82" s="16" t="str">
        <f>CONCATENATE("'",Alumnos!H427,"'")</f>
        <v>'ROJAS SANCHEZ MANUELA MARIA'</v>
      </c>
      <c r="G82" s="16" t="str">
        <f>CONCATENATE("'",Alumnos!I427,"'")</f>
        <v>'INGENIERIA AEROESPACIAL'</v>
      </c>
      <c r="H82" s="16" t="str">
        <f>CONCATENATE("'",Alumnos!J427,"'")</f>
        <v>'2do'</v>
      </c>
      <c r="I82" s="16" t="str">
        <f>UPPER(CONCATENATE("'",Alumnos!K427,"'"))</f>
        <v>'FEMENINO'</v>
      </c>
      <c r="J82" s="16" t="str">
        <f>UPPER(CONCATENATE("'",Alumnos!L427,"'"))</f>
        <v>'ACTIVO'</v>
      </c>
      <c r="K82" s="16" t="str">
        <f>CONCATENATE(A82,",",B82,",",C82,",",D82,",'",E82,",",F82,",",G82,",",H82,",",UPPER(I82),",",UPPER(J82),",'',0,0,'','ALUMNO'")</f>
        <v>1081,'LICENCIATURA','manuelamaria.rojassanchez','112178','TOMAR DEL SND','ROJAS SANCHEZ MANUELA MARIA','INGENIERIA AEROESPACIAL','2do','FEMENINO','ACTIVO','',0,0,'','ALUMNO'</v>
      </c>
      <c r="L82" s="16" t="str">
        <f>CONCATENATE($K$1,K82,");")</f>
        <v>INSERT INTO participantes (id,nivel,correo,matricula,clave,nombre,carrera,grado,sexo,situacion,evaluados,num_evaluados,total_evaluaciones,ultimo_acceso,nivel_acceso) VALUES (1081,'LICENCIATURA','manuelamaria.rojassanchez','112178','TOMAR DEL SND','ROJAS SANCHEZ MANUELA MARIA','INGENIERIA AEROESPACIAL','2do','FEMENINO','ACTIVO','',0,0,'','ALUMNO');</v>
      </c>
      <c r="M82" s="16" t="str">
        <f>CONCATENATE("update participantes set correo=",C82," where id=",A82,";")</f>
        <v>update participantes set correo='manuelamaria.rojassanchez' where id=1081;</v>
      </c>
    </row>
    <row r="83" spans="1:13" ht="130.5" x14ac:dyDescent="0.35">
      <c r="A83" s="16">
        <v>1082</v>
      </c>
      <c r="B83" s="18" t="s">
        <v>1754</v>
      </c>
      <c r="C83" s="16" t="str">
        <f>CONCATENATE("'",Alumnos!E215,"'")</f>
        <v>'emilianosantiago.entzintapia'</v>
      </c>
      <c r="D83" s="16" t="str">
        <f>CONCATENATE(Alumnos!F215,"'")</f>
        <v>'112179'</v>
      </c>
      <c r="E83" s="16" t="s">
        <v>1755</v>
      </c>
      <c r="F83" s="16" t="str">
        <f>CONCATENATE("'",Alumnos!H215,"'")</f>
        <v>'ENTZIN TAPIA EMILIANO SANTIAGO'</v>
      </c>
      <c r="G83" s="16" t="str">
        <f>CONCATENATE("'",Alumnos!I215,"'")</f>
        <v>'INGENIERIA AEROESPACIAL'</v>
      </c>
      <c r="H83" s="16" t="str">
        <f>CONCATENATE("'",Alumnos!J215,"'")</f>
        <v>'2do'</v>
      </c>
      <c r="I83" s="16" t="str">
        <f>UPPER(CONCATENATE("'",Alumnos!K215,"'"))</f>
        <v>'MASCULINO'</v>
      </c>
      <c r="J83" s="16" t="str">
        <f>UPPER(CONCATENATE("'",Alumnos!L215,"'"))</f>
        <v>'ACTIVO'</v>
      </c>
      <c r="K83" s="16" t="str">
        <f>CONCATENATE(A83,",",B83,",",C83,",",D83,",'",E83,",",F83,",",G83,",",H83,",",UPPER(I83),",",UPPER(J83),",'',0,0,'','ALUMNO'")</f>
        <v>1082,'LICENCIATURA','emilianosantiago.entzintapia','112179','TOMAR DEL SND','ENTZIN TAPIA EMILIANO SANTIAGO','INGENIERIA AEROESPACIAL','2do','MASCULINO','ACTIVO','',0,0,'','ALUMNO'</v>
      </c>
      <c r="L83" s="16" t="str">
        <f>CONCATENATE($K$1,K83,");")</f>
        <v>INSERT INTO participantes (id,nivel,correo,matricula,clave,nombre,carrera,grado,sexo,situacion,evaluados,num_evaluados,total_evaluaciones,ultimo_acceso,nivel_acceso) VALUES (1082,'LICENCIATURA','emilianosantiago.entzintapia','112179','TOMAR DEL SND','ENTZIN TAPIA EMILIANO SANTIAGO','INGENIERIA AEROESPACIAL','2do','MASCULINO','ACTIVO','',0,0,'','ALUMNO');</v>
      </c>
      <c r="M83" s="16" t="str">
        <f>CONCATENATE("update participantes set correo=",C83," where id=",A83,";")</f>
        <v>update participantes set correo='emilianosantiago.entzintapia' where id=1082;</v>
      </c>
    </row>
    <row r="84" spans="1:13" ht="130.5" x14ac:dyDescent="0.35">
      <c r="A84" s="16">
        <v>1083</v>
      </c>
      <c r="B84" s="18" t="s">
        <v>1754</v>
      </c>
      <c r="C84" s="16" t="str">
        <f>CONCATENATE("'",Alumnos!E440,"'")</f>
        <v>'mariafernanda.rodriguezduran'</v>
      </c>
      <c r="D84" s="16" t="str">
        <f>CONCATENATE(Alumnos!F440,"'")</f>
        <v>'112180'</v>
      </c>
      <c r="E84" s="16" t="s">
        <v>1755</v>
      </c>
      <c r="F84" s="16" t="str">
        <f>CONCATENATE("'",Alumnos!H440,"'")</f>
        <v>'RODRIGUEZ DURAN MARIA FERNANDA'</v>
      </c>
      <c r="G84" s="16" t="str">
        <f>CONCATENATE("'",Alumnos!I440,"'")</f>
        <v>'INGENIERIA AEROESPACIAL'</v>
      </c>
      <c r="H84" s="16" t="str">
        <f>CONCATENATE("'",Alumnos!J440,"'")</f>
        <v>'2do'</v>
      </c>
      <c r="I84" s="16" t="str">
        <f>UPPER(CONCATENATE("'",Alumnos!K440,"'"))</f>
        <v>'FEMENINO'</v>
      </c>
      <c r="J84" s="16" t="str">
        <f>UPPER(CONCATENATE("'",Alumnos!L440,"'"))</f>
        <v>'ACTIVO'</v>
      </c>
      <c r="K84" s="16" t="str">
        <f>CONCATENATE(A84,",",B84,",",C84,",",D84,",'",E84,",",F84,",",G84,",",H84,",",UPPER(I84),",",UPPER(J84),",'',0,0,'','ALUMNO'")</f>
        <v>1083,'LICENCIATURA','mariafernanda.rodriguezduran','112180','TOMAR DEL SND','RODRIGUEZ DURAN MARIA FERNANDA','INGENIERIA AEROESPACIAL','2do','FEMENINO','ACTIVO','',0,0,'','ALUMNO'</v>
      </c>
      <c r="L84" s="16" t="str">
        <f>CONCATENATE($K$1,K84,");")</f>
        <v>INSERT INTO participantes (id,nivel,correo,matricula,clave,nombre,carrera,grado,sexo,situacion,evaluados,num_evaluados,total_evaluaciones,ultimo_acceso,nivel_acceso) VALUES (1083,'LICENCIATURA','mariafernanda.rodriguezduran','112180','TOMAR DEL SND','RODRIGUEZ DURAN MARIA FERNANDA','INGENIERIA AEROESPACIAL','2do','FEMENINO','ACTIVO','',0,0,'','ALUMNO');</v>
      </c>
      <c r="M84" s="16" t="str">
        <f>CONCATENATE("update participantes set correo=",C84," where id=",A84,";")</f>
        <v>update participantes set correo='mariafernanda.rodriguezduran' where id=1083;</v>
      </c>
    </row>
    <row r="85" spans="1:13" ht="130.5" x14ac:dyDescent="0.35">
      <c r="A85" s="16">
        <v>1084</v>
      </c>
      <c r="B85" s="18" t="s">
        <v>1754</v>
      </c>
      <c r="C85" s="16" t="str">
        <f>CONCATENATE("'",Alumnos!E546,"'")</f>
        <v>'ricardoalexander.garciarodriguez'</v>
      </c>
      <c r="D85" s="16" t="str">
        <f>CONCATENATE(Alumnos!F546,"'")</f>
        <v>'112181'</v>
      </c>
      <c r="E85" s="16" t="s">
        <v>1755</v>
      </c>
      <c r="F85" s="16" t="str">
        <f>CONCATENATE("'",Alumnos!H546,"'")</f>
        <v>'GARCIA RODRIGUEZ RICARDO ALEXANDER'</v>
      </c>
      <c r="G85" s="16" t="str">
        <f>CONCATENATE("'",Alumnos!I546,"'")</f>
        <v>'INGENIERIA AEROESPACIAL'</v>
      </c>
      <c r="H85" s="16" t="str">
        <f>CONCATENATE("'",Alumnos!J546,"'")</f>
        <v>'2do'</v>
      </c>
      <c r="I85" s="16" t="str">
        <f>UPPER(CONCATENATE("'",Alumnos!K546,"'"))</f>
        <v>'MASCULINO'</v>
      </c>
      <c r="J85" s="16" t="str">
        <f>UPPER(CONCATENATE("'",Alumnos!L546,"'"))</f>
        <v>'ACTIVO'</v>
      </c>
      <c r="K85" s="16" t="str">
        <f>CONCATENATE(A85,",",B85,",",C85,",",D85,",'",E85,",",F85,",",G85,",",H85,",",UPPER(I85),",",UPPER(J85),",'',0,0,'','ALUMNO'")</f>
        <v>1084,'LICENCIATURA','ricardoalexander.garciarodriguez','112181','TOMAR DEL SND','GARCIA RODRIGUEZ RICARDO ALEXANDER','INGENIERIA AEROESPACIAL','2do','MASCULINO','ACTIVO','',0,0,'','ALUMNO'</v>
      </c>
      <c r="L85" s="16" t="str">
        <f>CONCATENATE($K$1,K85,");")</f>
        <v>INSERT INTO participantes (id,nivel,correo,matricula,clave,nombre,carrera,grado,sexo,situacion,evaluados,num_evaluados,total_evaluaciones,ultimo_acceso,nivel_acceso) VALUES (1084,'LICENCIATURA','ricardoalexander.garciarodriguez','112181','TOMAR DEL SND','GARCIA RODRIGUEZ RICARDO ALEXANDER','INGENIERIA AEROESPACIAL','2do','MASCULINO','ACTIVO','',0,0,'','ALUMNO');</v>
      </c>
      <c r="M85" s="16" t="str">
        <f>CONCATENATE("update participantes set correo=",C85," where id=",A85,";")</f>
        <v>update participantes set correo='ricardoalexander.garciarodriguez' where id=1084;</v>
      </c>
    </row>
    <row r="86" spans="1:13" ht="116" x14ac:dyDescent="0.35">
      <c r="A86" s="16">
        <v>1085</v>
      </c>
      <c r="B86" s="18" t="s">
        <v>1754</v>
      </c>
      <c r="C86" s="16" t="str">
        <f>CONCATENATE("'",Alumnos!E28,"'")</f>
        <v>'alejandro.cejacorrales'</v>
      </c>
      <c r="D86" s="16" t="str">
        <f>CONCATENATE(Alumnos!F28,"'")</f>
        <v>'112182'</v>
      </c>
      <c r="E86" s="16" t="s">
        <v>1755</v>
      </c>
      <c r="F86" s="16" t="str">
        <f>CONCATENATE("'",Alumnos!H28,"'")</f>
        <v>'CEJA CORRALES ALEJANDRO'</v>
      </c>
      <c r="G86" s="16" t="str">
        <f>CONCATENATE("'",Alumnos!I28,"'")</f>
        <v>'ADMINISTRACION Y DIRECCION DE NEGOCIOS'</v>
      </c>
      <c r="H86" s="16" t="str">
        <f>CONCATENATE("'",Alumnos!J28,"'")</f>
        <v>'2do'</v>
      </c>
      <c r="I86" s="16" t="str">
        <f>UPPER(CONCATENATE("'",Alumnos!K28,"'"))</f>
        <v>'MASCULINO'</v>
      </c>
      <c r="J86" s="16" t="str">
        <f>UPPER(CONCATENATE("'",Alumnos!L28,"'"))</f>
        <v>'ACTIVO'</v>
      </c>
      <c r="K86" s="16" t="str">
        <f>CONCATENATE(A86,",",B86,",",C86,",",D86,",'",E86,",",F86,",",G86,",",H86,",",UPPER(I86),",",UPPER(J86),",'',0,0,'','ALUMNO'")</f>
        <v>1085,'LICENCIATURA','alejandro.cejacorrales','112182','TOMAR DEL SND','CEJA CORRALES ALEJANDRO','ADMINISTRACION Y DIRECCION DE NEGOCIOS','2do','MASCULINO','ACTIVO','',0,0,'','ALUMNO'</v>
      </c>
      <c r="L86" s="16" t="str">
        <f>CONCATENATE($K$1,K86,");")</f>
        <v>INSERT INTO participantes (id,nivel,correo,matricula,clave,nombre,carrera,grado,sexo,situacion,evaluados,num_evaluados,total_evaluaciones,ultimo_acceso,nivel_acceso) VALUES (1085,'LICENCIATURA','alejandro.cejacorrales','112182','TOMAR DEL SND','CEJA CORRALES ALEJANDRO','ADMINISTRACION Y DIRECCION DE NEGOCIOS','2do','MASCULINO','ACTIVO','',0,0,'','ALUMNO');</v>
      </c>
      <c r="M86" s="16" t="str">
        <f>CONCATENATE("update participantes set correo=",C86," where id=",A86,";")</f>
        <v>update participantes set correo='alejandro.cejacorrales' where id=1085;</v>
      </c>
    </row>
    <row r="87" spans="1:13" ht="130.5" x14ac:dyDescent="0.35">
      <c r="A87" s="16">
        <v>1086</v>
      </c>
      <c r="B87" s="18" t="s">
        <v>1754</v>
      </c>
      <c r="C87" s="16" t="str">
        <f>CONCATENATE("'",Alumnos!E319,"'")</f>
        <v>'jorgeeduardo.castrosolis'</v>
      </c>
      <c r="D87" s="16" t="str">
        <f>CONCATENATE(Alumnos!F319,"'")</f>
        <v>'112183'</v>
      </c>
      <c r="E87" s="16" t="s">
        <v>1755</v>
      </c>
      <c r="F87" s="16" t="str">
        <f>CONCATENATE("'",Alumnos!H319,"'")</f>
        <v>'CASTRO SOLIS JORGE EDUARDO'</v>
      </c>
      <c r="G87" s="16" t="str">
        <f>CONCATENATE("'",Alumnos!I319,"'")</f>
        <v>'INGENIERIA AEROESPACIAL'</v>
      </c>
      <c r="H87" s="16" t="str">
        <f>CONCATENATE("'",Alumnos!J319,"'")</f>
        <v>'2do'</v>
      </c>
      <c r="I87" s="16" t="str">
        <f>UPPER(CONCATENATE("'",Alumnos!K319,"'"))</f>
        <v>'MASCULINO'</v>
      </c>
      <c r="J87" s="16" t="str">
        <f>UPPER(CONCATENATE("'",Alumnos!L319,"'"))</f>
        <v>'ACTIVO'</v>
      </c>
      <c r="K87" s="16" t="str">
        <f>CONCATENATE(A87,",",B87,",",C87,",",D87,",'",E87,",",F87,",",G87,",",H87,",",UPPER(I87),",",UPPER(J87),",'',0,0,'','ALUMNO'")</f>
        <v>1086,'LICENCIATURA','jorgeeduardo.castrosolis','112183','TOMAR DEL SND','CASTRO SOLIS JORGE EDUARDO','INGENIERIA AEROESPACIAL','2do','MASCULINO','ACTIVO','',0,0,'','ALUMNO'</v>
      </c>
      <c r="L87" s="16" t="str">
        <f>CONCATENATE($K$1,K87,");")</f>
        <v>INSERT INTO participantes (id,nivel,correo,matricula,clave,nombre,carrera,grado,sexo,situacion,evaluados,num_evaluados,total_evaluaciones,ultimo_acceso,nivel_acceso) VALUES (1086,'LICENCIATURA','jorgeeduardo.castrosolis','112183','TOMAR DEL SND','CASTRO SOLIS JORGE EDUARDO','INGENIERIA AEROESPACIAL','2do','MASCULINO','ACTIVO','',0,0,'','ALUMNO');</v>
      </c>
      <c r="M87" s="16" t="str">
        <f>CONCATENATE("update participantes set correo=",C87," where id=",A87,";")</f>
        <v>update participantes set correo='jorgeeduardo.castrosolis' where id=1086;</v>
      </c>
    </row>
    <row r="88" spans="1:13" ht="130.5" x14ac:dyDescent="0.35">
      <c r="A88" s="16">
        <v>1087</v>
      </c>
      <c r="B88" s="18" t="s">
        <v>1754</v>
      </c>
      <c r="C88" s="16" t="str">
        <f>CONCATENATE("'",Alumnos!E504,"'")</f>
        <v>'oscarandres.guzmanvazquez'</v>
      </c>
      <c r="D88" s="16" t="str">
        <f>CONCATENATE(Alumnos!F504,"'")</f>
        <v>'112184'</v>
      </c>
      <c r="E88" s="16" t="s">
        <v>1755</v>
      </c>
      <c r="F88" s="16" t="str">
        <f>CONCATENATE("'",Alumnos!H504,"'")</f>
        <v>'GUZMAN VAZQUEZ OSCAR ANDRES'</v>
      </c>
      <c r="G88" s="16" t="str">
        <f>CONCATENATE("'",Alumnos!I504,"'")</f>
        <v>'INGENIERIA AEROESPACIAL'</v>
      </c>
      <c r="H88" s="16" t="str">
        <f>CONCATENATE("'",Alumnos!J504,"'")</f>
        <v>'2do'</v>
      </c>
      <c r="I88" s="16" t="str">
        <f>UPPER(CONCATENATE("'",Alumnos!K504,"'"))</f>
        <v>'MASCULINO'</v>
      </c>
      <c r="J88" s="16" t="str">
        <f>UPPER(CONCATENATE("'",Alumnos!L504,"'"))</f>
        <v>'ACTIVO'</v>
      </c>
      <c r="K88" s="16" t="str">
        <f>CONCATENATE(A88,",",B88,",",C88,",",D88,",'",E88,",",F88,",",G88,",",H88,",",UPPER(I88),",",UPPER(J88),",'',0,0,'','ALUMNO'")</f>
        <v>1087,'LICENCIATURA','oscarandres.guzmanvazquez','112184','TOMAR DEL SND','GUZMAN VAZQUEZ OSCAR ANDRES','INGENIERIA AEROESPACIAL','2do','MASCULINO','ACTIVO','',0,0,'','ALUMNO'</v>
      </c>
      <c r="L88" s="16" t="str">
        <f>CONCATENATE($K$1,K88,");")</f>
        <v>INSERT INTO participantes (id,nivel,correo,matricula,clave,nombre,carrera,grado,sexo,situacion,evaluados,num_evaluados,total_evaluaciones,ultimo_acceso,nivel_acceso) VALUES (1087,'LICENCIATURA','oscarandres.guzmanvazquez','112184','TOMAR DEL SND','GUZMAN VAZQUEZ OSCAR ANDRES','INGENIERIA AEROESPACIAL','2do','MASCULINO','ACTIVO','',0,0,'','ALUMNO');</v>
      </c>
      <c r="M88" s="16" t="str">
        <f>CONCATENATE("update participantes set correo=",C88," where id=",A88,";")</f>
        <v>update participantes set correo='oscarandres.guzmanvazquez' where id=1087;</v>
      </c>
    </row>
    <row r="89" spans="1:13" ht="130.5" x14ac:dyDescent="0.35">
      <c r="A89" s="16">
        <v>1088</v>
      </c>
      <c r="B89" s="18" t="s">
        <v>1754</v>
      </c>
      <c r="C89" s="16" t="str">
        <f>CONCATENATE("'",Alumnos!E198,"'")</f>
        <v>'duilioalfonso.morgangallardo'</v>
      </c>
      <c r="D89" s="16" t="str">
        <f>CONCATENATE(Alumnos!F198,"'")</f>
        <v>'112185'</v>
      </c>
      <c r="E89" s="16" t="s">
        <v>1755</v>
      </c>
      <c r="F89" s="16" t="str">
        <f>CONCATENATE("'",Alumnos!H198,"'")</f>
        <v>'MORGAN GALLARDO DUILIO ALFONSO'</v>
      </c>
      <c r="G89" s="16" t="str">
        <f>CONCATENATE("'",Alumnos!I198,"'")</f>
        <v>'INGENIERIA AEROESPACIAL'</v>
      </c>
      <c r="H89" s="16" t="str">
        <f>CONCATENATE("'",Alumnos!J198,"'")</f>
        <v>'2do'</v>
      </c>
      <c r="I89" s="16" t="str">
        <f>UPPER(CONCATENATE("'",Alumnos!K198,"'"))</f>
        <v>'MASCULINO'</v>
      </c>
      <c r="J89" s="16" t="str">
        <f>UPPER(CONCATENATE("'",Alumnos!L198,"'"))</f>
        <v>'ACTIVO'</v>
      </c>
      <c r="K89" s="16" t="str">
        <f>CONCATENATE(A89,",",B89,",",C89,",",D89,",'",E89,",",F89,",",G89,",",H89,",",UPPER(I89),",",UPPER(J89),",'',0,0,'','ALUMNO'")</f>
        <v>1088,'LICENCIATURA','duilioalfonso.morgangallardo','112185','TOMAR DEL SND','MORGAN GALLARDO DUILIO ALFONSO','INGENIERIA AEROESPACIAL','2do','MASCULINO','ACTIVO','',0,0,'','ALUMNO'</v>
      </c>
      <c r="L89" s="16" t="str">
        <f>CONCATENATE($K$1,K89,");")</f>
        <v>INSERT INTO participantes (id,nivel,correo,matricula,clave,nombre,carrera,grado,sexo,situacion,evaluados,num_evaluados,total_evaluaciones,ultimo_acceso,nivel_acceso) VALUES (1088,'LICENCIATURA','duilioalfonso.morgangallardo','112185','TOMAR DEL SND','MORGAN GALLARDO DUILIO ALFONSO','INGENIERIA AEROESPACIAL','2do','MASCULINO','ACTIVO','',0,0,'','ALUMNO');</v>
      </c>
      <c r="M89" s="16" t="str">
        <f>CONCATENATE("update participantes set correo=",C89," where id=",A89,";")</f>
        <v>update participantes set correo='duilioalfonso.morgangallardo' where id=1088;</v>
      </c>
    </row>
    <row r="90" spans="1:13" ht="130.5" x14ac:dyDescent="0.35">
      <c r="A90" s="16">
        <v>1089</v>
      </c>
      <c r="B90" s="18" t="s">
        <v>1754</v>
      </c>
      <c r="C90" s="16" t="str">
        <f>CONCATENATE("'",Alumnos!E247,"'")</f>
        <v>'gabrielfrancisco.mendozagomez'</v>
      </c>
      <c r="D90" s="16" t="str">
        <f>CONCATENATE(Alumnos!F247,"'")</f>
        <v>'112186'</v>
      </c>
      <c r="E90" s="16" t="s">
        <v>1755</v>
      </c>
      <c r="F90" s="16" t="str">
        <f>CONCATENATE("'",Alumnos!H247,"'")</f>
        <v>'MENDOZA GOMEZ GABRIEL FRANCISCO'</v>
      </c>
      <c r="G90" s="16" t="str">
        <f>CONCATENATE("'",Alumnos!I247,"'")</f>
        <v>'INGENIERIA AEROESPACIAL'</v>
      </c>
      <c r="H90" s="16" t="str">
        <f>CONCATENATE("'",Alumnos!J247,"'")</f>
        <v>'2do'</v>
      </c>
      <c r="I90" s="16" t="str">
        <f>UPPER(CONCATENATE("'",Alumnos!K247,"'"))</f>
        <v>'MASCULINO'</v>
      </c>
      <c r="J90" s="16" t="str">
        <f>UPPER(CONCATENATE("'",Alumnos!L247,"'"))</f>
        <v>'ACTIVO'</v>
      </c>
      <c r="K90" s="16" t="str">
        <f>CONCATENATE(A90,",",B90,",",C90,",",D90,",'",E90,",",F90,",",G90,",",H90,",",UPPER(I90),",",UPPER(J90),",'',0,0,'','ALUMNO'")</f>
        <v>1089,'LICENCIATURA','gabrielfrancisco.mendozagomez','112186','TOMAR DEL SND','MENDOZA GOMEZ GABRIEL FRANCISCO','INGENIERIA AEROESPACIAL','2do','MASCULINO','ACTIVO','',0,0,'','ALUMNO'</v>
      </c>
      <c r="L90" s="16" t="str">
        <f>CONCATENATE($K$1,K90,");")</f>
        <v>INSERT INTO participantes (id,nivel,correo,matricula,clave,nombre,carrera,grado,sexo,situacion,evaluados,num_evaluados,total_evaluaciones,ultimo_acceso,nivel_acceso) VALUES (1089,'LICENCIATURA','gabrielfrancisco.mendozagomez','112186','TOMAR DEL SND','MENDOZA GOMEZ GABRIEL FRANCISCO','INGENIERIA AEROESPACIAL','2do','MASCULINO','ACTIVO','',0,0,'','ALUMNO');</v>
      </c>
      <c r="M90" s="16" t="str">
        <f>CONCATENATE("update participantes set correo=",C90," where id=",A90,";")</f>
        <v>update participantes set correo='gabrielfrancisco.mendozagomez' where id=1089;</v>
      </c>
    </row>
    <row r="91" spans="1:13" ht="130.5" x14ac:dyDescent="0.35">
      <c r="A91" s="16">
        <v>1090</v>
      </c>
      <c r="B91" s="18" t="s">
        <v>1754</v>
      </c>
      <c r="C91" s="16" t="str">
        <f>CONCATENATE("'",Alumnos!E560,"'")</f>
        <v>'salvadorceo.garciaduran'</v>
      </c>
      <c r="D91" s="16" t="str">
        <f>CONCATENATE(Alumnos!F560,"'")</f>
        <v>'112187'</v>
      </c>
      <c r="E91" s="16" t="s">
        <v>1755</v>
      </c>
      <c r="F91" s="16" t="str">
        <f>CONCATENATE("'",Alumnos!H560,"'")</f>
        <v>'GARCIA DURAN SALVADOR CEO'</v>
      </c>
      <c r="G91" s="16" t="str">
        <f>CONCATENATE("'",Alumnos!I560,"'")</f>
        <v>'INGENIERIA AEROESPACIAL'</v>
      </c>
      <c r="H91" s="16" t="str">
        <f>CONCATENATE("'",Alumnos!J560,"'")</f>
        <v>'2do'</v>
      </c>
      <c r="I91" s="16" t="str">
        <f>UPPER(CONCATENATE("'",Alumnos!K560,"'"))</f>
        <v>'MASCULINO'</v>
      </c>
      <c r="J91" s="16" t="str">
        <f>UPPER(CONCATENATE("'",Alumnos!L560,"'"))</f>
        <v>'ACTIVO'</v>
      </c>
      <c r="K91" s="16" t="str">
        <f>CONCATENATE(A91,",",B91,",",C91,",",D91,",'",E91,",",F91,",",G91,",",H91,",",UPPER(I91),",",UPPER(J91),",'',0,0,'','ALUMNO'")</f>
        <v>1090,'LICENCIATURA','salvadorceo.garciaduran','112187','TOMAR DEL SND','GARCIA DURAN SALVADOR CEO','INGENIERIA AEROESPACIAL','2do','MASCULINO','ACTIVO','',0,0,'','ALUMNO'</v>
      </c>
      <c r="L91" s="16" t="str">
        <f>CONCATENATE($K$1,K91,");")</f>
        <v>INSERT INTO participantes (id,nivel,correo,matricula,clave,nombre,carrera,grado,sexo,situacion,evaluados,num_evaluados,total_evaluaciones,ultimo_acceso,nivel_acceso) VALUES (1090,'LICENCIATURA','salvadorceo.garciaduran','112187','TOMAR DEL SND','GARCIA DURAN SALVADOR CEO','INGENIERIA AEROESPACIAL','2do','MASCULINO','ACTIVO','',0,0,'','ALUMNO');</v>
      </c>
      <c r="M91" s="16" t="str">
        <f>CONCATENATE("update participantes set correo=",C91," where id=",A91,";")</f>
        <v>update participantes set correo='salvadorceo.garciaduran' where id=1090;</v>
      </c>
    </row>
    <row r="92" spans="1:13" ht="130.5" x14ac:dyDescent="0.35">
      <c r="A92" s="16">
        <v>1091</v>
      </c>
      <c r="B92" s="18" t="s">
        <v>1754</v>
      </c>
      <c r="C92" s="16" t="str">
        <f>CONCATENATE("'",Alumnos!E548,"'")</f>
        <v>'robertoantonio.gonzalezmiranda'</v>
      </c>
      <c r="D92" s="16" t="str">
        <f>CONCATENATE(Alumnos!F548,"'")</f>
        <v>'112188'</v>
      </c>
      <c r="E92" s="16" t="s">
        <v>1755</v>
      </c>
      <c r="F92" s="16" t="str">
        <f>CONCATENATE("'",Alumnos!H548,"'")</f>
        <v>'GONZALEZ MIRANDA ROBERTO ANTONIO'</v>
      </c>
      <c r="G92" s="16" t="str">
        <f>CONCATENATE("'",Alumnos!I548,"'")</f>
        <v>'INGENIERIA AEROESPACIAL'</v>
      </c>
      <c r="H92" s="16" t="str">
        <f>CONCATENATE("'",Alumnos!J548,"'")</f>
        <v>'2do'</v>
      </c>
      <c r="I92" s="16" t="str">
        <f>UPPER(CONCATENATE("'",Alumnos!K548,"'"))</f>
        <v>'MASCULINO'</v>
      </c>
      <c r="J92" s="16" t="str">
        <f>UPPER(CONCATENATE("'",Alumnos!L548,"'"))</f>
        <v>'ACTIVO'</v>
      </c>
      <c r="K92" s="16" t="str">
        <f>CONCATENATE(A92,",",B92,",",C92,",",D92,",'",E92,",",F92,",",G92,",",H92,",",UPPER(I92),",",UPPER(J92),",'',0,0,'','ALUMNO'")</f>
        <v>1091,'LICENCIATURA','robertoantonio.gonzalezmiranda','112188','TOMAR DEL SND','GONZALEZ MIRANDA ROBERTO ANTONIO','INGENIERIA AEROESPACIAL','2do','MASCULINO','ACTIVO','',0,0,'','ALUMNO'</v>
      </c>
      <c r="L92" s="16" t="str">
        <f>CONCATENATE($K$1,K92,");")</f>
        <v>INSERT INTO participantes (id,nivel,correo,matricula,clave,nombre,carrera,grado,sexo,situacion,evaluados,num_evaluados,total_evaluaciones,ultimo_acceso,nivel_acceso) VALUES (1091,'LICENCIATURA','robertoantonio.gonzalezmiranda','112188','TOMAR DEL SND','GONZALEZ MIRANDA ROBERTO ANTONIO','INGENIERIA AEROESPACIAL','2do','MASCULINO','ACTIVO','',0,0,'','ALUMNO');</v>
      </c>
      <c r="M92" s="16" t="str">
        <f>CONCATENATE("update participantes set correo=",C92," where id=",A92,";")</f>
        <v>update participantes set correo='robertoantonio.gonzalezmiranda' where id=1091;</v>
      </c>
    </row>
    <row r="93" spans="1:13" ht="130.5" x14ac:dyDescent="0.35">
      <c r="A93" s="16">
        <v>1092</v>
      </c>
      <c r="B93" s="18" t="s">
        <v>1754</v>
      </c>
      <c r="C93" s="16" t="str">
        <f>CONCATENATE("'",Alumnos!E298,"'")</f>
        <v>'javieralejandro.coronahernandez'</v>
      </c>
      <c r="D93" s="16" t="str">
        <f>CONCATENATE(Alumnos!F298,"'")</f>
        <v>'112189'</v>
      </c>
      <c r="E93" s="16" t="s">
        <v>1755</v>
      </c>
      <c r="F93" s="16" t="str">
        <f>CONCATENATE("'",Alumnos!H298,"'")</f>
        <v>'CORONA HERNANDEZ JAVIER ALEJANDRO'</v>
      </c>
      <c r="G93" s="16" t="str">
        <f>CONCATENATE("'",Alumnos!I298,"'")</f>
        <v>'INGENIERÍA AUTOMOTRIZ'</v>
      </c>
      <c r="H93" s="16" t="str">
        <f>CONCATENATE("'",Alumnos!J298,"'")</f>
        <v>'2do'</v>
      </c>
      <c r="I93" s="16" t="str">
        <f>UPPER(CONCATENATE("'",Alumnos!K298,"'"))</f>
        <v>'MASCULINO'</v>
      </c>
      <c r="J93" s="16" t="str">
        <f>UPPER(CONCATENATE("'",Alumnos!L298,"'"))</f>
        <v>'ACTIVO'</v>
      </c>
      <c r="K93" s="16" t="str">
        <f>CONCATENATE(A93,",",B93,",",C93,",",D93,",'",E93,",",F93,",",G93,",",H93,",",UPPER(I93),",",UPPER(J93),",'',0,0,'','ALUMNO'")</f>
        <v>1092,'LICENCIATURA','javieralejandro.coronahernandez','112189','TOMAR DEL SND','CORONA HERNANDEZ JAVIER ALEJANDRO','INGENIERÍA AUTOMOTRIZ','2do','MASCULINO','ACTIVO','',0,0,'','ALUMNO'</v>
      </c>
      <c r="L93" s="16" t="str">
        <f>CONCATENATE($K$1,K93,");")</f>
        <v>INSERT INTO participantes (id,nivel,correo,matricula,clave,nombre,carrera,grado,sexo,situacion,evaluados,num_evaluados,total_evaluaciones,ultimo_acceso,nivel_acceso) VALUES (1092,'LICENCIATURA','javieralejandro.coronahernandez','112189','TOMAR DEL SND','CORONA HERNANDEZ JAVIER ALEJANDRO','INGENIERÍA AUTOMOTRIZ','2do','MASCULINO','ACTIVO','',0,0,'','ALUMNO');</v>
      </c>
      <c r="M93" s="16" t="str">
        <f>CONCATENATE("update participantes set correo=",C93," where id=",A93,";")</f>
        <v>update participantes set correo='javieralejandro.coronahernandez' where id=1092;</v>
      </c>
    </row>
    <row r="94" spans="1:13" ht="116" x14ac:dyDescent="0.35">
      <c r="A94" s="16">
        <v>1093</v>
      </c>
      <c r="B94" s="18" t="s">
        <v>1754</v>
      </c>
      <c r="C94" s="16" t="str">
        <f>CONCATENATE("'",Alumnos!E491,"'")</f>
        <v>'natalia.silvalugo'</v>
      </c>
      <c r="D94" s="16" t="str">
        <f>CONCATENATE(Alumnos!F491,"'")</f>
        <v>'112190'</v>
      </c>
      <c r="E94" s="16" t="s">
        <v>1755</v>
      </c>
      <c r="F94" s="16" t="str">
        <f>CONCATENATE("'",Alumnos!H491,"'")</f>
        <v>'SILVA LUGO NATALIA'</v>
      </c>
      <c r="G94" s="16" t="str">
        <f>CONCATENATE("'",Alumnos!I491,"'")</f>
        <v>'INGENIERÍA AUTOMOTRIZ'</v>
      </c>
      <c r="H94" s="16" t="str">
        <f>CONCATENATE("'",Alumnos!J491,"'")</f>
        <v>'2do'</v>
      </c>
      <c r="I94" s="16" t="str">
        <f>UPPER(CONCATENATE("'",Alumnos!K491,"'"))</f>
        <v>'FEMENINO'</v>
      </c>
      <c r="J94" s="16" t="str">
        <f>UPPER(CONCATENATE("'",Alumnos!L491,"'"))</f>
        <v>'ACTIVO'</v>
      </c>
      <c r="K94" s="16" t="str">
        <f>CONCATENATE(A94,",",B94,",",C94,",",D94,",'",E94,",",F94,",",G94,",",H94,",",UPPER(I94),",",UPPER(J94),",'',0,0,'','ALUMNO'")</f>
        <v>1093,'LICENCIATURA','natalia.silvalugo','112190','TOMAR DEL SND','SILVA LUGO NATALIA','INGENIERÍA AUTOMOTRIZ','2do','FEMENINO','ACTIVO','',0,0,'','ALUMNO'</v>
      </c>
      <c r="L94" s="16" t="str">
        <f>CONCATENATE($K$1,K94,");")</f>
        <v>INSERT INTO participantes (id,nivel,correo,matricula,clave,nombre,carrera,grado,sexo,situacion,evaluados,num_evaluados,total_evaluaciones,ultimo_acceso,nivel_acceso) VALUES (1093,'LICENCIATURA','natalia.silvalugo','112190','TOMAR DEL SND','SILVA LUGO NATALIA','INGENIERÍA AUTOMOTRIZ','2do','FEMENINO','ACTIVO','',0,0,'','ALUMNO');</v>
      </c>
      <c r="M94" s="16" t="str">
        <f>CONCATENATE("update participantes set correo=",C94," where id=",A94,";")</f>
        <v>update participantes set correo='natalia.silvalugo' where id=1093;</v>
      </c>
    </row>
    <row r="95" spans="1:13" ht="130.5" x14ac:dyDescent="0.35">
      <c r="A95" s="16">
        <v>1094</v>
      </c>
      <c r="B95" s="18" t="s">
        <v>1754</v>
      </c>
      <c r="C95" s="16" t="str">
        <f>CONCATENATE("'",Alumnos!E84,"'")</f>
        <v>'angelleonel.riveranunez'</v>
      </c>
      <c r="D95" s="16" t="str">
        <f>CONCATENATE(Alumnos!F84,"'")</f>
        <v>'112191'</v>
      </c>
      <c r="E95" s="16" t="s">
        <v>1755</v>
      </c>
      <c r="F95" s="16" t="str">
        <f>CONCATENATE("'",Alumnos!H84,"'")</f>
        <v>'RIVERA NUÑEZ ANGEL LEONEL'</v>
      </c>
      <c r="G95" s="16" t="str">
        <f>CONCATENATE("'",Alumnos!I84,"'")</f>
        <v>'INGENIERÍA AUTOMOTRIZ'</v>
      </c>
      <c r="H95" s="16" t="str">
        <f>CONCATENATE("'",Alumnos!J84,"'")</f>
        <v>'2do'</v>
      </c>
      <c r="I95" s="16" t="str">
        <f>UPPER(CONCATENATE("'",Alumnos!K84,"'"))</f>
        <v>'MASCULINO'</v>
      </c>
      <c r="J95" s="16" t="str">
        <f>UPPER(CONCATENATE("'",Alumnos!L84,"'"))</f>
        <v>'ACTIVO'</v>
      </c>
      <c r="K95" s="16" t="str">
        <f>CONCATENATE(A95,",",B95,",",C95,",",D95,",'",E95,",",F95,",",G95,",",H95,",",UPPER(I95),",",UPPER(J95),",'',0,0,'','ALUMNO'")</f>
        <v>1094,'LICENCIATURA','angelleonel.riveranunez','112191','TOMAR DEL SND','RIVERA NUÑEZ ANGEL LEONEL','INGENIERÍA AUTOMOTRIZ','2do','MASCULINO','ACTIVO','',0,0,'','ALUMNO'</v>
      </c>
      <c r="L95" s="16" t="str">
        <f>CONCATENATE($K$1,K95,");")</f>
        <v>INSERT INTO participantes (id,nivel,correo,matricula,clave,nombre,carrera,grado,sexo,situacion,evaluados,num_evaluados,total_evaluaciones,ultimo_acceso,nivel_acceso) VALUES (1094,'LICENCIATURA','angelleonel.riveranunez','112191','TOMAR DEL SND','RIVERA NUÑEZ ANGEL LEONEL','INGENIERÍA AUTOMOTRIZ','2do','MASCULINO','ACTIVO','',0,0,'','ALUMNO');</v>
      </c>
      <c r="M95" s="16" t="str">
        <f>CONCATENATE("update participantes set correo=",C95," where id=",A95,";")</f>
        <v>update participantes set correo='angelleonel.riveranunez' where id=1094;</v>
      </c>
    </row>
    <row r="96" spans="1:13" ht="130.5" x14ac:dyDescent="0.35">
      <c r="A96" s="16">
        <v>1095</v>
      </c>
      <c r="B96" s="18" t="s">
        <v>1754</v>
      </c>
      <c r="C96" s="16" t="str">
        <f>CONCATENATE("'",Alumnos!E576,"'")</f>
        <v>'sebastianalonso.palafoxfigueroa'</v>
      </c>
      <c r="D96" s="16" t="str">
        <f>CONCATENATE(Alumnos!F576,"'")</f>
        <v>'112192'</v>
      </c>
      <c r="E96" s="16" t="s">
        <v>1755</v>
      </c>
      <c r="F96" s="16" t="str">
        <f>CONCATENATE("'",Alumnos!H576,"'")</f>
        <v>'PALAFOX FIGUEROA SEBASTIAN ALONSO'</v>
      </c>
      <c r="G96" s="16" t="str">
        <f>CONCATENATE("'",Alumnos!I576,"'")</f>
        <v>'INGENIERÍA AUTOMOTRIZ'</v>
      </c>
      <c r="H96" s="16" t="str">
        <f>CONCATENATE("'",Alumnos!J576,"'")</f>
        <v>'2do'</v>
      </c>
      <c r="I96" s="16" t="str">
        <f>UPPER(CONCATENATE("'",Alumnos!K576,"'"))</f>
        <v>'MASCULINO'</v>
      </c>
      <c r="J96" s="16" t="str">
        <f>UPPER(CONCATENATE("'",Alumnos!L576,"'"))</f>
        <v>'ACTIVO'</v>
      </c>
      <c r="K96" s="16" t="str">
        <f>CONCATENATE(A96,",",B96,",",C96,",",D96,",'",E96,",",F96,",",G96,",",H96,",",UPPER(I96),",",UPPER(J96),",'',0,0,'','ALUMNO'")</f>
        <v>1095,'LICENCIATURA','sebastianalonso.palafoxfigueroa','112192','TOMAR DEL SND','PALAFOX FIGUEROA SEBASTIAN ALONSO','INGENIERÍA AUTOMOTRIZ','2do','MASCULINO','ACTIVO','',0,0,'','ALUMNO'</v>
      </c>
      <c r="L96" s="16" t="str">
        <f>CONCATENATE($K$1,K96,");")</f>
        <v>INSERT INTO participantes (id,nivel,correo,matricula,clave,nombre,carrera,grado,sexo,situacion,evaluados,num_evaluados,total_evaluaciones,ultimo_acceso,nivel_acceso) VALUES (1095,'LICENCIATURA','sebastianalonso.palafoxfigueroa','112192','TOMAR DEL SND','PALAFOX FIGUEROA SEBASTIAN ALONSO','INGENIERÍA AUTOMOTRIZ','2do','MASCULINO','ACTIVO','',0,0,'','ALUMNO');</v>
      </c>
      <c r="M96" s="16" t="str">
        <f>CONCATENATE("update participantes set correo=",C96," where id=",A96,";")</f>
        <v>update participantes set correo='sebastianalonso.palafoxfigueroa' where id=1095;</v>
      </c>
    </row>
    <row r="97" spans="1:13" ht="130.5" x14ac:dyDescent="0.35">
      <c r="A97" s="16">
        <v>1096</v>
      </c>
      <c r="B97" s="18" t="s">
        <v>1754</v>
      </c>
      <c r="C97" s="16" t="str">
        <f>CONCATENATE("'",Alumnos!E264,"'")</f>
        <v>'gustavoemiliano.jassovargas'</v>
      </c>
      <c r="D97" s="16" t="str">
        <f>CONCATENATE(Alumnos!F264,"'")</f>
        <v>'112193'</v>
      </c>
      <c r="E97" s="16" t="s">
        <v>1755</v>
      </c>
      <c r="F97" s="16" t="str">
        <f>CONCATENATE("'",Alumnos!H264,"'")</f>
        <v>'JASSO VARGAS GUSTAVO EMILIANO'</v>
      </c>
      <c r="G97" s="16" t="str">
        <f>CONCATENATE("'",Alumnos!I264,"'")</f>
        <v>'INGENIERÍA AUTOMOTRIZ'</v>
      </c>
      <c r="H97" s="16" t="str">
        <f>CONCATENATE("'",Alumnos!J264,"'")</f>
        <v>'2do'</v>
      </c>
      <c r="I97" s="16" t="str">
        <f>UPPER(CONCATENATE("'",Alumnos!K264,"'"))</f>
        <v>'MASCULINO'</v>
      </c>
      <c r="J97" s="16" t="str">
        <f>UPPER(CONCATENATE("'",Alumnos!L264,"'"))</f>
        <v>'ACTIVO'</v>
      </c>
      <c r="K97" s="16" t="str">
        <f>CONCATENATE(A97,",",B97,",",C97,",",D97,",'",E97,",",F97,",",G97,",",H97,",",UPPER(I97),",",UPPER(J97),",'',0,0,'','ALUMNO'")</f>
        <v>1096,'LICENCIATURA','gustavoemiliano.jassovargas','112193','TOMAR DEL SND','JASSO VARGAS GUSTAVO EMILIANO','INGENIERÍA AUTOMOTRIZ','2do','MASCULINO','ACTIVO','',0,0,'','ALUMNO'</v>
      </c>
      <c r="L97" s="16" t="str">
        <f>CONCATENATE($K$1,K97,");")</f>
        <v>INSERT INTO participantes (id,nivel,correo,matricula,clave,nombre,carrera,grado,sexo,situacion,evaluados,num_evaluados,total_evaluaciones,ultimo_acceso,nivel_acceso) VALUES (1096,'LICENCIATURA','gustavoemiliano.jassovargas','112193','TOMAR DEL SND','JASSO VARGAS GUSTAVO EMILIANO','INGENIERÍA AUTOMOTRIZ','2do','MASCULINO','ACTIVO','',0,0,'','ALUMNO');</v>
      </c>
      <c r="M97" s="16" t="str">
        <f>CONCATENATE("update participantes set correo=",C97," where id=",A97,";")</f>
        <v>update participantes set correo='gustavoemiliano.jassovargas' where id=1096;</v>
      </c>
    </row>
    <row r="98" spans="1:13" ht="130.5" x14ac:dyDescent="0.35">
      <c r="A98" s="16">
        <v>1097</v>
      </c>
      <c r="B98" s="18" t="s">
        <v>1754</v>
      </c>
      <c r="C98" s="16" t="str">
        <f>CONCATENATE("'",Alumnos!E7,"'")</f>
        <v>'adolfoalexander.vegaruelas'</v>
      </c>
      <c r="D98" s="16" t="str">
        <f>CONCATENATE(Alumnos!F7,"'")</f>
        <v>'112194'</v>
      </c>
      <c r="E98" s="16" t="s">
        <v>1755</v>
      </c>
      <c r="F98" s="16" t="str">
        <f>CONCATENATE("'",Alumnos!H7,"'")</f>
        <v>'VEGA RUELAS ADOLFO ALEXANDER'</v>
      </c>
      <c r="G98" s="16" t="str">
        <f>CONCATENATE("'",Alumnos!I7,"'")</f>
        <v>'INGENIERÍA AUTOMOTRIZ'</v>
      </c>
      <c r="H98" s="16" t="str">
        <f>CONCATENATE("'",Alumnos!J7,"'")</f>
        <v>'2do'</v>
      </c>
      <c r="I98" s="16" t="str">
        <f>UPPER(CONCATENATE("'",Alumnos!K7,"'"))</f>
        <v>'MASCULINO'</v>
      </c>
      <c r="J98" s="16" t="str">
        <f>UPPER(CONCATENATE("'",Alumnos!L7,"'"))</f>
        <v>'ACTIVO'</v>
      </c>
      <c r="K98" s="16" t="str">
        <f>CONCATENATE(A98,",",B98,",",C98,",",D98,",'",E98,",",F98,",",G98,",",H98,",",UPPER(I98),",",UPPER(J98),",'',0,0,'','ALUMNO'")</f>
        <v>1097,'LICENCIATURA','adolfoalexander.vegaruelas','112194','TOMAR DEL SND','VEGA RUELAS ADOLFO ALEXANDER','INGENIERÍA AUTOMOTRIZ','2do','MASCULINO','ACTIVO','',0,0,'','ALUMNO'</v>
      </c>
      <c r="L98" s="16" t="str">
        <f>CONCATENATE($K$1,K98,");")</f>
        <v>INSERT INTO participantes (id,nivel,correo,matricula,clave,nombre,carrera,grado,sexo,situacion,evaluados,num_evaluados,total_evaluaciones,ultimo_acceso,nivel_acceso) VALUES (1097,'LICENCIATURA','adolfoalexander.vegaruelas','112194','TOMAR DEL SND','VEGA RUELAS ADOLFO ALEXANDER','INGENIERÍA AUTOMOTRIZ','2do','MASCULINO','ACTIVO','',0,0,'','ALUMNO');</v>
      </c>
      <c r="M98" s="16" t="str">
        <f>CONCATENATE("update participantes set correo=",C98," where id=",A98,";")</f>
        <v>update participantes set correo='adolfoalexander.vegaruelas' where id=1097;</v>
      </c>
    </row>
    <row r="99" spans="1:13" ht="130.5" x14ac:dyDescent="0.35">
      <c r="A99" s="16">
        <v>1098</v>
      </c>
      <c r="B99" s="18" t="s">
        <v>1754</v>
      </c>
      <c r="C99" s="16" t="str">
        <f>CONCATENATE("'",Alumnos!E322,"'")</f>
        <v>'jorgeluis.castromarquez'</v>
      </c>
      <c r="D99" s="16" t="str">
        <f>CONCATENATE(Alumnos!F322,"'")</f>
        <v>'112195'</v>
      </c>
      <c r="E99" s="16" t="s">
        <v>1755</v>
      </c>
      <c r="F99" s="16" t="str">
        <f>CONCATENATE("'",Alumnos!H322,"'")</f>
        <v>'CASTRO MARQUEZ JORGE LUIS'</v>
      </c>
      <c r="G99" s="16" t="str">
        <f>CONCATENATE("'",Alumnos!I322,"'")</f>
        <v>'INGENIERÍA AUTOMOTRIZ'</v>
      </c>
      <c r="H99" s="16" t="str">
        <f>CONCATENATE("'",Alumnos!J322,"'")</f>
        <v>'2do'</v>
      </c>
      <c r="I99" s="16" t="str">
        <f>UPPER(CONCATENATE("'",Alumnos!K322,"'"))</f>
        <v>'MASCULINO'</v>
      </c>
      <c r="J99" s="16" t="str">
        <f>UPPER(CONCATENATE("'",Alumnos!L322,"'"))</f>
        <v>'ACTIVO'</v>
      </c>
      <c r="K99" s="16" t="str">
        <f>CONCATENATE(A99,",",B99,",",C99,",",D99,",'",E99,",",F99,",",G99,",",H99,",",UPPER(I99),",",UPPER(J99),",'',0,0,'','ALUMNO'")</f>
        <v>1098,'LICENCIATURA','jorgeluis.castromarquez','112195','TOMAR DEL SND','CASTRO MARQUEZ JORGE LUIS','INGENIERÍA AUTOMOTRIZ','2do','MASCULINO','ACTIVO','',0,0,'','ALUMNO'</v>
      </c>
      <c r="L99" s="16" t="str">
        <f>CONCATENATE($K$1,K99,");")</f>
        <v>INSERT INTO participantes (id,nivel,correo,matricula,clave,nombre,carrera,grado,sexo,situacion,evaluados,num_evaluados,total_evaluaciones,ultimo_acceso,nivel_acceso) VALUES (1098,'LICENCIATURA','jorgeluis.castromarquez','112195','TOMAR DEL SND','CASTRO MARQUEZ JORGE LUIS','INGENIERÍA AUTOMOTRIZ','2do','MASCULINO','ACTIVO','',0,0,'','ALUMNO');</v>
      </c>
      <c r="M99" s="16" t="str">
        <f>CONCATENATE("update participantes set correo=",C99," where id=",A99,";")</f>
        <v>update participantes set correo='jorgeluis.castromarquez' where id=1098;</v>
      </c>
    </row>
    <row r="100" spans="1:13" ht="130.5" x14ac:dyDescent="0.35">
      <c r="A100" s="16">
        <v>1099</v>
      </c>
      <c r="B100" s="18" t="s">
        <v>1754</v>
      </c>
      <c r="C100" s="16" t="str">
        <f>CONCATENATE("'",Alumnos!E117,"'")</f>
        <v>'brunosantiago.munozgutierrez'</v>
      </c>
      <c r="D100" s="16" t="str">
        <f>CONCATENATE(Alumnos!F117,"'")</f>
        <v>'112196'</v>
      </c>
      <c r="E100" s="16" t="s">
        <v>1755</v>
      </c>
      <c r="F100" s="16" t="str">
        <f>CONCATENATE("'",Alumnos!H117,"'")</f>
        <v>'MUÑOZ GUTIERREZ BRUNO SANTIAGO'</v>
      </c>
      <c r="G100" s="16" t="str">
        <f>CONCATENATE("'",Alumnos!I117,"'")</f>
        <v>'INGENIERÍA AUTOMOTRIZ'</v>
      </c>
      <c r="H100" s="16" t="str">
        <f>CONCATENATE("'",Alumnos!J117,"'")</f>
        <v>'2do'</v>
      </c>
      <c r="I100" s="16" t="str">
        <f>UPPER(CONCATENATE("'",Alumnos!K117,"'"))</f>
        <v>'MASCULINO'</v>
      </c>
      <c r="J100" s="16" t="str">
        <f>UPPER(CONCATENATE("'",Alumnos!L117,"'"))</f>
        <v>'ACTIVO'</v>
      </c>
      <c r="K100" s="16" t="str">
        <f>CONCATENATE(A100,",",B100,",",C100,",",D100,",'",E100,",",F100,",",G100,",",H100,",",UPPER(I100),",",UPPER(J100),",'',0,0,'','ALUMNO'")</f>
        <v>1099,'LICENCIATURA','brunosantiago.munozgutierrez','112196','TOMAR DEL SND','MUÑOZ GUTIERREZ BRUNO SANTIAGO','INGENIERÍA AUTOMOTRIZ','2do','MASCULINO','ACTIVO','',0,0,'','ALUMNO'</v>
      </c>
      <c r="L100" s="16" t="str">
        <f>CONCATENATE($K$1,K100,");")</f>
        <v>INSERT INTO participantes (id,nivel,correo,matricula,clave,nombre,carrera,grado,sexo,situacion,evaluados,num_evaluados,total_evaluaciones,ultimo_acceso,nivel_acceso) VALUES (1099,'LICENCIATURA','brunosantiago.munozgutierrez','112196','TOMAR DEL SND','MUÑOZ GUTIERREZ BRUNO SANTIAGO','INGENIERÍA AUTOMOTRIZ','2do','MASCULINO','ACTIVO','',0,0,'','ALUMNO');</v>
      </c>
      <c r="M100" s="16" t="str">
        <f>CONCATENATE("update participantes set correo=",C100," where id=",A100,";")</f>
        <v>update participantes set correo='brunosantiago.munozgutierrez' where id=1099;</v>
      </c>
    </row>
    <row r="101" spans="1:13" ht="116" x14ac:dyDescent="0.35">
      <c r="A101" s="16">
        <v>1100</v>
      </c>
      <c r="B101" s="18" t="s">
        <v>1754</v>
      </c>
      <c r="C101" s="16" t="str">
        <f>CONCATENATE("'",Alumnos!E325,"'")</f>
        <v>'jose.escobedogarcia'</v>
      </c>
      <c r="D101" s="16" t="str">
        <f>CONCATENATE(Alumnos!F325,"'")</f>
        <v>'112197'</v>
      </c>
      <c r="E101" s="16" t="s">
        <v>1755</v>
      </c>
      <c r="F101" s="16" t="str">
        <f>CONCATENATE("'",Alumnos!H325,"'")</f>
        <v>'ESCOBEDO GARCIA JOSE'</v>
      </c>
      <c r="G101" s="16" t="str">
        <f>CONCATENATE("'",Alumnos!I325,"'")</f>
        <v>'INGENIERÍA AUTOMOTRIZ'</v>
      </c>
      <c r="H101" s="16" t="str">
        <f>CONCATENATE("'",Alumnos!J325,"'")</f>
        <v>'2do'</v>
      </c>
      <c r="I101" s="16" t="str">
        <f>UPPER(CONCATENATE("'",Alumnos!K325,"'"))</f>
        <v>'MASCULINO'</v>
      </c>
      <c r="J101" s="16" t="str">
        <f>UPPER(CONCATENATE("'",Alumnos!L325,"'"))</f>
        <v>'ACTIVO'</v>
      </c>
      <c r="K101" s="16" t="str">
        <f>CONCATENATE(A101,",",B101,",",C101,",",D101,",'",E101,",",F101,",",G101,",",H101,",",UPPER(I101),",",UPPER(J101),",'',0,0,'','ALUMNO'")</f>
        <v>1100,'LICENCIATURA','jose.escobedogarcia','112197','TOMAR DEL SND','ESCOBEDO GARCIA JOSE','INGENIERÍA AUTOMOTRIZ','2do','MASCULINO','ACTIVO','',0,0,'','ALUMNO'</v>
      </c>
      <c r="L101" s="16" t="str">
        <f>CONCATENATE($K$1,K101,");")</f>
        <v>INSERT INTO participantes (id,nivel,correo,matricula,clave,nombre,carrera,grado,sexo,situacion,evaluados,num_evaluados,total_evaluaciones,ultimo_acceso,nivel_acceso) VALUES (1100,'LICENCIATURA','jose.escobedogarcia','112197','TOMAR DEL SND','ESCOBEDO GARCIA JOSE','INGENIERÍA AUTOMOTRIZ','2do','MASCULINO','ACTIVO','',0,0,'','ALUMNO');</v>
      </c>
      <c r="M101" s="16" t="str">
        <f>CONCATENATE("update participantes set correo=",C101," where id=",A101,";")</f>
        <v>update participantes set correo='jose.escobedogarcia' where id=1100;</v>
      </c>
    </row>
    <row r="102" spans="1:13" ht="130.5" x14ac:dyDescent="0.35">
      <c r="A102" s="16">
        <v>1101</v>
      </c>
      <c r="B102" s="18" t="s">
        <v>1754</v>
      </c>
      <c r="C102" s="16" t="str">
        <f>CONCATENATE("'",Alumnos!E420,"'")</f>
        <v>'luisrodolfo.lozanosanchez'</v>
      </c>
      <c r="D102" s="16" t="str">
        <f>CONCATENATE(Alumnos!F420,"'")</f>
        <v>'112198'</v>
      </c>
      <c r="E102" s="16" t="s">
        <v>1755</v>
      </c>
      <c r="F102" s="16" t="str">
        <f>CONCATENATE("'",Alumnos!H420,"'")</f>
        <v>'LOZANO SANCHEZ LUIS RODOLFO'</v>
      </c>
      <c r="G102" s="16" t="str">
        <f>CONCATENATE("'",Alumnos!I420,"'")</f>
        <v>'INGENIERÍA AUTOMOTRIZ'</v>
      </c>
      <c r="H102" s="16" t="str">
        <f>CONCATENATE("'",Alumnos!J420,"'")</f>
        <v>'2do'</v>
      </c>
      <c r="I102" s="16" t="str">
        <f>UPPER(CONCATENATE("'",Alumnos!K420,"'"))</f>
        <v>'MASCULINO'</v>
      </c>
      <c r="J102" s="16" t="str">
        <f>UPPER(CONCATENATE("'",Alumnos!L420,"'"))</f>
        <v>'ACTIVO'</v>
      </c>
      <c r="K102" s="16" t="str">
        <f>CONCATENATE(A102,",",B102,",",C102,",",D102,",'",E102,",",F102,",",G102,",",H102,",",UPPER(I102),",",UPPER(J102),",'',0,0,'','ALUMNO'")</f>
        <v>1101,'LICENCIATURA','luisrodolfo.lozanosanchez','112198','TOMAR DEL SND','LOZANO SANCHEZ LUIS RODOLFO','INGENIERÍA AUTOMOTRIZ','2do','MASCULINO','ACTIVO','',0,0,'','ALUMNO'</v>
      </c>
      <c r="L102" s="16" t="str">
        <f>CONCATENATE($K$1,K102,");")</f>
        <v>INSERT INTO participantes (id,nivel,correo,matricula,clave,nombre,carrera,grado,sexo,situacion,evaluados,num_evaluados,total_evaluaciones,ultimo_acceso,nivel_acceso) VALUES (1101,'LICENCIATURA','luisrodolfo.lozanosanchez','112198','TOMAR DEL SND','LOZANO SANCHEZ LUIS RODOLFO','INGENIERÍA AUTOMOTRIZ','2do','MASCULINO','ACTIVO','',0,0,'','ALUMNO');</v>
      </c>
      <c r="M102" s="16" t="str">
        <f>CONCATENATE("update participantes set correo=",C102," where id=",A102,";")</f>
        <v>update participantes set correo='luisrodolfo.lozanosanchez' where id=1101;</v>
      </c>
    </row>
    <row r="103" spans="1:13" ht="116" x14ac:dyDescent="0.35">
      <c r="A103" s="16">
        <v>1102</v>
      </c>
      <c r="B103" s="18" t="s">
        <v>1754</v>
      </c>
      <c r="C103" s="16" t="str">
        <f>CONCATENATE("'",Alumnos!E65,"'")</f>
        <v>'andres.delatorreperez'</v>
      </c>
      <c r="D103" s="16" t="str">
        <f>CONCATENATE(Alumnos!F65,"'")</f>
        <v>'112200'</v>
      </c>
      <c r="E103" s="16" t="s">
        <v>1755</v>
      </c>
      <c r="F103" s="16" t="str">
        <f>CONCATENATE("'",Alumnos!H65,"'")</f>
        <v>'DE LA TORRE PEREZ ANDRES'</v>
      </c>
      <c r="G103" s="16" t="str">
        <f>CONCATENATE("'",Alumnos!I65,"'")</f>
        <v>'INGENIERÍA AUTOMOTRIZ'</v>
      </c>
      <c r="H103" s="16" t="str">
        <f>CONCATENATE("'",Alumnos!J65,"'")</f>
        <v>'2do'</v>
      </c>
      <c r="I103" s="16" t="str">
        <f>UPPER(CONCATENATE("'",Alumnos!K65,"'"))</f>
        <v>'MASCULINO'</v>
      </c>
      <c r="J103" s="16" t="str">
        <f>UPPER(CONCATENATE("'",Alumnos!L65,"'"))</f>
        <v>'ACTIVO'</v>
      </c>
      <c r="K103" s="16" t="str">
        <f>CONCATENATE(A103,",",B103,",",C103,",",D103,",'",E103,",",F103,",",G103,",",H103,",",UPPER(I103),",",UPPER(J103),",'',0,0,'','ALUMNO'")</f>
        <v>1102,'LICENCIATURA','andres.delatorreperez','112200','TOMAR DEL SND','DE LA TORRE PEREZ ANDRES','INGENIERÍA AUTOMOTRIZ','2do','MASCULINO','ACTIVO','',0,0,'','ALUMNO'</v>
      </c>
      <c r="L103" s="16" t="str">
        <f>CONCATENATE($K$1,K103,");")</f>
        <v>INSERT INTO participantes (id,nivel,correo,matricula,clave,nombre,carrera,grado,sexo,situacion,evaluados,num_evaluados,total_evaluaciones,ultimo_acceso,nivel_acceso) VALUES (1102,'LICENCIATURA','andres.delatorreperez','112200','TOMAR DEL SND','DE LA TORRE PEREZ ANDRES','INGENIERÍA AUTOMOTRIZ','2do','MASCULINO','ACTIVO','',0,0,'','ALUMNO');</v>
      </c>
      <c r="M103" s="16" t="str">
        <f>CONCATENATE("update participantes set correo=",C103," where id=",A103,";")</f>
        <v>update participantes set correo='andres.delatorreperez' where id=1102;</v>
      </c>
    </row>
    <row r="104" spans="1:13" ht="130.5" x14ac:dyDescent="0.35">
      <c r="A104" s="16">
        <v>1103</v>
      </c>
      <c r="B104" s="18" t="s">
        <v>1754</v>
      </c>
      <c r="C104" s="16" t="str">
        <f>CONCATENATE("'",Alumnos!E125,"'")</f>
        <v>'carlososvaldo.medinadiaz'</v>
      </c>
      <c r="D104" s="16" t="str">
        <f>CONCATENATE(Alumnos!F125,"'")</f>
        <v>'112201'</v>
      </c>
      <c r="E104" s="16" t="s">
        <v>1755</v>
      </c>
      <c r="F104" s="16" t="str">
        <f>CONCATENATE("'",Alumnos!H125,"'")</f>
        <v>'MEDINA DIAZ CARLOS OSVALDO'</v>
      </c>
      <c r="G104" s="16" t="str">
        <f>CONCATENATE("'",Alumnos!I125,"'")</f>
        <v>'INGENIERÍA AUTOMOTRIZ'</v>
      </c>
      <c r="H104" s="16" t="str">
        <f>CONCATENATE("'",Alumnos!J125,"'")</f>
        <v>'2do'</v>
      </c>
      <c r="I104" s="16" t="str">
        <f>UPPER(CONCATENATE("'",Alumnos!K125,"'"))</f>
        <v>'MASCULINO'</v>
      </c>
      <c r="J104" s="16" t="str">
        <f>UPPER(CONCATENATE("'",Alumnos!L125,"'"))</f>
        <v>'ACTIVO'</v>
      </c>
      <c r="K104" s="16" t="str">
        <f>CONCATENATE(A104,",",B104,",",C104,",",D104,",'",E104,",",F104,",",G104,",",H104,",",UPPER(I104),",",UPPER(J104),",'',0,0,'','ALUMNO'")</f>
        <v>1103,'LICENCIATURA','carlososvaldo.medinadiaz','112201','TOMAR DEL SND','MEDINA DIAZ CARLOS OSVALDO','INGENIERÍA AUTOMOTRIZ','2do','MASCULINO','ACTIVO','',0,0,'','ALUMNO'</v>
      </c>
      <c r="L104" s="16" t="str">
        <f>CONCATENATE($K$1,K104,");")</f>
        <v>INSERT INTO participantes (id,nivel,correo,matricula,clave,nombre,carrera,grado,sexo,situacion,evaluados,num_evaluados,total_evaluaciones,ultimo_acceso,nivel_acceso) VALUES (1103,'LICENCIATURA','carlososvaldo.medinadiaz','112201','TOMAR DEL SND','MEDINA DIAZ CARLOS OSVALDO','INGENIERÍA AUTOMOTRIZ','2do','MASCULINO','ACTIVO','',0,0,'','ALUMNO');</v>
      </c>
      <c r="M104" s="16" t="str">
        <f>CONCATENATE("update participantes set correo=",C104," where id=",A104,";")</f>
        <v>update participantes set correo='carlososvaldo.medinadiaz' where id=1103;</v>
      </c>
    </row>
    <row r="105" spans="1:13" ht="130.5" x14ac:dyDescent="0.35">
      <c r="A105" s="16">
        <v>1104</v>
      </c>
      <c r="B105" s="18" t="s">
        <v>1754</v>
      </c>
      <c r="C105" s="16" t="str">
        <f>CONCATENATE("'",Alumnos!E244,"'")</f>
        <v>'francoeduardo.romerovalerio'</v>
      </c>
      <c r="D105" s="16" t="str">
        <f>CONCATENATE(Alumnos!F244,"'")</f>
        <v>'112202'</v>
      </c>
      <c r="E105" s="16" t="s">
        <v>1755</v>
      </c>
      <c r="F105" s="16" t="str">
        <f>CONCATENATE("'",Alumnos!H244,"'")</f>
        <v>'ROMERO VALERIO FRANCO EDUARDO'</v>
      </c>
      <c r="G105" s="16" t="str">
        <f>CONCATENATE("'",Alumnos!I244,"'")</f>
        <v>'INGENIERÍA AUTOMOTRIZ'</v>
      </c>
      <c r="H105" s="16" t="str">
        <f>CONCATENATE("'",Alumnos!J244,"'")</f>
        <v>'2do'</v>
      </c>
      <c r="I105" s="16" t="str">
        <f>UPPER(CONCATENATE("'",Alumnos!K244,"'"))</f>
        <v>'MASCULINO'</v>
      </c>
      <c r="J105" s="16" t="str">
        <f>UPPER(CONCATENATE("'",Alumnos!L244,"'"))</f>
        <v>'ACTIVO'</v>
      </c>
      <c r="K105" s="16" t="str">
        <f>CONCATENATE(A105,",",B105,",",C105,",",D105,",'",E105,",",F105,",",G105,",",H105,",",UPPER(I105),",",UPPER(J105),",'',0,0,'','ALUMNO'")</f>
        <v>1104,'LICENCIATURA','francoeduardo.romerovalerio','112202','TOMAR DEL SND','ROMERO VALERIO FRANCO EDUARDO','INGENIERÍA AUTOMOTRIZ','2do','MASCULINO','ACTIVO','',0,0,'','ALUMNO'</v>
      </c>
      <c r="L105" s="16" t="str">
        <f>CONCATENATE($K$1,K105,");")</f>
        <v>INSERT INTO participantes (id,nivel,correo,matricula,clave,nombre,carrera,grado,sexo,situacion,evaluados,num_evaluados,total_evaluaciones,ultimo_acceso,nivel_acceso) VALUES (1104,'LICENCIATURA','francoeduardo.romerovalerio','112202','TOMAR DEL SND','ROMERO VALERIO FRANCO EDUARDO','INGENIERÍA AUTOMOTRIZ','2do','MASCULINO','ACTIVO','',0,0,'','ALUMNO');</v>
      </c>
      <c r="M105" s="16" t="str">
        <f>CONCATENATE("update participantes set correo=",C105," where id=",A105,";")</f>
        <v>update participantes set correo='francoeduardo.romerovalerio' where id=1104;</v>
      </c>
    </row>
    <row r="106" spans="1:13" ht="130.5" x14ac:dyDescent="0.35">
      <c r="A106" s="16">
        <v>1105</v>
      </c>
      <c r="B106" s="18" t="s">
        <v>1754</v>
      </c>
      <c r="C106" s="16" t="str">
        <f>CONCATENATE("'",Alumnos!E592,"'")</f>
        <v>'valentina.palominorodriguez'</v>
      </c>
      <c r="D106" s="16" t="str">
        <f>CONCATENATE(Alumnos!F592,"'")</f>
        <v>'112204'</v>
      </c>
      <c r="E106" s="16" t="s">
        <v>1755</v>
      </c>
      <c r="F106" s="16" t="str">
        <f>CONCATENATE("'",Alumnos!H592,"'")</f>
        <v>'PALOMINO RODRIGUEZ VALENTINA'</v>
      </c>
      <c r="G106" s="16" t="str">
        <f>CONCATENATE("'",Alumnos!I592,"'")</f>
        <v>'INGENIERÍA AUTOMOTRIZ'</v>
      </c>
      <c r="H106" s="16" t="str">
        <f>CONCATENATE("'",Alumnos!J592,"'")</f>
        <v>'2do'</v>
      </c>
      <c r="I106" s="16" t="str">
        <f>UPPER(CONCATENATE("'",Alumnos!K592,"'"))</f>
        <v>'FEMENINO'</v>
      </c>
      <c r="J106" s="16" t="str">
        <f>UPPER(CONCATENATE("'",Alumnos!L592,"'"))</f>
        <v>'ACTIVO'</v>
      </c>
      <c r="K106" s="16" t="str">
        <f>CONCATENATE(A106,",",B106,",",C106,",",D106,",'",E106,",",F106,",",G106,",",H106,",",UPPER(I106),",",UPPER(J106),",'',0,0,'','ALUMNO'")</f>
        <v>1105,'LICENCIATURA','valentina.palominorodriguez','112204','TOMAR DEL SND','PALOMINO RODRIGUEZ VALENTINA','INGENIERÍA AUTOMOTRIZ','2do','FEMENINO','ACTIVO','',0,0,'','ALUMNO'</v>
      </c>
      <c r="L106" s="16" t="str">
        <f>CONCATENATE($K$1,K106,");")</f>
        <v>INSERT INTO participantes (id,nivel,correo,matricula,clave,nombre,carrera,grado,sexo,situacion,evaluados,num_evaluados,total_evaluaciones,ultimo_acceso,nivel_acceso) VALUES (1105,'LICENCIATURA','valentina.palominorodriguez','112204','TOMAR DEL SND','PALOMINO RODRIGUEZ VALENTINA','INGENIERÍA AUTOMOTRIZ','2do','FEMENINO','ACTIVO','',0,0,'','ALUMNO');</v>
      </c>
      <c r="M106" s="16" t="str">
        <f>CONCATENATE("update participantes set correo=",C106," where id=",A106,";")</f>
        <v>update participantes set correo='valentina.palominorodriguez' where id=1105;</v>
      </c>
    </row>
    <row r="107" spans="1:13" ht="130.5" x14ac:dyDescent="0.35">
      <c r="A107" s="16">
        <v>1106</v>
      </c>
      <c r="B107" s="18" t="s">
        <v>1754</v>
      </c>
      <c r="C107" s="16" t="str">
        <f>CONCATENATE("'",Alumnos!E328,"'")</f>
        <v>'josealfredo.perezmarquez'</v>
      </c>
      <c r="D107" s="16" t="str">
        <f>CONCATENATE(Alumnos!F328,"'")</f>
        <v>'112205'</v>
      </c>
      <c r="E107" s="16" t="s">
        <v>1755</v>
      </c>
      <c r="F107" s="16" t="str">
        <f>CONCATENATE("'",Alumnos!H328,"'")</f>
        <v>'PEREZ MARQUEZ JOSE ALFREDO'</v>
      </c>
      <c r="G107" s="16" t="str">
        <f>CONCATENATE("'",Alumnos!I328,"'")</f>
        <v>'INGENIERÍA AUTOMOTRIZ'</v>
      </c>
      <c r="H107" s="16" t="str">
        <f>CONCATENATE("'",Alumnos!J328,"'")</f>
        <v>'2do'</v>
      </c>
      <c r="I107" s="16" t="str">
        <f>UPPER(CONCATENATE("'",Alumnos!K328,"'"))</f>
        <v>'MASCULINO'</v>
      </c>
      <c r="J107" s="16" t="str">
        <f>UPPER(CONCATENATE("'",Alumnos!L328,"'"))</f>
        <v>'ACTIVO'</v>
      </c>
      <c r="K107" s="16" t="str">
        <f>CONCATENATE(A107,",",B107,",",C107,",",D107,",'",E107,",",F107,",",G107,",",H107,",",UPPER(I107),",",UPPER(J107),",'',0,0,'','ALUMNO'")</f>
        <v>1106,'LICENCIATURA','josealfredo.perezmarquez','112205','TOMAR DEL SND','PEREZ MARQUEZ JOSE ALFREDO','INGENIERÍA AUTOMOTRIZ','2do','MASCULINO','ACTIVO','',0,0,'','ALUMNO'</v>
      </c>
      <c r="L107" s="16" t="str">
        <f>CONCATENATE($K$1,K107,");")</f>
        <v>INSERT INTO participantes (id,nivel,correo,matricula,clave,nombre,carrera,grado,sexo,situacion,evaluados,num_evaluados,total_evaluaciones,ultimo_acceso,nivel_acceso) VALUES (1106,'LICENCIATURA','josealfredo.perezmarquez','112205','TOMAR DEL SND','PEREZ MARQUEZ JOSE ALFREDO','INGENIERÍA AUTOMOTRIZ','2do','MASCULINO','ACTIVO','',0,0,'','ALUMNO');</v>
      </c>
      <c r="M107" s="16" t="str">
        <f>CONCATENATE("update participantes set correo=",C107," where id=",A107,";")</f>
        <v>update participantes set correo='josealfredo.perezmarquez' where id=1106;</v>
      </c>
    </row>
    <row r="108" spans="1:13" ht="130.5" x14ac:dyDescent="0.35">
      <c r="A108" s="16">
        <v>1107</v>
      </c>
      <c r="B108" s="18" t="s">
        <v>1754</v>
      </c>
      <c r="C108" s="16" t="str">
        <f>CONCATENATE("'",Alumnos!E68,"'")</f>
        <v>'andresismael.perezperez'</v>
      </c>
      <c r="D108" s="16" t="str">
        <f>CONCATENATE(Alumnos!F68,"'")</f>
        <v>'112206'</v>
      </c>
      <c r="E108" s="16" t="s">
        <v>1755</v>
      </c>
      <c r="F108" s="16" t="str">
        <f>CONCATENATE("'",Alumnos!H68,"'")</f>
        <v>'PEREZ PEREZ ANDRES ISMAEL'</v>
      </c>
      <c r="G108" s="16" t="str">
        <f>CONCATENATE("'",Alumnos!I68,"'")</f>
        <v>'INGENIERÍA AUTOMOTRIZ'</v>
      </c>
      <c r="H108" s="16" t="str">
        <f>CONCATENATE("'",Alumnos!J68,"'")</f>
        <v>'2do'</v>
      </c>
      <c r="I108" s="16" t="str">
        <f>UPPER(CONCATENATE("'",Alumnos!K68,"'"))</f>
        <v>'MASCULINO'</v>
      </c>
      <c r="J108" s="16" t="str">
        <f>UPPER(CONCATENATE("'",Alumnos!L68,"'"))</f>
        <v>'ACTIVO'</v>
      </c>
      <c r="K108" s="16" t="str">
        <f>CONCATENATE(A108,",",B108,",",C108,",",D108,",'",E108,",",F108,",",G108,",",H108,",",UPPER(I108),",",UPPER(J108),",'',0,0,'','ALUMNO'")</f>
        <v>1107,'LICENCIATURA','andresismael.perezperez','112206','TOMAR DEL SND','PEREZ PEREZ ANDRES ISMAEL','INGENIERÍA AUTOMOTRIZ','2do','MASCULINO','ACTIVO','',0,0,'','ALUMNO'</v>
      </c>
      <c r="L108" s="16" t="str">
        <f>CONCATENATE($K$1,K108,");")</f>
        <v>INSERT INTO participantes (id,nivel,correo,matricula,clave,nombre,carrera,grado,sexo,situacion,evaluados,num_evaluados,total_evaluaciones,ultimo_acceso,nivel_acceso) VALUES (1107,'LICENCIATURA','andresismael.perezperez','112206','TOMAR DEL SND','PEREZ PEREZ ANDRES ISMAEL','INGENIERÍA AUTOMOTRIZ','2do','MASCULINO','ACTIVO','',0,0,'','ALUMNO');</v>
      </c>
      <c r="M108" s="16" t="str">
        <f>CONCATENATE("update participantes set correo=",C108," where id=",A108,";")</f>
        <v>update participantes set correo='andresismael.perezperez' where id=1107;</v>
      </c>
    </row>
    <row r="109" spans="1:13" ht="130.5" x14ac:dyDescent="0.35">
      <c r="A109" s="16">
        <v>1108</v>
      </c>
      <c r="B109" s="18" t="s">
        <v>1754</v>
      </c>
      <c r="C109" s="16" t="str">
        <f>CONCATENATE("'",Alumnos!E608,"'")</f>
        <v>'victormanuel.velascolievanos'</v>
      </c>
      <c r="D109" s="16" t="str">
        <f>CONCATENATE(Alumnos!F608,"'")</f>
        <v>'112208'</v>
      </c>
      <c r="E109" s="16" t="s">
        <v>1755</v>
      </c>
      <c r="F109" s="16" t="str">
        <f>CONCATENATE("'",Alumnos!H608,"'")</f>
        <v>'VELASCO LIEVANOS VICTOR MANUEL'</v>
      </c>
      <c r="G109" s="16" t="str">
        <f>CONCATENATE("'",Alumnos!I608,"'")</f>
        <v>'INGENIERÍA AUTOMOTRIZ'</v>
      </c>
      <c r="H109" s="16" t="str">
        <f>CONCATENATE("'",Alumnos!J608,"'")</f>
        <v>'2do'</v>
      </c>
      <c r="I109" s="16" t="str">
        <f>UPPER(CONCATENATE("'",Alumnos!K608,"'"))</f>
        <v>'MASCULINO'</v>
      </c>
      <c r="J109" s="16" t="str">
        <f>UPPER(CONCATENATE("'",Alumnos!L608,"'"))</f>
        <v>'ACTIVO'</v>
      </c>
      <c r="K109" s="16" t="str">
        <f>CONCATENATE(A109,",",B109,",",C109,",",D109,",'",E109,",",F109,",",G109,",",H109,",",UPPER(I109),",",UPPER(J109),",'',0,0,'','ALUMNO'")</f>
        <v>1108,'LICENCIATURA','victormanuel.velascolievanos','112208','TOMAR DEL SND','VELASCO LIEVANOS VICTOR MANUEL','INGENIERÍA AUTOMOTRIZ','2do','MASCULINO','ACTIVO','',0,0,'','ALUMNO'</v>
      </c>
      <c r="L109" s="16" t="str">
        <f>CONCATENATE($K$1,K109,");")</f>
        <v>INSERT INTO participantes (id,nivel,correo,matricula,clave,nombre,carrera,grado,sexo,situacion,evaluados,num_evaluados,total_evaluaciones,ultimo_acceso,nivel_acceso) VALUES (1108,'LICENCIATURA','victormanuel.velascolievanos','112208','TOMAR DEL SND','VELASCO LIEVANOS VICTOR MANUEL','INGENIERÍA AUTOMOTRIZ','2do','MASCULINO','ACTIVO','',0,0,'','ALUMNO');</v>
      </c>
      <c r="M109" s="16" t="str">
        <f>CONCATENATE("update participantes set correo=",C109," where id=",A109,";")</f>
        <v>update participantes set correo='victormanuel.velascolievanos' where id=1108;</v>
      </c>
    </row>
    <row r="110" spans="1:13" ht="116" x14ac:dyDescent="0.35">
      <c r="A110" s="16">
        <v>1109</v>
      </c>
      <c r="B110" s="18" t="s">
        <v>1754</v>
      </c>
      <c r="C110" s="16" t="str">
        <f>CONCATENATE("'",Alumnos!E510,"'")</f>
        <v>'oscarisrael.vazquezmunoz'</v>
      </c>
      <c r="D110" s="16" t="str">
        <f>CONCATENATE(Alumnos!F510,"'")</f>
        <v>'112210'</v>
      </c>
      <c r="E110" s="16" t="s">
        <v>1755</v>
      </c>
      <c r="F110" s="16" t="str">
        <f>CONCATENATE("'",Alumnos!H510,"'")</f>
        <v>'VAZQUEZ MUÑOZ OSCAR ISRAEL'</v>
      </c>
      <c r="G110" s="16" t="str">
        <f>CONCATENATE("'",Alumnos!I510,"'")</f>
        <v>'ADMINISTRACION Y DIRECCION DE NEGOCIOS'</v>
      </c>
      <c r="H110" s="16" t="str">
        <f>CONCATENATE("'",Alumnos!J510,"'")</f>
        <v>'2do'</v>
      </c>
      <c r="I110" s="16" t="str">
        <f>UPPER(CONCATENATE("'",Alumnos!K510,"'"))</f>
        <v>'MASCULINO'</v>
      </c>
      <c r="J110" s="16" t="str">
        <f>UPPER(CONCATENATE("'",Alumnos!L510,"'"))</f>
        <v>'ACTIVO'</v>
      </c>
      <c r="K110" s="16" t="str">
        <f>CONCATENATE(A110,",",B110,",",C110,",",D110,",'",E110,",",F110,",",G110,",",H110,",",UPPER(I110),",",UPPER(J110),",'',0,0,'','ALUMNO'")</f>
        <v>1109,'LICENCIATURA','oscarisrael.vazquezmunoz','112210','TOMAR DEL SND','VAZQUEZ MUÑOZ OSCAR ISRAEL','ADMINISTRACION Y DIRECCION DE NEGOCIOS','2do','MASCULINO','ACTIVO','',0,0,'','ALUMNO'</v>
      </c>
      <c r="L110" s="16" t="str">
        <f>CONCATENATE($K$1,K110,");")</f>
        <v>INSERT INTO participantes (id,nivel,correo,matricula,clave,nombre,carrera,grado,sexo,situacion,evaluados,num_evaluados,total_evaluaciones,ultimo_acceso,nivel_acceso) VALUES (1109,'LICENCIATURA','oscarisrael.vazquezmunoz','112210','TOMAR DEL SND','VAZQUEZ MUÑOZ OSCAR ISRAEL','ADMINISTRACION Y DIRECCION DE NEGOCIOS','2do','MASCULINO','ACTIVO','',0,0,'','ALUMNO');</v>
      </c>
      <c r="M110" s="16" t="str">
        <f>CONCATENATE("update participantes set correo=",C110," where id=",A110,";")</f>
        <v>update participantes set correo='oscarisrael.vazquezmunoz' where id=1109;</v>
      </c>
    </row>
    <row r="111" spans="1:13" ht="116" x14ac:dyDescent="0.35">
      <c r="A111" s="16">
        <v>1110</v>
      </c>
      <c r="B111" s="18" t="s">
        <v>1754</v>
      </c>
      <c r="C111" s="16" t="str">
        <f>CONCATENATE("'",Alumnos!E290,"'")</f>
        <v>'jacobo.nunezvega'</v>
      </c>
      <c r="D111" s="16" t="str">
        <f>CONCATENATE(Alumnos!F290,"'")</f>
        <v>'112211'</v>
      </c>
      <c r="E111" s="16" t="s">
        <v>1755</v>
      </c>
      <c r="F111" s="16" t="str">
        <f>CONCATENATE("'",Alumnos!H290,"'")</f>
        <v>'NUÑEZ VEGA JACOBO'</v>
      </c>
      <c r="G111" s="16" t="str">
        <f>CONCATENATE("'",Alumnos!I290,"'")</f>
        <v>'INGENIERIA AEROESPACIAL'</v>
      </c>
      <c r="H111" s="16" t="str">
        <f>CONCATENATE("'",Alumnos!J290,"'")</f>
        <v>'2do'</v>
      </c>
      <c r="I111" s="16" t="str">
        <f>UPPER(CONCATENATE("'",Alumnos!K290,"'"))</f>
        <v>'MASCULINO'</v>
      </c>
      <c r="J111" s="16" t="str">
        <f>UPPER(CONCATENATE("'",Alumnos!L290,"'"))</f>
        <v>'ACTIVO'</v>
      </c>
      <c r="K111" s="16" t="str">
        <f>CONCATENATE(A111,",",B111,",",C111,",",D111,",'",E111,",",F111,",",G111,",",H111,",",UPPER(I111),",",UPPER(J111),",'',0,0,'','ALUMNO'")</f>
        <v>1110,'LICENCIATURA','jacobo.nunezvega','112211','TOMAR DEL SND','NUÑEZ VEGA JACOBO','INGENIERIA AEROESPACIAL','2do','MASCULINO','ACTIVO','',0,0,'','ALUMNO'</v>
      </c>
      <c r="L111" s="16" t="str">
        <f>CONCATENATE($K$1,K111,");")</f>
        <v>INSERT INTO participantes (id,nivel,correo,matricula,clave,nombre,carrera,grado,sexo,situacion,evaluados,num_evaluados,total_evaluaciones,ultimo_acceso,nivel_acceso) VALUES (1110,'LICENCIATURA','jacobo.nunezvega','112211','TOMAR DEL SND','NUÑEZ VEGA JACOBO','INGENIERIA AEROESPACIAL','2do','MASCULINO','ACTIVO','',0,0,'','ALUMNO');</v>
      </c>
      <c r="M111" s="16" t="str">
        <f>CONCATENATE("update participantes set correo=",C111," where id=",A111,";")</f>
        <v>update participantes set correo='jacobo.nunezvega' where id=1110;</v>
      </c>
    </row>
    <row r="112" spans="1:13" ht="116" x14ac:dyDescent="0.35">
      <c r="A112" s="16">
        <v>1111</v>
      </c>
      <c r="B112" s="18" t="s">
        <v>1754</v>
      </c>
      <c r="C112" s="16" t="str">
        <f>CONCATENATE("'",Alumnos!E451,"'")</f>
        <v>'marianasujey.villacruz'</v>
      </c>
      <c r="D112" s="16" t="str">
        <f>CONCATENATE(Alumnos!F451,"'")</f>
        <v>'112213'</v>
      </c>
      <c r="E112" s="16" t="s">
        <v>1755</v>
      </c>
      <c r="F112" s="16" t="str">
        <f>CONCATENATE("'",Alumnos!H451,"'")</f>
        <v>'VILLA CRUZ MARIANA SUJEY'</v>
      </c>
      <c r="G112" s="16" t="str">
        <f>CONCATENATE("'",Alumnos!I451,"'")</f>
        <v>'ADMINISTRACION Y DIRECCION DE NEGOCIOS'</v>
      </c>
      <c r="H112" s="16" t="str">
        <f>CONCATENATE("'",Alumnos!J451,"'")</f>
        <v>'2do'</v>
      </c>
      <c r="I112" s="16" t="str">
        <f>UPPER(CONCATENATE("'",Alumnos!K451,"'"))</f>
        <v>'FEMENINO'</v>
      </c>
      <c r="J112" s="16" t="str">
        <f>UPPER(CONCATENATE("'",Alumnos!L451,"'"))</f>
        <v>'ACTIVO'</v>
      </c>
      <c r="K112" s="16" t="str">
        <f>CONCATENATE(A112,",",B112,",",C112,",",D112,",'",E112,",",F112,",",G112,",",H112,",",UPPER(I112),",",UPPER(J112),",'',0,0,'','ALUMNO'")</f>
        <v>1111,'LICENCIATURA','marianasujey.villacruz','112213','TOMAR DEL SND','VILLA CRUZ MARIANA SUJEY','ADMINISTRACION Y DIRECCION DE NEGOCIOS','2do','FEMENINO','ACTIVO','',0,0,'','ALUMNO'</v>
      </c>
      <c r="L112" s="16" t="str">
        <f>CONCATENATE($K$1,K112,");")</f>
        <v>INSERT INTO participantes (id,nivel,correo,matricula,clave,nombre,carrera,grado,sexo,situacion,evaluados,num_evaluados,total_evaluaciones,ultimo_acceso,nivel_acceso) VALUES (1111,'LICENCIATURA','marianasujey.villacruz','112213','TOMAR DEL SND','VILLA CRUZ MARIANA SUJEY','ADMINISTRACION Y DIRECCION DE NEGOCIOS','2do','FEMENINO','ACTIVO','',0,0,'','ALUMNO');</v>
      </c>
      <c r="M112" s="16" t="str">
        <f>CONCATENATE("update participantes set correo=",C112," where id=",A112,";")</f>
        <v>update participantes set correo='marianasujey.villacruz' where id=1111;</v>
      </c>
    </row>
    <row r="113" spans="1:13" ht="130.5" x14ac:dyDescent="0.35">
      <c r="A113" s="16">
        <v>1112</v>
      </c>
      <c r="B113" s="18" t="s">
        <v>1754</v>
      </c>
      <c r="C113" s="16" t="str">
        <f>CONCATENATE("'",Alumnos!E169,"'")</f>
        <v>'dariamadai.alcarazarroyo'</v>
      </c>
      <c r="D113" s="16" t="str">
        <f>CONCATENATE(Alumnos!F169,"'")</f>
        <v>'112215'</v>
      </c>
      <c r="E113" s="16" t="s">
        <v>1755</v>
      </c>
      <c r="F113" s="16" t="str">
        <f>CONCATENATE("'",Alumnos!H169,"'")</f>
        <v>'ALCARAZ ARROYO DARIA MADAI'</v>
      </c>
      <c r="G113" s="16" t="str">
        <f>CONCATENATE("'",Alumnos!I169,"'")</f>
        <v>'INGENIERIA AEROESPACIAL'</v>
      </c>
      <c r="H113" s="16" t="str">
        <f>CONCATENATE("'",Alumnos!J169,"'")</f>
        <v>'2do'</v>
      </c>
      <c r="I113" s="16" t="str">
        <f>UPPER(CONCATENATE("'",Alumnos!K169,"'"))</f>
        <v>'FEMENINO'</v>
      </c>
      <c r="J113" s="16" t="str">
        <f>UPPER(CONCATENATE("'",Alumnos!L169,"'"))</f>
        <v>'ACTIVO'</v>
      </c>
      <c r="K113" s="16" t="str">
        <f>CONCATENATE(A113,",",B113,",",C113,",",D113,",'",E113,",",F113,",",G113,",",H113,",",UPPER(I113),",",UPPER(J113),",'',0,0,'','ALUMNO'")</f>
        <v>1112,'LICENCIATURA','dariamadai.alcarazarroyo','112215','TOMAR DEL SND','ALCARAZ ARROYO DARIA MADAI','INGENIERIA AEROESPACIAL','2do','FEMENINO','ACTIVO','',0,0,'','ALUMNO'</v>
      </c>
      <c r="L113" s="16" t="str">
        <f>CONCATENATE($K$1,K113,");")</f>
        <v>INSERT INTO participantes (id,nivel,correo,matricula,clave,nombre,carrera,grado,sexo,situacion,evaluados,num_evaluados,total_evaluaciones,ultimo_acceso,nivel_acceso) VALUES (1112,'LICENCIATURA','dariamadai.alcarazarroyo','112215','TOMAR DEL SND','ALCARAZ ARROYO DARIA MADAI','INGENIERIA AEROESPACIAL','2do','FEMENINO','ACTIVO','',0,0,'','ALUMNO');</v>
      </c>
      <c r="M113" s="16" t="str">
        <f>CONCATENATE("update participantes set correo=",C113," where id=",A113,";")</f>
        <v>update participantes set correo='dariamadai.alcarazarroyo' where id=1112;</v>
      </c>
    </row>
    <row r="114" spans="1:13" ht="116" x14ac:dyDescent="0.35">
      <c r="A114" s="16">
        <v>1113</v>
      </c>
      <c r="B114" s="18" t="s">
        <v>1754</v>
      </c>
      <c r="C114" s="16" t="str">
        <f>CONCATENATE("'",Alumnos!E492,"'")</f>
        <v>'natalie.fernleysuccar'</v>
      </c>
      <c r="D114" s="16" t="str">
        <f>CONCATENATE(Alumnos!F492,"'")</f>
        <v>'112216'</v>
      </c>
      <c r="E114" s="16" t="s">
        <v>1755</v>
      </c>
      <c r="F114" s="16" t="str">
        <f>CONCATENATE("'",Alumnos!H492,"'")</f>
        <v>'FERNLEY SUCCAR NATALIE'</v>
      </c>
      <c r="G114" s="16" t="str">
        <f>CONCATENATE("'",Alumnos!I492,"'")</f>
        <v>'INGENIERÍA AUTOMOTRIZ'</v>
      </c>
      <c r="H114" s="16" t="str">
        <f>CONCATENATE("'",Alumnos!J492,"'")</f>
        <v>'2do'</v>
      </c>
      <c r="I114" s="16" t="str">
        <f>UPPER(CONCATENATE("'",Alumnos!K492,"'"))</f>
        <v>'FEMENINO'</v>
      </c>
      <c r="J114" s="16" t="str">
        <f>UPPER(CONCATENATE("'",Alumnos!L492,"'"))</f>
        <v>'ACTIVO'</v>
      </c>
      <c r="K114" s="16" t="str">
        <f>CONCATENATE(A114,",",B114,",",C114,",",D114,",'",E114,",",F114,",",G114,",",H114,",",UPPER(I114),",",UPPER(J114),",'',0,0,'','ALUMNO'")</f>
        <v>1113,'LICENCIATURA','natalie.fernleysuccar','112216','TOMAR DEL SND','FERNLEY SUCCAR NATALIE','INGENIERÍA AUTOMOTRIZ','2do','FEMENINO','ACTIVO','',0,0,'','ALUMNO'</v>
      </c>
      <c r="L114" s="16" t="str">
        <f>CONCATENATE($K$1,K114,");")</f>
        <v>INSERT INTO participantes (id,nivel,correo,matricula,clave,nombre,carrera,grado,sexo,situacion,evaluados,num_evaluados,total_evaluaciones,ultimo_acceso,nivel_acceso) VALUES (1113,'LICENCIATURA','natalie.fernleysuccar','112216','TOMAR DEL SND','FERNLEY SUCCAR NATALIE','INGENIERÍA AUTOMOTRIZ','2do','FEMENINO','ACTIVO','',0,0,'','ALUMNO');</v>
      </c>
      <c r="M114" s="16" t="str">
        <f>CONCATENATE("update participantes set correo=",C114," where id=",A114,";")</f>
        <v>update participantes set correo='natalie.fernleysuccar' where id=1113;</v>
      </c>
    </row>
    <row r="115" spans="1:13" ht="116" x14ac:dyDescent="0.35">
      <c r="A115" s="16">
        <v>1114</v>
      </c>
      <c r="B115" s="18" t="s">
        <v>1754</v>
      </c>
      <c r="C115" s="16" t="str">
        <f>CONCATENATE("'",Alumnos!E217,"'")</f>
        <v>'emilio.esparzaamaral'</v>
      </c>
      <c r="D115" s="16" t="str">
        <f>CONCATENATE(Alumnos!F217,"'")</f>
        <v>'112217'</v>
      </c>
      <c r="E115" s="16" t="s">
        <v>1755</v>
      </c>
      <c r="F115" s="16" t="str">
        <f>CONCATENATE("'",Alumnos!H217,"'")</f>
        <v>'ESPARZA AMARAL EMILIO'</v>
      </c>
      <c r="G115" s="16" t="str">
        <f>CONCATENATE("'",Alumnos!I217,"'")</f>
        <v>'INGENIERIA AEROESPACIAL'</v>
      </c>
      <c r="H115" s="16" t="str">
        <f>CONCATENATE("'",Alumnos!J217,"'")</f>
        <v>'2do'</v>
      </c>
      <c r="I115" s="16" t="str">
        <f>UPPER(CONCATENATE("'",Alumnos!K217,"'"))</f>
        <v>'MASCULINO'</v>
      </c>
      <c r="J115" s="16" t="str">
        <f>UPPER(CONCATENATE("'",Alumnos!L217,"'"))</f>
        <v>'ACTIVO'</v>
      </c>
      <c r="K115" s="16" t="str">
        <f>CONCATENATE(A115,",",B115,",",C115,",",D115,",'",E115,",",F115,",",G115,",",H115,",",UPPER(I115),",",UPPER(J115),",'',0,0,'','ALUMNO'")</f>
        <v>1114,'LICENCIATURA','emilio.esparzaamaral','112217','TOMAR DEL SND','ESPARZA AMARAL EMILIO','INGENIERIA AEROESPACIAL','2do','MASCULINO','ACTIVO','',0,0,'','ALUMNO'</v>
      </c>
      <c r="L115" s="16" t="str">
        <f>CONCATENATE($K$1,K115,");")</f>
        <v>INSERT INTO participantes (id,nivel,correo,matricula,clave,nombre,carrera,grado,sexo,situacion,evaluados,num_evaluados,total_evaluaciones,ultimo_acceso,nivel_acceso) VALUES (1114,'LICENCIATURA','emilio.esparzaamaral','112217','TOMAR DEL SND','ESPARZA AMARAL EMILIO','INGENIERIA AEROESPACIAL','2do','MASCULINO','ACTIVO','',0,0,'','ALUMNO');</v>
      </c>
      <c r="M115" s="16" t="str">
        <f>CONCATENATE("update participantes set correo=",C115," where id=",A115,";")</f>
        <v>update participantes set correo='emilio.esparzaamaral' where id=1114;</v>
      </c>
    </row>
    <row r="116" spans="1:13" ht="116" x14ac:dyDescent="0.35">
      <c r="A116" s="16">
        <v>1115</v>
      </c>
      <c r="B116" s="18" t="s">
        <v>1754</v>
      </c>
      <c r="C116" s="16" t="str">
        <f>CONCATENATE("'",Alumnos!E120,"'")</f>
        <v>'carlosalonso.morenodiaz'</v>
      </c>
      <c r="D116" s="16" t="str">
        <f>CONCATENATE(Alumnos!F120,"'")</f>
        <v>'112218'</v>
      </c>
      <c r="E116" s="16" t="s">
        <v>1755</v>
      </c>
      <c r="F116" s="16" t="str">
        <f>CONCATENATE("'",Alumnos!H120,"'")</f>
        <v>'MORENO DIAZ CARLOS ALONSO'</v>
      </c>
      <c r="G116" s="16" t="str">
        <f>CONCATENATE("'",Alumnos!I120,"'")</f>
        <v>'PSICOLOGIA'</v>
      </c>
      <c r="H116" s="16" t="str">
        <f>CONCATENATE("'",Alumnos!J120,"'")</f>
        <v>'2do'</v>
      </c>
      <c r="I116" s="16" t="str">
        <f>UPPER(CONCATENATE("'",Alumnos!K120,"'"))</f>
        <v>'MASCULINO'</v>
      </c>
      <c r="J116" s="16" t="str">
        <f>UPPER(CONCATENATE("'",Alumnos!L120,"'"))</f>
        <v>'ACTIVO'</v>
      </c>
      <c r="K116" s="16" t="str">
        <f>CONCATENATE(A116,",",B116,",",C116,",",D116,",'",E116,",",F116,",",G116,",",H116,",",UPPER(I116),",",UPPER(J116),",'',0,0,'','ALUMNO'")</f>
        <v>1115,'LICENCIATURA','carlosalonso.morenodiaz','112218','TOMAR DEL SND','MORENO DIAZ CARLOS ALONSO','PSICOLOGIA','2do','MASCULINO','ACTIVO','',0,0,'','ALUMNO'</v>
      </c>
      <c r="L116" s="16" t="str">
        <f>CONCATENATE($K$1,K116,");")</f>
        <v>INSERT INTO participantes (id,nivel,correo,matricula,clave,nombre,carrera,grado,sexo,situacion,evaluados,num_evaluados,total_evaluaciones,ultimo_acceso,nivel_acceso) VALUES (1115,'LICENCIATURA','carlosalonso.morenodiaz','112218','TOMAR DEL SND','MORENO DIAZ CARLOS ALONSO','PSICOLOGIA','2do','MASCULINO','ACTIVO','',0,0,'','ALUMNO');</v>
      </c>
      <c r="M116" s="16" t="str">
        <f>CONCATENATE("update participantes set correo=",C116," where id=",A116,";")</f>
        <v>update participantes set correo='carlosalonso.morenodiaz' where id=1115;</v>
      </c>
    </row>
    <row r="117" spans="1:13" ht="130.5" x14ac:dyDescent="0.35">
      <c r="A117" s="16">
        <v>1116</v>
      </c>
      <c r="B117" s="18" t="s">
        <v>1754</v>
      </c>
      <c r="C117" s="16" t="str">
        <f>CONCATENATE("'",Alumnos!E354,"'")</f>
        <v>'juanpablo.balcazarferrel'</v>
      </c>
      <c r="D117" s="16" t="str">
        <f>CONCATENATE(Alumnos!F354,"'")</f>
        <v>'112219'</v>
      </c>
      <c r="E117" s="16" t="s">
        <v>1755</v>
      </c>
      <c r="F117" s="16" t="str">
        <f>CONCATENATE("'",Alumnos!H354,"'")</f>
        <v>'BALCAZAR FERREL JUAN PABLO'</v>
      </c>
      <c r="G117" s="16" t="str">
        <f>CONCATENATE("'",Alumnos!I354,"'")</f>
        <v>'INGENIERIA AEROESPACIAL'</v>
      </c>
      <c r="H117" s="16" t="str">
        <f>CONCATENATE("'",Alumnos!J354,"'")</f>
        <v>'2do'</v>
      </c>
      <c r="I117" s="16" t="str">
        <f>UPPER(CONCATENATE("'",Alumnos!K354,"'"))</f>
        <v>'MASCULINO'</v>
      </c>
      <c r="J117" s="16" t="str">
        <f>UPPER(CONCATENATE("'",Alumnos!L354,"'"))</f>
        <v>'ACTIVO'</v>
      </c>
      <c r="K117" s="16" t="str">
        <f>CONCATENATE(A117,",",B117,",",C117,",",D117,",'",E117,",",F117,",",G117,",",H117,",",UPPER(I117),",",UPPER(J117),",'',0,0,'','ALUMNO'")</f>
        <v>1116,'LICENCIATURA','juanpablo.balcazarferrel','112219','TOMAR DEL SND','BALCAZAR FERREL JUAN PABLO','INGENIERIA AEROESPACIAL','2do','MASCULINO','ACTIVO','',0,0,'','ALUMNO'</v>
      </c>
      <c r="L117" s="16" t="str">
        <f>CONCATENATE($K$1,K117,");")</f>
        <v>INSERT INTO participantes (id,nivel,correo,matricula,clave,nombre,carrera,grado,sexo,situacion,evaluados,num_evaluados,total_evaluaciones,ultimo_acceso,nivel_acceso) VALUES (1116,'LICENCIATURA','juanpablo.balcazarferrel','112219','TOMAR DEL SND','BALCAZAR FERREL JUAN PABLO','INGENIERIA AEROESPACIAL','2do','MASCULINO','ACTIVO','',0,0,'','ALUMNO');</v>
      </c>
      <c r="M117" s="16" t="str">
        <f>CONCATENATE("update participantes set correo=",C117," where id=",A117,";")</f>
        <v>update participantes set correo='juanpablo.balcazarferrel' where id=1116;</v>
      </c>
    </row>
    <row r="118" spans="1:13" ht="130.5" x14ac:dyDescent="0.35">
      <c r="A118" s="16">
        <v>1117</v>
      </c>
      <c r="B118" s="18" t="s">
        <v>1754</v>
      </c>
      <c r="C118" s="16" t="str">
        <f>CONCATENATE("'",Alumnos!E92,"'")</f>
        <v>'arifbenjamin.zabranakönig'</v>
      </c>
      <c r="D118" s="16" t="str">
        <f>CONCATENATE(Alumnos!F92,"'")</f>
        <v>'112221'</v>
      </c>
      <c r="E118" s="16" t="s">
        <v>1755</v>
      </c>
      <c r="F118" s="16" t="str">
        <f>CONCATENATE("'",Alumnos!H92,"'")</f>
        <v>'ZABRANA KÖNIG ARIF BENJAMIN'</v>
      </c>
      <c r="G118" s="16" t="str">
        <f>CONCATENATE("'",Alumnos!I92,"'")</f>
        <v>'INGENIERIA AEROESPACIAL'</v>
      </c>
      <c r="H118" s="16" t="str">
        <f>CONCATENATE("'",Alumnos!J92,"'")</f>
        <v>'2do'</v>
      </c>
      <c r="I118" s="16" t="str">
        <f>UPPER(CONCATENATE("'",Alumnos!K92,"'"))</f>
        <v>'MASCULINO'</v>
      </c>
      <c r="J118" s="16" t="str">
        <f>UPPER(CONCATENATE("'",Alumnos!L92,"'"))</f>
        <v>'ACTIVO'</v>
      </c>
      <c r="K118" s="16" t="str">
        <f>CONCATENATE(A118,",",B118,",",C118,",",D118,",'",E118,",",F118,",",G118,",",H118,",",UPPER(I118),",",UPPER(J118),",'',0,0,'','ALUMNO'")</f>
        <v>1117,'LICENCIATURA','arifbenjamin.zabranakönig','112221','TOMAR DEL SND','ZABRANA KÖNIG ARIF BENJAMIN','INGENIERIA AEROESPACIAL','2do','MASCULINO','ACTIVO','',0,0,'','ALUMNO'</v>
      </c>
      <c r="L118" s="16" t="str">
        <f>CONCATENATE($K$1,K118,");")</f>
        <v>INSERT INTO participantes (id,nivel,correo,matricula,clave,nombre,carrera,grado,sexo,situacion,evaluados,num_evaluados,total_evaluaciones,ultimo_acceso,nivel_acceso) VALUES (1117,'LICENCIATURA','arifbenjamin.zabranakönig','112221','TOMAR DEL SND','ZABRANA KÖNIG ARIF BENJAMIN','INGENIERIA AEROESPACIAL','2do','MASCULINO','ACTIVO','',0,0,'','ALUMNO');</v>
      </c>
      <c r="M118" s="16" t="str">
        <f>CONCATENATE("update participantes set correo=",C118," where id=",A118,";")</f>
        <v>update participantes set correo='arifbenjamin.zabranakönig' where id=1117;</v>
      </c>
    </row>
    <row r="119" spans="1:13" ht="130.5" x14ac:dyDescent="0.35">
      <c r="A119" s="16">
        <v>1118</v>
      </c>
      <c r="B119" s="18" t="s">
        <v>1754</v>
      </c>
      <c r="C119" s="16" t="str">
        <f>CONCATENATE("'",Alumnos!E12,"'")</f>
        <v>'adrianenrique.moralesortiz'</v>
      </c>
      <c r="D119" s="16" t="str">
        <f>CONCATENATE(Alumnos!F12,"'")</f>
        <v>'112223'</v>
      </c>
      <c r="E119" s="16" t="s">
        <v>1755</v>
      </c>
      <c r="F119" s="16" t="str">
        <f>CONCATENATE("'",Alumnos!H12,"'")</f>
        <v>'MORALES ORTIZ ADRIAN ENRIQUE'</v>
      </c>
      <c r="G119" s="16" t="str">
        <f>CONCATENATE("'",Alumnos!I12,"'")</f>
        <v>'INGENIERIA AEROESPACIAL'</v>
      </c>
      <c r="H119" s="16" t="str">
        <f>CONCATENATE("'",Alumnos!J12,"'")</f>
        <v>'2do'</v>
      </c>
      <c r="I119" s="16" t="str">
        <f>UPPER(CONCATENATE("'",Alumnos!K12,"'"))</f>
        <v>'MASCULINO'</v>
      </c>
      <c r="J119" s="16" t="str">
        <f>UPPER(CONCATENATE("'",Alumnos!L12,"'"))</f>
        <v>'ACTIVO'</v>
      </c>
      <c r="K119" s="16" t="str">
        <f>CONCATENATE(A119,",",B119,",",C119,",",D119,",'",E119,",",F119,",",G119,",",H119,",",UPPER(I119),",",UPPER(J119),",'',0,0,'','ALUMNO'")</f>
        <v>1118,'LICENCIATURA','adrianenrique.moralesortiz','112223','TOMAR DEL SND','MORALES ORTIZ ADRIAN ENRIQUE','INGENIERIA AEROESPACIAL','2do','MASCULINO','ACTIVO','',0,0,'','ALUMNO'</v>
      </c>
      <c r="L119" s="16" t="str">
        <f>CONCATENATE($K$1,K119,");")</f>
        <v>INSERT INTO participantes (id,nivel,correo,matricula,clave,nombre,carrera,grado,sexo,situacion,evaluados,num_evaluados,total_evaluaciones,ultimo_acceso,nivel_acceso) VALUES (1118,'LICENCIATURA','adrianenrique.moralesortiz','112223','TOMAR DEL SND','MORALES ORTIZ ADRIAN ENRIQUE','INGENIERIA AEROESPACIAL','2do','MASCULINO','ACTIVO','',0,0,'','ALUMNO');</v>
      </c>
      <c r="M119" s="16" t="str">
        <f>CONCATENATE("update participantes set correo=",C119," where id=",A119,";")</f>
        <v>update participantes set correo='adrianenrique.moralesortiz' where id=1118;</v>
      </c>
    </row>
    <row r="120" spans="1:13" ht="116" x14ac:dyDescent="0.35">
      <c r="A120" s="16">
        <v>1119</v>
      </c>
      <c r="B120" s="18" t="s">
        <v>1754</v>
      </c>
      <c r="C120" s="16" t="str">
        <f>CONCATENATE("'",Alumnos!E333,"'")</f>
        <v>'joseeduardo.torreslua'</v>
      </c>
      <c r="D120" s="16" t="str">
        <f>CONCATENATE(Alumnos!F333,"'")</f>
        <v>'112224'</v>
      </c>
      <c r="E120" s="16" t="s">
        <v>1755</v>
      </c>
      <c r="F120" s="16" t="str">
        <f>CONCATENATE("'",Alumnos!H333,"'")</f>
        <v>'TORRES LUA JOSE EDUARDO'</v>
      </c>
      <c r="G120" s="16" t="str">
        <f>CONCATENATE("'",Alumnos!I333,"'")</f>
        <v>'INGENIERIA AEROESPACIAL'</v>
      </c>
      <c r="H120" s="16" t="str">
        <f>CONCATENATE("'",Alumnos!J333,"'")</f>
        <v>'2do'</v>
      </c>
      <c r="I120" s="16" t="str">
        <f>UPPER(CONCATENATE("'",Alumnos!K333,"'"))</f>
        <v>'MASCULINO'</v>
      </c>
      <c r="J120" s="16" t="str">
        <f>UPPER(CONCATENATE("'",Alumnos!L333,"'"))</f>
        <v>'ACTIVO'</v>
      </c>
      <c r="K120" s="16" t="str">
        <f>CONCATENATE(A120,",",B120,",",C120,",",D120,",'",E120,",",F120,",",G120,",",H120,",",UPPER(I120),",",UPPER(J120),",'',0,0,'','ALUMNO'")</f>
        <v>1119,'LICENCIATURA','joseeduardo.torreslua','112224','TOMAR DEL SND','TORRES LUA JOSE EDUARDO','INGENIERIA AEROESPACIAL','2do','MASCULINO','ACTIVO','',0,0,'','ALUMNO'</v>
      </c>
      <c r="L120" s="16" t="str">
        <f>CONCATENATE($K$1,K120,");")</f>
        <v>INSERT INTO participantes (id,nivel,correo,matricula,clave,nombre,carrera,grado,sexo,situacion,evaluados,num_evaluados,total_evaluaciones,ultimo_acceso,nivel_acceso) VALUES (1119,'LICENCIATURA','joseeduardo.torreslua','112224','TOMAR DEL SND','TORRES LUA JOSE EDUARDO','INGENIERIA AEROESPACIAL','2do','MASCULINO','ACTIVO','',0,0,'','ALUMNO');</v>
      </c>
      <c r="M120" s="16" t="str">
        <f>CONCATENATE("update participantes set correo=",C120," where id=",A120,";")</f>
        <v>update participantes set correo='joseeduardo.torreslua' where id=1119;</v>
      </c>
    </row>
    <row r="121" spans="1:13" ht="116" x14ac:dyDescent="0.35">
      <c r="A121" s="16">
        <v>1120</v>
      </c>
      <c r="B121" s="18" t="s">
        <v>1754</v>
      </c>
      <c r="C121" s="16" t="str">
        <f>CONCATENATE("'",Alumnos!E14,"'")</f>
        <v>'adriana.zavalaflores'</v>
      </c>
      <c r="D121" s="16" t="str">
        <f>CONCATENATE(Alumnos!F14,"'")</f>
        <v>'112225'</v>
      </c>
      <c r="E121" s="16" t="s">
        <v>1755</v>
      </c>
      <c r="F121" s="16" t="str">
        <f>CONCATENATE("'",Alumnos!H14,"'")</f>
        <v>'ZAVALA FLORES ADRIANA'</v>
      </c>
      <c r="G121" s="16" t="str">
        <f>CONCATENATE("'",Alumnos!I14,"'")</f>
        <v>'INGENIERIA AEROESPACIAL'</v>
      </c>
      <c r="H121" s="16" t="str">
        <f>CONCATENATE("'",Alumnos!J14,"'")</f>
        <v>'2do'</v>
      </c>
      <c r="I121" s="16" t="str">
        <f>UPPER(CONCATENATE("'",Alumnos!K14,"'"))</f>
        <v>'FEMENINO'</v>
      </c>
      <c r="J121" s="16" t="str">
        <f>UPPER(CONCATENATE("'",Alumnos!L14,"'"))</f>
        <v>'ACTIVO'</v>
      </c>
      <c r="K121" s="16" t="str">
        <f>CONCATENATE(A121,",",B121,",",C121,",",D121,",'",E121,",",F121,",",G121,",",H121,",",UPPER(I121),",",UPPER(J121),",'',0,0,'','ALUMNO'")</f>
        <v>1120,'LICENCIATURA','adriana.zavalaflores','112225','TOMAR DEL SND','ZAVALA FLORES ADRIANA','INGENIERIA AEROESPACIAL','2do','FEMENINO','ACTIVO','',0,0,'','ALUMNO'</v>
      </c>
      <c r="L121" s="16" t="str">
        <f>CONCATENATE($K$1,K121,");")</f>
        <v>INSERT INTO participantes (id,nivel,correo,matricula,clave,nombre,carrera,grado,sexo,situacion,evaluados,num_evaluados,total_evaluaciones,ultimo_acceso,nivel_acceso) VALUES (1120,'LICENCIATURA','adriana.zavalaflores','112225','TOMAR DEL SND','ZAVALA FLORES ADRIANA','INGENIERIA AEROESPACIAL','2do','FEMENINO','ACTIVO','',0,0,'','ALUMNO');</v>
      </c>
      <c r="M121" s="16" t="str">
        <f>CONCATENATE("update participantes set correo=",C121," where id=",A121,";")</f>
        <v>update participantes set correo='adriana.zavalaflores' where id=1120;</v>
      </c>
    </row>
    <row r="122" spans="1:13" ht="130.5" x14ac:dyDescent="0.35">
      <c r="A122" s="16">
        <v>1121</v>
      </c>
      <c r="B122" s="18" t="s">
        <v>1754</v>
      </c>
      <c r="C122" s="16" t="str">
        <f>CONCATENATE("'",Alumnos!E257,"'")</f>
        <v>'giovannapaola.castanedaelizalde'</v>
      </c>
      <c r="D122" s="16" t="str">
        <f>CONCATENATE(Alumnos!F257,"'")</f>
        <v>'112226'</v>
      </c>
      <c r="E122" s="16" t="s">
        <v>1755</v>
      </c>
      <c r="F122" s="16" t="str">
        <f>CONCATENATE("'",Alumnos!H257,"'")</f>
        <v>'CASTAÑEDA ELIZALDE GIOVANNA PAOLA'</v>
      </c>
      <c r="G122" s="16" t="str">
        <f>CONCATENATE("'",Alumnos!I257,"'")</f>
        <v>'NUTRICION Y GASTRONOMIA'</v>
      </c>
      <c r="H122" s="16" t="str">
        <f>CONCATENATE("'",Alumnos!J257,"'")</f>
        <v>'2do'</v>
      </c>
      <c r="I122" s="16" t="str">
        <f>UPPER(CONCATENATE("'",Alumnos!K257,"'"))</f>
        <v>'FEMENINO'</v>
      </c>
      <c r="J122" s="16" t="str">
        <f>UPPER(CONCATENATE("'",Alumnos!L257,"'"))</f>
        <v>'ACTIVO'</v>
      </c>
      <c r="K122" s="16" t="str">
        <f>CONCATENATE(A122,",",B122,",",C122,",",D122,",'",E122,",",F122,",",G122,",",H122,",",UPPER(I122),",",UPPER(J122),",'',0,0,'','ALUMNO'")</f>
        <v>1121,'LICENCIATURA','giovannapaola.castanedaelizalde','112226','TOMAR DEL SND','CASTAÑEDA ELIZALDE GIOVANNA PAOLA','NUTRICION Y GASTRONOMIA','2do','FEMENINO','ACTIVO','',0,0,'','ALUMNO'</v>
      </c>
      <c r="L122" s="16" t="str">
        <f>CONCATENATE($K$1,K122,");")</f>
        <v>INSERT INTO participantes (id,nivel,correo,matricula,clave,nombre,carrera,grado,sexo,situacion,evaluados,num_evaluados,total_evaluaciones,ultimo_acceso,nivel_acceso) VALUES (1121,'LICENCIATURA','giovannapaola.castanedaelizalde','112226','TOMAR DEL SND','CASTAÑEDA ELIZALDE GIOVANNA PAOLA','NUTRICION Y GASTRONOMIA','2do','FEMENINO','ACTIVO','',0,0,'','ALUMNO');</v>
      </c>
      <c r="M122" s="16" t="str">
        <f>CONCATENATE("update participantes set correo=",C122," where id=",A122,";")</f>
        <v>update participantes set correo='giovannapaola.castanedaelizalde' where id=1121;</v>
      </c>
    </row>
    <row r="123" spans="1:13" ht="130.5" x14ac:dyDescent="0.35">
      <c r="A123" s="16">
        <v>1122</v>
      </c>
      <c r="B123" s="18" t="s">
        <v>1754</v>
      </c>
      <c r="C123" s="16" t="str">
        <f>CONCATENATE("'",Alumnos!E66,"'")</f>
        <v>'andresenrique.encisogomez'</v>
      </c>
      <c r="D123" s="16" t="str">
        <f>CONCATENATE(Alumnos!F66,"'")</f>
        <v>'112227'</v>
      </c>
      <c r="E123" s="16" t="s">
        <v>1755</v>
      </c>
      <c r="F123" s="16" t="str">
        <f>CONCATENATE("'",Alumnos!H66,"'")</f>
        <v>'ENCISO GOMEZ ANDRES ENRIQUE'</v>
      </c>
      <c r="G123" s="16" t="str">
        <f>CONCATENATE("'",Alumnos!I66,"'")</f>
        <v>'INGENIERÍA AUTOMOTRIZ'</v>
      </c>
      <c r="H123" s="16" t="str">
        <f>CONCATENATE("'",Alumnos!J66,"'")</f>
        <v>'2do'</v>
      </c>
      <c r="I123" s="16" t="str">
        <f>UPPER(CONCATENATE("'",Alumnos!K66,"'"))</f>
        <v>'MASCULINO'</v>
      </c>
      <c r="J123" s="16" t="str">
        <f>UPPER(CONCATENATE("'",Alumnos!L66,"'"))</f>
        <v>'ACTIVO'</v>
      </c>
      <c r="K123" s="16" t="str">
        <f>CONCATENATE(A123,",",B123,",",C123,",",D123,",'",E123,",",F123,",",G123,",",H123,",",UPPER(I123),",",UPPER(J123),",'',0,0,'','ALUMNO'")</f>
        <v>1122,'LICENCIATURA','andresenrique.encisogomez','112227','TOMAR DEL SND','ENCISO GOMEZ ANDRES ENRIQUE','INGENIERÍA AUTOMOTRIZ','2do','MASCULINO','ACTIVO','',0,0,'','ALUMNO'</v>
      </c>
      <c r="L123" s="16" t="str">
        <f>CONCATENATE($K$1,K123,");")</f>
        <v>INSERT INTO participantes (id,nivel,correo,matricula,clave,nombre,carrera,grado,sexo,situacion,evaluados,num_evaluados,total_evaluaciones,ultimo_acceso,nivel_acceso) VALUES (1122,'LICENCIATURA','andresenrique.encisogomez','112227','TOMAR DEL SND','ENCISO GOMEZ ANDRES ENRIQUE','INGENIERÍA AUTOMOTRIZ','2do','MASCULINO','ACTIVO','',0,0,'','ALUMNO');</v>
      </c>
      <c r="M123" s="16" t="str">
        <f>CONCATENATE("update participantes set correo=",C123," where id=",A123,";")</f>
        <v>update participantes set correo='andresenrique.encisogomez' where id=1122;</v>
      </c>
    </row>
    <row r="124" spans="1:13" ht="116" x14ac:dyDescent="0.35">
      <c r="A124" s="16">
        <v>1123</v>
      </c>
      <c r="B124" s="18" t="s">
        <v>1754</v>
      </c>
      <c r="C124" s="16" t="str">
        <f>CONCATENATE("'",Alumnos!E566,"'")</f>
        <v>'santiago.calderongonzalez'</v>
      </c>
      <c r="D124" s="16" t="str">
        <f>CONCATENATE(Alumnos!F566,"'")</f>
        <v>'112229'</v>
      </c>
      <c r="E124" s="16" t="s">
        <v>1755</v>
      </c>
      <c r="F124" s="16" t="str">
        <f>CONCATENATE("'",Alumnos!H566,"'")</f>
        <v>'CALDERON GONZALEZ SANTIAGO'</v>
      </c>
      <c r="G124" s="16" t="str">
        <f>CONCATENATE("'",Alumnos!I566,"'")</f>
        <v>'ADMINISTRACION Y DIRECCION DE NEGOCIOS'</v>
      </c>
      <c r="H124" s="16" t="str">
        <f>CONCATENATE("'",Alumnos!J566,"'")</f>
        <v>'2do'</v>
      </c>
      <c r="I124" s="16" t="str">
        <f>UPPER(CONCATENATE("'",Alumnos!K566,"'"))</f>
        <v>'MASCULINO'</v>
      </c>
      <c r="J124" s="16" t="str">
        <f>UPPER(CONCATENATE("'",Alumnos!L566,"'"))</f>
        <v>'ACTIVO'</v>
      </c>
      <c r="K124" s="16" t="str">
        <f>CONCATENATE(A124,",",B124,",",C124,",",D124,",'",E124,",",F124,",",G124,",",H124,",",UPPER(I124),",",UPPER(J124),",'',0,0,'','ALUMNO'")</f>
        <v>1123,'LICENCIATURA','santiago.calderongonzalez','112229','TOMAR DEL SND','CALDERON GONZALEZ SANTIAGO','ADMINISTRACION Y DIRECCION DE NEGOCIOS','2do','MASCULINO','ACTIVO','',0,0,'','ALUMNO'</v>
      </c>
      <c r="L124" s="16" t="str">
        <f>CONCATENATE($K$1,K124,");")</f>
        <v>INSERT INTO participantes (id,nivel,correo,matricula,clave,nombre,carrera,grado,sexo,situacion,evaluados,num_evaluados,total_evaluaciones,ultimo_acceso,nivel_acceso) VALUES (1123,'LICENCIATURA','santiago.calderongonzalez','112229','TOMAR DEL SND','CALDERON GONZALEZ SANTIAGO','ADMINISTRACION Y DIRECCION DE NEGOCIOS','2do','MASCULINO','ACTIVO','',0,0,'','ALUMNO');</v>
      </c>
      <c r="M124" s="16" t="str">
        <f>CONCATENATE("update participantes set correo=",C124," where id=",A124,";")</f>
        <v>update participantes set correo='santiago.calderongonzalez' where id=1123;</v>
      </c>
    </row>
    <row r="125" spans="1:13" ht="130.5" x14ac:dyDescent="0.35">
      <c r="A125" s="16">
        <v>1124</v>
      </c>
      <c r="B125" s="18" t="s">
        <v>1754</v>
      </c>
      <c r="C125" s="16" t="str">
        <f>CONCATENATE("'",Alumnos!E305,"'")</f>
        <v>'jessieestefania.martinezsalazar'</v>
      </c>
      <c r="D125" s="16" t="str">
        <f>CONCATENATE(Alumnos!F305,"'")</f>
        <v>'112230'</v>
      </c>
      <c r="E125" s="16" t="s">
        <v>1755</v>
      </c>
      <c r="F125" s="16" t="str">
        <f>CONCATENATE("'",Alumnos!H305,"'")</f>
        <v>'MARTINEZ SALAZAR JESSIE ESTEFANIA'</v>
      </c>
      <c r="G125" s="16" t="str">
        <f>CONCATENATE("'",Alumnos!I305,"'")</f>
        <v>'INGENIERIA AEROESPACIAL'</v>
      </c>
      <c r="H125" s="16" t="str">
        <f>CONCATENATE("'",Alumnos!J305,"'")</f>
        <v>'2do'</v>
      </c>
      <c r="I125" s="16" t="str">
        <f>UPPER(CONCATENATE("'",Alumnos!K305,"'"))</f>
        <v>'FEMENINO'</v>
      </c>
      <c r="J125" s="16" t="str">
        <f>UPPER(CONCATENATE("'",Alumnos!L305,"'"))</f>
        <v>'ACTIVO'</v>
      </c>
      <c r="K125" s="16" t="str">
        <f>CONCATENATE(A125,",",B125,",",C125,",",D125,",'",E125,",",F125,",",G125,",",H125,",",UPPER(I125),",",UPPER(J125),",'',0,0,'','ALUMNO'")</f>
        <v>1124,'LICENCIATURA','jessieestefania.martinezsalazar','112230','TOMAR DEL SND','MARTINEZ SALAZAR JESSIE ESTEFANIA','INGENIERIA AEROESPACIAL','2do','FEMENINO','ACTIVO','',0,0,'','ALUMNO'</v>
      </c>
      <c r="L125" s="16" t="str">
        <f>CONCATENATE($K$1,K125,");")</f>
        <v>INSERT INTO participantes (id,nivel,correo,matricula,clave,nombre,carrera,grado,sexo,situacion,evaluados,num_evaluados,total_evaluaciones,ultimo_acceso,nivel_acceso) VALUES (1124,'LICENCIATURA','jessieestefania.martinezsalazar','112230','TOMAR DEL SND','MARTINEZ SALAZAR JESSIE ESTEFANIA','INGENIERIA AEROESPACIAL','2do','FEMENINO','ACTIVO','',0,0,'','ALUMNO');</v>
      </c>
      <c r="M125" s="16" t="str">
        <f>CONCATENATE("update participantes set correo=",C125," where id=",A125,";")</f>
        <v>update participantes set correo='jessieestefania.martinezsalazar' where id=1124;</v>
      </c>
    </row>
    <row r="126" spans="1:13" ht="116" x14ac:dyDescent="0.35">
      <c r="A126" s="16">
        <v>1125</v>
      </c>
      <c r="B126" s="18" t="s">
        <v>1754</v>
      </c>
      <c r="C126" s="16" t="str">
        <f>CONCATENATE("'",Alumnos!E185,"'")</f>
        <v>'diego.gonzalezsanchez'</v>
      </c>
      <c r="D126" s="16" t="str">
        <f>CONCATENATE(Alumnos!F185,"'")</f>
        <v>'112232'</v>
      </c>
      <c r="E126" s="16" t="s">
        <v>1755</v>
      </c>
      <c r="F126" s="16" t="str">
        <f>CONCATENATE("'",Alumnos!H185,"'")</f>
        <v>'GONZALEZ SANCHEZ DIEGO'</v>
      </c>
      <c r="G126" s="16" t="str">
        <f>CONCATENATE("'",Alumnos!I185,"'")</f>
        <v>'INGENIERÍA AUTOMOTRIZ'</v>
      </c>
      <c r="H126" s="16" t="str">
        <f>CONCATENATE("'",Alumnos!J185,"'")</f>
        <v>'2do'</v>
      </c>
      <c r="I126" s="16" t="str">
        <f>UPPER(CONCATENATE("'",Alumnos!K185,"'"))</f>
        <v>'MASCULINO'</v>
      </c>
      <c r="J126" s="16" t="str">
        <f>UPPER(CONCATENATE("'",Alumnos!L185,"'"))</f>
        <v>'ACTIVO'</v>
      </c>
      <c r="K126" s="16" t="str">
        <f>CONCATENATE(A126,",",B126,",",C126,",",D126,",'",E126,",",F126,",",G126,",",H126,",",UPPER(I126),",",UPPER(J126),",'',0,0,'','ALUMNO'")</f>
        <v>1125,'LICENCIATURA','diego.gonzalezsanchez','112232','TOMAR DEL SND','GONZALEZ SANCHEZ DIEGO','INGENIERÍA AUTOMOTRIZ','2do','MASCULINO','ACTIVO','',0,0,'','ALUMNO'</v>
      </c>
      <c r="L126" s="16" t="str">
        <f>CONCATENATE($K$1,K126,");")</f>
        <v>INSERT INTO participantes (id,nivel,correo,matricula,clave,nombre,carrera,grado,sexo,situacion,evaluados,num_evaluados,total_evaluaciones,ultimo_acceso,nivel_acceso) VALUES (1125,'LICENCIATURA','diego.gonzalezsanchez','112232','TOMAR DEL SND','GONZALEZ SANCHEZ DIEGO','INGENIERÍA AUTOMOTRIZ','2do','MASCULINO','ACTIVO','',0,0,'','ALUMNO');</v>
      </c>
      <c r="M126" s="16" t="str">
        <f>CONCATENATE("update participantes set correo=",C126," where id=",A126,";")</f>
        <v>update participantes set correo='diego.gonzalezsanchez' where id=1125;</v>
      </c>
    </row>
    <row r="127" spans="1:13" ht="130.5" x14ac:dyDescent="0.35">
      <c r="A127" s="16">
        <v>1126</v>
      </c>
      <c r="B127" s="18" t="s">
        <v>1754</v>
      </c>
      <c r="C127" s="16" t="str">
        <f>CONCATENATE("'",Alumnos!E324,"'")</f>
        <v>'jorgesantana.sanchezramirez'</v>
      </c>
      <c r="D127" s="16" t="str">
        <f>CONCATENATE(Alumnos!F324,"'")</f>
        <v>'112233'</v>
      </c>
      <c r="E127" s="16" t="s">
        <v>1755</v>
      </c>
      <c r="F127" s="16" t="str">
        <f>CONCATENATE("'",Alumnos!H324,"'")</f>
        <v>'SANCHEZ RAMIREZ JORGE SANTANA'</v>
      </c>
      <c r="G127" s="16" t="str">
        <f>CONCATENATE("'",Alumnos!I324,"'")</f>
        <v>'INGENIERÍA AUTOMOTRIZ'</v>
      </c>
      <c r="H127" s="16" t="str">
        <f>CONCATENATE("'",Alumnos!J324,"'")</f>
        <v>'2do'</v>
      </c>
      <c r="I127" s="16" t="str">
        <f>UPPER(CONCATENATE("'",Alumnos!K324,"'"))</f>
        <v>'MASCULINO'</v>
      </c>
      <c r="J127" s="16" t="str">
        <f>UPPER(CONCATENATE("'",Alumnos!L324,"'"))</f>
        <v>'ACTIVO'</v>
      </c>
      <c r="K127" s="16" t="str">
        <f>CONCATENATE(A127,",",B127,",",C127,",",D127,",'",E127,",",F127,",",G127,",",H127,",",UPPER(I127),",",UPPER(J127),",'',0,0,'','ALUMNO'")</f>
        <v>1126,'LICENCIATURA','jorgesantana.sanchezramirez','112233','TOMAR DEL SND','SANCHEZ RAMIREZ JORGE SANTANA','INGENIERÍA AUTOMOTRIZ','2do','MASCULINO','ACTIVO','',0,0,'','ALUMNO'</v>
      </c>
      <c r="L127" s="16" t="str">
        <f>CONCATENATE($K$1,K127,");")</f>
        <v>INSERT INTO participantes (id,nivel,correo,matricula,clave,nombre,carrera,grado,sexo,situacion,evaluados,num_evaluados,total_evaluaciones,ultimo_acceso,nivel_acceso) VALUES (1126,'LICENCIATURA','jorgesantana.sanchezramirez','112233','TOMAR DEL SND','SANCHEZ RAMIREZ JORGE SANTANA','INGENIERÍA AUTOMOTRIZ','2do','MASCULINO','ACTIVO','',0,0,'','ALUMNO');</v>
      </c>
      <c r="M127" s="16" t="str">
        <f>CONCATENATE("update participantes set correo=",C127," where id=",A127,";")</f>
        <v>update participantes set correo='jorgesantana.sanchezramirez' where id=1126;</v>
      </c>
    </row>
    <row r="128" spans="1:13" ht="116" x14ac:dyDescent="0.35">
      <c r="A128" s="16">
        <v>1127</v>
      </c>
      <c r="B128" s="18" t="s">
        <v>1754</v>
      </c>
      <c r="C128" s="16" t="str">
        <f>CONCATENATE("'",Alumnos!E498,"'")</f>
        <v>'nozomi.sakoda'</v>
      </c>
      <c r="D128" s="16" t="str">
        <f>CONCATENATE(Alumnos!F498,"'")</f>
        <v>'112234'</v>
      </c>
      <c r="E128" s="16" t="s">
        <v>1755</v>
      </c>
      <c r="F128" s="16" t="str">
        <f>CONCATENATE("'",Alumnos!H498,"'")</f>
        <v>'SAKODA  NOZOMI'</v>
      </c>
      <c r="G128" s="16" t="str">
        <f>CONCATENATE("'",Alumnos!I498,"'")</f>
        <v>'INGENIERIA AEROESPACIAL'</v>
      </c>
      <c r="H128" s="16" t="str">
        <f>CONCATENATE("'",Alumnos!J498,"'")</f>
        <v>'2do'</v>
      </c>
      <c r="I128" s="16" t="str">
        <f>UPPER(CONCATENATE("'",Alumnos!K498,"'"))</f>
        <v>'FEMENINO'</v>
      </c>
      <c r="J128" s="16" t="str">
        <f>UPPER(CONCATENATE("'",Alumnos!L498,"'"))</f>
        <v>'ACTIVO'</v>
      </c>
      <c r="K128" s="16" t="str">
        <f>CONCATENATE(A128,",",B128,",",C128,",",D128,",'",E128,",",F128,",",G128,",",H128,",",UPPER(I128),",",UPPER(J128),",'',0,0,'','ALUMNO'")</f>
        <v>1127,'LICENCIATURA','nozomi.sakoda','112234','TOMAR DEL SND','SAKODA  NOZOMI','INGENIERIA AEROESPACIAL','2do','FEMENINO','ACTIVO','',0,0,'','ALUMNO'</v>
      </c>
      <c r="L128" s="16" t="str">
        <f>CONCATENATE($K$1,K128,");")</f>
        <v>INSERT INTO participantes (id,nivel,correo,matricula,clave,nombre,carrera,grado,sexo,situacion,evaluados,num_evaluados,total_evaluaciones,ultimo_acceso,nivel_acceso) VALUES (1127,'LICENCIATURA','nozomi.sakoda','112234','TOMAR DEL SND','SAKODA  NOZOMI','INGENIERIA AEROESPACIAL','2do','FEMENINO','ACTIVO','',0,0,'','ALUMNO');</v>
      </c>
      <c r="M128" s="16" t="str">
        <f>CONCATENATE("update participantes set correo=",C128," where id=",A128,";")</f>
        <v>update participantes set correo='nozomi.sakoda' where id=1127;</v>
      </c>
    </row>
    <row r="129" spans="1:13" ht="130.5" x14ac:dyDescent="0.35">
      <c r="A129" s="16">
        <v>1128</v>
      </c>
      <c r="B129" s="18" t="s">
        <v>1754</v>
      </c>
      <c r="C129" s="16" t="str">
        <f>CONCATENATE("'",Alumnos!E115,"'")</f>
        <v>'brunogael.lopezceballos'</v>
      </c>
      <c r="D129" s="16" t="str">
        <f>CONCATENATE(Alumnos!F115,"'")</f>
        <v>'112235'</v>
      </c>
      <c r="E129" s="16" t="s">
        <v>1755</v>
      </c>
      <c r="F129" s="16" t="str">
        <f>CONCATENATE("'",Alumnos!H115,"'")</f>
        <v>'LOPEZ CEBALLOS BRUNO GAEL'</v>
      </c>
      <c r="G129" s="16" t="str">
        <f>CONCATENATE("'",Alumnos!I115,"'")</f>
        <v>'INGENIERIA AEROESPACIAL'</v>
      </c>
      <c r="H129" s="16" t="str">
        <f>CONCATENATE("'",Alumnos!J115,"'")</f>
        <v>'2do'</v>
      </c>
      <c r="I129" s="16" t="str">
        <f>UPPER(CONCATENATE("'",Alumnos!K115,"'"))</f>
        <v>'MASCULINO'</v>
      </c>
      <c r="J129" s="16" t="str">
        <f>UPPER(CONCATENATE("'",Alumnos!L115,"'"))</f>
        <v>'ACTIVO'</v>
      </c>
      <c r="K129" s="16" t="str">
        <f>CONCATENATE(A129,",",B129,",",C129,",",D129,",'",E129,",",F129,",",G129,",",H129,",",UPPER(I129),",",UPPER(J129),",'',0,0,'','ALUMNO'")</f>
        <v>1128,'LICENCIATURA','brunogael.lopezceballos','112235','TOMAR DEL SND','LOPEZ CEBALLOS BRUNO GAEL','INGENIERIA AEROESPACIAL','2do','MASCULINO','ACTIVO','',0,0,'','ALUMNO'</v>
      </c>
      <c r="L129" s="16" t="str">
        <f>CONCATENATE($K$1,K129,");")</f>
        <v>INSERT INTO participantes (id,nivel,correo,matricula,clave,nombre,carrera,grado,sexo,situacion,evaluados,num_evaluados,total_evaluaciones,ultimo_acceso,nivel_acceso) VALUES (1128,'LICENCIATURA','brunogael.lopezceballos','112235','TOMAR DEL SND','LOPEZ CEBALLOS BRUNO GAEL','INGENIERIA AEROESPACIAL','2do','MASCULINO','ACTIVO','',0,0,'','ALUMNO');</v>
      </c>
      <c r="M129" s="16" t="str">
        <f>CONCATENATE("update participantes set correo=",C129," where id=",A129,";")</f>
        <v>update participantes set correo='brunogael.lopezceballos' where id=1128;</v>
      </c>
    </row>
    <row r="130" spans="1:13" ht="116" x14ac:dyDescent="0.35">
      <c r="A130" s="16">
        <v>1129</v>
      </c>
      <c r="B130" s="18" t="s">
        <v>1754</v>
      </c>
      <c r="C130" s="16" t="str">
        <f>CONCATENATE("'",Alumnos!E477,"'")</f>
        <v>'miguelangel.nunoarana'</v>
      </c>
      <c r="D130" s="16" t="str">
        <f>CONCATENATE(Alumnos!F477,"'")</f>
        <v>'112236'</v>
      </c>
      <c r="E130" s="16" t="s">
        <v>1755</v>
      </c>
      <c r="F130" s="16" t="str">
        <f>CONCATENATE("'",Alumnos!H477,"'")</f>
        <v>'NUÑO ARANA MIGUEL ANGEL'</v>
      </c>
      <c r="G130" s="16" t="str">
        <f>CONCATENATE("'",Alumnos!I477,"'")</f>
        <v>'INGENIERÍA EN INTELIGENCIA ARTIFICIAL'</v>
      </c>
      <c r="H130" s="16" t="str">
        <f>CONCATENATE("'",Alumnos!J477,"'")</f>
        <v>'2do'</v>
      </c>
      <c r="I130" s="16" t="str">
        <f>UPPER(CONCATENATE("'",Alumnos!K477,"'"))</f>
        <v>'MASCULINO'</v>
      </c>
      <c r="J130" s="16" t="str">
        <f>UPPER(CONCATENATE("'",Alumnos!L477,"'"))</f>
        <v>'ACTIVO'</v>
      </c>
      <c r="K130" s="16" t="str">
        <f>CONCATENATE(A130,",",B130,",",C130,",",D130,",'",E130,",",F130,",",G130,",",H130,",",UPPER(I130),",",UPPER(J130),",'',0,0,'','ALUMNO'")</f>
        <v>1129,'LICENCIATURA','miguelangel.nunoarana','112236','TOMAR DEL SND','NUÑO ARANA MIGUEL ANGEL','INGENIERÍA EN INTELIGENCIA ARTIFICIAL','2do','MASCULINO','ACTIVO','',0,0,'','ALUMNO'</v>
      </c>
      <c r="L130" s="16" t="str">
        <f>CONCATENATE($K$1,K130,");")</f>
        <v>INSERT INTO participantes (id,nivel,correo,matricula,clave,nombre,carrera,grado,sexo,situacion,evaluados,num_evaluados,total_evaluaciones,ultimo_acceso,nivel_acceso) VALUES (1129,'LICENCIATURA','miguelangel.nunoarana','112236','TOMAR DEL SND','NUÑO ARANA MIGUEL ANGEL','INGENIERÍA EN INTELIGENCIA ARTIFICIAL','2do','MASCULINO','ACTIVO','',0,0,'','ALUMNO');</v>
      </c>
      <c r="M130" s="16" t="str">
        <f>CONCATENATE("update participantes set correo=",C130," where id=",A130,";")</f>
        <v>update participantes set correo='miguelangel.nunoarana' where id=1129;</v>
      </c>
    </row>
    <row r="131" spans="1:13" ht="130.5" x14ac:dyDescent="0.35">
      <c r="A131" s="16">
        <v>1130</v>
      </c>
      <c r="B131" s="18" t="s">
        <v>1754</v>
      </c>
      <c r="C131" s="16" t="str">
        <f>CONCATENATE("'",Alumnos!E130,"'")</f>
        <v>'carolvanessa.camargocarmona'</v>
      </c>
      <c r="D131" s="16" t="str">
        <f>CONCATENATE(Alumnos!F130,"'")</f>
        <v>'112237'</v>
      </c>
      <c r="E131" s="16" t="s">
        <v>1755</v>
      </c>
      <c r="F131" s="16" t="str">
        <f>CONCATENATE("'",Alumnos!H130,"'")</f>
        <v>'CAMARGO CARMONA CAROL VANESSA'</v>
      </c>
      <c r="G131" s="16" t="str">
        <f>CONCATENATE("'",Alumnos!I130,"'")</f>
        <v>'INGENIERÍA AUTOMOTRIZ'</v>
      </c>
      <c r="H131" s="16" t="str">
        <f>CONCATENATE("'",Alumnos!J130,"'")</f>
        <v>'2do'</v>
      </c>
      <c r="I131" s="16" t="str">
        <f>UPPER(CONCATENATE("'",Alumnos!K130,"'"))</f>
        <v>'FEMENINO'</v>
      </c>
      <c r="J131" s="16" t="str">
        <f>UPPER(CONCATENATE("'",Alumnos!L130,"'"))</f>
        <v>'ACTIVO'</v>
      </c>
      <c r="K131" s="16" t="str">
        <f>CONCATENATE(A131,",",B131,",",C131,",",D131,",'",E131,",",F131,",",G131,",",H131,",",UPPER(I131),",",UPPER(J131),",'',0,0,'','ALUMNO'")</f>
        <v>1130,'LICENCIATURA','carolvanessa.camargocarmona','112237','TOMAR DEL SND','CAMARGO CARMONA CAROL VANESSA','INGENIERÍA AUTOMOTRIZ','2do','FEMENINO','ACTIVO','',0,0,'','ALUMNO'</v>
      </c>
      <c r="L131" s="16" t="str">
        <f>CONCATENATE($K$1,K131,");")</f>
        <v>INSERT INTO participantes (id,nivel,correo,matricula,clave,nombre,carrera,grado,sexo,situacion,evaluados,num_evaluados,total_evaluaciones,ultimo_acceso,nivel_acceso) VALUES (1130,'LICENCIATURA','carolvanessa.camargocarmona','112237','TOMAR DEL SND','CAMARGO CARMONA CAROL VANESSA','INGENIERÍA AUTOMOTRIZ','2do','FEMENINO','ACTIVO','',0,0,'','ALUMNO');</v>
      </c>
      <c r="M131" s="16" t="str">
        <f>CONCATENATE("update participantes set correo=",C131," where id=",A131,";")</f>
        <v>update participantes set correo='carolvanessa.camargocarmona' where id=1130;</v>
      </c>
    </row>
    <row r="132" spans="1:13" ht="130.5" x14ac:dyDescent="0.35">
      <c r="A132" s="16">
        <v>1131</v>
      </c>
      <c r="B132" s="18" t="s">
        <v>1754</v>
      </c>
      <c r="C132" s="16" t="str">
        <f>CONCATENATE("'",Alumnos!E302,"'")</f>
        <v>'javierisaias.avilaplascencia'</v>
      </c>
      <c r="D132" s="16" t="str">
        <f>CONCATENATE(Alumnos!F302,"'")</f>
        <v>'112238'</v>
      </c>
      <c r="E132" s="16" t="s">
        <v>1755</v>
      </c>
      <c r="F132" s="16" t="str">
        <f>CONCATENATE("'",Alumnos!H302,"'")</f>
        <v>'AVILA PLASCENCIA JAVIER ISAIAS'</v>
      </c>
      <c r="G132" s="16" t="str">
        <f>CONCATENATE("'",Alumnos!I302,"'")</f>
        <v>'INGENIERÍA AUTOMOTRIZ'</v>
      </c>
      <c r="H132" s="16" t="str">
        <f>CONCATENATE("'",Alumnos!J302,"'")</f>
        <v>'2do'</v>
      </c>
      <c r="I132" s="16" t="str">
        <f>UPPER(CONCATENATE("'",Alumnos!K302,"'"))</f>
        <v>'MASCULINO'</v>
      </c>
      <c r="J132" s="16" t="str">
        <f>UPPER(CONCATENATE("'",Alumnos!L302,"'"))</f>
        <v>'ACTIVO'</v>
      </c>
      <c r="K132" s="16" t="str">
        <f>CONCATENATE(A132,",",B132,",",C132,",",D132,",'",E132,",",F132,",",G132,",",H132,",",UPPER(I132),",",UPPER(J132),",'',0,0,'','ALUMNO'")</f>
        <v>1131,'LICENCIATURA','javierisaias.avilaplascencia','112238','TOMAR DEL SND','AVILA PLASCENCIA JAVIER ISAIAS','INGENIERÍA AUTOMOTRIZ','2do','MASCULINO','ACTIVO','',0,0,'','ALUMNO'</v>
      </c>
      <c r="L132" s="16" t="str">
        <f>CONCATENATE($K$1,K132,");")</f>
        <v>INSERT INTO participantes (id,nivel,correo,matricula,clave,nombre,carrera,grado,sexo,situacion,evaluados,num_evaluados,total_evaluaciones,ultimo_acceso,nivel_acceso) VALUES (1131,'LICENCIATURA','javierisaias.avilaplascencia','112238','TOMAR DEL SND','AVILA PLASCENCIA JAVIER ISAIAS','INGENIERÍA AUTOMOTRIZ','2do','MASCULINO','ACTIVO','',0,0,'','ALUMNO');</v>
      </c>
      <c r="M132" s="16" t="str">
        <f>CONCATENATE("update participantes set correo=",C132," where id=",A132,";")</f>
        <v>update participantes set correo='javierisaias.avilaplascencia' where id=1131;</v>
      </c>
    </row>
    <row r="133" spans="1:13" ht="116" x14ac:dyDescent="0.35">
      <c r="A133" s="16">
        <v>1132</v>
      </c>
      <c r="B133" s="18" t="s">
        <v>1754</v>
      </c>
      <c r="C133" s="16" t="str">
        <f>CONCATENATE("'",Alumnos!E243,"'")</f>
        <v>'franco.ortizbarragan'</v>
      </c>
      <c r="D133" s="16" t="str">
        <f>CONCATENATE(Alumnos!F243,"'")</f>
        <v>'112240'</v>
      </c>
      <c r="E133" s="16" t="s">
        <v>1755</v>
      </c>
      <c r="F133" s="16" t="str">
        <f>CONCATENATE("'",Alumnos!H243,"'")</f>
        <v>'ORTIZ BARRAGAN FRANCO'</v>
      </c>
      <c r="G133" s="16" t="str">
        <f>CONCATENATE("'",Alumnos!I243,"'")</f>
        <v>'INGENIERIA AEROESPACIAL'</v>
      </c>
      <c r="H133" s="16" t="str">
        <f>CONCATENATE("'",Alumnos!J243,"'")</f>
        <v>'2do'</v>
      </c>
      <c r="I133" s="16" t="str">
        <f>UPPER(CONCATENATE("'",Alumnos!K243,"'"))</f>
        <v>'MASCULINO'</v>
      </c>
      <c r="J133" s="16" t="str">
        <f>UPPER(CONCATENATE("'",Alumnos!L243,"'"))</f>
        <v>'ACTIVO'</v>
      </c>
      <c r="K133" s="16" t="str">
        <f>CONCATENATE(A133,",",B133,",",C133,",",D133,",'",E133,",",F133,",",G133,",",H133,",",UPPER(I133),",",UPPER(J133),",'',0,0,'','ALUMNO'")</f>
        <v>1132,'LICENCIATURA','franco.ortizbarragan','112240','TOMAR DEL SND','ORTIZ BARRAGAN FRANCO','INGENIERIA AEROESPACIAL','2do','MASCULINO','ACTIVO','',0,0,'','ALUMNO'</v>
      </c>
      <c r="L133" s="16" t="str">
        <f>CONCATENATE($K$1,K133,");")</f>
        <v>INSERT INTO participantes (id,nivel,correo,matricula,clave,nombre,carrera,grado,sexo,situacion,evaluados,num_evaluados,total_evaluaciones,ultimo_acceso,nivel_acceso) VALUES (1132,'LICENCIATURA','franco.ortizbarragan','112240','TOMAR DEL SND','ORTIZ BARRAGAN FRANCO','INGENIERIA AEROESPACIAL','2do','MASCULINO','ACTIVO','',0,0,'','ALUMNO');</v>
      </c>
      <c r="M133" s="16" t="str">
        <f>CONCATENATE("update participantes set correo=",C133," where id=",A133,";")</f>
        <v>update participantes set correo='franco.ortizbarragan' where id=1132;</v>
      </c>
    </row>
    <row r="134" spans="1:13" ht="116" x14ac:dyDescent="0.35">
      <c r="A134" s="16">
        <v>1133</v>
      </c>
      <c r="B134" s="18" t="s">
        <v>1754</v>
      </c>
      <c r="C134" s="16" t="str">
        <f>CONCATENATE("'",Alumnos!E163,"'")</f>
        <v>'daniela.ruizlopez'</v>
      </c>
      <c r="D134" s="16" t="str">
        <f>CONCATENATE(Alumnos!F163,"'")</f>
        <v>'112241'</v>
      </c>
      <c r="E134" s="16" t="s">
        <v>1755</v>
      </c>
      <c r="F134" s="16" t="str">
        <f>CONCATENATE("'",Alumnos!H163,"'")</f>
        <v>'RUIZ LOPEZ DANIELA'</v>
      </c>
      <c r="G134" s="16" t="str">
        <f>CONCATENATE("'",Alumnos!I163,"'")</f>
        <v>'NUTRICION Y GASTRONOMIA'</v>
      </c>
      <c r="H134" s="16" t="str">
        <f>CONCATENATE("'",Alumnos!J163,"'")</f>
        <v>'2do'</v>
      </c>
      <c r="I134" s="16" t="str">
        <f>UPPER(CONCATENATE("'",Alumnos!K163,"'"))</f>
        <v>'FEMENINO'</v>
      </c>
      <c r="J134" s="16" t="str">
        <f>UPPER(CONCATENATE("'",Alumnos!L163,"'"))</f>
        <v>'ACTIVO'</v>
      </c>
      <c r="K134" s="16" t="str">
        <f>CONCATENATE(A134,",",B134,",",C134,",",D134,",'",E134,",",F134,",",G134,",",H134,",",UPPER(I134),",",UPPER(J134),",'',0,0,'','ALUMNO'")</f>
        <v>1133,'LICENCIATURA','daniela.ruizlopez','112241','TOMAR DEL SND','RUIZ LOPEZ DANIELA','NUTRICION Y GASTRONOMIA','2do','FEMENINO','ACTIVO','',0,0,'','ALUMNO'</v>
      </c>
      <c r="L134" s="16" t="str">
        <f>CONCATENATE($K$1,K134,");")</f>
        <v>INSERT INTO participantes (id,nivel,correo,matricula,clave,nombre,carrera,grado,sexo,situacion,evaluados,num_evaluados,total_evaluaciones,ultimo_acceso,nivel_acceso) VALUES (1133,'LICENCIATURA','daniela.ruizlopez','112241','TOMAR DEL SND','RUIZ LOPEZ DANIELA','NUTRICION Y GASTRONOMIA','2do','FEMENINO','ACTIVO','',0,0,'','ALUMNO');</v>
      </c>
      <c r="M134" s="16" t="str">
        <f>CONCATENATE("update participantes set correo=",C134," where id=",A134,";")</f>
        <v>update participantes set correo='daniela.ruizlopez' where id=1133;</v>
      </c>
    </row>
    <row r="135" spans="1:13" ht="116" x14ac:dyDescent="0.35">
      <c r="A135" s="16">
        <v>1134</v>
      </c>
      <c r="B135" s="18" t="s">
        <v>1754</v>
      </c>
      <c r="C135" s="16" t="str">
        <f>CONCATENATE("'",Alumnos!E356,"'")</f>
        <v>'juanpablo.gomezgomez'</v>
      </c>
      <c r="D135" s="16" t="str">
        <f>CONCATENATE(Alumnos!F356,"'")</f>
        <v>'112242'</v>
      </c>
      <c r="E135" s="16" t="s">
        <v>1755</v>
      </c>
      <c r="F135" s="16" t="str">
        <f>CONCATENATE("'",Alumnos!H356,"'")</f>
        <v>'GOMEZ GOMEZ JUAN PABLO'</v>
      </c>
      <c r="G135" s="16" t="str">
        <f>CONCATENATE("'",Alumnos!I356,"'")</f>
        <v>'INGENIERÍA AUTOMOTRIZ'</v>
      </c>
      <c r="H135" s="16" t="str">
        <f>CONCATENATE("'",Alumnos!J356,"'")</f>
        <v>'2do'</v>
      </c>
      <c r="I135" s="16" t="str">
        <f>UPPER(CONCATENATE("'",Alumnos!K356,"'"))</f>
        <v>'MASCULINO'</v>
      </c>
      <c r="J135" s="16" t="str">
        <f>UPPER(CONCATENATE("'",Alumnos!L356,"'"))</f>
        <v>'ACTIVO'</v>
      </c>
      <c r="K135" s="16" t="str">
        <f>CONCATENATE(A135,",",B135,",",C135,",",D135,",'",E135,",",F135,",",G135,",",H135,",",UPPER(I135),",",UPPER(J135),",'',0,0,'','ALUMNO'")</f>
        <v>1134,'LICENCIATURA','juanpablo.gomezgomez','112242','TOMAR DEL SND','GOMEZ GOMEZ JUAN PABLO','INGENIERÍA AUTOMOTRIZ','2do','MASCULINO','ACTIVO','',0,0,'','ALUMNO'</v>
      </c>
      <c r="L135" s="16" t="str">
        <f>CONCATENATE($K$1,K135,");")</f>
        <v>INSERT INTO participantes (id,nivel,correo,matricula,clave,nombre,carrera,grado,sexo,situacion,evaluados,num_evaluados,total_evaluaciones,ultimo_acceso,nivel_acceso) VALUES (1134,'LICENCIATURA','juanpablo.gomezgomez','112242','TOMAR DEL SND','GOMEZ GOMEZ JUAN PABLO','INGENIERÍA AUTOMOTRIZ','2do','MASCULINO','ACTIVO','',0,0,'','ALUMNO');</v>
      </c>
      <c r="M135" s="16" t="str">
        <f>CONCATENATE("update participantes set correo=",C135," where id=",A135,";")</f>
        <v>update participantes set correo='juanpablo.gomezgomez' where id=1134;</v>
      </c>
    </row>
    <row r="136" spans="1:13" ht="130.5" x14ac:dyDescent="0.35">
      <c r="A136" s="16">
        <v>1135</v>
      </c>
      <c r="B136" s="18" t="s">
        <v>1754</v>
      </c>
      <c r="C136" s="16" t="str">
        <f>CONCATENATE("'",Alumnos!E133,"'")</f>
        <v>'cesaralejandro.romeromanzano'</v>
      </c>
      <c r="D136" s="16" t="str">
        <f>CONCATENATE(Alumnos!F133,"'")</f>
        <v>'112244'</v>
      </c>
      <c r="E136" s="16" t="s">
        <v>1755</v>
      </c>
      <c r="F136" s="16" t="str">
        <f>CONCATENATE("'",Alumnos!H133,"'")</f>
        <v>'ROMERO MANZANO CESAR ALEJANDRO'</v>
      </c>
      <c r="G136" s="16" t="str">
        <f>CONCATENATE("'",Alumnos!I133,"'")</f>
        <v>'INGENIERÍA AUTOMOTRIZ'</v>
      </c>
      <c r="H136" s="16" t="str">
        <f>CONCATENATE("'",Alumnos!J133,"'")</f>
        <v>'2do'</v>
      </c>
      <c r="I136" s="16" t="str">
        <f>UPPER(CONCATENATE("'",Alumnos!K133,"'"))</f>
        <v>'MASCULINO'</v>
      </c>
      <c r="J136" s="16" t="str">
        <f>UPPER(CONCATENATE("'",Alumnos!L133,"'"))</f>
        <v>'ACTIVO'</v>
      </c>
      <c r="K136" s="16" t="str">
        <f>CONCATENATE(A136,",",B136,",",C136,",",D136,",'",E136,",",F136,",",G136,",",H136,",",UPPER(I136),",",UPPER(J136),",'',0,0,'','ALUMNO'")</f>
        <v>1135,'LICENCIATURA','cesaralejandro.romeromanzano','112244','TOMAR DEL SND','ROMERO MANZANO CESAR ALEJANDRO','INGENIERÍA AUTOMOTRIZ','2do','MASCULINO','ACTIVO','',0,0,'','ALUMNO'</v>
      </c>
      <c r="L136" s="16" t="str">
        <f>CONCATENATE($K$1,K136,");")</f>
        <v>INSERT INTO participantes (id,nivel,correo,matricula,clave,nombre,carrera,grado,sexo,situacion,evaluados,num_evaluados,total_evaluaciones,ultimo_acceso,nivel_acceso) VALUES (1135,'LICENCIATURA','cesaralejandro.romeromanzano','112244','TOMAR DEL SND','ROMERO MANZANO CESAR ALEJANDRO','INGENIERÍA AUTOMOTRIZ','2do','MASCULINO','ACTIVO','',0,0,'','ALUMNO');</v>
      </c>
      <c r="M136" s="16" t="str">
        <f>CONCATENATE("update participantes set correo=",C136," where id=",A136,";")</f>
        <v>update participantes set correo='cesaralejandro.romeromanzano' where id=1135;</v>
      </c>
    </row>
    <row r="137" spans="1:13" ht="116" x14ac:dyDescent="0.35">
      <c r="A137" s="16">
        <v>1136</v>
      </c>
      <c r="B137" s="18" t="s">
        <v>1754</v>
      </c>
      <c r="C137" s="16" t="str">
        <f>CONCATENATE("'",Alumnos!E500,"'")</f>
        <v>'omar.rioslara'</v>
      </c>
      <c r="D137" s="16" t="str">
        <f>CONCATENATE(Alumnos!F500,"'")</f>
        <v>'112245'</v>
      </c>
      <c r="E137" s="16" t="s">
        <v>1755</v>
      </c>
      <c r="F137" s="16" t="str">
        <f>CONCATENATE("'",Alumnos!H500,"'")</f>
        <v>'RIOS LARA OMAR'</v>
      </c>
      <c r="G137" s="16" t="str">
        <f>CONCATENATE("'",Alumnos!I500,"'")</f>
        <v>'INGENIERÍA AUTOMOTRIZ'</v>
      </c>
      <c r="H137" s="16" t="str">
        <f>CONCATENATE("'",Alumnos!J500,"'")</f>
        <v>'2do'</v>
      </c>
      <c r="I137" s="16" t="str">
        <f>UPPER(CONCATENATE("'",Alumnos!K500,"'"))</f>
        <v>'MASCULINO'</v>
      </c>
      <c r="J137" s="16" t="str">
        <f>UPPER(CONCATENATE("'",Alumnos!L500,"'"))</f>
        <v>'ACTIVO'</v>
      </c>
      <c r="K137" s="16" t="str">
        <f>CONCATENATE(A137,",",B137,",",C137,",",D137,",'",E137,",",F137,",",G137,",",H137,",",UPPER(I137),",",UPPER(J137),",'',0,0,'','ALUMNO'")</f>
        <v>1136,'LICENCIATURA','omar.rioslara','112245','TOMAR DEL SND','RIOS LARA OMAR','INGENIERÍA AUTOMOTRIZ','2do','MASCULINO','ACTIVO','',0,0,'','ALUMNO'</v>
      </c>
      <c r="L137" s="16" t="str">
        <f>CONCATENATE($K$1,K137,");")</f>
        <v>INSERT INTO participantes (id,nivel,correo,matricula,clave,nombre,carrera,grado,sexo,situacion,evaluados,num_evaluados,total_evaluaciones,ultimo_acceso,nivel_acceso) VALUES (1136,'LICENCIATURA','omar.rioslara','112245','TOMAR DEL SND','RIOS LARA OMAR','INGENIERÍA AUTOMOTRIZ','2do','MASCULINO','ACTIVO','',0,0,'','ALUMNO');</v>
      </c>
      <c r="M137" s="16" t="str">
        <f>CONCATENATE("update participantes set correo=",C137," where id=",A137,";")</f>
        <v>update participantes set correo='omar.rioslara' where id=1136;</v>
      </c>
    </row>
    <row r="138" spans="1:13" ht="116" x14ac:dyDescent="0.35">
      <c r="A138" s="16">
        <v>1137</v>
      </c>
      <c r="B138" s="18" t="s">
        <v>1754</v>
      </c>
      <c r="C138" s="16" t="str">
        <f>CONCATENATE("'",Alumnos!E158,"'")</f>
        <v>'danielenrique.villalobosgarcia'</v>
      </c>
      <c r="D138" s="16" t="str">
        <f>CONCATENATE(Alumnos!F158,"'")</f>
        <v>'112246'</v>
      </c>
      <c r="E138" s="16" t="s">
        <v>1755</v>
      </c>
      <c r="F138" s="16" t="str">
        <f>CONCATENATE("'",Alumnos!H158,"'")</f>
        <v>'VILLALOBOS GARCIA DANIEL ENRIQUE'</v>
      </c>
      <c r="G138" s="16" t="str">
        <f>CONCATENATE("'",Alumnos!I158,"'")</f>
        <v>'ARQUITECTURA'</v>
      </c>
      <c r="H138" s="16" t="str">
        <f>CONCATENATE("'",Alumnos!J158,"'")</f>
        <v>'2do'</v>
      </c>
      <c r="I138" s="16" t="str">
        <f>UPPER(CONCATENATE("'",Alumnos!K158,"'"))</f>
        <v>'MASCULINO'</v>
      </c>
      <c r="J138" s="16" t="str">
        <f>UPPER(CONCATENATE("'",Alumnos!L158,"'"))</f>
        <v>'ACTIVO'</v>
      </c>
      <c r="K138" s="16" t="str">
        <f>CONCATENATE(A138,",",B138,",",C138,",",D138,",'",E138,",",F138,",",G138,",",H138,",",UPPER(I138),",",UPPER(J138),",'',0,0,'','ALUMNO'")</f>
        <v>1137,'LICENCIATURA','danielenrique.villalobosgarcia','112246','TOMAR DEL SND','VILLALOBOS GARCIA DANIEL ENRIQUE','ARQUITECTURA','2do','MASCULINO','ACTIVO','',0,0,'','ALUMNO'</v>
      </c>
      <c r="L138" s="16" t="str">
        <f>CONCATENATE($K$1,K138,");")</f>
        <v>INSERT INTO participantes (id,nivel,correo,matricula,clave,nombre,carrera,grado,sexo,situacion,evaluados,num_evaluados,total_evaluaciones,ultimo_acceso,nivel_acceso) VALUES (1137,'LICENCIATURA','danielenrique.villalobosgarcia','112246','TOMAR DEL SND','VILLALOBOS GARCIA DANIEL ENRIQUE','ARQUITECTURA','2do','MASCULINO','ACTIVO','',0,0,'','ALUMNO');</v>
      </c>
      <c r="M138" s="16" t="str">
        <f>CONCATENATE("update participantes set correo=",C138," where id=",A138,";")</f>
        <v>update participantes set correo='danielenrique.villalobosgarcia' where id=1137;</v>
      </c>
    </row>
    <row r="139" spans="1:13" ht="130.5" x14ac:dyDescent="0.35">
      <c r="A139" s="16">
        <v>1138</v>
      </c>
      <c r="B139" s="18" t="s">
        <v>1754</v>
      </c>
      <c r="C139" s="16" t="str">
        <f>CONCATENATE("'",Alumnos!E265,"'")</f>
        <v>'gustavokalen.juradoperez'</v>
      </c>
      <c r="D139" s="16" t="str">
        <f>CONCATENATE(Alumnos!F265,"'")</f>
        <v>'112247'</v>
      </c>
      <c r="E139" s="16" t="s">
        <v>1755</v>
      </c>
      <c r="F139" s="16" t="str">
        <f>CONCATENATE("'",Alumnos!H265,"'")</f>
        <v>'JURADO PEREZ GUSTAVO KALEN'</v>
      </c>
      <c r="G139" s="16" t="str">
        <f>CONCATENATE("'",Alumnos!I265,"'")</f>
        <v>'INGENIERIA AEROESPACIAL'</v>
      </c>
      <c r="H139" s="16" t="str">
        <f>CONCATENATE("'",Alumnos!J265,"'")</f>
        <v>'2do'</v>
      </c>
      <c r="I139" s="16" t="str">
        <f>UPPER(CONCATENATE("'",Alumnos!K265,"'"))</f>
        <v>'MASCULINO'</v>
      </c>
      <c r="J139" s="16" t="str">
        <f>UPPER(CONCATENATE("'",Alumnos!L265,"'"))</f>
        <v>'ACTIVO'</v>
      </c>
      <c r="K139" s="16" t="str">
        <f>CONCATENATE(A139,",",B139,",",C139,",",D139,",'",E139,",",F139,",",G139,",",H139,",",UPPER(I139),",",UPPER(J139),",'',0,0,'','ALUMNO'")</f>
        <v>1138,'LICENCIATURA','gustavokalen.juradoperez','112247','TOMAR DEL SND','JURADO PEREZ GUSTAVO KALEN','INGENIERIA AEROESPACIAL','2do','MASCULINO','ACTIVO','',0,0,'','ALUMNO'</v>
      </c>
      <c r="L139" s="16" t="str">
        <f>CONCATENATE($K$1,K139,");")</f>
        <v>INSERT INTO participantes (id,nivel,correo,matricula,clave,nombre,carrera,grado,sexo,situacion,evaluados,num_evaluados,total_evaluaciones,ultimo_acceso,nivel_acceso) VALUES (1138,'LICENCIATURA','gustavokalen.juradoperez','112247','TOMAR DEL SND','JURADO PEREZ GUSTAVO KALEN','INGENIERIA AEROESPACIAL','2do','MASCULINO','ACTIVO','',0,0,'','ALUMNO');</v>
      </c>
      <c r="M139" s="16" t="str">
        <f>CONCATENATE("update participantes set correo=",C139," where id=",A139,";")</f>
        <v>update participantes set correo='gustavokalen.juradoperez' where id=1138;</v>
      </c>
    </row>
    <row r="140" spans="1:13" ht="116" x14ac:dyDescent="0.35">
      <c r="A140" s="16">
        <v>1139</v>
      </c>
      <c r="B140" s="18" t="s">
        <v>1754</v>
      </c>
      <c r="C140" s="16" t="str">
        <f>CONCATENATE("'",Alumnos!E118,"'")</f>
        <v>'camilla.zepedajimenez'</v>
      </c>
      <c r="D140" s="16" t="str">
        <f>CONCATENATE(Alumnos!F118,"'")</f>
        <v>'112248'</v>
      </c>
      <c r="E140" s="16" t="s">
        <v>1755</v>
      </c>
      <c r="F140" s="16" t="str">
        <f>CONCATENATE("'",Alumnos!H118,"'")</f>
        <v>'ZEPEDA JIMENEZ   CAMILLA'</v>
      </c>
      <c r="G140" s="16" t="str">
        <f>CONCATENATE("'",Alumnos!I118,"'")</f>
        <v>'INGENIERIA AEROESPACIAL'</v>
      </c>
      <c r="H140" s="16" t="str">
        <f>CONCATENATE("'",Alumnos!J118,"'")</f>
        <v>'2do'</v>
      </c>
      <c r="I140" s="16" t="str">
        <f>UPPER(CONCATENATE("'",Alumnos!K118,"'"))</f>
        <v>'FEMENINO'</v>
      </c>
      <c r="J140" s="16" t="str">
        <f>UPPER(CONCATENATE("'",Alumnos!L118,"'"))</f>
        <v>'ACTIVO'</v>
      </c>
      <c r="K140" s="16" t="str">
        <f>CONCATENATE(A140,",",B140,",",C140,",",D140,",'",E140,",",F140,",",G140,",",H140,",",UPPER(I140),",",UPPER(J140),",'',0,0,'','ALUMNO'")</f>
        <v>1139,'LICENCIATURA','camilla.zepedajimenez','112248','TOMAR DEL SND','ZEPEDA JIMENEZ   CAMILLA','INGENIERIA AEROESPACIAL','2do','FEMENINO','ACTIVO','',0,0,'','ALUMNO'</v>
      </c>
      <c r="L140" s="16" t="str">
        <f>CONCATENATE($K$1,K140,");")</f>
        <v>INSERT INTO participantes (id,nivel,correo,matricula,clave,nombre,carrera,grado,sexo,situacion,evaluados,num_evaluados,total_evaluaciones,ultimo_acceso,nivel_acceso) VALUES (1139,'LICENCIATURA','camilla.zepedajimenez','112248','TOMAR DEL SND','ZEPEDA JIMENEZ   CAMILLA','INGENIERIA AEROESPACIAL','2do','FEMENINO','ACTIVO','',0,0,'','ALUMNO');</v>
      </c>
      <c r="M140" s="16" t="str">
        <f>CONCATENATE("update participantes set correo=",C140," where id=",A140,";")</f>
        <v>update participantes set correo='camilla.zepedajimenez' where id=1139;</v>
      </c>
    </row>
    <row r="141" spans="1:13" ht="116" x14ac:dyDescent="0.35">
      <c r="A141" s="16">
        <v>1140</v>
      </c>
      <c r="B141" s="18" t="s">
        <v>1754</v>
      </c>
      <c r="C141" s="16" t="str">
        <f>CONCATENATE("'",Alumnos!E620,"'")</f>
        <v>'yocelinyazmin.ruizgonzalez'</v>
      </c>
      <c r="D141" s="16" t="str">
        <f>CONCATENATE(Alumnos!F620,"'")</f>
        <v>'112249'</v>
      </c>
      <c r="E141" s="16" t="s">
        <v>1755</v>
      </c>
      <c r="F141" s="16" t="str">
        <f>CONCATENATE("'",Alumnos!H620,"'")</f>
        <v>'RUIZ GONZALEZ YOCELIN YAZMIN'</v>
      </c>
      <c r="G141" s="16" t="str">
        <f>CONCATENATE("'",Alumnos!I620,"'")</f>
        <v>'PSICOLOGIA'</v>
      </c>
      <c r="H141" s="16" t="str">
        <f>CONCATENATE("'",Alumnos!J620,"'")</f>
        <v>'2do'</v>
      </c>
      <c r="I141" s="16" t="str">
        <f>UPPER(CONCATENATE("'",Alumnos!K620,"'"))</f>
        <v>'FEMENINO'</v>
      </c>
      <c r="J141" s="16" t="str">
        <f>UPPER(CONCATENATE("'",Alumnos!L620,"'"))</f>
        <v>'ACTIVO'</v>
      </c>
      <c r="K141" s="16" t="str">
        <f>CONCATENATE(A141,",",B141,",",C141,",",D141,",'",E141,",",F141,",",G141,",",H141,",",UPPER(I141),",",UPPER(J141),",'',0,0,'','ALUMNO'")</f>
        <v>1140,'LICENCIATURA','yocelinyazmin.ruizgonzalez','112249','TOMAR DEL SND','RUIZ GONZALEZ YOCELIN YAZMIN','PSICOLOGIA','2do','FEMENINO','ACTIVO','',0,0,'','ALUMNO'</v>
      </c>
      <c r="L141" s="16" t="str">
        <f>CONCATENATE($K$1,K141,");")</f>
        <v>INSERT INTO participantes (id,nivel,correo,matricula,clave,nombre,carrera,grado,sexo,situacion,evaluados,num_evaluados,total_evaluaciones,ultimo_acceso,nivel_acceso) VALUES (1140,'LICENCIATURA','yocelinyazmin.ruizgonzalez','112249','TOMAR DEL SND','RUIZ GONZALEZ YOCELIN YAZMIN','PSICOLOGIA','2do','FEMENINO','ACTIVO','',0,0,'','ALUMNO');</v>
      </c>
      <c r="M141" s="16" t="str">
        <f>CONCATENATE("update participantes set correo=",C141," where id=",A141,";")</f>
        <v>update participantes set correo='yocelinyazmin.ruizgonzalez' where id=1140;</v>
      </c>
    </row>
    <row r="142" spans="1:13" ht="130.5" x14ac:dyDescent="0.35">
      <c r="A142" s="16">
        <v>1141</v>
      </c>
      <c r="B142" s="18" t="s">
        <v>1754</v>
      </c>
      <c r="C142" s="16" t="str">
        <f>CONCATENATE("'",Alumnos!E478,"'")</f>
        <v>'miguelangelsnayder.ruizgamarra'</v>
      </c>
      <c r="D142" s="16" t="str">
        <f>CONCATENATE(Alumnos!F478,"'")</f>
        <v>'112251'</v>
      </c>
      <c r="E142" s="16" t="s">
        <v>1755</v>
      </c>
      <c r="F142" s="16" t="str">
        <f>CONCATENATE("'",Alumnos!H478,"'")</f>
        <v>'RUIZ GAMARRA MIGUEL ANGEL SNAYDER'</v>
      </c>
      <c r="G142" s="16" t="str">
        <f>CONCATENATE("'",Alumnos!I478,"'")</f>
        <v>'ANIMACION DIGITAL Y VIDEOJUEGOS'</v>
      </c>
      <c r="H142" s="16" t="str">
        <f>CONCATENATE("'",Alumnos!J478,"'")</f>
        <v>'2do'</v>
      </c>
      <c r="I142" s="16" t="str">
        <f>UPPER(CONCATENATE("'",Alumnos!K478,"'"))</f>
        <v>'MASCULINO'</v>
      </c>
      <c r="J142" s="16" t="str">
        <f>UPPER(CONCATENATE("'",Alumnos!L478,"'"))</f>
        <v>'ACTIVO'</v>
      </c>
      <c r="K142" s="16" t="str">
        <f>CONCATENATE(A142,",",B142,",",C142,",",D142,",'",E142,",",F142,",",G142,",",H142,",",UPPER(I142),",",UPPER(J142),",'',0,0,'','ALUMNO'")</f>
        <v>1141,'LICENCIATURA','miguelangelsnayder.ruizgamarra','112251','TOMAR DEL SND','RUIZ GAMARRA MIGUEL ANGEL SNAYDER','ANIMACION DIGITAL Y VIDEOJUEGOS','2do','MASCULINO','ACTIVO','',0,0,'','ALUMNO'</v>
      </c>
      <c r="L142" s="16" t="str">
        <f>CONCATENATE($K$1,K142,");")</f>
        <v>INSERT INTO participantes (id,nivel,correo,matricula,clave,nombre,carrera,grado,sexo,situacion,evaluados,num_evaluados,total_evaluaciones,ultimo_acceso,nivel_acceso) VALUES (1141,'LICENCIATURA','miguelangelsnayder.ruizgamarra','112251','TOMAR DEL SND','RUIZ GAMARRA MIGUEL ANGEL SNAYDER','ANIMACION DIGITAL Y VIDEOJUEGOS','2do','MASCULINO','ACTIVO','',0,0,'','ALUMNO');</v>
      </c>
      <c r="M142" s="16" t="str">
        <f>CONCATENATE("update participantes set correo=",C142," where id=",A142,";")</f>
        <v>update participantes set correo='miguelangelsnayder.ruizgamarra' where id=1141;</v>
      </c>
    </row>
    <row r="143" spans="1:13" ht="130.5" x14ac:dyDescent="0.35">
      <c r="A143" s="16">
        <v>1142</v>
      </c>
      <c r="B143" s="18" t="s">
        <v>1754</v>
      </c>
      <c r="C143" s="16" t="str">
        <f>CONCATENATE("'",Alumnos!E261,"'")</f>
        <v>'grahamantonio.munozherrera'</v>
      </c>
      <c r="D143" s="16" t="str">
        <f>CONCATENATE(Alumnos!F261,"'")</f>
        <v>'112252'</v>
      </c>
      <c r="E143" s="16" t="s">
        <v>1755</v>
      </c>
      <c r="F143" s="16" t="str">
        <f>CONCATENATE("'",Alumnos!H261,"'")</f>
        <v>'MUÑOZ HERRERA GRAHAM ANTONIO'</v>
      </c>
      <c r="G143" s="16" t="str">
        <f>CONCATENATE("'",Alumnos!I261,"'")</f>
        <v>'INGENIERIA AEROESPACIAL'</v>
      </c>
      <c r="H143" s="16" t="str">
        <f>CONCATENATE("'",Alumnos!J261,"'")</f>
        <v>'2do'</v>
      </c>
      <c r="I143" s="16" t="str">
        <f>UPPER(CONCATENATE("'",Alumnos!K261,"'"))</f>
        <v>'MASCULINO'</v>
      </c>
      <c r="J143" s="16" t="str">
        <f>UPPER(CONCATENATE("'",Alumnos!L261,"'"))</f>
        <v>'ACTIVO'</v>
      </c>
      <c r="K143" s="16" t="str">
        <f>CONCATENATE(A143,",",B143,",",C143,",",D143,",'",E143,",",F143,",",G143,",",H143,",",UPPER(I143),",",UPPER(J143),",'',0,0,'','ALUMNO'")</f>
        <v>1142,'LICENCIATURA','grahamantonio.munozherrera','112252','TOMAR DEL SND','MUÑOZ HERRERA GRAHAM ANTONIO','INGENIERIA AEROESPACIAL','2do','MASCULINO','ACTIVO','',0,0,'','ALUMNO'</v>
      </c>
      <c r="L143" s="16" t="str">
        <f>CONCATENATE($K$1,K143,");")</f>
        <v>INSERT INTO participantes (id,nivel,correo,matricula,clave,nombre,carrera,grado,sexo,situacion,evaluados,num_evaluados,total_evaluaciones,ultimo_acceso,nivel_acceso) VALUES (1142,'LICENCIATURA','grahamantonio.munozherrera','112252','TOMAR DEL SND','MUÑOZ HERRERA GRAHAM ANTONIO','INGENIERIA AEROESPACIAL','2do','MASCULINO','ACTIVO','',0,0,'','ALUMNO');</v>
      </c>
      <c r="M143" s="16" t="str">
        <f>CONCATENATE("update participantes set correo=",C143," where id=",A143,";")</f>
        <v>update participantes set correo='grahamantonio.munozherrera' where id=1142;</v>
      </c>
    </row>
    <row r="144" spans="1:13" ht="130.5" x14ac:dyDescent="0.35">
      <c r="A144" s="16">
        <v>1143</v>
      </c>
      <c r="B144" s="18" t="s">
        <v>1754</v>
      </c>
      <c r="C144" s="16" t="str">
        <f>CONCATENATE("'",Alumnos!E310,"'")</f>
        <v>'jesusemmanuel.cardenasortiz'</v>
      </c>
      <c r="D144" s="16" t="str">
        <f>CONCATENATE(Alumnos!F310,"'")</f>
        <v>'112253'</v>
      </c>
      <c r="E144" s="16" t="s">
        <v>1755</v>
      </c>
      <c r="F144" s="16" t="str">
        <f>CONCATENATE("'",Alumnos!H310,"'")</f>
        <v>'CARDENAS ORTIZ JESUS EMMANUEL'</v>
      </c>
      <c r="G144" s="16" t="str">
        <f>CONCATENATE("'",Alumnos!I310,"'")</f>
        <v>'INGENIERIA AEROESPACIAL'</v>
      </c>
      <c r="H144" s="16" t="str">
        <f>CONCATENATE("'",Alumnos!J310,"'")</f>
        <v>'2do'</v>
      </c>
      <c r="I144" s="16" t="str">
        <f>UPPER(CONCATENATE("'",Alumnos!K310,"'"))</f>
        <v>'MASCULINO'</v>
      </c>
      <c r="J144" s="16" t="str">
        <f>UPPER(CONCATENATE("'",Alumnos!L310,"'"))</f>
        <v>'ACTIVO'</v>
      </c>
      <c r="K144" s="16" t="str">
        <f>CONCATENATE(A144,",",B144,",",C144,",",D144,",'",E144,",",F144,",",G144,",",H144,",",UPPER(I144),",",UPPER(J144),",'',0,0,'','ALUMNO'")</f>
        <v>1143,'LICENCIATURA','jesusemmanuel.cardenasortiz','112253','TOMAR DEL SND','CARDENAS ORTIZ JESUS EMMANUEL','INGENIERIA AEROESPACIAL','2do','MASCULINO','ACTIVO','',0,0,'','ALUMNO'</v>
      </c>
      <c r="L144" s="16" t="str">
        <f>CONCATENATE($K$1,K144,");")</f>
        <v>INSERT INTO participantes (id,nivel,correo,matricula,clave,nombre,carrera,grado,sexo,situacion,evaluados,num_evaluados,total_evaluaciones,ultimo_acceso,nivel_acceso) VALUES (1143,'LICENCIATURA','jesusemmanuel.cardenasortiz','112253','TOMAR DEL SND','CARDENAS ORTIZ JESUS EMMANUEL','INGENIERIA AEROESPACIAL','2do','MASCULINO','ACTIVO','',0,0,'','ALUMNO');</v>
      </c>
      <c r="M144" s="16" t="str">
        <f>CONCATENATE("update participantes set correo=",C144," where id=",A144,";")</f>
        <v>update participantes set correo='jesusemmanuel.cardenasortiz' where id=1143;</v>
      </c>
    </row>
    <row r="145" spans="1:13" ht="116" x14ac:dyDescent="0.35">
      <c r="A145" s="16">
        <v>1144</v>
      </c>
      <c r="B145" s="18" t="s">
        <v>1754</v>
      </c>
      <c r="C145" s="16" t="str">
        <f>CONCATENATE("'",Alumnos!E602,"'")</f>
        <v>'valeria.saldanavargas'</v>
      </c>
      <c r="D145" s="16" t="str">
        <f>CONCATENATE(Alumnos!F602,"'")</f>
        <v>'112254'</v>
      </c>
      <c r="E145" s="16" t="s">
        <v>1755</v>
      </c>
      <c r="F145" s="16" t="str">
        <f>CONCATENATE("'",Alumnos!H602,"'")</f>
        <v>'SALDAÑA VARGAS VALERIA'</v>
      </c>
      <c r="G145" s="16" t="str">
        <f>CONCATENATE("'",Alumnos!I602,"'")</f>
        <v>'INGENIERIA AEROESPACIAL'</v>
      </c>
      <c r="H145" s="16" t="str">
        <f>CONCATENATE("'",Alumnos!J602,"'")</f>
        <v>'2do'</v>
      </c>
      <c r="I145" s="16" t="str">
        <f>UPPER(CONCATENATE("'",Alumnos!K602,"'"))</f>
        <v>'FEMENINO'</v>
      </c>
      <c r="J145" s="16" t="str">
        <f>UPPER(CONCATENATE("'",Alumnos!L602,"'"))</f>
        <v>'ACTIVO'</v>
      </c>
      <c r="K145" s="16" t="str">
        <f>CONCATENATE(A145,",",B145,",",C145,",",D145,",'",E145,",",F145,",",G145,",",H145,",",UPPER(I145),",",UPPER(J145),",'',0,0,'','ALUMNO'")</f>
        <v>1144,'LICENCIATURA','valeria.saldanavargas','112254','TOMAR DEL SND','SALDAÑA VARGAS VALERIA','INGENIERIA AEROESPACIAL','2do','FEMENINO','ACTIVO','',0,0,'','ALUMNO'</v>
      </c>
      <c r="L145" s="16" t="str">
        <f>CONCATENATE($K$1,K145,");")</f>
        <v>INSERT INTO participantes (id,nivel,correo,matricula,clave,nombre,carrera,grado,sexo,situacion,evaluados,num_evaluados,total_evaluaciones,ultimo_acceso,nivel_acceso) VALUES (1144,'LICENCIATURA','valeria.saldanavargas','112254','TOMAR DEL SND','SALDAÑA VARGAS VALERIA','INGENIERIA AEROESPACIAL','2do','FEMENINO','ACTIVO','',0,0,'','ALUMNO');</v>
      </c>
      <c r="M145" s="16" t="str">
        <f>CONCATENATE("update participantes set correo=",C145," where id=",A145,";")</f>
        <v>update participantes set correo='valeria.saldanavargas' where id=1144;</v>
      </c>
    </row>
    <row r="146" spans="1:13" ht="116" x14ac:dyDescent="0.35">
      <c r="A146" s="16">
        <v>1145</v>
      </c>
      <c r="B146" s="18" t="s">
        <v>1754</v>
      </c>
      <c r="C146" s="16" t="str">
        <f>CONCATENATE("'",Alumnos!E541,"'")</f>
        <v>'renata.barbosacuevas'</v>
      </c>
      <c r="D146" s="16" t="str">
        <f>CONCATENATE(Alumnos!F541,"'")</f>
        <v>'112255'</v>
      </c>
      <c r="E146" s="16" t="s">
        <v>1755</v>
      </c>
      <c r="F146" s="16" t="str">
        <f>CONCATENATE("'",Alumnos!H541,"'")</f>
        <v>'BARBOSA CUEVAS RENATA'</v>
      </c>
      <c r="G146" s="16" t="str">
        <f>CONCATENATE("'",Alumnos!I541,"'")</f>
        <v>'ARQUITECTURA'</v>
      </c>
      <c r="H146" s="16" t="str">
        <f>CONCATENATE("'",Alumnos!J541,"'")</f>
        <v>'2do'</v>
      </c>
      <c r="I146" s="16" t="str">
        <f>UPPER(CONCATENATE("'",Alumnos!K541,"'"))</f>
        <v>'FEMENINO'</v>
      </c>
      <c r="J146" s="16" t="str">
        <f>UPPER(CONCATENATE("'",Alumnos!L541,"'"))</f>
        <v>'ACTIVO'</v>
      </c>
      <c r="K146" s="16" t="str">
        <f>CONCATENATE(A146,",",B146,",",C146,",",D146,",'",E146,",",F146,",",G146,",",H146,",",UPPER(I146),",",UPPER(J146),",'',0,0,'','ALUMNO'")</f>
        <v>1145,'LICENCIATURA','renata.barbosacuevas','112255','TOMAR DEL SND','BARBOSA CUEVAS RENATA','ARQUITECTURA','2do','FEMENINO','ACTIVO','',0,0,'','ALUMNO'</v>
      </c>
      <c r="L146" s="16" t="str">
        <f>CONCATENATE($K$1,K146,");")</f>
        <v>INSERT INTO participantes (id,nivel,correo,matricula,clave,nombre,carrera,grado,sexo,situacion,evaluados,num_evaluados,total_evaluaciones,ultimo_acceso,nivel_acceso) VALUES (1145,'LICENCIATURA','renata.barbosacuevas','112255','TOMAR DEL SND','BARBOSA CUEVAS RENATA','ARQUITECTURA','2do','FEMENINO','ACTIVO','',0,0,'','ALUMNO');</v>
      </c>
      <c r="M146" s="16" t="str">
        <f>CONCATENATE("update participantes set correo=",C146," where id=",A146,";")</f>
        <v>update participantes set correo='renata.barbosacuevas' where id=1145;</v>
      </c>
    </row>
    <row r="147" spans="1:13" ht="116" x14ac:dyDescent="0.35">
      <c r="A147" s="16">
        <v>1146</v>
      </c>
      <c r="B147" s="18" t="s">
        <v>1754</v>
      </c>
      <c r="C147" s="16" t="str">
        <f>CONCATENATE("'",Alumnos!E549,"'")</f>
        <v>'robertoemmanuel.zamorasalazar'</v>
      </c>
      <c r="D147" s="16" t="str">
        <f>CONCATENATE(Alumnos!F549,"'")</f>
        <v>'112256'</v>
      </c>
      <c r="E147" s="16" t="s">
        <v>1755</v>
      </c>
      <c r="F147" s="16" t="str">
        <f>CONCATENATE("'",Alumnos!H549,"'")</f>
        <v>'ZAMORA SALAZAR ROBERTO EMMANUEL'</v>
      </c>
      <c r="G147" s="16" t="str">
        <f>CONCATENATE("'",Alumnos!I549,"'")</f>
        <v>'INGENIERÍA EN INTELIGENCIA ARTIFICIAL'</v>
      </c>
      <c r="H147" s="16" t="str">
        <f>CONCATENATE("'",Alumnos!J549,"'")</f>
        <v>'2do'</v>
      </c>
      <c r="I147" s="16" t="str">
        <f>UPPER(CONCATENATE("'",Alumnos!K549,"'"))</f>
        <v>'MASCULINO'</v>
      </c>
      <c r="J147" s="16" t="str">
        <f>UPPER(CONCATENATE("'",Alumnos!L549,"'"))</f>
        <v>'ACTIVO'</v>
      </c>
      <c r="K147" s="16" t="str">
        <f>CONCATENATE(A147,",",B147,",",C147,",",D147,",'",E147,",",F147,",",G147,",",H147,",",UPPER(I147),",",UPPER(J147),",'',0,0,'','ALUMNO'")</f>
        <v>1146,'LICENCIATURA','robertoemmanuel.zamorasalazar','112256','TOMAR DEL SND','ZAMORA SALAZAR ROBERTO EMMANUEL','INGENIERÍA EN INTELIGENCIA ARTIFICIAL','2do','MASCULINO','ACTIVO','',0,0,'','ALUMNO'</v>
      </c>
      <c r="L147" s="16" t="str">
        <f>CONCATENATE($K$1,K147,");")</f>
        <v>INSERT INTO participantes (id,nivel,correo,matricula,clave,nombre,carrera,grado,sexo,situacion,evaluados,num_evaluados,total_evaluaciones,ultimo_acceso,nivel_acceso) VALUES (1146,'LICENCIATURA','robertoemmanuel.zamorasalazar','112256','TOMAR DEL SND','ZAMORA SALAZAR ROBERTO EMMANUEL','INGENIERÍA EN INTELIGENCIA ARTIFICIAL','2do','MASCULINO','ACTIVO','',0,0,'','ALUMNO');</v>
      </c>
      <c r="M147" s="16" t="str">
        <f>CONCATENATE("update participantes set correo=",C147," where id=",A147,";")</f>
        <v>update participantes set correo='robertoemmanuel.zamorasalazar' where id=1146;</v>
      </c>
    </row>
    <row r="148" spans="1:13" ht="130.5" x14ac:dyDescent="0.35">
      <c r="A148" s="16">
        <v>1147</v>
      </c>
      <c r="B148" s="18" t="s">
        <v>1754</v>
      </c>
      <c r="C148" s="16" t="str">
        <f>CONCATENATE("'",Alumnos!E135,"'")</f>
        <v>'cesarismael.cabreraavila'</v>
      </c>
      <c r="D148" s="16" t="str">
        <f>CONCATENATE(Alumnos!F135,"'")</f>
        <v>'112257'</v>
      </c>
      <c r="E148" s="16" t="s">
        <v>1755</v>
      </c>
      <c r="F148" s="16" t="str">
        <f>CONCATENATE("'",Alumnos!H135,"'")</f>
        <v>'CABRERA AVILA CESAR ISMAEL'</v>
      </c>
      <c r="G148" s="16" t="str">
        <f>CONCATENATE("'",Alumnos!I135,"'")</f>
        <v>'INGENIERÍA AUTOMOTRIZ'</v>
      </c>
      <c r="H148" s="16" t="str">
        <f>CONCATENATE("'",Alumnos!J135,"'")</f>
        <v>'2do'</v>
      </c>
      <c r="I148" s="16" t="str">
        <f>UPPER(CONCATENATE("'",Alumnos!K135,"'"))</f>
        <v>'MASCULINO'</v>
      </c>
      <c r="J148" s="16" t="str">
        <f>UPPER(CONCATENATE("'",Alumnos!L135,"'"))</f>
        <v>'ACTIVO'</v>
      </c>
      <c r="K148" s="16" t="str">
        <f>CONCATENATE(A148,",",B148,",",C148,",",D148,",'",E148,",",F148,",",G148,",",H148,",",UPPER(I148),",",UPPER(J148),",'',0,0,'','ALUMNO'")</f>
        <v>1147,'LICENCIATURA','cesarismael.cabreraavila','112257','TOMAR DEL SND','CABRERA AVILA CESAR ISMAEL','INGENIERÍA AUTOMOTRIZ','2do','MASCULINO','ACTIVO','',0,0,'','ALUMNO'</v>
      </c>
      <c r="L148" s="16" t="str">
        <f>CONCATENATE($K$1,K148,");")</f>
        <v>INSERT INTO participantes (id,nivel,correo,matricula,clave,nombre,carrera,grado,sexo,situacion,evaluados,num_evaluados,total_evaluaciones,ultimo_acceso,nivel_acceso) VALUES (1147,'LICENCIATURA','cesarismael.cabreraavila','112257','TOMAR DEL SND','CABRERA AVILA CESAR ISMAEL','INGENIERÍA AUTOMOTRIZ','2do','MASCULINO','ACTIVO','',0,0,'','ALUMNO');</v>
      </c>
      <c r="M148" s="16" t="str">
        <f>CONCATENATE("update participantes set correo=",C148," where id=",A148,";")</f>
        <v>update participantes set correo='cesarismael.cabreraavila' where id=1147;</v>
      </c>
    </row>
    <row r="149" spans="1:13" ht="130.5" x14ac:dyDescent="0.35">
      <c r="A149" s="16">
        <v>1148</v>
      </c>
      <c r="B149" s="18" t="s">
        <v>1754</v>
      </c>
      <c r="C149" s="16" t="str">
        <f>CONCATENATE("'",Alumnos!E106,"'")</f>
        <v>'brandocristopher.arellanolopez'</v>
      </c>
      <c r="D149" s="16" t="str">
        <f>CONCATENATE(Alumnos!F106,"'")</f>
        <v>'112258'</v>
      </c>
      <c r="E149" s="16" t="s">
        <v>1755</v>
      </c>
      <c r="F149" s="16" t="str">
        <f>CONCATENATE("'",Alumnos!H106,"'")</f>
        <v>'ARELLANO LOPEZ BRANDO CRISTOPHER'</v>
      </c>
      <c r="G149" s="16" t="str">
        <f>CONCATENATE("'",Alumnos!I106,"'")</f>
        <v>'INGENIERÍA AUTOMOTRIZ'</v>
      </c>
      <c r="H149" s="16" t="str">
        <f>CONCATENATE("'",Alumnos!J106,"'")</f>
        <v>'2do'</v>
      </c>
      <c r="I149" s="16" t="str">
        <f>UPPER(CONCATENATE("'",Alumnos!K106,"'"))</f>
        <v>'MASCULINO'</v>
      </c>
      <c r="J149" s="16" t="str">
        <f>UPPER(CONCATENATE("'",Alumnos!L106,"'"))</f>
        <v>'ACTIVO'</v>
      </c>
      <c r="K149" s="16" t="str">
        <f>CONCATENATE(A149,",",B149,",",C149,",",D149,",'",E149,",",F149,",",G149,",",H149,",",UPPER(I149),",",UPPER(J149),",'',0,0,'','ALUMNO'")</f>
        <v>1148,'LICENCIATURA','brandocristopher.arellanolopez','112258','TOMAR DEL SND','ARELLANO LOPEZ BRANDO CRISTOPHER','INGENIERÍA AUTOMOTRIZ','2do','MASCULINO','ACTIVO','',0,0,'','ALUMNO'</v>
      </c>
      <c r="L149" s="16" t="str">
        <f>CONCATENATE($K$1,K149,");")</f>
        <v>INSERT INTO participantes (id,nivel,correo,matricula,clave,nombre,carrera,grado,sexo,situacion,evaluados,num_evaluados,total_evaluaciones,ultimo_acceso,nivel_acceso) VALUES (1148,'LICENCIATURA','brandocristopher.arellanolopez','112258','TOMAR DEL SND','ARELLANO LOPEZ BRANDO CRISTOPHER','INGENIERÍA AUTOMOTRIZ','2do','MASCULINO','ACTIVO','',0,0,'','ALUMNO');</v>
      </c>
      <c r="M149" s="16" t="str">
        <f>CONCATENATE("update participantes set correo=",C149," where id=",A149,";")</f>
        <v>update participantes set correo='brandocristopher.arellanolopez' where id=1148;</v>
      </c>
    </row>
    <row r="150" spans="1:13" ht="116" x14ac:dyDescent="0.35">
      <c r="A150" s="16">
        <v>1149</v>
      </c>
      <c r="B150" s="18" t="s">
        <v>1754</v>
      </c>
      <c r="C150" s="16" t="str">
        <f>CONCATENATE("'",Alumnos!E623,"'")</f>
        <v>'zarapaulina.carranzalespron'</v>
      </c>
      <c r="D150" s="16" t="str">
        <f>CONCATENATE(Alumnos!F623,"'")</f>
        <v>'112259'</v>
      </c>
      <c r="E150" s="16" t="s">
        <v>1755</v>
      </c>
      <c r="F150" s="16" t="str">
        <f>CONCATENATE("'",Alumnos!H623,"'")</f>
        <v>'CARRANZA LESPRON ZARA PAULINA'</v>
      </c>
      <c r="G150" s="16" t="str">
        <f>CONCATENATE("'",Alumnos!I623,"'")</f>
        <v>'PSICOLOGIA'</v>
      </c>
      <c r="H150" s="16" t="str">
        <f>CONCATENATE("'",Alumnos!J623,"'")</f>
        <v>'2do'</v>
      </c>
      <c r="I150" s="16" t="str">
        <f>UPPER(CONCATENATE("'",Alumnos!K623,"'"))</f>
        <v>'FEMENINO'</v>
      </c>
      <c r="J150" s="16" t="str">
        <f>UPPER(CONCATENATE("'",Alumnos!L623,"'"))</f>
        <v>'ACTIVO'</v>
      </c>
      <c r="K150" s="16" t="str">
        <f>CONCATENATE(A150,",",B150,",",C150,",",D150,",'",E150,",",F150,",",G150,",",H150,",",UPPER(I150),",",UPPER(J150),",'',0,0,'','ALUMNO'")</f>
        <v>1149,'LICENCIATURA','zarapaulina.carranzalespron','112259','TOMAR DEL SND','CARRANZA LESPRON ZARA PAULINA','PSICOLOGIA','2do','FEMENINO','ACTIVO','',0,0,'','ALUMNO'</v>
      </c>
      <c r="L150" s="16" t="str">
        <f>CONCATENATE($K$1,K150,");")</f>
        <v>INSERT INTO participantes (id,nivel,correo,matricula,clave,nombre,carrera,grado,sexo,situacion,evaluados,num_evaluados,total_evaluaciones,ultimo_acceso,nivel_acceso) VALUES (1149,'LICENCIATURA','zarapaulina.carranzalespron','112259','TOMAR DEL SND','CARRANZA LESPRON ZARA PAULINA','PSICOLOGIA','2do','FEMENINO','ACTIVO','',0,0,'','ALUMNO');</v>
      </c>
      <c r="M150" s="16" t="str">
        <f>CONCATENATE("update participantes set correo=",C150," where id=",A150,";")</f>
        <v>update participantes set correo='zarapaulina.carranzalespron' where id=1149;</v>
      </c>
    </row>
    <row r="151" spans="1:13" ht="130.5" x14ac:dyDescent="0.35">
      <c r="A151" s="16">
        <v>1150</v>
      </c>
      <c r="B151" s="18" t="s">
        <v>1754</v>
      </c>
      <c r="C151" s="16" t="str">
        <f>CONCATENATE("'",Alumnos!E513,"'")</f>
        <v>'oscaruriel.velezreynoso'</v>
      </c>
      <c r="D151" s="16" t="str">
        <f>CONCATENATE(Alumnos!F513,"'")</f>
        <v>'112261'</v>
      </c>
      <c r="E151" s="16" t="s">
        <v>1755</v>
      </c>
      <c r="F151" s="16" t="str">
        <f>CONCATENATE("'",Alumnos!H513,"'")</f>
        <v>'VELEZ REYNOSO OSCAR URIEL'</v>
      </c>
      <c r="G151" s="16" t="str">
        <f>CONCATENATE("'",Alumnos!I513,"'")</f>
        <v>'INGENIERÍA AUTOMOTRIZ'</v>
      </c>
      <c r="H151" s="16" t="str">
        <f>CONCATENATE("'",Alumnos!J513,"'")</f>
        <v>'2do'</v>
      </c>
      <c r="I151" s="16" t="str">
        <f>UPPER(CONCATENATE("'",Alumnos!K513,"'"))</f>
        <v>'MASCULINO'</v>
      </c>
      <c r="J151" s="16" t="str">
        <f>UPPER(CONCATENATE("'",Alumnos!L513,"'"))</f>
        <v>'ACTIVO'</v>
      </c>
      <c r="K151" s="16" t="str">
        <f>CONCATENATE(A151,",",B151,",",C151,",",D151,",'",E151,",",F151,",",G151,",",H151,",",UPPER(I151),",",UPPER(J151),",'',0,0,'','ALUMNO'")</f>
        <v>1150,'LICENCIATURA','oscaruriel.velezreynoso','112261','TOMAR DEL SND','VELEZ REYNOSO OSCAR URIEL','INGENIERÍA AUTOMOTRIZ','2do','MASCULINO','ACTIVO','',0,0,'','ALUMNO'</v>
      </c>
      <c r="L151" s="16" t="str">
        <f>CONCATENATE($K$1,K151,");")</f>
        <v>INSERT INTO participantes (id,nivel,correo,matricula,clave,nombre,carrera,grado,sexo,situacion,evaluados,num_evaluados,total_evaluaciones,ultimo_acceso,nivel_acceso) VALUES (1150,'LICENCIATURA','oscaruriel.velezreynoso','112261','TOMAR DEL SND','VELEZ REYNOSO OSCAR URIEL','INGENIERÍA AUTOMOTRIZ','2do','MASCULINO','ACTIVO','',0,0,'','ALUMNO');</v>
      </c>
      <c r="M151" s="16" t="str">
        <f>CONCATENATE("update participantes set correo=",C151," where id=",A151,";")</f>
        <v>update participantes set correo='oscaruriel.velezreynoso' where id=1150;</v>
      </c>
    </row>
    <row r="152" spans="1:13" ht="116" x14ac:dyDescent="0.35">
      <c r="A152" s="16">
        <v>1151</v>
      </c>
      <c r="B152" s="18" t="s">
        <v>1754</v>
      </c>
      <c r="C152" s="16" t="str">
        <f>CONCATENATE("'",Alumnos!E237,"'")</f>
        <v>'fatimamarisol.revelesgutierrez'</v>
      </c>
      <c r="D152" s="16" t="str">
        <f>CONCATENATE(Alumnos!F237,"'")</f>
        <v>'112262'</v>
      </c>
      <c r="E152" s="16" t="s">
        <v>1755</v>
      </c>
      <c r="F152" s="16" t="str">
        <f>CONCATENATE("'",Alumnos!H237,"'")</f>
        <v>'REVELES GUTIERREZ FATIMA MARISOL'</v>
      </c>
      <c r="G152" s="16" t="str">
        <f>CONCATENATE("'",Alumnos!I237,"'")</f>
        <v>'ARQUITECTURA'</v>
      </c>
      <c r="H152" s="16" t="str">
        <f>CONCATENATE("'",Alumnos!J237,"'")</f>
        <v>'2do'</v>
      </c>
      <c r="I152" s="16" t="str">
        <f>UPPER(CONCATENATE("'",Alumnos!K237,"'"))</f>
        <v>'FEMENINO'</v>
      </c>
      <c r="J152" s="16" t="str">
        <f>UPPER(CONCATENATE("'",Alumnos!L237,"'"))</f>
        <v>'ACTIVO'</v>
      </c>
      <c r="K152" s="16" t="str">
        <f>CONCATENATE(A152,",",B152,",",C152,",",D152,",'",E152,",",F152,",",G152,",",H152,",",UPPER(I152),",",UPPER(J152),",'',0,0,'','ALUMNO'")</f>
        <v>1151,'LICENCIATURA','fatimamarisol.revelesgutierrez','112262','TOMAR DEL SND','REVELES GUTIERREZ FATIMA MARISOL','ARQUITECTURA','2do','FEMENINO','ACTIVO','',0,0,'','ALUMNO'</v>
      </c>
      <c r="L152" s="16" t="str">
        <f>CONCATENATE($K$1,K152,");")</f>
        <v>INSERT INTO participantes (id,nivel,correo,matricula,clave,nombre,carrera,grado,sexo,situacion,evaluados,num_evaluados,total_evaluaciones,ultimo_acceso,nivel_acceso) VALUES (1151,'LICENCIATURA','fatimamarisol.revelesgutierrez','112262','TOMAR DEL SND','REVELES GUTIERREZ FATIMA MARISOL','ARQUITECTURA','2do','FEMENINO','ACTIVO','',0,0,'','ALUMNO');</v>
      </c>
      <c r="M152" s="16" t="str">
        <f>CONCATENATE("update participantes set correo=",C152," where id=",A152,";")</f>
        <v>update participantes set correo='fatimamarisol.revelesgutierrez' where id=1151;</v>
      </c>
    </row>
    <row r="153" spans="1:13" ht="116" x14ac:dyDescent="0.35">
      <c r="A153" s="16">
        <v>1152</v>
      </c>
      <c r="B153" s="18" t="s">
        <v>1754</v>
      </c>
      <c r="C153" s="16" t="str">
        <f>CONCATENATE("'",Alumnos!E207,"'")</f>
        <v>'eliasofia.acevesbarragan'</v>
      </c>
      <c r="D153" s="16" t="str">
        <f>CONCATENATE(Alumnos!F207,"'")</f>
        <v>'112264'</v>
      </c>
      <c r="E153" s="16" t="s">
        <v>1755</v>
      </c>
      <c r="F153" s="16" t="str">
        <f>CONCATENATE("'",Alumnos!H207,"'")</f>
        <v>'ACEVES BARRAGAN ELIA SOFIA'</v>
      </c>
      <c r="G153" s="16" t="str">
        <f>CONCATENATE("'",Alumnos!I207,"'")</f>
        <v>'ARQUITECTURA'</v>
      </c>
      <c r="H153" s="16" t="str">
        <f>CONCATENATE("'",Alumnos!J207,"'")</f>
        <v>'2do'</v>
      </c>
      <c r="I153" s="16" t="str">
        <f>UPPER(CONCATENATE("'",Alumnos!K207,"'"))</f>
        <v>'FEMENINO'</v>
      </c>
      <c r="J153" s="16" t="str">
        <f>UPPER(CONCATENATE("'",Alumnos!L207,"'"))</f>
        <v>'ACTIVO'</v>
      </c>
      <c r="K153" s="16" t="str">
        <f>CONCATENATE(A153,",",B153,",",C153,",",D153,",'",E153,",",F153,",",G153,",",H153,",",UPPER(I153),",",UPPER(J153),",'',0,0,'','ALUMNO'")</f>
        <v>1152,'LICENCIATURA','eliasofia.acevesbarragan','112264','TOMAR DEL SND','ACEVES BARRAGAN ELIA SOFIA','ARQUITECTURA','2do','FEMENINO','ACTIVO','',0,0,'','ALUMNO'</v>
      </c>
      <c r="L153" s="16" t="str">
        <f>CONCATENATE($K$1,K153,");")</f>
        <v>INSERT INTO participantes (id,nivel,correo,matricula,clave,nombre,carrera,grado,sexo,situacion,evaluados,num_evaluados,total_evaluaciones,ultimo_acceso,nivel_acceso) VALUES (1152,'LICENCIATURA','eliasofia.acevesbarragan','112264','TOMAR DEL SND','ACEVES BARRAGAN ELIA SOFIA','ARQUITECTURA','2do','FEMENINO','ACTIVO','',0,0,'','ALUMNO');</v>
      </c>
      <c r="M153" s="16" t="str">
        <f>CONCATENATE("update participantes set correo=",C153," where id=",A153,";")</f>
        <v>update participantes set correo='eliasofia.acevesbarragan' where id=1152;</v>
      </c>
    </row>
    <row r="154" spans="1:13" ht="130.5" x14ac:dyDescent="0.35">
      <c r="A154" s="16">
        <v>1153</v>
      </c>
      <c r="B154" s="18" t="s">
        <v>1754</v>
      </c>
      <c r="C154" s="16" t="str">
        <f>CONCATENATE("'",Alumnos!E303,"'")</f>
        <v>'jenifervanessa.aguilarruiz'</v>
      </c>
      <c r="D154" s="16" t="str">
        <f>CONCATENATE(Alumnos!F303,"'")</f>
        <v>'112266'</v>
      </c>
      <c r="E154" s="16" t="s">
        <v>1755</v>
      </c>
      <c r="F154" s="16" t="str">
        <f>CONCATENATE("'",Alumnos!H303,"'")</f>
        <v>'AGUILAR RUIZ JENIFER VANESSA'</v>
      </c>
      <c r="G154" s="16" t="str">
        <f>CONCATENATE("'",Alumnos!I303,"'")</f>
        <v>'INGENIERIA AEROESPACIAL'</v>
      </c>
      <c r="H154" s="16" t="str">
        <f>CONCATENATE("'",Alumnos!J303,"'")</f>
        <v>'2do'</v>
      </c>
      <c r="I154" s="16" t="str">
        <f>UPPER(CONCATENATE("'",Alumnos!K303,"'"))</f>
        <v>'FEMENINO'</v>
      </c>
      <c r="J154" s="16" t="str">
        <f>UPPER(CONCATENATE("'",Alumnos!L303,"'"))</f>
        <v>'ACTIVO'</v>
      </c>
      <c r="K154" s="16" t="str">
        <f>CONCATENATE(A154,",",B154,",",C154,",",D154,",'",E154,",",F154,",",G154,",",H154,",",UPPER(I154),",",UPPER(J154),",'',0,0,'','ALUMNO'")</f>
        <v>1153,'LICENCIATURA','jenifervanessa.aguilarruiz','112266','TOMAR DEL SND','AGUILAR RUIZ JENIFER VANESSA','INGENIERIA AEROESPACIAL','2do','FEMENINO','ACTIVO','',0,0,'','ALUMNO'</v>
      </c>
      <c r="L154" s="16" t="str">
        <f>CONCATENATE($K$1,K154,");")</f>
        <v>INSERT INTO participantes (id,nivel,correo,matricula,clave,nombre,carrera,grado,sexo,situacion,evaluados,num_evaluados,total_evaluaciones,ultimo_acceso,nivel_acceso) VALUES (1153,'LICENCIATURA','jenifervanessa.aguilarruiz','112266','TOMAR DEL SND','AGUILAR RUIZ JENIFER VANESSA','INGENIERIA AEROESPACIAL','2do','FEMENINO','ACTIVO','',0,0,'','ALUMNO');</v>
      </c>
      <c r="M154" s="16" t="str">
        <f>CONCATENATE("update participantes set correo=",C154," where id=",A154,";")</f>
        <v>update participantes set correo='jenifervanessa.aguilarruiz' where id=1153;</v>
      </c>
    </row>
    <row r="155" spans="1:13" ht="130.5" x14ac:dyDescent="0.35">
      <c r="A155" s="16">
        <v>1154</v>
      </c>
      <c r="B155" s="18" t="s">
        <v>1754</v>
      </c>
      <c r="C155" s="16" t="str">
        <f>CONCATENATE("'",Alumnos!E419,"'")</f>
        <v>'luisrodolfo.gutierrezchavez'</v>
      </c>
      <c r="D155" s="16" t="str">
        <f>CONCATENATE(Alumnos!F419,"'")</f>
        <v>'112268'</v>
      </c>
      <c r="E155" s="16" t="s">
        <v>1755</v>
      </c>
      <c r="F155" s="16" t="str">
        <f>CONCATENATE("'",Alumnos!H419,"'")</f>
        <v>'GUTIERREZ CHAVEZ LUIS RODOLFO'</v>
      </c>
      <c r="G155" s="16" t="str">
        <f>CONCATENATE("'",Alumnos!I419,"'")</f>
        <v>'INGENIERIA AEROESPACIAL'</v>
      </c>
      <c r="H155" s="16" t="str">
        <f>CONCATENATE("'",Alumnos!J419,"'")</f>
        <v>'2do'</v>
      </c>
      <c r="I155" s="16" t="str">
        <f>UPPER(CONCATENATE("'",Alumnos!K419,"'"))</f>
        <v>'MASCULINO'</v>
      </c>
      <c r="J155" s="16" t="str">
        <f>UPPER(CONCATENATE("'",Alumnos!L419,"'"))</f>
        <v>'ACTIVO'</v>
      </c>
      <c r="K155" s="16" t="str">
        <f>CONCATENATE(A155,",",B155,",",C155,",",D155,",'",E155,",",F155,",",G155,",",H155,",",UPPER(I155),",",UPPER(J155),",'',0,0,'','ALUMNO'")</f>
        <v>1154,'LICENCIATURA','luisrodolfo.gutierrezchavez','112268','TOMAR DEL SND','GUTIERREZ CHAVEZ LUIS RODOLFO','INGENIERIA AEROESPACIAL','2do','MASCULINO','ACTIVO','',0,0,'','ALUMNO'</v>
      </c>
      <c r="L155" s="16" t="str">
        <f>CONCATENATE($K$1,K155,");")</f>
        <v>INSERT INTO participantes (id,nivel,correo,matricula,clave,nombre,carrera,grado,sexo,situacion,evaluados,num_evaluados,total_evaluaciones,ultimo_acceso,nivel_acceso) VALUES (1154,'LICENCIATURA','luisrodolfo.gutierrezchavez','112268','TOMAR DEL SND','GUTIERREZ CHAVEZ LUIS RODOLFO','INGENIERIA AEROESPACIAL','2do','MASCULINO','ACTIVO','',0,0,'','ALUMNO');</v>
      </c>
      <c r="M155" s="16" t="str">
        <f>CONCATENATE("update participantes set correo=",C155," where id=",A155,";")</f>
        <v>update participantes set correo='luisrodolfo.gutierrezchavez' where id=1154;</v>
      </c>
    </row>
    <row r="156" spans="1:13" ht="130.5" x14ac:dyDescent="0.35">
      <c r="A156" s="16">
        <v>1155</v>
      </c>
      <c r="B156" s="18" t="s">
        <v>1754</v>
      </c>
      <c r="C156" s="16" t="str">
        <f>CONCATENATE("'",Alumnos!E241,"'")</f>
        <v>'fernando.gutierrezvelasco'</v>
      </c>
      <c r="D156" s="16" t="str">
        <f>CONCATENATE(Alumnos!F241,"'")</f>
        <v>'112269'</v>
      </c>
      <c r="E156" s="16" t="s">
        <v>1755</v>
      </c>
      <c r="F156" s="16" t="str">
        <f>CONCATENATE("'",Alumnos!H241,"'")</f>
        <v>'GUTIERREZ VELASCO FERNANDO'</v>
      </c>
      <c r="G156" s="16" t="str">
        <f>CONCATENATE("'",Alumnos!I241,"'")</f>
        <v>'ANIMACION DIGITAL Y VIDEOJUEGOS'</v>
      </c>
      <c r="H156" s="16" t="str">
        <f>CONCATENATE("'",Alumnos!J241,"'")</f>
        <v>'2do'</v>
      </c>
      <c r="I156" s="16" t="str">
        <f>UPPER(CONCATENATE("'",Alumnos!K241,"'"))</f>
        <v>'MASCULINO'</v>
      </c>
      <c r="J156" s="16" t="str">
        <f>UPPER(CONCATENATE("'",Alumnos!L241,"'"))</f>
        <v>'ACTIVO'</v>
      </c>
      <c r="K156" s="16" t="str">
        <f>CONCATENATE(A156,",",B156,",",C156,",",D156,",'",E156,",",F156,",",G156,",",H156,",",UPPER(I156),",",UPPER(J156),",'',0,0,'','ALUMNO'")</f>
        <v>1155,'LICENCIATURA','fernando.gutierrezvelasco','112269','TOMAR DEL SND','GUTIERREZ VELASCO FERNANDO','ANIMACION DIGITAL Y VIDEOJUEGOS','2do','MASCULINO','ACTIVO','',0,0,'','ALUMNO'</v>
      </c>
      <c r="L156" s="16" t="str">
        <f>CONCATENATE($K$1,K156,");")</f>
        <v>INSERT INTO participantes (id,nivel,correo,matricula,clave,nombre,carrera,grado,sexo,situacion,evaluados,num_evaluados,total_evaluaciones,ultimo_acceso,nivel_acceso) VALUES (1155,'LICENCIATURA','fernando.gutierrezvelasco','112269','TOMAR DEL SND','GUTIERREZ VELASCO FERNANDO','ANIMACION DIGITAL Y VIDEOJUEGOS','2do','MASCULINO','ACTIVO','',0,0,'','ALUMNO');</v>
      </c>
      <c r="M156" s="16" t="str">
        <f>CONCATENATE("update participantes set correo=",C156," where id=",A156,";")</f>
        <v>update participantes set correo='fernando.gutierrezvelasco' where id=1155;</v>
      </c>
    </row>
    <row r="157" spans="1:13" ht="116" x14ac:dyDescent="0.35">
      <c r="A157" s="16">
        <v>1156</v>
      </c>
      <c r="B157" s="18" t="s">
        <v>1754</v>
      </c>
      <c r="C157" s="16" t="str">
        <f>CONCATENATE("'",Alumnos!E580,"'")</f>
        <v>'sofia.barajasramirez'</v>
      </c>
      <c r="D157" s="16" t="str">
        <f>CONCATENATE(Alumnos!F580,"'")</f>
        <v>'112270'</v>
      </c>
      <c r="E157" s="16" t="s">
        <v>1755</v>
      </c>
      <c r="F157" s="16" t="str">
        <f>CONCATENATE("'",Alumnos!H580,"'")</f>
        <v>'BARAJAS RAMIREZ SOFIA'</v>
      </c>
      <c r="G157" s="16" t="str">
        <f>CONCATENATE("'",Alumnos!I580,"'")</f>
        <v>'PSICOLOGIA'</v>
      </c>
      <c r="H157" s="16" t="str">
        <f>CONCATENATE("'",Alumnos!J580,"'")</f>
        <v>'2do'</v>
      </c>
      <c r="I157" s="16" t="str">
        <f>UPPER(CONCATENATE("'",Alumnos!K580,"'"))</f>
        <v>'FEMENINO'</v>
      </c>
      <c r="J157" s="16" t="str">
        <f>UPPER(CONCATENATE("'",Alumnos!L580,"'"))</f>
        <v>'ACTIVO'</v>
      </c>
      <c r="K157" s="16" t="str">
        <f>CONCATENATE(A157,",",B157,",",C157,",",D157,",'",E157,",",F157,",",G157,",",H157,",",UPPER(I157),",",UPPER(J157),",'',0,0,'','ALUMNO'")</f>
        <v>1156,'LICENCIATURA','sofia.barajasramirez','112270','TOMAR DEL SND','BARAJAS RAMIREZ SOFIA','PSICOLOGIA','2do','FEMENINO','ACTIVO','',0,0,'','ALUMNO'</v>
      </c>
      <c r="L157" s="16" t="str">
        <f>CONCATENATE($K$1,K157,");")</f>
        <v>INSERT INTO participantes (id,nivel,correo,matricula,clave,nombre,carrera,grado,sexo,situacion,evaluados,num_evaluados,total_evaluaciones,ultimo_acceso,nivel_acceso) VALUES (1156,'LICENCIATURA','sofia.barajasramirez','112270','TOMAR DEL SND','BARAJAS RAMIREZ SOFIA','PSICOLOGIA','2do','FEMENINO','ACTIVO','',0,0,'','ALUMNO');</v>
      </c>
      <c r="M157" s="16" t="str">
        <f>CONCATENATE("update participantes set correo=",C157," where id=",A157,";")</f>
        <v>update participantes set correo='sofia.barajasramirez' where id=1156;</v>
      </c>
    </row>
    <row r="158" spans="1:13" ht="116" x14ac:dyDescent="0.35">
      <c r="A158" s="16">
        <v>1157</v>
      </c>
      <c r="B158" s="18" t="s">
        <v>1754</v>
      </c>
      <c r="C158" s="16" t="str">
        <f>CONCATENATE("'",Alumnos!E360,"'")</f>
        <v>'julianavalentina.lozanorios'</v>
      </c>
      <c r="D158" s="16" t="str">
        <f>CONCATENATE(Alumnos!F360,"'")</f>
        <v>'112271'</v>
      </c>
      <c r="E158" s="16" t="s">
        <v>1755</v>
      </c>
      <c r="F158" s="16" t="str">
        <f>CONCATENATE("'",Alumnos!H360,"'")</f>
        <v>'LOZANO RIOS JULIANA VALENTINA'</v>
      </c>
      <c r="G158" s="16" t="str">
        <f>CONCATENATE("'",Alumnos!I360,"'")</f>
        <v>'ADMINISTRACION Y DIRECCION DE NEGOCIOS'</v>
      </c>
      <c r="H158" s="16" t="str">
        <f>CONCATENATE("'",Alumnos!J360,"'")</f>
        <v>'2do'</v>
      </c>
      <c r="I158" s="16" t="str">
        <f>UPPER(CONCATENATE("'",Alumnos!K360,"'"))</f>
        <v>'FEMENINO'</v>
      </c>
      <c r="J158" s="16" t="str">
        <f>UPPER(CONCATENATE("'",Alumnos!L360,"'"))</f>
        <v>'ACTIVO'</v>
      </c>
      <c r="K158" s="16" t="str">
        <f>CONCATENATE(A158,",",B158,",",C158,",",D158,",'",E158,",",F158,",",G158,",",H158,",",UPPER(I158),",",UPPER(J158),",'',0,0,'','ALUMNO'")</f>
        <v>1157,'LICENCIATURA','julianavalentina.lozanorios','112271','TOMAR DEL SND','LOZANO RIOS JULIANA VALENTINA','ADMINISTRACION Y DIRECCION DE NEGOCIOS','2do','FEMENINO','ACTIVO','',0,0,'','ALUMNO'</v>
      </c>
      <c r="L158" s="16" t="str">
        <f>CONCATENATE($K$1,K158,");")</f>
        <v>INSERT INTO participantes (id,nivel,correo,matricula,clave,nombre,carrera,grado,sexo,situacion,evaluados,num_evaluados,total_evaluaciones,ultimo_acceso,nivel_acceso) VALUES (1157,'LICENCIATURA','julianavalentina.lozanorios','112271','TOMAR DEL SND','LOZANO RIOS JULIANA VALENTINA','ADMINISTRACION Y DIRECCION DE NEGOCIOS','2do','FEMENINO','ACTIVO','',0,0,'','ALUMNO');</v>
      </c>
      <c r="M158" s="16" t="str">
        <f>CONCATENATE("update participantes set correo=",C158," where id=",A158,";")</f>
        <v>update participantes set correo='julianavalentina.lozanorios' where id=1157;</v>
      </c>
    </row>
    <row r="159" spans="1:13" ht="116" x14ac:dyDescent="0.35">
      <c r="A159" s="16">
        <v>1158</v>
      </c>
      <c r="B159" s="18" t="s">
        <v>1754</v>
      </c>
      <c r="C159" s="16" t="str">
        <f>CONCATENATE("'",Alumnos!E537,"'")</f>
        <v>'rafaelvalentin.lara'</v>
      </c>
      <c r="D159" s="16" t="str">
        <f>CONCATENATE(Alumnos!F537,"'")</f>
        <v>'112272'</v>
      </c>
      <c r="E159" s="16" t="s">
        <v>1755</v>
      </c>
      <c r="F159" s="16" t="str">
        <f>CONCATENATE("'",Alumnos!H537,"'")</f>
        <v>'LARA  RAFAEL VALENTIN'</v>
      </c>
      <c r="G159" s="16" t="str">
        <f>CONCATENATE("'",Alumnos!I537,"'")</f>
        <v>'INGENIERÍA AUTOMOTRIZ'</v>
      </c>
      <c r="H159" s="16" t="str">
        <f>CONCATENATE("'",Alumnos!J537,"'")</f>
        <v>'2do'</v>
      </c>
      <c r="I159" s="16" t="str">
        <f>UPPER(CONCATENATE("'",Alumnos!K537,"'"))</f>
        <v>'MASCULINO'</v>
      </c>
      <c r="J159" s="16" t="str">
        <f>UPPER(CONCATENATE("'",Alumnos!L537,"'"))</f>
        <v>'ACTIVO'</v>
      </c>
      <c r="K159" s="16" t="str">
        <f>CONCATENATE(A159,",",B159,",",C159,",",D159,",'",E159,",",F159,",",G159,",",H159,",",UPPER(I159),",",UPPER(J159),",'',0,0,'','ALUMNO'")</f>
        <v>1158,'LICENCIATURA','rafaelvalentin.lara','112272','TOMAR DEL SND','LARA  RAFAEL VALENTIN','INGENIERÍA AUTOMOTRIZ','2do','MASCULINO','ACTIVO','',0,0,'','ALUMNO'</v>
      </c>
      <c r="L159" s="16" t="str">
        <f>CONCATENATE($K$1,K159,");")</f>
        <v>INSERT INTO participantes (id,nivel,correo,matricula,clave,nombre,carrera,grado,sexo,situacion,evaluados,num_evaluados,total_evaluaciones,ultimo_acceso,nivel_acceso) VALUES (1158,'LICENCIATURA','rafaelvalentin.lara','112272','TOMAR DEL SND','LARA  RAFAEL VALENTIN','INGENIERÍA AUTOMOTRIZ','2do','MASCULINO','ACTIVO','',0,0,'','ALUMNO');</v>
      </c>
      <c r="M159" s="16" t="str">
        <f>CONCATENATE("update participantes set correo=",C159," where id=",A159,";")</f>
        <v>update participantes set correo='rafaelvalentin.lara' where id=1158;</v>
      </c>
    </row>
    <row r="160" spans="1:13" ht="116" x14ac:dyDescent="0.35">
      <c r="A160" s="16">
        <v>1159</v>
      </c>
      <c r="B160" s="18" t="s">
        <v>1754</v>
      </c>
      <c r="C160" s="16" t="str">
        <f>CONCATENATE("'",Alumnos!E189,"'")</f>
        <v>'diegoalberto.alvarezdeltoro'</v>
      </c>
      <c r="D160" s="16" t="str">
        <f>CONCATENATE(Alumnos!F189,"'")</f>
        <v>'112275'</v>
      </c>
      <c r="E160" s="16" t="s">
        <v>1755</v>
      </c>
      <c r="F160" s="16" t="str">
        <f>CONCATENATE("'",Alumnos!H189,"'")</f>
        <v>'ALVAREZ DEL TORO DIEGO ALBERTO'</v>
      </c>
      <c r="G160" s="16" t="str">
        <f>CONCATENATE("'",Alumnos!I189,"'")</f>
        <v>'PSICOLOGIA'</v>
      </c>
      <c r="H160" s="16" t="str">
        <f>CONCATENATE("'",Alumnos!J189,"'")</f>
        <v>'2do'</v>
      </c>
      <c r="I160" s="16" t="str">
        <f>UPPER(CONCATENATE("'",Alumnos!K189,"'"))</f>
        <v>'MASCULINO'</v>
      </c>
      <c r="J160" s="16" t="str">
        <f>UPPER(CONCATENATE("'",Alumnos!L189,"'"))</f>
        <v>'ACTIVO'</v>
      </c>
      <c r="K160" s="16" t="str">
        <f>CONCATENATE(A160,",",B160,",",C160,",",D160,",'",E160,",",F160,",",G160,",",H160,",",UPPER(I160),",",UPPER(J160),",'',0,0,'','ALUMNO'")</f>
        <v>1159,'LICENCIATURA','diegoalberto.alvarezdeltoro','112275','TOMAR DEL SND','ALVAREZ DEL TORO DIEGO ALBERTO','PSICOLOGIA','2do','MASCULINO','ACTIVO','',0,0,'','ALUMNO'</v>
      </c>
      <c r="L160" s="16" t="str">
        <f>CONCATENATE($K$1,K160,");")</f>
        <v>INSERT INTO participantes (id,nivel,correo,matricula,clave,nombre,carrera,grado,sexo,situacion,evaluados,num_evaluados,total_evaluaciones,ultimo_acceso,nivel_acceso) VALUES (1159,'LICENCIATURA','diegoalberto.alvarezdeltoro','112275','TOMAR DEL SND','ALVAREZ DEL TORO DIEGO ALBERTO','PSICOLOGIA','2do','MASCULINO','ACTIVO','',0,0,'','ALUMNO');</v>
      </c>
      <c r="M160" s="16" t="str">
        <f>CONCATENATE("update participantes set correo=",C160," where id=",A160,";")</f>
        <v>update participantes set correo='diegoalberto.alvarezdeltoro' where id=1159;</v>
      </c>
    </row>
    <row r="161" spans="1:13" ht="116" x14ac:dyDescent="0.35">
      <c r="A161" s="16">
        <v>1160</v>
      </c>
      <c r="B161" s="18" t="s">
        <v>1754</v>
      </c>
      <c r="C161" s="16" t="str">
        <f>CONCATENATE("'",Alumnos!E570,"'")</f>
        <v>'saraalicia.leonmunoz'</v>
      </c>
      <c r="D161" s="16" t="str">
        <f>CONCATENATE(Alumnos!F570,"'")</f>
        <v>'112276'</v>
      </c>
      <c r="E161" s="16" t="s">
        <v>1755</v>
      </c>
      <c r="F161" s="16" t="str">
        <f>CONCATENATE("'",Alumnos!H570,"'")</f>
        <v>'LEON MUÑOZ SARA ALICIA'</v>
      </c>
      <c r="G161" s="16" t="str">
        <f>CONCATENATE("'",Alumnos!I570,"'")</f>
        <v>'ARQUITECTURA'</v>
      </c>
      <c r="H161" s="16" t="str">
        <f>CONCATENATE("'",Alumnos!J570,"'")</f>
        <v>'2do'</v>
      </c>
      <c r="I161" s="16" t="str">
        <f>UPPER(CONCATENATE("'",Alumnos!K570,"'"))</f>
        <v>'FEMENINO'</v>
      </c>
      <c r="J161" s="16" t="str">
        <f>UPPER(CONCATENATE("'",Alumnos!L570,"'"))</f>
        <v>'ACTIVO'</v>
      </c>
      <c r="K161" s="16" t="str">
        <f>CONCATENATE(A161,",",B161,",",C161,",",D161,",'",E161,",",F161,",",G161,",",H161,",",UPPER(I161),",",UPPER(J161),",'',0,0,'','ALUMNO'")</f>
        <v>1160,'LICENCIATURA','saraalicia.leonmunoz','112276','TOMAR DEL SND','LEON MUÑOZ SARA ALICIA','ARQUITECTURA','2do','FEMENINO','ACTIVO','',0,0,'','ALUMNO'</v>
      </c>
      <c r="L161" s="16" t="str">
        <f>CONCATENATE($K$1,K161,");")</f>
        <v>INSERT INTO participantes (id,nivel,correo,matricula,clave,nombre,carrera,grado,sexo,situacion,evaluados,num_evaluados,total_evaluaciones,ultimo_acceso,nivel_acceso) VALUES (1160,'LICENCIATURA','saraalicia.leonmunoz','112276','TOMAR DEL SND','LEON MUÑOZ SARA ALICIA','ARQUITECTURA','2do','FEMENINO','ACTIVO','',0,0,'','ALUMNO');</v>
      </c>
      <c r="M161" s="16" t="str">
        <f>CONCATENATE("update participantes set correo=",C161," where id=",A161,";")</f>
        <v>update participantes set correo='saraalicia.leonmunoz' where id=1160;</v>
      </c>
    </row>
    <row r="162" spans="1:13" ht="116" x14ac:dyDescent="0.35">
      <c r="A162" s="16">
        <v>1161</v>
      </c>
      <c r="B162" s="18" t="s">
        <v>1754</v>
      </c>
      <c r="C162" s="16" t="str">
        <f>CONCATENATE("'",Alumnos!E63,"'")</f>
        <v>'andres.antunezbracho'</v>
      </c>
      <c r="D162" s="16" t="str">
        <f>CONCATENATE(Alumnos!F63,"'")</f>
        <v>'112277'</v>
      </c>
      <c r="E162" s="16" t="s">
        <v>1755</v>
      </c>
      <c r="F162" s="16" t="str">
        <f>CONCATENATE("'",Alumnos!H63,"'")</f>
        <v>'ANTUNEZ BRACHO ANDRES'</v>
      </c>
      <c r="G162" s="16" t="str">
        <f>CONCATENATE("'",Alumnos!I63,"'")</f>
        <v>'INGENIERIA AEROESPACIAL'</v>
      </c>
      <c r="H162" s="16" t="str">
        <f>CONCATENATE("'",Alumnos!J63,"'")</f>
        <v>'2do'</v>
      </c>
      <c r="I162" s="16" t="str">
        <f>UPPER(CONCATENATE("'",Alumnos!K63,"'"))</f>
        <v>'MASCULINO'</v>
      </c>
      <c r="J162" s="16" t="str">
        <f>UPPER(CONCATENATE("'",Alumnos!L63,"'"))</f>
        <v>'ACTIVO'</v>
      </c>
      <c r="K162" s="16" t="str">
        <f>CONCATENATE(A162,",",B162,",",C162,",",D162,",'",E162,",",F162,",",G162,",",H162,",",UPPER(I162),",",UPPER(J162),",'',0,0,'','ALUMNO'")</f>
        <v>1161,'LICENCIATURA','andres.antunezbracho','112277','TOMAR DEL SND','ANTUNEZ BRACHO ANDRES','INGENIERIA AEROESPACIAL','2do','MASCULINO','ACTIVO','',0,0,'','ALUMNO'</v>
      </c>
      <c r="L162" s="16" t="str">
        <f>CONCATENATE($K$1,K162,");")</f>
        <v>INSERT INTO participantes (id,nivel,correo,matricula,clave,nombre,carrera,grado,sexo,situacion,evaluados,num_evaluados,total_evaluaciones,ultimo_acceso,nivel_acceso) VALUES (1161,'LICENCIATURA','andres.antunezbracho','112277','TOMAR DEL SND','ANTUNEZ BRACHO ANDRES','INGENIERIA AEROESPACIAL','2do','MASCULINO','ACTIVO','',0,0,'','ALUMNO');</v>
      </c>
      <c r="M162" s="16" t="str">
        <f>CONCATENATE("update participantes set correo=",C162," where id=",A162,";")</f>
        <v>update participantes set correo='andres.antunezbracho' where id=1161;</v>
      </c>
    </row>
    <row r="163" spans="1:13" ht="130.5" x14ac:dyDescent="0.35">
      <c r="A163" s="16">
        <v>1162</v>
      </c>
      <c r="B163" s="18" t="s">
        <v>1754</v>
      </c>
      <c r="C163" s="16" t="str">
        <f>CONCATENATE("'",Alumnos!E190,"'")</f>
        <v>'diegoalberto.serranovarela'</v>
      </c>
      <c r="D163" s="16" t="str">
        <f>CONCATENATE(Alumnos!F190,"'")</f>
        <v>'112278'</v>
      </c>
      <c r="E163" s="16" t="s">
        <v>1755</v>
      </c>
      <c r="F163" s="16" t="str">
        <f>CONCATENATE("'",Alumnos!H190,"'")</f>
        <v>'SERRANO VARELA DIEGO ALBERTO'</v>
      </c>
      <c r="G163" s="16" t="str">
        <f>CONCATENATE("'",Alumnos!I190,"'")</f>
        <v>'INGENIERÍA AUTOMOTRIZ'</v>
      </c>
      <c r="H163" s="16" t="str">
        <f>CONCATENATE("'",Alumnos!J190,"'")</f>
        <v>'2do'</v>
      </c>
      <c r="I163" s="16" t="str">
        <f>UPPER(CONCATENATE("'",Alumnos!K190,"'"))</f>
        <v>'MASCULINO'</v>
      </c>
      <c r="J163" s="16" t="str">
        <f>UPPER(CONCATENATE("'",Alumnos!L190,"'"))</f>
        <v>'ACTIVO'</v>
      </c>
      <c r="K163" s="16" t="str">
        <f>CONCATENATE(A163,",",B163,",",C163,",",D163,",'",E163,",",F163,",",G163,",",H163,",",UPPER(I163),",",UPPER(J163),",'',0,0,'','ALUMNO'")</f>
        <v>1162,'LICENCIATURA','diegoalberto.serranovarela','112278','TOMAR DEL SND','SERRANO VARELA DIEGO ALBERTO','INGENIERÍA AUTOMOTRIZ','2do','MASCULINO','ACTIVO','',0,0,'','ALUMNO'</v>
      </c>
      <c r="L163" s="16" t="str">
        <f>CONCATENATE($K$1,K163,");")</f>
        <v>INSERT INTO participantes (id,nivel,correo,matricula,clave,nombre,carrera,grado,sexo,situacion,evaluados,num_evaluados,total_evaluaciones,ultimo_acceso,nivel_acceso) VALUES (1162,'LICENCIATURA','diegoalberto.serranovarela','112278','TOMAR DEL SND','SERRANO VARELA DIEGO ALBERTO','INGENIERÍA AUTOMOTRIZ','2do','MASCULINO','ACTIVO','',0,0,'','ALUMNO');</v>
      </c>
      <c r="M163" s="16" t="str">
        <f>CONCATENATE("update participantes set correo=",C163," where id=",A163,";")</f>
        <v>update participantes set correo='diegoalberto.serranovarela' where id=1162;</v>
      </c>
    </row>
    <row r="164" spans="1:13" ht="130.5" x14ac:dyDescent="0.35">
      <c r="A164" s="16">
        <v>1163</v>
      </c>
      <c r="B164" s="18" t="s">
        <v>1754</v>
      </c>
      <c r="C164" s="16" t="str">
        <f>CONCATENATE("'",Alumnos!E387,"'")</f>
        <v>'kevinmatthew.vazquezecheagaray'</v>
      </c>
      <c r="D164" s="16" t="str">
        <f>CONCATENATE(Alumnos!F387,"'")</f>
        <v>'112280'</v>
      </c>
      <c r="E164" s="16" t="s">
        <v>1755</v>
      </c>
      <c r="F164" s="16" t="str">
        <f>CONCATENATE("'",Alumnos!H387,"'")</f>
        <v>'VAZQUEZ ECHEAGARAY KEVIN MATTHEW'</v>
      </c>
      <c r="G164" s="16" t="str">
        <f>CONCATENATE("'",Alumnos!I387,"'")</f>
        <v>'INGENIERIA AEROESPACIAL'</v>
      </c>
      <c r="H164" s="16" t="str">
        <f>CONCATENATE("'",Alumnos!J387,"'")</f>
        <v>'2do'</v>
      </c>
      <c r="I164" s="16" t="str">
        <f>UPPER(CONCATENATE("'",Alumnos!K387,"'"))</f>
        <v>'MASCULINO'</v>
      </c>
      <c r="J164" s="16" t="str">
        <f>UPPER(CONCATENATE("'",Alumnos!L387,"'"))</f>
        <v>'ACTIVO'</v>
      </c>
      <c r="K164" s="16" t="str">
        <f>CONCATENATE(A164,",",B164,",",C164,",",D164,",'",E164,",",F164,",",G164,",",H164,",",UPPER(I164),",",UPPER(J164),",'',0,0,'','ALUMNO'")</f>
        <v>1163,'LICENCIATURA','kevinmatthew.vazquezecheagaray','112280','TOMAR DEL SND','VAZQUEZ ECHEAGARAY KEVIN MATTHEW','INGENIERIA AEROESPACIAL','2do','MASCULINO','ACTIVO','',0,0,'','ALUMNO'</v>
      </c>
      <c r="L164" s="16" t="str">
        <f>CONCATENATE($K$1,K164,");")</f>
        <v>INSERT INTO participantes (id,nivel,correo,matricula,clave,nombre,carrera,grado,sexo,situacion,evaluados,num_evaluados,total_evaluaciones,ultimo_acceso,nivel_acceso) VALUES (1163,'LICENCIATURA','kevinmatthew.vazquezecheagaray','112280','TOMAR DEL SND','VAZQUEZ ECHEAGARAY KEVIN MATTHEW','INGENIERIA AEROESPACIAL','2do','MASCULINO','ACTIVO','',0,0,'','ALUMNO');</v>
      </c>
      <c r="M164" s="16" t="str">
        <f>CONCATENATE("update participantes set correo=",C164," where id=",A164,";")</f>
        <v>update participantes set correo='kevinmatthew.vazquezecheagaray' where id=1163;</v>
      </c>
    </row>
    <row r="165" spans="1:13" ht="116" x14ac:dyDescent="0.35">
      <c r="A165" s="16">
        <v>1164</v>
      </c>
      <c r="B165" s="18" t="s">
        <v>1754</v>
      </c>
      <c r="C165" s="16" t="str">
        <f>CONCATENATE("'",Alumnos!E364,"'")</f>
        <v>'karenalejandra.gonzalezaguayo'</v>
      </c>
      <c r="D165" s="16" t="str">
        <f>CONCATENATE(Alumnos!F364,"'")</f>
        <v>'112282'</v>
      </c>
      <c r="E165" s="16" t="s">
        <v>1755</v>
      </c>
      <c r="F165" s="16" t="str">
        <f>CONCATENATE("'",Alumnos!H364,"'")</f>
        <v>'GONZALEZ AGUAYO KAREN ALEJANDRA'</v>
      </c>
      <c r="G165" s="16" t="str">
        <f>CONCATENATE("'",Alumnos!I364,"'")</f>
        <v>'ARQUITECTURA'</v>
      </c>
      <c r="H165" s="16" t="str">
        <f>CONCATENATE("'",Alumnos!J364,"'")</f>
        <v>'2do'</v>
      </c>
      <c r="I165" s="16" t="str">
        <f>UPPER(CONCATENATE("'",Alumnos!K364,"'"))</f>
        <v>'FEMENINO'</v>
      </c>
      <c r="J165" s="16" t="str">
        <f>UPPER(CONCATENATE("'",Alumnos!L364,"'"))</f>
        <v>'ACTIVO'</v>
      </c>
      <c r="K165" s="16" t="str">
        <f>CONCATENATE(A165,",",B165,",",C165,",",D165,",'",E165,",",F165,",",G165,",",H165,",",UPPER(I165),",",UPPER(J165),",'',0,0,'','ALUMNO'")</f>
        <v>1164,'LICENCIATURA','karenalejandra.gonzalezaguayo','112282','TOMAR DEL SND','GONZALEZ AGUAYO KAREN ALEJANDRA','ARQUITECTURA','2do','FEMENINO','ACTIVO','',0,0,'','ALUMNO'</v>
      </c>
      <c r="L165" s="16" t="str">
        <f>CONCATENATE($K$1,K165,");")</f>
        <v>INSERT INTO participantes (id,nivel,correo,matricula,clave,nombre,carrera,grado,sexo,situacion,evaluados,num_evaluados,total_evaluaciones,ultimo_acceso,nivel_acceso) VALUES (1164,'LICENCIATURA','karenalejandra.gonzalezaguayo','112282','TOMAR DEL SND','GONZALEZ AGUAYO KAREN ALEJANDRA','ARQUITECTURA','2do','FEMENINO','ACTIVO','',0,0,'','ALUMNO');</v>
      </c>
      <c r="M165" s="16" t="str">
        <f>CONCATENATE("update participantes set correo=",C165," where id=",A165,";")</f>
        <v>update participantes set correo='karenalejandra.gonzalezaguayo' where id=1164;</v>
      </c>
    </row>
    <row r="166" spans="1:13" ht="116" x14ac:dyDescent="0.35">
      <c r="A166" s="16">
        <v>1165</v>
      </c>
      <c r="B166" s="18" t="s">
        <v>1754</v>
      </c>
      <c r="C166" s="16" t="str">
        <f>CONCATENATE("'",Alumnos!E509,"'")</f>
        <v>'oscarhiram.olivarodriguez'</v>
      </c>
      <c r="D166" s="16" t="str">
        <f>CONCATENATE(Alumnos!F509,"'")</f>
        <v>'112283'</v>
      </c>
      <c r="E166" s="16" t="s">
        <v>1755</v>
      </c>
      <c r="F166" s="16" t="str">
        <f>CONCATENATE("'",Alumnos!H509,"'")</f>
        <v>'OLIVA RODRIGUEZ OSCAR HIRAM'</v>
      </c>
      <c r="G166" s="16" t="str">
        <f>CONCATENATE("'",Alumnos!I509,"'")</f>
        <v>'ADMINISTRACION Y DIRECCION DE NEGOCIOS'</v>
      </c>
      <c r="H166" s="16" t="str">
        <f>CONCATENATE("'",Alumnos!J509,"'")</f>
        <v>'2do'</v>
      </c>
      <c r="I166" s="16" t="str">
        <f>UPPER(CONCATENATE("'",Alumnos!K509,"'"))</f>
        <v>'MASCULINO'</v>
      </c>
      <c r="J166" s="16" t="str">
        <f>UPPER(CONCATENATE("'",Alumnos!L509,"'"))</f>
        <v>'ACTIVO'</v>
      </c>
      <c r="K166" s="16" t="str">
        <f>CONCATENATE(A166,",",B166,",",C166,",",D166,",'",E166,",",F166,",",G166,",",H166,",",UPPER(I166),",",UPPER(J166),",'',0,0,'','ALUMNO'")</f>
        <v>1165,'LICENCIATURA','oscarhiram.olivarodriguez','112283','TOMAR DEL SND','OLIVA RODRIGUEZ OSCAR HIRAM','ADMINISTRACION Y DIRECCION DE NEGOCIOS','2do','MASCULINO','ACTIVO','',0,0,'','ALUMNO'</v>
      </c>
      <c r="L166" s="16" t="str">
        <f>CONCATENATE($K$1,K166,");")</f>
        <v>INSERT INTO participantes (id,nivel,correo,matricula,clave,nombre,carrera,grado,sexo,situacion,evaluados,num_evaluados,total_evaluaciones,ultimo_acceso,nivel_acceso) VALUES (1165,'LICENCIATURA','oscarhiram.olivarodriguez','112283','TOMAR DEL SND','OLIVA RODRIGUEZ OSCAR HIRAM','ADMINISTRACION Y DIRECCION DE NEGOCIOS','2do','MASCULINO','ACTIVO','',0,0,'','ALUMNO');</v>
      </c>
      <c r="M166" s="16" t="str">
        <f>CONCATENATE("update participantes set correo=",C166," where id=",A166,";")</f>
        <v>update participantes set correo='oscarhiram.olivarodriguez' where id=1165;</v>
      </c>
    </row>
    <row r="167" spans="1:13" ht="116" x14ac:dyDescent="0.35">
      <c r="A167" s="16">
        <v>1166</v>
      </c>
      <c r="B167" s="18" t="s">
        <v>1754</v>
      </c>
      <c r="C167" s="16" t="str">
        <f>CONCATENATE("'",Alumnos!E184,"'")</f>
        <v>'diego.deandamonzon'</v>
      </c>
      <c r="D167" s="16" t="str">
        <f>CONCATENATE(Alumnos!F184,"'")</f>
        <v>'112286'</v>
      </c>
      <c r="E167" s="16" t="s">
        <v>1755</v>
      </c>
      <c r="F167" s="16" t="str">
        <f>CONCATENATE("'",Alumnos!H184,"'")</f>
        <v>'DE ANDA MONZON DIEGO'</v>
      </c>
      <c r="G167" s="16" t="str">
        <f>CONCATENATE("'",Alumnos!I184,"'")</f>
        <v>'INGENIERÍA AUTOMOTRIZ'</v>
      </c>
      <c r="H167" s="16" t="str">
        <f>CONCATENATE("'",Alumnos!J184,"'")</f>
        <v>'2do'</v>
      </c>
      <c r="I167" s="16" t="str">
        <f>UPPER(CONCATENATE("'",Alumnos!K184,"'"))</f>
        <v>'MASCULINO'</v>
      </c>
      <c r="J167" s="16" t="str">
        <f>UPPER(CONCATENATE("'",Alumnos!L184,"'"))</f>
        <v>'ACTIVO'</v>
      </c>
      <c r="K167" s="16" t="str">
        <f>CONCATENATE(A167,",",B167,",",C167,",",D167,",'",E167,",",F167,",",G167,",",H167,",",UPPER(I167),",",UPPER(J167),",'',0,0,'','ALUMNO'")</f>
        <v>1166,'LICENCIATURA','diego.deandamonzon','112286','TOMAR DEL SND','DE ANDA MONZON DIEGO','INGENIERÍA AUTOMOTRIZ','2do','MASCULINO','ACTIVO','',0,0,'','ALUMNO'</v>
      </c>
      <c r="L167" s="16" t="str">
        <f>CONCATENATE($K$1,K167,");")</f>
        <v>INSERT INTO participantes (id,nivel,correo,matricula,clave,nombre,carrera,grado,sexo,situacion,evaluados,num_evaluados,total_evaluaciones,ultimo_acceso,nivel_acceso) VALUES (1166,'LICENCIATURA','diego.deandamonzon','112286','TOMAR DEL SND','DE ANDA MONZON DIEGO','INGENIERÍA AUTOMOTRIZ','2do','MASCULINO','ACTIVO','',0,0,'','ALUMNO');</v>
      </c>
      <c r="M167" s="16" t="str">
        <f>CONCATENATE("update participantes set correo=",C167," where id=",A167,";")</f>
        <v>update participantes set correo='diego.deandamonzon' where id=1166;</v>
      </c>
    </row>
    <row r="168" spans="1:13" ht="130.5" x14ac:dyDescent="0.35">
      <c r="A168" s="16">
        <v>1167</v>
      </c>
      <c r="B168" s="18" t="s">
        <v>1754</v>
      </c>
      <c r="C168" s="16" t="str">
        <f>CONCATENATE("'",Alumnos!E380,"'")</f>
        <v>'karolnicolas.mejiagarcia'</v>
      </c>
      <c r="D168" s="16" t="str">
        <f>CONCATENATE(Alumnos!F380,"'")</f>
        <v>'112292'</v>
      </c>
      <c r="E168" s="16" t="s">
        <v>1755</v>
      </c>
      <c r="F168" s="16" t="str">
        <f>CONCATENATE("'",Alumnos!H380,"'")</f>
        <v>'MEJIA GARCIA KAROL NICOLAS'</v>
      </c>
      <c r="G168" s="16" t="str">
        <f>CONCATENATE("'",Alumnos!I380,"'")</f>
        <v>'INGENIERÍA AUTOMOTRIZ'</v>
      </c>
      <c r="H168" s="16" t="str">
        <f>CONCATENATE("'",Alumnos!J380,"'")</f>
        <v>'2do'</v>
      </c>
      <c r="I168" s="16" t="str">
        <f>UPPER(CONCATENATE("'",Alumnos!K380,"'"))</f>
        <v>'MASCULINO'</v>
      </c>
      <c r="J168" s="16" t="str">
        <f>UPPER(CONCATENATE("'",Alumnos!L380,"'"))</f>
        <v>'ACTIVO'</v>
      </c>
      <c r="K168" s="16" t="str">
        <f>CONCATENATE(A168,",",B168,",",C168,",",D168,",'",E168,",",F168,",",G168,",",H168,",",UPPER(I168),",",UPPER(J168),",'',0,0,'','ALUMNO'")</f>
        <v>1167,'LICENCIATURA','karolnicolas.mejiagarcia','112292','TOMAR DEL SND','MEJIA GARCIA KAROL NICOLAS','INGENIERÍA AUTOMOTRIZ','2do','MASCULINO','ACTIVO','',0,0,'','ALUMNO'</v>
      </c>
      <c r="L168" s="16" t="str">
        <f>CONCATENATE($K$1,K168,");")</f>
        <v>INSERT INTO participantes (id,nivel,correo,matricula,clave,nombre,carrera,grado,sexo,situacion,evaluados,num_evaluados,total_evaluaciones,ultimo_acceso,nivel_acceso) VALUES (1167,'LICENCIATURA','karolnicolas.mejiagarcia','112292','TOMAR DEL SND','MEJIA GARCIA KAROL NICOLAS','INGENIERÍA AUTOMOTRIZ','2do','MASCULINO','ACTIVO','',0,0,'','ALUMNO');</v>
      </c>
      <c r="M168" s="16" t="str">
        <f>CONCATENATE("update participantes set correo=",C168," where id=",A168,";")</f>
        <v>update participantes set correo='karolnicolas.mejiagarcia' where id=1167;</v>
      </c>
    </row>
    <row r="169" spans="1:13" ht="116" x14ac:dyDescent="0.35">
      <c r="A169" s="16">
        <v>1168</v>
      </c>
      <c r="B169" s="18" t="s">
        <v>1754</v>
      </c>
      <c r="C169" s="16" t="str">
        <f>CONCATENATE("'",Alumnos!E50,"'")</f>
        <v>'analucia.enriquezperez'</v>
      </c>
      <c r="D169" s="16" t="str">
        <f>CONCATENATE(Alumnos!F50,"'")</f>
        <v>'112293'</v>
      </c>
      <c r="E169" s="16" t="s">
        <v>1755</v>
      </c>
      <c r="F169" s="16" t="str">
        <f>CONCATENATE("'",Alumnos!H50,"'")</f>
        <v>'ENRIQUEZ PEREZ ANA LUCIA'</v>
      </c>
      <c r="G169" s="16" t="str">
        <f>CONCATENATE("'",Alumnos!I50,"'")</f>
        <v>'ADMINISTRACION Y DIRECCION DE NEGOCIOS'</v>
      </c>
      <c r="H169" s="16" t="str">
        <f>CONCATENATE("'",Alumnos!J50,"'")</f>
        <v>'2do'</v>
      </c>
      <c r="I169" s="16" t="str">
        <f>UPPER(CONCATENATE("'",Alumnos!K50,"'"))</f>
        <v>'FEMENINO'</v>
      </c>
      <c r="J169" s="16" t="str">
        <f>UPPER(CONCATENATE("'",Alumnos!L50,"'"))</f>
        <v>'ACTIVO'</v>
      </c>
      <c r="K169" s="16" t="str">
        <f>CONCATENATE(A169,",",B169,",",C169,",",D169,",'",E169,",",F169,",",G169,",",H169,",",UPPER(I169),",",UPPER(J169),",'',0,0,'','ALUMNO'")</f>
        <v>1168,'LICENCIATURA','analucia.enriquezperez','112293','TOMAR DEL SND','ENRIQUEZ PEREZ ANA LUCIA','ADMINISTRACION Y DIRECCION DE NEGOCIOS','2do','FEMENINO','ACTIVO','',0,0,'','ALUMNO'</v>
      </c>
      <c r="L169" s="16" t="str">
        <f>CONCATENATE($K$1,K169,");")</f>
        <v>INSERT INTO participantes (id,nivel,correo,matricula,clave,nombre,carrera,grado,sexo,situacion,evaluados,num_evaluados,total_evaluaciones,ultimo_acceso,nivel_acceso) VALUES (1168,'LICENCIATURA','analucia.enriquezperez','112293','TOMAR DEL SND','ENRIQUEZ PEREZ ANA LUCIA','ADMINISTRACION Y DIRECCION DE NEGOCIOS','2do','FEMENINO','ACTIVO','',0,0,'','ALUMNO');</v>
      </c>
      <c r="M169" s="16" t="str">
        <f>CONCATENATE("update participantes set correo=",C169," where id=",A169,";")</f>
        <v>update participantes set correo='analucia.enriquezperez' where id=1168;</v>
      </c>
    </row>
    <row r="170" spans="1:13" ht="130.5" x14ac:dyDescent="0.35">
      <c r="A170" s="16">
        <v>1169</v>
      </c>
      <c r="B170" s="18" t="s">
        <v>1754</v>
      </c>
      <c r="C170" s="16" t="str">
        <f>CONCATENATE("'",Alumnos!E267,"'")</f>
        <v>'hannibalenrique.ruelassaldana'</v>
      </c>
      <c r="D170" s="16" t="str">
        <f>CONCATENATE(Alumnos!F267,"'")</f>
        <v>'112294'</v>
      </c>
      <c r="E170" s="16" t="s">
        <v>1755</v>
      </c>
      <c r="F170" s="16" t="str">
        <f>CONCATENATE("'",Alumnos!H267,"'")</f>
        <v>'RUELAS SALDAÑA HANNIBAL ENRIQUE'</v>
      </c>
      <c r="G170" s="16" t="str">
        <f>CONCATENATE("'",Alumnos!I267,"'")</f>
        <v>'INGENIERÍA AUTOMOTRIZ'</v>
      </c>
      <c r="H170" s="16" t="str">
        <f>CONCATENATE("'",Alumnos!J267,"'")</f>
        <v>'2do'</v>
      </c>
      <c r="I170" s="16" t="str">
        <f>UPPER(CONCATENATE("'",Alumnos!K267,"'"))</f>
        <v>'MASCULINO'</v>
      </c>
      <c r="J170" s="16" t="str">
        <f>UPPER(CONCATENATE("'",Alumnos!L267,"'"))</f>
        <v>'ACTIVO'</v>
      </c>
      <c r="K170" s="16" t="str">
        <f>CONCATENATE(A170,",",B170,",",C170,",",D170,",'",E170,",",F170,",",G170,",",H170,",",UPPER(I170),",",UPPER(J170),",'',0,0,'','ALUMNO'")</f>
        <v>1169,'LICENCIATURA','hannibalenrique.ruelassaldana','112294','TOMAR DEL SND','RUELAS SALDAÑA HANNIBAL ENRIQUE','INGENIERÍA AUTOMOTRIZ','2do','MASCULINO','ACTIVO','',0,0,'','ALUMNO'</v>
      </c>
      <c r="L170" s="16" t="str">
        <f>CONCATENATE($K$1,K170,");")</f>
        <v>INSERT INTO participantes (id,nivel,correo,matricula,clave,nombre,carrera,grado,sexo,situacion,evaluados,num_evaluados,total_evaluaciones,ultimo_acceso,nivel_acceso) VALUES (1169,'LICENCIATURA','hannibalenrique.ruelassaldana','112294','TOMAR DEL SND','RUELAS SALDAÑA HANNIBAL ENRIQUE','INGENIERÍA AUTOMOTRIZ','2do','MASCULINO','ACTIVO','',0,0,'','ALUMNO');</v>
      </c>
      <c r="M170" s="16" t="str">
        <f>CONCATENATE("update participantes set correo=",C170," where id=",A170,";")</f>
        <v>update participantes set correo='hannibalenrique.ruelassaldana' where id=1169;</v>
      </c>
    </row>
    <row r="171" spans="1:13" ht="116" x14ac:dyDescent="0.35">
      <c r="A171" s="16">
        <v>1170</v>
      </c>
      <c r="B171" s="18" t="s">
        <v>1754</v>
      </c>
      <c r="C171" s="16" t="str">
        <f>CONCATENATE("'",Alumnos!E187,"'")</f>
        <v>'diego.ruizallar'</v>
      </c>
      <c r="D171" s="16" t="str">
        <f>CONCATENATE(Alumnos!F187,"'")</f>
        <v>'112296'</v>
      </c>
      <c r="E171" s="16" t="s">
        <v>1755</v>
      </c>
      <c r="F171" s="16" t="str">
        <f>CONCATENATE("'",Alumnos!H187,"'")</f>
        <v>'RUIZ ALLAR DIEGO'</v>
      </c>
      <c r="G171" s="16" t="str">
        <f>CONCATENATE("'",Alumnos!I187,"'")</f>
        <v>'INGENIERIA AEROESPACIAL'</v>
      </c>
      <c r="H171" s="16" t="str">
        <f>CONCATENATE("'",Alumnos!J187,"'")</f>
        <v>'2do'</v>
      </c>
      <c r="I171" s="16" t="str">
        <f>UPPER(CONCATENATE("'",Alumnos!K187,"'"))</f>
        <v>'MASCULINO'</v>
      </c>
      <c r="J171" s="16" t="str">
        <f>UPPER(CONCATENATE("'",Alumnos!L187,"'"))</f>
        <v>'ACTIVO'</v>
      </c>
      <c r="K171" s="16" t="str">
        <f>CONCATENATE(A171,",",B171,",",C171,",",D171,",'",E171,",",F171,",",G171,",",H171,",",UPPER(I171),",",UPPER(J171),",'',0,0,'','ALUMNO'")</f>
        <v>1170,'LICENCIATURA','diego.ruizallar','112296','TOMAR DEL SND','RUIZ ALLAR DIEGO','INGENIERIA AEROESPACIAL','2do','MASCULINO','ACTIVO','',0,0,'','ALUMNO'</v>
      </c>
      <c r="L171" s="16" t="str">
        <f>CONCATENATE($K$1,K171,");")</f>
        <v>INSERT INTO participantes (id,nivel,correo,matricula,clave,nombre,carrera,grado,sexo,situacion,evaluados,num_evaluados,total_evaluaciones,ultimo_acceso,nivel_acceso) VALUES (1170,'LICENCIATURA','diego.ruizallar','112296','TOMAR DEL SND','RUIZ ALLAR DIEGO','INGENIERIA AEROESPACIAL','2do','MASCULINO','ACTIVO','',0,0,'','ALUMNO');</v>
      </c>
      <c r="M171" s="16" t="str">
        <f>CONCATENATE("update participantes set correo=",C171," where id=",A171,";")</f>
        <v>update participantes set correo='diego.ruizallar' where id=1170;</v>
      </c>
    </row>
    <row r="172" spans="1:13" ht="130.5" x14ac:dyDescent="0.35">
      <c r="A172" s="16">
        <v>1171</v>
      </c>
      <c r="B172" s="18" t="s">
        <v>1754</v>
      </c>
      <c r="C172" s="16" t="str">
        <f>CONCATENATE("'",Alumnos!E176,"'")</f>
        <v>'davidricardo.monterojaramillo'</v>
      </c>
      <c r="D172" s="16" t="str">
        <f>CONCATENATE(Alumnos!F176,"'")</f>
        <v>'112298'</v>
      </c>
      <c r="E172" s="16" t="s">
        <v>1755</v>
      </c>
      <c r="F172" s="16" t="str">
        <f>CONCATENATE("'",Alumnos!H176,"'")</f>
        <v>'MONTERO JARAMILLO DAVID RICARDO'</v>
      </c>
      <c r="G172" s="16" t="str">
        <f>CONCATENATE("'",Alumnos!I176,"'")</f>
        <v>'ANIMACION DIGITAL Y VIDEOJUEGOS'</v>
      </c>
      <c r="H172" s="16" t="str">
        <f>CONCATENATE("'",Alumnos!J176,"'")</f>
        <v>'2do'</v>
      </c>
      <c r="I172" s="16" t="str">
        <f>UPPER(CONCATENATE("'",Alumnos!K176,"'"))</f>
        <v>'MASCULINO'</v>
      </c>
      <c r="J172" s="16" t="str">
        <f>UPPER(CONCATENATE("'",Alumnos!L176,"'"))</f>
        <v>'ACTIVO'</v>
      </c>
      <c r="K172" s="16" t="str">
        <f>CONCATENATE(A172,",",B172,",",C172,",",D172,",'",E172,",",F172,",",G172,",",H172,",",UPPER(I172),",",UPPER(J172),",'',0,0,'','ALUMNO'")</f>
        <v>1171,'LICENCIATURA','davidricardo.monterojaramillo','112298','TOMAR DEL SND','MONTERO JARAMILLO DAVID RICARDO','ANIMACION DIGITAL Y VIDEOJUEGOS','2do','MASCULINO','ACTIVO','',0,0,'','ALUMNO'</v>
      </c>
      <c r="L172" s="16" t="str">
        <f>CONCATENATE($K$1,K172,");")</f>
        <v>INSERT INTO participantes (id,nivel,correo,matricula,clave,nombre,carrera,grado,sexo,situacion,evaluados,num_evaluados,total_evaluaciones,ultimo_acceso,nivel_acceso) VALUES (1171,'LICENCIATURA','davidricardo.monterojaramillo','112298','TOMAR DEL SND','MONTERO JARAMILLO DAVID RICARDO','ANIMACION DIGITAL Y VIDEOJUEGOS','2do','MASCULINO','ACTIVO','',0,0,'','ALUMNO');</v>
      </c>
      <c r="M172" s="16" t="str">
        <f>CONCATENATE("update participantes set correo=",C172," where id=",A172,";")</f>
        <v>update participantes set correo='davidricardo.monterojaramillo' where id=1171;</v>
      </c>
    </row>
    <row r="173" spans="1:13" ht="130.5" x14ac:dyDescent="0.35">
      <c r="A173" s="16">
        <v>1172</v>
      </c>
      <c r="B173" s="18" t="s">
        <v>1754</v>
      </c>
      <c r="C173" s="16" t="str">
        <f>CONCATENATE("'",Alumnos!E205,"'")</f>
        <v>'edwinelias.sanchezgonzalez'</v>
      </c>
      <c r="D173" s="16" t="str">
        <f>CONCATENATE(Alumnos!F205,"'")</f>
        <v>'112299'</v>
      </c>
      <c r="E173" s="16" t="s">
        <v>1755</v>
      </c>
      <c r="F173" s="16" t="str">
        <f>CONCATENATE("'",Alumnos!H205,"'")</f>
        <v>'SANCHEZ GONZALEZ EDWIN ELIAS'</v>
      </c>
      <c r="G173" s="16" t="str">
        <f>CONCATENATE("'",Alumnos!I205,"'")</f>
        <v>'INGENIERIA AEROESPACIAL'</v>
      </c>
      <c r="H173" s="16" t="str">
        <f>CONCATENATE("'",Alumnos!J205,"'")</f>
        <v>'2do'</v>
      </c>
      <c r="I173" s="16" t="str">
        <f>UPPER(CONCATENATE("'",Alumnos!K205,"'"))</f>
        <v>'MASCULINO'</v>
      </c>
      <c r="J173" s="16" t="str">
        <f>UPPER(CONCATENATE("'",Alumnos!L205,"'"))</f>
        <v>'ACTIVO'</v>
      </c>
      <c r="K173" s="16" t="str">
        <f>CONCATENATE(A173,",",B173,",",C173,",",D173,",'",E173,",",F173,",",G173,",",H173,",",UPPER(I173),",",UPPER(J173),",'',0,0,'','ALUMNO'")</f>
        <v>1172,'LICENCIATURA','edwinelias.sanchezgonzalez','112299','TOMAR DEL SND','SANCHEZ GONZALEZ EDWIN ELIAS','INGENIERIA AEROESPACIAL','2do','MASCULINO','ACTIVO','',0,0,'','ALUMNO'</v>
      </c>
      <c r="L173" s="16" t="str">
        <f>CONCATENATE($K$1,K173,");")</f>
        <v>INSERT INTO participantes (id,nivel,correo,matricula,clave,nombre,carrera,grado,sexo,situacion,evaluados,num_evaluados,total_evaluaciones,ultimo_acceso,nivel_acceso) VALUES (1172,'LICENCIATURA','edwinelias.sanchezgonzalez','112299','TOMAR DEL SND','SANCHEZ GONZALEZ EDWIN ELIAS','INGENIERIA AEROESPACIAL','2do','MASCULINO','ACTIVO','',0,0,'','ALUMNO');</v>
      </c>
      <c r="M173" s="16" t="str">
        <f>CONCATENATE("update participantes set correo=",C173," where id=",A173,";")</f>
        <v>update participantes set correo='edwinelias.sanchezgonzalez' where id=1172;</v>
      </c>
    </row>
    <row r="174" spans="1:13" ht="130.5" x14ac:dyDescent="0.35">
      <c r="A174" s="16">
        <v>1173</v>
      </c>
      <c r="B174" s="18" t="s">
        <v>1754</v>
      </c>
      <c r="C174" s="16" t="str">
        <f>CONCATENATE("'",Alumnos!E341,"'")</f>
        <v>'josemauricio.olivastorres'</v>
      </c>
      <c r="D174" s="16" t="str">
        <f>CONCATENATE(Alumnos!F341,"'")</f>
        <v>'112300'</v>
      </c>
      <c r="E174" s="16" t="s">
        <v>1755</v>
      </c>
      <c r="F174" s="16" t="str">
        <f>CONCATENATE("'",Alumnos!H341,"'")</f>
        <v>'OLIVAS TORRES JOSE MAURICIO'</v>
      </c>
      <c r="G174" s="16" t="str">
        <f>CONCATENATE("'",Alumnos!I341,"'")</f>
        <v>'INGENIERIA AEROESPACIAL'</v>
      </c>
      <c r="H174" s="16" t="str">
        <f>CONCATENATE("'",Alumnos!J341,"'")</f>
        <v>'2do'</v>
      </c>
      <c r="I174" s="16" t="str">
        <f>UPPER(CONCATENATE("'",Alumnos!K341,"'"))</f>
        <v>'MASCULINO'</v>
      </c>
      <c r="J174" s="16" t="str">
        <f>UPPER(CONCATENATE("'",Alumnos!L341,"'"))</f>
        <v>'ACTIVO'</v>
      </c>
      <c r="K174" s="16" t="str">
        <f>CONCATENATE(A174,",",B174,",",C174,",",D174,",'",E174,",",F174,",",G174,",",H174,",",UPPER(I174),",",UPPER(J174),",'',0,0,'','ALUMNO'")</f>
        <v>1173,'LICENCIATURA','josemauricio.olivastorres','112300','TOMAR DEL SND','OLIVAS TORRES JOSE MAURICIO','INGENIERIA AEROESPACIAL','2do','MASCULINO','ACTIVO','',0,0,'','ALUMNO'</v>
      </c>
      <c r="L174" s="16" t="str">
        <f>CONCATENATE($K$1,K174,");")</f>
        <v>INSERT INTO participantes (id,nivel,correo,matricula,clave,nombre,carrera,grado,sexo,situacion,evaluados,num_evaluados,total_evaluaciones,ultimo_acceso,nivel_acceso) VALUES (1173,'LICENCIATURA','josemauricio.olivastorres','112300','TOMAR DEL SND','OLIVAS TORRES JOSE MAURICIO','INGENIERIA AEROESPACIAL','2do','MASCULINO','ACTIVO','',0,0,'','ALUMNO');</v>
      </c>
      <c r="M174" s="16" t="str">
        <f>CONCATENATE("update participantes set correo=",C174," where id=",A174,";")</f>
        <v>update participantes set correo='josemauricio.olivastorres' where id=1173;</v>
      </c>
    </row>
    <row r="175" spans="1:13" ht="116" x14ac:dyDescent="0.35">
      <c r="A175" s="16">
        <v>1174</v>
      </c>
      <c r="B175" s="18" t="s">
        <v>1754</v>
      </c>
      <c r="C175" s="16" t="str">
        <f>CONCATENATE("'",Alumnos!E615,"'")</f>
        <v>'ximenasofia.rodriguezcisneros'</v>
      </c>
      <c r="D175" s="16" t="str">
        <f>CONCATENATE(Alumnos!F615,"'")</f>
        <v>'112301'</v>
      </c>
      <c r="E175" s="16" t="s">
        <v>1755</v>
      </c>
      <c r="F175" s="16" t="str">
        <f>CONCATENATE("'",Alumnos!H615,"'")</f>
        <v>'RODRIGUEZ CISNEROS XIMENA SOFIA'</v>
      </c>
      <c r="G175" s="16" t="str">
        <f>CONCATENATE("'",Alumnos!I615,"'")</f>
        <v>'PSICOLOGIA'</v>
      </c>
      <c r="H175" s="16" t="str">
        <f>CONCATENATE("'",Alumnos!J615,"'")</f>
        <v>'2do'</v>
      </c>
      <c r="I175" s="16" t="str">
        <f>UPPER(CONCATENATE("'",Alumnos!K615,"'"))</f>
        <v>'FEMENINO'</v>
      </c>
      <c r="J175" s="16" t="str">
        <f>UPPER(CONCATENATE("'",Alumnos!L615,"'"))</f>
        <v>'ACTIVO'</v>
      </c>
      <c r="K175" s="16" t="str">
        <f>CONCATENATE(A175,",",B175,",",C175,",",D175,",'",E175,",",F175,",",G175,",",H175,",",UPPER(I175),",",UPPER(J175),",'',0,0,'','ALUMNO'")</f>
        <v>1174,'LICENCIATURA','ximenasofia.rodriguezcisneros','112301','TOMAR DEL SND','RODRIGUEZ CISNEROS XIMENA SOFIA','PSICOLOGIA','2do','FEMENINO','ACTIVO','',0,0,'','ALUMNO'</v>
      </c>
      <c r="L175" s="16" t="str">
        <f>CONCATENATE($K$1,K175,");")</f>
        <v>INSERT INTO participantes (id,nivel,correo,matricula,clave,nombre,carrera,grado,sexo,situacion,evaluados,num_evaluados,total_evaluaciones,ultimo_acceso,nivel_acceso) VALUES (1174,'LICENCIATURA','ximenasofia.rodriguezcisneros','112301','TOMAR DEL SND','RODRIGUEZ CISNEROS XIMENA SOFIA','PSICOLOGIA','2do','FEMENINO','ACTIVO','',0,0,'','ALUMNO');</v>
      </c>
      <c r="M175" s="16" t="str">
        <f>CONCATENATE("update participantes set correo=",C175," where id=",A175,";")</f>
        <v>update participantes set correo='ximenasofia.rodriguezcisneros' where id=1174;</v>
      </c>
    </row>
    <row r="176" spans="1:13" ht="130.5" x14ac:dyDescent="0.35">
      <c r="A176" s="16">
        <v>1175</v>
      </c>
      <c r="B176" s="18" t="s">
        <v>1754</v>
      </c>
      <c r="C176" s="16" t="str">
        <f>CONCATENATE("'",Alumnos!E295,"'")</f>
        <v>'jaredesau.valladolidgarcia'</v>
      </c>
      <c r="D176" s="16" t="str">
        <f>CONCATENATE(Alumnos!F295,"'")</f>
        <v>'112302'</v>
      </c>
      <c r="E176" s="16" t="s">
        <v>1755</v>
      </c>
      <c r="F176" s="16" t="str">
        <f>CONCATENATE("'",Alumnos!H295,"'")</f>
        <v>'VALLADOLID GARCIA JARED ESAU'</v>
      </c>
      <c r="G176" s="16" t="str">
        <f>CONCATENATE("'",Alumnos!I295,"'")</f>
        <v>'INGENIERIA AEROESPACIAL'</v>
      </c>
      <c r="H176" s="16" t="str">
        <f>CONCATENATE("'",Alumnos!J295,"'")</f>
        <v>'2do'</v>
      </c>
      <c r="I176" s="16" t="str">
        <f>UPPER(CONCATENATE("'",Alumnos!K295,"'"))</f>
        <v>'MASCULINO'</v>
      </c>
      <c r="J176" s="16" t="str">
        <f>UPPER(CONCATENATE("'",Alumnos!L295,"'"))</f>
        <v>'ACTIVO'</v>
      </c>
      <c r="K176" s="16" t="str">
        <f>CONCATENATE(A176,",",B176,",",C176,",",D176,",'",E176,",",F176,",",G176,",",H176,",",UPPER(I176),",",UPPER(J176),",'',0,0,'','ALUMNO'")</f>
        <v>1175,'LICENCIATURA','jaredesau.valladolidgarcia','112302','TOMAR DEL SND','VALLADOLID GARCIA JARED ESAU','INGENIERIA AEROESPACIAL','2do','MASCULINO','ACTIVO','',0,0,'','ALUMNO'</v>
      </c>
      <c r="L176" s="16" t="str">
        <f>CONCATENATE($K$1,K176,");")</f>
        <v>INSERT INTO participantes (id,nivel,correo,matricula,clave,nombre,carrera,grado,sexo,situacion,evaluados,num_evaluados,total_evaluaciones,ultimo_acceso,nivel_acceso) VALUES (1175,'LICENCIATURA','jaredesau.valladolidgarcia','112302','TOMAR DEL SND','VALLADOLID GARCIA JARED ESAU','INGENIERIA AEROESPACIAL','2do','MASCULINO','ACTIVO','',0,0,'','ALUMNO');</v>
      </c>
      <c r="M176" s="16" t="str">
        <f>CONCATENATE("update participantes set correo=",C176," where id=",A176,";")</f>
        <v>update participantes set correo='jaredesau.valladolidgarcia' where id=1175;</v>
      </c>
    </row>
    <row r="177" spans="1:13" ht="130.5" x14ac:dyDescent="0.35">
      <c r="A177" s="16">
        <v>1176</v>
      </c>
      <c r="B177" s="18" t="s">
        <v>1754</v>
      </c>
      <c r="C177" s="16" t="str">
        <f>CONCATENATE("'",Alumnos!E204,"'")</f>
        <v>'eduardoguadalupe.gomezalonso'</v>
      </c>
      <c r="D177" s="16" t="str">
        <f>CONCATENATE(Alumnos!F204,"'")</f>
        <v>'112305'</v>
      </c>
      <c r="E177" s="16" t="s">
        <v>1755</v>
      </c>
      <c r="F177" s="16" t="str">
        <f>CONCATENATE("'",Alumnos!H204,"'")</f>
        <v>'GOMEZ ALONSO EDUARDO GUADALUPE'</v>
      </c>
      <c r="G177" s="16" t="str">
        <f>CONCATENATE("'",Alumnos!I204,"'")</f>
        <v>'INGENIERÍA AUTOMOTRIZ'</v>
      </c>
      <c r="H177" s="16" t="str">
        <f>CONCATENATE("'",Alumnos!J204,"'")</f>
        <v>'2do'</v>
      </c>
      <c r="I177" s="16" t="str">
        <f>UPPER(CONCATENATE("'",Alumnos!K204,"'"))</f>
        <v>'MASCULINO'</v>
      </c>
      <c r="J177" s="16" t="str">
        <f>UPPER(CONCATENATE("'",Alumnos!L204,"'"))</f>
        <v>'ACTIVO'</v>
      </c>
      <c r="K177" s="16" t="str">
        <f>CONCATENATE(A177,",",B177,",",C177,",",D177,",'",E177,",",F177,",",G177,",",H177,",",UPPER(I177),",",UPPER(J177),",'',0,0,'','ALUMNO'")</f>
        <v>1176,'LICENCIATURA','eduardoguadalupe.gomezalonso','112305','TOMAR DEL SND','GOMEZ ALONSO EDUARDO GUADALUPE','INGENIERÍA AUTOMOTRIZ','2do','MASCULINO','ACTIVO','',0,0,'','ALUMNO'</v>
      </c>
      <c r="L177" s="16" t="str">
        <f>CONCATENATE($K$1,K177,");")</f>
        <v>INSERT INTO participantes (id,nivel,correo,matricula,clave,nombre,carrera,grado,sexo,situacion,evaluados,num_evaluados,total_evaluaciones,ultimo_acceso,nivel_acceso) VALUES (1176,'LICENCIATURA','eduardoguadalupe.gomezalonso','112305','TOMAR DEL SND','GOMEZ ALONSO EDUARDO GUADALUPE','INGENIERÍA AUTOMOTRIZ','2do','MASCULINO','ACTIVO','',0,0,'','ALUMNO');</v>
      </c>
      <c r="M177" s="16" t="str">
        <f>CONCATENATE("update participantes set correo=",C177," where id=",A177,";")</f>
        <v>update participantes set correo='eduardoguadalupe.gomezalonso' where id=1176;</v>
      </c>
    </row>
    <row r="178" spans="1:13" ht="116" x14ac:dyDescent="0.35">
      <c r="A178" s="16">
        <v>1177</v>
      </c>
      <c r="B178" s="18" t="s">
        <v>1754</v>
      </c>
      <c r="C178" s="16" t="str">
        <f>CONCATENATE("'",Alumnos!E155,"'")</f>
        <v>'daniel.mosqueirayanez'</v>
      </c>
      <c r="D178" s="16" t="str">
        <f>CONCATENATE(Alumnos!F155,"'")</f>
        <v>'112306'</v>
      </c>
      <c r="E178" s="16" t="s">
        <v>1755</v>
      </c>
      <c r="F178" s="16" t="str">
        <f>CONCATENATE("'",Alumnos!H155,"'")</f>
        <v>'MOSQUEIRA YAÑEZ DANIEL'</v>
      </c>
      <c r="G178" s="16" t="str">
        <f>CONCATENATE("'",Alumnos!I155,"'")</f>
        <v>'INGENIERIA AEROESPACIAL'</v>
      </c>
      <c r="H178" s="16" t="str">
        <f>CONCATENATE("'",Alumnos!J155,"'")</f>
        <v>'2do'</v>
      </c>
      <c r="I178" s="16" t="str">
        <f>UPPER(CONCATENATE("'",Alumnos!K155,"'"))</f>
        <v>'MASCULINO'</v>
      </c>
      <c r="J178" s="16" t="str">
        <f>UPPER(CONCATENATE("'",Alumnos!L155,"'"))</f>
        <v>'ACTIVO'</v>
      </c>
      <c r="K178" s="16" t="str">
        <f>CONCATENATE(A178,",",B178,",",C178,",",D178,",'",E178,",",F178,",",G178,",",H178,",",UPPER(I178),",",UPPER(J178),",'',0,0,'','ALUMNO'")</f>
        <v>1177,'LICENCIATURA','daniel.mosqueirayanez','112306','TOMAR DEL SND','MOSQUEIRA YAÑEZ DANIEL','INGENIERIA AEROESPACIAL','2do','MASCULINO','ACTIVO','',0,0,'','ALUMNO'</v>
      </c>
      <c r="L178" s="16" t="str">
        <f>CONCATENATE($K$1,K178,");")</f>
        <v>INSERT INTO participantes (id,nivel,correo,matricula,clave,nombre,carrera,grado,sexo,situacion,evaluados,num_evaluados,total_evaluaciones,ultimo_acceso,nivel_acceso) VALUES (1177,'LICENCIATURA','daniel.mosqueirayanez','112306','TOMAR DEL SND','MOSQUEIRA YAÑEZ DANIEL','INGENIERIA AEROESPACIAL','2do','MASCULINO','ACTIVO','',0,0,'','ALUMNO');</v>
      </c>
      <c r="M178" s="16" t="str">
        <f>CONCATENATE("update participantes set correo=",C178," where id=",A178,";")</f>
        <v>update participantes set correo='daniel.mosqueirayanez' where id=1177;</v>
      </c>
    </row>
    <row r="179" spans="1:13" ht="130.5" x14ac:dyDescent="0.35">
      <c r="A179" s="16">
        <v>1178</v>
      </c>
      <c r="B179" s="18" t="s">
        <v>1754</v>
      </c>
      <c r="C179" s="16" t="str">
        <f>CONCATENATE("'",Alumnos!E489,"'")</f>
        <v>'natalia.narvaezlozano'</v>
      </c>
      <c r="D179" s="16" t="str">
        <f>CONCATENATE(Alumnos!F489,"'")</f>
        <v>'112307'</v>
      </c>
      <c r="E179" s="16" t="s">
        <v>1755</v>
      </c>
      <c r="F179" s="16" t="str">
        <f>CONCATENATE("'",Alumnos!H489,"'")</f>
        <v>'NARVAEZ LOZANO NATALIA'</v>
      </c>
      <c r="G179" s="16" t="str">
        <f>CONCATENATE("'",Alumnos!I489,"'")</f>
        <v>'ANIMACION DIGITAL Y VIDEOJUEGOS'</v>
      </c>
      <c r="H179" s="16" t="str">
        <f>CONCATENATE("'",Alumnos!J489,"'")</f>
        <v>'2do'</v>
      </c>
      <c r="I179" s="16" t="str">
        <f>UPPER(CONCATENATE("'",Alumnos!K489,"'"))</f>
        <v>'FEMENINO'</v>
      </c>
      <c r="J179" s="16" t="str">
        <f>UPPER(CONCATENATE("'",Alumnos!L489,"'"))</f>
        <v>'ACTIVO'</v>
      </c>
      <c r="K179" s="16" t="str">
        <f>CONCATENATE(A179,",",B179,",",C179,",",D179,",'",E179,",",F179,",",G179,",",H179,",",UPPER(I179),",",UPPER(J179),",'',0,0,'','ALUMNO'")</f>
        <v>1178,'LICENCIATURA','natalia.narvaezlozano','112307','TOMAR DEL SND','NARVAEZ LOZANO NATALIA','ANIMACION DIGITAL Y VIDEOJUEGOS','2do','FEMENINO','ACTIVO','',0,0,'','ALUMNO'</v>
      </c>
      <c r="L179" s="16" t="str">
        <f>CONCATENATE($K$1,K179,");")</f>
        <v>INSERT INTO participantes (id,nivel,correo,matricula,clave,nombre,carrera,grado,sexo,situacion,evaluados,num_evaluados,total_evaluaciones,ultimo_acceso,nivel_acceso) VALUES (1178,'LICENCIATURA','natalia.narvaezlozano','112307','TOMAR DEL SND','NARVAEZ LOZANO NATALIA','ANIMACION DIGITAL Y VIDEOJUEGOS','2do','FEMENINO','ACTIVO','',0,0,'','ALUMNO');</v>
      </c>
      <c r="M179" s="16" t="str">
        <f>CONCATENATE("update participantes set correo=",C179," where id=",A179,";")</f>
        <v>update participantes set correo='natalia.narvaezlozano' where id=1178;</v>
      </c>
    </row>
    <row r="180" spans="1:13" ht="116" x14ac:dyDescent="0.35">
      <c r="A180" s="16">
        <v>1179</v>
      </c>
      <c r="B180" s="18" t="s">
        <v>1754</v>
      </c>
      <c r="C180" s="16" t="str">
        <f>CONCATENATE("'",Alumnos!E600,"'")</f>
        <v>'valeria.hernandezgomez'</v>
      </c>
      <c r="D180" s="16" t="str">
        <f>CONCATENATE(Alumnos!F600,"'")</f>
        <v>'112308'</v>
      </c>
      <c r="E180" s="16" t="s">
        <v>1755</v>
      </c>
      <c r="F180" s="16" t="str">
        <f>CONCATENATE("'",Alumnos!H600,"'")</f>
        <v>'HERNANDEZ GOMEZ VALERIA'</v>
      </c>
      <c r="G180" s="16" t="str">
        <f>CONCATENATE("'",Alumnos!I600,"'")</f>
        <v>'PSICOLOGIA'</v>
      </c>
      <c r="H180" s="16" t="str">
        <f>CONCATENATE("'",Alumnos!J600,"'")</f>
        <v>'2do'</v>
      </c>
      <c r="I180" s="16" t="str">
        <f>UPPER(CONCATENATE("'",Alumnos!K600,"'"))</f>
        <v>'FEMENINO'</v>
      </c>
      <c r="J180" s="16" t="str">
        <f>UPPER(CONCATENATE("'",Alumnos!L600,"'"))</f>
        <v>'ACTIVO'</v>
      </c>
      <c r="K180" s="16" t="str">
        <f>CONCATENATE(A180,",",B180,",",C180,",",D180,",'",E180,",",F180,",",G180,",",H180,",",UPPER(I180),",",UPPER(J180),",'',0,0,'','ALUMNO'")</f>
        <v>1179,'LICENCIATURA','valeria.hernandezgomez','112308','TOMAR DEL SND','HERNANDEZ GOMEZ VALERIA','PSICOLOGIA','2do','FEMENINO','ACTIVO','',0,0,'','ALUMNO'</v>
      </c>
      <c r="L180" s="16" t="str">
        <f>CONCATENATE($K$1,K180,");")</f>
        <v>INSERT INTO participantes (id,nivel,correo,matricula,clave,nombre,carrera,grado,sexo,situacion,evaluados,num_evaluados,total_evaluaciones,ultimo_acceso,nivel_acceso) VALUES (1179,'LICENCIATURA','valeria.hernandezgomez','112308','TOMAR DEL SND','HERNANDEZ GOMEZ VALERIA','PSICOLOGIA','2do','FEMENINO','ACTIVO','',0,0,'','ALUMNO');</v>
      </c>
      <c r="M180" s="16" t="str">
        <f>CONCATENATE("update participantes set correo=",C180," where id=",A180,";")</f>
        <v>update participantes set correo='valeria.hernandezgomez' where id=1179;</v>
      </c>
    </row>
    <row r="181" spans="1:13" ht="116" x14ac:dyDescent="0.35">
      <c r="A181" s="16">
        <v>1180</v>
      </c>
      <c r="B181" s="18" t="s">
        <v>1754</v>
      </c>
      <c r="C181" s="16" t="str">
        <f>CONCATENATE("'",Alumnos!E252,"'")</f>
        <v>'gael.delgadillobautista'</v>
      </c>
      <c r="D181" s="16" t="str">
        <f>CONCATENATE(Alumnos!F252,"'")</f>
        <v>'112309'</v>
      </c>
      <c r="E181" s="16" t="s">
        <v>1755</v>
      </c>
      <c r="F181" s="16" t="str">
        <f>CONCATENATE("'",Alumnos!H252,"'")</f>
        <v>'DELGADILLO BAUTISTA GAEL'</v>
      </c>
      <c r="G181" s="16" t="str">
        <f>CONCATENATE("'",Alumnos!I252,"'")</f>
        <v>'ARQUITECTURA'</v>
      </c>
      <c r="H181" s="16" t="str">
        <f>CONCATENATE("'",Alumnos!J252,"'")</f>
        <v>'2do'</v>
      </c>
      <c r="I181" s="16" t="str">
        <f>UPPER(CONCATENATE("'",Alumnos!K252,"'"))</f>
        <v>'MASCULINO'</v>
      </c>
      <c r="J181" s="16" t="str">
        <f>UPPER(CONCATENATE("'",Alumnos!L252,"'"))</f>
        <v>'ACTIVO'</v>
      </c>
      <c r="K181" s="16" t="str">
        <f>CONCATENATE(A181,",",B181,",",C181,",",D181,",'",E181,",",F181,",",G181,",",H181,",",UPPER(I181),",",UPPER(J181),",'',0,0,'','ALUMNO'")</f>
        <v>1180,'LICENCIATURA','gael.delgadillobautista','112309','TOMAR DEL SND','DELGADILLO BAUTISTA GAEL','ARQUITECTURA','2do','MASCULINO','ACTIVO','',0,0,'','ALUMNO'</v>
      </c>
      <c r="L181" s="16" t="str">
        <f>CONCATENATE($K$1,K181,");")</f>
        <v>INSERT INTO participantes (id,nivel,correo,matricula,clave,nombre,carrera,grado,sexo,situacion,evaluados,num_evaluados,total_evaluaciones,ultimo_acceso,nivel_acceso) VALUES (1180,'LICENCIATURA','gael.delgadillobautista','112309','TOMAR DEL SND','DELGADILLO BAUTISTA GAEL','ARQUITECTURA','2do','MASCULINO','ACTIVO','',0,0,'','ALUMNO');</v>
      </c>
      <c r="M181" s="16" t="str">
        <f>CONCATENATE("update participantes set correo=",C181," where id=",A181,";")</f>
        <v>update participantes set correo='gael.delgadillobautista' where id=1180;</v>
      </c>
    </row>
    <row r="182" spans="1:13" ht="130.5" x14ac:dyDescent="0.35">
      <c r="A182" s="16">
        <v>1181</v>
      </c>
      <c r="B182" s="18" t="s">
        <v>1754</v>
      </c>
      <c r="C182" s="16" t="str">
        <f>CONCATENATE("'",Alumnos!E78,"'")</f>
        <v>'angeldavid.ignaciocastillo'</v>
      </c>
      <c r="D182" s="16" t="str">
        <f>CONCATENATE(Alumnos!F78,"'")</f>
        <v>'112311'</v>
      </c>
      <c r="E182" s="16" t="s">
        <v>1755</v>
      </c>
      <c r="F182" s="16" t="str">
        <f>CONCATENATE("'",Alumnos!H78,"'")</f>
        <v>'IGNACIO CASTILLO ANGEL DAVID'</v>
      </c>
      <c r="G182" s="16" t="str">
        <f>CONCATENATE("'",Alumnos!I78,"'")</f>
        <v>'INGENIERÍA AUTOMOTRIZ'</v>
      </c>
      <c r="H182" s="16" t="str">
        <f>CONCATENATE("'",Alumnos!J78,"'")</f>
        <v>'2do'</v>
      </c>
      <c r="I182" s="16" t="str">
        <f>UPPER(CONCATENATE("'",Alumnos!K78,"'"))</f>
        <v>'MASCULINO'</v>
      </c>
      <c r="J182" s="16" t="str">
        <f>UPPER(CONCATENATE("'",Alumnos!L78,"'"))</f>
        <v>'ACTIVO'</v>
      </c>
      <c r="K182" s="16" t="str">
        <f>CONCATENATE(A182,",",B182,",",C182,",",D182,",'",E182,",",F182,",",G182,",",H182,",",UPPER(I182),",",UPPER(J182),",'',0,0,'','ALUMNO'")</f>
        <v>1181,'LICENCIATURA','angeldavid.ignaciocastillo','112311','TOMAR DEL SND','IGNACIO CASTILLO ANGEL DAVID','INGENIERÍA AUTOMOTRIZ','2do','MASCULINO','ACTIVO','',0,0,'','ALUMNO'</v>
      </c>
      <c r="L182" s="16" t="str">
        <f>CONCATENATE($K$1,K182,");")</f>
        <v>INSERT INTO participantes (id,nivel,correo,matricula,clave,nombre,carrera,grado,sexo,situacion,evaluados,num_evaluados,total_evaluaciones,ultimo_acceso,nivel_acceso) VALUES (1181,'LICENCIATURA','angeldavid.ignaciocastillo','112311','TOMAR DEL SND','IGNACIO CASTILLO ANGEL DAVID','INGENIERÍA AUTOMOTRIZ','2do','MASCULINO','ACTIVO','',0,0,'','ALUMNO');</v>
      </c>
      <c r="M182" s="16" t="str">
        <f>CONCATENATE("update participantes set correo=",C182," where id=",A182,";")</f>
        <v>update participantes set correo='angeldavid.ignaciocastillo' where id=1181;</v>
      </c>
    </row>
    <row r="183" spans="1:13" ht="116" x14ac:dyDescent="0.35">
      <c r="A183" s="16">
        <v>1182</v>
      </c>
      <c r="B183" s="18" t="s">
        <v>1754</v>
      </c>
      <c r="C183" s="16" t="str">
        <f>CONCATENATE("'",Alumnos!E503,"'")</f>
        <v>'oscaralfredo.ramirezramos'</v>
      </c>
      <c r="D183" s="16" t="str">
        <f>CONCATENATE(Alumnos!F503,"'")</f>
        <v>'112316'</v>
      </c>
      <c r="E183" s="16" t="s">
        <v>1755</v>
      </c>
      <c r="F183" s="16" t="str">
        <f>CONCATENATE("'",Alumnos!H503,"'")</f>
        <v>'RAMIREZ RAMOS OSCAR ALFREDO'</v>
      </c>
      <c r="G183" s="16" t="str">
        <f>CONCATENATE("'",Alumnos!I503,"'")</f>
        <v>'PSICOLOGIA'</v>
      </c>
      <c r="H183" s="16" t="str">
        <f>CONCATENATE("'",Alumnos!J503,"'")</f>
        <v>'2do'</v>
      </c>
      <c r="I183" s="16" t="str">
        <f>UPPER(CONCATENATE("'",Alumnos!K503,"'"))</f>
        <v>'MASCULINO'</v>
      </c>
      <c r="J183" s="16" t="str">
        <f>UPPER(CONCATENATE("'",Alumnos!L503,"'"))</f>
        <v>'ACTIVO'</v>
      </c>
      <c r="K183" s="16" t="str">
        <f>CONCATENATE(A183,",",B183,",",C183,",",D183,",'",E183,",",F183,",",G183,",",H183,",",UPPER(I183),",",UPPER(J183),",'',0,0,'','ALUMNO'")</f>
        <v>1182,'LICENCIATURA','oscaralfredo.ramirezramos','112316','TOMAR DEL SND','RAMIREZ RAMOS OSCAR ALFREDO','PSICOLOGIA','2do','MASCULINO','ACTIVO','',0,0,'','ALUMNO'</v>
      </c>
      <c r="L183" s="16" t="str">
        <f>CONCATENATE($K$1,K183,");")</f>
        <v>INSERT INTO participantes (id,nivel,correo,matricula,clave,nombre,carrera,grado,sexo,situacion,evaluados,num_evaluados,total_evaluaciones,ultimo_acceso,nivel_acceso) VALUES (1182,'LICENCIATURA','oscaralfredo.ramirezramos','112316','TOMAR DEL SND','RAMIREZ RAMOS OSCAR ALFREDO','PSICOLOGIA','2do','MASCULINO','ACTIVO','',0,0,'','ALUMNO');</v>
      </c>
      <c r="M183" s="16" t="str">
        <f>CONCATENATE("update participantes set correo=",C183," where id=",A183,";")</f>
        <v>update participantes set correo='oscaralfredo.ramirezramos' where id=1182;</v>
      </c>
    </row>
    <row r="184" spans="1:13" ht="130.5" x14ac:dyDescent="0.35">
      <c r="A184" s="16">
        <v>1183</v>
      </c>
      <c r="B184" s="18" t="s">
        <v>1754</v>
      </c>
      <c r="C184" s="16" t="str">
        <f>CONCATENATE("'",Alumnos!E178,"'")</f>
        <v>'denzzel.delossantosdominguez'</v>
      </c>
      <c r="D184" s="16" t="str">
        <f>CONCATENATE(Alumnos!F178,"'")</f>
        <v>'112318'</v>
      </c>
      <c r="E184" s="16" t="s">
        <v>1755</v>
      </c>
      <c r="F184" s="16" t="str">
        <f>CONCATENATE("'",Alumnos!H178,"'")</f>
        <v>'DE LOS SANTOS DOMINGUEZ DENZZEL'</v>
      </c>
      <c r="G184" s="16" t="str">
        <f>CONCATENATE("'",Alumnos!I178,"'")</f>
        <v>'INGENIERÍA AUTOMOTRIZ'</v>
      </c>
      <c r="H184" s="16" t="str">
        <f>CONCATENATE("'",Alumnos!J178,"'")</f>
        <v>'2do'</v>
      </c>
      <c r="I184" s="16" t="str">
        <f>UPPER(CONCATENATE("'",Alumnos!K178,"'"))</f>
        <v>'MASCULINO'</v>
      </c>
      <c r="J184" s="16" t="str">
        <f>UPPER(CONCATENATE("'",Alumnos!L178,"'"))</f>
        <v>'ACTIVO'</v>
      </c>
      <c r="K184" s="16" t="str">
        <f>CONCATENATE(A184,",",B184,",",C184,",",D184,",'",E184,",",F184,",",G184,",",H184,",",UPPER(I184),",",UPPER(J184),",'',0,0,'','ALUMNO'")</f>
        <v>1183,'LICENCIATURA','denzzel.delossantosdominguez','112318','TOMAR DEL SND','DE LOS SANTOS DOMINGUEZ DENZZEL','INGENIERÍA AUTOMOTRIZ','2do','MASCULINO','ACTIVO','',0,0,'','ALUMNO'</v>
      </c>
      <c r="L184" s="16" t="str">
        <f>CONCATENATE($K$1,K184,");")</f>
        <v>INSERT INTO participantes (id,nivel,correo,matricula,clave,nombre,carrera,grado,sexo,situacion,evaluados,num_evaluados,total_evaluaciones,ultimo_acceso,nivel_acceso) VALUES (1183,'LICENCIATURA','denzzel.delossantosdominguez','112318','TOMAR DEL SND','DE LOS SANTOS DOMINGUEZ DENZZEL','INGENIERÍA AUTOMOTRIZ','2do','MASCULINO','ACTIVO','',0,0,'','ALUMNO');</v>
      </c>
      <c r="M184" s="16" t="str">
        <f>CONCATENATE("update participantes set correo=",C184," where id=",A184,";")</f>
        <v>update participantes set correo='denzzel.delossantosdominguez' where id=1183;</v>
      </c>
    </row>
    <row r="185" spans="1:13" ht="116" x14ac:dyDescent="0.35">
      <c r="A185" s="16">
        <v>1184</v>
      </c>
      <c r="B185" s="18" t="s">
        <v>1754</v>
      </c>
      <c r="C185" s="16" t="str">
        <f>CONCATENATE("'",Alumnos!E463,"'")</f>
        <v>'marthacarolina.francoflores'</v>
      </c>
      <c r="D185" s="16" t="str">
        <f>CONCATENATE(Alumnos!F463,"'")</f>
        <v>'112319'</v>
      </c>
      <c r="E185" s="16" t="s">
        <v>1755</v>
      </c>
      <c r="F185" s="16" t="str">
        <f>CONCATENATE("'",Alumnos!H463,"'")</f>
        <v>'FRANCO FLORES MARTHA CAROLINA'</v>
      </c>
      <c r="G185" s="16" t="str">
        <f>CONCATENATE("'",Alumnos!I463,"'")</f>
        <v>'ARQUITECTURA'</v>
      </c>
      <c r="H185" s="16" t="str">
        <f>CONCATENATE("'",Alumnos!J463,"'")</f>
        <v>'2do'</v>
      </c>
      <c r="I185" s="16" t="str">
        <f>UPPER(CONCATENATE("'",Alumnos!K463,"'"))</f>
        <v>'FEMENINO'</v>
      </c>
      <c r="J185" s="16" t="str">
        <f>UPPER(CONCATENATE("'",Alumnos!L463,"'"))</f>
        <v>'ACTIVO'</v>
      </c>
      <c r="K185" s="16" t="str">
        <f>CONCATENATE(A185,",",B185,",",C185,",",D185,",'",E185,",",F185,",",G185,",",H185,",",UPPER(I185),",",UPPER(J185),",'',0,0,'','ALUMNO'")</f>
        <v>1184,'LICENCIATURA','marthacarolina.francoflores','112319','TOMAR DEL SND','FRANCO FLORES MARTHA CAROLINA','ARQUITECTURA','2do','FEMENINO','ACTIVO','',0,0,'','ALUMNO'</v>
      </c>
      <c r="L185" s="16" t="str">
        <f>CONCATENATE($K$1,K185,");")</f>
        <v>INSERT INTO participantes (id,nivel,correo,matricula,clave,nombre,carrera,grado,sexo,situacion,evaluados,num_evaluados,total_evaluaciones,ultimo_acceso,nivel_acceso) VALUES (1184,'LICENCIATURA','marthacarolina.francoflores','112319','TOMAR DEL SND','FRANCO FLORES MARTHA CAROLINA','ARQUITECTURA','2do','FEMENINO','ACTIVO','',0,0,'','ALUMNO');</v>
      </c>
      <c r="M185" s="16" t="str">
        <f>CONCATENATE("update participantes set correo=",C185," where id=",A185,";")</f>
        <v>update participantes set correo='marthacarolina.francoflores' where id=1184;</v>
      </c>
    </row>
    <row r="186" spans="1:13" ht="116" x14ac:dyDescent="0.35">
      <c r="A186" s="16">
        <v>1185</v>
      </c>
      <c r="B186" s="18" t="s">
        <v>1754</v>
      </c>
      <c r="C186" s="16" t="str">
        <f>CONCATENATE("'",Alumnos!E122,"'")</f>
        <v>'carlosernesto.navarrolespron'</v>
      </c>
      <c r="D186" s="16" t="str">
        <f>CONCATENATE(Alumnos!F122,"'")</f>
        <v>'112346'</v>
      </c>
      <c r="E186" s="16" t="s">
        <v>1755</v>
      </c>
      <c r="F186" s="16" t="str">
        <f>CONCATENATE("'",Alumnos!H122,"'")</f>
        <v>'NAVARRO LESPRON CARLOS ERNESTO'</v>
      </c>
      <c r="G186" s="16" t="str">
        <f>CONCATENATE("'",Alumnos!I122,"'")</f>
        <v>'ARQUITECTURA'</v>
      </c>
      <c r="H186" s="16" t="str">
        <f>CONCATENATE("'",Alumnos!J122,"'")</f>
        <v>'2do'</v>
      </c>
      <c r="I186" s="16" t="str">
        <f>UPPER(CONCATENATE("'",Alumnos!K122,"'"))</f>
        <v>'MASCULINO'</v>
      </c>
      <c r="J186" s="16" t="str">
        <f>UPPER(CONCATENATE("'",Alumnos!L122,"'"))</f>
        <v>'ACTIVO'</v>
      </c>
      <c r="K186" s="16" t="str">
        <f>CONCATENATE(A186,",",B186,",",C186,",",D186,",'",E186,",",F186,",",G186,",",H186,",",UPPER(I186),",",UPPER(J186),",'',0,0,'','ALUMNO'")</f>
        <v>1185,'LICENCIATURA','carlosernesto.navarrolespron','112346','TOMAR DEL SND','NAVARRO LESPRON CARLOS ERNESTO','ARQUITECTURA','2do','MASCULINO','ACTIVO','',0,0,'','ALUMNO'</v>
      </c>
      <c r="L186" s="16" t="str">
        <f>CONCATENATE($K$1,K186,");")</f>
        <v>INSERT INTO participantes (id,nivel,correo,matricula,clave,nombre,carrera,grado,sexo,situacion,evaluados,num_evaluados,total_evaluaciones,ultimo_acceso,nivel_acceso) VALUES (1185,'LICENCIATURA','carlosernesto.navarrolespron','112346','TOMAR DEL SND','NAVARRO LESPRON CARLOS ERNESTO','ARQUITECTURA','2do','MASCULINO','ACTIVO','',0,0,'','ALUMNO');</v>
      </c>
      <c r="M186" s="16" t="str">
        <f>CONCATENATE("update participantes set correo=",C186," where id=",A186,";")</f>
        <v>update participantes set correo='carlosernesto.navarrolespron' where id=1185;</v>
      </c>
    </row>
    <row r="187" spans="1:13" ht="116" x14ac:dyDescent="0.35">
      <c r="A187" s="16">
        <v>1186</v>
      </c>
      <c r="B187" s="18" t="s">
        <v>1754</v>
      </c>
      <c r="C187" s="16" t="str">
        <f>CONCATENATE("'",Alumnos!E515,"'")</f>
        <v>'oswaldo.alvarezcruz'</v>
      </c>
      <c r="D187" s="16" t="str">
        <f>CONCATENATE(Alumnos!F515,"'")</f>
        <v>'112353'</v>
      </c>
      <c r="E187" s="16" t="s">
        <v>1755</v>
      </c>
      <c r="F187" s="16" t="str">
        <f>CONCATENATE("'",Alumnos!H515,"'")</f>
        <v>'ALVAREZ CRUZ OSWALDO'</v>
      </c>
      <c r="G187" s="16" t="str">
        <f>CONCATENATE("'",Alumnos!I515,"'")</f>
        <v>'INGENIERÍA AUTOMOTRIZ'</v>
      </c>
      <c r="H187" s="16" t="str">
        <f>CONCATENATE("'",Alumnos!J515,"'")</f>
        <v>'2do'</v>
      </c>
      <c r="I187" s="16" t="str">
        <f>UPPER(CONCATENATE("'",Alumnos!K515,"'"))</f>
        <v>'MASCULINO'</v>
      </c>
      <c r="J187" s="16" t="str">
        <f>UPPER(CONCATENATE("'",Alumnos!L515,"'"))</f>
        <v>'ACTIVO'</v>
      </c>
      <c r="K187" s="16" t="str">
        <f>CONCATENATE(A187,",",B187,",",C187,",",D187,",'",E187,",",F187,",",G187,",",H187,",",UPPER(I187),",",UPPER(J187),",'',0,0,'','ALUMNO'")</f>
        <v>1186,'LICENCIATURA','oswaldo.alvarezcruz','112353','TOMAR DEL SND','ALVAREZ CRUZ OSWALDO','INGENIERÍA AUTOMOTRIZ','2do','MASCULINO','ACTIVO','',0,0,'','ALUMNO'</v>
      </c>
      <c r="L187" s="16" t="str">
        <f>CONCATENATE($K$1,K187,");")</f>
        <v>INSERT INTO participantes (id,nivel,correo,matricula,clave,nombre,carrera,grado,sexo,situacion,evaluados,num_evaluados,total_evaluaciones,ultimo_acceso,nivel_acceso) VALUES (1186,'LICENCIATURA','oswaldo.alvarezcruz','112353','TOMAR DEL SND','ALVAREZ CRUZ OSWALDO','INGENIERÍA AUTOMOTRIZ','2do','MASCULINO','ACTIVO','',0,0,'','ALUMNO');</v>
      </c>
      <c r="M187" s="16" t="str">
        <f>CONCATENATE("update participantes set correo=",C187," where id=",A187,";")</f>
        <v>update participantes set correo='oswaldo.alvarezcruz' where id=1186;</v>
      </c>
    </row>
    <row r="188" spans="1:13" ht="130.5" x14ac:dyDescent="0.35">
      <c r="A188" s="16">
        <v>1187</v>
      </c>
      <c r="B188" s="18" t="s">
        <v>1754</v>
      </c>
      <c r="C188" s="16" t="str">
        <f>CONCATENATE("'",Alumnos!E94,"'")</f>
        <v>'arturoalejandro.gutierreztorres'</v>
      </c>
      <c r="D188" s="16" t="str">
        <f>CONCATENATE(Alumnos!F94,"'")</f>
        <v>'112358'</v>
      </c>
      <c r="E188" s="16" t="s">
        <v>1755</v>
      </c>
      <c r="F188" s="16" t="str">
        <f>CONCATENATE("'",Alumnos!H94,"'")</f>
        <v>'GUTIERREZ TORRES ARTURO ALEJANDRO'</v>
      </c>
      <c r="G188" s="16" t="str">
        <f>CONCATENATE("'",Alumnos!I94,"'")</f>
        <v>'INGENIERÍA AUTOMOTRIZ'</v>
      </c>
      <c r="H188" s="16" t="str">
        <f>CONCATENATE("'",Alumnos!J94,"'")</f>
        <v>'2do'</v>
      </c>
      <c r="I188" s="16" t="str">
        <f>UPPER(CONCATENATE("'",Alumnos!K94,"'"))</f>
        <v>'MASCULINO'</v>
      </c>
      <c r="J188" s="16" t="str">
        <f>UPPER(CONCATENATE("'",Alumnos!L94,"'"))</f>
        <v>'ACTIVO'</v>
      </c>
      <c r="K188" s="16" t="str">
        <f>CONCATENATE(A188,",",B188,",",C188,",",D188,",'",E188,",",F188,",",G188,",",H188,",",UPPER(I188),",",UPPER(J188),",'',0,0,'','ALUMNO'")</f>
        <v>1187,'LICENCIATURA','arturoalejandro.gutierreztorres','112358','TOMAR DEL SND','GUTIERREZ TORRES ARTURO ALEJANDRO','INGENIERÍA AUTOMOTRIZ','2do','MASCULINO','ACTIVO','',0,0,'','ALUMNO'</v>
      </c>
      <c r="L188" s="16" t="str">
        <f>CONCATENATE($K$1,K188,");")</f>
        <v>INSERT INTO participantes (id,nivel,correo,matricula,clave,nombre,carrera,grado,sexo,situacion,evaluados,num_evaluados,total_evaluaciones,ultimo_acceso,nivel_acceso) VALUES (1187,'LICENCIATURA','arturoalejandro.gutierreztorres','112358','TOMAR DEL SND','GUTIERREZ TORRES ARTURO ALEJANDRO','INGENIERÍA AUTOMOTRIZ','2do','MASCULINO','ACTIVO','',0,0,'','ALUMNO');</v>
      </c>
      <c r="M188" s="16" t="str">
        <f>CONCATENATE("update participantes set correo=",C188," where id=",A188,";")</f>
        <v>update participantes set correo='arturoalejandro.gutierreztorres' where id=1187;</v>
      </c>
    </row>
    <row r="189" spans="1:13" ht="116" x14ac:dyDescent="0.35">
      <c r="A189" s="16">
        <v>1188</v>
      </c>
      <c r="B189" s="18" t="s">
        <v>1754</v>
      </c>
      <c r="C189" s="16" t="str">
        <f>CONCATENATE("'",Alumnos!E411,"'")</f>
        <v>'luisdaniel.garciafernandez'</v>
      </c>
      <c r="D189" s="16" t="str">
        <f>CONCATENATE(Alumnos!F411,"'")</f>
        <v>'112362'</v>
      </c>
      <c r="E189" s="16" t="s">
        <v>1755</v>
      </c>
      <c r="F189" s="16" t="str">
        <f>CONCATENATE("'",Alumnos!H411,"'")</f>
        <v>'GARCIA FERNANDEZ LUIS DANIEL'</v>
      </c>
      <c r="G189" s="16" t="str">
        <f>CONCATENATE("'",Alumnos!I411,"'")</f>
        <v>'ARQUITECTURA'</v>
      </c>
      <c r="H189" s="16" t="str">
        <f>CONCATENATE("'",Alumnos!J411,"'")</f>
        <v>'2do'</v>
      </c>
      <c r="I189" s="16" t="str">
        <f>UPPER(CONCATENATE("'",Alumnos!K411,"'"))</f>
        <v>'MASCULINO'</v>
      </c>
      <c r="J189" s="16" t="str">
        <f>UPPER(CONCATENATE("'",Alumnos!L411,"'"))</f>
        <v>'ACTIVO'</v>
      </c>
      <c r="K189" s="16" t="str">
        <f>CONCATENATE(A189,",",B189,",",C189,",",D189,",'",E189,",",F189,",",G189,",",H189,",",UPPER(I189),",",UPPER(J189),",'',0,0,'','ALUMNO'")</f>
        <v>1188,'LICENCIATURA','luisdaniel.garciafernandez','112362','TOMAR DEL SND','GARCIA FERNANDEZ LUIS DANIEL','ARQUITECTURA','2do','MASCULINO','ACTIVO','',0,0,'','ALUMNO'</v>
      </c>
      <c r="L189" s="16" t="str">
        <f>CONCATENATE($K$1,K189,");")</f>
        <v>INSERT INTO participantes (id,nivel,correo,matricula,clave,nombre,carrera,grado,sexo,situacion,evaluados,num_evaluados,total_evaluaciones,ultimo_acceso,nivel_acceso) VALUES (1188,'LICENCIATURA','luisdaniel.garciafernandez','112362','TOMAR DEL SND','GARCIA FERNANDEZ LUIS DANIEL','ARQUITECTURA','2do','MASCULINO','ACTIVO','',0,0,'','ALUMNO');</v>
      </c>
      <c r="M189" s="16" t="str">
        <f>CONCATENATE("update participantes set correo=",C189," where id=",A189,";")</f>
        <v>update participantes set correo='luisdaniel.garciafernandez' where id=1188;</v>
      </c>
    </row>
    <row r="190" spans="1:13" ht="130.5" x14ac:dyDescent="0.35">
      <c r="A190" s="16">
        <v>1189</v>
      </c>
      <c r="B190" s="18" t="s">
        <v>1754</v>
      </c>
      <c r="C190" s="16" t="str">
        <f>CONCATENATE("'",Alumnos!E172,"'")</f>
        <v>'david.arechederratrejo'</v>
      </c>
      <c r="D190" s="16" t="str">
        <f>CONCATENATE(Alumnos!F172,"'")</f>
        <v>'006890'</v>
      </c>
      <c r="E190" s="16" t="s">
        <v>1755</v>
      </c>
      <c r="F190" s="16" t="str">
        <f>CONCATENATE("'",Alumnos!H172,"'")</f>
        <v>'ARECHEDERRA TREJO DAVID'</v>
      </c>
      <c r="G190" s="16" t="str">
        <f>CONCATENATE("'",Alumnos!I172,"'")</f>
        <v>'INGENIERIA CIBERNETICA Y EN SISTEMAS COMPUTACIONALES'</v>
      </c>
      <c r="H190" s="16" t="str">
        <f>CONCATENATE("'",Alumnos!J172,"'")</f>
        <v>'8vo'</v>
      </c>
      <c r="I190" s="16" t="str">
        <f>UPPER(CONCATENATE("'",Alumnos!K172,"'"))</f>
        <v>'MASCULINO'</v>
      </c>
      <c r="J190" s="16" t="str">
        <f>UPPER(CONCATENATE("'",Alumnos!L172,"'"))</f>
        <v>'ACTIVO'</v>
      </c>
      <c r="K190" s="16" t="str">
        <f>CONCATENATE(A190,",",B190,",",C190,",",D190,",'",E190,",",F190,",",G190,",",H190,",",UPPER(I190),",",UPPER(J190),",'',0,0,'','ALUMNO'")</f>
        <v>1189,'LICENCIATURA','david.arechederratrejo','006890','TOMAR DEL SND','ARECHEDERRA TREJO DAVID','INGENIERIA CIBERNETICA Y EN SISTEMAS COMPUTACIONALES','8vo','MASCULINO','ACTIVO','',0,0,'','ALUMNO'</v>
      </c>
      <c r="L190" s="16" t="str">
        <f>CONCATENATE($K$1,K190,");")</f>
        <v>INSERT INTO participantes (id,nivel,correo,matricula,clave,nombre,carrera,grado,sexo,situacion,evaluados,num_evaluados,total_evaluaciones,ultimo_acceso,nivel_acceso) VALUES (1189,'LICENCIATURA','david.arechederratrejo','006890','TOMAR DEL SND','ARECHEDERRA TREJO DAVID','INGENIERIA CIBERNETICA Y EN SISTEMAS COMPUTACIONALES','8vo','MASCULINO','ACTIVO','',0,0,'','ALUMNO');</v>
      </c>
      <c r="M190" s="16" t="str">
        <f>CONCATENATE("update participantes set correo=",C190," where id=",A190,";")</f>
        <v>update participantes set correo='david.arechederratrejo' where id=1189;</v>
      </c>
    </row>
    <row r="191" spans="1:13" ht="130.5" x14ac:dyDescent="0.35">
      <c r="A191" s="16">
        <v>1190</v>
      </c>
      <c r="B191" s="18" t="s">
        <v>1754</v>
      </c>
      <c r="C191" s="16" t="str">
        <f>CONCATENATE("'",Alumnos!E278,"'")</f>
        <v>'irvingalejandro.rodriguezmartinez'</v>
      </c>
      <c r="D191" s="16" t="str">
        <f>CONCATENATE(Alumnos!F278,"'")</f>
        <v>'006990'</v>
      </c>
      <c r="E191" s="16" t="s">
        <v>1755</v>
      </c>
      <c r="F191" s="16" t="str">
        <f>CONCATENATE("'",Alumnos!H278,"'")</f>
        <v>'RODRIGUEZ MARTINEZ IRVING ALEJANDRO'</v>
      </c>
      <c r="G191" s="16" t="str">
        <f>CONCATENATE("'",Alumnos!I278,"'")</f>
        <v>'MERCADOTECNIA Y PUBLICIDAD'</v>
      </c>
      <c r="H191" s="16" t="str">
        <f>CONCATENATE("'",Alumnos!J278,"'")</f>
        <v>'8vo'</v>
      </c>
      <c r="I191" s="16" t="str">
        <f>UPPER(CONCATENATE("'",Alumnos!K278,"'"))</f>
        <v>'MASCULINO'</v>
      </c>
      <c r="J191" s="16" t="str">
        <f>UPPER(CONCATENATE("'",Alumnos!L278,"'"))</f>
        <v>'ACTIVO'</v>
      </c>
      <c r="K191" s="16" t="str">
        <f>CONCATENATE(A191,",",B191,",",C191,",",D191,",'",E191,",",F191,",",G191,",",H191,",",UPPER(I191),",",UPPER(J191),",'',0,0,'','ALUMNO'")</f>
        <v>1190,'LICENCIATURA','irvingalejandro.rodriguezmartinez','006990','TOMAR DEL SND','RODRIGUEZ MARTINEZ IRVING ALEJANDRO','MERCADOTECNIA Y PUBLICIDAD','8vo','MASCULINO','ACTIVO','',0,0,'','ALUMNO'</v>
      </c>
      <c r="L191" s="16" t="str">
        <f>CONCATENATE($K$1,K191,");")</f>
        <v>INSERT INTO participantes (id,nivel,correo,matricula,clave,nombre,carrera,grado,sexo,situacion,evaluados,num_evaluados,total_evaluaciones,ultimo_acceso,nivel_acceso) VALUES (1190,'LICENCIATURA','irvingalejandro.rodriguezmartinez','006990','TOMAR DEL SND','RODRIGUEZ MARTINEZ IRVING ALEJANDRO','MERCADOTECNIA Y PUBLICIDAD','8vo','MASCULINO','ACTIVO','',0,0,'','ALUMNO');</v>
      </c>
      <c r="M191" s="16" t="str">
        <f>CONCATENATE("update participantes set correo=",C191," where id=",A191,";")</f>
        <v>update participantes set correo='irvingalejandro.rodriguezmartinez' where id=1190;</v>
      </c>
    </row>
    <row r="192" spans="1:13" ht="130.5" x14ac:dyDescent="0.35">
      <c r="A192" s="16">
        <v>1191</v>
      </c>
      <c r="B192" s="18" t="s">
        <v>1754</v>
      </c>
      <c r="C192" s="16" t="str">
        <f>CONCATENATE("'",Alumnos!E422,"'")</f>
        <v>'luissergio.rojogaxiola'</v>
      </c>
      <c r="D192" s="16" t="str">
        <f>CONCATENATE(Alumnos!F422,"'")</f>
        <v>'007026'</v>
      </c>
      <c r="E192" s="16" t="s">
        <v>1755</v>
      </c>
      <c r="F192" s="16" t="str">
        <f>CONCATENATE("'",Alumnos!H422,"'")</f>
        <v>'ROJO GAXIOLA LUIS SERGIO'</v>
      </c>
      <c r="G192" s="16" t="str">
        <f>CONCATENATE("'",Alumnos!I422,"'")</f>
        <v>'ANIMACION DIGITAL Y VIDEOJUEGOS'</v>
      </c>
      <c r="H192" s="16" t="str">
        <f>CONCATENATE("'",Alumnos!J422,"'")</f>
        <v>'8vo'</v>
      </c>
      <c r="I192" s="16" t="str">
        <f>UPPER(CONCATENATE("'",Alumnos!K422,"'"))</f>
        <v>'MASCULINO'</v>
      </c>
      <c r="J192" s="16" t="str">
        <f>UPPER(CONCATENATE("'",Alumnos!L422,"'"))</f>
        <v>'ACTIVO'</v>
      </c>
      <c r="K192" s="16" t="str">
        <f>CONCATENATE(A192,",",B192,",",C192,",",D192,",'",E192,",",F192,",",G192,",",H192,",",UPPER(I192),",",UPPER(J192),",'',0,0,'','ALUMNO'")</f>
        <v>1191,'LICENCIATURA','luissergio.rojogaxiola','007026','TOMAR DEL SND','ROJO GAXIOLA LUIS SERGIO','ANIMACION DIGITAL Y VIDEOJUEGOS','8vo','MASCULINO','ACTIVO','',0,0,'','ALUMNO'</v>
      </c>
      <c r="L192" s="16" t="str">
        <f>CONCATENATE($K$1,K192,");")</f>
        <v>INSERT INTO participantes (id,nivel,correo,matricula,clave,nombre,carrera,grado,sexo,situacion,evaluados,num_evaluados,total_evaluaciones,ultimo_acceso,nivel_acceso) VALUES (1191,'LICENCIATURA','luissergio.rojogaxiola','007026','TOMAR DEL SND','ROJO GAXIOLA LUIS SERGIO','ANIMACION DIGITAL Y VIDEOJUEGOS','8vo','MASCULINO','ACTIVO','',0,0,'','ALUMNO');</v>
      </c>
      <c r="M192" s="16" t="str">
        <f>CONCATENATE("update participantes set correo=",C192," where id=",A192,";")</f>
        <v>update participantes set correo='luissergio.rojogaxiola' where id=1191;</v>
      </c>
    </row>
    <row r="193" spans="1:13" ht="130.5" x14ac:dyDescent="0.35">
      <c r="A193" s="16">
        <v>1192</v>
      </c>
      <c r="B193" s="18" t="s">
        <v>1754</v>
      </c>
      <c r="C193" s="16" t="str">
        <f>CONCATENATE("'",Alumnos!E612,"'")</f>
        <v>'wilhelm.stobschinskifranz'</v>
      </c>
      <c r="D193" s="16" t="str">
        <f>CONCATENATE(Alumnos!F612,"'")</f>
        <v>'007076'</v>
      </c>
      <c r="E193" s="16" t="s">
        <v>1755</v>
      </c>
      <c r="F193" s="16" t="str">
        <f>CONCATENATE("'",Alumnos!H612,"'")</f>
        <v>'STOBSCHINSKI FRANZ WILHELM'</v>
      </c>
      <c r="G193" s="16" t="str">
        <f>CONCATENATE("'",Alumnos!I612,"'")</f>
        <v>'COMERCIO INTERNACIONAL'</v>
      </c>
      <c r="H193" s="16" t="str">
        <f>CONCATENATE("'",Alumnos!J612,"'")</f>
        <v>'8vo'</v>
      </c>
      <c r="I193" s="16" t="str">
        <f>UPPER(CONCATENATE("'",Alumnos!K612,"'"))</f>
        <v>'MASCULINO'</v>
      </c>
      <c r="J193" s="16" t="str">
        <f>UPPER(CONCATENATE("'",Alumnos!L612,"'"))</f>
        <v>'ACTIVO'</v>
      </c>
      <c r="K193" s="16" t="str">
        <f>CONCATENATE(A193,",",B193,",",C193,",",D193,",'",E193,",",F193,",",G193,",",H193,",",UPPER(I193),",",UPPER(J193),",'',0,0,'','ALUMNO'")</f>
        <v>1192,'LICENCIATURA','wilhelm.stobschinskifranz','007076','TOMAR DEL SND','STOBSCHINSKI FRANZ WILHELM','COMERCIO INTERNACIONAL','8vo','MASCULINO','ACTIVO','',0,0,'','ALUMNO'</v>
      </c>
      <c r="L193" s="16" t="str">
        <f>CONCATENATE($K$1,K193,");")</f>
        <v>INSERT INTO participantes (id,nivel,correo,matricula,clave,nombre,carrera,grado,sexo,situacion,evaluados,num_evaluados,total_evaluaciones,ultimo_acceso,nivel_acceso) VALUES (1192,'LICENCIATURA','wilhelm.stobschinskifranz','007076','TOMAR DEL SND','STOBSCHINSKI FRANZ WILHELM','COMERCIO INTERNACIONAL','8vo','MASCULINO','ACTIVO','',0,0,'','ALUMNO');</v>
      </c>
      <c r="M193" s="16" t="str">
        <f>CONCATENATE("update participantes set correo=",C193," where id=",A193,";")</f>
        <v>update participantes set correo='wilhelm.stobschinskifranz' where id=1192;</v>
      </c>
    </row>
    <row r="194" spans="1:13" ht="130.5" x14ac:dyDescent="0.35">
      <c r="A194" s="16">
        <v>1193</v>
      </c>
      <c r="B194" s="18" t="s">
        <v>1754</v>
      </c>
      <c r="C194" s="16" t="str">
        <f>CONCATENATE("'",Alumnos!E405,"'")</f>
        <v>'lillianrebeca.barriossandoval'</v>
      </c>
      <c r="D194" s="16" t="str">
        <f>CONCATENATE(Alumnos!F405,"'")</f>
        <v>'007079'</v>
      </c>
      <c r="E194" s="16" t="s">
        <v>1755</v>
      </c>
      <c r="F194" s="16" t="str">
        <f>CONCATENATE("'",Alumnos!H405,"'")</f>
        <v>'BARRIOS SANDOVAL LILLIAN REBECA'</v>
      </c>
      <c r="G194" s="16" t="str">
        <f>CONCATENATE("'",Alumnos!I405,"'")</f>
        <v>'NUTRICION Y GASTRONOMIA'</v>
      </c>
      <c r="H194" s="16" t="str">
        <f>CONCATENATE("'",Alumnos!J405,"'")</f>
        <v>'8vo'</v>
      </c>
      <c r="I194" s="16" t="str">
        <f>UPPER(CONCATENATE("'",Alumnos!K405,"'"))</f>
        <v>'FEMENINO'</v>
      </c>
      <c r="J194" s="16" t="str">
        <f>UPPER(CONCATENATE("'",Alumnos!L405,"'"))</f>
        <v>'ACTIVO'</v>
      </c>
      <c r="K194" s="16" t="str">
        <f>CONCATENATE(A194,",",B194,",",C194,",",D194,",'",E194,",",F194,",",G194,",",H194,",",UPPER(I194),",",UPPER(J194),",'',0,0,'','ALUMNO'")</f>
        <v>1193,'LICENCIATURA','lillianrebeca.barriossandoval','007079','TOMAR DEL SND','BARRIOS SANDOVAL LILLIAN REBECA','NUTRICION Y GASTRONOMIA','8vo','FEMENINO','ACTIVO','',0,0,'','ALUMNO'</v>
      </c>
      <c r="L194" s="16" t="str">
        <f>CONCATENATE($K$1,K194,");")</f>
        <v>INSERT INTO participantes (id,nivel,correo,matricula,clave,nombre,carrera,grado,sexo,situacion,evaluados,num_evaluados,total_evaluaciones,ultimo_acceso,nivel_acceso) VALUES (1193,'LICENCIATURA','lillianrebeca.barriossandoval','007079','TOMAR DEL SND','BARRIOS SANDOVAL LILLIAN REBECA','NUTRICION Y GASTRONOMIA','8vo','FEMENINO','ACTIVO','',0,0,'','ALUMNO');</v>
      </c>
      <c r="M194" s="16" t="str">
        <f>CONCATENATE("update participantes set correo=",C194," where id=",A194,";")</f>
        <v>update participantes set correo='lillianrebeca.barriossandoval' where id=1193;</v>
      </c>
    </row>
    <row r="195" spans="1:13" ht="101.5" x14ac:dyDescent="0.35">
      <c r="A195" s="16">
        <v>1194</v>
      </c>
      <c r="B195" s="18" t="s">
        <v>1754</v>
      </c>
      <c r="C195" s="16" t="str">
        <f>CONCATENATE("'",Alumnos!E582,"'")</f>
        <v>'sofia.mancillapavia'</v>
      </c>
      <c r="D195" s="16" t="str">
        <f>CONCATENATE(Alumnos!F582,"'")</f>
        <v>'007080'</v>
      </c>
      <c r="E195" s="16" t="s">
        <v>1755</v>
      </c>
      <c r="F195" s="16" t="str">
        <f>CONCATENATE("'",Alumnos!H582,"'")</f>
        <v>'MANCILLA PAVIA SOFIA'</v>
      </c>
      <c r="G195" s="16" t="str">
        <f>CONCATENATE("'",Alumnos!I582,"'")</f>
        <v>'DISEÑO GRAFICO Y DIGITAL'</v>
      </c>
      <c r="H195" s="16" t="str">
        <f>CONCATENATE("'",Alumnos!J582,"'")</f>
        <v>'8vo'</v>
      </c>
      <c r="I195" s="16" t="str">
        <f>UPPER(CONCATENATE("'",Alumnos!K582,"'"))</f>
        <v>'FEMENINO'</v>
      </c>
      <c r="J195" s="16" t="str">
        <f>UPPER(CONCATENATE("'",Alumnos!L582,"'"))</f>
        <v>'ACTIVO'</v>
      </c>
      <c r="K195" s="16" t="str">
        <f>CONCATENATE(A195,",",B195,",",C195,",",D195,",'",E195,",",F195,",",G195,",",H195,",",UPPER(I195),",",UPPER(J195),",'',0,0,'','ALUMNO'")</f>
        <v>1194,'LICENCIATURA','sofia.mancillapavia','007080','TOMAR DEL SND','MANCILLA PAVIA SOFIA','DISEÑO GRAFICO Y DIGITAL','8vo','FEMENINO','ACTIVO','',0,0,'','ALUMNO'</v>
      </c>
      <c r="L195" s="16" t="str">
        <f>CONCATENATE($K$1,K195,");")</f>
        <v>INSERT INTO participantes (id,nivel,correo,matricula,clave,nombre,carrera,grado,sexo,situacion,evaluados,num_evaluados,total_evaluaciones,ultimo_acceso,nivel_acceso) VALUES (1194,'LICENCIATURA','sofia.mancillapavia','007080','TOMAR DEL SND','MANCILLA PAVIA SOFIA','DISEÑO GRAFICO Y DIGITAL','8vo','FEMENINO','ACTIVO','',0,0,'','ALUMNO');</v>
      </c>
      <c r="M195" s="16" t="str">
        <f>CONCATENATE("update participantes set correo=",C195," where id=",A195,";")</f>
        <v>update participantes set correo='sofia.mancillapavia' where id=1194;</v>
      </c>
    </row>
    <row r="196" spans="1:13" ht="130.5" x14ac:dyDescent="0.35">
      <c r="A196" s="16">
        <v>1195</v>
      </c>
      <c r="B196" s="18" t="s">
        <v>1754</v>
      </c>
      <c r="C196" s="16" t="str">
        <f>CONCATENATE("'",Alumnos!E595,"'")</f>
        <v>'valeria.banuelosmonteverde'</v>
      </c>
      <c r="D196" s="16" t="str">
        <f>CONCATENATE(Alumnos!F595,"'")</f>
        <v>'007093'</v>
      </c>
      <c r="E196" s="16" t="s">
        <v>1755</v>
      </c>
      <c r="F196" s="16" t="str">
        <f>CONCATENATE("'",Alumnos!H595,"'")</f>
        <v>'BAÑUELOS MONTEVERDE VALERIA'</v>
      </c>
      <c r="G196" s="16" t="str">
        <f>CONCATENATE("'",Alumnos!I595,"'")</f>
        <v>'INGENIERIA CIBERNETICA Y EN SISTEMAS COMPUTACIONALES'</v>
      </c>
      <c r="H196" s="16" t="str">
        <f>CONCATENATE("'",Alumnos!J595,"'")</f>
        <v>'8vo'</v>
      </c>
      <c r="I196" s="16" t="str">
        <f>UPPER(CONCATENATE("'",Alumnos!K595,"'"))</f>
        <v>'FEMENINO'</v>
      </c>
      <c r="J196" s="16" t="str">
        <f>UPPER(CONCATENATE("'",Alumnos!L595,"'"))</f>
        <v>'ACTIVO'</v>
      </c>
      <c r="K196" s="16" t="str">
        <f>CONCATENATE(A196,",",B196,",",C196,",",D196,",'",E196,",",F196,",",G196,",",H196,",",UPPER(I196),",",UPPER(J196),",'',0,0,'','ALUMNO'")</f>
        <v>1195,'LICENCIATURA','valeria.banuelosmonteverde','007093','TOMAR DEL SND','BAÑUELOS MONTEVERDE VALERIA','INGENIERIA CIBERNETICA Y EN SISTEMAS COMPUTACIONALES','8vo','FEMENINO','ACTIVO','',0,0,'','ALUMNO'</v>
      </c>
      <c r="L196" s="16" t="str">
        <f>CONCATENATE($K$1,K196,");")</f>
        <v>INSERT INTO participantes (id,nivel,correo,matricula,clave,nombre,carrera,grado,sexo,situacion,evaluados,num_evaluados,total_evaluaciones,ultimo_acceso,nivel_acceso) VALUES (1195,'LICENCIATURA','valeria.banuelosmonteverde','007093','TOMAR DEL SND','BAÑUELOS MONTEVERDE VALERIA','INGENIERIA CIBERNETICA Y EN SISTEMAS COMPUTACIONALES','8vo','FEMENINO','ACTIVO','',0,0,'','ALUMNO');</v>
      </c>
      <c r="M196" s="16" t="str">
        <f>CONCATENATE("update participantes set correo=",C196," where id=",A196,";")</f>
        <v>update participantes set correo='valeria.banuelosmonteverde' where id=1195;</v>
      </c>
    </row>
    <row r="197" spans="1:13" ht="130.5" x14ac:dyDescent="0.35">
      <c r="A197" s="16">
        <v>1196</v>
      </c>
      <c r="B197" s="18" t="s">
        <v>1754</v>
      </c>
      <c r="C197" s="16" t="str">
        <f>CONCATENATE("'",Alumnos!E402,"'")</f>
        <v>'leonelricardo.barriossandoval'</v>
      </c>
      <c r="D197" s="16" t="str">
        <f>CONCATENATE(Alumnos!F402,"'")</f>
        <v>'007095'</v>
      </c>
      <c r="E197" s="16" t="s">
        <v>1755</v>
      </c>
      <c r="F197" s="16" t="str">
        <f>CONCATENATE("'",Alumnos!H402,"'")</f>
        <v>'BARRIOS SANDOVAL LEONEL RICARDO'</v>
      </c>
      <c r="G197" s="16" t="str">
        <f>CONCATENATE("'",Alumnos!I402,"'")</f>
        <v>'COMERCIO INTERNACIONAL'</v>
      </c>
      <c r="H197" s="16" t="str">
        <f>CONCATENATE("'",Alumnos!J402,"'")</f>
        <v>'8vo'</v>
      </c>
      <c r="I197" s="16" t="str">
        <f>UPPER(CONCATENATE("'",Alumnos!K402,"'"))</f>
        <v>'MASCULINO'</v>
      </c>
      <c r="J197" s="16" t="str">
        <f>UPPER(CONCATENATE("'",Alumnos!L402,"'"))</f>
        <v>'ACTIVO'</v>
      </c>
      <c r="K197" s="16" t="str">
        <f>CONCATENATE(A197,",",B197,",",C197,",",D197,",'",E197,",",F197,",",G197,",",H197,",",UPPER(I197),",",UPPER(J197),",'',0,0,'','ALUMNO'")</f>
        <v>1196,'LICENCIATURA','leonelricardo.barriossandoval','007095','TOMAR DEL SND','BARRIOS SANDOVAL LEONEL RICARDO','COMERCIO INTERNACIONAL','8vo','MASCULINO','ACTIVO','',0,0,'','ALUMNO'</v>
      </c>
      <c r="L197" s="16" t="str">
        <f>CONCATENATE($K$1,K197,");")</f>
        <v>INSERT INTO participantes (id,nivel,correo,matricula,clave,nombre,carrera,grado,sexo,situacion,evaluados,num_evaluados,total_evaluaciones,ultimo_acceso,nivel_acceso) VALUES (1196,'LICENCIATURA','leonelricardo.barriossandoval','007095','TOMAR DEL SND','BARRIOS SANDOVAL LEONEL RICARDO','COMERCIO INTERNACIONAL','8vo','MASCULINO','ACTIVO','',0,0,'','ALUMNO');</v>
      </c>
      <c r="M197" s="16" t="str">
        <f>CONCATENATE("update participantes set correo=",C197," where id=",A197,";")</f>
        <v>update participantes set correo='leonelricardo.barriossandoval' where id=1196;</v>
      </c>
    </row>
    <row r="198" spans="1:13" ht="116" x14ac:dyDescent="0.35">
      <c r="A198" s="16">
        <v>1197</v>
      </c>
      <c r="B198" s="18" t="s">
        <v>1754</v>
      </c>
      <c r="C198" s="16" t="str">
        <f>CONCATENATE("'",Alumnos!E70,"'")</f>
        <v>'angel.escalonabueno'</v>
      </c>
      <c r="D198" s="16" t="str">
        <f>CONCATENATE(Alumnos!F70,"'")</f>
        <v>'007113'</v>
      </c>
      <c r="E198" s="16" t="s">
        <v>1755</v>
      </c>
      <c r="F198" s="16" t="str">
        <f>CONCATENATE("'",Alumnos!H70,"'")</f>
        <v>'ESCALONA BUENO ANGEL'</v>
      </c>
      <c r="G198" s="16" t="str">
        <f>CONCATENATE("'",Alumnos!I70,"'")</f>
        <v>'INGENIERIA AEROESPACIAL'</v>
      </c>
      <c r="H198" s="16" t="str">
        <f>CONCATENATE("'",Alumnos!J70,"'")</f>
        <v>'8vo'</v>
      </c>
      <c r="I198" s="16" t="str">
        <f>UPPER(CONCATENATE("'",Alumnos!K70,"'"))</f>
        <v>'MASCULINO'</v>
      </c>
      <c r="J198" s="16" t="str">
        <f>UPPER(CONCATENATE("'",Alumnos!L70,"'"))</f>
        <v>'ACTIVO'</v>
      </c>
      <c r="K198" s="16" t="str">
        <f>CONCATENATE(A198,",",B198,",",C198,",",D198,",'",E198,",",F198,",",G198,",",H198,",",UPPER(I198),",",UPPER(J198),",'',0,0,'','ALUMNO'")</f>
        <v>1197,'LICENCIATURA','angel.escalonabueno','007113','TOMAR DEL SND','ESCALONA BUENO ANGEL','INGENIERIA AEROESPACIAL','8vo','MASCULINO','ACTIVO','',0,0,'','ALUMNO'</v>
      </c>
      <c r="L198" s="16" t="str">
        <f>CONCATENATE($K$1,K198,");")</f>
        <v>INSERT INTO participantes (id,nivel,correo,matricula,clave,nombre,carrera,grado,sexo,situacion,evaluados,num_evaluados,total_evaluaciones,ultimo_acceso,nivel_acceso) VALUES (1197,'LICENCIATURA','angel.escalonabueno','007113','TOMAR DEL SND','ESCALONA BUENO ANGEL','INGENIERIA AEROESPACIAL','8vo','MASCULINO','ACTIVO','',0,0,'','ALUMNO');</v>
      </c>
      <c r="M198" s="16" t="str">
        <f>CONCATENATE("update participantes set correo=",C198," where id=",A198,";")</f>
        <v>update participantes set correo='angel.escalonabueno' where id=1197;</v>
      </c>
    </row>
    <row r="199" spans="1:13" ht="116" x14ac:dyDescent="0.35">
      <c r="A199" s="16">
        <v>1198</v>
      </c>
      <c r="B199" s="18" t="s">
        <v>1754</v>
      </c>
      <c r="C199" s="16" t="str">
        <f>CONCATENATE("'",Alumnos!E91,"'")</f>
        <v>'aranzasinhai.alvaradomoreno'</v>
      </c>
      <c r="D199" s="16" t="str">
        <f>CONCATENATE(Alumnos!F91,"'")</f>
        <v>'007290'</v>
      </c>
      <c r="E199" s="16" t="s">
        <v>1755</v>
      </c>
      <c r="F199" s="16" t="str">
        <f>CONCATENATE("'",Alumnos!H91,"'")</f>
        <v>'ALVARADO MORENO ARANZA SINHAI'</v>
      </c>
      <c r="G199" s="16" t="str">
        <f>CONCATENATE("'",Alumnos!I91,"'")</f>
        <v>'PSICOLOGIA'</v>
      </c>
      <c r="H199" s="16" t="str">
        <f>CONCATENATE("'",Alumnos!J91,"'")</f>
        <v>'4to'</v>
      </c>
      <c r="I199" s="16" t="str">
        <f>UPPER(CONCATENATE("'",Alumnos!K91,"'"))</f>
        <v>'FEMENINO'</v>
      </c>
      <c r="J199" s="16" t="str">
        <f>UPPER(CONCATENATE("'",Alumnos!L91,"'"))</f>
        <v>'ACTIVO'</v>
      </c>
      <c r="K199" s="16" t="str">
        <f>CONCATENATE(A199,",",B199,",",C199,",",D199,",'",E199,",",F199,",",G199,",",H199,",",UPPER(I199),",",UPPER(J199),",'',0,0,'','ALUMNO'")</f>
        <v>1198,'LICENCIATURA','aranzasinhai.alvaradomoreno','007290','TOMAR DEL SND','ALVARADO MORENO ARANZA SINHAI','PSICOLOGIA','4to','FEMENINO','ACTIVO','',0,0,'','ALUMNO'</v>
      </c>
      <c r="L199" s="16" t="str">
        <f>CONCATENATE($K$1,K199,");")</f>
        <v>INSERT INTO participantes (id,nivel,correo,matricula,clave,nombre,carrera,grado,sexo,situacion,evaluados,num_evaluados,total_evaluaciones,ultimo_acceso,nivel_acceso) VALUES (1198,'LICENCIATURA','aranzasinhai.alvaradomoreno','007290','TOMAR DEL SND','ALVARADO MORENO ARANZA SINHAI','PSICOLOGIA','4to','FEMENINO','ACTIVO','',0,0,'','ALUMNO');</v>
      </c>
      <c r="M199" s="16" t="str">
        <f>CONCATENATE("update participantes set correo=",C199," where id=",A199,";")</f>
        <v>update participantes set correo='aranzasinhai.alvaradomoreno' where id=1198;</v>
      </c>
    </row>
    <row r="200" spans="1:13" ht="116" x14ac:dyDescent="0.35">
      <c r="A200" s="16">
        <v>1199</v>
      </c>
      <c r="B200" s="18" t="s">
        <v>1754</v>
      </c>
      <c r="C200" s="16" t="str">
        <f>CONCATENATE("'",Alumnos!E157,"'")</f>
        <v>'danieleduardo.lemusarias'</v>
      </c>
      <c r="D200" s="16" t="str">
        <f>CONCATENATE(Alumnos!F157,"'")</f>
        <v>'007339'</v>
      </c>
      <c r="E200" s="16" t="s">
        <v>1755</v>
      </c>
      <c r="F200" s="16" t="str">
        <f>CONCATENATE("'",Alumnos!H157,"'")</f>
        <v>'LEMUS ARIAS DANIEL EDUARDO'</v>
      </c>
      <c r="G200" s="16" t="str">
        <f>CONCATENATE("'",Alumnos!I157,"'")</f>
        <v>'ADMINISTRACION Y DIRECCION DE NEGOCIOS'</v>
      </c>
      <c r="H200" s="16" t="str">
        <f>CONCATENATE("'",Alumnos!J157,"'")</f>
        <v>'8vo'</v>
      </c>
      <c r="I200" s="16" t="str">
        <f>UPPER(CONCATENATE("'",Alumnos!K157,"'"))</f>
        <v>'MASCULINO'</v>
      </c>
      <c r="J200" s="16" t="str">
        <f>UPPER(CONCATENATE("'",Alumnos!L157,"'"))</f>
        <v>'ACTIVO'</v>
      </c>
      <c r="K200" s="16" t="str">
        <f>CONCATENATE(A200,",",B200,",",C200,",",D200,",'",E200,",",F200,",",G200,",",H200,",",UPPER(I200),",",UPPER(J200),",'',0,0,'','ALUMNO'")</f>
        <v>1199,'LICENCIATURA','danieleduardo.lemusarias','007339','TOMAR DEL SND','LEMUS ARIAS DANIEL EDUARDO','ADMINISTRACION Y DIRECCION DE NEGOCIOS','8vo','MASCULINO','ACTIVO','',0,0,'','ALUMNO'</v>
      </c>
      <c r="L200" s="16" t="str">
        <f>CONCATENATE($K$1,K200,");")</f>
        <v>INSERT INTO participantes (id,nivel,correo,matricula,clave,nombre,carrera,grado,sexo,situacion,evaluados,num_evaluados,total_evaluaciones,ultimo_acceso,nivel_acceso) VALUES (1199,'LICENCIATURA','danieleduardo.lemusarias','007339','TOMAR DEL SND','LEMUS ARIAS DANIEL EDUARDO','ADMINISTRACION Y DIRECCION DE NEGOCIOS','8vo','MASCULINO','ACTIVO','',0,0,'','ALUMNO');</v>
      </c>
      <c r="M200" s="16" t="str">
        <f>CONCATENATE("update participantes set correo=",C200," where id=",A200,";")</f>
        <v>update participantes set correo='danieleduardo.lemusarias' where id=1199;</v>
      </c>
    </row>
    <row r="201" spans="1:13" ht="116" x14ac:dyDescent="0.35">
      <c r="A201" s="16">
        <v>1200</v>
      </c>
      <c r="B201" s="18" t="s">
        <v>1754</v>
      </c>
      <c r="C201" s="16" t="str">
        <f>CONCATENATE("'",Alumnos!E320,"'")</f>
        <v>'jorgeeduardo.llamasdeanda'</v>
      </c>
      <c r="D201" s="16" t="str">
        <f>CONCATENATE(Alumnos!F320,"'")</f>
        <v>'007341'</v>
      </c>
      <c r="E201" s="16" t="s">
        <v>1755</v>
      </c>
      <c r="F201" s="16" t="str">
        <f>CONCATENATE("'",Alumnos!H320,"'")</f>
        <v>'LLAMAS DE ANDA JORGE EDUARDO'</v>
      </c>
      <c r="G201" s="16" t="str">
        <f>CONCATENATE("'",Alumnos!I320,"'")</f>
        <v>'ARQUITECTURA'</v>
      </c>
      <c r="H201" s="16" t="str">
        <f>CONCATENATE("'",Alumnos!J320,"'")</f>
        <v>'8vo'</v>
      </c>
      <c r="I201" s="16" t="str">
        <f>UPPER(CONCATENATE("'",Alumnos!K320,"'"))</f>
        <v>'MASCULINO'</v>
      </c>
      <c r="J201" s="16" t="str">
        <f>UPPER(CONCATENATE("'",Alumnos!L320,"'"))</f>
        <v>'ACTIVO'</v>
      </c>
      <c r="K201" s="16" t="str">
        <f>CONCATENATE(A201,",",B201,",",C201,",",D201,",'",E201,",",F201,",",G201,",",H201,",",UPPER(I201),",",UPPER(J201),",'',0,0,'','ALUMNO'")</f>
        <v>1200,'LICENCIATURA','jorgeeduardo.llamasdeanda','007341','TOMAR DEL SND','LLAMAS DE ANDA JORGE EDUARDO','ARQUITECTURA','8vo','MASCULINO','ACTIVO','',0,0,'','ALUMNO'</v>
      </c>
      <c r="L201" s="16" t="str">
        <f>CONCATENATE($K$1,K201,");")</f>
        <v>INSERT INTO participantes (id,nivel,correo,matricula,clave,nombre,carrera,grado,sexo,situacion,evaluados,num_evaluados,total_evaluaciones,ultimo_acceso,nivel_acceso) VALUES (1200,'LICENCIATURA','jorgeeduardo.llamasdeanda','007341','TOMAR DEL SND','LLAMAS DE ANDA JORGE EDUARDO','ARQUITECTURA','8vo','MASCULINO','ACTIVO','',0,0,'','ALUMNO');</v>
      </c>
      <c r="M201" s="16" t="str">
        <f>CONCATENATE("update participantes set correo=",C201," where id=",A201,";")</f>
        <v>update participantes set correo='jorgeeduardo.llamasdeanda' where id=1200;</v>
      </c>
    </row>
    <row r="202" spans="1:13" ht="116" x14ac:dyDescent="0.35">
      <c r="A202" s="16">
        <v>1201</v>
      </c>
      <c r="B202" s="18" t="s">
        <v>1754</v>
      </c>
      <c r="C202" s="16" t="str">
        <f>CONCATENATE("'",Alumnos!E414,"'")</f>
        <v>'luisfernando.ochoafonseca'</v>
      </c>
      <c r="D202" s="16" t="str">
        <f>CONCATENATE(Alumnos!F414,"'")</f>
        <v>'007359'</v>
      </c>
      <c r="E202" s="16" t="s">
        <v>1755</v>
      </c>
      <c r="F202" s="16" t="str">
        <f>CONCATENATE("'",Alumnos!H414,"'")</f>
        <v>'OCHOA FONSECA LUIS FERNANDO'</v>
      </c>
      <c r="G202" s="16" t="str">
        <f>CONCATENATE("'",Alumnos!I414,"'")</f>
        <v>'ADMINISTRACION Y DIRECCION DE NEGOCIOS'</v>
      </c>
      <c r="H202" s="16" t="str">
        <f>CONCATENATE("'",Alumnos!J414,"'")</f>
        <v>'6to'</v>
      </c>
      <c r="I202" s="16" t="str">
        <f>UPPER(CONCATENATE("'",Alumnos!K414,"'"))</f>
        <v>'MASCULINO'</v>
      </c>
      <c r="J202" s="16" t="str">
        <f>UPPER(CONCATENATE("'",Alumnos!L414,"'"))</f>
        <v>'ACTIVO'</v>
      </c>
      <c r="K202" s="16" t="str">
        <f>CONCATENATE(A202,",",B202,",",C202,",",D202,",'",E202,",",F202,",",G202,",",H202,",",UPPER(I202),",",UPPER(J202),",'',0,0,'','ALUMNO'")</f>
        <v>1201,'LICENCIATURA','luisfernando.ochoafonseca','007359','TOMAR DEL SND','OCHOA FONSECA LUIS FERNANDO','ADMINISTRACION Y DIRECCION DE NEGOCIOS','6to','MASCULINO','ACTIVO','',0,0,'','ALUMNO'</v>
      </c>
      <c r="L202" s="16" t="str">
        <f>CONCATENATE($K$1,K202,");")</f>
        <v>INSERT INTO participantes (id,nivel,correo,matricula,clave,nombre,carrera,grado,sexo,situacion,evaluados,num_evaluados,total_evaluaciones,ultimo_acceso,nivel_acceso) VALUES (1201,'LICENCIATURA','luisfernando.ochoafonseca','007359','TOMAR DEL SND','OCHOA FONSECA LUIS FERNANDO','ADMINISTRACION Y DIRECCION DE NEGOCIOS','6to','MASCULINO','ACTIVO','',0,0,'','ALUMNO');</v>
      </c>
      <c r="M202" s="16" t="str">
        <f>CONCATENATE("update participantes set correo=",C202," where id=",A202,";")</f>
        <v>update participantes set correo='luisfernando.ochoafonseca' where id=1201;</v>
      </c>
    </row>
    <row r="203" spans="1:13" ht="116" x14ac:dyDescent="0.35">
      <c r="A203" s="16">
        <v>1202</v>
      </c>
      <c r="B203" s="18" t="s">
        <v>1754</v>
      </c>
      <c r="C203" s="16" t="str">
        <f>CONCATENATE("'",Alumnos!E121,"'")</f>
        <v>'carloseduardo.yerenanavarro'</v>
      </c>
      <c r="D203" s="16" t="str">
        <f>CONCATENATE(Alumnos!F121,"'")</f>
        <v>'007404'</v>
      </c>
      <c r="E203" s="16" t="s">
        <v>1755</v>
      </c>
      <c r="F203" s="16" t="str">
        <f>CONCATENATE("'",Alumnos!H121,"'")</f>
        <v>'YERENA NAVARRO CARLOS EDUARDO'</v>
      </c>
      <c r="G203" s="16" t="str">
        <f>CONCATENATE("'",Alumnos!I121,"'")</f>
        <v>'PSICOLOGIA'</v>
      </c>
      <c r="H203" s="16" t="str">
        <f>CONCATENATE("'",Alumnos!J121,"'")</f>
        <v>'8vo'</v>
      </c>
      <c r="I203" s="16" t="str">
        <f>UPPER(CONCATENATE("'",Alumnos!K121,"'"))</f>
        <v>'MASCULINO'</v>
      </c>
      <c r="J203" s="16" t="str">
        <f>UPPER(CONCATENATE("'",Alumnos!L121,"'"))</f>
        <v>'ACTIVO'</v>
      </c>
      <c r="K203" s="16" t="str">
        <f>CONCATENATE(A203,",",B203,",",C203,",",D203,",'",E203,",",F203,",",G203,",",H203,",",UPPER(I203),",",UPPER(J203),",'',0,0,'','ALUMNO'")</f>
        <v>1202,'LICENCIATURA','carloseduardo.yerenanavarro','007404','TOMAR DEL SND','YERENA NAVARRO CARLOS EDUARDO','PSICOLOGIA','8vo','MASCULINO','ACTIVO','',0,0,'','ALUMNO'</v>
      </c>
      <c r="L203" s="16" t="str">
        <f>CONCATENATE($K$1,K203,");")</f>
        <v>INSERT INTO participantes (id,nivel,correo,matricula,clave,nombre,carrera,grado,sexo,situacion,evaluados,num_evaluados,total_evaluaciones,ultimo_acceso,nivel_acceso) VALUES (1202,'LICENCIATURA','carloseduardo.yerenanavarro','007404','TOMAR DEL SND','YERENA NAVARRO CARLOS EDUARDO','PSICOLOGIA','8vo','MASCULINO','ACTIVO','',0,0,'','ALUMNO');</v>
      </c>
      <c r="M203" s="16" t="str">
        <f>CONCATENATE("update participantes set correo=",C203," where id=",A203,";")</f>
        <v>update participantes set correo='carloseduardo.yerenanavarro' where id=1202;</v>
      </c>
    </row>
    <row r="204" spans="1:13" ht="130.5" x14ac:dyDescent="0.35">
      <c r="A204" s="16">
        <v>1203</v>
      </c>
      <c r="B204" s="18" t="s">
        <v>1754</v>
      </c>
      <c r="C204" s="16" t="str">
        <f>CONCATENATE("'",Alumnos!E208,"'")</f>
        <v>'elias.leonardorivera'</v>
      </c>
      <c r="D204" s="16" t="str">
        <f>CONCATENATE(Alumnos!F208,"'")</f>
        <v>'007424'</v>
      </c>
      <c r="E204" s="16" t="s">
        <v>1755</v>
      </c>
      <c r="F204" s="16" t="str">
        <f>CONCATENATE("'",Alumnos!H208,"'")</f>
        <v>'LEONARDO RIVERA ELIAS'</v>
      </c>
      <c r="G204" s="16" t="str">
        <f>CONCATENATE("'",Alumnos!I208,"'")</f>
        <v>'INGENIERIA CIBERNETICA Y EN SISTEMAS COMPUTACIONALES'</v>
      </c>
      <c r="H204" s="16" t="str">
        <f>CONCATENATE("'",Alumnos!J208,"'")</f>
        <v>'8vo'</v>
      </c>
      <c r="I204" s="16" t="str">
        <f>UPPER(CONCATENATE("'",Alumnos!K208,"'"))</f>
        <v>'MASCULINO'</v>
      </c>
      <c r="J204" s="16" t="str">
        <f>UPPER(CONCATENATE("'",Alumnos!L208,"'"))</f>
        <v>'ACTIVO'</v>
      </c>
      <c r="K204" s="16" t="str">
        <f>CONCATENATE(A204,",",B204,",",C204,",",D204,",'",E204,",",F204,",",G204,",",H204,",",UPPER(I204),",",UPPER(J204),",'',0,0,'','ALUMNO'")</f>
        <v>1203,'LICENCIATURA','elias.leonardorivera','007424','TOMAR DEL SND','LEONARDO RIVERA ELIAS','INGENIERIA CIBERNETICA Y EN SISTEMAS COMPUTACIONALES','8vo','MASCULINO','ACTIVO','',0,0,'','ALUMNO'</v>
      </c>
      <c r="L204" s="16" t="str">
        <f>CONCATENATE($K$1,K204,");")</f>
        <v>INSERT INTO participantes (id,nivel,correo,matricula,clave,nombre,carrera,grado,sexo,situacion,evaluados,num_evaluados,total_evaluaciones,ultimo_acceso,nivel_acceso) VALUES (1203,'LICENCIATURA','elias.leonardorivera','007424','TOMAR DEL SND','LEONARDO RIVERA ELIAS','INGENIERIA CIBERNETICA Y EN SISTEMAS COMPUTACIONALES','8vo','MASCULINO','ACTIVO','',0,0,'','ALUMNO');</v>
      </c>
      <c r="M204" s="16" t="str">
        <f>CONCATENATE("update participantes set correo=",C204," where id=",A204,";")</f>
        <v>update participantes set correo='elias.leonardorivera' where id=1203;</v>
      </c>
    </row>
    <row r="205" spans="1:13" ht="130.5" x14ac:dyDescent="0.35">
      <c r="A205" s="16">
        <v>1204</v>
      </c>
      <c r="B205" s="18" t="s">
        <v>1754</v>
      </c>
      <c r="C205" s="16" t="str">
        <f>CONCATENATE("'",Alumnos!E511,"'")</f>
        <v>'oscarosvaldo.ballesterosgalvan'</v>
      </c>
      <c r="D205" s="16" t="str">
        <f>CONCATENATE(Alumnos!F511,"'")</f>
        <v>'007492'</v>
      </c>
      <c r="E205" s="16" t="s">
        <v>1755</v>
      </c>
      <c r="F205" s="16" t="str">
        <f>CONCATENATE("'",Alumnos!H511,"'")</f>
        <v>'BALLESTEROS GALVAN OSCAR OSVALDO'</v>
      </c>
      <c r="G205" s="16" t="str">
        <f>CONCATENATE("'",Alumnos!I511,"'")</f>
        <v>'INGENIERIA AEROESPACIAL'</v>
      </c>
      <c r="H205" s="16" t="str">
        <f>CONCATENATE("'",Alumnos!J511,"'")</f>
        <v>'6to'</v>
      </c>
      <c r="I205" s="16" t="str">
        <f>UPPER(CONCATENATE("'",Alumnos!K511,"'"))</f>
        <v>'MASCULINO'</v>
      </c>
      <c r="J205" s="16" t="str">
        <f>UPPER(CONCATENATE("'",Alumnos!L511,"'"))</f>
        <v>'ACTIVO'</v>
      </c>
      <c r="K205" s="16" t="str">
        <f>CONCATENATE(A205,",",B205,",",C205,",",D205,",'",E205,",",F205,",",G205,",",H205,",",UPPER(I205),",",UPPER(J205),",'',0,0,'','ALUMNO'")</f>
        <v>1204,'LICENCIATURA','oscarosvaldo.ballesterosgalvan','007492','TOMAR DEL SND','BALLESTEROS GALVAN OSCAR OSVALDO','INGENIERIA AEROESPACIAL','6to','MASCULINO','ACTIVO','',0,0,'','ALUMNO'</v>
      </c>
      <c r="L205" s="16" t="str">
        <f>CONCATENATE($K$1,K205,");")</f>
        <v>INSERT INTO participantes (id,nivel,correo,matricula,clave,nombre,carrera,grado,sexo,situacion,evaluados,num_evaluados,total_evaluaciones,ultimo_acceso,nivel_acceso) VALUES (1204,'LICENCIATURA','oscarosvaldo.ballesterosgalvan','007492','TOMAR DEL SND','BALLESTEROS GALVAN OSCAR OSVALDO','INGENIERIA AEROESPACIAL','6to','MASCULINO','ACTIVO','',0,0,'','ALUMNO');</v>
      </c>
      <c r="M205" s="16" t="str">
        <f>CONCATENATE("update participantes set correo=",C205," where id=",A205,";")</f>
        <v>update participantes set correo='oscarosvaldo.ballesterosgalvan' where id=1204;</v>
      </c>
    </row>
    <row r="206" spans="1:13" ht="130.5" x14ac:dyDescent="0.35">
      <c r="A206" s="16">
        <v>1205</v>
      </c>
      <c r="B206" s="18" t="s">
        <v>1754</v>
      </c>
      <c r="C206" s="16" t="str">
        <f>CONCATENATE("'",Alumnos!E438,"'")</f>
        <v>'mariafernanda.domingueznieblas'</v>
      </c>
      <c r="D206" s="16" t="str">
        <f>CONCATENATE(Alumnos!F438,"'")</f>
        <v>'007514'</v>
      </c>
      <c r="E206" s="16" t="s">
        <v>1755</v>
      </c>
      <c r="F206" s="16" t="str">
        <f>CONCATENATE("'",Alumnos!H438,"'")</f>
        <v>'DOMINGUEZ NIEBLAS MARIA FERNANDA'</v>
      </c>
      <c r="G206" s="16" t="str">
        <f>CONCATENATE("'",Alumnos!I438,"'")</f>
        <v>'NUTRICION Y GASTRONOMIA'</v>
      </c>
      <c r="H206" s="16" t="str">
        <f>CONCATENATE("'",Alumnos!J438,"'")</f>
        <v>'6to'</v>
      </c>
      <c r="I206" s="16" t="str">
        <f>UPPER(CONCATENATE("'",Alumnos!K438,"'"))</f>
        <v>'FEMENINO'</v>
      </c>
      <c r="J206" s="16" t="str">
        <f>UPPER(CONCATENATE("'",Alumnos!L438,"'"))</f>
        <v>'ACTIVO'</v>
      </c>
      <c r="K206" s="16" t="str">
        <f>CONCATENATE(A206,",",B206,",",C206,",",D206,",'",E206,",",F206,",",G206,",",H206,",",UPPER(I206),",",UPPER(J206),",'',0,0,'','ALUMNO'")</f>
        <v>1205,'LICENCIATURA','mariafernanda.domingueznieblas','007514','TOMAR DEL SND','DOMINGUEZ NIEBLAS MARIA FERNANDA','NUTRICION Y GASTRONOMIA','6to','FEMENINO','ACTIVO','',0,0,'','ALUMNO'</v>
      </c>
      <c r="L206" s="16" t="str">
        <f>CONCATENATE($K$1,K206,");")</f>
        <v>INSERT INTO participantes (id,nivel,correo,matricula,clave,nombre,carrera,grado,sexo,situacion,evaluados,num_evaluados,total_evaluaciones,ultimo_acceso,nivel_acceso) VALUES (1205,'LICENCIATURA','mariafernanda.domingueznieblas','007514','TOMAR DEL SND','DOMINGUEZ NIEBLAS MARIA FERNANDA','NUTRICION Y GASTRONOMIA','6to','FEMENINO','ACTIVO','',0,0,'','ALUMNO');</v>
      </c>
      <c r="M206" s="16" t="str">
        <f>CONCATENATE("update participantes set correo=",C206," where id=",A206,";")</f>
        <v>update participantes set correo='mariafernanda.domingueznieblas' where id=1205;</v>
      </c>
    </row>
    <row r="207" spans="1:13" ht="116" x14ac:dyDescent="0.35">
      <c r="A207" s="16">
        <v>1206</v>
      </c>
      <c r="B207" s="18" t="s">
        <v>1754</v>
      </c>
      <c r="C207" s="16" t="str">
        <f>CONCATENATE("'",Alumnos!E449,"'")</f>
        <v>'marianaitzel.floresramirez'</v>
      </c>
      <c r="D207" s="16" t="str">
        <f>CONCATENATE(Alumnos!F449,"'")</f>
        <v>'007521'</v>
      </c>
      <c r="E207" s="16" t="s">
        <v>1755</v>
      </c>
      <c r="F207" s="16" t="str">
        <f>CONCATENATE("'",Alumnos!H449,"'")</f>
        <v>'FLORES RAMIREZ MARIANA ITZEL'</v>
      </c>
      <c r="G207" s="16" t="str">
        <f>CONCATENATE("'",Alumnos!I449,"'")</f>
        <v>'ARQUITECTURA'</v>
      </c>
      <c r="H207" s="16" t="str">
        <f>CONCATENATE("'",Alumnos!J449,"'")</f>
        <v>'6to'</v>
      </c>
      <c r="I207" s="16" t="str">
        <f>UPPER(CONCATENATE("'",Alumnos!K449,"'"))</f>
        <v>'FEMENINO'</v>
      </c>
      <c r="J207" s="16" t="str">
        <f>UPPER(CONCATENATE("'",Alumnos!L449,"'"))</f>
        <v>'ACTIVO'</v>
      </c>
      <c r="K207" s="16" t="str">
        <f>CONCATENATE(A207,",",B207,",",C207,",",D207,",'",E207,",",F207,",",G207,",",H207,",",UPPER(I207),",",UPPER(J207),",'',0,0,'','ALUMNO'")</f>
        <v>1206,'LICENCIATURA','marianaitzel.floresramirez','007521','TOMAR DEL SND','FLORES RAMIREZ MARIANA ITZEL','ARQUITECTURA','6to','FEMENINO','ACTIVO','',0,0,'','ALUMNO'</v>
      </c>
      <c r="L207" s="16" t="str">
        <f>CONCATENATE($K$1,K207,");")</f>
        <v>INSERT INTO participantes (id,nivel,correo,matricula,clave,nombre,carrera,grado,sexo,situacion,evaluados,num_evaluados,total_evaluaciones,ultimo_acceso,nivel_acceso) VALUES (1206,'LICENCIATURA','marianaitzel.floresramirez','007521','TOMAR DEL SND','FLORES RAMIREZ MARIANA ITZEL','ARQUITECTURA','6to','FEMENINO','ACTIVO','',0,0,'','ALUMNO');</v>
      </c>
      <c r="M207" s="16" t="str">
        <f>CONCATENATE("update participantes set correo=",C207," where id=",A207,";")</f>
        <v>update participantes set correo='marianaitzel.floresramirez' where id=1206;</v>
      </c>
    </row>
    <row r="208" spans="1:13" ht="130.5" x14ac:dyDescent="0.35">
      <c r="A208" s="16">
        <v>1207</v>
      </c>
      <c r="B208" s="18" t="s">
        <v>1754</v>
      </c>
      <c r="C208" s="16" t="str">
        <f>CONCATENATE("'",Alumnos!E530,"'")</f>
        <v>'patricia.pereztorres'</v>
      </c>
      <c r="D208" s="16" t="str">
        <f>CONCATENATE(Alumnos!F530,"'")</f>
        <v>'007595'</v>
      </c>
      <c r="E208" s="16" t="s">
        <v>1755</v>
      </c>
      <c r="F208" s="16" t="str">
        <f>CONCATENATE("'",Alumnos!H530,"'")</f>
        <v>'PEREZ TORRES PATRICIA'</v>
      </c>
      <c r="G208" s="16" t="str">
        <f>CONCATENATE("'",Alumnos!I530,"'")</f>
        <v>'INGENIERIA INDUSTRIAL Y EN SISTEMAS ORGANIZACIONALES'</v>
      </c>
      <c r="H208" s="16" t="str">
        <f>CONCATENATE("'",Alumnos!J530,"'")</f>
        <v>'6to'</v>
      </c>
      <c r="I208" s="16" t="str">
        <f>UPPER(CONCATENATE("'",Alumnos!K530,"'"))</f>
        <v>'FEMENINO'</v>
      </c>
      <c r="J208" s="16" t="str">
        <f>UPPER(CONCATENATE("'",Alumnos!L530,"'"))</f>
        <v>'ACTIVO'</v>
      </c>
      <c r="K208" s="16" t="str">
        <f>CONCATENATE(A208,",",B208,",",C208,",",D208,",'",E208,",",F208,",",G208,",",H208,",",UPPER(I208),",",UPPER(J208),",'',0,0,'','ALUMNO'")</f>
        <v>1207,'LICENCIATURA','patricia.pereztorres','007595','TOMAR DEL SND','PEREZ TORRES PATRICIA','INGENIERIA INDUSTRIAL Y EN SISTEMAS ORGANIZACIONALES','6to','FEMENINO','ACTIVO','',0,0,'','ALUMNO'</v>
      </c>
      <c r="L208" s="16" t="str">
        <f>CONCATENATE($K$1,K208,");")</f>
        <v>INSERT INTO participantes (id,nivel,correo,matricula,clave,nombre,carrera,grado,sexo,situacion,evaluados,num_evaluados,total_evaluaciones,ultimo_acceso,nivel_acceso) VALUES (1207,'LICENCIATURA','patricia.pereztorres','007595','TOMAR DEL SND','PEREZ TORRES PATRICIA','INGENIERIA INDUSTRIAL Y EN SISTEMAS ORGANIZACIONALES','6to','FEMENINO','ACTIVO','',0,0,'','ALUMNO');</v>
      </c>
      <c r="M208" s="16" t="str">
        <f>CONCATENATE("update participantes set correo=",C208," where id=",A208,";")</f>
        <v>update participantes set correo='patricia.pereztorres' where id=1207;</v>
      </c>
    </row>
    <row r="209" spans="1:13" ht="130.5" x14ac:dyDescent="0.35">
      <c r="A209" s="16">
        <v>1208</v>
      </c>
      <c r="B209" s="18" t="s">
        <v>1754</v>
      </c>
      <c r="C209" s="16" t="str">
        <f>CONCATENATE("'",Alumnos!E481,"'")</f>
        <v>'monicaalejandra.gonzalezblanco'</v>
      </c>
      <c r="D209" s="16" t="str">
        <f>CONCATENATE(Alumnos!F481,"'")</f>
        <v>'007662'</v>
      </c>
      <c r="E209" s="16" t="s">
        <v>1755</v>
      </c>
      <c r="F209" s="16" t="str">
        <f>CONCATENATE("'",Alumnos!H481,"'")</f>
        <v>'GONZALEZ BLANCO MONICA ALEJANDRA'</v>
      </c>
      <c r="G209" s="16" t="str">
        <f>CONCATENATE("'",Alumnos!I481,"'")</f>
        <v>'ANIMACION DIGITAL Y VIDEOJUEGOS'</v>
      </c>
      <c r="H209" s="16" t="str">
        <f>CONCATENATE("'",Alumnos!J481,"'")</f>
        <v>'6to'</v>
      </c>
      <c r="I209" s="16" t="str">
        <f>UPPER(CONCATENATE("'",Alumnos!K481,"'"))</f>
        <v>'FEMENINO'</v>
      </c>
      <c r="J209" s="16" t="str">
        <f>UPPER(CONCATENATE("'",Alumnos!L481,"'"))</f>
        <v>'ACTIVO'</v>
      </c>
      <c r="K209" s="16" t="str">
        <f>CONCATENATE(A209,",",B209,",",C209,",",D209,",'",E209,",",F209,",",G209,",",H209,",",UPPER(I209),",",UPPER(J209),",'',0,0,'','ALUMNO'")</f>
        <v>1208,'LICENCIATURA','monicaalejandra.gonzalezblanco','007662','TOMAR DEL SND','GONZALEZ BLANCO MONICA ALEJANDRA','ANIMACION DIGITAL Y VIDEOJUEGOS','6to','FEMENINO','ACTIVO','',0,0,'','ALUMNO'</v>
      </c>
      <c r="L209" s="16" t="str">
        <f>CONCATENATE($K$1,K209,");")</f>
        <v>INSERT INTO participantes (id,nivel,correo,matricula,clave,nombre,carrera,grado,sexo,situacion,evaluados,num_evaluados,total_evaluaciones,ultimo_acceso,nivel_acceso) VALUES (1208,'LICENCIATURA','monicaalejandra.gonzalezblanco','007662','TOMAR DEL SND','GONZALEZ BLANCO MONICA ALEJANDRA','ANIMACION DIGITAL Y VIDEOJUEGOS','6to','FEMENINO','ACTIVO','',0,0,'','ALUMNO');</v>
      </c>
      <c r="M209" s="16" t="str">
        <f>CONCATENATE("update participantes set correo=",C209," where id=",A209,";")</f>
        <v>update participantes set correo='monicaalejandra.gonzalezblanco' where id=1208;</v>
      </c>
    </row>
    <row r="210" spans="1:13" ht="130.5" x14ac:dyDescent="0.35">
      <c r="A210" s="16">
        <v>1209</v>
      </c>
      <c r="B210" s="18" t="s">
        <v>1754</v>
      </c>
      <c r="C210" s="16" t="str">
        <f>CONCATENATE("'",Alumnos!E147,"'")</f>
        <v>'dafnegalilea.leonardorivera'</v>
      </c>
      <c r="D210" s="16" t="str">
        <f>CONCATENATE(Alumnos!F147,"'")</f>
        <v>'007663'</v>
      </c>
      <c r="E210" s="16" t="s">
        <v>1755</v>
      </c>
      <c r="F210" s="16" t="str">
        <f>CONCATENATE("'",Alumnos!H147,"'")</f>
        <v>'LEONARDO RIVERA DAFNE GALILEA'</v>
      </c>
      <c r="G210" s="16" t="str">
        <f>CONCATENATE("'",Alumnos!I147,"'")</f>
        <v>'INGENIERIA INDUSTRIAL Y EN SISTEMAS ORGANIZACIONALES'</v>
      </c>
      <c r="H210" s="16" t="str">
        <f>CONCATENATE("'",Alumnos!J147,"'")</f>
        <v>'6to'</v>
      </c>
      <c r="I210" s="16" t="str">
        <f>UPPER(CONCATENATE("'",Alumnos!K147,"'"))</f>
        <v>'FEMENINO'</v>
      </c>
      <c r="J210" s="16" t="str">
        <f>UPPER(CONCATENATE("'",Alumnos!L147,"'"))</f>
        <v>'ACTIVO'</v>
      </c>
      <c r="K210" s="16" t="str">
        <f>CONCATENATE(A210,",",B210,",",C210,",",D210,",'",E210,",",F210,",",G210,",",H210,",",UPPER(I210),",",UPPER(J210),",'',0,0,'','ALUMNO'")</f>
        <v>1209,'LICENCIATURA','dafnegalilea.leonardorivera','007663','TOMAR DEL SND','LEONARDO RIVERA DAFNE GALILEA','INGENIERIA INDUSTRIAL Y EN SISTEMAS ORGANIZACIONALES','6to','FEMENINO','ACTIVO','',0,0,'','ALUMNO'</v>
      </c>
      <c r="L210" s="16" t="str">
        <f>CONCATENATE($K$1,K210,");")</f>
        <v>INSERT INTO participantes (id,nivel,correo,matricula,clave,nombre,carrera,grado,sexo,situacion,evaluados,num_evaluados,total_evaluaciones,ultimo_acceso,nivel_acceso) VALUES (1209,'LICENCIATURA','dafnegalilea.leonardorivera','007663','TOMAR DEL SND','LEONARDO RIVERA DAFNE GALILEA','INGENIERIA INDUSTRIAL Y EN SISTEMAS ORGANIZACIONALES','6to','FEMENINO','ACTIVO','',0,0,'','ALUMNO');</v>
      </c>
      <c r="M210" s="16" t="str">
        <f>CONCATENATE("update participantes set correo=",C210," where id=",A210,";")</f>
        <v>update participantes set correo='dafnegalilea.leonardorivera' where id=1209;</v>
      </c>
    </row>
    <row r="211" spans="1:13" ht="130.5" x14ac:dyDescent="0.35">
      <c r="A211" s="16">
        <v>1210</v>
      </c>
      <c r="B211" s="18" t="s">
        <v>1754</v>
      </c>
      <c r="C211" s="16" t="str">
        <f>CONCATENATE("'",Alumnos!E441,"'")</f>
        <v>'mariafernanda.sandovalrodriguez'</v>
      </c>
      <c r="D211" s="16" t="str">
        <f>CONCATENATE(Alumnos!F441,"'")</f>
        <v>'007756'</v>
      </c>
      <c r="E211" s="16" t="s">
        <v>1755</v>
      </c>
      <c r="F211" s="16" t="str">
        <f>CONCATENATE("'",Alumnos!H441,"'")</f>
        <v>'SANDOVAL RODRIGUEZ MARIA FERNANDA'</v>
      </c>
      <c r="G211" s="16" t="str">
        <f>CONCATENATE("'",Alumnos!I441,"'")</f>
        <v>'NUTRICION Y GASTRONOMIA'</v>
      </c>
      <c r="H211" s="16" t="str">
        <f>CONCATENATE("'",Alumnos!J441,"'")</f>
        <v>'4to'</v>
      </c>
      <c r="I211" s="16" t="str">
        <f>UPPER(CONCATENATE("'",Alumnos!K441,"'"))</f>
        <v>'FEMENINO'</v>
      </c>
      <c r="J211" s="16" t="str">
        <f>UPPER(CONCATENATE("'",Alumnos!L441,"'"))</f>
        <v>'ACTIVO'</v>
      </c>
      <c r="K211" s="16" t="str">
        <f>CONCATENATE(A211,",",B211,",",C211,",",D211,",'",E211,",",F211,",",G211,",",H211,",",UPPER(I211),",",UPPER(J211),",'',0,0,'','ALUMNO'")</f>
        <v>1210,'LICENCIATURA','mariafernanda.sandovalrodriguez','007756','TOMAR DEL SND','SANDOVAL RODRIGUEZ MARIA FERNANDA','NUTRICION Y GASTRONOMIA','4to','FEMENINO','ACTIVO','',0,0,'','ALUMNO'</v>
      </c>
      <c r="L211" s="16" t="str">
        <f>CONCATENATE($K$1,K211,");")</f>
        <v>INSERT INTO participantes (id,nivel,correo,matricula,clave,nombre,carrera,grado,sexo,situacion,evaluados,num_evaluados,total_evaluaciones,ultimo_acceso,nivel_acceso) VALUES (1210,'LICENCIATURA','mariafernanda.sandovalrodriguez','007756','TOMAR DEL SND','SANDOVAL RODRIGUEZ MARIA FERNANDA','NUTRICION Y GASTRONOMIA','4to','FEMENINO','ACTIVO','',0,0,'','ALUMNO');</v>
      </c>
      <c r="M211" s="16" t="str">
        <f>CONCATENATE("update participantes set correo=",C211," where id=",A211,";")</f>
        <v>update participantes set correo='mariafernanda.sandovalrodriguez' where id=1210;</v>
      </c>
    </row>
    <row r="212" spans="1:13" ht="130.5" x14ac:dyDescent="0.35">
      <c r="A212" s="16">
        <v>1211</v>
      </c>
      <c r="B212" s="18" t="s">
        <v>1754</v>
      </c>
      <c r="C212" s="16" t="str">
        <f>CONCATENATE("'",Alumnos!E535,"'")</f>
        <v>'pedroiker.solaeguihernandez'</v>
      </c>
      <c r="D212" s="16" t="str">
        <f>CONCATENATE(Alumnos!F535,"'")</f>
        <v>'007758'</v>
      </c>
      <c r="E212" s="16" t="s">
        <v>1755</v>
      </c>
      <c r="F212" s="16" t="str">
        <f>CONCATENATE("'",Alumnos!H535,"'")</f>
        <v>'SOLAEGUI HERNANDEZ PEDRO IKER'</v>
      </c>
      <c r="G212" s="16" t="str">
        <f>CONCATENATE("'",Alumnos!I535,"'")</f>
        <v>'ANIMACION DIGITAL Y VIDEOJUEGOS'</v>
      </c>
      <c r="H212" s="16" t="str">
        <f>CONCATENATE("'",Alumnos!J535,"'")</f>
        <v>'4to'</v>
      </c>
      <c r="I212" s="16" t="str">
        <f>UPPER(CONCATENATE("'",Alumnos!K535,"'"))</f>
        <v>'MASCULINO'</v>
      </c>
      <c r="J212" s="16" t="str">
        <f>UPPER(CONCATENATE("'",Alumnos!L535,"'"))</f>
        <v>'ACTIVO'</v>
      </c>
      <c r="K212" s="16" t="str">
        <f>CONCATENATE(A212,",",B212,",",C212,",",D212,",'",E212,",",F212,",",G212,",",H212,",",UPPER(I212),",",UPPER(J212),",'',0,0,'','ALUMNO'")</f>
        <v>1211,'LICENCIATURA','pedroiker.solaeguihernandez','007758','TOMAR DEL SND','SOLAEGUI HERNANDEZ PEDRO IKER','ANIMACION DIGITAL Y VIDEOJUEGOS','4to','MASCULINO','ACTIVO','',0,0,'','ALUMNO'</v>
      </c>
      <c r="L212" s="16" t="str">
        <f>CONCATENATE($K$1,K212,");")</f>
        <v>INSERT INTO participantes (id,nivel,correo,matricula,clave,nombre,carrera,grado,sexo,situacion,evaluados,num_evaluados,total_evaluaciones,ultimo_acceso,nivel_acceso) VALUES (1211,'LICENCIATURA','pedroiker.solaeguihernandez','007758','TOMAR DEL SND','SOLAEGUI HERNANDEZ PEDRO IKER','ANIMACION DIGITAL Y VIDEOJUEGOS','4to','MASCULINO','ACTIVO','',0,0,'','ALUMNO');</v>
      </c>
      <c r="M212" s="16" t="str">
        <f>CONCATENATE("update participantes set correo=",C212," where id=",A212,";")</f>
        <v>update participantes set correo='pedroiker.solaeguihernandez' where id=1211;</v>
      </c>
    </row>
    <row r="213" spans="1:13" ht="130.5" x14ac:dyDescent="0.35">
      <c r="A213" s="16">
        <v>1212</v>
      </c>
      <c r="B213" s="18" t="s">
        <v>1754</v>
      </c>
      <c r="C213" s="16" t="str">
        <f>CONCATENATE("'",Alumnos!E361,"'")</f>
        <v>'julieta.tejedadavalos'</v>
      </c>
      <c r="D213" s="16" t="str">
        <f>CONCATENATE(Alumnos!F361,"'")</f>
        <v>'007760'</v>
      </c>
      <c r="E213" s="16" t="s">
        <v>1755</v>
      </c>
      <c r="F213" s="16" t="str">
        <f>CONCATENATE("'",Alumnos!H361,"'")</f>
        <v>'TEJEDA DAVALOS JULIETA'</v>
      </c>
      <c r="G213" s="16" t="str">
        <f>CONCATENATE("'",Alumnos!I361,"'")</f>
        <v>'ANIMACION DIGITAL Y VIDEOJUEGOS'</v>
      </c>
      <c r="H213" s="16" t="str">
        <f>CONCATENATE("'",Alumnos!J361,"'")</f>
        <v>'4to'</v>
      </c>
      <c r="I213" s="16" t="str">
        <f>UPPER(CONCATENATE("'",Alumnos!K361,"'"))</f>
        <v>'FEMENINO'</v>
      </c>
      <c r="J213" s="16" t="str">
        <f>UPPER(CONCATENATE("'",Alumnos!L361,"'"))</f>
        <v>'ACTIVO'</v>
      </c>
      <c r="K213" s="16" t="str">
        <f>CONCATENATE(A213,",",B213,",",C213,",",D213,",'",E213,",",F213,",",G213,",",H213,",",UPPER(I213),",",UPPER(J213),",'',0,0,'','ALUMNO'")</f>
        <v>1212,'LICENCIATURA','julieta.tejedadavalos','007760','TOMAR DEL SND','TEJEDA DAVALOS JULIETA','ANIMACION DIGITAL Y VIDEOJUEGOS','4to','FEMENINO','ACTIVO','',0,0,'','ALUMNO'</v>
      </c>
      <c r="L213" s="16" t="str">
        <f>CONCATENATE($K$1,K213,");")</f>
        <v>INSERT INTO participantes (id,nivel,correo,matricula,clave,nombre,carrera,grado,sexo,situacion,evaluados,num_evaluados,total_evaluaciones,ultimo_acceso,nivel_acceso) VALUES (1212,'LICENCIATURA','julieta.tejedadavalos','007760','TOMAR DEL SND','TEJEDA DAVALOS JULIETA','ANIMACION DIGITAL Y VIDEOJUEGOS','4to','FEMENINO','ACTIVO','',0,0,'','ALUMNO');</v>
      </c>
      <c r="M213" s="16" t="str">
        <f>CONCATENATE("update participantes set correo=",C213," where id=",A213,";")</f>
        <v>update participantes set correo='julieta.tejedadavalos' where id=1212;</v>
      </c>
    </row>
    <row r="214" spans="1:13" ht="116" x14ac:dyDescent="0.35">
      <c r="A214" s="16">
        <v>1213</v>
      </c>
      <c r="B214" s="18" t="s">
        <v>1754</v>
      </c>
      <c r="C214" s="16" t="str">
        <f>CONCATENATE("'",Alumnos!E398,"'")</f>
        <v>'leonardo.villavicenciooceguera'</v>
      </c>
      <c r="D214" s="16" t="str">
        <f>CONCATENATE(Alumnos!F398,"'")</f>
        <v>'007767'</v>
      </c>
      <c r="E214" s="16" t="s">
        <v>1755</v>
      </c>
      <c r="F214" s="16" t="str">
        <f>CONCATENATE("'",Alumnos!H398,"'")</f>
        <v>'VILLAVICENCIO OCEGUERA LEONARDO'</v>
      </c>
      <c r="G214" s="16" t="str">
        <f>CONCATENATE("'",Alumnos!I398,"'")</f>
        <v>'ARQUITECTURA'</v>
      </c>
      <c r="H214" s="16" t="str">
        <f>CONCATENATE("'",Alumnos!J398,"'")</f>
        <v>'4to'</v>
      </c>
      <c r="I214" s="16" t="str">
        <f>UPPER(CONCATENATE("'",Alumnos!K398,"'"))</f>
        <v>'MASCULINO'</v>
      </c>
      <c r="J214" s="16" t="str">
        <f>UPPER(CONCATENATE("'",Alumnos!L398,"'"))</f>
        <v>'ACTIVO'</v>
      </c>
      <c r="K214" s="16" t="str">
        <f>CONCATENATE(A214,",",B214,",",C214,",",D214,",'",E214,",",F214,",",G214,",",H214,",",UPPER(I214),",",UPPER(J214),",'',0,0,'','ALUMNO'")</f>
        <v>1213,'LICENCIATURA','leonardo.villavicenciooceguera','007767','TOMAR DEL SND','VILLAVICENCIO OCEGUERA LEONARDO','ARQUITECTURA','4to','MASCULINO','ACTIVO','',0,0,'','ALUMNO'</v>
      </c>
      <c r="L214" s="16" t="str">
        <f>CONCATENATE($K$1,K214,");")</f>
        <v>INSERT INTO participantes (id,nivel,correo,matricula,clave,nombre,carrera,grado,sexo,situacion,evaluados,num_evaluados,total_evaluaciones,ultimo_acceso,nivel_acceso) VALUES (1213,'LICENCIATURA','leonardo.villavicenciooceguera','007767','TOMAR DEL SND','VILLAVICENCIO OCEGUERA LEONARDO','ARQUITECTURA','4to','MASCULINO','ACTIVO','',0,0,'','ALUMNO');</v>
      </c>
      <c r="M214" s="16" t="str">
        <f>CONCATENATE("update participantes set correo=",C214," where id=",A214,";")</f>
        <v>update participantes set correo='leonardo.villavicenciooceguera' where id=1213;</v>
      </c>
    </row>
    <row r="215" spans="1:13" ht="116" x14ac:dyDescent="0.35">
      <c r="A215" s="16">
        <v>1214</v>
      </c>
      <c r="B215" s="18" t="s">
        <v>1754</v>
      </c>
      <c r="C215" s="16" t="str">
        <f>CONCATENATE("'",Alumnos!E370,"'")</f>
        <v>'karimeanahi.riverabalbuena'</v>
      </c>
      <c r="D215" s="16" t="str">
        <f>CONCATENATE(Alumnos!F370,"'")</f>
        <v>'007936'</v>
      </c>
      <c r="E215" s="16" t="s">
        <v>1755</v>
      </c>
      <c r="F215" s="16" t="str">
        <f>CONCATENATE("'",Alumnos!H370,"'")</f>
        <v>'RIVERA BALBUENA KARIME ANAHI'</v>
      </c>
      <c r="G215" s="16" t="str">
        <f>CONCATENATE("'",Alumnos!I370,"'")</f>
        <v>'ARQUITECTURA'</v>
      </c>
      <c r="H215" s="16" t="str">
        <f>CONCATENATE("'",Alumnos!J370,"'")</f>
        <v>'2do'</v>
      </c>
      <c r="I215" s="16" t="str">
        <f>UPPER(CONCATENATE("'",Alumnos!K370,"'"))</f>
        <v>'FEMENINO'</v>
      </c>
      <c r="J215" s="16" t="str">
        <f>UPPER(CONCATENATE("'",Alumnos!L370,"'"))</f>
        <v>'ACTIVO'</v>
      </c>
      <c r="K215" s="16" t="str">
        <f>CONCATENATE(A215,",",B215,",",C215,",",D215,",'",E215,",",F215,",",G215,",",H215,",",UPPER(I215),",",UPPER(J215),",'',0,0,'','ALUMNO'")</f>
        <v>1214,'LICENCIATURA','karimeanahi.riverabalbuena','007936','TOMAR DEL SND','RIVERA BALBUENA KARIME ANAHI','ARQUITECTURA','2do','FEMENINO','ACTIVO','',0,0,'','ALUMNO'</v>
      </c>
      <c r="L215" s="16" t="str">
        <f>CONCATENATE($K$1,K215,");")</f>
        <v>INSERT INTO participantes (id,nivel,correo,matricula,clave,nombre,carrera,grado,sexo,situacion,evaluados,num_evaluados,total_evaluaciones,ultimo_acceso,nivel_acceso) VALUES (1214,'LICENCIATURA','karimeanahi.riverabalbuena','007936','TOMAR DEL SND','RIVERA BALBUENA KARIME ANAHI','ARQUITECTURA','2do','FEMENINO','ACTIVO','',0,0,'','ALUMNO');</v>
      </c>
      <c r="M215" s="16" t="str">
        <f>CONCATENATE("update participantes set correo=",C215," where id=",A215,";")</f>
        <v>update participantes set correo='karimeanahi.riverabalbuena' where id=1214;</v>
      </c>
    </row>
    <row r="216" spans="1:13" ht="116" x14ac:dyDescent="0.35">
      <c r="A216" s="16">
        <v>1215</v>
      </c>
      <c r="B216" s="18" t="s">
        <v>1754</v>
      </c>
      <c r="C216" s="16" t="str">
        <f>CONCATENATE("'",Alumnos!E97,"'")</f>
        <v>'astridavril.bernalmontanez'</v>
      </c>
      <c r="D216" s="16" t="str">
        <f>CONCATENATE(Alumnos!F97,"'")</f>
        <v>'007948'</v>
      </c>
      <c r="E216" s="16" t="s">
        <v>1755</v>
      </c>
      <c r="F216" s="16" t="str">
        <f>CONCATENATE("'",Alumnos!H97,"'")</f>
        <v>'BERNAL MONTAÑEZ ASTRID AVRIL'</v>
      </c>
      <c r="G216" s="16" t="str">
        <f>CONCATENATE("'",Alumnos!I97,"'")</f>
        <v>'PSICOLOGIA'</v>
      </c>
      <c r="H216" s="16" t="str">
        <f>CONCATENATE("'",Alumnos!J97,"'")</f>
        <v>'4to'</v>
      </c>
      <c r="I216" s="16" t="str">
        <f>UPPER(CONCATENATE("'",Alumnos!K97,"'"))</f>
        <v>'FEMENINO'</v>
      </c>
      <c r="J216" s="16" t="str">
        <f>UPPER(CONCATENATE("'",Alumnos!L97,"'"))</f>
        <v>'ACTIVO'</v>
      </c>
      <c r="K216" s="16" t="str">
        <f>CONCATENATE(A216,",",B216,",",C216,",",D216,",'",E216,",",F216,",",G216,",",H216,",",UPPER(I216),",",UPPER(J216),",'',0,0,'','ALUMNO'")</f>
        <v>1215,'LICENCIATURA','astridavril.bernalmontanez','007948','TOMAR DEL SND','BERNAL MONTAÑEZ ASTRID AVRIL','PSICOLOGIA','4to','FEMENINO','ACTIVO','',0,0,'','ALUMNO'</v>
      </c>
      <c r="L216" s="16" t="str">
        <f>CONCATENATE($K$1,K216,");")</f>
        <v>INSERT INTO participantes (id,nivel,correo,matricula,clave,nombre,carrera,grado,sexo,situacion,evaluados,num_evaluados,total_evaluaciones,ultimo_acceso,nivel_acceso) VALUES (1215,'LICENCIATURA','astridavril.bernalmontanez','007948','TOMAR DEL SND','BERNAL MONTAÑEZ ASTRID AVRIL','PSICOLOGIA','4to','FEMENINO','ACTIVO','',0,0,'','ALUMNO');</v>
      </c>
      <c r="M216" s="16" t="str">
        <f>CONCATENATE("update participantes set correo=",C216," where id=",A216,";")</f>
        <v>update participantes set correo='astridavril.bernalmontanez' where id=1215;</v>
      </c>
    </row>
    <row r="217" spans="1:13" ht="116" x14ac:dyDescent="0.35">
      <c r="A217" s="16">
        <v>1216</v>
      </c>
      <c r="B217" s="18" t="s">
        <v>1754</v>
      </c>
      <c r="C217" s="16" t="str">
        <f>CONCATENATE("'",Alumnos!E26,"'")</f>
        <v>'alejandro.alvarezlopez'</v>
      </c>
      <c r="D217" s="16" t="str">
        <f>CONCATENATE(Alumnos!F26,"'")</f>
        <v>'008268'</v>
      </c>
      <c r="E217" s="16" t="s">
        <v>1755</v>
      </c>
      <c r="F217" s="16" t="str">
        <f>CONCATENATE("'",Alumnos!H26,"'")</f>
        <v>'ALVAREZ LOPEZ ALEJANDRO'</v>
      </c>
      <c r="G217" s="16" t="str">
        <f>CONCATENATE("'",Alumnos!I26,"'")</f>
        <v>'ARQUITECTURA'</v>
      </c>
      <c r="H217" s="16" t="str">
        <f>CONCATENATE("'",Alumnos!J26,"'")</f>
        <v>'2do'</v>
      </c>
      <c r="I217" s="16" t="str">
        <f>UPPER(CONCATENATE("'",Alumnos!K26,"'"))</f>
        <v>'MASCULINO'</v>
      </c>
      <c r="J217" s="16" t="str">
        <f>UPPER(CONCATENATE("'",Alumnos!L26,"'"))</f>
        <v>'ACTIVO'</v>
      </c>
      <c r="K217" s="16" t="str">
        <f>CONCATENATE(A217,",",B217,",",C217,",",D217,",'",E217,",",F217,",",G217,",",H217,",",UPPER(I217),",",UPPER(J217),",'',0,0,'','ALUMNO'")</f>
        <v>1216,'LICENCIATURA','alejandro.alvarezlopez','008268','TOMAR DEL SND','ALVAREZ LOPEZ ALEJANDRO','ARQUITECTURA','2do','MASCULINO','ACTIVO','',0,0,'','ALUMNO'</v>
      </c>
      <c r="L217" s="16" t="str">
        <f>CONCATENATE($K$1,K217,");")</f>
        <v>INSERT INTO participantes (id,nivel,correo,matricula,clave,nombre,carrera,grado,sexo,situacion,evaluados,num_evaluados,total_evaluaciones,ultimo_acceso,nivel_acceso) VALUES (1216,'LICENCIATURA','alejandro.alvarezlopez','008268','TOMAR DEL SND','ALVAREZ LOPEZ ALEJANDRO','ARQUITECTURA','2do','MASCULINO','ACTIVO','',0,0,'','ALUMNO');</v>
      </c>
      <c r="M217" s="16" t="str">
        <f>CONCATENATE("update participantes set correo=",C217," where id=",A217,";")</f>
        <v>update participantes set correo='alejandro.alvarezlopez' where id=1216;</v>
      </c>
    </row>
    <row r="218" spans="1:13" ht="130.5" x14ac:dyDescent="0.35">
      <c r="A218" s="16">
        <v>1217</v>
      </c>
      <c r="B218" s="18" t="s">
        <v>1754</v>
      </c>
      <c r="C218" s="16" t="str">
        <f>CONCATENATE("'",Alumnos!E174,"'")</f>
        <v>'davidisrael.alvarezjimenez'</v>
      </c>
      <c r="D218" s="16" t="str">
        <f>CONCATENATE(Alumnos!F174,"'")</f>
        <v>'108218'</v>
      </c>
      <c r="E218" s="16" t="s">
        <v>1755</v>
      </c>
      <c r="F218" s="16" t="str">
        <f>CONCATENATE("'",Alumnos!H174,"'")</f>
        <v>'ALVAREZ JIMENEZ DAVID ISRAEL'</v>
      </c>
      <c r="G218" s="16" t="str">
        <f>CONCATENATE("'",Alumnos!I174,"'")</f>
        <v>'INGENIERIA AEROESPACIAL'</v>
      </c>
      <c r="H218" s="16" t="str">
        <f>CONCATENATE("'",Alumnos!J174,"'")</f>
        <v>'8vo'</v>
      </c>
      <c r="I218" s="16" t="str">
        <f>UPPER(CONCATENATE("'",Alumnos!K174,"'"))</f>
        <v>'MASCULINO'</v>
      </c>
      <c r="J218" s="16" t="str">
        <f>UPPER(CONCATENATE("'",Alumnos!L174,"'"))</f>
        <v>'ACTIVO'</v>
      </c>
      <c r="K218" s="16" t="str">
        <f>CONCATENATE(A218,",",B218,",",C218,",",D218,",'",E218,",",F218,",",G218,",",H218,",",UPPER(I218),",",UPPER(J218),",'',0,0,'','ALUMNO'")</f>
        <v>1217,'LICENCIATURA','davidisrael.alvarezjimenez','108218','TOMAR DEL SND','ALVAREZ JIMENEZ DAVID ISRAEL','INGENIERIA AEROESPACIAL','8vo','MASCULINO','ACTIVO','',0,0,'','ALUMNO'</v>
      </c>
      <c r="L218" s="16" t="str">
        <f>CONCATENATE($K$1,K218,");")</f>
        <v>INSERT INTO participantes (id,nivel,correo,matricula,clave,nombre,carrera,grado,sexo,situacion,evaluados,num_evaluados,total_evaluaciones,ultimo_acceso,nivel_acceso) VALUES (1217,'LICENCIATURA','davidisrael.alvarezjimenez','108218','TOMAR DEL SND','ALVAREZ JIMENEZ DAVID ISRAEL','INGENIERIA AEROESPACIAL','8vo','MASCULINO','ACTIVO','',0,0,'','ALUMNO');</v>
      </c>
      <c r="M218" s="16" t="str">
        <f>CONCATENATE("update participantes set correo=",C218," where id=",A218,";")</f>
        <v>update participantes set correo='davidisrael.alvarezjimenez' where id=1217;</v>
      </c>
    </row>
    <row r="219" spans="1:13" ht="116" x14ac:dyDescent="0.35">
      <c r="A219" s="16">
        <v>1218</v>
      </c>
      <c r="B219" s="18" t="s">
        <v>1754</v>
      </c>
      <c r="C219" s="16" t="str">
        <f>CONCATENATE("'",Alumnos!E156,"'")</f>
        <v>'danielalejandro.castellanosramirez'</v>
      </c>
      <c r="D219" s="16" t="str">
        <f>CONCATENATE(Alumnos!F156,"'")</f>
        <v>'108892'</v>
      </c>
      <c r="E219" s="16" t="s">
        <v>1755</v>
      </c>
      <c r="F219" s="16" t="str">
        <f>CONCATENATE("'",Alumnos!H156,"'")</f>
        <v>'CASTELLANOS RAMIREZ DANIEL ALEJANDRO'</v>
      </c>
      <c r="G219" s="16" t="str">
        <f>CONCATENATE("'",Alumnos!I156,"'")</f>
        <v>'ADMINISTRACION Y DIRECCION DE NEGOCIOS'</v>
      </c>
      <c r="H219" s="16" t="str">
        <f>CONCATENATE("'",Alumnos!J156,"'")</f>
        <v>'8vo'</v>
      </c>
      <c r="I219" s="16" t="str">
        <f>UPPER(CONCATENATE("'",Alumnos!K156,"'"))</f>
        <v>'MASCULINO'</v>
      </c>
      <c r="J219" s="16" t="str">
        <f>UPPER(CONCATENATE("'",Alumnos!L156,"'"))</f>
        <v>'ACTIVO'</v>
      </c>
      <c r="K219" s="16" t="str">
        <f>CONCATENATE(A219,",",B219,",",C219,",",D219,",'",E219,",",F219,",",G219,",",H219,",",UPPER(I219),",",UPPER(J219),",'',0,0,'','ALUMNO'")</f>
        <v>1218,'LICENCIATURA','danielalejandro.castellanosramirez','108892','TOMAR DEL SND','CASTELLANOS RAMIREZ DANIEL ALEJANDRO','ADMINISTRACION Y DIRECCION DE NEGOCIOS','8vo','MASCULINO','ACTIVO','',0,0,'','ALUMNO'</v>
      </c>
      <c r="L219" s="16" t="str">
        <f>CONCATENATE($K$1,K219,");")</f>
        <v>INSERT INTO participantes (id,nivel,correo,matricula,clave,nombre,carrera,grado,sexo,situacion,evaluados,num_evaluados,total_evaluaciones,ultimo_acceso,nivel_acceso) VALUES (1218,'LICENCIATURA','danielalejandro.castellanosramirez','108892','TOMAR DEL SND','CASTELLANOS RAMIREZ DANIEL ALEJANDRO','ADMINISTRACION Y DIRECCION DE NEGOCIOS','8vo','MASCULINO','ACTIVO','',0,0,'','ALUMNO');</v>
      </c>
      <c r="M219" s="16" t="str">
        <f>CONCATENATE("update participantes set correo=",C219," where id=",A219,";")</f>
        <v>update participantes set correo='danielalejandro.castellanosramirez' where id=1218;</v>
      </c>
    </row>
    <row r="220" spans="1:13" ht="130.5" x14ac:dyDescent="0.35">
      <c r="A220" s="16">
        <v>1219</v>
      </c>
      <c r="B220" s="18" t="s">
        <v>1754</v>
      </c>
      <c r="C220" s="16" t="str">
        <f>CONCATENATE("'",Alumnos!E10,"'")</f>
        <v>'adrianassis.tapiacorripio'</v>
      </c>
      <c r="D220" s="16" t="str">
        <f>CONCATENATE(Alumnos!F10,"'")</f>
        <v>'109374'</v>
      </c>
      <c r="E220" s="16" t="s">
        <v>1755</v>
      </c>
      <c r="F220" s="16" t="str">
        <f>CONCATENATE("'",Alumnos!H10,"'")</f>
        <v>'TAPIA CORRIPIO ADRIAN ASSIS'</v>
      </c>
      <c r="G220" s="16" t="str">
        <f>CONCATENATE("'",Alumnos!I10,"'")</f>
        <v>'INGENIERIA AEROESPACIAL'</v>
      </c>
      <c r="H220" s="16" t="str">
        <f>CONCATENATE("'",Alumnos!J10,"'")</f>
        <v>'6to'</v>
      </c>
      <c r="I220" s="16" t="str">
        <f>UPPER(CONCATENATE("'",Alumnos!K10,"'"))</f>
        <v>'MASCULINO'</v>
      </c>
      <c r="J220" s="16" t="str">
        <f>UPPER(CONCATENATE("'",Alumnos!L10,"'"))</f>
        <v>'ACTIVO'</v>
      </c>
      <c r="K220" s="16" t="str">
        <f>CONCATENATE(A220,",",B220,",",C220,",",D220,",'",E220,",",F220,",",G220,",",H220,",",UPPER(I220),",",UPPER(J220),",'',0,0,'','ALUMNO'")</f>
        <v>1219,'LICENCIATURA','adrianassis.tapiacorripio','109374','TOMAR DEL SND','TAPIA CORRIPIO ADRIAN ASSIS','INGENIERIA AEROESPACIAL','6to','MASCULINO','ACTIVO','',0,0,'','ALUMNO'</v>
      </c>
      <c r="L220" s="16" t="str">
        <f>CONCATENATE($K$1,K220,");")</f>
        <v>INSERT INTO participantes (id,nivel,correo,matricula,clave,nombre,carrera,grado,sexo,situacion,evaluados,num_evaluados,total_evaluaciones,ultimo_acceso,nivel_acceso) VALUES (1219,'LICENCIATURA','adrianassis.tapiacorripio','109374','TOMAR DEL SND','TAPIA CORRIPIO ADRIAN ASSIS','INGENIERIA AEROESPACIAL','6to','MASCULINO','ACTIVO','',0,0,'','ALUMNO');</v>
      </c>
      <c r="M220" s="16" t="str">
        <f>CONCATENATE("update participantes set correo=",C220," where id=",A220,";")</f>
        <v>update participantes set correo='adrianassis.tapiacorripio' where id=1219;</v>
      </c>
    </row>
    <row r="221" spans="1:13" ht="130.5" x14ac:dyDescent="0.35">
      <c r="A221" s="16">
        <v>1220</v>
      </c>
      <c r="B221" s="18" t="s">
        <v>1754</v>
      </c>
      <c r="C221" s="16" t="str">
        <f>CONCATENATE("'",Alumnos!E58,"'")</f>
        <v>'andresebastian.villagranarodriguez'</v>
      </c>
      <c r="D221" s="16" t="str">
        <f>CONCATENATE(Alumnos!F58,"'")</f>
        <v>'109808'</v>
      </c>
      <c r="E221" s="16" t="s">
        <v>1755</v>
      </c>
      <c r="F221" s="16" t="str">
        <f>CONCATENATE("'",Alumnos!H58,"'")</f>
        <v>'VILLAGRANA RODRIGUEZ ANDRE SEBASTIAN'</v>
      </c>
      <c r="G221" s="16" t="str">
        <f>CONCATENATE("'",Alumnos!I58,"'")</f>
        <v>'INGENIERIA AEROESPACIAL'</v>
      </c>
      <c r="H221" s="16" t="str">
        <f>CONCATENATE("'",Alumnos!J58,"'")</f>
        <v>'10mo'</v>
      </c>
      <c r="I221" s="16" t="str">
        <f>UPPER(CONCATENATE("'",Alumnos!K58,"'"))</f>
        <v>'MASCULINO'</v>
      </c>
      <c r="J221" s="16" t="str">
        <f>UPPER(CONCATENATE("'",Alumnos!L58,"'"))</f>
        <v>'ACTIVO'</v>
      </c>
      <c r="K221" s="16" t="str">
        <f>CONCATENATE(A221,",",B221,",",C221,",",D221,",'",E221,",",F221,",",G221,",",H221,",",UPPER(I221),",",UPPER(J221),",'',0,0,'','ALUMNO'")</f>
        <v>1220,'LICENCIATURA','andresebastian.villagranarodriguez','109808','TOMAR DEL SND','VILLAGRANA RODRIGUEZ ANDRE SEBASTIAN','INGENIERIA AEROESPACIAL','10mo','MASCULINO','ACTIVO','',0,0,'','ALUMNO'</v>
      </c>
      <c r="L221" s="16" t="str">
        <f>CONCATENATE($K$1,K221,");")</f>
        <v>INSERT INTO participantes (id,nivel,correo,matricula,clave,nombre,carrera,grado,sexo,situacion,evaluados,num_evaluados,total_evaluaciones,ultimo_acceso,nivel_acceso) VALUES (1220,'LICENCIATURA','andresebastian.villagranarodriguez','109808','TOMAR DEL SND','VILLAGRANA RODRIGUEZ ANDRE SEBASTIAN','INGENIERIA AEROESPACIAL','10mo','MASCULINO','ACTIVO','',0,0,'','ALUMNO');</v>
      </c>
      <c r="M221" s="16" t="str">
        <f>CONCATENATE("update participantes set correo=",C221," where id=",A221,";")</f>
        <v>update participantes set correo='andresebastian.villagranarodriguez' where id=1220;</v>
      </c>
    </row>
    <row r="222" spans="1:13" ht="130.5" x14ac:dyDescent="0.35">
      <c r="A222" s="16">
        <v>1221</v>
      </c>
      <c r="B222" s="18" t="s">
        <v>1754</v>
      </c>
      <c r="C222" s="16" t="str">
        <f>CONCATENATE("'",Alumnos!E134,"'")</f>
        <v>'cesareduardo.valenciacastillo'</v>
      </c>
      <c r="D222" s="16" t="str">
        <f>CONCATENATE(Alumnos!F134,"'")</f>
        <v>'109810'</v>
      </c>
      <c r="E222" s="16" t="s">
        <v>1755</v>
      </c>
      <c r="F222" s="16" t="str">
        <f>CONCATENATE("'",Alumnos!H134,"'")</f>
        <v>'VALENCIA CASTILLO CESAR EDUARDO'</v>
      </c>
      <c r="G222" s="16" t="str">
        <f>CONCATENATE("'",Alumnos!I134,"'")</f>
        <v>'INGENIERIA AEROESPACIAL'</v>
      </c>
      <c r="H222" s="16" t="str">
        <f>CONCATENATE("'",Alumnos!J134,"'")</f>
        <v>'10mo'</v>
      </c>
      <c r="I222" s="16" t="str">
        <f>UPPER(CONCATENATE("'",Alumnos!K134,"'"))</f>
        <v>'MASCULINO'</v>
      </c>
      <c r="J222" s="16" t="str">
        <f>UPPER(CONCATENATE("'",Alumnos!L134,"'"))</f>
        <v>'ACTIVO'</v>
      </c>
      <c r="K222" s="16" t="str">
        <f>CONCATENATE(A222,",",B222,",",C222,",",D222,",'",E222,",",F222,",",G222,",",H222,",",UPPER(I222),",",UPPER(J222),",'',0,0,'','ALUMNO'")</f>
        <v>1221,'LICENCIATURA','cesareduardo.valenciacastillo','109810','TOMAR DEL SND','VALENCIA CASTILLO CESAR EDUARDO','INGENIERIA AEROESPACIAL','10mo','MASCULINO','ACTIVO','',0,0,'','ALUMNO'</v>
      </c>
      <c r="L222" s="16" t="str">
        <f>CONCATENATE($K$1,K222,");")</f>
        <v>INSERT INTO participantes (id,nivel,correo,matricula,clave,nombre,carrera,grado,sexo,situacion,evaluados,num_evaluados,total_evaluaciones,ultimo_acceso,nivel_acceso) VALUES (1221,'LICENCIATURA','cesareduardo.valenciacastillo','109810','TOMAR DEL SND','VALENCIA CASTILLO CESAR EDUARDO','INGENIERIA AEROESPACIAL','10mo','MASCULINO','ACTIVO','',0,0,'','ALUMNO');</v>
      </c>
      <c r="M222" s="16" t="str">
        <f>CONCATENATE("update participantes set correo=",C222," where id=",A222,";")</f>
        <v>update participantes set correo='cesareduardo.valenciacastillo' where id=1221;</v>
      </c>
    </row>
    <row r="223" spans="1:13" ht="130.5" x14ac:dyDescent="0.35">
      <c r="A223" s="16">
        <v>1222</v>
      </c>
      <c r="B223" s="18" t="s">
        <v>1754</v>
      </c>
      <c r="C223" s="16" t="str">
        <f>CONCATENATE("'",Alumnos!E574,"'")</f>
        <v>'sebastian.martincampos'</v>
      </c>
      <c r="D223" s="16" t="str">
        <f>CONCATENATE(Alumnos!F574,"'")</f>
        <v>'109812'</v>
      </c>
      <c r="E223" s="16" t="s">
        <v>1755</v>
      </c>
      <c r="F223" s="16" t="str">
        <f>CONCATENATE("'",Alumnos!H574,"'")</f>
        <v>'MARTIN CAMPOS SEBASTIAN'</v>
      </c>
      <c r="G223" s="16" t="str">
        <f>CONCATENATE("'",Alumnos!I574,"'")</f>
        <v>'INGENIERIA AEROESPACIAL'</v>
      </c>
      <c r="H223" s="16" t="str">
        <f>CONCATENATE("'",Alumnos!J574,"'")</f>
        <v>'10mo'</v>
      </c>
      <c r="I223" s="16" t="str">
        <f>UPPER(CONCATENATE("'",Alumnos!K574,"'"))</f>
        <v>'MASCULINO'</v>
      </c>
      <c r="J223" s="16" t="str">
        <f>UPPER(CONCATENATE("'",Alumnos!L574,"'"))</f>
        <v>'ACTIVO'</v>
      </c>
      <c r="K223" s="16" t="str">
        <f>CONCATENATE(A223,",",B223,",",C223,",",D223,",'",E223,",",F223,",",G223,",",H223,",",UPPER(I223),",",UPPER(J223),",'',0,0,'','ALUMNO'")</f>
        <v>1222,'LICENCIATURA','sebastian.martincampos','109812','TOMAR DEL SND','MARTIN CAMPOS SEBASTIAN','INGENIERIA AEROESPACIAL','10mo','MASCULINO','ACTIVO','',0,0,'','ALUMNO'</v>
      </c>
      <c r="L223" s="16" t="str">
        <f>CONCATENATE($K$1,K223,");")</f>
        <v>INSERT INTO participantes (id,nivel,correo,matricula,clave,nombre,carrera,grado,sexo,situacion,evaluados,num_evaluados,total_evaluaciones,ultimo_acceso,nivel_acceso) VALUES (1222,'LICENCIATURA','sebastian.martincampos','109812','TOMAR DEL SND','MARTIN CAMPOS SEBASTIAN','INGENIERIA AEROESPACIAL','10mo','MASCULINO','ACTIVO','',0,0,'','ALUMNO');</v>
      </c>
      <c r="M223" s="16" t="str">
        <f>CONCATENATE("update participantes set correo=",C223," where id=",A223,";")</f>
        <v>update participantes set correo='sebastian.martincampos' where id=1222;</v>
      </c>
    </row>
    <row r="224" spans="1:13" ht="130.5" x14ac:dyDescent="0.35">
      <c r="A224" s="16">
        <v>1223</v>
      </c>
      <c r="B224" s="18" t="s">
        <v>1754</v>
      </c>
      <c r="C224" s="16" t="str">
        <f>CONCATENATE("'",Alumnos!E137,"'")</f>
        <v>'christianalejandro.dealbagutierrez'</v>
      </c>
      <c r="D224" s="16" t="str">
        <f>CONCATENATE(Alumnos!F137,"'")</f>
        <v>'109813'</v>
      </c>
      <c r="E224" s="16" t="s">
        <v>1755</v>
      </c>
      <c r="F224" s="16" t="str">
        <f>CONCATENATE("'",Alumnos!H137,"'")</f>
        <v>'DE ALBA GUTIERREZ CHRISTIAN ALEJANDRO'</v>
      </c>
      <c r="G224" s="16" t="str">
        <f>CONCATENATE("'",Alumnos!I137,"'")</f>
        <v>'INGENIERIA AEROESPACIAL'</v>
      </c>
      <c r="H224" s="16" t="str">
        <f>CONCATENATE("'",Alumnos!J137,"'")</f>
        <v>'10mo'</v>
      </c>
      <c r="I224" s="16" t="str">
        <f>UPPER(CONCATENATE("'",Alumnos!K137,"'"))</f>
        <v>'MASCULINO'</v>
      </c>
      <c r="J224" s="16" t="str">
        <f>UPPER(CONCATENATE("'",Alumnos!L137,"'"))</f>
        <v>'ACTIVO'</v>
      </c>
      <c r="K224" s="16" t="str">
        <f>CONCATENATE(A224,",",B224,",",C224,",",D224,",'",E224,",",F224,",",G224,",",H224,",",UPPER(I224),",",UPPER(J224),",'',0,0,'','ALUMNO'")</f>
        <v>1223,'LICENCIATURA','christianalejandro.dealbagutierrez','109813','TOMAR DEL SND','DE ALBA GUTIERREZ CHRISTIAN ALEJANDRO','INGENIERIA AEROESPACIAL','10mo','MASCULINO','ACTIVO','',0,0,'','ALUMNO'</v>
      </c>
      <c r="L224" s="16" t="str">
        <f>CONCATENATE($K$1,K224,");")</f>
        <v>INSERT INTO participantes (id,nivel,correo,matricula,clave,nombre,carrera,grado,sexo,situacion,evaluados,num_evaluados,total_evaluaciones,ultimo_acceso,nivel_acceso) VALUES (1223,'LICENCIATURA','christianalejandro.dealbagutierrez','109813','TOMAR DEL SND','DE ALBA GUTIERREZ CHRISTIAN ALEJANDRO','INGENIERIA AEROESPACIAL','10mo','MASCULINO','ACTIVO','',0,0,'','ALUMNO');</v>
      </c>
      <c r="M224" s="16" t="str">
        <f>CONCATENATE("update participantes set correo=",C224," where id=",A224,";")</f>
        <v>update participantes set correo='christianalejandro.dealbagutierrez' where id=1223;</v>
      </c>
    </row>
    <row r="225" spans="1:13" ht="116" x14ac:dyDescent="0.35">
      <c r="A225" s="16">
        <v>1224</v>
      </c>
      <c r="B225" s="18" t="s">
        <v>1754</v>
      </c>
      <c r="C225" s="16" t="str">
        <f>CONCATENATE("'",Alumnos!E8,"'")</f>
        <v>'adrian.esquedamacias'</v>
      </c>
      <c r="D225" s="16" t="str">
        <f>CONCATENATE(Alumnos!F8,"'")</f>
        <v>'109814'</v>
      </c>
      <c r="E225" s="16" t="s">
        <v>1755</v>
      </c>
      <c r="F225" s="16" t="str">
        <f>CONCATENATE("'",Alumnos!H8,"'")</f>
        <v>'ESQUEDA MACIAS ADRIAN'</v>
      </c>
      <c r="G225" s="16" t="str">
        <f>CONCATENATE("'",Alumnos!I8,"'")</f>
        <v>'INGENIERIA AEROESPACIAL'</v>
      </c>
      <c r="H225" s="16" t="str">
        <f>CONCATENATE("'",Alumnos!J8,"'")</f>
        <v>'10mo'</v>
      </c>
      <c r="I225" s="16" t="str">
        <f>UPPER(CONCATENATE("'",Alumnos!K8,"'"))</f>
        <v>'MASCULINO'</v>
      </c>
      <c r="J225" s="16" t="str">
        <f>UPPER(CONCATENATE("'",Alumnos!L8,"'"))</f>
        <v>'ACTIVO'</v>
      </c>
      <c r="K225" s="16" t="str">
        <f>CONCATENATE(A225,",",B225,",",C225,",",D225,",'",E225,",",F225,",",G225,",",H225,",",UPPER(I225),",",UPPER(J225),",'',0,0,'','ALUMNO'")</f>
        <v>1224,'LICENCIATURA','adrian.esquedamacias','109814','TOMAR DEL SND','ESQUEDA MACIAS ADRIAN','INGENIERIA AEROESPACIAL','10mo','MASCULINO','ACTIVO','',0,0,'','ALUMNO'</v>
      </c>
      <c r="L225" s="16" t="str">
        <f>CONCATENATE($K$1,K225,");")</f>
        <v>INSERT INTO participantes (id,nivel,correo,matricula,clave,nombre,carrera,grado,sexo,situacion,evaluados,num_evaluados,total_evaluaciones,ultimo_acceso,nivel_acceso) VALUES (1224,'LICENCIATURA','adrian.esquedamacias','109814','TOMAR DEL SND','ESQUEDA MACIAS ADRIAN','INGENIERIA AEROESPACIAL','10mo','MASCULINO','ACTIVO','',0,0,'','ALUMNO');</v>
      </c>
      <c r="M225" s="16" t="str">
        <f>CONCATENATE("update participantes set correo=",C225," where id=",A225,";")</f>
        <v>update participantes set correo='adrian.esquedamacias' where id=1224;</v>
      </c>
    </row>
    <row r="226" spans="1:13" ht="130.5" x14ac:dyDescent="0.35">
      <c r="A226" s="16">
        <v>1225</v>
      </c>
      <c r="B226" s="18" t="s">
        <v>1754</v>
      </c>
      <c r="C226" s="16" t="str">
        <f>CONCATENATE("'",Alumnos!E81,"'")</f>
        <v>'angelfabian.abrahamjuarez'</v>
      </c>
      <c r="D226" s="16" t="str">
        <f>CONCATENATE(Alumnos!F81,"'")</f>
        <v>'109824'</v>
      </c>
      <c r="E226" s="16" t="s">
        <v>1755</v>
      </c>
      <c r="F226" s="16" t="str">
        <f>CONCATENATE("'",Alumnos!H81,"'")</f>
        <v>'ABRAHAM JUAREZ ANGEL FABIAN'</v>
      </c>
      <c r="G226" s="16" t="str">
        <f>CONCATENATE("'",Alumnos!I81,"'")</f>
        <v>'INGENIERIA AEROESPACIAL'</v>
      </c>
      <c r="H226" s="16" t="str">
        <f>CONCATENATE("'",Alumnos!J81,"'")</f>
        <v>'10mo'</v>
      </c>
      <c r="I226" s="16" t="str">
        <f>UPPER(CONCATENATE("'",Alumnos!K81,"'"))</f>
        <v>'MASCULINO'</v>
      </c>
      <c r="J226" s="16" t="str">
        <f>UPPER(CONCATENATE("'",Alumnos!L81,"'"))</f>
        <v>'ACTIVO'</v>
      </c>
      <c r="K226" s="16" t="str">
        <f>CONCATENATE(A226,",",B226,",",C226,",",D226,",'",E226,",",F226,",",G226,",",H226,",",UPPER(I226),",",UPPER(J226),",'',0,0,'','ALUMNO'")</f>
        <v>1225,'LICENCIATURA','angelfabian.abrahamjuarez','109824','TOMAR DEL SND','ABRAHAM JUAREZ ANGEL FABIAN','INGENIERIA AEROESPACIAL','10mo','MASCULINO','ACTIVO','',0,0,'','ALUMNO'</v>
      </c>
      <c r="L226" s="16" t="str">
        <f>CONCATENATE($K$1,K226,");")</f>
        <v>INSERT INTO participantes (id,nivel,correo,matricula,clave,nombre,carrera,grado,sexo,situacion,evaluados,num_evaluados,total_evaluaciones,ultimo_acceso,nivel_acceso) VALUES (1225,'LICENCIATURA','angelfabian.abrahamjuarez','109824','TOMAR DEL SND','ABRAHAM JUAREZ ANGEL FABIAN','INGENIERIA AEROESPACIAL','10mo','MASCULINO','ACTIVO','',0,0,'','ALUMNO');</v>
      </c>
      <c r="M226" s="16" t="str">
        <f>CONCATENATE("update participantes set correo=",C226," where id=",A226,";")</f>
        <v>update participantes set correo='angelfabian.abrahamjuarez' where id=1225;</v>
      </c>
    </row>
    <row r="227" spans="1:13" ht="116" x14ac:dyDescent="0.35">
      <c r="A227" s="16">
        <v>1226</v>
      </c>
      <c r="B227" s="18" t="s">
        <v>1754</v>
      </c>
      <c r="C227" s="16" t="str">
        <f>CONCATENATE("'",Alumnos!E502,"'")</f>
        <v>'oscar.gomezgonzalez'</v>
      </c>
      <c r="D227" s="16" t="str">
        <f>CONCATENATE(Alumnos!F502,"'")</f>
        <v>'109834'</v>
      </c>
      <c r="E227" s="16" t="s">
        <v>1755</v>
      </c>
      <c r="F227" s="16" t="str">
        <f>CONCATENATE("'",Alumnos!H502,"'")</f>
        <v>'GOMEZ GONZALEZ OSCAR'</v>
      </c>
      <c r="G227" s="16" t="str">
        <f>CONCATENATE("'",Alumnos!I502,"'")</f>
        <v>'INGENIERIA AEROESPACIAL'</v>
      </c>
      <c r="H227" s="16" t="str">
        <f>CONCATENATE("'",Alumnos!J502,"'")</f>
        <v>'10mo'</v>
      </c>
      <c r="I227" s="16" t="str">
        <f>UPPER(CONCATENATE("'",Alumnos!K502,"'"))</f>
        <v>'MASCULINO'</v>
      </c>
      <c r="J227" s="16" t="str">
        <f>UPPER(CONCATENATE("'",Alumnos!L502,"'"))</f>
        <v>'ACTIVO'</v>
      </c>
      <c r="K227" s="16" t="str">
        <f>CONCATENATE(A227,",",B227,",",C227,",",D227,",'",E227,",",F227,",",G227,",",H227,",",UPPER(I227),",",UPPER(J227),",'',0,0,'','ALUMNO'")</f>
        <v>1226,'LICENCIATURA','oscar.gomezgonzalez','109834','TOMAR DEL SND','GOMEZ GONZALEZ OSCAR','INGENIERIA AEROESPACIAL','10mo','MASCULINO','ACTIVO','',0,0,'','ALUMNO'</v>
      </c>
      <c r="L227" s="16" t="str">
        <f>CONCATENATE($K$1,K227,");")</f>
        <v>INSERT INTO participantes (id,nivel,correo,matricula,clave,nombre,carrera,grado,sexo,situacion,evaluados,num_evaluados,total_evaluaciones,ultimo_acceso,nivel_acceso) VALUES (1226,'LICENCIATURA','oscar.gomezgonzalez','109834','TOMAR DEL SND','GOMEZ GONZALEZ OSCAR','INGENIERIA AEROESPACIAL','10mo','MASCULINO','ACTIVO','',0,0,'','ALUMNO');</v>
      </c>
      <c r="M227" s="16" t="str">
        <f>CONCATENATE("update participantes set correo=",C227," where id=",A227,";")</f>
        <v>update participantes set correo='oscar.gomezgonzalez' where id=1226;</v>
      </c>
    </row>
    <row r="228" spans="1:13" ht="116" x14ac:dyDescent="0.35">
      <c r="A228" s="16">
        <v>1227</v>
      </c>
      <c r="B228" s="18" t="s">
        <v>1754</v>
      </c>
      <c r="C228" s="16" t="str">
        <f>CONCATENATE("'",Alumnos!E581,"'")</f>
        <v>'sofia.carrillomatus'</v>
      </c>
      <c r="D228" s="16" t="str">
        <f>CONCATENATE(Alumnos!F581,"'")</f>
        <v>'109835'</v>
      </c>
      <c r="E228" s="16" t="s">
        <v>1755</v>
      </c>
      <c r="F228" s="16" t="str">
        <f>CONCATENATE("'",Alumnos!H581,"'")</f>
        <v>'CARRILLO MATUS SOFIA'</v>
      </c>
      <c r="G228" s="16" t="str">
        <f>CONCATENATE("'",Alumnos!I581,"'")</f>
        <v>'INGENIERIA AEROESPACIAL'</v>
      </c>
      <c r="H228" s="16" t="str">
        <f>CONCATENATE("'",Alumnos!J581,"'")</f>
        <v>'8vo'</v>
      </c>
      <c r="I228" s="16" t="str">
        <f>UPPER(CONCATENATE("'",Alumnos!K581,"'"))</f>
        <v>'FEMENINO'</v>
      </c>
      <c r="J228" s="16" t="str">
        <f>UPPER(CONCATENATE("'",Alumnos!L581,"'"))</f>
        <v>'ACTIVO'</v>
      </c>
      <c r="K228" s="16" t="str">
        <f>CONCATENATE(A228,",",B228,",",C228,",",D228,",'",E228,",",F228,",",G228,",",H228,",",UPPER(I228),",",UPPER(J228),",'',0,0,'','ALUMNO'")</f>
        <v>1227,'LICENCIATURA','sofia.carrillomatus','109835','TOMAR DEL SND','CARRILLO MATUS SOFIA','INGENIERIA AEROESPACIAL','8vo','FEMENINO','ACTIVO','',0,0,'','ALUMNO'</v>
      </c>
      <c r="L228" s="16" t="str">
        <f>CONCATENATE($K$1,K228,");")</f>
        <v>INSERT INTO participantes (id,nivel,correo,matricula,clave,nombre,carrera,grado,sexo,situacion,evaluados,num_evaluados,total_evaluaciones,ultimo_acceso,nivel_acceso) VALUES (1227,'LICENCIATURA','sofia.carrillomatus','109835','TOMAR DEL SND','CARRILLO MATUS SOFIA','INGENIERIA AEROESPACIAL','8vo','FEMENINO','ACTIVO','',0,0,'','ALUMNO');</v>
      </c>
      <c r="M228" s="16" t="str">
        <f>CONCATENATE("update participantes set correo=",C228," where id=",A228,";")</f>
        <v>update participantes set correo='sofia.carrillomatus' where id=1227;</v>
      </c>
    </row>
    <row r="229" spans="1:13" ht="116" x14ac:dyDescent="0.35">
      <c r="A229" s="16">
        <v>1228</v>
      </c>
      <c r="B229" s="18" t="s">
        <v>1754</v>
      </c>
      <c r="C229" s="16" t="str">
        <f>CONCATENATE("'",Alumnos!E578,"'")</f>
        <v>'sergiojose.gallegosramos'</v>
      </c>
      <c r="D229" s="16" t="str">
        <f>CONCATENATE(Alumnos!F578,"'")</f>
        <v>'109836'</v>
      </c>
      <c r="E229" s="16" t="s">
        <v>1755</v>
      </c>
      <c r="F229" s="16" t="str">
        <f>CONCATENATE("'",Alumnos!H578,"'")</f>
        <v>'GALLEGOS RAMOS SERGIO JOSE'</v>
      </c>
      <c r="G229" s="16" t="str">
        <f>CONCATENATE("'",Alumnos!I578,"'")</f>
        <v>'PSICOLOGIA'</v>
      </c>
      <c r="H229" s="16" t="str">
        <f>CONCATENATE("'",Alumnos!J578,"'")</f>
        <v>'8vo'</v>
      </c>
      <c r="I229" s="16" t="str">
        <f>UPPER(CONCATENATE("'",Alumnos!K578,"'"))</f>
        <v>'MASCULINO'</v>
      </c>
      <c r="J229" s="16" t="str">
        <f>UPPER(CONCATENATE("'",Alumnos!L578,"'"))</f>
        <v>'ACTIVO'</v>
      </c>
      <c r="K229" s="16" t="str">
        <f>CONCATENATE(A229,",",B229,",",C229,",",D229,",'",E229,",",F229,",",G229,",",H229,",",UPPER(I229),",",UPPER(J229),",'',0,0,'','ALUMNO'")</f>
        <v>1228,'LICENCIATURA','sergiojose.gallegosramos','109836','TOMAR DEL SND','GALLEGOS RAMOS SERGIO JOSE','PSICOLOGIA','8vo','MASCULINO','ACTIVO','',0,0,'','ALUMNO'</v>
      </c>
      <c r="L229" s="16" t="str">
        <f>CONCATENATE($K$1,K229,");")</f>
        <v>INSERT INTO participantes (id,nivel,correo,matricula,clave,nombre,carrera,grado,sexo,situacion,evaluados,num_evaluados,total_evaluaciones,ultimo_acceso,nivel_acceso) VALUES (1228,'LICENCIATURA','sergiojose.gallegosramos','109836','TOMAR DEL SND','GALLEGOS RAMOS SERGIO JOSE','PSICOLOGIA','8vo','MASCULINO','ACTIVO','',0,0,'','ALUMNO');</v>
      </c>
      <c r="M229" s="16" t="str">
        <f>CONCATENATE("update participantes set correo=",C229," where id=",A229,";")</f>
        <v>update participantes set correo='sergiojose.gallegosramos' where id=1228;</v>
      </c>
    </row>
    <row r="230" spans="1:13" ht="116" x14ac:dyDescent="0.35">
      <c r="A230" s="16">
        <v>1229</v>
      </c>
      <c r="B230" s="18" t="s">
        <v>1754</v>
      </c>
      <c r="C230" s="16" t="str">
        <f>CONCATENATE("'",Alumnos!E27,"'")</f>
        <v>'alejandro.barajasarias'</v>
      </c>
      <c r="D230" s="16" t="str">
        <f>CONCATENATE(Alumnos!F27,"'")</f>
        <v>'109839'</v>
      </c>
      <c r="E230" s="16" t="s">
        <v>1755</v>
      </c>
      <c r="F230" s="16" t="str">
        <f>CONCATENATE("'",Alumnos!H27,"'")</f>
        <v>'BARAJAS ARIAS ALEJANDRO'</v>
      </c>
      <c r="G230" s="16" t="str">
        <f>CONCATENATE("'",Alumnos!I27,"'")</f>
        <v>'INGENIERIA AEROESPACIAL'</v>
      </c>
      <c r="H230" s="16" t="str">
        <f>CONCATENATE("'",Alumnos!J27,"'")</f>
        <v>'10mo'</v>
      </c>
      <c r="I230" s="16" t="str">
        <f>UPPER(CONCATENATE("'",Alumnos!K27,"'"))</f>
        <v>'MASCULINO'</v>
      </c>
      <c r="J230" s="16" t="str">
        <f>UPPER(CONCATENATE("'",Alumnos!L27,"'"))</f>
        <v>'ACTIVO'</v>
      </c>
      <c r="K230" s="16" t="str">
        <f>CONCATENATE(A230,",",B230,",",C230,",",D230,",'",E230,",",F230,",",G230,",",H230,",",UPPER(I230),",",UPPER(J230),",'',0,0,'','ALUMNO'")</f>
        <v>1229,'LICENCIATURA','alejandro.barajasarias','109839','TOMAR DEL SND','BARAJAS ARIAS ALEJANDRO','INGENIERIA AEROESPACIAL','10mo','MASCULINO','ACTIVO','',0,0,'','ALUMNO'</v>
      </c>
      <c r="L230" s="16" t="str">
        <f>CONCATENATE($K$1,K230,");")</f>
        <v>INSERT INTO participantes (id,nivel,correo,matricula,clave,nombre,carrera,grado,sexo,situacion,evaluados,num_evaluados,total_evaluaciones,ultimo_acceso,nivel_acceso) VALUES (1229,'LICENCIATURA','alejandro.barajasarias','109839','TOMAR DEL SND','BARAJAS ARIAS ALEJANDRO','INGENIERIA AEROESPACIAL','10mo','MASCULINO','ACTIVO','',0,0,'','ALUMNO');</v>
      </c>
      <c r="M230" s="16" t="str">
        <f>CONCATENATE("update participantes set correo=",C230," where id=",A230,";")</f>
        <v>update participantes set correo='alejandro.barajasarias' where id=1229;</v>
      </c>
    </row>
    <row r="231" spans="1:13" ht="116" x14ac:dyDescent="0.35">
      <c r="A231" s="16">
        <v>1230</v>
      </c>
      <c r="B231" s="18" t="s">
        <v>1754</v>
      </c>
      <c r="C231" s="16" t="str">
        <f>CONCATENATE("'",Alumnos!E525,"'")</f>
        <v>'paloma.cervantescamacho'</v>
      </c>
      <c r="D231" s="16" t="str">
        <f>CONCATENATE(Alumnos!F525,"'")</f>
        <v>'109845'</v>
      </c>
      <c r="E231" s="16" t="s">
        <v>1755</v>
      </c>
      <c r="F231" s="16" t="str">
        <f>CONCATENATE("'",Alumnos!H525,"'")</f>
        <v>'CERVANTES CAMACHO PALOMA'</v>
      </c>
      <c r="G231" s="16" t="str">
        <f>CONCATENATE("'",Alumnos!I525,"'")</f>
        <v>'PSICOLOGIA'</v>
      </c>
      <c r="H231" s="16" t="str">
        <f>CONCATENATE("'",Alumnos!J525,"'")</f>
        <v>'8vo'</v>
      </c>
      <c r="I231" s="16" t="str">
        <f>UPPER(CONCATENATE("'",Alumnos!K525,"'"))</f>
        <v>'FEMENINO'</v>
      </c>
      <c r="J231" s="16" t="str">
        <f>UPPER(CONCATENATE("'",Alumnos!L525,"'"))</f>
        <v>'ACTIVO'</v>
      </c>
      <c r="K231" s="16" t="str">
        <f>CONCATENATE(A231,",",B231,",",C231,",",D231,",'",E231,",",F231,",",G231,",",H231,",",UPPER(I231),",",UPPER(J231),",'',0,0,'','ALUMNO'")</f>
        <v>1230,'LICENCIATURA','paloma.cervantescamacho','109845','TOMAR DEL SND','CERVANTES CAMACHO PALOMA','PSICOLOGIA','8vo','FEMENINO','ACTIVO','',0,0,'','ALUMNO'</v>
      </c>
      <c r="L231" s="16" t="str">
        <f>CONCATENATE($K$1,K231,");")</f>
        <v>INSERT INTO participantes (id,nivel,correo,matricula,clave,nombre,carrera,grado,sexo,situacion,evaluados,num_evaluados,total_evaluaciones,ultimo_acceso,nivel_acceso) VALUES (1230,'LICENCIATURA','paloma.cervantescamacho','109845','TOMAR DEL SND','CERVANTES CAMACHO PALOMA','PSICOLOGIA','8vo','FEMENINO','ACTIVO','',0,0,'','ALUMNO');</v>
      </c>
      <c r="M231" s="16" t="str">
        <f>CONCATENATE("update participantes set correo=",C231," where id=",A231,";")</f>
        <v>update participantes set correo='paloma.cervantescamacho' where id=1230;</v>
      </c>
    </row>
    <row r="232" spans="1:13" ht="130.5" x14ac:dyDescent="0.35">
      <c r="A232" s="16">
        <v>1231</v>
      </c>
      <c r="B232" s="18" t="s">
        <v>1754</v>
      </c>
      <c r="C232" s="16" t="str">
        <f>CONCATENATE("'",Alumnos!E36,"'")</f>
        <v>'alondra.arredondobautista'</v>
      </c>
      <c r="D232" s="16" t="str">
        <f>CONCATENATE(Alumnos!F36,"'")</f>
        <v>'109846'</v>
      </c>
      <c r="E232" s="16" t="s">
        <v>1755</v>
      </c>
      <c r="F232" s="16" t="str">
        <f>CONCATENATE("'",Alumnos!H36,"'")</f>
        <v>'ARREDONDO BAUTISTA ALONDRA'</v>
      </c>
      <c r="G232" s="16" t="str">
        <f>CONCATENATE("'",Alumnos!I36,"'")</f>
        <v>'INGENIERIA AEROESPACIAL'</v>
      </c>
      <c r="H232" s="16" t="str">
        <f>CONCATENATE("'",Alumnos!J36,"'")</f>
        <v>'10mo'</v>
      </c>
      <c r="I232" s="16" t="str">
        <f>UPPER(CONCATENATE("'",Alumnos!K36,"'"))</f>
        <v>'FEMENINO'</v>
      </c>
      <c r="J232" s="16" t="str">
        <f>UPPER(CONCATENATE("'",Alumnos!L36,"'"))</f>
        <v>'ACTIVO'</v>
      </c>
      <c r="K232" s="16" t="str">
        <f>CONCATENATE(A232,",",B232,",",C232,",",D232,",'",E232,",",F232,",",G232,",",H232,",",UPPER(I232),",",UPPER(J232),",'',0,0,'','ALUMNO'")</f>
        <v>1231,'LICENCIATURA','alondra.arredondobautista','109846','TOMAR DEL SND','ARREDONDO BAUTISTA ALONDRA','INGENIERIA AEROESPACIAL','10mo','FEMENINO','ACTIVO','',0,0,'','ALUMNO'</v>
      </c>
      <c r="L232" s="16" t="str">
        <f>CONCATENATE($K$1,K232,");")</f>
        <v>INSERT INTO participantes (id,nivel,correo,matricula,clave,nombre,carrera,grado,sexo,situacion,evaluados,num_evaluados,total_evaluaciones,ultimo_acceso,nivel_acceso) VALUES (1231,'LICENCIATURA','alondra.arredondobautista','109846','TOMAR DEL SND','ARREDONDO BAUTISTA ALONDRA','INGENIERIA AEROESPACIAL','10mo','FEMENINO','ACTIVO','',0,0,'','ALUMNO');</v>
      </c>
      <c r="M232" s="16" t="str">
        <f>CONCATENATE("update participantes set correo=",C232," where id=",A232,";")</f>
        <v>update participantes set correo='alondra.arredondobautista' where id=1231;</v>
      </c>
    </row>
    <row r="233" spans="1:13" ht="130.5" x14ac:dyDescent="0.35">
      <c r="A233" s="16">
        <v>1232</v>
      </c>
      <c r="B233" s="18" t="s">
        <v>1754</v>
      </c>
      <c r="C233" s="16" t="str">
        <f>CONCATENATE("'",Alumnos!E495,"'")</f>
        <v>'nicolguadalupe.hermosillomexia'</v>
      </c>
      <c r="D233" s="16" t="str">
        <f>CONCATENATE(Alumnos!F495,"'")</f>
        <v>'109849'</v>
      </c>
      <c r="E233" s="16" t="s">
        <v>1755</v>
      </c>
      <c r="F233" s="16" t="str">
        <f>CONCATENATE("'",Alumnos!H495,"'")</f>
        <v>'HERMOSILLO MEXIA NICOL GUADALUPE'</v>
      </c>
      <c r="G233" s="16" t="str">
        <f>CONCATENATE("'",Alumnos!I495,"'")</f>
        <v>'INGENIERIA AEROESPACIAL'</v>
      </c>
      <c r="H233" s="16" t="str">
        <f>CONCATENATE("'",Alumnos!J495,"'")</f>
        <v>'10mo'</v>
      </c>
      <c r="I233" s="16" t="str">
        <f>UPPER(CONCATENATE("'",Alumnos!K495,"'"))</f>
        <v>'FEMENINO'</v>
      </c>
      <c r="J233" s="16" t="str">
        <f>UPPER(CONCATENATE("'",Alumnos!L495,"'"))</f>
        <v>'ACTIVO'</v>
      </c>
      <c r="K233" s="16" t="str">
        <f>CONCATENATE(A233,",",B233,",",C233,",",D233,",'",E233,",",F233,",",G233,",",H233,",",UPPER(I233),",",UPPER(J233),",'',0,0,'','ALUMNO'")</f>
        <v>1232,'LICENCIATURA','nicolguadalupe.hermosillomexia','109849','TOMAR DEL SND','HERMOSILLO MEXIA NICOL GUADALUPE','INGENIERIA AEROESPACIAL','10mo','FEMENINO','ACTIVO','',0,0,'','ALUMNO'</v>
      </c>
      <c r="L233" s="16" t="str">
        <f>CONCATENATE($K$1,K233,");")</f>
        <v>INSERT INTO participantes (id,nivel,correo,matricula,clave,nombre,carrera,grado,sexo,situacion,evaluados,num_evaluados,total_evaluaciones,ultimo_acceso,nivel_acceso) VALUES (1232,'LICENCIATURA','nicolguadalupe.hermosillomexia','109849','TOMAR DEL SND','HERMOSILLO MEXIA NICOL GUADALUPE','INGENIERIA AEROESPACIAL','10mo','FEMENINO','ACTIVO','',0,0,'','ALUMNO');</v>
      </c>
      <c r="M233" s="16" t="str">
        <f>CONCATENATE("update participantes set correo=",C233," where id=",A233,";")</f>
        <v>update participantes set correo='nicolguadalupe.hermosillomexia' where id=1232;</v>
      </c>
    </row>
    <row r="234" spans="1:13" ht="130.5" x14ac:dyDescent="0.35">
      <c r="A234" s="16">
        <v>1233</v>
      </c>
      <c r="B234" s="18" t="s">
        <v>1754</v>
      </c>
      <c r="C234" s="16" t="str">
        <f>CONCATENATE("'",Alumnos!E520,"'")</f>
        <v>'pabloleonardo.aguirreastorga'</v>
      </c>
      <c r="D234" s="16" t="str">
        <f>CONCATENATE(Alumnos!F520,"'")</f>
        <v>'109851'</v>
      </c>
      <c r="E234" s="16" t="s">
        <v>1755</v>
      </c>
      <c r="F234" s="16" t="str">
        <f>CONCATENATE("'",Alumnos!H520,"'")</f>
        <v>'AGUIRRE ASTORGA PABLO LEONARDO'</v>
      </c>
      <c r="G234" s="16" t="str">
        <f>CONCATENATE("'",Alumnos!I520,"'")</f>
        <v>'INGENIERIA AEROESPACIAL'</v>
      </c>
      <c r="H234" s="16" t="str">
        <f>CONCATENATE("'",Alumnos!J520,"'")</f>
        <v>'4to'</v>
      </c>
      <c r="I234" s="16" t="str">
        <f>UPPER(CONCATENATE("'",Alumnos!K520,"'"))</f>
        <v>'MASCULINO'</v>
      </c>
      <c r="J234" s="16" t="str">
        <f>UPPER(CONCATENATE("'",Alumnos!L520,"'"))</f>
        <v>'ACTIVO'</v>
      </c>
      <c r="K234" s="16" t="str">
        <f>CONCATENATE(A234,",",B234,",",C234,",",D234,",'",E234,",",F234,",",G234,",",H234,",",UPPER(I234),",",UPPER(J234),",'',0,0,'','ALUMNO'")</f>
        <v>1233,'LICENCIATURA','pabloleonardo.aguirreastorga','109851','TOMAR DEL SND','AGUIRRE ASTORGA PABLO LEONARDO','INGENIERIA AEROESPACIAL','4to','MASCULINO','ACTIVO','',0,0,'','ALUMNO'</v>
      </c>
      <c r="L234" s="16" t="str">
        <f>CONCATENATE($K$1,K234,");")</f>
        <v>INSERT INTO participantes (id,nivel,correo,matricula,clave,nombre,carrera,grado,sexo,situacion,evaluados,num_evaluados,total_evaluaciones,ultimo_acceso,nivel_acceso) VALUES (1233,'LICENCIATURA','pabloleonardo.aguirreastorga','109851','TOMAR DEL SND','AGUIRRE ASTORGA PABLO LEONARDO','INGENIERIA AEROESPACIAL','4to','MASCULINO','ACTIVO','',0,0,'','ALUMNO');</v>
      </c>
      <c r="M234" s="16" t="str">
        <f>CONCATENATE("update participantes set correo=",C234," where id=",A234,";")</f>
        <v>update participantes set correo='pabloleonardo.aguirreastorga' where id=1233;</v>
      </c>
    </row>
    <row r="235" spans="1:13" ht="130.5" x14ac:dyDescent="0.35">
      <c r="A235" s="16">
        <v>1234</v>
      </c>
      <c r="B235" s="18" t="s">
        <v>1754</v>
      </c>
      <c r="C235" s="16" t="str">
        <f>CONCATENATE("'",Alumnos!E116,"'")</f>
        <v>'brunojoel.alvaradochavez'</v>
      </c>
      <c r="D235" s="16" t="str">
        <f>CONCATENATE(Alumnos!F116,"'")</f>
        <v>'109852'</v>
      </c>
      <c r="E235" s="16" t="s">
        <v>1755</v>
      </c>
      <c r="F235" s="16" t="str">
        <f>CONCATENATE("'",Alumnos!H116,"'")</f>
        <v>'ALVARADO CHAVEZ BRUNO JOEL'</v>
      </c>
      <c r="G235" s="16" t="str">
        <f>CONCATENATE("'",Alumnos!I116,"'")</f>
        <v>'INGENIERIA AEROESPACIAL'</v>
      </c>
      <c r="H235" s="16" t="str">
        <f>CONCATENATE("'",Alumnos!J116,"'")</f>
        <v>'10mo'</v>
      </c>
      <c r="I235" s="16" t="str">
        <f>UPPER(CONCATENATE("'",Alumnos!K116,"'"))</f>
        <v>'MASCULINO'</v>
      </c>
      <c r="J235" s="16" t="str">
        <f>UPPER(CONCATENATE("'",Alumnos!L116,"'"))</f>
        <v>'ACTIVO'</v>
      </c>
      <c r="K235" s="16" t="str">
        <f>CONCATENATE(A235,",",B235,",",C235,",",D235,",'",E235,",",F235,",",G235,",",H235,",",UPPER(I235),",",UPPER(J235),",'',0,0,'','ALUMNO'")</f>
        <v>1234,'LICENCIATURA','brunojoel.alvaradochavez','109852','TOMAR DEL SND','ALVARADO CHAVEZ BRUNO JOEL','INGENIERIA AEROESPACIAL','10mo','MASCULINO','ACTIVO','',0,0,'','ALUMNO'</v>
      </c>
      <c r="L235" s="16" t="str">
        <f>CONCATENATE($K$1,K235,");")</f>
        <v>INSERT INTO participantes (id,nivel,correo,matricula,clave,nombre,carrera,grado,sexo,situacion,evaluados,num_evaluados,total_evaluaciones,ultimo_acceso,nivel_acceso) VALUES (1234,'LICENCIATURA','brunojoel.alvaradochavez','109852','TOMAR DEL SND','ALVARADO CHAVEZ BRUNO JOEL','INGENIERIA AEROESPACIAL','10mo','MASCULINO','ACTIVO','',0,0,'','ALUMNO');</v>
      </c>
      <c r="M235" s="16" t="str">
        <f>CONCATENATE("update participantes set correo=",C235," where id=",A235,";")</f>
        <v>update participantes set correo='brunojoel.alvaradochavez' where id=1234;</v>
      </c>
    </row>
    <row r="236" spans="1:13" ht="130.5" x14ac:dyDescent="0.35">
      <c r="A236" s="16">
        <v>1235</v>
      </c>
      <c r="B236" s="18" t="s">
        <v>1754</v>
      </c>
      <c r="C236" s="16" t="str">
        <f>CONCATENATE("'",Alumnos!E38,"'")</f>
        <v>'alondraarhemi.gonzalezorozco'</v>
      </c>
      <c r="D236" s="16" t="str">
        <f>CONCATENATE(Alumnos!F38,"'")</f>
        <v>'109856'</v>
      </c>
      <c r="E236" s="16" t="s">
        <v>1755</v>
      </c>
      <c r="F236" s="16" t="str">
        <f>CONCATENATE("'",Alumnos!H38,"'")</f>
        <v>'GONZALEZ OROZCO ALONDRA ARHEMI'</v>
      </c>
      <c r="G236" s="16" t="str">
        <f>CONCATENATE("'",Alumnos!I38,"'")</f>
        <v>'INGENIERIA AEROESPACIAL'</v>
      </c>
      <c r="H236" s="16" t="str">
        <f>CONCATENATE("'",Alumnos!J38,"'")</f>
        <v>'10mo'</v>
      </c>
      <c r="I236" s="16" t="str">
        <f>UPPER(CONCATENATE("'",Alumnos!K38,"'"))</f>
        <v>'FEMENINO'</v>
      </c>
      <c r="J236" s="16" t="str">
        <f>UPPER(CONCATENATE("'",Alumnos!L38,"'"))</f>
        <v>'ACTIVO'</v>
      </c>
      <c r="K236" s="16" t="str">
        <f>CONCATENATE(A236,",",B236,",",C236,",",D236,",'",E236,",",F236,",",G236,",",H236,",",UPPER(I236),",",UPPER(J236),",'',0,0,'','ALUMNO'")</f>
        <v>1235,'LICENCIATURA','alondraarhemi.gonzalezorozco','109856','TOMAR DEL SND','GONZALEZ OROZCO ALONDRA ARHEMI','INGENIERIA AEROESPACIAL','10mo','FEMENINO','ACTIVO','',0,0,'','ALUMNO'</v>
      </c>
      <c r="L236" s="16" t="str">
        <f>CONCATENATE($K$1,K236,");")</f>
        <v>INSERT INTO participantes (id,nivel,correo,matricula,clave,nombre,carrera,grado,sexo,situacion,evaluados,num_evaluados,total_evaluaciones,ultimo_acceso,nivel_acceso) VALUES (1235,'LICENCIATURA','alondraarhemi.gonzalezorozco','109856','TOMAR DEL SND','GONZALEZ OROZCO ALONDRA ARHEMI','INGENIERIA AEROESPACIAL','10mo','FEMENINO','ACTIVO','',0,0,'','ALUMNO');</v>
      </c>
      <c r="M236" s="16" t="str">
        <f>CONCATENATE("update participantes set correo=",C236," where id=",A236,";")</f>
        <v>update participantes set correo='alondraarhemi.gonzalezorozco' where id=1235;</v>
      </c>
    </row>
    <row r="237" spans="1:13" ht="130.5" x14ac:dyDescent="0.35">
      <c r="A237" s="16">
        <v>1236</v>
      </c>
      <c r="B237" s="18" t="s">
        <v>1754</v>
      </c>
      <c r="C237" s="16" t="str">
        <f>CONCATENATE("'",Alumnos!E531,"'")</f>
        <v>'paulina.aguayocamacho'</v>
      </c>
      <c r="D237" s="16" t="str">
        <f>CONCATENATE(Alumnos!F531,"'")</f>
        <v>'109861'</v>
      </c>
      <c r="E237" s="16" t="s">
        <v>1755</v>
      </c>
      <c r="F237" s="16" t="str">
        <f>CONCATENATE("'",Alumnos!H531,"'")</f>
        <v>'AGUAYO CAMACHO PAULINA'</v>
      </c>
      <c r="G237" s="16" t="str">
        <f>CONCATENATE("'",Alumnos!I531,"'")</f>
        <v>'INGENIERIA AEROESPACIAL'</v>
      </c>
      <c r="H237" s="16" t="str">
        <f>CONCATENATE("'",Alumnos!J531,"'")</f>
        <v>'10mo'</v>
      </c>
      <c r="I237" s="16" t="str">
        <f>UPPER(CONCATENATE("'",Alumnos!K531,"'"))</f>
        <v>'FEMENINO'</v>
      </c>
      <c r="J237" s="16" t="str">
        <f>UPPER(CONCATENATE("'",Alumnos!L531,"'"))</f>
        <v>'ACTIVO'</v>
      </c>
      <c r="K237" s="16" t="str">
        <f>CONCATENATE(A237,",",B237,",",C237,",",D237,",'",E237,",",F237,",",G237,",",H237,",",UPPER(I237),",",UPPER(J237),",'',0,0,'','ALUMNO'")</f>
        <v>1236,'LICENCIATURA','paulina.aguayocamacho','109861','TOMAR DEL SND','AGUAYO CAMACHO PAULINA','INGENIERIA AEROESPACIAL','10mo','FEMENINO','ACTIVO','',0,0,'','ALUMNO'</v>
      </c>
      <c r="L237" s="16" t="str">
        <f>CONCATENATE($K$1,K237,");")</f>
        <v>INSERT INTO participantes (id,nivel,correo,matricula,clave,nombre,carrera,grado,sexo,situacion,evaluados,num_evaluados,total_evaluaciones,ultimo_acceso,nivel_acceso) VALUES (1236,'LICENCIATURA','paulina.aguayocamacho','109861','TOMAR DEL SND','AGUAYO CAMACHO PAULINA','INGENIERIA AEROESPACIAL','10mo','FEMENINO','ACTIVO','',0,0,'','ALUMNO');</v>
      </c>
      <c r="M237" s="16" t="str">
        <f>CONCATENATE("update participantes set correo=",C237," where id=",A237,";")</f>
        <v>update participantes set correo='paulina.aguayocamacho' where id=1236;</v>
      </c>
    </row>
    <row r="238" spans="1:13" ht="130.5" x14ac:dyDescent="0.35">
      <c r="A238" s="16">
        <v>1237</v>
      </c>
      <c r="B238" s="18" t="s">
        <v>1754</v>
      </c>
      <c r="C238" s="16" t="str">
        <f>CONCATENATE("'",Alumnos!E392,"'")</f>
        <v>'laurajosselin.contrerasvega'</v>
      </c>
      <c r="D238" s="16" t="str">
        <f>CONCATENATE(Alumnos!F392,"'")</f>
        <v>'109863'</v>
      </c>
      <c r="E238" s="16" t="s">
        <v>1755</v>
      </c>
      <c r="F238" s="16" t="str">
        <f>CONCATENATE("'",Alumnos!H392,"'")</f>
        <v>'CONTRERAS VEGA LAURA JOSSELIN'</v>
      </c>
      <c r="G238" s="16" t="str">
        <f>CONCATENATE("'",Alumnos!I392,"'")</f>
        <v>'INGENIERIA AEROESPACIAL'</v>
      </c>
      <c r="H238" s="16" t="str">
        <f>CONCATENATE("'",Alumnos!J392,"'")</f>
        <v>'10mo'</v>
      </c>
      <c r="I238" s="16" t="str">
        <f>UPPER(CONCATENATE("'",Alumnos!K392,"'"))</f>
        <v>'FEMENINO'</v>
      </c>
      <c r="J238" s="16" t="str">
        <f>UPPER(CONCATENATE("'",Alumnos!L392,"'"))</f>
        <v>'ACTIVO'</v>
      </c>
      <c r="K238" s="16" t="str">
        <f>CONCATENATE(A238,",",B238,",",C238,",",D238,",'",E238,",",F238,",",G238,",",H238,",",UPPER(I238),",",UPPER(J238),",'',0,0,'','ALUMNO'")</f>
        <v>1237,'LICENCIATURA','laurajosselin.contrerasvega','109863','TOMAR DEL SND','CONTRERAS VEGA LAURA JOSSELIN','INGENIERIA AEROESPACIAL','10mo','FEMENINO','ACTIVO','',0,0,'','ALUMNO'</v>
      </c>
      <c r="L238" s="16" t="str">
        <f>CONCATENATE($K$1,K238,");")</f>
        <v>INSERT INTO participantes (id,nivel,correo,matricula,clave,nombre,carrera,grado,sexo,situacion,evaluados,num_evaluados,total_evaluaciones,ultimo_acceso,nivel_acceso) VALUES (1237,'LICENCIATURA','laurajosselin.contrerasvega','109863','TOMAR DEL SND','CONTRERAS VEGA LAURA JOSSELIN','INGENIERIA AEROESPACIAL','10mo','FEMENINO','ACTIVO','',0,0,'','ALUMNO');</v>
      </c>
      <c r="M238" s="16" t="str">
        <f>CONCATENATE("update participantes set correo=",C238," where id=",A238,";")</f>
        <v>update participantes set correo='laurajosselin.contrerasvega' where id=1237;</v>
      </c>
    </row>
    <row r="239" spans="1:13" ht="130.5" x14ac:dyDescent="0.35">
      <c r="A239" s="16">
        <v>1238</v>
      </c>
      <c r="B239" s="18" t="s">
        <v>1754</v>
      </c>
      <c r="C239" s="16" t="str">
        <f>CONCATENATE("'",Alumnos!E254,"'")</f>
        <v>'gilberto.nunezcontreras'</v>
      </c>
      <c r="D239" s="16" t="str">
        <f>CONCATENATE(Alumnos!F254,"'")</f>
        <v>'109865'</v>
      </c>
      <c r="E239" s="16" t="s">
        <v>1755</v>
      </c>
      <c r="F239" s="16" t="str">
        <f>CONCATENATE("'",Alumnos!H254,"'")</f>
        <v>'NUÑEZ CONTRERAS GILBERTO'</v>
      </c>
      <c r="G239" s="16" t="str">
        <f>CONCATENATE("'",Alumnos!I254,"'")</f>
        <v>'INGENIERIA AEROESPACIAL'</v>
      </c>
      <c r="H239" s="16" t="str">
        <f>CONCATENATE("'",Alumnos!J254,"'")</f>
        <v>'10mo'</v>
      </c>
      <c r="I239" s="16" t="str">
        <f>UPPER(CONCATENATE("'",Alumnos!K254,"'"))</f>
        <v>'MASCULINO'</v>
      </c>
      <c r="J239" s="16" t="str">
        <f>UPPER(CONCATENATE("'",Alumnos!L254,"'"))</f>
        <v>'ACTIVO'</v>
      </c>
      <c r="K239" s="16" t="str">
        <f>CONCATENATE(A239,",",B239,",",C239,",",D239,",'",E239,",",F239,",",G239,",",H239,",",UPPER(I239),",",UPPER(J239),",'',0,0,'','ALUMNO'")</f>
        <v>1238,'LICENCIATURA','gilberto.nunezcontreras','109865','TOMAR DEL SND','NUÑEZ CONTRERAS GILBERTO','INGENIERIA AEROESPACIAL','10mo','MASCULINO','ACTIVO','',0,0,'','ALUMNO'</v>
      </c>
      <c r="L239" s="16" t="str">
        <f>CONCATENATE($K$1,K239,");")</f>
        <v>INSERT INTO participantes (id,nivel,correo,matricula,clave,nombre,carrera,grado,sexo,situacion,evaluados,num_evaluados,total_evaluaciones,ultimo_acceso,nivel_acceso) VALUES (1238,'LICENCIATURA','gilberto.nunezcontreras','109865','TOMAR DEL SND','NUÑEZ CONTRERAS GILBERTO','INGENIERIA AEROESPACIAL','10mo','MASCULINO','ACTIVO','',0,0,'','ALUMNO');</v>
      </c>
      <c r="M239" s="16" t="str">
        <f>CONCATENATE("update participantes set correo=",C239," where id=",A239,";")</f>
        <v>update participantes set correo='gilberto.nunezcontreras' where id=1238;</v>
      </c>
    </row>
    <row r="240" spans="1:13" ht="130.5" x14ac:dyDescent="0.35">
      <c r="A240" s="16">
        <v>1239</v>
      </c>
      <c r="B240" s="18" t="s">
        <v>1754</v>
      </c>
      <c r="C240" s="16" t="str">
        <f>CONCATENATE("'",Alumnos!E43,"'")</f>
        <v>'amandacarmina.guzmanarias'</v>
      </c>
      <c r="D240" s="16" t="str">
        <f>CONCATENATE(Alumnos!F43,"'")</f>
        <v>'109882'</v>
      </c>
      <c r="E240" s="16" t="s">
        <v>1755</v>
      </c>
      <c r="F240" s="16" t="str">
        <f>CONCATENATE("'",Alumnos!H43,"'")</f>
        <v>'GUZMAN ARIAS AMANDA CARMIÑA'</v>
      </c>
      <c r="G240" s="16" t="str">
        <f>CONCATENATE("'",Alumnos!I43,"'")</f>
        <v>'INGENIERIA AEROESPACIAL'</v>
      </c>
      <c r="H240" s="16" t="str">
        <f>CONCATENATE("'",Alumnos!J43,"'")</f>
        <v>'10mo'</v>
      </c>
      <c r="I240" s="16" t="str">
        <f>UPPER(CONCATENATE("'",Alumnos!K43,"'"))</f>
        <v>'FEMENINO'</v>
      </c>
      <c r="J240" s="16" t="str">
        <f>UPPER(CONCATENATE("'",Alumnos!L43,"'"))</f>
        <v>'ACTIVO'</v>
      </c>
      <c r="K240" s="16" t="str">
        <f>CONCATENATE(A240,",",B240,",",C240,",",D240,",'",E240,",",F240,",",G240,",",H240,",",UPPER(I240),",",UPPER(J240),",'',0,0,'','ALUMNO'")</f>
        <v>1239,'LICENCIATURA','amandacarmina.guzmanarias','109882','TOMAR DEL SND','GUZMAN ARIAS AMANDA CARMIÑA','INGENIERIA AEROESPACIAL','10mo','FEMENINO','ACTIVO','',0,0,'','ALUMNO'</v>
      </c>
      <c r="L240" s="16" t="str">
        <f>CONCATENATE($K$1,K240,");")</f>
        <v>INSERT INTO participantes (id,nivel,correo,matricula,clave,nombre,carrera,grado,sexo,situacion,evaluados,num_evaluados,total_evaluaciones,ultimo_acceso,nivel_acceso) VALUES (1239,'LICENCIATURA','amandacarmina.guzmanarias','109882','TOMAR DEL SND','GUZMAN ARIAS AMANDA CARMIÑA','INGENIERIA AEROESPACIAL','10mo','FEMENINO','ACTIVO','',0,0,'','ALUMNO');</v>
      </c>
      <c r="M240" s="16" t="str">
        <f>CONCATENATE("update participantes set correo=",C240," where id=",A240,";")</f>
        <v>update participantes set correo='amandacarmina.guzmanarias' where id=1239;</v>
      </c>
    </row>
    <row r="241" spans="1:13" ht="130.5" x14ac:dyDescent="0.35">
      <c r="A241" s="16">
        <v>1240</v>
      </c>
      <c r="B241" s="18" t="s">
        <v>1754</v>
      </c>
      <c r="C241" s="16" t="str">
        <f>CONCATENATE("'",Alumnos!E562,"'")</f>
        <v>'samuelalejandro.montessaldate'</v>
      </c>
      <c r="D241" s="16" t="str">
        <f>CONCATENATE(Alumnos!F562,"'")</f>
        <v>'109891'</v>
      </c>
      <c r="E241" s="16" t="s">
        <v>1755</v>
      </c>
      <c r="F241" s="16" t="str">
        <f>CONCATENATE("'",Alumnos!H562,"'")</f>
        <v>'MONTES SALDATE SAMUEL ALEJANDRO'</v>
      </c>
      <c r="G241" s="16" t="str">
        <f>CONCATENATE("'",Alumnos!I562,"'")</f>
        <v>'INGENIERIA AEROESPACIAL'</v>
      </c>
      <c r="H241" s="16" t="str">
        <f>CONCATENATE("'",Alumnos!J562,"'")</f>
        <v>'10mo'</v>
      </c>
      <c r="I241" s="16" t="str">
        <f>UPPER(CONCATENATE("'",Alumnos!K562,"'"))</f>
        <v>'MASCULINO'</v>
      </c>
      <c r="J241" s="16" t="str">
        <f>UPPER(CONCATENATE("'",Alumnos!L562,"'"))</f>
        <v>'ACTIVO'</v>
      </c>
      <c r="K241" s="16" t="str">
        <f>CONCATENATE(A241,",",B241,",",C241,",",D241,",'",E241,",",F241,",",G241,",",H241,",",UPPER(I241),",",UPPER(J241),",'',0,0,'','ALUMNO'")</f>
        <v>1240,'LICENCIATURA','samuelalejandro.montessaldate','109891','TOMAR DEL SND','MONTES SALDATE SAMUEL ALEJANDRO','INGENIERIA AEROESPACIAL','10mo','MASCULINO','ACTIVO','',0,0,'','ALUMNO'</v>
      </c>
      <c r="L241" s="16" t="str">
        <f>CONCATENATE($K$1,K241,");")</f>
        <v>INSERT INTO participantes (id,nivel,correo,matricula,clave,nombre,carrera,grado,sexo,situacion,evaluados,num_evaluados,total_evaluaciones,ultimo_acceso,nivel_acceso) VALUES (1240,'LICENCIATURA','samuelalejandro.montessaldate','109891','TOMAR DEL SND','MONTES SALDATE SAMUEL ALEJANDRO','INGENIERIA AEROESPACIAL','10mo','MASCULINO','ACTIVO','',0,0,'','ALUMNO');</v>
      </c>
      <c r="M241" s="16" t="str">
        <f>CONCATENATE("update participantes set correo=",C241," where id=",A241,";")</f>
        <v>update participantes set correo='samuelalejandro.montessaldate' where id=1240;</v>
      </c>
    </row>
    <row r="242" spans="1:13" ht="130.5" x14ac:dyDescent="0.35">
      <c r="A242" s="16">
        <v>1241</v>
      </c>
      <c r="B242" s="18" t="s">
        <v>1754</v>
      </c>
      <c r="C242" s="16" t="str">
        <f>CONCATENATE("'",Alumnos!E311,"'")</f>
        <v>'jesusissahi.arizmendimendoza'</v>
      </c>
      <c r="D242" s="16" t="str">
        <f>CONCATENATE(Alumnos!F311,"'")</f>
        <v>'109899'</v>
      </c>
      <c r="E242" s="16" t="s">
        <v>1755</v>
      </c>
      <c r="F242" s="16" t="str">
        <f>CONCATENATE("'",Alumnos!H311,"'")</f>
        <v>'ARIZMENDI MENDOZA JESUS ISSAHI'</v>
      </c>
      <c r="G242" s="16" t="str">
        <f>CONCATENATE("'",Alumnos!I311,"'")</f>
        <v>'INGENIERIA AEROESPACIAL'</v>
      </c>
      <c r="H242" s="16" t="str">
        <f>CONCATENATE("'",Alumnos!J311,"'")</f>
        <v>'10mo'</v>
      </c>
      <c r="I242" s="16" t="str">
        <f>UPPER(CONCATENATE("'",Alumnos!K311,"'"))</f>
        <v>'MASCULINO'</v>
      </c>
      <c r="J242" s="16" t="str">
        <f>UPPER(CONCATENATE("'",Alumnos!L311,"'"))</f>
        <v>'ACTIVO'</v>
      </c>
      <c r="K242" s="16" t="str">
        <f>CONCATENATE(A242,",",B242,",",C242,",",D242,",'",E242,",",F242,",",G242,",",H242,",",UPPER(I242),",",UPPER(J242),",'',0,0,'','ALUMNO'")</f>
        <v>1241,'LICENCIATURA','jesusissahi.arizmendimendoza','109899','TOMAR DEL SND','ARIZMENDI MENDOZA JESUS ISSAHI','INGENIERIA AEROESPACIAL','10mo','MASCULINO','ACTIVO','',0,0,'','ALUMNO'</v>
      </c>
      <c r="L242" s="16" t="str">
        <f>CONCATENATE($K$1,K242,");")</f>
        <v>INSERT INTO participantes (id,nivel,correo,matricula,clave,nombre,carrera,grado,sexo,situacion,evaluados,num_evaluados,total_evaluaciones,ultimo_acceso,nivel_acceso) VALUES (1241,'LICENCIATURA','jesusissahi.arizmendimendoza','109899','TOMAR DEL SND','ARIZMENDI MENDOZA JESUS ISSAHI','INGENIERIA AEROESPACIAL','10mo','MASCULINO','ACTIVO','',0,0,'','ALUMNO');</v>
      </c>
      <c r="M242" s="16" t="str">
        <f>CONCATENATE("update participantes set correo=",C242," where id=",A242,";")</f>
        <v>update participantes set correo='jesusissahi.arizmendimendoza' where id=1241;</v>
      </c>
    </row>
    <row r="243" spans="1:13" ht="116" x14ac:dyDescent="0.35">
      <c r="A243" s="16">
        <v>1242</v>
      </c>
      <c r="B243" s="18" t="s">
        <v>1754</v>
      </c>
      <c r="C243" s="16" t="str">
        <f>CONCATENATE("'",Alumnos!E542,"'")</f>
        <v>'renata.pichardojaime'</v>
      </c>
      <c r="D243" s="16" t="str">
        <f>CONCATENATE(Alumnos!F542,"'")</f>
        <v>'109902'</v>
      </c>
      <c r="E243" s="16" t="s">
        <v>1755</v>
      </c>
      <c r="F243" s="16" t="str">
        <f>CONCATENATE("'",Alumnos!H542,"'")</f>
        <v>'PICHARDO JAIME RENATA'</v>
      </c>
      <c r="G243" s="16" t="str">
        <f>CONCATENATE("'",Alumnos!I542,"'")</f>
        <v>'INGENIERIA AEROESPACIAL'</v>
      </c>
      <c r="H243" s="16" t="str">
        <f>CONCATENATE("'",Alumnos!J542,"'")</f>
        <v>'10mo'</v>
      </c>
      <c r="I243" s="16" t="str">
        <f>UPPER(CONCATENATE("'",Alumnos!K542,"'"))</f>
        <v>'FEMENINO'</v>
      </c>
      <c r="J243" s="16" t="str">
        <f>UPPER(CONCATENATE("'",Alumnos!L542,"'"))</f>
        <v>'ACTIVO'</v>
      </c>
      <c r="K243" s="16" t="str">
        <f>CONCATENATE(A243,",",B243,",",C243,",",D243,",'",E243,",",F243,",",G243,",",H243,",",UPPER(I243),",",UPPER(J243),",'',0,0,'','ALUMNO'")</f>
        <v>1242,'LICENCIATURA','renata.pichardojaime','109902','TOMAR DEL SND','PICHARDO JAIME RENATA','INGENIERIA AEROESPACIAL','10mo','FEMENINO','ACTIVO','',0,0,'','ALUMNO'</v>
      </c>
      <c r="L243" s="16" t="str">
        <f>CONCATENATE($K$1,K243,");")</f>
        <v>INSERT INTO participantes (id,nivel,correo,matricula,clave,nombre,carrera,grado,sexo,situacion,evaluados,num_evaluados,total_evaluaciones,ultimo_acceso,nivel_acceso) VALUES (1242,'LICENCIATURA','renata.pichardojaime','109902','TOMAR DEL SND','PICHARDO JAIME RENATA','INGENIERIA AEROESPACIAL','10mo','FEMENINO','ACTIVO','',0,0,'','ALUMNO');</v>
      </c>
      <c r="M243" s="16" t="str">
        <f>CONCATENATE("update participantes set correo=",C243," where id=",A243,";")</f>
        <v>update participantes set correo='renata.pichardojaime' where id=1242;</v>
      </c>
    </row>
    <row r="244" spans="1:13" ht="130.5" x14ac:dyDescent="0.35">
      <c r="A244" s="16">
        <v>1243</v>
      </c>
      <c r="B244" s="18" t="s">
        <v>1754</v>
      </c>
      <c r="C244" s="16" t="str">
        <f>CONCATENATE("'",Alumnos!E353,"'")</f>
        <v>'juanmanuel.davaloshernandez'</v>
      </c>
      <c r="D244" s="16" t="str">
        <f>CONCATENATE(Alumnos!F353,"'")</f>
        <v>'109906'</v>
      </c>
      <c r="E244" s="16" t="s">
        <v>1755</v>
      </c>
      <c r="F244" s="16" t="str">
        <f>CONCATENATE("'",Alumnos!H353,"'")</f>
        <v>'DAVALOS HERNANDEZ JUAN MANUEL'</v>
      </c>
      <c r="G244" s="16" t="str">
        <f>CONCATENATE("'",Alumnos!I353,"'")</f>
        <v>'INGENIERIA AEROESPACIAL'</v>
      </c>
      <c r="H244" s="16" t="str">
        <f>CONCATENATE("'",Alumnos!J353,"'")</f>
        <v>'10mo'</v>
      </c>
      <c r="I244" s="16" t="str">
        <f>UPPER(CONCATENATE("'",Alumnos!K353,"'"))</f>
        <v>'MASCULINO'</v>
      </c>
      <c r="J244" s="16" t="str">
        <f>UPPER(CONCATENATE("'",Alumnos!L353,"'"))</f>
        <v>'ACTIVO'</v>
      </c>
      <c r="K244" s="16" t="str">
        <f>CONCATENATE(A244,",",B244,",",C244,",",D244,",'",E244,",",F244,",",G244,",",H244,",",UPPER(I244),",",UPPER(J244),",'',0,0,'','ALUMNO'")</f>
        <v>1243,'LICENCIATURA','juanmanuel.davaloshernandez','109906','TOMAR DEL SND','DAVALOS HERNANDEZ JUAN MANUEL','INGENIERIA AEROESPACIAL','10mo','MASCULINO','ACTIVO','',0,0,'','ALUMNO'</v>
      </c>
      <c r="L244" s="16" t="str">
        <f>CONCATENATE($K$1,K244,");")</f>
        <v>INSERT INTO participantes (id,nivel,correo,matricula,clave,nombre,carrera,grado,sexo,situacion,evaluados,num_evaluados,total_evaluaciones,ultimo_acceso,nivel_acceso) VALUES (1243,'LICENCIATURA','juanmanuel.davaloshernandez','109906','TOMAR DEL SND','DAVALOS HERNANDEZ JUAN MANUEL','INGENIERIA AEROESPACIAL','10mo','MASCULINO','ACTIVO','',0,0,'','ALUMNO');</v>
      </c>
      <c r="M244" s="16" t="str">
        <f>CONCATENATE("update participantes set correo=",C244," where id=",A244,";")</f>
        <v>update participantes set correo='juanmanuel.davaloshernandez' where id=1243;</v>
      </c>
    </row>
    <row r="245" spans="1:13" ht="130.5" x14ac:dyDescent="0.35">
      <c r="A245" s="16">
        <v>1244</v>
      </c>
      <c r="B245" s="18" t="s">
        <v>1754</v>
      </c>
      <c r="C245" s="16" t="str">
        <f>CONCATENATE("'",Alumnos!E374,"'")</f>
        <v>'karladaniela.zayasvillalobos'</v>
      </c>
      <c r="D245" s="16" t="str">
        <f>CONCATENATE(Alumnos!F374,"'")</f>
        <v>'109955'</v>
      </c>
      <c r="E245" s="16" t="s">
        <v>1755</v>
      </c>
      <c r="F245" s="16" t="str">
        <f>CONCATENATE("'",Alumnos!H374,"'")</f>
        <v>'ZAYAS VILLALOBOS KARLA DANIELA'</v>
      </c>
      <c r="G245" s="16" t="str">
        <f>CONCATENATE("'",Alumnos!I374,"'")</f>
        <v>'INGENIERIA AEROESPACIAL'</v>
      </c>
      <c r="H245" s="16" t="str">
        <f>CONCATENATE("'",Alumnos!J374,"'")</f>
        <v>'10mo'</v>
      </c>
      <c r="I245" s="16" t="str">
        <f>UPPER(CONCATENATE("'",Alumnos!K374,"'"))</f>
        <v>'FEMENINO'</v>
      </c>
      <c r="J245" s="16" t="str">
        <f>UPPER(CONCATENATE("'",Alumnos!L374,"'"))</f>
        <v>'ACTIVO'</v>
      </c>
      <c r="K245" s="16" t="str">
        <f>CONCATENATE(A245,",",B245,",",C245,",",D245,",'",E245,",",F245,",",G245,",",H245,",",UPPER(I245),",",UPPER(J245),",'',0,0,'','ALUMNO'")</f>
        <v>1244,'LICENCIATURA','karladaniela.zayasvillalobos','109955','TOMAR DEL SND','ZAYAS VILLALOBOS KARLA DANIELA','INGENIERIA AEROESPACIAL','10mo','FEMENINO','ACTIVO','',0,0,'','ALUMNO'</v>
      </c>
      <c r="L245" s="16" t="str">
        <f>CONCATENATE($K$1,K245,");")</f>
        <v>INSERT INTO participantes (id,nivel,correo,matricula,clave,nombre,carrera,grado,sexo,situacion,evaluados,num_evaluados,total_evaluaciones,ultimo_acceso,nivel_acceso) VALUES (1244,'LICENCIATURA','karladaniela.zayasvillalobos','109955','TOMAR DEL SND','ZAYAS VILLALOBOS KARLA DANIELA','INGENIERIA AEROESPACIAL','10mo','FEMENINO','ACTIVO','',0,0,'','ALUMNO');</v>
      </c>
      <c r="M245" s="16" t="str">
        <f>CONCATENATE("update participantes set correo=",C245," where id=",A245,";")</f>
        <v>update participantes set correo='karladaniela.zayasvillalobos' where id=1244;</v>
      </c>
    </row>
    <row r="246" spans="1:13" ht="130.5" x14ac:dyDescent="0.35">
      <c r="A246" s="16">
        <v>1245</v>
      </c>
      <c r="B246" s="18" t="s">
        <v>1754</v>
      </c>
      <c r="C246" s="16" t="str">
        <f>CONCATENATE("'",Alumnos!E301,"'")</f>
        <v>'javiereduardo.aguilarlugo'</v>
      </c>
      <c r="D246" s="16" t="str">
        <f>CONCATENATE(Alumnos!F301,"'")</f>
        <v>'109958'</v>
      </c>
      <c r="E246" s="16" t="s">
        <v>1755</v>
      </c>
      <c r="F246" s="16" t="str">
        <f>CONCATENATE("'",Alumnos!H301,"'")</f>
        <v>'AGUILAR LUGO JAVIER EDUARDO'</v>
      </c>
      <c r="G246" s="16" t="str">
        <f>CONCATENATE("'",Alumnos!I301,"'")</f>
        <v>'INGENIERIA AEROESPACIAL'</v>
      </c>
      <c r="H246" s="16" t="str">
        <f>CONCATENATE("'",Alumnos!J301,"'")</f>
        <v>'10mo'</v>
      </c>
      <c r="I246" s="16" t="str">
        <f>UPPER(CONCATENATE("'",Alumnos!K301,"'"))</f>
        <v>'MASCULINO'</v>
      </c>
      <c r="J246" s="16" t="str">
        <f>UPPER(CONCATENATE("'",Alumnos!L301,"'"))</f>
        <v>'ACTIVO'</v>
      </c>
      <c r="K246" s="16" t="str">
        <f>CONCATENATE(A246,",",B246,",",C246,",",D246,",'",E246,",",F246,",",G246,",",H246,",",UPPER(I246),",",UPPER(J246),",'',0,0,'','ALUMNO'")</f>
        <v>1245,'LICENCIATURA','javiereduardo.aguilarlugo','109958','TOMAR DEL SND','AGUILAR LUGO JAVIER EDUARDO','INGENIERIA AEROESPACIAL','10mo','MASCULINO','ACTIVO','',0,0,'','ALUMNO'</v>
      </c>
      <c r="L246" s="16" t="str">
        <f>CONCATENATE($K$1,K246,");")</f>
        <v>INSERT INTO participantes (id,nivel,correo,matricula,clave,nombre,carrera,grado,sexo,situacion,evaluados,num_evaluados,total_evaluaciones,ultimo_acceso,nivel_acceso) VALUES (1245,'LICENCIATURA','javiereduardo.aguilarlugo','109958','TOMAR DEL SND','AGUILAR LUGO JAVIER EDUARDO','INGENIERIA AEROESPACIAL','10mo','MASCULINO','ACTIVO','',0,0,'','ALUMNO');</v>
      </c>
      <c r="M246" s="16" t="str">
        <f>CONCATENATE("update participantes set correo=",C246," where id=",A246,";")</f>
        <v>update participantes set correo='javiereduardo.aguilarlugo' where id=1245;</v>
      </c>
    </row>
    <row r="247" spans="1:13" ht="130.5" x14ac:dyDescent="0.35">
      <c r="A247" s="16">
        <v>1246</v>
      </c>
      <c r="B247" s="18" t="s">
        <v>1754</v>
      </c>
      <c r="C247" s="16" t="str">
        <f>CONCATENATE("'",Alumnos!E128,"'")</f>
        <v>'carolmarian.castillomunguia'</v>
      </c>
      <c r="D247" s="16" t="str">
        <f>CONCATENATE(Alumnos!F128,"'")</f>
        <v>'109970'</v>
      </c>
      <c r="E247" s="16" t="s">
        <v>1755</v>
      </c>
      <c r="F247" s="16" t="str">
        <f>CONCATENATE("'",Alumnos!H128,"'")</f>
        <v>'CASTILLO MUNGUIA CAROL MARIAN'</v>
      </c>
      <c r="G247" s="16" t="str">
        <f>CONCATENATE("'",Alumnos!I128,"'")</f>
        <v>'INGENIERIA AEROESPACIAL'</v>
      </c>
      <c r="H247" s="16" t="str">
        <f>CONCATENATE("'",Alumnos!J128,"'")</f>
        <v>'10mo'</v>
      </c>
      <c r="I247" s="16" t="str">
        <f>UPPER(CONCATENATE("'",Alumnos!K128,"'"))</f>
        <v>'FEMENINO'</v>
      </c>
      <c r="J247" s="16" t="str">
        <f>UPPER(CONCATENATE("'",Alumnos!L128,"'"))</f>
        <v>'ACTIVO'</v>
      </c>
      <c r="K247" s="16" t="str">
        <f>CONCATENATE(A247,",",B247,",",C247,",",D247,",'",E247,",",F247,",",G247,",",H247,",",UPPER(I247),",",UPPER(J247),",'',0,0,'','ALUMNO'")</f>
        <v>1246,'LICENCIATURA','carolmarian.castillomunguia','109970','TOMAR DEL SND','CASTILLO MUNGUIA CAROL MARIAN','INGENIERIA AEROESPACIAL','10mo','FEMENINO','ACTIVO','',0,0,'','ALUMNO'</v>
      </c>
      <c r="L247" s="16" t="str">
        <f>CONCATENATE($K$1,K247,");")</f>
        <v>INSERT INTO participantes (id,nivel,correo,matricula,clave,nombre,carrera,grado,sexo,situacion,evaluados,num_evaluados,total_evaluaciones,ultimo_acceso,nivel_acceso) VALUES (1246,'LICENCIATURA','carolmarian.castillomunguia','109970','TOMAR DEL SND','CASTILLO MUNGUIA CAROL MARIAN','INGENIERIA AEROESPACIAL','10mo','FEMENINO','ACTIVO','',0,0,'','ALUMNO');</v>
      </c>
      <c r="M247" s="16" t="str">
        <f>CONCATENATE("update participantes set correo=",C247," where id=",A247,";")</f>
        <v>update participantes set correo='carolmarian.castillomunguia' where id=1246;</v>
      </c>
    </row>
    <row r="248" spans="1:13" ht="116" x14ac:dyDescent="0.35">
      <c r="A248" s="16">
        <v>1247</v>
      </c>
      <c r="B248" s="18" t="s">
        <v>1754</v>
      </c>
      <c r="C248" s="16" t="str">
        <f>CONCATENATE("'",Alumnos!E287,"'")</f>
        <v>'ivana.grajalessainz'</v>
      </c>
      <c r="D248" s="16" t="str">
        <f>CONCATENATE(Alumnos!F287,"'")</f>
        <v>'109976'</v>
      </c>
      <c r="E248" s="16" t="s">
        <v>1755</v>
      </c>
      <c r="F248" s="16" t="str">
        <f>CONCATENATE("'",Alumnos!H287,"'")</f>
        <v>'GRAJALES SAINZ IVANA'</v>
      </c>
      <c r="G248" s="16" t="str">
        <f>CONCATENATE("'",Alumnos!I287,"'")</f>
        <v>'INGENIERIA AEROESPACIAL'</v>
      </c>
      <c r="H248" s="16" t="str">
        <f>CONCATENATE("'",Alumnos!J287,"'")</f>
        <v>'10mo'</v>
      </c>
      <c r="I248" s="16" t="str">
        <f>UPPER(CONCATENATE("'",Alumnos!K287,"'"))</f>
        <v>'FEMENINO'</v>
      </c>
      <c r="J248" s="16" t="str">
        <f>UPPER(CONCATENATE("'",Alumnos!L287,"'"))</f>
        <v>'ACTIVO'</v>
      </c>
      <c r="K248" s="16" t="str">
        <f>CONCATENATE(A248,",",B248,",",C248,",",D248,",'",E248,",",F248,",",G248,",",H248,",",UPPER(I248),",",UPPER(J248),",'',0,0,'','ALUMNO'")</f>
        <v>1247,'LICENCIATURA','ivana.grajalessainz','109976','TOMAR DEL SND','GRAJALES SAINZ IVANA','INGENIERIA AEROESPACIAL','10mo','FEMENINO','ACTIVO','',0,0,'','ALUMNO'</v>
      </c>
      <c r="L248" s="16" t="str">
        <f>CONCATENATE($K$1,K248,");")</f>
        <v>INSERT INTO participantes (id,nivel,correo,matricula,clave,nombre,carrera,grado,sexo,situacion,evaluados,num_evaluados,total_evaluaciones,ultimo_acceso,nivel_acceso) VALUES (1247,'LICENCIATURA','ivana.grajalessainz','109976','TOMAR DEL SND','GRAJALES SAINZ IVANA','INGENIERIA AEROESPACIAL','10mo','FEMENINO','ACTIVO','',0,0,'','ALUMNO');</v>
      </c>
      <c r="M248" s="16" t="str">
        <f>CONCATENATE("update participantes set correo=",C248," where id=",A248,";")</f>
        <v>update participantes set correo='ivana.grajalessainz' where id=1247;</v>
      </c>
    </row>
    <row r="249" spans="1:13" ht="130.5" x14ac:dyDescent="0.35">
      <c r="A249" s="16">
        <v>1248</v>
      </c>
      <c r="B249" s="18" t="s">
        <v>1754</v>
      </c>
      <c r="C249" s="16" t="str">
        <f>CONCATENATE("'",Alumnos!E517,"'")</f>
        <v>'pabloangel.camachogonzalez'</v>
      </c>
      <c r="D249" s="16" t="str">
        <f>CONCATENATE(Alumnos!F517,"'")</f>
        <v>'109978'</v>
      </c>
      <c r="E249" s="16" t="s">
        <v>1755</v>
      </c>
      <c r="F249" s="16" t="str">
        <f>CONCATENATE("'",Alumnos!H517,"'")</f>
        <v>'CAMACHO GONZALEZ PABLO ANGEL'</v>
      </c>
      <c r="G249" s="16" t="str">
        <f>CONCATENATE("'",Alumnos!I517,"'")</f>
        <v>'INGENIERIA AEROESPACIAL'</v>
      </c>
      <c r="H249" s="16" t="str">
        <f>CONCATENATE("'",Alumnos!J517,"'")</f>
        <v>'8vo'</v>
      </c>
      <c r="I249" s="16" t="str">
        <f>UPPER(CONCATENATE("'",Alumnos!K517,"'"))</f>
        <v>'MASCULINO'</v>
      </c>
      <c r="J249" s="16" t="str">
        <f>UPPER(CONCATENATE("'",Alumnos!L517,"'"))</f>
        <v>'ACTIVO'</v>
      </c>
      <c r="K249" s="16" t="str">
        <f>CONCATENATE(A249,",",B249,",",C249,",",D249,",'",E249,",",F249,",",G249,",",H249,",",UPPER(I249),",",UPPER(J249),",'',0,0,'','ALUMNO'")</f>
        <v>1248,'LICENCIATURA','pabloangel.camachogonzalez','109978','TOMAR DEL SND','CAMACHO GONZALEZ PABLO ANGEL','INGENIERIA AEROESPACIAL','8vo','MASCULINO','ACTIVO','',0,0,'','ALUMNO'</v>
      </c>
      <c r="L249" s="16" t="str">
        <f>CONCATENATE($K$1,K249,");")</f>
        <v>INSERT INTO participantes (id,nivel,correo,matricula,clave,nombre,carrera,grado,sexo,situacion,evaluados,num_evaluados,total_evaluaciones,ultimo_acceso,nivel_acceso) VALUES (1248,'LICENCIATURA','pabloangel.camachogonzalez','109978','TOMAR DEL SND','CAMACHO GONZALEZ PABLO ANGEL','INGENIERIA AEROESPACIAL','8vo','MASCULINO','ACTIVO','',0,0,'','ALUMNO');</v>
      </c>
      <c r="M249" s="16" t="str">
        <f>CONCATENATE("update participantes set correo=",C249," where id=",A249,";")</f>
        <v>update participantes set correo='pabloangel.camachogonzalez' where id=1248;</v>
      </c>
    </row>
    <row r="250" spans="1:13" ht="130.5" x14ac:dyDescent="0.35">
      <c r="A250" s="16">
        <v>1249</v>
      </c>
      <c r="B250" s="18" t="s">
        <v>1754</v>
      </c>
      <c r="C250" s="16" t="str">
        <f>CONCATENATE("'",Alumnos!E518,"'")</f>
        <v>'pablodomingo.encinossantiz'</v>
      </c>
      <c r="D250" s="16" t="str">
        <f>CONCATENATE(Alumnos!F518,"'")</f>
        <v>'109982'</v>
      </c>
      <c r="E250" s="16" t="s">
        <v>1755</v>
      </c>
      <c r="F250" s="16" t="str">
        <f>CONCATENATE("'",Alumnos!H518,"'")</f>
        <v>'ENCINOS SANTIZ PABLO DOMINGO'</v>
      </c>
      <c r="G250" s="16" t="str">
        <f>CONCATENATE("'",Alumnos!I518,"'")</f>
        <v>'INGENIERIA AEROESPACIAL'</v>
      </c>
      <c r="H250" s="16" t="str">
        <f>CONCATENATE("'",Alumnos!J518,"'")</f>
        <v>'10mo'</v>
      </c>
      <c r="I250" s="16" t="str">
        <f>UPPER(CONCATENATE("'",Alumnos!K518,"'"))</f>
        <v>'MASCULINO'</v>
      </c>
      <c r="J250" s="16" t="str">
        <f>UPPER(CONCATENATE("'",Alumnos!L518,"'"))</f>
        <v>'ACTIVO'</v>
      </c>
      <c r="K250" s="16" t="str">
        <f>CONCATENATE(A250,",",B250,",",C250,",",D250,",'",E250,",",F250,",",G250,",",H250,",",UPPER(I250),",",UPPER(J250),",'',0,0,'','ALUMNO'")</f>
        <v>1249,'LICENCIATURA','pablodomingo.encinossantiz','109982','TOMAR DEL SND','ENCINOS SANTIZ PABLO DOMINGO','INGENIERIA AEROESPACIAL','10mo','MASCULINO','ACTIVO','',0,0,'','ALUMNO'</v>
      </c>
      <c r="L250" s="16" t="str">
        <f>CONCATENATE($K$1,K250,");")</f>
        <v>INSERT INTO participantes (id,nivel,correo,matricula,clave,nombre,carrera,grado,sexo,situacion,evaluados,num_evaluados,total_evaluaciones,ultimo_acceso,nivel_acceso) VALUES (1249,'LICENCIATURA','pablodomingo.encinossantiz','109982','TOMAR DEL SND','ENCINOS SANTIZ PABLO DOMINGO','INGENIERIA AEROESPACIAL','10mo','MASCULINO','ACTIVO','',0,0,'','ALUMNO');</v>
      </c>
      <c r="M250" s="16" t="str">
        <f>CONCATENATE("update participantes set correo=",C250," where id=",A250,";")</f>
        <v>update participantes set correo='pablodomingo.encinossantiz' where id=1249;</v>
      </c>
    </row>
    <row r="251" spans="1:13" ht="130.5" x14ac:dyDescent="0.35">
      <c r="A251" s="16">
        <v>1250</v>
      </c>
      <c r="B251" s="18" t="s">
        <v>1754</v>
      </c>
      <c r="C251" s="16" t="str">
        <f>CONCATENATE("'",Alumnos!E221,"'")</f>
        <v>'enrique.juarezcastaneda'</v>
      </c>
      <c r="D251" s="16" t="str">
        <f>CONCATENATE(Alumnos!F221,"'")</f>
        <v>'109984'</v>
      </c>
      <c r="E251" s="16" t="s">
        <v>1755</v>
      </c>
      <c r="F251" s="16" t="str">
        <f>CONCATENATE("'",Alumnos!H221,"'")</f>
        <v>'JUAREZ CASTAÑEDA ENRIQUE'</v>
      </c>
      <c r="G251" s="16" t="str">
        <f>CONCATENATE("'",Alumnos!I221,"'")</f>
        <v>'INGENIERÍA AUTOMOTRIZ'</v>
      </c>
      <c r="H251" s="16" t="str">
        <f>CONCATENATE("'",Alumnos!J221,"'")</f>
        <v>'6to'</v>
      </c>
      <c r="I251" s="16" t="str">
        <f>UPPER(CONCATENATE("'",Alumnos!K221,"'"))</f>
        <v>'MASCULINO'</v>
      </c>
      <c r="J251" s="16" t="str">
        <f>UPPER(CONCATENATE("'",Alumnos!L221,"'"))</f>
        <v>'ACTIVO'</v>
      </c>
      <c r="K251" s="16" t="str">
        <f>CONCATENATE(A251,",",B251,",",C251,",",D251,",'",E251,",",F251,",",G251,",",H251,",",UPPER(I251),",",UPPER(J251),",'',0,0,'','ALUMNO'")</f>
        <v>1250,'LICENCIATURA','enrique.juarezcastaneda','109984','TOMAR DEL SND','JUAREZ CASTAÑEDA ENRIQUE','INGENIERÍA AUTOMOTRIZ','6to','MASCULINO','ACTIVO','',0,0,'','ALUMNO'</v>
      </c>
      <c r="L251" s="16" t="str">
        <f>CONCATENATE($K$1,K251,");")</f>
        <v>INSERT INTO participantes (id,nivel,correo,matricula,clave,nombre,carrera,grado,sexo,situacion,evaluados,num_evaluados,total_evaluaciones,ultimo_acceso,nivel_acceso) VALUES (1250,'LICENCIATURA','enrique.juarezcastaneda','109984','TOMAR DEL SND','JUAREZ CASTAÑEDA ENRIQUE','INGENIERÍA AUTOMOTRIZ','6to','MASCULINO','ACTIVO','',0,0,'','ALUMNO');</v>
      </c>
      <c r="M251" s="16" t="str">
        <f>CONCATENATE("update participantes set correo=",C251," where id=",A251,";")</f>
        <v>update participantes set correo='enrique.juarezcastaneda' where id=1250;</v>
      </c>
    </row>
    <row r="252" spans="1:13" ht="116" x14ac:dyDescent="0.35">
      <c r="A252" s="16">
        <v>1251</v>
      </c>
      <c r="B252" s="18" t="s">
        <v>1754</v>
      </c>
      <c r="C252" s="16" t="str">
        <f>CONCATENATE("'",Alumnos!E464,"'")</f>
        <v>'mauricio.yanezrivera'</v>
      </c>
      <c r="D252" s="16" t="str">
        <f>CONCATENATE(Alumnos!F464,"'")</f>
        <v>'109992'</v>
      </c>
      <c r="E252" s="16" t="s">
        <v>1755</v>
      </c>
      <c r="F252" s="16" t="str">
        <f>CONCATENATE("'",Alumnos!H464,"'")</f>
        <v>'YAÑEZ RIVERA MAURICIO'</v>
      </c>
      <c r="G252" s="16" t="str">
        <f>CONCATENATE("'",Alumnos!I464,"'")</f>
        <v>'INGENIERIA AEROESPACIAL'</v>
      </c>
      <c r="H252" s="16" t="str">
        <f>CONCATENATE("'",Alumnos!J464,"'")</f>
        <v>'10mo'</v>
      </c>
      <c r="I252" s="16" t="str">
        <f>UPPER(CONCATENATE("'",Alumnos!K464,"'"))</f>
        <v>'MASCULINO'</v>
      </c>
      <c r="J252" s="16" t="str">
        <f>UPPER(CONCATENATE("'",Alumnos!L464,"'"))</f>
        <v>'ACTIVO'</v>
      </c>
      <c r="K252" s="16" t="str">
        <f>CONCATENATE(A252,",",B252,",",C252,",",D252,",'",E252,",",F252,",",G252,",",H252,",",UPPER(I252),",",UPPER(J252),",'',0,0,'','ALUMNO'")</f>
        <v>1251,'LICENCIATURA','mauricio.yanezrivera','109992','TOMAR DEL SND','YAÑEZ RIVERA MAURICIO','INGENIERIA AEROESPACIAL','10mo','MASCULINO','ACTIVO','',0,0,'','ALUMNO'</v>
      </c>
      <c r="L252" s="16" t="str">
        <f>CONCATENATE($K$1,K252,");")</f>
        <v>INSERT INTO participantes (id,nivel,correo,matricula,clave,nombre,carrera,grado,sexo,situacion,evaluados,num_evaluados,total_evaluaciones,ultimo_acceso,nivel_acceso) VALUES (1251,'LICENCIATURA','mauricio.yanezrivera','109992','TOMAR DEL SND','YAÑEZ RIVERA MAURICIO','INGENIERIA AEROESPACIAL','10mo','MASCULINO','ACTIVO','',0,0,'','ALUMNO');</v>
      </c>
      <c r="M252" s="16" t="str">
        <f>CONCATENATE("update participantes set correo=",C252," where id=",A252,";")</f>
        <v>update participantes set correo='mauricio.yanezrivera' where id=1251;</v>
      </c>
    </row>
    <row r="253" spans="1:13" ht="130.5" x14ac:dyDescent="0.35">
      <c r="A253" s="16">
        <v>1252</v>
      </c>
      <c r="B253" s="18" t="s">
        <v>1754</v>
      </c>
      <c r="C253" s="16" t="str">
        <f>CONCATENATE("'",Alumnos!E292,"'")</f>
        <v>'jaimeemmanuel.gutierrezavila'</v>
      </c>
      <c r="D253" s="16" t="str">
        <f>CONCATENATE(Alumnos!F292,"'")</f>
        <v>'109993'</v>
      </c>
      <c r="E253" s="16" t="s">
        <v>1755</v>
      </c>
      <c r="F253" s="16" t="str">
        <f>CONCATENATE("'",Alumnos!H292,"'")</f>
        <v>'GUTIERREZ AVILA JAIME EMMANUEL'</v>
      </c>
      <c r="G253" s="16" t="str">
        <f>CONCATENATE("'",Alumnos!I292,"'")</f>
        <v>'INGENIERIA AEROESPACIAL'</v>
      </c>
      <c r="H253" s="16" t="str">
        <f>CONCATENATE("'",Alumnos!J292,"'")</f>
        <v>'10mo'</v>
      </c>
      <c r="I253" s="16" t="str">
        <f>UPPER(CONCATENATE("'",Alumnos!K292,"'"))</f>
        <v>'MASCULINO'</v>
      </c>
      <c r="J253" s="16" t="str">
        <f>UPPER(CONCATENATE("'",Alumnos!L292,"'"))</f>
        <v>'ACTIVO'</v>
      </c>
      <c r="K253" s="16" t="str">
        <f>CONCATENATE(A253,",",B253,",",C253,",",D253,",'",E253,",",F253,",",G253,",",H253,",",UPPER(I253),",",UPPER(J253),",'',0,0,'','ALUMNO'")</f>
        <v>1252,'LICENCIATURA','jaimeemmanuel.gutierrezavila','109993','TOMAR DEL SND','GUTIERREZ AVILA JAIME EMMANUEL','INGENIERIA AEROESPACIAL','10mo','MASCULINO','ACTIVO','',0,0,'','ALUMNO'</v>
      </c>
      <c r="L253" s="16" t="str">
        <f>CONCATENATE($K$1,K253,");")</f>
        <v>INSERT INTO participantes (id,nivel,correo,matricula,clave,nombre,carrera,grado,sexo,situacion,evaluados,num_evaluados,total_evaluaciones,ultimo_acceso,nivel_acceso) VALUES (1252,'LICENCIATURA','jaimeemmanuel.gutierrezavila','109993','TOMAR DEL SND','GUTIERREZ AVILA JAIME EMMANUEL','INGENIERIA AEROESPACIAL','10mo','MASCULINO','ACTIVO','',0,0,'','ALUMNO');</v>
      </c>
      <c r="M253" s="16" t="str">
        <f>CONCATENATE("update participantes set correo=",C253," where id=",A253,";")</f>
        <v>update participantes set correo='jaimeemmanuel.gutierrezavila' where id=1252;</v>
      </c>
    </row>
    <row r="254" spans="1:13" ht="130.5" x14ac:dyDescent="0.35">
      <c r="A254" s="16">
        <v>1253</v>
      </c>
      <c r="B254" s="18" t="s">
        <v>1754</v>
      </c>
      <c r="C254" s="16" t="str">
        <f>CONCATENATE("'",Alumnos!E23,"'")</f>
        <v>'albertojavier.ojedagutierrez'</v>
      </c>
      <c r="D254" s="16" t="str">
        <f>CONCATENATE(Alumnos!F23,"'")</f>
        <v>'109997'</v>
      </c>
      <c r="E254" s="16" t="s">
        <v>1755</v>
      </c>
      <c r="F254" s="16" t="str">
        <f>CONCATENATE("'",Alumnos!H23,"'")</f>
        <v>'OJEDA GUTIERREZ ALBERTO JAVIER'</v>
      </c>
      <c r="G254" s="16" t="str">
        <f>CONCATENATE("'",Alumnos!I23,"'")</f>
        <v>'INGENIERIA AEROESPACIAL'</v>
      </c>
      <c r="H254" s="16" t="str">
        <f>CONCATENATE("'",Alumnos!J23,"'")</f>
        <v>'10mo'</v>
      </c>
      <c r="I254" s="16" t="str">
        <f>UPPER(CONCATENATE("'",Alumnos!K23,"'"))</f>
        <v>'MASCULINO'</v>
      </c>
      <c r="J254" s="16" t="str">
        <f>UPPER(CONCATENATE("'",Alumnos!L23,"'"))</f>
        <v>'ACTIVO'</v>
      </c>
      <c r="K254" s="16" t="str">
        <f>CONCATENATE(A254,",",B254,",",C254,",",D254,",'",E254,",",F254,",",G254,",",H254,",",UPPER(I254),",",UPPER(J254),",'',0,0,'','ALUMNO'")</f>
        <v>1253,'LICENCIATURA','albertojavier.ojedagutierrez','109997','TOMAR DEL SND','OJEDA GUTIERREZ ALBERTO JAVIER','INGENIERIA AEROESPACIAL','10mo','MASCULINO','ACTIVO','',0,0,'','ALUMNO'</v>
      </c>
      <c r="L254" s="16" t="str">
        <f>CONCATENATE($K$1,K254,");")</f>
        <v>INSERT INTO participantes (id,nivel,correo,matricula,clave,nombre,carrera,grado,sexo,situacion,evaluados,num_evaluados,total_evaluaciones,ultimo_acceso,nivel_acceso) VALUES (1253,'LICENCIATURA','albertojavier.ojedagutierrez','109997','TOMAR DEL SND','OJEDA GUTIERREZ ALBERTO JAVIER','INGENIERIA AEROESPACIAL','10mo','MASCULINO','ACTIVO','',0,0,'','ALUMNO');</v>
      </c>
      <c r="M254" s="16" t="str">
        <f>CONCATENATE("update participantes set correo=",C254," where id=",A254,";")</f>
        <v>update participantes set correo='albertojavier.ojedagutierrez' where id=1253;</v>
      </c>
    </row>
    <row r="255" spans="1:13" ht="116" x14ac:dyDescent="0.35">
      <c r="A255" s="16">
        <v>1254</v>
      </c>
      <c r="B255" s="18" t="s">
        <v>1754</v>
      </c>
      <c r="C255" s="16" t="str">
        <f>CONCATENATE("'",Alumnos!E74,"'")</f>
        <v>'angelalexander.garciamora'</v>
      </c>
      <c r="D255" s="16" t="str">
        <f>CONCATENATE(Alumnos!F74,"'")</f>
        <v>'110420'</v>
      </c>
      <c r="E255" s="16" t="s">
        <v>1755</v>
      </c>
      <c r="F255" s="16" t="str">
        <f>CONCATENATE("'",Alumnos!H74,"'")</f>
        <v>'GARCIA MORA ANGEL ALEXANDER'</v>
      </c>
      <c r="G255" s="16" t="str">
        <f>CONCATENATE("'",Alumnos!I74,"'")</f>
        <v>'ADMINISTRACION Y DIRECCION DE NEGOCIOS'</v>
      </c>
      <c r="H255" s="16" t="str">
        <f>CONCATENATE("'",Alumnos!J74,"'")</f>
        <v>'8vo'</v>
      </c>
      <c r="I255" s="16" t="str">
        <f>UPPER(CONCATENATE("'",Alumnos!K74,"'"))</f>
        <v>'MASCULINO'</v>
      </c>
      <c r="J255" s="16" t="str">
        <f>UPPER(CONCATENATE("'",Alumnos!L74,"'"))</f>
        <v>'ACTIVO'</v>
      </c>
      <c r="K255" s="16" t="str">
        <f>CONCATENATE(A255,",",B255,",",C255,",",D255,",'",E255,",",F255,",",G255,",",H255,",",UPPER(I255),",",UPPER(J255),",'',0,0,'','ALUMNO'")</f>
        <v>1254,'LICENCIATURA','angelalexander.garciamora','110420','TOMAR DEL SND','GARCIA MORA ANGEL ALEXANDER','ADMINISTRACION Y DIRECCION DE NEGOCIOS','8vo','MASCULINO','ACTIVO','',0,0,'','ALUMNO'</v>
      </c>
      <c r="L255" s="16" t="str">
        <f>CONCATENATE($K$1,K255,");")</f>
        <v>INSERT INTO participantes (id,nivel,correo,matricula,clave,nombre,carrera,grado,sexo,situacion,evaluados,num_evaluados,total_evaluaciones,ultimo_acceso,nivel_acceso) VALUES (1254,'LICENCIATURA','angelalexander.garciamora','110420','TOMAR DEL SND','GARCIA MORA ANGEL ALEXANDER','ADMINISTRACION Y DIRECCION DE NEGOCIOS','8vo','MASCULINO','ACTIVO','',0,0,'','ALUMNO');</v>
      </c>
      <c r="M255" s="16" t="str">
        <f>CONCATENATE("update participantes set correo=",C255," where id=",A255,";")</f>
        <v>update participantes set correo='angelalexander.garciamora' where id=1254;</v>
      </c>
    </row>
    <row r="256" spans="1:13" ht="116" x14ac:dyDescent="0.35">
      <c r="A256" s="16">
        <v>1255</v>
      </c>
      <c r="B256" s="18" t="s">
        <v>1754</v>
      </c>
      <c r="C256" s="16" t="str">
        <f>CONCATENATE("'",Alumnos!E20,"'")</f>
        <v>'alanoswaldo.hernandezcastillo'</v>
      </c>
      <c r="D256" s="16" t="str">
        <f>CONCATENATE(Alumnos!F20,"'")</f>
        <v>'110421'</v>
      </c>
      <c r="E256" s="16" t="s">
        <v>1755</v>
      </c>
      <c r="F256" s="16" t="str">
        <f>CONCATENATE("'",Alumnos!H20,"'")</f>
        <v>'HERNANDEZ CASTILLO ALAN OSWALDO'</v>
      </c>
      <c r="G256" s="16" t="str">
        <f>CONCATENATE("'",Alumnos!I20,"'")</f>
        <v>'ADMINISTRACION Y DIRECCION DE NEGOCIOS'</v>
      </c>
      <c r="H256" s="16" t="str">
        <f>CONCATENATE("'",Alumnos!J20,"'")</f>
        <v>'8vo'</v>
      </c>
      <c r="I256" s="16" t="str">
        <f>UPPER(CONCATENATE("'",Alumnos!K20,"'"))</f>
        <v>'MASCULINO'</v>
      </c>
      <c r="J256" s="16" t="str">
        <f>UPPER(CONCATENATE("'",Alumnos!L20,"'"))</f>
        <v>'ACTIVO'</v>
      </c>
      <c r="K256" s="16" t="str">
        <f>CONCATENATE(A256,",",B256,",",C256,",",D256,",'",E256,",",F256,",",G256,",",H256,",",UPPER(I256),",",UPPER(J256),",'',0,0,'','ALUMNO'")</f>
        <v>1255,'LICENCIATURA','alanoswaldo.hernandezcastillo','110421','TOMAR DEL SND','HERNANDEZ CASTILLO ALAN OSWALDO','ADMINISTRACION Y DIRECCION DE NEGOCIOS','8vo','MASCULINO','ACTIVO','',0,0,'','ALUMNO'</v>
      </c>
      <c r="L256" s="16" t="str">
        <f>CONCATENATE($K$1,K256,");")</f>
        <v>INSERT INTO participantes (id,nivel,correo,matricula,clave,nombre,carrera,grado,sexo,situacion,evaluados,num_evaluados,total_evaluaciones,ultimo_acceso,nivel_acceso) VALUES (1255,'LICENCIATURA','alanoswaldo.hernandezcastillo','110421','TOMAR DEL SND','HERNANDEZ CASTILLO ALAN OSWALDO','ADMINISTRACION Y DIRECCION DE NEGOCIOS','8vo','MASCULINO','ACTIVO','',0,0,'','ALUMNO');</v>
      </c>
      <c r="M256" s="16" t="str">
        <f>CONCATENATE("update participantes set correo=",C256," where id=",A256,";")</f>
        <v>update participantes set correo='alanoswaldo.hernandezcastillo' where id=1255;</v>
      </c>
    </row>
    <row r="257" spans="1:13" ht="130.5" x14ac:dyDescent="0.35">
      <c r="A257" s="16">
        <v>1256</v>
      </c>
      <c r="B257" s="18" t="s">
        <v>1754</v>
      </c>
      <c r="C257" s="16" t="str">
        <f>CONCATENATE("'",Alumnos!E388,"'")</f>
        <v>'kevinramon.coldivarflores'</v>
      </c>
      <c r="D257" s="16" t="str">
        <f>CONCATENATE(Alumnos!F388,"'")</f>
        <v>'110422'</v>
      </c>
      <c r="E257" s="16" t="s">
        <v>1755</v>
      </c>
      <c r="F257" s="16" t="str">
        <f>CONCATENATE("'",Alumnos!H388,"'")</f>
        <v>'COLDIVAR FLORES KEVIN RAMON'</v>
      </c>
      <c r="G257" s="16" t="str">
        <f>CONCATENATE("'",Alumnos!I388,"'")</f>
        <v>'ANIMACION DIGITAL Y VIDEOJUEGOS'</v>
      </c>
      <c r="H257" s="16" t="str">
        <f>CONCATENATE("'",Alumnos!J388,"'")</f>
        <v>'8vo'</v>
      </c>
      <c r="I257" s="16" t="str">
        <f>UPPER(CONCATENATE("'",Alumnos!K388,"'"))</f>
        <v>'MASCULINO'</v>
      </c>
      <c r="J257" s="16" t="str">
        <f>UPPER(CONCATENATE("'",Alumnos!L388,"'"))</f>
        <v>'ACTIVO'</v>
      </c>
      <c r="K257" s="16" t="str">
        <f>CONCATENATE(A257,",",B257,",",C257,",",D257,",'",E257,",",F257,",",G257,",",H257,",",UPPER(I257),",",UPPER(J257),",'',0,0,'','ALUMNO'")</f>
        <v>1256,'LICENCIATURA','kevinramon.coldivarflores','110422','TOMAR DEL SND','COLDIVAR FLORES KEVIN RAMON','ANIMACION DIGITAL Y VIDEOJUEGOS','8vo','MASCULINO','ACTIVO','',0,0,'','ALUMNO'</v>
      </c>
      <c r="L257" s="16" t="str">
        <f>CONCATENATE($K$1,K257,");")</f>
        <v>INSERT INTO participantes (id,nivel,correo,matricula,clave,nombre,carrera,grado,sexo,situacion,evaluados,num_evaluados,total_evaluaciones,ultimo_acceso,nivel_acceso) VALUES (1256,'LICENCIATURA','kevinramon.coldivarflores','110422','TOMAR DEL SND','COLDIVAR FLORES KEVIN RAMON','ANIMACION DIGITAL Y VIDEOJUEGOS','8vo','MASCULINO','ACTIVO','',0,0,'','ALUMNO');</v>
      </c>
      <c r="M257" s="16" t="str">
        <f>CONCATENATE("update participantes set correo=",C257," where id=",A257,";")</f>
        <v>update participantes set correo='kevinramon.coldivarflores' where id=1256;</v>
      </c>
    </row>
    <row r="258" spans="1:13" ht="130.5" x14ac:dyDescent="0.35">
      <c r="A258" s="16">
        <v>1257</v>
      </c>
      <c r="B258" s="18" t="s">
        <v>1754</v>
      </c>
      <c r="C258" s="16" t="str">
        <f>CONCATENATE("'",Alumnos!E129,"'")</f>
        <v>'carolnoemi.hurtadomacias'</v>
      </c>
      <c r="D258" s="16" t="str">
        <f>CONCATENATE(Alumnos!F129,"'")</f>
        <v>'110423'</v>
      </c>
      <c r="E258" s="16" t="s">
        <v>1755</v>
      </c>
      <c r="F258" s="16" t="str">
        <f>CONCATENATE("'",Alumnos!H129,"'")</f>
        <v>'HURTADO MACIAS CAROL NOEMI'</v>
      </c>
      <c r="G258" s="16" t="str">
        <f>CONCATENATE("'",Alumnos!I129,"'")</f>
        <v>'ANIMACION DIGITAL Y VIDEOJUEGOS'</v>
      </c>
      <c r="H258" s="16" t="str">
        <f>CONCATENATE("'",Alumnos!J129,"'")</f>
        <v>'8vo'</v>
      </c>
      <c r="I258" s="16" t="str">
        <f>UPPER(CONCATENATE("'",Alumnos!K129,"'"))</f>
        <v>'FEMENINO'</v>
      </c>
      <c r="J258" s="16" t="str">
        <f>UPPER(CONCATENATE("'",Alumnos!L129,"'"))</f>
        <v>'ACTIVO'</v>
      </c>
      <c r="K258" s="16" t="str">
        <f>CONCATENATE(A258,",",B258,",",C258,",",D258,",'",E258,",",F258,",",G258,",",H258,",",UPPER(I258),",",UPPER(J258),",'',0,0,'','ALUMNO'")</f>
        <v>1257,'LICENCIATURA','carolnoemi.hurtadomacias','110423','TOMAR DEL SND','HURTADO MACIAS CAROL NOEMI','ANIMACION DIGITAL Y VIDEOJUEGOS','8vo','FEMENINO','ACTIVO','',0,0,'','ALUMNO'</v>
      </c>
      <c r="L258" s="16" t="str">
        <f>CONCATENATE($K$1,K258,");")</f>
        <v>INSERT INTO participantes (id,nivel,correo,matricula,clave,nombre,carrera,grado,sexo,situacion,evaluados,num_evaluados,total_evaluaciones,ultimo_acceso,nivel_acceso) VALUES (1257,'LICENCIATURA','carolnoemi.hurtadomacias','110423','TOMAR DEL SND','HURTADO MACIAS CAROL NOEMI','ANIMACION DIGITAL Y VIDEOJUEGOS','8vo','FEMENINO','ACTIVO','',0,0,'','ALUMNO');</v>
      </c>
      <c r="M258" s="16" t="str">
        <f>CONCATENATE("update participantes set correo=",C258," where id=",A258,";")</f>
        <v>update participantes set correo='carolnoemi.hurtadomacias' where id=1257;</v>
      </c>
    </row>
    <row r="259" spans="1:13" ht="116" x14ac:dyDescent="0.35">
      <c r="A259" s="16">
        <v>1258</v>
      </c>
      <c r="B259" s="18" t="s">
        <v>1754</v>
      </c>
      <c r="C259" s="16" t="str">
        <f>CONCATENATE("'",Alumnos!E291,"'")</f>
        <v>'jadyn.mezacortes'</v>
      </c>
      <c r="D259" s="16" t="str">
        <f>CONCATENATE(Alumnos!F291,"'")</f>
        <v>'110425'</v>
      </c>
      <c r="E259" s="16" t="s">
        <v>1755</v>
      </c>
      <c r="F259" s="16" t="str">
        <f>CONCATENATE("'",Alumnos!H291,"'")</f>
        <v>'MEZA CORTES JADYN'</v>
      </c>
      <c r="G259" s="16" t="str">
        <f>CONCATENATE("'",Alumnos!I291,"'")</f>
        <v>'ANIMACION DIGITAL Y VIDEOJUEGOS'</v>
      </c>
      <c r="H259" s="16" t="str">
        <f>CONCATENATE("'",Alumnos!J291,"'")</f>
        <v>'8vo'</v>
      </c>
      <c r="I259" s="16" t="str">
        <f>UPPER(CONCATENATE("'",Alumnos!K291,"'"))</f>
        <v>'FEMENINO'</v>
      </c>
      <c r="J259" s="16" t="str">
        <f>UPPER(CONCATENATE("'",Alumnos!L291,"'"))</f>
        <v>'ACTIVO'</v>
      </c>
      <c r="K259" s="16" t="str">
        <f>CONCATENATE(A259,",",B259,",",C259,",",D259,",'",E259,",",F259,",",G259,",",H259,",",UPPER(I259),",",UPPER(J259),",'',0,0,'','ALUMNO'")</f>
        <v>1258,'LICENCIATURA','jadyn.mezacortes','110425','TOMAR DEL SND','MEZA CORTES JADYN','ANIMACION DIGITAL Y VIDEOJUEGOS','8vo','FEMENINO','ACTIVO','',0,0,'','ALUMNO'</v>
      </c>
      <c r="L259" s="16" t="str">
        <f>CONCATENATE($K$1,K259,");")</f>
        <v>INSERT INTO participantes (id,nivel,correo,matricula,clave,nombre,carrera,grado,sexo,situacion,evaluados,num_evaluados,total_evaluaciones,ultimo_acceso,nivel_acceso) VALUES (1258,'LICENCIATURA','jadyn.mezacortes','110425','TOMAR DEL SND','MEZA CORTES JADYN','ANIMACION DIGITAL Y VIDEOJUEGOS','8vo','FEMENINO','ACTIVO','',0,0,'','ALUMNO');</v>
      </c>
      <c r="M259" s="16" t="str">
        <f>CONCATENATE("update participantes set correo=",C259," where id=",A259,";")</f>
        <v>update participantes set correo='jadyn.mezacortes' where id=1258;</v>
      </c>
    </row>
    <row r="260" spans="1:13" ht="130.5" x14ac:dyDescent="0.35">
      <c r="A260" s="16">
        <v>1259</v>
      </c>
      <c r="B260" s="18" t="s">
        <v>1754</v>
      </c>
      <c r="C260" s="16" t="str">
        <f>CONCATENATE("'",Alumnos!E483,"'")</f>
        <v>'montserrat.mirandadiaz'</v>
      </c>
      <c r="D260" s="16" t="str">
        <f>CONCATENATE(Alumnos!F483,"'")</f>
        <v>'110426'</v>
      </c>
      <c r="E260" s="16" t="s">
        <v>1755</v>
      </c>
      <c r="F260" s="16" t="str">
        <f>CONCATENATE("'",Alumnos!H483,"'")</f>
        <v>'MIRANDA DIAZ MONTSERRAT'</v>
      </c>
      <c r="G260" s="16" t="str">
        <f>CONCATENATE("'",Alumnos!I483,"'")</f>
        <v>'ANIMACION DIGITAL Y VIDEOJUEGOS'</v>
      </c>
      <c r="H260" s="16" t="str">
        <f>CONCATENATE("'",Alumnos!J483,"'")</f>
        <v>'8vo'</v>
      </c>
      <c r="I260" s="16" t="str">
        <f>UPPER(CONCATENATE("'",Alumnos!K483,"'"))</f>
        <v>'FEMENINO'</v>
      </c>
      <c r="J260" s="16" t="str">
        <f>UPPER(CONCATENATE("'",Alumnos!L483,"'"))</f>
        <v>'ACTIVO'</v>
      </c>
      <c r="K260" s="16" t="str">
        <f>CONCATENATE(A260,",",B260,",",C260,",",D260,",'",E260,",",F260,",",G260,",",H260,",",UPPER(I260),",",UPPER(J260),",'',0,0,'','ALUMNO'")</f>
        <v>1259,'LICENCIATURA','montserrat.mirandadiaz','110426','TOMAR DEL SND','MIRANDA DIAZ MONTSERRAT','ANIMACION DIGITAL Y VIDEOJUEGOS','8vo','FEMENINO','ACTIVO','',0,0,'','ALUMNO'</v>
      </c>
      <c r="L260" s="16" t="str">
        <f>CONCATENATE($K$1,K260,");")</f>
        <v>INSERT INTO participantes (id,nivel,correo,matricula,clave,nombre,carrera,grado,sexo,situacion,evaluados,num_evaluados,total_evaluaciones,ultimo_acceso,nivel_acceso) VALUES (1259,'LICENCIATURA','montserrat.mirandadiaz','110426','TOMAR DEL SND','MIRANDA DIAZ MONTSERRAT','ANIMACION DIGITAL Y VIDEOJUEGOS','8vo','FEMENINO','ACTIVO','',0,0,'','ALUMNO');</v>
      </c>
      <c r="M260" s="16" t="str">
        <f>CONCATENATE("update participantes set correo=",C260," where id=",A260,";")</f>
        <v>update participantes set correo='montserrat.mirandadiaz' where id=1259;</v>
      </c>
    </row>
    <row r="261" spans="1:13" ht="116" x14ac:dyDescent="0.35">
      <c r="A261" s="16">
        <v>1260</v>
      </c>
      <c r="B261" s="18" t="s">
        <v>1754</v>
      </c>
      <c r="C261" s="16" t="str">
        <f>CONCATENATE("'",Alumnos!E366,"'")</f>
        <v>'karenitzel.carreteroaguilera'</v>
      </c>
      <c r="D261" s="16" t="str">
        <f>CONCATENATE(Alumnos!F366,"'")</f>
        <v>'110428'</v>
      </c>
      <c r="E261" s="16" t="s">
        <v>1755</v>
      </c>
      <c r="F261" s="16" t="str">
        <f>CONCATENATE("'",Alumnos!H366,"'")</f>
        <v>'CARRETERO AGUILERA KAREN ITZEL'</v>
      </c>
      <c r="G261" s="16" t="str">
        <f>CONCATENATE("'",Alumnos!I366,"'")</f>
        <v>'ARQUITECTURA'</v>
      </c>
      <c r="H261" s="16" t="str">
        <f>CONCATENATE("'",Alumnos!J366,"'")</f>
        <v>'8vo'</v>
      </c>
      <c r="I261" s="16" t="str">
        <f>UPPER(CONCATENATE("'",Alumnos!K366,"'"))</f>
        <v>'FEMENINO'</v>
      </c>
      <c r="J261" s="16" t="str">
        <f>UPPER(CONCATENATE("'",Alumnos!L366,"'"))</f>
        <v>'ACTIVO'</v>
      </c>
      <c r="K261" s="16" t="str">
        <f>CONCATENATE(A261,",",B261,",",C261,",",D261,",'",E261,",",F261,",",G261,",",H261,",",UPPER(I261),",",UPPER(J261),",'',0,0,'','ALUMNO'")</f>
        <v>1260,'LICENCIATURA','karenitzel.carreteroaguilera','110428','TOMAR DEL SND','CARRETERO AGUILERA KAREN ITZEL','ARQUITECTURA','8vo','FEMENINO','ACTIVO','',0,0,'','ALUMNO'</v>
      </c>
      <c r="L261" s="16" t="str">
        <f>CONCATENATE($K$1,K261,");")</f>
        <v>INSERT INTO participantes (id,nivel,correo,matricula,clave,nombre,carrera,grado,sexo,situacion,evaluados,num_evaluados,total_evaluaciones,ultimo_acceso,nivel_acceso) VALUES (1260,'LICENCIATURA','karenitzel.carreteroaguilera','110428','TOMAR DEL SND','CARRETERO AGUILERA KAREN ITZEL','ARQUITECTURA','8vo','FEMENINO','ACTIVO','',0,0,'','ALUMNO');</v>
      </c>
      <c r="M261" s="16" t="str">
        <f>CONCATENATE("update participantes set correo=",C261," where id=",A261,";")</f>
        <v>update participantes set correo='karenitzel.carreteroaguilera' where id=1260;</v>
      </c>
    </row>
    <row r="262" spans="1:13" ht="116" x14ac:dyDescent="0.35">
      <c r="A262" s="16">
        <v>1261</v>
      </c>
      <c r="B262" s="18" t="s">
        <v>1754</v>
      </c>
      <c r="C262" s="16" t="str">
        <f>CONCATENATE("'",Alumnos!E362,"'")</f>
        <v>'julietarenata.cordovarodriguez'</v>
      </c>
      <c r="D262" s="16" t="str">
        <f>CONCATENATE(Alumnos!F362,"'")</f>
        <v>'110429'</v>
      </c>
      <c r="E262" s="16" t="s">
        <v>1755</v>
      </c>
      <c r="F262" s="16" t="str">
        <f>CONCATENATE("'",Alumnos!H362,"'")</f>
        <v>'CORDOVA RODRIGUEZ JULIETA RENATA'</v>
      </c>
      <c r="G262" s="16" t="str">
        <f>CONCATENATE("'",Alumnos!I362,"'")</f>
        <v>'ARQUITECTURA'</v>
      </c>
      <c r="H262" s="16" t="str">
        <f>CONCATENATE("'",Alumnos!J362,"'")</f>
        <v>'8vo'</v>
      </c>
      <c r="I262" s="16" t="str">
        <f>UPPER(CONCATENATE("'",Alumnos!K362,"'"))</f>
        <v>'FEMENINO'</v>
      </c>
      <c r="J262" s="16" t="str">
        <f>UPPER(CONCATENATE("'",Alumnos!L362,"'"))</f>
        <v>'ACTIVO'</v>
      </c>
      <c r="K262" s="16" t="str">
        <f>CONCATENATE(A262,",",B262,",",C262,",",D262,",'",E262,",",F262,",",G262,",",H262,",",UPPER(I262),",",UPPER(J262),",'',0,0,'','ALUMNO'")</f>
        <v>1261,'LICENCIATURA','julietarenata.cordovarodriguez','110429','TOMAR DEL SND','CORDOVA RODRIGUEZ JULIETA RENATA','ARQUITECTURA','8vo','FEMENINO','ACTIVO','',0,0,'','ALUMNO'</v>
      </c>
      <c r="L262" s="16" t="str">
        <f>CONCATENATE($K$1,K262,");")</f>
        <v>INSERT INTO participantes (id,nivel,correo,matricula,clave,nombre,carrera,grado,sexo,situacion,evaluados,num_evaluados,total_evaluaciones,ultimo_acceso,nivel_acceso) VALUES (1261,'LICENCIATURA','julietarenata.cordovarodriguez','110429','TOMAR DEL SND','CORDOVA RODRIGUEZ JULIETA RENATA','ARQUITECTURA','8vo','FEMENINO','ACTIVO','',0,0,'','ALUMNO');</v>
      </c>
      <c r="M262" s="16" t="str">
        <f>CONCATENATE("update participantes set correo=",C262," where id=",A262,";")</f>
        <v>update participantes set correo='julietarenata.cordovarodriguez' where id=1261;</v>
      </c>
    </row>
    <row r="263" spans="1:13" ht="116" x14ac:dyDescent="0.35">
      <c r="A263" s="16">
        <v>1262</v>
      </c>
      <c r="B263" s="18" t="s">
        <v>1754</v>
      </c>
      <c r="C263" s="16" t="str">
        <f>CONCATENATE("'",Alumnos!E180,"'")</f>
        <v>'dianapaula.dealvacovarrubias'</v>
      </c>
      <c r="D263" s="16" t="str">
        <f>CONCATENATE(Alumnos!F180,"'")</f>
        <v>'110430'</v>
      </c>
      <c r="E263" s="16" t="s">
        <v>1755</v>
      </c>
      <c r="F263" s="16" t="str">
        <f>CONCATENATE("'",Alumnos!H180,"'")</f>
        <v>'DE ALVA COVARRUBIAS DIANA PAULA'</v>
      </c>
      <c r="G263" s="16" t="str">
        <f>CONCATENATE("'",Alumnos!I180,"'")</f>
        <v>'ARQUITECTURA'</v>
      </c>
      <c r="H263" s="16" t="str">
        <f>CONCATENATE("'",Alumnos!J180,"'")</f>
        <v>'8vo'</v>
      </c>
      <c r="I263" s="16" t="str">
        <f>UPPER(CONCATENATE("'",Alumnos!K180,"'"))</f>
        <v>'FEMENINO'</v>
      </c>
      <c r="J263" s="16" t="str">
        <f>UPPER(CONCATENATE("'",Alumnos!L180,"'"))</f>
        <v>'ACTIVO'</v>
      </c>
      <c r="K263" s="16" t="str">
        <f>CONCATENATE(A263,",",B263,",",C263,",",D263,",'",E263,",",F263,",",G263,",",H263,",",UPPER(I263),",",UPPER(J263),",'',0,0,'','ALUMNO'")</f>
        <v>1262,'LICENCIATURA','dianapaula.dealvacovarrubias','110430','TOMAR DEL SND','DE ALVA COVARRUBIAS DIANA PAULA','ARQUITECTURA','8vo','FEMENINO','ACTIVO','',0,0,'','ALUMNO'</v>
      </c>
      <c r="L263" s="16" t="str">
        <f>CONCATENATE($K$1,K263,");")</f>
        <v>INSERT INTO participantes (id,nivel,correo,matricula,clave,nombre,carrera,grado,sexo,situacion,evaluados,num_evaluados,total_evaluaciones,ultimo_acceso,nivel_acceso) VALUES (1262,'LICENCIATURA','dianapaula.dealvacovarrubias','110430','TOMAR DEL SND','DE ALVA COVARRUBIAS DIANA PAULA','ARQUITECTURA','8vo','FEMENINO','ACTIVO','',0,0,'','ALUMNO');</v>
      </c>
      <c r="M263" s="16" t="str">
        <f>CONCATENATE("update participantes set correo=",C263," where id=",A263,";")</f>
        <v>update participantes set correo='dianapaula.dealvacovarrubias' where id=1262;</v>
      </c>
    </row>
    <row r="264" spans="1:13" ht="116" x14ac:dyDescent="0.35">
      <c r="A264" s="16">
        <v>1263</v>
      </c>
      <c r="B264" s="18" t="s">
        <v>1754</v>
      </c>
      <c r="C264" s="16" t="str">
        <f>CONCATENATE("'",Alumnos!E507,"'")</f>
        <v>'oscardiego.velazquezreyes'</v>
      </c>
      <c r="D264" s="16" t="str">
        <f>CONCATENATE(Alumnos!F507,"'")</f>
        <v>'110432'</v>
      </c>
      <c r="E264" s="16" t="s">
        <v>1755</v>
      </c>
      <c r="F264" s="16" t="str">
        <f>CONCATENATE("'",Alumnos!H507,"'")</f>
        <v>'VELAZQUEZ REYES OSCAR DIEGO'</v>
      </c>
      <c r="G264" s="16" t="str">
        <f>CONCATENATE("'",Alumnos!I507,"'")</f>
        <v>'ARQUITECTURA'</v>
      </c>
      <c r="H264" s="16" t="str">
        <f>CONCATENATE("'",Alumnos!J507,"'")</f>
        <v>'8vo'</v>
      </c>
      <c r="I264" s="16" t="str">
        <f>UPPER(CONCATENATE("'",Alumnos!K507,"'"))</f>
        <v>'MASCULINO'</v>
      </c>
      <c r="J264" s="16" t="str">
        <f>UPPER(CONCATENATE("'",Alumnos!L507,"'"))</f>
        <v>'ACTIVO'</v>
      </c>
      <c r="K264" s="16" t="str">
        <f>CONCATENATE(A264,",",B264,",",C264,",",D264,",'",E264,",",F264,",",G264,",",H264,",",UPPER(I264),",",UPPER(J264),",'',0,0,'','ALUMNO'")</f>
        <v>1263,'LICENCIATURA','oscardiego.velazquezreyes','110432','TOMAR DEL SND','VELAZQUEZ REYES OSCAR DIEGO','ARQUITECTURA','8vo','MASCULINO','ACTIVO','',0,0,'','ALUMNO'</v>
      </c>
      <c r="L264" s="16" t="str">
        <f>CONCATENATE($K$1,K264,");")</f>
        <v>INSERT INTO participantes (id,nivel,correo,matricula,clave,nombre,carrera,grado,sexo,situacion,evaluados,num_evaluados,total_evaluaciones,ultimo_acceso,nivel_acceso) VALUES (1263,'LICENCIATURA','oscardiego.velazquezreyes','110432','TOMAR DEL SND','VELAZQUEZ REYES OSCAR DIEGO','ARQUITECTURA','8vo','MASCULINO','ACTIVO','',0,0,'','ALUMNO');</v>
      </c>
      <c r="M264" s="16" t="str">
        <f>CONCATENATE("update participantes set correo=",C264," where id=",A264,";")</f>
        <v>update participantes set correo='oscardiego.velazquezreyes' where id=1263;</v>
      </c>
    </row>
    <row r="265" spans="1:13" ht="116" x14ac:dyDescent="0.35">
      <c r="A265" s="16">
        <v>1264</v>
      </c>
      <c r="B265" s="18" t="s">
        <v>1754</v>
      </c>
      <c r="C265" s="16" t="str">
        <f>CONCATENATE("'",Alumnos!E417,"'")</f>
        <v>'luisjavier.almontemejia'</v>
      </c>
      <c r="D265" s="16" t="str">
        <f>CONCATENATE(Alumnos!F417,"'")</f>
        <v>'110433'</v>
      </c>
      <c r="E265" s="16" t="s">
        <v>1755</v>
      </c>
      <c r="F265" s="16" t="str">
        <f>CONCATENATE("'",Alumnos!H417,"'")</f>
        <v>'ALMONTE MEJIA LUIS JAVIER'</v>
      </c>
      <c r="G265" s="16" t="str">
        <f>CONCATENATE("'",Alumnos!I417,"'")</f>
        <v>'COMERCIO INTERNACIONAL'</v>
      </c>
      <c r="H265" s="16" t="str">
        <f>CONCATENATE("'",Alumnos!J417,"'")</f>
        <v>'8vo'</v>
      </c>
      <c r="I265" s="16" t="str">
        <f>UPPER(CONCATENATE("'",Alumnos!K417,"'"))</f>
        <v>'MASCULINO'</v>
      </c>
      <c r="J265" s="16" t="str">
        <f>UPPER(CONCATENATE("'",Alumnos!L417,"'"))</f>
        <v>'ACTIVO'</v>
      </c>
      <c r="K265" s="16" t="str">
        <f>CONCATENATE(A265,",",B265,",",C265,",",D265,",'",E265,",",F265,",",G265,",",H265,",",UPPER(I265),",",UPPER(J265),",'',0,0,'','ALUMNO'")</f>
        <v>1264,'LICENCIATURA','luisjavier.almontemejia','110433','TOMAR DEL SND','ALMONTE MEJIA LUIS JAVIER','COMERCIO INTERNACIONAL','8vo','MASCULINO','ACTIVO','',0,0,'','ALUMNO'</v>
      </c>
      <c r="L265" s="16" t="str">
        <f>CONCATENATE($K$1,K265,");")</f>
        <v>INSERT INTO participantes (id,nivel,correo,matricula,clave,nombre,carrera,grado,sexo,situacion,evaluados,num_evaluados,total_evaluaciones,ultimo_acceso,nivel_acceso) VALUES (1264,'LICENCIATURA','luisjavier.almontemejia','110433','TOMAR DEL SND','ALMONTE MEJIA LUIS JAVIER','COMERCIO INTERNACIONAL','8vo','MASCULINO','ACTIVO','',0,0,'','ALUMNO');</v>
      </c>
      <c r="M265" s="16" t="str">
        <f>CONCATENATE("update participantes set correo=",C265," where id=",A265,";")</f>
        <v>update participantes set correo='luisjavier.almontemejia' where id=1264;</v>
      </c>
    </row>
    <row r="266" spans="1:13" ht="130.5" x14ac:dyDescent="0.35">
      <c r="A266" s="16">
        <v>1265</v>
      </c>
      <c r="B266" s="18" t="s">
        <v>1754</v>
      </c>
      <c r="C266" s="16" t="str">
        <f>CONCATENATE("'",Alumnos!E413,"'")</f>
        <v>'luisfernando.moradeltoro'</v>
      </c>
      <c r="D266" s="16" t="str">
        <f>CONCATENATE(Alumnos!F413,"'")</f>
        <v>'110434'</v>
      </c>
      <c r="E266" s="16" t="s">
        <v>1755</v>
      </c>
      <c r="F266" s="16" t="str">
        <f>CONCATENATE("'",Alumnos!H413,"'")</f>
        <v>'MORA DEL TORO LUIS FERNANDO'</v>
      </c>
      <c r="G266" s="16" t="str">
        <f>CONCATENATE("'",Alumnos!I413,"'")</f>
        <v>'COMERCIO INTERNACIONAL'</v>
      </c>
      <c r="H266" s="16" t="str">
        <f>CONCATENATE("'",Alumnos!J413,"'")</f>
        <v>'8vo'</v>
      </c>
      <c r="I266" s="16" t="str">
        <f>UPPER(CONCATENATE("'",Alumnos!K413,"'"))</f>
        <v>'MASCULINO'</v>
      </c>
      <c r="J266" s="16" t="str">
        <f>UPPER(CONCATENATE("'",Alumnos!L413,"'"))</f>
        <v>'ACTIVO'</v>
      </c>
      <c r="K266" s="16" t="str">
        <f>CONCATENATE(A266,",",B266,",",C266,",",D266,",'",E266,",",F266,",",G266,",",H266,",",UPPER(I266),",",UPPER(J266),",'',0,0,'','ALUMNO'")</f>
        <v>1265,'LICENCIATURA','luisfernando.moradeltoro','110434','TOMAR DEL SND','MORA DEL TORO LUIS FERNANDO','COMERCIO INTERNACIONAL','8vo','MASCULINO','ACTIVO','',0,0,'','ALUMNO'</v>
      </c>
      <c r="L266" s="16" t="str">
        <f>CONCATENATE($K$1,K266,");")</f>
        <v>INSERT INTO participantes (id,nivel,correo,matricula,clave,nombre,carrera,grado,sexo,situacion,evaluados,num_evaluados,total_evaluaciones,ultimo_acceso,nivel_acceso) VALUES (1265,'LICENCIATURA','luisfernando.moradeltoro','110434','TOMAR DEL SND','MORA DEL TORO LUIS FERNANDO','COMERCIO INTERNACIONAL','8vo','MASCULINO','ACTIVO','',0,0,'','ALUMNO');</v>
      </c>
      <c r="M266" s="16" t="str">
        <f>CONCATENATE("update participantes set correo=",C266," where id=",A266,";")</f>
        <v>update participantes set correo='luisfernando.moradeltoro' where id=1265;</v>
      </c>
    </row>
    <row r="267" spans="1:13" ht="116" x14ac:dyDescent="0.35">
      <c r="A267" s="16">
        <v>1266</v>
      </c>
      <c r="B267" s="18" t="s">
        <v>1754</v>
      </c>
      <c r="C267" s="16" t="str">
        <f>CONCATENATE("'",Alumnos!E442,"'")</f>
        <v>'mariaines.ruizlopez'</v>
      </c>
      <c r="D267" s="16" t="str">
        <f>CONCATENATE(Alumnos!F442,"'")</f>
        <v>'110435'</v>
      </c>
      <c r="E267" s="16" t="s">
        <v>1755</v>
      </c>
      <c r="F267" s="16" t="str">
        <f>CONCATENATE("'",Alumnos!H442,"'")</f>
        <v>'RUIZ LOPEZ MARIA INES'</v>
      </c>
      <c r="G267" s="16" t="str">
        <f>CONCATENATE("'",Alumnos!I442,"'")</f>
        <v>'COMERCIO INTERNACIONAL'</v>
      </c>
      <c r="H267" s="16" t="str">
        <f>CONCATENATE("'",Alumnos!J442,"'")</f>
        <v>'8vo'</v>
      </c>
      <c r="I267" s="16" t="str">
        <f>UPPER(CONCATENATE("'",Alumnos!K442,"'"))</f>
        <v>'FEMENINO'</v>
      </c>
      <c r="J267" s="16" t="str">
        <f>UPPER(CONCATENATE("'",Alumnos!L442,"'"))</f>
        <v>'ACTIVO'</v>
      </c>
      <c r="K267" s="16" t="str">
        <f>CONCATENATE(A267,",",B267,",",C267,",",D267,",'",E267,",",F267,",",G267,",",H267,",",UPPER(I267),",",UPPER(J267),",'',0,0,'','ALUMNO'")</f>
        <v>1266,'LICENCIATURA','mariaines.ruizlopez','110435','TOMAR DEL SND','RUIZ LOPEZ MARIA INES','COMERCIO INTERNACIONAL','8vo','FEMENINO','ACTIVO','',0,0,'','ALUMNO'</v>
      </c>
      <c r="L267" s="16" t="str">
        <f>CONCATENATE($K$1,K267,");")</f>
        <v>INSERT INTO participantes (id,nivel,correo,matricula,clave,nombre,carrera,grado,sexo,situacion,evaluados,num_evaluados,total_evaluaciones,ultimo_acceso,nivel_acceso) VALUES (1266,'LICENCIATURA','mariaines.ruizlopez','110435','TOMAR DEL SND','RUIZ LOPEZ MARIA INES','COMERCIO INTERNACIONAL','8vo','FEMENINO','ACTIVO','',0,0,'','ALUMNO');</v>
      </c>
      <c r="M267" s="16" t="str">
        <f>CONCATENATE("update participantes set correo=",C267," where id=",A267,";")</f>
        <v>update participantes set correo='mariaines.ruizlopez' where id=1266;</v>
      </c>
    </row>
    <row r="268" spans="1:13" ht="130.5" x14ac:dyDescent="0.35">
      <c r="A268" s="16">
        <v>1267</v>
      </c>
      <c r="B268" s="18" t="s">
        <v>1754</v>
      </c>
      <c r="C268" s="16" t="str">
        <f>CONCATENATE("'",Alumnos!E559,"'")</f>
        <v>'ruthpaola.hernandezroman'</v>
      </c>
      <c r="D268" s="16" t="str">
        <f>CONCATENATE(Alumnos!F559,"'")</f>
        <v>'110437'</v>
      </c>
      <c r="E268" s="16" t="s">
        <v>1755</v>
      </c>
      <c r="F268" s="16" t="str">
        <f>CONCATENATE("'",Alumnos!H559,"'")</f>
        <v>'HERNANDEZ ROMAN RUTH PAOLA'</v>
      </c>
      <c r="G268" s="16" t="str">
        <f>CONCATENATE("'",Alumnos!I559,"'")</f>
        <v>'ANIMACION DIGITAL Y VIDEOJUEGOS'</v>
      </c>
      <c r="H268" s="16" t="str">
        <f>CONCATENATE("'",Alumnos!J559,"'")</f>
        <v>'8vo'</v>
      </c>
      <c r="I268" s="16" t="str">
        <f>UPPER(CONCATENATE("'",Alumnos!K559,"'"))</f>
        <v>'FEMENINO'</v>
      </c>
      <c r="J268" s="16" t="str">
        <f>UPPER(CONCATENATE("'",Alumnos!L559,"'"))</f>
        <v>'ACTIVO'</v>
      </c>
      <c r="K268" s="16" t="str">
        <f>CONCATENATE(A268,",",B268,",",C268,",",D268,",'",E268,",",F268,",",G268,",",H268,",",UPPER(I268),",",UPPER(J268),",'',0,0,'','ALUMNO'")</f>
        <v>1267,'LICENCIATURA','ruthpaola.hernandezroman','110437','TOMAR DEL SND','HERNANDEZ ROMAN RUTH PAOLA','ANIMACION DIGITAL Y VIDEOJUEGOS','8vo','FEMENINO','ACTIVO','',0,0,'','ALUMNO'</v>
      </c>
      <c r="L268" s="16" t="str">
        <f>CONCATENATE($K$1,K268,");")</f>
        <v>INSERT INTO participantes (id,nivel,correo,matricula,clave,nombre,carrera,grado,sexo,situacion,evaluados,num_evaluados,total_evaluaciones,ultimo_acceso,nivel_acceso) VALUES (1267,'LICENCIATURA','ruthpaola.hernandezroman','110437','TOMAR DEL SND','HERNANDEZ ROMAN RUTH PAOLA','ANIMACION DIGITAL Y VIDEOJUEGOS','8vo','FEMENINO','ACTIVO','',0,0,'','ALUMNO');</v>
      </c>
      <c r="M268" s="16" t="str">
        <f>CONCATENATE("update participantes set correo=",C268," where id=",A268,";")</f>
        <v>update participantes set correo='ruthpaola.hernandezroman' where id=1267;</v>
      </c>
    </row>
    <row r="269" spans="1:13" ht="116" x14ac:dyDescent="0.35">
      <c r="A269" s="16">
        <v>1268</v>
      </c>
      <c r="B269" s="18" t="s">
        <v>1754</v>
      </c>
      <c r="C269" s="16" t="str">
        <f>CONCATENATE("'",Alumnos!E297,"'")</f>
        <v>'javier.hernandezrendon'</v>
      </c>
      <c r="D269" s="16" t="str">
        <f>CONCATENATE(Alumnos!F297,"'")</f>
        <v>'110442'</v>
      </c>
      <c r="E269" s="16" t="s">
        <v>1755</v>
      </c>
      <c r="F269" s="16" t="str">
        <f>CONCATENATE("'",Alumnos!H297,"'")</f>
        <v>'HERNANDEZ RENDON JAVIER'</v>
      </c>
      <c r="G269" s="16" t="str">
        <f>CONCATENATE("'",Alumnos!I297,"'")</f>
        <v>'PSICOLOGIA'</v>
      </c>
      <c r="H269" s="16" t="str">
        <f>CONCATENATE("'",Alumnos!J297,"'")</f>
        <v>'8vo'</v>
      </c>
      <c r="I269" s="16" t="str">
        <f>UPPER(CONCATENATE("'",Alumnos!K297,"'"))</f>
        <v>'MASCULINO'</v>
      </c>
      <c r="J269" s="16" t="str">
        <f>UPPER(CONCATENATE("'",Alumnos!L297,"'"))</f>
        <v>'ACTIVO'</v>
      </c>
      <c r="K269" s="16" t="str">
        <f>CONCATENATE(A269,",",B269,",",C269,",",D269,",'",E269,",",F269,",",G269,",",H269,",",UPPER(I269),",",UPPER(J269),",'',0,0,'','ALUMNO'")</f>
        <v>1268,'LICENCIATURA','javier.hernandezrendon','110442','TOMAR DEL SND','HERNANDEZ RENDON JAVIER','PSICOLOGIA','8vo','MASCULINO','ACTIVO','',0,0,'','ALUMNO'</v>
      </c>
      <c r="L269" s="16" t="str">
        <f>CONCATENATE($K$1,K269,");")</f>
        <v>INSERT INTO participantes (id,nivel,correo,matricula,clave,nombre,carrera,grado,sexo,situacion,evaluados,num_evaluados,total_evaluaciones,ultimo_acceso,nivel_acceso) VALUES (1268,'LICENCIATURA','javier.hernandezrendon','110442','TOMAR DEL SND','HERNANDEZ RENDON JAVIER','PSICOLOGIA','8vo','MASCULINO','ACTIVO','',0,0,'','ALUMNO');</v>
      </c>
      <c r="M269" s="16" t="str">
        <f>CONCATENATE("update participantes set correo=",C269," where id=",A269,";")</f>
        <v>update participantes set correo='javier.hernandezrendon' where id=1268;</v>
      </c>
    </row>
    <row r="270" spans="1:13" ht="116" x14ac:dyDescent="0.35">
      <c r="A270" s="16">
        <v>1269</v>
      </c>
      <c r="B270" s="18" t="s">
        <v>1754</v>
      </c>
      <c r="C270" s="16" t="str">
        <f>CONCATENATE("'",Alumnos!E482,"'")</f>
        <v>'montserrat.herreraduenas'</v>
      </c>
      <c r="D270" s="16" t="str">
        <f>CONCATENATE(Alumnos!F482,"'")</f>
        <v>'110443'</v>
      </c>
      <c r="E270" s="16" t="s">
        <v>1755</v>
      </c>
      <c r="F270" s="16" t="str">
        <f>CONCATENATE("'",Alumnos!H482,"'")</f>
        <v>'HERRERA DUEÑAS MONTSERRAT'</v>
      </c>
      <c r="G270" s="16" t="str">
        <f>CONCATENATE("'",Alumnos!I482,"'")</f>
        <v>'PSICOLOGIA'</v>
      </c>
      <c r="H270" s="16" t="str">
        <f>CONCATENATE("'",Alumnos!J482,"'")</f>
        <v>'8vo'</v>
      </c>
      <c r="I270" s="16" t="str">
        <f>UPPER(CONCATENATE("'",Alumnos!K482,"'"))</f>
        <v>'FEMENINO'</v>
      </c>
      <c r="J270" s="16" t="str">
        <f>UPPER(CONCATENATE("'",Alumnos!L482,"'"))</f>
        <v>'ACTIVO'</v>
      </c>
      <c r="K270" s="16" t="str">
        <f>CONCATENATE(A270,",",B270,",",C270,",",D270,",'",E270,",",F270,",",G270,",",H270,",",UPPER(I270),",",UPPER(J270),",'',0,0,'','ALUMNO'")</f>
        <v>1269,'LICENCIATURA','montserrat.herreraduenas','110443','TOMAR DEL SND','HERRERA DUEÑAS MONTSERRAT','PSICOLOGIA','8vo','FEMENINO','ACTIVO','',0,0,'','ALUMNO'</v>
      </c>
      <c r="L270" s="16" t="str">
        <f>CONCATENATE($K$1,K270,");")</f>
        <v>INSERT INTO participantes (id,nivel,correo,matricula,clave,nombre,carrera,grado,sexo,situacion,evaluados,num_evaluados,total_evaluaciones,ultimo_acceso,nivel_acceso) VALUES (1269,'LICENCIATURA','montserrat.herreraduenas','110443','TOMAR DEL SND','HERRERA DUEÑAS MONTSERRAT','PSICOLOGIA','8vo','FEMENINO','ACTIVO','',0,0,'','ALUMNO');</v>
      </c>
      <c r="M270" s="16" t="str">
        <f>CONCATENATE("update participantes set correo=",C270," where id=",A270,";")</f>
        <v>update participantes set correo='montserrat.herreraduenas' where id=1269;</v>
      </c>
    </row>
    <row r="271" spans="1:13" ht="116" x14ac:dyDescent="0.35">
      <c r="A271" s="16">
        <v>1270</v>
      </c>
      <c r="B271" s="18" t="s">
        <v>1754</v>
      </c>
      <c r="C271" s="16" t="str">
        <f>CONCATENATE("'",Alumnos!E82,"'")</f>
        <v>'angelfernando.morenozumaya'</v>
      </c>
      <c r="D271" s="16" t="str">
        <f>CONCATENATE(Alumnos!F82,"'")</f>
        <v>'110444'</v>
      </c>
      <c r="E271" s="16" t="s">
        <v>1755</v>
      </c>
      <c r="F271" s="16" t="str">
        <f>CONCATENATE("'",Alumnos!H82,"'")</f>
        <v>'MORENO ZUMAYA ANGEL FERNANDO'</v>
      </c>
      <c r="G271" s="16" t="str">
        <f>CONCATENATE("'",Alumnos!I82,"'")</f>
        <v>'PSICOLOGIA'</v>
      </c>
      <c r="H271" s="16" t="str">
        <f>CONCATENATE("'",Alumnos!J82,"'")</f>
        <v>'8vo'</v>
      </c>
      <c r="I271" s="16" t="str">
        <f>UPPER(CONCATENATE("'",Alumnos!K82,"'"))</f>
        <v>'MASCULINO'</v>
      </c>
      <c r="J271" s="16" t="str">
        <f>UPPER(CONCATENATE("'",Alumnos!L82,"'"))</f>
        <v>'ACTIVO'</v>
      </c>
      <c r="K271" s="16" t="str">
        <f>CONCATENATE(A271,",",B271,",",C271,",",D271,",'",E271,",",F271,",",G271,",",H271,",",UPPER(I271),",",UPPER(J271),",'',0,0,'','ALUMNO'")</f>
        <v>1270,'LICENCIATURA','angelfernando.morenozumaya','110444','TOMAR DEL SND','MORENO ZUMAYA ANGEL FERNANDO','PSICOLOGIA','8vo','MASCULINO','ACTIVO','',0,0,'','ALUMNO'</v>
      </c>
      <c r="L271" s="16" t="str">
        <f>CONCATENATE($K$1,K271,");")</f>
        <v>INSERT INTO participantes (id,nivel,correo,matricula,clave,nombre,carrera,grado,sexo,situacion,evaluados,num_evaluados,total_evaluaciones,ultimo_acceso,nivel_acceso) VALUES (1270,'LICENCIATURA','angelfernando.morenozumaya','110444','TOMAR DEL SND','MORENO ZUMAYA ANGEL FERNANDO','PSICOLOGIA','8vo','MASCULINO','ACTIVO','',0,0,'','ALUMNO');</v>
      </c>
      <c r="M271" s="16" t="str">
        <f>CONCATENATE("update participantes set correo=",C271," where id=",A271,";")</f>
        <v>update participantes set correo='angelfernando.morenozumaya' where id=1270;</v>
      </c>
    </row>
    <row r="272" spans="1:13" ht="116" x14ac:dyDescent="0.35">
      <c r="A272" s="16">
        <v>1271</v>
      </c>
      <c r="B272" s="18" t="s">
        <v>1754</v>
      </c>
      <c r="C272" s="16" t="str">
        <f>CONCATENATE("'",Alumnos!E433,"'")</f>
        <v>'mariadelosangeles.santoyogarcia'</v>
      </c>
      <c r="D272" s="16" t="str">
        <f>CONCATENATE(Alumnos!F433,"'")</f>
        <v>'110445'</v>
      </c>
      <c r="E272" s="16" t="s">
        <v>1755</v>
      </c>
      <c r="F272" s="16" t="str">
        <f>CONCATENATE("'",Alumnos!H433,"'")</f>
        <v>'SANTOYO GARCIA MARIA DE LOS ANGELES'</v>
      </c>
      <c r="G272" s="16" t="str">
        <f>CONCATENATE("'",Alumnos!I433,"'")</f>
        <v>'PSICOLOGIA'</v>
      </c>
      <c r="H272" s="16" t="str">
        <f>CONCATENATE("'",Alumnos!J433,"'")</f>
        <v>'8vo'</v>
      </c>
      <c r="I272" s="16" t="str">
        <f>UPPER(CONCATENATE("'",Alumnos!K433,"'"))</f>
        <v>'FEMENINO'</v>
      </c>
      <c r="J272" s="16" t="str">
        <f>UPPER(CONCATENATE("'",Alumnos!L433,"'"))</f>
        <v>'ACTIVO'</v>
      </c>
      <c r="K272" s="16" t="str">
        <f>CONCATENATE(A272,",",B272,",",C272,",",D272,",'",E272,",",F272,",",G272,",",H272,",",UPPER(I272),",",UPPER(J272),",'',0,0,'','ALUMNO'")</f>
        <v>1271,'LICENCIATURA','mariadelosangeles.santoyogarcia','110445','TOMAR DEL SND','SANTOYO GARCIA MARIA DE LOS ANGELES','PSICOLOGIA','8vo','FEMENINO','ACTIVO','',0,0,'','ALUMNO'</v>
      </c>
      <c r="L272" s="16" t="str">
        <f>CONCATENATE($K$1,K272,");")</f>
        <v>INSERT INTO participantes (id,nivel,correo,matricula,clave,nombre,carrera,grado,sexo,situacion,evaluados,num_evaluados,total_evaluaciones,ultimo_acceso,nivel_acceso) VALUES (1271,'LICENCIATURA','mariadelosangeles.santoyogarcia','110445','TOMAR DEL SND','SANTOYO GARCIA MARIA DE LOS ANGELES','PSICOLOGIA','8vo','FEMENINO','ACTIVO','',0,0,'','ALUMNO');</v>
      </c>
      <c r="M272" s="16" t="str">
        <f>CONCATENATE("update participantes set correo=",C272," where id=",A272,";")</f>
        <v>update participantes set correo='mariadelosangeles.santoyogarcia' where id=1271;</v>
      </c>
    </row>
    <row r="273" spans="1:13" ht="130.5" x14ac:dyDescent="0.35">
      <c r="A273" s="16">
        <v>1272</v>
      </c>
      <c r="B273" s="18" t="s">
        <v>1754</v>
      </c>
      <c r="C273" s="16" t="str">
        <f>CONCATENATE("'",Alumnos!E617,"'")</f>
        <v>'yaeldejesus.medinarodriguez'</v>
      </c>
      <c r="D273" s="16" t="str">
        <f>CONCATENATE(Alumnos!F617,"'")</f>
        <v>'110448'</v>
      </c>
      <c r="E273" s="16" t="s">
        <v>1755</v>
      </c>
      <c r="F273" s="16" t="str">
        <f>CONCATENATE("'",Alumnos!H617,"'")</f>
        <v>'MEDINA RODRIGUEZ YAEL DE JESUS'</v>
      </c>
      <c r="G273" s="16" t="str">
        <f>CONCATENATE("'",Alumnos!I617,"'")</f>
        <v>'INGENIERIA AEROESPACIAL'</v>
      </c>
      <c r="H273" s="16" t="str">
        <f>CONCATENATE("'",Alumnos!J617,"'")</f>
        <v>'8vo'</v>
      </c>
      <c r="I273" s="16" t="str">
        <f>UPPER(CONCATENATE("'",Alumnos!K617,"'"))</f>
        <v>'MASCULINO'</v>
      </c>
      <c r="J273" s="16" t="str">
        <f>UPPER(CONCATENATE("'",Alumnos!L617,"'"))</f>
        <v>'ACTIVO'</v>
      </c>
      <c r="K273" s="16" t="str">
        <f>CONCATENATE(A273,",",B273,",",C273,",",D273,",'",E273,",",F273,",",G273,",",H273,",",UPPER(I273),",",UPPER(J273),",'',0,0,'','ALUMNO'")</f>
        <v>1272,'LICENCIATURA','yaeldejesus.medinarodriguez','110448','TOMAR DEL SND','MEDINA RODRIGUEZ YAEL DE JESUS','INGENIERIA AEROESPACIAL','8vo','MASCULINO','ACTIVO','',0,0,'','ALUMNO'</v>
      </c>
      <c r="L273" s="16" t="str">
        <f>CONCATENATE($K$1,K273,");")</f>
        <v>INSERT INTO participantes (id,nivel,correo,matricula,clave,nombre,carrera,grado,sexo,situacion,evaluados,num_evaluados,total_evaluaciones,ultimo_acceso,nivel_acceso) VALUES (1272,'LICENCIATURA','yaeldejesus.medinarodriguez','110448','TOMAR DEL SND','MEDINA RODRIGUEZ YAEL DE JESUS','INGENIERIA AEROESPACIAL','8vo','MASCULINO','ACTIVO','',0,0,'','ALUMNO');</v>
      </c>
      <c r="M273" s="16" t="str">
        <f>CONCATENATE("update participantes set correo=",C273," where id=",A273,";")</f>
        <v>update participantes set correo='yaeldejesus.medinarodriguez' where id=1272;</v>
      </c>
    </row>
    <row r="274" spans="1:13" ht="130.5" x14ac:dyDescent="0.35">
      <c r="A274" s="16">
        <v>1273</v>
      </c>
      <c r="B274" s="18" t="s">
        <v>1754</v>
      </c>
      <c r="C274" s="16" t="str">
        <f>CONCATENATE("'",Alumnos!E72,"'")</f>
        <v>'angel.mondragonhernandez'</v>
      </c>
      <c r="D274" s="16" t="str">
        <f>CONCATENATE(Alumnos!F72,"'")</f>
        <v>'110449'</v>
      </c>
      <c r="E274" s="16" t="s">
        <v>1755</v>
      </c>
      <c r="F274" s="16" t="str">
        <f>CONCATENATE("'",Alumnos!H72,"'")</f>
        <v>'MONDRAGON HERNANDEZ ANGEL'</v>
      </c>
      <c r="G274" s="16" t="str">
        <f>CONCATENATE("'",Alumnos!I72,"'")</f>
        <v>'INGENIERIA AEROESPACIAL'</v>
      </c>
      <c r="H274" s="16" t="str">
        <f>CONCATENATE("'",Alumnos!J72,"'")</f>
        <v>'8vo'</v>
      </c>
      <c r="I274" s="16" t="str">
        <f>UPPER(CONCATENATE("'",Alumnos!K72,"'"))</f>
        <v>'MASCULINO'</v>
      </c>
      <c r="J274" s="16" t="str">
        <f>UPPER(CONCATENATE("'",Alumnos!L72,"'"))</f>
        <v>'ACTIVO'</v>
      </c>
      <c r="K274" s="16" t="str">
        <f>CONCATENATE(A274,",",B274,",",C274,",",D274,",'",E274,",",F274,",",G274,",",H274,",",UPPER(I274),",",UPPER(J274),",'',0,0,'','ALUMNO'")</f>
        <v>1273,'LICENCIATURA','angel.mondragonhernandez','110449','TOMAR DEL SND','MONDRAGON HERNANDEZ ANGEL','INGENIERIA AEROESPACIAL','8vo','MASCULINO','ACTIVO','',0,0,'','ALUMNO'</v>
      </c>
      <c r="L274" s="16" t="str">
        <f>CONCATENATE($K$1,K274,");")</f>
        <v>INSERT INTO participantes (id,nivel,correo,matricula,clave,nombre,carrera,grado,sexo,situacion,evaluados,num_evaluados,total_evaluaciones,ultimo_acceso,nivel_acceso) VALUES (1273,'LICENCIATURA','angel.mondragonhernandez','110449','TOMAR DEL SND','MONDRAGON HERNANDEZ ANGEL','INGENIERIA AEROESPACIAL','8vo','MASCULINO','ACTIVO','',0,0,'','ALUMNO');</v>
      </c>
      <c r="M274" s="16" t="str">
        <f>CONCATENATE("update participantes set correo=",C274," where id=",A274,";")</f>
        <v>update participantes set correo='angel.mondragonhernandez' where id=1273;</v>
      </c>
    </row>
    <row r="275" spans="1:13" ht="116" x14ac:dyDescent="0.35">
      <c r="A275" s="16">
        <v>1274</v>
      </c>
      <c r="B275" s="18" t="s">
        <v>1754</v>
      </c>
      <c r="C275" s="16" t="str">
        <f>CONCATENATE("'",Alumnos!E506,"'")</f>
        <v>'oscardaniel.tinocoavila'</v>
      </c>
      <c r="D275" s="16" t="str">
        <f>CONCATENATE(Alumnos!F506,"'")</f>
        <v>'110450'</v>
      </c>
      <c r="E275" s="16" t="s">
        <v>1755</v>
      </c>
      <c r="F275" s="16" t="str">
        <f>CONCATENATE("'",Alumnos!H506,"'")</f>
        <v>'TINOCO AVILA OSCAR DANIEL'</v>
      </c>
      <c r="G275" s="16" t="str">
        <f>CONCATENATE("'",Alumnos!I506,"'")</f>
        <v>'INGENIERIA AEROESPACIAL'</v>
      </c>
      <c r="H275" s="16" t="str">
        <f>CONCATENATE("'",Alumnos!J506,"'")</f>
        <v>'8vo'</v>
      </c>
      <c r="I275" s="16" t="str">
        <f>UPPER(CONCATENATE("'",Alumnos!K506,"'"))</f>
        <v>'MASCULINO'</v>
      </c>
      <c r="J275" s="16" t="str">
        <f>UPPER(CONCATENATE("'",Alumnos!L506,"'"))</f>
        <v>'ACTIVO'</v>
      </c>
      <c r="K275" s="16" t="str">
        <f>CONCATENATE(A275,",",B275,",",C275,",",D275,",'",E275,",",F275,",",G275,",",H275,",",UPPER(I275),",",UPPER(J275),",'',0,0,'','ALUMNO'")</f>
        <v>1274,'LICENCIATURA','oscardaniel.tinocoavila','110450','TOMAR DEL SND','TINOCO AVILA OSCAR DANIEL','INGENIERIA AEROESPACIAL','8vo','MASCULINO','ACTIVO','',0,0,'','ALUMNO'</v>
      </c>
      <c r="L275" s="16" t="str">
        <f>CONCATENATE($K$1,K275,");")</f>
        <v>INSERT INTO participantes (id,nivel,correo,matricula,clave,nombre,carrera,grado,sexo,situacion,evaluados,num_evaluados,total_evaluaciones,ultimo_acceso,nivel_acceso) VALUES (1274,'LICENCIATURA','oscardaniel.tinocoavila','110450','TOMAR DEL SND','TINOCO AVILA OSCAR DANIEL','INGENIERIA AEROESPACIAL','8vo','MASCULINO','ACTIVO','',0,0,'','ALUMNO');</v>
      </c>
      <c r="M275" s="16" t="str">
        <f>CONCATENATE("update participantes set correo=",C275," where id=",A275,";")</f>
        <v>update participantes set correo='oscardaniel.tinocoavila' where id=1274;</v>
      </c>
    </row>
    <row r="276" spans="1:13" ht="130.5" x14ac:dyDescent="0.35">
      <c r="A276" s="16">
        <v>1275</v>
      </c>
      <c r="B276" s="18" t="s">
        <v>1754</v>
      </c>
      <c r="C276" s="16" t="str">
        <f>CONCATENATE("'",Alumnos!E327,"'")</f>
        <v>'josealejandro.ursielortega'</v>
      </c>
      <c r="D276" s="16" t="str">
        <f>CONCATENATE(Alumnos!F327,"'")</f>
        <v>'110451'</v>
      </c>
      <c r="E276" s="16" t="s">
        <v>1755</v>
      </c>
      <c r="F276" s="16" t="str">
        <f>CONCATENATE("'",Alumnos!H327,"'")</f>
        <v>'URSIEL ORTEGA JOSE ALEJANDRO'</v>
      </c>
      <c r="G276" s="16" t="str">
        <f>CONCATENATE("'",Alumnos!I327,"'")</f>
        <v>'INGENIERIA AEROESPACIAL'</v>
      </c>
      <c r="H276" s="16" t="str">
        <f>CONCATENATE("'",Alumnos!J327,"'")</f>
        <v>'8vo'</v>
      </c>
      <c r="I276" s="16" t="str">
        <f>UPPER(CONCATENATE("'",Alumnos!K327,"'"))</f>
        <v>'MASCULINO'</v>
      </c>
      <c r="J276" s="16" t="str">
        <f>UPPER(CONCATENATE("'",Alumnos!L327,"'"))</f>
        <v>'ACTIVO'</v>
      </c>
      <c r="K276" s="16" t="str">
        <f>CONCATENATE(A276,",",B276,",",C276,",",D276,",'",E276,",",F276,",",G276,",",H276,",",UPPER(I276),",",UPPER(J276),",'',0,0,'','ALUMNO'")</f>
        <v>1275,'LICENCIATURA','josealejandro.ursielortega','110451','TOMAR DEL SND','URSIEL ORTEGA JOSE ALEJANDRO','INGENIERIA AEROESPACIAL','8vo','MASCULINO','ACTIVO','',0,0,'','ALUMNO'</v>
      </c>
      <c r="L276" s="16" t="str">
        <f>CONCATENATE($K$1,K276,");")</f>
        <v>INSERT INTO participantes (id,nivel,correo,matricula,clave,nombre,carrera,grado,sexo,situacion,evaluados,num_evaluados,total_evaluaciones,ultimo_acceso,nivel_acceso) VALUES (1275,'LICENCIATURA','josealejandro.ursielortega','110451','TOMAR DEL SND','URSIEL ORTEGA JOSE ALEJANDRO','INGENIERIA AEROESPACIAL','8vo','MASCULINO','ACTIVO','',0,0,'','ALUMNO');</v>
      </c>
      <c r="M276" s="16" t="str">
        <f>CONCATENATE("update participantes set correo=",C276," where id=",A276,";")</f>
        <v>update participantes set correo='josealejandro.ursielortega' where id=1275;</v>
      </c>
    </row>
    <row r="277" spans="1:13" ht="130.5" x14ac:dyDescent="0.35">
      <c r="A277" s="16">
        <v>1276</v>
      </c>
      <c r="B277" s="18" t="s">
        <v>1754</v>
      </c>
      <c r="C277" s="16" t="str">
        <f>CONCATENATE("'",Alumnos!E389,"'")</f>
        <v>'kevinrodrigopascal.estradabautista'</v>
      </c>
      <c r="D277" s="16" t="str">
        <f>CONCATENATE(Alumnos!F389,"'")</f>
        <v>'110452'</v>
      </c>
      <c r="E277" s="16" t="s">
        <v>1755</v>
      </c>
      <c r="F277" s="16" t="str">
        <f>CONCATENATE("'",Alumnos!H389,"'")</f>
        <v>'ESTRADA BAUTISTA KEVIN RODRIGO PASCAL'</v>
      </c>
      <c r="G277" s="16" t="str">
        <f>CONCATENATE("'",Alumnos!I389,"'")</f>
        <v>'INGENIERIA AEROESPACIAL'</v>
      </c>
      <c r="H277" s="16" t="str">
        <f>CONCATENATE("'",Alumnos!J389,"'")</f>
        <v>'8vo'</v>
      </c>
      <c r="I277" s="16" t="str">
        <f>UPPER(CONCATENATE("'",Alumnos!K389,"'"))</f>
        <v>'MASCULINO'</v>
      </c>
      <c r="J277" s="16" t="str">
        <f>UPPER(CONCATENATE("'",Alumnos!L389,"'"))</f>
        <v>'ACTIVO'</v>
      </c>
      <c r="K277" s="16" t="str">
        <f>CONCATENATE(A277,",",B277,",",C277,",",D277,",'",E277,",",F277,",",G277,",",H277,",",UPPER(I277),",",UPPER(J277),",'',0,0,'','ALUMNO'")</f>
        <v>1276,'LICENCIATURA','kevinrodrigopascal.estradabautista','110452','TOMAR DEL SND','ESTRADA BAUTISTA KEVIN RODRIGO PASCAL','INGENIERIA AEROESPACIAL','8vo','MASCULINO','ACTIVO','',0,0,'','ALUMNO'</v>
      </c>
      <c r="L277" s="16" t="str">
        <f>CONCATENATE($K$1,K277,");")</f>
        <v>INSERT INTO participantes (id,nivel,correo,matricula,clave,nombre,carrera,grado,sexo,situacion,evaluados,num_evaluados,total_evaluaciones,ultimo_acceso,nivel_acceso) VALUES (1276,'LICENCIATURA','kevinrodrigopascal.estradabautista','110452','TOMAR DEL SND','ESTRADA BAUTISTA KEVIN RODRIGO PASCAL','INGENIERIA AEROESPACIAL','8vo','MASCULINO','ACTIVO','',0,0,'','ALUMNO');</v>
      </c>
      <c r="M277" s="16" t="str">
        <f>CONCATENATE("update participantes set correo=",C277," where id=",A277,";")</f>
        <v>update participantes set correo='kevinrodrigopascal.estradabautista' where id=1276;</v>
      </c>
    </row>
    <row r="278" spans="1:13" ht="116" x14ac:dyDescent="0.35">
      <c r="A278" s="16">
        <v>1277</v>
      </c>
      <c r="B278" s="18" t="s">
        <v>1754</v>
      </c>
      <c r="C278" s="16" t="str">
        <f>CONCATENATE("'",Alumnos!E132,"'")</f>
        <v>'cesar.obledomartinez'</v>
      </c>
      <c r="D278" s="16" t="str">
        <f>CONCATENATE(Alumnos!F132,"'")</f>
        <v>'110455'</v>
      </c>
      <c r="E278" s="16" t="s">
        <v>1755</v>
      </c>
      <c r="F278" s="16" t="str">
        <f>CONCATENATE("'",Alumnos!H132,"'")</f>
        <v>'OBLEDO MARTINEZ CESAR'</v>
      </c>
      <c r="G278" s="16" t="str">
        <f>CONCATENATE("'",Alumnos!I132,"'")</f>
        <v>'ARQUITECTURA'</v>
      </c>
      <c r="H278" s="16" t="str">
        <f>CONCATENATE("'",Alumnos!J132,"'")</f>
        <v>'8vo'</v>
      </c>
      <c r="I278" s="16" t="str">
        <f>UPPER(CONCATENATE("'",Alumnos!K132,"'"))</f>
        <v>'MASCULINO'</v>
      </c>
      <c r="J278" s="16" t="str">
        <f>UPPER(CONCATENATE("'",Alumnos!L132,"'"))</f>
        <v>'ACTIVO'</v>
      </c>
      <c r="K278" s="16" t="str">
        <f>CONCATENATE(A278,",",B278,",",C278,",",D278,",'",E278,",",F278,",",G278,",",H278,",",UPPER(I278),",",UPPER(J278),",'',0,0,'','ALUMNO'")</f>
        <v>1277,'LICENCIATURA','cesar.obledomartinez','110455','TOMAR DEL SND','OBLEDO MARTINEZ CESAR','ARQUITECTURA','8vo','MASCULINO','ACTIVO','',0,0,'','ALUMNO'</v>
      </c>
      <c r="L278" s="16" t="str">
        <f>CONCATENATE($K$1,K278,");")</f>
        <v>INSERT INTO participantes (id,nivel,correo,matricula,clave,nombre,carrera,grado,sexo,situacion,evaluados,num_evaluados,total_evaluaciones,ultimo_acceso,nivel_acceso) VALUES (1277,'LICENCIATURA','cesar.obledomartinez','110455','TOMAR DEL SND','OBLEDO MARTINEZ CESAR','ARQUITECTURA','8vo','MASCULINO','ACTIVO','',0,0,'','ALUMNO');</v>
      </c>
      <c r="M278" s="16" t="str">
        <f>CONCATENATE("update participantes set correo=",C278," where id=",A278,";")</f>
        <v>update participantes set correo='cesar.obledomartinez' where id=1277;</v>
      </c>
    </row>
    <row r="279" spans="1:13" ht="130.5" x14ac:dyDescent="0.35">
      <c r="A279" s="16">
        <v>1278</v>
      </c>
      <c r="B279" s="18" t="s">
        <v>1754</v>
      </c>
      <c r="C279" s="16" t="str">
        <f>CONCATENATE("'",Alumnos!E246,"'")</f>
        <v>'gabrieleduardo.colomecampos'</v>
      </c>
      <c r="D279" s="16" t="str">
        <f>CONCATENATE(Alumnos!F246,"'")</f>
        <v>'110456'</v>
      </c>
      <c r="E279" s="16" t="s">
        <v>1755</v>
      </c>
      <c r="F279" s="16" t="str">
        <f>CONCATENATE("'",Alumnos!H246,"'")</f>
        <v>'COLOME CAMPOS GABRIEL EDUARDO'</v>
      </c>
      <c r="G279" s="16" t="str">
        <f>CONCATENATE("'",Alumnos!I246,"'")</f>
        <v>'INGENIERIA AEROESPACIAL'</v>
      </c>
      <c r="H279" s="16" t="str">
        <f>CONCATENATE("'",Alumnos!J246,"'")</f>
        <v>'8vo'</v>
      </c>
      <c r="I279" s="16" t="str">
        <f>UPPER(CONCATENATE("'",Alumnos!K246,"'"))</f>
        <v>'MASCULINO'</v>
      </c>
      <c r="J279" s="16" t="str">
        <f>UPPER(CONCATENATE("'",Alumnos!L246,"'"))</f>
        <v>'ACTIVO'</v>
      </c>
      <c r="K279" s="16" t="str">
        <f>CONCATENATE(A279,",",B279,",",C279,",",D279,",'",E279,",",F279,",",G279,",",H279,",",UPPER(I279),",",UPPER(J279),",'',0,0,'','ALUMNO'")</f>
        <v>1278,'LICENCIATURA','gabrieleduardo.colomecampos','110456','TOMAR DEL SND','COLOME CAMPOS GABRIEL EDUARDO','INGENIERIA AEROESPACIAL','8vo','MASCULINO','ACTIVO','',0,0,'','ALUMNO'</v>
      </c>
      <c r="L279" s="16" t="str">
        <f>CONCATENATE($K$1,K279,");")</f>
        <v>INSERT INTO participantes (id,nivel,correo,matricula,clave,nombre,carrera,grado,sexo,situacion,evaluados,num_evaluados,total_evaluaciones,ultimo_acceso,nivel_acceso) VALUES (1278,'LICENCIATURA','gabrieleduardo.colomecampos','110456','TOMAR DEL SND','COLOME CAMPOS GABRIEL EDUARDO','INGENIERIA AEROESPACIAL','8vo','MASCULINO','ACTIVO','',0,0,'','ALUMNO');</v>
      </c>
      <c r="M279" s="16" t="str">
        <f>CONCATENATE("update participantes set correo=",C279," where id=",A279,";")</f>
        <v>update participantes set correo='gabrieleduardo.colomecampos' where id=1278;</v>
      </c>
    </row>
    <row r="280" spans="1:13" ht="116" x14ac:dyDescent="0.35">
      <c r="A280" s="16">
        <v>1279</v>
      </c>
      <c r="B280" s="18" t="s">
        <v>1754</v>
      </c>
      <c r="C280" s="16" t="str">
        <f>CONCATENATE("'",Alumnos!E599,"'")</f>
        <v>'valeria.galvezdiaz'</v>
      </c>
      <c r="D280" s="16" t="str">
        <f>CONCATENATE(Alumnos!F599,"'")</f>
        <v>'110458'</v>
      </c>
      <c r="E280" s="16" t="s">
        <v>1755</v>
      </c>
      <c r="F280" s="16" t="str">
        <f>CONCATENATE("'",Alumnos!H599,"'")</f>
        <v>'GALVEZ DIAZ VALERIA'</v>
      </c>
      <c r="G280" s="16" t="str">
        <f>CONCATENATE("'",Alumnos!I599,"'")</f>
        <v>'INGENIERIA AEROESPACIAL'</v>
      </c>
      <c r="H280" s="16" t="str">
        <f>CONCATENATE("'",Alumnos!J599,"'")</f>
        <v>'8vo'</v>
      </c>
      <c r="I280" s="16" t="str">
        <f>UPPER(CONCATENATE("'",Alumnos!K599,"'"))</f>
        <v>'FEMENINO'</v>
      </c>
      <c r="J280" s="16" t="str">
        <f>UPPER(CONCATENATE("'",Alumnos!L599,"'"))</f>
        <v>'ACTIVO'</v>
      </c>
      <c r="K280" s="16" t="str">
        <f>CONCATENATE(A280,",",B280,",",C280,",",D280,",'",E280,",",F280,",",G280,",",H280,",",UPPER(I280),",",UPPER(J280),",'',0,0,'','ALUMNO'")</f>
        <v>1279,'LICENCIATURA','valeria.galvezdiaz','110458','TOMAR DEL SND','GALVEZ DIAZ VALERIA','INGENIERIA AEROESPACIAL','8vo','FEMENINO','ACTIVO','',0,0,'','ALUMNO'</v>
      </c>
      <c r="L280" s="16" t="str">
        <f>CONCATENATE($K$1,K280,");")</f>
        <v>INSERT INTO participantes (id,nivel,correo,matricula,clave,nombre,carrera,grado,sexo,situacion,evaluados,num_evaluados,total_evaluaciones,ultimo_acceso,nivel_acceso) VALUES (1279,'LICENCIATURA','valeria.galvezdiaz','110458','TOMAR DEL SND','GALVEZ DIAZ VALERIA','INGENIERIA AEROESPACIAL','8vo','FEMENINO','ACTIVO','',0,0,'','ALUMNO');</v>
      </c>
      <c r="M280" s="16" t="str">
        <f>CONCATENATE("update participantes set correo=",C280," where id=",A280,";")</f>
        <v>update participantes set correo='valeria.galvezdiaz' where id=1279;</v>
      </c>
    </row>
    <row r="281" spans="1:13" ht="130.5" x14ac:dyDescent="0.35">
      <c r="A281" s="16">
        <v>1280</v>
      </c>
      <c r="B281" s="18" t="s">
        <v>1754</v>
      </c>
      <c r="C281" s="16" t="str">
        <f>CONCATENATE("'",Alumnos!E309,"'")</f>
        <v>'jesuseduardo.ramoscontreras'</v>
      </c>
      <c r="D281" s="16" t="str">
        <f>CONCATENATE(Alumnos!F309,"'")</f>
        <v>'110459'</v>
      </c>
      <c r="E281" s="16" t="s">
        <v>1755</v>
      </c>
      <c r="F281" s="16" t="str">
        <f>CONCATENATE("'",Alumnos!H309,"'")</f>
        <v>'RAMOS CONTRERAS JESUS EDUARDO'</v>
      </c>
      <c r="G281" s="16" t="str">
        <f>CONCATENATE("'",Alumnos!I309,"'")</f>
        <v>'INGENIERIA AEROESPACIAL'</v>
      </c>
      <c r="H281" s="16" t="str">
        <f>CONCATENATE("'",Alumnos!J309,"'")</f>
        <v>'8vo'</v>
      </c>
      <c r="I281" s="16" t="str">
        <f>UPPER(CONCATENATE("'",Alumnos!K309,"'"))</f>
        <v>'MASCULINO'</v>
      </c>
      <c r="J281" s="16" t="str">
        <f>UPPER(CONCATENATE("'",Alumnos!L309,"'"))</f>
        <v>'ACTIVO'</v>
      </c>
      <c r="K281" s="16" t="str">
        <f>CONCATENATE(A281,",",B281,",",C281,",",D281,",'",E281,",",F281,",",G281,",",H281,",",UPPER(I281),",",UPPER(J281),",'',0,0,'','ALUMNO'")</f>
        <v>1280,'LICENCIATURA','jesuseduardo.ramoscontreras','110459','TOMAR DEL SND','RAMOS CONTRERAS JESUS EDUARDO','INGENIERIA AEROESPACIAL','8vo','MASCULINO','ACTIVO','',0,0,'','ALUMNO'</v>
      </c>
      <c r="L281" s="16" t="str">
        <f>CONCATENATE($K$1,K281,");")</f>
        <v>INSERT INTO participantes (id,nivel,correo,matricula,clave,nombre,carrera,grado,sexo,situacion,evaluados,num_evaluados,total_evaluaciones,ultimo_acceso,nivel_acceso) VALUES (1280,'LICENCIATURA','jesuseduardo.ramoscontreras','110459','TOMAR DEL SND','RAMOS CONTRERAS JESUS EDUARDO','INGENIERIA AEROESPACIAL','8vo','MASCULINO','ACTIVO','',0,0,'','ALUMNO');</v>
      </c>
      <c r="M281" s="16" t="str">
        <f>CONCATENATE("update participantes set correo=",C281," where id=",A281,";")</f>
        <v>update participantes set correo='jesuseduardo.ramoscontreras' where id=1280;</v>
      </c>
    </row>
    <row r="282" spans="1:13" ht="116" x14ac:dyDescent="0.35">
      <c r="A282" s="16">
        <v>1281</v>
      </c>
      <c r="B282" s="18" t="s">
        <v>1754</v>
      </c>
      <c r="C282" s="16" t="str">
        <f>CONCATENATE("'",Alumnos!E462,"'")</f>
        <v>'maritzaelizabeth.hernandezgarcia'</v>
      </c>
      <c r="D282" s="16" t="str">
        <f>CONCATENATE(Alumnos!F462,"'")</f>
        <v>'110461'</v>
      </c>
      <c r="E282" s="16" t="s">
        <v>1755</v>
      </c>
      <c r="F282" s="16" t="str">
        <f>CONCATENATE("'",Alumnos!H462,"'")</f>
        <v>'HERNANDEZ GARCIA MARITZA ELIZABETH'</v>
      </c>
      <c r="G282" s="16" t="str">
        <f>CONCATENATE("'",Alumnos!I462,"'")</f>
        <v>'PSICOLOGIA'</v>
      </c>
      <c r="H282" s="16" t="str">
        <f>CONCATENATE("'",Alumnos!J462,"'")</f>
        <v>'8vo'</v>
      </c>
      <c r="I282" s="16" t="str">
        <f>UPPER(CONCATENATE("'",Alumnos!K462,"'"))</f>
        <v>'FEMENINO'</v>
      </c>
      <c r="J282" s="16" t="str">
        <f>UPPER(CONCATENATE("'",Alumnos!L462,"'"))</f>
        <v>'ACTIVO'</v>
      </c>
      <c r="K282" s="16" t="str">
        <f>CONCATENATE(A282,",",B282,",",C282,",",D282,",'",E282,",",F282,",",G282,",",H282,",",UPPER(I282),",",UPPER(J282),",'',0,0,'','ALUMNO'")</f>
        <v>1281,'LICENCIATURA','maritzaelizabeth.hernandezgarcia','110461','TOMAR DEL SND','HERNANDEZ GARCIA MARITZA ELIZABETH','PSICOLOGIA','8vo','FEMENINO','ACTIVO','',0,0,'','ALUMNO'</v>
      </c>
      <c r="L282" s="16" t="str">
        <f>CONCATENATE($K$1,K282,");")</f>
        <v>INSERT INTO participantes (id,nivel,correo,matricula,clave,nombre,carrera,grado,sexo,situacion,evaluados,num_evaluados,total_evaluaciones,ultimo_acceso,nivel_acceso) VALUES (1281,'LICENCIATURA','maritzaelizabeth.hernandezgarcia','110461','TOMAR DEL SND','HERNANDEZ GARCIA MARITZA ELIZABETH','PSICOLOGIA','8vo','FEMENINO','ACTIVO','',0,0,'','ALUMNO');</v>
      </c>
      <c r="M282" s="16" t="str">
        <f>CONCATENATE("update participantes set correo=",C282," where id=",A282,";")</f>
        <v>update participantes set correo='maritzaelizabeth.hernandezgarcia' where id=1281;</v>
      </c>
    </row>
    <row r="283" spans="1:13" ht="116" x14ac:dyDescent="0.35">
      <c r="A283" s="16">
        <v>1282</v>
      </c>
      <c r="B283" s="18" t="s">
        <v>1754</v>
      </c>
      <c r="C283" s="16" t="str">
        <f>CONCATENATE("'",Alumnos!E497,"'")</f>
        <v>'noemijocelyn.gonzalezaguirre'</v>
      </c>
      <c r="D283" s="16" t="str">
        <f>CONCATENATE(Alumnos!F497,"'")</f>
        <v>'110463'</v>
      </c>
      <c r="E283" s="16" t="s">
        <v>1755</v>
      </c>
      <c r="F283" s="16" t="str">
        <f>CONCATENATE("'",Alumnos!H497,"'")</f>
        <v>'GONZALEZ AGUIRRE NOEMI JOCELYN'</v>
      </c>
      <c r="G283" s="16" t="str">
        <f>CONCATENATE("'",Alumnos!I497,"'")</f>
        <v>'MERCADOTECNIA Y PUBLICIDAD'</v>
      </c>
      <c r="H283" s="16" t="str">
        <f>CONCATENATE("'",Alumnos!J497,"'")</f>
        <v>'8vo'</v>
      </c>
      <c r="I283" s="16" t="str">
        <f>UPPER(CONCATENATE("'",Alumnos!K497,"'"))</f>
        <v>'FEMENINO'</v>
      </c>
      <c r="J283" s="16" t="str">
        <f>UPPER(CONCATENATE("'",Alumnos!L497,"'"))</f>
        <v>'ACTIVO'</v>
      </c>
      <c r="K283" s="16" t="str">
        <f>CONCATENATE(A283,",",B283,",",C283,",",D283,",'",E283,",",F283,",",G283,",",H283,",",UPPER(I283),",",UPPER(J283),",'',0,0,'','ALUMNO'")</f>
        <v>1282,'LICENCIATURA','noemijocelyn.gonzalezaguirre','110463','TOMAR DEL SND','GONZALEZ AGUIRRE NOEMI JOCELYN','MERCADOTECNIA Y PUBLICIDAD','8vo','FEMENINO','ACTIVO','',0,0,'','ALUMNO'</v>
      </c>
      <c r="L283" s="16" t="str">
        <f>CONCATENATE($K$1,K283,");")</f>
        <v>INSERT INTO participantes (id,nivel,correo,matricula,clave,nombre,carrera,grado,sexo,situacion,evaluados,num_evaluados,total_evaluaciones,ultimo_acceso,nivel_acceso) VALUES (1282,'LICENCIATURA','noemijocelyn.gonzalezaguirre','110463','TOMAR DEL SND','GONZALEZ AGUIRRE NOEMI JOCELYN','MERCADOTECNIA Y PUBLICIDAD','8vo','FEMENINO','ACTIVO','',0,0,'','ALUMNO');</v>
      </c>
      <c r="M283" s="16" t="str">
        <f>CONCATENATE("update participantes set correo=",C283," where id=",A283,";")</f>
        <v>update participantes set correo='noemijocelyn.gonzalezaguirre' where id=1282;</v>
      </c>
    </row>
    <row r="284" spans="1:13" ht="116" x14ac:dyDescent="0.35">
      <c r="A284" s="16">
        <v>1283</v>
      </c>
      <c r="B284" s="18" t="s">
        <v>1754</v>
      </c>
      <c r="C284" s="16" t="str">
        <f>CONCATENATE("'",Alumnos!E175,"'")</f>
        <v>'davidivan.carranzabarba'</v>
      </c>
      <c r="D284" s="16" t="str">
        <f>CONCATENATE(Alumnos!F175,"'")</f>
        <v>'110464'</v>
      </c>
      <c r="E284" s="16" t="s">
        <v>1755</v>
      </c>
      <c r="F284" s="16" t="str">
        <f>CONCATENATE("'",Alumnos!H175,"'")</f>
        <v>'CARRANZA BARBA DAVID IVAN'</v>
      </c>
      <c r="G284" s="16" t="str">
        <f>CONCATENATE("'",Alumnos!I175,"'")</f>
        <v>'ARQUITECTURA'</v>
      </c>
      <c r="H284" s="16" t="str">
        <f>CONCATENATE("'",Alumnos!J175,"'")</f>
        <v>'8vo'</v>
      </c>
      <c r="I284" s="16" t="str">
        <f>UPPER(CONCATENATE("'",Alumnos!K175,"'"))</f>
        <v>'MASCULINO'</v>
      </c>
      <c r="J284" s="16" t="str">
        <f>UPPER(CONCATENATE("'",Alumnos!L175,"'"))</f>
        <v>'ACTIVO'</v>
      </c>
      <c r="K284" s="16" t="str">
        <f>CONCATENATE(A284,",",B284,",",C284,",",D284,",'",E284,",",F284,",",G284,",",H284,",",UPPER(I284),",",UPPER(J284),",'',0,0,'','ALUMNO'")</f>
        <v>1283,'LICENCIATURA','davidivan.carranzabarba','110464','TOMAR DEL SND','CARRANZA BARBA DAVID IVAN','ARQUITECTURA','8vo','MASCULINO','ACTIVO','',0,0,'','ALUMNO'</v>
      </c>
      <c r="L284" s="16" t="str">
        <f>CONCATENATE($K$1,K284,");")</f>
        <v>INSERT INTO participantes (id,nivel,correo,matricula,clave,nombre,carrera,grado,sexo,situacion,evaluados,num_evaluados,total_evaluaciones,ultimo_acceso,nivel_acceso) VALUES (1283,'LICENCIATURA','davidivan.carranzabarba','110464','TOMAR DEL SND','CARRANZA BARBA DAVID IVAN','ARQUITECTURA','8vo','MASCULINO','ACTIVO','',0,0,'','ALUMNO');</v>
      </c>
      <c r="M284" s="16" t="str">
        <f>CONCATENATE("update participantes set correo=",C284," where id=",A284,";")</f>
        <v>update participantes set correo='davidivan.carranzabarba' where id=1283;</v>
      </c>
    </row>
    <row r="285" spans="1:13" ht="116" x14ac:dyDescent="0.35">
      <c r="A285" s="16">
        <v>1284</v>
      </c>
      <c r="B285" s="18" t="s">
        <v>1754</v>
      </c>
      <c r="C285" s="16" t="str">
        <f>CONCATENATE("'",Alumnos!E255,"'")</f>
        <v>'gilbertoalejandro.rojasgutierrez'</v>
      </c>
      <c r="D285" s="16" t="str">
        <f>CONCATENATE(Alumnos!F255,"'")</f>
        <v>'110465'</v>
      </c>
      <c r="E285" s="16" t="s">
        <v>1755</v>
      </c>
      <c r="F285" s="16" t="str">
        <f>CONCATENATE("'",Alumnos!H255,"'")</f>
        <v>'ROJAS GUTIERREZ GILBERTO ALEJANDRO'</v>
      </c>
      <c r="G285" s="16" t="str">
        <f>CONCATENATE("'",Alumnos!I255,"'")</f>
        <v>'ARQUITECTURA'</v>
      </c>
      <c r="H285" s="16" t="str">
        <f>CONCATENATE("'",Alumnos!J255,"'")</f>
        <v>'8vo'</v>
      </c>
      <c r="I285" s="16" t="str">
        <f>UPPER(CONCATENATE("'",Alumnos!K255,"'"))</f>
        <v>'MASCULINO'</v>
      </c>
      <c r="J285" s="16" t="str">
        <f>UPPER(CONCATENATE("'",Alumnos!L255,"'"))</f>
        <v>'ACTIVO'</v>
      </c>
      <c r="K285" s="16" t="str">
        <f>CONCATENATE(A285,",",B285,",",C285,",",D285,",'",E285,",",F285,",",G285,",",H285,",",UPPER(I285),",",UPPER(J285),",'',0,0,'','ALUMNO'")</f>
        <v>1284,'LICENCIATURA','gilbertoalejandro.rojasgutierrez','110465','TOMAR DEL SND','ROJAS GUTIERREZ GILBERTO ALEJANDRO','ARQUITECTURA','8vo','MASCULINO','ACTIVO','',0,0,'','ALUMNO'</v>
      </c>
      <c r="L285" s="16" t="str">
        <f>CONCATENATE($K$1,K285,");")</f>
        <v>INSERT INTO participantes (id,nivel,correo,matricula,clave,nombre,carrera,grado,sexo,situacion,evaluados,num_evaluados,total_evaluaciones,ultimo_acceso,nivel_acceso) VALUES (1284,'LICENCIATURA','gilbertoalejandro.rojasgutierrez','110465','TOMAR DEL SND','ROJAS GUTIERREZ GILBERTO ALEJANDRO','ARQUITECTURA','8vo','MASCULINO','ACTIVO','',0,0,'','ALUMNO');</v>
      </c>
      <c r="M285" s="16" t="str">
        <f>CONCATENATE("update participantes set correo=",C285," where id=",A285,";")</f>
        <v>update participantes set correo='gilbertoalejandro.rojasgutierrez' where id=1284;</v>
      </c>
    </row>
    <row r="286" spans="1:13" ht="116" x14ac:dyDescent="0.35">
      <c r="A286" s="16">
        <v>1285</v>
      </c>
      <c r="B286" s="18" t="s">
        <v>1754</v>
      </c>
      <c r="C286" s="16" t="str">
        <f>CONCATENATE("'",Alumnos!E494,"'")</f>
        <v>'nelly.barrosopaz'</v>
      </c>
      <c r="D286" s="16" t="str">
        <f>CONCATENATE(Alumnos!F494,"'")</f>
        <v>'110466'</v>
      </c>
      <c r="E286" s="16" t="s">
        <v>1755</v>
      </c>
      <c r="F286" s="16" t="str">
        <f>CONCATENATE("'",Alumnos!H494,"'")</f>
        <v>'BARROSO PAZ NELLY'</v>
      </c>
      <c r="G286" s="16" t="str">
        <f>CONCATENATE("'",Alumnos!I494,"'")</f>
        <v>'ANIMACION DIGITAL Y VIDEOJUEGOS'</v>
      </c>
      <c r="H286" s="16" t="str">
        <f>CONCATENATE("'",Alumnos!J494,"'")</f>
        <v>'8vo'</v>
      </c>
      <c r="I286" s="16" t="str">
        <f>UPPER(CONCATENATE("'",Alumnos!K494,"'"))</f>
        <v>'FEMENINO'</v>
      </c>
      <c r="J286" s="16" t="str">
        <f>UPPER(CONCATENATE("'",Alumnos!L494,"'"))</f>
        <v>'ACTIVO'</v>
      </c>
      <c r="K286" s="16" t="str">
        <f>CONCATENATE(A286,",",B286,",",C286,",",D286,",'",E286,",",F286,",",G286,",",H286,",",UPPER(I286),",",UPPER(J286),",'',0,0,'','ALUMNO'")</f>
        <v>1285,'LICENCIATURA','nelly.barrosopaz','110466','TOMAR DEL SND','BARROSO PAZ NELLY','ANIMACION DIGITAL Y VIDEOJUEGOS','8vo','FEMENINO','ACTIVO','',0,0,'','ALUMNO'</v>
      </c>
      <c r="L286" s="16" t="str">
        <f>CONCATENATE($K$1,K286,");")</f>
        <v>INSERT INTO participantes (id,nivel,correo,matricula,clave,nombre,carrera,grado,sexo,situacion,evaluados,num_evaluados,total_evaluaciones,ultimo_acceso,nivel_acceso) VALUES (1285,'LICENCIATURA','nelly.barrosopaz','110466','TOMAR DEL SND','BARROSO PAZ NELLY','ANIMACION DIGITAL Y VIDEOJUEGOS','8vo','FEMENINO','ACTIVO','',0,0,'','ALUMNO');</v>
      </c>
      <c r="M286" s="16" t="str">
        <f>CONCATENATE("update participantes set correo=",C286," where id=",A286,";")</f>
        <v>update participantes set correo='nelly.barrosopaz' where id=1285;</v>
      </c>
    </row>
    <row r="287" spans="1:13" ht="130.5" x14ac:dyDescent="0.35">
      <c r="A287" s="16">
        <v>1286</v>
      </c>
      <c r="B287" s="18" t="s">
        <v>1754</v>
      </c>
      <c r="C287" s="16" t="str">
        <f>CONCATENATE("'",Alumnos!E113,"'")</f>
        <v>'brendaxiadani.maciasayala'</v>
      </c>
      <c r="D287" s="16" t="str">
        <f>CONCATENATE(Alumnos!F113,"'")</f>
        <v>'110467'</v>
      </c>
      <c r="E287" s="16" t="s">
        <v>1755</v>
      </c>
      <c r="F287" s="16" t="str">
        <f>CONCATENATE("'",Alumnos!H113,"'")</f>
        <v>'MACIAS AYALA BRENDA XIADANI'</v>
      </c>
      <c r="G287" s="16" t="str">
        <f>CONCATENATE("'",Alumnos!I113,"'")</f>
        <v>'INGENIERIA AEROESPACIAL'</v>
      </c>
      <c r="H287" s="16" t="str">
        <f>CONCATENATE("'",Alumnos!J113,"'")</f>
        <v>'8vo'</v>
      </c>
      <c r="I287" s="16" t="str">
        <f>UPPER(CONCATENATE("'",Alumnos!K113,"'"))</f>
        <v>'FEMENINO'</v>
      </c>
      <c r="J287" s="16" t="str">
        <f>UPPER(CONCATENATE("'",Alumnos!L113,"'"))</f>
        <v>'ACTIVO'</v>
      </c>
      <c r="K287" s="16" t="str">
        <f>CONCATENATE(A287,",",B287,",",C287,",",D287,",'",E287,",",F287,",",G287,",",H287,",",UPPER(I287),",",UPPER(J287),",'',0,0,'','ALUMNO'")</f>
        <v>1286,'LICENCIATURA','brendaxiadani.maciasayala','110467','TOMAR DEL SND','MACIAS AYALA BRENDA XIADANI','INGENIERIA AEROESPACIAL','8vo','FEMENINO','ACTIVO','',0,0,'','ALUMNO'</v>
      </c>
      <c r="L287" s="16" t="str">
        <f>CONCATENATE($K$1,K287,");")</f>
        <v>INSERT INTO participantes (id,nivel,correo,matricula,clave,nombre,carrera,grado,sexo,situacion,evaluados,num_evaluados,total_evaluaciones,ultimo_acceso,nivel_acceso) VALUES (1286,'LICENCIATURA','brendaxiadani.maciasayala','110467','TOMAR DEL SND','MACIAS AYALA BRENDA XIADANI','INGENIERIA AEROESPACIAL','8vo','FEMENINO','ACTIVO','',0,0,'','ALUMNO');</v>
      </c>
      <c r="M287" s="16" t="str">
        <f>CONCATENATE("update participantes set correo=",C287," where id=",A287,";")</f>
        <v>update participantes set correo='brendaxiadani.maciasayala' where id=1286;</v>
      </c>
    </row>
    <row r="288" spans="1:13" ht="116" x14ac:dyDescent="0.35">
      <c r="A288" s="16">
        <v>1287</v>
      </c>
      <c r="B288" s="18" t="s">
        <v>1754</v>
      </c>
      <c r="C288" s="16" t="str">
        <f>CONCATENATE("'",Alumnos!E167,"'")</f>
        <v>'danna.contrerasgonzalez'</v>
      </c>
      <c r="D288" s="16" t="str">
        <f>CONCATENATE(Alumnos!F167,"'")</f>
        <v>'110468'</v>
      </c>
      <c r="E288" s="16" t="s">
        <v>1755</v>
      </c>
      <c r="F288" s="16" t="str">
        <f>CONCATENATE("'",Alumnos!H167,"'")</f>
        <v>'CONTRERAS GONZALEZ DANNA'</v>
      </c>
      <c r="G288" s="16" t="str">
        <f>CONCATENATE("'",Alumnos!I167,"'")</f>
        <v>'PSICOLOGIA'</v>
      </c>
      <c r="H288" s="16" t="str">
        <f>CONCATENATE("'",Alumnos!J167,"'")</f>
        <v>'8vo'</v>
      </c>
      <c r="I288" s="16" t="str">
        <f>UPPER(CONCATENATE("'",Alumnos!K167,"'"))</f>
        <v>'FEMENINO'</v>
      </c>
      <c r="J288" s="16" t="str">
        <f>UPPER(CONCATENATE("'",Alumnos!L167,"'"))</f>
        <v>'ACTIVO'</v>
      </c>
      <c r="K288" s="16" t="str">
        <f>CONCATENATE(A288,",",B288,",",C288,",",D288,",'",E288,",",F288,",",G288,",",H288,",",UPPER(I288),",",UPPER(J288),",'',0,0,'','ALUMNO'")</f>
        <v>1287,'LICENCIATURA','danna.contrerasgonzalez','110468','TOMAR DEL SND','CONTRERAS GONZALEZ DANNA','PSICOLOGIA','8vo','FEMENINO','ACTIVO','',0,0,'','ALUMNO'</v>
      </c>
      <c r="L288" s="16" t="str">
        <f>CONCATENATE($K$1,K288,");")</f>
        <v>INSERT INTO participantes (id,nivel,correo,matricula,clave,nombre,carrera,grado,sexo,situacion,evaluados,num_evaluados,total_evaluaciones,ultimo_acceso,nivel_acceso) VALUES (1287,'LICENCIATURA','danna.contrerasgonzalez','110468','TOMAR DEL SND','CONTRERAS GONZALEZ DANNA','PSICOLOGIA','8vo','FEMENINO','ACTIVO','',0,0,'','ALUMNO');</v>
      </c>
      <c r="M288" s="16" t="str">
        <f>CONCATENATE("update participantes set correo=",C288," where id=",A288,";")</f>
        <v>update participantes set correo='danna.contrerasgonzalez' where id=1287;</v>
      </c>
    </row>
    <row r="289" spans="1:13" ht="116" x14ac:dyDescent="0.35">
      <c r="A289" s="16">
        <v>1288</v>
      </c>
      <c r="B289" s="18" t="s">
        <v>1754</v>
      </c>
      <c r="C289" s="16" t="str">
        <f>CONCATENATE("'",Alumnos!E312,"'")</f>
        <v>'jimena.navarrolopez'</v>
      </c>
      <c r="D289" s="16" t="str">
        <f>CONCATENATE(Alumnos!F312,"'")</f>
        <v>'110470'</v>
      </c>
      <c r="E289" s="16" t="s">
        <v>1755</v>
      </c>
      <c r="F289" s="16" t="str">
        <f>CONCATENATE("'",Alumnos!H312,"'")</f>
        <v>'NAVARRO LOPEZ JIMENA'</v>
      </c>
      <c r="G289" s="16" t="str">
        <f>CONCATENATE("'",Alumnos!I312,"'")</f>
        <v>'ADMINISTRACION Y DIRECCION DE NEGOCIOS'</v>
      </c>
      <c r="H289" s="16" t="str">
        <f>CONCATENATE("'",Alumnos!J312,"'")</f>
        <v>'8vo'</v>
      </c>
      <c r="I289" s="16" t="str">
        <f>UPPER(CONCATENATE("'",Alumnos!K312,"'"))</f>
        <v>'FEMENINO'</v>
      </c>
      <c r="J289" s="16" t="str">
        <f>UPPER(CONCATENATE("'",Alumnos!L312,"'"))</f>
        <v>'ACTIVO'</v>
      </c>
      <c r="K289" s="16" t="str">
        <f>CONCATENATE(A289,",",B289,",",C289,",",D289,",'",E289,",",F289,",",G289,",",H289,",",UPPER(I289),",",UPPER(J289),",'',0,0,'','ALUMNO'")</f>
        <v>1288,'LICENCIATURA','jimena.navarrolopez','110470','TOMAR DEL SND','NAVARRO LOPEZ JIMENA','ADMINISTRACION Y DIRECCION DE NEGOCIOS','8vo','FEMENINO','ACTIVO','',0,0,'','ALUMNO'</v>
      </c>
      <c r="L289" s="16" t="str">
        <f>CONCATENATE($K$1,K289,");")</f>
        <v>INSERT INTO participantes (id,nivel,correo,matricula,clave,nombre,carrera,grado,sexo,situacion,evaluados,num_evaluados,total_evaluaciones,ultimo_acceso,nivel_acceso) VALUES (1288,'LICENCIATURA','jimena.navarrolopez','110470','TOMAR DEL SND','NAVARRO LOPEZ JIMENA','ADMINISTRACION Y DIRECCION DE NEGOCIOS','8vo','FEMENINO','ACTIVO','',0,0,'','ALUMNO');</v>
      </c>
      <c r="M289" s="16" t="str">
        <f>CONCATENATE("update participantes set correo=",C289," where id=",A289,";")</f>
        <v>update participantes set correo='jimena.navarrolopez' where id=1288;</v>
      </c>
    </row>
    <row r="290" spans="1:13" ht="130.5" x14ac:dyDescent="0.35">
      <c r="A290" s="16">
        <v>1289</v>
      </c>
      <c r="B290" s="18" t="s">
        <v>1754</v>
      </c>
      <c r="C290" s="16" t="str">
        <f>CONCATENATE("'",Alumnos!E418,"'")</f>
        <v>'luismanuel.davalosrodriguez'</v>
      </c>
      <c r="D290" s="16" t="str">
        <f>CONCATENATE(Alumnos!F418,"'")</f>
        <v>'110471'</v>
      </c>
      <c r="E290" s="16" t="s">
        <v>1755</v>
      </c>
      <c r="F290" s="16" t="str">
        <f>CONCATENATE("'",Alumnos!H418,"'")</f>
        <v>'DAVALOS RODRIGUEZ LUIS MANUEL'</v>
      </c>
      <c r="G290" s="16" t="str">
        <f>CONCATENATE("'",Alumnos!I418,"'")</f>
        <v>'INGENIERIA AEROESPACIAL'</v>
      </c>
      <c r="H290" s="16" t="str">
        <f>CONCATENATE("'",Alumnos!J418,"'")</f>
        <v>'8vo'</v>
      </c>
      <c r="I290" s="16" t="str">
        <f>UPPER(CONCATENATE("'",Alumnos!K418,"'"))</f>
        <v>'MASCULINO'</v>
      </c>
      <c r="J290" s="16" t="str">
        <f>UPPER(CONCATENATE("'",Alumnos!L418,"'"))</f>
        <v>'ACTIVO'</v>
      </c>
      <c r="K290" s="16" t="str">
        <f>CONCATENATE(A290,",",B290,",",C290,",",D290,",'",E290,",",F290,",",G290,",",H290,",",UPPER(I290),",",UPPER(J290),",'',0,0,'','ALUMNO'")</f>
        <v>1289,'LICENCIATURA','luismanuel.davalosrodriguez','110471','TOMAR DEL SND','DAVALOS RODRIGUEZ LUIS MANUEL','INGENIERIA AEROESPACIAL','8vo','MASCULINO','ACTIVO','',0,0,'','ALUMNO'</v>
      </c>
      <c r="L290" s="16" t="str">
        <f>CONCATENATE($K$1,K290,");")</f>
        <v>INSERT INTO participantes (id,nivel,correo,matricula,clave,nombre,carrera,grado,sexo,situacion,evaluados,num_evaluados,total_evaluaciones,ultimo_acceso,nivel_acceso) VALUES (1289,'LICENCIATURA','luismanuel.davalosrodriguez','110471','TOMAR DEL SND','DAVALOS RODRIGUEZ LUIS MANUEL','INGENIERIA AEROESPACIAL','8vo','MASCULINO','ACTIVO','',0,0,'','ALUMNO');</v>
      </c>
      <c r="M290" s="16" t="str">
        <f>CONCATENATE("update participantes set correo=",C290," where id=",A290,";")</f>
        <v>update participantes set correo='luismanuel.davalosrodriguez' where id=1289;</v>
      </c>
    </row>
    <row r="291" spans="1:13" ht="130.5" x14ac:dyDescent="0.35">
      <c r="A291" s="16">
        <v>1290</v>
      </c>
      <c r="B291" s="18" t="s">
        <v>1754</v>
      </c>
      <c r="C291" s="16" t="str">
        <f>CONCATENATE("'",Alumnos!E236,"'")</f>
        <v>'fatimajuliana.zamoramichel'</v>
      </c>
      <c r="D291" s="16" t="str">
        <f>CONCATENATE(Alumnos!F236,"'")</f>
        <v>'110472'</v>
      </c>
      <c r="E291" s="16" t="s">
        <v>1755</v>
      </c>
      <c r="F291" s="16" t="str">
        <f>CONCATENATE("'",Alumnos!H236,"'")</f>
        <v>'ZAMORA MICHEL FATIMA JULIANA'</v>
      </c>
      <c r="G291" s="16" t="str">
        <f>CONCATENATE("'",Alumnos!I236,"'")</f>
        <v>'INGENIERIA CIBERNETICA Y EN SISTEMAS COMPUTACIONALES'</v>
      </c>
      <c r="H291" s="16" t="str">
        <f>CONCATENATE("'",Alumnos!J236,"'")</f>
        <v>'8vo'</v>
      </c>
      <c r="I291" s="16" t="str">
        <f>UPPER(CONCATENATE("'",Alumnos!K236,"'"))</f>
        <v>'FEMENINO'</v>
      </c>
      <c r="J291" s="16" t="str">
        <f>UPPER(CONCATENATE("'",Alumnos!L236,"'"))</f>
        <v>'ACTIVO'</v>
      </c>
      <c r="K291" s="16" t="str">
        <f>CONCATENATE(A291,",",B291,",",C291,",",D291,",'",E291,",",F291,",",G291,",",H291,",",UPPER(I291),",",UPPER(J291),",'',0,0,'','ALUMNO'")</f>
        <v>1290,'LICENCIATURA','fatimajuliana.zamoramichel','110472','TOMAR DEL SND','ZAMORA MICHEL FATIMA JULIANA','INGENIERIA CIBERNETICA Y EN SISTEMAS COMPUTACIONALES','8vo','FEMENINO','ACTIVO','',0,0,'','ALUMNO'</v>
      </c>
      <c r="L291" s="16" t="str">
        <f>CONCATENATE($K$1,K291,");")</f>
        <v>INSERT INTO participantes (id,nivel,correo,matricula,clave,nombre,carrera,grado,sexo,situacion,evaluados,num_evaluados,total_evaluaciones,ultimo_acceso,nivel_acceso) VALUES (1290,'LICENCIATURA','fatimajuliana.zamoramichel','110472','TOMAR DEL SND','ZAMORA MICHEL FATIMA JULIANA','INGENIERIA CIBERNETICA Y EN SISTEMAS COMPUTACIONALES','8vo','FEMENINO','ACTIVO','',0,0,'','ALUMNO');</v>
      </c>
      <c r="M291" s="16" t="str">
        <f>CONCATENATE("update participantes set correo=",C291," where id=",A291,";")</f>
        <v>update participantes set correo='fatimajuliana.zamoramichel' where id=1290;</v>
      </c>
    </row>
    <row r="292" spans="1:13" ht="130.5" x14ac:dyDescent="0.35">
      <c r="A292" s="16">
        <v>1291</v>
      </c>
      <c r="B292" s="18" t="s">
        <v>1754</v>
      </c>
      <c r="C292" s="16" t="str">
        <f>CONCATENATE("'",Alumnos!E522,"'")</f>
        <v>'pablomaria.beccarisjimenez'</v>
      </c>
      <c r="D292" s="16" t="str">
        <f>CONCATENATE(Alumnos!F522,"'")</f>
        <v>'110473'</v>
      </c>
      <c r="E292" s="16" t="s">
        <v>1755</v>
      </c>
      <c r="F292" s="16" t="str">
        <f>CONCATENATE("'",Alumnos!H522,"'")</f>
        <v>'BECCARIS JIMENEZ PABLO MARIA'</v>
      </c>
      <c r="G292" s="16" t="str">
        <f>CONCATENATE("'",Alumnos!I522,"'")</f>
        <v>'INGENIERIA AEROESPACIAL'</v>
      </c>
      <c r="H292" s="16" t="str">
        <f>CONCATENATE("'",Alumnos!J522,"'")</f>
        <v>'8vo'</v>
      </c>
      <c r="I292" s="16" t="str">
        <f>UPPER(CONCATENATE("'",Alumnos!K522,"'"))</f>
        <v>'MASCULINO'</v>
      </c>
      <c r="J292" s="16" t="str">
        <f>UPPER(CONCATENATE("'",Alumnos!L522,"'"))</f>
        <v>'ACTIVO'</v>
      </c>
      <c r="K292" s="16" t="str">
        <f>CONCATENATE(A292,",",B292,",",C292,",",D292,",'",E292,",",F292,",",G292,",",H292,",",UPPER(I292),",",UPPER(J292),",'',0,0,'','ALUMNO'")</f>
        <v>1291,'LICENCIATURA','pablomaria.beccarisjimenez','110473','TOMAR DEL SND','BECCARIS JIMENEZ PABLO MARIA','INGENIERIA AEROESPACIAL','8vo','MASCULINO','ACTIVO','',0,0,'','ALUMNO'</v>
      </c>
      <c r="L292" s="16" t="str">
        <f>CONCATENATE($K$1,K292,");")</f>
        <v>INSERT INTO participantes (id,nivel,correo,matricula,clave,nombre,carrera,grado,sexo,situacion,evaluados,num_evaluados,total_evaluaciones,ultimo_acceso,nivel_acceso) VALUES (1291,'LICENCIATURA','pablomaria.beccarisjimenez','110473','TOMAR DEL SND','BECCARIS JIMENEZ PABLO MARIA','INGENIERIA AEROESPACIAL','8vo','MASCULINO','ACTIVO','',0,0,'','ALUMNO');</v>
      </c>
      <c r="M292" s="16" t="str">
        <f>CONCATENATE("update participantes set correo=",C292," where id=",A292,";")</f>
        <v>update participantes set correo='pablomaria.beccarisjimenez' where id=1291;</v>
      </c>
    </row>
    <row r="293" spans="1:13" ht="116" x14ac:dyDescent="0.35">
      <c r="A293" s="16">
        <v>1292</v>
      </c>
      <c r="B293" s="18" t="s">
        <v>1754</v>
      </c>
      <c r="C293" s="16" t="str">
        <f>CONCATENATE("'",Alumnos!E368,"'")</f>
        <v>'karenmichelle.covarrubiasrenteria'</v>
      </c>
      <c r="D293" s="16" t="str">
        <f>CONCATENATE(Alumnos!F368,"'")</f>
        <v>'110474'</v>
      </c>
      <c r="E293" s="16" t="s">
        <v>1755</v>
      </c>
      <c r="F293" s="16" t="str">
        <f>CONCATENATE("'",Alumnos!H368,"'")</f>
        <v>'COVARRUBIAS RENTERIA KAREN MICHELLE'</v>
      </c>
      <c r="G293" s="16" t="str">
        <f>CONCATENATE("'",Alumnos!I368,"'")</f>
        <v>'PSICOLOGIA'</v>
      </c>
      <c r="H293" s="16" t="str">
        <f>CONCATENATE("'",Alumnos!J368,"'")</f>
        <v>'8vo'</v>
      </c>
      <c r="I293" s="16" t="str">
        <f>UPPER(CONCATENATE("'",Alumnos!K368,"'"))</f>
        <v>'FEMENINO'</v>
      </c>
      <c r="J293" s="16" t="str">
        <f>UPPER(CONCATENATE("'",Alumnos!L368,"'"))</f>
        <v>'ACTIVO'</v>
      </c>
      <c r="K293" s="16" t="str">
        <f>CONCATENATE(A293,",",B293,",",C293,",",D293,",'",E293,",",F293,",",G293,",",H293,",",UPPER(I293),",",UPPER(J293),",'',0,0,'','ALUMNO'")</f>
        <v>1292,'LICENCIATURA','karenmichelle.covarrubiasrenteria','110474','TOMAR DEL SND','COVARRUBIAS RENTERIA KAREN MICHELLE','PSICOLOGIA','8vo','FEMENINO','ACTIVO','',0,0,'','ALUMNO'</v>
      </c>
      <c r="L293" s="16" t="str">
        <f>CONCATENATE($K$1,K293,");")</f>
        <v>INSERT INTO participantes (id,nivel,correo,matricula,clave,nombre,carrera,grado,sexo,situacion,evaluados,num_evaluados,total_evaluaciones,ultimo_acceso,nivel_acceso) VALUES (1292,'LICENCIATURA','karenmichelle.covarrubiasrenteria','110474','TOMAR DEL SND','COVARRUBIAS RENTERIA KAREN MICHELLE','PSICOLOGIA','8vo','FEMENINO','ACTIVO','',0,0,'','ALUMNO');</v>
      </c>
      <c r="M293" s="16" t="str">
        <f>CONCATENATE("update participantes set correo=",C293," where id=",A293,";")</f>
        <v>update participantes set correo='karenmichelle.covarrubiasrenteria' where id=1292;</v>
      </c>
    </row>
    <row r="294" spans="1:13" ht="130.5" x14ac:dyDescent="0.35">
      <c r="A294" s="16">
        <v>1293</v>
      </c>
      <c r="B294" s="18" t="s">
        <v>1754</v>
      </c>
      <c r="C294" s="16" t="str">
        <f>CONCATENATE("'",Alumnos!E47,"'")</f>
        <v>'anacristina.guerrerosoltero'</v>
      </c>
      <c r="D294" s="16" t="str">
        <f>CONCATENATE(Alumnos!F47,"'")</f>
        <v>'110475'</v>
      </c>
      <c r="E294" s="16" t="s">
        <v>1755</v>
      </c>
      <c r="F294" s="16" t="str">
        <f>CONCATENATE("'",Alumnos!H47,"'")</f>
        <v>'GUERRERO SOLTERO ANA CRISTINA'</v>
      </c>
      <c r="G294" s="16" t="str">
        <f>CONCATENATE("'",Alumnos!I47,"'")</f>
        <v>'NUTRICION Y GASTRONOMIA'</v>
      </c>
      <c r="H294" s="16" t="str">
        <f>CONCATENATE("'",Alumnos!J47,"'")</f>
        <v>'8vo'</v>
      </c>
      <c r="I294" s="16" t="str">
        <f>UPPER(CONCATENATE("'",Alumnos!K47,"'"))</f>
        <v>'FEMENINO'</v>
      </c>
      <c r="J294" s="16" t="str">
        <f>UPPER(CONCATENATE("'",Alumnos!L47,"'"))</f>
        <v>'ACTIVO'</v>
      </c>
      <c r="K294" s="16" t="str">
        <f>CONCATENATE(A294,",",B294,",",C294,",",D294,",'",E294,",",F294,",",G294,",",H294,",",UPPER(I294),",",UPPER(J294),",'',0,0,'','ALUMNO'")</f>
        <v>1293,'LICENCIATURA','anacristina.guerrerosoltero','110475','TOMAR DEL SND','GUERRERO SOLTERO ANA CRISTINA','NUTRICION Y GASTRONOMIA','8vo','FEMENINO','ACTIVO','',0,0,'','ALUMNO'</v>
      </c>
      <c r="L294" s="16" t="str">
        <f>CONCATENATE($K$1,K294,");")</f>
        <v>INSERT INTO participantes (id,nivel,correo,matricula,clave,nombre,carrera,grado,sexo,situacion,evaluados,num_evaluados,total_evaluaciones,ultimo_acceso,nivel_acceso) VALUES (1293,'LICENCIATURA','anacristina.guerrerosoltero','110475','TOMAR DEL SND','GUERRERO SOLTERO ANA CRISTINA','NUTRICION Y GASTRONOMIA','8vo','FEMENINO','ACTIVO','',0,0,'','ALUMNO');</v>
      </c>
      <c r="M294" s="16" t="str">
        <f>CONCATENATE("update participantes set correo=",C294," where id=",A294,";")</f>
        <v>update participantes set correo='anacristina.guerrerosoltero' where id=1293;</v>
      </c>
    </row>
    <row r="295" spans="1:13" ht="116" x14ac:dyDescent="0.35">
      <c r="A295" s="16">
        <v>1294</v>
      </c>
      <c r="B295" s="18" t="s">
        <v>1754</v>
      </c>
      <c r="C295" s="16" t="str">
        <f>CONCATENATE("'",Alumnos!E171,"'")</f>
        <v>'darshangael.ortizariza'</v>
      </c>
      <c r="D295" s="16" t="str">
        <f>CONCATENATE(Alumnos!F171,"'")</f>
        <v>'110477'</v>
      </c>
      <c r="E295" s="16" t="s">
        <v>1755</v>
      </c>
      <c r="F295" s="16" t="str">
        <f>CONCATENATE("'",Alumnos!H171,"'")</f>
        <v>'ORTIZ ARIZA DARSHAN GAEL'</v>
      </c>
      <c r="G295" s="16" t="str">
        <f>CONCATENATE("'",Alumnos!I171,"'")</f>
        <v>'NUTRICION Y GASTRONOMIA'</v>
      </c>
      <c r="H295" s="16" t="str">
        <f>CONCATENATE("'",Alumnos!J171,"'")</f>
        <v>'8vo'</v>
      </c>
      <c r="I295" s="16" t="str">
        <f>UPPER(CONCATENATE("'",Alumnos!K171,"'"))</f>
        <v>'MASCULINO'</v>
      </c>
      <c r="J295" s="16" t="str">
        <f>UPPER(CONCATENATE("'",Alumnos!L171,"'"))</f>
        <v>'ACTIVO'</v>
      </c>
      <c r="K295" s="16" t="str">
        <f>CONCATENATE(A295,",",B295,",",C295,",",D295,",'",E295,",",F295,",",G295,",",H295,",",UPPER(I295),",",UPPER(J295),",'',0,0,'','ALUMNO'")</f>
        <v>1294,'LICENCIATURA','darshangael.ortizariza','110477','TOMAR DEL SND','ORTIZ ARIZA DARSHAN GAEL','NUTRICION Y GASTRONOMIA','8vo','MASCULINO','ACTIVO','',0,0,'','ALUMNO'</v>
      </c>
      <c r="L295" s="16" t="str">
        <f>CONCATENATE($K$1,K295,");")</f>
        <v>INSERT INTO participantes (id,nivel,correo,matricula,clave,nombre,carrera,grado,sexo,situacion,evaluados,num_evaluados,total_evaluaciones,ultimo_acceso,nivel_acceso) VALUES (1294,'LICENCIATURA','darshangael.ortizariza','110477','TOMAR DEL SND','ORTIZ ARIZA DARSHAN GAEL','NUTRICION Y GASTRONOMIA','8vo','MASCULINO','ACTIVO','',0,0,'','ALUMNO');</v>
      </c>
      <c r="M295" s="16" t="str">
        <f>CONCATENATE("update participantes set correo=",C295," where id=",A295,";")</f>
        <v>update participantes set correo='darshangael.ortizariza' where id=1294;</v>
      </c>
    </row>
    <row r="296" spans="1:13" ht="130.5" x14ac:dyDescent="0.35">
      <c r="A296" s="16">
        <v>1295</v>
      </c>
      <c r="B296" s="18" t="s">
        <v>1754</v>
      </c>
      <c r="C296" s="16" t="str">
        <f>CONCATENATE("'",Alumnos!E119,"'")</f>
        <v>'carla.carpinteromerino'</v>
      </c>
      <c r="D296" s="16" t="str">
        <f>CONCATENATE(Alumnos!F119,"'")</f>
        <v>'110478'</v>
      </c>
      <c r="E296" s="16" t="s">
        <v>1755</v>
      </c>
      <c r="F296" s="16" t="str">
        <f>CONCATENATE("'",Alumnos!H119,"'")</f>
        <v>'CARPINTERO MERINO CARLA'</v>
      </c>
      <c r="G296" s="16" t="str">
        <f>CONCATENATE("'",Alumnos!I119,"'")</f>
        <v>'INGENIERIA CIBERNETICA Y EN SISTEMAS COMPUTACIONALES'</v>
      </c>
      <c r="H296" s="16" t="str">
        <f>CONCATENATE("'",Alumnos!J119,"'")</f>
        <v>'8vo'</v>
      </c>
      <c r="I296" s="16" t="str">
        <f>UPPER(CONCATENATE("'",Alumnos!K119,"'"))</f>
        <v>'FEMENINO'</v>
      </c>
      <c r="J296" s="16" t="str">
        <f>UPPER(CONCATENATE("'",Alumnos!L119,"'"))</f>
        <v>'ACTIVO'</v>
      </c>
      <c r="K296" s="16" t="str">
        <f>CONCATENATE(A296,",",B296,",",C296,",",D296,",'",E296,",",F296,",",G296,",",H296,",",UPPER(I296),",",UPPER(J296),",'',0,0,'','ALUMNO'")</f>
        <v>1295,'LICENCIATURA','carla.carpinteromerino','110478','TOMAR DEL SND','CARPINTERO MERINO CARLA','INGENIERIA CIBERNETICA Y EN SISTEMAS COMPUTACIONALES','8vo','FEMENINO','ACTIVO','',0,0,'','ALUMNO'</v>
      </c>
      <c r="L296" s="16" t="str">
        <f>CONCATENATE($K$1,K296,");")</f>
        <v>INSERT INTO participantes (id,nivel,correo,matricula,clave,nombre,carrera,grado,sexo,situacion,evaluados,num_evaluados,total_evaluaciones,ultimo_acceso,nivel_acceso) VALUES (1295,'LICENCIATURA','carla.carpinteromerino','110478','TOMAR DEL SND','CARPINTERO MERINO CARLA','INGENIERIA CIBERNETICA Y EN SISTEMAS COMPUTACIONALES','8vo','FEMENINO','ACTIVO','',0,0,'','ALUMNO');</v>
      </c>
      <c r="M296" s="16" t="str">
        <f>CONCATENATE("update participantes set correo=",C296," where id=",A296,";")</f>
        <v>update participantes set correo='carla.carpinteromerino' where id=1295;</v>
      </c>
    </row>
    <row r="297" spans="1:13" ht="130.5" x14ac:dyDescent="0.35">
      <c r="A297" s="16">
        <v>1296</v>
      </c>
      <c r="B297" s="18" t="s">
        <v>1754</v>
      </c>
      <c r="C297" s="16" t="str">
        <f>CONCATENATE("'",Alumnos!E331,"'")</f>
        <v>'josedaniel.rodriguezmartinez'</v>
      </c>
      <c r="D297" s="16" t="str">
        <f>CONCATENATE(Alumnos!F331,"'")</f>
        <v>'110480'</v>
      </c>
      <c r="E297" s="16" t="s">
        <v>1755</v>
      </c>
      <c r="F297" s="16" t="str">
        <f>CONCATENATE("'",Alumnos!H331,"'")</f>
        <v>'RODRIGUEZ MARTINEZ JOSE DANIEL'</v>
      </c>
      <c r="G297" s="16" t="str">
        <f>CONCATENATE("'",Alumnos!I331,"'")</f>
        <v>'INGENIERIA AEROESPACIAL'</v>
      </c>
      <c r="H297" s="16" t="str">
        <f>CONCATENATE("'",Alumnos!J331,"'")</f>
        <v>'8vo'</v>
      </c>
      <c r="I297" s="16" t="str">
        <f>UPPER(CONCATENATE("'",Alumnos!K331,"'"))</f>
        <v>'MASCULINO'</v>
      </c>
      <c r="J297" s="16" t="str">
        <f>UPPER(CONCATENATE("'",Alumnos!L331,"'"))</f>
        <v>'ACTIVO'</v>
      </c>
      <c r="K297" s="16" t="str">
        <f>CONCATENATE(A297,",",B297,",",C297,",",D297,",'",E297,",",F297,",",G297,",",H297,",",UPPER(I297),",",UPPER(J297),",'',0,0,'','ALUMNO'")</f>
        <v>1296,'LICENCIATURA','josedaniel.rodriguezmartinez','110480','TOMAR DEL SND','RODRIGUEZ MARTINEZ JOSE DANIEL','INGENIERIA AEROESPACIAL','8vo','MASCULINO','ACTIVO','',0,0,'','ALUMNO'</v>
      </c>
      <c r="L297" s="16" t="str">
        <f>CONCATENATE($K$1,K297,");")</f>
        <v>INSERT INTO participantes (id,nivel,correo,matricula,clave,nombre,carrera,grado,sexo,situacion,evaluados,num_evaluados,total_evaluaciones,ultimo_acceso,nivel_acceso) VALUES (1296,'LICENCIATURA','josedaniel.rodriguezmartinez','110480','TOMAR DEL SND','RODRIGUEZ MARTINEZ JOSE DANIEL','INGENIERIA AEROESPACIAL','8vo','MASCULINO','ACTIVO','',0,0,'','ALUMNO');</v>
      </c>
      <c r="M297" s="16" t="str">
        <f>CONCATENATE("update participantes set correo=",C297," where id=",A297,";")</f>
        <v>update participantes set correo='josedaniel.rodriguezmartinez' where id=1296;</v>
      </c>
    </row>
    <row r="298" spans="1:13" ht="116" x14ac:dyDescent="0.35">
      <c r="A298" s="16">
        <v>1297</v>
      </c>
      <c r="B298" s="18" t="s">
        <v>1754</v>
      </c>
      <c r="C298" s="16" t="str">
        <f>CONCATENATE("'",Alumnos!E249,"'")</f>
        <v>'gabriela.cardenasdeharo'</v>
      </c>
      <c r="D298" s="16" t="str">
        <f>CONCATENATE(Alumnos!F249,"'")</f>
        <v>'110481'</v>
      </c>
      <c r="E298" s="16" t="s">
        <v>1755</v>
      </c>
      <c r="F298" s="16" t="str">
        <f>CONCATENATE("'",Alumnos!H249,"'")</f>
        <v>'CARDENAS DE HARO GABRIELA'</v>
      </c>
      <c r="G298" s="16" t="str">
        <f>CONCATENATE("'",Alumnos!I249,"'")</f>
        <v>'DERECHO'</v>
      </c>
      <c r="H298" s="16" t="str">
        <f>CONCATENATE("'",Alumnos!J249,"'")</f>
        <v>'8vo'</v>
      </c>
      <c r="I298" s="16" t="str">
        <f>UPPER(CONCATENATE("'",Alumnos!K249,"'"))</f>
        <v>'FEMENINO'</v>
      </c>
      <c r="J298" s="16" t="str">
        <f>UPPER(CONCATENATE("'",Alumnos!L249,"'"))</f>
        <v>'ACTIVO'</v>
      </c>
      <c r="K298" s="16" t="str">
        <f>CONCATENATE(A298,",",B298,",",C298,",",D298,",'",E298,",",F298,",",G298,",",H298,",",UPPER(I298),",",UPPER(J298),",'',0,0,'','ALUMNO'")</f>
        <v>1297,'LICENCIATURA','gabriela.cardenasdeharo','110481','TOMAR DEL SND','CARDENAS DE HARO GABRIELA','DERECHO','8vo','FEMENINO','ACTIVO','',0,0,'','ALUMNO'</v>
      </c>
      <c r="L298" s="16" t="str">
        <f>CONCATENATE($K$1,K298,");")</f>
        <v>INSERT INTO participantes (id,nivel,correo,matricula,clave,nombre,carrera,grado,sexo,situacion,evaluados,num_evaluados,total_evaluaciones,ultimo_acceso,nivel_acceso) VALUES (1297,'LICENCIATURA','gabriela.cardenasdeharo','110481','TOMAR DEL SND','CARDENAS DE HARO GABRIELA','DERECHO','8vo','FEMENINO','ACTIVO','',0,0,'','ALUMNO');</v>
      </c>
      <c r="M298" s="16" t="str">
        <f>CONCATENATE("update participantes set correo=",C298," where id=",A298,";")</f>
        <v>update participantes set correo='gabriela.cardenasdeharo' where id=1297;</v>
      </c>
    </row>
    <row r="299" spans="1:13" ht="130.5" x14ac:dyDescent="0.35">
      <c r="A299" s="16">
        <v>1298</v>
      </c>
      <c r="B299" s="18" t="s">
        <v>1754</v>
      </c>
      <c r="C299" s="16" t="str">
        <f>CONCATENATE("'",Alumnos!E505,"'")</f>
        <v>'oscardaniel.tiburciofabian'</v>
      </c>
      <c r="D299" s="16" t="str">
        <f>CONCATENATE(Alumnos!F505,"'")</f>
        <v>'110482'</v>
      </c>
      <c r="E299" s="16" t="s">
        <v>1755</v>
      </c>
      <c r="F299" s="16" t="str">
        <f>CONCATENATE("'",Alumnos!H505,"'")</f>
        <v>'TIBURCIO FABIAN OSCAR DANIEL'</v>
      </c>
      <c r="G299" s="16" t="str">
        <f>CONCATENATE("'",Alumnos!I505,"'")</f>
        <v>'INGENIERIA AEROESPACIAL'</v>
      </c>
      <c r="H299" s="16" t="str">
        <f>CONCATENATE("'",Alumnos!J505,"'")</f>
        <v>'8vo'</v>
      </c>
      <c r="I299" s="16" t="str">
        <f>UPPER(CONCATENATE("'",Alumnos!K505,"'"))</f>
        <v>'MASCULINO'</v>
      </c>
      <c r="J299" s="16" t="str">
        <f>UPPER(CONCATENATE("'",Alumnos!L505,"'"))</f>
        <v>'ACTIVO'</v>
      </c>
      <c r="K299" s="16" t="str">
        <f>CONCATENATE(A299,",",B299,",",C299,",",D299,",'",E299,",",F299,",",G299,",",H299,",",UPPER(I299),",",UPPER(J299),",'',0,0,'','ALUMNO'")</f>
        <v>1298,'LICENCIATURA','oscardaniel.tiburciofabian','110482','TOMAR DEL SND','TIBURCIO FABIAN OSCAR DANIEL','INGENIERIA AEROESPACIAL','8vo','MASCULINO','ACTIVO','',0,0,'','ALUMNO'</v>
      </c>
      <c r="L299" s="16" t="str">
        <f>CONCATENATE($K$1,K299,");")</f>
        <v>INSERT INTO participantes (id,nivel,correo,matricula,clave,nombre,carrera,grado,sexo,situacion,evaluados,num_evaluados,total_evaluaciones,ultimo_acceso,nivel_acceso) VALUES (1298,'LICENCIATURA','oscardaniel.tiburciofabian','110482','TOMAR DEL SND','TIBURCIO FABIAN OSCAR DANIEL','INGENIERIA AEROESPACIAL','8vo','MASCULINO','ACTIVO','',0,0,'','ALUMNO');</v>
      </c>
      <c r="M299" s="16" t="str">
        <f>CONCATENATE("update participantes set correo=",C299," where id=",A299,";")</f>
        <v>update participantes set correo='oscardaniel.tiburciofabian' where id=1298;</v>
      </c>
    </row>
    <row r="300" spans="1:13" ht="130.5" x14ac:dyDescent="0.35">
      <c r="A300" s="16">
        <v>1299</v>
      </c>
      <c r="B300" s="18" t="s">
        <v>1754</v>
      </c>
      <c r="C300" s="16" t="str">
        <f>CONCATENATE("'",Alumnos!E616,"'")</f>
        <v>'yaelalejandro.hernandezgonzalez'</v>
      </c>
      <c r="D300" s="16" t="str">
        <f>CONCATENATE(Alumnos!F616,"'")</f>
        <v>'110483'</v>
      </c>
      <c r="E300" s="16" t="s">
        <v>1755</v>
      </c>
      <c r="F300" s="16" t="str">
        <f>CONCATENATE("'",Alumnos!H616,"'")</f>
        <v>'HERNANDEZ GONZALEZ YAEL ALEJANDRO'</v>
      </c>
      <c r="G300" s="16" t="str">
        <f>CONCATENATE("'",Alumnos!I616,"'")</f>
        <v>'COMERCIO INTERNACIONAL'</v>
      </c>
      <c r="H300" s="16" t="str">
        <f>CONCATENATE("'",Alumnos!J616,"'")</f>
        <v>'8vo'</v>
      </c>
      <c r="I300" s="16" t="str">
        <f>UPPER(CONCATENATE("'",Alumnos!K616,"'"))</f>
        <v>'MASCULINO'</v>
      </c>
      <c r="J300" s="16" t="str">
        <f>UPPER(CONCATENATE("'",Alumnos!L616,"'"))</f>
        <v>'BLOQUEADO'</v>
      </c>
      <c r="K300" s="16" t="str">
        <f>CONCATENATE(A300,",",B300,",",C300,",",D300,",'",E300,",",F300,",",G300,",",H300,",",UPPER(I300),",",UPPER(J300),",'',0,0,'','ALUMNO'")</f>
        <v>1299,'LICENCIATURA','yaelalejandro.hernandezgonzalez','110483','TOMAR DEL SND','HERNANDEZ GONZALEZ YAEL ALEJANDRO','COMERCIO INTERNACIONAL','8vo','MASCULINO','BLOQUEADO','',0,0,'','ALUMNO'</v>
      </c>
      <c r="L300" s="16" t="str">
        <f>CONCATENATE($K$1,K300,");")</f>
        <v>INSERT INTO participantes (id,nivel,correo,matricula,clave,nombre,carrera,grado,sexo,situacion,evaluados,num_evaluados,total_evaluaciones,ultimo_acceso,nivel_acceso) VALUES (1299,'LICENCIATURA','yaelalejandro.hernandezgonzalez','110483','TOMAR DEL SND','HERNANDEZ GONZALEZ YAEL ALEJANDRO','COMERCIO INTERNACIONAL','8vo','MASCULINO','BLOQUEADO','',0,0,'','ALUMNO');</v>
      </c>
      <c r="M300" s="16" t="str">
        <f>CONCATENATE("update participantes set correo=",C300," where id=",A300,";")</f>
        <v>update participantes set correo='yaelalejandro.hernandezgonzalez' where id=1299;</v>
      </c>
    </row>
    <row r="301" spans="1:13" ht="130.5" x14ac:dyDescent="0.35">
      <c r="A301" s="16">
        <v>1300</v>
      </c>
      <c r="B301" s="18" t="s">
        <v>1754</v>
      </c>
      <c r="C301" s="16" t="str">
        <f>CONCATENATE("'",Alumnos!E242,"'")</f>
        <v>'flormonserrat.alvaradoanorve'</v>
      </c>
      <c r="D301" s="16" t="str">
        <f>CONCATENATE(Alumnos!F242,"'")</f>
        <v>'110485'</v>
      </c>
      <c r="E301" s="16" t="s">
        <v>1755</v>
      </c>
      <c r="F301" s="16" t="str">
        <f>CONCATENATE("'",Alumnos!H242,"'")</f>
        <v>'ALVARADO AÑORVE FLOR MONSERRAT'</v>
      </c>
      <c r="G301" s="16" t="str">
        <f>CONCATENATE("'",Alumnos!I242,"'")</f>
        <v>'INGENIERIA AEROESPACIAL'</v>
      </c>
      <c r="H301" s="16" t="str">
        <f>CONCATENATE("'",Alumnos!J242,"'")</f>
        <v>'8vo'</v>
      </c>
      <c r="I301" s="16" t="str">
        <f>UPPER(CONCATENATE("'",Alumnos!K242,"'"))</f>
        <v>'FEMENINO'</v>
      </c>
      <c r="J301" s="16" t="str">
        <f>UPPER(CONCATENATE("'",Alumnos!L242,"'"))</f>
        <v>'ACTIVO'</v>
      </c>
      <c r="K301" s="16" t="str">
        <f>CONCATENATE(A301,",",B301,",",C301,",",D301,",'",E301,",",F301,",",G301,",",H301,",",UPPER(I301),",",UPPER(J301),",'',0,0,'','ALUMNO'")</f>
        <v>1300,'LICENCIATURA','flormonserrat.alvaradoanorve','110485','TOMAR DEL SND','ALVARADO AÑORVE FLOR MONSERRAT','INGENIERIA AEROESPACIAL','8vo','FEMENINO','ACTIVO','',0,0,'','ALUMNO'</v>
      </c>
      <c r="L301" s="16" t="str">
        <f>CONCATENATE($K$1,K301,");")</f>
        <v>INSERT INTO participantes (id,nivel,correo,matricula,clave,nombre,carrera,grado,sexo,situacion,evaluados,num_evaluados,total_evaluaciones,ultimo_acceso,nivel_acceso) VALUES (1300,'LICENCIATURA','flormonserrat.alvaradoanorve','110485','TOMAR DEL SND','ALVARADO AÑORVE FLOR MONSERRAT','INGENIERIA AEROESPACIAL','8vo','FEMENINO','ACTIVO','',0,0,'','ALUMNO');</v>
      </c>
      <c r="M301" s="16" t="str">
        <f>CONCATENATE("update participantes set correo=",C301," where id=",A301,";")</f>
        <v>update participantes set correo='flormonserrat.alvaradoanorve' where id=1300;</v>
      </c>
    </row>
    <row r="302" spans="1:13" ht="116" x14ac:dyDescent="0.35">
      <c r="A302" s="16">
        <v>1301</v>
      </c>
      <c r="B302" s="18" t="s">
        <v>1754</v>
      </c>
      <c r="C302" s="16" t="str">
        <f>CONCATENATE("'",Alumnos!E87,"'")</f>
        <v>'angelica.torresgutierrez'</v>
      </c>
      <c r="D302" s="16" t="str">
        <f>CONCATENATE(Alumnos!F87,"'")</f>
        <v>'110486'</v>
      </c>
      <c r="E302" s="16" t="s">
        <v>1755</v>
      </c>
      <c r="F302" s="16" t="str">
        <f>CONCATENATE("'",Alumnos!H87,"'")</f>
        <v>'TORRES GUTIERREZ ANGELICA'</v>
      </c>
      <c r="G302" s="16" t="str">
        <f>CONCATENATE("'",Alumnos!I87,"'")</f>
        <v>'PSICOLOGIA'</v>
      </c>
      <c r="H302" s="16" t="str">
        <f>CONCATENATE("'",Alumnos!J87,"'")</f>
        <v>'8vo'</v>
      </c>
      <c r="I302" s="16" t="str">
        <f>UPPER(CONCATENATE("'",Alumnos!K87,"'"))</f>
        <v>'FEMENINO'</v>
      </c>
      <c r="J302" s="16" t="str">
        <f>UPPER(CONCATENATE("'",Alumnos!L87,"'"))</f>
        <v>'ACTIVO'</v>
      </c>
      <c r="K302" s="16" t="str">
        <f>CONCATENATE(A302,",",B302,",",C302,",",D302,",'",E302,",",F302,",",G302,",",H302,",",UPPER(I302),",",UPPER(J302),",'',0,0,'','ALUMNO'")</f>
        <v>1301,'LICENCIATURA','angelica.torresgutierrez','110486','TOMAR DEL SND','TORRES GUTIERREZ ANGELICA','PSICOLOGIA','8vo','FEMENINO','ACTIVO','',0,0,'','ALUMNO'</v>
      </c>
      <c r="L302" s="16" t="str">
        <f>CONCATENATE($K$1,K302,");")</f>
        <v>INSERT INTO participantes (id,nivel,correo,matricula,clave,nombre,carrera,grado,sexo,situacion,evaluados,num_evaluados,total_evaluaciones,ultimo_acceso,nivel_acceso) VALUES (1301,'LICENCIATURA','angelica.torresgutierrez','110486','TOMAR DEL SND','TORRES GUTIERREZ ANGELICA','PSICOLOGIA','8vo','FEMENINO','ACTIVO','',0,0,'','ALUMNO');</v>
      </c>
      <c r="M302" s="16" t="str">
        <f>CONCATENATE("update participantes set correo=",C302," where id=",A302,";")</f>
        <v>update participantes set correo='angelica.torresgutierrez' where id=1301;</v>
      </c>
    </row>
    <row r="303" spans="1:13" ht="116" x14ac:dyDescent="0.35">
      <c r="A303" s="16">
        <v>1302</v>
      </c>
      <c r="B303" s="18" t="s">
        <v>1754</v>
      </c>
      <c r="C303" s="16" t="str">
        <f>CONCATENATE("'",Alumnos!E251,"'")</f>
        <v>'gabrielamonserrat.madrigalnuno'</v>
      </c>
      <c r="D303" s="16" t="str">
        <f>CONCATENATE(Alumnos!F251,"'")</f>
        <v>'110487'</v>
      </c>
      <c r="E303" s="16" t="s">
        <v>1755</v>
      </c>
      <c r="F303" s="16" t="str">
        <f>CONCATENATE("'",Alumnos!H251,"'")</f>
        <v>'MADRIGAL NUÑO GABRIELA MONSERRAT'</v>
      </c>
      <c r="G303" s="16" t="str">
        <f>CONCATENATE("'",Alumnos!I251,"'")</f>
        <v>'ARQUITECTURA'</v>
      </c>
      <c r="H303" s="16" t="str">
        <f>CONCATENATE("'",Alumnos!J251,"'")</f>
        <v>'8vo'</v>
      </c>
      <c r="I303" s="16" t="str">
        <f>UPPER(CONCATENATE("'",Alumnos!K251,"'"))</f>
        <v>'FEMENINO'</v>
      </c>
      <c r="J303" s="16" t="str">
        <f>UPPER(CONCATENATE("'",Alumnos!L251,"'"))</f>
        <v>'ACTIVO'</v>
      </c>
      <c r="K303" s="16" t="str">
        <f>CONCATENATE(A303,",",B303,",",C303,",",D303,",'",E303,",",F303,",",G303,",",H303,",",UPPER(I303),",",UPPER(J303),",'',0,0,'','ALUMNO'")</f>
        <v>1302,'LICENCIATURA','gabrielamonserrat.madrigalnuno','110487','TOMAR DEL SND','MADRIGAL NUÑO GABRIELA MONSERRAT','ARQUITECTURA','8vo','FEMENINO','ACTIVO','',0,0,'','ALUMNO'</v>
      </c>
      <c r="L303" s="16" t="str">
        <f>CONCATENATE($K$1,K303,");")</f>
        <v>INSERT INTO participantes (id,nivel,correo,matricula,clave,nombre,carrera,grado,sexo,situacion,evaluados,num_evaluados,total_evaluaciones,ultimo_acceso,nivel_acceso) VALUES (1302,'LICENCIATURA','gabrielamonserrat.madrigalnuno','110487','TOMAR DEL SND','MADRIGAL NUÑO GABRIELA MONSERRAT','ARQUITECTURA','8vo','FEMENINO','ACTIVO','',0,0,'','ALUMNO');</v>
      </c>
      <c r="M303" s="16" t="str">
        <f>CONCATENATE("update participantes set correo=",C303," where id=",A303,";")</f>
        <v>update participantes set correo='gabrielamonserrat.madrigalnuno' where id=1302;</v>
      </c>
    </row>
    <row r="304" spans="1:13" ht="130.5" x14ac:dyDescent="0.35">
      <c r="A304" s="16">
        <v>1303</v>
      </c>
      <c r="B304" s="18" t="s">
        <v>1754</v>
      </c>
      <c r="C304" s="16" t="str">
        <f>CONCATENATE("'",Alumnos!E283,"'")</f>
        <v>'isabelladelosangeles.montielvargas'</v>
      </c>
      <c r="D304" s="16" t="str">
        <f>CONCATENATE(Alumnos!F283,"'")</f>
        <v>'110488'</v>
      </c>
      <c r="E304" s="16" t="s">
        <v>1755</v>
      </c>
      <c r="F304" s="16" t="str">
        <f>CONCATENATE("'",Alumnos!H283,"'")</f>
        <v>'MONTIEL VARGAS ISABELLA DE LOS ANGELES'</v>
      </c>
      <c r="G304" s="16" t="str">
        <f>CONCATENATE("'",Alumnos!I283,"'")</f>
        <v>'INGENIERIA AEROESPACIAL'</v>
      </c>
      <c r="H304" s="16" t="str">
        <f>CONCATENATE("'",Alumnos!J283,"'")</f>
        <v>'8vo'</v>
      </c>
      <c r="I304" s="16" t="str">
        <f>UPPER(CONCATENATE("'",Alumnos!K283,"'"))</f>
        <v>'FEMENINO'</v>
      </c>
      <c r="J304" s="16" t="str">
        <f>UPPER(CONCATENATE("'",Alumnos!L283,"'"))</f>
        <v>'ACTIVO'</v>
      </c>
      <c r="K304" s="16" t="str">
        <f>CONCATENATE(A304,",",B304,",",C304,",",D304,",'",E304,",",F304,",",G304,",",H304,",",UPPER(I304),",",UPPER(J304),",'',0,0,'','ALUMNO'")</f>
        <v>1303,'LICENCIATURA','isabelladelosangeles.montielvargas','110488','TOMAR DEL SND','MONTIEL VARGAS ISABELLA DE LOS ANGELES','INGENIERIA AEROESPACIAL','8vo','FEMENINO','ACTIVO','',0,0,'','ALUMNO'</v>
      </c>
      <c r="L304" s="16" t="str">
        <f>CONCATENATE($K$1,K304,");")</f>
        <v>INSERT INTO participantes (id,nivel,correo,matricula,clave,nombre,carrera,grado,sexo,situacion,evaluados,num_evaluados,total_evaluaciones,ultimo_acceso,nivel_acceso) VALUES (1303,'LICENCIATURA','isabelladelosangeles.montielvargas','110488','TOMAR DEL SND','MONTIEL VARGAS ISABELLA DE LOS ANGELES','INGENIERIA AEROESPACIAL','8vo','FEMENINO','ACTIVO','',0,0,'','ALUMNO');</v>
      </c>
      <c r="M304" s="16" t="str">
        <f>CONCATENATE("update participantes set correo=",C304," where id=",A304,";")</f>
        <v>update participantes set correo='isabelladelosangeles.montielvargas' where id=1303;</v>
      </c>
    </row>
    <row r="305" spans="1:13" ht="130.5" x14ac:dyDescent="0.35">
      <c r="A305" s="16">
        <v>1304</v>
      </c>
      <c r="B305" s="18" t="s">
        <v>1754</v>
      </c>
      <c r="C305" s="16" t="str">
        <f>CONCATENATE("'",Alumnos!E266,"'")</f>
        <v>'hannahcitlali.delacruzcastillo'</v>
      </c>
      <c r="D305" s="16" t="str">
        <f>CONCATENATE(Alumnos!F266,"'")</f>
        <v>'110489'</v>
      </c>
      <c r="E305" s="16" t="s">
        <v>1755</v>
      </c>
      <c r="F305" s="16" t="str">
        <f>CONCATENATE("'",Alumnos!H266,"'")</f>
        <v>'DE LA CRUZ CASTILLO HANNAH CITLALI'</v>
      </c>
      <c r="G305" s="16" t="str">
        <f>CONCATENATE("'",Alumnos!I266,"'")</f>
        <v>'ANIMACION DIGITAL Y VIDEOJUEGOS'</v>
      </c>
      <c r="H305" s="16" t="str">
        <f>CONCATENATE("'",Alumnos!J266,"'")</f>
        <v>'8vo'</v>
      </c>
      <c r="I305" s="16" t="str">
        <f>UPPER(CONCATENATE("'",Alumnos!K266,"'"))</f>
        <v>'FEMENINO'</v>
      </c>
      <c r="J305" s="16" t="str">
        <f>UPPER(CONCATENATE("'",Alumnos!L266,"'"))</f>
        <v>'ACTIVO'</v>
      </c>
      <c r="K305" s="16" t="str">
        <f>CONCATENATE(A305,",",B305,",",C305,",",D305,",'",E305,",",F305,",",G305,",",H305,",",UPPER(I305),",",UPPER(J305),",'',0,0,'','ALUMNO'")</f>
        <v>1304,'LICENCIATURA','hannahcitlali.delacruzcastillo','110489','TOMAR DEL SND','DE LA CRUZ CASTILLO HANNAH CITLALI','ANIMACION DIGITAL Y VIDEOJUEGOS','8vo','FEMENINO','ACTIVO','',0,0,'','ALUMNO'</v>
      </c>
      <c r="L305" s="16" t="str">
        <f>CONCATENATE($K$1,K305,");")</f>
        <v>INSERT INTO participantes (id,nivel,correo,matricula,clave,nombre,carrera,grado,sexo,situacion,evaluados,num_evaluados,total_evaluaciones,ultimo_acceso,nivel_acceso) VALUES (1304,'LICENCIATURA','hannahcitlali.delacruzcastillo','110489','TOMAR DEL SND','DE LA CRUZ CASTILLO HANNAH CITLALI','ANIMACION DIGITAL Y VIDEOJUEGOS','8vo','FEMENINO','ACTIVO','',0,0,'','ALUMNO');</v>
      </c>
      <c r="M305" s="16" t="str">
        <f>CONCATENATE("update participantes set correo=",C305," where id=",A305,";")</f>
        <v>update participantes set correo='hannahcitlali.delacruzcastillo' where id=1304;</v>
      </c>
    </row>
    <row r="306" spans="1:13" ht="130.5" x14ac:dyDescent="0.35">
      <c r="A306" s="16">
        <v>1305</v>
      </c>
      <c r="B306" s="18" t="s">
        <v>1754</v>
      </c>
      <c r="C306" s="16" t="str">
        <f>CONCATENATE("'",Alumnos!E439,"'")</f>
        <v>'mariafernanda.martinezmendez'</v>
      </c>
      <c r="D306" s="16" t="str">
        <f>CONCATENATE(Alumnos!F439,"'")</f>
        <v>'110490'</v>
      </c>
      <c r="E306" s="16" t="s">
        <v>1755</v>
      </c>
      <c r="F306" s="16" t="str">
        <f>CONCATENATE("'",Alumnos!H439,"'")</f>
        <v>'MARTINEZ MENDEZ MARIA FERNANDA'</v>
      </c>
      <c r="G306" s="16" t="str">
        <f>CONCATENATE("'",Alumnos!I439,"'")</f>
        <v>'ANIMACION DIGITAL Y VIDEOJUEGOS'</v>
      </c>
      <c r="H306" s="16" t="str">
        <f>CONCATENATE("'",Alumnos!J439,"'")</f>
        <v>'8vo'</v>
      </c>
      <c r="I306" s="16" t="str">
        <f>UPPER(CONCATENATE("'",Alumnos!K439,"'"))</f>
        <v>'FEMENINO'</v>
      </c>
      <c r="J306" s="16" t="str">
        <f>UPPER(CONCATENATE("'",Alumnos!L439,"'"))</f>
        <v>'ACTIVO'</v>
      </c>
      <c r="K306" s="16" t="str">
        <f>CONCATENATE(A306,",",B306,",",C306,",",D306,",'",E306,",",F306,",",G306,",",H306,",",UPPER(I306),",",UPPER(J306),",'',0,0,'','ALUMNO'")</f>
        <v>1305,'LICENCIATURA','mariafernanda.martinezmendez','110490','TOMAR DEL SND','MARTINEZ MENDEZ MARIA FERNANDA','ANIMACION DIGITAL Y VIDEOJUEGOS','8vo','FEMENINO','ACTIVO','',0,0,'','ALUMNO'</v>
      </c>
      <c r="L306" s="16" t="str">
        <f>CONCATENATE($K$1,K306,");")</f>
        <v>INSERT INTO participantes (id,nivel,correo,matricula,clave,nombre,carrera,grado,sexo,situacion,evaluados,num_evaluados,total_evaluaciones,ultimo_acceso,nivel_acceso) VALUES (1305,'LICENCIATURA','mariafernanda.martinezmendez','110490','TOMAR DEL SND','MARTINEZ MENDEZ MARIA FERNANDA','ANIMACION DIGITAL Y VIDEOJUEGOS','8vo','FEMENINO','ACTIVO','',0,0,'','ALUMNO');</v>
      </c>
      <c r="M306" s="16" t="str">
        <f>CONCATENATE("update participantes set correo=",C306," where id=",A306,";")</f>
        <v>update participantes set correo='mariafernanda.martinezmendez' where id=1305;</v>
      </c>
    </row>
    <row r="307" spans="1:13" ht="130.5" x14ac:dyDescent="0.35">
      <c r="A307" s="16">
        <v>1306</v>
      </c>
      <c r="B307" s="18" t="s">
        <v>1754</v>
      </c>
      <c r="C307" s="16" t="str">
        <f>CONCATENATE("'",Alumnos!E375,"'")</f>
        <v>'karlagabriela.jaimegonzalez'</v>
      </c>
      <c r="D307" s="16" t="str">
        <f>CONCATENATE(Alumnos!F375,"'")</f>
        <v>'110491'</v>
      </c>
      <c r="E307" s="16" t="s">
        <v>1755</v>
      </c>
      <c r="F307" s="16" t="str">
        <f>CONCATENATE("'",Alumnos!H375,"'")</f>
        <v>'JAIME GONZALEZ KARLA GABRIELA'</v>
      </c>
      <c r="G307" s="16" t="str">
        <f>CONCATENATE("'",Alumnos!I375,"'")</f>
        <v>'COMERCIO INTERNACIONAL'</v>
      </c>
      <c r="H307" s="16" t="str">
        <f>CONCATENATE("'",Alumnos!J375,"'")</f>
        <v>'8vo'</v>
      </c>
      <c r="I307" s="16" t="str">
        <f>UPPER(CONCATENATE("'",Alumnos!K375,"'"))</f>
        <v>'FEMENINO'</v>
      </c>
      <c r="J307" s="16" t="str">
        <f>UPPER(CONCATENATE("'",Alumnos!L375,"'"))</f>
        <v>'ACTIVO'</v>
      </c>
      <c r="K307" s="16" t="str">
        <f>CONCATENATE(A307,",",B307,",",C307,",",D307,",'",E307,",",F307,",",G307,",",H307,",",UPPER(I307),",",UPPER(J307),",'',0,0,'','ALUMNO'")</f>
        <v>1306,'LICENCIATURA','karlagabriela.jaimegonzalez','110491','TOMAR DEL SND','JAIME GONZALEZ KARLA GABRIELA','COMERCIO INTERNACIONAL','8vo','FEMENINO','ACTIVO','',0,0,'','ALUMNO'</v>
      </c>
      <c r="L307" s="16" t="str">
        <f>CONCATENATE($K$1,K307,");")</f>
        <v>INSERT INTO participantes (id,nivel,correo,matricula,clave,nombre,carrera,grado,sexo,situacion,evaluados,num_evaluados,total_evaluaciones,ultimo_acceso,nivel_acceso) VALUES (1306,'LICENCIATURA','karlagabriela.jaimegonzalez','110491','TOMAR DEL SND','JAIME GONZALEZ KARLA GABRIELA','COMERCIO INTERNACIONAL','8vo','FEMENINO','ACTIVO','',0,0,'','ALUMNO');</v>
      </c>
      <c r="M307" s="16" t="str">
        <f>CONCATENATE("update participantes set correo=",C307," where id=",A307,";")</f>
        <v>update participantes set correo='karlagabriela.jaimegonzalez' where id=1306;</v>
      </c>
    </row>
    <row r="308" spans="1:13" ht="130.5" x14ac:dyDescent="0.35">
      <c r="A308" s="16">
        <v>1307</v>
      </c>
      <c r="B308" s="18" t="s">
        <v>1754</v>
      </c>
      <c r="C308" s="16" t="str">
        <f>CONCATENATE("'",Alumnos!E468,"'")</f>
        <v>'mayrajesusdebelen.rosalesherrera'</v>
      </c>
      <c r="D308" s="16" t="str">
        <f>CONCATENATE(Alumnos!F468,"'")</f>
        <v>'110492'</v>
      </c>
      <c r="E308" s="16" t="s">
        <v>1755</v>
      </c>
      <c r="F308" s="16" t="str">
        <f>CONCATENATE("'",Alumnos!H468,"'")</f>
        <v>'ROSALES HERRERA MAYRA JESUS DE BELEN'</v>
      </c>
      <c r="G308" s="16" t="str">
        <f>CONCATENATE("'",Alumnos!I468,"'")</f>
        <v>'NUTRICION Y GASTRONOMIA'</v>
      </c>
      <c r="H308" s="16" t="str">
        <f>CONCATENATE("'",Alumnos!J468,"'")</f>
        <v>'8vo'</v>
      </c>
      <c r="I308" s="16" t="str">
        <f>UPPER(CONCATENATE("'",Alumnos!K468,"'"))</f>
        <v>'FEMENINO'</v>
      </c>
      <c r="J308" s="16" t="str">
        <f>UPPER(CONCATENATE("'",Alumnos!L468,"'"))</f>
        <v>'ACTIVO'</v>
      </c>
      <c r="K308" s="16" t="str">
        <f>CONCATENATE(A308,",",B308,",",C308,",",D308,",'",E308,",",F308,",",G308,",",H308,",",UPPER(I308),",",UPPER(J308),",'',0,0,'','ALUMNO'")</f>
        <v>1307,'LICENCIATURA','mayrajesusdebelen.rosalesherrera','110492','TOMAR DEL SND','ROSALES HERRERA MAYRA JESUS DE BELEN','NUTRICION Y GASTRONOMIA','8vo','FEMENINO','ACTIVO','',0,0,'','ALUMNO'</v>
      </c>
      <c r="L308" s="16" t="str">
        <f>CONCATENATE($K$1,K308,");")</f>
        <v>INSERT INTO participantes (id,nivel,correo,matricula,clave,nombre,carrera,grado,sexo,situacion,evaluados,num_evaluados,total_evaluaciones,ultimo_acceso,nivel_acceso) VALUES (1307,'LICENCIATURA','mayrajesusdebelen.rosalesherrera','110492','TOMAR DEL SND','ROSALES HERRERA MAYRA JESUS DE BELEN','NUTRICION Y GASTRONOMIA','8vo','FEMENINO','ACTIVO','',0,0,'','ALUMNO');</v>
      </c>
      <c r="M308" s="16" t="str">
        <f>CONCATENATE("update participantes set correo=",C308," where id=",A308,";")</f>
        <v>update participantes set correo='mayrajesusdebelen.rosalesherrera' where id=1307;</v>
      </c>
    </row>
    <row r="309" spans="1:13" ht="116" x14ac:dyDescent="0.35">
      <c r="A309" s="16">
        <v>1308</v>
      </c>
      <c r="B309" s="18" t="s">
        <v>1754</v>
      </c>
      <c r="C309" s="16" t="str">
        <f>CONCATENATE("'",Alumnos!E421,"'")</f>
        <v>'luisronaldo.silvatorres'</v>
      </c>
      <c r="D309" s="16" t="str">
        <f>CONCATENATE(Alumnos!F421,"'")</f>
        <v>'110493'</v>
      </c>
      <c r="E309" s="16" t="s">
        <v>1755</v>
      </c>
      <c r="F309" s="16" t="str">
        <f>CONCATENATE("'",Alumnos!H421,"'")</f>
        <v>'SILVA TORRES LUIS RONALDO'</v>
      </c>
      <c r="G309" s="16" t="str">
        <f>CONCATENATE("'",Alumnos!I421,"'")</f>
        <v>'DERECHO'</v>
      </c>
      <c r="H309" s="16" t="str">
        <f>CONCATENATE("'",Alumnos!J421,"'")</f>
        <v>'8vo'</v>
      </c>
      <c r="I309" s="16" t="str">
        <f>UPPER(CONCATENATE("'",Alumnos!K421,"'"))</f>
        <v>'MASCULINO'</v>
      </c>
      <c r="J309" s="16" t="str">
        <f>UPPER(CONCATENATE("'",Alumnos!L421,"'"))</f>
        <v>'ACTIVO'</v>
      </c>
      <c r="K309" s="16" t="str">
        <f>CONCATENATE(A309,",",B309,",",C309,",",D309,",'",E309,",",F309,",",G309,",",H309,",",UPPER(I309),",",UPPER(J309),",'',0,0,'','ALUMNO'")</f>
        <v>1308,'LICENCIATURA','luisronaldo.silvatorres','110493','TOMAR DEL SND','SILVA TORRES LUIS RONALDO','DERECHO','8vo','MASCULINO','ACTIVO','',0,0,'','ALUMNO'</v>
      </c>
      <c r="L309" s="16" t="str">
        <f>CONCATENATE($K$1,K309,");")</f>
        <v>INSERT INTO participantes (id,nivel,correo,matricula,clave,nombre,carrera,grado,sexo,situacion,evaluados,num_evaluados,total_evaluaciones,ultimo_acceso,nivel_acceso) VALUES (1308,'LICENCIATURA','luisronaldo.silvatorres','110493','TOMAR DEL SND','SILVA TORRES LUIS RONALDO','DERECHO','8vo','MASCULINO','ACTIVO','',0,0,'','ALUMNO');</v>
      </c>
      <c r="M309" s="16" t="str">
        <f>CONCATENATE("update participantes set correo=",C309," where id=",A309,";")</f>
        <v>update participantes set correo='luisronaldo.silvatorres' where id=1308;</v>
      </c>
    </row>
    <row r="310" spans="1:13" ht="116" x14ac:dyDescent="0.35">
      <c r="A310" s="16">
        <v>1309</v>
      </c>
      <c r="B310" s="18" t="s">
        <v>1754</v>
      </c>
      <c r="C310" s="16" t="str">
        <f>CONCATENATE("'",Alumnos!E557,"'")</f>
        <v>'romina.lopezmagana'</v>
      </c>
      <c r="D310" s="16" t="str">
        <f>CONCATENATE(Alumnos!F557,"'")</f>
        <v>'110494'</v>
      </c>
      <c r="E310" s="16" t="s">
        <v>1755</v>
      </c>
      <c r="F310" s="16" t="str">
        <f>CONCATENATE("'",Alumnos!H557,"'")</f>
        <v>'LOPEZ MAGAÑA ROMINA'</v>
      </c>
      <c r="G310" s="16" t="str">
        <f>CONCATENATE("'",Alumnos!I557,"'")</f>
        <v>'PSICOLOGIA'</v>
      </c>
      <c r="H310" s="16" t="str">
        <f>CONCATENATE("'",Alumnos!J557,"'")</f>
        <v>'8vo'</v>
      </c>
      <c r="I310" s="16" t="str">
        <f>UPPER(CONCATENATE("'",Alumnos!K557,"'"))</f>
        <v>'FEMENINO'</v>
      </c>
      <c r="J310" s="16" t="str">
        <f>UPPER(CONCATENATE("'",Alumnos!L557,"'"))</f>
        <v>'ACTIVO'</v>
      </c>
      <c r="K310" s="16" t="str">
        <f>CONCATENATE(A310,",",B310,",",C310,",",D310,",'",E310,",",F310,",",G310,",",H310,",",UPPER(I310),",",UPPER(J310),",'',0,0,'','ALUMNO'")</f>
        <v>1309,'LICENCIATURA','romina.lopezmagana','110494','TOMAR DEL SND','LOPEZ MAGAÑA ROMINA','PSICOLOGIA','8vo','FEMENINO','ACTIVO','',0,0,'','ALUMNO'</v>
      </c>
      <c r="L310" s="16" t="str">
        <f>CONCATENATE($K$1,K310,");")</f>
        <v>INSERT INTO participantes (id,nivel,correo,matricula,clave,nombre,carrera,grado,sexo,situacion,evaluados,num_evaluados,total_evaluaciones,ultimo_acceso,nivel_acceso) VALUES (1309,'LICENCIATURA','romina.lopezmagana','110494','TOMAR DEL SND','LOPEZ MAGAÑA ROMINA','PSICOLOGIA','8vo','FEMENINO','ACTIVO','',0,0,'','ALUMNO');</v>
      </c>
      <c r="M310" s="16" t="str">
        <f>CONCATENATE("update participantes set correo=",C310," where id=",A310,";")</f>
        <v>update participantes set correo='romina.lopezmagana' where id=1309;</v>
      </c>
    </row>
    <row r="311" spans="1:13" ht="130.5" x14ac:dyDescent="0.35">
      <c r="A311" s="16">
        <v>1310</v>
      </c>
      <c r="B311" s="18" t="s">
        <v>1754</v>
      </c>
      <c r="C311" s="16" t="str">
        <f>CONCATENATE("'",Alumnos!E526,"'")</f>
        <v>'palomamichelle.cosiolopez'</v>
      </c>
      <c r="D311" s="16" t="str">
        <f>CONCATENATE(Alumnos!F526,"'")</f>
        <v>'110495'</v>
      </c>
      <c r="E311" s="16" t="s">
        <v>1755</v>
      </c>
      <c r="F311" s="16" t="str">
        <f>CONCATENATE("'",Alumnos!H526,"'")</f>
        <v>'COSIO LOPEZ PALOMA MICHELLE'</v>
      </c>
      <c r="G311" s="16" t="str">
        <f>CONCATENATE("'",Alumnos!I526,"'")</f>
        <v>'NUTRICION Y GASTRONOMIA'</v>
      </c>
      <c r="H311" s="16" t="str">
        <f>CONCATENATE("'",Alumnos!J526,"'")</f>
        <v>'8vo'</v>
      </c>
      <c r="I311" s="16" t="str">
        <f>UPPER(CONCATENATE("'",Alumnos!K526,"'"))</f>
        <v>'FEMENINO'</v>
      </c>
      <c r="J311" s="16" t="str">
        <f>UPPER(CONCATENATE("'",Alumnos!L526,"'"))</f>
        <v>'ACTIVO'</v>
      </c>
      <c r="K311" s="16" t="str">
        <f>CONCATENATE(A311,",",B311,",",C311,",",D311,",'",E311,",",F311,",",G311,",",H311,",",UPPER(I311),",",UPPER(J311),",'',0,0,'','ALUMNO'")</f>
        <v>1310,'LICENCIATURA','palomamichelle.cosiolopez','110495','TOMAR DEL SND','COSIO LOPEZ PALOMA MICHELLE','NUTRICION Y GASTRONOMIA','8vo','FEMENINO','ACTIVO','',0,0,'','ALUMNO'</v>
      </c>
      <c r="L311" s="16" t="str">
        <f>CONCATENATE($K$1,K311,");")</f>
        <v>INSERT INTO participantes (id,nivel,correo,matricula,clave,nombre,carrera,grado,sexo,situacion,evaluados,num_evaluados,total_evaluaciones,ultimo_acceso,nivel_acceso) VALUES (1310,'LICENCIATURA','palomamichelle.cosiolopez','110495','TOMAR DEL SND','COSIO LOPEZ PALOMA MICHELLE','NUTRICION Y GASTRONOMIA','8vo','FEMENINO','ACTIVO','',0,0,'','ALUMNO');</v>
      </c>
      <c r="M311" s="16" t="str">
        <f>CONCATENATE("update participantes set correo=",C311," where id=",A311,";")</f>
        <v>update participantes set correo='palomamichelle.cosiolopez' where id=1310;</v>
      </c>
    </row>
    <row r="312" spans="1:13" ht="116" x14ac:dyDescent="0.35">
      <c r="A312" s="16">
        <v>1311</v>
      </c>
      <c r="B312" s="18" t="s">
        <v>1754</v>
      </c>
      <c r="C312" s="16" t="str">
        <f>CONCATENATE("'",Alumnos!E544,"'")</f>
        <v>'ricardo.lopezsilva'</v>
      </c>
      <c r="D312" s="16" t="str">
        <f>CONCATENATE(Alumnos!F544,"'")</f>
        <v>'110496'</v>
      </c>
      <c r="E312" s="16" t="s">
        <v>1755</v>
      </c>
      <c r="F312" s="16" t="str">
        <f>CONCATENATE("'",Alumnos!H544,"'")</f>
        <v>'LOPEZ SILVA RICARDO'</v>
      </c>
      <c r="G312" s="16" t="str">
        <f>CONCATENATE("'",Alumnos!I544,"'")</f>
        <v>'ANIMACION DIGITAL Y VIDEOJUEGOS'</v>
      </c>
      <c r="H312" s="16" t="str">
        <f>CONCATENATE("'",Alumnos!J544,"'")</f>
        <v>'8vo'</v>
      </c>
      <c r="I312" s="16" t="str">
        <f>UPPER(CONCATENATE("'",Alumnos!K544,"'"))</f>
        <v>'MASCULINO'</v>
      </c>
      <c r="J312" s="16" t="str">
        <f>UPPER(CONCATENATE("'",Alumnos!L544,"'"))</f>
        <v>'ACTIVO'</v>
      </c>
      <c r="K312" s="16" t="str">
        <f>CONCATENATE(A312,",",B312,",",C312,",",D312,",'",E312,",",F312,",",G312,",",H312,",",UPPER(I312),",",UPPER(J312),",'',0,0,'','ALUMNO'")</f>
        <v>1311,'LICENCIATURA','ricardo.lopezsilva','110496','TOMAR DEL SND','LOPEZ SILVA RICARDO','ANIMACION DIGITAL Y VIDEOJUEGOS','8vo','MASCULINO','ACTIVO','',0,0,'','ALUMNO'</v>
      </c>
      <c r="L312" s="16" t="str">
        <f>CONCATENATE($K$1,K312,");")</f>
        <v>INSERT INTO participantes (id,nivel,correo,matricula,clave,nombre,carrera,grado,sexo,situacion,evaluados,num_evaluados,total_evaluaciones,ultimo_acceso,nivel_acceso) VALUES (1311,'LICENCIATURA','ricardo.lopezsilva','110496','TOMAR DEL SND','LOPEZ SILVA RICARDO','ANIMACION DIGITAL Y VIDEOJUEGOS','8vo','MASCULINO','ACTIVO','',0,0,'','ALUMNO');</v>
      </c>
      <c r="M312" s="16" t="str">
        <f>CONCATENATE("update participantes set correo=",C312," where id=",A312,";")</f>
        <v>update participantes set correo='ricardo.lopezsilva' where id=1311;</v>
      </c>
    </row>
    <row r="313" spans="1:13" ht="130.5" x14ac:dyDescent="0.35">
      <c r="A313" s="16">
        <v>1312</v>
      </c>
      <c r="B313" s="18" t="s">
        <v>1754</v>
      </c>
      <c r="C313" s="16" t="str">
        <f>CONCATENATE("'",Alumnos!E323,"'")</f>
        <v>'jorgeluis.robleslopez'</v>
      </c>
      <c r="D313" s="16" t="str">
        <f>CONCATENATE(Alumnos!F323,"'")</f>
        <v>'110497'</v>
      </c>
      <c r="E313" s="16" t="s">
        <v>1755</v>
      </c>
      <c r="F313" s="16" t="str">
        <f>CONCATENATE("'",Alumnos!H323,"'")</f>
        <v>'ROBLES LOPEZ JORGE LUIS'</v>
      </c>
      <c r="G313" s="16" t="str">
        <f>CONCATENATE("'",Alumnos!I323,"'")</f>
        <v>'INGENIERIA CIBERNETICA Y EN SISTEMAS COMPUTACIONALES'</v>
      </c>
      <c r="H313" s="16" t="str">
        <f>CONCATENATE("'",Alumnos!J323,"'")</f>
        <v>'8vo'</v>
      </c>
      <c r="I313" s="16" t="str">
        <f>UPPER(CONCATENATE("'",Alumnos!K323,"'"))</f>
        <v>'MASCULINO'</v>
      </c>
      <c r="J313" s="16" t="str">
        <f>UPPER(CONCATENATE("'",Alumnos!L323,"'"))</f>
        <v>'ACTIVO'</v>
      </c>
      <c r="K313" s="16" t="str">
        <f>CONCATENATE(A313,",",B313,",",C313,",",D313,",'",E313,",",F313,",",G313,",",H313,",",UPPER(I313),",",UPPER(J313),",'',0,0,'','ALUMNO'")</f>
        <v>1312,'LICENCIATURA','jorgeluis.robleslopez','110497','TOMAR DEL SND','ROBLES LOPEZ JORGE LUIS','INGENIERIA CIBERNETICA Y EN SISTEMAS COMPUTACIONALES','8vo','MASCULINO','ACTIVO','',0,0,'','ALUMNO'</v>
      </c>
      <c r="L313" s="16" t="str">
        <f>CONCATENATE($K$1,K313,");")</f>
        <v>INSERT INTO participantes (id,nivel,correo,matricula,clave,nombre,carrera,grado,sexo,situacion,evaluados,num_evaluados,total_evaluaciones,ultimo_acceso,nivel_acceso) VALUES (1312,'LICENCIATURA','jorgeluis.robleslopez','110497','TOMAR DEL SND','ROBLES LOPEZ JORGE LUIS','INGENIERIA CIBERNETICA Y EN SISTEMAS COMPUTACIONALES','8vo','MASCULINO','ACTIVO','',0,0,'','ALUMNO');</v>
      </c>
      <c r="M313" s="16" t="str">
        <f>CONCATENATE("update participantes set correo=",C313," where id=",A313,";")</f>
        <v>update participantes set correo='jorgeluis.robleslopez' where id=1312;</v>
      </c>
    </row>
    <row r="314" spans="1:13" ht="130.5" x14ac:dyDescent="0.35">
      <c r="A314" s="16">
        <v>1313</v>
      </c>
      <c r="B314" s="18" t="s">
        <v>1754</v>
      </c>
      <c r="C314" s="16" t="str">
        <f>CONCATENATE("'",Alumnos!E126,"'")</f>
        <v>'carlosroberto.ramirezgarcia'</v>
      </c>
      <c r="D314" s="16" t="str">
        <f>CONCATENATE(Alumnos!F126,"'")</f>
        <v>'110498'</v>
      </c>
      <c r="E314" s="16" t="s">
        <v>1755</v>
      </c>
      <c r="F314" s="16" t="str">
        <f>CONCATENATE("'",Alumnos!H126,"'")</f>
        <v>'RAMIREZ GARCIA CARLOS ROBERTO'</v>
      </c>
      <c r="G314" s="16" t="str">
        <f>CONCATENATE("'",Alumnos!I126,"'")</f>
        <v>'ANIMACION DIGITAL Y VIDEOJUEGOS'</v>
      </c>
      <c r="H314" s="16" t="str">
        <f>CONCATENATE("'",Alumnos!J126,"'")</f>
        <v>'8vo'</v>
      </c>
      <c r="I314" s="16" t="str">
        <f>UPPER(CONCATENATE("'",Alumnos!K126,"'"))</f>
        <v>'MASCULINO'</v>
      </c>
      <c r="J314" s="16" t="str">
        <f>UPPER(CONCATENATE("'",Alumnos!L126,"'"))</f>
        <v>'ACTIVO'</v>
      </c>
      <c r="K314" s="16" t="str">
        <f>CONCATENATE(A314,",",B314,",",C314,",",D314,",'",E314,",",F314,",",G314,",",H314,",",UPPER(I314),",",UPPER(J314),",'',0,0,'','ALUMNO'")</f>
        <v>1313,'LICENCIATURA','carlosroberto.ramirezgarcia','110498','TOMAR DEL SND','RAMIREZ GARCIA CARLOS ROBERTO','ANIMACION DIGITAL Y VIDEOJUEGOS','8vo','MASCULINO','ACTIVO','',0,0,'','ALUMNO'</v>
      </c>
      <c r="L314" s="16" t="str">
        <f>CONCATENATE($K$1,K314,");")</f>
        <v>INSERT INTO participantes (id,nivel,correo,matricula,clave,nombre,carrera,grado,sexo,situacion,evaluados,num_evaluados,total_evaluaciones,ultimo_acceso,nivel_acceso) VALUES (1313,'LICENCIATURA','carlosroberto.ramirezgarcia','110498','TOMAR DEL SND','RAMIREZ GARCIA CARLOS ROBERTO','ANIMACION DIGITAL Y VIDEOJUEGOS','8vo','MASCULINO','ACTIVO','',0,0,'','ALUMNO');</v>
      </c>
      <c r="M314" s="16" t="str">
        <f>CONCATENATE("update participantes set correo=",C314," where id=",A314,";")</f>
        <v>update participantes set correo='carlosroberto.ramirezgarcia' where id=1313;</v>
      </c>
    </row>
    <row r="315" spans="1:13" ht="116" x14ac:dyDescent="0.35">
      <c r="A315" s="16">
        <v>1314</v>
      </c>
      <c r="B315" s="18" t="s">
        <v>1754</v>
      </c>
      <c r="C315" s="16" t="str">
        <f>CONCATENATE("'",Alumnos!E48,"'")</f>
        <v>'anaisabel.ochoasamano'</v>
      </c>
      <c r="D315" s="16" t="str">
        <f>CONCATENATE(Alumnos!F48,"'")</f>
        <v>'110500'</v>
      </c>
      <c r="E315" s="16" t="s">
        <v>1755</v>
      </c>
      <c r="F315" s="16" t="str">
        <f>CONCATENATE("'",Alumnos!H48,"'")</f>
        <v>'OCHOA SAMANO ANA ISABEL'</v>
      </c>
      <c r="G315" s="16" t="str">
        <f>CONCATENATE("'",Alumnos!I48,"'")</f>
        <v>'MERCADOTECNIA Y PUBLICIDAD'</v>
      </c>
      <c r="H315" s="16" t="str">
        <f>CONCATENATE("'",Alumnos!J48,"'")</f>
        <v>'8vo'</v>
      </c>
      <c r="I315" s="16" t="str">
        <f>UPPER(CONCATENATE("'",Alumnos!K48,"'"))</f>
        <v>'FEMENINO'</v>
      </c>
      <c r="J315" s="16" t="str">
        <f>UPPER(CONCATENATE("'",Alumnos!L48,"'"))</f>
        <v>'ACTIVO'</v>
      </c>
      <c r="K315" s="16" t="str">
        <f>CONCATENATE(A315,",",B315,",",C315,",",D315,",'",E315,",",F315,",",G315,",",H315,",",UPPER(I315),",",UPPER(J315),",'',0,0,'','ALUMNO'")</f>
        <v>1314,'LICENCIATURA','anaisabel.ochoasamano','110500','TOMAR DEL SND','OCHOA SAMANO ANA ISABEL','MERCADOTECNIA Y PUBLICIDAD','8vo','FEMENINO','ACTIVO','',0,0,'','ALUMNO'</v>
      </c>
      <c r="L315" s="16" t="str">
        <f>CONCATENATE($K$1,K315,");")</f>
        <v>INSERT INTO participantes (id,nivel,correo,matricula,clave,nombre,carrera,grado,sexo,situacion,evaluados,num_evaluados,total_evaluaciones,ultimo_acceso,nivel_acceso) VALUES (1314,'LICENCIATURA','anaisabel.ochoasamano','110500','TOMAR DEL SND','OCHOA SAMANO ANA ISABEL','MERCADOTECNIA Y PUBLICIDAD','8vo','FEMENINO','ACTIVO','',0,0,'','ALUMNO');</v>
      </c>
      <c r="M315" s="16" t="str">
        <f>CONCATENATE("update participantes set correo=",C315," where id=",A315,";")</f>
        <v>update participantes set correo='anaisabel.ochoasamano' where id=1314;</v>
      </c>
    </row>
    <row r="316" spans="1:13" ht="116" x14ac:dyDescent="0.35">
      <c r="A316" s="16">
        <v>1315</v>
      </c>
      <c r="B316" s="18" t="s">
        <v>1754</v>
      </c>
      <c r="C316" s="16" t="str">
        <f>CONCATENATE("'",Alumnos!E60,"'")</f>
        <v>'andrea.vazquezcortes'</v>
      </c>
      <c r="D316" s="16" t="str">
        <f>CONCATENATE(Alumnos!F60,"'")</f>
        <v>'110501'</v>
      </c>
      <c r="E316" s="16" t="s">
        <v>1755</v>
      </c>
      <c r="F316" s="16" t="str">
        <f>CONCATENATE("'",Alumnos!H60,"'")</f>
        <v>'VAZQUEZ CORTES ANDREA'</v>
      </c>
      <c r="G316" s="16" t="str">
        <f>CONCATENATE("'",Alumnos!I60,"'")</f>
        <v>'NUTRICION Y GASTRONOMIA'</v>
      </c>
      <c r="H316" s="16" t="str">
        <f>CONCATENATE("'",Alumnos!J60,"'")</f>
        <v>'8vo'</v>
      </c>
      <c r="I316" s="16" t="str">
        <f>UPPER(CONCATENATE("'",Alumnos!K60,"'"))</f>
        <v>'FEMENINO'</v>
      </c>
      <c r="J316" s="16" t="str">
        <f>UPPER(CONCATENATE("'",Alumnos!L60,"'"))</f>
        <v>'ACTIVO'</v>
      </c>
      <c r="K316" s="16" t="str">
        <f>CONCATENATE(A316,",",B316,",",C316,",",D316,",'",E316,",",F316,",",G316,",",H316,",",UPPER(I316),",",UPPER(J316),",'',0,0,'','ALUMNO'")</f>
        <v>1315,'LICENCIATURA','andrea.vazquezcortes','110501','TOMAR DEL SND','VAZQUEZ CORTES ANDREA','NUTRICION Y GASTRONOMIA','8vo','FEMENINO','ACTIVO','',0,0,'','ALUMNO'</v>
      </c>
      <c r="L316" s="16" t="str">
        <f>CONCATENATE($K$1,K316,");")</f>
        <v>INSERT INTO participantes (id,nivel,correo,matricula,clave,nombre,carrera,grado,sexo,situacion,evaluados,num_evaluados,total_evaluaciones,ultimo_acceso,nivel_acceso) VALUES (1315,'LICENCIATURA','andrea.vazquezcortes','110501','TOMAR DEL SND','VAZQUEZ CORTES ANDREA','NUTRICION Y GASTRONOMIA','8vo','FEMENINO','ACTIVO','',0,0,'','ALUMNO');</v>
      </c>
      <c r="M316" s="16" t="str">
        <f>CONCATENATE("update participantes set correo=",C316," where id=",A316,";")</f>
        <v>update participantes set correo='andrea.vazquezcortes' where id=1315;</v>
      </c>
    </row>
    <row r="317" spans="1:13" ht="130.5" x14ac:dyDescent="0.35">
      <c r="A317" s="16">
        <v>1316</v>
      </c>
      <c r="B317" s="18" t="s">
        <v>1754</v>
      </c>
      <c r="C317" s="16" t="str">
        <f>CONCATENATE("'",Alumnos!E350,"'")</f>
        <v>'juancarlos.mendozaarmas'</v>
      </c>
      <c r="D317" s="16" t="str">
        <f>CONCATENATE(Alumnos!F350,"'")</f>
        <v>'110503'</v>
      </c>
      <c r="E317" s="16" t="s">
        <v>1755</v>
      </c>
      <c r="F317" s="16" t="str">
        <f>CONCATENATE("'",Alumnos!H350,"'")</f>
        <v>'MENDOZA ARMAS JUAN CARLOS'</v>
      </c>
      <c r="G317" s="16" t="str">
        <f>CONCATENATE("'",Alumnos!I350,"'")</f>
        <v>'INGENIERIA AEROESPACIAL'</v>
      </c>
      <c r="H317" s="16" t="str">
        <f>CONCATENATE("'",Alumnos!J350,"'")</f>
        <v>'8vo'</v>
      </c>
      <c r="I317" s="16" t="str">
        <f>UPPER(CONCATENATE("'",Alumnos!K350,"'"))</f>
        <v>'MASCULINO'</v>
      </c>
      <c r="J317" s="16" t="str">
        <f>UPPER(CONCATENATE("'",Alumnos!L350,"'"))</f>
        <v>'ACTIVO'</v>
      </c>
      <c r="K317" s="16" t="str">
        <f>CONCATENATE(A317,",",B317,",",C317,",",D317,",'",E317,",",F317,",",G317,",",H317,",",UPPER(I317),",",UPPER(J317),",'',0,0,'','ALUMNO'")</f>
        <v>1316,'LICENCIATURA','juancarlos.mendozaarmas','110503','TOMAR DEL SND','MENDOZA ARMAS JUAN CARLOS','INGENIERIA AEROESPACIAL','8vo','MASCULINO','ACTIVO','',0,0,'','ALUMNO'</v>
      </c>
      <c r="L317" s="16" t="str">
        <f>CONCATENATE($K$1,K317,");")</f>
        <v>INSERT INTO participantes (id,nivel,correo,matricula,clave,nombre,carrera,grado,sexo,situacion,evaluados,num_evaluados,total_evaluaciones,ultimo_acceso,nivel_acceso) VALUES (1316,'LICENCIATURA','juancarlos.mendozaarmas','110503','TOMAR DEL SND','MENDOZA ARMAS JUAN CARLOS','INGENIERIA AEROESPACIAL','8vo','MASCULINO','ACTIVO','',0,0,'','ALUMNO');</v>
      </c>
      <c r="M317" s="16" t="str">
        <f>CONCATENATE("update participantes set correo=",C317," where id=",A317,";")</f>
        <v>update participantes set correo='juancarlos.mendozaarmas' where id=1316;</v>
      </c>
    </row>
    <row r="318" spans="1:13" ht="116" x14ac:dyDescent="0.35">
      <c r="A318" s="16">
        <v>1317</v>
      </c>
      <c r="B318" s="18" t="s">
        <v>1754</v>
      </c>
      <c r="C318" s="16" t="str">
        <f>CONCATENATE("'",Alumnos!E583,"'")</f>
        <v>'sofia.partidabarba'</v>
      </c>
      <c r="D318" s="16" t="str">
        <f>CONCATENATE(Alumnos!F583,"'")</f>
        <v>'110504'</v>
      </c>
      <c r="E318" s="16" t="s">
        <v>1755</v>
      </c>
      <c r="F318" s="16" t="str">
        <f>CONCATENATE("'",Alumnos!H583,"'")</f>
        <v>'PARTIDA BARBA SOFIA'</v>
      </c>
      <c r="G318" s="16" t="str">
        <f>CONCATENATE("'",Alumnos!I583,"'")</f>
        <v>'NUTRICION Y GASTRONOMIA'</v>
      </c>
      <c r="H318" s="16" t="str">
        <f>CONCATENATE("'",Alumnos!J583,"'")</f>
        <v>'8vo'</v>
      </c>
      <c r="I318" s="16" t="str">
        <f>UPPER(CONCATENATE("'",Alumnos!K583,"'"))</f>
        <v>'FEMENINO'</v>
      </c>
      <c r="J318" s="16" t="str">
        <f>UPPER(CONCATENATE("'",Alumnos!L583,"'"))</f>
        <v>'ACTIVO'</v>
      </c>
      <c r="K318" s="16" t="str">
        <f>CONCATENATE(A318,",",B318,",",C318,",",D318,",'",E318,",",F318,",",G318,",",H318,",",UPPER(I318),",",UPPER(J318),",'',0,0,'','ALUMNO'")</f>
        <v>1317,'LICENCIATURA','sofia.partidabarba','110504','TOMAR DEL SND','PARTIDA BARBA SOFIA','NUTRICION Y GASTRONOMIA','8vo','FEMENINO','ACTIVO','',0,0,'','ALUMNO'</v>
      </c>
      <c r="L318" s="16" t="str">
        <f>CONCATENATE($K$1,K318,");")</f>
        <v>INSERT INTO participantes (id,nivel,correo,matricula,clave,nombre,carrera,grado,sexo,situacion,evaluados,num_evaluados,total_evaluaciones,ultimo_acceso,nivel_acceso) VALUES (1317,'LICENCIATURA','sofia.partidabarba','110504','TOMAR DEL SND','PARTIDA BARBA SOFIA','NUTRICION Y GASTRONOMIA','8vo','FEMENINO','ACTIVO','',0,0,'','ALUMNO');</v>
      </c>
      <c r="M318" s="16" t="str">
        <f>CONCATENATE("update participantes set correo=",C318," where id=",A318,";")</f>
        <v>update participantes set correo='sofia.partidabarba' where id=1317;</v>
      </c>
    </row>
    <row r="319" spans="1:13" ht="130.5" x14ac:dyDescent="0.35">
      <c r="A319" s="16">
        <v>1318</v>
      </c>
      <c r="B319" s="18" t="s">
        <v>1754</v>
      </c>
      <c r="C319" s="16" t="str">
        <f>CONCATENATE("'",Alumnos!E201,"'")</f>
        <v>'edgaralejandro.ortizvega'</v>
      </c>
      <c r="D319" s="16" t="str">
        <f>CONCATENATE(Alumnos!F201,"'")</f>
        <v>'110505'</v>
      </c>
      <c r="E319" s="16" t="s">
        <v>1755</v>
      </c>
      <c r="F319" s="16" t="str">
        <f>CONCATENATE("'",Alumnos!H201,"'")</f>
        <v>'ORTIZ VEGA EDGAR ALEJANDRO'</v>
      </c>
      <c r="G319" s="16" t="str">
        <f>CONCATENATE("'",Alumnos!I201,"'")</f>
        <v>'INGENIERIA AEROESPACIAL'</v>
      </c>
      <c r="H319" s="16" t="str">
        <f>CONCATENATE("'",Alumnos!J201,"'")</f>
        <v>'8vo'</v>
      </c>
      <c r="I319" s="16" t="str">
        <f>UPPER(CONCATENATE("'",Alumnos!K201,"'"))</f>
        <v>'MASCULINO'</v>
      </c>
      <c r="J319" s="16" t="str">
        <f>UPPER(CONCATENATE("'",Alumnos!L201,"'"))</f>
        <v>'ACTIVO'</v>
      </c>
      <c r="K319" s="16" t="str">
        <f>CONCATENATE(A319,",",B319,",",C319,",",D319,",'",E319,",",F319,",",G319,",",H319,",",UPPER(I319),",",UPPER(J319),",'',0,0,'','ALUMNO'")</f>
        <v>1318,'LICENCIATURA','edgaralejandro.ortizvega','110505','TOMAR DEL SND','ORTIZ VEGA EDGAR ALEJANDRO','INGENIERIA AEROESPACIAL','8vo','MASCULINO','ACTIVO','',0,0,'','ALUMNO'</v>
      </c>
      <c r="L319" s="16" t="str">
        <f>CONCATENATE($K$1,K319,");")</f>
        <v>INSERT INTO participantes (id,nivel,correo,matricula,clave,nombre,carrera,grado,sexo,situacion,evaluados,num_evaluados,total_evaluaciones,ultimo_acceso,nivel_acceso) VALUES (1318,'LICENCIATURA','edgaralejandro.ortizvega','110505','TOMAR DEL SND','ORTIZ VEGA EDGAR ALEJANDRO','INGENIERIA AEROESPACIAL','8vo','MASCULINO','ACTIVO','',0,0,'','ALUMNO');</v>
      </c>
      <c r="M319" s="16" t="str">
        <f>CONCATENATE("update participantes set correo=",C319," where id=",A319,";")</f>
        <v>update participantes set correo='edgaralejandro.ortizvega' where id=1318;</v>
      </c>
    </row>
    <row r="320" spans="1:13" ht="116" x14ac:dyDescent="0.35">
      <c r="A320" s="16">
        <v>1319</v>
      </c>
      <c r="B320" s="18" t="s">
        <v>1754</v>
      </c>
      <c r="C320" s="16" t="str">
        <f>CONCATENATE("'",Alumnos!E358,"'")</f>
        <v>'juanpablo.trejoyanez'</v>
      </c>
      <c r="D320" s="16" t="str">
        <f>CONCATENATE(Alumnos!F358,"'")</f>
        <v>'110506'</v>
      </c>
      <c r="E320" s="16" t="s">
        <v>1755</v>
      </c>
      <c r="F320" s="16" t="str">
        <f>CONCATENATE("'",Alumnos!H358,"'")</f>
        <v>'TREJO YAÑEZ JUAN PABLO'</v>
      </c>
      <c r="G320" s="16" t="str">
        <f>CONCATENATE("'",Alumnos!I358,"'")</f>
        <v>'INGENIERIA AEROESPACIAL'</v>
      </c>
      <c r="H320" s="16" t="str">
        <f>CONCATENATE("'",Alumnos!J358,"'")</f>
        <v>'8vo'</v>
      </c>
      <c r="I320" s="16" t="str">
        <f>UPPER(CONCATENATE("'",Alumnos!K358,"'"))</f>
        <v>'MASCULINO'</v>
      </c>
      <c r="J320" s="16" t="str">
        <f>UPPER(CONCATENATE("'",Alumnos!L358,"'"))</f>
        <v>'ACTIVO'</v>
      </c>
      <c r="K320" s="16" t="str">
        <f>CONCATENATE(A320,",",B320,",",C320,",",D320,",'",E320,",",F320,",",G320,",",H320,",",UPPER(I320),",",UPPER(J320),",'',0,0,'','ALUMNO'")</f>
        <v>1319,'LICENCIATURA','juanpablo.trejoyanez','110506','TOMAR DEL SND','TREJO YAÑEZ JUAN PABLO','INGENIERIA AEROESPACIAL','8vo','MASCULINO','ACTIVO','',0,0,'','ALUMNO'</v>
      </c>
      <c r="L320" s="16" t="str">
        <f>CONCATENATE($K$1,K320,");")</f>
        <v>INSERT INTO participantes (id,nivel,correo,matricula,clave,nombre,carrera,grado,sexo,situacion,evaluados,num_evaluados,total_evaluaciones,ultimo_acceso,nivel_acceso) VALUES (1319,'LICENCIATURA','juanpablo.trejoyanez','110506','TOMAR DEL SND','TREJO YAÑEZ JUAN PABLO','INGENIERIA AEROESPACIAL','8vo','MASCULINO','ACTIVO','',0,0,'','ALUMNO');</v>
      </c>
      <c r="M320" s="16" t="str">
        <f>CONCATENATE("update participantes set correo=",C320," where id=",A320,";")</f>
        <v>update participantes set correo='juanpablo.trejoyanez' where id=1319;</v>
      </c>
    </row>
    <row r="321" spans="1:13" ht="116" x14ac:dyDescent="0.35">
      <c r="A321" s="16">
        <v>1320</v>
      </c>
      <c r="B321" s="18" t="s">
        <v>1754</v>
      </c>
      <c r="C321" s="16" t="str">
        <f>CONCATENATE("'",Alumnos!E173,"'")</f>
        <v>'david.wilsontorres'</v>
      </c>
      <c r="D321" s="16" t="str">
        <f>CONCATENATE(Alumnos!F173,"'")</f>
        <v>'110508'</v>
      </c>
      <c r="E321" s="16" t="s">
        <v>1755</v>
      </c>
      <c r="F321" s="16" t="str">
        <f>CONCATENATE("'",Alumnos!H173,"'")</f>
        <v>'WILSON TORRES DAVID'</v>
      </c>
      <c r="G321" s="16" t="str">
        <f>CONCATENATE("'",Alumnos!I173,"'")</f>
        <v>'INGENIERIA AEROESPACIAL'</v>
      </c>
      <c r="H321" s="16" t="str">
        <f>CONCATENATE("'",Alumnos!J173,"'")</f>
        <v>'8vo'</v>
      </c>
      <c r="I321" s="16" t="str">
        <f>UPPER(CONCATENATE("'",Alumnos!K173,"'"))</f>
        <v>'MASCULINO'</v>
      </c>
      <c r="J321" s="16" t="str">
        <f>UPPER(CONCATENATE("'",Alumnos!L173,"'"))</f>
        <v>'ACTIVO'</v>
      </c>
      <c r="K321" s="16" t="str">
        <f>CONCATENATE(A321,",",B321,",",C321,",",D321,",'",E321,",",F321,",",G321,",",H321,",",UPPER(I321),",",UPPER(J321),",'',0,0,'','ALUMNO'")</f>
        <v>1320,'LICENCIATURA','david.wilsontorres','110508','TOMAR DEL SND','WILSON TORRES DAVID','INGENIERIA AEROESPACIAL','8vo','MASCULINO','ACTIVO','',0,0,'','ALUMNO'</v>
      </c>
      <c r="L321" s="16" t="str">
        <f>CONCATENATE($K$1,K321,");")</f>
        <v>INSERT INTO participantes (id,nivel,correo,matricula,clave,nombre,carrera,grado,sexo,situacion,evaluados,num_evaluados,total_evaluaciones,ultimo_acceso,nivel_acceso) VALUES (1320,'LICENCIATURA','david.wilsontorres','110508','TOMAR DEL SND','WILSON TORRES DAVID','INGENIERIA AEROESPACIAL','8vo','MASCULINO','ACTIVO','',0,0,'','ALUMNO');</v>
      </c>
      <c r="M321" s="16" t="str">
        <f>CONCATENATE("update participantes set correo=",C321," where id=",A321,";")</f>
        <v>update participantes set correo='david.wilsontorres' where id=1320;</v>
      </c>
    </row>
    <row r="322" spans="1:13" ht="116" x14ac:dyDescent="0.35">
      <c r="A322" s="16">
        <v>1321</v>
      </c>
      <c r="B322" s="18" t="s">
        <v>1754</v>
      </c>
      <c r="C322" s="16" t="str">
        <f>CONCATENATE("'",Alumnos!E183,"'")</f>
        <v>'diego.chavezcontreras'</v>
      </c>
      <c r="D322" s="16" t="str">
        <f>CONCATENATE(Alumnos!F183,"'")</f>
        <v>'110510'</v>
      </c>
      <c r="E322" s="16" t="s">
        <v>1755</v>
      </c>
      <c r="F322" s="16" t="str">
        <f>CONCATENATE("'",Alumnos!H183,"'")</f>
        <v>'CHAVEZ CONTRERAS DIEGO'</v>
      </c>
      <c r="G322" s="16" t="str">
        <f>CONCATENATE("'",Alumnos!I183,"'")</f>
        <v>'INGENIERIA AEROESPACIAL'</v>
      </c>
      <c r="H322" s="16" t="str">
        <f>CONCATENATE("'",Alumnos!J183,"'")</f>
        <v>'8vo'</v>
      </c>
      <c r="I322" s="16" t="str">
        <f>UPPER(CONCATENATE("'",Alumnos!K183,"'"))</f>
        <v>'MASCULINO'</v>
      </c>
      <c r="J322" s="16" t="str">
        <f>UPPER(CONCATENATE("'",Alumnos!L183,"'"))</f>
        <v>'ACTIVO'</v>
      </c>
      <c r="K322" s="16" t="str">
        <f>CONCATENATE(A322,",",B322,",",C322,",",D322,",'",E322,",",F322,",",G322,",",H322,",",UPPER(I322),",",UPPER(J322),",'',0,0,'','ALUMNO'")</f>
        <v>1321,'LICENCIATURA','diego.chavezcontreras','110510','TOMAR DEL SND','CHAVEZ CONTRERAS DIEGO','INGENIERIA AEROESPACIAL','8vo','MASCULINO','ACTIVO','',0,0,'','ALUMNO'</v>
      </c>
      <c r="L322" s="16" t="str">
        <f>CONCATENATE($K$1,K322,");")</f>
        <v>INSERT INTO participantes (id,nivel,correo,matricula,clave,nombre,carrera,grado,sexo,situacion,evaluados,num_evaluados,total_evaluaciones,ultimo_acceso,nivel_acceso) VALUES (1321,'LICENCIATURA','diego.chavezcontreras','110510','TOMAR DEL SND','CHAVEZ CONTRERAS DIEGO','INGENIERIA AEROESPACIAL','8vo','MASCULINO','ACTIVO','',0,0,'','ALUMNO');</v>
      </c>
      <c r="M322" s="16" t="str">
        <f>CONCATENATE("update participantes set correo=",C322," where id=",A322,";")</f>
        <v>update participantes set correo='diego.chavezcontreras' where id=1321;</v>
      </c>
    </row>
    <row r="323" spans="1:13" ht="130.5" x14ac:dyDescent="0.35">
      <c r="A323" s="16">
        <v>1322</v>
      </c>
      <c r="B323" s="18" t="s">
        <v>1754</v>
      </c>
      <c r="C323" s="16" t="str">
        <f>CONCATENATE("'",Alumnos!E6,"'")</f>
        <v>'adibkaleb.gonzaleztoscano'</v>
      </c>
      <c r="D323" s="16" t="str">
        <f>CONCATENATE(Alumnos!F6,"'")</f>
        <v>'110517'</v>
      </c>
      <c r="E323" s="16" t="s">
        <v>1755</v>
      </c>
      <c r="F323" s="16" t="str">
        <f>CONCATENATE("'",Alumnos!H6,"'")</f>
        <v>'GONZALEZ TOSCANO ADIB KALEB'</v>
      </c>
      <c r="G323" s="16" t="str">
        <f>CONCATENATE("'",Alumnos!I6,"'")</f>
        <v>'INGENIERIA AEROESPACIAL'</v>
      </c>
      <c r="H323" s="16" t="str">
        <f>CONCATENATE("'",Alumnos!J6,"'")</f>
        <v>'8vo'</v>
      </c>
      <c r="I323" s="16" t="str">
        <f>UPPER(CONCATENATE("'",Alumnos!K6,"'"))</f>
        <v>'MASCULINO'</v>
      </c>
      <c r="J323" s="16" t="str">
        <f>UPPER(CONCATENATE("'",Alumnos!L6,"'"))</f>
        <v>'ACTIVO'</v>
      </c>
      <c r="K323" s="16" t="str">
        <f>CONCATENATE(A323,",",B323,",",C323,",",D323,",'",E323,",",F323,",",G323,",",H323,",",UPPER(I323),",",UPPER(J323),",'',0,0,'','ALUMNO'")</f>
        <v>1322,'LICENCIATURA','adibkaleb.gonzaleztoscano','110517','TOMAR DEL SND','GONZALEZ TOSCANO ADIB KALEB','INGENIERIA AEROESPACIAL','8vo','MASCULINO','ACTIVO','',0,0,'','ALUMNO'</v>
      </c>
      <c r="L323" s="16" t="str">
        <f>CONCATENATE($K$1,K323,");")</f>
        <v>INSERT INTO participantes (id,nivel,correo,matricula,clave,nombre,carrera,grado,sexo,situacion,evaluados,num_evaluados,total_evaluaciones,ultimo_acceso,nivel_acceso) VALUES (1322,'LICENCIATURA','adibkaleb.gonzaleztoscano','110517','TOMAR DEL SND','GONZALEZ TOSCANO ADIB KALEB','INGENIERIA AEROESPACIAL','8vo','MASCULINO','ACTIVO','',0,0,'','ALUMNO');</v>
      </c>
      <c r="M323" s="16" t="str">
        <f>CONCATENATE("update participantes set correo=",C323," where id=",A323,";")</f>
        <v>update participantes set correo='adibkaleb.gonzaleztoscano' where id=1322;</v>
      </c>
    </row>
    <row r="324" spans="1:13" ht="116" x14ac:dyDescent="0.35">
      <c r="A324" s="16">
        <v>1323</v>
      </c>
      <c r="B324" s="18" t="s">
        <v>1754</v>
      </c>
      <c r="C324" s="16" t="str">
        <f>CONCATENATE("'",Alumnos!E186,"'")</f>
        <v>'diego.gonzaleztelles'</v>
      </c>
      <c r="D324" s="16" t="str">
        <f>CONCATENATE(Alumnos!F186,"'")</f>
        <v>'110518'</v>
      </c>
      <c r="E324" s="16" t="s">
        <v>1755</v>
      </c>
      <c r="F324" s="16" t="str">
        <f>CONCATENATE("'",Alumnos!H186,"'")</f>
        <v>'GONZALEZ TELLES DIEGO'</v>
      </c>
      <c r="G324" s="16" t="str">
        <f>CONCATENATE("'",Alumnos!I186,"'")</f>
        <v>'DERECHO'</v>
      </c>
      <c r="H324" s="16" t="str">
        <f>CONCATENATE("'",Alumnos!J186,"'")</f>
        <v>'8vo'</v>
      </c>
      <c r="I324" s="16" t="str">
        <f>UPPER(CONCATENATE("'",Alumnos!K186,"'"))</f>
        <v>'MASCULINO'</v>
      </c>
      <c r="J324" s="16" t="str">
        <f>UPPER(CONCATENATE("'",Alumnos!L186,"'"))</f>
        <v>'ACTIVO'</v>
      </c>
      <c r="K324" s="16" t="str">
        <f>CONCATENATE(A324,",",B324,",",C324,",",D324,",'",E324,",",F324,",",G324,",",H324,",",UPPER(I324),",",UPPER(J324),",'',0,0,'','ALUMNO'")</f>
        <v>1323,'LICENCIATURA','diego.gonzaleztelles','110518','TOMAR DEL SND','GONZALEZ TELLES DIEGO','DERECHO','8vo','MASCULINO','ACTIVO','',0,0,'','ALUMNO'</v>
      </c>
      <c r="L324" s="16" t="str">
        <f>CONCATENATE($K$1,K324,");")</f>
        <v>INSERT INTO participantes (id,nivel,correo,matricula,clave,nombre,carrera,grado,sexo,situacion,evaluados,num_evaluados,total_evaluaciones,ultimo_acceso,nivel_acceso) VALUES (1323,'LICENCIATURA','diego.gonzaleztelles','110518','TOMAR DEL SND','GONZALEZ TELLES DIEGO','DERECHO','8vo','MASCULINO','ACTIVO','',0,0,'','ALUMNO');</v>
      </c>
      <c r="M324" s="16" t="str">
        <f>CONCATENATE("update participantes set correo=",C324," where id=",A324,";")</f>
        <v>update participantes set correo='diego.gonzaleztelles' where id=1323;</v>
      </c>
    </row>
    <row r="325" spans="1:13" ht="130.5" x14ac:dyDescent="0.35">
      <c r="A325" s="16">
        <v>1324</v>
      </c>
      <c r="B325" s="18" t="s">
        <v>1754</v>
      </c>
      <c r="C325" s="16" t="str">
        <f>CONCATENATE("'",Alumnos!E269,"'")</f>
        <v>'hectorbernardo.iniguezpulido'</v>
      </c>
      <c r="D325" s="16" t="str">
        <f>CONCATENATE(Alumnos!F269,"'")</f>
        <v>'110520'</v>
      </c>
      <c r="E325" s="16" t="s">
        <v>1755</v>
      </c>
      <c r="F325" s="16" t="str">
        <f>CONCATENATE("'",Alumnos!H269,"'")</f>
        <v>'IÑIGUEZ PULIDO HECTOR BERNARDO'</v>
      </c>
      <c r="G325" s="16" t="str">
        <f>CONCATENATE("'",Alumnos!I269,"'")</f>
        <v>'INGENIERIA AEROESPACIAL'</v>
      </c>
      <c r="H325" s="16" t="str">
        <f>CONCATENATE("'",Alumnos!J269,"'")</f>
        <v>'8vo'</v>
      </c>
      <c r="I325" s="16" t="str">
        <f>UPPER(CONCATENATE("'",Alumnos!K269,"'"))</f>
        <v>'MASCULINO'</v>
      </c>
      <c r="J325" s="16" t="str">
        <f>UPPER(CONCATENATE("'",Alumnos!L269,"'"))</f>
        <v>'ACTIVO'</v>
      </c>
      <c r="K325" s="16" t="str">
        <f>CONCATENATE(A325,",",B325,",",C325,",",D325,",'",E325,",",F325,",",G325,",",H325,",",UPPER(I325),",",UPPER(J325),",'',0,0,'','ALUMNO'")</f>
        <v>1324,'LICENCIATURA','hectorbernardo.iniguezpulido','110520','TOMAR DEL SND','IÑIGUEZ PULIDO HECTOR BERNARDO','INGENIERIA AEROESPACIAL','8vo','MASCULINO','ACTIVO','',0,0,'','ALUMNO'</v>
      </c>
      <c r="L325" s="16" t="str">
        <f>CONCATENATE($K$1,K325,");")</f>
        <v>INSERT INTO participantes (id,nivel,correo,matricula,clave,nombre,carrera,grado,sexo,situacion,evaluados,num_evaluados,total_evaluaciones,ultimo_acceso,nivel_acceso) VALUES (1324,'LICENCIATURA','hectorbernardo.iniguezpulido','110520','TOMAR DEL SND','IÑIGUEZ PULIDO HECTOR BERNARDO','INGENIERIA AEROESPACIAL','8vo','MASCULINO','ACTIVO','',0,0,'','ALUMNO');</v>
      </c>
      <c r="M325" s="16" t="str">
        <f>CONCATENATE("update participantes set correo=",C325," where id=",A325,";")</f>
        <v>update participantes set correo='hectorbernardo.iniguezpulido' where id=1324;</v>
      </c>
    </row>
    <row r="326" spans="1:13" ht="130.5" x14ac:dyDescent="0.35">
      <c r="A326" s="16">
        <v>1325</v>
      </c>
      <c r="B326" s="18" t="s">
        <v>1754</v>
      </c>
      <c r="C326" s="16" t="str">
        <f>CONCATENATE("'",Alumnos!E168,"'")</f>
        <v>'danteyael.valladareslopez'</v>
      </c>
      <c r="D326" s="16" t="str">
        <f>CONCATENATE(Alumnos!F168,"'")</f>
        <v>'110523'</v>
      </c>
      <c r="E326" s="16" t="s">
        <v>1755</v>
      </c>
      <c r="F326" s="16" t="str">
        <f>CONCATENATE("'",Alumnos!H168,"'")</f>
        <v>'VALLADARES LOPEZ DANTE YAEL'</v>
      </c>
      <c r="G326" s="16" t="str">
        <f>CONCATENATE("'",Alumnos!I168,"'")</f>
        <v>'NUTRICION Y GASTRONOMIA'</v>
      </c>
      <c r="H326" s="16" t="str">
        <f>CONCATENATE("'",Alumnos!J168,"'")</f>
        <v>'8vo'</v>
      </c>
      <c r="I326" s="16" t="str">
        <f>UPPER(CONCATENATE("'",Alumnos!K168,"'"))</f>
        <v>'MASCULINO'</v>
      </c>
      <c r="J326" s="16" t="str">
        <f>UPPER(CONCATENATE("'",Alumnos!L168,"'"))</f>
        <v>'ACTIVO'</v>
      </c>
      <c r="K326" s="16" t="str">
        <f>CONCATENATE(A326,",",B326,",",C326,",",D326,",'",E326,",",F326,",",G326,",",H326,",",UPPER(I326),",",UPPER(J326),",'',0,0,'','ALUMNO'")</f>
        <v>1325,'LICENCIATURA','danteyael.valladareslopez','110523','TOMAR DEL SND','VALLADARES LOPEZ DANTE YAEL','NUTRICION Y GASTRONOMIA','8vo','MASCULINO','ACTIVO','',0,0,'','ALUMNO'</v>
      </c>
      <c r="L326" s="16" t="str">
        <f>CONCATENATE($K$1,K326,");")</f>
        <v>INSERT INTO participantes (id,nivel,correo,matricula,clave,nombre,carrera,grado,sexo,situacion,evaluados,num_evaluados,total_evaluaciones,ultimo_acceso,nivel_acceso) VALUES (1325,'LICENCIATURA','danteyael.valladareslopez','110523','TOMAR DEL SND','VALLADARES LOPEZ DANTE YAEL','NUTRICION Y GASTRONOMIA','8vo','MASCULINO','ACTIVO','',0,0,'','ALUMNO');</v>
      </c>
      <c r="M326" s="16" t="str">
        <f>CONCATENATE("update participantes set correo=",C326," where id=",A326,";")</f>
        <v>update participantes set correo='danteyael.valladareslopez' where id=1325;</v>
      </c>
    </row>
    <row r="327" spans="1:13" ht="116" x14ac:dyDescent="0.35">
      <c r="A327" s="16">
        <v>1326</v>
      </c>
      <c r="B327" s="18" t="s">
        <v>1754</v>
      </c>
      <c r="C327" s="16" t="str">
        <f>CONCATENATE("'",Alumnos!E404,"'")</f>
        <v>'lilian.valenciabarajas'</v>
      </c>
      <c r="D327" s="16" t="str">
        <f>CONCATENATE(Alumnos!F404,"'")</f>
        <v>'110524'</v>
      </c>
      <c r="E327" s="16" t="s">
        <v>1755</v>
      </c>
      <c r="F327" s="16" t="str">
        <f>CONCATENATE("'",Alumnos!H404,"'")</f>
        <v>'VALENCIA BARAJAS LILIAN'</v>
      </c>
      <c r="G327" s="16" t="str">
        <f>CONCATENATE("'",Alumnos!I404,"'")</f>
        <v>'INGENIERIA AEROESPACIAL'</v>
      </c>
      <c r="H327" s="16" t="str">
        <f>CONCATENATE("'",Alumnos!J404,"'")</f>
        <v>'8vo'</v>
      </c>
      <c r="I327" s="16" t="str">
        <f>UPPER(CONCATENATE("'",Alumnos!K404,"'"))</f>
        <v>'FEMENINO'</v>
      </c>
      <c r="J327" s="16" t="str">
        <f>UPPER(CONCATENATE("'",Alumnos!L404,"'"))</f>
        <v>'ACTIVO'</v>
      </c>
      <c r="K327" s="16" t="str">
        <f>CONCATENATE(A327,",",B327,",",C327,",",D327,",'",E327,",",F327,",",G327,",",H327,",",UPPER(I327),",",UPPER(J327),",'',0,0,'','ALUMNO'")</f>
        <v>1326,'LICENCIATURA','lilian.valenciabarajas','110524','TOMAR DEL SND','VALENCIA BARAJAS LILIAN','INGENIERIA AEROESPACIAL','8vo','FEMENINO','ACTIVO','',0,0,'','ALUMNO'</v>
      </c>
      <c r="L327" s="16" t="str">
        <f>CONCATENATE($K$1,K327,");")</f>
        <v>INSERT INTO participantes (id,nivel,correo,matricula,clave,nombre,carrera,grado,sexo,situacion,evaluados,num_evaluados,total_evaluaciones,ultimo_acceso,nivel_acceso) VALUES (1326,'LICENCIATURA','lilian.valenciabarajas','110524','TOMAR DEL SND','VALENCIA BARAJAS LILIAN','INGENIERIA AEROESPACIAL','8vo','FEMENINO','ACTIVO','',0,0,'','ALUMNO');</v>
      </c>
      <c r="M327" s="16" t="str">
        <f>CONCATENATE("update participantes set correo=",C327," where id=",A327,";")</f>
        <v>update participantes set correo='lilian.valenciabarajas' where id=1326;</v>
      </c>
    </row>
    <row r="328" spans="1:13" ht="116" x14ac:dyDescent="0.35">
      <c r="A328" s="16">
        <v>1327</v>
      </c>
      <c r="B328" s="18" t="s">
        <v>1754</v>
      </c>
      <c r="C328" s="16" t="str">
        <f>CONCATENATE("'",Alumnos!E33,"'")</f>
        <v>'alexavianey.trujillonapoles'</v>
      </c>
      <c r="D328" s="16" t="str">
        <f>CONCATENATE(Alumnos!F33,"'")</f>
        <v>'110525'</v>
      </c>
      <c r="E328" s="16" t="s">
        <v>1755</v>
      </c>
      <c r="F328" s="16" t="str">
        <f>CONCATENATE("'",Alumnos!H33,"'")</f>
        <v>'TRUJILLO NAPOLES ALEXA VIANEY'</v>
      </c>
      <c r="G328" s="16" t="str">
        <f>CONCATENATE("'",Alumnos!I33,"'")</f>
        <v>'PSICOLOGIA'</v>
      </c>
      <c r="H328" s="16" t="str">
        <f>CONCATENATE("'",Alumnos!J33,"'")</f>
        <v>'8vo'</v>
      </c>
      <c r="I328" s="16" t="str">
        <f>UPPER(CONCATENATE("'",Alumnos!K33,"'"))</f>
        <v>'FEMENINO'</v>
      </c>
      <c r="J328" s="16" t="str">
        <f>UPPER(CONCATENATE("'",Alumnos!L33,"'"))</f>
        <v>'ACTIVO'</v>
      </c>
      <c r="K328" s="16" t="str">
        <f>CONCATENATE(A328,",",B328,",",C328,",",D328,",'",E328,",",F328,",",G328,",",H328,",",UPPER(I328),",",UPPER(J328),",'',0,0,'','ALUMNO'")</f>
        <v>1327,'LICENCIATURA','alexavianey.trujillonapoles','110525','TOMAR DEL SND','TRUJILLO NAPOLES ALEXA VIANEY','PSICOLOGIA','8vo','FEMENINO','ACTIVO','',0,0,'','ALUMNO'</v>
      </c>
      <c r="L328" s="16" t="str">
        <f>CONCATENATE($K$1,K328,");")</f>
        <v>INSERT INTO participantes (id,nivel,correo,matricula,clave,nombre,carrera,grado,sexo,situacion,evaluados,num_evaluados,total_evaluaciones,ultimo_acceso,nivel_acceso) VALUES (1327,'LICENCIATURA','alexavianey.trujillonapoles','110525','TOMAR DEL SND','TRUJILLO NAPOLES ALEXA VIANEY','PSICOLOGIA','8vo','FEMENINO','ACTIVO','',0,0,'','ALUMNO');</v>
      </c>
      <c r="M328" s="16" t="str">
        <f>CONCATENATE("update participantes set correo=",C328," where id=",A328,";")</f>
        <v>update participantes set correo='alexavianey.trujillonapoles' where id=1327;</v>
      </c>
    </row>
    <row r="329" spans="1:13" ht="130.5" x14ac:dyDescent="0.35">
      <c r="A329" s="16">
        <v>1328</v>
      </c>
      <c r="B329" s="18" t="s">
        <v>1754</v>
      </c>
      <c r="C329" s="16" t="str">
        <f>CONCATENATE("'",Alumnos!E551,"'")</f>
        <v>'rodrigo.martinezcastellanos'</v>
      </c>
      <c r="D329" s="16" t="str">
        <f>CONCATENATE(Alumnos!F551,"'")</f>
        <v>'110526'</v>
      </c>
      <c r="E329" s="16" t="s">
        <v>1755</v>
      </c>
      <c r="F329" s="16" t="str">
        <f>CONCATENATE("'",Alumnos!H551,"'")</f>
        <v>'MARTINEZ CASTELLANOS RODRIGO'</v>
      </c>
      <c r="G329" s="16" t="str">
        <f>CONCATENATE("'",Alumnos!I551,"'")</f>
        <v>'ANIMACION DIGITAL Y VIDEOJUEGOS'</v>
      </c>
      <c r="H329" s="16" t="str">
        <f>CONCATENATE("'",Alumnos!J551,"'")</f>
        <v>'8vo'</v>
      </c>
      <c r="I329" s="16" t="str">
        <f>UPPER(CONCATENATE("'",Alumnos!K551,"'"))</f>
        <v>'MASCULINO'</v>
      </c>
      <c r="J329" s="16" t="str">
        <f>UPPER(CONCATENATE("'",Alumnos!L551,"'"))</f>
        <v>'ACTIVO'</v>
      </c>
      <c r="K329" s="16" t="str">
        <f>CONCATENATE(A329,",",B329,",",C329,",",D329,",'",E329,",",F329,",",G329,",",H329,",",UPPER(I329),",",UPPER(J329),",'',0,0,'','ALUMNO'")</f>
        <v>1328,'LICENCIATURA','rodrigo.martinezcastellanos','110526','TOMAR DEL SND','MARTINEZ CASTELLANOS RODRIGO','ANIMACION DIGITAL Y VIDEOJUEGOS','8vo','MASCULINO','ACTIVO','',0,0,'','ALUMNO'</v>
      </c>
      <c r="L329" s="16" t="str">
        <f>CONCATENATE($K$1,K329,");")</f>
        <v>INSERT INTO participantes (id,nivel,correo,matricula,clave,nombre,carrera,grado,sexo,situacion,evaluados,num_evaluados,total_evaluaciones,ultimo_acceso,nivel_acceso) VALUES (1328,'LICENCIATURA','rodrigo.martinezcastellanos','110526','TOMAR DEL SND','MARTINEZ CASTELLANOS RODRIGO','ANIMACION DIGITAL Y VIDEOJUEGOS','8vo','MASCULINO','ACTIVO','',0,0,'','ALUMNO');</v>
      </c>
      <c r="M329" s="16" t="str">
        <f>CONCATENATE("update participantes set correo=",C329," where id=",A329,";")</f>
        <v>update participantes set correo='rodrigo.martinezcastellanos' where id=1328;</v>
      </c>
    </row>
    <row r="330" spans="1:13" ht="130.5" x14ac:dyDescent="0.35">
      <c r="A330" s="16">
        <v>1329</v>
      </c>
      <c r="B330" s="18" t="s">
        <v>1754</v>
      </c>
      <c r="C330" s="16" t="str">
        <f>CONCATENATE("'",Alumnos!E553,"'")</f>
        <v>'rodrigo.medranoorta'</v>
      </c>
      <c r="D330" s="16" t="str">
        <f>CONCATENATE(Alumnos!F553,"'")</f>
        <v>'110527'</v>
      </c>
      <c r="E330" s="16" t="s">
        <v>1755</v>
      </c>
      <c r="F330" s="16" t="str">
        <f>CONCATENATE("'",Alumnos!H553,"'")</f>
        <v>'MEDRANO ORTA RODRIGO'</v>
      </c>
      <c r="G330" s="16" t="str">
        <f>CONCATENATE("'",Alumnos!I553,"'")</f>
        <v>'INGENIERIA CIBERNETICA Y EN SISTEMAS COMPUTACIONALES'</v>
      </c>
      <c r="H330" s="16" t="str">
        <f>CONCATENATE("'",Alumnos!J553,"'")</f>
        <v>'8vo'</v>
      </c>
      <c r="I330" s="16" t="str">
        <f>UPPER(CONCATENATE("'",Alumnos!K553,"'"))</f>
        <v>'MASCULINO'</v>
      </c>
      <c r="J330" s="16" t="str">
        <f>UPPER(CONCATENATE("'",Alumnos!L553,"'"))</f>
        <v>'ACTIVO'</v>
      </c>
      <c r="K330" s="16" t="str">
        <f>CONCATENATE(A330,",",B330,",",C330,",",D330,",'",E330,",",F330,",",G330,",",H330,",",UPPER(I330),",",UPPER(J330),",'',0,0,'','ALUMNO'")</f>
        <v>1329,'LICENCIATURA','rodrigo.medranoorta','110527','TOMAR DEL SND','MEDRANO ORTA RODRIGO','INGENIERIA CIBERNETICA Y EN SISTEMAS COMPUTACIONALES','8vo','MASCULINO','ACTIVO','',0,0,'','ALUMNO'</v>
      </c>
      <c r="L330" s="16" t="str">
        <f>CONCATENATE($K$1,K330,");")</f>
        <v>INSERT INTO participantes (id,nivel,correo,matricula,clave,nombre,carrera,grado,sexo,situacion,evaluados,num_evaluados,total_evaluaciones,ultimo_acceso,nivel_acceso) VALUES (1329,'LICENCIATURA','rodrigo.medranoorta','110527','TOMAR DEL SND','MEDRANO ORTA RODRIGO','INGENIERIA CIBERNETICA Y EN SISTEMAS COMPUTACIONALES','8vo','MASCULINO','ACTIVO','',0,0,'','ALUMNO');</v>
      </c>
      <c r="M330" s="16" t="str">
        <f>CONCATENATE("update participantes set correo=",C330," where id=",A330,";")</f>
        <v>update participantes set correo='rodrigo.medranoorta' where id=1329;</v>
      </c>
    </row>
    <row r="331" spans="1:13" ht="130.5" x14ac:dyDescent="0.35">
      <c r="A331" s="16">
        <v>1330</v>
      </c>
      <c r="B331" s="18" t="s">
        <v>1754</v>
      </c>
      <c r="C331" s="16" t="str">
        <f>CONCATENATE("'",Alumnos!E528,"'")</f>
        <v>'paola.gutierrezrenteria'</v>
      </c>
      <c r="D331" s="16" t="str">
        <f>CONCATENATE(Alumnos!F528,"'")</f>
        <v>'110529'</v>
      </c>
      <c r="E331" s="16" t="s">
        <v>1755</v>
      </c>
      <c r="F331" s="16" t="str">
        <f>CONCATENATE("'",Alumnos!H528,"'")</f>
        <v>'GUTIERREZ RENTERIA PAOLA'</v>
      </c>
      <c r="G331" s="16" t="str">
        <f>CONCATENATE("'",Alumnos!I528,"'")</f>
        <v>'ANIMACION DIGITAL Y VIDEOJUEGOS'</v>
      </c>
      <c r="H331" s="16" t="str">
        <f>CONCATENATE("'",Alumnos!J528,"'")</f>
        <v>'8vo'</v>
      </c>
      <c r="I331" s="16" t="str">
        <f>UPPER(CONCATENATE("'",Alumnos!K528,"'"))</f>
        <v>'FEMENINO'</v>
      </c>
      <c r="J331" s="16" t="str">
        <f>UPPER(CONCATENATE("'",Alumnos!L528,"'"))</f>
        <v>'ACTIVO'</v>
      </c>
      <c r="K331" s="16" t="str">
        <f>CONCATENATE(A331,",",B331,",",C331,",",D331,",'",E331,",",F331,",",G331,",",H331,",",UPPER(I331),",",UPPER(J331),",'',0,0,'','ALUMNO'")</f>
        <v>1330,'LICENCIATURA','paola.gutierrezrenteria','110529','TOMAR DEL SND','GUTIERREZ RENTERIA PAOLA','ANIMACION DIGITAL Y VIDEOJUEGOS','8vo','FEMENINO','ACTIVO','',0,0,'','ALUMNO'</v>
      </c>
      <c r="L331" s="16" t="str">
        <f>CONCATENATE($K$1,K331,");")</f>
        <v>INSERT INTO participantes (id,nivel,correo,matricula,clave,nombre,carrera,grado,sexo,situacion,evaluados,num_evaluados,total_evaluaciones,ultimo_acceso,nivel_acceso) VALUES (1330,'LICENCIATURA','paola.gutierrezrenteria','110529','TOMAR DEL SND','GUTIERREZ RENTERIA PAOLA','ANIMACION DIGITAL Y VIDEOJUEGOS','8vo','FEMENINO','ACTIVO','',0,0,'','ALUMNO');</v>
      </c>
      <c r="M331" s="16" t="str">
        <f>CONCATENATE("update participantes set correo=",C331," where id=",A331,";")</f>
        <v>update participantes set correo='paola.gutierrezrenteria' where id=1330;</v>
      </c>
    </row>
    <row r="332" spans="1:13" ht="130.5" x14ac:dyDescent="0.35">
      <c r="A332" s="16">
        <v>1331</v>
      </c>
      <c r="B332" s="18" t="s">
        <v>1754</v>
      </c>
      <c r="C332" s="16" t="str">
        <f>CONCATENATE("'",Alumnos!E519,"'")</f>
        <v>'pablojared.orozcobrizuela'</v>
      </c>
      <c r="D332" s="16" t="str">
        <f>CONCATENATE(Alumnos!F519,"'")</f>
        <v>'110530'</v>
      </c>
      <c r="E332" s="16" t="s">
        <v>1755</v>
      </c>
      <c r="F332" s="16" t="str">
        <f>CONCATENATE("'",Alumnos!H519,"'")</f>
        <v>'OROZCO BRIZUELA PABLO JARED'</v>
      </c>
      <c r="G332" s="16" t="str">
        <f>CONCATENATE("'",Alumnos!I519,"'")</f>
        <v>'ANIMACION DIGITAL Y VIDEOJUEGOS'</v>
      </c>
      <c r="H332" s="16" t="str">
        <f>CONCATENATE("'",Alumnos!J519,"'")</f>
        <v>'8vo'</v>
      </c>
      <c r="I332" s="16" t="str">
        <f>UPPER(CONCATENATE("'",Alumnos!K519,"'"))</f>
        <v>'MASCULINO'</v>
      </c>
      <c r="J332" s="16" t="str">
        <f>UPPER(CONCATENATE("'",Alumnos!L519,"'"))</f>
        <v>'ACTIVO'</v>
      </c>
      <c r="K332" s="16" t="str">
        <f>CONCATENATE(A332,",",B332,",",C332,",",D332,",'",E332,",",F332,",",G332,",",H332,",",UPPER(I332),",",UPPER(J332),",'',0,0,'','ALUMNO'")</f>
        <v>1331,'LICENCIATURA','pablojared.orozcobrizuela','110530','TOMAR DEL SND','OROZCO BRIZUELA PABLO JARED','ANIMACION DIGITAL Y VIDEOJUEGOS','8vo','MASCULINO','ACTIVO','',0,0,'','ALUMNO'</v>
      </c>
      <c r="L332" s="16" t="str">
        <f>CONCATENATE($K$1,K332,");")</f>
        <v>INSERT INTO participantes (id,nivel,correo,matricula,clave,nombre,carrera,grado,sexo,situacion,evaluados,num_evaluados,total_evaluaciones,ultimo_acceso,nivel_acceso) VALUES (1331,'LICENCIATURA','pablojared.orozcobrizuela','110530','TOMAR DEL SND','OROZCO BRIZUELA PABLO JARED','ANIMACION DIGITAL Y VIDEOJUEGOS','8vo','MASCULINO','ACTIVO','',0,0,'','ALUMNO');</v>
      </c>
      <c r="M332" s="16" t="str">
        <f>CONCATENATE("update participantes set correo=",C332," where id=",A332,";")</f>
        <v>update participantes set correo='pablojared.orozcobrizuela' where id=1331;</v>
      </c>
    </row>
    <row r="333" spans="1:13" ht="130.5" x14ac:dyDescent="0.35">
      <c r="A333" s="16">
        <v>1332</v>
      </c>
      <c r="B333" s="18" t="s">
        <v>1754</v>
      </c>
      <c r="C333" s="16" t="str">
        <f>CONCATENATE("'",Alumnos!E105,"'")</f>
        <v>'bogargerardo.gallegosarciniega'</v>
      </c>
      <c r="D333" s="16" t="str">
        <f>CONCATENATE(Alumnos!F105,"'")</f>
        <v>'110531'</v>
      </c>
      <c r="E333" s="16" t="s">
        <v>1755</v>
      </c>
      <c r="F333" s="16" t="str">
        <f>CONCATENATE("'",Alumnos!H105,"'")</f>
        <v>'GALLEGOS ARCINIEGA BOGAR GERARDO'</v>
      </c>
      <c r="G333" s="16" t="str">
        <f>CONCATENATE("'",Alumnos!I105,"'")</f>
        <v>'INGENIERIA AEROESPACIAL'</v>
      </c>
      <c r="H333" s="16" t="str">
        <f>CONCATENATE("'",Alumnos!J105,"'")</f>
        <v>'8vo'</v>
      </c>
      <c r="I333" s="16" t="str">
        <f>UPPER(CONCATENATE("'",Alumnos!K105,"'"))</f>
        <v>'MASCULINO'</v>
      </c>
      <c r="J333" s="16" t="str">
        <f>UPPER(CONCATENATE("'",Alumnos!L105,"'"))</f>
        <v>'ACTIVO'</v>
      </c>
      <c r="K333" s="16" t="str">
        <f>CONCATENATE(A333,",",B333,",",C333,",",D333,",'",E333,",",F333,",",G333,",",H333,",",UPPER(I333),",",UPPER(J333),",'',0,0,'','ALUMNO'")</f>
        <v>1332,'LICENCIATURA','bogargerardo.gallegosarciniega','110531','TOMAR DEL SND','GALLEGOS ARCINIEGA BOGAR GERARDO','INGENIERIA AEROESPACIAL','8vo','MASCULINO','ACTIVO','',0,0,'','ALUMNO'</v>
      </c>
      <c r="L333" s="16" t="str">
        <f>CONCATENATE($K$1,K333,");")</f>
        <v>INSERT INTO participantes (id,nivel,correo,matricula,clave,nombre,carrera,grado,sexo,situacion,evaluados,num_evaluados,total_evaluaciones,ultimo_acceso,nivel_acceso) VALUES (1332,'LICENCIATURA','bogargerardo.gallegosarciniega','110531','TOMAR DEL SND','GALLEGOS ARCINIEGA BOGAR GERARDO','INGENIERIA AEROESPACIAL','8vo','MASCULINO','ACTIVO','',0,0,'','ALUMNO');</v>
      </c>
      <c r="M333" s="16" t="str">
        <f>CONCATENATE("update participantes set correo=",C333," where id=",A333,";")</f>
        <v>update participantes set correo='bogargerardo.gallegosarciniega' where id=1332;</v>
      </c>
    </row>
    <row r="334" spans="1:13" ht="130.5" x14ac:dyDescent="0.35">
      <c r="A334" s="16">
        <v>1333</v>
      </c>
      <c r="B334" s="18" t="s">
        <v>1754</v>
      </c>
      <c r="C334" s="16" t="str">
        <f>CONCATENATE("'",Alumnos!E453,"'")</f>
        <v>'marianne.olmedocasillas'</v>
      </c>
      <c r="D334" s="16" t="str">
        <f>CONCATENATE(Alumnos!F453,"'")</f>
        <v>'110532'</v>
      </c>
      <c r="E334" s="16" t="s">
        <v>1755</v>
      </c>
      <c r="F334" s="16" t="str">
        <f>CONCATENATE("'",Alumnos!H453,"'")</f>
        <v>'OLMEDO CASILLAS MARIANNE'</v>
      </c>
      <c r="G334" s="16" t="str">
        <f>CONCATENATE("'",Alumnos!I453,"'")</f>
        <v>'ANIMACION DIGITAL Y VIDEOJUEGOS'</v>
      </c>
      <c r="H334" s="16" t="str">
        <f>CONCATENATE("'",Alumnos!J453,"'")</f>
        <v>'8vo'</v>
      </c>
      <c r="I334" s="16" t="str">
        <f>UPPER(CONCATENATE("'",Alumnos!K453,"'"))</f>
        <v>'FEMENINO'</v>
      </c>
      <c r="J334" s="16" t="str">
        <f>UPPER(CONCATENATE("'",Alumnos!L453,"'"))</f>
        <v>'ACTIVO'</v>
      </c>
      <c r="K334" s="16" t="str">
        <f>CONCATENATE(A334,",",B334,",",C334,",",D334,",'",E334,",",F334,",",G334,",",H334,",",UPPER(I334),",",UPPER(J334),",'',0,0,'','ALUMNO'")</f>
        <v>1333,'LICENCIATURA','marianne.olmedocasillas','110532','TOMAR DEL SND','OLMEDO CASILLAS MARIANNE','ANIMACION DIGITAL Y VIDEOJUEGOS','8vo','FEMENINO','ACTIVO','',0,0,'','ALUMNO'</v>
      </c>
      <c r="L334" s="16" t="str">
        <f>CONCATENATE($K$1,K334,");")</f>
        <v>INSERT INTO participantes (id,nivel,correo,matricula,clave,nombre,carrera,grado,sexo,situacion,evaluados,num_evaluados,total_evaluaciones,ultimo_acceso,nivel_acceso) VALUES (1333,'LICENCIATURA','marianne.olmedocasillas','110532','TOMAR DEL SND','OLMEDO CASILLAS MARIANNE','ANIMACION DIGITAL Y VIDEOJUEGOS','8vo','FEMENINO','ACTIVO','',0,0,'','ALUMNO');</v>
      </c>
      <c r="M334" s="16" t="str">
        <f>CONCATENATE("update participantes set correo=",C334," where id=",A334,";")</f>
        <v>update participantes set correo='marianne.olmedocasillas' where id=1333;</v>
      </c>
    </row>
    <row r="335" spans="1:13" ht="116" x14ac:dyDescent="0.35">
      <c r="A335" s="16">
        <v>1334</v>
      </c>
      <c r="B335" s="18" t="s">
        <v>1754</v>
      </c>
      <c r="C335" s="16" t="str">
        <f>CONCATENATE("'",Alumnos!E304,"'")</f>
        <v>'jennifer.morenolepe'</v>
      </c>
      <c r="D335" s="16" t="str">
        <f>CONCATENATE(Alumnos!F304,"'")</f>
        <v>'110533'</v>
      </c>
      <c r="E335" s="16" t="s">
        <v>1755</v>
      </c>
      <c r="F335" s="16" t="str">
        <f>CONCATENATE("'",Alumnos!H304,"'")</f>
        <v>'MORENO LEPE JENNIFER'</v>
      </c>
      <c r="G335" s="16" t="str">
        <f>CONCATENATE("'",Alumnos!I304,"'")</f>
        <v>'ADMINISTRACION Y DIRECCION DE NEGOCIOS'</v>
      </c>
      <c r="H335" s="16" t="str">
        <f>CONCATENATE("'",Alumnos!J304,"'")</f>
        <v>'8vo'</v>
      </c>
      <c r="I335" s="16" t="str">
        <f>UPPER(CONCATENATE("'",Alumnos!K304,"'"))</f>
        <v>'FEMENINO'</v>
      </c>
      <c r="J335" s="16" t="str">
        <f>UPPER(CONCATENATE("'",Alumnos!L304,"'"))</f>
        <v>'ACTIVO'</v>
      </c>
      <c r="K335" s="16" t="str">
        <f>CONCATENATE(A335,",",B335,",",C335,",",D335,",'",E335,",",F335,",",G335,",",H335,",",UPPER(I335),",",UPPER(J335),",'',0,0,'','ALUMNO'")</f>
        <v>1334,'LICENCIATURA','jennifer.morenolepe','110533','TOMAR DEL SND','MORENO LEPE JENNIFER','ADMINISTRACION Y DIRECCION DE NEGOCIOS','8vo','FEMENINO','ACTIVO','',0,0,'','ALUMNO'</v>
      </c>
      <c r="L335" s="16" t="str">
        <f>CONCATENATE($K$1,K335,");")</f>
        <v>INSERT INTO participantes (id,nivel,correo,matricula,clave,nombre,carrera,grado,sexo,situacion,evaluados,num_evaluados,total_evaluaciones,ultimo_acceso,nivel_acceso) VALUES (1334,'LICENCIATURA','jennifer.morenolepe','110533','TOMAR DEL SND','MORENO LEPE JENNIFER','ADMINISTRACION Y DIRECCION DE NEGOCIOS','8vo','FEMENINO','ACTIVO','',0,0,'','ALUMNO');</v>
      </c>
      <c r="M335" s="16" t="str">
        <f>CONCATENATE("update participantes set correo=",C335," where id=",A335,";")</f>
        <v>update participantes set correo='jennifer.morenolepe' where id=1334;</v>
      </c>
    </row>
    <row r="336" spans="1:13" ht="130.5" x14ac:dyDescent="0.35">
      <c r="A336" s="16">
        <v>1335</v>
      </c>
      <c r="B336" s="18" t="s">
        <v>1754</v>
      </c>
      <c r="C336" s="16" t="str">
        <f>CONCATENATE("'",Alumnos!E315,"'")</f>
        <v>'jocelynmontserrat.fuentestalavera'</v>
      </c>
      <c r="D336" s="16" t="str">
        <f>CONCATENATE(Alumnos!F315,"'")</f>
        <v>'110534'</v>
      </c>
      <c r="E336" s="16" t="s">
        <v>1755</v>
      </c>
      <c r="F336" s="16" t="str">
        <f>CONCATENATE("'",Alumnos!H315,"'")</f>
        <v>'FUENTES TALAVERA JOCELYN MONTSERRAT'</v>
      </c>
      <c r="G336" s="16" t="str">
        <f>CONCATENATE("'",Alumnos!I315,"'")</f>
        <v>'ANIMACION DIGITAL Y VIDEOJUEGOS'</v>
      </c>
      <c r="H336" s="16" t="str">
        <f>CONCATENATE("'",Alumnos!J315,"'")</f>
        <v>'8vo'</v>
      </c>
      <c r="I336" s="16" t="str">
        <f>UPPER(CONCATENATE("'",Alumnos!K315,"'"))</f>
        <v>'FEMENINO'</v>
      </c>
      <c r="J336" s="16" t="str">
        <f>UPPER(CONCATENATE("'",Alumnos!L315,"'"))</f>
        <v>'ACTIVO'</v>
      </c>
      <c r="K336" s="16" t="str">
        <f>CONCATENATE(A336,",",B336,",",C336,",",D336,",'",E336,",",F336,",",G336,",",H336,",",UPPER(I336),",",UPPER(J336),",'',0,0,'','ALUMNO'")</f>
        <v>1335,'LICENCIATURA','jocelynmontserrat.fuentestalavera','110534','TOMAR DEL SND','FUENTES TALAVERA JOCELYN MONTSERRAT','ANIMACION DIGITAL Y VIDEOJUEGOS','8vo','FEMENINO','ACTIVO','',0,0,'','ALUMNO'</v>
      </c>
      <c r="L336" s="16" t="str">
        <f>CONCATENATE($K$1,K336,");")</f>
        <v>INSERT INTO participantes (id,nivel,correo,matricula,clave,nombre,carrera,grado,sexo,situacion,evaluados,num_evaluados,total_evaluaciones,ultimo_acceso,nivel_acceso) VALUES (1335,'LICENCIATURA','jocelynmontserrat.fuentestalavera','110534','TOMAR DEL SND','FUENTES TALAVERA JOCELYN MONTSERRAT','ANIMACION DIGITAL Y VIDEOJUEGOS','8vo','FEMENINO','ACTIVO','',0,0,'','ALUMNO');</v>
      </c>
      <c r="M336" s="16" t="str">
        <f>CONCATENATE("update participantes set correo=",C336," where id=",A336,";")</f>
        <v>update participantes set correo='jocelynmontserrat.fuentestalavera' where id=1335;</v>
      </c>
    </row>
    <row r="337" spans="1:13" ht="116" x14ac:dyDescent="0.35">
      <c r="A337" s="16">
        <v>1336</v>
      </c>
      <c r="B337" s="18" t="s">
        <v>1754</v>
      </c>
      <c r="C337" s="16" t="str">
        <f>CONCATENATE("'",Alumnos!E145,"'")</f>
        <v>'cristoteodoro.floreszavala'</v>
      </c>
      <c r="D337" s="16" t="str">
        <f>CONCATENATE(Alumnos!F145,"'")</f>
        <v>'110535'</v>
      </c>
      <c r="E337" s="16" t="s">
        <v>1755</v>
      </c>
      <c r="F337" s="16" t="str">
        <f>CONCATENATE("'",Alumnos!H145,"'")</f>
        <v>'FLORES ZAVALA CRISTO TEODORO'</v>
      </c>
      <c r="G337" s="16" t="str">
        <f>CONCATENATE("'",Alumnos!I145,"'")</f>
        <v>'ARQUITECTURA'</v>
      </c>
      <c r="H337" s="16" t="str">
        <f>CONCATENATE("'",Alumnos!J145,"'")</f>
        <v>'8vo'</v>
      </c>
      <c r="I337" s="16" t="str">
        <f>UPPER(CONCATENATE("'",Alumnos!K145,"'"))</f>
        <v>'MASCULINO'</v>
      </c>
      <c r="J337" s="16" t="str">
        <f>UPPER(CONCATENATE("'",Alumnos!L145,"'"))</f>
        <v>'ACTIVO'</v>
      </c>
      <c r="K337" s="16" t="str">
        <f>CONCATENATE(A337,",",B337,",",C337,",",D337,",'",E337,",",F337,",",G337,",",H337,",",UPPER(I337),",",UPPER(J337),",'',0,0,'','ALUMNO'")</f>
        <v>1336,'LICENCIATURA','cristoteodoro.floreszavala','110535','TOMAR DEL SND','FLORES ZAVALA CRISTO TEODORO','ARQUITECTURA','8vo','MASCULINO','ACTIVO','',0,0,'','ALUMNO'</v>
      </c>
      <c r="L337" s="16" t="str">
        <f>CONCATENATE($K$1,K337,");")</f>
        <v>INSERT INTO participantes (id,nivel,correo,matricula,clave,nombre,carrera,grado,sexo,situacion,evaluados,num_evaluados,total_evaluaciones,ultimo_acceso,nivel_acceso) VALUES (1336,'LICENCIATURA','cristoteodoro.floreszavala','110535','TOMAR DEL SND','FLORES ZAVALA CRISTO TEODORO','ARQUITECTURA','8vo','MASCULINO','ACTIVO','',0,0,'','ALUMNO');</v>
      </c>
      <c r="M337" s="16" t="str">
        <f>CONCATENATE("update participantes set correo=",C337," where id=",A337,";")</f>
        <v>update participantes set correo='cristoteodoro.floreszavala' where id=1336;</v>
      </c>
    </row>
    <row r="338" spans="1:13" ht="130.5" x14ac:dyDescent="0.35">
      <c r="A338" s="16">
        <v>1337</v>
      </c>
      <c r="B338" s="18" t="s">
        <v>1754</v>
      </c>
      <c r="C338" s="16" t="str">
        <f>CONCATENATE("'",Alumnos!E238,"'")</f>
        <v>'fernan.zepedalopez'</v>
      </c>
      <c r="D338" s="16" t="str">
        <f>CONCATENATE(Alumnos!F238,"'")</f>
        <v>'110536'</v>
      </c>
      <c r="E338" s="16" t="s">
        <v>1755</v>
      </c>
      <c r="F338" s="16" t="str">
        <f>CONCATENATE("'",Alumnos!H238,"'")</f>
        <v>'ZEPEDA LOPEZ FERNAN'</v>
      </c>
      <c r="G338" s="16" t="str">
        <f>CONCATENATE("'",Alumnos!I238,"'")</f>
        <v>'ANIMACION DIGITAL Y VIDEOJUEGOS'</v>
      </c>
      <c r="H338" s="16" t="str">
        <f>CONCATENATE("'",Alumnos!J238,"'")</f>
        <v>'8vo'</v>
      </c>
      <c r="I338" s="16" t="str">
        <f>UPPER(CONCATENATE("'",Alumnos!K238,"'"))</f>
        <v>'MASCULINO'</v>
      </c>
      <c r="J338" s="16" t="str">
        <f>UPPER(CONCATENATE("'",Alumnos!L238,"'"))</f>
        <v>'ACTIVO'</v>
      </c>
      <c r="K338" s="16" t="str">
        <f>CONCATENATE(A338,",",B338,",",C338,",",D338,",'",E338,",",F338,",",G338,",",H338,",",UPPER(I338),",",UPPER(J338),",'',0,0,'','ALUMNO'")</f>
        <v>1337,'LICENCIATURA','fernan.zepedalopez','110536','TOMAR DEL SND','ZEPEDA LOPEZ FERNAN','ANIMACION DIGITAL Y VIDEOJUEGOS','8vo','MASCULINO','ACTIVO','',0,0,'','ALUMNO'</v>
      </c>
      <c r="L338" s="16" t="str">
        <f>CONCATENATE($K$1,K338,");")</f>
        <v>INSERT INTO participantes (id,nivel,correo,matricula,clave,nombre,carrera,grado,sexo,situacion,evaluados,num_evaluados,total_evaluaciones,ultimo_acceso,nivel_acceso) VALUES (1337,'LICENCIATURA','fernan.zepedalopez','110536','TOMAR DEL SND','ZEPEDA LOPEZ FERNAN','ANIMACION DIGITAL Y VIDEOJUEGOS','8vo','MASCULINO','ACTIVO','',0,0,'','ALUMNO');</v>
      </c>
      <c r="M338" s="16" t="str">
        <f>CONCATENATE("update participantes set correo=",C338," where id=",A338,";")</f>
        <v>update participantes set correo='fernan.zepedalopez' where id=1337;</v>
      </c>
    </row>
    <row r="339" spans="1:13" ht="130.5" x14ac:dyDescent="0.35">
      <c r="A339" s="16">
        <v>1338</v>
      </c>
      <c r="B339" s="18" t="s">
        <v>1754</v>
      </c>
      <c r="C339" s="16" t="str">
        <f>CONCATENATE("'",Alumnos!E211,"'")</f>
        <v>'emiliano.gomezhernandez'</v>
      </c>
      <c r="D339" s="16" t="str">
        <f>CONCATENATE(Alumnos!F211,"'")</f>
        <v>'110543'</v>
      </c>
      <c r="E339" s="16" t="s">
        <v>1755</v>
      </c>
      <c r="F339" s="16" t="str">
        <f>CONCATENATE("'",Alumnos!H211,"'")</f>
        <v>'GOMEZ HERNANDEZ EMILIANO'</v>
      </c>
      <c r="G339" s="16" t="str">
        <f>CONCATENATE("'",Alumnos!I211,"'")</f>
        <v>'ANIMACION DIGITAL Y VIDEOJUEGOS'</v>
      </c>
      <c r="H339" s="16" t="str">
        <f>CONCATENATE("'",Alumnos!J211,"'")</f>
        <v>'8vo'</v>
      </c>
      <c r="I339" s="16" t="str">
        <f>UPPER(CONCATENATE("'",Alumnos!K211,"'"))</f>
        <v>'MASCULINO'</v>
      </c>
      <c r="J339" s="16" t="str">
        <f>UPPER(CONCATENATE("'",Alumnos!L211,"'"))</f>
        <v>'ACTIVO'</v>
      </c>
      <c r="K339" s="16" t="str">
        <f>CONCATENATE(A339,",",B339,",",C339,",",D339,",'",E339,",",F339,",",G339,",",H339,",",UPPER(I339),",",UPPER(J339),",'',0,0,'','ALUMNO'")</f>
        <v>1338,'LICENCIATURA','emiliano.gomezhernandez','110543','TOMAR DEL SND','GOMEZ HERNANDEZ EMILIANO','ANIMACION DIGITAL Y VIDEOJUEGOS','8vo','MASCULINO','ACTIVO','',0,0,'','ALUMNO'</v>
      </c>
      <c r="L339" s="16" t="str">
        <f>CONCATENATE($K$1,K339,");")</f>
        <v>INSERT INTO participantes (id,nivel,correo,matricula,clave,nombre,carrera,grado,sexo,situacion,evaluados,num_evaluados,total_evaluaciones,ultimo_acceso,nivel_acceso) VALUES (1338,'LICENCIATURA','emiliano.gomezhernandez','110543','TOMAR DEL SND','GOMEZ HERNANDEZ EMILIANO','ANIMACION DIGITAL Y VIDEOJUEGOS','8vo','MASCULINO','ACTIVO','',0,0,'','ALUMNO');</v>
      </c>
      <c r="M339" s="16" t="str">
        <f>CONCATENATE("update participantes set correo=",C339," where id=",A339,";")</f>
        <v>update participantes set correo='emiliano.gomezhernandez' where id=1338;</v>
      </c>
    </row>
    <row r="340" spans="1:13" ht="130.5" x14ac:dyDescent="0.35">
      <c r="A340" s="16">
        <v>1339</v>
      </c>
      <c r="B340" s="18" t="s">
        <v>1754</v>
      </c>
      <c r="C340" s="16" t="str">
        <f>CONCATENATE("'",Alumnos!E436,"'")</f>
        <v>'mariafernanda.alvarezochoa'</v>
      </c>
      <c r="D340" s="16" t="str">
        <f>CONCATENATE(Alumnos!F436,"'")</f>
        <v>'110544'</v>
      </c>
      <c r="E340" s="16" t="s">
        <v>1755</v>
      </c>
      <c r="F340" s="16" t="str">
        <f>CONCATENATE("'",Alumnos!H436,"'")</f>
        <v>'ALVAREZ OCHOA MARIA FERNANDA'</v>
      </c>
      <c r="G340" s="16" t="str">
        <f>CONCATENATE("'",Alumnos!I436,"'")</f>
        <v>'COMERCIO INTERNACIONAL'</v>
      </c>
      <c r="H340" s="16" t="str">
        <f>CONCATENATE("'",Alumnos!J436,"'")</f>
        <v>'8vo'</v>
      </c>
      <c r="I340" s="16" t="str">
        <f>UPPER(CONCATENATE("'",Alumnos!K436,"'"))</f>
        <v>'FEMENINO'</v>
      </c>
      <c r="J340" s="16" t="str">
        <f>UPPER(CONCATENATE("'",Alumnos!L436,"'"))</f>
        <v>'ACTIVO'</v>
      </c>
      <c r="K340" s="16" t="str">
        <f>CONCATENATE(A340,",",B340,",",C340,",",D340,",'",E340,",",F340,",",G340,",",H340,",",UPPER(I340),",",UPPER(J340),",'',0,0,'','ALUMNO'")</f>
        <v>1339,'LICENCIATURA','mariafernanda.alvarezochoa','110544','TOMAR DEL SND','ALVAREZ OCHOA MARIA FERNANDA','COMERCIO INTERNACIONAL','8vo','FEMENINO','ACTIVO','',0,0,'','ALUMNO'</v>
      </c>
      <c r="L340" s="16" t="str">
        <f>CONCATENATE($K$1,K340,");")</f>
        <v>INSERT INTO participantes (id,nivel,correo,matricula,clave,nombre,carrera,grado,sexo,situacion,evaluados,num_evaluados,total_evaluaciones,ultimo_acceso,nivel_acceso) VALUES (1339,'LICENCIATURA','mariafernanda.alvarezochoa','110544','TOMAR DEL SND','ALVAREZ OCHOA MARIA FERNANDA','COMERCIO INTERNACIONAL','8vo','FEMENINO','ACTIVO','',0,0,'','ALUMNO');</v>
      </c>
      <c r="M340" s="16" t="str">
        <f>CONCATENATE("update participantes set correo=",C340," where id=",A340,";")</f>
        <v>update participantes set correo='mariafernanda.alvarezochoa' where id=1339;</v>
      </c>
    </row>
    <row r="341" spans="1:13" ht="130.5" x14ac:dyDescent="0.35">
      <c r="A341" s="16">
        <v>1340</v>
      </c>
      <c r="B341" s="18" t="s">
        <v>1754</v>
      </c>
      <c r="C341" s="16" t="str">
        <f>CONCATENATE("'",Alumnos!E17,"'")</f>
        <v>'akariandrea.yamaguchirazo'</v>
      </c>
      <c r="D341" s="16" t="str">
        <f>CONCATENATE(Alumnos!F17,"'")</f>
        <v>'110549'</v>
      </c>
      <c r="E341" s="16" t="s">
        <v>1755</v>
      </c>
      <c r="F341" s="16" t="str">
        <f>CONCATENATE("'",Alumnos!H17,"'")</f>
        <v>'YAMAGUCHI RAZO AKARI ANDREA'</v>
      </c>
      <c r="G341" s="16" t="str">
        <f>CONCATENATE("'",Alumnos!I17,"'")</f>
        <v>'ANIMACION DIGITAL Y VIDEOJUEGOS'</v>
      </c>
      <c r="H341" s="16" t="str">
        <f>CONCATENATE("'",Alumnos!J17,"'")</f>
        <v>'8vo'</v>
      </c>
      <c r="I341" s="16" t="str">
        <f>UPPER(CONCATENATE("'",Alumnos!K17,"'"))</f>
        <v>'FEMENINO'</v>
      </c>
      <c r="J341" s="16" t="str">
        <f>UPPER(CONCATENATE("'",Alumnos!L17,"'"))</f>
        <v>'ACTIVO'</v>
      </c>
      <c r="K341" s="16" t="str">
        <f>CONCATENATE(A341,",",B341,",",C341,",",D341,",'",E341,",",F341,",",G341,",",H341,",",UPPER(I341),",",UPPER(J341),",'',0,0,'','ALUMNO'")</f>
        <v>1340,'LICENCIATURA','akariandrea.yamaguchirazo','110549','TOMAR DEL SND','YAMAGUCHI RAZO AKARI ANDREA','ANIMACION DIGITAL Y VIDEOJUEGOS','8vo','FEMENINO','ACTIVO','',0,0,'','ALUMNO'</v>
      </c>
      <c r="L341" s="16" t="str">
        <f>CONCATENATE($K$1,K341,");")</f>
        <v>INSERT INTO participantes (id,nivel,correo,matricula,clave,nombre,carrera,grado,sexo,situacion,evaluados,num_evaluados,total_evaluaciones,ultimo_acceso,nivel_acceso) VALUES (1340,'LICENCIATURA','akariandrea.yamaguchirazo','110549','TOMAR DEL SND','YAMAGUCHI RAZO AKARI ANDREA','ANIMACION DIGITAL Y VIDEOJUEGOS','8vo','FEMENINO','ACTIVO','',0,0,'','ALUMNO');</v>
      </c>
      <c r="M341" s="16" t="str">
        <f>CONCATENATE("update participantes set correo=",C341," where id=",A341,";")</f>
        <v>update participantes set correo='akariandrea.yamaguchirazo' where id=1340;</v>
      </c>
    </row>
    <row r="342" spans="1:13" ht="130.5" x14ac:dyDescent="0.35">
      <c r="A342" s="16">
        <v>1341</v>
      </c>
      <c r="B342" s="18" t="s">
        <v>1754</v>
      </c>
      <c r="C342" s="16" t="str">
        <f>CONCATENATE("'",Alumnos!E232,"'")</f>
        <v>'evaregina.guzmanvillasenor'</v>
      </c>
      <c r="D342" s="16" t="str">
        <f>CONCATENATE(Alumnos!F232,"'")</f>
        <v>'110553'</v>
      </c>
      <c r="E342" s="16" t="s">
        <v>1755</v>
      </c>
      <c r="F342" s="16" t="str">
        <f>CONCATENATE("'",Alumnos!H232,"'")</f>
        <v>'GUZMAN VILLASEÑOR EVA REGINA'</v>
      </c>
      <c r="G342" s="16" t="str">
        <f>CONCATENATE("'",Alumnos!I232,"'")</f>
        <v>'NUTRICION Y GASTRONOMIA'</v>
      </c>
      <c r="H342" s="16" t="str">
        <f>CONCATENATE("'",Alumnos!J232,"'")</f>
        <v>'8vo'</v>
      </c>
      <c r="I342" s="16" t="str">
        <f>UPPER(CONCATENATE("'",Alumnos!K232,"'"))</f>
        <v>'FEMENINO'</v>
      </c>
      <c r="J342" s="16" t="str">
        <f>UPPER(CONCATENATE("'",Alumnos!L232,"'"))</f>
        <v>'ACTIVO'</v>
      </c>
      <c r="K342" s="16" t="str">
        <f>CONCATENATE(A342,",",B342,",",C342,",",D342,",'",E342,",",F342,",",G342,",",H342,",",UPPER(I342),",",UPPER(J342),",'',0,0,'','ALUMNO'")</f>
        <v>1341,'LICENCIATURA','evaregina.guzmanvillasenor','110553','TOMAR DEL SND','GUZMAN VILLASEÑOR EVA REGINA','NUTRICION Y GASTRONOMIA','8vo','FEMENINO','ACTIVO','',0,0,'','ALUMNO'</v>
      </c>
      <c r="L342" s="16" t="str">
        <f>CONCATENATE($K$1,K342,");")</f>
        <v>INSERT INTO participantes (id,nivel,correo,matricula,clave,nombre,carrera,grado,sexo,situacion,evaluados,num_evaluados,total_evaluaciones,ultimo_acceso,nivel_acceso) VALUES (1341,'LICENCIATURA','evaregina.guzmanvillasenor','110553','TOMAR DEL SND','GUZMAN VILLASEÑOR EVA REGINA','NUTRICION Y GASTRONOMIA','8vo','FEMENINO','ACTIVO','',0,0,'','ALUMNO');</v>
      </c>
      <c r="M342" s="16" t="str">
        <f>CONCATENATE("update participantes set correo=",C342," where id=",A342,";")</f>
        <v>update participantes set correo='evaregina.guzmanvillasenor' where id=1341;</v>
      </c>
    </row>
    <row r="343" spans="1:13" ht="130.5" x14ac:dyDescent="0.35">
      <c r="A343" s="16">
        <v>1342</v>
      </c>
      <c r="B343" s="18" t="s">
        <v>1754</v>
      </c>
      <c r="C343" s="16" t="str">
        <f>CONCATENATE("'",Alumnos!E424,"'")</f>
        <v>'luniamargarita.amaroriveron'</v>
      </c>
      <c r="D343" s="16" t="str">
        <f>CONCATENATE(Alumnos!F424,"'")</f>
        <v>'110554'</v>
      </c>
      <c r="E343" s="16" t="s">
        <v>1755</v>
      </c>
      <c r="F343" s="16" t="str">
        <f>CONCATENATE("'",Alumnos!H424,"'")</f>
        <v>'AMARO RIVERON LUNIA MARGARITA'</v>
      </c>
      <c r="G343" s="16" t="str">
        <f>CONCATENATE("'",Alumnos!I424,"'")</f>
        <v>'ANIMACION DIGITAL Y VIDEOJUEGOS'</v>
      </c>
      <c r="H343" s="16" t="str">
        <f>CONCATENATE("'",Alumnos!J424,"'")</f>
        <v>'8vo'</v>
      </c>
      <c r="I343" s="16" t="str">
        <f>UPPER(CONCATENATE("'",Alumnos!K424,"'"))</f>
        <v>'FEMENINO'</v>
      </c>
      <c r="J343" s="16" t="str">
        <f>UPPER(CONCATENATE("'",Alumnos!L424,"'"))</f>
        <v>'ACTIVO'</v>
      </c>
      <c r="K343" s="16" t="str">
        <f>CONCATENATE(A343,",",B343,",",C343,",",D343,",'",E343,",",F343,",",G343,",",H343,",",UPPER(I343),",",UPPER(J343),",'',0,0,'','ALUMNO'")</f>
        <v>1342,'LICENCIATURA','luniamargarita.amaroriveron','110554','TOMAR DEL SND','AMARO RIVERON LUNIA MARGARITA','ANIMACION DIGITAL Y VIDEOJUEGOS','8vo','FEMENINO','ACTIVO','',0,0,'','ALUMNO'</v>
      </c>
      <c r="L343" s="16" t="str">
        <f>CONCATENATE($K$1,K343,");")</f>
        <v>INSERT INTO participantes (id,nivel,correo,matricula,clave,nombre,carrera,grado,sexo,situacion,evaluados,num_evaluados,total_evaluaciones,ultimo_acceso,nivel_acceso) VALUES (1342,'LICENCIATURA','luniamargarita.amaroriveron','110554','TOMAR DEL SND','AMARO RIVERON LUNIA MARGARITA','ANIMACION DIGITAL Y VIDEOJUEGOS','8vo','FEMENINO','ACTIVO','',0,0,'','ALUMNO');</v>
      </c>
      <c r="M343" s="16" t="str">
        <f>CONCATENATE("update participantes set correo=",C343," where id=",A343,";")</f>
        <v>update participantes set correo='luniamargarita.amaroriveron' where id=1342;</v>
      </c>
    </row>
    <row r="344" spans="1:13" ht="130.5" x14ac:dyDescent="0.35">
      <c r="A344" s="16">
        <v>1343</v>
      </c>
      <c r="B344" s="18" t="s">
        <v>1754</v>
      </c>
      <c r="C344" s="16" t="str">
        <f>CONCATENATE("'",Alumnos!E225,"'")</f>
        <v>'erikalejandro.santamariaramirez'</v>
      </c>
      <c r="D344" s="16" t="str">
        <f>CONCATENATE(Alumnos!F225,"'")</f>
        <v>'110555'</v>
      </c>
      <c r="E344" s="16" t="s">
        <v>1755</v>
      </c>
      <c r="F344" s="16" t="str">
        <f>CONCATENATE("'",Alumnos!H225,"'")</f>
        <v>'SANTAMARIA RAMIREZ ERIK ALEJANDRO'</v>
      </c>
      <c r="G344" s="16" t="str">
        <f>CONCATENATE("'",Alumnos!I225,"'")</f>
        <v>'INGENIERIA AEROESPACIAL'</v>
      </c>
      <c r="H344" s="16" t="str">
        <f>CONCATENATE("'",Alumnos!J225,"'")</f>
        <v>'6to'</v>
      </c>
      <c r="I344" s="16" t="str">
        <f>UPPER(CONCATENATE("'",Alumnos!K225,"'"))</f>
        <v>'MASCULINO'</v>
      </c>
      <c r="J344" s="16" t="str">
        <f>UPPER(CONCATENATE("'",Alumnos!L225,"'"))</f>
        <v>'ACTIVO'</v>
      </c>
      <c r="K344" s="16" t="str">
        <f>CONCATENATE(A344,",",B344,",",C344,",",D344,",'",E344,",",F344,",",G344,",",H344,",",UPPER(I344),",",UPPER(J344),",'',0,0,'','ALUMNO'")</f>
        <v>1343,'LICENCIATURA','erikalejandro.santamariaramirez','110555','TOMAR DEL SND','SANTAMARIA RAMIREZ ERIK ALEJANDRO','INGENIERIA AEROESPACIAL','6to','MASCULINO','ACTIVO','',0,0,'','ALUMNO'</v>
      </c>
      <c r="L344" s="16" t="str">
        <f>CONCATENATE($K$1,K344,");")</f>
        <v>INSERT INTO participantes (id,nivel,correo,matricula,clave,nombre,carrera,grado,sexo,situacion,evaluados,num_evaluados,total_evaluaciones,ultimo_acceso,nivel_acceso) VALUES (1343,'LICENCIATURA','erikalejandro.santamariaramirez','110555','TOMAR DEL SND','SANTAMARIA RAMIREZ ERIK ALEJANDRO','INGENIERIA AEROESPACIAL','6to','MASCULINO','ACTIVO','',0,0,'','ALUMNO');</v>
      </c>
      <c r="M344" s="16" t="str">
        <f>CONCATENATE("update participantes set correo=",C344," where id=",A344,";")</f>
        <v>update participantes set correo='erikalejandro.santamariaramirez' where id=1343;</v>
      </c>
    </row>
    <row r="345" spans="1:13" ht="130.5" x14ac:dyDescent="0.35">
      <c r="A345" s="16">
        <v>1344</v>
      </c>
      <c r="B345" s="18" t="s">
        <v>1754</v>
      </c>
      <c r="C345" s="16" t="str">
        <f>CONCATENATE("'",Alumnos!E430,"'")</f>
        <v>'marcoarturo.ortacruz'</v>
      </c>
      <c r="D345" s="16" t="str">
        <f>CONCATENATE(Alumnos!F430,"'")</f>
        <v>'110556'</v>
      </c>
      <c r="E345" s="16" t="s">
        <v>1755</v>
      </c>
      <c r="F345" s="16" t="str">
        <f>CONCATENATE("'",Alumnos!H430,"'")</f>
        <v>'ORTA CRUZ MARCO ARTURO'</v>
      </c>
      <c r="G345" s="16" t="str">
        <f>CONCATENATE("'",Alumnos!I430,"'")</f>
        <v>'INGENIERIA CIBERNETICA Y EN SISTEMAS COMPUTACIONALES'</v>
      </c>
      <c r="H345" s="16" t="str">
        <f>CONCATENATE("'",Alumnos!J430,"'")</f>
        <v>'8vo'</v>
      </c>
      <c r="I345" s="16" t="str">
        <f>UPPER(CONCATENATE("'",Alumnos!K430,"'"))</f>
        <v>'MASCULINO'</v>
      </c>
      <c r="J345" s="16" t="str">
        <f>UPPER(CONCATENATE("'",Alumnos!L430,"'"))</f>
        <v>'ACTIVO'</v>
      </c>
      <c r="K345" s="16" t="str">
        <f>CONCATENATE(A345,",",B345,",",C345,",",D345,",'",E345,",",F345,",",G345,",",H345,",",UPPER(I345),",",UPPER(J345),",'',0,0,'','ALUMNO'")</f>
        <v>1344,'LICENCIATURA','marcoarturo.ortacruz','110556','TOMAR DEL SND','ORTA CRUZ MARCO ARTURO','INGENIERIA CIBERNETICA Y EN SISTEMAS COMPUTACIONALES','8vo','MASCULINO','ACTIVO','',0,0,'','ALUMNO'</v>
      </c>
      <c r="L345" s="16" t="str">
        <f>CONCATENATE($K$1,K345,");")</f>
        <v>INSERT INTO participantes (id,nivel,correo,matricula,clave,nombre,carrera,grado,sexo,situacion,evaluados,num_evaluados,total_evaluaciones,ultimo_acceso,nivel_acceso) VALUES (1344,'LICENCIATURA','marcoarturo.ortacruz','110556','TOMAR DEL SND','ORTA CRUZ MARCO ARTURO','INGENIERIA CIBERNETICA Y EN SISTEMAS COMPUTACIONALES','8vo','MASCULINO','ACTIVO','',0,0,'','ALUMNO');</v>
      </c>
      <c r="M345" s="16" t="str">
        <f>CONCATENATE("update participantes set correo=",C345," where id=",A345,";")</f>
        <v>update participantes set correo='marcoarturo.ortacruz' where id=1344;</v>
      </c>
    </row>
    <row r="346" spans="1:13" ht="130.5" x14ac:dyDescent="0.35">
      <c r="A346" s="16">
        <v>1345</v>
      </c>
      <c r="B346" s="18" t="s">
        <v>1754</v>
      </c>
      <c r="C346" s="16" t="str">
        <f>CONCATENATE("'",Alumnos!E401,"'")</f>
        <v>'leonelmaximiliano.ortacruz'</v>
      </c>
      <c r="D346" s="16" t="str">
        <f>CONCATENATE(Alumnos!F401,"'")</f>
        <v>'110557'</v>
      </c>
      <c r="E346" s="16" t="s">
        <v>1755</v>
      </c>
      <c r="F346" s="16" t="str">
        <f>CONCATENATE("'",Alumnos!H401,"'")</f>
        <v>'ORTA CRUZ LEONEL MAXIMILIANO'</v>
      </c>
      <c r="G346" s="16" t="str">
        <f>CONCATENATE("'",Alumnos!I401,"'")</f>
        <v>'INGENIERIA AEROESPACIAL'</v>
      </c>
      <c r="H346" s="16" t="str">
        <f>CONCATENATE("'",Alumnos!J401,"'")</f>
        <v>'8vo'</v>
      </c>
      <c r="I346" s="16" t="str">
        <f>UPPER(CONCATENATE("'",Alumnos!K401,"'"))</f>
        <v>'MASCULINO'</v>
      </c>
      <c r="J346" s="16" t="str">
        <f>UPPER(CONCATENATE("'",Alumnos!L401,"'"))</f>
        <v>'ACTIVO'</v>
      </c>
      <c r="K346" s="16" t="str">
        <f>CONCATENATE(A346,",",B346,",",C346,",",D346,",'",E346,",",F346,",",G346,",",H346,",",UPPER(I346),",",UPPER(J346),",'',0,0,'','ALUMNO'")</f>
        <v>1345,'LICENCIATURA','leonelmaximiliano.ortacruz','110557','TOMAR DEL SND','ORTA CRUZ LEONEL MAXIMILIANO','INGENIERIA AEROESPACIAL','8vo','MASCULINO','ACTIVO','',0,0,'','ALUMNO'</v>
      </c>
      <c r="L346" s="16" t="str">
        <f>CONCATENATE($K$1,K346,");")</f>
        <v>INSERT INTO participantes (id,nivel,correo,matricula,clave,nombre,carrera,grado,sexo,situacion,evaluados,num_evaluados,total_evaluaciones,ultimo_acceso,nivel_acceso) VALUES (1345,'LICENCIATURA','leonelmaximiliano.ortacruz','110557','TOMAR DEL SND','ORTA CRUZ LEONEL MAXIMILIANO','INGENIERIA AEROESPACIAL','8vo','MASCULINO','ACTIVO','',0,0,'','ALUMNO');</v>
      </c>
      <c r="M346" s="16" t="str">
        <f>CONCATENATE("update participantes set correo=",C346," where id=",A346,";")</f>
        <v>update participantes set correo='leonelmaximiliano.ortacruz' where id=1345;</v>
      </c>
    </row>
    <row r="347" spans="1:13" ht="116" x14ac:dyDescent="0.35">
      <c r="A347" s="16">
        <v>1346</v>
      </c>
      <c r="B347" s="18" t="s">
        <v>1754</v>
      </c>
      <c r="C347" s="16" t="str">
        <f>CONCATENATE("'",Alumnos!E428,"'")</f>
        <v>'marceliano.belloarias'</v>
      </c>
      <c r="D347" s="16" t="str">
        <f>CONCATENATE(Alumnos!F428,"'")</f>
        <v>'110558'</v>
      </c>
      <c r="E347" s="16" t="s">
        <v>1755</v>
      </c>
      <c r="F347" s="16" t="str">
        <f>CONCATENATE("'",Alumnos!H428,"'")</f>
        <v>'BELLO ARIAS MARCELIANO'</v>
      </c>
      <c r="G347" s="16" t="str">
        <f>CONCATENATE("'",Alumnos!I428,"'")</f>
        <v>'INGENIERIA AEROESPACIAL'</v>
      </c>
      <c r="H347" s="16" t="str">
        <f>CONCATENATE("'",Alumnos!J428,"'")</f>
        <v>'8vo'</v>
      </c>
      <c r="I347" s="16" t="str">
        <f>UPPER(CONCATENATE("'",Alumnos!K428,"'"))</f>
        <v>'MASCULINO'</v>
      </c>
      <c r="J347" s="16" t="str">
        <f>UPPER(CONCATENATE("'",Alumnos!L428,"'"))</f>
        <v>'ACTIVO'</v>
      </c>
      <c r="K347" s="16" t="str">
        <f>CONCATENATE(A347,",",B347,",",C347,",",D347,",'",E347,",",F347,",",G347,",",H347,",",UPPER(I347),",",UPPER(J347),",'',0,0,'','ALUMNO'")</f>
        <v>1346,'LICENCIATURA','marceliano.belloarias','110558','TOMAR DEL SND','BELLO ARIAS MARCELIANO','INGENIERIA AEROESPACIAL','8vo','MASCULINO','ACTIVO','',0,0,'','ALUMNO'</v>
      </c>
      <c r="L347" s="16" t="str">
        <f>CONCATENATE($K$1,K347,");")</f>
        <v>INSERT INTO participantes (id,nivel,correo,matricula,clave,nombre,carrera,grado,sexo,situacion,evaluados,num_evaluados,total_evaluaciones,ultimo_acceso,nivel_acceso) VALUES (1346,'LICENCIATURA','marceliano.belloarias','110558','TOMAR DEL SND','BELLO ARIAS MARCELIANO','INGENIERIA AEROESPACIAL','8vo','MASCULINO','ACTIVO','',0,0,'','ALUMNO');</v>
      </c>
      <c r="M347" s="16" t="str">
        <f>CONCATENATE("update participantes set correo=",C347," where id=",A347,";")</f>
        <v>update participantes set correo='marceliano.belloarias' where id=1346;</v>
      </c>
    </row>
    <row r="348" spans="1:13" ht="130.5" x14ac:dyDescent="0.35">
      <c r="A348" s="16">
        <v>1347</v>
      </c>
      <c r="B348" s="18" t="s">
        <v>1754</v>
      </c>
      <c r="C348" s="16" t="str">
        <f>CONCATENATE("'",Alumnos!E124,"'")</f>
        <v>'carlosivan.floresgutierrez'</v>
      </c>
      <c r="D348" s="16" t="str">
        <f>CONCATENATE(Alumnos!F124,"'")</f>
        <v>'110559'</v>
      </c>
      <c r="E348" s="16" t="s">
        <v>1755</v>
      </c>
      <c r="F348" s="16" t="str">
        <f>CONCATENATE("'",Alumnos!H124,"'")</f>
        <v>'FLORES GUTIERREZ CARLOS IVAN'</v>
      </c>
      <c r="G348" s="16" t="str">
        <f>CONCATENATE("'",Alumnos!I124,"'")</f>
        <v>'ANIMACION DIGITAL Y VIDEOJUEGOS'</v>
      </c>
      <c r="H348" s="16" t="str">
        <f>CONCATENATE("'",Alumnos!J124,"'")</f>
        <v>'8vo'</v>
      </c>
      <c r="I348" s="16" t="str">
        <f>UPPER(CONCATENATE("'",Alumnos!K124,"'"))</f>
        <v>'MASCULINO'</v>
      </c>
      <c r="J348" s="16" t="str">
        <f>UPPER(CONCATENATE("'",Alumnos!L124,"'"))</f>
        <v>'ACTIVO'</v>
      </c>
      <c r="K348" s="16" t="str">
        <f>CONCATENATE(A348,",",B348,",",C348,",",D348,",'",E348,",",F348,",",G348,",",H348,",",UPPER(I348),",",UPPER(J348),",'',0,0,'','ALUMNO'")</f>
        <v>1347,'LICENCIATURA','carlosivan.floresgutierrez','110559','TOMAR DEL SND','FLORES GUTIERREZ CARLOS IVAN','ANIMACION DIGITAL Y VIDEOJUEGOS','8vo','MASCULINO','ACTIVO','',0,0,'','ALUMNO'</v>
      </c>
      <c r="L348" s="16" t="str">
        <f>CONCATENATE($K$1,K348,");")</f>
        <v>INSERT INTO participantes (id,nivel,correo,matricula,clave,nombre,carrera,grado,sexo,situacion,evaluados,num_evaluados,total_evaluaciones,ultimo_acceso,nivel_acceso) VALUES (1347,'LICENCIATURA','carlosivan.floresgutierrez','110559','TOMAR DEL SND','FLORES GUTIERREZ CARLOS IVAN','ANIMACION DIGITAL Y VIDEOJUEGOS','8vo','MASCULINO','ACTIVO','',0,0,'','ALUMNO');</v>
      </c>
      <c r="M348" s="16" t="str">
        <f>CONCATENATE("update participantes set correo=",C348," where id=",A348,";")</f>
        <v>update participantes set correo='carlosivan.floresgutierrez' where id=1347;</v>
      </c>
    </row>
    <row r="349" spans="1:13" ht="130.5" x14ac:dyDescent="0.35">
      <c r="A349" s="16">
        <v>1348</v>
      </c>
      <c r="B349" s="18" t="s">
        <v>1754</v>
      </c>
      <c r="C349" s="16" t="str">
        <f>CONCATENATE("'",Alumnos!E458,"'")</f>
        <v>'marioarturo.gaytanorozco'</v>
      </c>
      <c r="D349" s="16" t="str">
        <f>CONCATENATE(Alumnos!F458,"'")</f>
        <v>'110561'</v>
      </c>
      <c r="E349" s="16" t="s">
        <v>1755</v>
      </c>
      <c r="F349" s="16" t="str">
        <f>CONCATENATE("'",Alumnos!H458,"'")</f>
        <v>'GAYTAN OROZCO MARIO ARTURO'</v>
      </c>
      <c r="G349" s="16" t="str">
        <f>CONCATENATE("'",Alumnos!I458,"'")</f>
        <v>'INGENIERIA CIBERNETICA Y EN SISTEMAS COMPUTACIONALES'</v>
      </c>
      <c r="H349" s="16" t="str">
        <f>CONCATENATE("'",Alumnos!J458,"'")</f>
        <v>'8vo'</v>
      </c>
      <c r="I349" s="16" t="str">
        <f>UPPER(CONCATENATE("'",Alumnos!K458,"'"))</f>
        <v>'MASCULINO'</v>
      </c>
      <c r="J349" s="16" t="str">
        <f>UPPER(CONCATENATE("'",Alumnos!L458,"'"))</f>
        <v>'ACTIVO'</v>
      </c>
      <c r="K349" s="16" t="str">
        <f>CONCATENATE(A349,",",B349,",",C349,",",D349,",'",E349,",",F349,",",G349,",",H349,",",UPPER(I349),",",UPPER(J349),",'',0,0,'','ALUMNO'")</f>
        <v>1348,'LICENCIATURA','marioarturo.gaytanorozco','110561','TOMAR DEL SND','GAYTAN OROZCO MARIO ARTURO','INGENIERIA CIBERNETICA Y EN SISTEMAS COMPUTACIONALES','8vo','MASCULINO','ACTIVO','',0,0,'','ALUMNO'</v>
      </c>
      <c r="L349" s="16" t="str">
        <f>CONCATENATE($K$1,K349,");")</f>
        <v>INSERT INTO participantes (id,nivel,correo,matricula,clave,nombre,carrera,grado,sexo,situacion,evaluados,num_evaluados,total_evaluaciones,ultimo_acceso,nivel_acceso) VALUES (1348,'LICENCIATURA','marioarturo.gaytanorozco','110561','TOMAR DEL SND','GAYTAN OROZCO MARIO ARTURO','INGENIERIA CIBERNETICA Y EN SISTEMAS COMPUTACIONALES','8vo','MASCULINO','ACTIVO','',0,0,'','ALUMNO');</v>
      </c>
      <c r="M349" s="16" t="str">
        <f>CONCATENATE("update participantes set correo=",C349," where id=",A349,";")</f>
        <v>update participantes set correo='marioarturo.gaytanorozco' where id=1348;</v>
      </c>
    </row>
    <row r="350" spans="1:13" ht="130.5" x14ac:dyDescent="0.35">
      <c r="A350" s="16">
        <v>1349</v>
      </c>
      <c r="B350" s="18" t="s">
        <v>1754</v>
      </c>
      <c r="C350" s="16" t="str">
        <f>CONCATENATE("'",Alumnos!E554,"'")</f>
        <v>'rodrigo.riveravillasenor'</v>
      </c>
      <c r="D350" s="16" t="str">
        <f>CONCATENATE(Alumnos!F554,"'")</f>
        <v>'110564'</v>
      </c>
      <c r="E350" s="16" t="s">
        <v>1755</v>
      </c>
      <c r="F350" s="16" t="str">
        <f>CONCATENATE("'",Alumnos!H554,"'")</f>
        <v>'RIVERA VILLASEÑOR RODRIGO'</v>
      </c>
      <c r="G350" s="16" t="str">
        <f>CONCATENATE("'",Alumnos!I554,"'")</f>
        <v>'ANIMACION DIGITAL Y VIDEOJUEGOS'</v>
      </c>
      <c r="H350" s="16" t="str">
        <f>CONCATENATE("'",Alumnos!J554,"'")</f>
        <v>'8vo'</v>
      </c>
      <c r="I350" s="16" t="str">
        <f>UPPER(CONCATENATE("'",Alumnos!K554,"'"))</f>
        <v>'MASCULINO'</v>
      </c>
      <c r="J350" s="16" t="str">
        <f>UPPER(CONCATENATE("'",Alumnos!L554,"'"))</f>
        <v>'ACTIVO'</v>
      </c>
      <c r="K350" s="16" t="str">
        <f>CONCATENATE(A350,",",B350,",",C350,",",D350,",'",E350,",",F350,",",G350,",",H350,",",UPPER(I350),",",UPPER(J350),",'',0,0,'','ALUMNO'")</f>
        <v>1349,'LICENCIATURA','rodrigo.riveravillasenor','110564','TOMAR DEL SND','RIVERA VILLASEÑOR RODRIGO','ANIMACION DIGITAL Y VIDEOJUEGOS','8vo','MASCULINO','ACTIVO','',0,0,'','ALUMNO'</v>
      </c>
      <c r="L350" s="16" t="str">
        <f>CONCATENATE($K$1,K350,");")</f>
        <v>INSERT INTO participantes (id,nivel,correo,matricula,clave,nombre,carrera,grado,sexo,situacion,evaluados,num_evaluados,total_evaluaciones,ultimo_acceso,nivel_acceso) VALUES (1349,'LICENCIATURA','rodrigo.riveravillasenor','110564','TOMAR DEL SND','RIVERA VILLASEÑOR RODRIGO','ANIMACION DIGITAL Y VIDEOJUEGOS','8vo','MASCULINO','ACTIVO','',0,0,'','ALUMNO');</v>
      </c>
      <c r="M350" s="16" t="str">
        <f>CONCATENATE("update participantes set correo=",C350," where id=",A350,";")</f>
        <v>update participantes set correo='rodrigo.riveravillasenor' where id=1349;</v>
      </c>
    </row>
    <row r="351" spans="1:13" ht="130.5" x14ac:dyDescent="0.35">
      <c r="A351" s="16">
        <v>1350</v>
      </c>
      <c r="B351" s="18" t="s">
        <v>1754</v>
      </c>
      <c r="C351" s="16" t="str">
        <f>CONCATENATE("'",Alumnos!E102,"'")</f>
        <v>'bethelcitlali.sosatorres'</v>
      </c>
      <c r="D351" s="16" t="str">
        <f>CONCATENATE(Alumnos!F102,"'")</f>
        <v>'110565'</v>
      </c>
      <c r="E351" s="16" t="s">
        <v>1755</v>
      </c>
      <c r="F351" s="16" t="str">
        <f>CONCATENATE("'",Alumnos!H102,"'")</f>
        <v>'SOSA TORRES BETHEL CITLALI'</v>
      </c>
      <c r="G351" s="16" t="str">
        <f>CONCATENATE("'",Alumnos!I102,"'")</f>
        <v>'ANIMACION DIGITAL Y VIDEOJUEGOS'</v>
      </c>
      <c r="H351" s="16" t="str">
        <f>CONCATENATE("'",Alumnos!J102,"'")</f>
        <v>'8vo'</v>
      </c>
      <c r="I351" s="16" t="str">
        <f>UPPER(CONCATENATE("'",Alumnos!K102,"'"))</f>
        <v>'FEMENINO'</v>
      </c>
      <c r="J351" s="16" t="str">
        <f>UPPER(CONCATENATE("'",Alumnos!L102,"'"))</f>
        <v>'ACTIVO'</v>
      </c>
      <c r="K351" s="16" t="str">
        <f>CONCATENATE(A351,",",B351,",",C351,",",D351,",'",E351,",",F351,",",G351,",",H351,",",UPPER(I351),",",UPPER(J351),",'',0,0,'','ALUMNO'")</f>
        <v>1350,'LICENCIATURA','bethelcitlali.sosatorres','110565','TOMAR DEL SND','SOSA TORRES BETHEL CITLALI','ANIMACION DIGITAL Y VIDEOJUEGOS','8vo','FEMENINO','ACTIVO','',0,0,'','ALUMNO'</v>
      </c>
      <c r="L351" s="16" t="str">
        <f>CONCATENATE($K$1,K351,");")</f>
        <v>INSERT INTO participantes (id,nivel,correo,matricula,clave,nombre,carrera,grado,sexo,situacion,evaluados,num_evaluados,total_evaluaciones,ultimo_acceso,nivel_acceso) VALUES (1350,'LICENCIATURA','bethelcitlali.sosatorres','110565','TOMAR DEL SND','SOSA TORRES BETHEL CITLALI','ANIMACION DIGITAL Y VIDEOJUEGOS','8vo','FEMENINO','ACTIVO','',0,0,'','ALUMNO');</v>
      </c>
      <c r="M351" s="16" t="str">
        <f>CONCATENATE("update participantes set correo=",C351," where id=",A351,";")</f>
        <v>update participantes set correo='bethelcitlali.sosatorres' where id=1350;</v>
      </c>
    </row>
    <row r="352" spans="1:13" ht="116" x14ac:dyDescent="0.35">
      <c r="A352" s="16">
        <v>1351</v>
      </c>
      <c r="B352" s="18" t="s">
        <v>1754</v>
      </c>
      <c r="C352" s="16" t="str">
        <f>CONCATENATE("'",Alumnos!E584,"'")</f>
        <v>'sofia.solaeguihernandez'</v>
      </c>
      <c r="D352" s="16" t="str">
        <f>CONCATENATE(Alumnos!F584,"'")</f>
        <v>'110569'</v>
      </c>
      <c r="E352" s="16" t="s">
        <v>1755</v>
      </c>
      <c r="F352" s="16" t="str">
        <f>CONCATENATE("'",Alumnos!H584,"'")</f>
        <v>'SOLAEGUI HERNANDEZ SOFIA'</v>
      </c>
      <c r="G352" s="16" t="str">
        <f>CONCATENATE("'",Alumnos!I584,"'")</f>
        <v>'PSICOLOGIA'</v>
      </c>
      <c r="H352" s="16" t="str">
        <f>CONCATENATE("'",Alumnos!J584,"'")</f>
        <v>'8vo'</v>
      </c>
      <c r="I352" s="16" t="str">
        <f>UPPER(CONCATENATE("'",Alumnos!K584,"'"))</f>
        <v>'FEMENINO'</v>
      </c>
      <c r="J352" s="16" t="str">
        <f>UPPER(CONCATENATE("'",Alumnos!L584,"'"))</f>
        <v>'ACTIVO'</v>
      </c>
      <c r="K352" s="16" t="str">
        <f>CONCATENATE(A352,",",B352,",",C352,",",D352,",'",E352,",",F352,",",G352,",",H352,",",UPPER(I352),",",UPPER(J352),",'',0,0,'','ALUMNO'")</f>
        <v>1351,'LICENCIATURA','sofia.solaeguihernandez','110569','TOMAR DEL SND','SOLAEGUI HERNANDEZ SOFIA','PSICOLOGIA','8vo','FEMENINO','ACTIVO','',0,0,'','ALUMNO'</v>
      </c>
      <c r="L352" s="16" t="str">
        <f>CONCATENATE($K$1,K352,");")</f>
        <v>INSERT INTO participantes (id,nivel,correo,matricula,clave,nombre,carrera,grado,sexo,situacion,evaluados,num_evaluados,total_evaluaciones,ultimo_acceso,nivel_acceso) VALUES (1351,'LICENCIATURA','sofia.solaeguihernandez','110569','TOMAR DEL SND','SOLAEGUI HERNANDEZ SOFIA','PSICOLOGIA','8vo','FEMENINO','ACTIVO','',0,0,'','ALUMNO');</v>
      </c>
      <c r="M352" s="16" t="str">
        <f>CONCATENATE("update participantes set correo=",C352," where id=",A352,";")</f>
        <v>update participantes set correo='sofia.solaeguihernandez' where id=1351;</v>
      </c>
    </row>
    <row r="353" spans="1:13" ht="130.5" x14ac:dyDescent="0.35">
      <c r="A353" s="16">
        <v>1352</v>
      </c>
      <c r="B353" s="18" t="s">
        <v>1754</v>
      </c>
      <c r="C353" s="16" t="str">
        <f>CONCATENATE("'",Alumnos!E288,"'")</f>
        <v>'jaazielalejandro.morenotoscano'</v>
      </c>
      <c r="D353" s="16" t="str">
        <f>CONCATENATE(Alumnos!F288,"'")</f>
        <v>'110570'</v>
      </c>
      <c r="E353" s="16" t="s">
        <v>1755</v>
      </c>
      <c r="F353" s="16" t="str">
        <f>CONCATENATE("'",Alumnos!H288,"'")</f>
        <v>'MORENO TOSCANO JAAZIEL ALEJANDRO'</v>
      </c>
      <c r="G353" s="16" t="str">
        <f>CONCATENATE("'",Alumnos!I288,"'")</f>
        <v>'INGENIERIA AEROESPACIAL'</v>
      </c>
      <c r="H353" s="16" t="str">
        <f>CONCATENATE("'",Alumnos!J288,"'")</f>
        <v>'8vo'</v>
      </c>
      <c r="I353" s="16" t="str">
        <f>UPPER(CONCATENATE("'",Alumnos!K288,"'"))</f>
        <v>'MASCULINO'</v>
      </c>
      <c r="J353" s="16" t="str">
        <f>UPPER(CONCATENATE("'",Alumnos!L288,"'"))</f>
        <v>'ACTIVO'</v>
      </c>
      <c r="K353" s="16" t="str">
        <f>CONCATENATE(A353,",",B353,",",C353,",",D353,",'",E353,",",F353,",",G353,",",H353,",",UPPER(I353),",",UPPER(J353),",'',0,0,'','ALUMNO'")</f>
        <v>1352,'LICENCIATURA','jaazielalejandro.morenotoscano','110570','TOMAR DEL SND','MORENO TOSCANO JAAZIEL ALEJANDRO','INGENIERIA AEROESPACIAL','8vo','MASCULINO','ACTIVO','',0,0,'','ALUMNO'</v>
      </c>
      <c r="L353" s="16" t="str">
        <f>CONCATENATE($K$1,K353,");")</f>
        <v>INSERT INTO participantes (id,nivel,correo,matricula,clave,nombre,carrera,grado,sexo,situacion,evaluados,num_evaluados,total_evaluaciones,ultimo_acceso,nivel_acceso) VALUES (1352,'LICENCIATURA','jaazielalejandro.morenotoscano','110570','TOMAR DEL SND','MORENO TOSCANO JAAZIEL ALEJANDRO','INGENIERIA AEROESPACIAL','8vo','MASCULINO','ACTIVO','',0,0,'','ALUMNO');</v>
      </c>
      <c r="M353" s="16" t="str">
        <f>CONCATENATE("update participantes set correo=",C353," where id=",A353,";")</f>
        <v>update participantes set correo='jaazielalejandro.morenotoscano' where id=1352;</v>
      </c>
    </row>
    <row r="354" spans="1:13" ht="130.5" x14ac:dyDescent="0.35">
      <c r="A354" s="16">
        <v>1353</v>
      </c>
      <c r="B354" s="18" t="s">
        <v>1754</v>
      </c>
      <c r="C354" s="16" t="str">
        <f>CONCATENATE("'",Alumnos!E164,"'")</f>
        <v>'danielagisel.torresponce'</v>
      </c>
      <c r="D354" s="16" t="str">
        <f>CONCATENATE(Alumnos!F164,"'")</f>
        <v>'110571'</v>
      </c>
      <c r="E354" s="16" t="s">
        <v>1755</v>
      </c>
      <c r="F354" s="16" t="str">
        <f>CONCATENATE("'",Alumnos!H164,"'")</f>
        <v>'TORRES PONCE DANIELA GISEL'</v>
      </c>
      <c r="G354" s="16" t="str">
        <f>CONCATENATE("'",Alumnos!I164,"'")</f>
        <v>'ANIMACION DIGITAL Y VIDEOJUEGOS'</v>
      </c>
      <c r="H354" s="16" t="str">
        <f>CONCATENATE("'",Alumnos!J164,"'")</f>
        <v>'8vo'</v>
      </c>
      <c r="I354" s="16" t="str">
        <f>UPPER(CONCATENATE("'",Alumnos!K164,"'"))</f>
        <v>'FEMENINO'</v>
      </c>
      <c r="J354" s="16" t="str">
        <f>UPPER(CONCATENATE("'",Alumnos!L164,"'"))</f>
        <v>'ACTIVO'</v>
      </c>
      <c r="K354" s="16" t="str">
        <f>CONCATENATE(A354,",",B354,",",C354,",",D354,",'",E354,",",F354,",",G354,",",H354,",",UPPER(I354),",",UPPER(J354),",'',0,0,'','ALUMNO'")</f>
        <v>1353,'LICENCIATURA','danielagisel.torresponce','110571','TOMAR DEL SND','TORRES PONCE DANIELA GISEL','ANIMACION DIGITAL Y VIDEOJUEGOS','8vo','FEMENINO','ACTIVO','',0,0,'','ALUMNO'</v>
      </c>
      <c r="L354" s="16" t="str">
        <f>CONCATENATE($K$1,K354,");")</f>
        <v>INSERT INTO participantes (id,nivel,correo,matricula,clave,nombre,carrera,grado,sexo,situacion,evaluados,num_evaluados,total_evaluaciones,ultimo_acceso,nivel_acceso) VALUES (1353,'LICENCIATURA','danielagisel.torresponce','110571','TOMAR DEL SND','TORRES PONCE DANIELA GISEL','ANIMACION DIGITAL Y VIDEOJUEGOS','8vo','FEMENINO','ACTIVO','',0,0,'','ALUMNO');</v>
      </c>
      <c r="M354" s="16" t="str">
        <f>CONCATENATE("update participantes set correo=",C354," where id=",A354,";")</f>
        <v>update participantes set correo='danielagisel.torresponce' where id=1353;</v>
      </c>
    </row>
    <row r="355" spans="1:13" ht="130.5" x14ac:dyDescent="0.35">
      <c r="A355" s="16">
        <v>1354</v>
      </c>
      <c r="B355" s="18" t="s">
        <v>1754</v>
      </c>
      <c r="C355" s="16" t="str">
        <f>CONCATENATE("'",Alumnos!E340,"'")</f>
        <v>'josemauricio.huitronsanchez'</v>
      </c>
      <c r="D355" s="16" t="str">
        <f>CONCATENATE(Alumnos!F340,"'")</f>
        <v>'110594'</v>
      </c>
      <c r="E355" s="16" t="s">
        <v>1755</v>
      </c>
      <c r="F355" s="16" t="str">
        <f>CONCATENATE("'",Alumnos!H340,"'")</f>
        <v>'HUITRON SANCHEZ JOSE MAURICIO'</v>
      </c>
      <c r="G355" s="16" t="str">
        <f>CONCATENATE("'",Alumnos!I340,"'")</f>
        <v>'INGENIERIA AEROESPACIAL'</v>
      </c>
      <c r="H355" s="16" t="str">
        <f>CONCATENATE("'",Alumnos!J340,"'")</f>
        <v>'8vo'</v>
      </c>
      <c r="I355" s="16" t="str">
        <f>UPPER(CONCATENATE("'",Alumnos!K340,"'"))</f>
        <v>'MASCULINO'</v>
      </c>
      <c r="J355" s="16" t="str">
        <f>UPPER(CONCATENATE("'",Alumnos!L340,"'"))</f>
        <v>'ACTIVO'</v>
      </c>
      <c r="K355" s="16" t="str">
        <f>CONCATENATE(A355,",",B355,",",C355,",",D355,",'",E355,",",F355,",",G355,",",H355,",",UPPER(I355),",",UPPER(J355),",'',0,0,'','ALUMNO'")</f>
        <v>1354,'LICENCIATURA','josemauricio.huitronsanchez','110594','TOMAR DEL SND','HUITRON SANCHEZ JOSE MAURICIO','INGENIERIA AEROESPACIAL','8vo','MASCULINO','ACTIVO','',0,0,'','ALUMNO'</v>
      </c>
      <c r="L355" s="16" t="str">
        <f>CONCATENATE($K$1,K355,");")</f>
        <v>INSERT INTO participantes (id,nivel,correo,matricula,clave,nombre,carrera,grado,sexo,situacion,evaluados,num_evaluados,total_evaluaciones,ultimo_acceso,nivel_acceso) VALUES (1354,'LICENCIATURA','josemauricio.huitronsanchez','110594','TOMAR DEL SND','HUITRON SANCHEZ JOSE MAURICIO','INGENIERIA AEROESPACIAL','8vo','MASCULINO','ACTIVO','',0,0,'','ALUMNO');</v>
      </c>
      <c r="M355" s="16" t="str">
        <f>CONCATENATE("update participantes set correo=",C355," where id=",A355,";")</f>
        <v>update participantes set correo='josemauricio.huitronsanchez' where id=1354;</v>
      </c>
    </row>
    <row r="356" spans="1:13" ht="116" x14ac:dyDescent="0.35">
      <c r="A356" s="16">
        <v>1355</v>
      </c>
      <c r="B356" s="18" t="s">
        <v>1754</v>
      </c>
      <c r="C356" s="16" t="str">
        <f>CONCATENATE("'",Alumnos!E34,"'")</f>
        <v>'alfonso.rosalesvargas'</v>
      </c>
      <c r="D356" s="16" t="str">
        <f>CONCATENATE(Alumnos!F34,"'")</f>
        <v>'110596'</v>
      </c>
      <c r="E356" s="16" t="s">
        <v>1755</v>
      </c>
      <c r="F356" s="16" t="str">
        <f>CONCATENATE("'",Alumnos!H34,"'")</f>
        <v>'ROSALES VARGAS ALFONSO'</v>
      </c>
      <c r="G356" s="16" t="str">
        <f>CONCATENATE("'",Alumnos!I34,"'")</f>
        <v>'NUTRICION Y GASTRONOMIA'</v>
      </c>
      <c r="H356" s="16" t="str">
        <f>CONCATENATE("'",Alumnos!J34,"'")</f>
        <v>'8vo'</v>
      </c>
      <c r="I356" s="16" t="str">
        <f>UPPER(CONCATENATE("'",Alumnos!K34,"'"))</f>
        <v>'MASCULINO'</v>
      </c>
      <c r="J356" s="16" t="str">
        <f>UPPER(CONCATENATE("'",Alumnos!L34,"'"))</f>
        <v>'ACTIVO'</v>
      </c>
      <c r="K356" s="16" t="str">
        <f>CONCATENATE(A356,",",B356,",",C356,",",D356,",'",E356,",",F356,",",G356,",",H356,",",UPPER(I356),",",UPPER(J356),",'',0,0,'','ALUMNO'")</f>
        <v>1355,'LICENCIATURA','alfonso.rosalesvargas','110596','TOMAR DEL SND','ROSALES VARGAS ALFONSO','NUTRICION Y GASTRONOMIA','8vo','MASCULINO','ACTIVO','',0,0,'','ALUMNO'</v>
      </c>
      <c r="L356" s="16" t="str">
        <f>CONCATENATE($K$1,K356,");")</f>
        <v>INSERT INTO participantes (id,nivel,correo,matricula,clave,nombre,carrera,grado,sexo,situacion,evaluados,num_evaluados,total_evaluaciones,ultimo_acceso,nivel_acceso) VALUES (1355,'LICENCIATURA','alfonso.rosalesvargas','110596','TOMAR DEL SND','ROSALES VARGAS ALFONSO','NUTRICION Y GASTRONOMIA','8vo','MASCULINO','ACTIVO','',0,0,'','ALUMNO');</v>
      </c>
      <c r="M356" s="16" t="str">
        <f>CONCATENATE("update participantes set correo=",C356," where id=",A356,";")</f>
        <v>update participantes set correo='alfonso.rosalesvargas' where id=1355;</v>
      </c>
    </row>
    <row r="357" spans="1:13" ht="116" x14ac:dyDescent="0.35">
      <c r="A357" s="16">
        <v>1356</v>
      </c>
      <c r="B357" s="18" t="s">
        <v>1754</v>
      </c>
      <c r="C357" s="16" t="str">
        <f>CONCATENATE("'",Alumnos!E139,"'")</f>
        <v>'claudiadaniela.figueroarodriguez'</v>
      </c>
      <c r="D357" s="16" t="str">
        <f>CONCATENATE(Alumnos!F139,"'")</f>
        <v>'110598'</v>
      </c>
      <c r="E357" s="16" t="s">
        <v>1755</v>
      </c>
      <c r="F357" s="16" t="str">
        <f>CONCATENATE("'",Alumnos!H139,"'")</f>
        <v>'FIGUEROA RODRIGUEZ CLAUDIA DANIELA'</v>
      </c>
      <c r="G357" s="16" t="str">
        <f>CONCATENATE("'",Alumnos!I139,"'")</f>
        <v>'ADMINISTRACION Y DIRECCION DE NEGOCIOS'</v>
      </c>
      <c r="H357" s="16" t="str">
        <f>CONCATENATE("'",Alumnos!J139,"'")</f>
        <v>'8vo'</v>
      </c>
      <c r="I357" s="16" t="str">
        <f>UPPER(CONCATENATE("'",Alumnos!K139,"'"))</f>
        <v>'FEMENINO'</v>
      </c>
      <c r="J357" s="16" t="str">
        <f>UPPER(CONCATENATE("'",Alumnos!L139,"'"))</f>
        <v>'ACTIVO'</v>
      </c>
      <c r="K357" s="16" t="str">
        <f>CONCATENATE(A357,",",B357,",",C357,",",D357,",'",E357,",",F357,",",G357,",",H357,",",UPPER(I357),",",UPPER(J357),",'',0,0,'','ALUMNO'")</f>
        <v>1356,'LICENCIATURA','claudiadaniela.figueroarodriguez','110598','TOMAR DEL SND','FIGUEROA RODRIGUEZ CLAUDIA DANIELA','ADMINISTRACION Y DIRECCION DE NEGOCIOS','8vo','FEMENINO','ACTIVO','',0,0,'','ALUMNO'</v>
      </c>
      <c r="L357" s="16" t="str">
        <f>CONCATENATE($K$1,K357,");")</f>
        <v>INSERT INTO participantes (id,nivel,correo,matricula,clave,nombre,carrera,grado,sexo,situacion,evaluados,num_evaluados,total_evaluaciones,ultimo_acceso,nivel_acceso) VALUES (1356,'LICENCIATURA','claudiadaniela.figueroarodriguez','110598','TOMAR DEL SND','FIGUEROA RODRIGUEZ CLAUDIA DANIELA','ADMINISTRACION Y DIRECCION DE NEGOCIOS','8vo','FEMENINO','ACTIVO','',0,0,'','ALUMNO');</v>
      </c>
      <c r="M357" s="16" t="str">
        <f>CONCATENATE("update participantes set correo=",C357," where id=",A357,";")</f>
        <v>update participantes set correo='claudiadaniela.figueroarodriguez' where id=1356;</v>
      </c>
    </row>
    <row r="358" spans="1:13" ht="116" x14ac:dyDescent="0.35">
      <c r="A358" s="16">
        <v>1357</v>
      </c>
      <c r="B358" s="18" t="s">
        <v>1754</v>
      </c>
      <c r="C358" s="16" t="str">
        <f>CONCATENATE("'",Alumnos!E357,"'")</f>
        <v>'juanpablo.ruizgarcia'</v>
      </c>
      <c r="D358" s="16" t="str">
        <f>CONCATENATE(Alumnos!F357,"'")</f>
        <v>'110604'</v>
      </c>
      <c r="E358" s="16" t="s">
        <v>1755</v>
      </c>
      <c r="F358" s="16" t="str">
        <f>CONCATENATE("'",Alumnos!H357,"'")</f>
        <v>'RUIZ GARCIA JUAN PABLO'</v>
      </c>
      <c r="G358" s="16" t="str">
        <f>CONCATENATE("'",Alumnos!I357,"'")</f>
        <v>'DERECHO'</v>
      </c>
      <c r="H358" s="16" t="str">
        <f>CONCATENATE("'",Alumnos!J357,"'")</f>
        <v>'8vo'</v>
      </c>
      <c r="I358" s="16" t="str">
        <f>UPPER(CONCATENATE("'",Alumnos!K357,"'"))</f>
        <v>'MASCULINO'</v>
      </c>
      <c r="J358" s="16" t="str">
        <f>UPPER(CONCATENATE("'",Alumnos!L357,"'"))</f>
        <v>'ACTIVO'</v>
      </c>
      <c r="K358" s="16" t="str">
        <f>CONCATENATE(A358,",",B358,",",C358,",",D358,",'",E358,",",F358,",",G358,",",H358,",",UPPER(I358),",",UPPER(J358),",'',0,0,'','ALUMNO'")</f>
        <v>1357,'LICENCIATURA','juanpablo.ruizgarcia','110604','TOMAR DEL SND','RUIZ GARCIA JUAN PABLO','DERECHO','8vo','MASCULINO','ACTIVO','',0,0,'','ALUMNO'</v>
      </c>
      <c r="L358" s="16" t="str">
        <f>CONCATENATE($K$1,K358,");")</f>
        <v>INSERT INTO participantes (id,nivel,correo,matricula,clave,nombre,carrera,grado,sexo,situacion,evaluados,num_evaluados,total_evaluaciones,ultimo_acceso,nivel_acceso) VALUES (1357,'LICENCIATURA','juanpablo.ruizgarcia','110604','TOMAR DEL SND','RUIZ GARCIA JUAN PABLO','DERECHO','8vo','MASCULINO','ACTIVO','',0,0,'','ALUMNO');</v>
      </c>
      <c r="M358" s="16" t="str">
        <f>CONCATENATE("update participantes set correo=",C358," where id=",A358,";")</f>
        <v>update participantes set correo='juanpablo.ruizgarcia' where id=1357;</v>
      </c>
    </row>
    <row r="359" spans="1:13" ht="130.5" x14ac:dyDescent="0.35">
      <c r="A359" s="16">
        <v>1358</v>
      </c>
      <c r="B359" s="18" t="s">
        <v>1754</v>
      </c>
      <c r="C359" s="16" t="str">
        <f>CONCATENATE("'",Alumnos!E406,"'")</f>
        <v>'lisset.sandovalvalenzuela'</v>
      </c>
      <c r="D359" s="16" t="str">
        <f>CONCATENATE(Alumnos!F406,"'")</f>
        <v>'110605'</v>
      </c>
      <c r="E359" s="16" t="s">
        <v>1755</v>
      </c>
      <c r="F359" s="16" t="str">
        <f>CONCATENATE("'",Alumnos!H406,"'")</f>
        <v>'SANDOVAL VALENZUELA LISSET'</v>
      </c>
      <c r="G359" s="16" t="str">
        <f>CONCATENATE("'",Alumnos!I406,"'")</f>
        <v>'INGENIERIA AEROESPACIAL'</v>
      </c>
      <c r="H359" s="16" t="str">
        <f>CONCATENATE("'",Alumnos!J406,"'")</f>
        <v>'8vo'</v>
      </c>
      <c r="I359" s="16" t="str">
        <f>UPPER(CONCATENATE("'",Alumnos!K406,"'"))</f>
        <v>'FEMENINO'</v>
      </c>
      <c r="J359" s="16" t="str">
        <f>UPPER(CONCATENATE("'",Alumnos!L406,"'"))</f>
        <v>'ACTIVO'</v>
      </c>
      <c r="K359" s="16" t="str">
        <f>CONCATENATE(A359,",",B359,",",C359,",",D359,",'",E359,",",F359,",",G359,",",H359,",",UPPER(I359),",",UPPER(J359),",'',0,0,'','ALUMNO'")</f>
        <v>1358,'LICENCIATURA','lisset.sandovalvalenzuela','110605','TOMAR DEL SND','SANDOVAL VALENZUELA LISSET','INGENIERIA AEROESPACIAL','8vo','FEMENINO','ACTIVO','',0,0,'','ALUMNO'</v>
      </c>
      <c r="L359" s="16" t="str">
        <f>CONCATENATE($K$1,K359,");")</f>
        <v>INSERT INTO participantes (id,nivel,correo,matricula,clave,nombre,carrera,grado,sexo,situacion,evaluados,num_evaluados,total_evaluaciones,ultimo_acceso,nivel_acceso) VALUES (1358,'LICENCIATURA','lisset.sandovalvalenzuela','110605','TOMAR DEL SND','SANDOVAL VALENZUELA LISSET','INGENIERIA AEROESPACIAL','8vo','FEMENINO','ACTIVO','',0,0,'','ALUMNO');</v>
      </c>
      <c r="M359" s="16" t="str">
        <f>CONCATENATE("update participantes set correo=",C359," where id=",A359,";")</f>
        <v>update participantes set correo='lisset.sandovalvalenzuela' where id=1358;</v>
      </c>
    </row>
    <row r="360" spans="1:13" ht="130.5" x14ac:dyDescent="0.35">
      <c r="A360" s="16">
        <v>1359</v>
      </c>
      <c r="B360" s="18" t="s">
        <v>1754</v>
      </c>
      <c r="C360" s="16" t="str">
        <f>CONCATENATE("'",Alumnos!E618,"'")</f>
        <v>'yazmingabriela.garciaibarra'</v>
      </c>
      <c r="D360" s="16" t="str">
        <f>CONCATENATE(Alumnos!F618,"'")</f>
        <v>'110610'</v>
      </c>
      <c r="E360" s="16" t="s">
        <v>1755</v>
      </c>
      <c r="F360" s="16" t="str">
        <f>CONCATENATE("'",Alumnos!H618,"'")</f>
        <v>'GARCIA IBARRA YAZMIN GABRIELA'</v>
      </c>
      <c r="G360" s="16" t="str">
        <f>CONCATENATE("'",Alumnos!I618,"'")</f>
        <v>'ANIMACION DIGITAL Y VIDEOJUEGOS'</v>
      </c>
      <c r="H360" s="16" t="str">
        <f>CONCATENATE("'",Alumnos!J618,"'")</f>
        <v>'8vo'</v>
      </c>
      <c r="I360" s="16" t="str">
        <f>UPPER(CONCATENATE("'",Alumnos!K618,"'"))</f>
        <v>'FEMENINO'</v>
      </c>
      <c r="J360" s="16" t="str">
        <f>UPPER(CONCATENATE("'",Alumnos!L618,"'"))</f>
        <v>'ACTIVO'</v>
      </c>
      <c r="K360" s="16" t="str">
        <f>CONCATENATE(A360,",",B360,",",C360,",",D360,",'",E360,",",F360,",",G360,",",H360,",",UPPER(I360),",",UPPER(J360),",'',0,0,'','ALUMNO'")</f>
        <v>1359,'LICENCIATURA','yazmingabriela.garciaibarra','110610','TOMAR DEL SND','GARCIA IBARRA YAZMIN GABRIELA','ANIMACION DIGITAL Y VIDEOJUEGOS','8vo','FEMENINO','ACTIVO','',0,0,'','ALUMNO'</v>
      </c>
      <c r="L360" s="16" t="str">
        <f>CONCATENATE($K$1,K360,");")</f>
        <v>INSERT INTO participantes (id,nivel,correo,matricula,clave,nombre,carrera,grado,sexo,situacion,evaluados,num_evaluados,total_evaluaciones,ultimo_acceso,nivel_acceso) VALUES (1359,'LICENCIATURA','yazmingabriela.garciaibarra','110610','TOMAR DEL SND','GARCIA IBARRA YAZMIN GABRIELA','ANIMACION DIGITAL Y VIDEOJUEGOS','8vo','FEMENINO','ACTIVO','',0,0,'','ALUMNO');</v>
      </c>
      <c r="M360" s="16" t="str">
        <f>CONCATENATE("update participantes set correo=",C360," where id=",A360,";")</f>
        <v>update participantes set correo='yazmingabriela.garciaibarra' where id=1359;</v>
      </c>
    </row>
    <row r="361" spans="1:13" ht="130.5" x14ac:dyDescent="0.35">
      <c r="A361" s="16">
        <v>1360</v>
      </c>
      <c r="B361" s="18" t="s">
        <v>1754</v>
      </c>
      <c r="C361" s="16" t="str">
        <f>CONCATENATE("'",Alumnos!E558,"'")</f>
        <v>'rosario.rosasperez'</v>
      </c>
      <c r="D361" s="16" t="str">
        <f>CONCATENATE(Alumnos!F558,"'")</f>
        <v>'110612'</v>
      </c>
      <c r="E361" s="16" t="s">
        <v>1755</v>
      </c>
      <c r="F361" s="16" t="str">
        <f>CONCATENATE("'",Alumnos!H558,"'")</f>
        <v>'ROSAS PEREZ ROSARIO'</v>
      </c>
      <c r="G361" s="16" t="str">
        <f>CONCATENATE("'",Alumnos!I558,"'")</f>
        <v>'INGENIERIA CIBERNETICA Y EN SISTEMAS COMPUTACIONALES'</v>
      </c>
      <c r="H361" s="16" t="str">
        <f>CONCATENATE("'",Alumnos!J558,"'")</f>
        <v>'8vo'</v>
      </c>
      <c r="I361" s="16" t="str">
        <f>UPPER(CONCATENATE("'",Alumnos!K558,"'"))</f>
        <v>'FEMENINO'</v>
      </c>
      <c r="J361" s="16" t="str">
        <f>UPPER(CONCATENATE("'",Alumnos!L558,"'"))</f>
        <v>'ACTIVO'</v>
      </c>
      <c r="K361" s="16" t="str">
        <f>CONCATENATE(A361,",",B361,",",C361,",",D361,",'",E361,",",F361,",",G361,",",H361,",",UPPER(I361),",",UPPER(J361),",'',0,0,'','ALUMNO'")</f>
        <v>1360,'LICENCIATURA','rosario.rosasperez','110612','TOMAR DEL SND','ROSAS PEREZ ROSARIO','INGENIERIA CIBERNETICA Y EN SISTEMAS COMPUTACIONALES','8vo','FEMENINO','ACTIVO','',0,0,'','ALUMNO'</v>
      </c>
      <c r="L361" s="16" t="str">
        <f>CONCATENATE($K$1,K361,");")</f>
        <v>INSERT INTO participantes (id,nivel,correo,matricula,clave,nombre,carrera,grado,sexo,situacion,evaluados,num_evaluados,total_evaluaciones,ultimo_acceso,nivel_acceso) VALUES (1360,'LICENCIATURA','rosario.rosasperez','110612','TOMAR DEL SND','ROSAS PEREZ ROSARIO','INGENIERIA CIBERNETICA Y EN SISTEMAS COMPUTACIONALES','8vo','FEMENINO','ACTIVO','',0,0,'','ALUMNO');</v>
      </c>
      <c r="M361" s="16" t="str">
        <f>CONCATENATE("update participantes set correo=",C361," where id=",A361,";")</f>
        <v>update participantes set correo='rosario.rosasperez' where id=1360;</v>
      </c>
    </row>
    <row r="362" spans="1:13" ht="116" x14ac:dyDescent="0.35">
      <c r="A362" s="16">
        <v>1361</v>
      </c>
      <c r="B362" s="18" t="s">
        <v>1754</v>
      </c>
      <c r="C362" s="16" t="str">
        <f>CONCATENATE("'",Alumnos!E56,"'")</f>
        <v>'anavictoria.orozcoquinonez'</v>
      </c>
      <c r="D362" s="16" t="str">
        <f>CONCATENATE(Alumnos!F56,"'")</f>
        <v>'110613'</v>
      </c>
      <c r="E362" s="16" t="s">
        <v>1755</v>
      </c>
      <c r="F362" s="16" t="str">
        <f>CONCATENATE("'",Alumnos!H56,"'")</f>
        <v>'OROZCO QUIÑONEZ ANA VICTORIA'</v>
      </c>
      <c r="G362" s="16" t="str">
        <f>CONCATENATE("'",Alumnos!I56,"'")</f>
        <v>'ARQUITECTURA'</v>
      </c>
      <c r="H362" s="16" t="str">
        <f>CONCATENATE("'",Alumnos!J56,"'")</f>
        <v>'8vo'</v>
      </c>
      <c r="I362" s="16" t="str">
        <f>UPPER(CONCATENATE("'",Alumnos!K56,"'"))</f>
        <v>'FEMENINO'</v>
      </c>
      <c r="J362" s="16" t="str">
        <f>UPPER(CONCATENATE("'",Alumnos!L56,"'"))</f>
        <v>'ACTIVO'</v>
      </c>
      <c r="K362" s="16" t="str">
        <f>CONCATENATE(A362,",",B362,",",C362,",",D362,",'",E362,",",F362,",",G362,",",H362,",",UPPER(I362),",",UPPER(J362),",'',0,0,'','ALUMNO'")</f>
        <v>1361,'LICENCIATURA','anavictoria.orozcoquinonez','110613','TOMAR DEL SND','OROZCO QUIÑONEZ ANA VICTORIA','ARQUITECTURA','8vo','FEMENINO','ACTIVO','',0,0,'','ALUMNO'</v>
      </c>
      <c r="L362" s="16" t="str">
        <f>CONCATENATE($K$1,K362,");")</f>
        <v>INSERT INTO participantes (id,nivel,correo,matricula,clave,nombre,carrera,grado,sexo,situacion,evaluados,num_evaluados,total_evaluaciones,ultimo_acceso,nivel_acceso) VALUES (1361,'LICENCIATURA','anavictoria.orozcoquinonez','110613','TOMAR DEL SND','OROZCO QUIÑONEZ ANA VICTORIA','ARQUITECTURA','8vo','FEMENINO','ACTIVO','',0,0,'','ALUMNO');</v>
      </c>
      <c r="M362" s="16" t="str">
        <f>CONCATENATE("update participantes set correo=",C362," where id=",A362,";")</f>
        <v>update participantes set correo='anavictoria.orozcoquinonez' where id=1361;</v>
      </c>
    </row>
    <row r="363" spans="1:13" ht="116" x14ac:dyDescent="0.35">
      <c r="A363" s="16">
        <v>1362</v>
      </c>
      <c r="B363" s="18" t="s">
        <v>1754</v>
      </c>
      <c r="C363" s="16" t="str">
        <f>CONCATENATE("'",Alumnos!E332,"'")</f>
        <v>'josedavid.cruztellez'</v>
      </c>
      <c r="D363" s="16" t="str">
        <f>CONCATENATE(Alumnos!F332,"'")</f>
        <v>'110614'</v>
      </c>
      <c r="E363" s="16" t="s">
        <v>1755</v>
      </c>
      <c r="F363" s="16" t="str">
        <f>CONCATENATE("'",Alumnos!H332,"'")</f>
        <v>'CRUZ TELLEZ JOSE DAVID'</v>
      </c>
      <c r="G363" s="16" t="str">
        <f>CONCATENATE("'",Alumnos!I332,"'")</f>
        <v>'ARQUITECTURA'</v>
      </c>
      <c r="H363" s="16" t="str">
        <f>CONCATENATE("'",Alumnos!J332,"'")</f>
        <v>'8vo'</v>
      </c>
      <c r="I363" s="16" t="str">
        <f>UPPER(CONCATENATE("'",Alumnos!K332,"'"))</f>
        <v>'MASCULINO'</v>
      </c>
      <c r="J363" s="16" t="str">
        <f>UPPER(CONCATENATE("'",Alumnos!L332,"'"))</f>
        <v>'ACTIVO'</v>
      </c>
      <c r="K363" s="16" t="str">
        <f>CONCATENATE(A363,",",B363,",",C363,",",D363,",'",E363,",",F363,",",G363,",",H363,",",UPPER(I363),",",UPPER(J363),",'',0,0,'','ALUMNO'")</f>
        <v>1362,'LICENCIATURA','josedavid.cruztellez','110614','TOMAR DEL SND','CRUZ TELLEZ JOSE DAVID','ARQUITECTURA','8vo','MASCULINO','ACTIVO','',0,0,'','ALUMNO'</v>
      </c>
      <c r="L363" s="16" t="str">
        <f>CONCATENATE($K$1,K363,");")</f>
        <v>INSERT INTO participantes (id,nivel,correo,matricula,clave,nombre,carrera,grado,sexo,situacion,evaluados,num_evaluados,total_evaluaciones,ultimo_acceso,nivel_acceso) VALUES (1362,'LICENCIATURA','josedavid.cruztellez','110614','TOMAR DEL SND','CRUZ TELLEZ JOSE DAVID','ARQUITECTURA','8vo','MASCULINO','ACTIVO','',0,0,'','ALUMNO');</v>
      </c>
      <c r="M363" s="16" t="str">
        <f>CONCATENATE("update participantes set correo=",C363," where id=",A363,";")</f>
        <v>update participantes set correo='josedavid.cruztellez' where id=1362;</v>
      </c>
    </row>
    <row r="364" spans="1:13" ht="116" x14ac:dyDescent="0.35">
      <c r="A364" s="16">
        <v>1363</v>
      </c>
      <c r="B364" s="18" t="s">
        <v>1754</v>
      </c>
      <c r="C364" s="16" t="str">
        <f>CONCATENATE("'",Alumnos!E432,"'")</f>
        <v>'mariaantonia.hernandezhernandez'</v>
      </c>
      <c r="D364" s="16" t="str">
        <f>CONCATENATE(Alumnos!F432,"'")</f>
        <v>'110616'</v>
      </c>
      <c r="E364" s="16" t="s">
        <v>1755</v>
      </c>
      <c r="F364" s="16" t="str">
        <f>CONCATENATE("'",Alumnos!H432,"'")</f>
        <v>'HERNANDEZ HERNANDEZ MARIA ANTONIA'</v>
      </c>
      <c r="G364" s="16" t="str">
        <f>CONCATENATE("'",Alumnos!I432,"'")</f>
        <v>'DISEÑO GRAFICO Y DIGITAL'</v>
      </c>
      <c r="H364" s="16" t="str">
        <f>CONCATENATE("'",Alumnos!J432,"'")</f>
        <v>'6to'</v>
      </c>
      <c r="I364" s="16" t="str">
        <f>UPPER(CONCATENATE("'",Alumnos!K432,"'"))</f>
        <v>'FEMENINO'</v>
      </c>
      <c r="J364" s="16" t="str">
        <f>UPPER(CONCATENATE("'",Alumnos!L432,"'"))</f>
        <v>'ACTIVO'</v>
      </c>
      <c r="K364" s="16" t="str">
        <f>CONCATENATE(A364,",",B364,",",C364,",",D364,",'",E364,",",F364,",",G364,",",H364,",",UPPER(I364),",",UPPER(J364),",'',0,0,'','ALUMNO'")</f>
        <v>1363,'LICENCIATURA','mariaantonia.hernandezhernandez','110616','TOMAR DEL SND','HERNANDEZ HERNANDEZ MARIA ANTONIA','DISEÑO GRAFICO Y DIGITAL','6to','FEMENINO','ACTIVO','',0,0,'','ALUMNO'</v>
      </c>
      <c r="L364" s="16" t="str">
        <f>CONCATENATE($K$1,K364,");")</f>
        <v>INSERT INTO participantes (id,nivel,correo,matricula,clave,nombre,carrera,grado,sexo,situacion,evaluados,num_evaluados,total_evaluaciones,ultimo_acceso,nivel_acceso) VALUES (1363,'LICENCIATURA','mariaantonia.hernandezhernandez','110616','TOMAR DEL SND','HERNANDEZ HERNANDEZ MARIA ANTONIA','DISEÑO GRAFICO Y DIGITAL','6to','FEMENINO','ACTIVO','',0,0,'','ALUMNO');</v>
      </c>
      <c r="M364" s="16" t="str">
        <f>CONCATENATE("update participantes set correo=",C364," where id=",A364,";")</f>
        <v>update participantes set correo='mariaantonia.hernandezhernandez' where id=1363;</v>
      </c>
    </row>
    <row r="365" spans="1:13" ht="116" x14ac:dyDescent="0.35">
      <c r="A365" s="16">
        <v>1364</v>
      </c>
      <c r="B365" s="18" t="s">
        <v>1754</v>
      </c>
      <c r="C365" s="16" t="str">
        <f>CONCATENATE("'",Alumnos!E274,"'")</f>
        <v>'hermelinda.hernandezhernandez'</v>
      </c>
      <c r="D365" s="16" t="str">
        <f>CONCATENATE(Alumnos!F274,"'")</f>
        <v>'110617'</v>
      </c>
      <c r="E365" s="16" t="s">
        <v>1755</v>
      </c>
      <c r="F365" s="16" t="str">
        <f>CONCATENATE("'",Alumnos!H274,"'")</f>
        <v>'HERNANDEZ HERNANDEZ HERMELINDA'</v>
      </c>
      <c r="G365" s="16" t="str">
        <f>CONCATENATE("'",Alumnos!I274,"'")</f>
        <v>'DISEÑO GRAFICO Y DIGITAL'</v>
      </c>
      <c r="H365" s="16" t="str">
        <f>CONCATENATE("'",Alumnos!J274,"'")</f>
        <v>'6to'</v>
      </c>
      <c r="I365" s="16" t="str">
        <f>UPPER(CONCATENATE("'",Alumnos!K274,"'"))</f>
        <v>'FEMENINO'</v>
      </c>
      <c r="J365" s="16" t="str">
        <f>UPPER(CONCATENATE("'",Alumnos!L274,"'"))</f>
        <v>'ACTIVO'</v>
      </c>
      <c r="K365" s="16" t="str">
        <f>CONCATENATE(A365,",",B365,",",C365,",",D365,",'",E365,",",F365,",",G365,",",H365,",",UPPER(I365),",",UPPER(J365),",'',0,0,'','ALUMNO'")</f>
        <v>1364,'LICENCIATURA','hermelinda.hernandezhernandez','110617','TOMAR DEL SND','HERNANDEZ HERNANDEZ HERMELINDA','DISEÑO GRAFICO Y DIGITAL','6to','FEMENINO','ACTIVO','',0,0,'','ALUMNO'</v>
      </c>
      <c r="L365" s="16" t="str">
        <f>CONCATENATE($K$1,K365,");")</f>
        <v>INSERT INTO participantes (id,nivel,correo,matricula,clave,nombre,carrera,grado,sexo,situacion,evaluados,num_evaluados,total_evaluaciones,ultimo_acceso,nivel_acceso) VALUES (1364,'LICENCIATURA','hermelinda.hernandezhernandez','110617','TOMAR DEL SND','HERNANDEZ HERNANDEZ HERMELINDA','DISEÑO GRAFICO Y DIGITAL','6to','FEMENINO','ACTIVO','',0,0,'','ALUMNO');</v>
      </c>
      <c r="M365" s="16" t="str">
        <f>CONCATENATE("update participantes set correo=",C365," where id=",A365,";")</f>
        <v>update participantes set correo='hermelinda.hernandezhernandez' where id=1364;</v>
      </c>
    </row>
    <row r="366" spans="1:13" ht="116" x14ac:dyDescent="0.35">
      <c r="A366" s="16">
        <v>1365</v>
      </c>
      <c r="B366" s="18" t="s">
        <v>1754</v>
      </c>
      <c r="C366" s="16" t="str">
        <f>CONCATENATE("'",Alumnos!E286,"'")</f>
        <v>'ivan.ruizfuentes'</v>
      </c>
      <c r="D366" s="16" t="str">
        <f>CONCATENATE(Alumnos!F286,"'")</f>
        <v>'110620'</v>
      </c>
      <c r="E366" s="16" t="s">
        <v>1755</v>
      </c>
      <c r="F366" s="16" t="str">
        <f>CONCATENATE("'",Alumnos!H286,"'")</f>
        <v>'RUIZ FUENTES IVAN'</v>
      </c>
      <c r="G366" s="16" t="str">
        <f>CONCATENATE("'",Alumnos!I286,"'")</f>
        <v>'ARQUITECTURA'</v>
      </c>
      <c r="H366" s="16" t="str">
        <f>CONCATENATE("'",Alumnos!J286,"'")</f>
        <v>'8vo'</v>
      </c>
      <c r="I366" s="16" t="str">
        <f>UPPER(CONCATENATE("'",Alumnos!K286,"'"))</f>
        <v>'MASCULINO'</v>
      </c>
      <c r="J366" s="16" t="str">
        <f>UPPER(CONCATENATE("'",Alumnos!L286,"'"))</f>
        <v>'ACTIVO'</v>
      </c>
      <c r="K366" s="16" t="str">
        <f>CONCATENATE(A366,",",B366,",",C366,",",D366,",'",E366,",",F366,",",G366,",",H366,",",UPPER(I366),",",UPPER(J366),",'',0,0,'','ALUMNO'")</f>
        <v>1365,'LICENCIATURA','ivan.ruizfuentes','110620','TOMAR DEL SND','RUIZ FUENTES IVAN','ARQUITECTURA','8vo','MASCULINO','ACTIVO','',0,0,'','ALUMNO'</v>
      </c>
      <c r="L366" s="16" t="str">
        <f>CONCATENATE($K$1,K366,");")</f>
        <v>INSERT INTO participantes (id,nivel,correo,matricula,clave,nombre,carrera,grado,sexo,situacion,evaluados,num_evaluados,total_evaluaciones,ultimo_acceso,nivel_acceso) VALUES (1365,'LICENCIATURA','ivan.ruizfuentes','110620','TOMAR DEL SND','RUIZ FUENTES IVAN','ARQUITECTURA','8vo','MASCULINO','ACTIVO','',0,0,'','ALUMNO');</v>
      </c>
      <c r="M366" s="16" t="str">
        <f>CONCATENATE("update participantes set correo=",C366," where id=",A366,";")</f>
        <v>update participantes set correo='ivan.ruizfuentes' where id=1365;</v>
      </c>
    </row>
    <row r="367" spans="1:13" ht="130.5" x14ac:dyDescent="0.35">
      <c r="A367" s="16">
        <v>1366</v>
      </c>
      <c r="B367" s="18" t="s">
        <v>1754</v>
      </c>
      <c r="C367" s="16" t="str">
        <f>CONCATENATE("'",Alumnos!E423,"'")</f>
        <v>'lunadalai.lozanodelao'</v>
      </c>
      <c r="D367" s="16" t="str">
        <f>CONCATENATE(Alumnos!F423,"'")</f>
        <v>'110623'</v>
      </c>
      <c r="E367" s="16" t="s">
        <v>1755</v>
      </c>
      <c r="F367" s="16" t="str">
        <f>CONCATENATE("'",Alumnos!H423,"'")</f>
        <v>'LOZANO DE LA O LUNA DALAI'</v>
      </c>
      <c r="G367" s="16" t="str">
        <f>CONCATENATE("'",Alumnos!I423,"'")</f>
        <v>'NUTRICION Y GASTRONOMIA'</v>
      </c>
      <c r="H367" s="16" t="str">
        <f>CONCATENATE("'",Alumnos!J423,"'")</f>
        <v>'8vo'</v>
      </c>
      <c r="I367" s="16" t="str">
        <f>UPPER(CONCATENATE("'",Alumnos!K423,"'"))</f>
        <v>'FEMENINO'</v>
      </c>
      <c r="J367" s="16" t="str">
        <f>UPPER(CONCATENATE("'",Alumnos!L423,"'"))</f>
        <v>'ACTIVO'</v>
      </c>
      <c r="K367" s="16" t="str">
        <f>CONCATENATE(A367,",",B367,",",C367,",",D367,",'",E367,",",F367,",",G367,",",H367,",",UPPER(I367),",",UPPER(J367),",'',0,0,'','ALUMNO'")</f>
        <v>1366,'LICENCIATURA','lunadalai.lozanodelao','110623','TOMAR DEL SND','LOZANO DE LA O LUNA DALAI','NUTRICION Y GASTRONOMIA','8vo','FEMENINO','ACTIVO','',0,0,'','ALUMNO'</v>
      </c>
      <c r="L367" s="16" t="str">
        <f>CONCATENATE($K$1,K367,");")</f>
        <v>INSERT INTO participantes (id,nivel,correo,matricula,clave,nombre,carrera,grado,sexo,situacion,evaluados,num_evaluados,total_evaluaciones,ultimo_acceso,nivel_acceso) VALUES (1366,'LICENCIATURA','lunadalai.lozanodelao','110623','TOMAR DEL SND','LOZANO DE LA O LUNA DALAI','NUTRICION Y GASTRONOMIA','8vo','FEMENINO','ACTIVO','',0,0,'','ALUMNO');</v>
      </c>
      <c r="M367" s="16" t="str">
        <f>CONCATENATE("update participantes set correo=",C367," where id=",A367,";")</f>
        <v>update participantes set correo='lunadalai.lozanodelao' where id=1366;</v>
      </c>
    </row>
    <row r="368" spans="1:13" ht="101.5" x14ac:dyDescent="0.35">
      <c r="A368" s="16">
        <v>1367</v>
      </c>
      <c r="B368" s="18" t="s">
        <v>1754</v>
      </c>
      <c r="C368" s="16" t="str">
        <f>CONCATENATE("'",Alumnos!E601,"'")</f>
        <v>'valeria.ortegacano'</v>
      </c>
      <c r="D368" s="16" t="str">
        <f>CONCATENATE(Alumnos!F601,"'")</f>
        <v>'110624'</v>
      </c>
      <c r="E368" s="16" t="s">
        <v>1755</v>
      </c>
      <c r="F368" s="16" t="str">
        <f>CONCATENATE("'",Alumnos!H601,"'")</f>
        <v>'ORTEGA CANO VALERIA'</v>
      </c>
      <c r="G368" s="16" t="str">
        <f>CONCATENATE("'",Alumnos!I601,"'")</f>
        <v>'MERCADOTECNIA Y PUBLICIDAD'</v>
      </c>
      <c r="H368" s="16" t="str">
        <f>CONCATENATE("'",Alumnos!J601,"'")</f>
        <v>'8vo'</v>
      </c>
      <c r="I368" s="16" t="str">
        <f>UPPER(CONCATENATE("'",Alumnos!K601,"'"))</f>
        <v>'FEMENINO'</v>
      </c>
      <c r="J368" s="16" t="str">
        <f>UPPER(CONCATENATE("'",Alumnos!L601,"'"))</f>
        <v>'ACTIVO'</v>
      </c>
      <c r="K368" s="16" t="str">
        <f>CONCATENATE(A368,",",B368,",",C368,",",D368,",'",E368,",",F368,",",G368,",",H368,",",UPPER(I368),",",UPPER(J368),",'',0,0,'','ALUMNO'")</f>
        <v>1367,'LICENCIATURA','valeria.ortegacano','110624','TOMAR DEL SND','ORTEGA CANO VALERIA','MERCADOTECNIA Y PUBLICIDAD','8vo','FEMENINO','ACTIVO','',0,0,'','ALUMNO'</v>
      </c>
      <c r="L368" s="16" t="str">
        <f>CONCATENATE($K$1,K368,");")</f>
        <v>INSERT INTO participantes (id,nivel,correo,matricula,clave,nombre,carrera,grado,sexo,situacion,evaluados,num_evaluados,total_evaluaciones,ultimo_acceso,nivel_acceso) VALUES (1367,'LICENCIATURA','valeria.ortegacano','110624','TOMAR DEL SND','ORTEGA CANO VALERIA','MERCADOTECNIA Y PUBLICIDAD','8vo','FEMENINO','ACTIVO','',0,0,'','ALUMNO');</v>
      </c>
      <c r="M368" s="16" t="str">
        <f>CONCATENATE("update participantes set correo=",C368," where id=",A368,";")</f>
        <v>update participantes set correo='valeria.ortegacano' where id=1367;</v>
      </c>
    </row>
    <row r="369" spans="1:13" ht="130.5" x14ac:dyDescent="0.35">
      <c r="A369" s="16">
        <v>1368</v>
      </c>
      <c r="B369" s="18" t="s">
        <v>1754</v>
      </c>
      <c r="C369" s="16" t="str">
        <f>CONCATENATE("'",Alumnos!E191,"'")</f>
        <v>'diegoalfonso.torizmartinez'</v>
      </c>
      <c r="D369" s="16" t="str">
        <f>CONCATENATE(Alumnos!F191,"'")</f>
        <v>'110628'</v>
      </c>
      <c r="E369" s="16" t="s">
        <v>1755</v>
      </c>
      <c r="F369" s="16" t="str">
        <f>CONCATENATE("'",Alumnos!H191,"'")</f>
        <v>'TORIZ MARTINEZ DIEGO ALFONSO'</v>
      </c>
      <c r="G369" s="16" t="str">
        <f>CONCATENATE("'",Alumnos!I191,"'")</f>
        <v>'INGENIERIA CIBERNETICA Y EN SISTEMAS COMPUTACIONALES'</v>
      </c>
      <c r="H369" s="16" t="str">
        <f>CONCATENATE("'",Alumnos!J191,"'")</f>
        <v>'8vo'</v>
      </c>
      <c r="I369" s="16" t="str">
        <f>UPPER(CONCATENATE("'",Alumnos!K191,"'"))</f>
        <v>'MASCULINO'</v>
      </c>
      <c r="J369" s="16" t="str">
        <f>UPPER(CONCATENATE("'",Alumnos!L191,"'"))</f>
        <v>'ACTIVO'</v>
      </c>
      <c r="K369" s="16" t="str">
        <f>CONCATENATE(A369,",",B369,",",C369,",",D369,",'",E369,",",F369,",",G369,",",H369,",",UPPER(I369),",",UPPER(J369),",'',0,0,'','ALUMNO'")</f>
        <v>1368,'LICENCIATURA','diegoalfonso.torizmartinez','110628','TOMAR DEL SND','TORIZ MARTINEZ DIEGO ALFONSO','INGENIERIA CIBERNETICA Y EN SISTEMAS COMPUTACIONALES','8vo','MASCULINO','ACTIVO','',0,0,'','ALUMNO'</v>
      </c>
      <c r="L369" s="16" t="str">
        <f>CONCATENATE($K$1,K369,");")</f>
        <v>INSERT INTO participantes (id,nivel,correo,matricula,clave,nombre,carrera,grado,sexo,situacion,evaluados,num_evaluados,total_evaluaciones,ultimo_acceso,nivel_acceso) VALUES (1368,'LICENCIATURA','diegoalfonso.torizmartinez','110628','TOMAR DEL SND','TORIZ MARTINEZ DIEGO ALFONSO','INGENIERIA CIBERNETICA Y EN SISTEMAS COMPUTACIONALES','8vo','MASCULINO','ACTIVO','',0,0,'','ALUMNO');</v>
      </c>
      <c r="M369" s="16" t="str">
        <f>CONCATENATE("update participantes set correo=",C369," where id=",A369,";")</f>
        <v>update participantes set correo='diegoalfonso.torizmartinez' where id=1368;</v>
      </c>
    </row>
    <row r="370" spans="1:13" ht="116" x14ac:dyDescent="0.35">
      <c r="A370" s="16">
        <v>1369</v>
      </c>
      <c r="B370" s="18" t="s">
        <v>1754</v>
      </c>
      <c r="C370" s="16" t="str">
        <f>CONCATENATE("'",Alumnos!E598,"'")</f>
        <v>'valeria.galloaceves'</v>
      </c>
      <c r="D370" s="16" t="str">
        <f>CONCATENATE(Alumnos!F598,"'")</f>
        <v>'110630'</v>
      </c>
      <c r="E370" s="16" t="s">
        <v>1755</v>
      </c>
      <c r="F370" s="16" t="str">
        <f>CONCATENATE("'",Alumnos!H598,"'")</f>
        <v>'GALLO ACEVES VALERIA'</v>
      </c>
      <c r="G370" s="16" t="str">
        <f>CONCATENATE("'",Alumnos!I598,"'")</f>
        <v>'DERECHO'</v>
      </c>
      <c r="H370" s="16" t="str">
        <f>CONCATENATE("'",Alumnos!J598,"'")</f>
        <v>'8vo'</v>
      </c>
      <c r="I370" s="16" t="str">
        <f>UPPER(CONCATENATE("'",Alumnos!K598,"'"))</f>
        <v>'FEMENINO'</v>
      </c>
      <c r="J370" s="16" t="str">
        <f>UPPER(CONCATENATE("'",Alumnos!L598,"'"))</f>
        <v>'ACTIVO'</v>
      </c>
      <c r="K370" s="16" t="str">
        <f>CONCATENATE(A370,",",B370,",",C370,",",D370,",'",E370,",",F370,",",G370,",",H370,",",UPPER(I370),",",UPPER(J370),",'',0,0,'','ALUMNO'")</f>
        <v>1369,'LICENCIATURA','valeria.galloaceves','110630','TOMAR DEL SND','GALLO ACEVES VALERIA','DERECHO','8vo','FEMENINO','ACTIVO','',0,0,'','ALUMNO'</v>
      </c>
      <c r="L370" s="16" t="str">
        <f>CONCATENATE($K$1,K370,");")</f>
        <v>INSERT INTO participantes (id,nivel,correo,matricula,clave,nombre,carrera,grado,sexo,situacion,evaluados,num_evaluados,total_evaluaciones,ultimo_acceso,nivel_acceso) VALUES (1369,'LICENCIATURA','valeria.galloaceves','110630','TOMAR DEL SND','GALLO ACEVES VALERIA','DERECHO','8vo','FEMENINO','ACTIVO','',0,0,'','ALUMNO');</v>
      </c>
      <c r="M370" s="16" t="str">
        <f>CONCATENATE("update participantes set correo=",C370," where id=",A370,";")</f>
        <v>update participantes set correo='valeria.galloaceves' where id=1369;</v>
      </c>
    </row>
    <row r="371" spans="1:13" ht="116" x14ac:dyDescent="0.35">
      <c r="A371" s="16">
        <v>1370</v>
      </c>
      <c r="B371" s="18" t="s">
        <v>1754</v>
      </c>
      <c r="C371" s="16" t="str">
        <f>CONCATENATE("'",Alumnos!E561,"'")</f>
        <v>'salvadornicolas.pinoncaro'</v>
      </c>
      <c r="D371" s="16" t="str">
        <f>CONCATENATE(Alumnos!F561,"'")</f>
        <v>'110643'</v>
      </c>
      <c r="E371" s="16" t="s">
        <v>1755</v>
      </c>
      <c r="F371" s="16" t="str">
        <f>CONCATENATE("'",Alumnos!H561,"'")</f>
        <v>'PIÑON CARO SALVADOR NICOLAS'</v>
      </c>
      <c r="G371" s="16" t="str">
        <f>CONCATENATE("'",Alumnos!I561,"'")</f>
        <v>'ADMINISTRACION Y DIRECCION DE NEGOCIOS'</v>
      </c>
      <c r="H371" s="16" t="str">
        <f>CONCATENATE("'",Alumnos!J561,"'")</f>
        <v>'6to'</v>
      </c>
      <c r="I371" s="16" t="str">
        <f>UPPER(CONCATENATE("'",Alumnos!K561,"'"))</f>
        <v>'MASCULINO'</v>
      </c>
      <c r="J371" s="16" t="str">
        <f>UPPER(CONCATENATE("'",Alumnos!L561,"'"))</f>
        <v>'ACTIVO'</v>
      </c>
      <c r="K371" s="16" t="str">
        <f>CONCATENATE(A371,",",B371,",",C371,",",D371,",'",E371,",",F371,",",G371,",",H371,",",UPPER(I371),",",UPPER(J371),",'',0,0,'','ALUMNO'")</f>
        <v>1370,'LICENCIATURA','salvadornicolas.pinoncaro','110643','TOMAR DEL SND','PIÑON CARO SALVADOR NICOLAS','ADMINISTRACION Y DIRECCION DE NEGOCIOS','6to','MASCULINO','ACTIVO','',0,0,'','ALUMNO'</v>
      </c>
      <c r="L371" s="16" t="str">
        <f>CONCATENATE($K$1,K371,");")</f>
        <v>INSERT INTO participantes (id,nivel,correo,matricula,clave,nombre,carrera,grado,sexo,situacion,evaluados,num_evaluados,total_evaluaciones,ultimo_acceso,nivel_acceso) VALUES (1370,'LICENCIATURA','salvadornicolas.pinoncaro','110643','TOMAR DEL SND','PIÑON CARO SALVADOR NICOLAS','ADMINISTRACION Y DIRECCION DE NEGOCIOS','6to','MASCULINO','ACTIVO','',0,0,'','ALUMNO');</v>
      </c>
      <c r="M371" s="16" t="str">
        <f>CONCATENATE("update participantes set correo=",C371," where id=",A371,";")</f>
        <v>update participantes set correo='salvadornicolas.pinoncaro' where id=1370;</v>
      </c>
    </row>
    <row r="372" spans="1:13" ht="130.5" x14ac:dyDescent="0.35">
      <c r="A372" s="16">
        <v>1371</v>
      </c>
      <c r="B372" s="18" t="s">
        <v>1754</v>
      </c>
      <c r="C372" s="16" t="str">
        <f>CONCATENATE("'",Alumnos!E377,"'")</f>
        <v>'karlamichelle.maciasontiveros'</v>
      </c>
      <c r="D372" s="16" t="str">
        <f>CONCATENATE(Alumnos!F377,"'")</f>
        <v>'110644'</v>
      </c>
      <c r="E372" s="16" t="s">
        <v>1755</v>
      </c>
      <c r="F372" s="16" t="str">
        <f>CONCATENATE("'",Alumnos!H377,"'")</f>
        <v>'MACIAS ONTIVEROS KARLA MICHELLE'</v>
      </c>
      <c r="G372" s="16" t="str">
        <f>CONCATENATE("'",Alumnos!I377,"'")</f>
        <v>'ADMINISTRACION Y DIRECCION DE NEGOCIOS'</v>
      </c>
      <c r="H372" s="16" t="str">
        <f>CONCATENATE("'",Alumnos!J377,"'")</f>
        <v>'8vo'</v>
      </c>
      <c r="I372" s="16" t="str">
        <f>UPPER(CONCATENATE("'",Alumnos!K377,"'"))</f>
        <v>'FEMENINO'</v>
      </c>
      <c r="J372" s="16" t="str">
        <f>UPPER(CONCATENATE("'",Alumnos!L377,"'"))</f>
        <v>'BLOQUEADO'</v>
      </c>
      <c r="K372" s="16" t="str">
        <f>CONCATENATE(A372,",",B372,",",C372,",",D372,",'",E372,",",F372,",",G372,",",H372,",",UPPER(I372),",",UPPER(J372),",'',0,0,'','ALUMNO'")</f>
        <v>1371,'LICENCIATURA','karlamichelle.maciasontiveros','110644','TOMAR DEL SND','MACIAS ONTIVEROS KARLA MICHELLE','ADMINISTRACION Y DIRECCION DE NEGOCIOS','8vo','FEMENINO','BLOQUEADO','',0,0,'','ALUMNO'</v>
      </c>
      <c r="L372" s="16" t="str">
        <f>CONCATENATE($K$1,K372,");")</f>
        <v>INSERT INTO participantes (id,nivel,correo,matricula,clave,nombre,carrera,grado,sexo,situacion,evaluados,num_evaluados,total_evaluaciones,ultimo_acceso,nivel_acceso) VALUES (1371,'LICENCIATURA','karlamichelle.maciasontiveros','110644','TOMAR DEL SND','MACIAS ONTIVEROS KARLA MICHELLE','ADMINISTRACION Y DIRECCION DE NEGOCIOS','8vo','FEMENINO','BLOQUEADO','',0,0,'','ALUMNO');</v>
      </c>
      <c r="M372" s="16" t="str">
        <f>CONCATENATE("update participantes set correo=",C372," where id=",A372,";")</f>
        <v>update participantes set correo='karlamichelle.maciasontiveros' where id=1371;</v>
      </c>
    </row>
    <row r="373" spans="1:13" ht="116" x14ac:dyDescent="0.35">
      <c r="A373" s="16">
        <v>1372</v>
      </c>
      <c r="B373" s="18" t="s">
        <v>1754</v>
      </c>
      <c r="C373" s="16" t="str">
        <f>CONCATENATE("'",Alumnos!E486,"'")</f>
        <v>'naomijimena.hernandezgarcia'</v>
      </c>
      <c r="D373" s="16" t="str">
        <f>CONCATENATE(Alumnos!F486,"'")</f>
        <v>'110645'</v>
      </c>
      <c r="E373" s="16" t="s">
        <v>1755</v>
      </c>
      <c r="F373" s="16" t="str">
        <f>CONCATENATE("'",Alumnos!H486,"'")</f>
        <v>'HERNANDEZ GARCIA NAOMI JIMENA'</v>
      </c>
      <c r="G373" s="16" t="str">
        <f>CONCATENATE("'",Alumnos!I486,"'")</f>
        <v>'PSICOLOGIA'</v>
      </c>
      <c r="H373" s="16" t="str">
        <f>CONCATENATE("'",Alumnos!J486,"'")</f>
        <v>'8vo'</v>
      </c>
      <c r="I373" s="16" t="str">
        <f>UPPER(CONCATENATE("'",Alumnos!K486,"'"))</f>
        <v>'FEMENINO'</v>
      </c>
      <c r="J373" s="16" t="str">
        <f>UPPER(CONCATENATE("'",Alumnos!L486,"'"))</f>
        <v>'ACTIVO'</v>
      </c>
      <c r="K373" s="16" t="str">
        <f>CONCATENATE(A373,",",B373,",",C373,",",D373,",'",E373,",",F373,",",G373,",",H373,",",UPPER(I373),",",UPPER(J373),",'',0,0,'','ALUMNO'")</f>
        <v>1372,'LICENCIATURA','naomijimena.hernandezgarcia','110645','TOMAR DEL SND','HERNANDEZ GARCIA NAOMI JIMENA','PSICOLOGIA','8vo','FEMENINO','ACTIVO','',0,0,'','ALUMNO'</v>
      </c>
      <c r="L373" s="16" t="str">
        <f>CONCATENATE($K$1,K373,");")</f>
        <v>INSERT INTO participantes (id,nivel,correo,matricula,clave,nombre,carrera,grado,sexo,situacion,evaluados,num_evaluados,total_evaluaciones,ultimo_acceso,nivel_acceso) VALUES (1372,'LICENCIATURA','naomijimena.hernandezgarcia','110645','TOMAR DEL SND','HERNANDEZ GARCIA NAOMI JIMENA','PSICOLOGIA','8vo','FEMENINO','ACTIVO','',0,0,'','ALUMNO');</v>
      </c>
      <c r="M373" s="16" t="str">
        <f>CONCATENATE("update participantes set correo=",C373," where id=",A373,";")</f>
        <v>update participantes set correo='naomijimena.hernandezgarcia' where id=1372;</v>
      </c>
    </row>
    <row r="374" spans="1:13" ht="130.5" x14ac:dyDescent="0.35">
      <c r="A374" s="16">
        <v>1373</v>
      </c>
      <c r="B374" s="18" t="s">
        <v>1754</v>
      </c>
      <c r="C374" s="16" t="str">
        <f>CONCATENATE("'",Alumnos!E159,"'")</f>
        <v>'danielignacio.salcidoramos'</v>
      </c>
      <c r="D374" s="16" t="str">
        <f>CONCATENATE(Alumnos!F159,"'")</f>
        <v>'110652'</v>
      </c>
      <c r="E374" s="16" t="s">
        <v>1755</v>
      </c>
      <c r="F374" s="16" t="str">
        <f>CONCATENATE("'",Alumnos!H159,"'")</f>
        <v>'SALCIDO RAMOS DANIEL IGNACIO'</v>
      </c>
      <c r="G374" s="16" t="str">
        <f>CONCATENATE("'",Alumnos!I159,"'")</f>
        <v>'COMERCIO INTERNACIONAL'</v>
      </c>
      <c r="H374" s="16" t="str">
        <f>CONCATENATE("'",Alumnos!J159,"'")</f>
        <v>'8vo'</v>
      </c>
      <c r="I374" s="16" t="str">
        <f>UPPER(CONCATENATE("'",Alumnos!K159,"'"))</f>
        <v>'MASCULINO'</v>
      </c>
      <c r="J374" s="16" t="str">
        <f>UPPER(CONCATENATE("'",Alumnos!L159,"'"))</f>
        <v>'ACTIVO'</v>
      </c>
      <c r="K374" s="16" t="str">
        <f>CONCATENATE(A374,",",B374,",",C374,",",D374,",'",E374,",",F374,",",G374,",",H374,",",UPPER(I374),",",UPPER(J374),",'',0,0,'','ALUMNO'")</f>
        <v>1373,'LICENCIATURA','danielignacio.salcidoramos','110652','TOMAR DEL SND','SALCIDO RAMOS DANIEL IGNACIO','COMERCIO INTERNACIONAL','8vo','MASCULINO','ACTIVO','',0,0,'','ALUMNO'</v>
      </c>
      <c r="L374" s="16" t="str">
        <f>CONCATENATE($K$1,K374,");")</f>
        <v>INSERT INTO participantes (id,nivel,correo,matricula,clave,nombre,carrera,grado,sexo,situacion,evaluados,num_evaluados,total_evaluaciones,ultimo_acceso,nivel_acceso) VALUES (1373,'LICENCIATURA','danielignacio.salcidoramos','110652','TOMAR DEL SND','SALCIDO RAMOS DANIEL IGNACIO','COMERCIO INTERNACIONAL','8vo','MASCULINO','ACTIVO','',0,0,'','ALUMNO');</v>
      </c>
      <c r="M374" s="16" t="str">
        <f>CONCATENATE("update participantes set correo=",C374," where id=",A374,";")</f>
        <v>update participantes set correo='danielignacio.salcidoramos' where id=1373;</v>
      </c>
    </row>
    <row r="375" spans="1:13" ht="116" x14ac:dyDescent="0.35">
      <c r="A375" s="16">
        <v>1374</v>
      </c>
      <c r="B375" s="18" t="s">
        <v>1754</v>
      </c>
      <c r="C375" s="16" t="str">
        <f>CONCATENATE("'",Alumnos!E359,"'")</f>
        <v>'juanpablo.vacahernandez'</v>
      </c>
      <c r="D375" s="16" t="str">
        <f>CONCATENATE(Alumnos!F359,"'")</f>
        <v>'110653'</v>
      </c>
      <c r="E375" s="16" t="s">
        <v>1755</v>
      </c>
      <c r="F375" s="16" t="str">
        <f>CONCATENATE("'",Alumnos!H359,"'")</f>
        <v>'VACA HERNANDEZ JUAN PABLO'</v>
      </c>
      <c r="G375" s="16" t="str">
        <f>CONCATENATE("'",Alumnos!I359,"'")</f>
        <v>'ARQUITECTURA'</v>
      </c>
      <c r="H375" s="16" t="str">
        <f>CONCATENATE("'",Alumnos!J359,"'")</f>
        <v>'8vo'</v>
      </c>
      <c r="I375" s="16" t="str">
        <f>UPPER(CONCATENATE("'",Alumnos!K359,"'"))</f>
        <v>'MASCULINO'</v>
      </c>
      <c r="J375" s="16" t="str">
        <f>UPPER(CONCATENATE("'",Alumnos!L359,"'"))</f>
        <v>'ACTIVO'</v>
      </c>
      <c r="K375" s="16" t="str">
        <f>CONCATENATE(A375,",",B375,",",C375,",",D375,",'",E375,",",F375,",",G375,",",H375,",",UPPER(I375),",",UPPER(J375),",'',0,0,'','ALUMNO'")</f>
        <v>1374,'LICENCIATURA','juanpablo.vacahernandez','110653','TOMAR DEL SND','VACA HERNANDEZ JUAN PABLO','ARQUITECTURA','8vo','MASCULINO','ACTIVO','',0,0,'','ALUMNO'</v>
      </c>
      <c r="L375" s="16" t="str">
        <f>CONCATENATE($K$1,K375,");")</f>
        <v>INSERT INTO participantes (id,nivel,correo,matricula,clave,nombre,carrera,grado,sexo,situacion,evaluados,num_evaluados,total_evaluaciones,ultimo_acceso,nivel_acceso) VALUES (1374,'LICENCIATURA','juanpablo.vacahernandez','110653','TOMAR DEL SND','VACA HERNANDEZ JUAN PABLO','ARQUITECTURA','8vo','MASCULINO','ACTIVO','',0,0,'','ALUMNO');</v>
      </c>
      <c r="M375" s="16" t="str">
        <f>CONCATENATE("update participantes set correo=",C375," where id=",A375,";")</f>
        <v>update participantes set correo='juanpablo.vacahernandez' where id=1374;</v>
      </c>
    </row>
    <row r="376" spans="1:13" ht="116" x14ac:dyDescent="0.35">
      <c r="A376" s="16">
        <v>1375</v>
      </c>
      <c r="B376" s="18" t="s">
        <v>1754</v>
      </c>
      <c r="C376" s="16" t="str">
        <f>CONCATENATE("'",Alumnos!E153,"'")</f>
        <v>'danapaulina.ayalamagallon'</v>
      </c>
      <c r="D376" s="16" t="str">
        <f>CONCATENATE(Alumnos!F153,"'")</f>
        <v>'110661'</v>
      </c>
      <c r="E376" s="16" t="s">
        <v>1755</v>
      </c>
      <c r="F376" s="16" t="str">
        <f>CONCATENATE("'",Alumnos!H153,"'")</f>
        <v>'AYALA MAGALLON DANA PAULINA'</v>
      </c>
      <c r="G376" s="16" t="str">
        <f>CONCATENATE("'",Alumnos!I153,"'")</f>
        <v>'ARQUITECTURA'</v>
      </c>
      <c r="H376" s="16" t="str">
        <f>CONCATENATE("'",Alumnos!J153,"'")</f>
        <v>'8vo'</v>
      </c>
      <c r="I376" s="16" t="str">
        <f>UPPER(CONCATENATE("'",Alumnos!K153,"'"))</f>
        <v>'FEMENINO'</v>
      </c>
      <c r="J376" s="16" t="str">
        <f>UPPER(CONCATENATE("'",Alumnos!L153,"'"))</f>
        <v>'ACTIVO'</v>
      </c>
      <c r="K376" s="16" t="str">
        <f>CONCATENATE(A376,",",B376,",",C376,",",D376,",'",E376,",",F376,",",G376,",",H376,",",UPPER(I376),",",UPPER(J376),",'',0,0,'','ALUMNO'")</f>
        <v>1375,'LICENCIATURA','danapaulina.ayalamagallon','110661','TOMAR DEL SND','AYALA MAGALLON DANA PAULINA','ARQUITECTURA','8vo','FEMENINO','ACTIVO','',0,0,'','ALUMNO'</v>
      </c>
      <c r="L376" s="16" t="str">
        <f>CONCATENATE($K$1,K376,");")</f>
        <v>INSERT INTO participantes (id,nivel,correo,matricula,clave,nombre,carrera,grado,sexo,situacion,evaluados,num_evaluados,total_evaluaciones,ultimo_acceso,nivel_acceso) VALUES (1375,'LICENCIATURA','danapaulina.ayalamagallon','110661','TOMAR DEL SND','AYALA MAGALLON DANA PAULINA','ARQUITECTURA','8vo','FEMENINO','ACTIVO','',0,0,'','ALUMNO');</v>
      </c>
      <c r="M376" s="16" t="str">
        <f>CONCATENATE("update participantes set correo=",C376," where id=",A376,";")</f>
        <v>update participantes set correo='danapaulina.ayalamagallon' where id=1375;</v>
      </c>
    </row>
    <row r="377" spans="1:13" ht="116" x14ac:dyDescent="0.35">
      <c r="A377" s="16">
        <v>1376</v>
      </c>
      <c r="B377" s="18" t="s">
        <v>1754</v>
      </c>
      <c r="C377" s="16" t="str">
        <f>CONCATENATE("'",Alumnos!E613,"'")</f>
        <v>'ximena.cardenasgarcia'</v>
      </c>
      <c r="D377" s="16" t="str">
        <f>CONCATENATE(Alumnos!F613,"'")</f>
        <v>'110662'</v>
      </c>
      <c r="E377" s="16" t="s">
        <v>1755</v>
      </c>
      <c r="F377" s="16" t="str">
        <f>CONCATENATE("'",Alumnos!H613,"'")</f>
        <v>'CARDENAS GARCIA XIMENA'</v>
      </c>
      <c r="G377" s="16" t="str">
        <f>CONCATENATE("'",Alumnos!I613,"'")</f>
        <v>'PSICOLOGIA'</v>
      </c>
      <c r="H377" s="16" t="str">
        <f>CONCATENATE("'",Alumnos!J613,"'")</f>
        <v>'8vo'</v>
      </c>
      <c r="I377" s="16" t="str">
        <f>UPPER(CONCATENATE("'",Alumnos!K613,"'"))</f>
        <v>'FEMENINO'</v>
      </c>
      <c r="J377" s="16" t="str">
        <f>UPPER(CONCATENATE("'",Alumnos!L613,"'"))</f>
        <v>'ACTIVO'</v>
      </c>
      <c r="K377" s="16" t="str">
        <f>CONCATENATE(A377,",",B377,",",C377,",",D377,",'",E377,",",F377,",",G377,",",H377,",",UPPER(I377),",",UPPER(J377),",'',0,0,'','ALUMNO'")</f>
        <v>1376,'LICENCIATURA','ximena.cardenasgarcia','110662','TOMAR DEL SND','CARDENAS GARCIA XIMENA','PSICOLOGIA','8vo','FEMENINO','ACTIVO','',0,0,'','ALUMNO'</v>
      </c>
      <c r="L377" s="16" t="str">
        <f>CONCATENATE($K$1,K377,");")</f>
        <v>INSERT INTO participantes (id,nivel,correo,matricula,clave,nombre,carrera,grado,sexo,situacion,evaluados,num_evaluados,total_evaluaciones,ultimo_acceso,nivel_acceso) VALUES (1376,'LICENCIATURA','ximena.cardenasgarcia','110662','TOMAR DEL SND','CARDENAS GARCIA XIMENA','PSICOLOGIA','8vo','FEMENINO','ACTIVO','',0,0,'','ALUMNO');</v>
      </c>
      <c r="M377" s="16" t="str">
        <f>CONCATENATE("update participantes set correo=",C377," where id=",A377,";")</f>
        <v>update participantes set correo='ximena.cardenasgarcia' where id=1376;</v>
      </c>
    </row>
    <row r="378" spans="1:13" ht="130.5" x14ac:dyDescent="0.35">
      <c r="A378" s="16">
        <v>1377</v>
      </c>
      <c r="B378" s="18" t="s">
        <v>1754</v>
      </c>
      <c r="C378" s="16" t="str">
        <f>CONCATENATE("'",Alumnos!E339,"'")</f>
        <v>'josemaria.coronadocabrera'</v>
      </c>
      <c r="D378" s="16" t="str">
        <f>CONCATENATE(Alumnos!F339,"'")</f>
        <v>'110664'</v>
      </c>
      <c r="E378" s="16" t="s">
        <v>1755</v>
      </c>
      <c r="F378" s="16" t="str">
        <f>CONCATENATE("'",Alumnos!H339,"'")</f>
        <v>'CORONADO CABRERA JOSE MARIA'</v>
      </c>
      <c r="G378" s="16" t="str">
        <f>CONCATENATE("'",Alumnos!I339,"'")</f>
        <v>'NUTRICION Y GASTRONOMIA'</v>
      </c>
      <c r="H378" s="16" t="str">
        <f>CONCATENATE("'",Alumnos!J339,"'")</f>
        <v>'8vo'</v>
      </c>
      <c r="I378" s="16" t="str">
        <f>UPPER(CONCATENATE("'",Alumnos!K339,"'"))</f>
        <v>'MASCULINO'</v>
      </c>
      <c r="J378" s="16" t="str">
        <f>UPPER(CONCATENATE("'",Alumnos!L339,"'"))</f>
        <v>'ACTIVO'</v>
      </c>
      <c r="K378" s="16" t="str">
        <f>CONCATENATE(A378,",",B378,",",C378,",",D378,",'",E378,",",F378,",",G378,",",H378,",",UPPER(I378),",",UPPER(J378),",'',0,0,'','ALUMNO'")</f>
        <v>1377,'LICENCIATURA','josemaria.coronadocabrera','110664','TOMAR DEL SND','CORONADO CABRERA JOSE MARIA','NUTRICION Y GASTRONOMIA','8vo','MASCULINO','ACTIVO','',0,0,'','ALUMNO'</v>
      </c>
      <c r="L378" s="16" t="str">
        <f>CONCATENATE($K$1,K378,");")</f>
        <v>INSERT INTO participantes (id,nivel,correo,matricula,clave,nombre,carrera,grado,sexo,situacion,evaluados,num_evaluados,total_evaluaciones,ultimo_acceso,nivel_acceso) VALUES (1377,'LICENCIATURA','josemaria.coronadocabrera','110664','TOMAR DEL SND','CORONADO CABRERA JOSE MARIA','NUTRICION Y GASTRONOMIA','8vo','MASCULINO','ACTIVO','',0,0,'','ALUMNO');</v>
      </c>
      <c r="M378" s="16" t="str">
        <f>CONCATENATE("update participantes set correo=",C378," where id=",A378,";")</f>
        <v>update participantes set correo='josemaria.coronadocabrera' where id=1377;</v>
      </c>
    </row>
    <row r="379" spans="1:13" ht="116" x14ac:dyDescent="0.35">
      <c r="A379" s="16">
        <v>1378</v>
      </c>
      <c r="B379" s="18" t="s">
        <v>1754</v>
      </c>
      <c r="C379" s="16" t="str">
        <f>CONCATENATE("'",Alumnos!E403,"'")</f>
        <v>'leslydaniela.robledorodriguez'</v>
      </c>
      <c r="D379" s="16" t="str">
        <f>CONCATENATE(Alumnos!F403,"'")</f>
        <v>'110665'</v>
      </c>
      <c r="E379" s="16" t="s">
        <v>1755</v>
      </c>
      <c r="F379" s="16" t="str">
        <f>CONCATENATE("'",Alumnos!H403,"'")</f>
        <v>'ROBLEDO RODRIGUEZ LESLY DANIELA'</v>
      </c>
      <c r="G379" s="16" t="str">
        <f>CONCATENATE("'",Alumnos!I403,"'")</f>
        <v>'ARQUITECTURA'</v>
      </c>
      <c r="H379" s="16" t="str">
        <f>CONCATENATE("'",Alumnos!J403,"'")</f>
        <v>'8vo'</v>
      </c>
      <c r="I379" s="16" t="str">
        <f>UPPER(CONCATENATE("'",Alumnos!K403,"'"))</f>
        <v>'FEMENINO'</v>
      </c>
      <c r="J379" s="16" t="str">
        <f>UPPER(CONCATENATE("'",Alumnos!L403,"'"))</f>
        <v>'ACTIVO'</v>
      </c>
      <c r="K379" s="16" t="str">
        <f>CONCATENATE(A379,",",B379,",",C379,",",D379,",'",E379,",",F379,",",G379,",",H379,",",UPPER(I379),",",UPPER(J379),",'',0,0,'','ALUMNO'")</f>
        <v>1378,'LICENCIATURA','leslydaniela.robledorodriguez','110665','TOMAR DEL SND','ROBLEDO RODRIGUEZ LESLY DANIELA','ARQUITECTURA','8vo','FEMENINO','ACTIVO','',0,0,'','ALUMNO'</v>
      </c>
      <c r="L379" s="16" t="str">
        <f>CONCATENATE($K$1,K379,");")</f>
        <v>INSERT INTO participantes (id,nivel,correo,matricula,clave,nombre,carrera,grado,sexo,situacion,evaluados,num_evaluados,total_evaluaciones,ultimo_acceso,nivel_acceso) VALUES (1378,'LICENCIATURA','leslydaniela.robledorodriguez','110665','TOMAR DEL SND','ROBLEDO RODRIGUEZ LESLY DANIELA','ARQUITECTURA','8vo','FEMENINO','ACTIVO','',0,0,'','ALUMNO');</v>
      </c>
      <c r="M379" s="16" t="str">
        <f>CONCATENATE("update participantes set correo=",C379," where id=",A379,";")</f>
        <v>update participantes set correo='leslydaniela.robledorodriguez' where id=1378;</v>
      </c>
    </row>
    <row r="380" spans="1:13" ht="116" x14ac:dyDescent="0.35">
      <c r="A380" s="16">
        <v>1379</v>
      </c>
      <c r="B380" s="18" t="s">
        <v>1754</v>
      </c>
      <c r="C380" s="16" t="str">
        <f>CONCATENATE("'",Alumnos!E44,"'")</f>
        <v>'america.mendezcancelada'</v>
      </c>
      <c r="D380" s="16" t="str">
        <f>CONCATENATE(Alumnos!F44,"'")</f>
        <v>'110666'</v>
      </c>
      <c r="E380" s="16" t="s">
        <v>1755</v>
      </c>
      <c r="F380" s="16" t="str">
        <f>CONCATENATE("'",Alumnos!H44,"'")</f>
        <v>'MENDEZ CANCELADA AMERICA'</v>
      </c>
      <c r="G380" s="16" t="str">
        <f>CONCATENATE("'",Alumnos!I44,"'")</f>
        <v>'ARQUITECTURA'</v>
      </c>
      <c r="H380" s="16" t="str">
        <f>CONCATENATE("'",Alumnos!J44,"'")</f>
        <v>'8vo'</v>
      </c>
      <c r="I380" s="16" t="str">
        <f>UPPER(CONCATENATE("'",Alumnos!K44,"'"))</f>
        <v>'FEMENINO'</v>
      </c>
      <c r="J380" s="16" t="str">
        <f>UPPER(CONCATENATE("'",Alumnos!L44,"'"))</f>
        <v>'ACTIVO'</v>
      </c>
      <c r="K380" s="16" t="str">
        <f>CONCATENATE(A380,",",B380,",",C380,",",D380,",'",E380,",",F380,",",G380,",",H380,",",UPPER(I380),",",UPPER(J380),",'',0,0,'','ALUMNO'")</f>
        <v>1379,'LICENCIATURA','america.mendezcancelada','110666','TOMAR DEL SND','MENDEZ CANCELADA AMERICA','ARQUITECTURA','8vo','FEMENINO','ACTIVO','',0,0,'','ALUMNO'</v>
      </c>
      <c r="L380" s="16" t="str">
        <f>CONCATENATE($K$1,K380,");")</f>
        <v>INSERT INTO participantes (id,nivel,correo,matricula,clave,nombre,carrera,grado,sexo,situacion,evaluados,num_evaluados,total_evaluaciones,ultimo_acceso,nivel_acceso) VALUES (1379,'LICENCIATURA','america.mendezcancelada','110666','TOMAR DEL SND','MENDEZ CANCELADA AMERICA','ARQUITECTURA','8vo','FEMENINO','ACTIVO','',0,0,'','ALUMNO');</v>
      </c>
      <c r="M380" s="16" t="str">
        <f>CONCATENATE("update participantes set correo=",C380," where id=",A380,";")</f>
        <v>update participantes set correo='america.mendezcancelada' where id=1379;</v>
      </c>
    </row>
    <row r="381" spans="1:13" ht="130.5" x14ac:dyDescent="0.35">
      <c r="A381" s="16">
        <v>1380</v>
      </c>
      <c r="B381" s="18" t="s">
        <v>1754</v>
      </c>
      <c r="C381" s="16" t="str">
        <f>CONCATENATE("'",Alumnos!E590,"'")</f>
        <v>'ulisesjosell.gonzalezlopez'</v>
      </c>
      <c r="D381" s="16" t="str">
        <f>CONCATENATE(Alumnos!F590,"'")</f>
        <v>'110667'</v>
      </c>
      <c r="E381" s="16" t="s">
        <v>1755</v>
      </c>
      <c r="F381" s="16" t="str">
        <f>CONCATENATE("'",Alumnos!H590,"'")</f>
        <v>'GONZALEZ LOPEZ ULISES JOSELL'</v>
      </c>
      <c r="G381" s="16" t="str">
        <f>CONCATENATE("'",Alumnos!I590,"'")</f>
        <v>'INGENIERIA CIBERNETICA Y EN SISTEMAS COMPUTACIONALES'</v>
      </c>
      <c r="H381" s="16" t="str">
        <f>CONCATENATE("'",Alumnos!J590,"'")</f>
        <v>'8vo'</v>
      </c>
      <c r="I381" s="16" t="str">
        <f>UPPER(CONCATENATE("'",Alumnos!K590,"'"))</f>
        <v>'MASCULINO'</v>
      </c>
      <c r="J381" s="16" t="str">
        <f>UPPER(CONCATENATE("'",Alumnos!L590,"'"))</f>
        <v>'ACTIVO'</v>
      </c>
      <c r="K381" s="16" t="str">
        <f>CONCATENATE(A381,",",B381,",",C381,",",D381,",'",E381,",",F381,",",G381,",",H381,",",UPPER(I381),",",UPPER(J381),",'',0,0,'','ALUMNO'")</f>
        <v>1380,'LICENCIATURA','ulisesjosell.gonzalezlopez','110667','TOMAR DEL SND','GONZALEZ LOPEZ ULISES JOSELL','INGENIERIA CIBERNETICA Y EN SISTEMAS COMPUTACIONALES','8vo','MASCULINO','ACTIVO','',0,0,'','ALUMNO'</v>
      </c>
      <c r="L381" s="16" t="str">
        <f>CONCATENATE($K$1,K381,");")</f>
        <v>INSERT INTO participantes (id,nivel,correo,matricula,clave,nombre,carrera,grado,sexo,situacion,evaluados,num_evaluados,total_evaluaciones,ultimo_acceso,nivel_acceso) VALUES (1380,'LICENCIATURA','ulisesjosell.gonzalezlopez','110667','TOMAR DEL SND','GONZALEZ LOPEZ ULISES JOSELL','INGENIERIA CIBERNETICA Y EN SISTEMAS COMPUTACIONALES','8vo','MASCULINO','ACTIVO','',0,0,'','ALUMNO');</v>
      </c>
      <c r="M381" s="16" t="str">
        <f>CONCATENATE("update participantes set correo=",C381," where id=",A381,";")</f>
        <v>update participantes set correo='ulisesjosell.gonzalezlopez' where id=1380;</v>
      </c>
    </row>
    <row r="382" spans="1:13" ht="116" x14ac:dyDescent="0.35">
      <c r="A382" s="16">
        <v>1381</v>
      </c>
      <c r="B382" s="18" t="s">
        <v>1754</v>
      </c>
      <c r="C382" s="16" t="str">
        <f>CONCATENATE("'",Alumnos!E141,"'")</f>
        <v>'claudiamarian.regaladoanaya'</v>
      </c>
      <c r="D382" s="16" t="str">
        <f>CONCATENATE(Alumnos!F141,"'")</f>
        <v>'110672'</v>
      </c>
      <c r="E382" s="16" t="s">
        <v>1755</v>
      </c>
      <c r="F382" s="16" t="str">
        <f>CONCATENATE("'",Alumnos!H141,"'")</f>
        <v>'REGALADO ANAYA CLAUDIA MARIAN'</v>
      </c>
      <c r="G382" s="16" t="str">
        <f>CONCATENATE("'",Alumnos!I141,"'")</f>
        <v>'DISEÑO GRAFICO Y DIGITAL'</v>
      </c>
      <c r="H382" s="16" t="str">
        <f>CONCATENATE("'",Alumnos!J141,"'")</f>
        <v>'8vo'</v>
      </c>
      <c r="I382" s="16" t="str">
        <f>UPPER(CONCATENATE("'",Alumnos!K141,"'"))</f>
        <v>'FEMENINO'</v>
      </c>
      <c r="J382" s="16" t="str">
        <f>UPPER(CONCATENATE("'",Alumnos!L141,"'"))</f>
        <v>'ACTIVO'</v>
      </c>
      <c r="K382" s="16" t="str">
        <f>CONCATENATE(A382,",",B382,",",C382,",",D382,",'",E382,",",F382,",",G382,",",H382,",",UPPER(I382),",",UPPER(J382),",'',0,0,'','ALUMNO'")</f>
        <v>1381,'LICENCIATURA','claudiamarian.regaladoanaya','110672','TOMAR DEL SND','REGALADO ANAYA CLAUDIA MARIAN','DISEÑO GRAFICO Y DIGITAL','8vo','FEMENINO','ACTIVO','',0,0,'','ALUMNO'</v>
      </c>
      <c r="L382" s="16" t="str">
        <f>CONCATENATE($K$1,K382,");")</f>
        <v>INSERT INTO participantes (id,nivel,correo,matricula,clave,nombre,carrera,grado,sexo,situacion,evaluados,num_evaluados,total_evaluaciones,ultimo_acceso,nivel_acceso) VALUES (1381,'LICENCIATURA','claudiamarian.regaladoanaya','110672','TOMAR DEL SND','REGALADO ANAYA CLAUDIA MARIAN','DISEÑO GRAFICO Y DIGITAL','8vo','FEMENINO','ACTIVO','',0,0,'','ALUMNO');</v>
      </c>
      <c r="M382" s="16" t="str">
        <f>CONCATENATE("update participantes set correo=",C382," where id=",A382,";")</f>
        <v>update participantes set correo='claudiamarian.regaladoanaya' where id=1381;</v>
      </c>
    </row>
    <row r="383" spans="1:13" ht="130.5" x14ac:dyDescent="0.35">
      <c r="A383" s="16">
        <v>1382</v>
      </c>
      <c r="B383" s="18" t="s">
        <v>1754</v>
      </c>
      <c r="C383" s="16" t="str">
        <f>CONCATENATE("'",Alumnos!E326,"'")</f>
        <v>'josealberto.rubalcavamercado'</v>
      </c>
      <c r="D383" s="16" t="str">
        <f>CONCATENATE(Alumnos!F326,"'")</f>
        <v>'110673'</v>
      </c>
      <c r="E383" s="16" t="s">
        <v>1755</v>
      </c>
      <c r="F383" s="16" t="str">
        <f>CONCATENATE("'",Alumnos!H326,"'")</f>
        <v>'RUBALCAVA MERCADO JOSE ALBERTO'</v>
      </c>
      <c r="G383" s="16" t="str">
        <f>CONCATENATE("'",Alumnos!I326,"'")</f>
        <v>'MERCADOTECNIA Y PUBLICIDAD'</v>
      </c>
      <c r="H383" s="16" t="str">
        <f>CONCATENATE("'",Alumnos!J326,"'")</f>
        <v>'8vo'</v>
      </c>
      <c r="I383" s="16" t="str">
        <f>UPPER(CONCATENATE("'",Alumnos!K326,"'"))</f>
        <v>'MASCULINO'</v>
      </c>
      <c r="J383" s="16" t="str">
        <f>UPPER(CONCATENATE("'",Alumnos!L326,"'"))</f>
        <v>'ACTIVO'</v>
      </c>
      <c r="K383" s="16" t="str">
        <f>CONCATENATE(A383,",",B383,",",C383,",",D383,",'",E383,",",F383,",",G383,",",H383,",",UPPER(I383),",",UPPER(J383),",'',0,0,'','ALUMNO'")</f>
        <v>1382,'LICENCIATURA','josealberto.rubalcavamercado','110673','TOMAR DEL SND','RUBALCAVA MERCADO JOSE ALBERTO','MERCADOTECNIA Y PUBLICIDAD','8vo','MASCULINO','ACTIVO','',0,0,'','ALUMNO'</v>
      </c>
      <c r="L383" s="16" t="str">
        <f>CONCATENATE($K$1,K383,");")</f>
        <v>INSERT INTO participantes (id,nivel,correo,matricula,clave,nombre,carrera,grado,sexo,situacion,evaluados,num_evaluados,total_evaluaciones,ultimo_acceso,nivel_acceso) VALUES (1382,'LICENCIATURA','josealberto.rubalcavamercado','110673','TOMAR DEL SND','RUBALCAVA MERCADO JOSE ALBERTO','MERCADOTECNIA Y PUBLICIDAD','8vo','MASCULINO','ACTIVO','',0,0,'','ALUMNO');</v>
      </c>
      <c r="M383" s="16" t="str">
        <f>CONCATENATE("update participantes set correo=",C383," where id=",A383,";")</f>
        <v>update participantes set correo='josealberto.rubalcavamercado' where id=1382;</v>
      </c>
    </row>
    <row r="384" spans="1:13" ht="130.5" x14ac:dyDescent="0.35">
      <c r="A384" s="16">
        <v>1383</v>
      </c>
      <c r="B384" s="18" t="s">
        <v>1754</v>
      </c>
      <c r="C384" s="16" t="str">
        <f>CONCATENATE("'",Alumnos!E552,"'")</f>
        <v>'rodrigo.martinezmartinez'</v>
      </c>
      <c r="D384" s="16" t="str">
        <f>CONCATENATE(Alumnos!F552,"'")</f>
        <v>'110674'</v>
      </c>
      <c r="E384" s="16" t="s">
        <v>1755</v>
      </c>
      <c r="F384" s="16" t="str">
        <f>CONCATENATE("'",Alumnos!H552,"'")</f>
        <v>'MARTINEZ MARTINEZ RODRIGO'</v>
      </c>
      <c r="G384" s="16" t="str">
        <f>CONCATENATE("'",Alumnos!I552,"'")</f>
        <v>'INGENIERIA CIBERNETICA Y EN SISTEMAS COMPUTACIONALES'</v>
      </c>
      <c r="H384" s="16" t="str">
        <f>CONCATENATE("'",Alumnos!J552,"'")</f>
        <v>'8vo'</v>
      </c>
      <c r="I384" s="16" t="str">
        <f>UPPER(CONCATENATE("'",Alumnos!K552,"'"))</f>
        <v>'MASCULINO'</v>
      </c>
      <c r="J384" s="16" t="str">
        <f>UPPER(CONCATENATE("'",Alumnos!L552,"'"))</f>
        <v>'ACTIVO'</v>
      </c>
      <c r="K384" s="16" t="str">
        <f>CONCATENATE(A384,",",B384,",",C384,",",D384,",'",E384,",",F384,",",G384,",",H384,",",UPPER(I384),",",UPPER(J384),",'',0,0,'','ALUMNO'")</f>
        <v>1383,'LICENCIATURA','rodrigo.martinezmartinez','110674','TOMAR DEL SND','MARTINEZ MARTINEZ RODRIGO','INGENIERIA CIBERNETICA Y EN SISTEMAS COMPUTACIONALES','8vo','MASCULINO','ACTIVO','',0,0,'','ALUMNO'</v>
      </c>
      <c r="L384" s="16" t="str">
        <f>CONCATENATE($K$1,K384,");")</f>
        <v>INSERT INTO participantes (id,nivel,correo,matricula,clave,nombre,carrera,grado,sexo,situacion,evaluados,num_evaluados,total_evaluaciones,ultimo_acceso,nivel_acceso) VALUES (1383,'LICENCIATURA','rodrigo.martinezmartinez','110674','TOMAR DEL SND','MARTINEZ MARTINEZ RODRIGO','INGENIERIA CIBERNETICA Y EN SISTEMAS COMPUTACIONALES','8vo','MASCULINO','ACTIVO','',0,0,'','ALUMNO');</v>
      </c>
      <c r="M384" s="16" t="str">
        <f>CONCATENATE("update participantes set correo=",C384," where id=",A384,";")</f>
        <v>update participantes set correo='rodrigo.martinezmartinez' where id=1383;</v>
      </c>
    </row>
    <row r="385" spans="1:13" ht="130.5" x14ac:dyDescent="0.35">
      <c r="A385" s="16">
        <v>1384</v>
      </c>
      <c r="B385" s="18" t="s">
        <v>1754</v>
      </c>
      <c r="C385" s="16" t="str">
        <f>CONCATENATE("'",Alumnos!E395,"'")</f>
        <v>'laviniazarina.torresguevara'</v>
      </c>
      <c r="D385" s="16" t="str">
        <f>CONCATENATE(Alumnos!F395,"'")</f>
        <v>'110694'</v>
      </c>
      <c r="E385" s="16" t="s">
        <v>1755</v>
      </c>
      <c r="F385" s="16" t="str">
        <f>CONCATENATE("'",Alumnos!H395,"'")</f>
        <v>'TORRES GUEVARA LAVINIA ZARINA'</v>
      </c>
      <c r="G385" s="16" t="str">
        <f>CONCATENATE("'",Alumnos!I395,"'")</f>
        <v>'COMERCIO INTERNACIONAL'</v>
      </c>
      <c r="H385" s="16" t="str">
        <f>CONCATENATE("'",Alumnos!J395,"'")</f>
        <v>'8vo'</v>
      </c>
      <c r="I385" s="16" t="str">
        <f>UPPER(CONCATENATE("'",Alumnos!K395,"'"))</f>
        <v>'FEMENINO'</v>
      </c>
      <c r="J385" s="16" t="str">
        <f>UPPER(CONCATENATE("'",Alumnos!L395,"'"))</f>
        <v>'ACTIVO'</v>
      </c>
      <c r="K385" s="16" t="str">
        <f>CONCATENATE(A385,",",B385,",",C385,",",D385,",'",E385,",",F385,",",G385,",",H385,",",UPPER(I385),",",UPPER(J385),",'',0,0,'','ALUMNO'")</f>
        <v>1384,'LICENCIATURA','laviniazarina.torresguevara','110694','TOMAR DEL SND','TORRES GUEVARA LAVINIA ZARINA','COMERCIO INTERNACIONAL','8vo','FEMENINO','ACTIVO','',0,0,'','ALUMNO'</v>
      </c>
      <c r="L385" s="16" t="str">
        <f>CONCATENATE($K$1,K385,");")</f>
        <v>INSERT INTO participantes (id,nivel,correo,matricula,clave,nombre,carrera,grado,sexo,situacion,evaluados,num_evaluados,total_evaluaciones,ultimo_acceso,nivel_acceso) VALUES (1384,'LICENCIATURA','laviniazarina.torresguevara','110694','TOMAR DEL SND','TORRES GUEVARA LAVINIA ZARINA','COMERCIO INTERNACIONAL','8vo','FEMENINO','ACTIVO','',0,0,'','ALUMNO');</v>
      </c>
      <c r="M385" s="16" t="str">
        <f>CONCATENATE("update participantes set correo=",C385," where id=",A385,";")</f>
        <v>update participantes set correo='laviniazarina.torresguevara' where id=1384;</v>
      </c>
    </row>
    <row r="386" spans="1:13" ht="116" x14ac:dyDescent="0.35">
      <c r="A386" s="16">
        <v>1385</v>
      </c>
      <c r="B386" s="18" t="s">
        <v>1754</v>
      </c>
      <c r="C386" s="16" t="str">
        <f>CONCATENATE("'",Alumnos!E529,"'")</f>
        <v>'paoladenice.pandurosolis'</v>
      </c>
      <c r="D386" s="16" t="str">
        <f>CONCATENATE(Alumnos!F529,"'")</f>
        <v>'110695'</v>
      </c>
      <c r="E386" s="16" t="s">
        <v>1755</v>
      </c>
      <c r="F386" s="16" t="str">
        <f>CONCATENATE("'",Alumnos!H529,"'")</f>
        <v>'PANDURO SOLIS PAOLA DENICE'</v>
      </c>
      <c r="G386" s="16" t="str">
        <f>CONCATENATE("'",Alumnos!I529,"'")</f>
        <v>'PSICOLOGIA'</v>
      </c>
      <c r="H386" s="16" t="str">
        <f>CONCATENATE("'",Alumnos!J529,"'")</f>
        <v>'8vo'</v>
      </c>
      <c r="I386" s="16" t="str">
        <f>UPPER(CONCATENATE("'",Alumnos!K529,"'"))</f>
        <v>'FEMENINO'</v>
      </c>
      <c r="J386" s="16" t="str">
        <f>UPPER(CONCATENATE("'",Alumnos!L529,"'"))</f>
        <v>'ACTIVO'</v>
      </c>
      <c r="K386" s="16" t="str">
        <f>CONCATENATE(A386,",",B386,",",C386,",",D386,",'",E386,",",F386,",",G386,",",H386,",",UPPER(I386),",",UPPER(J386),",'',0,0,'','ALUMNO'")</f>
        <v>1385,'LICENCIATURA','paoladenice.pandurosolis','110695','TOMAR DEL SND','PANDURO SOLIS PAOLA DENICE','PSICOLOGIA','8vo','FEMENINO','ACTIVO','',0,0,'','ALUMNO'</v>
      </c>
      <c r="L386" s="16" t="str">
        <f>CONCATENATE($K$1,K386,");")</f>
        <v>INSERT INTO participantes (id,nivel,correo,matricula,clave,nombre,carrera,grado,sexo,situacion,evaluados,num_evaluados,total_evaluaciones,ultimo_acceso,nivel_acceso) VALUES (1385,'LICENCIATURA','paoladenice.pandurosolis','110695','TOMAR DEL SND','PANDURO SOLIS PAOLA DENICE','PSICOLOGIA','8vo','FEMENINO','ACTIVO','',0,0,'','ALUMNO');</v>
      </c>
      <c r="M386" s="16" t="str">
        <f>CONCATENATE("update participantes set correo=",C386," where id=",A386,";")</f>
        <v>update participantes set correo='paoladenice.pandurosolis' where id=1385;</v>
      </c>
    </row>
    <row r="387" spans="1:13" ht="116" x14ac:dyDescent="0.35">
      <c r="A387" s="16">
        <v>1386</v>
      </c>
      <c r="B387" s="18" t="s">
        <v>1754</v>
      </c>
      <c r="C387" s="16" t="str">
        <f>CONCATENATE("'",Alumnos!E209,"'")</f>
        <v>'elizabeth.delacruzbrambila'</v>
      </c>
      <c r="D387" s="16" t="str">
        <f>CONCATENATE(Alumnos!F209,"'")</f>
        <v>'110703'</v>
      </c>
      <c r="E387" s="16" t="s">
        <v>1755</v>
      </c>
      <c r="F387" s="16" t="str">
        <f>CONCATENATE("'",Alumnos!H209,"'")</f>
        <v>'DE LA CRUZ BRAMBILA ELIZABETH'</v>
      </c>
      <c r="G387" s="16" t="str">
        <f>CONCATENATE("'",Alumnos!I209,"'")</f>
        <v>'ARQUITECTURA'</v>
      </c>
      <c r="H387" s="16" t="str">
        <f>CONCATENATE("'",Alumnos!J209,"'")</f>
        <v>'8vo'</v>
      </c>
      <c r="I387" s="16" t="str">
        <f>UPPER(CONCATENATE("'",Alumnos!K209,"'"))</f>
        <v>'FEMENINO'</v>
      </c>
      <c r="J387" s="16" t="str">
        <f>UPPER(CONCATENATE("'",Alumnos!L209,"'"))</f>
        <v>'ACTIVO'</v>
      </c>
      <c r="K387" s="16" t="str">
        <f>CONCATENATE(A387,",",B387,",",C387,",",D387,",'",E387,",",F387,",",G387,",",H387,",",UPPER(I387),",",UPPER(J387),",'',0,0,'','ALUMNO'")</f>
        <v>1386,'LICENCIATURA','elizabeth.delacruzbrambila','110703','TOMAR DEL SND','DE LA CRUZ BRAMBILA ELIZABETH','ARQUITECTURA','8vo','FEMENINO','ACTIVO','',0,0,'','ALUMNO'</v>
      </c>
      <c r="L387" s="16" t="str">
        <f>CONCATENATE($K$1,K387,");")</f>
        <v>INSERT INTO participantes (id,nivel,correo,matricula,clave,nombre,carrera,grado,sexo,situacion,evaluados,num_evaluados,total_evaluaciones,ultimo_acceso,nivel_acceso) VALUES (1386,'LICENCIATURA','elizabeth.delacruzbrambila','110703','TOMAR DEL SND','DE LA CRUZ BRAMBILA ELIZABETH','ARQUITECTURA','8vo','FEMENINO','ACTIVO','',0,0,'','ALUMNO');</v>
      </c>
      <c r="M387" s="16" t="str">
        <f>CONCATENATE("update participantes set correo=",C387," where id=",A387,";")</f>
        <v>update participantes set correo='elizabeth.delacruzbrambila' where id=1386;</v>
      </c>
    </row>
    <row r="388" spans="1:13" ht="116" x14ac:dyDescent="0.35">
      <c r="A388" s="16">
        <v>1387</v>
      </c>
      <c r="B388" s="18" t="s">
        <v>1754</v>
      </c>
      <c r="C388" s="16" t="str">
        <f>CONCATENATE("'",Alumnos!E165,"'")</f>
        <v>'danielarenee.mirandasanchez'</v>
      </c>
      <c r="D388" s="16" t="str">
        <f>CONCATENATE(Alumnos!F165,"'")</f>
        <v>'110711'</v>
      </c>
      <c r="E388" s="16" t="s">
        <v>1755</v>
      </c>
      <c r="F388" s="16" t="str">
        <f>CONCATENATE("'",Alumnos!H165,"'")</f>
        <v>'MIRANDA SANCHEZ DANIELA RENEE'</v>
      </c>
      <c r="G388" s="16" t="str">
        <f>CONCATENATE("'",Alumnos!I165,"'")</f>
        <v>'DISEÑO GRAFICO Y DIGITAL'</v>
      </c>
      <c r="H388" s="16" t="str">
        <f>CONCATENATE("'",Alumnos!J165,"'")</f>
        <v>'8vo'</v>
      </c>
      <c r="I388" s="16" t="str">
        <f>UPPER(CONCATENATE("'",Alumnos!K165,"'"))</f>
        <v>'FEMENINO'</v>
      </c>
      <c r="J388" s="16" t="str">
        <f>UPPER(CONCATENATE("'",Alumnos!L165,"'"))</f>
        <v>'ACTIVO'</v>
      </c>
      <c r="K388" s="16" t="str">
        <f>CONCATENATE(A388,",",B388,",",C388,",",D388,",'",E388,",",F388,",",G388,",",H388,",",UPPER(I388),",",UPPER(J388),",'',0,0,'','ALUMNO'")</f>
        <v>1387,'LICENCIATURA','danielarenee.mirandasanchez','110711','TOMAR DEL SND','MIRANDA SANCHEZ DANIELA RENEE','DISEÑO GRAFICO Y DIGITAL','8vo','FEMENINO','ACTIVO','',0,0,'','ALUMNO'</v>
      </c>
      <c r="L388" s="16" t="str">
        <f>CONCATENATE($K$1,K388,");")</f>
        <v>INSERT INTO participantes (id,nivel,correo,matricula,clave,nombre,carrera,grado,sexo,situacion,evaluados,num_evaluados,total_evaluaciones,ultimo_acceso,nivel_acceso) VALUES (1387,'LICENCIATURA','danielarenee.mirandasanchez','110711','TOMAR DEL SND','MIRANDA SANCHEZ DANIELA RENEE','DISEÑO GRAFICO Y DIGITAL','8vo','FEMENINO','ACTIVO','',0,0,'','ALUMNO');</v>
      </c>
      <c r="M388" s="16" t="str">
        <f>CONCATENATE("update participantes set correo=",C388," where id=",A388,";")</f>
        <v>update participantes set correo='danielarenee.mirandasanchez' where id=1387;</v>
      </c>
    </row>
    <row r="389" spans="1:13" ht="116" x14ac:dyDescent="0.35">
      <c r="A389" s="16">
        <v>1388</v>
      </c>
      <c r="B389" s="18" t="s">
        <v>1754</v>
      </c>
      <c r="C389" s="16" t="str">
        <f>CONCATENATE("'",Alumnos!E284,"'")</f>
        <v>'isabely.alvescornejo'</v>
      </c>
      <c r="D389" s="16" t="str">
        <f>CONCATENATE(Alumnos!F284,"'")</f>
        <v>'110714'</v>
      </c>
      <c r="E389" s="16" t="s">
        <v>1755</v>
      </c>
      <c r="F389" s="16" t="str">
        <f>CONCATENATE("'",Alumnos!H284,"'")</f>
        <v>'ALVES CORNEJO ISABELY'</v>
      </c>
      <c r="G389" s="16" t="str">
        <f>CONCATENATE("'",Alumnos!I284,"'")</f>
        <v>'NUTRICION Y GASTRONOMIA'</v>
      </c>
      <c r="H389" s="16" t="str">
        <f>CONCATENATE("'",Alumnos!J284,"'")</f>
        <v>'8vo'</v>
      </c>
      <c r="I389" s="16" t="str">
        <f>UPPER(CONCATENATE("'",Alumnos!K284,"'"))</f>
        <v>'FEMENINO'</v>
      </c>
      <c r="J389" s="16" t="str">
        <f>UPPER(CONCATENATE("'",Alumnos!L284,"'"))</f>
        <v>'ACTIVO'</v>
      </c>
      <c r="K389" s="16" t="str">
        <f>CONCATENATE(A389,",",B389,",",C389,",",D389,",'",E389,",",F389,",",G389,",",H389,",",UPPER(I389),",",UPPER(J389),",'',0,0,'','ALUMNO'")</f>
        <v>1388,'LICENCIATURA','isabely.alvescornejo','110714','TOMAR DEL SND','ALVES CORNEJO ISABELY','NUTRICION Y GASTRONOMIA','8vo','FEMENINO','ACTIVO','',0,0,'','ALUMNO'</v>
      </c>
      <c r="L389" s="16" t="str">
        <f>CONCATENATE($K$1,K389,");")</f>
        <v>INSERT INTO participantes (id,nivel,correo,matricula,clave,nombre,carrera,grado,sexo,situacion,evaluados,num_evaluados,total_evaluaciones,ultimo_acceso,nivel_acceso) VALUES (1388,'LICENCIATURA','isabely.alvescornejo','110714','TOMAR DEL SND','ALVES CORNEJO ISABELY','NUTRICION Y GASTRONOMIA','8vo','FEMENINO','ACTIVO','',0,0,'','ALUMNO');</v>
      </c>
      <c r="M389" s="16" t="str">
        <f>CONCATENATE("update participantes set correo=",C389," where id=",A389,";")</f>
        <v>update participantes set correo='isabely.alvescornejo' where id=1388;</v>
      </c>
    </row>
    <row r="390" spans="1:13" ht="116" x14ac:dyDescent="0.35">
      <c r="A390" s="16">
        <v>1389</v>
      </c>
      <c r="B390" s="18" t="s">
        <v>1754</v>
      </c>
      <c r="C390" s="16" t="str">
        <f>CONCATENATE("'",Alumnos!E71,"'")</f>
        <v>'angel.gonzalezparra'</v>
      </c>
      <c r="D390" s="16" t="str">
        <f>CONCATENATE(Alumnos!F71,"'")</f>
        <v>'110730'</v>
      </c>
      <c r="E390" s="16" t="s">
        <v>1755</v>
      </c>
      <c r="F390" s="16" t="str">
        <f>CONCATENATE("'",Alumnos!H71,"'")</f>
        <v>'GONZALEZ PARRA ANGEL'</v>
      </c>
      <c r="G390" s="16" t="str">
        <f>CONCATENATE("'",Alumnos!I71,"'")</f>
        <v>'DERECHO'</v>
      </c>
      <c r="H390" s="16" t="str">
        <f>CONCATENATE("'",Alumnos!J71,"'")</f>
        <v>'8vo'</v>
      </c>
      <c r="I390" s="16" t="str">
        <f>UPPER(CONCATENATE("'",Alumnos!K71,"'"))</f>
        <v>'MASCULINO'</v>
      </c>
      <c r="J390" s="16" t="str">
        <f>UPPER(CONCATENATE("'",Alumnos!L71,"'"))</f>
        <v>'ACTIVO'</v>
      </c>
      <c r="K390" s="16" t="str">
        <f>CONCATENATE(A390,",",B390,",",C390,",",D390,",'",E390,",",F390,",",G390,",",H390,",",UPPER(I390),",",UPPER(J390),",'',0,0,'','ALUMNO'")</f>
        <v>1389,'LICENCIATURA','angel.gonzalezparra','110730','TOMAR DEL SND','GONZALEZ PARRA ANGEL','DERECHO','8vo','MASCULINO','ACTIVO','',0,0,'','ALUMNO'</v>
      </c>
      <c r="L390" s="16" t="str">
        <f>CONCATENATE($K$1,K390,");")</f>
        <v>INSERT INTO participantes (id,nivel,correo,matricula,clave,nombre,carrera,grado,sexo,situacion,evaluados,num_evaluados,total_evaluaciones,ultimo_acceso,nivel_acceso) VALUES (1389,'LICENCIATURA','angel.gonzalezparra','110730','TOMAR DEL SND','GONZALEZ PARRA ANGEL','DERECHO','8vo','MASCULINO','ACTIVO','',0,0,'','ALUMNO');</v>
      </c>
      <c r="M390" s="16" t="str">
        <f>CONCATENATE("update participantes set correo=",C390," where id=",A390,";")</f>
        <v>update participantes set correo='angel.gonzalezparra' where id=1389;</v>
      </c>
    </row>
    <row r="391" spans="1:13" ht="116" x14ac:dyDescent="0.35">
      <c r="A391" s="16">
        <v>1390</v>
      </c>
      <c r="B391" s="18" t="s">
        <v>1754</v>
      </c>
      <c r="C391" s="16" t="str">
        <f>CONCATENATE("'",Alumnos!E230,"'")</f>
        <v>'estefaninicole.orozcorivas'</v>
      </c>
      <c r="D391" s="16" t="str">
        <f>CONCATENATE(Alumnos!F230,"'")</f>
        <v>'110763'</v>
      </c>
      <c r="E391" s="16" t="s">
        <v>1755</v>
      </c>
      <c r="F391" s="16" t="str">
        <f>CONCATENATE("'",Alumnos!H230,"'")</f>
        <v>'OROZCO RIVAS ESTEFANI NICOLE'</v>
      </c>
      <c r="G391" s="16" t="str">
        <f>CONCATENATE("'",Alumnos!I230,"'")</f>
        <v>'DERECHO'</v>
      </c>
      <c r="H391" s="16" t="str">
        <f>CONCATENATE("'",Alumnos!J230,"'")</f>
        <v>'8vo'</v>
      </c>
      <c r="I391" s="16" t="str">
        <f>UPPER(CONCATENATE("'",Alumnos!K230,"'"))</f>
        <v>'FEMENINO'</v>
      </c>
      <c r="J391" s="16" t="str">
        <f>UPPER(CONCATENATE("'",Alumnos!L230,"'"))</f>
        <v>'ACTIVO'</v>
      </c>
      <c r="K391" s="16" t="str">
        <f>CONCATENATE(A391,",",B391,",",C391,",",D391,",'",E391,",",F391,",",G391,",",H391,",",UPPER(I391),",",UPPER(J391),",'',0,0,'','ALUMNO'")</f>
        <v>1390,'LICENCIATURA','estefaninicole.orozcorivas','110763','TOMAR DEL SND','OROZCO RIVAS ESTEFANI NICOLE','DERECHO','8vo','FEMENINO','ACTIVO','',0,0,'','ALUMNO'</v>
      </c>
      <c r="L391" s="16" t="str">
        <f>CONCATENATE($K$1,K391,");")</f>
        <v>INSERT INTO participantes (id,nivel,correo,matricula,clave,nombre,carrera,grado,sexo,situacion,evaluados,num_evaluados,total_evaluaciones,ultimo_acceso,nivel_acceso) VALUES (1390,'LICENCIATURA','estefaninicole.orozcorivas','110763','TOMAR DEL SND','OROZCO RIVAS ESTEFANI NICOLE','DERECHO','8vo','FEMENINO','ACTIVO','',0,0,'','ALUMNO');</v>
      </c>
      <c r="M391" s="16" t="str">
        <f>CONCATENATE("update participantes set correo=",C391," where id=",A391,";")</f>
        <v>update participantes set correo='estefaninicole.orozcorivas' where id=1390;</v>
      </c>
    </row>
    <row r="392" spans="1:13" ht="116" x14ac:dyDescent="0.35">
      <c r="A392" s="16">
        <v>1391</v>
      </c>
      <c r="B392" s="18" t="s">
        <v>1754</v>
      </c>
      <c r="C392" s="16" t="str">
        <f>CONCATENATE("'",Alumnos!E253,"'")</f>
        <v>'gema.martinezorbe'</v>
      </c>
      <c r="D392" s="16" t="str">
        <f>CONCATENATE(Alumnos!F253,"'")</f>
        <v>'110786'</v>
      </c>
      <c r="E392" s="16" t="s">
        <v>1755</v>
      </c>
      <c r="F392" s="16" t="str">
        <f>CONCATENATE("'",Alumnos!H253,"'")</f>
        <v>'MARTINEZ ORBE GEMA'</v>
      </c>
      <c r="G392" s="16" t="str">
        <f>CONCATENATE("'",Alumnos!I253,"'")</f>
        <v>'PSICOLOGIA'</v>
      </c>
      <c r="H392" s="16" t="str">
        <f>CONCATENATE("'",Alumnos!J253,"'")</f>
        <v>'8vo'</v>
      </c>
      <c r="I392" s="16" t="str">
        <f>UPPER(CONCATENATE("'",Alumnos!K253,"'"))</f>
        <v>'FEMENINO'</v>
      </c>
      <c r="J392" s="16" t="str">
        <f>UPPER(CONCATENATE("'",Alumnos!L253,"'"))</f>
        <v>'ACTIVO'</v>
      </c>
      <c r="K392" s="16" t="str">
        <f>CONCATENATE(A392,",",B392,",",C392,",",D392,",'",E392,",",F392,",",G392,",",H392,",",UPPER(I392),",",UPPER(J392),",'',0,0,'','ALUMNO'")</f>
        <v>1391,'LICENCIATURA','gema.martinezorbe','110786','TOMAR DEL SND','MARTINEZ ORBE GEMA','PSICOLOGIA','8vo','FEMENINO','ACTIVO','',0,0,'','ALUMNO'</v>
      </c>
      <c r="L392" s="16" t="str">
        <f>CONCATENATE($K$1,K392,");")</f>
        <v>INSERT INTO participantes (id,nivel,correo,matricula,clave,nombre,carrera,grado,sexo,situacion,evaluados,num_evaluados,total_evaluaciones,ultimo_acceso,nivel_acceso) VALUES (1391,'LICENCIATURA','gema.martinezorbe','110786','TOMAR DEL SND','MARTINEZ ORBE GEMA','PSICOLOGIA','8vo','FEMENINO','ACTIVO','',0,0,'','ALUMNO');</v>
      </c>
      <c r="M392" s="16" t="str">
        <f>CONCATENATE("update participantes set correo=",C392," where id=",A392,";")</f>
        <v>update participantes set correo='gema.martinezorbe' where id=1391;</v>
      </c>
    </row>
    <row r="393" spans="1:13" ht="116" x14ac:dyDescent="0.35">
      <c r="A393" s="16">
        <v>1392</v>
      </c>
      <c r="B393" s="18" t="s">
        <v>1754</v>
      </c>
      <c r="C393" s="16" t="str">
        <f>CONCATENATE("'",Alumnos!E197,"'")</f>
        <v>'diegosebastian.vonhauskedellasera'</v>
      </c>
      <c r="D393" s="16" t="str">
        <f>CONCATENATE(Alumnos!F197,"'")</f>
        <v>'110803'</v>
      </c>
      <c r="E393" s="16" t="s">
        <v>1755</v>
      </c>
      <c r="F393" s="16" t="str">
        <f>CONCATENATE("'",Alumnos!H197,"'")</f>
        <v>'VON HAUSKE DELLA SERA DIEGO SEBASTIAN'</v>
      </c>
      <c r="G393" s="16" t="str">
        <f>CONCATENATE("'",Alumnos!I197,"'")</f>
        <v>'DISEÑO GRAFICO Y DIGITAL'</v>
      </c>
      <c r="H393" s="16" t="str">
        <f>CONCATENATE("'",Alumnos!J197,"'")</f>
        <v>'8vo'</v>
      </c>
      <c r="I393" s="16" t="str">
        <f>UPPER(CONCATENATE("'",Alumnos!K197,"'"))</f>
        <v>'MASCULINO'</v>
      </c>
      <c r="J393" s="16" t="str">
        <f>UPPER(CONCATENATE("'",Alumnos!L197,"'"))</f>
        <v>'ACTIVO'</v>
      </c>
      <c r="K393" s="16" t="str">
        <f>CONCATENATE(A393,",",B393,",",C393,",",D393,",'",E393,",",F393,",",G393,",",H393,",",UPPER(I393),",",UPPER(J393),",'',0,0,'','ALUMNO'")</f>
        <v>1392,'LICENCIATURA','diegosebastian.vonhauskedellasera','110803','TOMAR DEL SND','VON HAUSKE DELLA SERA DIEGO SEBASTIAN','DISEÑO GRAFICO Y DIGITAL','8vo','MASCULINO','ACTIVO','',0,0,'','ALUMNO'</v>
      </c>
      <c r="L393" s="16" t="str">
        <f>CONCATENATE($K$1,K393,");")</f>
        <v>INSERT INTO participantes (id,nivel,correo,matricula,clave,nombre,carrera,grado,sexo,situacion,evaluados,num_evaluados,total_evaluaciones,ultimo_acceso,nivel_acceso) VALUES (1392,'LICENCIATURA','diegosebastian.vonhauskedellasera','110803','TOMAR DEL SND','VON HAUSKE DELLA SERA DIEGO SEBASTIAN','DISEÑO GRAFICO Y DIGITAL','8vo','MASCULINO','ACTIVO','',0,0,'','ALUMNO');</v>
      </c>
      <c r="M393" s="16" t="str">
        <f>CONCATENATE("update participantes set correo=",C393," where id=",A393,";")</f>
        <v>update participantes set correo='diegosebastian.vonhauskedellasera' where id=1392;</v>
      </c>
    </row>
    <row r="394" spans="1:13" ht="130.5" x14ac:dyDescent="0.35">
      <c r="A394" s="16">
        <v>1393</v>
      </c>
      <c r="B394" s="18" t="s">
        <v>1754</v>
      </c>
      <c r="C394" s="16" t="str">
        <f>CONCATENATE("'",Alumnos!E484,"'")</f>
        <v>'myriamsofia.esquivelencarnacion'</v>
      </c>
      <c r="D394" s="16" t="str">
        <f>CONCATENATE(Alumnos!F484,"'")</f>
        <v>'111028'</v>
      </c>
      <c r="E394" s="16" t="s">
        <v>1755</v>
      </c>
      <c r="F394" s="16" t="str">
        <f>CONCATENATE("'",Alumnos!H484,"'")</f>
        <v>'ESQUIVEL ENCARNACION MYRIAM SOFIA'</v>
      </c>
      <c r="G394" s="16" t="str">
        <f>CONCATENATE("'",Alumnos!I484,"'")</f>
        <v>'ARQUITECTURA'</v>
      </c>
      <c r="H394" s="16" t="str">
        <f>CONCATENATE("'",Alumnos!J484,"'")</f>
        <v>'6to'</v>
      </c>
      <c r="I394" s="16" t="str">
        <f>UPPER(CONCATENATE("'",Alumnos!K484,"'"))</f>
        <v>'FEMENINO'</v>
      </c>
      <c r="J394" s="16" t="str">
        <f>UPPER(CONCATENATE("'",Alumnos!L484,"'"))</f>
        <v>'ACTIVO'</v>
      </c>
      <c r="K394" s="16" t="str">
        <f>CONCATENATE(A394,",",B394,",",C394,",",D394,",'",E394,",",F394,",",G394,",",H394,",",UPPER(I394),",",UPPER(J394),",'',0,0,'','ALUMNO'")</f>
        <v>1393,'LICENCIATURA','myriamsofia.esquivelencarnacion','111028','TOMAR DEL SND','ESQUIVEL ENCARNACION MYRIAM SOFIA','ARQUITECTURA','6to','FEMENINO','ACTIVO','',0,0,'','ALUMNO'</v>
      </c>
      <c r="L394" s="16" t="str">
        <f>CONCATENATE($K$1,K394,");")</f>
        <v>INSERT INTO participantes (id,nivel,correo,matricula,clave,nombre,carrera,grado,sexo,situacion,evaluados,num_evaluados,total_evaluaciones,ultimo_acceso,nivel_acceso) VALUES (1393,'LICENCIATURA','myriamsofia.esquivelencarnacion','111028','TOMAR DEL SND','ESQUIVEL ENCARNACION MYRIAM SOFIA','ARQUITECTURA','6to','FEMENINO','ACTIVO','',0,0,'','ALUMNO');</v>
      </c>
      <c r="M394" s="16" t="str">
        <f>CONCATENATE("update participantes set correo=",C394," where id=",A394,";")</f>
        <v>update participantes set correo='myriamsofia.esquivelencarnacion' where id=1393;</v>
      </c>
    </row>
    <row r="395" spans="1:13" ht="116" x14ac:dyDescent="0.35">
      <c r="A395" s="16">
        <v>1394</v>
      </c>
      <c r="B395" s="18" t="s">
        <v>1754</v>
      </c>
      <c r="C395" s="16" t="str">
        <f>CONCATENATE("'",Alumnos!E606,"'")</f>
        <v>'victorhugo.francomendez'</v>
      </c>
      <c r="D395" s="16" t="str">
        <f>CONCATENATE(Alumnos!F606,"'")</f>
        <v>'111030'</v>
      </c>
      <c r="E395" s="16" t="s">
        <v>1755</v>
      </c>
      <c r="F395" s="16" t="str">
        <f>CONCATENATE("'",Alumnos!H606,"'")</f>
        <v>'FRANCO MENDEZ VICTOR HUGO'</v>
      </c>
      <c r="G395" s="16" t="str">
        <f>CONCATENATE("'",Alumnos!I606,"'")</f>
        <v>'PSICOLOGIA'</v>
      </c>
      <c r="H395" s="16" t="str">
        <f>CONCATENATE("'",Alumnos!J606,"'")</f>
        <v>'6to'</v>
      </c>
      <c r="I395" s="16" t="str">
        <f>UPPER(CONCATENATE("'",Alumnos!K606,"'"))</f>
        <v>'MASCULINO'</v>
      </c>
      <c r="J395" s="16" t="str">
        <f>UPPER(CONCATENATE("'",Alumnos!L606,"'"))</f>
        <v>'ACTIVO'</v>
      </c>
      <c r="K395" s="16" t="str">
        <f>CONCATENATE(A395,",",B395,",",C395,",",D395,",'",E395,",",F395,",",G395,",",H395,",",UPPER(I395),",",UPPER(J395),",'',0,0,'','ALUMNO'")</f>
        <v>1394,'LICENCIATURA','victorhugo.francomendez','111030','TOMAR DEL SND','FRANCO MENDEZ VICTOR HUGO','PSICOLOGIA','6to','MASCULINO','ACTIVO','',0,0,'','ALUMNO'</v>
      </c>
      <c r="L395" s="16" t="str">
        <f>CONCATENATE($K$1,K395,");")</f>
        <v>INSERT INTO participantes (id,nivel,correo,matricula,clave,nombre,carrera,grado,sexo,situacion,evaluados,num_evaluados,total_evaluaciones,ultimo_acceso,nivel_acceso) VALUES (1394,'LICENCIATURA','victorhugo.francomendez','111030','TOMAR DEL SND','FRANCO MENDEZ VICTOR HUGO','PSICOLOGIA','6to','MASCULINO','ACTIVO','',0,0,'','ALUMNO');</v>
      </c>
      <c r="M395" s="16" t="str">
        <f>CONCATENATE("update participantes set correo=",C395," where id=",A395,";")</f>
        <v>update participantes set correo='victorhugo.francomendez' where id=1394;</v>
      </c>
    </row>
    <row r="396" spans="1:13" ht="130.5" x14ac:dyDescent="0.35">
      <c r="A396" s="16">
        <v>1395</v>
      </c>
      <c r="B396" s="18" t="s">
        <v>1754</v>
      </c>
      <c r="C396" s="16" t="str">
        <f>CONCATENATE("'",Alumnos!E5,"'")</f>
        <v>'adanoswaldo.sandovalcardenas'</v>
      </c>
      <c r="D396" s="16" t="str">
        <f>CONCATENATE(Alumnos!F5,"'")</f>
        <v>'111031'</v>
      </c>
      <c r="E396" s="16" t="s">
        <v>1755</v>
      </c>
      <c r="F396" s="16" t="str">
        <f>CONCATENATE("'",Alumnos!H5,"'")</f>
        <v>'SANDOVAL CARDENAS ADAN OSWALDO'</v>
      </c>
      <c r="G396" s="16" t="str">
        <f>CONCATENATE("'",Alumnos!I5,"'")</f>
        <v>'INGENIERIA AEROESPACIAL'</v>
      </c>
      <c r="H396" s="16" t="str">
        <f>CONCATENATE("'",Alumnos!J5,"'")</f>
        <v>'6to'</v>
      </c>
      <c r="I396" s="16" t="str">
        <f>UPPER(CONCATENATE("'",Alumnos!K5,"'"))</f>
        <v>'MASCULINO'</v>
      </c>
      <c r="J396" s="16" t="str">
        <f>UPPER(CONCATENATE("'",Alumnos!L5,"'"))</f>
        <v>'ACTIVO'</v>
      </c>
      <c r="K396" s="16" t="str">
        <f>CONCATENATE(A396,",",B396,",",C396,",",D396,",'",E396,",",F396,",",G396,",",H396,",",UPPER(I396),",",UPPER(J396),",'',0,0,'','ALUMNO'")</f>
        <v>1395,'LICENCIATURA','adanoswaldo.sandovalcardenas','111031','TOMAR DEL SND','SANDOVAL CARDENAS ADAN OSWALDO','INGENIERIA AEROESPACIAL','6to','MASCULINO','ACTIVO','',0,0,'','ALUMNO'</v>
      </c>
      <c r="L396" s="16" t="str">
        <f>CONCATENATE($K$1,K396,");")</f>
        <v>INSERT INTO participantes (id,nivel,correo,matricula,clave,nombre,carrera,grado,sexo,situacion,evaluados,num_evaluados,total_evaluaciones,ultimo_acceso,nivel_acceso) VALUES (1395,'LICENCIATURA','adanoswaldo.sandovalcardenas','111031','TOMAR DEL SND','SANDOVAL CARDENAS ADAN OSWALDO','INGENIERIA AEROESPACIAL','6to','MASCULINO','ACTIVO','',0,0,'','ALUMNO');</v>
      </c>
      <c r="M396" s="16" t="str">
        <f>CONCATENATE("update participantes set correo=",C396," where id=",A396,";")</f>
        <v>update participantes set correo='adanoswaldo.sandovalcardenas' where id=1395;</v>
      </c>
    </row>
    <row r="397" spans="1:13" ht="130.5" x14ac:dyDescent="0.35">
      <c r="A397" s="16">
        <v>1396</v>
      </c>
      <c r="B397" s="18" t="s">
        <v>1754</v>
      </c>
      <c r="C397" s="16" t="str">
        <f>CONCATENATE("'",Alumnos!E459,"'")</f>
        <v>'marioisaias.gomezramos'</v>
      </c>
      <c r="D397" s="16" t="str">
        <f>CONCATENATE(Alumnos!F459,"'")</f>
        <v>'111032'</v>
      </c>
      <c r="E397" s="16" t="s">
        <v>1755</v>
      </c>
      <c r="F397" s="16" t="str">
        <f>CONCATENATE("'",Alumnos!H459,"'")</f>
        <v>'GOMEZ RAMOS MARIO ISAIAS'</v>
      </c>
      <c r="G397" s="16" t="str">
        <f>CONCATENATE("'",Alumnos!I459,"'")</f>
        <v>'NUTRICION Y GASTRONOMIA'</v>
      </c>
      <c r="H397" s="16" t="str">
        <f>CONCATENATE("'",Alumnos!J459,"'")</f>
        <v>'6to'</v>
      </c>
      <c r="I397" s="16" t="str">
        <f>UPPER(CONCATENATE("'",Alumnos!K459,"'"))</f>
        <v>'MASCULINO'</v>
      </c>
      <c r="J397" s="16" t="str">
        <f>UPPER(CONCATENATE("'",Alumnos!L459,"'"))</f>
        <v>'ACTIVO'</v>
      </c>
      <c r="K397" s="16" t="str">
        <f>CONCATENATE(A397,",",B397,",",C397,",",D397,",'",E397,",",F397,",",G397,",",H397,",",UPPER(I397),",",UPPER(J397),",'',0,0,'','ALUMNO'")</f>
        <v>1396,'LICENCIATURA','marioisaias.gomezramos','111032','TOMAR DEL SND','GOMEZ RAMOS MARIO ISAIAS','NUTRICION Y GASTRONOMIA','6to','MASCULINO','ACTIVO','',0,0,'','ALUMNO'</v>
      </c>
      <c r="L397" s="16" t="str">
        <f>CONCATENATE($K$1,K397,");")</f>
        <v>INSERT INTO participantes (id,nivel,correo,matricula,clave,nombre,carrera,grado,sexo,situacion,evaluados,num_evaluados,total_evaluaciones,ultimo_acceso,nivel_acceso) VALUES (1396,'LICENCIATURA','marioisaias.gomezramos','111032','TOMAR DEL SND','GOMEZ RAMOS MARIO ISAIAS','NUTRICION Y GASTRONOMIA','6to','MASCULINO','ACTIVO','',0,0,'','ALUMNO');</v>
      </c>
      <c r="M397" s="16" t="str">
        <f>CONCATENATE("update participantes set correo=",C397," where id=",A397,";")</f>
        <v>update participantes set correo='marioisaias.gomezramos' where id=1396;</v>
      </c>
    </row>
    <row r="398" spans="1:13" ht="116" x14ac:dyDescent="0.35">
      <c r="A398" s="16">
        <v>1397</v>
      </c>
      <c r="B398" s="18" t="s">
        <v>1754</v>
      </c>
      <c r="C398" s="16" t="str">
        <f>CONCATENATE("'",Alumnos!E160,"'")</f>
        <v>'daniela.hernandezvendramini'</v>
      </c>
      <c r="D398" s="16" t="str">
        <f>CONCATENATE(Alumnos!F160,"'")</f>
        <v>'111034'</v>
      </c>
      <c r="E398" s="16" t="s">
        <v>1755</v>
      </c>
      <c r="F398" s="16" t="str">
        <f>CONCATENATE("'",Alumnos!H160,"'")</f>
        <v>'HERNANDEZ VENDRAMINI DANIELA'</v>
      </c>
      <c r="G398" s="16" t="str">
        <f>CONCATENATE("'",Alumnos!I160,"'")</f>
        <v>'DISEÑO GRAFICO Y DIGITAL'</v>
      </c>
      <c r="H398" s="16" t="str">
        <f>CONCATENATE("'",Alumnos!J160,"'")</f>
        <v>'6to'</v>
      </c>
      <c r="I398" s="16" t="str">
        <f>UPPER(CONCATENATE("'",Alumnos!K160,"'"))</f>
        <v>'FEMENINO'</v>
      </c>
      <c r="J398" s="16" t="str">
        <f>UPPER(CONCATENATE("'",Alumnos!L160,"'"))</f>
        <v>'ACTIVO'</v>
      </c>
      <c r="K398" s="16" t="str">
        <f>CONCATENATE(A398,",",B398,",",C398,",",D398,",'",E398,",",F398,",",G398,",",H398,",",UPPER(I398),",",UPPER(J398),",'',0,0,'','ALUMNO'")</f>
        <v>1397,'LICENCIATURA','daniela.hernandezvendramini','111034','TOMAR DEL SND','HERNANDEZ VENDRAMINI DANIELA','DISEÑO GRAFICO Y DIGITAL','6to','FEMENINO','ACTIVO','',0,0,'','ALUMNO'</v>
      </c>
      <c r="L398" s="16" t="str">
        <f>CONCATENATE($K$1,K398,");")</f>
        <v>INSERT INTO participantes (id,nivel,correo,matricula,clave,nombre,carrera,grado,sexo,situacion,evaluados,num_evaluados,total_evaluaciones,ultimo_acceso,nivel_acceso) VALUES (1397,'LICENCIATURA','daniela.hernandezvendramini','111034','TOMAR DEL SND','HERNANDEZ VENDRAMINI DANIELA','DISEÑO GRAFICO Y DIGITAL','6to','FEMENINO','ACTIVO','',0,0,'','ALUMNO');</v>
      </c>
      <c r="M398" s="16" t="str">
        <f>CONCATENATE("update participantes set correo=",C398," where id=",A398,";")</f>
        <v>update participantes set correo='daniela.hernandezvendramini' where id=1397;</v>
      </c>
    </row>
    <row r="399" spans="1:13" ht="116" x14ac:dyDescent="0.35">
      <c r="A399" s="16">
        <v>1398</v>
      </c>
      <c r="B399" s="18" t="s">
        <v>1754</v>
      </c>
      <c r="C399" s="16" t="str">
        <f>CONCATENATE("'",Alumnos!E228,"'")</f>
        <v>'esmeraldagabriela.gomezgaona'</v>
      </c>
      <c r="D399" s="16" t="str">
        <f>CONCATENATE(Alumnos!F228,"'")</f>
        <v>'111035'</v>
      </c>
      <c r="E399" s="16" t="s">
        <v>1755</v>
      </c>
      <c r="F399" s="16" t="str">
        <f>CONCATENATE("'",Alumnos!H228,"'")</f>
        <v>'GOMEZ GAONA ESMERALDA GABRIELA'</v>
      </c>
      <c r="G399" s="16" t="str">
        <f>CONCATENATE("'",Alumnos!I228,"'")</f>
        <v>'PSICOLOGIA'</v>
      </c>
      <c r="H399" s="16" t="str">
        <f>CONCATENATE("'",Alumnos!J228,"'")</f>
        <v>'6to'</v>
      </c>
      <c r="I399" s="16" t="str">
        <f>UPPER(CONCATENATE("'",Alumnos!K228,"'"))</f>
        <v>'FEMENINO'</v>
      </c>
      <c r="J399" s="16" t="str">
        <f>UPPER(CONCATENATE("'",Alumnos!L228,"'"))</f>
        <v>'ACTIVO'</v>
      </c>
      <c r="K399" s="16" t="str">
        <f>CONCATENATE(A399,",",B399,",",C399,",",D399,",'",E399,",",F399,",",G399,",",H399,",",UPPER(I399),",",UPPER(J399),",'',0,0,'','ALUMNO'")</f>
        <v>1398,'LICENCIATURA','esmeraldagabriela.gomezgaona','111035','TOMAR DEL SND','GOMEZ GAONA ESMERALDA GABRIELA','PSICOLOGIA','6to','FEMENINO','ACTIVO','',0,0,'','ALUMNO'</v>
      </c>
      <c r="L399" s="16" t="str">
        <f>CONCATENATE($K$1,K399,");")</f>
        <v>INSERT INTO participantes (id,nivel,correo,matricula,clave,nombre,carrera,grado,sexo,situacion,evaluados,num_evaluados,total_evaluaciones,ultimo_acceso,nivel_acceso) VALUES (1398,'LICENCIATURA','esmeraldagabriela.gomezgaona','111035','TOMAR DEL SND','GOMEZ GAONA ESMERALDA GABRIELA','PSICOLOGIA','6to','FEMENINO','ACTIVO','',0,0,'','ALUMNO');</v>
      </c>
      <c r="M399" s="16" t="str">
        <f>CONCATENATE("update participantes set correo=",C399," where id=",A399,";")</f>
        <v>update participantes set correo='esmeraldagabriela.gomezgaona' where id=1398;</v>
      </c>
    </row>
    <row r="400" spans="1:13" ht="116" x14ac:dyDescent="0.35">
      <c r="A400" s="16">
        <v>1399</v>
      </c>
      <c r="B400" s="18" t="s">
        <v>1754</v>
      </c>
      <c r="C400" s="16" t="str">
        <f>CONCATENATE("'",Alumnos!E461,"'")</f>
        <v>'marisol.sanchezgildominguez'</v>
      </c>
      <c r="D400" s="16" t="str">
        <f>CONCATENATE(Alumnos!F461,"'")</f>
        <v>'111036'</v>
      </c>
      <c r="E400" s="16" t="s">
        <v>1755</v>
      </c>
      <c r="F400" s="16" t="str">
        <f>CONCATENATE("'",Alumnos!H461,"'")</f>
        <v>'SANCHEZ GIL DOMINGUEZ MARISOL'</v>
      </c>
      <c r="G400" s="16" t="str">
        <f>CONCATENATE("'",Alumnos!I461,"'")</f>
        <v>'PSICOLOGIA'</v>
      </c>
      <c r="H400" s="16" t="str">
        <f>CONCATENATE("'",Alumnos!J461,"'")</f>
        <v>'6to'</v>
      </c>
      <c r="I400" s="16" t="str">
        <f>UPPER(CONCATENATE("'",Alumnos!K461,"'"))</f>
        <v>'FEMENINO'</v>
      </c>
      <c r="J400" s="16" t="str">
        <f>UPPER(CONCATENATE("'",Alumnos!L461,"'"))</f>
        <v>'ACTIVO'</v>
      </c>
      <c r="K400" s="16" t="str">
        <f>CONCATENATE(A400,",",B400,",",C400,",",D400,",'",E400,",",F400,",",G400,",",H400,",",UPPER(I400),",",UPPER(J400),",'',0,0,'','ALUMNO'")</f>
        <v>1399,'LICENCIATURA','marisol.sanchezgildominguez','111036','TOMAR DEL SND','SANCHEZ GIL DOMINGUEZ MARISOL','PSICOLOGIA','6to','FEMENINO','ACTIVO','',0,0,'','ALUMNO'</v>
      </c>
      <c r="L400" s="16" t="str">
        <f>CONCATENATE($K$1,K400,");")</f>
        <v>INSERT INTO participantes (id,nivel,correo,matricula,clave,nombre,carrera,grado,sexo,situacion,evaluados,num_evaluados,total_evaluaciones,ultimo_acceso,nivel_acceso) VALUES (1399,'LICENCIATURA','marisol.sanchezgildominguez','111036','TOMAR DEL SND','SANCHEZ GIL DOMINGUEZ MARISOL','PSICOLOGIA','6to','FEMENINO','ACTIVO','',0,0,'','ALUMNO');</v>
      </c>
      <c r="M400" s="16" t="str">
        <f>CONCATENATE("update participantes set correo=",C400," where id=",A400,";")</f>
        <v>update participantes set correo='marisol.sanchezgildominguez' where id=1399;</v>
      </c>
    </row>
    <row r="401" spans="1:13" ht="130.5" x14ac:dyDescent="0.35">
      <c r="A401" s="16">
        <v>1400</v>
      </c>
      <c r="B401" s="18" t="s">
        <v>1754</v>
      </c>
      <c r="C401" s="16" t="str">
        <f>CONCATENATE("'",Alumnos!E454,"'")</f>
        <v>'mariano.martinezbuenrostro'</v>
      </c>
      <c r="D401" s="16" t="str">
        <f>CONCATENATE(Alumnos!F454,"'")</f>
        <v>'111037'</v>
      </c>
      <c r="E401" s="16" t="s">
        <v>1755</v>
      </c>
      <c r="F401" s="16" t="str">
        <f>CONCATENATE("'",Alumnos!H454,"'")</f>
        <v>'MARTINEZ BUENROSTRO MARIANO'</v>
      </c>
      <c r="G401" s="16" t="str">
        <f>CONCATENATE("'",Alumnos!I454,"'")</f>
        <v>'ANIMACION DIGITAL Y VIDEOJUEGOS'</v>
      </c>
      <c r="H401" s="16" t="str">
        <f>CONCATENATE("'",Alumnos!J454,"'")</f>
        <v>'6to'</v>
      </c>
      <c r="I401" s="16" t="str">
        <f>UPPER(CONCATENATE("'",Alumnos!K454,"'"))</f>
        <v>'MASCULINO'</v>
      </c>
      <c r="J401" s="16" t="str">
        <f>UPPER(CONCATENATE("'",Alumnos!L454,"'"))</f>
        <v>'ACTIVO'</v>
      </c>
      <c r="K401" s="16" t="str">
        <f>CONCATENATE(A401,",",B401,",",C401,",",D401,",'",E401,",",F401,",",G401,",",H401,",",UPPER(I401),",",UPPER(J401),",'',0,0,'','ALUMNO'")</f>
        <v>1400,'LICENCIATURA','mariano.martinezbuenrostro','111037','TOMAR DEL SND','MARTINEZ BUENROSTRO MARIANO','ANIMACION DIGITAL Y VIDEOJUEGOS','6to','MASCULINO','ACTIVO','',0,0,'','ALUMNO'</v>
      </c>
      <c r="L401" s="16" t="str">
        <f>CONCATENATE($K$1,K401,");")</f>
        <v>INSERT INTO participantes (id,nivel,correo,matricula,clave,nombre,carrera,grado,sexo,situacion,evaluados,num_evaluados,total_evaluaciones,ultimo_acceso,nivel_acceso) VALUES (1400,'LICENCIATURA','mariano.martinezbuenrostro','111037','TOMAR DEL SND','MARTINEZ BUENROSTRO MARIANO','ANIMACION DIGITAL Y VIDEOJUEGOS','6to','MASCULINO','ACTIVO','',0,0,'','ALUMNO');</v>
      </c>
      <c r="M401" s="16" t="str">
        <f>CONCATENATE("update participantes set correo=",C401," where id=",A401,";")</f>
        <v>update participantes set correo='mariano.martinezbuenrostro' where id=1400;</v>
      </c>
    </row>
    <row r="402" spans="1:13" ht="130.5" x14ac:dyDescent="0.35">
      <c r="A402" s="16">
        <v>1401</v>
      </c>
      <c r="B402" s="18" t="s">
        <v>1754</v>
      </c>
      <c r="C402" s="16" t="str">
        <f>CONCATENATE("'",Alumnos!E524,"'")</f>
        <v>'pablosamuel.floresmora'</v>
      </c>
      <c r="D402" s="16" t="str">
        <f>CONCATENATE(Alumnos!F524,"'")</f>
        <v>'111040'</v>
      </c>
      <c r="E402" s="16" t="s">
        <v>1755</v>
      </c>
      <c r="F402" s="16" t="str">
        <f>CONCATENATE("'",Alumnos!H524,"'")</f>
        <v>'FLORES MORA PABLO SAMUEL'</v>
      </c>
      <c r="G402" s="16" t="str">
        <f>CONCATENATE("'",Alumnos!I524,"'")</f>
        <v>'INGENIERÍA AUTOMOTRIZ'</v>
      </c>
      <c r="H402" s="16" t="str">
        <f>CONCATENATE("'",Alumnos!J524,"'")</f>
        <v>'6to'</v>
      </c>
      <c r="I402" s="16" t="str">
        <f>UPPER(CONCATENATE("'",Alumnos!K524,"'"))</f>
        <v>'MASCULINO'</v>
      </c>
      <c r="J402" s="16" t="str">
        <f>UPPER(CONCATENATE("'",Alumnos!L524,"'"))</f>
        <v>'ACTIVO'</v>
      </c>
      <c r="K402" s="16" t="str">
        <f>CONCATENATE(A402,",",B402,",",C402,",",D402,",'",E402,",",F402,",",G402,",",H402,",",UPPER(I402),",",UPPER(J402),",'',0,0,'','ALUMNO'")</f>
        <v>1401,'LICENCIATURA','pablosamuel.floresmora','111040','TOMAR DEL SND','FLORES MORA PABLO SAMUEL','INGENIERÍA AUTOMOTRIZ','6to','MASCULINO','ACTIVO','',0,0,'','ALUMNO'</v>
      </c>
      <c r="L402" s="16" t="str">
        <f>CONCATENATE($K$1,K402,");")</f>
        <v>INSERT INTO participantes (id,nivel,correo,matricula,clave,nombre,carrera,grado,sexo,situacion,evaluados,num_evaluados,total_evaluaciones,ultimo_acceso,nivel_acceso) VALUES (1401,'LICENCIATURA','pablosamuel.floresmora','111040','TOMAR DEL SND','FLORES MORA PABLO SAMUEL','INGENIERÍA AUTOMOTRIZ','6to','MASCULINO','ACTIVO','',0,0,'','ALUMNO');</v>
      </c>
      <c r="M402" s="16" t="str">
        <f>CONCATENATE("update participantes set correo=",C402," where id=",A402,";")</f>
        <v>update participantes set correo='pablosamuel.floresmora' where id=1401;</v>
      </c>
    </row>
    <row r="403" spans="1:13" ht="116" x14ac:dyDescent="0.35">
      <c r="A403" s="16">
        <v>1402</v>
      </c>
      <c r="B403" s="18" t="s">
        <v>1754</v>
      </c>
      <c r="C403" s="16" t="str">
        <f>CONCATENATE("'",Alumnos!E338,"'")</f>
        <v>'josemanuel.rodriguezaguayo'</v>
      </c>
      <c r="D403" s="16" t="str">
        <f>CONCATENATE(Alumnos!F338,"'")</f>
        <v>'111042'</v>
      </c>
      <c r="E403" s="16" t="s">
        <v>1755</v>
      </c>
      <c r="F403" s="16" t="str">
        <f>CONCATENATE("'",Alumnos!H338,"'")</f>
        <v>'RODRIGUEZ AGUAYO JOSE MANUEL'</v>
      </c>
      <c r="G403" s="16" t="str">
        <f>CONCATENATE("'",Alumnos!I338,"'")</f>
        <v>'ARQUITECTURA'</v>
      </c>
      <c r="H403" s="16" t="str">
        <f>CONCATENATE("'",Alumnos!J338,"'")</f>
        <v>'6to'</v>
      </c>
      <c r="I403" s="16" t="str">
        <f>UPPER(CONCATENATE("'",Alumnos!K338,"'"))</f>
        <v>'MASCULINO'</v>
      </c>
      <c r="J403" s="16" t="str">
        <f>UPPER(CONCATENATE("'",Alumnos!L338,"'"))</f>
        <v>'ACTIVO'</v>
      </c>
      <c r="K403" s="16" t="str">
        <f>CONCATENATE(A403,",",B403,",",C403,",",D403,",'",E403,",",F403,",",G403,",",H403,",",UPPER(I403),",",UPPER(J403),",'',0,0,'','ALUMNO'")</f>
        <v>1402,'LICENCIATURA','josemanuel.rodriguezaguayo','111042','TOMAR DEL SND','RODRIGUEZ AGUAYO JOSE MANUEL','ARQUITECTURA','6to','MASCULINO','ACTIVO','',0,0,'','ALUMNO'</v>
      </c>
      <c r="L403" s="16" t="str">
        <f>CONCATENATE($K$1,K403,");")</f>
        <v>INSERT INTO participantes (id,nivel,correo,matricula,clave,nombre,carrera,grado,sexo,situacion,evaluados,num_evaluados,total_evaluaciones,ultimo_acceso,nivel_acceso) VALUES (1402,'LICENCIATURA','josemanuel.rodriguezaguayo','111042','TOMAR DEL SND','RODRIGUEZ AGUAYO JOSE MANUEL','ARQUITECTURA','6to','MASCULINO','ACTIVO','',0,0,'','ALUMNO');</v>
      </c>
      <c r="M403" s="16" t="str">
        <f>CONCATENATE("update participantes set correo=",C403," where id=",A403,";")</f>
        <v>update participantes set correo='josemanuel.rodriguezaguayo' where id=1402;</v>
      </c>
    </row>
    <row r="404" spans="1:13" ht="116" x14ac:dyDescent="0.35">
      <c r="A404" s="16">
        <v>1403</v>
      </c>
      <c r="B404" s="18" t="s">
        <v>1754</v>
      </c>
      <c r="C404" s="16" t="str">
        <f>CONCATENATE("'",Alumnos!E391,"'")</f>
        <v>'kitzyaangelina.padillasalinas'</v>
      </c>
      <c r="D404" s="16" t="str">
        <f>CONCATENATE(Alumnos!F391,"'")</f>
        <v>'111043'</v>
      </c>
      <c r="E404" s="16" t="s">
        <v>1755</v>
      </c>
      <c r="F404" s="16" t="str">
        <f>CONCATENATE("'",Alumnos!H391,"'")</f>
        <v>'PADILLA SALINAS KITZYA ANGELINA'</v>
      </c>
      <c r="G404" s="16" t="str">
        <f>CONCATENATE("'",Alumnos!I391,"'")</f>
        <v>'PSICOLOGIA'</v>
      </c>
      <c r="H404" s="16" t="str">
        <f>CONCATENATE("'",Alumnos!J391,"'")</f>
        <v>'6to'</v>
      </c>
      <c r="I404" s="16" t="str">
        <f>UPPER(CONCATENATE("'",Alumnos!K391,"'"))</f>
        <v>'FEMENINO'</v>
      </c>
      <c r="J404" s="16" t="str">
        <f>UPPER(CONCATENATE("'",Alumnos!L391,"'"))</f>
        <v>'ACTIVO'</v>
      </c>
      <c r="K404" s="16" t="str">
        <f>CONCATENATE(A404,",",B404,",",C404,",",D404,",'",E404,",",F404,",",G404,",",H404,",",UPPER(I404),",",UPPER(J404),",'',0,0,'','ALUMNO'")</f>
        <v>1403,'LICENCIATURA','kitzyaangelina.padillasalinas','111043','TOMAR DEL SND','PADILLA SALINAS KITZYA ANGELINA','PSICOLOGIA','6to','FEMENINO','ACTIVO','',0,0,'','ALUMNO'</v>
      </c>
      <c r="L404" s="16" t="str">
        <f>CONCATENATE($K$1,K404,");")</f>
        <v>INSERT INTO participantes (id,nivel,correo,matricula,clave,nombre,carrera,grado,sexo,situacion,evaluados,num_evaluados,total_evaluaciones,ultimo_acceso,nivel_acceso) VALUES (1403,'LICENCIATURA','kitzyaangelina.padillasalinas','111043','TOMAR DEL SND','PADILLA SALINAS KITZYA ANGELINA','PSICOLOGIA','6to','FEMENINO','ACTIVO','',0,0,'','ALUMNO');</v>
      </c>
      <c r="M404" s="16" t="str">
        <f>CONCATENATE("update participantes set correo=",C404," where id=",A404,";")</f>
        <v>update participantes set correo='kitzyaangelina.padillasalinas' where id=1403;</v>
      </c>
    </row>
    <row r="405" spans="1:13" ht="116" x14ac:dyDescent="0.35">
      <c r="A405" s="16">
        <v>1404</v>
      </c>
      <c r="B405" s="18" t="s">
        <v>1754</v>
      </c>
      <c r="C405" s="16" t="str">
        <f>CONCATENATE("'",Alumnos!E212,"'")</f>
        <v>'emiliano.gracianovargas'</v>
      </c>
      <c r="D405" s="16" t="str">
        <f>CONCATENATE(Alumnos!F212,"'")</f>
        <v>'111044'</v>
      </c>
      <c r="E405" s="16" t="s">
        <v>1755</v>
      </c>
      <c r="F405" s="16" t="str">
        <f>CONCATENATE("'",Alumnos!H212,"'")</f>
        <v>'GRACIANO VARGAS EMILIANO'</v>
      </c>
      <c r="G405" s="16" t="str">
        <f>CONCATENATE("'",Alumnos!I212,"'")</f>
        <v>'ADMINISTRACION Y DIRECCION DE NEGOCIOS'</v>
      </c>
      <c r="H405" s="16" t="str">
        <f>CONCATENATE("'",Alumnos!J212,"'")</f>
        <v>'6to'</v>
      </c>
      <c r="I405" s="16" t="str">
        <f>UPPER(CONCATENATE("'",Alumnos!K212,"'"))</f>
        <v>'MASCULINO'</v>
      </c>
      <c r="J405" s="16" t="str">
        <f>UPPER(CONCATENATE("'",Alumnos!L212,"'"))</f>
        <v>'ACTIVO'</v>
      </c>
      <c r="K405" s="16" t="str">
        <f>CONCATENATE(A405,",",B405,",",C405,",",D405,",'",E405,",",F405,",",G405,",",H405,",",UPPER(I405),",",UPPER(J405),",'',0,0,'','ALUMNO'")</f>
        <v>1404,'LICENCIATURA','emiliano.gracianovargas','111044','TOMAR DEL SND','GRACIANO VARGAS EMILIANO','ADMINISTRACION Y DIRECCION DE NEGOCIOS','6to','MASCULINO','ACTIVO','',0,0,'','ALUMNO'</v>
      </c>
      <c r="L405" s="16" t="str">
        <f>CONCATENATE($K$1,K405,");")</f>
        <v>INSERT INTO participantes (id,nivel,correo,matricula,clave,nombre,carrera,grado,sexo,situacion,evaluados,num_evaluados,total_evaluaciones,ultimo_acceso,nivel_acceso) VALUES (1404,'LICENCIATURA','emiliano.gracianovargas','111044','TOMAR DEL SND','GRACIANO VARGAS EMILIANO','ADMINISTRACION Y DIRECCION DE NEGOCIOS','6to','MASCULINO','ACTIVO','',0,0,'','ALUMNO');</v>
      </c>
      <c r="M405" s="16" t="str">
        <f>CONCATENATE("update participantes set correo=",C405," where id=",A405,";")</f>
        <v>update participantes set correo='emiliano.gracianovargas' where id=1404;</v>
      </c>
    </row>
    <row r="406" spans="1:13" ht="116" x14ac:dyDescent="0.35">
      <c r="A406" s="16">
        <v>1405</v>
      </c>
      <c r="B406" s="18" t="s">
        <v>1754</v>
      </c>
      <c r="C406" s="16" t="str">
        <f>CONCATENATE("'",Alumnos!E508,"'")</f>
        <v>'oscaremilio.cayodiaz'</v>
      </c>
      <c r="D406" s="16" t="str">
        <f>CONCATENATE(Alumnos!F508,"'")</f>
        <v>'111049'</v>
      </c>
      <c r="E406" s="16" t="s">
        <v>1755</v>
      </c>
      <c r="F406" s="16" t="str">
        <f>CONCATENATE("'",Alumnos!H508,"'")</f>
        <v>'CAYO DIAZ OSCAR EMILIO'</v>
      </c>
      <c r="G406" s="16" t="str">
        <f>CONCATENATE("'",Alumnos!I508,"'")</f>
        <v>'ADMINISTRACION Y DIRECCION DE NEGOCIOS'</v>
      </c>
      <c r="H406" s="16" t="str">
        <f>CONCATENATE("'",Alumnos!J508,"'")</f>
        <v>'6to'</v>
      </c>
      <c r="I406" s="16" t="str">
        <f>UPPER(CONCATENATE("'",Alumnos!K508,"'"))</f>
        <v>'MASCULINO'</v>
      </c>
      <c r="J406" s="16" t="str">
        <f>UPPER(CONCATENATE("'",Alumnos!L508,"'"))</f>
        <v>'ACTIVO'</v>
      </c>
      <c r="K406" s="16" t="str">
        <f>CONCATENATE(A406,",",B406,",",C406,",",D406,",'",E406,",",F406,",",G406,",",H406,",",UPPER(I406),",",UPPER(J406),",'',0,0,'','ALUMNO'")</f>
        <v>1405,'LICENCIATURA','oscaremilio.cayodiaz','111049','TOMAR DEL SND','CAYO DIAZ OSCAR EMILIO','ADMINISTRACION Y DIRECCION DE NEGOCIOS','6to','MASCULINO','ACTIVO','',0,0,'','ALUMNO'</v>
      </c>
      <c r="L406" s="16" t="str">
        <f>CONCATENATE($K$1,K406,");")</f>
        <v>INSERT INTO participantes (id,nivel,correo,matricula,clave,nombre,carrera,grado,sexo,situacion,evaluados,num_evaluados,total_evaluaciones,ultimo_acceso,nivel_acceso) VALUES (1405,'LICENCIATURA','oscaremilio.cayodiaz','111049','TOMAR DEL SND','CAYO DIAZ OSCAR EMILIO','ADMINISTRACION Y DIRECCION DE NEGOCIOS','6to','MASCULINO','ACTIVO','',0,0,'','ALUMNO');</v>
      </c>
      <c r="M406" s="16" t="str">
        <f>CONCATENATE("update participantes set correo=",C406," where id=",A406,";")</f>
        <v>update participantes set correo='oscaremilio.cayodiaz' where id=1405;</v>
      </c>
    </row>
    <row r="407" spans="1:13" ht="116" x14ac:dyDescent="0.35">
      <c r="A407" s="16">
        <v>1406</v>
      </c>
      <c r="B407" s="18" t="s">
        <v>1754</v>
      </c>
      <c r="C407" s="16" t="str">
        <f>CONCATENATE("'",Alumnos!E434,"'")</f>
        <v>'mariafernanda.aguilarmontes'</v>
      </c>
      <c r="D407" s="16" t="str">
        <f>CONCATENATE(Alumnos!F434,"'")</f>
        <v>'111050'</v>
      </c>
      <c r="E407" s="16" t="s">
        <v>1755</v>
      </c>
      <c r="F407" s="16" t="str">
        <f>CONCATENATE("'",Alumnos!H434,"'")</f>
        <v>'AGUILAR MONTES MARIA FERNANDA'</v>
      </c>
      <c r="G407" s="16" t="str">
        <f>CONCATENATE("'",Alumnos!I434,"'")</f>
        <v>'ADMINISTRACION Y DIRECCION DE NEGOCIOS'</v>
      </c>
      <c r="H407" s="16" t="str">
        <f>CONCATENATE("'",Alumnos!J434,"'")</f>
        <v>'6to'</v>
      </c>
      <c r="I407" s="16" t="str">
        <f>UPPER(CONCATENATE("'",Alumnos!K434,"'"))</f>
        <v>'FEMENINO'</v>
      </c>
      <c r="J407" s="16" t="str">
        <f>UPPER(CONCATENATE("'",Alumnos!L434,"'"))</f>
        <v>'ACTIVO'</v>
      </c>
      <c r="K407" s="16" t="str">
        <f>CONCATENATE(A407,",",B407,",",C407,",",D407,",'",E407,",",F407,",",G407,",",H407,",",UPPER(I407),",",UPPER(J407),",'',0,0,'','ALUMNO'")</f>
        <v>1406,'LICENCIATURA','mariafernanda.aguilarmontes','111050','TOMAR DEL SND','AGUILAR MONTES MARIA FERNANDA','ADMINISTRACION Y DIRECCION DE NEGOCIOS','6to','FEMENINO','ACTIVO','',0,0,'','ALUMNO'</v>
      </c>
      <c r="L407" s="16" t="str">
        <f>CONCATENATE($K$1,K407,");")</f>
        <v>INSERT INTO participantes (id,nivel,correo,matricula,clave,nombre,carrera,grado,sexo,situacion,evaluados,num_evaluados,total_evaluaciones,ultimo_acceso,nivel_acceso) VALUES (1406,'LICENCIATURA','mariafernanda.aguilarmontes','111050','TOMAR DEL SND','AGUILAR MONTES MARIA FERNANDA','ADMINISTRACION Y DIRECCION DE NEGOCIOS','6to','FEMENINO','ACTIVO','',0,0,'','ALUMNO');</v>
      </c>
      <c r="M407" s="16" t="str">
        <f>CONCATENATE("update participantes set correo=",C407," where id=",A407,";")</f>
        <v>update participantes set correo='mariafernanda.aguilarmontes' where id=1406;</v>
      </c>
    </row>
    <row r="408" spans="1:13" ht="116" x14ac:dyDescent="0.35">
      <c r="A408" s="16">
        <v>1407</v>
      </c>
      <c r="B408" s="18" t="s">
        <v>1754</v>
      </c>
      <c r="C408" s="16" t="str">
        <f>CONCATENATE("'",Alumnos!E336,"'")</f>
        <v>'joseisaac.cisneroscortes'</v>
      </c>
      <c r="D408" s="16" t="str">
        <f>CONCATENATE(Alumnos!F336,"'")</f>
        <v>'111051'</v>
      </c>
      <c r="E408" s="16" t="s">
        <v>1755</v>
      </c>
      <c r="F408" s="16" t="str">
        <f>CONCATENATE("'",Alumnos!H336,"'")</f>
        <v>'CISNEROS CORTES JOSE ISAAC'</v>
      </c>
      <c r="G408" s="16" t="str">
        <f>CONCATENATE("'",Alumnos!I336,"'")</f>
        <v>'ARQUITECTURA'</v>
      </c>
      <c r="H408" s="16" t="str">
        <f>CONCATENATE("'",Alumnos!J336,"'")</f>
        <v>'6to'</v>
      </c>
      <c r="I408" s="16" t="str">
        <f>UPPER(CONCATENATE("'",Alumnos!K336,"'"))</f>
        <v>'MASCULINO'</v>
      </c>
      <c r="J408" s="16" t="str">
        <f>UPPER(CONCATENATE("'",Alumnos!L336,"'"))</f>
        <v>'ACTIVO'</v>
      </c>
      <c r="K408" s="16" t="str">
        <f>CONCATENATE(A408,",",B408,",",C408,",",D408,",'",E408,",",F408,",",G408,",",H408,",",UPPER(I408),",",UPPER(J408),",'',0,0,'','ALUMNO'")</f>
        <v>1407,'LICENCIATURA','joseisaac.cisneroscortes','111051','TOMAR DEL SND','CISNEROS CORTES JOSE ISAAC','ARQUITECTURA','6to','MASCULINO','ACTIVO','',0,0,'','ALUMNO'</v>
      </c>
      <c r="L408" s="16" t="str">
        <f>CONCATENATE($K$1,K408,");")</f>
        <v>INSERT INTO participantes (id,nivel,correo,matricula,clave,nombre,carrera,grado,sexo,situacion,evaluados,num_evaluados,total_evaluaciones,ultimo_acceso,nivel_acceso) VALUES (1407,'LICENCIATURA','joseisaac.cisneroscortes','111051','TOMAR DEL SND','CISNEROS CORTES JOSE ISAAC','ARQUITECTURA','6to','MASCULINO','ACTIVO','',0,0,'','ALUMNO');</v>
      </c>
      <c r="M408" s="16" t="str">
        <f>CONCATENATE("update participantes set correo=",C408," where id=",A408,";")</f>
        <v>update participantes set correo='joseisaac.cisneroscortes' where id=1407;</v>
      </c>
    </row>
    <row r="409" spans="1:13" ht="116" x14ac:dyDescent="0.35">
      <c r="A409" s="16">
        <v>1408</v>
      </c>
      <c r="B409" s="18" t="s">
        <v>1754</v>
      </c>
      <c r="C409" s="16" t="str">
        <f>CONCATENATE("'",Alumnos!E447,"'")</f>
        <v>'mariana.garciavillanueva'</v>
      </c>
      <c r="D409" s="16" t="str">
        <f>CONCATENATE(Alumnos!F447,"'")</f>
        <v>'111052'</v>
      </c>
      <c r="E409" s="16" t="s">
        <v>1755</v>
      </c>
      <c r="F409" s="16" t="str">
        <f>CONCATENATE("'",Alumnos!H447,"'")</f>
        <v>'GARCIA VILLANUEVA MARIANA'</v>
      </c>
      <c r="G409" s="16" t="str">
        <f>CONCATENATE("'",Alumnos!I447,"'")</f>
        <v>'ARQUITECTURA'</v>
      </c>
      <c r="H409" s="16" t="str">
        <f>CONCATENATE("'",Alumnos!J447,"'")</f>
        <v>'6to'</v>
      </c>
      <c r="I409" s="16" t="str">
        <f>UPPER(CONCATENATE("'",Alumnos!K447,"'"))</f>
        <v>'FEMENINO'</v>
      </c>
      <c r="J409" s="16" t="str">
        <f>UPPER(CONCATENATE("'",Alumnos!L447,"'"))</f>
        <v>'ACTIVO'</v>
      </c>
      <c r="K409" s="16" t="str">
        <f>CONCATENATE(A409,",",B409,",",C409,",",D409,",'",E409,",",F409,",",G409,",",H409,",",UPPER(I409),",",UPPER(J409),",'',0,0,'','ALUMNO'")</f>
        <v>1408,'LICENCIATURA','mariana.garciavillanueva','111052','TOMAR DEL SND','GARCIA VILLANUEVA MARIANA','ARQUITECTURA','6to','FEMENINO','ACTIVO','',0,0,'','ALUMNO'</v>
      </c>
      <c r="L409" s="16" t="str">
        <f>CONCATENATE($K$1,K409,");")</f>
        <v>INSERT INTO participantes (id,nivel,correo,matricula,clave,nombre,carrera,grado,sexo,situacion,evaluados,num_evaluados,total_evaluaciones,ultimo_acceso,nivel_acceso) VALUES (1408,'LICENCIATURA','mariana.garciavillanueva','111052','TOMAR DEL SND','GARCIA VILLANUEVA MARIANA','ARQUITECTURA','6to','FEMENINO','ACTIVO','',0,0,'','ALUMNO');</v>
      </c>
      <c r="M409" s="16" t="str">
        <f>CONCATENATE("update participantes set correo=",C409," where id=",A409,";")</f>
        <v>update participantes set correo='mariana.garciavillanueva' where id=1408;</v>
      </c>
    </row>
    <row r="410" spans="1:13" ht="116" x14ac:dyDescent="0.35">
      <c r="A410" s="16">
        <v>1409</v>
      </c>
      <c r="B410" s="18" t="s">
        <v>1754</v>
      </c>
      <c r="C410" s="16" t="str">
        <f>CONCATENATE("'",Alumnos!E181,"'")</f>
        <v>'dianasarahi.ramireztabarez'</v>
      </c>
      <c r="D410" s="16" t="str">
        <f>CONCATENATE(Alumnos!F181,"'")</f>
        <v>'111053'</v>
      </c>
      <c r="E410" s="16" t="s">
        <v>1755</v>
      </c>
      <c r="F410" s="16" t="str">
        <f>CONCATENATE("'",Alumnos!H181,"'")</f>
        <v>'RAMIREZ TABAREZ DIANA SARAHI'</v>
      </c>
      <c r="G410" s="16" t="str">
        <f>CONCATENATE("'",Alumnos!I181,"'")</f>
        <v>'PSICOLOGIA'</v>
      </c>
      <c r="H410" s="16" t="str">
        <f>CONCATENATE("'",Alumnos!J181,"'")</f>
        <v>'6to'</v>
      </c>
      <c r="I410" s="16" t="str">
        <f>UPPER(CONCATENATE("'",Alumnos!K181,"'"))</f>
        <v>'FEMENINO'</v>
      </c>
      <c r="J410" s="16" t="str">
        <f>UPPER(CONCATENATE("'",Alumnos!L181,"'"))</f>
        <v>'ACTIVO'</v>
      </c>
      <c r="K410" s="16" t="str">
        <f>CONCATENATE(A410,",",B410,",",C410,",",D410,",'",E410,",",F410,",",G410,",",H410,",",UPPER(I410),",",UPPER(J410),",'',0,0,'','ALUMNO'")</f>
        <v>1409,'LICENCIATURA','dianasarahi.ramireztabarez','111053','TOMAR DEL SND','RAMIREZ TABAREZ DIANA SARAHI','PSICOLOGIA','6to','FEMENINO','ACTIVO','',0,0,'','ALUMNO'</v>
      </c>
      <c r="L410" s="16" t="str">
        <f>CONCATENATE($K$1,K410,");")</f>
        <v>INSERT INTO participantes (id,nivel,correo,matricula,clave,nombre,carrera,grado,sexo,situacion,evaluados,num_evaluados,total_evaluaciones,ultimo_acceso,nivel_acceso) VALUES (1409,'LICENCIATURA','dianasarahi.ramireztabarez','111053','TOMAR DEL SND','RAMIREZ TABAREZ DIANA SARAHI','PSICOLOGIA','6to','FEMENINO','ACTIVO','',0,0,'','ALUMNO');</v>
      </c>
      <c r="M410" s="16" t="str">
        <f>CONCATENATE("update participantes set correo=",C410," where id=",A410,";")</f>
        <v>update participantes set correo='dianasarahi.ramireztabarez' where id=1409;</v>
      </c>
    </row>
    <row r="411" spans="1:13" ht="116" x14ac:dyDescent="0.35">
      <c r="A411" s="16">
        <v>1410</v>
      </c>
      <c r="B411" s="18" t="s">
        <v>1754</v>
      </c>
      <c r="C411" s="16" t="str">
        <f>CONCATENATE("'",Alumnos!E98,"'")</f>
        <v>'aureaemily.osorniocontreras'</v>
      </c>
      <c r="D411" s="16" t="str">
        <f>CONCATENATE(Alumnos!F98,"'")</f>
        <v>'111054'</v>
      </c>
      <c r="E411" s="16" t="s">
        <v>1755</v>
      </c>
      <c r="F411" s="16" t="str">
        <f>CONCATENATE("'",Alumnos!H98,"'")</f>
        <v>'OSORNIO CONTRERAS AUREA EMILY'</v>
      </c>
      <c r="G411" s="16" t="str">
        <f>CONCATENATE("'",Alumnos!I98,"'")</f>
        <v>'PSICOLOGIA'</v>
      </c>
      <c r="H411" s="16" t="str">
        <f>CONCATENATE("'",Alumnos!J98,"'")</f>
        <v>'6to'</v>
      </c>
      <c r="I411" s="16" t="str">
        <f>UPPER(CONCATENATE("'",Alumnos!K98,"'"))</f>
        <v>'FEMENINO'</v>
      </c>
      <c r="J411" s="16" t="str">
        <f>UPPER(CONCATENATE("'",Alumnos!L98,"'"))</f>
        <v>'ACTIVO'</v>
      </c>
      <c r="K411" s="16" t="str">
        <f>CONCATENATE(A411,",",B411,",",C411,",",D411,",'",E411,",",F411,",",G411,",",H411,",",UPPER(I411),",",UPPER(J411),",'',0,0,'','ALUMNO'")</f>
        <v>1410,'LICENCIATURA','aureaemily.osorniocontreras','111054','TOMAR DEL SND','OSORNIO CONTRERAS AUREA EMILY','PSICOLOGIA','6to','FEMENINO','ACTIVO','',0,0,'','ALUMNO'</v>
      </c>
      <c r="L411" s="16" t="str">
        <f>CONCATENATE($K$1,K411,");")</f>
        <v>INSERT INTO participantes (id,nivel,correo,matricula,clave,nombre,carrera,grado,sexo,situacion,evaluados,num_evaluados,total_evaluaciones,ultimo_acceso,nivel_acceso) VALUES (1410,'LICENCIATURA','aureaemily.osorniocontreras','111054','TOMAR DEL SND','OSORNIO CONTRERAS AUREA EMILY','PSICOLOGIA','6to','FEMENINO','ACTIVO','',0,0,'','ALUMNO');</v>
      </c>
      <c r="M411" s="16" t="str">
        <f>CONCATENATE("update participantes set correo=",C411," where id=",A411,";")</f>
        <v>update participantes set correo='aureaemily.osorniocontreras' where id=1410;</v>
      </c>
    </row>
    <row r="412" spans="1:13" ht="130.5" x14ac:dyDescent="0.35">
      <c r="A412" s="16">
        <v>1411</v>
      </c>
      <c r="B412" s="18" t="s">
        <v>1754</v>
      </c>
      <c r="C412" s="16" t="str">
        <f>CONCATENATE("'",Alumnos!E308,"'")</f>
        <v>'jesusbenjamin.argandarubio'</v>
      </c>
      <c r="D412" s="16" t="str">
        <f>CONCATENATE(Alumnos!F308,"'")</f>
        <v>'111055'</v>
      </c>
      <c r="E412" s="16" t="s">
        <v>1755</v>
      </c>
      <c r="F412" s="16" t="str">
        <f>CONCATENATE("'",Alumnos!H308,"'")</f>
        <v>'ARGANDA RUBIO JESUS BENJAMIN'</v>
      </c>
      <c r="G412" s="16" t="str">
        <f>CONCATENATE("'",Alumnos!I308,"'")</f>
        <v>'ANIMACION DIGITAL Y VIDEOJUEGOS'</v>
      </c>
      <c r="H412" s="16" t="str">
        <f>CONCATENATE("'",Alumnos!J308,"'")</f>
        <v>'6to'</v>
      </c>
      <c r="I412" s="16" t="str">
        <f>UPPER(CONCATENATE("'",Alumnos!K308,"'"))</f>
        <v>'MASCULINO'</v>
      </c>
      <c r="J412" s="16" t="str">
        <f>UPPER(CONCATENATE("'",Alumnos!L308,"'"))</f>
        <v>'ACTIVO'</v>
      </c>
      <c r="K412" s="16" t="str">
        <f>CONCATENATE(A412,",",B412,",",C412,",",D412,",'",E412,",",F412,",",G412,",",H412,",",UPPER(I412),",",UPPER(J412),",'',0,0,'','ALUMNO'")</f>
        <v>1411,'LICENCIATURA','jesusbenjamin.argandarubio','111055','TOMAR DEL SND','ARGANDA RUBIO JESUS BENJAMIN','ANIMACION DIGITAL Y VIDEOJUEGOS','6to','MASCULINO','ACTIVO','',0,0,'','ALUMNO'</v>
      </c>
      <c r="L412" s="16" t="str">
        <f>CONCATENATE($K$1,K412,");")</f>
        <v>INSERT INTO participantes (id,nivel,correo,matricula,clave,nombre,carrera,grado,sexo,situacion,evaluados,num_evaluados,total_evaluaciones,ultimo_acceso,nivel_acceso) VALUES (1411,'LICENCIATURA','jesusbenjamin.argandarubio','111055','TOMAR DEL SND','ARGANDA RUBIO JESUS BENJAMIN','ANIMACION DIGITAL Y VIDEOJUEGOS','6to','MASCULINO','ACTIVO','',0,0,'','ALUMNO');</v>
      </c>
      <c r="M412" s="16" t="str">
        <f>CONCATENATE("update participantes set correo=",C412," where id=",A412,";")</f>
        <v>update participantes set correo='jesusbenjamin.argandarubio' where id=1411;</v>
      </c>
    </row>
    <row r="413" spans="1:13" ht="130.5" x14ac:dyDescent="0.35">
      <c r="A413" s="16">
        <v>1412</v>
      </c>
      <c r="B413" s="18" t="s">
        <v>1754</v>
      </c>
      <c r="C413" s="16" t="str">
        <f>CONCATENATE("'",Alumnos!E488,"'")</f>
        <v>'natalia.izquierdomartinez'</v>
      </c>
      <c r="D413" s="16" t="str">
        <f>CONCATENATE(Alumnos!F488,"'")</f>
        <v>'111063'</v>
      </c>
      <c r="E413" s="16" t="s">
        <v>1755</v>
      </c>
      <c r="F413" s="16" t="str">
        <f>CONCATENATE("'",Alumnos!H488,"'")</f>
        <v>'IZQUIERDO MARTINEZ NATALIA'</v>
      </c>
      <c r="G413" s="16" t="str">
        <f>CONCATENATE("'",Alumnos!I488,"'")</f>
        <v>'ANIMACION DIGITAL Y VIDEOJUEGOS'</v>
      </c>
      <c r="H413" s="16" t="str">
        <f>CONCATENATE("'",Alumnos!J488,"'")</f>
        <v>'6to'</v>
      </c>
      <c r="I413" s="16" t="str">
        <f>UPPER(CONCATENATE("'",Alumnos!K488,"'"))</f>
        <v>'FEMENINO'</v>
      </c>
      <c r="J413" s="16" t="str">
        <f>UPPER(CONCATENATE("'",Alumnos!L488,"'"))</f>
        <v>'ACTIVO'</v>
      </c>
      <c r="K413" s="16" t="str">
        <f>CONCATENATE(A413,",",B413,",",C413,",",D413,",'",E413,",",F413,",",G413,",",H413,",",UPPER(I413),",",UPPER(J413),",'',0,0,'','ALUMNO'")</f>
        <v>1412,'LICENCIATURA','natalia.izquierdomartinez','111063','TOMAR DEL SND','IZQUIERDO MARTINEZ NATALIA','ANIMACION DIGITAL Y VIDEOJUEGOS','6to','FEMENINO','ACTIVO','',0,0,'','ALUMNO'</v>
      </c>
      <c r="L413" s="16" t="str">
        <f>CONCATENATE($K$1,K413,");")</f>
        <v>INSERT INTO participantes (id,nivel,correo,matricula,clave,nombre,carrera,grado,sexo,situacion,evaluados,num_evaluados,total_evaluaciones,ultimo_acceso,nivel_acceso) VALUES (1412,'LICENCIATURA','natalia.izquierdomartinez','111063','TOMAR DEL SND','IZQUIERDO MARTINEZ NATALIA','ANIMACION DIGITAL Y VIDEOJUEGOS','6to','FEMENINO','ACTIVO','',0,0,'','ALUMNO');</v>
      </c>
      <c r="M413" s="16" t="str">
        <f>CONCATENATE("update participantes set correo=",C413," where id=",A413,";")</f>
        <v>update participantes set correo='natalia.izquierdomartinez' where id=1412;</v>
      </c>
    </row>
    <row r="414" spans="1:13" ht="130.5" x14ac:dyDescent="0.35">
      <c r="A414" s="16">
        <v>1413</v>
      </c>
      <c r="B414" s="18" t="s">
        <v>1754</v>
      </c>
      <c r="C414" s="16" t="str">
        <f>CONCATENATE("'",Alumnos!E452,"'")</f>
        <v>'mariangel.floresaguilar'</v>
      </c>
      <c r="D414" s="16" t="str">
        <f>CONCATENATE(Alumnos!F452,"'")</f>
        <v>'111065'</v>
      </c>
      <c r="E414" s="16" t="s">
        <v>1755</v>
      </c>
      <c r="F414" s="16" t="str">
        <f>CONCATENATE("'",Alumnos!H452,"'")</f>
        <v>'FLORES AGUILAR MARIANGEL'</v>
      </c>
      <c r="G414" s="16" t="str">
        <f>CONCATENATE("'",Alumnos!I452,"'")</f>
        <v>'NUTRICION Y GASTRONOMIA'</v>
      </c>
      <c r="H414" s="16" t="str">
        <f>CONCATENATE("'",Alumnos!J452,"'")</f>
        <v>'6to'</v>
      </c>
      <c r="I414" s="16" t="str">
        <f>UPPER(CONCATENATE("'",Alumnos!K452,"'"))</f>
        <v>'FEMENINO'</v>
      </c>
      <c r="J414" s="16" t="str">
        <f>UPPER(CONCATENATE("'",Alumnos!L452,"'"))</f>
        <v>'ACTIVO'</v>
      </c>
      <c r="K414" s="16" t="str">
        <f>CONCATENATE(A414,",",B414,",",C414,",",D414,",'",E414,",",F414,",",G414,",",H414,",",UPPER(I414),",",UPPER(J414),",'',0,0,'','ALUMNO'")</f>
        <v>1413,'LICENCIATURA','mariangel.floresaguilar','111065','TOMAR DEL SND','FLORES AGUILAR MARIANGEL','NUTRICION Y GASTRONOMIA','6to','FEMENINO','ACTIVO','',0,0,'','ALUMNO'</v>
      </c>
      <c r="L414" s="16" t="str">
        <f>CONCATENATE($K$1,K414,");")</f>
        <v>INSERT INTO participantes (id,nivel,correo,matricula,clave,nombre,carrera,grado,sexo,situacion,evaluados,num_evaluados,total_evaluaciones,ultimo_acceso,nivel_acceso) VALUES (1413,'LICENCIATURA','mariangel.floresaguilar','111065','TOMAR DEL SND','FLORES AGUILAR MARIANGEL','NUTRICION Y GASTRONOMIA','6to','FEMENINO','ACTIVO','',0,0,'','ALUMNO');</v>
      </c>
      <c r="M414" s="16" t="str">
        <f>CONCATENATE("update participantes set correo=",C414," where id=",A414,";")</f>
        <v>update participantes set correo='mariangel.floresaguilar' where id=1413;</v>
      </c>
    </row>
    <row r="415" spans="1:13" ht="130.5" x14ac:dyDescent="0.35">
      <c r="A415" s="16">
        <v>1414</v>
      </c>
      <c r="B415" s="18" t="s">
        <v>1754</v>
      </c>
      <c r="C415" s="16" t="str">
        <f>CONCATENATE("'",Alumnos!E13,"'")</f>
        <v>'adriana.amarobaltierra'</v>
      </c>
      <c r="D415" s="16" t="str">
        <f>CONCATENATE(Alumnos!F13,"'")</f>
        <v>'111068'</v>
      </c>
      <c r="E415" s="16" t="s">
        <v>1755</v>
      </c>
      <c r="F415" s="16" t="str">
        <f>CONCATENATE("'",Alumnos!H13,"'")</f>
        <v>'AMARO BALTIERRA ADRIANA'</v>
      </c>
      <c r="G415" s="16" t="str">
        <f>CONCATENATE("'",Alumnos!I13,"'")</f>
        <v>'INGENIERIA AEROESPACIAL'</v>
      </c>
      <c r="H415" s="16" t="str">
        <f>CONCATENATE("'",Alumnos!J13,"'")</f>
        <v>'6to'</v>
      </c>
      <c r="I415" s="16" t="str">
        <f>UPPER(CONCATENATE("'",Alumnos!K13,"'"))</f>
        <v>'FEMENINO'</v>
      </c>
      <c r="J415" s="16" t="str">
        <f>UPPER(CONCATENATE("'",Alumnos!L13,"'"))</f>
        <v>'ACTIVO'</v>
      </c>
      <c r="K415" s="16" t="str">
        <f>CONCATENATE(A415,",",B415,",",C415,",",D415,",'",E415,",",F415,",",G415,",",H415,",",UPPER(I415),",",UPPER(J415),",'',0,0,'','ALUMNO'")</f>
        <v>1414,'LICENCIATURA','adriana.amarobaltierra','111068','TOMAR DEL SND','AMARO BALTIERRA ADRIANA','INGENIERIA AEROESPACIAL','6to','FEMENINO','ACTIVO','',0,0,'','ALUMNO'</v>
      </c>
      <c r="L415" s="16" t="str">
        <f>CONCATENATE($K$1,K415,");")</f>
        <v>INSERT INTO participantes (id,nivel,correo,matricula,clave,nombre,carrera,grado,sexo,situacion,evaluados,num_evaluados,total_evaluaciones,ultimo_acceso,nivel_acceso) VALUES (1414,'LICENCIATURA','adriana.amarobaltierra','111068','TOMAR DEL SND','AMARO BALTIERRA ADRIANA','INGENIERIA AEROESPACIAL','6to','FEMENINO','ACTIVO','',0,0,'','ALUMNO');</v>
      </c>
      <c r="M415" s="16" t="str">
        <f>CONCATENATE("update participantes set correo=",C415," where id=",A415,";")</f>
        <v>update participantes set correo='adriana.amarobaltierra' where id=1414;</v>
      </c>
    </row>
    <row r="416" spans="1:13" ht="130.5" x14ac:dyDescent="0.35">
      <c r="A416" s="16">
        <v>1415</v>
      </c>
      <c r="B416" s="18" t="s">
        <v>1754</v>
      </c>
      <c r="C416" s="16" t="str">
        <f>CONCATENATE("'",Alumnos!E429,"'")</f>
        <v>'marcoantonio.lopezluvian'</v>
      </c>
      <c r="D416" s="16" t="str">
        <f>CONCATENATE(Alumnos!F429,"'")</f>
        <v>'111069'</v>
      </c>
      <c r="E416" s="16" t="s">
        <v>1755</v>
      </c>
      <c r="F416" s="16" t="str">
        <f>CONCATENATE("'",Alumnos!H429,"'")</f>
        <v>'LOPEZ LUVIAN MARCO ANTONIO'</v>
      </c>
      <c r="G416" s="16" t="str">
        <f>CONCATENATE("'",Alumnos!I429,"'")</f>
        <v>'INGENIERÍA AUTOMOTRIZ'</v>
      </c>
      <c r="H416" s="16" t="str">
        <f>CONCATENATE("'",Alumnos!J429,"'")</f>
        <v>'6to'</v>
      </c>
      <c r="I416" s="16" t="str">
        <f>UPPER(CONCATENATE("'",Alumnos!K429,"'"))</f>
        <v>'MASCULINO'</v>
      </c>
      <c r="J416" s="16" t="str">
        <f>UPPER(CONCATENATE("'",Alumnos!L429,"'"))</f>
        <v>'ACTIVO'</v>
      </c>
      <c r="K416" s="16" t="str">
        <f>CONCATENATE(A416,",",B416,",",C416,",",D416,",'",E416,",",F416,",",G416,",",H416,",",UPPER(I416),",",UPPER(J416),",'',0,0,'','ALUMNO'")</f>
        <v>1415,'LICENCIATURA','marcoantonio.lopezluvian','111069','TOMAR DEL SND','LOPEZ LUVIAN MARCO ANTONIO','INGENIERÍA AUTOMOTRIZ','6to','MASCULINO','ACTIVO','',0,0,'','ALUMNO'</v>
      </c>
      <c r="L416" s="16" t="str">
        <f>CONCATENATE($K$1,K416,");")</f>
        <v>INSERT INTO participantes (id,nivel,correo,matricula,clave,nombre,carrera,grado,sexo,situacion,evaluados,num_evaluados,total_evaluaciones,ultimo_acceso,nivel_acceso) VALUES (1415,'LICENCIATURA','marcoantonio.lopezluvian','111069','TOMAR DEL SND','LOPEZ LUVIAN MARCO ANTONIO','INGENIERÍA AUTOMOTRIZ','6to','MASCULINO','ACTIVO','',0,0,'','ALUMNO');</v>
      </c>
      <c r="M416" s="16" t="str">
        <f>CONCATENATE("update participantes set correo=",C416," where id=",A416,";")</f>
        <v>update participantes set correo='marcoantonio.lopezluvian' where id=1415;</v>
      </c>
    </row>
    <row r="417" spans="1:13" ht="130.5" x14ac:dyDescent="0.35">
      <c r="A417" s="16">
        <v>1416</v>
      </c>
      <c r="B417" s="18" t="s">
        <v>1754</v>
      </c>
      <c r="C417" s="16" t="str">
        <f>CONCATENATE("'",Alumnos!E219,"'")</f>
        <v>'emmanuel.lozanoesparza'</v>
      </c>
      <c r="D417" s="16" t="str">
        <f>CONCATENATE(Alumnos!F219,"'")</f>
        <v>'111070'</v>
      </c>
      <c r="E417" s="16" t="s">
        <v>1755</v>
      </c>
      <c r="F417" s="16" t="str">
        <f>CONCATENATE("'",Alumnos!H219,"'")</f>
        <v>'LOZANO ESPARZA EMMANUEL'</v>
      </c>
      <c r="G417" s="16" t="str">
        <f>CONCATENATE("'",Alumnos!I219,"'")</f>
        <v>'INGENIERIA AEROESPACIAL'</v>
      </c>
      <c r="H417" s="16" t="str">
        <f>CONCATENATE("'",Alumnos!J219,"'")</f>
        <v>'6to'</v>
      </c>
      <c r="I417" s="16" t="str">
        <f>UPPER(CONCATENATE("'",Alumnos!K219,"'"))</f>
        <v>'MASCULINO'</v>
      </c>
      <c r="J417" s="16" t="str">
        <f>UPPER(CONCATENATE("'",Alumnos!L219,"'"))</f>
        <v>'ACTIVO'</v>
      </c>
      <c r="K417" s="16" t="str">
        <f>CONCATENATE(A417,",",B417,",",C417,",",D417,",'",E417,",",F417,",",G417,",",H417,",",UPPER(I417),",",UPPER(J417),",'',0,0,'','ALUMNO'")</f>
        <v>1416,'LICENCIATURA','emmanuel.lozanoesparza','111070','TOMAR DEL SND','LOZANO ESPARZA EMMANUEL','INGENIERIA AEROESPACIAL','6to','MASCULINO','ACTIVO','',0,0,'','ALUMNO'</v>
      </c>
      <c r="L417" s="16" t="str">
        <f>CONCATENATE($K$1,K417,");")</f>
        <v>INSERT INTO participantes (id,nivel,correo,matricula,clave,nombre,carrera,grado,sexo,situacion,evaluados,num_evaluados,total_evaluaciones,ultimo_acceso,nivel_acceso) VALUES (1416,'LICENCIATURA','emmanuel.lozanoesparza','111070','TOMAR DEL SND','LOZANO ESPARZA EMMANUEL','INGENIERIA AEROESPACIAL','6to','MASCULINO','ACTIVO','',0,0,'','ALUMNO');</v>
      </c>
      <c r="M417" s="16" t="str">
        <f>CONCATENATE("update participantes set correo=",C417," where id=",A417,";")</f>
        <v>update participantes set correo='emmanuel.lozanoesparza' where id=1416;</v>
      </c>
    </row>
    <row r="418" spans="1:13" ht="130.5" x14ac:dyDescent="0.35">
      <c r="A418" s="16">
        <v>1417</v>
      </c>
      <c r="B418" s="18" t="s">
        <v>1754</v>
      </c>
      <c r="C418" s="16" t="str">
        <f>CONCATENATE("'",Alumnos!E108,"'")</f>
        <v>'braulioisaias.perezalvarez'</v>
      </c>
      <c r="D418" s="16" t="str">
        <f>CONCATENATE(Alumnos!F108,"'")</f>
        <v>'111072'</v>
      </c>
      <c r="E418" s="16" t="s">
        <v>1755</v>
      </c>
      <c r="F418" s="16" t="str">
        <f>CONCATENATE("'",Alumnos!H108,"'")</f>
        <v>'PEREZ ALVAREZ BRAULIO ISAIAS'</v>
      </c>
      <c r="G418" s="16" t="str">
        <f>CONCATENATE("'",Alumnos!I108,"'")</f>
        <v>'ANIMACION DIGITAL Y VIDEOJUEGOS'</v>
      </c>
      <c r="H418" s="16" t="str">
        <f>CONCATENATE("'",Alumnos!J108,"'")</f>
        <v>'6to'</v>
      </c>
      <c r="I418" s="16" t="str">
        <f>UPPER(CONCATENATE("'",Alumnos!K108,"'"))</f>
        <v>'MASCULINO'</v>
      </c>
      <c r="J418" s="16" t="str">
        <f>UPPER(CONCATENATE("'",Alumnos!L108,"'"))</f>
        <v>'ACTIVO'</v>
      </c>
      <c r="K418" s="16" t="str">
        <f>CONCATENATE(A418,",",B418,",",C418,",",D418,",'",E418,",",F418,",",G418,",",H418,",",UPPER(I418),",",UPPER(J418),",'',0,0,'','ALUMNO'")</f>
        <v>1417,'LICENCIATURA','braulioisaias.perezalvarez','111072','TOMAR DEL SND','PEREZ ALVAREZ BRAULIO ISAIAS','ANIMACION DIGITAL Y VIDEOJUEGOS','6to','MASCULINO','ACTIVO','',0,0,'','ALUMNO'</v>
      </c>
      <c r="L418" s="16" t="str">
        <f>CONCATENATE($K$1,K418,");")</f>
        <v>INSERT INTO participantes (id,nivel,correo,matricula,clave,nombre,carrera,grado,sexo,situacion,evaluados,num_evaluados,total_evaluaciones,ultimo_acceso,nivel_acceso) VALUES (1417,'LICENCIATURA','braulioisaias.perezalvarez','111072','TOMAR DEL SND','PEREZ ALVAREZ BRAULIO ISAIAS','ANIMACION DIGITAL Y VIDEOJUEGOS','6to','MASCULINO','ACTIVO','',0,0,'','ALUMNO');</v>
      </c>
      <c r="M418" s="16" t="str">
        <f>CONCATENATE("update participantes set correo=",C418," where id=",A418,";")</f>
        <v>update participantes set correo='braulioisaias.perezalvarez' where id=1417;</v>
      </c>
    </row>
    <row r="419" spans="1:13" ht="116" x14ac:dyDescent="0.35">
      <c r="A419" s="16">
        <v>1418</v>
      </c>
      <c r="B419" s="18" t="s">
        <v>1754</v>
      </c>
      <c r="C419" s="16" t="str">
        <f>CONCATENATE("'",Alumnos!E40,"'")</f>
        <v>'alondramarisol.ramosarias'</v>
      </c>
      <c r="D419" s="16" t="str">
        <f>CONCATENATE(Alumnos!F40,"'")</f>
        <v>'111074'</v>
      </c>
      <c r="E419" s="16" t="s">
        <v>1755</v>
      </c>
      <c r="F419" s="16" t="str">
        <f>CONCATENATE("'",Alumnos!H40,"'")</f>
        <v>'RAMOS ARIAS ALONDRA MARISOL'</v>
      </c>
      <c r="G419" s="16" t="str">
        <f>CONCATENATE("'",Alumnos!I40,"'")</f>
        <v>'ARQUITECTURA'</v>
      </c>
      <c r="H419" s="16" t="str">
        <f>CONCATENATE("'",Alumnos!J40,"'")</f>
        <v>'6to'</v>
      </c>
      <c r="I419" s="16" t="str">
        <f>UPPER(CONCATENATE("'",Alumnos!K40,"'"))</f>
        <v>'FEMENINO'</v>
      </c>
      <c r="J419" s="16" t="str">
        <f>UPPER(CONCATENATE("'",Alumnos!L40,"'"))</f>
        <v>'ACTIVO'</v>
      </c>
      <c r="K419" s="16" t="str">
        <f>CONCATENATE(A419,",",B419,",",C419,",",D419,",'",E419,",",F419,",",G419,",",H419,",",UPPER(I419),",",UPPER(J419),",'',0,0,'','ALUMNO'")</f>
        <v>1418,'LICENCIATURA','alondramarisol.ramosarias','111074','TOMAR DEL SND','RAMOS ARIAS ALONDRA MARISOL','ARQUITECTURA','6to','FEMENINO','ACTIVO','',0,0,'','ALUMNO'</v>
      </c>
      <c r="L419" s="16" t="str">
        <f>CONCATENATE($K$1,K419,");")</f>
        <v>INSERT INTO participantes (id,nivel,correo,matricula,clave,nombre,carrera,grado,sexo,situacion,evaluados,num_evaluados,total_evaluaciones,ultimo_acceso,nivel_acceso) VALUES (1418,'LICENCIATURA','alondramarisol.ramosarias','111074','TOMAR DEL SND','RAMOS ARIAS ALONDRA MARISOL','ARQUITECTURA','6to','FEMENINO','ACTIVO','',0,0,'','ALUMNO');</v>
      </c>
      <c r="M419" s="16" t="str">
        <f>CONCATENATE("update participantes set correo=",C419," where id=",A419,";")</f>
        <v>update participantes set correo='alondramarisol.ramosarias' where id=1418;</v>
      </c>
    </row>
    <row r="420" spans="1:13" ht="130.5" x14ac:dyDescent="0.35">
      <c r="A420" s="16">
        <v>1419</v>
      </c>
      <c r="B420" s="18" t="s">
        <v>1754</v>
      </c>
      <c r="C420" s="16" t="str">
        <f>CONCATENATE("'",Alumnos!E586,"'")</f>
        <v>'taniadelosangeles.contrerassanchez'</v>
      </c>
      <c r="D420" s="16" t="str">
        <f>CONCATENATE(Alumnos!F586,"'")</f>
        <v>'111075'</v>
      </c>
      <c r="E420" s="16" t="s">
        <v>1755</v>
      </c>
      <c r="F420" s="16" t="str">
        <f>CONCATENATE("'",Alumnos!H586,"'")</f>
        <v>'CONTRERAS SANCHEZ TANIA DE LOS ANGELES'</v>
      </c>
      <c r="G420" s="16" t="str">
        <f>CONCATENATE("'",Alumnos!I586,"'")</f>
        <v>'INGENIERIA AEROESPACIAL'</v>
      </c>
      <c r="H420" s="16" t="str">
        <f>CONCATENATE("'",Alumnos!J586,"'")</f>
        <v>'6to'</v>
      </c>
      <c r="I420" s="16" t="str">
        <f>UPPER(CONCATENATE("'",Alumnos!K586,"'"))</f>
        <v>'FEMENINO'</v>
      </c>
      <c r="J420" s="16" t="str">
        <f>UPPER(CONCATENATE("'",Alumnos!L586,"'"))</f>
        <v>'ACTIVO'</v>
      </c>
      <c r="K420" s="16" t="str">
        <f>CONCATENATE(A420,",",B420,",",C420,",",D420,",'",E420,",",F420,",",G420,",",H420,",",UPPER(I420),",",UPPER(J420),",'',0,0,'','ALUMNO'")</f>
        <v>1419,'LICENCIATURA','taniadelosangeles.contrerassanchez','111075','TOMAR DEL SND','CONTRERAS SANCHEZ TANIA DE LOS ANGELES','INGENIERIA AEROESPACIAL','6to','FEMENINO','ACTIVO','',0,0,'','ALUMNO'</v>
      </c>
      <c r="L420" s="16" t="str">
        <f>CONCATENATE($K$1,K420,");")</f>
        <v>INSERT INTO participantes (id,nivel,correo,matricula,clave,nombre,carrera,grado,sexo,situacion,evaluados,num_evaluados,total_evaluaciones,ultimo_acceso,nivel_acceso) VALUES (1419,'LICENCIATURA','taniadelosangeles.contrerassanchez','111075','TOMAR DEL SND','CONTRERAS SANCHEZ TANIA DE LOS ANGELES','INGENIERIA AEROESPACIAL','6to','FEMENINO','ACTIVO','',0,0,'','ALUMNO');</v>
      </c>
      <c r="M420" s="16" t="str">
        <f>CONCATENATE("update participantes set correo=",C420," where id=",A420,";")</f>
        <v>update participantes set correo='taniadelosangeles.contrerassanchez' where id=1419;</v>
      </c>
    </row>
    <row r="421" spans="1:13" ht="116" x14ac:dyDescent="0.35">
      <c r="A421" s="16">
        <v>1420</v>
      </c>
      <c r="B421" s="18" t="s">
        <v>1754</v>
      </c>
      <c r="C421" s="16" t="str">
        <f>CONCATENATE("'",Alumnos!E416,"'")</f>
        <v>'luisfernando.salazartorres'</v>
      </c>
      <c r="D421" s="16" t="str">
        <f>CONCATENATE(Alumnos!F416,"'")</f>
        <v>'111076'</v>
      </c>
      <c r="E421" s="16" t="s">
        <v>1755</v>
      </c>
      <c r="F421" s="16" t="str">
        <f>CONCATENATE("'",Alumnos!H416,"'")</f>
        <v>'SALAZAR TORRES LUIS FERNANDO'</v>
      </c>
      <c r="G421" s="16" t="str">
        <f>CONCATENATE("'",Alumnos!I416,"'")</f>
        <v>'INGENIERÍA EN INTELIGENCIA ARTIFICIAL'</v>
      </c>
      <c r="H421" s="16" t="str">
        <f>CONCATENATE("'",Alumnos!J416,"'")</f>
        <v>'6to'</v>
      </c>
      <c r="I421" s="16" t="str">
        <f>UPPER(CONCATENATE("'",Alumnos!K416,"'"))</f>
        <v>'MASCULINO'</v>
      </c>
      <c r="J421" s="16" t="str">
        <f>UPPER(CONCATENATE("'",Alumnos!L416,"'"))</f>
        <v>'ACTIVO'</v>
      </c>
      <c r="K421" s="16" t="str">
        <f>CONCATENATE(A421,",",B421,",",C421,",",D421,",'",E421,",",F421,",",G421,",",H421,",",UPPER(I421),",",UPPER(J421),",'',0,0,'','ALUMNO'")</f>
        <v>1420,'LICENCIATURA','luisfernando.salazartorres','111076','TOMAR DEL SND','SALAZAR TORRES LUIS FERNANDO','INGENIERÍA EN INTELIGENCIA ARTIFICIAL','6to','MASCULINO','ACTIVO','',0,0,'','ALUMNO'</v>
      </c>
      <c r="L421" s="16" t="str">
        <f>CONCATENATE($K$1,K421,");")</f>
        <v>INSERT INTO participantes (id,nivel,correo,matricula,clave,nombre,carrera,grado,sexo,situacion,evaluados,num_evaluados,total_evaluaciones,ultimo_acceso,nivel_acceso) VALUES (1420,'LICENCIATURA','luisfernando.salazartorres','111076','TOMAR DEL SND','SALAZAR TORRES LUIS FERNANDO','INGENIERÍA EN INTELIGENCIA ARTIFICIAL','6to','MASCULINO','ACTIVO','',0,0,'','ALUMNO');</v>
      </c>
      <c r="M421" s="16" t="str">
        <f>CONCATENATE("update participantes set correo=",C421," where id=",A421,";")</f>
        <v>update participantes set correo='luisfernando.salazartorres' where id=1420;</v>
      </c>
    </row>
    <row r="422" spans="1:13" ht="116" x14ac:dyDescent="0.35">
      <c r="A422" s="16">
        <v>1421</v>
      </c>
      <c r="B422" s="18" t="s">
        <v>1754</v>
      </c>
      <c r="C422" s="16" t="str">
        <f>CONCATENATE("'",Alumnos!E64,"'")</f>
        <v>'andres.cabrerachavira'</v>
      </c>
      <c r="D422" s="16" t="str">
        <f>CONCATENATE(Alumnos!F64,"'")</f>
        <v>'111077'</v>
      </c>
      <c r="E422" s="16" t="s">
        <v>1755</v>
      </c>
      <c r="F422" s="16" t="str">
        <f>CONCATENATE("'",Alumnos!H64,"'")</f>
        <v>'CABRERA CHAVIRA ANDRES'</v>
      </c>
      <c r="G422" s="16" t="str">
        <f>CONCATENATE("'",Alumnos!I64,"'")</f>
        <v>'INGENIERIA AEROESPACIAL'</v>
      </c>
      <c r="H422" s="16" t="str">
        <f>CONCATENATE("'",Alumnos!J64,"'")</f>
        <v>'6to'</v>
      </c>
      <c r="I422" s="16" t="str">
        <f>UPPER(CONCATENATE("'",Alumnos!K64,"'"))</f>
        <v>'MASCULINO'</v>
      </c>
      <c r="J422" s="16" t="str">
        <f>UPPER(CONCATENATE("'",Alumnos!L64,"'"))</f>
        <v>'ACTIVO'</v>
      </c>
      <c r="K422" s="16" t="str">
        <f>CONCATENATE(A422,",",B422,",",C422,",",D422,",'",E422,",",F422,",",G422,",",H422,",",UPPER(I422),",",UPPER(J422),",'',0,0,'','ALUMNO'")</f>
        <v>1421,'LICENCIATURA','andres.cabrerachavira','111077','TOMAR DEL SND','CABRERA CHAVIRA ANDRES','INGENIERIA AEROESPACIAL','6to','MASCULINO','ACTIVO','',0,0,'','ALUMNO'</v>
      </c>
      <c r="L422" s="16" t="str">
        <f>CONCATENATE($K$1,K422,");")</f>
        <v>INSERT INTO participantes (id,nivel,correo,matricula,clave,nombre,carrera,grado,sexo,situacion,evaluados,num_evaluados,total_evaluaciones,ultimo_acceso,nivel_acceso) VALUES (1421,'LICENCIATURA','andres.cabrerachavira','111077','TOMAR DEL SND','CABRERA CHAVIRA ANDRES','INGENIERIA AEROESPACIAL','6to','MASCULINO','ACTIVO','',0,0,'','ALUMNO');</v>
      </c>
      <c r="M422" s="16" t="str">
        <f>CONCATENATE("update participantes set correo=",C422," where id=",A422,";")</f>
        <v>update participantes set correo='andres.cabrerachavira' where id=1421;</v>
      </c>
    </row>
    <row r="423" spans="1:13" ht="116" x14ac:dyDescent="0.35">
      <c r="A423" s="16">
        <v>1422</v>
      </c>
      <c r="B423" s="18" t="s">
        <v>1754</v>
      </c>
      <c r="C423" s="16" t="str">
        <f>CONCATENATE("'",Alumnos!E457,"'")</f>
        <v>'marifer.gomezmurguia'</v>
      </c>
      <c r="D423" s="16" t="str">
        <f>CONCATENATE(Alumnos!F457,"'")</f>
        <v>'111078'</v>
      </c>
      <c r="E423" s="16" t="s">
        <v>1755</v>
      </c>
      <c r="F423" s="16" t="str">
        <f>CONCATENATE("'",Alumnos!H457,"'")</f>
        <v>'GOMEZ MURGUIA MARIFER'</v>
      </c>
      <c r="G423" s="16" t="str">
        <f>CONCATENATE("'",Alumnos!I457,"'")</f>
        <v>'DISEÑO GRAFICO Y DIGITAL'</v>
      </c>
      <c r="H423" s="16" t="str">
        <f>CONCATENATE("'",Alumnos!J457,"'")</f>
        <v>'6to'</v>
      </c>
      <c r="I423" s="16" t="str">
        <f>UPPER(CONCATENATE("'",Alumnos!K457,"'"))</f>
        <v>'FEMENINO'</v>
      </c>
      <c r="J423" s="16" t="str">
        <f>UPPER(CONCATENATE("'",Alumnos!L457,"'"))</f>
        <v>'ACTIVO'</v>
      </c>
      <c r="K423" s="16" t="str">
        <f>CONCATENATE(A423,",",B423,",",C423,",",D423,",'",E423,",",F423,",",G423,",",H423,",",UPPER(I423),",",UPPER(J423),",'',0,0,'','ALUMNO'")</f>
        <v>1422,'LICENCIATURA','marifer.gomezmurguia','111078','TOMAR DEL SND','GOMEZ MURGUIA MARIFER','DISEÑO GRAFICO Y DIGITAL','6to','FEMENINO','ACTIVO','',0,0,'','ALUMNO'</v>
      </c>
      <c r="L423" s="16" t="str">
        <f>CONCATENATE($K$1,K423,");")</f>
        <v>INSERT INTO participantes (id,nivel,correo,matricula,clave,nombre,carrera,grado,sexo,situacion,evaluados,num_evaluados,total_evaluaciones,ultimo_acceso,nivel_acceso) VALUES (1422,'LICENCIATURA','marifer.gomezmurguia','111078','TOMAR DEL SND','GOMEZ MURGUIA MARIFER','DISEÑO GRAFICO Y DIGITAL','6to','FEMENINO','ACTIVO','',0,0,'','ALUMNO');</v>
      </c>
      <c r="M423" s="16" t="str">
        <f>CONCATENATE("update participantes set correo=",C423," where id=",A423,";")</f>
        <v>update participantes set correo='marifer.gomezmurguia' where id=1422;</v>
      </c>
    </row>
    <row r="424" spans="1:13" ht="116" x14ac:dyDescent="0.35">
      <c r="A424" s="16">
        <v>1423</v>
      </c>
      <c r="B424" s="18" t="s">
        <v>1754</v>
      </c>
      <c r="C424" s="16" t="str">
        <f>CONCATENATE("'",Alumnos!E32,"'")</f>
        <v>'alexa.moyarobles'</v>
      </c>
      <c r="D424" s="16" t="str">
        <f>CONCATENATE(Alumnos!F32,"'")</f>
        <v>'111082'</v>
      </c>
      <c r="E424" s="16" t="s">
        <v>1755</v>
      </c>
      <c r="F424" s="16" t="str">
        <f>CONCATENATE("'",Alumnos!H32,"'")</f>
        <v>'MOYA ROBLES ALEXA'</v>
      </c>
      <c r="G424" s="16" t="str">
        <f>CONCATENATE("'",Alumnos!I32,"'")</f>
        <v>'PSICOLOGIA'</v>
      </c>
      <c r="H424" s="16" t="str">
        <f>CONCATENATE("'",Alumnos!J32,"'")</f>
        <v>'6to'</v>
      </c>
      <c r="I424" s="16" t="str">
        <f>UPPER(CONCATENATE("'",Alumnos!K32,"'"))</f>
        <v>'FEMENINO'</v>
      </c>
      <c r="J424" s="16" t="str">
        <f>UPPER(CONCATENATE("'",Alumnos!L32,"'"))</f>
        <v>'ACTIVO'</v>
      </c>
      <c r="K424" s="16" t="str">
        <f>CONCATENATE(A424,",",B424,",",C424,",",D424,",'",E424,",",F424,",",G424,",",H424,",",UPPER(I424),",",UPPER(J424),",'',0,0,'','ALUMNO'")</f>
        <v>1423,'LICENCIATURA','alexa.moyarobles','111082','TOMAR DEL SND','MOYA ROBLES ALEXA','PSICOLOGIA','6to','FEMENINO','ACTIVO','',0,0,'','ALUMNO'</v>
      </c>
      <c r="L424" s="16" t="str">
        <f>CONCATENATE($K$1,K424,");")</f>
        <v>INSERT INTO participantes (id,nivel,correo,matricula,clave,nombre,carrera,grado,sexo,situacion,evaluados,num_evaluados,total_evaluaciones,ultimo_acceso,nivel_acceso) VALUES (1423,'LICENCIATURA','alexa.moyarobles','111082','TOMAR DEL SND','MOYA ROBLES ALEXA','PSICOLOGIA','6to','FEMENINO','ACTIVO','',0,0,'','ALUMNO');</v>
      </c>
      <c r="M424" s="16" t="str">
        <f>CONCATENATE("update participantes set correo=",C424," where id=",A424,";")</f>
        <v>update participantes set correo='alexa.moyarobles' where id=1423;</v>
      </c>
    </row>
    <row r="425" spans="1:13" ht="130.5" x14ac:dyDescent="0.35">
      <c r="A425" s="16">
        <v>1424</v>
      </c>
      <c r="B425" s="18" t="s">
        <v>1754</v>
      </c>
      <c r="C425" s="16" t="str">
        <f>CONCATENATE("'",Alumnos!E202,"'")</f>
        <v>'eduardo.vazquezguerrero'</v>
      </c>
      <c r="D425" s="16" t="str">
        <f>CONCATENATE(Alumnos!F202,"'")</f>
        <v>'111083'</v>
      </c>
      <c r="E425" s="16" t="s">
        <v>1755</v>
      </c>
      <c r="F425" s="16" t="str">
        <f>CONCATENATE("'",Alumnos!H202,"'")</f>
        <v>'VAZQUEZ GUERRERO EDUARDO'</v>
      </c>
      <c r="G425" s="16" t="str">
        <f>CONCATENATE("'",Alumnos!I202,"'")</f>
        <v>'INGENIERIA AEROESPACIAL'</v>
      </c>
      <c r="H425" s="16" t="str">
        <f>CONCATENATE("'",Alumnos!J202,"'")</f>
        <v>'6to'</v>
      </c>
      <c r="I425" s="16" t="str">
        <f>UPPER(CONCATENATE("'",Alumnos!K202,"'"))</f>
        <v>'MASCULINO'</v>
      </c>
      <c r="J425" s="16" t="str">
        <f>UPPER(CONCATENATE("'",Alumnos!L202,"'"))</f>
        <v>'ACTIVO'</v>
      </c>
      <c r="K425" s="16" t="str">
        <f>CONCATENATE(A425,",",B425,",",C425,",",D425,",'",E425,",",F425,",",G425,",",H425,",",UPPER(I425),",",UPPER(J425),",'',0,0,'','ALUMNO'")</f>
        <v>1424,'LICENCIATURA','eduardo.vazquezguerrero','111083','TOMAR DEL SND','VAZQUEZ GUERRERO EDUARDO','INGENIERIA AEROESPACIAL','6to','MASCULINO','ACTIVO','',0,0,'','ALUMNO'</v>
      </c>
      <c r="L425" s="16" t="str">
        <f>CONCATENATE($K$1,K425,");")</f>
        <v>INSERT INTO participantes (id,nivel,correo,matricula,clave,nombre,carrera,grado,sexo,situacion,evaluados,num_evaluados,total_evaluaciones,ultimo_acceso,nivel_acceso) VALUES (1424,'LICENCIATURA','eduardo.vazquezguerrero','111083','TOMAR DEL SND','VAZQUEZ GUERRERO EDUARDO','INGENIERIA AEROESPACIAL','6to','MASCULINO','ACTIVO','',0,0,'','ALUMNO');</v>
      </c>
      <c r="M425" s="16" t="str">
        <f>CONCATENATE("update participantes set correo=",C425," where id=",A425,";")</f>
        <v>update participantes set correo='eduardo.vazquezguerrero' where id=1424;</v>
      </c>
    </row>
    <row r="426" spans="1:13" ht="116" x14ac:dyDescent="0.35">
      <c r="A426" s="16">
        <v>1425</v>
      </c>
      <c r="B426" s="18" t="s">
        <v>1754</v>
      </c>
      <c r="C426" s="16" t="str">
        <f>CONCATENATE("'",Alumnos!E313,"'")</f>
        <v>'joaquin.zeagomez'</v>
      </c>
      <c r="D426" s="16" t="str">
        <f>CONCATENATE(Alumnos!F313,"'")</f>
        <v>'111084'</v>
      </c>
      <c r="E426" s="16" t="s">
        <v>1755</v>
      </c>
      <c r="F426" s="16" t="str">
        <f>CONCATENATE("'",Alumnos!H313,"'")</f>
        <v>'ZEA GOMEZ JOAQUIN'</v>
      </c>
      <c r="G426" s="16" t="str">
        <f>CONCATENATE("'",Alumnos!I313,"'")</f>
        <v>'ARQUITECTURA'</v>
      </c>
      <c r="H426" s="16" t="str">
        <f>CONCATENATE("'",Alumnos!J313,"'")</f>
        <v>'6to'</v>
      </c>
      <c r="I426" s="16" t="str">
        <f>UPPER(CONCATENATE("'",Alumnos!K313,"'"))</f>
        <v>'MASCULINO'</v>
      </c>
      <c r="J426" s="16" t="str">
        <f>UPPER(CONCATENATE("'",Alumnos!L313,"'"))</f>
        <v>'ACTIVO'</v>
      </c>
      <c r="K426" s="16" t="str">
        <f>CONCATENATE(A426,",",B426,",",C426,",",D426,",'",E426,",",F426,",",G426,",",H426,",",UPPER(I426),",",UPPER(J426),",'',0,0,'','ALUMNO'")</f>
        <v>1425,'LICENCIATURA','joaquin.zeagomez','111084','TOMAR DEL SND','ZEA GOMEZ JOAQUIN','ARQUITECTURA','6to','MASCULINO','ACTIVO','',0,0,'','ALUMNO'</v>
      </c>
      <c r="L426" s="16" t="str">
        <f>CONCATENATE($K$1,K426,");")</f>
        <v>INSERT INTO participantes (id,nivel,correo,matricula,clave,nombre,carrera,grado,sexo,situacion,evaluados,num_evaluados,total_evaluaciones,ultimo_acceso,nivel_acceso) VALUES (1425,'LICENCIATURA','joaquin.zeagomez','111084','TOMAR DEL SND','ZEA GOMEZ JOAQUIN','ARQUITECTURA','6to','MASCULINO','ACTIVO','',0,0,'','ALUMNO');</v>
      </c>
      <c r="M426" s="16" t="str">
        <f>CONCATENATE("update participantes set correo=",C426," where id=",A426,";")</f>
        <v>update participantes set correo='joaquin.zeagomez' where id=1425;</v>
      </c>
    </row>
    <row r="427" spans="1:13" ht="116" x14ac:dyDescent="0.35">
      <c r="A427" s="16">
        <v>1426</v>
      </c>
      <c r="B427" s="18" t="s">
        <v>1754</v>
      </c>
      <c r="C427" s="16" t="str">
        <f>CONCATENATE("'",Alumnos!E376,"'")</f>
        <v>'karlaguadalupe.grajalesmasini'</v>
      </c>
      <c r="D427" s="16" t="str">
        <f>CONCATENATE(Alumnos!F376,"'")</f>
        <v>'111085'</v>
      </c>
      <c r="E427" s="16" t="s">
        <v>1755</v>
      </c>
      <c r="F427" s="16" t="str">
        <f>CONCATENATE("'",Alumnos!H376,"'")</f>
        <v>'GRAJALES MASINI KARLA GUADALUPE'</v>
      </c>
      <c r="G427" s="16" t="str">
        <f>CONCATENATE("'",Alumnos!I376,"'")</f>
        <v>'ARQUITECTURA'</v>
      </c>
      <c r="H427" s="16" t="str">
        <f>CONCATENATE("'",Alumnos!J376,"'")</f>
        <v>'6to'</v>
      </c>
      <c r="I427" s="16" t="str">
        <f>UPPER(CONCATENATE("'",Alumnos!K376,"'"))</f>
        <v>'FEMENINO'</v>
      </c>
      <c r="J427" s="16" t="str">
        <f>UPPER(CONCATENATE("'",Alumnos!L376,"'"))</f>
        <v>'ACTIVO'</v>
      </c>
      <c r="K427" s="16" t="str">
        <f>CONCATENATE(A427,",",B427,",",C427,",",D427,",'",E427,",",F427,",",G427,",",H427,",",UPPER(I427),",",UPPER(J427),",'',0,0,'','ALUMNO'")</f>
        <v>1426,'LICENCIATURA','karlaguadalupe.grajalesmasini','111085','TOMAR DEL SND','GRAJALES MASINI KARLA GUADALUPE','ARQUITECTURA','6to','FEMENINO','ACTIVO','',0,0,'','ALUMNO'</v>
      </c>
      <c r="L427" s="16" t="str">
        <f>CONCATENATE($K$1,K427,");")</f>
        <v>INSERT INTO participantes (id,nivel,correo,matricula,clave,nombre,carrera,grado,sexo,situacion,evaluados,num_evaluados,total_evaluaciones,ultimo_acceso,nivel_acceso) VALUES (1426,'LICENCIATURA','karlaguadalupe.grajalesmasini','111085','TOMAR DEL SND','GRAJALES MASINI KARLA GUADALUPE','ARQUITECTURA','6to','FEMENINO','ACTIVO','',0,0,'','ALUMNO');</v>
      </c>
      <c r="M427" s="16" t="str">
        <f>CONCATENATE("update participantes set correo=",C427," where id=",A427,";")</f>
        <v>update participantes set correo='karlaguadalupe.grajalesmasini' where id=1426;</v>
      </c>
    </row>
    <row r="428" spans="1:13" ht="116" x14ac:dyDescent="0.35">
      <c r="A428" s="16">
        <v>1427</v>
      </c>
      <c r="B428" s="18" t="s">
        <v>1754</v>
      </c>
      <c r="C428" s="16" t="str">
        <f>CONCATENATE("'",Alumnos!E182,"'")</f>
        <v>'dieggo.zepedalopez'</v>
      </c>
      <c r="D428" s="16" t="str">
        <f>CONCATENATE(Alumnos!F182,"'")</f>
        <v>'111086'</v>
      </c>
      <c r="E428" s="16" t="s">
        <v>1755</v>
      </c>
      <c r="F428" s="16" t="str">
        <f>CONCATENATE("'",Alumnos!H182,"'")</f>
        <v>'ZEPEDA LOPEZ DIEGGO'</v>
      </c>
      <c r="G428" s="16" t="str">
        <f>CONCATENATE("'",Alumnos!I182,"'")</f>
        <v>'INGENIERIA AEROESPACIAL'</v>
      </c>
      <c r="H428" s="16" t="str">
        <f>CONCATENATE("'",Alumnos!J182,"'")</f>
        <v>'6to'</v>
      </c>
      <c r="I428" s="16" t="str">
        <f>UPPER(CONCATENATE("'",Alumnos!K182,"'"))</f>
        <v>'MASCULINO'</v>
      </c>
      <c r="J428" s="16" t="str">
        <f>UPPER(CONCATENATE("'",Alumnos!L182,"'"))</f>
        <v>'ACTIVO'</v>
      </c>
      <c r="K428" s="16" t="str">
        <f>CONCATENATE(A428,",",B428,",",C428,",",D428,",'",E428,",",F428,",",G428,",",H428,",",UPPER(I428),",",UPPER(J428),",'',0,0,'','ALUMNO'")</f>
        <v>1427,'LICENCIATURA','dieggo.zepedalopez','111086','TOMAR DEL SND','ZEPEDA LOPEZ DIEGGO','INGENIERIA AEROESPACIAL','6to','MASCULINO','ACTIVO','',0,0,'','ALUMNO'</v>
      </c>
      <c r="L428" s="16" t="str">
        <f>CONCATENATE($K$1,K428,");")</f>
        <v>INSERT INTO participantes (id,nivel,correo,matricula,clave,nombre,carrera,grado,sexo,situacion,evaluados,num_evaluados,total_evaluaciones,ultimo_acceso,nivel_acceso) VALUES (1427,'LICENCIATURA','dieggo.zepedalopez','111086','TOMAR DEL SND','ZEPEDA LOPEZ DIEGGO','INGENIERIA AEROESPACIAL','6to','MASCULINO','ACTIVO','',0,0,'','ALUMNO');</v>
      </c>
      <c r="M428" s="16" t="str">
        <f>CONCATENATE("update participantes set correo=",C428," where id=",A428,";")</f>
        <v>update participantes set correo='dieggo.zepedalopez' where id=1427;</v>
      </c>
    </row>
    <row r="429" spans="1:13" ht="130.5" x14ac:dyDescent="0.35">
      <c r="A429" s="16">
        <v>1428</v>
      </c>
      <c r="B429" s="18" t="s">
        <v>1754</v>
      </c>
      <c r="C429" s="16" t="str">
        <f>CONCATENATE("'",Alumnos!E90,"'")</f>
        <v>'araceliesmeralda.linanflores'</v>
      </c>
      <c r="D429" s="16" t="str">
        <f>CONCATENATE(Alumnos!F90,"'")</f>
        <v>'111087'</v>
      </c>
      <c r="E429" s="16" t="s">
        <v>1755</v>
      </c>
      <c r="F429" s="16" t="str">
        <f>CONCATENATE("'",Alumnos!H90,"'")</f>
        <v>'LIÑAN FLORES ARACELI ESMERALDA'</v>
      </c>
      <c r="G429" s="16" t="str">
        <f>CONCATENATE("'",Alumnos!I90,"'")</f>
        <v>'INGENIERIA AEROESPACIAL'</v>
      </c>
      <c r="H429" s="16" t="str">
        <f>CONCATENATE("'",Alumnos!J90,"'")</f>
        <v>'6to'</v>
      </c>
      <c r="I429" s="16" t="str">
        <f>UPPER(CONCATENATE("'",Alumnos!K90,"'"))</f>
        <v>'FEMENINO'</v>
      </c>
      <c r="J429" s="16" t="str">
        <f>UPPER(CONCATENATE("'",Alumnos!L90,"'"))</f>
        <v>'ACTIVO'</v>
      </c>
      <c r="K429" s="16" t="str">
        <f>CONCATENATE(A429,",",B429,",",C429,",",D429,",'",E429,",",F429,",",G429,",",H429,",",UPPER(I429),",",UPPER(J429),",'',0,0,'','ALUMNO'")</f>
        <v>1428,'LICENCIATURA','araceliesmeralda.linanflores','111087','TOMAR DEL SND','LIÑAN FLORES ARACELI ESMERALDA','INGENIERIA AEROESPACIAL','6to','FEMENINO','ACTIVO','',0,0,'','ALUMNO'</v>
      </c>
      <c r="L429" s="16" t="str">
        <f>CONCATENATE($K$1,K429,");")</f>
        <v>INSERT INTO participantes (id,nivel,correo,matricula,clave,nombre,carrera,grado,sexo,situacion,evaluados,num_evaluados,total_evaluaciones,ultimo_acceso,nivel_acceso) VALUES (1428,'LICENCIATURA','araceliesmeralda.linanflores','111087','TOMAR DEL SND','LIÑAN FLORES ARACELI ESMERALDA','INGENIERIA AEROESPACIAL','6to','FEMENINO','ACTIVO','',0,0,'','ALUMNO');</v>
      </c>
      <c r="M429" s="16" t="str">
        <f>CONCATENATE("update participantes set correo=",C429," where id=",A429,";")</f>
        <v>update participantes set correo='araceliesmeralda.linanflores' where id=1428;</v>
      </c>
    </row>
    <row r="430" spans="1:13" ht="116" x14ac:dyDescent="0.35">
      <c r="A430" s="16">
        <v>1429</v>
      </c>
      <c r="B430" s="18" t="s">
        <v>1754</v>
      </c>
      <c r="C430" s="16" t="str">
        <f>CONCATENATE("'",Alumnos!E585,"'")</f>
        <v>'soniaximena.marmolejorodriguez'</v>
      </c>
      <c r="D430" s="16" t="str">
        <f>CONCATENATE(Alumnos!F585,"'")</f>
        <v>'111088'</v>
      </c>
      <c r="E430" s="16" t="s">
        <v>1755</v>
      </c>
      <c r="F430" s="16" t="str">
        <f>CONCATENATE("'",Alumnos!H585,"'")</f>
        <v>'MARMOLEJO RODRIGUEZ SONIA XIMENA'</v>
      </c>
      <c r="G430" s="16" t="str">
        <f>CONCATENATE("'",Alumnos!I585,"'")</f>
        <v>'ADMINISTRACION Y DIRECCION DE NEGOCIOS'</v>
      </c>
      <c r="H430" s="16" t="str">
        <f>CONCATENATE("'",Alumnos!J585,"'")</f>
        <v>'6to'</v>
      </c>
      <c r="I430" s="16" t="str">
        <f>UPPER(CONCATENATE("'",Alumnos!K585,"'"))</f>
        <v>'FEMENINO'</v>
      </c>
      <c r="J430" s="16" t="str">
        <f>UPPER(CONCATENATE("'",Alumnos!L585,"'"))</f>
        <v>'ACTIVO'</v>
      </c>
      <c r="K430" s="16" t="str">
        <f>CONCATENATE(A430,",",B430,",",C430,",",D430,",'",E430,",",F430,",",G430,",",H430,",",UPPER(I430),",",UPPER(J430),",'',0,0,'','ALUMNO'")</f>
        <v>1429,'LICENCIATURA','soniaximena.marmolejorodriguez','111088','TOMAR DEL SND','MARMOLEJO RODRIGUEZ SONIA XIMENA','ADMINISTRACION Y DIRECCION DE NEGOCIOS','6to','FEMENINO','ACTIVO','',0,0,'','ALUMNO'</v>
      </c>
      <c r="L430" s="16" t="str">
        <f>CONCATENATE($K$1,K430,");")</f>
        <v>INSERT INTO participantes (id,nivel,correo,matricula,clave,nombre,carrera,grado,sexo,situacion,evaluados,num_evaluados,total_evaluaciones,ultimo_acceso,nivel_acceso) VALUES (1429,'LICENCIATURA','soniaximena.marmolejorodriguez','111088','TOMAR DEL SND','MARMOLEJO RODRIGUEZ SONIA XIMENA','ADMINISTRACION Y DIRECCION DE NEGOCIOS','6to','FEMENINO','ACTIVO','',0,0,'','ALUMNO');</v>
      </c>
      <c r="M430" s="16" t="str">
        <f>CONCATENATE("update participantes set correo=",C430," where id=",A430,";")</f>
        <v>update participantes set correo='soniaximena.marmolejorodriguez' where id=1429;</v>
      </c>
    </row>
    <row r="431" spans="1:13" ht="130.5" x14ac:dyDescent="0.35">
      <c r="A431" s="16">
        <v>1430</v>
      </c>
      <c r="B431" s="18" t="s">
        <v>1754</v>
      </c>
      <c r="C431" s="16" t="str">
        <f>CONCATENATE("'",Alumnos!E37,"'")</f>
        <v>'alondra.ramosavalos'</v>
      </c>
      <c r="D431" s="16" t="str">
        <f>CONCATENATE(Alumnos!F37,"'")</f>
        <v>'111091'</v>
      </c>
      <c r="E431" s="16" t="s">
        <v>1755</v>
      </c>
      <c r="F431" s="16" t="str">
        <f>CONCATENATE("'",Alumnos!H37,"'")</f>
        <v>'RAMOS AVALOS ALONDRA'</v>
      </c>
      <c r="G431" s="16" t="str">
        <f>CONCATENATE("'",Alumnos!I37,"'")</f>
        <v>'ANIMACION DIGITAL Y VIDEOJUEGOS'</v>
      </c>
      <c r="H431" s="16" t="str">
        <f>CONCATENATE("'",Alumnos!J37,"'")</f>
        <v>'6to'</v>
      </c>
      <c r="I431" s="16" t="str">
        <f>UPPER(CONCATENATE("'",Alumnos!K37,"'"))</f>
        <v>'FEMENINO'</v>
      </c>
      <c r="J431" s="16" t="str">
        <f>UPPER(CONCATENATE("'",Alumnos!L37,"'"))</f>
        <v>'ACTIVO'</v>
      </c>
      <c r="K431" s="16" t="str">
        <f>CONCATENATE(A431,",",B431,",",C431,",",D431,",'",E431,",",F431,",",G431,",",H431,",",UPPER(I431),",",UPPER(J431),",'',0,0,'','ALUMNO'")</f>
        <v>1430,'LICENCIATURA','alondra.ramosavalos','111091','TOMAR DEL SND','RAMOS AVALOS ALONDRA','ANIMACION DIGITAL Y VIDEOJUEGOS','6to','FEMENINO','ACTIVO','',0,0,'','ALUMNO'</v>
      </c>
      <c r="L431" s="16" t="str">
        <f>CONCATENATE($K$1,K431,");")</f>
        <v>INSERT INTO participantes (id,nivel,correo,matricula,clave,nombre,carrera,grado,sexo,situacion,evaluados,num_evaluados,total_evaluaciones,ultimo_acceso,nivel_acceso) VALUES (1430,'LICENCIATURA','alondra.ramosavalos','111091','TOMAR DEL SND','RAMOS AVALOS ALONDRA','ANIMACION DIGITAL Y VIDEOJUEGOS','6to','FEMENINO','ACTIVO','',0,0,'','ALUMNO');</v>
      </c>
      <c r="M431" s="16" t="str">
        <f>CONCATENATE("update participantes set correo=",C431," where id=",A431,";")</f>
        <v>update participantes set correo='alondra.ramosavalos' where id=1430;</v>
      </c>
    </row>
    <row r="432" spans="1:13" ht="130.5" x14ac:dyDescent="0.35">
      <c r="A432" s="16">
        <v>1431</v>
      </c>
      <c r="B432" s="18" t="s">
        <v>1754</v>
      </c>
      <c r="C432" s="16" t="str">
        <f>CONCATENATE("'",Alumnos!E493,"'")</f>
        <v>'neizerjesus.martinezortega'</v>
      </c>
      <c r="D432" s="16" t="str">
        <f>CONCATENATE(Alumnos!F493,"'")</f>
        <v>'111092'</v>
      </c>
      <c r="E432" s="16" t="s">
        <v>1755</v>
      </c>
      <c r="F432" s="16" t="str">
        <f>CONCATENATE("'",Alumnos!H493,"'")</f>
        <v>'MARTINEZ ORTEGA NEIZER JESUS'</v>
      </c>
      <c r="G432" s="16" t="str">
        <f>CONCATENATE("'",Alumnos!I493,"'")</f>
        <v>'INGENIERIA AEROESPACIAL'</v>
      </c>
      <c r="H432" s="16" t="str">
        <f>CONCATENATE("'",Alumnos!J493,"'")</f>
        <v>'6to'</v>
      </c>
      <c r="I432" s="16" t="str">
        <f>UPPER(CONCATENATE("'",Alumnos!K493,"'"))</f>
        <v>'MASCULINO'</v>
      </c>
      <c r="J432" s="16" t="str">
        <f>UPPER(CONCATENATE("'",Alumnos!L493,"'"))</f>
        <v>'ACTIVO'</v>
      </c>
      <c r="K432" s="16" t="str">
        <f>CONCATENATE(A432,",",B432,",",C432,",",D432,",'",E432,",",F432,",",G432,",",H432,",",UPPER(I432),",",UPPER(J432),",'',0,0,'','ALUMNO'")</f>
        <v>1431,'LICENCIATURA','neizerjesus.martinezortega','111092','TOMAR DEL SND','MARTINEZ ORTEGA NEIZER JESUS','INGENIERIA AEROESPACIAL','6to','MASCULINO','ACTIVO','',0,0,'','ALUMNO'</v>
      </c>
      <c r="L432" s="16" t="str">
        <f>CONCATENATE($K$1,K432,");")</f>
        <v>INSERT INTO participantes (id,nivel,correo,matricula,clave,nombre,carrera,grado,sexo,situacion,evaluados,num_evaluados,total_evaluaciones,ultimo_acceso,nivel_acceso) VALUES (1431,'LICENCIATURA','neizerjesus.martinezortega','111092','TOMAR DEL SND','MARTINEZ ORTEGA NEIZER JESUS','INGENIERIA AEROESPACIAL','6to','MASCULINO','ACTIVO','',0,0,'','ALUMNO');</v>
      </c>
      <c r="M432" s="16" t="str">
        <f>CONCATENATE("update participantes set correo=",C432," where id=",A432,";")</f>
        <v>update participantes set correo='neizerjesus.martinezortega' where id=1431;</v>
      </c>
    </row>
    <row r="433" spans="1:13" ht="116" x14ac:dyDescent="0.35">
      <c r="A433" s="16">
        <v>1432</v>
      </c>
      <c r="B433" s="18" t="s">
        <v>1754</v>
      </c>
      <c r="C433" s="16" t="str">
        <f>CONCATENATE("'",Alumnos!E573,"'")</f>
        <v>'sebastian.garciamejia'</v>
      </c>
      <c r="D433" s="16" t="str">
        <f>CONCATENATE(Alumnos!F573,"'")</f>
        <v>'111093'</v>
      </c>
      <c r="E433" s="16" t="s">
        <v>1755</v>
      </c>
      <c r="F433" s="16" t="str">
        <f>CONCATENATE("'",Alumnos!H573,"'")</f>
        <v>'GARCIA MEJIA SEBASTIAN'</v>
      </c>
      <c r="G433" s="16" t="str">
        <f>CONCATENATE("'",Alumnos!I573,"'")</f>
        <v>'INGENIERIA AEROESPACIAL'</v>
      </c>
      <c r="H433" s="16" t="str">
        <f>CONCATENATE("'",Alumnos!J573,"'")</f>
        <v>'6to'</v>
      </c>
      <c r="I433" s="16" t="str">
        <f>UPPER(CONCATENATE("'",Alumnos!K573,"'"))</f>
        <v>'MASCULINO'</v>
      </c>
      <c r="J433" s="16" t="str">
        <f>UPPER(CONCATENATE("'",Alumnos!L573,"'"))</f>
        <v>'ACTIVO'</v>
      </c>
      <c r="K433" s="16" t="str">
        <f>CONCATENATE(A433,",",B433,",",C433,",",D433,",'",E433,",",F433,",",G433,",",H433,",",UPPER(I433),",",UPPER(J433),",'',0,0,'','ALUMNO'")</f>
        <v>1432,'LICENCIATURA','sebastian.garciamejia','111093','TOMAR DEL SND','GARCIA MEJIA SEBASTIAN','INGENIERIA AEROESPACIAL','6to','MASCULINO','ACTIVO','',0,0,'','ALUMNO'</v>
      </c>
      <c r="L433" s="16" t="str">
        <f>CONCATENATE($K$1,K433,");")</f>
        <v>INSERT INTO participantes (id,nivel,correo,matricula,clave,nombre,carrera,grado,sexo,situacion,evaluados,num_evaluados,total_evaluaciones,ultimo_acceso,nivel_acceso) VALUES (1432,'LICENCIATURA','sebastian.garciamejia','111093','TOMAR DEL SND','GARCIA MEJIA SEBASTIAN','INGENIERIA AEROESPACIAL','6to','MASCULINO','ACTIVO','',0,0,'','ALUMNO');</v>
      </c>
      <c r="M433" s="16" t="str">
        <f>CONCATENATE("update participantes set correo=",C433," where id=",A433,";")</f>
        <v>update participantes set correo='sebastian.garciamejia' where id=1432;</v>
      </c>
    </row>
    <row r="434" spans="1:13" ht="116" x14ac:dyDescent="0.35">
      <c r="A434" s="16">
        <v>1433</v>
      </c>
      <c r="B434" s="18" t="s">
        <v>1754</v>
      </c>
      <c r="C434" s="16" t="str">
        <f>CONCATENATE("'",Alumnos!E550,"'")</f>
        <v>'rodrigo.alvarezespinosa'</v>
      </c>
      <c r="D434" s="16" t="str">
        <f>CONCATENATE(Alumnos!F550,"'")</f>
        <v>'111094'</v>
      </c>
      <c r="E434" s="16" t="s">
        <v>1755</v>
      </c>
      <c r="F434" s="16" t="str">
        <f>CONCATENATE("'",Alumnos!H550,"'")</f>
        <v>'ALVAREZ ESPINOSA RODRIGO'</v>
      </c>
      <c r="G434" s="16" t="str">
        <f>CONCATENATE("'",Alumnos!I550,"'")</f>
        <v>'PSICOLOGIA'</v>
      </c>
      <c r="H434" s="16" t="str">
        <f>CONCATENATE("'",Alumnos!J550,"'")</f>
        <v>'6to'</v>
      </c>
      <c r="I434" s="16" t="str">
        <f>UPPER(CONCATENATE("'",Alumnos!K550,"'"))</f>
        <v>'MASCULINO'</v>
      </c>
      <c r="J434" s="16" t="str">
        <f>UPPER(CONCATENATE("'",Alumnos!L550,"'"))</f>
        <v>'ACTIVO'</v>
      </c>
      <c r="K434" s="16" t="str">
        <f>CONCATENATE(A434,",",B434,",",C434,",",D434,",'",E434,",",F434,",",G434,",",H434,",",UPPER(I434),",",UPPER(J434),",'',0,0,'','ALUMNO'")</f>
        <v>1433,'LICENCIATURA','rodrigo.alvarezespinosa','111094','TOMAR DEL SND','ALVAREZ ESPINOSA RODRIGO','PSICOLOGIA','6to','MASCULINO','ACTIVO','',0,0,'','ALUMNO'</v>
      </c>
      <c r="L434" s="16" t="str">
        <f>CONCATENATE($K$1,K434,");")</f>
        <v>INSERT INTO participantes (id,nivel,correo,matricula,clave,nombre,carrera,grado,sexo,situacion,evaluados,num_evaluados,total_evaluaciones,ultimo_acceso,nivel_acceso) VALUES (1433,'LICENCIATURA','rodrigo.alvarezespinosa','111094','TOMAR DEL SND','ALVAREZ ESPINOSA RODRIGO','PSICOLOGIA','6to','MASCULINO','ACTIVO','',0,0,'','ALUMNO');</v>
      </c>
      <c r="M434" s="16" t="str">
        <f>CONCATENATE("update participantes set correo=",C434," where id=",A434,";")</f>
        <v>update participantes set correo='rodrigo.alvarezespinosa' where id=1433;</v>
      </c>
    </row>
    <row r="435" spans="1:13" ht="116" x14ac:dyDescent="0.35">
      <c r="A435" s="16">
        <v>1434</v>
      </c>
      <c r="B435" s="18" t="s">
        <v>1754</v>
      </c>
      <c r="C435" s="16" t="str">
        <f>CONCATENATE("'",Alumnos!E256,"'")</f>
        <v>'giovanna.santillanbarragan'</v>
      </c>
      <c r="D435" s="16" t="str">
        <f>CONCATENATE(Alumnos!F256,"'")</f>
        <v>'111095'</v>
      </c>
      <c r="E435" s="16" t="s">
        <v>1755</v>
      </c>
      <c r="F435" s="16" t="str">
        <f>CONCATENATE("'",Alumnos!H256,"'")</f>
        <v>'SANTILLAN BARRAGAN GIOVANNA'</v>
      </c>
      <c r="G435" s="16" t="str">
        <f>CONCATENATE("'",Alumnos!I256,"'")</f>
        <v>'DISEÑO GRAFICO Y DIGITAL'</v>
      </c>
      <c r="H435" s="16" t="str">
        <f>CONCATENATE("'",Alumnos!J256,"'")</f>
        <v>'6to'</v>
      </c>
      <c r="I435" s="16" t="str">
        <f>UPPER(CONCATENATE("'",Alumnos!K256,"'"))</f>
        <v>'FEMENINO'</v>
      </c>
      <c r="J435" s="16" t="str">
        <f>UPPER(CONCATENATE("'",Alumnos!L256,"'"))</f>
        <v>'ACTIVO'</v>
      </c>
      <c r="K435" s="16" t="str">
        <f>CONCATENATE(A435,",",B435,",",C435,",",D435,",'",E435,",",F435,",",G435,",",H435,",",UPPER(I435),",",UPPER(J435),",'',0,0,'','ALUMNO'")</f>
        <v>1434,'LICENCIATURA','giovanna.santillanbarragan','111095','TOMAR DEL SND','SANTILLAN BARRAGAN GIOVANNA','DISEÑO GRAFICO Y DIGITAL','6to','FEMENINO','ACTIVO','',0,0,'','ALUMNO'</v>
      </c>
      <c r="L435" s="16" t="str">
        <f>CONCATENATE($K$1,K435,");")</f>
        <v>INSERT INTO participantes (id,nivel,correo,matricula,clave,nombre,carrera,grado,sexo,situacion,evaluados,num_evaluados,total_evaluaciones,ultimo_acceso,nivel_acceso) VALUES (1434,'LICENCIATURA','giovanna.santillanbarragan','111095','TOMAR DEL SND','SANTILLAN BARRAGAN GIOVANNA','DISEÑO GRAFICO Y DIGITAL','6to','FEMENINO','ACTIVO','',0,0,'','ALUMNO');</v>
      </c>
      <c r="M435" s="16" t="str">
        <f>CONCATENATE("update participantes set correo=",C435," where id=",A435,";")</f>
        <v>update participantes set correo='giovanna.santillanbarragan' where id=1434;</v>
      </c>
    </row>
    <row r="436" spans="1:13" ht="116" x14ac:dyDescent="0.35">
      <c r="A436" s="16">
        <v>1435</v>
      </c>
      <c r="B436" s="18" t="s">
        <v>1754</v>
      </c>
      <c r="C436" s="16" t="str">
        <f>CONCATENATE("'",Alumnos!E51,"'")</f>
        <v>'analucia.fongurquidy'</v>
      </c>
      <c r="D436" s="16" t="str">
        <f>CONCATENATE(Alumnos!F51,"'")</f>
        <v>'111097'</v>
      </c>
      <c r="E436" s="16" t="s">
        <v>1755</v>
      </c>
      <c r="F436" s="16" t="str">
        <f>CONCATENATE("'",Alumnos!H51,"'")</f>
        <v>'FONG URQUIDY ANA LUCIA'</v>
      </c>
      <c r="G436" s="16" t="str">
        <f>CONCATENATE("'",Alumnos!I51,"'")</f>
        <v>'ARQUITECTURA'</v>
      </c>
      <c r="H436" s="16" t="str">
        <f>CONCATENATE("'",Alumnos!J51,"'")</f>
        <v>'6to'</v>
      </c>
      <c r="I436" s="16" t="str">
        <f>UPPER(CONCATENATE("'",Alumnos!K51,"'"))</f>
        <v>'FEMENINO'</v>
      </c>
      <c r="J436" s="16" t="str">
        <f>UPPER(CONCATENATE("'",Alumnos!L51,"'"))</f>
        <v>'ACTIVO'</v>
      </c>
      <c r="K436" s="16" t="str">
        <f>CONCATENATE(A436,",",B436,",",C436,",",D436,",'",E436,",",F436,",",G436,",",H436,",",UPPER(I436),",",UPPER(J436),",'',0,0,'','ALUMNO'")</f>
        <v>1435,'LICENCIATURA','analucia.fongurquidy','111097','TOMAR DEL SND','FONG URQUIDY ANA LUCIA','ARQUITECTURA','6to','FEMENINO','ACTIVO','',0,0,'','ALUMNO'</v>
      </c>
      <c r="L436" s="16" t="str">
        <f>CONCATENATE($K$1,K436,");")</f>
        <v>INSERT INTO participantes (id,nivel,correo,matricula,clave,nombre,carrera,grado,sexo,situacion,evaluados,num_evaluados,total_evaluaciones,ultimo_acceso,nivel_acceso) VALUES (1435,'LICENCIATURA','analucia.fongurquidy','111097','TOMAR DEL SND','FONG URQUIDY ANA LUCIA','ARQUITECTURA','6to','FEMENINO','ACTIVO','',0,0,'','ALUMNO');</v>
      </c>
      <c r="M436" s="16" t="str">
        <f>CONCATENATE("update participantes set correo=",C436," where id=",A436,";")</f>
        <v>update participantes set correo='analucia.fongurquidy' where id=1435;</v>
      </c>
    </row>
    <row r="437" spans="1:13" ht="116" x14ac:dyDescent="0.35">
      <c r="A437" s="16">
        <v>1436</v>
      </c>
      <c r="B437" s="18" t="s">
        <v>1754</v>
      </c>
      <c r="C437" s="16" t="str">
        <f>CONCATENATE("'",Alumnos!E448,"'")</f>
        <v>'mariana.torrescamacho'</v>
      </c>
      <c r="D437" s="16" t="str">
        <f>CONCATENATE(Alumnos!F448,"'")</f>
        <v>'111098'</v>
      </c>
      <c r="E437" s="16" t="s">
        <v>1755</v>
      </c>
      <c r="F437" s="16" t="str">
        <f>CONCATENATE("'",Alumnos!H448,"'")</f>
        <v>'TORRES CAMACHO MARIANA'</v>
      </c>
      <c r="G437" s="16" t="str">
        <f>CONCATENATE("'",Alumnos!I448,"'")</f>
        <v>'PSICOLOGIA'</v>
      </c>
      <c r="H437" s="16" t="str">
        <f>CONCATENATE("'",Alumnos!J448,"'")</f>
        <v>'6to'</v>
      </c>
      <c r="I437" s="16" t="str">
        <f>UPPER(CONCATENATE("'",Alumnos!K448,"'"))</f>
        <v>'FEMENINO'</v>
      </c>
      <c r="J437" s="16" t="str">
        <f>UPPER(CONCATENATE("'",Alumnos!L448,"'"))</f>
        <v>'ACTIVO'</v>
      </c>
      <c r="K437" s="16" t="str">
        <f>CONCATENATE(A437,",",B437,",",C437,",",D437,",'",E437,",",F437,",",G437,",",H437,",",UPPER(I437),",",UPPER(J437),",'',0,0,'','ALUMNO'")</f>
        <v>1436,'LICENCIATURA','mariana.torrescamacho','111098','TOMAR DEL SND','TORRES CAMACHO MARIANA','PSICOLOGIA','6to','FEMENINO','ACTIVO','',0,0,'','ALUMNO'</v>
      </c>
      <c r="L437" s="16" t="str">
        <f>CONCATENATE($K$1,K437,");")</f>
        <v>INSERT INTO participantes (id,nivel,correo,matricula,clave,nombre,carrera,grado,sexo,situacion,evaluados,num_evaluados,total_evaluaciones,ultimo_acceso,nivel_acceso) VALUES (1436,'LICENCIATURA','mariana.torrescamacho','111098','TOMAR DEL SND','TORRES CAMACHO MARIANA','PSICOLOGIA','6to','FEMENINO','ACTIVO','',0,0,'','ALUMNO');</v>
      </c>
      <c r="M437" s="16" t="str">
        <f>CONCATENATE("update participantes set correo=",C437," where id=",A437,";")</f>
        <v>update participantes set correo='mariana.torrescamacho' where id=1436;</v>
      </c>
    </row>
    <row r="438" spans="1:13" ht="116" x14ac:dyDescent="0.35">
      <c r="A438" s="16">
        <v>1437</v>
      </c>
      <c r="B438" s="18" t="s">
        <v>1754</v>
      </c>
      <c r="C438" s="16" t="str">
        <f>CONCATENATE("'",Alumnos!E556,"'")</f>
        <v>'rodrigosaul.lopezalferez'</v>
      </c>
      <c r="D438" s="16" t="str">
        <f>CONCATENATE(Alumnos!F556,"'")</f>
        <v>'111102'</v>
      </c>
      <c r="E438" s="16" t="s">
        <v>1755</v>
      </c>
      <c r="F438" s="16" t="str">
        <f>CONCATENATE("'",Alumnos!H556,"'")</f>
        <v>'LOPEZ ALFEREZ RODRIGO SAUL'</v>
      </c>
      <c r="G438" s="16" t="str">
        <f>CONCATENATE("'",Alumnos!I556,"'")</f>
        <v>'ARQUITECTURA'</v>
      </c>
      <c r="H438" s="16" t="str">
        <f>CONCATENATE("'",Alumnos!J556,"'")</f>
        <v>'6to'</v>
      </c>
      <c r="I438" s="16" t="str">
        <f>UPPER(CONCATENATE("'",Alumnos!K556,"'"))</f>
        <v>'MASCULINO'</v>
      </c>
      <c r="J438" s="16" t="str">
        <f>UPPER(CONCATENATE("'",Alumnos!L556,"'"))</f>
        <v>'ACTIVO'</v>
      </c>
      <c r="K438" s="16" t="str">
        <f>CONCATENATE(A438,",",B438,",",C438,",",D438,",'",E438,",",F438,",",G438,",",H438,",",UPPER(I438),",",UPPER(J438),",'',0,0,'','ALUMNO'")</f>
        <v>1437,'LICENCIATURA','rodrigosaul.lopezalferez','111102','TOMAR DEL SND','LOPEZ ALFEREZ RODRIGO SAUL','ARQUITECTURA','6to','MASCULINO','ACTIVO','',0,0,'','ALUMNO'</v>
      </c>
      <c r="L438" s="16" t="str">
        <f>CONCATENATE($K$1,K438,");")</f>
        <v>INSERT INTO participantes (id,nivel,correo,matricula,clave,nombre,carrera,grado,sexo,situacion,evaluados,num_evaluados,total_evaluaciones,ultimo_acceso,nivel_acceso) VALUES (1437,'LICENCIATURA','rodrigosaul.lopezalferez','111102','TOMAR DEL SND','LOPEZ ALFEREZ RODRIGO SAUL','ARQUITECTURA','6to','MASCULINO','ACTIVO','',0,0,'','ALUMNO');</v>
      </c>
      <c r="M438" s="16" t="str">
        <f>CONCATENATE("update participantes set correo=",C438," where id=",A438,";")</f>
        <v>update participantes set correo='rodrigosaul.lopezalferez' where id=1437;</v>
      </c>
    </row>
    <row r="439" spans="1:13" ht="130.5" x14ac:dyDescent="0.35">
      <c r="A439" s="16">
        <v>1438</v>
      </c>
      <c r="B439" s="18" t="s">
        <v>1754</v>
      </c>
      <c r="C439" s="16" t="str">
        <f>CONCATENATE("'",Alumnos!E4,"'")</f>
        <v>'abrilisabella.godoyflores'</v>
      </c>
      <c r="D439" s="16" t="str">
        <f>CONCATENATE(Alumnos!F4,"'")</f>
        <v>'111103'</v>
      </c>
      <c r="E439" s="16" t="s">
        <v>1755</v>
      </c>
      <c r="F439" s="16" t="str">
        <f>CONCATENATE("'",Alumnos!H4,"'")</f>
        <v>'GODOY FLORES ABRIL ISABELLA'</v>
      </c>
      <c r="G439" s="16" t="str">
        <f>CONCATENATE("'",Alumnos!I4,"'")</f>
        <v>'INGENIERIA CIBERNETICA Y EN SISTEMAS COMPUTACIONALES'</v>
      </c>
      <c r="H439" s="16" t="str">
        <f>CONCATENATE("'",Alumnos!J4,"'")</f>
        <v>'6to'</v>
      </c>
      <c r="I439" s="16" t="str">
        <f>UPPER(CONCATENATE("'",Alumnos!K4,"'"))</f>
        <v>'FEMENINO'</v>
      </c>
      <c r="J439" s="16" t="str">
        <f>UPPER(CONCATENATE("'",Alumnos!L4,"'"))</f>
        <v>'ACTIVO'</v>
      </c>
      <c r="K439" s="16" t="str">
        <f>CONCATENATE(A439,",",B439,",",C439,",",D439,",'",E439,",",F439,",",G439,",",H439,",",UPPER(I439),",",UPPER(J439),",'',0,0,'','ALUMNO'")</f>
        <v>1438,'LICENCIATURA','abrilisabella.godoyflores','111103','TOMAR DEL SND','GODOY FLORES ABRIL ISABELLA','INGENIERIA CIBERNETICA Y EN SISTEMAS COMPUTACIONALES','6to','FEMENINO','ACTIVO','',0,0,'','ALUMNO'</v>
      </c>
      <c r="L439" s="16" t="str">
        <f>CONCATENATE($K$1,K439,");")</f>
        <v>INSERT INTO participantes (id,nivel,correo,matricula,clave,nombre,carrera,grado,sexo,situacion,evaluados,num_evaluados,total_evaluaciones,ultimo_acceso,nivel_acceso) VALUES (1438,'LICENCIATURA','abrilisabella.godoyflores','111103','TOMAR DEL SND','GODOY FLORES ABRIL ISABELLA','INGENIERIA CIBERNETICA Y EN SISTEMAS COMPUTACIONALES','6to','FEMENINO','ACTIVO','',0,0,'','ALUMNO');</v>
      </c>
      <c r="M439" s="16" t="str">
        <f>CONCATENATE("update participantes set correo=",C439," where id=",A439,";")</f>
        <v>update participantes set correo='abrilisabella.godoyflores' where id=1438;</v>
      </c>
    </row>
    <row r="440" spans="1:13" ht="130.5" x14ac:dyDescent="0.35">
      <c r="A440" s="16">
        <v>1439</v>
      </c>
      <c r="B440" s="18" t="s">
        <v>1754</v>
      </c>
      <c r="C440" s="16" t="str">
        <f>CONCATENATE("'",Alumnos!E260,"'")</f>
        <v>'gloriamiranda.hernandezvargas'</v>
      </c>
      <c r="D440" s="16" t="str">
        <f>CONCATENATE(Alumnos!F260,"'")</f>
        <v>'111105'</v>
      </c>
      <c r="E440" s="16" t="s">
        <v>1755</v>
      </c>
      <c r="F440" s="16" t="str">
        <f>CONCATENATE("'",Alumnos!H260,"'")</f>
        <v>'HERNANDEZ VARGAS GLORIA MIRANDA'</v>
      </c>
      <c r="G440" s="16" t="str">
        <f>CONCATENATE("'",Alumnos!I260,"'")</f>
        <v>'ANIMACION DIGITAL Y VIDEOJUEGOS'</v>
      </c>
      <c r="H440" s="16" t="str">
        <f>CONCATENATE("'",Alumnos!J260,"'")</f>
        <v>'6to'</v>
      </c>
      <c r="I440" s="16" t="str">
        <f>UPPER(CONCATENATE("'",Alumnos!K260,"'"))</f>
        <v>'FEMENINO'</v>
      </c>
      <c r="J440" s="16" t="str">
        <f>UPPER(CONCATENATE("'",Alumnos!L260,"'"))</f>
        <v>'ACTIVO'</v>
      </c>
      <c r="K440" s="16" t="str">
        <f>CONCATENATE(A440,",",B440,",",C440,",",D440,",'",E440,",",F440,",",G440,",",H440,",",UPPER(I440),",",UPPER(J440),",'',0,0,'','ALUMNO'")</f>
        <v>1439,'LICENCIATURA','gloriamiranda.hernandezvargas','111105','TOMAR DEL SND','HERNANDEZ VARGAS GLORIA MIRANDA','ANIMACION DIGITAL Y VIDEOJUEGOS','6to','FEMENINO','ACTIVO','',0,0,'','ALUMNO'</v>
      </c>
      <c r="L440" s="16" t="str">
        <f>CONCATENATE($K$1,K440,");")</f>
        <v>INSERT INTO participantes (id,nivel,correo,matricula,clave,nombre,carrera,grado,sexo,situacion,evaluados,num_evaluados,total_evaluaciones,ultimo_acceso,nivel_acceso) VALUES (1439,'LICENCIATURA','gloriamiranda.hernandezvargas','111105','TOMAR DEL SND','HERNANDEZ VARGAS GLORIA MIRANDA','ANIMACION DIGITAL Y VIDEOJUEGOS','6to','FEMENINO','ACTIVO','',0,0,'','ALUMNO');</v>
      </c>
      <c r="M440" s="16" t="str">
        <f>CONCATENATE("update participantes set correo=",C440," where id=",A440,";")</f>
        <v>update participantes set correo='gloriamiranda.hernandezvargas' where id=1439;</v>
      </c>
    </row>
    <row r="441" spans="1:13" ht="116" x14ac:dyDescent="0.35">
      <c r="A441" s="16">
        <v>1440</v>
      </c>
      <c r="B441" s="18" t="s">
        <v>1754</v>
      </c>
      <c r="C441" s="16" t="str">
        <f>CONCATENATE("'",Alumnos!E188,"'")</f>
        <v>'diego.villasenorclaudin'</v>
      </c>
      <c r="D441" s="16" t="str">
        <f>CONCATENATE(Alumnos!F188,"'")</f>
        <v>'111108'</v>
      </c>
      <c r="E441" s="16" t="s">
        <v>1755</v>
      </c>
      <c r="F441" s="16" t="str">
        <f>CONCATENATE("'",Alumnos!H188,"'")</f>
        <v>'VILLASEÑOR CLAUDIN DIEGO'</v>
      </c>
      <c r="G441" s="16" t="str">
        <f>CONCATENATE("'",Alumnos!I188,"'")</f>
        <v>'INGENIERIA AEROESPACIAL'</v>
      </c>
      <c r="H441" s="16" t="str">
        <f>CONCATENATE("'",Alumnos!J188,"'")</f>
        <v>'6to'</v>
      </c>
      <c r="I441" s="16" t="str">
        <f>UPPER(CONCATENATE("'",Alumnos!K188,"'"))</f>
        <v>'MASCULINO'</v>
      </c>
      <c r="J441" s="16" t="str">
        <f>UPPER(CONCATENATE("'",Alumnos!L188,"'"))</f>
        <v>'ACTIVO'</v>
      </c>
      <c r="K441" s="16" t="str">
        <f>CONCATENATE(A441,",",B441,",",C441,",",D441,",'",E441,",",F441,",",G441,",",H441,",",UPPER(I441),",",UPPER(J441),",'',0,0,'','ALUMNO'")</f>
        <v>1440,'LICENCIATURA','diego.villasenorclaudin','111108','TOMAR DEL SND','VILLASEÑOR CLAUDIN DIEGO','INGENIERIA AEROESPACIAL','6to','MASCULINO','ACTIVO','',0,0,'','ALUMNO'</v>
      </c>
      <c r="L441" s="16" t="str">
        <f>CONCATENATE($K$1,K441,");")</f>
        <v>INSERT INTO participantes (id,nivel,correo,matricula,clave,nombre,carrera,grado,sexo,situacion,evaluados,num_evaluados,total_evaluaciones,ultimo_acceso,nivel_acceso) VALUES (1440,'LICENCIATURA','diego.villasenorclaudin','111108','TOMAR DEL SND','VILLASEÑOR CLAUDIN DIEGO','INGENIERIA AEROESPACIAL','6to','MASCULINO','ACTIVO','',0,0,'','ALUMNO');</v>
      </c>
      <c r="M441" s="16" t="str">
        <f>CONCATENATE("update participantes set correo=",C441," where id=",A441,";")</f>
        <v>update participantes set correo='diego.villasenorclaudin' where id=1440;</v>
      </c>
    </row>
    <row r="442" spans="1:13" ht="116" x14ac:dyDescent="0.35">
      <c r="A442" s="16">
        <v>1441</v>
      </c>
      <c r="B442" s="18" t="s">
        <v>1754</v>
      </c>
      <c r="C442" s="16" t="str">
        <f>CONCATENATE("'",Alumnos!E443,"'")</f>
        <v>'mariasofia.esparzacontreras'</v>
      </c>
      <c r="D442" s="16" t="str">
        <f>CONCATENATE(Alumnos!F443,"'")</f>
        <v>'111110'</v>
      </c>
      <c r="E442" s="16" t="s">
        <v>1755</v>
      </c>
      <c r="F442" s="16" t="str">
        <f>CONCATENATE("'",Alumnos!H443,"'")</f>
        <v>'ESPARZA CONTRERAS MARIA SOFIA'</v>
      </c>
      <c r="G442" s="16" t="str">
        <f>CONCATENATE("'",Alumnos!I443,"'")</f>
        <v>'ADMINISTRACION Y DIRECCION DE NEGOCIOS'</v>
      </c>
      <c r="H442" s="16" t="str">
        <f>CONCATENATE("'",Alumnos!J443,"'")</f>
        <v>'6to'</v>
      </c>
      <c r="I442" s="16" t="str">
        <f>UPPER(CONCATENATE("'",Alumnos!K443,"'"))</f>
        <v>'FEMENINO'</v>
      </c>
      <c r="J442" s="16" t="str">
        <f>UPPER(CONCATENATE("'",Alumnos!L443,"'"))</f>
        <v>'ACTIVO'</v>
      </c>
      <c r="K442" s="16" t="str">
        <f>CONCATENATE(A442,",",B442,",",C442,",",D442,",'",E442,",",F442,",",G442,",",H442,",",UPPER(I442),",",UPPER(J442),",'',0,0,'','ALUMNO'")</f>
        <v>1441,'LICENCIATURA','mariasofia.esparzacontreras','111110','TOMAR DEL SND','ESPARZA CONTRERAS MARIA SOFIA','ADMINISTRACION Y DIRECCION DE NEGOCIOS','6to','FEMENINO','ACTIVO','',0,0,'','ALUMNO'</v>
      </c>
      <c r="L442" s="16" t="str">
        <f>CONCATENATE($K$1,K442,");")</f>
        <v>INSERT INTO participantes (id,nivel,correo,matricula,clave,nombre,carrera,grado,sexo,situacion,evaluados,num_evaluados,total_evaluaciones,ultimo_acceso,nivel_acceso) VALUES (1441,'LICENCIATURA','mariasofia.esparzacontreras','111110','TOMAR DEL SND','ESPARZA CONTRERAS MARIA SOFIA','ADMINISTRACION Y DIRECCION DE NEGOCIOS','6to','FEMENINO','ACTIVO','',0,0,'','ALUMNO');</v>
      </c>
      <c r="M442" s="16" t="str">
        <f>CONCATENATE("update participantes set correo=",C442," where id=",A442,";")</f>
        <v>update participantes set correo='mariasofia.esparzacontreras' where id=1441;</v>
      </c>
    </row>
    <row r="443" spans="1:13" ht="116" x14ac:dyDescent="0.35">
      <c r="A443" s="16">
        <v>1442</v>
      </c>
      <c r="B443" s="18" t="s">
        <v>1754</v>
      </c>
      <c r="C443" s="16" t="str">
        <f>CONCATENATE("'",Alumnos!E435,"'")</f>
        <v>'mariafernanda.alvarezlopez'</v>
      </c>
      <c r="D443" s="16" t="str">
        <f>CONCATENATE(Alumnos!F435,"'")</f>
        <v>'111111'</v>
      </c>
      <c r="E443" s="16" t="s">
        <v>1755</v>
      </c>
      <c r="F443" s="16" t="str">
        <f>CONCATENATE("'",Alumnos!H435,"'")</f>
        <v>'ALVAREZ LOPEZ MARIA FERNANDA'</v>
      </c>
      <c r="G443" s="16" t="str">
        <f>CONCATENATE("'",Alumnos!I435,"'")</f>
        <v>'DISEÑO GRAFICO Y DIGITAL'</v>
      </c>
      <c r="H443" s="16" t="str">
        <f>CONCATENATE("'",Alumnos!J435,"'")</f>
        <v>'6to'</v>
      </c>
      <c r="I443" s="16" t="str">
        <f>UPPER(CONCATENATE("'",Alumnos!K435,"'"))</f>
        <v>'FEMENINO'</v>
      </c>
      <c r="J443" s="16" t="str">
        <f>UPPER(CONCATENATE("'",Alumnos!L435,"'"))</f>
        <v>'ACTIVO'</v>
      </c>
      <c r="K443" s="16" t="str">
        <f>CONCATENATE(A443,",",B443,",",C443,",",D443,",'",E443,",",F443,",",G443,",",H443,",",UPPER(I443),",",UPPER(J443),",'',0,0,'','ALUMNO'")</f>
        <v>1442,'LICENCIATURA','mariafernanda.alvarezlopez','111111','TOMAR DEL SND','ALVAREZ LOPEZ MARIA FERNANDA','DISEÑO GRAFICO Y DIGITAL','6to','FEMENINO','ACTIVO','',0,0,'','ALUMNO'</v>
      </c>
      <c r="L443" s="16" t="str">
        <f>CONCATENATE($K$1,K443,");")</f>
        <v>INSERT INTO participantes (id,nivel,correo,matricula,clave,nombre,carrera,grado,sexo,situacion,evaluados,num_evaluados,total_evaluaciones,ultimo_acceso,nivel_acceso) VALUES (1442,'LICENCIATURA','mariafernanda.alvarezlopez','111111','TOMAR DEL SND','ALVAREZ LOPEZ MARIA FERNANDA','DISEÑO GRAFICO Y DIGITAL','6to','FEMENINO','ACTIVO','',0,0,'','ALUMNO');</v>
      </c>
      <c r="M443" s="16" t="str">
        <f>CONCATENATE("update participantes set correo=",C443," where id=",A443,";")</f>
        <v>update participantes set correo='mariafernanda.alvarezlopez' where id=1442;</v>
      </c>
    </row>
    <row r="444" spans="1:13" ht="130.5" x14ac:dyDescent="0.35">
      <c r="A444" s="16">
        <v>1443</v>
      </c>
      <c r="B444" s="18" t="s">
        <v>1754</v>
      </c>
      <c r="C444" s="16" t="str">
        <f>CONCATENATE("'",Alumnos!E410,"'")</f>
        <v>'luisantonio.santanaaguilar'</v>
      </c>
      <c r="D444" s="16" t="str">
        <f>CONCATENATE(Alumnos!F410,"'")</f>
        <v>'111112'</v>
      </c>
      <c r="E444" s="16" t="s">
        <v>1755</v>
      </c>
      <c r="F444" s="16" t="str">
        <f>CONCATENATE("'",Alumnos!H410,"'")</f>
        <v>'SANTANA AGUILAR LUIS ANTONIO'</v>
      </c>
      <c r="G444" s="16" t="str">
        <f>CONCATENATE("'",Alumnos!I410,"'")</f>
        <v>'INGENIERÍA AUTOMOTRIZ'</v>
      </c>
      <c r="H444" s="16" t="str">
        <f>CONCATENATE("'",Alumnos!J410,"'")</f>
        <v>'6to'</v>
      </c>
      <c r="I444" s="16" t="str">
        <f>UPPER(CONCATENATE("'",Alumnos!K410,"'"))</f>
        <v>'MASCULINO'</v>
      </c>
      <c r="J444" s="16" t="str">
        <f>UPPER(CONCATENATE("'",Alumnos!L410,"'"))</f>
        <v>'ACTIVO'</v>
      </c>
      <c r="K444" s="16" t="str">
        <f>CONCATENATE(A444,",",B444,",",C444,",",D444,",'",E444,",",F444,",",G444,",",H444,",",UPPER(I444),",",UPPER(J444),",'',0,0,'','ALUMNO'")</f>
        <v>1443,'LICENCIATURA','luisantonio.santanaaguilar','111112','TOMAR DEL SND','SANTANA AGUILAR LUIS ANTONIO','INGENIERÍA AUTOMOTRIZ','6to','MASCULINO','ACTIVO','',0,0,'','ALUMNO'</v>
      </c>
      <c r="L444" s="16" t="str">
        <f>CONCATENATE($K$1,K444,");")</f>
        <v>INSERT INTO participantes (id,nivel,correo,matricula,clave,nombre,carrera,grado,sexo,situacion,evaluados,num_evaluados,total_evaluaciones,ultimo_acceso,nivel_acceso) VALUES (1443,'LICENCIATURA','luisantonio.santanaaguilar','111112','TOMAR DEL SND','SANTANA AGUILAR LUIS ANTONIO','INGENIERÍA AUTOMOTRIZ','6to','MASCULINO','ACTIVO','',0,0,'','ALUMNO');</v>
      </c>
      <c r="M444" s="16" t="str">
        <f>CONCATENATE("update participantes set correo=",C444," where id=",A444,";")</f>
        <v>update participantes set correo='luisantonio.santanaaguilar' where id=1443;</v>
      </c>
    </row>
    <row r="445" spans="1:13" ht="130.5" x14ac:dyDescent="0.35">
      <c r="A445" s="16">
        <v>1444</v>
      </c>
      <c r="B445" s="18" t="s">
        <v>1754</v>
      </c>
      <c r="C445" s="16" t="str">
        <f>CONCATENATE("'",Alumnos!E39,"'")</f>
        <v>'alondrajamileth.velazquezcastro'</v>
      </c>
      <c r="D445" s="16" t="str">
        <f>CONCATENATE(Alumnos!F39,"'")</f>
        <v>'111113'</v>
      </c>
      <c r="E445" s="16" t="s">
        <v>1755</v>
      </c>
      <c r="F445" s="16" t="str">
        <f>CONCATENATE("'",Alumnos!H39,"'")</f>
        <v>'VELAZQUEZ CASTRO ALONDRA JAMILETH'</v>
      </c>
      <c r="G445" s="16" t="str">
        <f>CONCATENATE("'",Alumnos!I39,"'")</f>
        <v>'INGENIERIA AEROESPACIAL'</v>
      </c>
      <c r="H445" s="16" t="str">
        <f>CONCATENATE("'",Alumnos!J39,"'")</f>
        <v>'6to'</v>
      </c>
      <c r="I445" s="16" t="str">
        <f>UPPER(CONCATENATE("'",Alumnos!K39,"'"))</f>
        <v>'FEMENINO'</v>
      </c>
      <c r="J445" s="16" t="str">
        <f>UPPER(CONCATENATE("'",Alumnos!L39,"'"))</f>
        <v>'ACTIVO'</v>
      </c>
      <c r="K445" s="16" t="str">
        <f>CONCATENATE(A445,",",B445,",",C445,",",D445,",'",E445,",",F445,",",G445,",",H445,",",UPPER(I445),",",UPPER(J445),",'',0,0,'','ALUMNO'")</f>
        <v>1444,'LICENCIATURA','alondrajamileth.velazquezcastro','111113','TOMAR DEL SND','VELAZQUEZ CASTRO ALONDRA JAMILETH','INGENIERIA AEROESPACIAL','6to','FEMENINO','ACTIVO','',0,0,'','ALUMNO'</v>
      </c>
      <c r="L445" s="16" t="str">
        <f>CONCATENATE($K$1,K445,");")</f>
        <v>INSERT INTO participantes (id,nivel,correo,matricula,clave,nombre,carrera,grado,sexo,situacion,evaluados,num_evaluados,total_evaluaciones,ultimo_acceso,nivel_acceso) VALUES (1444,'LICENCIATURA','alondrajamileth.velazquezcastro','111113','TOMAR DEL SND','VELAZQUEZ CASTRO ALONDRA JAMILETH','INGENIERIA AEROESPACIAL','6to','FEMENINO','ACTIVO','',0,0,'','ALUMNO');</v>
      </c>
      <c r="M445" s="16" t="str">
        <f>CONCATENATE("update participantes set correo=",C445," where id=",A445,";")</f>
        <v>update participantes set correo='alondrajamileth.velazquezcastro' where id=1444;</v>
      </c>
    </row>
    <row r="446" spans="1:13" ht="116" x14ac:dyDescent="0.35">
      <c r="A446" s="16">
        <v>1445</v>
      </c>
      <c r="B446" s="18" t="s">
        <v>1754</v>
      </c>
      <c r="C446" s="16" t="str">
        <f>CONCATENATE("'",Alumnos!E426,"'")</f>
        <v>'lyaabigail.huertalopez'</v>
      </c>
      <c r="D446" s="16" t="str">
        <f>CONCATENATE(Alumnos!F426,"'")</f>
        <v>'111114'</v>
      </c>
      <c r="E446" s="16" t="s">
        <v>1755</v>
      </c>
      <c r="F446" s="16" t="str">
        <f>CONCATENATE("'",Alumnos!H426,"'")</f>
        <v>'HUERTA LOPEZ LYA ABIGAIL'</v>
      </c>
      <c r="G446" s="16" t="str">
        <f>CONCATENATE("'",Alumnos!I426,"'")</f>
        <v>'NUTRICION Y GASTRONOMIA'</v>
      </c>
      <c r="H446" s="16" t="str">
        <f>CONCATENATE("'",Alumnos!J426,"'")</f>
        <v>'6to'</v>
      </c>
      <c r="I446" s="16" t="str">
        <f>UPPER(CONCATENATE("'",Alumnos!K426,"'"))</f>
        <v>'FEMENINO'</v>
      </c>
      <c r="J446" s="16" t="str">
        <f>UPPER(CONCATENATE("'",Alumnos!L426,"'"))</f>
        <v>'ACTIVO'</v>
      </c>
      <c r="K446" s="16" t="str">
        <f>CONCATENATE(A446,",",B446,",",C446,",",D446,",'",E446,",",F446,",",G446,",",H446,",",UPPER(I446),",",UPPER(J446),",'',0,0,'','ALUMNO'")</f>
        <v>1445,'LICENCIATURA','lyaabigail.huertalopez','111114','TOMAR DEL SND','HUERTA LOPEZ LYA ABIGAIL','NUTRICION Y GASTRONOMIA','6to','FEMENINO','ACTIVO','',0,0,'','ALUMNO'</v>
      </c>
      <c r="L446" s="16" t="str">
        <f>CONCATENATE($K$1,K446,");")</f>
        <v>INSERT INTO participantes (id,nivel,correo,matricula,clave,nombre,carrera,grado,sexo,situacion,evaluados,num_evaluados,total_evaluaciones,ultimo_acceso,nivel_acceso) VALUES (1445,'LICENCIATURA','lyaabigail.huertalopez','111114','TOMAR DEL SND','HUERTA LOPEZ LYA ABIGAIL','NUTRICION Y GASTRONOMIA','6to','FEMENINO','ACTIVO','',0,0,'','ALUMNO');</v>
      </c>
      <c r="M446" s="16" t="str">
        <f>CONCATENATE("update participantes set correo=",C446," where id=",A446,";")</f>
        <v>update participantes set correo='lyaabigail.huertalopez' where id=1445;</v>
      </c>
    </row>
    <row r="447" spans="1:13" ht="116" x14ac:dyDescent="0.35">
      <c r="A447" s="16">
        <v>1446</v>
      </c>
      <c r="B447" s="18" t="s">
        <v>1754</v>
      </c>
      <c r="C447" s="16" t="str">
        <f>CONCATENATE("'",Alumnos!E223,"'")</f>
        <v>'enriquerene.toledosegovia'</v>
      </c>
      <c r="D447" s="16" t="str">
        <f>CONCATENATE(Alumnos!F223,"'")</f>
        <v>'111115'</v>
      </c>
      <c r="E447" s="16" t="s">
        <v>1755</v>
      </c>
      <c r="F447" s="16" t="str">
        <f>CONCATENATE("'",Alumnos!H223,"'")</f>
        <v>'TOLEDO SEGOVIA ENRIQUE RENE'</v>
      </c>
      <c r="G447" s="16" t="str">
        <f>CONCATENATE("'",Alumnos!I223,"'")</f>
        <v>'PSICOLOGIA'</v>
      </c>
      <c r="H447" s="16" t="str">
        <f>CONCATENATE("'",Alumnos!J223,"'")</f>
        <v>'6to'</v>
      </c>
      <c r="I447" s="16" t="str">
        <f>UPPER(CONCATENATE("'",Alumnos!K223,"'"))</f>
        <v>'MASCULINO'</v>
      </c>
      <c r="J447" s="16" t="str">
        <f>UPPER(CONCATENATE("'",Alumnos!L223,"'"))</f>
        <v>'ACTIVO'</v>
      </c>
      <c r="K447" s="16" t="str">
        <f>CONCATENATE(A447,",",B447,",",C447,",",D447,",'",E447,",",F447,",",G447,",",H447,",",UPPER(I447),",",UPPER(J447),",'',0,0,'','ALUMNO'")</f>
        <v>1446,'LICENCIATURA','enriquerene.toledosegovia','111115','TOMAR DEL SND','TOLEDO SEGOVIA ENRIQUE RENE','PSICOLOGIA','6to','MASCULINO','ACTIVO','',0,0,'','ALUMNO'</v>
      </c>
      <c r="L447" s="16" t="str">
        <f>CONCATENATE($K$1,K447,");")</f>
        <v>INSERT INTO participantes (id,nivel,correo,matricula,clave,nombre,carrera,grado,sexo,situacion,evaluados,num_evaluados,total_evaluaciones,ultimo_acceso,nivel_acceso) VALUES (1446,'LICENCIATURA','enriquerene.toledosegovia','111115','TOMAR DEL SND','TOLEDO SEGOVIA ENRIQUE RENE','PSICOLOGIA','6to','MASCULINO','ACTIVO','',0,0,'','ALUMNO');</v>
      </c>
      <c r="M447" s="16" t="str">
        <f>CONCATENATE("update participantes set correo=",C447," where id=",A447,";")</f>
        <v>update participantes set correo='enriquerene.toledosegovia' where id=1446;</v>
      </c>
    </row>
    <row r="448" spans="1:13" ht="116" x14ac:dyDescent="0.35">
      <c r="A448" s="16">
        <v>1447</v>
      </c>
      <c r="B448" s="18" t="s">
        <v>1754</v>
      </c>
      <c r="C448" s="16" t="str">
        <f>CONCATENATE("'",Alumnos!E445,"'")</f>
        <v>'mariana.avilaestrada'</v>
      </c>
      <c r="D448" s="16" t="str">
        <f>CONCATENATE(Alumnos!F445,"'")</f>
        <v>'111116'</v>
      </c>
      <c r="E448" s="16" t="s">
        <v>1755</v>
      </c>
      <c r="F448" s="16" t="str">
        <f>CONCATENATE("'",Alumnos!H445,"'")</f>
        <v>'AVILA ESTRADA MARIANA'</v>
      </c>
      <c r="G448" s="16" t="str">
        <f>CONCATENATE("'",Alumnos!I445,"'")</f>
        <v>'PSICOLOGIA'</v>
      </c>
      <c r="H448" s="16" t="str">
        <f>CONCATENATE("'",Alumnos!J445,"'")</f>
        <v>'6to'</v>
      </c>
      <c r="I448" s="16" t="str">
        <f>UPPER(CONCATENATE("'",Alumnos!K445,"'"))</f>
        <v>'FEMENINO'</v>
      </c>
      <c r="J448" s="16" t="str">
        <f>UPPER(CONCATENATE("'",Alumnos!L445,"'"))</f>
        <v>'ACTIVO'</v>
      </c>
      <c r="K448" s="16" t="str">
        <f>CONCATENATE(A448,",",B448,",",C448,",",D448,",'",E448,",",F448,",",G448,",",H448,",",UPPER(I448),",",UPPER(J448),",'',0,0,'','ALUMNO'")</f>
        <v>1447,'LICENCIATURA','mariana.avilaestrada','111116','TOMAR DEL SND','AVILA ESTRADA MARIANA','PSICOLOGIA','6to','FEMENINO','ACTIVO','',0,0,'','ALUMNO'</v>
      </c>
      <c r="L448" s="16" t="str">
        <f>CONCATENATE($K$1,K448,");")</f>
        <v>INSERT INTO participantes (id,nivel,correo,matricula,clave,nombre,carrera,grado,sexo,situacion,evaluados,num_evaluados,total_evaluaciones,ultimo_acceso,nivel_acceso) VALUES (1447,'LICENCIATURA','mariana.avilaestrada','111116','TOMAR DEL SND','AVILA ESTRADA MARIANA','PSICOLOGIA','6to','FEMENINO','ACTIVO','',0,0,'','ALUMNO');</v>
      </c>
      <c r="M448" s="16" t="str">
        <f>CONCATENATE("update participantes set correo=",C448," where id=",A448,";")</f>
        <v>update participantes set correo='mariana.avilaestrada' where id=1447;</v>
      </c>
    </row>
    <row r="449" spans="1:13" ht="116" x14ac:dyDescent="0.35">
      <c r="A449" s="16">
        <v>1448</v>
      </c>
      <c r="B449" s="18" t="s">
        <v>1754</v>
      </c>
      <c r="C449" s="16" t="str">
        <f>CONCATENATE("'",Alumnos!E393,"'")</f>
        <v>'lauramaria.iniguezoseguera'</v>
      </c>
      <c r="D449" s="16" t="str">
        <f>CONCATENATE(Alumnos!F393,"'")</f>
        <v>'111117'</v>
      </c>
      <c r="E449" s="16" t="s">
        <v>1755</v>
      </c>
      <c r="F449" s="16" t="str">
        <f>CONCATENATE("'",Alumnos!H393,"'")</f>
        <v>'IÑIGUEZ OSEGUERA LAURA MARIA'</v>
      </c>
      <c r="G449" s="16" t="str">
        <f>CONCATENATE("'",Alumnos!I393,"'")</f>
        <v>'ADMINISTRACION Y DIRECCION DE NEGOCIOS'</v>
      </c>
      <c r="H449" s="16" t="str">
        <f>CONCATENATE("'",Alumnos!J393,"'")</f>
        <v>'6to'</v>
      </c>
      <c r="I449" s="16" t="str">
        <f>UPPER(CONCATENATE("'",Alumnos!K393,"'"))</f>
        <v>'FEMENINO'</v>
      </c>
      <c r="J449" s="16" t="str">
        <f>UPPER(CONCATENATE("'",Alumnos!L393,"'"))</f>
        <v>'ACTIVO'</v>
      </c>
      <c r="K449" s="16" t="str">
        <f>CONCATENATE(A449,",",B449,",",C449,",",D449,",'",E449,",",F449,",",G449,",",H449,",",UPPER(I449),",",UPPER(J449),",'',0,0,'','ALUMNO'")</f>
        <v>1448,'LICENCIATURA','lauramaria.iniguezoseguera','111117','TOMAR DEL SND','IÑIGUEZ OSEGUERA LAURA MARIA','ADMINISTRACION Y DIRECCION DE NEGOCIOS','6to','FEMENINO','ACTIVO','',0,0,'','ALUMNO'</v>
      </c>
      <c r="L449" s="16" t="str">
        <f>CONCATENATE($K$1,K449,");")</f>
        <v>INSERT INTO participantes (id,nivel,correo,matricula,clave,nombre,carrera,grado,sexo,situacion,evaluados,num_evaluados,total_evaluaciones,ultimo_acceso,nivel_acceso) VALUES (1448,'LICENCIATURA','lauramaria.iniguezoseguera','111117','TOMAR DEL SND','IÑIGUEZ OSEGUERA LAURA MARIA','ADMINISTRACION Y DIRECCION DE NEGOCIOS','6to','FEMENINO','ACTIVO','',0,0,'','ALUMNO');</v>
      </c>
      <c r="M449" s="16" t="str">
        <f>CONCATENATE("update participantes set correo=",C449," where id=",A449,";")</f>
        <v>update participantes set correo='lauramaria.iniguezoseguera' where id=1448;</v>
      </c>
    </row>
    <row r="450" spans="1:13" ht="130.5" x14ac:dyDescent="0.35">
      <c r="A450" s="16">
        <v>1449</v>
      </c>
      <c r="B450" s="18" t="s">
        <v>1754</v>
      </c>
      <c r="C450" s="16" t="str">
        <f>CONCATENATE("'",Alumnos!E210,"'")</f>
        <v>'emiliano.francoorozco'</v>
      </c>
      <c r="D450" s="16" t="str">
        <f>CONCATENATE(Alumnos!F210,"'")</f>
        <v>'111118'</v>
      </c>
      <c r="E450" s="16" t="s">
        <v>1755</v>
      </c>
      <c r="F450" s="16" t="str">
        <f>CONCATENATE("'",Alumnos!H210,"'")</f>
        <v>'FRANCO OROZCO EMILIANO'</v>
      </c>
      <c r="G450" s="16" t="str">
        <f>CONCATENATE("'",Alumnos!I210,"'")</f>
        <v>'INGENIERIA CIBERNETICA Y EN SISTEMAS COMPUTACIONALES'</v>
      </c>
      <c r="H450" s="16" t="str">
        <f>CONCATENATE("'",Alumnos!J210,"'")</f>
        <v>'6to'</v>
      </c>
      <c r="I450" s="16" t="str">
        <f>UPPER(CONCATENATE("'",Alumnos!K210,"'"))</f>
        <v>'MASCULINO'</v>
      </c>
      <c r="J450" s="16" t="str">
        <f>UPPER(CONCATENATE("'",Alumnos!L210,"'"))</f>
        <v>'ACTIVO'</v>
      </c>
      <c r="K450" s="16" t="str">
        <f>CONCATENATE(A450,",",B450,",",C450,",",D450,",'",E450,",",F450,",",G450,",",H450,",",UPPER(I450),",",UPPER(J450),",'',0,0,'','ALUMNO'")</f>
        <v>1449,'LICENCIATURA','emiliano.francoorozco','111118','TOMAR DEL SND','FRANCO OROZCO EMILIANO','INGENIERIA CIBERNETICA Y EN SISTEMAS COMPUTACIONALES','6to','MASCULINO','ACTIVO','',0,0,'','ALUMNO'</v>
      </c>
      <c r="L450" s="16" t="str">
        <f>CONCATENATE($K$1,K450,");")</f>
        <v>INSERT INTO participantes (id,nivel,correo,matricula,clave,nombre,carrera,grado,sexo,situacion,evaluados,num_evaluados,total_evaluaciones,ultimo_acceso,nivel_acceso) VALUES (1449,'LICENCIATURA','emiliano.francoorozco','111118','TOMAR DEL SND','FRANCO OROZCO EMILIANO','INGENIERIA CIBERNETICA Y EN SISTEMAS COMPUTACIONALES','6to','MASCULINO','ACTIVO','',0,0,'','ALUMNO');</v>
      </c>
      <c r="M450" s="16" t="str">
        <f>CONCATENATE("update participantes set correo=",C450," where id=",A450,";")</f>
        <v>update participantes set correo='emiliano.francoorozco' where id=1449;</v>
      </c>
    </row>
    <row r="451" spans="1:13" ht="116" x14ac:dyDescent="0.35">
      <c r="A451" s="16">
        <v>1450</v>
      </c>
      <c r="B451" s="18" t="s">
        <v>1754</v>
      </c>
      <c r="C451" s="16" t="str">
        <f>CONCATENATE("'",Alumnos!E112,"'")</f>
        <v>'brendasusana.padillavidales'</v>
      </c>
      <c r="D451" s="16" t="str">
        <f>CONCATENATE(Alumnos!F112,"'")</f>
        <v>'111119'</v>
      </c>
      <c r="E451" s="16" t="s">
        <v>1755</v>
      </c>
      <c r="F451" s="16" t="str">
        <f>CONCATENATE("'",Alumnos!H112,"'")</f>
        <v>'PADILLA VIDALES BRENDA SUSANA'</v>
      </c>
      <c r="G451" s="16" t="str">
        <f>CONCATENATE("'",Alumnos!I112,"'")</f>
        <v>'PSICOLOGIA'</v>
      </c>
      <c r="H451" s="16" t="str">
        <f>CONCATENATE("'",Alumnos!J112,"'")</f>
        <v>'6to'</v>
      </c>
      <c r="I451" s="16" t="str">
        <f>UPPER(CONCATENATE("'",Alumnos!K112,"'"))</f>
        <v>'FEMENINO'</v>
      </c>
      <c r="J451" s="16" t="str">
        <f>UPPER(CONCATENATE("'",Alumnos!L112,"'"))</f>
        <v>'ACTIVO'</v>
      </c>
      <c r="K451" s="16" t="str">
        <f>CONCATENATE(A451,",",B451,",",C451,",",D451,",'",E451,",",F451,",",G451,",",H451,",",UPPER(I451),",",UPPER(J451),",'',0,0,'','ALUMNO'")</f>
        <v>1450,'LICENCIATURA','brendasusana.padillavidales','111119','TOMAR DEL SND','PADILLA VIDALES BRENDA SUSANA','PSICOLOGIA','6to','FEMENINO','ACTIVO','',0,0,'','ALUMNO'</v>
      </c>
      <c r="L451" s="16" t="str">
        <f>CONCATENATE($K$1,K451,");")</f>
        <v>INSERT INTO participantes (id,nivel,correo,matricula,clave,nombre,carrera,grado,sexo,situacion,evaluados,num_evaluados,total_evaluaciones,ultimo_acceso,nivel_acceso) VALUES (1450,'LICENCIATURA','brendasusana.padillavidales','111119','TOMAR DEL SND','PADILLA VIDALES BRENDA SUSANA','PSICOLOGIA','6to','FEMENINO','ACTIVO','',0,0,'','ALUMNO');</v>
      </c>
      <c r="M451" s="16" t="str">
        <f>CONCATENATE("update participantes set correo=",C451," where id=",A451,";")</f>
        <v>update participantes set correo='brendasusana.padillavidales' where id=1450;</v>
      </c>
    </row>
    <row r="452" spans="1:13" ht="130.5" x14ac:dyDescent="0.35">
      <c r="A452" s="16">
        <v>1451</v>
      </c>
      <c r="B452" s="18" t="s">
        <v>1754</v>
      </c>
      <c r="C452" s="16" t="str">
        <f>CONCATENATE("'",Alumnos!E318,"'")</f>
        <v>'jorgearmando.diazesparza'</v>
      </c>
      <c r="D452" s="16" t="str">
        <f>CONCATENATE(Alumnos!F318,"'")</f>
        <v>'111120'</v>
      </c>
      <c r="E452" s="16" t="s">
        <v>1755</v>
      </c>
      <c r="F452" s="16" t="str">
        <f>CONCATENATE("'",Alumnos!H318,"'")</f>
        <v>'DIAZ ESPARZA JORGE ARMANDO'</v>
      </c>
      <c r="G452" s="16" t="str">
        <f>CONCATENATE("'",Alumnos!I318,"'")</f>
        <v>'INGENIERIA AEROESPACIAL'</v>
      </c>
      <c r="H452" s="16" t="str">
        <f>CONCATENATE("'",Alumnos!J318,"'")</f>
        <v>'6to'</v>
      </c>
      <c r="I452" s="16" t="str">
        <f>UPPER(CONCATENATE("'",Alumnos!K318,"'"))</f>
        <v>'MASCULINO'</v>
      </c>
      <c r="J452" s="16" t="str">
        <f>UPPER(CONCATENATE("'",Alumnos!L318,"'"))</f>
        <v>'ACTIVO'</v>
      </c>
      <c r="K452" s="16" t="str">
        <f>CONCATENATE(A452,",",B452,",",C452,",",D452,",'",E452,",",F452,",",G452,",",H452,",",UPPER(I452),",",UPPER(J452),",'',0,0,'','ALUMNO'")</f>
        <v>1451,'LICENCIATURA','jorgearmando.diazesparza','111120','TOMAR DEL SND','DIAZ ESPARZA JORGE ARMANDO','INGENIERIA AEROESPACIAL','6to','MASCULINO','ACTIVO','',0,0,'','ALUMNO'</v>
      </c>
      <c r="L452" s="16" t="str">
        <f>CONCATENATE($K$1,K452,");")</f>
        <v>INSERT INTO participantes (id,nivel,correo,matricula,clave,nombre,carrera,grado,sexo,situacion,evaluados,num_evaluados,total_evaluaciones,ultimo_acceso,nivel_acceso) VALUES (1451,'LICENCIATURA','jorgearmando.diazesparza','111120','TOMAR DEL SND','DIAZ ESPARZA JORGE ARMANDO','INGENIERIA AEROESPACIAL','6to','MASCULINO','ACTIVO','',0,0,'','ALUMNO');</v>
      </c>
      <c r="M452" s="16" t="str">
        <f>CONCATENATE("update participantes set correo=",C452," where id=",A452,";")</f>
        <v>update participantes set correo='jorgearmando.diazesparza' where id=1451;</v>
      </c>
    </row>
    <row r="453" spans="1:13" ht="116" x14ac:dyDescent="0.35">
      <c r="A453" s="16">
        <v>1452</v>
      </c>
      <c r="B453" s="18" t="s">
        <v>1754</v>
      </c>
      <c r="C453" s="16" t="str">
        <f>CONCATENATE("'",Alumnos!E567,"'")</f>
        <v>'santiago.pelayoespinosa'</v>
      </c>
      <c r="D453" s="16" t="str">
        <f>CONCATENATE(Alumnos!F567,"'")</f>
        <v>'111121'</v>
      </c>
      <c r="E453" s="16" t="s">
        <v>1755</v>
      </c>
      <c r="F453" s="16" t="str">
        <f>CONCATENATE("'",Alumnos!H567,"'")</f>
        <v>'PELAYO ESPINOSA SANTIAGO'</v>
      </c>
      <c r="G453" s="16" t="str">
        <f>CONCATENATE("'",Alumnos!I567,"'")</f>
        <v>'PSICOLOGIA'</v>
      </c>
      <c r="H453" s="16" t="str">
        <f>CONCATENATE("'",Alumnos!J567,"'")</f>
        <v>'6to'</v>
      </c>
      <c r="I453" s="16" t="str">
        <f>UPPER(CONCATENATE("'",Alumnos!K567,"'"))</f>
        <v>'MASCULINO'</v>
      </c>
      <c r="J453" s="16" t="str">
        <f>UPPER(CONCATENATE("'",Alumnos!L567,"'"))</f>
        <v>'ACTIVO'</v>
      </c>
      <c r="K453" s="16" t="str">
        <f>CONCATENATE(A453,",",B453,",",C453,",",D453,",'",E453,",",F453,",",G453,",",H453,",",UPPER(I453),",",UPPER(J453),",'',0,0,'','ALUMNO'")</f>
        <v>1452,'LICENCIATURA','santiago.pelayoespinosa','111121','TOMAR DEL SND','PELAYO ESPINOSA SANTIAGO','PSICOLOGIA','6to','MASCULINO','ACTIVO','',0,0,'','ALUMNO'</v>
      </c>
      <c r="L453" s="16" t="str">
        <f>CONCATENATE($K$1,K453,");")</f>
        <v>INSERT INTO participantes (id,nivel,correo,matricula,clave,nombre,carrera,grado,sexo,situacion,evaluados,num_evaluados,total_evaluaciones,ultimo_acceso,nivel_acceso) VALUES (1452,'LICENCIATURA','santiago.pelayoespinosa','111121','TOMAR DEL SND','PELAYO ESPINOSA SANTIAGO','PSICOLOGIA','6to','MASCULINO','ACTIVO','',0,0,'','ALUMNO');</v>
      </c>
      <c r="M453" s="16" t="str">
        <f>CONCATENATE("update participantes set correo=",C453," where id=",A453,";")</f>
        <v>update participantes set correo='santiago.pelayoespinosa' where id=1452;</v>
      </c>
    </row>
    <row r="454" spans="1:13" ht="130.5" x14ac:dyDescent="0.35">
      <c r="A454" s="16">
        <v>1453</v>
      </c>
      <c r="B454" s="18" t="s">
        <v>1754</v>
      </c>
      <c r="C454" s="16" t="str">
        <f>CONCATENATE("'",Alumnos!E487,"'")</f>
        <v>'natalia.esquerquintanilla'</v>
      </c>
      <c r="D454" s="16" t="str">
        <f>CONCATENATE(Alumnos!F487,"'")</f>
        <v>'111122'</v>
      </c>
      <c r="E454" s="16" t="s">
        <v>1755</v>
      </c>
      <c r="F454" s="16" t="str">
        <f>CONCATENATE("'",Alumnos!H487,"'")</f>
        <v>'ESQUER QUINTANILLA NATALIA'</v>
      </c>
      <c r="G454" s="16" t="str">
        <f>CONCATENATE("'",Alumnos!I487,"'")</f>
        <v>'NUTRICION Y GASTRONOMIA'</v>
      </c>
      <c r="H454" s="16" t="str">
        <f>CONCATENATE("'",Alumnos!J487,"'")</f>
        <v>'6to'</v>
      </c>
      <c r="I454" s="16" t="str">
        <f>UPPER(CONCATENATE("'",Alumnos!K487,"'"))</f>
        <v>'FEMENINO'</v>
      </c>
      <c r="J454" s="16" t="str">
        <f>UPPER(CONCATENATE("'",Alumnos!L487,"'"))</f>
        <v>'ACTIVO'</v>
      </c>
      <c r="K454" s="16" t="str">
        <f>CONCATENATE(A454,",",B454,",",C454,",",D454,",'",E454,",",F454,",",G454,",",H454,",",UPPER(I454),",",UPPER(J454),",'',0,0,'','ALUMNO'")</f>
        <v>1453,'LICENCIATURA','natalia.esquerquintanilla','111122','TOMAR DEL SND','ESQUER QUINTANILLA NATALIA','NUTRICION Y GASTRONOMIA','6to','FEMENINO','ACTIVO','',0,0,'','ALUMNO'</v>
      </c>
      <c r="L454" s="16" t="str">
        <f>CONCATENATE($K$1,K454,");")</f>
        <v>INSERT INTO participantes (id,nivel,correo,matricula,clave,nombre,carrera,grado,sexo,situacion,evaluados,num_evaluados,total_evaluaciones,ultimo_acceso,nivel_acceso) VALUES (1453,'LICENCIATURA','natalia.esquerquintanilla','111122','TOMAR DEL SND','ESQUER QUINTANILLA NATALIA','NUTRICION Y GASTRONOMIA','6to','FEMENINO','ACTIVO','',0,0,'','ALUMNO');</v>
      </c>
      <c r="M454" s="16" t="str">
        <f>CONCATENATE("update participantes set correo=",C454," where id=",A454,";")</f>
        <v>update participantes set correo='natalia.esquerquintanilla' where id=1453;</v>
      </c>
    </row>
    <row r="455" spans="1:13" ht="116" x14ac:dyDescent="0.35">
      <c r="A455" s="16">
        <v>1454</v>
      </c>
      <c r="B455" s="18" t="s">
        <v>1754</v>
      </c>
      <c r="C455" s="16" t="str">
        <f>CONCATENATE("'",Alumnos!E152,"'")</f>
        <v>'danajoanelle.mercadotorres'</v>
      </c>
      <c r="D455" s="16" t="str">
        <f>CONCATENATE(Alumnos!F152,"'")</f>
        <v>'111123'</v>
      </c>
      <c r="E455" s="16" t="s">
        <v>1755</v>
      </c>
      <c r="F455" s="16" t="str">
        <f>CONCATENATE("'",Alumnos!H152,"'")</f>
        <v>'MERCADO TORRES DANA JOANELLE'</v>
      </c>
      <c r="G455" s="16" t="str">
        <f>CONCATENATE("'",Alumnos!I152,"'")</f>
        <v>'DISEÑO GRAFICO Y DIGITAL'</v>
      </c>
      <c r="H455" s="16" t="str">
        <f>CONCATENATE("'",Alumnos!J152,"'")</f>
        <v>'6to'</v>
      </c>
      <c r="I455" s="16" t="str">
        <f>UPPER(CONCATENATE("'",Alumnos!K152,"'"))</f>
        <v>'FEMENINO'</v>
      </c>
      <c r="J455" s="16" t="str">
        <f>UPPER(CONCATENATE("'",Alumnos!L152,"'"))</f>
        <v>'ACTIVO'</v>
      </c>
      <c r="K455" s="16" t="str">
        <f>CONCATENATE(A455,",",B455,",",C455,",",D455,",'",E455,",",F455,",",G455,",",H455,",",UPPER(I455),",",UPPER(J455),",'',0,0,'','ALUMNO'")</f>
        <v>1454,'LICENCIATURA','danajoanelle.mercadotorres','111123','TOMAR DEL SND','MERCADO TORRES DANA JOANELLE','DISEÑO GRAFICO Y DIGITAL','6to','FEMENINO','ACTIVO','',0,0,'','ALUMNO'</v>
      </c>
      <c r="L455" s="16" t="str">
        <f>CONCATENATE($K$1,K455,");")</f>
        <v>INSERT INTO participantes (id,nivel,correo,matricula,clave,nombre,carrera,grado,sexo,situacion,evaluados,num_evaluados,total_evaluaciones,ultimo_acceso,nivel_acceso) VALUES (1454,'LICENCIATURA','danajoanelle.mercadotorres','111123','TOMAR DEL SND','MERCADO TORRES DANA JOANELLE','DISEÑO GRAFICO Y DIGITAL','6to','FEMENINO','ACTIVO','',0,0,'','ALUMNO');</v>
      </c>
      <c r="M455" s="16" t="str">
        <f>CONCATENATE("update participantes set correo=",C455," where id=",A455,";")</f>
        <v>update participantes set correo='danajoanelle.mercadotorres' where id=1454;</v>
      </c>
    </row>
    <row r="456" spans="1:13" ht="130.5" x14ac:dyDescent="0.35">
      <c r="A456" s="16">
        <v>1455</v>
      </c>
      <c r="B456" s="18" t="s">
        <v>1754</v>
      </c>
      <c r="C456" s="16" t="str">
        <f>CONCATENATE("'",Alumnos!E367,"'")</f>
        <v>'karenjanette.gonzalezjimenez'</v>
      </c>
      <c r="D456" s="16" t="str">
        <f>CONCATENATE(Alumnos!F367,"'")</f>
        <v>'111124'</v>
      </c>
      <c r="E456" s="16" t="s">
        <v>1755</v>
      </c>
      <c r="F456" s="16" t="str">
        <f>CONCATENATE("'",Alumnos!H367,"'")</f>
        <v>'GONZALEZ JIMENEZ KAREN JANETTE'</v>
      </c>
      <c r="G456" s="16" t="str">
        <f>CONCATENATE("'",Alumnos!I367,"'")</f>
        <v>'NUTRICION Y GASTRONOMIA'</v>
      </c>
      <c r="H456" s="16" t="str">
        <f>CONCATENATE("'",Alumnos!J367,"'")</f>
        <v>'6to'</v>
      </c>
      <c r="I456" s="16" t="str">
        <f>UPPER(CONCATENATE("'",Alumnos!K367,"'"))</f>
        <v>'FEMENINO'</v>
      </c>
      <c r="J456" s="16" t="str">
        <f>UPPER(CONCATENATE("'",Alumnos!L367,"'"))</f>
        <v>'ACTIVO'</v>
      </c>
      <c r="K456" s="16" t="str">
        <f>CONCATENATE(A456,",",B456,",",C456,",",D456,",'",E456,",",F456,",",G456,",",H456,",",UPPER(I456),",",UPPER(J456),",'',0,0,'','ALUMNO'")</f>
        <v>1455,'LICENCIATURA','karenjanette.gonzalezjimenez','111124','TOMAR DEL SND','GONZALEZ JIMENEZ KAREN JANETTE','NUTRICION Y GASTRONOMIA','6to','FEMENINO','ACTIVO','',0,0,'','ALUMNO'</v>
      </c>
      <c r="L456" s="16" t="str">
        <f>CONCATENATE($K$1,K456,");")</f>
        <v>INSERT INTO participantes (id,nivel,correo,matricula,clave,nombre,carrera,grado,sexo,situacion,evaluados,num_evaluados,total_evaluaciones,ultimo_acceso,nivel_acceso) VALUES (1455,'LICENCIATURA','karenjanette.gonzalezjimenez','111124','TOMAR DEL SND','GONZALEZ JIMENEZ KAREN JANETTE','NUTRICION Y GASTRONOMIA','6to','FEMENINO','ACTIVO','',0,0,'','ALUMNO');</v>
      </c>
      <c r="M456" s="16" t="str">
        <f>CONCATENATE("update participantes set correo=",C456," where id=",A456,";")</f>
        <v>update participantes set correo='karenjanette.gonzalezjimenez' where id=1455;</v>
      </c>
    </row>
    <row r="457" spans="1:13" ht="130.5" x14ac:dyDescent="0.35">
      <c r="A457" s="16">
        <v>1456</v>
      </c>
      <c r="B457" s="18" t="s">
        <v>1754</v>
      </c>
      <c r="C457" s="16" t="str">
        <f>CONCATENATE("'",Alumnos!E355,"'")</f>
        <v>'juanpablo.figueroarodriguez'</v>
      </c>
      <c r="D457" s="16" t="str">
        <f>CONCATENATE(Alumnos!F355,"'")</f>
        <v>'111125'</v>
      </c>
      <c r="E457" s="16" t="s">
        <v>1755</v>
      </c>
      <c r="F457" s="16" t="str">
        <f>CONCATENATE("'",Alumnos!H355,"'")</f>
        <v>'FIGUEROA RODRIGUEZ JUAN PABLO'</v>
      </c>
      <c r="G457" s="16" t="str">
        <f>CONCATENATE("'",Alumnos!I355,"'")</f>
        <v>'INGENIERIA AEROESPACIAL'</v>
      </c>
      <c r="H457" s="16" t="str">
        <f>CONCATENATE("'",Alumnos!J355,"'")</f>
        <v>'6to'</v>
      </c>
      <c r="I457" s="16" t="str">
        <f>UPPER(CONCATENATE("'",Alumnos!K355,"'"))</f>
        <v>'MASCULINO'</v>
      </c>
      <c r="J457" s="16" t="str">
        <f>UPPER(CONCATENATE("'",Alumnos!L355,"'"))</f>
        <v>'ACTIVO'</v>
      </c>
      <c r="K457" s="16" t="str">
        <f>CONCATENATE(A457,",",B457,",",C457,",",D457,",'",E457,",",F457,",",G457,",",H457,",",UPPER(I457),",",UPPER(J457),",'',0,0,'','ALUMNO'")</f>
        <v>1456,'LICENCIATURA','juanpablo.figueroarodriguez','111125','TOMAR DEL SND','FIGUEROA RODRIGUEZ JUAN PABLO','INGENIERIA AEROESPACIAL','6to','MASCULINO','ACTIVO','',0,0,'','ALUMNO'</v>
      </c>
      <c r="L457" s="16" t="str">
        <f>CONCATENATE($K$1,K457,");")</f>
        <v>INSERT INTO participantes (id,nivel,correo,matricula,clave,nombre,carrera,grado,sexo,situacion,evaluados,num_evaluados,total_evaluaciones,ultimo_acceso,nivel_acceso) VALUES (1456,'LICENCIATURA','juanpablo.figueroarodriguez','111125','TOMAR DEL SND','FIGUEROA RODRIGUEZ JUAN PABLO','INGENIERIA AEROESPACIAL','6to','MASCULINO','ACTIVO','',0,0,'','ALUMNO');</v>
      </c>
      <c r="M457" s="16" t="str">
        <f>CONCATENATE("update participantes set correo=",C457," where id=",A457,";")</f>
        <v>update participantes set correo='juanpablo.figueroarodriguez' where id=1456;</v>
      </c>
    </row>
    <row r="458" spans="1:13" ht="116" x14ac:dyDescent="0.35">
      <c r="A458" s="16">
        <v>1457</v>
      </c>
      <c r="B458" s="18" t="s">
        <v>1754</v>
      </c>
      <c r="C458" s="16" t="str">
        <f>CONCATENATE("'",Alumnos!E575,"'")</f>
        <v>'sebastian.rochalozano'</v>
      </c>
      <c r="D458" s="16" t="str">
        <f>CONCATENATE(Alumnos!F575,"'")</f>
        <v>'111127'</v>
      </c>
      <c r="E458" s="16" t="s">
        <v>1755</v>
      </c>
      <c r="F458" s="16" t="str">
        <f>CONCATENATE("'",Alumnos!H575,"'")</f>
        <v>'ROCHA LOZANO SEBASTIAN'</v>
      </c>
      <c r="G458" s="16" t="str">
        <f>CONCATENATE("'",Alumnos!I575,"'")</f>
        <v>'INGENIERÍA AUTOMOTRIZ'</v>
      </c>
      <c r="H458" s="16" t="str">
        <f>CONCATENATE("'",Alumnos!J575,"'")</f>
        <v>'6to'</v>
      </c>
      <c r="I458" s="16" t="str">
        <f>UPPER(CONCATENATE("'",Alumnos!K575,"'"))</f>
        <v>'MASCULINO'</v>
      </c>
      <c r="J458" s="16" t="str">
        <f>UPPER(CONCATENATE("'",Alumnos!L575,"'"))</f>
        <v>'ACTIVO'</v>
      </c>
      <c r="K458" s="16" t="str">
        <f>CONCATENATE(A458,",",B458,",",C458,",",D458,",'",E458,",",F458,",",G458,",",H458,",",UPPER(I458),",",UPPER(J458),",'',0,0,'','ALUMNO'")</f>
        <v>1457,'LICENCIATURA','sebastian.rochalozano','111127','TOMAR DEL SND','ROCHA LOZANO SEBASTIAN','INGENIERÍA AUTOMOTRIZ','6to','MASCULINO','ACTIVO','',0,0,'','ALUMNO'</v>
      </c>
      <c r="L458" s="16" t="str">
        <f>CONCATENATE($K$1,K458,");")</f>
        <v>INSERT INTO participantes (id,nivel,correo,matricula,clave,nombre,carrera,grado,sexo,situacion,evaluados,num_evaluados,total_evaluaciones,ultimo_acceso,nivel_acceso) VALUES (1457,'LICENCIATURA','sebastian.rochalozano','111127','TOMAR DEL SND','ROCHA LOZANO SEBASTIAN','INGENIERÍA AUTOMOTRIZ','6to','MASCULINO','ACTIVO','',0,0,'','ALUMNO');</v>
      </c>
      <c r="M458" s="16" t="str">
        <f>CONCATENATE("update participantes set correo=",C458," where id=",A458,";")</f>
        <v>update participantes set correo='sebastian.rochalozano' where id=1457;</v>
      </c>
    </row>
    <row r="459" spans="1:13" ht="116" x14ac:dyDescent="0.35">
      <c r="A459" s="16">
        <v>1458</v>
      </c>
      <c r="B459" s="18" t="s">
        <v>1754</v>
      </c>
      <c r="C459" s="16" t="str">
        <f>CONCATENATE("'",Alumnos!E216,"'")</f>
        <v>'emilio.anayarodriguez'</v>
      </c>
      <c r="D459" s="16" t="str">
        <f>CONCATENATE(Alumnos!F216,"'")</f>
        <v>'111128'</v>
      </c>
      <c r="E459" s="16" t="s">
        <v>1755</v>
      </c>
      <c r="F459" s="16" t="str">
        <f>CONCATENATE("'",Alumnos!H216,"'")</f>
        <v>'ANAYA RODRIGUEZ EMILIO'</v>
      </c>
      <c r="G459" s="16" t="str">
        <f>CONCATENATE("'",Alumnos!I216,"'")</f>
        <v>'NUTRICION Y GASTRONOMIA'</v>
      </c>
      <c r="H459" s="16" t="str">
        <f>CONCATENATE("'",Alumnos!J216,"'")</f>
        <v>'6to'</v>
      </c>
      <c r="I459" s="16" t="str">
        <f>UPPER(CONCATENATE("'",Alumnos!K216,"'"))</f>
        <v>'MASCULINO'</v>
      </c>
      <c r="J459" s="16" t="str">
        <f>UPPER(CONCATENATE("'",Alumnos!L216,"'"))</f>
        <v>'ACTIVO'</v>
      </c>
      <c r="K459" s="16" t="str">
        <f>CONCATENATE(A459,",",B459,",",C459,",",D459,",'",E459,",",F459,",",G459,",",H459,",",UPPER(I459),",",UPPER(J459),",'',0,0,'','ALUMNO'")</f>
        <v>1458,'LICENCIATURA','emilio.anayarodriguez','111128','TOMAR DEL SND','ANAYA RODRIGUEZ EMILIO','NUTRICION Y GASTRONOMIA','6to','MASCULINO','ACTIVO','',0,0,'','ALUMNO'</v>
      </c>
      <c r="L459" s="16" t="str">
        <f>CONCATENATE($K$1,K459,");")</f>
        <v>INSERT INTO participantes (id,nivel,correo,matricula,clave,nombre,carrera,grado,sexo,situacion,evaluados,num_evaluados,total_evaluaciones,ultimo_acceso,nivel_acceso) VALUES (1458,'LICENCIATURA','emilio.anayarodriguez','111128','TOMAR DEL SND','ANAYA RODRIGUEZ EMILIO','NUTRICION Y GASTRONOMIA','6to','MASCULINO','ACTIVO','',0,0,'','ALUMNO');</v>
      </c>
      <c r="M459" s="16" t="str">
        <f>CONCATENATE("update participantes set correo=",C459," where id=",A459,";")</f>
        <v>update participantes set correo='emilio.anayarodriguez' where id=1458;</v>
      </c>
    </row>
    <row r="460" spans="1:13" ht="130.5" x14ac:dyDescent="0.35">
      <c r="A460" s="16">
        <v>1459</v>
      </c>
      <c r="B460" s="18" t="s">
        <v>1754</v>
      </c>
      <c r="C460" s="16" t="str">
        <f>CONCATENATE("'",Alumnos!E382,"'")</f>
        <v>'kenniaguadalupe.aguilarcallejas'</v>
      </c>
      <c r="D460" s="16" t="str">
        <f>CONCATENATE(Alumnos!F382,"'")</f>
        <v>'111129'</v>
      </c>
      <c r="E460" s="16" t="s">
        <v>1755</v>
      </c>
      <c r="F460" s="16" t="str">
        <f>CONCATENATE("'",Alumnos!H382,"'")</f>
        <v>'AGUILAR CALLEJAS KENNIA GUADALUPE'</v>
      </c>
      <c r="G460" s="16" t="str">
        <f>CONCATENATE("'",Alumnos!I382,"'")</f>
        <v>'ANIMACION DIGITAL Y VIDEOJUEGOS'</v>
      </c>
      <c r="H460" s="16" t="str">
        <f>CONCATENATE("'",Alumnos!J382,"'")</f>
        <v>'6to'</v>
      </c>
      <c r="I460" s="16" t="str">
        <f>UPPER(CONCATENATE("'",Alumnos!K382,"'"))</f>
        <v>'FEMENINO'</v>
      </c>
      <c r="J460" s="16" t="str">
        <f>UPPER(CONCATENATE("'",Alumnos!L382,"'"))</f>
        <v>'ACTIVO'</v>
      </c>
      <c r="K460" s="16" t="str">
        <f>CONCATENATE(A460,",",B460,",",C460,",",D460,",'",E460,",",F460,",",G460,",",H460,",",UPPER(I460),",",UPPER(J460),",'',0,0,'','ALUMNO'")</f>
        <v>1459,'LICENCIATURA','kenniaguadalupe.aguilarcallejas','111129','TOMAR DEL SND','AGUILAR CALLEJAS KENNIA GUADALUPE','ANIMACION DIGITAL Y VIDEOJUEGOS','6to','FEMENINO','ACTIVO','',0,0,'','ALUMNO'</v>
      </c>
      <c r="L460" s="16" t="str">
        <f>CONCATENATE($K$1,K460,");")</f>
        <v>INSERT INTO participantes (id,nivel,correo,matricula,clave,nombre,carrera,grado,sexo,situacion,evaluados,num_evaluados,total_evaluaciones,ultimo_acceso,nivel_acceso) VALUES (1459,'LICENCIATURA','kenniaguadalupe.aguilarcallejas','111129','TOMAR DEL SND','AGUILAR CALLEJAS KENNIA GUADALUPE','ANIMACION DIGITAL Y VIDEOJUEGOS','6to','FEMENINO','ACTIVO','',0,0,'','ALUMNO');</v>
      </c>
      <c r="M460" s="16" t="str">
        <f>CONCATENATE("update participantes set correo=",C460," where id=",A460,";")</f>
        <v>update participantes set correo='kenniaguadalupe.aguilarcallejas' where id=1459;</v>
      </c>
    </row>
    <row r="461" spans="1:13" ht="130.5" x14ac:dyDescent="0.35">
      <c r="A461" s="16">
        <v>1460</v>
      </c>
      <c r="B461" s="18" t="s">
        <v>1754</v>
      </c>
      <c r="C461" s="16" t="str">
        <f>CONCATENATE("'",Alumnos!E107,"'")</f>
        <v>'braulioaaron.gaticacano'</v>
      </c>
      <c r="D461" s="16" t="str">
        <f>CONCATENATE(Alumnos!F107,"'")</f>
        <v>'111130'</v>
      </c>
      <c r="E461" s="16" t="s">
        <v>1755</v>
      </c>
      <c r="F461" s="16" t="str">
        <f>CONCATENATE("'",Alumnos!H107,"'")</f>
        <v>'GATICA CANO BRAULIO AARON'</v>
      </c>
      <c r="G461" s="16" t="str">
        <f>CONCATENATE("'",Alumnos!I107,"'")</f>
        <v>'INGENIERIA AEROESPACIAL'</v>
      </c>
      <c r="H461" s="16" t="str">
        <f>CONCATENATE("'",Alumnos!J107,"'")</f>
        <v>'6to'</v>
      </c>
      <c r="I461" s="16" t="str">
        <f>UPPER(CONCATENATE("'",Alumnos!K107,"'"))</f>
        <v>'MASCULINO'</v>
      </c>
      <c r="J461" s="16" t="str">
        <f>UPPER(CONCATENATE("'",Alumnos!L107,"'"))</f>
        <v>'ACTIVO'</v>
      </c>
      <c r="K461" s="16" t="str">
        <f>CONCATENATE(A461,",",B461,",",C461,",",D461,",'",E461,",",F461,",",G461,",",H461,",",UPPER(I461),",",UPPER(J461),",'',0,0,'','ALUMNO'")</f>
        <v>1460,'LICENCIATURA','braulioaaron.gaticacano','111130','TOMAR DEL SND','GATICA CANO BRAULIO AARON','INGENIERIA AEROESPACIAL','6to','MASCULINO','ACTIVO','',0,0,'','ALUMNO'</v>
      </c>
      <c r="L461" s="16" t="str">
        <f>CONCATENATE($K$1,K461,");")</f>
        <v>INSERT INTO participantes (id,nivel,correo,matricula,clave,nombre,carrera,grado,sexo,situacion,evaluados,num_evaluados,total_evaluaciones,ultimo_acceso,nivel_acceso) VALUES (1460,'LICENCIATURA','braulioaaron.gaticacano','111130','TOMAR DEL SND','GATICA CANO BRAULIO AARON','INGENIERIA AEROESPACIAL','6to','MASCULINO','ACTIVO','',0,0,'','ALUMNO');</v>
      </c>
      <c r="M461" s="16" t="str">
        <f>CONCATENATE("update participantes set correo=",C461," where id=",A461,";")</f>
        <v>update participantes set correo='braulioaaron.gaticacano' where id=1460;</v>
      </c>
    </row>
    <row r="462" spans="1:13" ht="116" x14ac:dyDescent="0.35">
      <c r="A462" s="16">
        <v>1461</v>
      </c>
      <c r="B462" s="18" t="s">
        <v>1754</v>
      </c>
      <c r="C462" s="16" t="str">
        <f>CONCATENATE("'",Alumnos!E154,"'")</f>
        <v>'daniel.floresraya'</v>
      </c>
      <c r="D462" s="16" t="str">
        <f>CONCATENATE(Alumnos!F154,"'")</f>
        <v>'111133'</v>
      </c>
      <c r="E462" s="16" t="s">
        <v>1755</v>
      </c>
      <c r="F462" s="16" t="str">
        <f>CONCATENATE("'",Alumnos!H154,"'")</f>
        <v>'FLORES RAYA DANIEL'</v>
      </c>
      <c r="G462" s="16" t="str">
        <f>CONCATENATE("'",Alumnos!I154,"'")</f>
        <v>'NUTRICION Y GASTRONOMIA'</v>
      </c>
      <c r="H462" s="16" t="str">
        <f>CONCATENATE("'",Alumnos!J154,"'")</f>
        <v>'6to'</v>
      </c>
      <c r="I462" s="16" t="str">
        <f>UPPER(CONCATENATE("'",Alumnos!K154,"'"))</f>
        <v>'MASCULINO'</v>
      </c>
      <c r="J462" s="16" t="str">
        <f>UPPER(CONCATENATE("'",Alumnos!L154,"'"))</f>
        <v>'ACTIVO'</v>
      </c>
      <c r="K462" s="16" t="str">
        <f>CONCATENATE(A462,",",B462,",",C462,",",D462,",'",E462,",",F462,",",G462,",",H462,",",UPPER(I462),",",UPPER(J462),",'',0,0,'','ALUMNO'")</f>
        <v>1461,'LICENCIATURA','daniel.floresraya','111133','TOMAR DEL SND','FLORES RAYA DANIEL','NUTRICION Y GASTRONOMIA','6to','MASCULINO','ACTIVO','',0,0,'','ALUMNO'</v>
      </c>
      <c r="L462" s="16" t="str">
        <f>CONCATENATE($K$1,K462,");")</f>
        <v>INSERT INTO participantes (id,nivel,correo,matricula,clave,nombre,carrera,grado,sexo,situacion,evaluados,num_evaluados,total_evaluaciones,ultimo_acceso,nivel_acceso) VALUES (1461,'LICENCIATURA','daniel.floresraya','111133','TOMAR DEL SND','FLORES RAYA DANIEL','NUTRICION Y GASTRONOMIA','6to','MASCULINO','ACTIVO','',0,0,'','ALUMNO');</v>
      </c>
      <c r="M462" s="16" t="str">
        <f>CONCATENATE("update participantes set correo=",C462," where id=",A462,";")</f>
        <v>update participantes set correo='daniel.floresraya' where id=1461;</v>
      </c>
    </row>
    <row r="463" spans="1:13" ht="130.5" x14ac:dyDescent="0.35">
      <c r="A463" s="16">
        <v>1462</v>
      </c>
      <c r="B463" s="18" t="s">
        <v>1754</v>
      </c>
      <c r="C463" s="16" t="str">
        <f>CONCATENATE("'",Alumnos!E470,"'")</f>
        <v>'melanydenisse.avilaestrada'</v>
      </c>
      <c r="D463" s="16" t="str">
        <f>CONCATENATE(Alumnos!F470,"'")</f>
        <v>'111150'</v>
      </c>
      <c r="E463" s="16" t="s">
        <v>1755</v>
      </c>
      <c r="F463" s="16" t="str">
        <f>CONCATENATE("'",Alumnos!H470,"'")</f>
        <v>'AVILA ESTRADA MELANY DENISSE'</v>
      </c>
      <c r="G463" s="16" t="str">
        <f>CONCATENATE("'",Alumnos!I470,"'")</f>
        <v>'INGENIERIA AEROESPACIAL'</v>
      </c>
      <c r="H463" s="16" t="str">
        <f>CONCATENATE("'",Alumnos!J470,"'")</f>
        <v>'6to'</v>
      </c>
      <c r="I463" s="16" t="str">
        <f>UPPER(CONCATENATE("'",Alumnos!K470,"'"))</f>
        <v>'FEMENINO'</v>
      </c>
      <c r="J463" s="16" t="str">
        <f>UPPER(CONCATENATE("'",Alumnos!L470,"'"))</f>
        <v>'ACTIVO'</v>
      </c>
      <c r="K463" s="16" t="str">
        <f>CONCATENATE(A463,",",B463,",",C463,",",D463,",'",E463,",",F463,",",G463,",",H463,",",UPPER(I463),",",UPPER(J463),",'',0,0,'','ALUMNO'")</f>
        <v>1462,'LICENCIATURA','melanydenisse.avilaestrada','111150','TOMAR DEL SND','AVILA ESTRADA MELANY DENISSE','INGENIERIA AEROESPACIAL','6to','FEMENINO','ACTIVO','',0,0,'','ALUMNO'</v>
      </c>
      <c r="L463" s="16" t="str">
        <f>CONCATENATE($K$1,K463,");")</f>
        <v>INSERT INTO participantes (id,nivel,correo,matricula,clave,nombre,carrera,grado,sexo,situacion,evaluados,num_evaluados,total_evaluaciones,ultimo_acceso,nivel_acceso) VALUES (1462,'LICENCIATURA','melanydenisse.avilaestrada','111150','TOMAR DEL SND','AVILA ESTRADA MELANY DENISSE','INGENIERIA AEROESPACIAL','6to','FEMENINO','ACTIVO','',0,0,'','ALUMNO');</v>
      </c>
      <c r="M463" s="16" t="str">
        <f>CONCATENATE("update participantes set correo=",C463," where id=",A463,";")</f>
        <v>update participantes set correo='melanydenisse.avilaestrada' where id=1462;</v>
      </c>
    </row>
    <row r="464" spans="1:13" ht="116" x14ac:dyDescent="0.35">
      <c r="A464" s="16">
        <v>1463</v>
      </c>
      <c r="B464" s="18" t="s">
        <v>1754</v>
      </c>
      <c r="C464" s="16" t="str">
        <f>CONCATENATE("'",Alumnos!E52,"'")</f>
        <v>'anapaula.ruelasnavarro'</v>
      </c>
      <c r="D464" s="16" t="str">
        <f>CONCATENATE(Alumnos!F52,"'")</f>
        <v>'111152'</v>
      </c>
      <c r="E464" s="16" t="s">
        <v>1755</v>
      </c>
      <c r="F464" s="16" t="str">
        <f>CONCATENATE("'",Alumnos!H52,"'")</f>
        <v>'RUELAS NAVARRO ANA PAULA'</v>
      </c>
      <c r="G464" s="16" t="str">
        <f>CONCATENATE("'",Alumnos!I52,"'")</f>
        <v>'PSICOLOGIA'</v>
      </c>
      <c r="H464" s="16" t="str">
        <f>CONCATENATE("'",Alumnos!J52,"'")</f>
        <v>'6to'</v>
      </c>
      <c r="I464" s="16" t="str">
        <f>UPPER(CONCATENATE("'",Alumnos!K52,"'"))</f>
        <v>'FEMENINO'</v>
      </c>
      <c r="J464" s="16" t="str">
        <f>UPPER(CONCATENATE("'",Alumnos!L52,"'"))</f>
        <v>'ACTIVO'</v>
      </c>
      <c r="K464" s="16" t="str">
        <f>CONCATENATE(A464,",",B464,",",C464,",",D464,",'",E464,",",F464,",",G464,",",H464,",",UPPER(I464),",",UPPER(J464),",'',0,0,'','ALUMNO'")</f>
        <v>1463,'LICENCIATURA','anapaula.ruelasnavarro','111152','TOMAR DEL SND','RUELAS NAVARRO ANA PAULA','PSICOLOGIA','6to','FEMENINO','ACTIVO','',0,0,'','ALUMNO'</v>
      </c>
      <c r="L464" s="16" t="str">
        <f>CONCATENATE($K$1,K464,");")</f>
        <v>INSERT INTO participantes (id,nivel,correo,matricula,clave,nombre,carrera,grado,sexo,situacion,evaluados,num_evaluados,total_evaluaciones,ultimo_acceso,nivel_acceso) VALUES (1463,'LICENCIATURA','anapaula.ruelasnavarro','111152','TOMAR DEL SND','RUELAS NAVARRO ANA PAULA','PSICOLOGIA','6to','FEMENINO','ACTIVO','',0,0,'','ALUMNO');</v>
      </c>
      <c r="M464" s="16" t="str">
        <f>CONCATENATE("update participantes set correo=",C464," where id=",A464,";")</f>
        <v>update participantes set correo='anapaula.ruelasnavarro' where id=1463;</v>
      </c>
    </row>
    <row r="465" spans="1:13" ht="116" x14ac:dyDescent="0.35">
      <c r="A465" s="16">
        <v>1464</v>
      </c>
      <c r="B465" s="18" t="s">
        <v>1754</v>
      </c>
      <c r="C465" s="16" t="str">
        <f>CONCATENATE("'",Alumnos!E394,"'")</f>
        <v>'laurasusana.cejaperez'</v>
      </c>
      <c r="D465" s="16" t="str">
        <f>CONCATENATE(Alumnos!F394,"'")</f>
        <v>'111153'</v>
      </c>
      <c r="E465" s="16" t="s">
        <v>1755</v>
      </c>
      <c r="F465" s="16" t="str">
        <f>CONCATENATE("'",Alumnos!H394,"'")</f>
        <v>'CEJA PEREZ LAURA SUSANA'</v>
      </c>
      <c r="G465" s="16" t="str">
        <f>CONCATENATE("'",Alumnos!I394,"'")</f>
        <v>'INGENIERIA AEROESPACIAL'</v>
      </c>
      <c r="H465" s="16" t="str">
        <f>CONCATENATE("'",Alumnos!J394,"'")</f>
        <v>'6to'</v>
      </c>
      <c r="I465" s="16" t="str">
        <f>UPPER(CONCATENATE("'",Alumnos!K394,"'"))</f>
        <v>'FEMENINO'</v>
      </c>
      <c r="J465" s="16" t="str">
        <f>UPPER(CONCATENATE("'",Alumnos!L394,"'"))</f>
        <v>'ACTIVO'</v>
      </c>
      <c r="K465" s="16" t="str">
        <f>CONCATENATE(A465,",",B465,",",C465,",",D465,",'",E465,",",F465,",",G465,",",H465,",",UPPER(I465),",",UPPER(J465),",'',0,0,'','ALUMNO'")</f>
        <v>1464,'LICENCIATURA','laurasusana.cejaperez','111153','TOMAR DEL SND','CEJA PEREZ LAURA SUSANA','INGENIERIA AEROESPACIAL','6to','FEMENINO','ACTIVO','',0,0,'','ALUMNO'</v>
      </c>
      <c r="L465" s="16" t="str">
        <f>CONCATENATE($K$1,K465,");")</f>
        <v>INSERT INTO participantes (id,nivel,correo,matricula,clave,nombre,carrera,grado,sexo,situacion,evaluados,num_evaluados,total_evaluaciones,ultimo_acceso,nivel_acceso) VALUES (1464,'LICENCIATURA','laurasusana.cejaperez','111153','TOMAR DEL SND','CEJA PEREZ LAURA SUSANA','INGENIERIA AEROESPACIAL','6to','FEMENINO','ACTIVO','',0,0,'','ALUMNO');</v>
      </c>
      <c r="M465" s="16" t="str">
        <f>CONCATENATE("update participantes set correo=",C465," where id=",A465,";")</f>
        <v>update participantes set correo='laurasusana.cejaperez' where id=1464;</v>
      </c>
    </row>
    <row r="466" spans="1:13" ht="130.5" x14ac:dyDescent="0.35">
      <c r="A466" s="16">
        <v>1465</v>
      </c>
      <c r="B466" s="18" t="s">
        <v>1754</v>
      </c>
      <c r="C466" s="16" t="str">
        <f>CONCATENATE("'",Alumnos!E270,"'")</f>
        <v>'hectorenrique.mariscalsanchez'</v>
      </c>
      <c r="D466" s="16" t="str">
        <f>CONCATENATE(Alumnos!F270,"'")</f>
        <v>'111154'</v>
      </c>
      <c r="E466" s="16" t="s">
        <v>1755</v>
      </c>
      <c r="F466" s="16" t="str">
        <f>CONCATENATE("'",Alumnos!H270,"'")</f>
        <v>'MARISCAL SANCHEZ HECTOR ENRIQUE'</v>
      </c>
      <c r="G466" s="16" t="str">
        <f>CONCATENATE("'",Alumnos!I270,"'")</f>
        <v>'INGENIERIA CIBERNETICA Y EN SISTEMAS COMPUTACIONALES'</v>
      </c>
      <c r="H466" s="16" t="str">
        <f>CONCATENATE("'",Alumnos!J270,"'")</f>
        <v>'6to'</v>
      </c>
      <c r="I466" s="16" t="str">
        <f>UPPER(CONCATENATE("'",Alumnos!K270,"'"))</f>
        <v>'MASCULINO'</v>
      </c>
      <c r="J466" s="16" t="str">
        <f>UPPER(CONCATENATE("'",Alumnos!L270,"'"))</f>
        <v>'ACTIVO'</v>
      </c>
      <c r="K466" s="16" t="str">
        <f>CONCATENATE(A466,",",B466,",",C466,",",D466,",'",E466,",",F466,",",G466,",",H466,",",UPPER(I466),",",UPPER(J466),",'',0,0,'','ALUMNO'")</f>
        <v>1465,'LICENCIATURA','hectorenrique.mariscalsanchez','111154','TOMAR DEL SND','MARISCAL SANCHEZ HECTOR ENRIQUE','INGENIERIA CIBERNETICA Y EN SISTEMAS COMPUTACIONALES','6to','MASCULINO','ACTIVO','',0,0,'','ALUMNO'</v>
      </c>
      <c r="L466" s="16" t="str">
        <f>CONCATENATE($K$1,K466,");")</f>
        <v>INSERT INTO participantes (id,nivel,correo,matricula,clave,nombre,carrera,grado,sexo,situacion,evaluados,num_evaluados,total_evaluaciones,ultimo_acceso,nivel_acceso) VALUES (1465,'LICENCIATURA','hectorenrique.mariscalsanchez','111154','TOMAR DEL SND','MARISCAL SANCHEZ HECTOR ENRIQUE','INGENIERIA CIBERNETICA Y EN SISTEMAS COMPUTACIONALES','6to','MASCULINO','ACTIVO','',0,0,'','ALUMNO');</v>
      </c>
      <c r="M466" s="16" t="str">
        <f>CONCATENATE("update participantes set correo=",C466," where id=",A466,";")</f>
        <v>update participantes set correo='hectorenrique.mariscalsanchez' where id=1465;</v>
      </c>
    </row>
    <row r="467" spans="1:13" ht="130.5" x14ac:dyDescent="0.35">
      <c r="A467" s="16">
        <v>1466</v>
      </c>
      <c r="B467" s="18" t="s">
        <v>1754</v>
      </c>
      <c r="C467" s="16" t="str">
        <f>CONCATENATE("'",Alumnos!E131,"'")</f>
        <v>'carolinaalexandra.sandovalberumen'</v>
      </c>
      <c r="D467" s="16" t="str">
        <f>CONCATENATE(Alumnos!F131,"'")</f>
        <v>'111155'</v>
      </c>
      <c r="E467" s="16" t="s">
        <v>1755</v>
      </c>
      <c r="F467" s="16" t="str">
        <f>CONCATENATE("'",Alumnos!H131,"'")</f>
        <v>'SANDOVAL BERUMEN CAROLINA ALEXANDRA'</v>
      </c>
      <c r="G467" s="16" t="str">
        <f>CONCATENATE("'",Alumnos!I131,"'")</f>
        <v>'PSICOLOGIA'</v>
      </c>
      <c r="H467" s="16" t="str">
        <f>CONCATENATE("'",Alumnos!J131,"'")</f>
        <v>'6to'</v>
      </c>
      <c r="I467" s="16" t="str">
        <f>UPPER(CONCATENATE("'",Alumnos!K131,"'"))</f>
        <v>'FEMENINO'</v>
      </c>
      <c r="J467" s="16" t="str">
        <f>UPPER(CONCATENATE("'",Alumnos!L131,"'"))</f>
        <v>'ACTIVO'</v>
      </c>
      <c r="K467" s="16" t="str">
        <f>CONCATENATE(A467,",",B467,",",C467,",",D467,",'",E467,",",F467,",",G467,",",H467,",",UPPER(I467),",",UPPER(J467),",'',0,0,'','ALUMNO'")</f>
        <v>1466,'LICENCIATURA','carolinaalexandra.sandovalberumen','111155','TOMAR DEL SND','SANDOVAL BERUMEN CAROLINA ALEXANDRA','PSICOLOGIA','6to','FEMENINO','ACTIVO','',0,0,'','ALUMNO'</v>
      </c>
      <c r="L467" s="16" t="str">
        <f>CONCATENATE($K$1,K467,");")</f>
        <v>INSERT INTO participantes (id,nivel,correo,matricula,clave,nombre,carrera,grado,sexo,situacion,evaluados,num_evaluados,total_evaluaciones,ultimo_acceso,nivel_acceso) VALUES (1466,'LICENCIATURA','carolinaalexandra.sandovalberumen','111155','TOMAR DEL SND','SANDOVAL BERUMEN CAROLINA ALEXANDRA','PSICOLOGIA','6to','FEMENINO','ACTIVO','',0,0,'','ALUMNO');</v>
      </c>
      <c r="M467" s="16" t="str">
        <f>CONCATENATE("update participantes set correo=",C467," where id=",A467,";")</f>
        <v>update participantes set correo='carolinaalexandra.sandovalberumen' where id=1466;</v>
      </c>
    </row>
    <row r="468" spans="1:13" ht="116" x14ac:dyDescent="0.35">
      <c r="A468" s="16">
        <v>1467</v>
      </c>
      <c r="B468" s="18" t="s">
        <v>1754</v>
      </c>
      <c r="C468" s="16" t="str">
        <f>CONCATENATE("'",Alumnos!E412,"'")</f>
        <v>'luisfernando.lopezorozco'</v>
      </c>
      <c r="D468" s="16" t="str">
        <f>CONCATENATE(Alumnos!F412,"'")</f>
        <v>'111157'</v>
      </c>
      <c r="E468" s="16" t="s">
        <v>1755</v>
      </c>
      <c r="F468" s="16" t="str">
        <f>CONCATENATE("'",Alumnos!H412,"'")</f>
        <v>'LOPEZ OROZCO LUIS FERNANDO'</v>
      </c>
      <c r="G468" s="16" t="str">
        <f>CONCATENATE("'",Alumnos!I412,"'")</f>
        <v>'ADMINISTRACION Y DIRECCION DE NEGOCIOS'</v>
      </c>
      <c r="H468" s="16" t="str">
        <f>CONCATENATE("'",Alumnos!J412,"'")</f>
        <v>'6to'</v>
      </c>
      <c r="I468" s="16" t="str">
        <f>UPPER(CONCATENATE("'",Alumnos!K412,"'"))</f>
        <v>'MASCULINO'</v>
      </c>
      <c r="J468" s="16" t="str">
        <f>UPPER(CONCATENATE("'",Alumnos!L412,"'"))</f>
        <v>'ACTIVO'</v>
      </c>
      <c r="K468" s="16" t="str">
        <f>CONCATENATE(A468,",",B468,",",C468,",",D468,",'",E468,",",F468,",",G468,",",H468,",",UPPER(I468),",",UPPER(J468),",'',0,0,'','ALUMNO'")</f>
        <v>1467,'LICENCIATURA','luisfernando.lopezorozco','111157','TOMAR DEL SND','LOPEZ OROZCO LUIS FERNANDO','ADMINISTRACION Y DIRECCION DE NEGOCIOS','6to','MASCULINO','ACTIVO','',0,0,'','ALUMNO'</v>
      </c>
      <c r="L468" s="16" t="str">
        <f>CONCATENATE($K$1,K468,");")</f>
        <v>INSERT INTO participantes (id,nivel,correo,matricula,clave,nombre,carrera,grado,sexo,situacion,evaluados,num_evaluados,total_evaluaciones,ultimo_acceso,nivel_acceso) VALUES (1467,'LICENCIATURA','luisfernando.lopezorozco','111157','TOMAR DEL SND','LOPEZ OROZCO LUIS FERNANDO','ADMINISTRACION Y DIRECCION DE NEGOCIOS','6to','MASCULINO','ACTIVO','',0,0,'','ALUMNO');</v>
      </c>
      <c r="M468" s="16" t="str">
        <f>CONCATENATE("update participantes set correo=",C468," where id=",A468,";")</f>
        <v>update participantes set correo='luisfernando.lopezorozco' where id=1467;</v>
      </c>
    </row>
    <row r="469" spans="1:13" ht="116" x14ac:dyDescent="0.35">
      <c r="A469" s="16">
        <v>1468</v>
      </c>
      <c r="B469" s="18" t="s">
        <v>1754</v>
      </c>
      <c r="C469" s="16" t="str">
        <f>CONCATENATE("'",Alumnos!E22,"'")</f>
        <v>'alberto.lariosiniguez'</v>
      </c>
      <c r="D469" s="16" t="str">
        <f>CONCATENATE(Alumnos!F22,"'")</f>
        <v>'111159'</v>
      </c>
      <c r="E469" s="16" t="s">
        <v>1755</v>
      </c>
      <c r="F469" s="16" t="str">
        <f>CONCATENATE("'",Alumnos!H22,"'")</f>
        <v>'LARIOS IÑIGUEZ ALBERTO'</v>
      </c>
      <c r="G469" s="16" t="str">
        <f>CONCATENATE("'",Alumnos!I22,"'")</f>
        <v>'NUTRICION Y GASTRONOMIA'</v>
      </c>
      <c r="H469" s="16" t="str">
        <f>CONCATENATE("'",Alumnos!J22,"'")</f>
        <v>'6to'</v>
      </c>
      <c r="I469" s="16" t="str">
        <f>UPPER(CONCATENATE("'",Alumnos!K22,"'"))</f>
        <v>'MASCULINO'</v>
      </c>
      <c r="J469" s="16" t="str">
        <f>UPPER(CONCATENATE("'",Alumnos!L22,"'"))</f>
        <v>'ACTIVO'</v>
      </c>
      <c r="K469" s="16" t="str">
        <f>CONCATENATE(A469,",",B469,",",C469,",",D469,",'",E469,",",F469,",",G469,",",H469,",",UPPER(I469),",",UPPER(J469),",'',0,0,'','ALUMNO'")</f>
        <v>1468,'LICENCIATURA','alberto.lariosiniguez','111159','TOMAR DEL SND','LARIOS IÑIGUEZ ALBERTO','NUTRICION Y GASTRONOMIA','6to','MASCULINO','ACTIVO','',0,0,'','ALUMNO'</v>
      </c>
      <c r="L469" s="16" t="str">
        <f>CONCATENATE($K$1,K469,");")</f>
        <v>INSERT INTO participantes (id,nivel,correo,matricula,clave,nombre,carrera,grado,sexo,situacion,evaluados,num_evaluados,total_evaluaciones,ultimo_acceso,nivel_acceso) VALUES (1468,'LICENCIATURA','alberto.lariosiniguez','111159','TOMAR DEL SND','LARIOS IÑIGUEZ ALBERTO','NUTRICION Y GASTRONOMIA','6to','MASCULINO','ACTIVO','',0,0,'','ALUMNO');</v>
      </c>
      <c r="M469" s="16" t="str">
        <f>CONCATENATE("update participantes set correo=",C469," where id=",A469,";")</f>
        <v>update participantes set correo='alberto.lariosiniguez' where id=1468;</v>
      </c>
    </row>
    <row r="470" spans="1:13" ht="130.5" x14ac:dyDescent="0.35">
      <c r="A470" s="16">
        <v>1469</v>
      </c>
      <c r="B470" s="18" t="s">
        <v>1754</v>
      </c>
      <c r="C470" s="16" t="str">
        <f>CONCATENATE("'",Alumnos!E373,"'")</f>
        <v>'karlaalexia.reyespalacios'</v>
      </c>
      <c r="D470" s="16" t="str">
        <f>CONCATENATE(Alumnos!F373,"'")</f>
        <v>'111162'</v>
      </c>
      <c r="E470" s="16" t="s">
        <v>1755</v>
      </c>
      <c r="F470" s="16" t="str">
        <f>CONCATENATE("'",Alumnos!H373,"'")</f>
        <v>'REYES PALACIOS KARLA ALEXIA'</v>
      </c>
      <c r="G470" s="16" t="str">
        <f>CONCATENATE("'",Alumnos!I373,"'")</f>
        <v>'ANIMACION DIGITAL Y VIDEOJUEGOS'</v>
      </c>
      <c r="H470" s="16" t="str">
        <f>CONCATENATE("'",Alumnos!J373,"'")</f>
        <v>'6to'</v>
      </c>
      <c r="I470" s="16" t="str">
        <f>UPPER(CONCATENATE("'",Alumnos!K373,"'"))</f>
        <v>'FEMENINO'</v>
      </c>
      <c r="J470" s="16" t="str">
        <f>UPPER(CONCATENATE("'",Alumnos!L373,"'"))</f>
        <v>'ACTIVO'</v>
      </c>
      <c r="K470" s="16" t="str">
        <f>CONCATENATE(A470,",",B470,",",C470,",",D470,",'",E470,",",F470,",",G470,",",H470,",",UPPER(I470),",",UPPER(J470),",'',0,0,'','ALUMNO'")</f>
        <v>1469,'LICENCIATURA','karlaalexia.reyespalacios','111162','TOMAR DEL SND','REYES PALACIOS KARLA ALEXIA','ANIMACION DIGITAL Y VIDEOJUEGOS','6to','FEMENINO','ACTIVO','',0,0,'','ALUMNO'</v>
      </c>
      <c r="L470" s="16" t="str">
        <f>CONCATENATE($K$1,K470,");")</f>
        <v>INSERT INTO participantes (id,nivel,correo,matricula,clave,nombre,carrera,grado,sexo,situacion,evaluados,num_evaluados,total_evaluaciones,ultimo_acceso,nivel_acceso) VALUES (1469,'LICENCIATURA','karlaalexia.reyespalacios','111162','TOMAR DEL SND','REYES PALACIOS KARLA ALEXIA','ANIMACION DIGITAL Y VIDEOJUEGOS','6to','FEMENINO','ACTIVO','',0,0,'','ALUMNO');</v>
      </c>
      <c r="M470" s="16" t="str">
        <f>CONCATENATE("update participantes set correo=",C470," where id=",A470,";")</f>
        <v>update participantes set correo='karlaalexia.reyespalacios' where id=1469;</v>
      </c>
    </row>
    <row r="471" spans="1:13" ht="116" x14ac:dyDescent="0.35">
      <c r="A471" s="16">
        <v>1470</v>
      </c>
      <c r="B471" s="18" t="s">
        <v>1754</v>
      </c>
      <c r="C471" s="16" t="str">
        <f>CONCATENATE("'",Alumnos!E235,"'")</f>
        <v>'fatimadennise.arceespino'</v>
      </c>
      <c r="D471" s="16" t="str">
        <f>CONCATENATE(Alumnos!F235,"'")</f>
        <v>'111163'</v>
      </c>
      <c r="E471" s="16" t="s">
        <v>1755</v>
      </c>
      <c r="F471" s="16" t="str">
        <f>CONCATENATE("'",Alumnos!H235,"'")</f>
        <v>'ARCE ESPINO FATIMA DENNISE'</v>
      </c>
      <c r="G471" s="16" t="str">
        <f>CONCATENATE("'",Alumnos!I235,"'")</f>
        <v>'PSICOLOGIA'</v>
      </c>
      <c r="H471" s="16" t="str">
        <f>CONCATENATE("'",Alumnos!J235,"'")</f>
        <v>'6to'</v>
      </c>
      <c r="I471" s="16" t="str">
        <f>UPPER(CONCATENATE("'",Alumnos!K235,"'"))</f>
        <v>'FEMENINO'</v>
      </c>
      <c r="J471" s="16" t="str">
        <f>UPPER(CONCATENATE("'",Alumnos!L235,"'"))</f>
        <v>'ACTIVO'</v>
      </c>
      <c r="K471" s="16" t="str">
        <f>CONCATENATE(A471,",",B471,",",C471,",",D471,",'",E471,",",F471,",",G471,",",H471,",",UPPER(I471),",",UPPER(J471),",'',0,0,'','ALUMNO'")</f>
        <v>1470,'LICENCIATURA','fatimadennise.arceespino','111163','TOMAR DEL SND','ARCE ESPINO FATIMA DENNISE','PSICOLOGIA','6to','FEMENINO','ACTIVO','',0,0,'','ALUMNO'</v>
      </c>
      <c r="L471" s="16" t="str">
        <f>CONCATENATE($K$1,K471,");")</f>
        <v>INSERT INTO participantes (id,nivel,correo,matricula,clave,nombre,carrera,grado,sexo,situacion,evaluados,num_evaluados,total_evaluaciones,ultimo_acceso,nivel_acceso) VALUES (1470,'LICENCIATURA','fatimadennise.arceespino','111163','TOMAR DEL SND','ARCE ESPINO FATIMA DENNISE','PSICOLOGIA','6to','FEMENINO','ACTIVO','',0,0,'','ALUMNO');</v>
      </c>
      <c r="M471" s="16" t="str">
        <f>CONCATENATE("update participantes set correo=",C471," where id=",A471,";")</f>
        <v>update participantes set correo='fatimadennise.arceespino' where id=1470;</v>
      </c>
    </row>
    <row r="472" spans="1:13" ht="116" x14ac:dyDescent="0.35">
      <c r="A472" s="16">
        <v>1471</v>
      </c>
      <c r="B472" s="18" t="s">
        <v>1754</v>
      </c>
      <c r="C472" s="16" t="str">
        <f>CONCATENATE("'",Alumnos!E166,"'")</f>
        <v>'danilaraquel.murilloiparraguirre'</v>
      </c>
      <c r="D472" s="16" t="str">
        <f>CONCATENATE(Alumnos!F166,"'")</f>
        <v>'111164'</v>
      </c>
      <c r="E472" s="16" t="s">
        <v>1755</v>
      </c>
      <c r="F472" s="16" t="str">
        <f>CONCATENATE("'",Alumnos!H166,"'")</f>
        <v>'MURILLO IPARRAGUIRRE DANILA RAQUEL'</v>
      </c>
      <c r="G472" s="16" t="str">
        <f>CONCATENATE("'",Alumnos!I166,"'")</f>
        <v>'PSICOLOGIA'</v>
      </c>
      <c r="H472" s="16" t="str">
        <f>CONCATENATE("'",Alumnos!J166,"'")</f>
        <v>'8vo'</v>
      </c>
      <c r="I472" s="16" t="str">
        <f>UPPER(CONCATENATE("'",Alumnos!K166,"'"))</f>
        <v>'FEMENINO'</v>
      </c>
      <c r="J472" s="16" t="str">
        <f>UPPER(CONCATENATE("'",Alumnos!L166,"'"))</f>
        <v>'ACTIVO'</v>
      </c>
      <c r="K472" s="16" t="str">
        <f>CONCATENATE(A472,",",B472,",",C472,",",D472,",'",E472,",",F472,",",G472,",",H472,",",UPPER(I472),",",UPPER(J472),",'',0,0,'','ALUMNO'")</f>
        <v>1471,'LICENCIATURA','danilaraquel.murilloiparraguirre','111164','TOMAR DEL SND','MURILLO IPARRAGUIRRE DANILA RAQUEL','PSICOLOGIA','8vo','FEMENINO','ACTIVO','',0,0,'','ALUMNO'</v>
      </c>
      <c r="L472" s="16" t="str">
        <f>CONCATENATE($K$1,K472,");")</f>
        <v>INSERT INTO participantes (id,nivel,correo,matricula,clave,nombre,carrera,grado,sexo,situacion,evaluados,num_evaluados,total_evaluaciones,ultimo_acceso,nivel_acceso) VALUES (1471,'LICENCIATURA','danilaraquel.murilloiparraguirre','111164','TOMAR DEL SND','MURILLO IPARRAGUIRRE DANILA RAQUEL','PSICOLOGIA','8vo','FEMENINO','ACTIVO','',0,0,'','ALUMNO');</v>
      </c>
      <c r="M472" s="16" t="str">
        <f>CONCATENATE("update participantes set correo=",C472," where id=",A472,";")</f>
        <v>update participantes set correo='danilaraquel.murilloiparraguirre' where id=1471;</v>
      </c>
    </row>
    <row r="473" spans="1:13" ht="116" x14ac:dyDescent="0.35">
      <c r="A473" s="16">
        <v>1472</v>
      </c>
      <c r="B473" s="18" t="s">
        <v>1754</v>
      </c>
      <c r="C473" s="16" t="str">
        <f>CONCATENATE("'",Alumnos!E588,"'")</f>
        <v>'tatiana.gallimartinez'</v>
      </c>
      <c r="D473" s="16" t="str">
        <f>CONCATENATE(Alumnos!F588,"'")</f>
        <v>'111165'</v>
      </c>
      <c r="E473" s="16" t="s">
        <v>1755</v>
      </c>
      <c r="F473" s="16" t="str">
        <f>CONCATENATE("'",Alumnos!H588,"'")</f>
        <v>'GALLI MARTINEZ TATIANA'</v>
      </c>
      <c r="G473" s="16" t="str">
        <f>CONCATENATE("'",Alumnos!I588,"'")</f>
        <v>'PSICOLOGIA'</v>
      </c>
      <c r="H473" s="16" t="str">
        <f>CONCATENATE("'",Alumnos!J588,"'")</f>
        <v>'6to'</v>
      </c>
      <c r="I473" s="16" t="str">
        <f>UPPER(CONCATENATE("'",Alumnos!K588,"'"))</f>
        <v>'FEMENINO'</v>
      </c>
      <c r="J473" s="16" t="str">
        <f>UPPER(CONCATENATE("'",Alumnos!L588,"'"))</f>
        <v>'ACTIVO'</v>
      </c>
      <c r="K473" s="16" t="str">
        <f>CONCATENATE(A473,",",B473,",",C473,",",D473,",'",E473,",",F473,",",G473,",",H473,",",UPPER(I473),",",UPPER(J473),",'',0,0,'','ALUMNO'")</f>
        <v>1472,'LICENCIATURA','tatiana.gallimartinez','111165','TOMAR DEL SND','GALLI MARTINEZ TATIANA','PSICOLOGIA','6to','FEMENINO','ACTIVO','',0,0,'','ALUMNO'</v>
      </c>
      <c r="L473" s="16" t="str">
        <f>CONCATENATE($K$1,K473,");")</f>
        <v>INSERT INTO participantes (id,nivel,correo,matricula,clave,nombre,carrera,grado,sexo,situacion,evaluados,num_evaluados,total_evaluaciones,ultimo_acceso,nivel_acceso) VALUES (1472,'LICENCIATURA','tatiana.gallimartinez','111165','TOMAR DEL SND','GALLI MARTINEZ TATIANA','PSICOLOGIA','6to','FEMENINO','ACTIVO','',0,0,'','ALUMNO');</v>
      </c>
      <c r="M473" s="16" t="str">
        <f>CONCATENATE("update participantes set correo=",C473," where id=",A473,";")</f>
        <v>update participantes set correo='tatiana.gallimartinez' where id=1472;</v>
      </c>
    </row>
    <row r="474" spans="1:13" ht="116" x14ac:dyDescent="0.35">
      <c r="A474" s="16">
        <v>1473</v>
      </c>
      <c r="B474" s="18" t="s">
        <v>1754</v>
      </c>
      <c r="C474" s="16" t="str">
        <f>CONCATENATE("'",Alumnos!E607,"'")</f>
        <v>'victormanuel.cervantespanduro'</v>
      </c>
      <c r="D474" s="16" t="str">
        <f>CONCATENATE(Alumnos!F607,"'")</f>
        <v>'111166'</v>
      </c>
      <c r="E474" s="16" t="s">
        <v>1755</v>
      </c>
      <c r="F474" s="16" t="str">
        <f>CONCATENATE("'",Alumnos!H607,"'")</f>
        <v>'CERVANTES PANDURO VICTOR MANUEL'</v>
      </c>
      <c r="G474" s="16" t="str">
        <f>CONCATENATE("'",Alumnos!I607,"'")</f>
        <v>'PSICOLOGIA'</v>
      </c>
      <c r="H474" s="16" t="str">
        <f>CONCATENATE("'",Alumnos!J607,"'")</f>
        <v>'6to'</v>
      </c>
      <c r="I474" s="16" t="str">
        <f>UPPER(CONCATENATE("'",Alumnos!K607,"'"))</f>
        <v>'MASCULINO'</v>
      </c>
      <c r="J474" s="16" t="str">
        <f>UPPER(CONCATENATE("'",Alumnos!L607,"'"))</f>
        <v>'ACTIVO'</v>
      </c>
      <c r="K474" s="16" t="str">
        <f>CONCATENATE(A474,",",B474,",",C474,",",D474,",'",E474,",",F474,",",G474,",",H474,",",UPPER(I474),",",UPPER(J474),",'',0,0,'','ALUMNO'")</f>
        <v>1473,'LICENCIATURA','victormanuel.cervantespanduro','111166','TOMAR DEL SND','CERVANTES PANDURO VICTOR MANUEL','PSICOLOGIA','6to','MASCULINO','ACTIVO','',0,0,'','ALUMNO'</v>
      </c>
      <c r="L474" s="16" t="str">
        <f>CONCATENATE($K$1,K474,");")</f>
        <v>INSERT INTO participantes (id,nivel,correo,matricula,clave,nombre,carrera,grado,sexo,situacion,evaluados,num_evaluados,total_evaluaciones,ultimo_acceso,nivel_acceso) VALUES (1473,'LICENCIATURA','victormanuel.cervantespanduro','111166','TOMAR DEL SND','CERVANTES PANDURO VICTOR MANUEL','PSICOLOGIA','6to','MASCULINO','ACTIVO','',0,0,'','ALUMNO');</v>
      </c>
      <c r="M474" s="16" t="str">
        <f>CONCATENATE("update participantes set correo=",C474," where id=",A474,";")</f>
        <v>update participantes set correo='victormanuel.cervantespanduro' where id=1473;</v>
      </c>
    </row>
    <row r="475" spans="1:13" ht="130.5" x14ac:dyDescent="0.35">
      <c r="A475" s="16">
        <v>1474</v>
      </c>
      <c r="B475" s="18" t="s">
        <v>1754</v>
      </c>
      <c r="C475" s="16" t="str">
        <f>CONCATENATE("'",Alumnos!E501,"'")</f>
        <v>'orlandobaru.munozrodriguez'</v>
      </c>
      <c r="D475" s="16" t="str">
        <f>CONCATENATE(Alumnos!F501,"'")</f>
        <v>'111168'</v>
      </c>
      <c r="E475" s="16" t="s">
        <v>1755</v>
      </c>
      <c r="F475" s="16" t="str">
        <f>CONCATENATE("'",Alumnos!H501,"'")</f>
        <v>'MUÑOZ RODRIGUEZ ORLANDO BARU'</v>
      </c>
      <c r="G475" s="16" t="str">
        <f>CONCATENATE("'",Alumnos!I501,"'")</f>
        <v>'INGENIERÍA AUTOMOTRIZ'</v>
      </c>
      <c r="H475" s="16" t="str">
        <f>CONCATENATE("'",Alumnos!J501,"'")</f>
        <v>'6to'</v>
      </c>
      <c r="I475" s="16" t="str">
        <f>UPPER(CONCATENATE("'",Alumnos!K501,"'"))</f>
        <v>'MASCULINO'</v>
      </c>
      <c r="J475" s="16" t="str">
        <f>UPPER(CONCATENATE("'",Alumnos!L501,"'"))</f>
        <v>'ACTIVO'</v>
      </c>
      <c r="K475" s="16" t="str">
        <f>CONCATENATE(A475,",",B475,",",C475,",",D475,",'",E475,",",F475,",",G475,",",H475,",",UPPER(I475),",",UPPER(J475),",'',0,0,'','ALUMNO'")</f>
        <v>1474,'LICENCIATURA','orlandobaru.munozrodriguez','111168','TOMAR DEL SND','MUÑOZ RODRIGUEZ ORLANDO BARU','INGENIERÍA AUTOMOTRIZ','6to','MASCULINO','ACTIVO','',0,0,'','ALUMNO'</v>
      </c>
      <c r="L475" s="16" t="str">
        <f>CONCATENATE($K$1,K475,");")</f>
        <v>INSERT INTO participantes (id,nivel,correo,matricula,clave,nombre,carrera,grado,sexo,situacion,evaluados,num_evaluados,total_evaluaciones,ultimo_acceso,nivel_acceso) VALUES (1474,'LICENCIATURA','orlandobaru.munozrodriguez','111168','TOMAR DEL SND','MUÑOZ RODRIGUEZ ORLANDO BARU','INGENIERÍA AUTOMOTRIZ','6to','MASCULINO','ACTIVO','',0,0,'','ALUMNO');</v>
      </c>
      <c r="M475" s="16" t="str">
        <f>CONCATENATE("update participantes set correo=",C475," where id=",A475,";")</f>
        <v>update participantes set correo='orlandobaru.munozrodriguez' where id=1474;</v>
      </c>
    </row>
    <row r="476" spans="1:13" ht="130.5" x14ac:dyDescent="0.35">
      <c r="A476" s="16">
        <v>1475</v>
      </c>
      <c r="B476" s="18" t="s">
        <v>1754</v>
      </c>
      <c r="C476" s="16" t="str">
        <f>CONCATENATE("'",Alumnos!E161,"'")</f>
        <v>'daniela.rojaslopez'</v>
      </c>
      <c r="D476" s="16" t="str">
        <f>CONCATENATE(Alumnos!F161,"'")</f>
        <v>'111169'</v>
      </c>
      <c r="E476" s="16" t="s">
        <v>1755</v>
      </c>
      <c r="F476" s="16" t="str">
        <f>CONCATENATE("'",Alumnos!H161,"'")</f>
        <v>'ROJAS LOPEZ DANIELA'</v>
      </c>
      <c r="G476" s="16" t="str">
        <f>CONCATENATE("'",Alumnos!I161,"'")</f>
        <v>'INGENIERIA INDUSTRIAL Y EN SISTEMAS ORGANIZACIONALES'</v>
      </c>
      <c r="H476" s="16" t="str">
        <f>CONCATENATE("'",Alumnos!J161,"'")</f>
        <v>'6to'</v>
      </c>
      <c r="I476" s="16" t="str">
        <f>UPPER(CONCATENATE("'",Alumnos!K161,"'"))</f>
        <v>'FEMENINO'</v>
      </c>
      <c r="J476" s="16" t="str">
        <f>UPPER(CONCATENATE("'",Alumnos!L161,"'"))</f>
        <v>'ACTIVO'</v>
      </c>
      <c r="K476" s="16" t="str">
        <f>CONCATENATE(A476,",",B476,",",C476,",",D476,",'",E476,",",F476,",",G476,",",H476,",",UPPER(I476),",",UPPER(J476),",'',0,0,'','ALUMNO'")</f>
        <v>1475,'LICENCIATURA','daniela.rojaslopez','111169','TOMAR DEL SND','ROJAS LOPEZ DANIELA','INGENIERIA INDUSTRIAL Y EN SISTEMAS ORGANIZACIONALES','6to','FEMENINO','ACTIVO','',0,0,'','ALUMNO'</v>
      </c>
      <c r="L476" s="16" t="str">
        <f>CONCATENATE($K$1,K476,");")</f>
        <v>INSERT INTO participantes (id,nivel,correo,matricula,clave,nombre,carrera,grado,sexo,situacion,evaluados,num_evaluados,total_evaluaciones,ultimo_acceso,nivel_acceso) VALUES (1475,'LICENCIATURA','daniela.rojaslopez','111169','TOMAR DEL SND','ROJAS LOPEZ DANIELA','INGENIERIA INDUSTRIAL Y EN SISTEMAS ORGANIZACIONALES','6to','FEMENINO','ACTIVO','',0,0,'','ALUMNO');</v>
      </c>
      <c r="M476" s="16" t="str">
        <f>CONCATENATE("update participantes set correo=",C476," where id=",A476,";")</f>
        <v>update participantes set correo='daniela.rojaslopez' where id=1475;</v>
      </c>
    </row>
    <row r="477" spans="1:13" ht="116" x14ac:dyDescent="0.35">
      <c r="A477" s="16">
        <v>1476</v>
      </c>
      <c r="B477" s="18" t="s">
        <v>1754</v>
      </c>
      <c r="C477" s="16" t="str">
        <f>CONCATENATE("'",Alumnos!E170,"'")</f>
        <v>'dario.aguilar'</v>
      </c>
      <c r="D477" s="16" t="str">
        <f>CONCATENATE(Alumnos!F170,"'")</f>
        <v>'111170'</v>
      </c>
      <c r="E477" s="16" t="s">
        <v>1755</v>
      </c>
      <c r="F477" s="16" t="str">
        <f>CONCATENATE("'",Alumnos!H170,"'")</f>
        <v>'AGUILAR  DARIO'</v>
      </c>
      <c r="G477" s="16" t="str">
        <f>CONCATENATE("'",Alumnos!I170,"'")</f>
        <v>'INGENIERÍA AUTOMOTRIZ'</v>
      </c>
      <c r="H477" s="16" t="str">
        <f>CONCATENATE("'",Alumnos!J170,"'")</f>
        <v>'6to'</v>
      </c>
      <c r="I477" s="16" t="str">
        <f>UPPER(CONCATENATE("'",Alumnos!K170,"'"))</f>
        <v>'MASCULINO'</v>
      </c>
      <c r="J477" s="16" t="str">
        <f>UPPER(CONCATENATE("'",Alumnos!L170,"'"))</f>
        <v>'ACTIVO'</v>
      </c>
      <c r="K477" s="16" t="str">
        <f>CONCATENATE(A477,",",B477,",",C477,",",D477,",'",E477,",",F477,",",G477,",",H477,",",UPPER(I477),",",UPPER(J477),",'',0,0,'','ALUMNO'")</f>
        <v>1476,'LICENCIATURA','dario.aguilar','111170','TOMAR DEL SND','AGUILAR  DARIO','INGENIERÍA AUTOMOTRIZ','6to','MASCULINO','ACTIVO','',0,0,'','ALUMNO'</v>
      </c>
      <c r="L477" s="16" t="str">
        <f>CONCATENATE($K$1,K477,");")</f>
        <v>INSERT INTO participantes (id,nivel,correo,matricula,clave,nombre,carrera,grado,sexo,situacion,evaluados,num_evaluados,total_evaluaciones,ultimo_acceso,nivel_acceso) VALUES (1476,'LICENCIATURA','dario.aguilar','111170','TOMAR DEL SND','AGUILAR  DARIO','INGENIERÍA AUTOMOTRIZ','6to','MASCULINO','ACTIVO','',0,0,'','ALUMNO');</v>
      </c>
      <c r="M477" s="16" t="str">
        <f>CONCATENATE("update participantes set correo=",C477," where id=",A477,";")</f>
        <v>update participantes set correo='dario.aguilar' where id=1476;</v>
      </c>
    </row>
    <row r="478" spans="1:13" ht="116" x14ac:dyDescent="0.35">
      <c r="A478" s="16">
        <v>1477</v>
      </c>
      <c r="B478" s="18" t="s">
        <v>1754</v>
      </c>
      <c r="C478" s="16" t="str">
        <f>CONCATENATE("'",Alumnos!E296,"'")</f>
        <v>'javier.ayalaesparza'</v>
      </c>
      <c r="D478" s="16" t="str">
        <f>CONCATENATE(Alumnos!F296,"'")</f>
        <v>'111171'</v>
      </c>
      <c r="E478" s="16" t="s">
        <v>1755</v>
      </c>
      <c r="F478" s="16" t="str">
        <f>CONCATENATE("'",Alumnos!H296,"'")</f>
        <v>'AYALA ESPARZA JAVIER'</v>
      </c>
      <c r="G478" s="16" t="str">
        <f>CONCATENATE("'",Alumnos!I296,"'")</f>
        <v>'INGENIERÍA AUTOMOTRIZ'</v>
      </c>
      <c r="H478" s="16" t="str">
        <f>CONCATENATE("'",Alumnos!J296,"'")</f>
        <v>'6to'</v>
      </c>
      <c r="I478" s="16" t="str">
        <f>UPPER(CONCATENATE("'",Alumnos!K296,"'"))</f>
        <v>'MASCULINO'</v>
      </c>
      <c r="J478" s="16" t="str">
        <f>UPPER(CONCATENATE("'",Alumnos!L296,"'"))</f>
        <v>'ACTIVO'</v>
      </c>
      <c r="K478" s="16" t="str">
        <f>CONCATENATE(A478,",",B478,",",C478,",",D478,",'",E478,",",F478,",",G478,",",H478,",",UPPER(I478),",",UPPER(J478),",'',0,0,'','ALUMNO'")</f>
        <v>1477,'LICENCIATURA','javier.ayalaesparza','111171','TOMAR DEL SND','AYALA ESPARZA JAVIER','INGENIERÍA AUTOMOTRIZ','6to','MASCULINO','ACTIVO','',0,0,'','ALUMNO'</v>
      </c>
      <c r="L478" s="16" t="str">
        <f>CONCATENATE($K$1,K478,");")</f>
        <v>INSERT INTO participantes (id,nivel,correo,matricula,clave,nombre,carrera,grado,sexo,situacion,evaluados,num_evaluados,total_evaluaciones,ultimo_acceso,nivel_acceso) VALUES (1477,'LICENCIATURA','javier.ayalaesparza','111171','TOMAR DEL SND','AYALA ESPARZA JAVIER','INGENIERÍA AUTOMOTRIZ','6to','MASCULINO','ACTIVO','',0,0,'','ALUMNO');</v>
      </c>
      <c r="M478" s="16" t="str">
        <f>CONCATENATE("update participantes set correo=",C478," where id=",A478,";")</f>
        <v>update participantes set correo='javier.ayalaesparza' where id=1477;</v>
      </c>
    </row>
    <row r="479" spans="1:13" ht="130.5" x14ac:dyDescent="0.35">
      <c r="A479" s="16">
        <v>1478</v>
      </c>
      <c r="B479" s="18" t="s">
        <v>1754</v>
      </c>
      <c r="C479" s="16" t="str">
        <f>CONCATENATE("'",Alumnos!E345,"'")</f>
        <v>'josuesebastianemiliano.matadelamora'</v>
      </c>
      <c r="D479" s="16" t="str">
        <f>CONCATENATE(Alumnos!F345,"'")</f>
        <v>'111172'</v>
      </c>
      <c r="E479" s="16" t="s">
        <v>1755</v>
      </c>
      <c r="F479" s="16" t="str">
        <f>CONCATENATE("'",Alumnos!H345,"'")</f>
        <v>'MATA DE LA MORA JOSUE SEBASTIAN EMILIANO'</v>
      </c>
      <c r="G479" s="16" t="str">
        <f>CONCATENATE("'",Alumnos!I345,"'")</f>
        <v>'ARQUITECTURA'</v>
      </c>
      <c r="H479" s="16" t="str">
        <f>CONCATENATE("'",Alumnos!J345,"'")</f>
        <v>'6to'</v>
      </c>
      <c r="I479" s="16" t="str">
        <f>UPPER(CONCATENATE("'",Alumnos!K345,"'"))</f>
        <v>'MASCULINO'</v>
      </c>
      <c r="J479" s="16" t="str">
        <f>UPPER(CONCATENATE("'",Alumnos!L345,"'"))</f>
        <v>'ACTIVO'</v>
      </c>
      <c r="K479" s="16" t="str">
        <f>CONCATENATE(A479,",",B479,",",C479,",",D479,",'",E479,",",F479,",",G479,",",H479,",",UPPER(I479),",",UPPER(J479),",'',0,0,'','ALUMNO'")</f>
        <v>1478,'LICENCIATURA','josuesebastianemiliano.matadelamora','111172','TOMAR DEL SND','MATA DE LA MORA JOSUE SEBASTIAN EMILIANO','ARQUITECTURA','6to','MASCULINO','ACTIVO','',0,0,'','ALUMNO'</v>
      </c>
      <c r="L479" s="16" t="str">
        <f>CONCATENATE($K$1,K479,");")</f>
        <v>INSERT INTO participantes (id,nivel,correo,matricula,clave,nombre,carrera,grado,sexo,situacion,evaluados,num_evaluados,total_evaluaciones,ultimo_acceso,nivel_acceso) VALUES (1478,'LICENCIATURA','josuesebastianemiliano.matadelamora','111172','TOMAR DEL SND','MATA DE LA MORA JOSUE SEBASTIAN EMILIANO','ARQUITECTURA','6to','MASCULINO','ACTIVO','',0,0,'','ALUMNO');</v>
      </c>
      <c r="M479" s="16" t="str">
        <f>CONCATENATE("update participantes set correo=",C479," where id=",A479,";")</f>
        <v>update participantes set correo='josuesebastianemiliano.matadelamora' where id=1478;</v>
      </c>
    </row>
    <row r="480" spans="1:13" ht="130.5" x14ac:dyDescent="0.35">
      <c r="A480" s="16">
        <v>1479</v>
      </c>
      <c r="B480" s="18" t="s">
        <v>1754</v>
      </c>
      <c r="C480" s="16" t="str">
        <f>CONCATENATE("'",Alumnos!E250,"'")</f>
        <v>'gabrielamonserrat.covarrubiaslimon'</v>
      </c>
      <c r="D480" s="16" t="str">
        <f>CONCATENATE(Alumnos!F250,"'")</f>
        <v>'111174'</v>
      </c>
      <c r="E480" s="16" t="s">
        <v>1755</v>
      </c>
      <c r="F480" s="16" t="str">
        <f>CONCATENATE("'",Alumnos!H250,"'")</f>
        <v>'COVARRUBIAS LIMON GABRIELA MONSERRAT'</v>
      </c>
      <c r="G480" s="16" t="str">
        <f>CONCATENATE("'",Alumnos!I250,"'")</f>
        <v>'ADMINISTRACION Y DIRECCION DE NEGOCIOS'</v>
      </c>
      <c r="H480" s="16" t="str">
        <f>CONCATENATE("'",Alumnos!J250,"'")</f>
        <v>'6to'</v>
      </c>
      <c r="I480" s="16" t="str">
        <f>UPPER(CONCATENATE("'",Alumnos!K250,"'"))</f>
        <v>'FEMENINO'</v>
      </c>
      <c r="J480" s="16" t="str">
        <f>UPPER(CONCATENATE("'",Alumnos!L250,"'"))</f>
        <v>'ACTIVO'</v>
      </c>
      <c r="K480" s="16" t="str">
        <f>CONCATENATE(A480,",",B480,",",C480,",",D480,",'",E480,",",F480,",",G480,",",H480,",",UPPER(I480),",",UPPER(J480),",'',0,0,'','ALUMNO'")</f>
        <v>1479,'LICENCIATURA','gabrielamonserrat.covarrubiaslimon','111174','TOMAR DEL SND','COVARRUBIAS LIMON GABRIELA MONSERRAT','ADMINISTRACION Y DIRECCION DE NEGOCIOS','6to','FEMENINO','ACTIVO','',0,0,'','ALUMNO'</v>
      </c>
      <c r="L480" s="16" t="str">
        <f>CONCATENATE($K$1,K480,");")</f>
        <v>INSERT INTO participantes (id,nivel,correo,matricula,clave,nombre,carrera,grado,sexo,situacion,evaluados,num_evaluados,total_evaluaciones,ultimo_acceso,nivel_acceso) VALUES (1479,'LICENCIATURA','gabrielamonserrat.covarrubiaslimon','111174','TOMAR DEL SND','COVARRUBIAS LIMON GABRIELA MONSERRAT','ADMINISTRACION Y DIRECCION DE NEGOCIOS','6to','FEMENINO','ACTIVO','',0,0,'','ALUMNO');</v>
      </c>
      <c r="M480" s="16" t="str">
        <f>CONCATENATE("update participantes set correo=",C480," where id=",A480,";")</f>
        <v>update participantes set correo='gabrielamonserrat.covarrubiaslimon' where id=1479;</v>
      </c>
    </row>
    <row r="481" spans="1:13" ht="116" x14ac:dyDescent="0.35">
      <c r="A481" s="16">
        <v>1480</v>
      </c>
      <c r="B481" s="18" t="s">
        <v>1754</v>
      </c>
      <c r="C481" s="16" t="str">
        <f>CONCATENATE("'",Alumnos!E614,"'")</f>
        <v>'ximena.covarrubiaslimon'</v>
      </c>
      <c r="D481" s="16" t="str">
        <f>CONCATENATE(Alumnos!F614,"'")</f>
        <v>'111178'</v>
      </c>
      <c r="E481" s="16" t="s">
        <v>1755</v>
      </c>
      <c r="F481" s="16" t="str">
        <f>CONCATENATE("'",Alumnos!H614,"'")</f>
        <v>'COVARRUBIAS LIMON XIMENA'</v>
      </c>
      <c r="G481" s="16" t="str">
        <f>CONCATENATE("'",Alumnos!I614,"'")</f>
        <v>'PSICOLOGIA'</v>
      </c>
      <c r="H481" s="16" t="str">
        <f>CONCATENATE("'",Alumnos!J614,"'")</f>
        <v>'6to'</v>
      </c>
      <c r="I481" s="16" t="str">
        <f>UPPER(CONCATENATE("'",Alumnos!K614,"'"))</f>
        <v>'FEMENINO'</v>
      </c>
      <c r="J481" s="16" t="str">
        <f>UPPER(CONCATENATE("'",Alumnos!L614,"'"))</f>
        <v>'ACTIVO'</v>
      </c>
      <c r="K481" s="16" t="str">
        <f>CONCATENATE(A481,",",B481,",",C481,",",D481,",'",E481,",",F481,",",G481,",",H481,",",UPPER(I481),",",UPPER(J481),",'',0,0,'','ALUMNO'")</f>
        <v>1480,'LICENCIATURA','ximena.covarrubiaslimon','111178','TOMAR DEL SND','COVARRUBIAS LIMON XIMENA','PSICOLOGIA','6to','FEMENINO','ACTIVO','',0,0,'','ALUMNO'</v>
      </c>
      <c r="L481" s="16" t="str">
        <f>CONCATENATE($K$1,K481,");")</f>
        <v>INSERT INTO participantes (id,nivel,correo,matricula,clave,nombre,carrera,grado,sexo,situacion,evaluados,num_evaluados,total_evaluaciones,ultimo_acceso,nivel_acceso) VALUES (1480,'LICENCIATURA','ximena.covarrubiaslimon','111178','TOMAR DEL SND','COVARRUBIAS LIMON XIMENA','PSICOLOGIA','6to','FEMENINO','ACTIVO','',0,0,'','ALUMNO');</v>
      </c>
      <c r="M481" s="16" t="str">
        <f>CONCATENATE("update participantes set correo=",C481," where id=",A481,";")</f>
        <v>update participantes set correo='ximena.covarrubiaslimon' where id=1480;</v>
      </c>
    </row>
    <row r="482" spans="1:13" ht="130.5" x14ac:dyDescent="0.35">
      <c r="A482" s="16">
        <v>1481</v>
      </c>
      <c r="B482" s="18" t="s">
        <v>1754</v>
      </c>
      <c r="C482" s="16" t="str">
        <f>CONCATENATE("'",Alumnos!E15,"'")</f>
        <v>'adrianapaola.rodriguezmartinez'</v>
      </c>
      <c r="D482" s="16" t="str">
        <f>CONCATENATE(Alumnos!F15,"'")</f>
        <v>'111179'</v>
      </c>
      <c r="E482" s="16" t="s">
        <v>1755</v>
      </c>
      <c r="F482" s="16" t="str">
        <f>CONCATENATE("'",Alumnos!H15,"'")</f>
        <v>'RODRIGUEZ MARTINEZ ADRIANA PAOLA'</v>
      </c>
      <c r="G482" s="16" t="str">
        <f>CONCATENATE("'",Alumnos!I15,"'")</f>
        <v>'ANIMACION DIGITAL Y VIDEOJUEGOS'</v>
      </c>
      <c r="H482" s="16" t="str">
        <f>CONCATENATE("'",Alumnos!J15,"'")</f>
        <v>'6to'</v>
      </c>
      <c r="I482" s="16" t="str">
        <f>UPPER(CONCATENATE("'",Alumnos!K15,"'"))</f>
        <v>'FEMENINO'</v>
      </c>
      <c r="J482" s="16" t="str">
        <f>UPPER(CONCATENATE("'",Alumnos!L15,"'"))</f>
        <v>'ACTIVO'</v>
      </c>
      <c r="K482" s="16" t="str">
        <f>CONCATENATE(A482,",",B482,",",C482,",",D482,",'",E482,",",F482,",",G482,",",H482,",",UPPER(I482),",",UPPER(J482),",'',0,0,'','ALUMNO'")</f>
        <v>1481,'LICENCIATURA','adrianapaola.rodriguezmartinez','111179','TOMAR DEL SND','RODRIGUEZ MARTINEZ ADRIANA PAOLA','ANIMACION DIGITAL Y VIDEOJUEGOS','6to','FEMENINO','ACTIVO','',0,0,'','ALUMNO'</v>
      </c>
      <c r="L482" s="16" t="str">
        <f>CONCATENATE($K$1,K482,");")</f>
        <v>INSERT INTO participantes (id,nivel,correo,matricula,clave,nombre,carrera,grado,sexo,situacion,evaluados,num_evaluados,total_evaluaciones,ultimo_acceso,nivel_acceso) VALUES (1481,'LICENCIATURA','adrianapaola.rodriguezmartinez','111179','TOMAR DEL SND','RODRIGUEZ MARTINEZ ADRIANA PAOLA','ANIMACION DIGITAL Y VIDEOJUEGOS','6to','FEMENINO','ACTIVO','',0,0,'','ALUMNO');</v>
      </c>
      <c r="M482" s="16" t="str">
        <f>CONCATENATE("update participantes set correo=",C482," where id=",A482,";")</f>
        <v>update participantes set correo='adrianapaola.rodriguezmartinez' where id=1481;</v>
      </c>
    </row>
    <row r="483" spans="1:13" ht="116" x14ac:dyDescent="0.35">
      <c r="A483" s="16">
        <v>1482</v>
      </c>
      <c r="B483" s="18" t="s">
        <v>1754</v>
      </c>
      <c r="C483" s="16" t="str">
        <f>CONCATENATE("'",Alumnos!E57,"'")</f>
        <v>'anailyguadalupe.chavezortiz'</v>
      </c>
      <c r="D483" s="16" t="str">
        <f>CONCATENATE(Alumnos!F57,"'")</f>
        <v>'111181'</v>
      </c>
      <c r="E483" s="16" t="s">
        <v>1755</v>
      </c>
      <c r="F483" s="16" t="str">
        <f>CONCATENATE("'",Alumnos!H57,"'")</f>
        <v>'CHAVEZ ORTIZ ANAILY GUADALUPE'</v>
      </c>
      <c r="G483" s="16" t="str">
        <f>CONCATENATE("'",Alumnos!I57,"'")</f>
        <v>'ARQUITECTURA'</v>
      </c>
      <c r="H483" s="16" t="str">
        <f>CONCATENATE("'",Alumnos!J57,"'")</f>
        <v>'6to'</v>
      </c>
      <c r="I483" s="16" t="str">
        <f>UPPER(CONCATENATE("'",Alumnos!K57,"'"))</f>
        <v>'FEMENINO'</v>
      </c>
      <c r="J483" s="16" t="str">
        <f>UPPER(CONCATENATE("'",Alumnos!L57,"'"))</f>
        <v>'ACTIVO'</v>
      </c>
      <c r="K483" s="16" t="str">
        <f>CONCATENATE(A483,",",B483,",",C483,",",D483,",'",E483,",",F483,",",G483,",",H483,",",UPPER(I483),",",UPPER(J483),",'',0,0,'','ALUMNO'")</f>
        <v>1482,'LICENCIATURA','anailyguadalupe.chavezortiz','111181','TOMAR DEL SND','CHAVEZ ORTIZ ANAILY GUADALUPE','ARQUITECTURA','6to','FEMENINO','ACTIVO','',0,0,'','ALUMNO'</v>
      </c>
      <c r="L483" s="16" t="str">
        <f>CONCATENATE($K$1,K483,");")</f>
        <v>INSERT INTO participantes (id,nivel,correo,matricula,clave,nombre,carrera,grado,sexo,situacion,evaluados,num_evaluados,total_evaluaciones,ultimo_acceso,nivel_acceso) VALUES (1482,'LICENCIATURA','anailyguadalupe.chavezortiz','111181','TOMAR DEL SND','CHAVEZ ORTIZ ANAILY GUADALUPE','ARQUITECTURA','6to','FEMENINO','ACTIVO','',0,0,'','ALUMNO');</v>
      </c>
      <c r="M483" s="16" t="str">
        <f>CONCATENATE("update participantes set correo=",C483," where id=",A483,";")</f>
        <v>update participantes set correo='anailyguadalupe.chavezortiz' where id=1482;</v>
      </c>
    </row>
    <row r="484" spans="1:13" ht="130.5" x14ac:dyDescent="0.35">
      <c r="A484" s="16">
        <v>1483</v>
      </c>
      <c r="B484" s="18" t="s">
        <v>1754</v>
      </c>
      <c r="C484" s="16" t="str">
        <f>CONCATENATE("'",Alumnos!E89,"'")</f>
        <v>'aolanixaxbe.negretecastro'</v>
      </c>
      <c r="D484" s="16" t="str">
        <f>CONCATENATE(Alumnos!F89,"'")</f>
        <v>'111182'</v>
      </c>
      <c r="E484" s="16" t="s">
        <v>1755</v>
      </c>
      <c r="F484" s="16" t="str">
        <f>CONCATENATE("'",Alumnos!H89,"'")</f>
        <v>'NEGRETE CASTRO AOLANI XAXBE'</v>
      </c>
      <c r="G484" s="16" t="str">
        <f>CONCATENATE("'",Alumnos!I89,"'")</f>
        <v>'ANIMACION DIGITAL Y VIDEOJUEGOS'</v>
      </c>
      <c r="H484" s="16" t="str">
        <f>CONCATENATE("'",Alumnos!J89,"'")</f>
        <v>'6to'</v>
      </c>
      <c r="I484" s="16" t="str">
        <f>UPPER(CONCATENATE("'",Alumnos!K89,"'"))</f>
        <v>'FEMENINO'</v>
      </c>
      <c r="J484" s="16" t="str">
        <f>UPPER(CONCATENATE("'",Alumnos!L89,"'"))</f>
        <v>'ACTIVO'</v>
      </c>
      <c r="K484" s="16" t="str">
        <f>CONCATENATE(A484,",",B484,",",C484,",",D484,",'",E484,",",F484,",",G484,",",H484,",",UPPER(I484),",",UPPER(J484),",'',0,0,'','ALUMNO'")</f>
        <v>1483,'LICENCIATURA','aolanixaxbe.negretecastro','111182','TOMAR DEL SND','NEGRETE CASTRO AOLANI XAXBE','ANIMACION DIGITAL Y VIDEOJUEGOS','6to','FEMENINO','ACTIVO','',0,0,'','ALUMNO'</v>
      </c>
      <c r="L484" s="16" t="str">
        <f>CONCATENATE($K$1,K484,");")</f>
        <v>INSERT INTO participantes (id,nivel,correo,matricula,clave,nombre,carrera,grado,sexo,situacion,evaluados,num_evaluados,total_evaluaciones,ultimo_acceso,nivel_acceso) VALUES (1483,'LICENCIATURA','aolanixaxbe.negretecastro','111182','TOMAR DEL SND','NEGRETE CASTRO AOLANI XAXBE','ANIMACION DIGITAL Y VIDEOJUEGOS','6to','FEMENINO','ACTIVO','',0,0,'','ALUMNO');</v>
      </c>
      <c r="M484" s="16" t="str">
        <f>CONCATENATE("update participantes set correo=",C484," where id=",A484,";")</f>
        <v>update participantes set correo='aolanixaxbe.negretecastro' where id=1483;</v>
      </c>
    </row>
    <row r="485" spans="1:13" ht="130.5" x14ac:dyDescent="0.35">
      <c r="A485" s="16">
        <v>1484</v>
      </c>
      <c r="B485" s="18" t="s">
        <v>1754</v>
      </c>
      <c r="C485" s="16" t="str">
        <f>CONCATENATE("'",Alumnos!E579,"'")</f>
        <v>'sharonsofia.vazquezrodriguez'</v>
      </c>
      <c r="D485" s="16" t="str">
        <f>CONCATENATE(Alumnos!F579,"'")</f>
        <v>'111183'</v>
      </c>
      <c r="E485" s="16" t="s">
        <v>1755</v>
      </c>
      <c r="F485" s="16" t="str">
        <f>CONCATENATE("'",Alumnos!H579,"'")</f>
        <v>'VAZQUEZ RODRIGUEZ SHARON SOFIA'</v>
      </c>
      <c r="G485" s="16" t="str">
        <f>CONCATENATE("'",Alumnos!I579,"'")</f>
        <v>'ANIMACION DIGITAL Y VIDEOJUEGOS'</v>
      </c>
      <c r="H485" s="16" t="str">
        <f>CONCATENATE("'",Alumnos!J579,"'")</f>
        <v>'6to'</v>
      </c>
      <c r="I485" s="16" t="str">
        <f>UPPER(CONCATENATE("'",Alumnos!K579,"'"))</f>
        <v>'FEMENINO'</v>
      </c>
      <c r="J485" s="16" t="str">
        <f>UPPER(CONCATENATE("'",Alumnos!L579,"'"))</f>
        <v>'ACTIVO'</v>
      </c>
      <c r="K485" s="16" t="str">
        <f>CONCATENATE(A485,",",B485,",",C485,",",D485,",'",E485,",",F485,",",G485,",",H485,",",UPPER(I485),",",UPPER(J485),",'',0,0,'','ALUMNO'")</f>
        <v>1484,'LICENCIATURA','sharonsofia.vazquezrodriguez','111183','TOMAR DEL SND','VAZQUEZ RODRIGUEZ SHARON SOFIA','ANIMACION DIGITAL Y VIDEOJUEGOS','6to','FEMENINO','ACTIVO','',0,0,'','ALUMNO'</v>
      </c>
      <c r="L485" s="16" t="str">
        <f>CONCATENATE($K$1,K485,");")</f>
        <v>INSERT INTO participantes (id,nivel,correo,matricula,clave,nombre,carrera,grado,sexo,situacion,evaluados,num_evaluados,total_evaluaciones,ultimo_acceso,nivel_acceso) VALUES (1484,'LICENCIATURA','sharonsofia.vazquezrodriguez','111183','TOMAR DEL SND','VAZQUEZ RODRIGUEZ SHARON SOFIA','ANIMACION DIGITAL Y VIDEOJUEGOS','6to','FEMENINO','ACTIVO','',0,0,'','ALUMNO');</v>
      </c>
      <c r="M485" s="16" t="str">
        <f>CONCATENATE("update participantes set correo=",C485," where id=",A485,";")</f>
        <v>update participantes set correo='sharonsofia.vazquezrodriguez' where id=1484;</v>
      </c>
    </row>
    <row r="486" spans="1:13" ht="116" x14ac:dyDescent="0.35">
      <c r="A486" s="16">
        <v>1485</v>
      </c>
      <c r="B486" s="18" t="s">
        <v>1754</v>
      </c>
      <c r="C486" s="16" t="str">
        <f>CONCATENATE("'",Alumnos!E496,"'")</f>
        <v>'nicole.jimenezmclane'</v>
      </c>
      <c r="D486" s="16" t="str">
        <f>CONCATENATE(Alumnos!F496,"'")</f>
        <v>'111186'</v>
      </c>
      <c r="E486" s="16" t="s">
        <v>1755</v>
      </c>
      <c r="F486" s="16" t="str">
        <f>CONCATENATE("'",Alumnos!H496,"'")</f>
        <v>'JIMENEZ MC LANE NICOLE'</v>
      </c>
      <c r="G486" s="16" t="str">
        <f>CONCATENATE("'",Alumnos!I496,"'")</f>
        <v>'ADMINISTRACION Y DIRECCION DE NEGOCIOS'</v>
      </c>
      <c r="H486" s="16" t="str">
        <f>CONCATENATE("'",Alumnos!J496,"'")</f>
        <v>'6to'</v>
      </c>
      <c r="I486" s="16" t="str">
        <f>UPPER(CONCATENATE("'",Alumnos!K496,"'"))</f>
        <v>'FEMENINO'</v>
      </c>
      <c r="J486" s="16" t="str">
        <f>UPPER(CONCATENATE("'",Alumnos!L496,"'"))</f>
        <v>'ACTIVO'</v>
      </c>
      <c r="K486" s="16" t="str">
        <f>CONCATENATE(A486,",",B486,",",C486,",",D486,",'",E486,",",F486,",",G486,",",H486,",",UPPER(I486),",",UPPER(J486),",'',0,0,'','ALUMNO'")</f>
        <v>1485,'LICENCIATURA','nicole.jimenezmclane','111186','TOMAR DEL SND','JIMENEZ MC LANE NICOLE','ADMINISTRACION Y DIRECCION DE NEGOCIOS','6to','FEMENINO','ACTIVO','',0,0,'','ALUMNO'</v>
      </c>
      <c r="L486" s="16" t="str">
        <f>CONCATENATE($K$1,K486,");")</f>
        <v>INSERT INTO participantes (id,nivel,correo,matricula,clave,nombre,carrera,grado,sexo,situacion,evaluados,num_evaluados,total_evaluaciones,ultimo_acceso,nivel_acceso) VALUES (1485,'LICENCIATURA','nicole.jimenezmclane','111186','TOMAR DEL SND','JIMENEZ MC LANE NICOLE','ADMINISTRACION Y DIRECCION DE NEGOCIOS','6to','FEMENINO','ACTIVO','',0,0,'','ALUMNO');</v>
      </c>
      <c r="M486" s="16" t="str">
        <f>CONCATENATE("update participantes set correo=",C486," where id=",A486,";")</f>
        <v>update participantes set correo='nicole.jimenezmclane' where id=1485;</v>
      </c>
    </row>
    <row r="487" spans="1:13" ht="116" x14ac:dyDescent="0.35">
      <c r="A487" s="16">
        <v>1486</v>
      </c>
      <c r="B487" s="18" t="s">
        <v>1754</v>
      </c>
      <c r="C487" s="16" t="str">
        <f>CONCATENATE("'",Alumnos!E46,"'")</f>
        <v>'anacecilia.juarezcastaneda'</v>
      </c>
      <c r="D487" s="16" t="str">
        <f>CONCATENATE(Alumnos!F46,"'")</f>
        <v>'111188'</v>
      </c>
      <c r="E487" s="16" t="s">
        <v>1755</v>
      </c>
      <c r="F487" s="16" t="str">
        <f>CONCATENATE("'",Alumnos!H46,"'")</f>
        <v>'JUAREZ CASTAÑEDA ANA CECILIA'</v>
      </c>
      <c r="G487" s="16" t="str">
        <f>CONCATENATE("'",Alumnos!I46,"'")</f>
        <v>'ARQUITECTURA'</v>
      </c>
      <c r="H487" s="16" t="str">
        <f>CONCATENATE("'",Alumnos!J46,"'")</f>
        <v>'6to'</v>
      </c>
      <c r="I487" s="16" t="str">
        <f>UPPER(CONCATENATE("'",Alumnos!K46,"'"))</f>
        <v>'FEMENINO'</v>
      </c>
      <c r="J487" s="16" t="str">
        <f>UPPER(CONCATENATE("'",Alumnos!L46,"'"))</f>
        <v>'ACTIVO'</v>
      </c>
      <c r="K487" s="16" t="str">
        <f>CONCATENATE(A487,",",B487,",",C487,",",D487,",'",E487,",",F487,",",G487,",",H487,",",UPPER(I487),",",UPPER(J487),",'',0,0,'','ALUMNO'")</f>
        <v>1486,'LICENCIATURA','anacecilia.juarezcastaneda','111188','TOMAR DEL SND','JUAREZ CASTAÑEDA ANA CECILIA','ARQUITECTURA','6to','FEMENINO','ACTIVO','',0,0,'','ALUMNO'</v>
      </c>
      <c r="L487" s="16" t="str">
        <f>CONCATENATE($K$1,K487,");")</f>
        <v>INSERT INTO participantes (id,nivel,correo,matricula,clave,nombre,carrera,grado,sexo,situacion,evaluados,num_evaluados,total_evaluaciones,ultimo_acceso,nivel_acceso) VALUES (1486,'LICENCIATURA','anacecilia.juarezcastaneda','111188','TOMAR DEL SND','JUAREZ CASTAÑEDA ANA CECILIA','ARQUITECTURA','6to','FEMENINO','ACTIVO','',0,0,'','ALUMNO');</v>
      </c>
      <c r="M487" s="16" t="str">
        <f>CONCATENATE("update participantes set correo=",C487," where id=",A487,";")</f>
        <v>update participantes set correo='anacecilia.juarezcastaneda' where id=1486;</v>
      </c>
    </row>
    <row r="488" spans="1:13" ht="116" x14ac:dyDescent="0.35">
      <c r="A488" s="16">
        <v>1487</v>
      </c>
      <c r="B488" s="18" t="s">
        <v>1754</v>
      </c>
      <c r="C488" s="16" t="str">
        <f>CONCATENATE("'",Alumnos!E475,"'")</f>
        <v>'michellecarolina.ochoagonzalez'</v>
      </c>
      <c r="D488" s="16" t="str">
        <f>CONCATENATE(Alumnos!F475,"'")</f>
        <v>'111189'</v>
      </c>
      <c r="E488" s="16" t="s">
        <v>1755</v>
      </c>
      <c r="F488" s="16" t="str">
        <f>CONCATENATE("'",Alumnos!H475,"'")</f>
        <v>'OCHOA GONZALEZ MICHELLE CAROLINA'</v>
      </c>
      <c r="G488" s="16" t="str">
        <f>CONCATENATE("'",Alumnos!I475,"'")</f>
        <v>'ARQUITECTURA'</v>
      </c>
      <c r="H488" s="16" t="str">
        <f>CONCATENATE("'",Alumnos!J475,"'")</f>
        <v>'6to'</v>
      </c>
      <c r="I488" s="16" t="str">
        <f>UPPER(CONCATENATE("'",Alumnos!K475,"'"))</f>
        <v>'FEMENINO'</v>
      </c>
      <c r="J488" s="16" t="str">
        <f>UPPER(CONCATENATE("'",Alumnos!L475,"'"))</f>
        <v>'ACTIVO'</v>
      </c>
      <c r="K488" s="16" t="str">
        <f>CONCATENATE(A488,",",B488,",",C488,",",D488,",'",E488,",",F488,",",G488,",",H488,",",UPPER(I488),",",UPPER(J488),",'',0,0,'','ALUMNO'")</f>
        <v>1487,'LICENCIATURA','michellecarolina.ochoagonzalez','111189','TOMAR DEL SND','OCHOA GONZALEZ MICHELLE CAROLINA','ARQUITECTURA','6to','FEMENINO','ACTIVO','',0,0,'','ALUMNO'</v>
      </c>
      <c r="L488" s="16" t="str">
        <f>CONCATENATE($K$1,K488,");")</f>
        <v>INSERT INTO participantes (id,nivel,correo,matricula,clave,nombre,carrera,grado,sexo,situacion,evaluados,num_evaluados,total_evaluaciones,ultimo_acceso,nivel_acceso) VALUES (1487,'LICENCIATURA','michellecarolina.ochoagonzalez','111189','TOMAR DEL SND','OCHOA GONZALEZ MICHELLE CAROLINA','ARQUITECTURA','6to','FEMENINO','ACTIVO','',0,0,'','ALUMNO');</v>
      </c>
      <c r="M488" s="16" t="str">
        <f>CONCATENATE("update participantes set correo=",C488," where id=",A488,";")</f>
        <v>update participantes set correo='michellecarolina.ochoagonzalez' where id=1487;</v>
      </c>
    </row>
    <row r="489" spans="1:13" ht="130.5" x14ac:dyDescent="0.35">
      <c r="A489" s="16">
        <v>1488</v>
      </c>
      <c r="B489" s="18" t="s">
        <v>1754</v>
      </c>
      <c r="C489" s="16" t="str">
        <f>CONCATENATE("'",Alumnos!E396,"'")</f>
        <v>'layssa.gonzalezguerra'</v>
      </c>
      <c r="D489" s="16" t="str">
        <f>CONCATENATE(Alumnos!F396,"'")</f>
        <v>'111190'</v>
      </c>
      <c r="E489" s="16" t="s">
        <v>1755</v>
      </c>
      <c r="F489" s="16" t="str">
        <f>CONCATENATE("'",Alumnos!H396,"'")</f>
        <v>'GONZALEZ GUERRA LAYSSA'</v>
      </c>
      <c r="G489" s="16" t="str">
        <f>CONCATENATE("'",Alumnos!I396,"'")</f>
        <v>'INGENIERIA CIBERNETICA Y EN SISTEMAS COMPUTACIONALES'</v>
      </c>
      <c r="H489" s="16" t="str">
        <f>CONCATENATE("'",Alumnos!J396,"'")</f>
        <v>'6to'</v>
      </c>
      <c r="I489" s="16" t="str">
        <f>UPPER(CONCATENATE("'",Alumnos!K396,"'"))</f>
        <v>'FEMENINO'</v>
      </c>
      <c r="J489" s="16" t="str">
        <f>UPPER(CONCATENATE("'",Alumnos!L396,"'"))</f>
        <v>'ACTIVO'</v>
      </c>
      <c r="K489" s="16" t="str">
        <f>CONCATENATE(A489,",",B489,",",C489,",",D489,",'",E489,",",F489,",",G489,",",H489,",",UPPER(I489),",",UPPER(J489),",'',0,0,'','ALUMNO'")</f>
        <v>1488,'LICENCIATURA','layssa.gonzalezguerra','111190','TOMAR DEL SND','GONZALEZ GUERRA LAYSSA','INGENIERIA CIBERNETICA Y EN SISTEMAS COMPUTACIONALES','6to','FEMENINO','ACTIVO','',0,0,'','ALUMNO'</v>
      </c>
      <c r="L489" s="16" t="str">
        <f>CONCATENATE($K$1,K489,");")</f>
        <v>INSERT INTO participantes (id,nivel,correo,matricula,clave,nombre,carrera,grado,sexo,situacion,evaluados,num_evaluados,total_evaluaciones,ultimo_acceso,nivel_acceso) VALUES (1488,'LICENCIATURA','layssa.gonzalezguerra','111190','TOMAR DEL SND','GONZALEZ GUERRA LAYSSA','INGENIERIA CIBERNETICA Y EN SISTEMAS COMPUTACIONALES','6to','FEMENINO','ACTIVO','',0,0,'','ALUMNO');</v>
      </c>
      <c r="M489" s="16" t="str">
        <f>CONCATENATE("update participantes set correo=",C489," where id=",A489,";")</f>
        <v>update participantes set correo='layssa.gonzalezguerra' where id=1488;</v>
      </c>
    </row>
    <row r="490" spans="1:13" ht="130.5" x14ac:dyDescent="0.35">
      <c r="A490" s="16">
        <v>1489</v>
      </c>
      <c r="B490" s="18" t="s">
        <v>1754</v>
      </c>
      <c r="C490" s="16" t="str">
        <f>CONCATENATE("'",Alumnos!E514,"'")</f>
        <v>'osmarandrey.figueroanuno'</v>
      </c>
      <c r="D490" s="16" t="str">
        <f>CONCATENATE(Alumnos!F514,"'")</f>
        <v>'111191'</v>
      </c>
      <c r="E490" s="16" t="s">
        <v>1755</v>
      </c>
      <c r="F490" s="16" t="str">
        <f>CONCATENATE("'",Alumnos!H514,"'")</f>
        <v>'FIGUEROA NUÑO OSMAR ANDREY'</v>
      </c>
      <c r="G490" s="16" t="str">
        <f>CONCATENATE("'",Alumnos!I514,"'")</f>
        <v>'INGENIERÍA AUTOMOTRIZ'</v>
      </c>
      <c r="H490" s="16" t="str">
        <f>CONCATENATE("'",Alumnos!J514,"'")</f>
        <v>'6to'</v>
      </c>
      <c r="I490" s="16" t="str">
        <f>UPPER(CONCATENATE("'",Alumnos!K514,"'"))</f>
        <v>'MASCULINO'</v>
      </c>
      <c r="J490" s="16" t="str">
        <f>UPPER(CONCATENATE("'",Alumnos!L514,"'"))</f>
        <v>'ACTIVO'</v>
      </c>
      <c r="K490" s="16" t="str">
        <f>CONCATENATE(A490,",",B490,",",C490,",",D490,",'",E490,",",F490,",",G490,",",H490,",",UPPER(I490),",",UPPER(J490),",'',0,0,'','ALUMNO'")</f>
        <v>1489,'LICENCIATURA','osmarandrey.figueroanuno','111191','TOMAR DEL SND','FIGUEROA NUÑO OSMAR ANDREY','INGENIERÍA AUTOMOTRIZ','6to','MASCULINO','ACTIVO','',0,0,'','ALUMNO'</v>
      </c>
      <c r="L490" s="16" t="str">
        <f>CONCATENATE($K$1,K490,");")</f>
        <v>INSERT INTO participantes (id,nivel,correo,matricula,clave,nombre,carrera,grado,sexo,situacion,evaluados,num_evaluados,total_evaluaciones,ultimo_acceso,nivel_acceso) VALUES (1489,'LICENCIATURA','osmarandrey.figueroanuno','111191','TOMAR DEL SND','FIGUEROA NUÑO OSMAR ANDREY','INGENIERÍA AUTOMOTRIZ','6to','MASCULINO','ACTIVO','',0,0,'','ALUMNO');</v>
      </c>
      <c r="M490" s="16" t="str">
        <f>CONCATENATE("update participantes set correo=",C490," where id=",A490,";")</f>
        <v>update participantes set correo='osmarandrey.figueroanuno' where id=1489;</v>
      </c>
    </row>
    <row r="491" spans="1:13" ht="116" x14ac:dyDescent="0.35">
      <c r="A491" s="16">
        <v>1490</v>
      </c>
      <c r="B491" s="18" t="s">
        <v>1754</v>
      </c>
      <c r="C491" s="16" t="str">
        <f>CONCATENATE("'",Alumnos!E21,"'")</f>
        <v>'alanyael.vazquezochoa'</v>
      </c>
      <c r="D491" s="16" t="str">
        <f>CONCATENATE(Alumnos!F21,"'")</f>
        <v>'111193'</v>
      </c>
      <c r="E491" s="16" t="s">
        <v>1755</v>
      </c>
      <c r="F491" s="16" t="str">
        <f>CONCATENATE("'",Alumnos!H21,"'")</f>
        <v>'VAZQUEZ OCHOA ALAN YAEL'</v>
      </c>
      <c r="G491" s="16" t="str">
        <f>CONCATENATE("'",Alumnos!I21,"'")</f>
        <v>'INGENIERÍA AUTOMOTRIZ'</v>
      </c>
      <c r="H491" s="16" t="str">
        <f>CONCATENATE("'",Alumnos!J21,"'")</f>
        <v>'6to'</v>
      </c>
      <c r="I491" s="16" t="str">
        <f>UPPER(CONCATENATE("'",Alumnos!K21,"'"))</f>
        <v>'MASCULINO'</v>
      </c>
      <c r="J491" s="16" t="str">
        <f>UPPER(CONCATENATE("'",Alumnos!L21,"'"))</f>
        <v>'ACTIVO'</v>
      </c>
      <c r="K491" s="16" t="str">
        <f>CONCATENATE(A491,",",B491,",",C491,",",D491,",'",E491,",",F491,",",G491,",",H491,",",UPPER(I491),",",UPPER(J491),",'',0,0,'','ALUMNO'")</f>
        <v>1490,'LICENCIATURA','alanyael.vazquezochoa','111193','TOMAR DEL SND','VAZQUEZ OCHOA ALAN YAEL','INGENIERÍA AUTOMOTRIZ','6to','MASCULINO','ACTIVO','',0,0,'','ALUMNO'</v>
      </c>
      <c r="L491" s="16" t="str">
        <f>CONCATENATE($K$1,K491,");")</f>
        <v>INSERT INTO participantes (id,nivel,correo,matricula,clave,nombre,carrera,grado,sexo,situacion,evaluados,num_evaluados,total_evaluaciones,ultimo_acceso,nivel_acceso) VALUES (1490,'LICENCIATURA','alanyael.vazquezochoa','111193','TOMAR DEL SND','VAZQUEZ OCHOA ALAN YAEL','INGENIERÍA AUTOMOTRIZ','6to','MASCULINO','ACTIVO','',0,0,'','ALUMNO');</v>
      </c>
      <c r="M491" s="16" t="str">
        <f>CONCATENATE("update participantes set correo=",C491," where id=",A491,";")</f>
        <v>update participantes set correo='alanyael.vazquezochoa' where id=1490;</v>
      </c>
    </row>
    <row r="492" spans="1:13" ht="130.5" x14ac:dyDescent="0.35">
      <c r="A492" s="16">
        <v>1491</v>
      </c>
      <c r="B492" s="18" t="s">
        <v>1754</v>
      </c>
      <c r="C492" s="16" t="str">
        <f>CONCATENATE("'",Alumnos!E437,"'")</f>
        <v>'mariafernanda.castillogonzalez'</v>
      </c>
      <c r="D492" s="16" t="str">
        <f>CONCATENATE(Alumnos!F437,"'")</f>
        <v>'111197'</v>
      </c>
      <c r="E492" s="16" t="s">
        <v>1755</v>
      </c>
      <c r="F492" s="16" t="str">
        <f>CONCATENATE("'",Alumnos!H437,"'")</f>
        <v>'CASTILLO GONZALEZ MARIA FERNANDA'</v>
      </c>
      <c r="G492" s="16" t="str">
        <f>CONCATENATE("'",Alumnos!I437,"'")</f>
        <v>'NUTRICION Y GASTRONOMIA'</v>
      </c>
      <c r="H492" s="16" t="str">
        <f>CONCATENATE("'",Alumnos!J437,"'")</f>
        <v>'6to'</v>
      </c>
      <c r="I492" s="16" t="str">
        <f>UPPER(CONCATENATE("'",Alumnos!K437,"'"))</f>
        <v>'FEMENINO'</v>
      </c>
      <c r="J492" s="16" t="str">
        <f>UPPER(CONCATENATE("'",Alumnos!L437,"'"))</f>
        <v>'ACTIVO'</v>
      </c>
      <c r="K492" s="16" t="str">
        <f>CONCATENATE(A492,",",B492,",",C492,",",D492,",'",E492,",",F492,",",G492,",",H492,",",UPPER(I492),",",UPPER(J492),",'',0,0,'','ALUMNO'")</f>
        <v>1491,'LICENCIATURA','mariafernanda.castillogonzalez','111197','TOMAR DEL SND','CASTILLO GONZALEZ MARIA FERNANDA','NUTRICION Y GASTRONOMIA','6to','FEMENINO','ACTIVO','',0,0,'','ALUMNO'</v>
      </c>
      <c r="L492" s="16" t="str">
        <f>CONCATENATE($K$1,K492,");")</f>
        <v>INSERT INTO participantes (id,nivel,correo,matricula,clave,nombre,carrera,grado,sexo,situacion,evaluados,num_evaluados,total_evaluaciones,ultimo_acceso,nivel_acceso) VALUES (1491,'LICENCIATURA','mariafernanda.castillogonzalez','111197','TOMAR DEL SND','CASTILLO GONZALEZ MARIA FERNANDA','NUTRICION Y GASTRONOMIA','6to','FEMENINO','ACTIVO','',0,0,'','ALUMNO');</v>
      </c>
      <c r="M492" s="16" t="str">
        <f>CONCATENATE("update participantes set correo=",C492," where id=",A492,";")</f>
        <v>update participantes set correo='mariafernanda.castillogonzalez' where id=1491;</v>
      </c>
    </row>
    <row r="493" spans="1:13" ht="116" x14ac:dyDescent="0.35">
      <c r="A493" s="16">
        <v>1492</v>
      </c>
      <c r="B493" s="18" t="s">
        <v>1754</v>
      </c>
      <c r="C493" s="16" t="str">
        <f>CONCATENATE("'",Alumnos!E179,"'")</f>
        <v>'dianapaola.coronadotirado'</v>
      </c>
      <c r="D493" s="16" t="str">
        <f>CONCATENATE(Alumnos!F179,"'")</f>
        <v>'111201'</v>
      </c>
      <c r="E493" s="16" t="s">
        <v>1755</v>
      </c>
      <c r="F493" s="16" t="str">
        <f>CONCATENATE("'",Alumnos!H179,"'")</f>
        <v>'CORONADO TIRADO DIANA PAOLA'</v>
      </c>
      <c r="G493" s="16" t="str">
        <f>CONCATENATE("'",Alumnos!I179,"'")</f>
        <v>'INGENIERÍA EN INTELIGENCIA ARTIFICIAL'</v>
      </c>
      <c r="H493" s="16" t="str">
        <f>CONCATENATE("'",Alumnos!J179,"'")</f>
        <v>'6to'</v>
      </c>
      <c r="I493" s="16" t="str">
        <f>UPPER(CONCATENATE("'",Alumnos!K179,"'"))</f>
        <v>'FEMENINO'</v>
      </c>
      <c r="J493" s="16" t="str">
        <f>UPPER(CONCATENATE("'",Alumnos!L179,"'"))</f>
        <v>'ACTIVO'</v>
      </c>
      <c r="K493" s="16" t="str">
        <f>CONCATENATE(A493,",",B493,",",C493,",",D493,",'",E493,",",F493,",",G493,",",H493,",",UPPER(I493),",",UPPER(J493),",'',0,0,'','ALUMNO'")</f>
        <v>1492,'LICENCIATURA','dianapaola.coronadotirado','111201','TOMAR DEL SND','CORONADO TIRADO DIANA PAOLA','INGENIERÍA EN INTELIGENCIA ARTIFICIAL','6to','FEMENINO','ACTIVO','',0,0,'','ALUMNO'</v>
      </c>
      <c r="L493" s="16" t="str">
        <f>CONCATENATE($K$1,K493,");")</f>
        <v>INSERT INTO participantes (id,nivel,correo,matricula,clave,nombre,carrera,grado,sexo,situacion,evaluados,num_evaluados,total_evaluaciones,ultimo_acceso,nivel_acceso) VALUES (1492,'LICENCIATURA','dianapaola.coronadotirado','111201','TOMAR DEL SND','CORONADO TIRADO DIANA PAOLA','INGENIERÍA EN INTELIGENCIA ARTIFICIAL','6to','FEMENINO','ACTIVO','',0,0,'','ALUMNO');</v>
      </c>
      <c r="M493" s="16" t="str">
        <f>CONCATENATE("update participantes set correo=",C493," where id=",A493,";")</f>
        <v>update participantes set correo='dianapaola.coronadotirado' where id=1492;</v>
      </c>
    </row>
    <row r="494" spans="1:13" ht="116" x14ac:dyDescent="0.35">
      <c r="A494" s="16">
        <v>1493</v>
      </c>
      <c r="B494" s="18" t="s">
        <v>1754</v>
      </c>
      <c r="C494" s="16" t="str">
        <f>CONCATENATE("'",Alumnos!E69,"'")</f>
        <v>'andy.rodriguezlazaro'</v>
      </c>
      <c r="D494" s="16" t="str">
        <f>CONCATENATE(Alumnos!F69,"'")</f>
        <v>'111202'</v>
      </c>
      <c r="E494" s="16" t="s">
        <v>1755</v>
      </c>
      <c r="F494" s="16" t="str">
        <f>CONCATENATE("'",Alumnos!H69,"'")</f>
        <v>'RODRIGUEZ LAZARO ANDY'</v>
      </c>
      <c r="G494" s="16" t="str">
        <f>CONCATENATE("'",Alumnos!I69,"'")</f>
        <v>'ADMINISTRACION Y DIRECCION DE NEGOCIOS'</v>
      </c>
      <c r="H494" s="16" t="str">
        <f>CONCATENATE("'",Alumnos!J69,"'")</f>
        <v>'6to'</v>
      </c>
      <c r="I494" s="16" t="str">
        <f>UPPER(CONCATENATE("'",Alumnos!K69,"'"))</f>
        <v>'MASCULINO'</v>
      </c>
      <c r="J494" s="16" t="str">
        <f>UPPER(CONCATENATE("'",Alumnos!L69,"'"))</f>
        <v>'ACTIVO'</v>
      </c>
      <c r="K494" s="16" t="str">
        <f>CONCATENATE(A494,",",B494,",",C494,",",D494,",'",E494,",",F494,",",G494,",",H494,",",UPPER(I494),",",UPPER(J494),",'',0,0,'','ALUMNO'")</f>
        <v>1493,'LICENCIATURA','andy.rodriguezlazaro','111202','TOMAR DEL SND','RODRIGUEZ LAZARO ANDY','ADMINISTRACION Y DIRECCION DE NEGOCIOS','6to','MASCULINO','ACTIVO','',0,0,'','ALUMNO'</v>
      </c>
      <c r="L494" s="16" t="str">
        <f>CONCATENATE($K$1,K494,");")</f>
        <v>INSERT INTO participantes (id,nivel,correo,matricula,clave,nombre,carrera,grado,sexo,situacion,evaluados,num_evaluados,total_evaluaciones,ultimo_acceso,nivel_acceso) VALUES (1493,'LICENCIATURA','andy.rodriguezlazaro','111202','TOMAR DEL SND','RODRIGUEZ LAZARO ANDY','ADMINISTRACION Y DIRECCION DE NEGOCIOS','6to','MASCULINO','ACTIVO','',0,0,'','ALUMNO');</v>
      </c>
      <c r="M494" s="16" t="str">
        <f>CONCATENATE("update participantes set correo=",C494," where id=",A494,";")</f>
        <v>update participantes set correo='andy.rodriguezlazaro' where id=1493;</v>
      </c>
    </row>
    <row r="495" spans="1:13" ht="116" x14ac:dyDescent="0.35">
      <c r="A495" s="16">
        <v>1494</v>
      </c>
      <c r="B495" s="18" t="s">
        <v>1754</v>
      </c>
      <c r="C495" s="16" t="str">
        <f>CONCATENATE("'",Alumnos!E532,"'")</f>
        <v>'paulinanataly.valadezrivera'</v>
      </c>
      <c r="D495" s="16" t="str">
        <f>CONCATENATE(Alumnos!F532,"'")</f>
        <v>'111203'</v>
      </c>
      <c r="E495" s="16" t="s">
        <v>1755</v>
      </c>
      <c r="F495" s="16" t="str">
        <f>CONCATENATE("'",Alumnos!H532,"'")</f>
        <v>'VALADEZ RIVERA PAULINA NATALY'</v>
      </c>
      <c r="G495" s="16" t="str">
        <f>CONCATENATE("'",Alumnos!I532,"'")</f>
        <v>'ARQUITECTURA'</v>
      </c>
      <c r="H495" s="16" t="str">
        <f>CONCATENATE("'",Alumnos!J532,"'")</f>
        <v>'6to'</v>
      </c>
      <c r="I495" s="16" t="str">
        <f>UPPER(CONCATENATE("'",Alumnos!K532,"'"))</f>
        <v>'FEMENINO'</v>
      </c>
      <c r="J495" s="16" t="str">
        <f>UPPER(CONCATENATE("'",Alumnos!L532,"'"))</f>
        <v>'ACTIVO'</v>
      </c>
      <c r="K495" s="16" t="str">
        <f>CONCATENATE(A495,",",B495,",",C495,",",D495,",'",E495,",",F495,",",G495,",",H495,",",UPPER(I495),",",UPPER(J495),",'',0,0,'','ALUMNO'")</f>
        <v>1494,'LICENCIATURA','paulinanataly.valadezrivera','111203','TOMAR DEL SND','VALADEZ RIVERA PAULINA NATALY','ARQUITECTURA','6to','FEMENINO','ACTIVO','',0,0,'','ALUMNO'</v>
      </c>
      <c r="L495" s="16" t="str">
        <f>CONCATENATE($K$1,K495,");")</f>
        <v>INSERT INTO participantes (id,nivel,correo,matricula,clave,nombre,carrera,grado,sexo,situacion,evaluados,num_evaluados,total_evaluaciones,ultimo_acceso,nivel_acceso) VALUES (1494,'LICENCIATURA','paulinanataly.valadezrivera','111203','TOMAR DEL SND','VALADEZ RIVERA PAULINA NATALY','ARQUITECTURA','6to','FEMENINO','ACTIVO','',0,0,'','ALUMNO');</v>
      </c>
      <c r="M495" s="16" t="str">
        <f>CONCATENATE("update participantes set correo=",C495," where id=",A495,";")</f>
        <v>update participantes set correo='paulinanataly.valadezrivera' where id=1494;</v>
      </c>
    </row>
    <row r="496" spans="1:13" ht="116" x14ac:dyDescent="0.35">
      <c r="A496" s="16">
        <v>1495</v>
      </c>
      <c r="B496" s="18" t="s">
        <v>1754</v>
      </c>
      <c r="C496" s="16" t="str">
        <f>CONCATENATE("'",Alumnos!E45,"'")</f>
        <v>'anabelen.oceguedagil'</v>
      </c>
      <c r="D496" s="16" t="str">
        <f>CONCATENATE(Alumnos!F45,"'")</f>
        <v>'111204'</v>
      </c>
      <c r="E496" s="16" t="s">
        <v>1755</v>
      </c>
      <c r="F496" s="16" t="str">
        <f>CONCATENATE("'",Alumnos!H45,"'")</f>
        <v>'OCEGUEDA GIL ANA BELEN'</v>
      </c>
      <c r="G496" s="16" t="str">
        <f>CONCATENATE("'",Alumnos!I45,"'")</f>
        <v>'PSICOLOGIA'</v>
      </c>
      <c r="H496" s="16" t="str">
        <f>CONCATENATE("'",Alumnos!J45,"'")</f>
        <v>'6to'</v>
      </c>
      <c r="I496" s="16" t="str">
        <f>UPPER(CONCATENATE("'",Alumnos!K45,"'"))</f>
        <v>'FEMENINO'</v>
      </c>
      <c r="J496" s="16" t="str">
        <f>UPPER(CONCATENATE("'",Alumnos!L45,"'"))</f>
        <v>'ACTIVO'</v>
      </c>
      <c r="K496" s="16" t="str">
        <f>CONCATENATE(A496,",",B496,",",C496,",",D496,",'",E496,",",F496,",",G496,",",H496,",",UPPER(I496),",",UPPER(J496),",'',0,0,'','ALUMNO'")</f>
        <v>1495,'LICENCIATURA','anabelen.oceguedagil','111204','TOMAR DEL SND','OCEGUEDA GIL ANA BELEN','PSICOLOGIA','6to','FEMENINO','ACTIVO','',0,0,'','ALUMNO'</v>
      </c>
      <c r="L496" s="16" t="str">
        <f>CONCATENATE($K$1,K496,");")</f>
        <v>INSERT INTO participantes (id,nivel,correo,matricula,clave,nombre,carrera,grado,sexo,situacion,evaluados,num_evaluados,total_evaluaciones,ultimo_acceso,nivel_acceso) VALUES (1495,'LICENCIATURA','anabelen.oceguedagil','111204','TOMAR DEL SND','OCEGUEDA GIL ANA BELEN','PSICOLOGIA','6to','FEMENINO','ACTIVO','',0,0,'','ALUMNO');</v>
      </c>
      <c r="M496" s="16" t="str">
        <f>CONCATENATE("update participantes set correo=",C496," where id=",A496,";")</f>
        <v>update participantes set correo='anabelen.oceguedagil' where id=1495;</v>
      </c>
    </row>
    <row r="497" spans="1:13" ht="130.5" x14ac:dyDescent="0.35">
      <c r="A497" s="16">
        <v>1496</v>
      </c>
      <c r="B497" s="18" t="s">
        <v>1754</v>
      </c>
      <c r="C497" s="16" t="str">
        <f>CONCATENATE("'",Alumnos!E140,"'")</f>
        <v>'claudiafernanda.ramirezarreola'</v>
      </c>
      <c r="D497" s="16" t="str">
        <f>CONCATENATE(Alumnos!F140,"'")</f>
        <v>'111206'</v>
      </c>
      <c r="E497" s="16" t="s">
        <v>1755</v>
      </c>
      <c r="F497" s="16" t="str">
        <f>CONCATENATE("'",Alumnos!H140,"'")</f>
        <v>'RAMIREZ ARREOLA CLAUDIA FERNANDA'</v>
      </c>
      <c r="G497" s="16" t="str">
        <f>CONCATENATE("'",Alumnos!I140,"'")</f>
        <v>'ANIMACION DIGITAL Y VIDEOJUEGOS'</v>
      </c>
      <c r="H497" s="16" t="str">
        <f>CONCATENATE("'",Alumnos!J140,"'")</f>
        <v>'6to'</v>
      </c>
      <c r="I497" s="16" t="str">
        <f>UPPER(CONCATENATE("'",Alumnos!K140,"'"))</f>
        <v>'FEMENINO'</v>
      </c>
      <c r="J497" s="16" t="str">
        <f>UPPER(CONCATENATE("'",Alumnos!L140,"'"))</f>
        <v>'ACTIVO'</v>
      </c>
      <c r="K497" s="16" t="str">
        <f>CONCATENATE(A497,",",B497,",",C497,",",D497,",'",E497,",",F497,",",G497,",",H497,",",UPPER(I497),",",UPPER(J497),",'',0,0,'','ALUMNO'")</f>
        <v>1496,'LICENCIATURA','claudiafernanda.ramirezarreola','111206','TOMAR DEL SND','RAMIREZ ARREOLA CLAUDIA FERNANDA','ANIMACION DIGITAL Y VIDEOJUEGOS','6to','FEMENINO','ACTIVO','',0,0,'','ALUMNO'</v>
      </c>
      <c r="L497" s="16" t="str">
        <f>CONCATENATE($K$1,K497,");")</f>
        <v>INSERT INTO participantes (id,nivel,correo,matricula,clave,nombre,carrera,grado,sexo,situacion,evaluados,num_evaluados,total_evaluaciones,ultimo_acceso,nivel_acceso) VALUES (1496,'LICENCIATURA','claudiafernanda.ramirezarreola','111206','TOMAR DEL SND','RAMIREZ ARREOLA CLAUDIA FERNANDA','ANIMACION DIGITAL Y VIDEOJUEGOS','6to','FEMENINO','ACTIVO','',0,0,'','ALUMNO');</v>
      </c>
      <c r="M497" s="16" t="str">
        <f>CONCATENATE("update participantes set correo=",C497," where id=",A497,";")</f>
        <v>update participantes set correo='claudiafernanda.ramirezarreola' where id=1496;</v>
      </c>
    </row>
    <row r="498" spans="1:13" ht="116" x14ac:dyDescent="0.35">
      <c r="A498" s="16">
        <v>1497</v>
      </c>
      <c r="B498" s="18" t="s">
        <v>1754</v>
      </c>
      <c r="C498" s="16" t="str">
        <f>CONCATENATE("'",Alumnos!E123,"'")</f>
        <v>'carlosfernando.serranoamador'</v>
      </c>
      <c r="D498" s="16" t="str">
        <f>CONCATENATE(Alumnos!F123,"'")</f>
        <v>'111208'</v>
      </c>
      <c r="E498" s="16" t="s">
        <v>1755</v>
      </c>
      <c r="F498" s="16" t="str">
        <f>CONCATENATE("'",Alumnos!H123,"'")</f>
        <v>'SERRANO AMADOR CARLOS FERNANDO'</v>
      </c>
      <c r="G498" s="16" t="str">
        <f>CONCATENATE("'",Alumnos!I123,"'")</f>
        <v>'INGENIERÍA EN INTELIGENCIA ARTIFICIAL'</v>
      </c>
      <c r="H498" s="16" t="str">
        <f>CONCATENATE("'",Alumnos!J123,"'")</f>
        <v>'6to'</v>
      </c>
      <c r="I498" s="16" t="str">
        <f>UPPER(CONCATENATE("'",Alumnos!K123,"'"))</f>
        <v>'MASCULINO'</v>
      </c>
      <c r="J498" s="16" t="str">
        <f>UPPER(CONCATENATE("'",Alumnos!L123,"'"))</f>
        <v>'ACTIVO'</v>
      </c>
      <c r="K498" s="16" t="str">
        <f>CONCATENATE(A498,",",B498,",",C498,",",D498,",'",E498,",",F498,",",G498,",",H498,",",UPPER(I498),",",UPPER(J498),",'',0,0,'','ALUMNO'")</f>
        <v>1497,'LICENCIATURA','carlosfernando.serranoamador','111208','TOMAR DEL SND','SERRANO AMADOR CARLOS FERNANDO','INGENIERÍA EN INTELIGENCIA ARTIFICIAL','6to','MASCULINO','ACTIVO','',0,0,'','ALUMNO'</v>
      </c>
      <c r="L498" s="16" t="str">
        <f>CONCATENATE($K$1,K498,");")</f>
        <v>INSERT INTO participantes (id,nivel,correo,matricula,clave,nombre,carrera,grado,sexo,situacion,evaluados,num_evaluados,total_evaluaciones,ultimo_acceso,nivel_acceso) VALUES (1497,'LICENCIATURA','carlosfernando.serranoamador','111208','TOMAR DEL SND','SERRANO AMADOR CARLOS FERNANDO','INGENIERÍA EN INTELIGENCIA ARTIFICIAL','6to','MASCULINO','ACTIVO','',0,0,'','ALUMNO');</v>
      </c>
      <c r="M498" s="16" t="str">
        <f>CONCATENATE("update participantes set correo=",C498," where id=",A498,";")</f>
        <v>update participantes set correo='carlosfernando.serranoamador' where id=1497;</v>
      </c>
    </row>
    <row r="499" spans="1:13" ht="116" x14ac:dyDescent="0.35">
      <c r="A499" s="16">
        <v>1498</v>
      </c>
      <c r="B499" s="18" t="s">
        <v>1754</v>
      </c>
      <c r="C499" s="16" t="str">
        <f>CONCATENATE("'",Alumnos!E144,"'")</f>
        <v>'cristianfabian.zamudiovazquez'</v>
      </c>
      <c r="D499" s="16" t="str">
        <f>CONCATENATE(Alumnos!F144,"'")</f>
        <v>'111210'</v>
      </c>
      <c r="E499" s="16" t="s">
        <v>1755</v>
      </c>
      <c r="F499" s="16" t="str">
        <f>CONCATENATE("'",Alumnos!H144,"'")</f>
        <v>'ZAMUDIO VAZQUEZ CRISTIAN FABIAN'</v>
      </c>
      <c r="G499" s="16" t="str">
        <f>CONCATENATE("'",Alumnos!I144,"'")</f>
        <v>'ARQUITECTURA'</v>
      </c>
      <c r="H499" s="16" t="str">
        <f>CONCATENATE("'",Alumnos!J144,"'")</f>
        <v>'6to'</v>
      </c>
      <c r="I499" s="16" t="str">
        <f>UPPER(CONCATENATE("'",Alumnos!K144,"'"))</f>
        <v>'MASCULINO'</v>
      </c>
      <c r="J499" s="16" t="str">
        <f>UPPER(CONCATENATE("'",Alumnos!L144,"'"))</f>
        <v>'ACTIVO'</v>
      </c>
      <c r="K499" s="16" t="str">
        <f>CONCATENATE(A499,",",B499,",",C499,",",D499,",'",E499,",",F499,",",G499,",",H499,",",UPPER(I499),",",UPPER(J499),",'',0,0,'','ALUMNO'")</f>
        <v>1498,'LICENCIATURA','cristianfabian.zamudiovazquez','111210','TOMAR DEL SND','ZAMUDIO VAZQUEZ CRISTIAN FABIAN','ARQUITECTURA','6to','MASCULINO','ACTIVO','',0,0,'','ALUMNO'</v>
      </c>
      <c r="L499" s="16" t="str">
        <f>CONCATENATE($K$1,K499,");")</f>
        <v>INSERT INTO participantes (id,nivel,correo,matricula,clave,nombre,carrera,grado,sexo,situacion,evaluados,num_evaluados,total_evaluaciones,ultimo_acceso,nivel_acceso) VALUES (1498,'LICENCIATURA','cristianfabian.zamudiovazquez','111210','TOMAR DEL SND','ZAMUDIO VAZQUEZ CRISTIAN FABIAN','ARQUITECTURA','6to','MASCULINO','ACTIVO','',0,0,'','ALUMNO');</v>
      </c>
      <c r="M499" s="16" t="str">
        <f>CONCATENATE("update participantes set correo=",C499," where id=",A499,";")</f>
        <v>update participantes set correo='cristianfabian.zamudiovazquez' where id=1498;</v>
      </c>
    </row>
    <row r="500" spans="1:13" ht="116" x14ac:dyDescent="0.35">
      <c r="A500" s="16">
        <v>1499</v>
      </c>
      <c r="B500" s="18" t="s">
        <v>1754</v>
      </c>
      <c r="C500" s="16" t="str">
        <f>CONCATENATE("'",Alumnos!E289,"'")</f>
        <v>'jackeline.hernandez'</v>
      </c>
      <c r="D500" s="16" t="str">
        <f>CONCATENATE(Alumnos!F289,"'")</f>
        <v>'111213'</v>
      </c>
      <c r="E500" s="16" t="s">
        <v>1755</v>
      </c>
      <c r="F500" s="16" t="str">
        <f>CONCATENATE("'",Alumnos!H289,"'")</f>
        <v>'HERNANDEZ  JACKELINE'</v>
      </c>
      <c r="G500" s="16" t="str">
        <f>CONCATENATE("'",Alumnos!I289,"'")</f>
        <v>'ARQUITECTURA'</v>
      </c>
      <c r="H500" s="16" t="str">
        <f>CONCATENATE("'",Alumnos!J289,"'")</f>
        <v>'6to'</v>
      </c>
      <c r="I500" s="16" t="str">
        <f>UPPER(CONCATENATE("'",Alumnos!K289,"'"))</f>
        <v>'FEMENINO'</v>
      </c>
      <c r="J500" s="16" t="str">
        <f>UPPER(CONCATENATE("'",Alumnos!L289,"'"))</f>
        <v>'ACTIVO'</v>
      </c>
      <c r="K500" s="16" t="str">
        <f>CONCATENATE(A500,",",B500,",",C500,",",D500,",'",E500,",",F500,",",G500,",",H500,",",UPPER(I500),",",UPPER(J500),",'',0,0,'','ALUMNO'")</f>
        <v>1499,'LICENCIATURA','jackeline.hernandez','111213','TOMAR DEL SND','HERNANDEZ  JACKELINE','ARQUITECTURA','6to','FEMENINO','ACTIVO','',0,0,'','ALUMNO'</v>
      </c>
      <c r="L500" s="16" t="str">
        <f>CONCATENATE($K$1,K500,");")</f>
        <v>INSERT INTO participantes (id,nivel,correo,matricula,clave,nombre,carrera,grado,sexo,situacion,evaluados,num_evaluados,total_evaluaciones,ultimo_acceso,nivel_acceso) VALUES (1499,'LICENCIATURA','jackeline.hernandez','111213','TOMAR DEL SND','HERNANDEZ  JACKELINE','ARQUITECTURA','6to','FEMENINO','ACTIVO','',0,0,'','ALUMNO');</v>
      </c>
      <c r="M500" s="16" t="str">
        <f>CONCATENATE("update participantes set correo=",C500," where id=",A500,";")</f>
        <v>update participantes set correo='jackeline.hernandez' where id=1499;</v>
      </c>
    </row>
    <row r="501" spans="1:13" ht="130.5" x14ac:dyDescent="0.35">
      <c r="A501" s="16">
        <v>1500</v>
      </c>
      <c r="B501" s="18" t="s">
        <v>1754</v>
      </c>
      <c r="C501" s="16" t="str">
        <f>CONCATENATE("'",Alumnos!E199,"'")</f>
        <v>'dylanadrian.castillogomez'</v>
      </c>
      <c r="D501" s="16" t="str">
        <f>CONCATENATE(Alumnos!F199,"'")</f>
        <v>'111214'</v>
      </c>
      <c r="E501" s="16" t="s">
        <v>1755</v>
      </c>
      <c r="F501" s="16" t="str">
        <f>CONCATENATE("'",Alumnos!H199,"'")</f>
        <v>'CASTILLO GOMEZ DYLAN ADRIAN'</v>
      </c>
      <c r="G501" s="16" t="str">
        <f>CONCATENATE("'",Alumnos!I199,"'")</f>
        <v>'INGENIERÍA AUTOMOTRIZ'</v>
      </c>
      <c r="H501" s="16" t="str">
        <f>CONCATENATE("'",Alumnos!J199,"'")</f>
        <v>'6to'</v>
      </c>
      <c r="I501" s="16" t="str">
        <f>UPPER(CONCATENATE("'",Alumnos!K199,"'"))</f>
        <v>'MASCULINO'</v>
      </c>
      <c r="J501" s="16" t="str">
        <f>UPPER(CONCATENATE("'",Alumnos!L199,"'"))</f>
        <v>'ACTIVO'</v>
      </c>
      <c r="K501" s="16" t="str">
        <f>CONCATENATE(A501,",",B501,",",C501,",",D501,",'",E501,",",F501,",",G501,",",H501,",",UPPER(I501),",",UPPER(J501),",'',0,0,'','ALUMNO'")</f>
        <v>1500,'LICENCIATURA','dylanadrian.castillogomez','111214','TOMAR DEL SND','CASTILLO GOMEZ DYLAN ADRIAN','INGENIERÍA AUTOMOTRIZ','6to','MASCULINO','ACTIVO','',0,0,'','ALUMNO'</v>
      </c>
      <c r="L501" s="16" t="str">
        <f>CONCATENATE($K$1,K501,");")</f>
        <v>INSERT INTO participantes (id,nivel,correo,matricula,clave,nombre,carrera,grado,sexo,situacion,evaluados,num_evaluados,total_evaluaciones,ultimo_acceso,nivel_acceso) VALUES (1500,'LICENCIATURA','dylanadrian.castillogomez','111214','TOMAR DEL SND','CASTILLO GOMEZ DYLAN ADRIAN','INGENIERÍA AUTOMOTRIZ','6to','MASCULINO','ACTIVO','',0,0,'','ALUMNO');</v>
      </c>
      <c r="M501" s="16" t="str">
        <f>CONCATENATE("update participantes set correo=",C501," where id=",A501,";")</f>
        <v>update participantes set correo='dylanadrian.castillogomez' where id=1500;</v>
      </c>
    </row>
    <row r="502" spans="1:13" ht="116" x14ac:dyDescent="0.35">
      <c r="A502" s="16">
        <v>1501</v>
      </c>
      <c r="B502" s="18" t="s">
        <v>1754</v>
      </c>
      <c r="C502" s="16" t="str">
        <f>CONCATENATE("'",Alumnos!E609,"'")</f>
        <v>'victoria.guerreroflores'</v>
      </c>
      <c r="D502" s="16" t="str">
        <f>CONCATENATE(Alumnos!F609,"'")</f>
        <v>'111221'</v>
      </c>
      <c r="E502" s="16" t="s">
        <v>1755</v>
      </c>
      <c r="F502" s="16" t="str">
        <f>CONCATENATE("'",Alumnos!H609,"'")</f>
        <v>'GUERRERO FLORES VICTORIA'</v>
      </c>
      <c r="G502" s="16" t="str">
        <f>CONCATENATE("'",Alumnos!I609,"'")</f>
        <v>'NUTRICION Y GASTRONOMIA'</v>
      </c>
      <c r="H502" s="16" t="str">
        <f>CONCATENATE("'",Alumnos!J609,"'")</f>
        <v>'6to'</v>
      </c>
      <c r="I502" s="16" t="str">
        <f>UPPER(CONCATENATE("'",Alumnos!K609,"'"))</f>
        <v>'FEMENINO'</v>
      </c>
      <c r="J502" s="16" t="str">
        <f>UPPER(CONCATENATE("'",Alumnos!L609,"'"))</f>
        <v>'ACTIVO'</v>
      </c>
      <c r="K502" s="16" t="str">
        <f>CONCATENATE(A502,",",B502,",",C502,",",D502,",'",E502,",",F502,",",G502,",",H502,",",UPPER(I502),",",UPPER(J502),",'',0,0,'','ALUMNO'")</f>
        <v>1501,'LICENCIATURA','victoria.guerreroflores','111221','TOMAR DEL SND','GUERRERO FLORES VICTORIA','NUTRICION Y GASTRONOMIA','6to','FEMENINO','ACTIVO','',0,0,'','ALUMNO'</v>
      </c>
      <c r="L502" s="16" t="str">
        <f>CONCATENATE($K$1,K502,");")</f>
        <v>INSERT INTO participantes (id,nivel,correo,matricula,clave,nombre,carrera,grado,sexo,situacion,evaluados,num_evaluados,total_evaluaciones,ultimo_acceso,nivel_acceso) VALUES (1501,'LICENCIATURA','victoria.guerreroflores','111221','TOMAR DEL SND','GUERRERO FLORES VICTORIA','NUTRICION Y GASTRONOMIA','6to','FEMENINO','ACTIVO','',0,0,'','ALUMNO');</v>
      </c>
      <c r="M502" s="16" t="str">
        <f>CONCATENATE("update participantes set correo=",C502," where id=",A502,";")</f>
        <v>update participantes set correo='victoria.guerreroflores' where id=1501;</v>
      </c>
    </row>
    <row r="503" spans="1:13" ht="130.5" x14ac:dyDescent="0.35">
      <c r="A503" s="16">
        <v>1502</v>
      </c>
      <c r="B503" s="18" t="s">
        <v>1754</v>
      </c>
      <c r="C503" s="16" t="str">
        <f>CONCATENATE("'",Alumnos!E471,"'")</f>
        <v>'melissaitzel.alatorregomez'</v>
      </c>
      <c r="D503" s="16" t="str">
        <f>CONCATENATE(Alumnos!F471,"'")</f>
        <v>'111223'</v>
      </c>
      <c r="E503" s="16" t="s">
        <v>1755</v>
      </c>
      <c r="F503" s="16" t="str">
        <f>CONCATENATE("'",Alumnos!H471,"'")</f>
        <v>'ALATORRE GOMEZ MELISSA ITZEL'</v>
      </c>
      <c r="G503" s="16" t="str">
        <f>CONCATENATE("'",Alumnos!I471,"'")</f>
        <v>'ANIMACION DIGITAL Y VIDEOJUEGOS'</v>
      </c>
      <c r="H503" s="16" t="str">
        <f>CONCATENATE("'",Alumnos!J471,"'")</f>
        <v>'6to'</v>
      </c>
      <c r="I503" s="16" t="str">
        <f>UPPER(CONCATENATE("'",Alumnos!K471,"'"))</f>
        <v>'FEMENINO'</v>
      </c>
      <c r="J503" s="16" t="str">
        <f>UPPER(CONCATENATE("'",Alumnos!L471,"'"))</f>
        <v>'ACTIVO'</v>
      </c>
      <c r="K503" s="16" t="str">
        <f>CONCATENATE(A503,",",B503,",",C503,",",D503,",'",E503,",",F503,",",G503,",",H503,",",UPPER(I503),",",UPPER(J503),",'',0,0,'','ALUMNO'")</f>
        <v>1502,'LICENCIATURA','melissaitzel.alatorregomez','111223','TOMAR DEL SND','ALATORRE GOMEZ MELISSA ITZEL','ANIMACION DIGITAL Y VIDEOJUEGOS','6to','FEMENINO','ACTIVO','',0,0,'','ALUMNO'</v>
      </c>
      <c r="L503" s="16" t="str">
        <f>CONCATENATE($K$1,K503,");")</f>
        <v>INSERT INTO participantes (id,nivel,correo,matricula,clave,nombre,carrera,grado,sexo,situacion,evaluados,num_evaluados,total_evaluaciones,ultimo_acceso,nivel_acceso) VALUES (1502,'LICENCIATURA','melissaitzel.alatorregomez','111223','TOMAR DEL SND','ALATORRE GOMEZ MELISSA ITZEL','ANIMACION DIGITAL Y VIDEOJUEGOS','6to','FEMENINO','ACTIVO','',0,0,'','ALUMNO');</v>
      </c>
      <c r="M503" s="16" t="str">
        <f>CONCATENATE("update participantes set correo=",C503," where id=",A503,";")</f>
        <v>update participantes set correo='melissaitzel.alatorregomez' where id=1502;</v>
      </c>
    </row>
    <row r="504" spans="1:13" ht="116" x14ac:dyDescent="0.35">
      <c r="A504" s="16">
        <v>1503</v>
      </c>
      <c r="B504" s="18" t="s">
        <v>1754</v>
      </c>
      <c r="C504" s="16" t="str">
        <f>CONCATENATE("'",Alumnos!E472,"'")</f>
        <v>'melissaitzel.silvamartinez'</v>
      </c>
      <c r="D504" s="16" t="str">
        <f>CONCATENATE(Alumnos!F472,"'")</f>
        <v>'111225'</v>
      </c>
      <c r="E504" s="16" t="s">
        <v>1755</v>
      </c>
      <c r="F504" s="16" t="str">
        <f>CONCATENATE("'",Alumnos!H472,"'")</f>
        <v>'SILVA MARTINEZ MELISSA ITZEL'</v>
      </c>
      <c r="G504" s="16" t="str">
        <f>CONCATENATE("'",Alumnos!I472,"'")</f>
        <v>'PSICOLOGIA'</v>
      </c>
      <c r="H504" s="16" t="str">
        <f>CONCATENATE("'",Alumnos!J472,"'")</f>
        <v>'6to'</v>
      </c>
      <c r="I504" s="16" t="str">
        <f>UPPER(CONCATENATE("'",Alumnos!K472,"'"))</f>
        <v>'FEMENINO'</v>
      </c>
      <c r="J504" s="16" t="str">
        <f>UPPER(CONCATENATE("'",Alumnos!L472,"'"))</f>
        <v>'ACTIVO'</v>
      </c>
      <c r="K504" s="16" t="str">
        <f>CONCATENATE(A504,",",B504,",",C504,",",D504,",'",E504,",",F504,",",G504,",",H504,",",UPPER(I504),",",UPPER(J504),",'',0,0,'','ALUMNO'")</f>
        <v>1503,'LICENCIATURA','melissaitzel.silvamartinez','111225','TOMAR DEL SND','SILVA MARTINEZ MELISSA ITZEL','PSICOLOGIA','6to','FEMENINO','ACTIVO','',0,0,'','ALUMNO'</v>
      </c>
      <c r="L504" s="16" t="str">
        <f>CONCATENATE($K$1,K504,");")</f>
        <v>INSERT INTO participantes (id,nivel,correo,matricula,clave,nombre,carrera,grado,sexo,situacion,evaluados,num_evaluados,total_evaluaciones,ultimo_acceso,nivel_acceso) VALUES (1503,'LICENCIATURA','melissaitzel.silvamartinez','111225','TOMAR DEL SND','SILVA MARTINEZ MELISSA ITZEL','PSICOLOGIA','6to','FEMENINO','ACTIVO','',0,0,'','ALUMNO');</v>
      </c>
      <c r="M504" s="16" t="str">
        <f>CONCATENATE("update participantes set correo=",C504," where id=",A504,";")</f>
        <v>update participantes set correo='melissaitzel.silvamartinez' where id=1503;</v>
      </c>
    </row>
    <row r="505" spans="1:13" ht="116" x14ac:dyDescent="0.35">
      <c r="A505" s="16">
        <v>1504</v>
      </c>
      <c r="B505" s="18" t="s">
        <v>1754</v>
      </c>
      <c r="C505" s="16" t="str">
        <f>CONCATENATE("'",Alumnos!E577,"'")</f>
        <v>'sebastianemiliano.apontenavarro'</v>
      </c>
      <c r="D505" s="16" t="str">
        <f>CONCATENATE(Alumnos!F577,"'")</f>
        <v>'111226'</v>
      </c>
      <c r="E505" s="16" t="s">
        <v>1755</v>
      </c>
      <c r="F505" s="16" t="str">
        <f>CONCATENATE("'",Alumnos!H577,"'")</f>
        <v>'APONTE NAVARRO SEBASTIAN EMILIANO'</v>
      </c>
      <c r="G505" s="16" t="str">
        <f>CONCATENATE("'",Alumnos!I577,"'")</f>
        <v>'ADMINISTRACION Y DIRECCION DE NEGOCIOS'</v>
      </c>
      <c r="H505" s="16" t="str">
        <f>CONCATENATE("'",Alumnos!J577,"'")</f>
        <v>'6to'</v>
      </c>
      <c r="I505" s="16" t="str">
        <f>UPPER(CONCATENATE("'",Alumnos!K577,"'"))</f>
        <v>'MASCULINO'</v>
      </c>
      <c r="J505" s="16" t="str">
        <f>UPPER(CONCATENATE("'",Alumnos!L577,"'"))</f>
        <v>'ACTIVO'</v>
      </c>
      <c r="K505" s="16" t="str">
        <f>CONCATENATE(A505,",",B505,",",C505,",",D505,",'",E505,",",F505,",",G505,",",H505,",",UPPER(I505),",",UPPER(J505),",'',0,0,'','ALUMNO'")</f>
        <v>1504,'LICENCIATURA','sebastianemiliano.apontenavarro','111226','TOMAR DEL SND','APONTE NAVARRO SEBASTIAN EMILIANO','ADMINISTRACION Y DIRECCION DE NEGOCIOS','6to','MASCULINO','ACTIVO','',0,0,'','ALUMNO'</v>
      </c>
      <c r="L505" s="16" t="str">
        <f>CONCATENATE($K$1,K505,");")</f>
        <v>INSERT INTO participantes (id,nivel,correo,matricula,clave,nombre,carrera,grado,sexo,situacion,evaluados,num_evaluados,total_evaluaciones,ultimo_acceso,nivel_acceso) VALUES (1504,'LICENCIATURA','sebastianemiliano.apontenavarro','111226','TOMAR DEL SND','APONTE NAVARRO SEBASTIAN EMILIANO','ADMINISTRACION Y DIRECCION DE NEGOCIOS','6to','MASCULINO','ACTIVO','',0,0,'','ALUMNO');</v>
      </c>
      <c r="M505" s="16" t="str">
        <f>CONCATENATE("update participantes set correo=",C505," where id=",A505,";")</f>
        <v>update participantes set correo='sebastianemiliano.apontenavarro' where id=1504;</v>
      </c>
    </row>
    <row r="506" spans="1:13" ht="116" x14ac:dyDescent="0.35">
      <c r="A506" s="16">
        <v>1505</v>
      </c>
      <c r="B506" s="18" t="s">
        <v>1754</v>
      </c>
      <c r="C506" s="16" t="str">
        <f>CONCATENATE("'",Alumnos!E473,"'")</f>
        <v>'michelle.ruizvalenzuela'</v>
      </c>
      <c r="D506" s="16" t="str">
        <f>CONCATENATE(Alumnos!F473,"'")</f>
        <v>'111228'</v>
      </c>
      <c r="E506" s="16" t="s">
        <v>1755</v>
      </c>
      <c r="F506" s="16" t="str">
        <f>CONCATENATE("'",Alumnos!H473,"'")</f>
        <v>'RUIZ VALENZUELA MICHELLE'</v>
      </c>
      <c r="G506" s="16" t="str">
        <f>CONCATENATE("'",Alumnos!I473,"'")</f>
        <v>'ARQUITECTURA'</v>
      </c>
      <c r="H506" s="16" t="str">
        <f>CONCATENATE("'",Alumnos!J473,"'")</f>
        <v>'6to'</v>
      </c>
      <c r="I506" s="16" t="str">
        <f>UPPER(CONCATENATE("'",Alumnos!K473,"'"))</f>
        <v>'FEMENINO'</v>
      </c>
      <c r="J506" s="16" t="str">
        <f>UPPER(CONCATENATE("'",Alumnos!L473,"'"))</f>
        <v>'ACTIVO'</v>
      </c>
      <c r="K506" s="16" t="str">
        <f>CONCATENATE(A506,",",B506,",",C506,",",D506,",'",E506,",",F506,",",G506,",",H506,",",UPPER(I506),",",UPPER(J506),",'',0,0,'','ALUMNO'")</f>
        <v>1505,'LICENCIATURA','michelle.ruizvalenzuela','111228','TOMAR DEL SND','RUIZ VALENZUELA MICHELLE','ARQUITECTURA','6to','FEMENINO','ACTIVO','',0,0,'','ALUMNO'</v>
      </c>
      <c r="L506" s="16" t="str">
        <f>CONCATENATE($K$1,K506,");")</f>
        <v>INSERT INTO participantes (id,nivel,correo,matricula,clave,nombre,carrera,grado,sexo,situacion,evaluados,num_evaluados,total_evaluaciones,ultimo_acceso,nivel_acceso) VALUES (1505,'LICENCIATURA','michelle.ruizvalenzuela','111228','TOMAR DEL SND','RUIZ VALENZUELA MICHELLE','ARQUITECTURA','6to','FEMENINO','ACTIVO','',0,0,'','ALUMNO');</v>
      </c>
      <c r="M506" s="16" t="str">
        <f>CONCATENATE("update participantes set correo=",C506," where id=",A506,";")</f>
        <v>update participantes set correo='michelle.ruizvalenzuela' where id=1505;</v>
      </c>
    </row>
    <row r="507" spans="1:13" ht="130.5" x14ac:dyDescent="0.35">
      <c r="A507" s="16">
        <v>1506</v>
      </c>
      <c r="B507" s="18" t="s">
        <v>1754</v>
      </c>
      <c r="C507" s="16" t="str">
        <f>CONCATENATE("'",Alumnos!E568,"'")</f>
        <v>'santiagorene.mejiadelarosa'</v>
      </c>
      <c r="D507" s="16" t="str">
        <f>CONCATENATE(Alumnos!F568,"'")</f>
        <v>'111236'</v>
      </c>
      <c r="E507" s="16" t="s">
        <v>1755</v>
      </c>
      <c r="F507" s="16" t="str">
        <f>CONCATENATE("'",Alumnos!H568,"'")</f>
        <v>'MEJIA DE LA ROSA SANTIAGO RENE'</v>
      </c>
      <c r="G507" s="16" t="str">
        <f>CONCATENATE("'",Alumnos!I568,"'")</f>
        <v>'INGENIERÍA AUTOMOTRIZ'</v>
      </c>
      <c r="H507" s="16" t="str">
        <f>CONCATENATE("'",Alumnos!J568,"'")</f>
        <v>'6to'</v>
      </c>
      <c r="I507" s="16" t="str">
        <f>UPPER(CONCATENATE("'",Alumnos!K568,"'"))</f>
        <v>'MASCULINO'</v>
      </c>
      <c r="J507" s="16" t="str">
        <f>UPPER(CONCATENATE("'",Alumnos!L568,"'"))</f>
        <v>'ACTIVO'</v>
      </c>
      <c r="K507" s="16" t="str">
        <f>CONCATENATE(A507,",",B507,",",C507,",",D507,",'",E507,",",F507,",",G507,",",H507,",",UPPER(I507),",",UPPER(J507),",'',0,0,'','ALUMNO'")</f>
        <v>1506,'LICENCIATURA','santiagorene.mejiadelarosa','111236','TOMAR DEL SND','MEJIA DE LA ROSA SANTIAGO RENE','INGENIERÍA AUTOMOTRIZ','6to','MASCULINO','ACTIVO','',0,0,'','ALUMNO'</v>
      </c>
      <c r="L507" s="16" t="str">
        <f>CONCATENATE($K$1,K507,");")</f>
        <v>INSERT INTO participantes (id,nivel,correo,matricula,clave,nombre,carrera,grado,sexo,situacion,evaluados,num_evaluados,total_evaluaciones,ultimo_acceso,nivel_acceso) VALUES (1506,'LICENCIATURA','santiagorene.mejiadelarosa','111236','TOMAR DEL SND','MEJIA DE LA ROSA SANTIAGO RENE','INGENIERÍA AUTOMOTRIZ','6to','MASCULINO','ACTIVO','',0,0,'','ALUMNO');</v>
      </c>
      <c r="M507" s="16" t="str">
        <f>CONCATENATE("update participantes set correo=",C507," where id=",A507,";")</f>
        <v>update participantes set correo='santiagorene.mejiadelarosa' where id=1506;</v>
      </c>
    </row>
    <row r="508" spans="1:13" ht="116" x14ac:dyDescent="0.35">
      <c r="A508" s="16">
        <v>1507</v>
      </c>
      <c r="B508" s="18" t="s">
        <v>1754</v>
      </c>
      <c r="C508" s="16" t="str">
        <f>CONCATENATE("'",Alumnos!E83,"'")</f>
        <v>'angelguillermo.vegarodriguez'</v>
      </c>
      <c r="D508" s="16" t="str">
        <f>CONCATENATE(Alumnos!F83,"'")</f>
        <v>'111237'</v>
      </c>
      <c r="E508" s="16" t="s">
        <v>1755</v>
      </c>
      <c r="F508" s="16" t="str">
        <f>CONCATENATE("'",Alumnos!H83,"'")</f>
        <v>'VEGA RODRIGUEZ ANGEL GUILLERMO'</v>
      </c>
      <c r="G508" s="16" t="str">
        <f>CONCATENATE("'",Alumnos!I83,"'")</f>
        <v>'ARQUITECTURA'</v>
      </c>
      <c r="H508" s="16" t="str">
        <f>CONCATENATE("'",Alumnos!J83,"'")</f>
        <v>'6to'</v>
      </c>
      <c r="I508" s="16" t="str">
        <f>UPPER(CONCATENATE("'",Alumnos!K83,"'"))</f>
        <v>'MASCULINO'</v>
      </c>
      <c r="J508" s="16" t="str">
        <f>UPPER(CONCATENATE("'",Alumnos!L83,"'"))</f>
        <v>'ACTIVO'</v>
      </c>
      <c r="K508" s="16" t="str">
        <f>CONCATENATE(A508,",",B508,",",C508,",",D508,",'",E508,",",F508,",",G508,",",H508,",",UPPER(I508),",",UPPER(J508),",'',0,0,'','ALUMNO'")</f>
        <v>1507,'LICENCIATURA','angelguillermo.vegarodriguez','111237','TOMAR DEL SND','VEGA RODRIGUEZ ANGEL GUILLERMO','ARQUITECTURA','6to','MASCULINO','ACTIVO','',0,0,'','ALUMNO'</v>
      </c>
      <c r="L508" s="16" t="str">
        <f>CONCATENATE($K$1,K508,");")</f>
        <v>INSERT INTO participantes (id,nivel,correo,matricula,clave,nombre,carrera,grado,sexo,situacion,evaluados,num_evaluados,total_evaluaciones,ultimo_acceso,nivel_acceso) VALUES (1507,'LICENCIATURA','angelguillermo.vegarodriguez','111237','TOMAR DEL SND','VEGA RODRIGUEZ ANGEL GUILLERMO','ARQUITECTURA','6to','MASCULINO','ACTIVO','',0,0,'','ALUMNO');</v>
      </c>
      <c r="M508" s="16" t="str">
        <f>CONCATENATE("update participantes set correo=",C508," where id=",A508,";")</f>
        <v>update participantes set correo='angelguillermo.vegarodriguez' where id=1507;</v>
      </c>
    </row>
    <row r="509" spans="1:13" ht="116" x14ac:dyDescent="0.35">
      <c r="A509" s="16">
        <v>1508</v>
      </c>
      <c r="B509" s="18" t="s">
        <v>1754</v>
      </c>
      <c r="C509" s="16" t="str">
        <f>CONCATENATE("'",Alumnos!E594,"'")</f>
        <v>'valeria.alejogonzalez'</v>
      </c>
      <c r="D509" s="16" t="str">
        <f>CONCATENATE(Alumnos!F594,"'")</f>
        <v>'111238'</v>
      </c>
      <c r="E509" s="16" t="s">
        <v>1755</v>
      </c>
      <c r="F509" s="16" t="str">
        <f>CONCATENATE("'",Alumnos!H594,"'")</f>
        <v>'ALEJO GONZALEZ VALERIA'</v>
      </c>
      <c r="G509" s="16" t="str">
        <f>CONCATENATE("'",Alumnos!I594,"'")</f>
        <v>'ARQUITECTURA'</v>
      </c>
      <c r="H509" s="16" t="str">
        <f>CONCATENATE("'",Alumnos!J594,"'")</f>
        <v>'6to'</v>
      </c>
      <c r="I509" s="16" t="str">
        <f>UPPER(CONCATENATE("'",Alumnos!K594,"'"))</f>
        <v>'FEMENINO'</v>
      </c>
      <c r="J509" s="16" t="str">
        <f>UPPER(CONCATENATE("'",Alumnos!L594,"'"))</f>
        <v>'ACTIVO'</v>
      </c>
      <c r="K509" s="16" t="str">
        <f>CONCATENATE(A509,",",B509,",",C509,",",D509,",'",E509,",",F509,",",G509,",",H509,",",UPPER(I509),",",UPPER(J509),",'',0,0,'','ALUMNO'")</f>
        <v>1508,'LICENCIATURA','valeria.alejogonzalez','111238','TOMAR DEL SND','ALEJO GONZALEZ VALERIA','ARQUITECTURA','6to','FEMENINO','ACTIVO','',0,0,'','ALUMNO'</v>
      </c>
      <c r="L509" s="16" t="str">
        <f>CONCATENATE($K$1,K509,");")</f>
        <v>INSERT INTO participantes (id,nivel,correo,matricula,clave,nombre,carrera,grado,sexo,situacion,evaluados,num_evaluados,total_evaluaciones,ultimo_acceso,nivel_acceso) VALUES (1508,'LICENCIATURA','valeria.alejogonzalez','111238','TOMAR DEL SND','ALEJO GONZALEZ VALERIA','ARQUITECTURA','6to','FEMENINO','ACTIVO','',0,0,'','ALUMNO');</v>
      </c>
      <c r="M509" s="16" t="str">
        <f>CONCATENATE("update participantes set correo=",C509," where id=",A509,";")</f>
        <v>update participantes set correo='valeria.alejogonzalez' where id=1508;</v>
      </c>
    </row>
    <row r="510" spans="1:13" ht="116" x14ac:dyDescent="0.35">
      <c r="A510" s="16">
        <v>1509</v>
      </c>
      <c r="B510" s="18" t="s">
        <v>1754</v>
      </c>
      <c r="C510" s="16" t="str">
        <f>CONCATENATE("'",Alumnos!E571,"'")</f>
        <v>'sarahi.bajoperez'</v>
      </c>
      <c r="D510" s="16" t="str">
        <f>CONCATENATE(Alumnos!F571,"'")</f>
        <v>'111250'</v>
      </c>
      <c r="E510" s="16" t="s">
        <v>1755</v>
      </c>
      <c r="F510" s="16" t="str">
        <f>CONCATENATE("'",Alumnos!H571,"'")</f>
        <v>'BAJO PEREZ SARAHI'</v>
      </c>
      <c r="G510" s="16" t="str">
        <f>CONCATENATE("'",Alumnos!I571,"'")</f>
        <v>'PSICOLOGIA'</v>
      </c>
      <c r="H510" s="16" t="str">
        <f>CONCATENATE("'",Alumnos!J571,"'")</f>
        <v>'6to'</v>
      </c>
      <c r="I510" s="16" t="str">
        <f>UPPER(CONCATENATE("'",Alumnos!K571,"'"))</f>
        <v>'FEMENINO'</v>
      </c>
      <c r="J510" s="16" t="str">
        <f>UPPER(CONCATENATE("'",Alumnos!L571,"'"))</f>
        <v>'ACTIVO'</v>
      </c>
      <c r="K510" s="16" t="str">
        <f>CONCATENATE(A510,",",B510,",",C510,",",D510,",'",E510,",",F510,",",G510,",",H510,",",UPPER(I510),",",UPPER(J510),",'',0,0,'','ALUMNO'")</f>
        <v>1509,'LICENCIATURA','sarahi.bajoperez','111250','TOMAR DEL SND','BAJO PEREZ SARAHI','PSICOLOGIA','6to','FEMENINO','ACTIVO','',0,0,'','ALUMNO'</v>
      </c>
      <c r="L510" s="16" t="str">
        <f>CONCATENATE($K$1,K510,");")</f>
        <v>INSERT INTO participantes (id,nivel,correo,matricula,clave,nombre,carrera,grado,sexo,situacion,evaluados,num_evaluados,total_evaluaciones,ultimo_acceso,nivel_acceso) VALUES (1509,'LICENCIATURA','sarahi.bajoperez','111250','TOMAR DEL SND','BAJO PEREZ SARAHI','PSICOLOGIA','6to','FEMENINO','ACTIVO','',0,0,'','ALUMNO');</v>
      </c>
      <c r="M510" s="16" t="str">
        <f>CONCATENATE("update participantes set correo=",C510," where id=",A510,";")</f>
        <v>update participantes set correo='sarahi.bajoperez' where id=1509;</v>
      </c>
    </row>
    <row r="511" spans="1:13" ht="130.5" x14ac:dyDescent="0.35">
      <c r="A511" s="16">
        <v>1510</v>
      </c>
      <c r="B511" s="18" t="s">
        <v>1754</v>
      </c>
      <c r="C511" s="16" t="str">
        <f>CONCATENATE("'",Alumnos!E460,"'")</f>
        <v>'marisol.guzmanmoreno'</v>
      </c>
      <c r="D511" s="16" t="str">
        <f>CONCATENATE(Alumnos!F460,"'")</f>
        <v>'111251'</v>
      </c>
      <c r="E511" s="16" t="s">
        <v>1755</v>
      </c>
      <c r="F511" s="16" t="str">
        <f>CONCATENATE("'",Alumnos!H460,"'")</f>
        <v>'GUZMAN MORENO MARISOL'</v>
      </c>
      <c r="G511" s="16" t="str">
        <f>CONCATENATE("'",Alumnos!I460,"'")</f>
        <v>'ANIMACION DIGITAL Y VIDEOJUEGOS'</v>
      </c>
      <c r="H511" s="16" t="str">
        <f>CONCATENATE("'",Alumnos!J460,"'")</f>
        <v>'6to'</v>
      </c>
      <c r="I511" s="16" t="str">
        <f>UPPER(CONCATENATE("'",Alumnos!K460,"'"))</f>
        <v>'FEMENINO'</v>
      </c>
      <c r="J511" s="16" t="str">
        <f>UPPER(CONCATENATE("'",Alumnos!L460,"'"))</f>
        <v>'ACTIVO'</v>
      </c>
      <c r="K511" s="16" t="str">
        <f>CONCATENATE(A511,",",B511,",",C511,",",D511,",'",E511,",",F511,",",G511,",",H511,",",UPPER(I511),",",UPPER(J511),",'',0,0,'','ALUMNO'")</f>
        <v>1510,'LICENCIATURA','marisol.guzmanmoreno','111251','TOMAR DEL SND','GUZMAN MORENO MARISOL','ANIMACION DIGITAL Y VIDEOJUEGOS','6to','FEMENINO','ACTIVO','',0,0,'','ALUMNO'</v>
      </c>
      <c r="L511" s="16" t="str">
        <f>CONCATENATE($K$1,K511,");")</f>
        <v>INSERT INTO participantes (id,nivel,correo,matricula,clave,nombre,carrera,grado,sexo,situacion,evaluados,num_evaluados,total_evaluaciones,ultimo_acceso,nivel_acceso) VALUES (1510,'LICENCIATURA','marisol.guzmanmoreno','111251','TOMAR DEL SND','GUZMAN MORENO MARISOL','ANIMACION DIGITAL Y VIDEOJUEGOS','6to','FEMENINO','ACTIVO','',0,0,'','ALUMNO');</v>
      </c>
      <c r="M511" s="16" t="str">
        <f>CONCATENATE("update participantes set correo=",C511," where id=",A511,";")</f>
        <v>update participantes set correo='marisol.guzmanmoreno' where id=1510;</v>
      </c>
    </row>
    <row r="512" spans="1:13" ht="130.5" x14ac:dyDescent="0.35">
      <c r="A512" s="16">
        <v>1511</v>
      </c>
      <c r="B512" s="18" t="s">
        <v>1754</v>
      </c>
      <c r="C512" s="16" t="str">
        <f>CONCATENATE("'",Alumnos!E62,"'")</f>
        <v>'andreapaola.rodriguezvega'</v>
      </c>
      <c r="D512" s="16" t="str">
        <f>CONCATENATE(Alumnos!F62,"'")</f>
        <v>'111276'</v>
      </c>
      <c r="E512" s="16" t="s">
        <v>1755</v>
      </c>
      <c r="F512" s="16" t="str">
        <f>CONCATENATE("'",Alumnos!H62,"'")</f>
        <v>'RODRIGUEZ VEGA ANDREA PAOLA'</v>
      </c>
      <c r="G512" s="16" t="str">
        <f>CONCATENATE("'",Alumnos!I62,"'")</f>
        <v>'NUTRICION Y GASTRONOMIA'</v>
      </c>
      <c r="H512" s="16" t="str">
        <f>CONCATENATE("'",Alumnos!J62,"'")</f>
        <v>'6to'</v>
      </c>
      <c r="I512" s="16" t="str">
        <f>UPPER(CONCATENATE("'",Alumnos!K62,"'"))</f>
        <v>'FEMENINO'</v>
      </c>
      <c r="J512" s="16" t="str">
        <f>UPPER(CONCATENATE("'",Alumnos!L62,"'"))</f>
        <v>'ACTIVO'</v>
      </c>
      <c r="K512" s="16" t="str">
        <f>CONCATENATE(A512,",",B512,",",C512,",",D512,",'",E512,",",F512,",",G512,",",H512,",",UPPER(I512),",",UPPER(J512),",'',0,0,'','ALUMNO'")</f>
        <v>1511,'LICENCIATURA','andreapaola.rodriguezvega','111276','TOMAR DEL SND','RODRIGUEZ VEGA ANDREA PAOLA','NUTRICION Y GASTRONOMIA','6to','FEMENINO','ACTIVO','',0,0,'','ALUMNO'</v>
      </c>
      <c r="L512" s="16" t="str">
        <f>CONCATENATE($K$1,K512,");")</f>
        <v>INSERT INTO participantes (id,nivel,correo,matricula,clave,nombre,carrera,grado,sexo,situacion,evaluados,num_evaluados,total_evaluaciones,ultimo_acceso,nivel_acceso) VALUES (1511,'LICENCIATURA','andreapaola.rodriguezvega','111276','TOMAR DEL SND','RODRIGUEZ VEGA ANDREA PAOLA','NUTRICION Y GASTRONOMIA','6to','FEMENINO','ACTIVO','',0,0,'','ALUMNO');</v>
      </c>
      <c r="M512" s="16" t="str">
        <f>CONCATENATE("update participantes set correo=",C512," where id=",A512,";")</f>
        <v>update participantes set correo='andreapaola.rodriguezvega' where id=1511;</v>
      </c>
    </row>
    <row r="513" spans="1:13" ht="116" x14ac:dyDescent="0.35">
      <c r="A513" s="16">
        <v>1512</v>
      </c>
      <c r="B513" s="18" t="s">
        <v>1754</v>
      </c>
      <c r="C513" s="16" t="str">
        <f>CONCATENATE("'",Alumnos!E587,"'")</f>
        <v>'taniafernanda.riverarangel'</v>
      </c>
      <c r="D513" s="16" t="str">
        <f>CONCATENATE(Alumnos!F587,"'")</f>
        <v>'111311'</v>
      </c>
      <c r="E513" s="16" t="s">
        <v>1755</v>
      </c>
      <c r="F513" s="16" t="str">
        <f>CONCATENATE("'",Alumnos!H587,"'")</f>
        <v>'RIVERA RANGEL TANIA FERNANDA'</v>
      </c>
      <c r="G513" s="16" t="str">
        <f>CONCATENATE("'",Alumnos!I587,"'")</f>
        <v>'ARQUITECTURA'</v>
      </c>
      <c r="H513" s="16" t="str">
        <f>CONCATENATE("'",Alumnos!J587,"'")</f>
        <v>'4to'</v>
      </c>
      <c r="I513" s="16" t="str">
        <f>UPPER(CONCATENATE("'",Alumnos!K587,"'"))</f>
        <v>'FEMENINO'</v>
      </c>
      <c r="J513" s="16" t="str">
        <f>UPPER(CONCATENATE("'",Alumnos!L587,"'"))</f>
        <v>'ACTIVO'</v>
      </c>
      <c r="K513" s="16" t="str">
        <f>CONCATENATE(A513,",",B513,",",C513,",",D513,",'",E513,",",F513,",",G513,",",H513,",",UPPER(I513),",",UPPER(J513),",'',0,0,'','ALUMNO'")</f>
        <v>1512,'LICENCIATURA','taniafernanda.riverarangel','111311','TOMAR DEL SND','RIVERA RANGEL TANIA FERNANDA','ARQUITECTURA','4to','FEMENINO','ACTIVO','',0,0,'','ALUMNO'</v>
      </c>
      <c r="L513" s="16" t="str">
        <f>CONCATENATE($K$1,K513,");")</f>
        <v>INSERT INTO participantes (id,nivel,correo,matricula,clave,nombre,carrera,grado,sexo,situacion,evaluados,num_evaluados,total_evaluaciones,ultimo_acceso,nivel_acceso) VALUES (1512,'LICENCIATURA','taniafernanda.riverarangel','111311','TOMAR DEL SND','RIVERA RANGEL TANIA FERNANDA','ARQUITECTURA','4to','FEMENINO','ACTIVO','',0,0,'','ALUMNO');</v>
      </c>
      <c r="M513" s="16" t="str">
        <f>CONCATENATE("update participantes set correo=",C513," where id=",A513,";")</f>
        <v>update participantes set correo='taniafernanda.riverarangel' where id=1512;</v>
      </c>
    </row>
    <row r="514" spans="1:13" ht="130.5" x14ac:dyDescent="0.35">
      <c r="A514" s="16">
        <v>1513</v>
      </c>
      <c r="B514" s="18" t="s">
        <v>1754</v>
      </c>
      <c r="C514" s="16" t="str">
        <f>CONCATENATE("'",Alumnos!E272,"'")</f>
        <v>'hectororlando.valdiviaanguiano'</v>
      </c>
      <c r="D514" s="16" t="str">
        <f>CONCATENATE(Alumnos!F272,"'")</f>
        <v>'111326'</v>
      </c>
      <c r="E514" s="16" t="s">
        <v>1755</v>
      </c>
      <c r="F514" s="16" t="str">
        <f>CONCATENATE("'",Alumnos!H272,"'")</f>
        <v>'VALDIVIA ANGUIANO HECTOR ORLANDO'</v>
      </c>
      <c r="G514" s="16" t="str">
        <f>CONCATENATE("'",Alumnos!I272,"'")</f>
        <v>'INGENIERÍA AUTOMOTRIZ'</v>
      </c>
      <c r="H514" s="16" t="str">
        <f>CONCATENATE("'",Alumnos!J272,"'")</f>
        <v>'6to'</v>
      </c>
      <c r="I514" s="16" t="str">
        <f>UPPER(CONCATENATE("'",Alumnos!K272,"'"))</f>
        <v>'MASCULINO'</v>
      </c>
      <c r="J514" s="16" t="str">
        <f>UPPER(CONCATENATE("'",Alumnos!L272,"'"))</f>
        <v>'ACTIVO'</v>
      </c>
      <c r="K514" s="16" t="str">
        <f>CONCATENATE(A514,",",B514,",",C514,",",D514,",'",E514,",",F514,",",G514,",",H514,",",UPPER(I514),",",UPPER(J514),",'',0,0,'','ALUMNO'")</f>
        <v>1513,'LICENCIATURA','hectororlando.valdiviaanguiano','111326','TOMAR DEL SND','VALDIVIA ANGUIANO HECTOR ORLANDO','INGENIERÍA AUTOMOTRIZ','6to','MASCULINO','ACTIVO','',0,0,'','ALUMNO'</v>
      </c>
      <c r="L514" s="16" t="str">
        <f>CONCATENATE($K$1,K514,");")</f>
        <v>INSERT INTO participantes (id,nivel,correo,matricula,clave,nombre,carrera,grado,sexo,situacion,evaluados,num_evaluados,total_evaluaciones,ultimo_acceso,nivel_acceso) VALUES (1513,'LICENCIATURA','hectororlando.valdiviaanguiano','111326','TOMAR DEL SND','VALDIVIA ANGUIANO HECTOR ORLANDO','INGENIERÍA AUTOMOTRIZ','6to','MASCULINO','ACTIVO','',0,0,'','ALUMNO');</v>
      </c>
      <c r="M514" s="16" t="str">
        <f>CONCATENATE("update participantes set correo=",C514," where id=",A514,";")</f>
        <v>update participantes set correo='hectororlando.valdiviaanguiano' where id=1513;</v>
      </c>
    </row>
    <row r="515" spans="1:13" ht="130.5" x14ac:dyDescent="0.35">
      <c r="A515" s="16">
        <v>1514</v>
      </c>
      <c r="B515" s="18" t="s">
        <v>1754</v>
      </c>
      <c r="C515" s="16" t="str">
        <f>CONCATENATE("'",Alumnos!E299,"'")</f>
        <v>'javierandres.ariasescobar'</v>
      </c>
      <c r="D515" s="16" t="str">
        <f>CONCATENATE(Alumnos!F299,"'")</f>
        <v>'111330'</v>
      </c>
      <c r="E515" s="16" t="s">
        <v>1755</v>
      </c>
      <c r="F515" s="16" t="str">
        <f>CONCATENATE("'",Alumnos!H299,"'")</f>
        <v>'ARIAS ESCOBAR JAVIER ANDRES'</v>
      </c>
      <c r="G515" s="16" t="str">
        <f>CONCATENATE("'",Alumnos!I299,"'")</f>
        <v>'ANIMACION DIGITAL Y VIDEOJUEGOS'</v>
      </c>
      <c r="H515" s="16" t="str">
        <f>CONCATENATE("'",Alumnos!J299,"'")</f>
        <v>'4to'</v>
      </c>
      <c r="I515" s="16" t="str">
        <f>UPPER(CONCATENATE("'",Alumnos!K299,"'"))</f>
        <v>'MASCULINO'</v>
      </c>
      <c r="J515" s="16" t="str">
        <f>UPPER(CONCATENATE("'",Alumnos!L299,"'"))</f>
        <v>'ACTIVO'</v>
      </c>
      <c r="K515" s="16" t="str">
        <f>CONCATENATE(A515,",",B515,",",C515,",",D515,",'",E515,",",F515,",",G515,",",H515,",",UPPER(I515),",",UPPER(J515),",'',0,0,'','ALUMNO'")</f>
        <v>1514,'LICENCIATURA','javierandres.ariasescobar','111330','TOMAR DEL SND','ARIAS ESCOBAR JAVIER ANDRES','ANIMACION DIGITAL Y VIDEOJUEGOS','4to','MASCULINO','ACTIVO','',0,0,'','ALUMNO'</v>
      </c>
      <c r="L515" s="16" t="str">
        <f>CONCATENATE($K$1,K515,");")</f>
        <v>INSERT INTO participantes (id,nivel,correo,matricula,clave,nombre,carrera,grado,sexo,situacion,evaluados,num_evaluados,total_evaluaciones,ultimo_acceso,nivel_acceso) VALUES (1514,'LICENCIATURA','javierandres.ariasescobar','111330','TOMAR DEL SND','ARIAS ESCOBAR JAVIER ANDRES','ANIMACION DIGITAL Y VIDEOJUEGOS','4to','MASCULINO','ACTIVO','',0,0,'','ALUMNO');</v>
      </c>
      <c r="M515" s="16" t="str">
        <f>CONCATENATE("update participantes set correo=",C515," where id=",A515,";")</f>
        <v>update participantes set correo='javierandres.ariasescobar' where id=1514;</v>
      </c>
    </row>
    <row r="516" spans="1:13" ht="116" x14ac:dyDescent="0.35">
      <c r="A516" s="16">
        <v>1515</v>
      </c>
      <c r="B516" s="18" t="s">
        <v>1754</v>
      </c>
      <c r="C516" s="16" t="str">
        <f>CONCATENATE("'",Alumnos!E540,"'")</f>
        <v>'reginamargarita.arellanobanuelos'</v>
      </c>
      <c r="D516" s="16" t="str">
        <f>CONCATENATE(Alumnos!F540,"'")</f>
        <v>'111336'</v>
      </c>
      <c r="E516" s="16" t="s">
        <v>1755</v>
      </c>
      <c r="F516" s="16" t="str">
        <f>CONCATENATE("'",Alumnos!H540,"'")</f>
        <v>'ARELLANO BAÑUELOS REGINA MARGARITA'</v>
      </c>
      <c r="G516" s="16" t="str">
        <f>CONCATENATE("'",Alumnos!I540,"'")</f>
        <v>'ARQUITECTURA'</v>
      </c>
      <c r="H516" s="16" t="str">
        <f>CONCATENATE("'",Alumnos!J540,"'")</f>
        <v>'6to'</v>
      </c>
      <c r="I516" s="16" t="str">
        <f>UPPER(CONCATENATE("'",Alumnos!K540,"'"))</f>
        <v>'FEMENINO'</v>
      </c>
      <c r="J516" s="16" t="str">
        <f>UPPER(CONCATENATE("'",Alumnos!L540,"'"))</f>
        <v>'ACTIVO'</v>
      </c>
      <c r="K516" s="16" t="str">
        <f>CONCATENATE(A516,",",B516,",",C516,",",D516,",'",E516,",",F516,",",G516,",",H516,",",UPPER(I516),",",UPPER(J516),",'',0,0,'','ALUMNO'")</f>
        <v>1515,'LICENCIATURA','reginamargarita.arellanobanuelos','111336','TOMAR DEL SND','ARELLANO BAÑUELOS REGINA MARGARITA','ARQUITECTURA','6to','FEMENINO','ACTIVO','',0,0,'','ALUMNO'</v>
      </c>
      <c r="L516" s="16" t="str">
        <f>CONCATENATE($K$1,K516,");")</f>
        <v>INSERT INTO participantes (id,nivel,correo,matricula,clave,nombre,carrera,grado,sexo,situacion,evaluados,num_evaluados,total_evaluaciones,ultimo_acceso,nivel_acceso) VALUES (1515,'LICENCIATURA','reginamargarita.arellanobanuelos','111336','TOMAR DEL SND','ARELLANO BAÑUELOS REGINA MARGARITA','ARQUITECTURA','6to','FEMENINO','ACTIVO','',0,0,'','ALUMNO');</v>
      </c>
      <c r="M516" s="16" t="str">
        <f>CONCATENATE("update participantes set correo=",C516," where id=",A516,";")</f>
        <v>update participantes set correo='reginamargarita.arellanobanuelos' where id=1515;</v>
      </c>
    </row>
    <row r="517" spans="1:13" ht="130.5" x14ac:dyDescent="0.35">
      <c r="A517" s="16">
        <v>1516</v>
      </c>
      <c r="B517" s="18" t="s">
        <v>1754</v>
      </c>
      <c r="C517" s="16" t="str">
        <f>CONCATENATE("'",Alumnos!E569,"'")</f>
        <v>'saraagali.cajeroeinung'</v>
      </c>
      <c r="D517" s="16" t="str">
        <f>CONCATENATE(Alumnos!F569,"'")</f>
        <v>'111366'</v>
      </c>
      <c r="E517" s="16" t="s">
        <v>1755</v>
      </c>
      <c r="F517" s="16" t="str">
        <f>CONCATENATE("'",Alumnos!H569,"'")</f>
        <v>'CAJERO EINUNG SARA AGALI'</v>
      </c>
      <c r="G517" s="16" t="str">
        <f>CONCATENATE("'",Alumnos!I569,"'")</f>
        <v>'INGENIERIA CIBERNETICA Y EN SISTEMAS COMPUTACIONALES'</v>
      </c>
      <c r="H517" s="16" t="str">
        <f>CONCATENATE("'",Alumnos!J569,"'")</f>
        <v>'6to'</v>
      </c>
      <c r="I517" s="16" t="str">
        <f>UPPER(CONCATENATE("'",Alumnos!K569,"'"))</f>
        <v>'FEMENINO'</v>
      </c>
      <c r="J517" s="16" t="str">
        <f>UPPER(CONCATENATE("'",Alumnos!L569,"'"))</f>
        <v>'ACTIVO'</v>
      </c>
      <c r="K517" s="16" t="str">
        <f>CONCATENATE(A517,",",B517,",",C517,",",D517,",'",E517,",",F517,",",G517,",",H517,",",UPPER(I517),",",UPPER(J517),",'',0,0,'','ALUMNO'")</f>
        <v>1516,'LICENCIATURA','saraagali.cajeroeinung','111366','TOMAR DEL SND','CAJERO EINUNG SARA AGALI','INGENIERIA CIBERNETICA Y EN SISTEMAS COMPUTACIONALES','6to','FEMENINO','ACTIVO','',0,0,'','ALUMNO'</v>
      </c>
      <c r="L517" s="16" t="str">
        <f>CONCATENATE($K$1,K517,");")</f>
        <v>INSERT INTO participantes (id,nivel,correo,matricula,clave,nombre,carrera,grado,sexo,situacion,evaluados,num_evaluados,total_evaluaciones,ultimo_acceso,nivel_acceso) VALUES (1516,'LICENCIATURA','saraagali.cajeroeinung','111366','TOMAR DEL SND','CAJERO EINUNG SARA AGALI','INGENIERIA CIBERNETICA Y EN SISTEMAS COMPUTACIONALES','6to','FEMENINO','ACTIVO','',0,0,'','ALUMNO');</v>
      </c>
      <c r="M517" s="16" t="str">
        <f>CONCATENATE("update participantes set correo=",C517," where id=",A517,";")</f>
        <v>update participantes set correo='saraagali.cajeroeinung' where id=1516;</v>
      </c>
    </row>
    <row r="518" spans="1:13" ht="116" x14ac:dyDescent="0.35">
      <c r="A518" s="16">
        <v>1517</v>
      </c>
      <c r="B518" s="18" t="s">
        <v>1754</v>
      </c>
      <c r="C518" s="16" t="str">
        <f>CONCATENATE("'",Alumnos!E596,"'")</f>
        <v>'valeria.buitronvalencia'</v>
      </c>
      <c r="D518" s="16" t="str">
        <f>CONCATENATE(Alumnos!F596,"'")</f>
        <v>'111386'</v>
      </c>
      <c r="E518" s="16" t="s">
        <v>1755</v>
      </c>
      <c r="F518" s="16" t="str">
        <f>CONCATENATE("'",Alumnos!H596,"'")</f>
        <v>'BUITRON VALENCIA VALERIA'</v>
      </c>
      <c r="G518" s="16" t="str">
        <f>CONCATENATE("'",Alumnos!I596,"'")</f>
        <v>'PSICOLOGIA'</v>
      </c>
      <c r="H518" s="16" t="str">
        <f>CONCATENATE("'",Alumnos!J596,"'")</f>
        <v>'8vo'</v>
      </c>
      <c r="I518" s="16" t="str">
        <f>UPPER(CONCATENATE("'",Alumnos!K596,"'"))</f>
        <v>'FEMENINO'</v>
      </c>
      <c r="J518" s="16" t="str">
        <f>UPPER(CONCATENATE("'",Alumnos!L596,"'"))</f>
        <v>'ACTIVO'</v>
      </c>
      <c r="K518" s="16" t="str">
        <f>CONCATENATE(A518,",",B518,",",C518,",",D518,",'",E518,",",F518,",",G518,",",H518,",",UPPER(I518),",",UPPER(J518),",'',0,0,'','ALUMNO'")</f>
        <v>1517,'LICENCIATURA','valeria.buitronvalencia','111386','TOMAR DEL SND','BUITRON VALENCIA VALERIA','PSICOLOGIA','8vo','FEMENINO','ACTIVO','',0,0,'','ALUMNO'</v>
      </c>
      <c r="L518" s="16" t="str">
        <f>CONCATENATE($K$1,K518,");")</f>
        <v>INSERT INTO participantes (id,nivel,correo,matricula,clave,nombre,carrera,grado,sexo,situacion,evaluados,num_evaluados,total_evaluaciones,ultimo_acceso,nivel_acceso) VALUES (1517,'LICENCIATURA','valeria.buitronvalencia','111386','TOMAR DEL SND','BUITRON VALENCIA VALERIA','PSICOLOGIA','8vo','FEMENINO','ACTIVO','',0,0,'','ALUMNO');</v>
      </c>
      <c r="M518" s="16" t="str">
        <f>CONCATENATE("update participantes set correo=",C518," where id=",A518,";")</f>
        <v>update participantes set correo='valeria.buitronvalencia' where id=1517;</v>
      </c>
    </row>
    <row r="519" spans="1:13" ht="130.5" x14ac:dyDescent="0.35">
      <c r="A519" s="16">
        <v>1518</v>
      </c>
      <c r="B519" s="18" t="s">
        <v>1754</v>
      </c>
      <c r="C519" s="16" t="str">
        <f>CONCATENATE("'",Alumnos!E572,"'")</f>
        <v>'sauldejesus.villaloboscarrillo'</v>
      </c>
      <c r="D519" s="16" t="str">
        <f>CONCATENATE(Alumnos!F572,"'")</f>
        <v>'111532'</v>
      </c>
      <c r="E519" s="16" t="s">
        <v>1755</v>
      </c>
      <c r="F519" s="16" t="str">
        <f>CONCATENATE("'",Alumnos!H572,"'")</f>
        <v>'VILLALOBOS CARRILLO SAUL DE JESUS'</v>
      </c>
      <c r="G519" s="16" t="str">
        <f>CONCATENATE("'",Alumnos!I572,"'")</f>
        <v>'INGENIERIA AEROESPACIAL'</v>
      </c>
      <c r="H519" s="16" t="str">
        <f>CONCATENATE("'",Alumnos!J572,"'")</f>
        <v>'4to'</v>
      </c>
      <c r="I519" s="16" t="str">
        <f>UPPER(CONCATENATE("'",Alumnos!K572,"'"))</f>
        <v>'MASCULINO'</v>
      </c>
      <c r="J519" s="16" t="str">
        <f>UPPER(CONCATENATE("'",Alumnos!L572,"'"))</f>
        <v>'ACTIVO'</v>
      </c>
      <c r="K519" s="16" t="str">
        <f>CONCATENATE(A519,",",B519,",",C519,",",D519,",'",E519,",",F519,",",G519,",",H519,",",UPPER(I519),",",UPPER(J519),",'',0,0,'','ALUMNO'")</f>
        <v>1518,'LICENCIATURA','sauldejesus.villaloboscarrillo','111532','TOMAR DEL SND','VILLALOBOS CARRILLO SAUL DE JESUS','INGENIERIA AEROESPACIAL','4to','MASCULINO','ACTIVO','',0,0,'','ALUMNO'</v>
      </c>
      <c r="L519" s="16" t="str">
        <f>CONCATENATE($K$1,K519,");")</f>
        <v>INSERT INTO participantes (id,nivel,correo,matricula,clave,nombre,carrera,grado,sexo,situacion,evaluados,num_evaluados,total_evaluaciones,ultimo_acceso,nivel_acceso) VALUES (1518,'LICENCIATURA','sauldejesus.villaloboscarrillo','111532','TOMAR DEL SND','VILLALOBOS CARRILLO SAUL DE JESUS','INGENIERIA AEROESPACIAL','4to','MASCULINO','ACTIVO','',0,0,'','ALUMNO');</v>
      </c>
      <c r="M519" s="16" t="str">
        <f>CONCATENATE("update participantes set correo=",C519," where id=",A519,";")</f>
        <v>update participantes set correo='sauldejesus.villaloboscarrillo' where id=1518;</v>
      </c>
    </row>
    <row r="520" spans="1:13" ht="116" x14ac:dyDescent="0.35">
      <c r="A520" s="16">
        <v>1519</v>
      </c>
      <c r="B520" s="18" t="s">
        <v>1754</v>
      </c>
      <c r="C520" s="16" t="str">
        <f>CONCATENATE("'",Alumnos!E55,"'")</f>
        <v>'anavaleria.godinezsanchez'</v>
      </c>
      <c r="D520" s="16" t="str">
        <f>CONCATENATE(Alumnos!F55,"'")</f>
        <v>'111604'</v>
      </c>
      <c r="E520" s="16" t="s">
        <v>1755</v>
      </c>
      <c r="F520" s="16" t="str">
        <f>CONCATENATE("'",Alumnos!H55,"'")</f>
        <v>'GODINEZ SANCHEZ ANA VALERIA'</v>
      </c>
      <c r="G520" s="16" t="str">
        <f>CONCATENATE("'",Alumnos!I55,"'")</f>
        <v>'PSICOLOGIA'</v>
      </c>
      <c r="H520" s="16" t="str">
        <f>CONCATENATE("'",Alumnos!J55,"'")</f>
        <v>'4to'</v>
      </c>
      <c r="I520" s="16" t="str">
        <f>UPPER(CONCATENATE("'",Alumnos!K55,"'"))</f>
        <v>'FEMENINO'</v>
      </c>
      <c r="J520" s="16" t="str">
        <f>UPPER(CONCATENATE("'",Alumnos!L55,"'"))</f>
        <v>'ACTIVO'</v>
      </c>
      <c r="K520" s="16" t="str">
        <f>CONCATENATE(A520,",",B520,",",C520,",",D520,",'",E520,",",F520,",",G520,",",H520,",",UPPER(I520),",",UPPER(J520),",'',0,0,'','ALUMNO'")</f>
        <v>1519,'LICENCIATURA','anavaleria.godinezsanchez','111604','TOMAR DEL SND','GODINEZ SANCHEZ ANA VALERIA','PSICOLOGIA','4to','FEMENINO','ACTIVO','',0,0,'','ALUMNO'</v>
      </c>
      <c r="L520" s="16" t="str">
        <f>CONCATENATE($K$1,K520,");")</f>
        <v>INSERT INTO participantes (id,nivel,correo,matricula,clave,nombre,carrera,grado,sexo,situacion,evaluados,num_evaluados,total_evaluaciones,ultimo_acceso,nivel_acceso) VALUES (1519,'LICENCIATURA','anavaleria.godinezsanchez','111604','TOMAR DEL SND','GODINEZ SANCHEZ ANA VALERIA','PSICOLOGIA','4to','FEMENINO','ACTIVO','',0,0,'','ALUMNO');</v>
      </c>
      <c r="M520" s="16" t="str">
        <f>CONCATENATE("update participantes set correo=",C520," where id=",A520,";")</f>
        <v>update participantes set correo='anavaleria.godinezsanchez' where id=1519;</v>
      </c>
    </row>
    <row r="521" spans="1:13" ht="130.5" x14ac:dyDescent="0.35">
      <c r="A521" s="16">
        <v>1520</v>
      </c>
      <c r="B521" s="18" t="s">
        <v>1754</v>
      </c>
      <c r="C521" s="16" t="str">
        <f>CONCATENATE("'",Alumnos!E231,"'")</f>
        <v>'estephany.coldivarflores'</v>
      </c>
      <c r="D521" s="16" t="str">
        <f>CONCATENATE(Alumnos!F231,"'")</f>
        <v>'111605'</v>
      </c>
      <c r="E521" s="16" t="s">
        <v>1755</v>
      </c>
      <c r="F521" s="16" t="str">
        <f>CONCATENATE("'",Alumnos!H231,"'")</f>
        <v>'COLDIVAR FLORES ESTEPHANY'</v>
      </c>
      <c r="G521" s="16" t="str">
        <f>CONCATENATE("'",Alumnos!I231,"'")</f>
        <v>'ANIMACION DIGITAL Y VIDEOJUEGOS'</v>
      </c>
      <c r="H521" s="16" t="str">
        <f>CONCATENATE("'",Alumnos!J231,"'")</f>
        <v>'4to'</v>
      </c>
      <c r="I521" s="16" t="str">
        <f>UPPER(CONCATENATE("'",Alumnos!K231,"'"))</f>
        <v>'FEMENINO'</v>
      </c>
      <c r="J521" s="16" t="str">
        <f>UPPER(CONCATENATE("'",Alumnos!L231,"'"))</f>
        <v>'ACTIVO'</v>
      </c>
      <c r="K521" s="16" t="str">
        <f>CONCATENATE(A521,",",B521,",",C521,",",D521,",'",E521,",",F521,",",G521,",",H521,",",UPPER(I521),",",UPPER(J521),",'',0,0,'','ALUMNO'")</f>
        <v>1520,'LICENCIATURA','estephany.coldivarflores','111605','TOMAR DEL SND','COLDIVAR FLORES ESTEPHANY','ANIMACION DIGITAL Y VIDEOJUEGOS','4to','FEMENINO','ACTIVO','',0,0,'','ALUMNO'</v>
      </c>
      <c r="L521" s="16" t="str">
        <f>CONCATENATE($K$1,K521,");")</f>
        <v>INSERT INTO participantes (id,nivel,correo,matricula,clave,nombre,carrera,grado,sexo,situacion,evaluados,num_evaluados,total_evaluaciones,ultimo_acceso,nivel_acceso) VALUES (1520,'LICENCIATURA','estephany.coldivarflores','111605','TOMAR DEL SND','COLDIVAR FLORES ESTEPHANY','ANIMACION DIGITAL Y VIDEOJUEGOS','4to','FEMENINO','ACTIVO','',0,0,'','ALUMNO');</v>
      </c>
      <c r="M521" s="16" t="str">
        <f>CONCATENATE("update participantes set correo=",C521," where id=",A521,";")</f>
        <v>update participantes set correo='estephany.coldivarflores' where id=1520;</v>
      </c>
    </row>
    <row r="522" spans="1:13" ht="116" x14ac:dyDescent="0.35">
      <c r="A522" s="16">
        <v>1521</v>
      </c>
      <c r="B522" s="18" t="s">
        <v>1754</v>
      </c>
      <c r="C522" s="16" t="str">
        <f>CONCATENATE("'",Alumnos!E220,"'")</f>
        <v>'emmanuelsebastian.castrogarcia'</v>
      </c>
      <c r="D522" s="16" t="str">
        <f>CONCATENATE(Alumnos!F220,"'")</f>
        <v>'111607'</v>
      </c>
      <c r="E522" s="16" t="s">
        <v>1755</v>
      </c>
      <c r="F522" s="16" t="str">
        <f>CONCATENATE("'",Alumnos!H220,"'")</f>
        <v>'CASTRO GARCIA EMMANUEL SEBASTIAN'</v>
      </c>
      <c r="G522" s="16" t="str">
        <f>CONCATENATE("'",Alumnos!I220,"'")</f>
        <v>'ADMINISTRACION Y DIRECCION DE NEGOCIOS'</v>
      </c>
      <c r="H522" s="16" t="str">
        <f>CONCATENATE("'",Alumnos!J220,"'")</f>
        <v>'4to'</v>
      </c>
      <c r="I522" s="16" t="str">
        <f>UPPER(CONCATENATE("'",Alumnos!K220,"'"))</f>
        <v>'MASCULINO'</v>
      </c>
      <c r="J522" s="16" t="str">
        <f>UPPER(CONCATENATE("'",Alumnos!L220,"'"))</f>
        <v>'ACTIVO'</v>
      </c>
      <c r="K522" s="16" t="str">
        <f>CONCATENATE(A522,",",B522,",",C522,",",D522,",'",E522,",",F522,",",G522,",",H522,",",UPPER(I522),",",UPPER(J522),",'',0,0,'','ALUMNO'")</f>
        <v>1521,'LICENCIATURA','emmanuelsebastian.castrogarcia','111607','TOMAR DEL SND','CASTRO GARCIA EMMANUEL SEBASTIAN','ADMINISTRACION Y DIRECCION DE NEGOCIOS','4to','MASCULINO','ACTIVO','',0,0,'','ALUMNO'</v>
      </c>
      <c r="L522" s="16" t="str">
        <f>CONCATENATE($K$1,K522,");")</f>
        <v>INSERT INTO participantes (id,nivel,correo,matricula,clave,nombre,carrera,grado,sexo,situacion,evaluados,num_evaluados,total_evaluaciones,ultimo_acceso,nivel_acceso) VALUES (1521,'LICENCIATURA','emmanuelsebastian.castrogarcia','111607','TOMAR DEL SND','CASTRO GARCIA EMMANUEL SEBASTIAN','ADMINISTRACION Y DIRECCION DE NEGOCIOS','4to','MASCULINO','ACTIVO','',0,0,'','ALUMNO');</v>
      </c>
      <c r="M522" s="16" t="str">
        <f>CONCATENATE("update participantes set correo=",C522," where id=",A522,";")</f>
        <v>update participantes set correo='emmanuelsebastian.castrogarcia' where id=1521;</v>
      </c>
    </row>
    <row r="523" spans="1:13" ht="116" x14ac:dyDescent="0.35">
      <c r="A523" s="16">
        <v>1522</v>
      </c>
      <c r="B523" s="18" t="s">
        <v>1754</v>
      </c>
      <c r="C523" s="16" t="str">
        <f>CONCATENATE("'",Alumnos!E151,"'")</f>
        <v>'danaelena.rendondelrio'</v>
      </c>
      <c r="D523" s="16" t="str">
        <f>CONCATENATE(Alumnos!F151,"'")</f>
        <v>'111608'</v>
      </c>
      <c r="E523" s="16" t="s">
        <v>1755</v>
      </c>
      <c r="F523" s="16" t="str">
        <f>CONCATENATE("'",Alumnos!H151,"'")</f>
        <v>'RENDON DEL RIO DANA ELENA'</v>
      </c>
      <c r="G523" s="16" t="str">
        <f>CONCATENATE("'",Alumnos!I151,"'")</f>
        <v>'ADMINISTRACION Y DIRECCION DE NEGOCIOS'</v>
      </c>
      <c r="H523" s="16" t="str">
        <f>CONCATENATE("'",Alumnos!J151,"'")</f>
        <v>'4to'</v>
      </c>
      <c r="I523" s="16" t="str">
        <f>UPPER(CONCATENATE("'",Alumnos!K151,"'"))</f>
        <v>'FEMENINO'</v>
      </c>
      <c r="J523" s="16" t="str">
        <f>UPPER(CONCATENATE("'",Alumnos!L151,"'"))</f>
        <v>'ACTIVO'</v>
      </c>
      <c r="K523" s="16" t="str">
        <f>CONCATENATE(A523,",",B523,",",C523,",",D523,",'",E523,",",F523,",",G523,",",H523,",",UPPER(I523),",",UPPER(J523),",'',0,0,'','ALUMNO'")</f>
        <v>1522,'LICENCIATURA','danaelena.rendondelrio','111608','TOMAR DEL SND','RENDON DEL RIO DANA ELENA','ADMINISTRACION Y DIRECCION DE NEGOCIOS','4to','FEMENINO','ACTIVO','',0,0,'','ALUMNO'</v>
      </c>
      <c r="L523" s="16" t="str">
        <f>CONCATENATE($K$1,K523,");")</f>
        <v>INSERT INTO participantes (id,nivel,correo,matricula,clave,nombre,carrera,grado,sexo,situacion,evaluados,num_evaluados,total_evaluaciones,ultimo_acceso,nivel_acceso) VALUES (1522,'LICENCIATURA','danaelena.rendondelrio','111608','TOMAR DEL SND','RENDON DEL RIO DANA ELENA','ADMINISTRACION Y DIRECCION DE NEGOCIOS','4to','FEMENINO','ACTIVO','',0,0,'','ALUMNO');</v>
      </c>
      <c r="M523" s="16" t="str">
        <f>CONCATENATE("update participantes set correo=",C523," where id=",A523,";")</f>
        <v>update participantes set correo='danaelena.rendondelrio' where id=1522;</v>
      </c>
    </row>
    <row r="524" spans="1:13" ht="116" x14ac:dyDescent="0.35">
      <c r="A524" s="16">
        <v>1523</v>
      </c>
      <c r="B524" s="18" t="s">
        <v>1754</v>
      </c>
      <c r="C524" s="16" t="str">
        <f>CONCATENATE("'",Alumnos!E88,"'")</f>
        <v>'antonio.verduzcovazquezaldana'</v>
      </c>
      <c r="D524" s="16" t="str">
        <f>CONCATENATE(Alumnos!F88,"'")</f>
        <v>'111609'</v>
      </c>
      <c r="E524" s="16" t="s">
        <v>1755</v>
      </c>
      <c r="F524" s="16" t="str">
        <f>CONCATENATE("'",Alumnos!H88,"'")</f>
        <v>'VERDUZCO VAZQUEZ ALDANA ANTONIO'</v>
      </c>
      <c r="G524" s="16" t="str">
        <f>CONCATENATE("'",Alumnos!I88,"'")</f>
        <v>'ADMINISTRACION Y DIRECCION DE NEGOCIOS'</v>
      </c>
      <c r="H524" s="16" t="str">
        <f>CONCATENATE("'",Alumnos!J88,"'")</f>
        <v>'4to'</v>
      </c>
      <c r="I524" s="16" t="str">
        <f>UPPER(CONCATENATE("'",Alumnos!K88,"'"))</f>
        <v>'MASCULINO'</v>
      </c>
      <c r="J524" s="16" t="str">
        <f>UPPER(CONCATENATE("'",Alumnos!L88,"'"))</f>
        <v>'ACTIVO'</v>
      </c>
      <c r="K524" s="16" t="str">
        <f>CONCATENATE(A524,",",B524,",",C524,",",D524,",'",E524,",",F524,",",G524,",",H524,",",UPPER(I524),",",UPPER(J524),",'',0,0,'','ALUMNO'")</f>
        <v>1523,'LICENCIATURA','antonio.verduzcovazquezaldana','111609','TOMAR DEL SND','VERDUZCO VAZQUEZ ALDANA ANTONIO','ADMINISTRACION Y DIRECCION DE NEGOCIOS','4to','MASCULINO','ACTIVO','',0,0,'','ALUMNO'</v>
      </c>
      <c r="L524" s="16" t="str">
        <f>CONCATENATE($K$1,K524,");")</f>
        <v>INSERT INTO participantes (id,nivel,correo,matricula,clave,nombre,carrera,grado,sexo,situacion,evaluados,num_evaluados,total_evaluaciones,ultimo_acceso,nivel_acceso) VALUES (1523,'LICENCIATURA','antonio.verduzcovazquezaldana','111609','TOMAR DEL SND','VERDUZCO VAZQUEZ ALDANA ANTONIO','ADMINISTRACION Y DIRECCION DE NEGOCIOS','4to','MASCULINO','ACTIVO','',0,0,'','ALUMNO');</v>
      </c>
      <c r="M524" s="16" t="str">
        <f>CONCATENATE("update participantes set correo=",C524," where id=",A524,";")</f>
        <v>update participantes set correo='antonio.verduzcovazquezaldana' where id=1523;</v>
      </c>
    </row>
    <row r="525" spans="1:13" ht="116" x14ac:dyDescent="0.35">
      <c r="A525" s="16">
        <v>1524</v>
      </c>
      <c r="B525" s="18" t="s">
        <v>1754</v>
      </c>
      <c r="C525" s="16" t="str">
        <f>CONCATENATE("'",Alumnos!E476,"'")</f>
        <v>'miguel.delgado'</v>
      </c>
      <c r="D525" s="16" t="str">
        <f>CONCATENATE(Alumnos!F476,"'")</f>
        <v>'111610'</v>
      </c>
      <c r="E525" s="16" t="s">
        <v>1755</v>
      </c>
      <c r="F525" s="16" t="str">
        <f>CONCATENATE("'",Alumnos!H476,"'")</f>
        <v>'DELGADO  MIGUEL'</v>
      </c>
      <c r="G525" s="16" t="str">
        <f>CONCATENATE("'",Alumnos!I476,"'")</f>
        <v>'INGENIERIA AEROESPACIAL'</v>
      </c>
      <c r="H525" s="16" t="str">
        <f>CONCATENATE("'",Alumnos!J476,"'")</f>
        <v>'4to'</v>
      </c>
      <c r="I525" s="16" t="str">
        <f>UPPER(CONCATENATE("'",Alumnos!K476,"'"))</f>
        <v>'MASCULINO'</v>
      </c>
      <c r="J525" s="16" t="str">
        <f>UPPER(CONCATENATE("'",Alumnos!L476,"'"))</f>
        <v>'ACTIVO'</v>
      </c>
      <c r="K525" s="16" t="str">
        <f>CONCATENATE(A525,",",B525,",",C525,",",D525,",'",E525,",",F525,",",G525,",",H525,",",UPPER(I525),",",UPPER(J525),",'',0,0,'','ALUMNO'")</f>
        <v>1524,'LICENCIATURA','miguel.delgado','111610','TOMAR DEL SND','DELGADO  MIGUEL','INGENIERIA AEROESPACIAL','4to','MASCULINO','ACTIVO','',0,0,'','ALUMNO'</v>
      </c>
      <c r="L525" s="16" t="str">
        <f>CONCATENATE($K$1,K525,");")</f>
        <v>INSERT INTO participantes (id,nivel,correo,matricula,clave,nombre,carrera,grado,sexo,situacion,evaluados,num_evaluados,total_evaluaciones,ultimo_acceso,nivel_acceso) VALUES (1524,'LICENCIATURA','miguel.delgado','111610','TOMAR DEL SND','DELGADO  MIGUEL','INGENIERIA AEROESPACIAL','4to','MASCULINO','ACTIVO','',0,0,'','ALUMNO');</v>
      </c>
      <c r="M525" s="16" t="str">
        <f>CONCATENATE("update participantes set correo=",C525," where id=",A525,";")</f>
        <v>update participantes set correo='miguel.delgado' where id=1524;</v>
      </c>
    </row>
    <row r="526" spans="1:13" ht="130.5" x14ac:dyDescent="0.35">
      <c r="A526" s="16">
        <v>1525</v>
      </c>
      <c r="B526" s="18" t="s">
        <v>1754</v>
      </c>
      <c r="C526" s="16" t="str">
        <f>CONCATENATE("'",Alumnos!E300,"'")</f>
        <v>'javierantonio.mariscalreyes'</v>
      </c>
      <c r="D526" s="16" t="str">
        <f>CONCATENATE(Alumnos!F300,"'")</f>
        <v>'111613'</v>
      </c>
      <c r="E526" s="16" t="s">
        <v>1755</v>
      </c>
      <c r="F526" s="16" t="str">
        <f>CONCATENATE("'",Alumnos!H300,"'")</f>
        <v>'MARISCAL REYES JAVIER ANTONIO'</v>
      </c>
      <c r="G526" s="16" t="str">
        <f>CONCATENATE("'",Alumnos!I300,"'")</f>
        <v>'INGENIERIA AEROESPACIAL'</v>
      </c>
      <c r="H526" s="16" t="str">
        <f>CONCATENATE("'",Alumnos!J300,"'")</f>
        <v>'4to'</v>
      </c>
      <c r="I526" s="16" t="str">
        <f>UPPER(CONCATENATE("'",Alumnos!K300,"'"))</f>
        <v>'MASCULINO'</v>
      </c>
      <c r="J526" s="16" t="str">
        <f>UPPER(CONCATENATE("'",Alumnos!L300,"'"))</f>
        <v>'ACTIVO'</v>
      </c>
      <c r="K526" s="16" t="str">
        <f>CONCATENATE(A526,",",B526,",",C526,",",D526,",'",E526,",",F526,",",G526,",",H526,",",UPPER(I526),",",UPPER(J526),",'',0,0,'','ALUMNO'")</f>
        <v>1525,'LICENCIATURA','javierantonio.mariscalreyes','111613','TOMAR DEL SND','MARISCAL REYES JAVIER ANTONIO','INGENIERIA AEROESPACIAL','4to','MASCULINO','ACTIVO','',0,0,'','ALUMNO'</v>
      </c>
      <c r="L526" s="16" t="str">
        <f>CONCATENATE($K$1,K526,");")</f>
        <v>INSERT INTO participantes (id,nivel,correo,matricula,clave,nombre,carrera,grado,sexo,situacion,evaluados,num_evaluados,total_evaluaciones,ultimo_acceso,nivel_acceso) VALUES (1525,'LICENCIATURA','javierantonio.mariscalreyes','111613','TOMAR DEL SND','MARISCAL REYES JAVIER ANTONIO','INGENIERIA AEROESPACIAL','4to','MASCULINO','ACTIVO','',0,0,'','ALUMNO');</v>
      </c>
      <c r="M526" s="16" t="str">
        <f>CONCATENATE("update participantes set correo=",C526," where id=",A526,";")</f>
        <v>update participantes set correo='javierantonio.mariscalreyes' where id=1525;</v>
      </c>
    </row>
    <row r="527" spans="1:13" ht="130.5" x14ac:dyDescent="0.35">
      <c r="A527" s="16">
        <v>1526</v>
      </c>
      <c r="B527" s="18" t="s">
        <v>1754</v>
      </c>
      <c r="C527" s="16" t="str">
        <f>CONCATENATE("'",Alumnos!E200,"'")</f>
        <v>'edgar.hernandezsandoval'</v>
      </c>
      <c r="D527" s="16" t="str">
        <f>CONCATENATE(Alumnos!F200,"'")</f>
        <v>'111614'</v>
      </c>
      <c r="E527" s="16" t="s">
        <v>1755</v>
      </c>
      <c r="F527" s="16" t="str">
        <f>CONCATENATE("'",Alumnos!H200,"'")</f>
        <v>'HERNANDEZ SANDOVAL EDGAR'</v>
      </c>
      <c r="G527" s="16" t="str">
        <f>CONCATENATE("'",Alumnos!I200,"'")</f>
        <v>'INGENIERIA AEROESPACIAL'</v>
      </c>
      <c r="H527" s="16" t="str">
        <f>CONCATENATE("'",Alumnos!J200,"'")</f>
        <v>'4to'</v>
      </c>
      <c r="I527" s="16" t="str">
        <f>UPPER(CONCATENATE("'",Alumnos!K200,"'"))</f>
        <v>'MASCULINO'</v>
      </c>
      <c r="J527" s="16" t="str">
        <f>UPPER(CONCATENATE("'",Alumnos!L200,"'"))</f>
        <v>'ACTIVO'</v>
      </c>
      <c r="K527" s="16" t="str">
        <f>CONCATENATE(A527,",",B527,",",C527,",",D527,",'",E527,",",F527,",",G527,",",H527,",",UPPER(I527),",",UPPER(J527),",'',0,0,'','ALUMNO'")</f>
        <v>1526,'LICENCIATURA','edgar.hernandezsandoval','111614','TOMAR DEL SND','HERNANDEZ SANDOVAL EDGAR','INGENIERIA AEROESPACIAL','4to','MASCULINO','ACTIVO','',0,0,'','ALUMNO'</v>
      </c>
      <c r="L527" s="16" t="str">
        <f>CONCATENATE($K$1,K527,");")</f>
        <v>INSERT INTO participantes (id,nivel,correo,matricula,clave,nombre,carrera,grado,sexo,situacion,evaluados,num_evaluados,total_evaluaciones,ultimo_acceso,nivel_acceso) VALUES (1526,'LICENCIATURA','edgar.hernandezsandoval','111614','TOMAR DEL SND','HERNANDEZ SANDOVAL EDGAR','INGENIERIA AEROESPACIAL','4to','MASCULINO','ACTIVO','',0,0,'','ALUMNO');</v>
      </c>
      <c r="M527" s="16" t="str">
        <f>CONCATENATE("update participantes set correo=",C527," where id=",A527,";")</f>
        <v>update participantes set correo='edgar.hernandezsandoval' where id=1526;</v>
      </c>
    </row>
    <row r="528" spans="1:13" ht="130.5" x14ac:dyDescent="0.35">
      <c r="A528" s="16">
        <v>1527</v>
      </c>
      <c r="B528" s="18" t="s">
        <v>1754</v>
      </c>
      <c r="C528" s="16" t="str">
        <f>CONCATENATE("'",Alumnos!E385,"'")</f>
        <v>'kevinemmanuel.hernandezquezada'</v>
      </c>
      <c r="D528" s="16" t="str">
        <f>CONCATENATE(Alumnos!F385,"'")</f>
        <v>'111615'</v>
      </c>
      <c r="E528" s="16" t="s">
        <v>1755</v>
      </c>
      <c r="F528" s="16" t="str">
        <f>CONCATENATE("'",Alumnos!H385,"'")</f>
        <v>'HERNANDEZ QUEZADA KEVIN EMMANUEL'</v>
      </c>
      <c r="G528" s="16" t="str">
        <f>CONCATENATE("'",Alumnos!I385,"'")</f>
        <v>'INGENIERIA AEROESPACIAL'</v>
      </c>
      <c r="H528" s="16" t="str">
        <f>CONCATENATE("'",Alumnos!J385,"'")</f>
        <v>'4to'</v>
      </c>
      <c r="I528" s="16" t="str">
        <f>UPPER(CONCATENATE("'",Alumnos!K385,"'"))</f>
        <v>'MASCULINO'</v>
      </c>
      <c r="J528" s="16" t="str">
        <f>UPPER(CONCATENATE("'",Alumnos!L385,"'"))</f>
        <v>'ACTIVO'</v>
      </c>
      <c r="K528" s="16" t="str">
        <f>CONCATENATE(A528,",",B528,",",C528,",",D528,",'",E528,",",F528,",",G528,",",H528,",",UPPER(I528),",",UPPER(J528),",'',0,0,'','ALUMNO'")</f>
        <v>1527,'LICENCIATURA','kevinemmanuel.hernandezquezada','111615','TOMAR DEL SND','HERNANDEZ QUEZADA KEVIN EMMANUEL','INGENIERIA AEROESPACIAL','4to','MASCULINO','ACTIVO','',0,0,'','ALUMNO'</v>
      </c>
      <c r="L528" s="16" t="str">
        <f>CONCATENATE($K$1,K528,");")</f>
        <v>INSERT INTO participantes (id,nivel,correo,matricula,clave,nombre,carrera,grado,sexo,situacion,evaluados,num_evaluados,total_evaluaciones,ultimo_acceso,nivel_acceso) VALUES (1527,'LICENCIATURA','kevinemmanuel.hernandezquezada','111615','TOMAR DEL SND','HERNANDEZ QUEZADA KEVIN EMMANUEL','INGENIERIA AEROESPACIAL','4to','MASCULINO','ACTIVO','',0,0,'','ALUMNO');</v>
      </c>
      <c r="M528" s="16" t="str">
        <f>CONCATENATE("update participantes set correo=",C528," where id=",A528,";")</f>
        <v>update participantes set correo='kevinemmanuel.hernandezquezada' where id=1527;</v>
      </c>
    </row>
    <row r="529" spans="1:13" ht="116" x14ac:dyDescent="0.35">
      <c r="A529" s="16">
        <v>1528</v>
      </c>
      <c r="B529" s="18" t="s">
        <v>1754</v>
      </c>
      <c r="C529" s="16" t="str">
        <f>CONCATENATE("'",Alumnos!E334,"'")</f>
        <v>'joseemmanuel.becerrilgarcia'</v>
      </c>
      <c r="D529" s="16" t="str">
        <f>CONCATENATE(Alumnos!F334,"'")</f>
        <v>'111616'</v>
      </c>
      <c r="E529" s="16" t="s">
        <v>1755</v>
      </c>
      <c r="F529" s="16" t="str">
        <f>CONCATENATE("'",Alumnos!H334,"'")</f>
        <v>'BECERRIL GARCIA JOSE EMMANUEL'</v>
      </c>
      <c r="G529" s="16" t="str">
        <f>CONCATENATE("'",Alumnos!I334,"'")</f>
        <v>'ARQUITECTURA'</v>
      </c>
      <c r="H529" s="16" t="str">
        <f>CONCATENATE("'",Alumnos!J334,"'")</f>
        <v>'4to'</v>
      </c>
      <c r="I529" s="16" t="str">
        <f>UPPER(CONCATENATE("'",Alumnos!K334,"'"))</f>
        <v>'MASCULINO'</v>
      </c>
      <c r="J529" s="16" t="str">
        <f>UPPER(CONCATENATE("'",Alumnos!L334,"'"))</f>
        <v>'ACTIVO'</v>
      </c>
      <c r="K529" s="16" t="str">
        <f>CONCATENATE(A529,",",B529,",",C529,",",D529,",'",E529,",",F529,",",G529,",",H529,",",UPPER(I529),",",UPPER(J529),",'',0,0,'','ALUMNO'")</f>
        <v>1528,'LICENCIATURA','joseemmanuel.becerrilgarcia','111616','TOMAR DEL SND','BECERRIL GARCIA JOSE EMMANUEL','ARQUITECTURA','4to','MASCULINO','ACTIVO','',0,0,'','ALUMNO'</v>
      </c>
      <c r="L529" s="16" t="str">
        <f>CONCATENATE($K$1,K529,");")</f>
        <v>INSERT INTO participantes (id,nivel,correo,matricula,clave,nombre,carrera,grado,sexo,situacion,evaluados,num_evaluados,total_evaluaciones,ultimo_acceso,nivel_acceso) VALUES (1528,'LICENCIATURA','joseemmanuel.becerrilgarcia','111616','TOMAR DEL SND','BECERRIL GARCIA JOSE EMMANUEL','ARQUITECTURA','4to','MASCULINO','ACTIVO','',0,0,'','ALUMNO');</v>
      </c>
      <c r="M529" s="16" t="str">
        <f>CONCATENATE("update participantes set correo=",C529," where id=",A529,";")</f>
        <v>update participantes set correo='joseemmanuel.becerrilgarcia' where id=1528;</v>
      </c>
    </row>
    <row r="530" spans="1:13" ht="116" x14ac:dyDescent="0.35">
      <c r="A530" s="16">
        <v>1529</v>
      </c>
      <c r="B530" s="18" t="s">
        <v>1754</v>
      </c>
      <c r="C530" s="16" t="str">
        <f>CONCATENATE("'",Alumnos!E24,"'")</f>
        <v>'alejandra.neriflores'</v>
      </c>
      <c r="D530" s="16" t="str">
        <f>CONCATENATE(Alumnos!F24,"'")</f>
        <v>'111618'</v>
      </c>
      <c r="E530" s="16" t="s">
        <v>1755</v>
      </c>
      <c r="F530" s="16" t="str">
        <f>CONCATENATE("'",Alumnos!H24,"'")</f>
        <v>'NERI FLORES ALEJANDRA'</v>
      </c>
      <c r="G530" s="16" t="str">
        <f>CONCATENATE("'",Alumnos!I24,"'")</f>
        <v>'ARQUITECTURA'</v>
      </c>
      <c r="H530" s="16" t="str">
        <f>CONCATENATE("'",Alumnos!J24,"'")</f>
        <v>'4to'</v>
      </c>
      <c r="I530" s="16" t="str">
        <f>UPPER(CONCATENATE("'",Alumnos!K24,"'"))</f>
        <v>'FEMENINO'</v>
      </c>
      <c r="J530" s="16" t="str">
        <f>UPPER(CONCATENATE("'",Alumnos!L24,"'"))</f>
        <v>'ACTIVO'</v>
      </c>
      <c r="K530" s="16" t="str">
        <f>CONCATENATE(A530,",",B530,",",C530,",",D530,",'",E530,",",F530,",",G530,",",H530,",",UPPER(I530),",",UPPER(J530),",'',0,0,'','ALUMNO'")</f>
        <v>1529,'LICENCIATURA','alejandra.neriflores','111618','TOMAR DEL SND','NERI FLORES ALEJANDRA','ARQUITECTURA','4to','FEMENINO','ACTIVO','',0,0,'','ALUMNO'</v>
      </c>
      <c r="L530" s="16" t="str">
        <f>CONCATENATE($K$1,K530,");")</f>
        <v>INSERT INTO participantes (id,nivel,correo,matricula,clave,nombre,carrera,grado,sexo,situacion,evaluados,num_evaluados,total_evaluaciones,ultimo_acceso,nivel_acceso) VALUES (1529,'LICENCIATURA','alejandra.neriflores','111618','TOMAR DEL SND','NERI FLORES ALEJANDRA','ARQUITECTURA','4to','FEMENINO','ACTIVO','',0,0,'','ALUMNO');</v>
      </c>
      <c r="M530" s="16" t="str">
        <f>CONCATENATE("update participantes set correo=",C530," where id=",A530,";")</f>
        <v>update participantes set correo='alejandra.neriflores' where id=1529;</v>
      </c>
    </row>
    <row r="531" spans="1:13" ht="116" x14ac:dyDescent="0.35">
      <c r="A531" s="16">
        <v>1530</v>
      </c>
      <c r="B531" s="18" t="s">
        <v>1754</v>
      </c>
      <c r="C531" s="16" t="str">
        <f>CONCATENATE("'",Alumnos!E521,"'")</f>
        <v>'pablomanuel.ruizgomez'</v>
      </c>
      <c r="D531" s="16" t="str">
        <f>CONCATENATE(Alumnos!F521,"'")</f>
        <v>'111619'</v>
      </c>
      <c r="E531" s="16" t="s">
        <v>1755</v>
      </c>
      <c r="F531" s="16" t="str">
        <f>CONCATENATE("'",Alumnos!H521,"'")</f>
        <v>'RUIZ GOMEZ PABLO MANUEL'</v>
      </c>
      <c r="G531" s="16" t="str">
        <f>CONCATENATE("'",Alumnos!I521,"'")</f>
        <v>'ARQUITECTURA'</v>
      </c>
      <c r="H531" s="16" t="str">
        <f>CONCATENATE("'",Alumnos!J521,"'")</f>
        <v>'4to'</v>
      </c>
      <c r="I531" s="16" t="str">
        <f>UPPER(CONCATENATE("'",Alumnos!K521,"'"))</f>
        <v>'MASCULINO'</v>
      </c>
      <c r="J531" s="16" t="str">
        <f>UPPER(CONCATENATE("'",Alumnos!L521,"'"))</f>
        <v>'ACTIVO'</v>
      </c>
      <c r="K531" s="16" t="str">
        <f>CONCATENATE(A531,",",B531,",",C531,",",D531,",'",E531,",",F531,",",G531,",",H531,",",UPPER(I531),",",UPPER(J531),",'',0,0,'','ALUMNO'")</f>
        <v>1530,'LICENCIATURA','pablomanuel.ruizgomez','111619','TOMAR DEL SND','RUIZ GOMEZ PABLO MANUEL','ARQUITECTURA','4to','MASCULINO','ACTIVO','',0,0,'','ALUMNO'</v>
      </c>
      <c r="L531" s="16" t="str">
        <f>CONCATENATE($K$1,K531,");")</f>
        <v>INSERT INTO participantes (id,nivel,correo,matricula,clave,nombre,carrera,grado,sexo,situacion,evaluados,num_evaluados,total_evaluaciones,ultimo_acceso,nivel_acceso) VALUES (1530,'LICENCIATURA','pablomanuel.ruizgomez','111619','TOMAR DEL SND','RUIZ GOMEZ PABLO MANUEL','ARQUITECTURA','4to','MASCULINO','ACTIVO','',0,0,'','ALUMNO');</v>
      </c>
      <c r="M531" s="16" t="str">
        <f>CONCATENATE("update participantes set correo=",C531," where id=",A531,";")</f>
        <v>update participantes set correo='pablomanuel.ruizgomez' where id=1530;</v>
      </c>
    </row>
    <row r="532" spans="1:13" ht="130.5" x14ac:dyDescent="0.35">
      <c r="A532" s="16">
        <v>1531</v>
      </c>
      <c r="B532" s="18" t="s">
        <v>1754</v>
      </c>
      <c r="C532" s="16" t="str">
        <f>CONCATENATE("'",Alumnos!E390,"'")</f>
        <v>'kiaramaureen.solorzanogarcia'</v>
      </c>
      <c r="D532" s="16" t="str">
        <f>CONCATENATE(Alumnos!F390,"'")</f>
        <v>'111622'</v>
      </c>
      <c r="E532" s="16" t="s">
        <v>1755</v>
      </c>
      <c r="F532" s="16" t="str">
        <f>CONCATENATE("'",Alumnos!H390,"'")</f>
        <v>'SOLORZANO GARCIA KIARA MAUREEN'</v>
      </c>
      <c r="G532" s="16" t="str">
        <f>CONCATENATE("'",Alumnos!I390,"'")</f>
        <v>'ANIMACION DIGITAL Y VIDEOJUEGOS'</v>
      </c>
      <c r="H532" s="16" t="str">
        <f>CONCATENATE("'",Alumnos!J390,"'")</f>
        <v>'4to'</v>
      </c>
      <c r="I532" s="16" t="str">
        <f>UPPER(CONCATENATE("'",Alumnos!K390,"'"))</f>
        <v>'FEMENINO'</v>
      </c>
      <c r="J532" s="16" t="str">
        <f>UPPER(CONCATENATE("'",Alumnos!L390,"'"))</f>
        <v>'ACTIVO'</v>
      </c>
      <c r="K532" s="16" t="str">
        <f>CONCATENATE(A532,",",B532,",",C532,",",D532,",'",E532,",",F532,",",G532,",",H532,",",UPPER(I532),",",UPPER(J532),",'',0,0,'','ALUMNO'")</f>
        <v>1531,'LICENCIATURA','kiaramaureen.solorzanogarcia','111622','TOMAR DEL SND','SOLORZANO GARCIA KIARA MAUREEN','ANIMACION DIGITAL Y VIDEOJUEGOS','4to','FEMENINO','ACTIVO','',0,0,'','ALUMNO'</v>
      </c>
      <c r="L532" s="16" t="str">
        <f>CONCATENATE($K$1,K532,");")</f>
        <v>INSERT INTO participantes (id,nivel,correo,matricula,clave,nombre,carrera,grado,sexo,situacion,evaluados,num_evaluados,total_evaluaciones,ultimo_acceso,nivel_acceso) VALUES (1531,'LICENCIATURA','kiaramaureen.solorzanogarcia','111622','TOMAR DEL SND','SOLORZANO GARCIA KIARA MAUREEN','ANIMACION DIGITAL Y VIDEOJUEGOS','4to','FEMENINO','ACTIVO','',0,0,'','ALUMNO');</v>
      </c>
      <c r="M532" s="16" t="str">
        <f>CONCATENATE("update participantes set correo=",C532," where id=",A532,";")</f>
        <v>update participantes set correo='kiaramaureen.solorzanogarcia' where id=1531;</v>
      </c>
    </row>
    <row r="533" spans="1:13" ht="130.5" x14ac:dyDescent="0.35">
      <c r="A533" s="16">
        <v>1532</v>
      </c>
      <c r="B533" s="18" t="s">
        <v>1754</v>
      </c>
      <c r="C533" s="16" t="str">
        <f>CONCATENATE("'",Alumnos!E224,"'")</f>
        <v>'erickgermain.isidoroquinones'</v>
      </c>
      <c r="D533" s="16" t="str">
        <f>CONCATENATE(Alumnos!F224,"'")</f>
        <v>'111624'</v>
      </c>
      <c r="E533" s="16" t="s">
        <v>1755</v>
      </c>
      <c r="F533" s="16" t="str">
        <f>CONCATENATE("'",Alumnos!H224,"'")</f>
        <v>'ISIDORO QUIÑONES ERICK GERMAIN'</v>
      </c>
      <c r="G533" s="16" t="str">
        <f>CONCATENATE("'",Alumnos!I224,"'")</f>
        <v>'INGENIERÍA AUTOMOTRIZ'</v>
      </c>
      <c r="H533" s="16" t="str">
        <f>CONCATENATE("'",Alumnos!J224,"'")</f>
        <v>'4to'</v>
      </c>
      <c r="I533" s="16" t="str">
        <f>UPPER(CONCATENATE("'",Alumnos!K224,"'"))</f>
        <v>'MASCULINO'</v>
      </c>
      <c r="J533" s="16" t="str">
        <f>UPPER(CONCATENATE("'",Alumnos!L224,"'"))</f>
        <v>'ACTIVO'</v>
      </c>
      <c r="K533" s="16" t="str">
        <f>CONCATENATE(A533,",",B533,",",C533,",",D533,",'",E533,",",F533,",",G533,",",H533,",",UPPER(I533),",",UPPER(J533),",'',0,0,'','ALUMNO'")</f>
        <v>1532,'LICENCIATURA','erickgermain.isidoroquinones','111624','TOMAR DEL SND','ISIDORO QUIÑONES ERICK GERMAIN','INGENIERÍA AUTOMOTRIZ','4to','MASCULINO','ACTIVO','',0,0,'','ALUMNO'</v>
      </c>
      <c r="L533" s="16" t="str">
        <f>CONCATENATE($K$1,K533,");")</f>
        <v>INSERT INTO participantes (id,nivel,correo,matricula,clave,nombre,carrera,grado,sexo,situacion,evaluados,num_evaluados,total_evaluaciones,ultimo_acceso,nivel_acceso) VALUES (1532,'LICENCIATURA','erickgermain.isidoroquinones','111624','TOMAR DEL SND','ISIDORO QUIÑONES ERICK GERMAIN','INGENIERÍA AUTOMOTRIZ','4to','MASCULINO','ACTIVO','',0,0,'','ALUMNO');</v>
      </c>
      <c r="M533" s="16" t="str">
        <f>CONCATENATE("update participantes set correo=",C533," where id=",A533,";")</f>
        <v>update participantes set correo='erickgermain.isidoroquinones' where id=1532;</v>
      </c>
    </row>
    <row r="534" spans="1:13" ht="116" x14ac:dyDescent="0.35">
      <c r="A534" s="16">
        <v>1533</v>
      </c>
      <c r="B534" s="18" t="s">
        <v>1754</v>
      </c>
      <c r="C534" s="16" t="str">
        <f>CONCATENATE("'",Alumnos!E54,"'")</f>
        <v>'anasofia.fierrosluna'</v>
      </c>
      <c r="D534" s="16" t="str">
        <f>CONCATENATE(Alumnos!F54,"'")</f>
        <v>'111625'</v>
      </c>
      <c r="E534" s="16" t="s">
        <v>1755</v>
      </c>
      <c r="F534" s="16" t="str">
        <f>CONCATENATE("'",Alumnos!H54,"'")</f>
        <v>'FIERROS LUNA ANA SOFIA'</v>
      </c>
      <c r="G534" s="16" t="str">
        <f>CONCATENATE("'",Alumnos!I54,"'")</f>
        <v>'INGENIERÍA AUTOMOTRIZ'</v>
      </c>
      <c r="H534" s="16" t="str">
        <f>CONCATENATE("'",Alumnos!J54,"'")</f>
        <v>'4to'</v>
      </c>
      <c r="I534" s="16" t="str">
        <f>UPPER(CONCATENATE("'",Alumnos!K54,"'"))</f>
        <v>'FEMENINO'</v>
      </c>
      <c r="J534" s="16" t="str">
        <f>UPPER(CONCATENATE("'",Alumnos!L54,"'"))</f>
        <v>'ACTIVO'</v>
      </c>
      <c r="K534" s="16" t="str">
        <f>CONCATENATE(A534,",",B534,",",C534,",",D534,",'",E534,",",F534,",",G534,",",H534,",",UPPER(I534),",",UPPER(J534),",'',0,0,'','ALUMNO'")</f>
        <v>1533,'LICENCIATURA','anasofia.fierrosluna','111625','TOMAR DEL SND','FIERROS LUNA ANA SOFIA','INGENIERÍA AUTOMOTRIZ','4to','FEMENINO','ACTIVO','',0,0,'','ALUMNO'</v>
      </c>
      <c r="L534" s="16" t="str">
        <f>CONCATENATE($K$1,K534,");")</f>
        <v>INSERT INTO participantes (id,nivel,correo,matricula,clave,nombre,carrera,grado,sexo,situacion,evaluados,num_evaluados,total_evaluaciones,ultimo_acceso,nivel_acceso) VALUES (1533,'LICENCIATURA','anasofia.fierrosluna','111625','TOMAR DEL SND','FIERROS LUNA ANA SOFIA','INGENIERÍA AUTOMOTRIZ','4to','FEMENINO','ACTIVO','',0,0,'','ALUMNO');</v>
      </c>
      <c r="M534" s="16" t="str">
        <f>CONCATENATE("update participantes set correo=",C534," where id=",A534,";")</f>
        <v>update participantes set correo='anasofia.fierrosluna' where id=1533;</v>
      </c>
    </row>
    <row r="535" spans="1:13" ht="130.5" x14ac:dyDescent="0.35">
      <c r="A535" s="16">
        <v>1534</v>
      </c>
      <c r="B535" s="18" t="s">
        <v>1754</v>
      </c>
      <c r="C535" s="16" t="str">
        <f>CONCATENATE("'",Alumnos!E233,"'")</f>
        <v>'fabian.amezcuacastellanos'</v>
      </c>
      <c r="D535" s="16" t="str">
        <f>CONCATENATE(Alumnos!F233,"'")</f>
        <v>'111626'</v>
      </c>
      <c r="E535" s="16" t="s">
        <v>1755</v>
      </c>
      <c r="F535" s="16" t="str">
        <f>CONCATENATE("'",Alumnos!H233,"'")</f>
        <v>'AMEZCUA CASTELLANOS FABIAN'</v>
      </c>
      <c r="G535" s="16" t="str">
        <f>CONCATENATE("'",Alumnos!I233,"'")</f>
        <v>'INGENIERÍA AUTOMOTRIZ'</v>
      </c>
      <c r="H535" s="16" t="str">
        <f>CONCATENATE("'",Alumnos!J233,"'")</f>
        <v>'4to'</v>
      </c>
      <c r="I535" s="16" t="str">
        <f>UPPER(CONCATENATE("'",Alumnos!K233,"'"))</f>
        <v>'MASCULINO'</v>
      </c>
      <c r="J535" s="16" t="str">
        <f>UPPER(CONCATENATE("'",Alumnos!L233,"'"))</f>
        <v>'ACTIVO'</v>
      </c>
      <c r="K535" s="16" t="str">
        <f>CONCATENATE(A535,",",B535,",",C535,",",D535,",'",E535,",",F535,",",G535,",",H535,",",UPPER(I535),",",UPPER(J535),",'',0,0,'','ALUMNO'")</f>
        <v>1534,'LICENCIATURA','fabian.amezcuacastellanos','111626','TOMAR DEL SND','AMEZCUA CASTELLANOS FABIAN','INGENIERÍA AUTOMOTRIZ','4to','MASCULINO','ACTIVO','',0,0,'','ALUMNO'</v>
      </c>
      <c r="L535" s="16" t="str">
        <f>CONCATENATE($K$1,K535,");")</f>
        <v>INSERT INTO participantes (id,nivel,correo,matricula,clave,nombre,carrera,grado,sexo,situacion,evaluados,num_evaluados,total_evaluaciones,ultimo_acceso,nivel_acceso) VALUES (1534,'LICENCIATURA','fabian.amezcuacastellanos','111626','TOMAR DEL SND','AMEZCUA CASTELLANOS FABIAN','INGENIERÍA AUTOMOTRIZ','4to','MASCULINO','ACTIVO','',0,0,'','ALUMNO');</v>
      </c>
      <c r="M535" s="16" t="str">
        <f>CONCATENATE("update participantes set correo=",C535," where id=",A535,";")</f>
        <v>update participantes set correo='fabian.amezcuacastellanos' where id=1534;</v>
      </c>
    </row>
    <row r="536" spans="1:13" ht="130.5" x14ac:dyDescent="0.35">
      <c r="A536" s="16">
        <v>1535</v>
      </c>
      <c r="B536" s="18" t="s">
        <v>1754</v>
      </c>
      <c r="C536" s="16" t="str">
        <f>CONCATENATE("'",Alumnos!E109,"'")</f>
        <v>'brayanjose.riveraacosta'</v>
      </c>
      <c r="D536" s="16" t="str">
        <f>CONCATENATE(Alumnos!F109,"'")</f>
        <v>'111627'</v>
      </c>
      <c r="E536" s="16" t="s">
        <v>1755</v>
      </c>
      <c r="F536" s="16" t="str">
        <f>CONCATENATE("'",Alumnos!H109,"'")</f>
        <v>'RIVERA ACOSTA BRAYAN JOSE'</v>
      </c>
      <c r="G536" s="16" t="str">
        <f>CONCATENATE("'",Alumnos!I109,"'")</f>
        <v>'INGENIERÍA AUTOMOTRIZ'</v>
      </c>
      <c r="H536" s="16" t="str">
        <f>CONCATENATE("'",Alumnos!J109,"'")</f>
        <v>'4to'</v>
      </c>
      <c r="I536" s="16" t="str">
        <f>UPPER(CONCATENATE("'",Alumnos!K109,"'"))</f>
        <v>'MASCULINO'</v>
      </c>
      <c r="J536" s="16" t="str">
        <f>UPPER(CONCATENATE("'",Alumnos!L109,"'"))</f>
        <v>'ACTIVO'</v>
      </c>
      <c r="K536" s="16" t="str">
        <f>CONCATENATE(A536,",",B536,",",C536,",",D536,",'",E536,",",F536,",",G536,",",H536,",",UPPER(I536),",",UPPER(J536),",'',0,0,'','ALUMNO'")</f>
        <v>1535,'LICENCIATURA','brayanjose.riveraacosta','111627','TOMAR DEL SND','RIVERA ACOSTA BRAYAN JOSE','INGENIERÍA AUTOMOTRIZ','4to','MASCULINO','ACTIVO','',0,0,'','ALUMNO'</v>
      </c>
      <c r="L536" s="16" t="str">
        <f>CONCATENATE($K$1,K536,");")</f>
        <v>INSERT INTO participantes (id,nivel,correo,matricula,clave,nombre,carrera,grado,sexo,situacion,evaluados,num_evaluados,total_evaluaciones,ultimo_acceso,nivel_acceso) VALUES (1535,'LICENCIATURA','brayanjose.riveraacosta','111627','TOMAR DEL SND','RIVERA ACOSTA BRAYAN JOSE','INGENIERÍA AUTOMOTRIZ','4to','MASCULINO','ACTIVO','',0,0,'','ALUMNO');</v>
      </c>
      <c r="M536" s="16" t="str">
        <f>CONCATENATE("update participantes set correo=",C536," where id=",A536,";")</f>
        <v>update participantes set correo='brayanjose.riveraacosta' where id=1535;</v>
      </c>
    </row>
    <row r="537" spans="1:13" ht="130.5" x14ac:dyDescent="0.35">
      <c r="A537" s="16">
        <v>1536</v>
      </c>
      <c r="B537" s="18" t="s">
        <v>1754</v>
      </c>
      <c r="C537" s="16" t="str">
        <f>CONCATENATE("'",Alumnos!E624,"'")</f>
        <v>'zarasofia.montanoambrocio'</v>
      </c>
      <c r="D537" s="16" t="str">
        <f>CONCATENATE(Alumnos!F624,"'")</f>
        <v>'111628'</v>
      </c>
      <c r="E537" s="16" t="s">
        <v>1755</v>
      </c>
      <c r="F537" s="16" t="str">
        <f>CONCATENATE("'",Alumnos!H624,"'")</f>
        <v>'MONTAÑO AMBROCIO ZARA SOFIA'</v>
      </c>
      <c r="G537" s="16" t="str">
        <f>CONCATENATE("'",Alumnos!I624,"'")</f>
        <v>'INGENIERÍA AUTOMOTRIZ'</v>
      </c>
      <c r="H537" s="16" t="str">
        <f>CONCATENATE("'",Alumnos!J624,"'")</f>
        <v>'4to'</v>
      </c>
      <c r="I537" s="16" t="str">
        <f>UPPER(CONCATENATE("'",Alumnos!K624,"'"))</f>
        <v>'FEMENINO'</v>
      </c>
      <c r="J537" s="16" t="str">
        <f>UPPER(CONCATENATE("'",Alumnos!L624,"'"))</f>
        <v>'ACTIVO'</v>
      </c>
      <c r="K537" s="16" t="str">
        <f>CONCATENATE(A537,",",B537,",",C537,",",D537,",'",E537,",",F537,",",G537,",",H537,",",UPPER(I537),",",UPPER(J537),",'',0,0,'','ALUMNO'")</f>
        <v>1536,'LICENCIATURA','zarasofia.montanoambrocio','111628','TOMAR DEL SND','MONTAÑO AMBROCIO ZARA SOFIA','INGENIERÍA AUTOMOTRIZ','4to','FEMENINO','ACTIVO','',0,0,'','ALUMNO'</v>
      </c>
      <c r="L537" s="16" t="str">
        <f>CONCATENATE($K$1,K537,");")</f>
        <v>INSERT INTO participantes (id,nivel,correo,matricula,clave,nombre,carrera,grado,sexo,situacion,evaluados,num_evaluados,total_evaluaciones,ultimo_acceso,nivel_acceso) VALUES (1536,'LICENCIATURA','zarasofia.montanoambrocio','111628','TOMAR DEL SND','MONTAÑO AMBROCIO ZARA SOFIA','INGENIERÍA AUTOMOTRIZ','4to','FEMENINO','ACTIVO','',0,0,'','ALUMNO');</v>
      </c>
      <c r="M537" s="16" t="str">
        <f>CONCATENATE("update participantes set correo=",C537," where id=",A537,";")</f>
        <v>update participantes set correo='zarasofia.montanoambrocio' where id=1536;</v>
      </c>
    </row>
    <row r="538" spans="1:13" ht="130.5" x14ac:dyDescent="0.35">
      <c r="A538" s="16">
        <v>1537</v>
      </c>
      <c r="B538" s="18" t="s">
        <v>1754</v>
      </c>
      <c r="C538" s="16" t="str">
        <f>CONCATENATE("'",Alumnos!E450,"'")</f>
        <v>'marianajoselyne.jassoespinosa'</v>
      </c>
      <c r="D538" s="16" t="str">
        <f>CONCATENATE(Alumnos!F450,"'")</f>
        <v>'111632'</v>
      </c>
      <c r="E538" s="16" t="s">
        <v>1755</v>
      </c>
      <c r="F538" s="16" t="str">
        <f>CONCATENATE("'",Alumnos!H450,"'")</f>
        <v>'JASSO ESPINOSA MARIANA JOSELYNE'</v>
      </c>
      <c r="G538" s="16" t="str">
        <f>CONCATENATE("'",Alumnos!I450,"'")</f>
        <v>'INGENIERIA AEROESPACIAL'</v>
      </c>
      <c r="H538" s="16" t="str">
        <f>CONCATENATE("'",Alumnos!J450,"'")</f>
        <v>'4to'</v>
      </c>
      <c r="I538" s="16" t="str">
        <f>UPPER(CONCATENATE("'",Alumnos!K450,"'"))</f>
        <v>'FEMENINO'</v>
      </c>
      <c r="J538" s="16" t="str">
        <f>UPPER(CONCATENATE("'",Alumnos!L450,"'"))</f>
        <v>'ACTIVO'</v>
      </c>
      <c r="K538" s="16" t="str">
        <f>CONCATENATE(A538,",",B538,",",C538,",",D538,",'",E538,",",F538,",",G538,",",H538,",",UPPER(I538),",",UPPER(J538),",'',0,0,'','ALUMNO'")</f>
        <v>1537,'LICENCIATURA','marianajoselyne.jassoespinosa','111632','TOMAR DEL SND','JASSO ESPINOSA MARIANA JOSELYNE','INGENIERIA AEROESPACIAL','4to','FEMENINO','ACTIVO','',0,0,'','ALUMNO'</v>
      </c>
      <c r="L538" s="16" t="str">
        <f>CONCATENATE($K$1,K538,");")</f>
        <v>INSERT INTO participantes (id,nivel,correo,matricula,clave,nombre,carrera,grado,sexo,situacion,evaluados,num_evaluados,total_evaluaciones,ultimo_acceso,nivel_acceso) VALUES (1537,'LICENCIATURA','marianajoselyne.jassoespinosa','111632','TOMAR DEL SND','JASSO ESPINOSA MARIANA JOSELYNE','INGENIERIA AEROESPACIAL','4to','FEMENINO','ACTIVO','',0,0,'','ALUMNO');</v>
      </c>
      <c r="M538" s="16" t="str">
        <f>CONCATENATE("update participantes set correo=",C538," where id=",A538,";")</f>
        <v>update participantes set correo='marianajoselyne.jassoespinosa' where id=1537;</v>
      </c>
    </row>
    <row r="539" spans="1:13" ht="116" x14ac:dyDescent="0.35">
      <c r="A539" s="16">
        <v>1538</v>
      </c>
      <c r="B539" s="18" t="s">
        <v>1754</v>
      </c>
      <c r="C539" s="16" t="str">
        <f>CONCATENATE("'",Alumnos!E103,"'")</f>
        <v>'blancaleticia.iniguezoseguera'</v>
      </c>
      <c r="D539" s="16" t="str">
        <f>CONCATENATE(Alumnos!F103,"'")</f>
        <v>'111636'</v>
      </c>
      <c r="E539" s="16" t="s">
        <v>1755</v>
      </c>
      <c r="F539" s="16" t="str">
        <f>CONCATENATE("'",Alumnos!H103,"'")</f>
        <v>'IÑIGUEZ OSEGUERA BLANCA LETICIA'</v>
      </c>
      <c r="G539" s="16" t="str">
        <f>CONCATENATE("'",Alumnos!I103,"'")</f>
        <v>'PSICOLOGIA'</v>
      </c>
      <c r="H539" s="16" t="str">
        <f>CONCATENATE("'",Alumnos!J103,"'")</f>
        <v>'4to'</v>
      </c>
      <c r="I539" s="16" t="str">
        <f>UPPER(CONCATENATE("'",Alumnos!K103,"'"))</f>
        <v>'FEMENINO'</v>
      </c>
      <c r="J539" s="16" t="str">
        <f>UPPER(CONCATENATE("'",Alumnos!L103,"'"))</f>
        <v>'ACTIVO'</v>
      </c>
      <c r="K539" s="16" t="str">
        <f>CONCATENATE(A539,",",B539,",",C539,",",D539,",'",E539,",",F539,",",G539,",",H539,",",UPPER(I539),",",UPPER(J539),",'',0,0,'','ALUMNO'")</f>
        <v>1538,'LICENCIATURA','blancaleticia.iniguezoseguera','111636','TOMAR DEL SND','IÑIGUEZ OSEGUERA BLANCA LETICIA','PSICOLOGIA','4to','FEMENINO','ACTIVO','',0,0,'','ALUMNO'</v>
      </c>
      <c r="L539" s="16" t="str">
        <f>CONCATENATE($K$1,K539,");")</f>
        <v>INSERT INTO participantes (id,nivel,correo,matricula,clave,nombre,carrera,grado,sexo,situacion,evaluados,num_evaluados,total_evaluaciones,ultimo_acceso,nivel_acceso) VALUES (1538,'LICENCIATURA','blancaleticia.iniguezoseguera','111636','TOMAR DEL SND','IÑIGUEZ OSEGUERA BLANCA LETICIA','PSICOLOGIA','4to','FEMENINO','ACTIVO','',0,0,'','ALUMNO');</v>
      </c>
      <c r="M539" s="16" t="str">
        <f>CONCATENATE("update participantes set correo=",C539," where id=",A539,";")</f>
        <v>update participantes set correo='blancaleticia.iniguezoseguera' where id=1538;</v>
      </c>
    </row>
    <row r="540" spans="1:13" ht="130.5" x14ac:dyDescent="0.35">
      <c r="A540" s="16">
        <v>1539</v>
      </c>
      <c r="B540" s="18" t="s">
        <v>1754</v>
      </c>
      <c r="C540" s="16" t="str">
        <f>CONCATENATE("'",Alumnos!E314,"'")</f>
        <v>'joaquinalejandro.valdenebromartinez'</v>
      </c>
      <c r="D540" s="16" t="str">
        <f>CONCATENATE(Alumnos!F314,"'")</f>
        <v>'111638'</v>
      </c>
      <c r="E540" s="16" t="s">
        <v>1755</v>
      </c>
      <c r="F540" s="16" t="str">
        <f>CONCATENATE("'",Alumnos!H314,"'")</f>
        <v>'VALDENEBRO MARTINEZ JOAQUIN ALEJANDRO'</v>
      </c>
      <c r="G540" s="16" t="str">
        <f>CONCATENATE("'",Alumnos!I314,"'")</f>
        <v>'INGENIERÍA AUTOMOTRIZ'</v>
      </c>
      <c r="H540" s="16" t="str">
        <f>CONCATENATE("'",Alumnos!J314,"'")</f>
        <v>'4to'</v>
      </c>
      <c r="I540" s="16" t="str">
        <f>UPPER(CONCATENATE("'",Alumnos!K314,"'"))</f>
        <v>'MASCULINO'</v>
      </c>
      <c r="J540" s="16" t="str">
        <f>UPPER(CONCATENATE("'",Alumnos!L314,"'"))</f>
        <v>'ACTIVO'</v>
      </c>
      <c r="K540" s="16" t="str">
        <f>CONCATENATE(A540,",",B540,",",C540,",",D540,",'",E540,",",F540,",",G540,",",H540,",",UPPER(I540),",",UPPER(J540),",'',0,0,'','ALUMNO'")</f>
        <v>1539,'LICENCIATURA','joaquinalejandro.valdenebromartinez','111638','TOMAR DEL SND','VALDENEBRO MARTINEZ JOAQUIN ALEJANDRO','INGENIERÍA AUTOMOTRIZ','4to','MASCULINO','ACTIVO','',0,0,'','ALUMNO'</v>
      </c>
      <c r="L540" s="16" t="str">
        <f>CONCATENATE($K$1,K540,");")</f>
        <v>INSERT INTO participantes (id,nivel,correo,matricula,clave,nombre,carrera,grado,sexo,situacion,evaluados,num_evaluados,total_evaluaciones,ultimo_acceso,nivel_acceso) VALUES (1539,'LICENCIATURA','joaquinalejandro.valdenebromartinez','111638','TOMAR DEL SND','VALDENEBRO MARTINEZ JOAQUIN ALEJANDRO','INGENIERÍA AUTOMOTRIZ','4to','MASCULINO','ACTIVO','',0,0,'','ALUMNO');</v>
      </c>
      <c r="M540" s="16" t="str">
        <f>CONCATENATE("update participantes set correo=",C540," where id=",A540,";")</f>
        <v>update participantes set correo='joaquinalejandro.valdenebromartinez' where id=1539;</v>
      </c>
    </row>
    <row r="541" spans="1:13" ht="130.5" x14ac:dyDescent="0.35">
      <c r="A541" s="16">
        <v>1540</v>
      </c>
      <c r="B541" s="18" t="s">
        <v>1754</v>
      </c>
      <c r="C541" s="16" t="str">
        <f>CONCATENATE("'",Alumnos!E408,"'")</f>
        <v>'luisalejandro.esparzasanchez'</v>
      </c>
      <c r="D541" s="16" t="str">
        <f>CONCATENATE(Alumnos!F408,"'")</f>
        <v>'111642'</v>
      </c>
      <c r="E541" s="16" t="s">
        <v>1755</v>
      </c>
      <c r="F541" s="16" t="str">
        <f>CONCATENATE("'",Alumnos!H408,"'")</f>
        <v>'ESPARZA SANCHEZ LUIS ALEJANDRO'</v>
      </c>
      <c r="G541" s="16" t="str">
        <f>CONCATENATE("'",Alumnos!I408,"'")</f>
        <v>'INGENIERIA AEROESPACIAL'</v>
      </c>
      <c r="H541" s="16" t="str">
        <f>CONCATENATE("'",Alumnos!J408,"'")</f>
        <v>'4to'</v>
      </c>
      <c r="I541" s="16" t="str">
        <f>UPPER(CONCATENATE("'",Alumnos!K408,"'"))</f>
        <v>'MASCULINO'</v>
      </c>
      <c r="J541" s="16" t="str">
        <f>UPPER(CONCATENATE("'",Alumnos!L408,"'"))</f>
        <v>'ACTIVO'</v>
      </c>
      <c r="K541" s="16" t="str">
        <f>CONCATENATE(A541,",",B541,",",C541,",",D541,",'",E541,",",F541,",",G541,",",H541,",",UPPER(I541),",",UPPER(J541),",'',0,0,'','ALUMNO'")</f>
        <v>1540,'LICENCIATURA','luisalejandro.esparzasanchez','111642','TOMAR DEL SND','ESPARZA SANCHEZ LUIS ALEJANDRO','INGENIERIA AEROESPACIAL','4to','MASCULINO','ACTIVO','',0,0,'','ALUMNO'</v>
      </c>
      <c r="L541" s="16" t="str">
        <f>CONCATENATE($K$1,K541,");")</f>
        <v>INSERT INTO participantes (id,nivel,correo,matricula,clave,nombre,carrera,grado,sexo,situacion,evaluados,num_evaluados,total_evaluaciones,ultimo_acceso,nivel_acceso) VALUES (1540,'LICENCIATURA','luisalejandro.esparzasanchez','111642','TOMAR DEL SND','ESPARZA SANCHEZ LUIS ALEJANDRO','INGENIERIA AEROESPACIAL','4to','MASCULINO','ACTIVO','',0,0,'','ALUMNO');</v>
      </c>
      <c r="M541" s="16" t="str">
        <f>CONCATENATE("update participantes set correo=",C541," where id=",A541,";")</f>
        <v>update participantes set correo='luisalejandro.esparzasanchez' where id=1540;</v>
      </c>
    </row>
    <row r="542" spans="1:13" ht="116" x14ac:dyDescent="0.35">
      <c r="A542" s="16">
        <v>1541</v>
      </c>
      <c r="B542" s="18" t="s">
        <v>1754</v>
      </c>
      <c r="C542" s="16" t="str">
        <f>CONCATENATE("'",Alumnos!E469,"'")</f>
        <v>'melanirachel.buenogutierrez'</v>
      </c>
      <c r="D542" s="16" t="str">
        <f>CONCATENATE(Alumnos!F469,"'")</f>
        <v>'111644'</v>
      </c>
      <c r="E542" s="16" t="s">
        <v>1755</v>
      </c>
      <c r="F542" s="16" t="str">
        <f>CONCATENATE("'",Alumnos!H469,"'")</f>
        <v>'BUENO GUTIERREZ MELANI RACHEL'</v>
      </c>
      <c r="G542" s="16" t="str">
        <f>CONCATENATE("'",Alumnos!I469,"'")</f>
        <v>'PSICOLOGIA'</v>
      </c>
      <c r="H542" s="16" t="str">
        <f>CONCATENATE("'",Alumnos!J469,"'")</f>
        <v>'4to'</v>
      </c>
      <c r="I542" s="16" t="str">
        <f>UPPER(CONCATENATE("'",Alumnos!K469,"'"))</f>
        <v>'FEMENINO'</v>
      </c>
      <c r="J542" s="16" t="str">
        <f>UPPER(CONCATENATE("'",Alumnos!L469,"'"))</f>
        <v>'ACTIVO'</v>
      </c>
      <c r="K542" s="16" t="str">
        <f>CONCATENATE(A542,",",B542,",",C542,",",D542,",'",E542,",",F542,",",G542,",",H542,",",UPPER(I542),",",UPPER(J542),",'',0,0,'','ALUMNO'")</f>
        <v>1541,'LICENCIATURA','melanirachel.buenogutierrez','111644','TOMAR DEL SND','BUENO GUTIERREZ MELANI RACHEL','PSICOLOGIA','4to','FEMENINO','ACTIVO','',0,0,'','ALUMNO'</v>
      </c>
      <c r="L542" s="16" t="str">
        <f>CONCATENATE($K$1,K542,");")</f>
        <v>INSERT INTO participantes (id,nivel,correo,matricula,clave,nombre,carrera,grado,sexo,situacion,evaluados,num_evaluados,total_evaluaciones,ultimo_acceso,nivel_acceso) VALUES (1541,'LICENCIATURA','melanirachel.buenogutierrez','111644','TOMAR DEL SND','BUENO GUTIERREZ MELANI RACHEL','PSICOLOGIA','4to','FEMENINO','ACTIVO','',0,0,'','ALUMNO');</v>
      </c>
      <c r="M542" s="16" t="str">
        <f>CONCATENATE("update participantes set correo=",C542," where id=",A542,";")</f>
        <v>update participantes set correo='melanirachel.buenogutierrez' where id=1541;</v>
      </c>
    </row>
    <row r="543" spans="1:13" ht="116" x14ac:dyDescent="0.35">
      <c r="A543" s="16">
        <v>1542</v>
      </c>
      <c r="B543" s="18" t="s">
        <v>1754</v>
      </c>
      <c r="C543" s="16" t="str">
        <f>CONCATENATE("'",Alumnos!E349,"'")</f>
        <v>'juancarlos.castroanzoategui'</v>
      </c>
      <c r="D543" s="16" t="str">
        <f>CONCATENATE(Alumnos!F349,"'")</f>
        <v>'111645'</v>
      </c>
      <c r="E543" s="16" t="s">
        <v>1755</v>
      </c>
      <c r="F543" s="16" t="str">
        <f>CONCATENATE("'",Alumnos!H349,"'")</f>
        <v>'CASTRO ANZOATEGUI JUAN CARLOS'</v>
      </c>
      <c r="G543" s="16" t="str">
        <f>CONCATENATE("'",Alumnos!I349,"'")</f>
        <v>'ADMINISTRACION Y DIRECCION DE NEGOCIOS'</v>
      </c>
      <c r="H543" s="16" t="str">
        <f>CONCATENATE("'",Alumnos!J349,"'")</f>
        <v>'4to'</v>
      </c>
      <c r="I543" s="16" t="str">
        <f>UPPER(CONCATENATE("'",Alumnos!K349,"'"))</f>
        <v>'MASCULINO'</v>
      </c>
      <c r="J543" s="16" t="str">
        <f>UPPER(CONCATENATE("'",Alumnos!L349,"'"))</f>
        <v>'ACTIVO'</v>
      </c>
      <c r="K543" s="16" t="str">
        <f>CONCATENATE(A543,",",B543,",",C543,",",D543,",'",E543,",",F543,",",G543,",",H543,",",UPPER(I543),",",UPPER(J543),",'',0,0,'','ALUMNO'")</f>
        <v>1542,'LICENCIATURA','juancarlos.castroanzoategui','111645','TOMAR DEL SND','CASTRO ANZOATEGUI JUAN CARLOS','ADMINISTRACION Y DIRECCION DE NEGOCIOS','4to','MASCULINO','ACTIVO','',0,0,'','ALUMNO'</v>
      </c>
      <c r="L543" s="16" t="str">
        <f>CONCATENATE($K$1,K543,");")</f>
        <v>INSERT INTO participantes (id,nivel,correo,matricula,clave,nombre,carrera,grado,sexo,situacion,evaluados,num_evaluados,total_evaluaciones,ultimo_acceso,nivel_acceso) VALUES (1542,'LICENCIATURA','juancarlos.castroanzoategui','111645','TOMAR DEL SND','CASTRO ANZOATEGUI JUAN CARLOS','ADMINISTRACION Y DIRECCION DE NEGOCIOS','4to','MASCULINO','ACTIVO','',0,0,'','ALUMNO');</v>
      </c>
      <c r="M543" s="16" t="str">
        <f>CONCATENATE("update participantes set correo=",C543," where id=",A543,";")</f>
        <v>update participantes set correo='juancarlos.castroanzoategui' where id=1542;</v>
      </c>
    </row>
    <row r="544" spans="1:13" ht="116" x14ac:dyDescent="0.35">
      <c r="A544" s="16">
        <v>1543</v>
      </c>
      <c r="B544" s="18" t="s">
        <v>1754</v>
      </c>
      <c r="C544" s="16" t="str">
        <f>CONCATENATE("'",Alumnos!E192,"'")</f>
        <v>'diegocristan.sanchezvazquez'</v>
      </c>
      <c r="D544" s="16" t="str">
        <f>CONCATENATE(Alumnos!F192,"'")</f>
        <v>'111646'</v>
      </c>
      <c r="E544" s="16" t="s">
        <v>1755</v>
      </c>
      <c r="F544" s="16" t="str">
        <f>CONCATENATE("'",Alumnos!H192,"'")</f>
        <v>'SANCHEZ VAZQUEZ DIEGO CRISTAN'</v>
      </c>
      <c r="G544" s="16" t="str">
        <f>CONCATENATE("'",Alumnos!I192,"'")</f>
        <v>'INGENIERÍA EN INTELIGENCIA ARTIFICIAL'</v>
      </c>
      <c r="H544" s="16" t="str">
        <f>CONCATENATE("'",Alumnos!J192,"'")</f>
        <v>'4to'</v>
      </c>
      <c r="I544" s="16" t="str">
        <f>UPPER(CONCATENATE("'",Alumnos!K192,"'"))</f>
        <v>'MASCULINO'</v>
      </c>
      <c r="J544" s="16" t="str">
        <f>UPPER(CONCATENATE("'",Alumnos!L192,"'"))</f>
        <v>'ACTIVO'</v>
      </c>
      <c r="K544" s="16" t="str">
        <f>CONCATENATE(A544,",",B544,",",C544,",",D544,",'",E544,",",F544,",",G544,",",H544,",",UPPER(I544),",",UPPER(J544),",'',0,0,'','ALUMNO'")</f>
        <v>1543,'LICENCIATURA','diegocristan.sanchezvazquez','111646','TOMAR DEL SND','SANCHEZ VAZQUEZ DIEGO CRISTAN','INGENIERÍA EN INTELIGENCIA ARTIFICIAL','4to','MASCULINO','ACTIVO','',0,0,'','ALUMNO'</v>
      </c>
      <c r="L544" s="16" t="str">
        <f>CONCATENATE($K$1,K544,");")</f>
        <v>INSERT INTO participantes (id,nivel,correo,matricula,clave,nombre,carrera,grado,sexo,situacion,evaluados,num_evaluados,total_evaluaciones,ultimo_acceso,nivel_acceso) VALUES (1543,'LICENCIATURA','diegocristan.sanchezvazquez','111646','TOMAR DEL SND','SANCHEZ VAZQUEZ DIEGO CRISTAN','INGENIERÍA EN INTELIGENCIA ARTIFICIAL','4to','MASCULINO','ACTIVO','',0,0,'','ALUMNO');</v>
      </c>
      <c r="M544" s="16" t="str">
        <f>CONCATENATE("update participantes set correo=",C544," where id=",A544,";")</f>
        <v>update participantes set correo='diegocristan.sanchezvazquez' where id=1543;</v>
      </c>
    </row>
    <row r="545" spans="1:13" ht="130.5" x14ac:dyDescent="0.35">
      <c r="A545" s="16">
        <v>1544</v>
      </c>
      <c r="B545" s="18" t="s">
        <v>1754</v>
      </c>
      <c r="C545" s="16" t="str">
        <f>CONCATENATE("'",Alumnos!E148,"'")</f>
        <v>'dafnemontserrat.juarezjimenez'</v>
      </c>
      <c r="D545" s="16" t="str">
        <f>CONCATENATE(Alumnos!F148,"'")</f>
        <v>'111647'</v>
      </c>
      <c r="E545" s="16" t="s">
        <v>1755</v>
      </c>
      <c r="F545" s="16" t="str">
        <f>CONCATENATE("'",Alumnos!H148,"'")</f>
        <v>'JUAREZ JIMENEZ DAFNE MONTSERRAT'</v>
      </c>
      <c r="G545" s="16" t="str">
        <f>CONCATENATE("'",Alumnos!I148,"'")</f>
        <v>'INGENIERÍA AUTOMOTRIZ'</v>
      </c>
      <c r="H545" s="16" t="str">
        <f>CONCATENATE("'",Alumnos!J148,"'")</f>
        <v>'4to'</v>
      </c>
      <c r="I545" s="16" t="str">
        <f>UPPER(CONCATENATE("'",Alumnos!K148,"'"))</f>
        <v>'FEMENINO'</v>
      </c>
      <c r="J545" s="16" t="str">
        <f>UPPER(CONCATENATE("'",Alumnos!L148,"'"))</f>
        <v>'ACTIVO'</v>
      </c>
      <c r="K545" s="16" t="str">
        <f>CONCATENATE(A545,",",B545,",",C545,",",D545,",'",E545,",",F545,",",G545,",",H545,",",UPPER(I545),",",UPPER(J545),",'',0,0,'','ALUMNO'")</f>
        <v>1544,'LICENCIATURA','dafnemontserrat.juarezjimenez','111647','TOMAR DEL SND','JUAREZ JIMENEZ DAFNE MONTSERRAT','INGENIERÍA AUTOMOTRIZ','4to','FEMENINO','ACTIVO','',0,0,'','ALUMNO'</v>
      </c>
      <c r="L545" s="16" t="str">
        <f>CONCATENATE($K$1,K545,");")</f>
        <v>INSERT INTO participantes (id,nivel,correo,matricula,clave,nombre,carrera,grado,sexo,situacion,evaluados,num_evaluados,total_evaluaciones,ultimo_acceso,nivel_acceso) VALUES (1544,'LICENCIATURA','dafnemontserrat.juarezjimenez','111647','TOMAR DEL SND','JUAREZ JIMENEZ DAFNE MONTSERRAT','INGENIERÍA AUTOMOTRIZ','4to','FEMENINO','ACTIVO','',0,0,'','ALUMNO');</v>
      </c>
      <c r="M545" s="16" t="str">
        <f>CONCATENATE("update participantes set correo=",C545," where id=",A545,";")</f>
        <v>update participantes set correo='dafnemontserrat.juarezjimenez' where id=1544;</v>
      </c>
    </row>
    <row r="546" spans="1:13" ht="116" x14ac:dyDescent="0.35">
      <c r="A546" s="16">
        <v>1545</v>
      </c>
      <c r="B546" s="18" t="s">
        <v>1754</v>
      </c>
      <c r="C546" s="16" t="str">
        <f>CONCATENATE("'",Alumnos!E446,"'")</f>
        <v>'mariana.castroanzoategui'</v>
      </c>
      <c r="D546" s="16" t="str">
        <f>CONCATENATE(Alumnos!F446,"'")</f>
        <v>'111648'</v>
      </c>
      <c r="E546" s="16" t="s">
        <v>1755</v>
      </c>
      <c r="F546" s="16" t="str">
        <f>CONCATENATE("'",Alumnos!H446,"'")</f>
        <v>'CASTRO ANZOATEGUI MARIANA'</v>
      </c>
      <c r="G546" s="16" t="str">
        <f>CONCATENATE("'",Alumnos!I446,"'")</f>
        <v>'ARQUITECTURA'</v>
      </c>
      <c r="H546" s="16" t="str">
        <f>CONCATENATE("'",Alumnos!J446,"'")</f>
        <v>'4to'</v>
      </c>
      <c r="I546" s="16" t="str">
        <f>UPPER(CONCATENATE("'",Alumnos!K446,"'"))</f>
        <v>'FEMENINO'</v>
      </c>
      <c r="J546" s="16" t="str">
        <f>UPPER(CONCATENATE("'",Alumnos!L446,"'"))</f>
        <v>'ACTIVO'</v>
      </c>
      <c r="K546" s="16" t="str">
        <f>CONCATENATE(A546,",",B546,",",C546,",",D546,",'",E546,",",F546,",",G546,",",H546,",",UPPER(I546),",",UPPER(J546),",'',0,0,'','ALUMNO'")</f>
        <v>1545,'LICENCIATURA','mariana.castroanzoategui','111648','TOMAR DEL SND','CASTRO ANZOATEGUI MARIANA','ARQUITECTURA','4to','FEMENINO','ACTIVO','',0,0,'','ALUMNO'</v>
      </c>
      <c r="L546" s="16" t="str">
        <f>CONCATENATE($K$1,K546,");")</f>
        <v>INSERT INTO participantes (id,nivel,correo,matricula,clave,nombre,carrera,grado,sexo,situacion,evaluados,num_evaluados,total_evaluaciones,ultimo_acceso,nivel_acceso) VALUES (1545,'LICENCIATURA','mariana.castroanzoategui','111648','TOMAR DEL SND','CASTRO ANZOATEGUI MARIANA','ARQUITECTURA','4to','FEMENINO','ACTIVO','',0,0,'','ALUMNO');</v>
      </c>
      <c r="M546" s="16" t="str">
        <f>CONCATENATE("update participantes set correo=",C546," where id=",A546,";")</f>
        <v>update participantes set correo='mariana.castroanzoategui' where id=1545;</v>
      </c>
    </row>
    <row r="547" spans="1:13" ht="130.5" x14ac:dyDescent="0.35">
      <c r="A547" s="16">
        <v>1546</v>
      </c>
      <c r="B547" s="18" t="s">
        <v>1754</v>
      </c>
      <c r="C547" s="16" t="str">
        <f>CONCATENATE("'",Alumnos!E346,"'")</f>
        <v>'juanarmando.floresflores'</v>
      </c>
      <c r="D547" s="16" t="str">
        <f>CONCATENATE(Alumnos!F346,"'")</f>
        <v>'111650'</v>
      </c>
      <c r="E547" s="16" t="s">
        <v>1755</v>
      </c>
      <c r="F547" s="16" t="str">
        <f>CONCATENATE("'",Alumnos!H346,"'")</f>
        <v>'FLORES FLORES JUAN ARMANDO'</v>
      </c>
      <c r="G547" s="16" t="str">
        <f>CONCATENATE("'",Alumnos!I346,"'")</f>
        <v>'INGENIERÍA AUTOMOTRIZ'</v>
      </c>
      <c r="H547" s="16" t="str">
        <f>CONCATENATE("'",Alumnos!J346,"'")</f>
        <v>'4to'</v>
      </c>
      <c r="I547" s="16" t="str">
        <f>UPPER(CONCATENATE("'",Alumnos!K346,"'"))</f>
        <v>'MASCULINO'</v>
      </c>
      <c r="J547" s="16" t="str">
        <f>UPPER(CONCATENATE("'",Alumnos!L346,"'"))</f>
        <v>'ACTIVO'</v>
      </c>
      <c r="K547" s="16" t="str">
        <f>CONCATENATE(A547,",",B547,",",C547,",",D547,",'",E547,",",F547,",",G547,",",H547,",",UPPER(I547),",",UPPER(J547),",'',0,0,'','ALUMNO'")</f>
        <v>1546,'LICENCIATURA','juanarmando.floresflores','111650','TOMAR DEL SND','FLORES FLORES JUAN ARMANDO','INGENIERÍA AUTOMOTRIZ','4to','MASCULINO','ACTIVO','',0,0,'','ALUMNO'</v>
      </c>
      <c r="L547" s="16" t="str">
        <f>CONCATENATE($K$1,K547,");")</f>
        <v>INSERT INTO participantes (id,nivel,correo,matricula,clave,nombre,carrera,grado,sexo,situacion,evaluados,num_evaluados,total_evaluaciones,ultimo_acceso,nivel_acceso) VALUES (1546,'LICENCIATURA','juanarmando.floresflores','111650','TOMAR DEL SND','FLORES FLORES JUAN ARMANDO','INGENIERÍA AUTOMOTRIZ','4to','MASCULINO','ACTIVO','',0,0,'','ALUMNO');</v>
      </c>
      <c r="M547" s="16" t="str">
        <f>CONCATENATE("update participantes set correo=",C547," where id=",A547,";")</f>
        <v>update participantes set correo='juanarmando.floresflores' where id=1546;</v>
      </c>
    </row>
    <row r="548" spans="1:13" ht="116" x14ac:dyDescent="0.35">
      <c r="A548" s="16">
        <v>1547</v>
      </c>
      <c r="B548" s="18" t="s">
        <v>1754</v>
      </c>
      <c r="C548" s="16" t="str">
        <f>CONCATENATE("'",Alumnos!E282,"'")</f>
        <v>'isabella.goribarloza'</v>
      </c>
      <c r="D548" s="16" t="str">
        <f>CONCATENATE(Alumnos!F282,"'")</f>
        <v>'111654'</v>
      </c>
      <c r="E548" s="16" t="s">
        <v>1755</v>
      </c>
      <c r="F548" s="16" t="str">
        <f>CONCATENATE("'",Alumnos!H282,"'")</f>
        <v>'GORIBAR LOZA ISABELLA'</v>
      </c>
      <c r="G548" s="16" t="str">
        <f>CONCATENATE("'",Alumnos!I282,"'")</f>
        <v>'PSICOLOGIA'</v>
      </c>
      <c r="H548" s="16" t="str">
        <f>CONCATENATE("'",Alumnos!J282,"'")</f>
        <v>'4to'</v>
      </c>
      <c r="I548" s="16" t="str">
        <f>UPPER(CONCATENATE("'",Alumnos!K282,"'"))</f>
        <v>'FEMENINO'</v>
      </c>
      <c r="J548" s="16" t="str">
        <f>UPPER(CONCATENATE("'",Alumnos!L282,"'"))</f>
        <v>'ACTIVO'</v>
      </c>
      <c r="K548" s="16" t="str">
        <f>CONCATENATE(A548,",",B548,",",C548,",",D548,",'",E548,",",F548,",",G548,",",H548,",",UPPER(I548),",",UPPER(J548),",'',0,0,'','ALUMNO'")</f>
        <v>1547,'LICENCIATURA','isabella.goribarloza','111654','TOMAR DEL SND','GORIBAR LOZA ISABELLA','PSICOLOGIA','4to','FEMENINO','ACTIVO','',0,0,'','ALUMNO'</v>
      </c>
      <c r="L548" s="16" t="str">
        <f>CONCATENATE($K$1,K548,");")</f>
        <v>INSERT INTO participantes (id,nivel,correo,matricula,clave,nombre,carrera,grado,sexo,situacion,evaluados,num_evaluados,total_evaluaciones,ultimo_acceso,nivel_acceso) VALUES (1547,'LICENCIATURA','isabella.goribarloza','111654','TOMAR DEL SND','GORIBAR LOZA ISABELLA','PSICOLOGIA','4to','FEMENINO','ACTIVO','',0,0,'','ALUMNO');</v>
      </c>
      <c r="M548" s="16" t="str">
        <f>CONCATENATE("update participantes set correo=",C548," where id=",A548,";")</f>
        <v>update participantes set correo='isabella.goribarloza' where id=1547;</v>
      </c>
    </row>
    <row r="549" spans="1:13" ht="130.5" x14ac:dyDescent="0.35">
      <c r="A549" s="16">
        <v>1548</v>
      </c>
      <c r="B549" s="18" t="s">
        <v>1754</v>
      </c>
      <c r="C549" s="16" t="str">
        <f>CONCATENATE("'",Alumnos!E240,"'")</f>
        <v>'fernandadanae.barajasmichel'</v>
      </c>
      <c r="D549" s="16" t="str">
        <f>CONCATENATE(Alumnos!F240,"'")</f>
        <v>'111655'</v>
      </c>
      <c r="E549" s="16" t="s">
        <v>1755</v>
      </c>
      <c r="F549" s="16" t="str">
        <f>CONCATENATE("'",Alumnos!H240,"'")</f>
        <v>'BARAJAS MICHEL FERNANDA DANAE'</v>
      </c>
      <c r="G549" s="16" t="str">
        <f>CONCATENATE("'",Alumnos!I240,"'")</f>
        <v>'NUTRICION Y GASTRONOMIA'</v>
      </c>
      <c r="H549" s="16" t="str">
        <f>CONCATENATE("'",Alumnos!J240,"'")</f>
        <v>'4to'</v>
      </c>
      <c r="I549" s="16" t="str">
        <f>UPPER(CONCATENATE("'",Alumnos!K240,"'"))</f>
        <v>'MASCULINO'</v>
      </c>
      <c r="J549" s="16" t="str">
        <f>UPPER(CONCATENATE("'",Alumnos!L240,"'"))</f>
        <v>'ACTIVO'</v>
      </c>
      <c r="K549" s="16" t="str">
        <f>CONCATENATE(A549,",",B549,",",C549,",",D549,",'",E549,",",F549,",",G549,",",H549,",",UPPER(I549),",",UPPER(J549),",'',0,0,'','ALUMNO'")</f>
        <v>1548,'LICENCIATURA','fernandadanae.barajasmichel','111655','TOMAR DEL SND','BARAJAS MICHEL FERNANDA DANAE','NUTRICION Y GASTRONOMIA','4to','MASCULINO','ACTIVO','',0,0,'','ALUMNO'</v>
      </c>
      <c r="L549" s="16" t="str">
        <f>CONCATENATE($K$1,K549,");")</f>
        <v>INSERT INTO participantes (id,nivel,correo,matricula,clave,nombre,carrera,grado,sexo,situacion,evaluados,num_evaluados,total_evaluaciones,ultimo_acceso,nivel_acceso) VALUES (1548,'LICENCIATURA','fernandadanae.barajasmichel','111655','TOMAR DEL SND','BARAJAS MICHEL FERNANDA DANAE','NUTRICION Y GASTRONOMIA','4to','MASCULINO','ACTIVO','',0,0,'','ALUMNO');</v>
      </c>
      <c r="M549" s="16" t="str">
        <f>CONCATENATE("update participantes set correo=",C549," where id=",A549,";")</f>
        <v>update participantes set correo='fernandadanae.barajasmichel' where id=1548;</v>
      </c>
    </row>
    <row r="550" spans="1:13" ht="130.5" x14ac:dyDescent="0.35">
      <c r="A550" s="16">
        <v>1549</v>
      </c>
      <c r="B550" s="18" t="s">
        <v>1754</v>
      </c>
      <c r="C550" s="16" t="str">
        <f>CONCATENATE("'",Alumnos!E96,"'")</f>
        <v>'arturoemmanuel.castanedahernandez'</v>
      </c>
      <c r="D550" s="16" t="str">
        <f>CONCATENATE(Alumnos!F96,"'")</f>
        <v>'111656'</v>
      </c>
      <c r="E550" s="16" t="s">
        <v>1755</v>
      </c>
      <c r="F550" s="16" t="str">
        <f>CONCATENATE("'",Alumnos!H96,"'")</f>
        <v>'CASTAÑEDA HERNANDEZ ARTURO EMMANUEL'</v>
      </c>
      <c r="G550" s="16" t="str">
        <f>CONCATENATE("'",Alumnos!I96,"'")</f>
        <v>'INGENIERIA AEROESPACIAL'</v>
      </c>
      <c r="H550" s="16" t="str">
        <f>CONCATENATE("'",Alumnos!J96,"'")</f>
        <v>'4to'</v>
      </c>
      <c r="I550" s="16" t="str">
        <f>UPPER(CONCATENATE("'",Alumnos!K96,"'"))</f>
        <v>'MASCULINO'</v>
      </c>
      <c r="J550" s="16" t="str">
        <f>UPPER(CONCATENATE("'",Alumnos!L96,"'"))</f>
        <v>'ACTIVO'</v>
      </c>
      <c r="K550" s="16" t="str">
        <f>CONCATENATE(A550,",",B550,",",C550,",",D550,",'",E550,",",F550,",",G550,",",H550,",",UPPER(I550),",",UPPER(J550),",'',0,0,'','ALUMNO'")</f>
        <v>1549,'LICENCIATURA','arturoemmanuel.castanedahernandez','111656','TOMAR DEL SND','CASTAÑEDA HERNANDEZ ARTURO EMMANUEL','INGENIERIA AEROESPACIAL','4to','MASCULINO','ACTIVO','',0,0,'','ALUMNO'</v>
      </c>
      <c r="L550" s="16" t="str">
        <f>CONCATENATE($K$1,K550,");")</f>
        <v>INSERT INTO participantes (id,nivel,correo,matricula,clave,nombre,carrera,grado,sexo,situacion,evaluados,num_evaluados,total_evaluaciones,ultimo_acceso,nivel_acceso) VALUES (1549,'LICENCIATURA','arturoemmanuel.castanedahernandez','111656','TOMAR DEL SND','CASTAÑEDA HERNANDEZ ARTURO EMMANUEL','INGENIERIA AEROESPACIAL','4to','MASCULINO','ACTIVO','',0,0,'','ALUMNO');</v>
      </c>
      <c r="M550" s="16" t="str">
        <f>CONCATENATE("update participantes set correo=",C550," where id=",A550,";")</f>
        <v>update participantes set correo='arturoemmanuel.castanedahernandez' where id=1549;</v>
      </c>
    </row>
    <row r="551" spans="1:13" ht="130.5" x14ac:dyDescent="0.35">
      <c r="A551" s="16">
        <v>1550</v>
      </c>
      <c r="B551" s="18" t="s">
        <v>1754</v>
      </c>
      <c r="C551" s="16" t="str">
        <f>CONCATENATE("'",Alumnos!E384,"'")</f>
        <v>'kevincarlos.sanchezreyes'</v>
      </c>
      <c r="D551" s="16" t="str">
        <f>CONCATENATE(Alumnos!F384,"'")</f>
        <v>'111658'</v>
      </c>
      <c r="E551" s="16" t="s">
        <v>1755</v>
      </c>
      <c r="F551" s="16" t="str">
        <f>CONCATENATE("'",Alumnos!H384,"'")</f>
        <v>'SANCHEZ REYES KEVIN CARLOS'</v>
      </c>
      <c r="G551" s="16" t="str">
        <f>CONCATENATE("'",Alumnos!I384,"'")</f>
        <v>'INGENIERÍA AUTOMOTRIZ'</v>
      </c>
      <c r="H551" s="16" t="str">
        <f>CONCATENATE("'",Alumnos!J384,"'")</f>
        <v>'4to'</v>
      </c>
      <c r="I551" s="16" t="str">
        <f>UPPER(CONCATENATE("'",Alumnos!K384,"'"))</f>
        <v>'MASCULINO'</v>
      </c>
      <c r="J551" s="16" t="str">
        <f>UPPER(CONCATENATE("'",Alumnos!L384,"'"))</f>
        <v>'ACTIVO'</v>
      </c>
      <c r="K551" s="16" t="str">
        <f>CONCATENATE(A551,",",B551,",",C551,",",D551,",'",E551,",",F551,",",G551,",",H551,",",UPPER(I551),",",UPPER(J551),",'',0,0,'','ALUMNO'")</f>
        <v>1550,'LICENCIATURA','kevincarlos.sanchezreyes','111658','TOMAR DEL SND','SANCHEZ REYES KEVIN CARLOS','INGENIERÍA AUTOMOTRIZ','4to','MASCULINO','ACTIVO','',0,0,'','ALUMNO'</v>
      </c>
      <c r="L551" s="16" t="str">
        <f>CONCATENATE($K$1,K551,");")</f>
        <v>INSERT INTO participantes (id,nivel,correo,matricula,clave,nombre,carrera,grado,sexo,situacion,evaluados,num_evaluados,total_evaluaciones,ultimo_acceso,nivel_acceso) VALUES (1550,'LICENCIATURA','kevincarlos.sanchezreyes','111658','TOMAR DEL SND','SANCHEZ REYES KEVIN CARLOS','INGENIERÍA AUTOMOTRIZ','4to','MASCULINO','ACTIVO','',0,0,'','ALUMNO');</v>
      </c>
      <c r="M551" s="16" t="str">
        <f>CONCATENATE("update participantes set correo=",C551," where id=",A551,";")</f>
        <v>update participantes set correo='kevincarlos.sanchezreyes' where id=1550;</v>
      </c>
    </row>
    <row r="552" spans="1:13" ht="116" x14ac:dyDescent="0.35">
      <c r="A552" s="16">
        <v>1551</v>
      </c>
      <c r="B552" s="18" t="s">
        <v>1754</v>
      </c>
      <c r="C552" s="16" t="str">
        <f>CONCATENATE("'",Alumnos!E547,"'")</f>
        <v>'roberto.tinocoariceaga'</v>
      </c>
      <c r="D552" s="16" t="str">
        <f>CONCATENATE(Alumnos!F547,"'")</f>
        <v>'111661'</v>
      </c>
      <c r="E552" s="16" t="s">
        <v>1755</v>
      </c>
      <c r="F552" s="16" t="str">
        <f>CONCATENATE("'",Alumnos!H547,"'")</f>
        <v>'TINOCO ARICEAGA ROBERTO'</v>
      </c>
      <c r="G552" s="16" t="str">
        <f>CONCATENATE("'",Alumnos!I547,"'")</f>
        <v>'INGENIERIA AEROESPACIAL'</v>
      </c>
      <c r="H552" s="16" t="str">
        <f>CONCATENATE("'",Alumnos!J547,"'")</f>
        <v>'4to'</v>
      </c>
      <c r="I552" s="16" t="str">
        <f>UPPER(CONCATENATE("'",Alumnos!K547,"'"))</f>
        <v>'MASCULINO'</v>
      </c>
      <c r="J552" s="16" t="str">
        <f>UPPER(CONCATENATE("'",Alumnos!L547,"'"))</f>
        <v>'ACTIVO'</v>
      </c>
      <c r="K552" s="16" t="str">
        <f>CONCATENATE(A552,",",B552,",",C552,",",D552,",'",E552,",",F552,",",G552,",",H552,",",UPPER(I552),",",UPPER(J552),",'',0,0,'','ALUMNO'")</f>
        <v>1551,'LICENCIATURA','roberto.tinocoariceaga','111661','TOMAR DEL SND','TINOCO ARICEAGA ROBERTO','INGENIERIA AEROESPACIAL','4to','MASCULINO','ACTIVO','',0,0,'','ALUMNO'</v>
      </c>
      <c r="L552" s="16" t="str">
        <f>CONCATENATE($K$1,K552,");")</f>
        <v>INSERT INTO participantes (id,nivel,correo,matricula,clave,nombre,carrera,grado,sexo,situacion,evaluados,num_evaluados,total_evaluaciones,ultimo_acceso,nivel_acceso) VALUES (1551,'LICENCIATURA','roberto.tinocoariceaga','111661','TOMAR DEL SND','TINOCO ARICEAGA ROBERTO','INGENIERIA AEROESPACIAL','4to','MASCULINO','ACTIVO','',0,0,'','ALUMNO');</v>
      </c>
      <c r="M552" s="16" t="str">
        <f>CONCATENATE("update participantes set correo=",C552," where id=",A552,";")</f>
        <v>update participantes set correo='roberto.tinocoariceaga' where id=1551;</v>
      </c>
    </row>
    <row r="553" spans="1:13" ht="130.5" x14ac:dyDescent="0.35">
      <c r="A553" s="16">
        <v>1552</v>
      </c>
      <c r="B553" s="18" t="s">
        <v>1754</v>
      </c>
      <c r="C553" s="16" t="str">
        <f>CONCATENATE("'",Alumnos!E127,"'")</f>
        <v>'carlossantiago.perezdiez'</v>
      </c>
      <c r="D553" s="16" t="str">
        <f>CONCATENATE(Alumnos!F127,"'")</f>
        <v>'111663'</v>
      </c>
      <c r="E553" s="16" t="s">
        <v>1755</v>
      </c>
      <c r="F553" s="16" t="str">
        <f>CONCATENATE("'",Alumnos!H127,"'")</f>
        <v>'PEREZ DIEZ CARLOS SANTIAGO'</v>
      </c>
      <c r="G553" s="16" t="str">
        <f>CONCATENATE("'",Alumnos!I127,"'")</f>
        <v>'INGENIERIA AEROESPACIAL'</v>
      </c>
      <c r="H553" s="16" t="str">
        <f>CONCATENATE("'",Alumnos!J127,"'")</f>
        <v>'4to'</v>
      </c>
      <c r="I553" s="16" t="str">
        <f>UPPER(CONCATENATE("'",Alumnos!K127,"'"))</f>
        <v>'MASCULINO'</v>
      </c>
      <c r="J553" s="16" t="str">
        <f>UPPER(CONCATENATE("'",Alumnos!L127,"'"))</f>
        <v>'ACTIVO'</v>
      </c>
      <c r="K553" s="16" t="str">
        <f>CONCATENATE(A553,",",B553,",",C553,",",D553,",'",E553,",",F553,",",G553,",",H553,",",UPPER(I553),",",UPPER(J553),",'',0,0,'','ALUMNO'")</f>
        <v>1552,'LICENCIATURA','carlossantiago.perezdiez','111663','TOMAR DEL SND','PEREZ DIEZ CARLOS SANTIAGO','INGENIERIA AEROESPACIAL','4to','MASCULINO','ACTIVO','',0,0,'','ALUMNO'</v>
      </c>
      <c r="L553" s="16" t="str">
        <f>CONCATENATE($K$1,K553,");")</f>
        <v>INSERT INTO participantes (id,nivel,correo,matricula,clave,nombre,carrera,grado,sexo,situacion,evaluados,num_evaluados,total_evaluaciones,ultimo_acceso,nivel_acceso) VALUES (1552,'LICENCIATURA','carlossantiago.perezdiez','111663','TOMAR DEL SND','PEREZ DIEZ CARLOS SANTIAGO','INGENIERIA AEROESPACIAL','4to','MASCULINO','ACTIVO','',0,0,'','ALUMNO');</v>
      </c>
      <c r="M553" s="16" t="str">
        <f>CONCATENATE("update participantes set correo=",C553," where id=",A553,";")</f>
        <v>update participantes set correo='carlossantiago.perezdiez' where id=1552;</v>
      </c>
    </row>
    <row r="554" spans="1:13" ht="130.5" x14ac:dyDescent="0.35">
      <c r="A554" s="16">
        <v>1553</v>
      </c>
      <c r="B554" s="18" t="s">
        <v>1754</v>
      </c>
      <c r="C554" s="16" t="str">
        <f>CONCATENATE("'",Alumnos!E591,"'")</f>
        <v>'valentina.escalanteramirez'</v>
      </c>
      <c r="D554" s="16" t="str">
        <f>CONCATENATE(Alumnos!F591,"'")</f>
        <v>'111664'</v>
      </c>
      <c r="E554" s="16" t="s">
        <v>1755</v>
      </c>
      <c r="F554" s="16" t="str">
        <f>CONCATENATE("'",Alumnos!H591,"'")</f>
        <v>'ESCALANTE RAMIREZ VALENTINA'</v>
      </c>
      <c r="G554" s="16" t="str">
        <f>CONCATENATE("'",Alumnos!I591,"'")</f>
        <v>'INGENIERIA AEROESPACIAL'</v>
      </c>
      <c r="H554" s="16" t="str">
        <f>CONCATENATE("'",Alumnos!J591,"'")</f>
        <v>'4to'</v>
      </c>
      <c r="I554" s="16" t="str">
        <f>UPPER(CONCATENATE("'",Alumnos!K591,"'"))</f>
        <v>'FEMENINO'</v>
      </c>
      <c r="J554" s="16" t="str">
        <f>UPPER(CONCATENATE("'",Alumnos!L591,"'"))</f>
        <v>'ACTIVO'</v>
      </c>
      <c r="K554" s="16" t="str">
        <f>CONCATENATE(A554,",",B554,",",C554,",",D554,",'",E554,",",F554,",",G554,",",H554,",",UPPER(I554),",",UPPER(J554),",'',0,0,'','ALUMNO'")</f>
        <v>1553,'LICENCIATURA','valentina.escalanteramirez','111664','TOMAR DEL SND','ESCALANTE RAMIREZ VALENTINA','INGENIERIA AEROESPACIAL','4to','FEMENINO','ACTIVO','',0,0,'','ALUMNO'</v>
      </c>
      <c r="L554" s="16" t="str">
        <f>CONCATENATE($K$1,K554,");")</f>
        <v>INSERT INTO participantes (id,nivel,correo,matricula,clave,nombre,carrera,grado,sexo,situacion,evaluados,num_evaluados,total_evaluaciones,ultimo_acceso,nivel_acceso) VALUES (1553,'LICENCIATURA','valentina.escalanteramirez','111664','TOMAR DEL SND','ESCALANTE RAMIREZ VALENTINA','INGENIERIA AEROESPACIAL','4to','FEMENINO','ACTIVO','',0,0,'','ALUMNO');</v>
      </c>
      <c r="M554" s="16" t="str">
        <f>CONCATENATE("update participantes set correo=",C554," where id=",A554,";")</f>
        <v>update participantes set correo='valentina.escalanteramirez' where id=1553;</v>
      </c>
    </row>
    <row r="555" spans="1:13" ht="116" x14ac:dyDescent="0.35">
      <c r="A555" s="16">
        <v>1554</v>
      </c>
      <c r="B555" s="18" t="s">
        <v>1754</v>
      </c>
      <c r="C555" s="16" t="str">
        <f>CONCATENATE("'",Alumnos!E363,"'")</f>
        <v>'kahlebalejandro.ramirezrobles'</v>
      </c>
      <c r="D555" s="16" t="str">
        <f>CONCATENATE(Alumnos!F363,"'")</f>
        <v>'111666'</v>
      </c>
      <c r="E555" s="16" t="s">
        <v>1755</v>
      </c>
      <c r="F555" s="16" t="str">
        <f>CONCATENATE("'",Alumnos!H363,"'")</f>
        <v>'RAMIREZ ROBLES KAHLEB ALEJANDRO'</v>
      </c>
      <c r="G555" s="16" t="str">
        <f>CONCATENATE("'",Alumnos!I363,"'")</f>
        <v>'INGENIERÍA EN INTELIGENCIA ARTIFICIAL'</v>
      </c>
      <c r="H555" s="16" t="str">
        <f>CONCATENATE("'",Alumnos!J363,"'")</f>
        <v>'4to'</v>
      </c>
      <c r="I555" s="16" t="str">
        <f>UPPER(CONCATENATE("'",Alumnos!K363,"'"))</f>
        <v>'MASCULINO'</v>
      </c>
      <c r="J555" s="16" t="str">
        <f>UPPER(CONCATENATE("'",Alumnos!L363,"'"))</f>
        <v>'ACTIVO'</v>
      </c>
      <c r="K555" s="16" t="str">
        <f>CONCATENATE(A555,",",B555,",",C555,",",D555,",'",E555,",",F555,",",G555,",",H555,",",UPPER(I555),",",UPPER(J555),",'',0,0,'','ALUMNO'")</f>
        <v>1554,'LICENCIATURA','kahlebalejandro.ramirezrobles','111666','TOMAR DEL SND','RAMIREZ ROBLES KAHLEB ALEJANDRO','INGENIERÍA EN INTELIGENCIA ARTIFICIAL','4to','MASCULINO','ACTIVO','',0,0,'','ALUMNO'</v>
      </c>
      <c r="L555" s="16" t="str">
        <f>CONCATENATE($K$1,K555,");")</f>
        <v>INSERT INTO participantes (id,nivel,correo,matricula,clave,nombre,carrera,grado,sexo,situacion,evaluados,num_evaluados,total_evaluaciones,ultimo_acceso,nivel_acceso) VALUES (1554,'LICENCIATURA','kahlebalejandro.ramirezrobles','111666','TOMAR DEL SND','RAMIREZ ROBLES KAHLEB ALEJANDRO','INGENIERÍA EN INTELIGENCIA ARTIFICIAL','4to','MASCULINO','ACTIVO','',0,0,'','ALUMNO');</v>
      </c>
      <c r="M555" s="16" t="str">
        <f>CONCATENATE("update participantes set correo=",C555," where id=",A555,";")</f>
        <v>update participantes set correo='kahlebalejandro.ramirezrobles' where id=1554;</v>
      </c>
    </row>
    <row r="556" spans="1:13" ht="130.5" x14ac:dyDescent="0.35">
      <c r="A556" s="16">
        <v>1555</v>
      </c>
      <c r="B556" s="18" t="s">
        <v>1754</v>
      </c>
      <c r="C556" s="16" t="str">
        <f>CONCATENATE("'",Alumnos!E621,"'")</f>
        <v>'zahidlievich.guillenhernandez'</v>
      </c>
      <c r="D556" s="16" t="str">
        <f>CONCATENATE(Alumnos!F621,"'")</f>
        <v>'111667'</v>
      </c>
      <c r="E556" s="16" t="s">
        <v>1755</v>
      </c>
      <c r="F556" s="16" t="str">
        <f>CONCATENATE("'",Alumnos!H621,"'")</f>
        <v>'GUILLEN HERNANDEZ ZAHID LIEVICH'</v>
      </c>
      <c r="G556" s="16" t="str">
        <f>CONCATENATE("'",Alumnos!I621,"'")</f>
        <v>'INGENIERIA AEROESPACIAL'</v>
      </c>
      <c r="H556" s="16" t="str">
        <f>CONCATENATE("'",Alumnos!J621,"'")</f>
        <v>'4to'</v>
      </c>
      <c r="I556" s="16" t="str">
        <f>UPPER(CONCATENATE("'",Alumnos!K621,"'"))</f>
        <v>'MASCULINO'</v>
      </c>
      <c r="J556" s="16" t="str">
        <f>UPPER(CONCATENATE("'",Alumnos!L621,"'"))</f>
        <v>'ACTIVO'</v>
      </c>
      <c r="K556" s="16" t="str">
        <f>CONCATENATE(A556,",",B556,",",C556,",",D556,",'",E556,",",F556,",",G556,",",H556,",",UPPER(I556),",",UPPER(J556),",'',0,0,'','ALUMNO'")</f>
        <v>1555,'LICENCIATURA','zahidlievich.guillenhernandez','111667','TOMAR DEL SND','GUILLEN HERNANDEZ ZAHID LIEVICH','INGENIERIA AEROESPACIAL','4to','MASCULINO','ACTIVO','',0,0,'','ALUMNO'</v>
      </c>
      <c r="L556" s="16" t="str">
        <f>CONCATENATE($K$1,K556,");")</f>
        <v>INSERT INTO participantes (id,nivel,correo,matricula,clave,nombre,carrera,grado,sexo,situacion,evaluados,num_evaluados,total_evaluaciones,ultimo_acceso,nivel_acceso) VALUES (1555,'LICENCIATURA','zahidlievich.guillenhernandez','111667','TOMAR DEL SND','GUILLEN HERNANDEZ ZAHID LIEVICH','INGENIERIA AEROESPACIAL','4to','MASCULINO','ACTIVO','',0,0,'','ALUMNO');</v>
      </c>
      <c r="M556" s="16" t="str">
        <f>CONCATENATE("update participantes set correo=",C556," where id=",A556,";")</f>
        <v>update participantes set correo='zahidlievich.guillenhernandez' where id=1555;</v>
      </c>
    </row>
    <row r="557" spans="1:13" ht="130.5" x14ac:dyDescent="0.35">
      <c r="A557" s="16">
        <v>1556</v>
      </c>
      <c r="B557" s="18" t="s">
        <v>1754</v>
      </c>
      <c r="C557" s="16" t="str">
        <f>CONCATENATE("'",Alumnos!E85,"'")</f>
        <v>'angelmartin.cecenaponce'</v>
      </c>
      <c r="D557" s="16" t="str">
        <f>CONCATENATE(Alumnos!F85,"'")</f>
        <v>'111668'</v>
      </c>
      <c r="E557" s="16" t="s">
        <v>1755</v>
      </c>
      <c r="F557" s="16" t="str">
        <f>CONCATENATE("'",Alumnos!H85,"'")</f>
        <v>'CECEÑA PONCE ANGEL MARTIN'</v>
      </c>
      <c r="G557" s="16" t="str">
        <f>CONCATENATE("'",Alumnos!I85,"'")</f>
        <v>'INGENIERIA AEROESPACIAL'</v>
      </c>
      <c r="H557" s="16" t="str">
        <f>CONCATENATE("'",Alumnos!J85,"'")</f>
        <v>'4to'</v>
      </c>
      <c r="I557" s="16" t="str">
        <f>UPPER(CONCATENATE("'",Alumnos!K85,"'"))</f>
        <v>'MASCULINO'</v>
      </c>
      <c r="J557" s="16" t="str">
        <f>UPPER(CONCATENATE("'",Alumnos!L85,"'"))</f>
        <v>'ACTIVO'</v>
      </c>
      <c r="K557" s="16" t="str">
        <f>CONCATENATE(A557,",",B557,",",C557,",",D557,",'",E557,",",F557,",",G557,",",H557,",",UPPER(I557),",",UPPER(J557),",'',0,0,'','ALUMNO'")</f>
        <v>1556,'LICENCIATURA','angelmartin.cecenaponce','111668','TOMAR DEL SND','CECEÑA PONCE ANGEL MARTIN','INGENIERIA AEROESPACIAL','4to','MASCULINO','ACTIVO','',0,0,'','ALUMNO'</v>
      </c>
      <c r="L557" s="16" t="str">
        <f>CONCATENATE($K$1,K557,");")</f>
        <v>INSERT INTO participantes (id,nivel,correo,matricula,clave,nombre,carrera,grado,sexo,situacion,evaluados,num_evaluados,total_evaluaciones,ultimo_acceso,nivel_acceso) VALUES (1556,'LICENCIATURA','angelmartin.cecenaponce','111668','TOMAR DEL SND','CECEÑA PONCE ANGEL MARTIN','INGENIERIA AEROESPACIAL','4to','MASCULINO','ACTIVO','',0,0,'','ALUMNO');</v>
      </c>
      <c r="M557" s="16" t="str">
        <f>CONCATENATE("update participantes set correo=",C557," where id=",A557,";")</f>
        <v>update participantes set correo='angelmartin.cecenaponce' where id=1556;</v>
      </c>
    </row>
    <row r="558" spans="1:13" ht="130.5" x14ac:dyDescent="0.35">
      <c r="A558" s="16">
        <v>1557</v>
      </c>
      <c r="B558" s="18" t="s">
        <v>1754</v>
      </c>
      <c r="C558" s="16" t="str">
        <f>CONCATENATE("'",Alumnos!E444,"'")</f>
        <v>'marianisabella.ruizmartin'</v>
      </c>
      <c r="D558" s="16" t="str">
        <f>CONCATENATE(Alumnos!F444,"'")</f>
        <v>'111669'</v>
      </c>
      <c r="E558" s="16" t="s">
        <v>1755</v>
      </c>
      <c r="F558" s="16" t="str">
        <f>CONCATENATE("'",Alumnos!H444,"'")</f>
        <v>'RUIZ MARTIN MARIAN ISABELLA'</v>
      </c>
      <c r="G558" s="16" t="str">
        <f>CONCATENATE("'",Alumnos!I444,"'")</f>
        <v>'INGENIERIA AEROESPACIAL'</v>
      </c>
      <c r="H558" s="16" t="str">
        <f>CONCATENATE("'",Alumnos!J444,"'")</f>
        <v>'4to'</v>
      </c>
      <c r="I558" s="16" t="str">
        <f>UPPER(CONCATENATE("'",Alumnos!K444,"'"))</f>
        <v>'FEMENINO'</v>
      </c>
      <c r="J558" s="16" t="str">
        <f>UPPER(CONCATENATE("'",Alumnos!L444,"'"))</f>
        <v>'ACTIVO'</v>
      </c>
      <c r="K558" s="16" t="str">
        <f>CONCATENATE(A558,",",B558,",",C558,",",D558,",'",E558,",",F558,",",G558,",",H558,",",UPPER(I558),",",UPPER(J558),",'',0,0,'','ALUMNO'")</f>
        <v>1557,'LICENCIATURA','marianisabella.ruizmartin','111669','TOMAR DEL SND','RUIZ MARTIN MARIAN ISABELLA','INGENIERIA AEROESPACIAL','4to','FEMENINO','ACTIVO','',0,0,'','ALUMNO'</v>
      </c>
      <c r="L558" s="16" t="str">
        <f>CONCATENATE($K$1,K558,");")</f>
        <v>INSERT INTO participantes (id,nivel,correo,matricula,clave,nombre,carrera,grado,sexo,situacion,evaluados,num_evaluados,total_evaluaciones,ultimo_acceso,nivel_acceso) VALUES (1557,'LICENCIATURA','marianisabella.ruizmartin','111669','TOMAR DEL SND','RUIZ MARTIN MARIAN ISABELLA','INGENIERIA AEROESPACIAL','4to','FEMENINO','ACTIVO','',0,0,'','ALUMNO');</v>
      </c>
      <c r="M558" s="16" t="str">
        <f>CONCATENATE("update participantes set correo=",C558," where id=",A558,";")</f>
        <v>update participantes set correo='marianisabella.ruizmartin' where id=1557;</v>
      </c>
    </row>
    <row r="559" spans="1:13" ht="130.5" x14ac:dyDescent="0.35">
      <c r="A559" s="16">
        <v>1558</v>
      </c>
      <c r="B559" s="18" t="s">
        <v>1754</v>
      </c>
      <c r="C559" s="16" t="str">
        <f>CONCATENATE("'",Alumnos!E73,"'")</f>
        <v>'angelaioros.davalosgarcia'</v>
      </c>
      <c r="D559" s="16" t="str">
        <f>CONCATENATE(Alumnos!F73,"'")</f>
        <v>'111670'</v>
      </c>
      <c r="E559" s="16" t="s">
        <v>1755</v>
      </c>
      <c r="F559" s="16" t="str">
        <f>CONCATENATE("'",Alumnos!H73,"'")</f>
        <v>'DAVALOS GARCIA ANGEL AIOROS'</v>
      </c>
      <c r="G559" s="16" t="str">
        <f>CONCATENATE("'",Alumnos!I73,"'")</f>
        <v>'INGENIERIA AEROESPACIAL'</v>
      </c>
      <c r="H559" s="16" t="str">
        <f>CONCATENATE("'",Alumnos!J73,"'")</f>
        <v>'4to'</v>
      </c>
      <c r="I559" s="16" t="str">
        <f>UPPER(CONCATENATE("'",Alumnos!K73,"'"))</f>
        <v>'MASCULINO'</v>
      </c>
      <c r="J559" s="16" t="str">
        <f>UPPER(CONCATENATE("'",Alumnos!L73,"'"))</f>
        <v>'ACTIVO'</v>
      </c>
      <c r="K559" s="16" t="str">
        <f>CONCATENATE(A559,",",B559,",",C559,",",D559,",'",E559,",",F559,",",G559,",",H559,",",UPPER(I559),",",UPPER(J559),",'',0,0,'','ALUMNO'")</f>
        <v>1558,'LICENCIATURA','angelaioros.davalosgarcia','111670','TOMAR DEL SND','DAVALOS GARCIA ANGEL AIOROS','INGENIERIA AEROESPACIAL','4to','MASCULINO','ACTIVO','',0,0,'','ALUMNO'</v>
      </c>
      <c r="L559" s="16" t="str">
        <f>CONCATENATE($K$1,K559,");")</f>
        <v>INSERT INTO participantes (id,nivel,correo,matricula,clave,nombre,carrera,grado,sexo,situacion,evaluados,num_evaluados,total_evaluaciones,ultimo_acceso,nivel_acceso) VALUES (1558,'LICENCIATURA','angelaioros.davalosgarcia','111670','TOMAR DEL SND','DAVALOS GARCIA ANGEL AIOROS','INGENIERIA AEROESPACIAL','4to','MASCULINO','ACTIVO','',0,0,'','ALUMNO');</v>
      </c>
      <c r="M559" s="16" t="str">
        <f>CONCATENATE("update participantes set correo=",C559," where id=",A559,";")</f>
        <v>update participantes set correo='angelaioros.davalosgarcia' where id=1558;</v>
      </c>
    </row>
    <row r="560" spans="1:13" ht="130.5" x14ac:dyDescent="0.35">
      <c r="A560" s="16">
        <v>1559</v>
      </c>
      <c r="B560" s="18" t="s">
        <v>1754</v>
      </c>
      <c r="C560" s="16" t="str">
        <f>CONCATENATE("'",Alumnos!E276,"'")</f>
        <v>'ianfernando.barraganlagos'</v>
      </c>
      <c r="D560" s="16" t="str">
        <f>CONCATENATE(Alumnos!F276,"'")</f>
        <v>'111671'</v>
      </c>
      <c r="E560" s="16" t="s">
        <v>1755</v>
      </c>
      <c r="F560" s="16" t="str">
        <f>CONCATENATE("'",Alumnos!H276,"'")</f>
        <v>'BARRAGAN LAGOS IAN FERNANDO'</v>
      </c>
      <c r="G560" s="16" t="str">
        <f>CONCATENATE("'",Alumnos!I276,"'")</f>
        <v>'INGENIERÍA AUTOMOTRIZ'</v>
      </c>
      <c r="H560" s="16" t="str">
        <f>CONCATENATE("'",Alumnos!J276,"'")</f>
        <v>'4to'</v>
      </c>
      <c r="I560" s="16" t="str">
        <f>UPPER(CONCATENATE("'",Alumnos!K276,"'"))</f>
        <v>'MASCULINO'</v>
      </c>
      <c r="J560" s="16" t="str">
        <f>UPPER(CONCATENATE("'",Alumnos!L276,"'"))</f>
        <v>'ACTIVO'</v>
      </c>
      <c r="K560" s="16" t="str">
        <f>CONCATENATE(A560,",",B560,",",C560,",",D560,",'",E560,",",F560,",",G560,",",H560,",",UPPER(I560),",",UPPER(J560),",'',0,0,'','ALUMNO'")</f>
        <v>1559,'LICENCIATURA','ianfernando.barraganlagos','111671','TOMAR DEL SND','BARRAGAN LAGOS IAN FERNANDO','INGENIERÍA AUTOMOTRIZ','4to','MASCULINO','ACTIVO','',0,0,'','ALUMNO'</v>
      </c>
      <c r="L560" s="16" t="str">
        <f>CONCATENATE($K$1,K560,");")</f>
        <v>INSERT INTO participantes (id,nivel,correo,matricula,clave,nombre,carrera,grado,sexo,situacion,evaluados,num_evaluados,total_evaluaciones,ultimo_acceso,nivel_acceso) VALUES (1559,'LICENCIATURA','ianfernando.barraganlagos','111671','TOMAR DEL SND','BARRAGAN LAGOS IAN FERNANDO','INGENIERÍA AUTOMOTRIZ','4to','MASCULINO','ACTIVO','',0,0,'','ALUMNO');</v>
      </c>
      <c r="M560" s="16" t="str">
        <f>CONCATENATE("update participantes set correo=",C560," where id=",A560,";")</f>
        <v>update participantes set correo='ianfernando.barraganlagos' where id=1559;</v>
      </c>
    </row>
    <row r="561" spans="1:13" ht="130.5" x14ac:dyDescent="0.35">
      <c r="A561" s="16">
        <v>1560</v>
      </c>
      <c r="B561" s="18" t="s">
        <v>1754</v>
      </c>
      <c r="C561" s="16" t="str">
        <f>CONCATENATE("'",Alumnos!E321,"'")</f>
        <v>'jorgejulian.ortizrodriguez'</v>
      </c>
      <c r="D561" s="16" t="str">
        <f>CONCATENATE(Alumnos!F321,"'")</f>
        <v>'111672'</v>
      </c>
      <c r="E561" s="16" t="s">
        <v>1755</v>
      </c>
      <c r="F561" s="16" t="str">
        <f>CONCATENATE("'",Alumnos!H321,"'")</f>
        <v>'ORTIZ RODRIGUEZ JORGE JULIAN'</v>
      </c>
      <c r="G561" s="16" t="str">
        <f>CONCATENATE("'",Alumnos!I321,"'")</f>
        <v>'INGENIERIA AEROESPACIAL'</v>
      </c>
      <c r="H561" s="16" t="str">
        <f>CONCATENATE("'",Alumnos!J321,"'")</f>
        <v>'4to'</v>
      </c>
      <c r="I561" s="16" t="str">
        <f>UPPER(CONCATENATE("'",Alumnos!K321,"'"))</f>
        <v>'MASCULINO'</v>
      </c>
      <c r="J561" s="16" t="str">
        <f>UPPER(CONCATENATE("'",Alumnos!L321,"'"))</f>
        <v>'ACTIVO'</v>
      </c>
      <c r="K561" s="16" t="str">
        <f>CONCATENATE(A561,",",B561,",",C561,",",D561,",'",E561,",",F561,",",G561,",",H561,",",UPPER(I561),",",UPPER(J561),",'',0,0,'','ALUMNO'")</f>
        <v>1560,'LICENCIATURA','jorgejulian.ortizrodriguez','111672','TOMAR DEL SND','ORTIZ RODRIGUEZ JORGE JULIAN','INGENIERIA AEROESPACIAL','4to','MASCULINO','ACTIVO','',0,0,'','ALUMNO'</v>
      </c>
      <c r="L561" s="16" t="str">
        <f>CONCATENATE($K$1,K561,");")</f>
        <v>INSERT INTO participantes (id,nivel,correo,matricula,clave,nombre,carrera,grado,sexo,situacion,evaluados,num_evaluados,total_evaluaciones,ultimo_acceso,nivel_acceso) VALUES (1560,'LICENCIATURA','jorgejulian.ortizrodriguez','111672','TOMAR DEL SND','ORTIZ RODRIGUEZ JORGE JULIAN','INGENIERIA AEROESPACIAL','4to','MASCULINO','ACTIVO','',0,0,'','ALUMNO');</v>
      </c>
      <c r="M561" s="16" t="str">
        <f>CONCATENATE("update participantes set correo=",C561," where id=",A561,";")</f>
        <v>update participantes set correo='jorgejulian.ortizrodriguez' where id=1560;</v>
      </c>
    </row>
    <row r="562" spans="1:13" ht="116" x14ac:dyDescent="0.35">
      <c r="A562" s="16">
        <v>1561</v>
      </c>
      <c r="B562" s="18" t="s">
        <v>1754</v>
      </c>
      <c r="C562" s="16" t="str">
        <f>CONCATENATE("'",Alumnos!E279,"'")</f>
        <v>'isaac.vazquezcardona'</v>
      </c>
      <c r="D562" s="16" t="str">
        <f>CONCATENATE(Alumnos!F279,"'")</f>
        <v>'111673'</v>
      </c>
      <c r="E562" s="16" t="s">
        <v>1755</v>
      </c>
      <c r="F562" s="16" t="str">
        <f>CONCATENATE("'",Alumnos!H279,"'")</f>
        <v>'VAZQUEZ CARDONA ISAAC'</v>
      </c>
      <c r="G562" s="16" t="str">
        <f>CONCATENATE("'",Alumnos!I279,"'")</f>
        <v>'INGENIERIA AEROESPACIAL'</v>
      </c>
      <c r="H562" s="16" t="str">
        <f>CONCATENATE("'",Alumnos!J279,"'")</f>
        <v>'4to'</v>
      </c>
      <c r="I562" s="16" t="str">
        <f>UPPER(CONCATENATE("'",Alumnos!K279,"'"))</f>
        <v>'MASCULINO'</v>
      </c>
      <c r="J562" s="16" t="str">
        <f>UPPER(CONCATENATE("'",Alumnos!L279,"'"))</f>
        <v>'ACTIVO'</v>
      </c>
      <c r="K562" s="16" t="str">
        <f>CONCATENATE(A562,",",B562,",",C562,",",D562,",'",E562,",",F562,",",G562,",",H562,",",UPPER(I562),",",UPPER(J562),",'',0,0,'','ALUMNO'")</f>
        <v>1561,'LICENCIATURA','isaac.vazquezcardona','111673','TOMAR DEL SND','VAZQUEZ CARDONA ISAAC','INGENIERIA AEROESPACIAL','4to','MASCULINO','ACTIVO','',0,0,'','ALUMNO'</v>
      </c>
      <c r="L562" s="16" t="str">
        <f>CONCATENATE($K$1,K562,");")</f>
        <v>INSERT INTO participantes (id,nivel,correo,matricula,clave,nombre,carrera,grado,sexo,situacion,evaluados,num_evaluados,total_evaluaciones,ultimo_acceso,nivel_acceso) VALUES (1561,'LICENCIATURA','isaac.vazquezcardona','111673','TOMAR DEL SND','VAZQUEZ CARDONA ISAAC','INGENIERIA AEROESPACIAL','4to','MASCULINO','ACTIVO','',0,0,'','ALUMNO');</v>
      </c>
      <c r="M562" s="16" t="str">
        <f>CONCATENATE("update participantes set correo=",C562," where id=",A562,";")</f>
        <v>update participantes set correo='isaac.vazquezcardona' where id=1561;</v>
      </c>
    </row>
    <row r="563" spans="1:13" ht="130.5" x14ac:dyDescent="0.35">
      <c r="A563" s="16">
        <v>1562</v>
      </c>
      <c r="B563" s="18" t="s">
        <v>1754</v>
      </c>
      <c r="C563" s="16" t="str">
        <f>CONCATENATE("'",Alumnos!E369,"'")</f>
        <v>'karimdaniel.cisnerosgarcia'</v>
      </c>
      <c r="D563" s="16" t="str">
        <f>CONCATENATE(Alumnos!F369,"'")</f>
        <v>'111674'</v>
      </c>
      <c r="E563" s="16" t="s">
        <v>1755</v>
      </c>
      <c r="F563" s="16" t="str">
        <f>CONCATENATE("'",Alumnos!H369,"'")</f>
        <v>'CISNEROS GARCIA KARIM DANIEL'</v>
      </c>
      <c r="G563" s="16" t="str">
        <f>CONCATENATE("'",Alumnos!I369,"'")</f>
        <v>'INGENIERIA AEROESPACIAL'</v>
      </c>
      <c r="H563" s="16" t="str">
        <f>CONCATENATE("'",Alumnos!J369,"'")</f>
        <v>'4to'</v>
      </c>
      <c r="I563" s="16" t="str">
        <f>UPPER(CONCATENATE("'",Alumnos!K369,"'"))</f>
        <v>'MASCULINO'</v>
      </c>
      <c r="J563" s="16" t="str">
        <f>UPPER(CONCATENATE("'",Alumnos!L369,"'"))</f>
        <v>'ACTIVO'</v>
      </c>
      <c r="K563" s="16" t="str">
        <f>CONCATENATE(A563,",",B563,",",C563,",",D563,",'",E563,",",F563,",",G563,",",H563,",",UPPER(I563),",",UPPER(J563),",'',0,0,'','ALUMNO'")</f>
        <v>1562,'LICENCIATURA','karimdaniel.cisnerosgarcia','111674','TOMAR DEL SND','CISNEROS GARCIA KARIM DANIEL','INGENIERIA AEROESPACIAL','4to','MASCULINO','ACTIVO','',0,0,'','ALUMNO'</v>
      </c>
      <c r="L563" s="16" t="str">
        <f>CONCATENATE($K$1,K563,");")</f>
        <v>INSERT INTO participantes (id,nivel,correo,matricula,clave,nombre,carrera,grado,sexo,situacion,evaluados,num_evaluados,total_evaluaciones,ultimo_acceso,nivel_acceso) VALUES (1562,'LICENCIATURA','karimdaniel.cisnerosgarcia','111674','TOMAR DEL SND','CISNEROS GARCIA KARIM DANIEL','INGENIERIA AEROESPACIAL','4to','MASCULINO','ACTIVO','',0,0,'','ALUMNO');</v>
      </c>
      <c r="M563" s="16" t="str">
        <f>CONCATENATE("update participantes set correo=",C563," where id=",A563,";")</f>
        <v>update participantes set correo='karimdaniel.cisnerosgarcia' where id=1562;</v>
      </c>
    </row>
    <row r="564" spans="1:13" ht="116" x14ac:dyDescent="0.35">
      <c r="A564" s="16">
        <v>1563</v>
      </c>
      <c r="B564" s="18" t="s">
        <v>1754</v>
      </c>
      <c r="C564" s="16" t="str">
        <f>CONCATENATE("'",Alumnos!E218,"'")</f>
        <v>'emilio.tadeoalvarez'</v>
      </c>
      <c r="D564" s="16" t="str">
        <f>CONCATENATE(Alumnos!F218,"'")</f>
        <v>'111676'</v>
      </c>
      <c r="E564" s="16" t="s">
        <v>1755</v>
      </c>
      <c r="F564" s="16" t="str">
        <f>CONCATENATE("'",Alumnos!H218,"'")</f>
        <v>'TADEO ALVAREZ EMILIO'</v>
      </c>
      <c r="G564" s="16" t="str">
        <f>CONCATENATE("'",Alumnos!I218,"'")</f>
        <v>'INGENIERÍA AUTOMOTRIZ'</v>
      </c>
      <c r="H564" s="16" t="str">
        <f>CONCATENATE("'",Alumnos!J218,"'")</f>
        <v>'4to'</v>
      </c>
      <c r="I564" s="16" t="str">
        <f>UPPER(CONCATENATE("'",Alumnos!K218,"'"))</f>
        <v>'MASCULINO'</v>
      </c>
      <c r="J564" s="16" t="str">
        <f>UPPER(CONCATENATE("'",Alumnos!L218,"'"))</f>
        <v>'ACTIVO'</v>
      </c>
      <c r="K564" s="16" t="str">
        <f>CONCATENATE(A564,",",B564,",",C564,",",D564,",'",E564,",",F564,",",G564,",",H564,",",UPPER(I564),",",UPPER(J564),",'',0,0,'','ALUMNO'")</f>
        <v>1563,'LICENCIATURA','emilio.tadeoalvarez','111676','TOMAR DEL SND','TADEO ALVAREZ EMILIO','INGENIERÍA AUTOMOTRIZ','4to','MASCULINO','ACTIVO','',0,0,'','ALUMNO'</v>
      </c>
      <c r="L564" s="16" t="str">
        <f>CONCATENATE($K$1,K564,");")</f>
        <v>INSERT INTO participantes (id,nivel,correo,matricula,clave,nombre,carrera,grado,sexo,situacion,evaluados,num_evaluados,total_evaluaciones,ultimo_acceso,nivel_acceso) VALUES (1563,'LICENCIATURA','emilio.tadeoalvarez','111676','TOMAR DEL SND','TADEO ALVAREZ EMILIO','INGENIERÍA AUTOMOTRIZ','4to','MASCULINO','ACTIVO','',0,0,'','ALUMNO');</v>
      </c>
      <c r="M564" s="16" t="str">
        <f>CONCATENATE("update participantes set correo=",C564," where id=",A564,";")</f>
        <v>update participantes set correo='emilio.tadeoalvarez' where id=1563;</v>
      </c>
    </row>
    <row r="565" spans="1:13" ht="116" x14ac:dyDescent="0.35">
      <c r="A565" s="16">
        <v>1564</v>
      </c>
      <c r="B565" s="18" t="s">
        <v>1754</v>
      </c>
      <c r="C565" s="16" t="str">
        <f>CONCATENATE("'",Alumnos!E30,"'")</f>
        <v>'alejandro.palaciosreyes'</v>
      </c>
      <c r="D565" s="16" t="str">
        <f>CONCATENATE(Alumnos!F30,"'")</f>
        <v>'111677'</v>
      </c>
      <c r="E565" s="16" t="s">
        <v>1755</v>
      </c>
      <c r="F565" s="16" t="str">
        <f>CONCATENATE("'",Alumnos!H30,"'")</f>
        <v>'PALACIOS REYES ALEJANDRO'</v>
      </c>
      <c r="G565" s="16" t="str">
        <f>CONCATENATE("'",Alumnos!I30,"'")</f>
        <v>'INGENIERIA AEROESPACIAL'</v>
      </c>
      <c r="H565" s="16" t="str">
        <f>CONCATENATE("'",Alumnos!J30,"'")</f>
        <v>'4to'</v>
      </c>
      <c r="I565" s="16" t="str">
        <f>UPPER(CONCATENATE("'",Alumnos!K30,"'"))</f>
        <v>'MASCULINO'</v>
      </c>
      <c r="J565" s="16" t="str">
        <f>UPPER(CONCATENATE("'",Alumnos!L30,"'"))</f>
        <v>'ACTIVO'</v>
      </c>
      <c r="K565" s="16" t="str">
        <f>CONCATENATE(A565,",",B565,",",C565,",",D565,",'",E565,",",F565,",",G565,",",H565,",",UPPER(I565),",",UPPER(J565),",'',0,0,'','ALUMNO'")</f>
        <v>1564,'LICENCIATURA','alejandro.palaciosreyes','111677','TOMAR DEL SND','PALACIOS REYES ALEJANDRO','INGENIERIA AEROESPACIAL','4to','MASCULINO','ACTIVO','',0,0,'','ALUMNO'</v>
      </c>
      <c r="L565" s="16" t="str">
        <f>CONCATENATE($K$1,K565,");")</f>
        <v>INSERT INTO participantes (id,nivel,correo,matricula,clave,nombre,carrera,grado,sexo,situacion,evaluados,num_evaluados,total_evaluaciones,ultimo_acceso,nivel_acceso) VALUES (1564,'LICENCIATURA','alejandro.palaciosreyes','111677','TOMAR DEL SND','PALACIOS REYES ALEJANDRO','INGENIERIA AEROESPACIAL','4to','MASCULINO','ACTIVO','',0,0,'','ALUMNO');</v>
      </c>
      <c r="M565" s="16" t="str">
        <f>CONCATENATE("update participantes set correo=",C565," where id=",A565,";")</f>
        <v>update participantes set correo='alejandro.palaciosreyes' where id=1564;</v>
      </c>
    </row>
    <row r="566" spans="1:13" ht="116" x14ac:dyDescent="0.35">
      <c r="A566" s="16">
        <v>1565</v>
      </c>
      <c r="B566" s="18" t="s">
        <v>1754</v>
      </c>
      <c r="C566" s="16" t="str">
        <f>CONCATENATE("'",Alumnos!E371,"'")</f>
        <v>'karina.villegasangel'</v>
      </c>
      <c r="D566" s="16" t="str">
        <f>CONCATENATE(Alumnos!F371,"'")</f>
        <v>'111678'</v>
      </c>
      <c r="E566" s="16" t="s">
        <v>1755</v>
      </c>
      <c r="F566" s="16" t="str">
        <f>CONCATENATE("'",Alumnos!H371,"'")</f>
        <v>'VILLEGAS ANGEL KARINA'</v>
      </c>
      <c r="G566" s="16" t="str">
        <f>CONCATENATE("'",Alumnos!I371,"'")</f>
        <v>'INGENIERIA AEROESPACIAL'</v>
      </c>
      <c r="H566" s="16" t="str">
        <f>CONCATENATE("'",Alumnos!J371,"'")</f>
        <v>'4to'</v>
      </c>
      <c r="I566" s="16" t="str">
        <f>UPPER(CONCATENATE("'",Alumnos!K371,"'"))</f>
        <v>'FEMENINO'</v>
      </c>
      <c r="J566" s="16" t="str">
        <f>UPPER(CONCATENATE("'",Alumnos!L371,"'"))</f>
        <v>'ACTIVO'</v>
      </c>
      <c r="K566" s="16" t="str">
        <f>CONCATENATE(A566,",",B566,",",C566,",",D566,",'",E566,",",F566,",",G566,",",H566,",",UPPER(I566),",",UPPER(J566),",'',0,0,'','ALUMNO'")</f>
        <v>1565,'LICENCIATURA','karina.villegasangel','111678','TOMAR DEL SND','VILLEGAS ANGEL KARINA','INGENIERIA AEROESPACIAL','4to','FEMENINO','ACTIVO','',0,0,'','ALUMNO'</v>
      </c>
      <c r="L566" s="16" t="str">
        <f>CONCATENATE($K$1,K566,");")</f>
        <v>INSERT INTO participantes (id,nivel,correo,matricula,clave,nombre,carrera,grado,sexo,situacion,evaluados,num_evaluados,total_evaluaciones,ultimo_acceso,nivel_acceso) VALUES (1565,'LICENCIATURA','karina.villegasangel','111678','TOMAR DEL SND','VILLEGAS ANGEL KARINA','INGENIERIA AEROESPACIAL','4to','FEMENINO','ACTIVO','',0,0,'','ALUMNO');</v>
      </c>
      <c r="M566" s="16" t="str">
        <f>CONCATENATE("update participantes set correo=",C566," where id=",A566,";")</f>
        <v>update participantes set correo='karina.villegasangel' where id=1565;</v>
      </c>
    </row>
    <row r="567" spans="1:13" ht="130.5" x14ac:dyDescent="0.35">
      <c r="A567" s="16">
        <v>1566</v>
      </c>
      <c r="B567" s="18" t="s">
        <v>1754</v>
      </c>
      <c r="C567" s="16" t="str">
        <f>CONCATENATE("'",Alumnos!E605,"'")</f>
        <v>'valeriasofia.ochoareyes'</v>
      </c>
      <c r="D567" s="16" t="str">
        <f>CONCATENATE(Alumnos!F605,"'")</f>
        <v>'111680'</v>
      </c>
      <c r="E567" s="16" t="s">
        <v>1755</v>
      </c>
      <c r="F567" s="16" t="str">
        <f>CONCATENATE("'",Alumnos!H605,"'")</f>
        <v>'OCHOA REYES VALERIA SOFIA'</v>
      </c>
      <c r="G567" s="16" t="str">
        <f>CONCATENATE("'",Alumnos!I605,"'")</f>
        <v>'INGENIERIA AEROESPACIAL'</v>
      </c>
      <c r="H567" s="16" t="str">
        <f>CONCATENATE("'",Alumnos!J605,"'")</f>
        <v>'4to'</v>
      </c>
      <c r="I567" s="16" t="str">
        <f>UPPER(CONCATENATE("'",Alumnos!K605,"'"))</f>
        <v>'FEMENINO'</v>
      </c>
      <c r="J567" s="16" t="str">
        <f>UPPER(CONCATENATE("'",Alumnos!L605,"'"))</f>
        <v>'ACTIVO'</v>
      </c>
      <c r="K567" s="16" t="str">
        <f>CONCATENATE(A567,",",B567,",",C567,",",D567,",'",E567,",",F567,",",G567,",",H567,",",UPPER(I567),",",UPPER(J567),",'',0,0,'','ALUMNO'")</f>
        <v>1566,'LICENCIATURA','valeriasofia.ochoareyes','111680','TOMAR DEL SND','OCHOA REYES VALERIA SOFIA','INGENIERIA AEROESPACIAL','4to','FEMENINO','ACTIVO','',0,0,'','ALUMNO'</v>
      </c>
      <c r="L567" s="16" t="str">
        <f>CONCATENATE($K$1,K567,");")</f>
        <v>INSERT INTO participantes (id,nivel,correo,matricula,clave,nombre,carrera,grado,sexo,situacion,evaluados,num_evaluados,total_evaluaciones,ultimo_acceso,nivel_acceso) VALUES (1566,'LICENCIATURA','valeriasofia.ochoareyes','111680','TOMAR DEL SND','OCHOA REYES VALERIA SOFIA','INGENIERIA AEROESPACIAL','4to','FEMENINO','ACTIVO','',0,0,'','ALUMNO');</v>
      </c>
      <c r="M567" s="16" t="str">
        <f>CONCATENATE("update participantes set correo=",C567," where id=",A567,";")</f>
        <v>update participantes set correo='valeriasofia.ochoareyes' where id=1566;</v>
      </c>
    </row>
    <row r="568" spans="1:13" ht="116" x14ac:dyDescent="0.35">
      <c r="A568" s="16">
        <v>1567</v>
      </c>
      <c r="B568" s="18" t="s">
        <v>1754</v>
      </c>
      <c r="C568" s="16" t="str">
        <f>CONCATENATE("'",Alumnos!E213,"'")</f>
        <v>'emiliano.navavelasco'</v>
      </c>
      <c r="D568" s="16" t="str">
        <f>CONCATENATE(Alumnos!F213,"'")</f>
        <v>'111682'</v>
      </c>
      <c r="E568" s="16" t="s">
        <v>1755</v>
      </c>
      <c r="F568" s="16" t="str">
        <f>CONCATENATE("'",Alumnos!H213,"'")</f>
        <v>'NAVA VELASCO EMILIANO'</v>
      </c>
      <c r="G568" s="16" t="str">
        <f>CONCATENATE("'",Alumnos!I213,"'")</f>
        <v>'INGENIERIA AEROESPACIAL'</v>
      </c>
      <c r="H568" s="16" t="str">
        <f>CONCATENATE("'",Alumnos!J213,"'")</f>
        <v>'4to'</v>
      </c>
      <c r="I568" s="16" t="str">
        <f>UPPER(CONCATENATE("'",Alumnos!K213,"'"))</f>
        <v>'MASCULINO'</v>
      </c>
      <c r="J568" s="16" t="str">
        <f>UPPER(CONCATENATE("'",Alumnos!L213,"'"))</f>
        <v>'ACTIVO'</v>
      </c>
      <c r="K568" s="16" t="str">
        <f>CONCATENATE(A568,",",B568,",",C568,",",D568,",'",E568,",",F568,",",G568,",",H568,",",UPPER(I568),",",UPPER(J568),",'',0,0,'','ALUMNO'")</f>
        <v>1567,'LICENCIATURA','emiliano.navavelasco','111682','TOMAR DEL SND','NAVA VELASCO EMILIANO','INGENIERIA AEROESPACIAL','4to','MASCULINO','ACTIVO','',0,0,'','ALUMNO'</v>
      </c>
      <c r="L568" s="16" t="str">
        <f>CONCATENATE($K$1,K568,");")</f>
        <v>INSERT INTO participantes (id,nivel,correo,matricula,clave,nombre,carrera,grado,sexo,situacion,evaluados,num_evaluados,total_evaluaciones,ultimo_acceso,nivel_acceso) VALUES (1567,'LICENCIATURA','emiliano.navavelasco','111682','TOMAR DEL SND','NAVA VELASCO EMILIANO','INGENIERIA AEROESPACIAL','4to','MASCULINO','ACTIVO','',0,0,'','ALUMNO');</v>
      </c>
      <c r="M568" s="16" t="str">
        <f>CONCATENATE("update participantes set correo=",C568," where id=",A568,";")</f>
        <v>update participantes set correo='emiliano.navavelasco' where id=1567;</v>
      </c>
    </row>
    <row r="569" spans="1:13" ht="116" x14ac:dyDescent="0.35">
      <c r="A569" s="16">
        <v>1568</v>
      </c>
      <c r="B569" s="18" t="s">
        <v>1754</v>
      </c>
      <c r="C569" s="16" t="str">
        <f>CONCATENATE("'",Alumnos!E162,"'")</f>
        <v>'daniela.rojogarcia'</v>
      </c>
      <c r="D569" s="16" t="str">
        <f>CONCATENATE(Alumnos!F162,"'")</f>
        <v>'111684'</v>
      </c>
      <c r="E569" s="16" t="s">
        <v>1755</v>
      </c>
      <c r="F569" s="16" t="str">
        <f>CONCATENATE("'",Alumnos!H162,"'")</f>
        <v>'ROJO GARCIA DANIELA'</v>
      </c>
      <c r="G569" s="16" t="str">
        <f>CONCATENATE("'",Alumnos!I162,"'")</f>
        <v>'ADMINISTRACION Y DIRECCION DE NEGOCIOS'</v>
      </c>
      <c r="H569" s="16" t="str">
        <f>CONCATENATE("'",Alumnos!J162,"'")</f>
        <v>'4to'</v>
      </c>
      <c r="I569" s="16" t="str">
        <f>UPPER(CONCATENATE("'",Alumnos!K162,"'"))</f>
        <v>'FEMENINO'</v>
      </c>
      <c r="J569" s="16" t="str">
        <f>UPPER(CONCATENATE("'",Alumnos!L162,"'"))</f>
        <v>'ACTIVO'</v>
      </c>
      <c r="K569" s="16" t="str">
        <f>CONCATENATE(A569,",",B569,",",C569,",",D569,",'",E569,",",F569,",",G569,",",H569,",",UPPER(I569),",",UPPER(J569),",'',0,0,'','ALUMNO'")</f>
        <v>1568,'LICENCIATURA','daniela.rojogarcia','111684','TOMAR DEL SND','ROJO GARCIA DANIELA','ADMINISTRACION Y DIRECCION DE NEGOCIOS','4to','FEMENINO','ACTIVO','',0,0,'','ALUMNO'</v>
      </c>
      <c r="L569" s="16" t="str">
        <f>CONCATENATE($K$1,K569,");")</f>
        <v>INSERT INTO participantes (id,nivel,correo,matricula,clave,nombre,carrera,grado,sexo,situacion,evaluados,num_evaluados,total_evaluaciones,ultimo_acceso,nivel_acceso) VALUES (1568,'LICENCIATURA','daniela.rojogarcia','111684','TOMAR DEL SND','ROJO GARCIA DANIELA','ADMINISTRACION Y DIRECCION DE NEGOCIOS','4to','FEMENINO','ACTIVO','',0,0,'','ALUMNO');</v>
      </c>
      <c r="M569" s="16" t="str">
        <f>CONCATENATE("update participantes set correo=",C569," where id=",A569,";")</f>
        <v>update participantes set correo='daniela.rojogarcia' where id=1568;</v>
      </c>
    </row>
    <row r="570" spans="1:13" ht="116" x14ac:dyDescent="0.35">
      <c r="A570" s="16">
        <v>1569</v>
      </c>
      <c r="B570" s="18" t="s">
        <v>1754</v>
      </c>
      <c r="C570" s="16" t="str">
        <f>CONCATENATE("'",Alumnos!E273,"'")</f>
        <v>'heli.serranogonzalez'</v>
      </c>
      <c r="D570" s="16" t="str">
        <f>CONCATENATE(Alumnos!F273,"'")</f>
        <v>'111686'</v>
      </c>
      <c r="E570" s="16" t="s">
        <v>1755</v>
      </c>
      <c r="F570" s="16" t="str">
        <f>CONCATENATE("'",Alumnos!H273,"'")</f>
        <v>'SERRANO GONZALEZ HELI'</v>
      </c>
      <c r="G570" s="16" t="str">
        <f>CONCATENATE("'",Alumnos!I273,"'")</f>
        <v>'INGENIERIA AEROESPACIAL'</v>
      </c>
      <c r="H570" s="16" t="str">
        <f>CONCATENATE("'",Alumnos!J273,"'")</f>
        <v>'4to'</v>
      </c>
      <c r="I570" s="16" t="str">
        <f>UPPER(CONCATENATE("'",Alumnos!K273,"'"))</f>
        <v>'FEMENINO'</v>
      </c>
      <c r="J570" s="16" t="str">
        <f>UPPER(CONCATENATE("'",Alumnos!L273,"'"))</f>
        <v>'ACTIVO'</v>
      </c>
      <c r="K570" s="16" t="str">
        <f>CONCATENATE(A570,",",B570,",",C570,",",D570,",'",E570,",",F570,",",G570,",",H570,",",UPPER(I570),",",UPPER(J570),",'',0,0,'','ALUMNO'")</f>
        <v>1569,'LICENCIATURA','heli.serranogonzalez','111686','TOMAR DEL SND','SERRANO GONZALEZ HELI','INGENIERIA AEROESPACIAL','4to','FEMENINO','ACTIVO','',0,0,'','ALUMNO'</v>
      </c>
      <c r="L570" s="16" t="str">
        <f>CONCATENATE($K$1,K570,");")</f>
        <v>INSERT INTO participantes (id,nivel,correo,matricula,clave,nombre,carrera,grado,sexo,situacion,evaluados,num_evaluados,total_evaluaciones,ultimo_acceso,nivel_acceso) VALUES (1569,'LICENCIATURA','heli.serranogonzalez','111686','TOMAR DEL SND','SERRANO GONZALEZ HELI','INGENIERIA AEROESPACIAL','4to','FEMENINO','ACTIVO','',0,0,'','ALUMNO');</v>
      </c>
      <c r="M570" s="16" t="str">
        <f>CONCATENATE("update participantes set correo=",C570," where id=",A570,";")</f>
        <v>update participantes set correo='heli.serranogonzalez' where id=1569;</v>
      </c>
    </row>
    <row r="571" spans="1:13" ht="130.5" x14ac:dyDescent="0.35">
      <c r="A571" s="16">
        <v>1570</v>
      </c>
      <c r="B571" s="18" t="s">
        <v>1754</v>
      </c>
      <c r="C571" s="16" t="str">
        <f>CONCATENATE("'",Alumnos!E29,"'")</f>
        <v>'alejandro.dominguezhervert'</v>
      </c>
      <c r="D571" s="16" t="str">
        <f>CONCATENATE(Alumnos!F29,"'")</f>
        <v>'111687'</v>
      </c>
      <c r="E571" s="16" t="s">
        <v>1755</v>
      </c>
      <c r="F571" s="16" t="str">
        <f>CONCATENATE("'",Alumnos!H29,"'")</f>
        <v>'DOMINGUEZ HERVERT ALEJANDRO'</v>
      </c>
      <c r="G571" s="16" t="str">
        <f>CONCATENATE("'",Alumnos!I29,"'")</f>
        <v>'INGENIERIA AEROESPACIAL'</v>
      </c>
      <c r="H571" s="16" t="str">
        <f>CONCATENATE("'",Alumnos!J29,"'")</f>
        <v>'4to'</v>
      </c>
      <c r="I571" s="16" t="str">
        <f>UPPER(CONCATENATE("'",Alumnos!K29,"'"))</f>
        <v>'MASCULINO'</v>
      </c>
      <c r="J571" s="16" t="str">
        <f>UPPER(CONCATENATE("'",Alumnos!L29,"'"))</f>
        <v>'ACTIVO'</v>
      </c>
      <c r="K571" s="16" t="str">
        <f>CONCATENATE(A571,",",B571,",",C571,",",D571,",'",E571,",",F571,",",G571,",",H571,",",UPPER(I571),",",UPPER(J571),",'',0,0,'','ALUMNO'")</f>
        <v>1570,'LICENCIATURA','alejandro.dominguezhervert','111687','TOMAR DEL SND','DOMINGUEZ HERVERT ALEJANDRO','INGENIERIA AEROESPACIAL','4to','MASCULINO','ACTIVO','',0,0,'','ALUMNO'</v>
      </c>
      <c r="L571" s="16" t="str">
        <f>CONCATENATE($K$1,K571,");")</f>
        <v>INSERT INTO participantes (id,nivel,correo,matricula,clave,nombre,carrera,grado,sexo,situacion,evaluados,num_evaluados,total_evaluaciones,ultimo_acceso,nivel_acceso) VALUES (1570,'LICENCIATURA','alejandro.dominguezhervert','111687','TOMAR DEL SND','DOMINGUEZ HERVERT ALEJANDRO','INGENIERIA AEROESPACIAL','4to','MASCULINO','ACTIVO','',0,0,'','ALUMNO');</v>
      </c>
      <c r="M571" s="16" t="str">
        <f>CONCATENATE("update participantes set correo=",C571," where id=",A571,";")</f>
        <v>update participantes set correo='alejandro.dominguezhervert' where id=1570;</v>
      </c>
    </row>
    <row r="572" spans="1:13" ht="130.5" x14ac:dyDescent="0.35">
      <c r="A572" s="16">
        <v>1571</v>
      </c>
      <c r="B572" s="18" t="s">
        <v>1754</v>
      </c>
      <c r="C572" s="16" t="str">
        <f>CONCATENATE("'",Alumnos!E564,"'")</f>
        <v>'sandra.martineznavarro'</v>
      </c>
      <c r="D572" s="16" t="str">
        <f>CONCATENATE(Alumnos!F564,"'")</f>
        <v>'111688'</v>
      </c>
      <c r="E572" s="16" t="s">
        <v>1755</v>
      </c>
      <c r="F572" s="16" t="str">
        <f>CONCATENATE("'",Alumnos!H564,"'")</f>
        <v>'MARTINEZ NAVARRO SANDRA'</v>
      </c>
      <c r="G572" s="16" t="str">
        <f>CONCATENATE("'",Alumnos!I564,"'")</f>
        <v>'NUTRICION Y GASTRONOMIA'</v>
      </c>
      <c r="H572" s="16" t="str">
        <f>CONCATENATE("'",Alumnos!J564,"'")</f>
        <v>'4to'</v>
      </c>
      <c r="I572" s="16" t="str">
        <f>UPPER(CONCATENATE("'",Alumnos!K564,"'"))</f>
        <v>'FEMENINO'</v>
      </c>
      <c r="J572" s="16" t="str">
        <f>UPPER(CONCATENATE("'",Alumnos!L564,"'"))</f>
        <v>'ACTIVO'</v>
      </c>
      <c r="K572" s="16" t="str">
        <f>CONCATENATE(A572,",",B572,",",C572,",",D572,",'",E572,",",F572,",",G572,",",H572,",",UPPER(I572),",",UPPER(J572),",'',0,0,'','ALUMNO'")</f>
        <v>1571,'LICENCIATURA','sandra.martineznavarro','111688','TOMAR DEL SND','MARTINEZ NAVARRO SANDRA','NUTRICION Y GASTRONOMIA','4to','FEMENINO','ACTIVO','',0,0,'','ALUMNO'</v>
      </c>
      <c r="L572" s="16" t="str">
        <f>CONCATENATE($K$1,K572,");")</f>
        <v>INSERT INTO participantes (id,nivel,correo,matricula,clave,nombre,carrera,grado,sexo,situacion,evaluados,num_evaluados,total_evaluaciones,ultimo_acceso,nivel_acceso) VALUES (1571,'LICENCIATURA','sandra.martineznavarro','111688','TOMAR DEL SND','MARTINEZ NAVARRO SANDRA','NUTRICION Y GASTRONOMIA','4to','FEMENINO','ACTIVO','',0,0,'','ALUMNO');</v>
      </c>
      <c r="M572" s="16" t="str">
        <f>CONCATENATE("update participantes set correo=",C572," where id=",A572,";")</f>
        <v>update participantes set correo='sandra.martineznavarro' where id=1571;</v>
      </c>
    </row>
    <row r="573" spans="1:13" ht="116" x14ac:dyDescent="0.35">
      <c r="A573" s="16">
        <v>1572</v>
      </c>
      <c r="B573" s="18" t="s">
        <v>1754</v>
      </c>
      <c r="C573" s="16" t="str">
        <f>CONCATENATE("'",Alumnos!E565,"'")</f>
        <v>'sandrabeatriz.guerrerogrimaldo'</v>
      </c>
      <c r="D573" s="16" t="str">
        <f>CONCATENATE(Alumnos!F565,"'")</f>
        <v>'111690'</v>
      </c>
      <c r="E573" s="16" t="s">
        <v>1755</v>
      </c>
      <c r="F573" s="16" t="str">
        <f>CONCATENATE("'",Alumnos!H565,"'")</f>
        <v>'GUERRERO GRIMALDO SANDRA BEATRIZ'</v>
      </c>
      <c r="G573" s="16" t="str">
        <f>CONCATENATE("'",Alumnos!I565,"'")</f>
        <v>'INGENIERÍA EN INTELIGENCIA ARTIFICIAL'</v>
      </c>
      <c r="H573" s="16" t="str">
        <f>CONCATENATE("'",Alumnos!J565,"'")</f>
        <v>'4to'</v>
      </c>
      <c r="I573" s="16" t="str">
        <f>UPPER(CONCATENATE("'",Alumnos!K565,"'"))</f>
        <v>'FEMENINO'</v>
      </c>
      <c r="J573" s="16" t="str">
        <f>UPPER(CONCATENATE("'",Alumnos!L565,"'"))</f>
        <v>'ACTIVO'</v>
      </c>
      <c r="K573" s="16" t="str">
        <f>CONCATENATE(A573,",",B573,",",C573,",",D573,",'",E573,",",F573,",",G573,",",H573,",",UPPER(I573),",",UPPER(J573),",'',0,0,'','ALUMNO'")</f>
        <v>1572,'LICENCIATURA','sandrabeatriz.guerrerogrimaldo','111690','TOMAR DEL SND','GUERRERO GRIMALDO SANDRA BEATRIZ','INGENIERÍA EN INTELIGENCIA ARTIFICIAL','4to','FEMENINO','ACTIVO','',0,0,'','ALUMNO'</v>
      </c>
      <c r="L573" s="16" t="str">
        <f>CONCATENATE($K$1,K573,");")</f>
        <v>INSERT INTO participantes (id,nivel,correo,matricula,clave,nombre,carrera,grado,sexo,situacion,evaluados,num_evaluados,total_evaluaciones,ultimo_acceso,nivel_acceso) VALUES (1572,'LICENCIATURA','sandrabeatriz.guerrerogrimaldo','111690','TOMAR DEL SND','GUERRERO GRIMALDO SANDRA BEATRIZ','INGENIERÍA EN INTELIGENCIA ARTIFICIAL','4to','FEMENINO','ACTIVO','',0,0,'','ALUMNO');</v>
      </c>
      <c r="M573" s="16" t="str">
        <f>CONCATENATE("update participantes set correo=",C573," where id=",A573,";")</f>
        <v>update participantes set correo='sandrabeatriz.guerrerogrimaldo' where id=1572;</v>
      </c>
    </row>
    <row r="574" spans="1:13" ht="130.5" x14ac:dyDescent="0.35">
      <c r="A574" s="16">
        <v>1573</v>
      </c>
      <c r="B574" s="18" t="s">
        <v>1754</v>
      </c>
      <c r="C574" s="16" t="str">
        <f>CONCATENATE("'",Alumnos!E194,"'")</f>
        <v>'diegofrancisco.preciadolara'</v>
      </c>
      <c r="D574" s="16" t="str">
        <f>CONCATENATE(Alumnos!F194,"'")</f>
        <v>'111699'</v>
      </c>
      <c r="E574" s="16" t="s">
        <v>1755</v>
      </c>
      <c r="F574" s="16" t="str">
        <f>CONCATENATE("'",Alumnos!H194,"'")</f>
        <v>'PRECIADO LARA DIEGO FRANCISCO'</v>
      </c>
      <c r="G574" s="16" t="str">
        <f>CONCATENATE("'",Alumnos!I194,"'")</f>
        <v>'INGENIERÍA AUTOMOTRIZ'</v>
      </c>
      <c r="H574" s="16" t="str">
        <f>CONCATENATE("'",Alumnos!J194,"'")</f>
        <v>'4to'</v>
      </c>
      <c r="I574" s="16" t="str">
        <f>UPPER(CONCATENATE("'",Alumnos!K194,"'"))</f>
        <v>'MASCULINO'</v>
      </c>
      <c r="J574" s="16" t="str">
        <f>UPPER(CONCATENATE("'",Alumnos!L194,"'"))</f>
        <v>'ACTIVO'</v>
      </c>
      <c r="K574" s="16" t="str">
        <f>CONCATENATE(A574,",",B574,",",C574,",",D574,",'",E574,",",F574,",",G574,",",H574,",",UPPER(I574),",",UPPER(J574),",'',0,0,'','ALUMNO'")</f>
        <v>1573,'LICENCIATURA','diegofrancisco.preciadolara','111699','TOMAR DEL SND','PRECIADO LARA DIEGO FRANCISCO','INGENIERÍA AUTOMOTRIZ','4to','MASCULINO','ACTIVO','',0,0,'','ALUMNO'</v>
      </c>
      <c r="L574" s="16" t="str">
        <f>CONCATENATE($K$1,K574,");")</f>
        <v>INSERT INTO participantes (id,nivel,correo,matricula,clave,nombre,carrera,grado,sexo,situacion,evaluados,num_evaluados,total_evaluaciones,ultimo_acceso,nivel_acceso) VALUES (1573,'LICENCIATURA','diegofrancisco.preciadolara','111699','TOMAR DEL SND','PRECIADO LARA DIEGO FRANCISCO','INGENIERÍA AUTOMOTRIZ','4to','MASCULINO','ACTIVO','',0,0,'','ALUMNO');</v>
      </c>
      <c r="M574" s="16" t="str">
        <f>CONCATENATE("update participantes set correo=",C574," where id=",A574,";")</f>
        <v>update participantes set correo='diegofrancisco.preciadolara' where id=1573;</v>
      </c>
    </row>
    <row r="575" spans="1:13" ht="130.5" x14ac:dyDescent="0.35">
      <c r="A575" s="16">
        <v>1574</v>
      </c>
      <c r="B575" s="18" t="s">
        <v>1754</v>
      </c>
      <c r="C575" s="16" t="str">
        <f>CONCATENATE("'",Alumnos!E206,"'")</f>
        <v>'edwinfernando.lunabarrientos'</v>
      </c>
      <c r="D575" s="16" t="str">
        <f>CONCATENATE(Alumnos!F206,"'")</f>
        <v>'111703'</v>
      </c>
      <c r="E575" s="16" t="s">
        <v>1755</v>
      </c>
      <c r="F575" s="16" t="str">
        <f>CONCATENATE("'",Alumnos!H206,"'")</f>
        <v>'LUNA BARRIENTOS EDWIN FERNANDO'</v>
      </c>
      <c r="G575" s="16" t="str">
        <f>CONCATENATE("'",Alumnos!I206,"'")</f>
        <v>'INGENIERÍA AUTOMOTRIZ'</v>
      </c>
      <c r="H575" s="16" t="str">
        <f>CONCATENATE("'",Alumnos!J206,"'")</f>
        <v>'4to'</v>
      </c>
      <c r="I575" s="16" t="str">
        <f>UPPER(CONCATENATE("'",Alumnos!K206,"'"))</f>
        <v>'MASCULINO'</v>
      </c>
      <c r="J575" s="16" t="str">
        <f>UPPER(CONCATENATE("'",Alumnos!L206,"'"))</f>
        <v>'ACTIVO'</v>
      </c>
      <c r="K575" s="16" t="str">
        <f>CONCATENATE(A575,",",B575,",",C575,",",D575,",'",E575,",",F575,",",G575,",",H575,",",UPPER(I575),",",UPPER(J575),",'',0,0,'','ALUMNO'")</f>
        <v>1574,'LICENCIATURA','edwinfernando.lunabarrientos','111703','TOMAR DEL SND','LUNA BARRIENTOS EDWIN FERNANDO','INGENIERÍA AUTOMOTRIZ','4to','MASCULINO','ACTIVO','',0,0,'','ALUMNO'</v>
      </c>
      <c r="L575" s="16" t="str">
        <f>CONCATENATE($K$1,K575,");")</f>
        <v>INSERT INTO participantes (id,nivel,correo,matricula,clave,nombre,carrera,grado,sexo,situacion,evaluados,num_evaluados,total_evaluaciones,ultimo_acceso,nivel_acceso) VALUES (1574,'LICENCIATURA','edwinfernando.lunabarrientos','111703','TOMAR DEL SND','LUNA BARRIENTOS EDWIN FERNANDO','INGENIERÍA AUTOMOTRIZ','4to','MASCULINO','ACTIVO','',0,0,'','ALUMNO');</v>
      </c>
      <c r="M575" s="16" t="str">
        <f>CONCATENATE("update participantes set correo=",C575," where id=",A575,";")</f>
        <v>update participantes set correo='edwinfernando.lunabarrientos' where id=1574;</v>
      </c>
    </row>
    <row r="576" spans="1:13" ht="130.5" x14ac:dyDescent="0.35">
      <c r="A576" s="16">
        <v>1575</v>
      </c>
      <c r="B576" s="18" t="s">
        <v>1754</v>
      </c>
      <c r="C576" s="16" t="str">
        <f>CONCATENATE("'",Alumnos!E348,"'")</f>
        <v>'juancarlos.castillerosolano'</v>
      </c>
      <c r="D576" s="16" t="str">
        <f>CONCATENATE(Alumnos!F348,"'")</f>
        <v>'111722'</v>
      </c>
      <c r="E576" s="16" t="s">
        <v>1755</v>
      </c>
      <c r="F576" s="16" t="str">
        <f>CONCATENATE("'",Alumnos!H348,"'")</f>
        <v>'CASTILLERO SOLANO JUAN CARLOS'</v>
      </c>
      <c r="G576" s="16" t="str">
        <f>CONCATENATE("'",Alumnos!I348,"'")</f>
        <v>'INGENIERÍA AUTOMOTRIZ'</v>
      </c>
      <c r="H576" s="16" t="str">
        <f>CONCATENATE("'",Alumnos!J348,"'")</f>
        <v>'4to'</v>
      </c>
      <c r="I576" s="16" t="str">
        <f>UPPER(CONCATENATE("'",Alumnos!K348,"'"))</f>
        <v>'MASCULINO'</v>
      </c>
      <c r="J576" s="16" t="str">
        <f>UPPER(CONCATENATE("'",Alumnos!L348,"'"))</f>
        <v>'ACTIVO'</v>
      </c>
      <c r="K576" s="16" t="str">
        <f>CONCATENATE(A576,",",B576,",",C576,",",D576,",'",E576,",",F576,",",G576,",",H576,",",UPPER(I576),",",UPPER(J576),",'',0,0,'','ALUMNO'")</f>
        <v>1575,'LICENCIATURA','juancarlos.castillerosolano','111722','TOMAR DEL SND','CASTILLERO SOLANO JUAN CARLOS','INGENIERÍA AUTOMOTRIZ','4to','MASCULINO','ACTIVO','',0,0,'','ALUMNO'</v>
      </c>
      <c r="L576" s="16" t="str">
        <f>CONCATENATE($K$1,K576,");")</f>
        <v>INSERT INTO participantes (id,nivel,correo,matricula,clave,nombre,carrera,grado,sexo,situacion,evaluados,num_evaluados,total_evaluaciones,ultimo_acceso,nivel_acceso) VALUES (1575,'LICENCIATURA','juancarlos.castillerosolano','111722','TOMAR DEL SND','CASTILLERO SOLANO JUAN CARLOS','INGENIERÍA AUTOMOTRIZ','4to','MASCULINO','ACTIVO','',0,0,'','ALUMNO');</v>
      </c>
      <c r="M576" s="16" t="str">
        <f>CONCATENATE("update participantes set correo=",C576," where id=",A576,";")</f>
        <v>update participantes set correo='juancarlos.castillerosolano' where id=1575;</v>
      </c>
    </row>
    <row r="577" spans="1:13" ht="130.5" x14ac:dyDescent="0.35">
      <c r="A577" s="16">
        <v>1576</v>
      </c>
      <c r="B577" s="18" t="s">
        <v>1754</v>
      </c>
      <c r="C577" s="16" t="str">
        <f>CONCATENATE("'",Alumnos!E80,"'")</f>
        <v>'angelemanuel.cuetoramos'</v>
      </c>
      <c r="D577" s="16" t="str">
        <f>CONCATENATE(Alumnos!F80,"'")</f>
        <v>'111723'</v>
      </c>
      <c r="E577" s="16" t="s">
        <v>1755</v>
      </c>
      <c r="F577" s="16" t="str">
        <f>CONCATENATE("'",Alumnos!H80,"'")</f>
        <v>'CUETO RAMOS ANGEL EMANUEL'</v>
      </c>
      <c r="G577" s="16" t="str">
        <f>CONCATENATE("'",Alumnos!I80,"'")</f>
        <v>'INGENIERÍA AUTOMOTRIZ'</v>
      </c>
      <c r="H577" s="16" t="str">
        <f>CONCATENATE("'",Alumnos!J80,"'")</f>
        <v>'4to'</v>
      </c>
      <c r="I577" s="16" t="str">
        <f>UPPER(CONCATENATE("'",Alumnos!K80,"'"))</f>
        <v>'MASCULINO'</v>
      </c>
      <c r="J577" s="16" t="str">
        <f>UPPER(CONCATENATE("'",Alumnos!L80,"'"))</f>
        <v>'ACTIVO'</v>
      </c>
      <c r="K577" s="16" t="str">
        <f>CONCATENATE(A577,",",B577,",",C577,",",D577,",'",E577,",",F577,",",G577,",",H577,",",UPPER(I577),",",UPPER(J577),",'',0,0,'','ALUMNO'")</f>
        <v>1576,'LICENCIATURA','angelemanuel.cuetoramos','111723','TOMAR DEL SND','CUETO RAMOS ANGEL EMANUEL','INGENIERÍA AUTOMOTRIZ','4to','MASCULINO','ACTIVO','',0,0,'','ALUMNO'</v>
      </c>
      <c r="L577" s="16" t="str">
        <f>CONCATENATE($K$1,K577,");")</f>
        <v>INSERT INTO participantes (id,nivel,correo,matricula,clave,nombre,carrera,grado,sexo,situacion,evaluados,num_evaluados,total_evaluaciones,ultimo_acceso,nivel_acceso) VALUES (1576,'LICENCIATURA','angelemanuel.cuetoramos','111723','TOMAR DEL SND','CUETO RAMOS ANGEL EMANUEL','INGENIERÍA AUTOMOTRIZ','4to','MASCULINO','ACTIVO','',0,0,'','ALUMNO');</v>
      </c>
      <c r="M577" s="16" t="str">
        <f>CONCATENATE("update participantes set correo=",C577," where id=",A577,";")</f>
        <v>update participantes set correo='angelemanuel.cuetoramos' where id=1576;</v>
      </c>
    </row>
    <row r="578" spans="1:13" ht="130.5" x14ac:dyDescent="0.35">
      <c r="A578" s="16">
        <v>1577</v>
      </c>
      <c r="B578" s="18" t="s">
        <v>1754</v>
      </c>
      <c r="C578" s="16" t="str">
        <f>CONCATENATE("'",Alumnos!E229,"'")</f>
        <v>'estebanenrique.padillaperaza'</v>
      </c>
      <c r="D578" s="16" t="str">
        <f>CONCATENATE(Alumnos!F229,"'")</f>
        <v>'111724'</v>
      </c>
      <c r="E578" s="16" t="s">
        <v>1755</v>
      </c>
      <c r="F578" s="16" t="str">
        <f>CONCATENATE("'",Alumnos!H229,"'")</f>
        <v>'PADILLA PERAZA ESTEBAN ENRIQUE'</v>
      </c>
      <c r="G578" s="16" t="str">
        <f>CONCATENATE("'",Alumnos!I229,"'")</f>
        <v>'INGENIERÍA AUTOMOTRIZ'</v>
      </c>
      <c r="H578" s="16" t="str">
        <f>CONCATENATE("'",Alumnos!J229,"'")</f>
        <v>'4to'</v>
      </c>
      <c r="I578" s="16" t="str">
        <f>UPPER(CONCATENATE("'",Alumnos!K229,"'"))</f>
        <v>'MASCULINO'</v>
      </c>
      <c r="J578" s="16" t="str">
        <f>UPPER(CONCATENATE("'",Alumnos!L229,"'"))</f>
        <v>'ACTIVO'</v>
      </c>
      <c r="K578" s="16" t="str">
        <f>CONCATENATE(A578,",",B578,",",C578,",",D578,",'",E578,",",F578,",",G578,",",H578,",",UPPER(I578),",",UPPER(J578),",'',0,0,'','ALUMNO'")</f>
        <v>1577,'LICENCIATURA','estebanenrique.padillaperaza','111724','TOMAR DEL SND','PADILLA PERAZA ESTEBAN ENRIQUE','INGENIERÍA AUTOMOTRIZ','4to','MASCULINO','ACTIVO','',0,0,'','ALUMNO'</v>
      </c>
      <c r="L578" s="16" t="str">
        <f>CONCATENATE($K$1,K578,");")</f>
        <v>INSERT INTO participantes (id,nivel,correo,matricula,clave,nombre,carrera,grado,sexo,situacion,evaluados,num_evaluados,total_evaluaciones,ultimo_acceso,nivel_acceso) VALUES (1577,'LICENCIATURA','estebanenrique.padillaperaza','111724','TOMAR DEL SND','PADILLA PERAZA ESTEBAN ENRIQUE','INGENIERÍA AUTOMOTRIZ','4to','MASCULINO','ACTIVO','',0,0,'','ALUMNO');</v>
      </c>
      <c r="M578" s="16" t="str">
        <f>CONCATENATE("update participantes set correo=",C578," where id=",A578,";")</f>
        <v>update participantes set correo='estebanenrique.padillaperaza' where id=1577;</v>
      </c>
    </row>
    <row r="579" spans="1:13" ht="130.5" x14ac:dyDescent="0.35">
      <c r="A579" s="16">
        <v>1578</v>
      </c>
      <c r="B579" s="18" t="s">
        <v>1754</v>
      </c>
      <c r="C579" s="16" t="str">
        <f>CONCATENATE("'",Alumnos!E316,"'")</f>
        <v>'jonathanoswaldo.duranruvalcaba'</v>
      </c>
      <c r="D579" s="16" t="str">
        <f>CONCATENATE(Alumnos!F316,"'")</f>
        <v>'111726'</v>
      </c>
      <c r="E579" s="16" t="s">
        <v>1755</v>
      </c>
      <c r="F579" s="16" t="str">
        <f>CONCATENATE("'",Alumnos!H316,"'")</f>
        <v>'DURAN RUVALCABA JONATHAN OSWALDO'</v>
      </c>
      <c r="G579" s="16" t="str">
        <f>CONCATENATE("'",Alumnos!I316,"'")</f>
        <v>'INGENIERIA AEROESPACIAL'</v>
      </c>
      <c r="H579" s="16" t="str">
        <f>CONCATENATE("'",Alumnos!J316,"'")</f>
        <v>'4to'</v>
      </c>
      <c r="I579" s="16" t="str">
        <f>UPPER(CONCATENATE("'",Alumnos!K316,"'"))</f>
        <v>'MASCULINO'</v>
      </c>
      <c r="J579" s="16" t="str">
        <f>UPPER(CONCATENATE("'",Alumnos!L316,"'"))</f>
        <v>'ACTIVO'</v>
      </c>
      <c r="K579" s="16" t="str">
        <f>CONCATENATE(A579,",",B579,",",C579,",",D579,",'",E579,",",F579,",",G579,",",H579,",",UPPER(I579),",",UPPER(J579),",'',0,0,'','ALUMNO'")</f>
        <v>1578,'LICENCIATURA','jonathanoswaldo.duranruvalcaba','111726','TOMAR DEL SND','DURAN RUVALCABA JONATHAN OSWALDO','INGENIERIA AEROESPACIAL','4to','MASCULINO','ACTIVO','',0,0,'','ALUMNO'</v>
      </c>
      <c r="L579" s="16" t="str">
        <f>CONCATENATE($K$1,K579,");")</f>
        <v>INSERT INTO participantes (id,nivel,correo,matricula,clave,nombre,carrera,grado,sexo,situacion,evaluados,num_evaluados,total_evaluaciones,ultimo_acceso,nivel_acceso) VALUES (1578,'LICENCIATURA','jonathanoswaldo.duranruvalcaba','111726','TOMAR DEL SND','DURAN RUVALCABA JONATHAN OSWALDO','INGENIERIA AEROESPACIAL','4to','MASCULINO','ACTIVO','',0,0,'','ALUMNO');</v>
      </c>
      <c r="M579" s="16" t="str">
        <f>CONCATENATE("update participantes set correo=",C579," where id=",A579,";")</f>
        <v>update participantes set correo='jonathanoswaldo.duranruvalcaba' where id=1578;</v>
      </c>
    </row>
    <row r="580" spans="1:13" ht="130.5" x14ac:dyDescent="0.35">
      <c r="A580" s="16">
        <v>1579</v>
      </c>
      <c r="B580" s="18" t="s">
        <v>1754</v>
      </c>
      <c r="C580" s="16" t="str">
        <f>CONCATENATE("'",Alumnos!E195,"'")</f>
        <v>'diegomartin.zavalacuellar'</v>
      </c>
      <c r="D580" s="16" t="str">
        <f>CONCATENATE(Alumnos!F195,"'")</f>
        <v>'111727'</v>
      </c>
      <c r="E580" s="16" t="s">
        <v>1755</v>
      </c>
      <c r="F580" s="16" t="str">
        <f>CONCATENATE("'",Alumnos!H195,"'")</f>
        <v>'ZAVALA CUELLAR DIEGO MARTIN'</v>
      </c>
      <c r="G580" s="16" t="str">
        <f>CONCATENATE("'",Alumnos!I195,"'")</f>
        <v>'INGENIERIA AEROESPACIAL'</v>
      </c>
      <c r="H580" s="16" t="str">
        <f>CONCATENATE("'",Alumnos!J195,"'")</f>
        <v>'4to'</v>
      </c>
      <c r="I580" s="16" t="str">
        <f>UPPER(CONCATENATE("'",Alumnos!K195,"'"))</f>
        <v>'MASCULINO'</v>
      </c>
      <c r="J580" s="16" t="str">
        <f>UPPER(CONCATENATE("'",Alumnos!L195,"'"))</f>
        <v>'ACTIVO'</v>
      </c>
      <c r="K580" s="16" t="str">
        <f>CONCATENATE(A580,",",B580,",",C580,",",D580,",'",E580,",",F580,",",G580,",",H580,",",UPPER(I580),",",UPPER(J580),",'',0,0,'','ALUMNO'")</f>
        <v>1579,'LICENCIATURA','diegomartin.zavalacuellar','111727','TOMAR DEL SND','ZAVALA CUELLAR DIEGO MARTIN','INGENIERIA AEROESPACIAL','4to','MASCULINO','ACTIVO','',0,0,'','ALUMNO'</v>
      </c>
      <c r="L580" s="16" t="str">
        <f>CONCATENATE($K$1,K580,");")</f>
        <v>INSERT INTO participantes (id,nivel,correo,matricula,clave,nombre,carrera,grado,sexo,situacion,evaluados,num_evaluados,total_evaluaciones,ultimo_acceso,nivel_acceso) VALUES (1579,'LICENCIATURA','diegomartin.zavalacuellar','111727','TOMAR DEL SND','ZAVALA CUELLAR DIEGO MARTIN','INGENIERIA AEROESPACIAL','4to','MASCULINO','ACTIVO','',0,0,'','ALUMNO');</v>
      </c>
      <c r="M580" s="16" t="str">
        <f>CONCATENATE("update participantes set correo=",C580," where id=",A580,";")</f>
        <v>update participantes set correo='diegomartin.zavalacuellar' where id=1579;</v>
      </c>
    </row>
    <row r="581" spans="1:13" ht="130.5" x14ac:dyDescent="0.35">
      <c r="A581" s="16">
        <v>1580</v>
      </c>
      <c r="B581" s="18" t="s">
        <v>1754</v>
      </c>
      <c r="C581" s="16" t="str">
        <f>CONCATENATE("'",Alumnos!E67,"'")</f>
        <v>'andresezequiel.nunezramos'</v>
      </c>
      <c r="D581" s="16" t="str">
        <f>CONCATENATE(Alumnos!F67,"'")</f>
        <v>'111728'</v>
      </c>
      <c r="E581" s="16" t="s">
        <v>1755</v>
      </c>
      <c r="F581" s="16" t="str">
        <f>CONCATENATE("'",Alumnos!H67,"'")</f>
        <v>'NUÑEZ RAMOS ANDRES EZEQUIEL'</v>
      </c>
      <c r="G581" s="16" t="str">
        <f>CONCATENATE("'",Alumnos!I67,"'")</f>
        <v>'INGENIERIA AEROESPACIAL'</v>
      </c>
      <c r="H581" s="16" t="str">
        <f>CONCATENATE("'",Alumnos!J67,"'")</f>
        <v>'4to'</v>
      </c>
      <c r="I581" s="16" t="str">
        <f>UPPER(CONCATENATE("'",Alumnos!K67,"'"))</f>
        <v>'MASCULINO'</v>
      </c>
      <c r="J581" s="16" t="str">
        <f>UPPER(CONCATENATE("'",Alumnos!L67,"'"))</f>
        <v>'ACTIVO'</v>
      </c>
      <c r="K581" s="16" t="str">
        <f>CONCATENATE(A581,",",B581,",",C581,",",D581,",'",E581,",",F581,",",G581,",",H581,",",UPPER(I581),",",UPPER(J581),",'',0,0,'','ALUMNO'")</f>
        <v>1580,'LICENCIATURA','andresezequiel.nunezramos','111728','TOMAR DEL SND','NUÑEZ RAMOS ANDRES EZEQUIEL','INGENIERIA AEROESPACIAL','4to','MASCULINO','ACTIVO','',0,0,'','ALUMNO'</v>
      </c>
      <c r="L581" s="16" t="str">
        <f>CONCATENATE($K$1,K581,");")</f>
        <v>INSERT INTO participantes (id,nivel,correo,matricula,clave,nombre,carrera,grado,sexo,situacion,evaluados,num_evaluados,total_evaluaciones,ultimo_acceso,nivel_acceso) VALUES (1580,'LICENCIATURA','andresezequiel.nunezramos','111728','TOMAR DEL SND','NUÑEZ RAMOS ANDRES EZEQUIEL','INGENIERIA AEROESPACIAL','4to','MASCULINO','ACTIVO','',0,0,'','ALUMNO');</v>
      </c>
      <c r="M581" s="16" t="str">
        <f>CONCATENATE("update participantes set correo=",C581," where id=",A581,";")</f>
        <v>update participantes set correo='andresezequiel.nunezramos' where id=1580;</v>
      </c>
    </row>
    <row r="582" spans="1:13" ht="130.5" x14ac:dyDescent="0.35">
      <c r="A582" s="16">
        <v>1581</v>
      </c>
      <c r="B582" s="18" t="s">
        <v>1754</v>
      </c>
      <c r="C582" s="16" t="str">
        <f>CONCATENATE("'",Alumnos!E563,"'")</f>
        <v>'samuelricardo.veradelarosa'</v>
      </c>
      <c r="D582" s="16" t="str">
        <f>CONCATENATE(Alumnos!F563,"'")</f>
        <v>'111729'</v>
      </c>
      <c r="E582" s="16" t="s">
        <v>1755</v>
      </c>
      <c r="F582" s="16" t="str">
        <f>CONCATENATE("'",Alumnos!H563,"'")</f>
        <v>'VERA DE LA ROSA SAMUEL RICARDO'</v>
      </c>
      <c r="G582" s="16" t="str">
        <f>CONCATENATE("'",Alumnos!I563,"'")</f>
        <v>'INGENIERIA AEROESPACIAL'</v>
      </c>
      <c r="H582" s="16" t="str">
        <f>CONCATENATE("'",Alumnos!J563,"'")</f>
        <v>'4to'</v>
      </c>
      <c r="I582" s="16" t="str">
        <f>UPPER(CONCATENATE("'",Alumnos!K563,"'"))</f>
        <v>'MASCULINO'</v>
      </c>
      <c r="J582" s="16" t="str">
        <f>UPPER(CONCATENATE("'",Alumnos!L563,"'"))</f>
        <v>'ACTIVO'</v>
      </c>
      <c r="K582" s="16" t="str">
        <f>CONCATENATE(A582,",",B582,",",C582,",",D582,",'",E582,",",F582,",",G582,",",H582,",",UPPER(I582),",",UPPER(J582),",'',0,0,'','ALUMNO'")</f>
        <v>1581,'LICENCIATURA','samuelricardo.veradelarosa','111729','TOMAR DEL SND','VERA DE LA ROSA SAMUEL RICARDO','INGENIERIA AEROESPACIAL','4to','MASCULINO','ACTIVO','',0,0,'','ALUMNO'</v>
      </c>
      <c r="L582" s="16" t="str">
        <f>CONCATENATE($K$1,K582,");")</f>
        <v>INSERT INTO participantes (id,nivel,correo,matricula,clave,nombre,carrera,grado,sexo,situacion,evaluados,num_evaluados,total_evaluaciones,ultimo_acceso,nivel_acceso) VALUES (1581,'LICENCIATURA','samuelricardo.veradelarosa','111729','TOMAR DEL SND','VERA DE LA ROSA SAMUEL RICARDO','INGENIERIA AEROESPACIAL','4to','MASCULINO','ACTIVO','',0,0,'','ALUMNO');</v>
      </c>
      <c r="M582" s="16" t="str">
        <f>CONCATENATE("update participantes set correo=",C582," where id=",A582,";")</f>
        <v>update participantes set correo='samuelricardo.veradelarosa' where id=1581;</v>
      </c>
    </row>
    <row r="583" spans="1:13" ht="130.5" x14ac:dyDescent="0.35">
      <c r="A583" s="16">
        <v>1582</v>
      </c>
      <c r="B583" s="18" t="s">
        <v>1754</v>
      </c>
      <c r="C583" s="16" t="str">
        <f>CONCATENATE("'",Alumnos!E294,"'")</f>
        <v>'janeth.quesneycabrera'</v>
      </c>
      <c r="D583" s="16" t="str">
        <f>CONCATENATE(Alumnos!F294,"'")</f>
        <v>'111731'</v>
      </c>
      <c r="E583" s="16" t="s">
        <v>1755</v>
      </c>
      <c r="F583" s="16" t="str">
        <f>CONCATENATE("'",Alumnos!H294,"'")</f>
        <v>'QUESNEY CABRERA JANETH'</v>
      </c>
      <c r="G583" s="16" t="str">
        <f>CONCATENATE("'",Alumnos!I294,"'")</f>
        <v>'ANIMACION DIGITAL Y VIDEOJUEGOS'</v>
      </c>
      <c r="H583" s="16" t="str">
        <f>CONCATENATE("'",Alumnos!J294,"'")</f>
        <v>'4to'</v>
      </c>
      <c r="I583" s="16" t="str">
        <f>UPPER(CONCATENATE("'",Alumnos!K294,"'"))</f>
        <v>'FEMENINO'</v>
      </c>
      <c r="J583" s="16" t="str">
        <f>UPPER(CONCATENATE("'",Alumnos!L294,"'"))</f>
        <v>'ACTIVO'</v>
      </c>
      <c r="K583" s="16" t="str">
        <f>CONCATENATE(A583,",",B583,",",C583,",",D583,",'",E583,",",F583,",",G583,",",H583,",",UPPER(I583),",",UPPER(J583),",'',0,0,'','ALUMNO'")</f>
        <v>1582,'LICENCIATURA','janeth.quesneycabrera','111731','TOMAR DEL SND','QUESNEY CABRERA JANETH','ANIMACION DIGITAL Y VIDEOJUEGOS','4to','FEMENINO','ACTIVO','',0,0,'','ALUMNO'</v>
      </c>
      <c r="L583" s="16" t="str">
        <f>CONCATENATE($K$1,K583,");")</f>
        <v>INSERT INTO participantes (id,nivel,correo,matricula,clave,nombre,carrera,grado,sexo,situacion,evaluados,num_evaluados,total_evaluaciones,ultimo_acceso,nivel_acceso) VALUES (1582,'LICENCIATURA','janeth.quesneycabrera','111731','TOMAR DEL SND','QUESNEY CABRERA JANETH','ANIMACION DIGITAL Y VIDEOJUEGOS','4to','FEMENINO','ACTIVO','',0,0,'','ALUMNO');</v>
      </c>
      <c r="M583" s="16" t="str">
        <f>CONCATENATE("update participantes set correo=",C583," where id=",A583,";")</f>
        <v>update participantes set correo='janeth.quesneycabrera' where id=1582;</v>
      </c>
    </row>
    <row r="584" spans="1:13" ht="130.5" x14ac:dyDescent="0.35">
      <c r="A584" s="16">
        <v>1583</v>
      </c>
      <c r="B584" s="18" t="s">
        <v>1754</v>
      </c>
      <c r="C584" s="16" t="str">
        <f>CONCATENATE("'",Alumnos!E335,"'")</f>
        <v>'josehumberto.diazdeleongarcia'</v>
      </c>
      <c r="D584" s="16" t="str">
        <f>CONCATENATE(Alumnos!F335,"'")</f>
        <v>'111735'</v>
      </c>
      <c r="E584" s="16" t="s">
        <v>1755</v>
      </c>
      <c r="F584" s="16" t="str">
        <f>CONCATENATE("'",Alumnos!H335,"'")</f>
        <v>'DIAZ DE LEON GARCIA JOSE HUMBERTO'</v>
      </c>
      <c r="G584" s="16" t="str">
        <f>CONCATENATE("'",Alumnos!I335,"'")</f>
        <v>'NUTRICION Y GASTRONOMIA'</v>
      </c>
      <c r="H584" s="16" t="str">
        <f>CONCATENATE("'",Alumnos!J335,"'")</f>
        <v>'4to'</v>
      </c>
      <c r="I584" s="16" t="str">
        <f>UPPER(CONCATENATE("'",Alumnos!K335,"'"))</f>
        <v>'MASCULINO'</v>
      </c>
      <c r="J584" s="16" t="str">
        <f>UPPER(CONCATENATE("'",Alumnos!L335,"'"))</f>
        <v>'ACTIVO'</v>
      </c>
      <c r="K584" s="16" t="str">
        <f>CONCATENATE(A584,",",B584,",",C584,",",D584,",'",E584,",",F584,",",G584,",",H584,",",UPPER(I584),",",UPPER(J584),",'',0,0,'','ALUMNO'")</f>
        <v>1583,'LICENCIATURA','josehumberto.diazdeleongarcia','111735','TOMAR DEL SND','DIAZ DE LEON GARCIA JOSE HUMBERTO','NUTRICION Y GASTRONOMIA','4to','MASCULINO','ACTIVO','',0,0,'','ALUMNO'</v>
      </c>
      <c r="L584" s="16" t="str">
        <f>CONCATENATE($K$1,K584,");")</f>
        <v>INSERT INTO participantes (id,nivel,correo,matricula,clave,nombre,carrera,grado,sexo,situacion,evaluados,num_evaluados,total_evaluaciones,ultimo_acceso,nivel_acceso) VALUES (1583,'LICENCIATURA','josehumberto.diazdeleongarcia','111735','TOMAR DEL SND','DIAZ DE LEON GARCIA JOSE HUMBERTO','NUTRICION Y GASTRONOMIA','4to','MASCULINO','ACTIVO','',0,0,'','ALUMNO');</v>
      </c>
      <c r="M584" s="16" t="str">
        <f>CONCATENATE("update participantes set correo=",C584," where id=",A584,";")</f>
        <v>update participantes set correo='josehumberto.diazdeleongarcia' where id=1583;</v>
      </c>
    </row>
    <row r="585" spans="1:13" ht="130.5" x14ac:dyDescent="0.35">
      <c r="A585" s="16">
        <v>1584</v>
      </c>
      <c r="B585" s="18" t="s">
        <v>1754</v>
      </c>
      <c r="C585" s="16" t="str">
        <f>CONCATENATE("'",Alumnos!E214,"'")</f>
        <v>'emiliano.rodriguezguzman'</v>
      </c>
      <c r="D585" s="16" t="str">
        <f>CONCATENATE(Alumnos!F214,"'")</f>
        <v>'111737'</v>
      </c>
      <c r="E585" s="16" t="s">
        <v>1755</v>
      </c>
      <c r="F585" s="16" t="str">
        <f>CONCATENATE("'",Alumnos!H214,"'")</f>
        <v>'RODRIGUEZ GUZMAN EMILIANO'</v>
      </c>
      <c r="G585" s="16" t="str">
        <f>CONCATENATE("'",Alumnos!I214,"'")</f>
        <v>'ANIMACION DIGITAL Y VIDEOJUEGOS'</v>
      </c>
      <c r="H585" s="16" t="str">
        <f>CONCATENATE("'",Alumnos!J214,"'")</f>
        <v>'4to'</v>
      </c>
      <c r="I585" s="16" t="str">
        <f>UPPER(CONCATENATE("'",Alumnos!K214,"'"))</f>
        <v>'MASCULINO'</v>
      </c>
      <c r="J585" s="16" t="str">
        <f>UPPER(CONCATENATE("'",Alumnos!L214,"'"))</f>
        <v>'ACTIVO'</v>
      </c>
      <c r="K585" s="16" t="str">
        <f>CONCATENATE(A585,",",B585,",",C585,",",D585,",'",E585,",",F585,",",G585,",",H585,",",UPPER(I585),",",UPPER(J585),",'',0,0,'','ALUMNO'")</f>
        <v>1584,'LICENCIATURA','emiliano.rodriguezguzman','111737','TOMAR DEL SND','RODRIGUEZ GUZMAN EMILIANO','ANIMACION DIGITAL Y VIDEOJUEGOS','4to','MASCULINO','ACTIVO','',0,0,'','ALUMNO'</v>
      </c>
      <c r="L585" s="16" t="str">
        <f>CONCATENATE($K$1,K585,");")</f>
        <v>INSERT INTO participantes (id,nivel,correo,matricula,clave,nombre,carrera,grado,sexo,situacion,evaluados,num_evaluados,total_evaluaciones,ultimo_acceso,nivel_acceso) VALUES (1584,'LICENCIATURA','emiliano.rodriguezguzman','111737','TOMAR DEL SND','RODRIGUEZ GUZMAN EMILIANO','ANIMACION DIGITAL Y VIDEOJUEGOS','4to','MASCULINO','ACTIVO','',0,0,'','ALUMNO');</v>
      </c>
      <c r="M585" s="16" t="str">
        <f>CONCATENATE("update participantes set correo=",C585," where id=",A585,";")</f>
        <v>update participantes set correo='emiliano.rodriguezguzman' where id=1584;</v>
      </c>
    </row>
    <row r="586" spans="1:13" ht="116" x14ac:dyDescent="0.35">
      <c r="A586" s="16">
        <v>1585</v>
      </c>
      <c r="B586" s="18" t="s">
        <v>1754</v>
      </c>
      <c r="C586" s="16" t="str">
        <f>CONCATENATE("'",Alumnos!E104,"'")</f>
        <v>'blas.padronvazquez'</v>
      </c>
      <c r="D586" s="16" t="str">
        <f>CONCATENATE(Alumnos!F104,"'")</f>
        <v>'111738'</v>
      </c>
      <c r="E586" s="16" t="s">
        <v>1755</v>
      </c>
      <c r="F586" s="16" t="str">
        <f>CONCATENATE("'",Alumnos!H104,"'")</f>
        <v>'PADRON VAZQUEZ BLAS'</v>
      </c>
      <c r="G586" s="16" t="str">
        <f>CONCATENATE("'",Alumnos!I104,"'")</f>
        <v>'INGENIERIA AEROESPACIAL'</v>
      </c>
      <c r="H586" s="16" t="str">
        <f>CONCATENATE("'",Alumnos!J104,"'")</f>
        <v>'4to'</v>
      </c>
      <c r="I586" s="16" t="str">
        <f>UPPER(CONCATENATE("'",Alumnos!K104,"'"))</f>
        <v>'MASCULINO'</v>
      </c>
      <c r="J586" s="16" t="str">
        <f>UPPER(CONCATENATE("'",Alumnos!L104,"'"))</f>
        <v>'ACTIVO'</v>
      </c>
      <c r="K586" s="16" t="str">
        <f>CONCATENATE(A586,",",B586,",",C586,",",D586,",'",E586,",",F586,",",G586,",",H586,",",UPPER(I586),",",UPPER(J586),",'',0,0,'','ALUMNO'")</f>
        <v>1585,'LICENCIATURA','blas.padronvazquez','111738','TOMAR DEL SND','PADRON VAZQUEZ BLAS','INGENIERIA AEROESPACIAL','4to','MASCULINO','ACTIVO','',0,0,'','ALUMNO'</v>
      </c>
      <c r="L586" s="16" t="str">
        <f>CONCATENATE($K$1,K586,");")</f>
        <v>INSERT INTO participantes (id,nivel,correo,matricula,clave,nombre,carrera,grado,sexo,situacion,evaluados,num_evaluados,total_evaluaciones,ultimo_acceso,nivel_acceso) VALUES (1585,'LICENCIATURA','blas.padronvazquez','111738','TOMAR DEL SND','PADRON VAZQUEZ BLAS','INGENIERIA AEROESPACIAL','4to','MASCULINO','ACTIVO','',0,0,'','ALUMNO');</v>
      </c>
      <c r="M586" s="16" t="str">
        <f>CONCATENATE("update participantes set correo=",C586," where id=",A586,";")</f>
        <v>update participantes set correo='blas.padronvazquez' where id=1585;</v>
      </c>
    </row>
    <row r="587" spans="1:13" ht="116" x14ac:dyDescent="0.35">
      <c r="A587" s="16">
        <v>1586</v>
      </c>
      <c r="B587" s="18" t="s">
        <v>1754</v>
      </c>
      <c r="C587" s="16" t="str">
        <f>CONCATENATE("'",Alumnos!E397,"'")</f>
        <v>'leonardo.martinezruan'</v>
      </c>
      <c r="D587" s="16" t="str">
        <f>CONCATENATE(Alumnos!F397,"'")</f>
        <v>'111739'</v>
      </c>
      <c r="E587" s="16" t="s">
        <v>1755</v>
      </c>
      <c r="F587" s="16" t="str">
        <f>CONCATENATE("'",Alumnos!H397,"'")</f>
        <v>'MARTINEZ RUAN LEONARDO'</v>
      </c>
      <c r="G587" s="16" t="str">
        <f>CONCATENATE("'",Alumnos!I397,"'")</f>
        <v>'INGENIERÍA AUTOMOTRIZ'</v>
      </c>
      <c r="H587" s="16" t="str">
        <f>CONCATENATE("'",Alumnos!J397,"'")</f>
        <v>'4to'</v>
      </c>
      <c r="I587" s="16" t="str">
        <f>UPPER(CONCATENATE("'",Alumnos!K397,"'"))</f>
        <v>'MASCULINO'</v>
      </c>
      <c r="J587" s="16" t="str">
        <f>UPPER(CONCATENATE("'",Alumnos!L397,"'"))</f>
        <v>'ACTIVO'</v>
      </c>
      <c r="K587" s="16" t="str">
        <f>CONCATENATE(A587,",",B587,",",C587,",",D587,",'",E587,",",F587,",",G587,",",H587,",",UPPER(I587),",",UPPER(J587),",'',0,0,'','ALUMNO'")</f>
        <v>1586,'LICENCIATURA','leonardo.martinezruan','111739','TOMAR DEL SND','MARTINEZ RUAN LEONARDO','INGENIERÍA AUTOMOTRIZ','4to','MASCULINO','ACTIVO','',0,0,'','ALUMNO'</v>
      </c>
      <c r="L587" s="16" t="str">
        <f>CONCATENATE($K$1,K587,");")</f>
        <v>INSERT INTO participantes (id,nivel,correo,matricula,clave,nombre,carrera,grado,sexo,situacion,evaluados,num_evaluados,total_evaluaciones,ultimo_acceso,nivel_acceso) VALUES (1586,'LICENCIATURA','leonardo.martinezruan','111739','TOMAR DEL SND','MARTINEZ RUAN LEONARDO','INGENIERÍA AUTOMOTRIZ','4to','MASCULINO','ACTIVO','',0,0,'','ALUMNO');</v>
      </c>
      <c r="M587" s="16" t="str">
        <f>CONCATENATE("update participantes set correo=",C587," where id=",A587,";")</f>
        <v>update participantes set correo='leonardo.martinezruan' where id=1586;</v>
      </c>
    </row>
    <row r="588" spans="1:13" ht="130.5" x14ac:dyDescent="0.35">
      <c r="A588" s="16">
        <v>1587</v>
      </c>
      <c r="B588" s="18" t="s">
        <v>1754</v>
      </c>
      <c r="C588" s="16" t="str">
        <f>CONCATENATE("'",Alumnos!E222,"'")</f>
        <v>'enriquejesus.cabreralizarraga'</v>
      </c>
      <c r="D588" s="16" t="str">
        <f>CONCATENATE(Alumnos!F222,"'")</f>
        <v>'111740'</v>
      </c>
      <c r="E588" s="16" t="s">
        <v>1755</v>
      </c>
      <c r="F588" s="16" t="str">
        <f>CONCATENATE("'",Alumnos!H222,"'")</f>
        <v>'CABRERA LIZARRAGA ENRIQUE JESUS'</v>
      </c>
      <c r="G588" s="16" t="str">
        <f>CONCATENATE("'",Alumnos!I222,"'")</f>
        <v>'INGENIERIA AEROESPACIAL'</v>
      </c>
      <c r="H588" s="16" t="str">
        <f>CONCATENATE("'",Alumnos!J222,"'")</f>
        <v>'4to'</v>
      </c>
      <c r="I588" s="16" t="str">
        <f>UPPER(CONCATENATE("'",Alumnos!K222,"'"))</f>
        <v>'MASCULINO'</v>
      </c>
      <c r="J588" s="16" t="str">
        <f>UPPER(CONCATENATE("'",Alumnos!L222,"'"))</f>
        <v>'ACTIVO'</v>
      </c>
      <c r="K588" s="16" t="str">
        <f>CONCATENATE(A588,",",B588,",",C588,",",D588,",'",E588,",",F588,",",G588,",",H588,",",UPPER(I588),",",UPPER(J588),",'',0,0,'','ALUMNO'")</f>
        <v>1587,'LICENCIATURA','enriquejesus.cabreralizarraga','111740','TOMAR DEL SND','CABRERA LIZARRAGA ENRIQUE JESUS','INGENIERIA AEROESPACIAL','4to','MASCULINO','ACTIVO','',0,0,'','ALUMNO'</v>
      </c>
      <c r="L588" s="16" t="str">
        <f>CONCATENATE($K$1,K588,");")</f>
        <v>INSERT INTO participantes (id,nivel,correo,matricula,clave,nombre,carrera,grado,sexo,situacion,evaluados,num_evaluados,total_evaluaciones,ultimo_acceso,nivel_acceso) VALUES (1587,'LICENCIATURA','enriquejesus.cabreralizarraga','111740','TOMAR DEL SND','CABRERA LIZARRAGA ENRIQUE JESUS','INGENIERIA AEROESPACIAL','4to','MASCULINO','ACTIVO','',0,0,'','ALUMNO');</v>
      </c>
      <c r="M588" s="16" t="str">
        <f>CONCATENATE("update participantes set correo=",C588," where id=",A588,";")</f>
        <v>update participantes set correo='enriquejesus.cabreralizarraga' where id=1587;</v>
      </c>
    </row>
    <row r="589" spans="1:13" ht="116" x14ac:dyDescent="0.35">
      <c r="A589" s="16">
        <v>1588</v>
      </c>
      <c r="B589" s="18" t="s">
        <v>1754</v>
      </c>
      <c r="C589" s="16" t="str">
        <f>CONCATENATE("'",Alumnos!E372,"'")</f>
        <v>'karinaitzell.picenocastellanos'</v>
      </c>
      <c r="D589" s="16" t="str">
        <f>CONCATENATE(Alumnos!F372,"'")</f>
        <v>'111741'</v>
      </c>
      <c r="E589" s="16" t="s">
        <v>1755</v>
      </c>
      <c r="F589" s="16" t="str">
        <f>CONCATENATE("'",Alumnos!H372,"'")</f>
        <v>'PICENO CASTELLANOS KARINA ITZELL'</v>
      </c>
      <c r="G589" s="16" t="str">
        <f>CONCATENATE("'",Alumnos!I372,"'")</f>
        <v>'INGENIERÍA EN INTELIGENCIA ARTIFICIAL'</v>
      </c>
      <c r="H589" s="16" t="str">
        <f>CONCATENATE("'",Alumnos!J372,"'")</f>
        <v>'4to'</v>
      </c>
      <c r="I589" s="16" t="str">
        <f>UPPER(CONCATENATE("'",Alumnos!K372,"'"))</f>
        <v>'FEMENINO'</v>
      </c>
      <c r="J589" s="16" t="str">
        <f>UPPER(CONCATENATE("'",Alumnos!L372,"'"))</f>
        <v>'ACTIVO'</v>
      </c>
      <c r="K589" s="16" t="str">
        <f>CONCATENATE(A589,",",B589,",",C589,",",D589,",'",E589,",",F589,",",G589,",",H589,",",UPPER(I589),",",UPPER(J589),",'',0,0,'','ALUMNO'")</f>
        <v>1588,'LICENCIATURA','karinaitzell.picenocastellanos','111741','TOMAR DEL SND','PICENO CASTELLANOS KARINA ITZELL','INGENIERÍA EN INTELIGENCIA ARTIFICIAL','4to','FEMENINO','ACTIVO','',0,0,'','ALUMNO'</v>
      </c>
      <c r="L589" s="16" t="str">
        <f>CONCATENATE($K$1,K589,");")</f>
        <v>INSERT INTO participantes (id,nivel,correo,matricula,clave,nombre,carrera,grado,sexo,situacion,evaluados,num_evaluados,total_evaluaciones,ultimo_acceso,nivel_acceso) VALUES (1588,'LICENCIATURA','karinaitzell.picenocastellanos','111741','TOMAR DEL SND','PICENO CASTELLANOS KARINA ITZELL','INGENIERÍA EN INTELIGENCIA ARTIFICIAL','4to','FEMENINO','ACTIVO','',0,0,'','ALUMNO');</v>
      </c>
      <c r="M589" s="16" t="str">
        <f>CONCATENATE("update participantes set correo=",C589," where id=",A589,";")</f>
        <v>update participantes set correo='karinaitzell.picenocastellanos' where id=1588;</v>
      </c>
    </row>
    <row r="590" spans="1:13" ht="130.5" x14ac:dyDescent="0.35">
      <c r="A590" s="16">
        <v>1589</v>
      </c>
      <c r="B590" s="18" t="s">
        <v>1754</v>
      </c>
      <c r="C590" s="16" t="str">
        <f>CONCATENATE("'",Alumnos!E61,"'")</f>
        <v>'andreanaomi.rebollararriero'</v>
      </c>
      <c r="D590" s="16" t="str">
        <f>CONCATENATE(Alumnos!F61,"'")</f>
        <v>'111742'</v>
      </c>
      <c r="E590" s="16" t="s">
        <v>1755</v>
      </c>
      <c r="F590" s="16" t="str">
        <f>CONCATENATE("'",Alumnos!H61,"'")</f>
        <v>'REBOLLAR ARRIERO ANDREA NAOMI'</v>
      </c>
      <c r="G590" s="16" t="str">
        <f>CONCATENATE("'",Alumnos!I61,"'")</f>
        <v>'NUTRICION Y GASTRONOMIA'</v>
      </c>
      <c r="H590" s="16" t="str">
        <f>CONCATENATE("'",Alumnos!J61,"'")</f>
        <v>'4to'</v>
      </c>
      <c r="I590" s="16" t="str">
        <f>UPPER(CONCATENATE("'",Alumnos!K61,"'"))</f>
        <v>'FEMENINO'</v>
      </c>
      <c r="J590" s="16" t="str">
        <f>UPPER(CONCATENATE("'",Alumnos!L61,"'"))</f>
        <v>'ACTIVO'</v>
      </c>
      <c r="K590" s="16" t="str">
        <f>CONCATENATE(A590,",",B590,",",C590,",",D590,",'",E590,",",F590,",",G590,",",H590,",",UPPER(I590),",",UPPER(J590),",'',0,0,'','ALUMNO'")</f>
        <v>1589,'LICENCIATURA','andreanaomi.rebollararriero','111742','TOMAR DEL SND','REBOLLAR ARRIERO ANDREA NAOMI','NUTRICION Y GASTRONOMIA','4to','FEMENINO','ACTIVO','',0,0,'','ALUMNO'</v>
      </c>
      <c r="L590" s="16" t="str">
        <f>CONCATENATE($K$1,K590,");")</f>
        <v>INSERT INTO participantes (id,nivel,correo,matricula,clave,nombre,carrera,grado,sexo,situacion,evaluados,num_evaluados,total_evaluaciones,ultimo_acceso,nivel_acceso) VALUES (1589,'LICENCIATURA','andreanaomi.rebollararriero','111742','TOMAR DEL SND','REBOLLAR ARRIERO ANDREA NAOMI','NUTRICION Y GASTRONOMIA','4to','FEMENINO','ACTIVO','',0,0,'','ALUMNO');</v>
      </c>
      <c r="M590" s="16" t="str">
        <f>CONCATENATE("update participantes set correo=",C590," where id=",A590,";")</f>
        <v>update participantes set correo='andreanaomi.rebollararriero' where id=1589;</v>
      </c>
    </row>
    <row r="591" spans="1:13" ht="130.5" x14ac:dyDescent="0.35">
      <c r="A591" s="16">
        <v>1590</v>
      </c>
      <c r="B591" s="18" t="s">
        <v>1754</v>
      </c>
      <c r="C591" s="16" t="str">
        <f>CONCATENATE("'",Alumnos!E534,"'")</f>
        <v>'pedroemiliano.rubioortiz'</v>
      </c>
      <c r="D591" s="16" t="str">
        <f>CONCATENATE(Alumnos!F534,"'")</f>
        <v>'111743'</v>
      </c>
      <c r="E591" s="16" t="s">
        <v>1755</v>
      </c>
      <c r="F591" s="16" t="str">
        <f>CONCATENATE("'",Alumnos!H534,"'")</f>
        <v>'RUBIO ORTIZ PEDRO EMILIANO'</v>
      </c>
      <c r="G591" s="16" t="str">
        <f>CONCATENATE("'",Alumnos!I534,"'")</f>
        <v>'INGENIERIA AEROESPACIAL'</v>
      </c>
      <c r="H591" s="16" t="str">
        <f>CONCATENATE("'",Alumnos!J534,"'")</f>
        <v>'4to'</v>
      </c>
      <c r="I591" s="16" t="str">
        <f>UPPER(CONCATENATE("'",Alumnos!K534,"'"))</f>
        <v>'MASCULINO'</v>
      </c>
      <c r="J591" s="16" t="str">
        <f>UPPER(CONCATENATE("'",Alumnos!L534,"'"))</f>
        <v>'ACTIVO'</v>
      </c>
      <c r="K591" s="16" t="str">
        <f>CONCATENATE(A591,",",B591,",",C591,",",D591,",'",E591,",",F591,",",G591,",",H591,",",UPPER(I591),",",UPPER(J591),",'',0,0,'','ALUMNO'")</f>
        <v>1590,'LICENCIATURA','pedroemiliano.rubioortiz','111743','TOMAR DEL SND','RUBIO ORTIZ PEDRO EMILIANO','INGENIERIA AEROESPACIAL','4to','MASCULINO','ACTIVO','',0,0,'','ALUMNO'</v>
      </c>
      <c r="L591" s="16" t="str">
        <f>CONCATENATE($K$1,K591,");")</f>
        <v>INSERT INTO participantes (id,nivel,correo,matricula,clave,nombre,carrera,grado,sexo,situacion,evaluados,num_evaluados,total_evaluaciones,ultimo_acceso,nivel_acceso) VALUES (1590,'LICENCIATURA','pedroemiliano.rubioortiz','111743','TOMAR DEL SND','RUBIO ORTIZ PEDRO EMILIANO','INGENIERIA AEROESPACIAL','4to','MASCULINO','ACTIVO','',0,0,'','ALUMNO');</v>
      </c>
      <c r="M591" s="16" t="str">
        <f>CONCATENATE("update participantes set correo=",C591," where id=",A591,";")</f>
        <v>update participantes set correo='pedroemiliano.rubioortiz' where id=1590;</v>
      </c>
    </row>
    <row r="592" spans="1:13" ht="116" x14ac:dyDescent="0.35">
      <c r="A592" s="16">
        <v>1591</v>
      </c>
      <c r="B592" s="18" t="s">
        <v>1754</v>
      </c>
      <c r="C592" s="16" t="str">
        <f>CONCATENATE("'",Alumnos!E381,"'")</f>
        <v>'katia.palmalopez'</v>
      </c>
      <c r="D592" s="16" t="str">
        <f>CONCATENATE(Alumnos!F381,"'")</f>
        <v>'111744'</v>
      </c>
      <c r="E592" s="16" t="s">
        <v>1755</v>
      </c>
      <c r="F592" s="16" t="str">
        <f>CONCATENATE("'",Alumnos!H381,"'")</f>
        <v>'PALMA LOPEZ KATIA'</v>
      </c>
      <c r="G592" s="16" t="str">
        <f>CONCATENATE("'",Alumnos!I381,"'")</f>
        <v>'INGENIERÍA AUTOMOTRIZ'</v>
      </c>
      <c r="H592" s="16" t="str">
        <f>CONCATENATE("'",Alumnos!J381,"'")</f>
        <v>'4to'</v>
      </c>
      <c r="I592" s="16" t="str">
        <f>UPPER(CONCATENATE("'",Alumnos!K381,"'"))</f>
        <v>'FEMENINO'</v>
      </c>
      <c r="J592" s="16" t="str">
        <f>UPPER(CONCATENATE("'",Alumnos!L381,"'"))</f>
        <v>'ACTIVO'</v>
      </c>
      <c r="K592" s="16" t="str">
        <f>CONCATENATE(A592,",",B592,",",C592,",",D592,",'",E592,",",F592,",",G592,",",H592,",",UPPER(I592),",",UPPER(J592),",'',0,0,'','ALUMNO'")</f>
        <v>1591,'LICENCIATURA','katia.palmalopez','111744','TOMAR DEL SND','PALMA LOPEZ KATIA','INGENIERÍA AUTOMOTRIZ','4to','FEMENINO','ACTIVO','',0,0,'','ALUMNO'</v>
      </c>
      <c r="L592" s="16" t="str">
        <f>CONCATENATE($K$1,K592,");")</f>
        <v>INSERT INTO participantes (id,nivel,correo,matricula,clave,nombre,carrera,grado,sexo,situacion,evaluados,num_evaluados,total_evaluaciones,ultimo_acceso,nivel_acceso) VALUES (1591,'LICENCIATURA','katia.palmalopez','111744','TOMAR DEL SND','PALMA LOPEZ KATIA','INGENIERÍA AUTOMOTRIZ','4to','FEMENINO','ACTIVO','',0,0,'','ALUMNO');</v>
      </c>
      <c r="M592" s="16" t="str">
        <f>CONCATENATE("update participantes set correo=",C592," where id=",A592,";")</f>
        <v>update participantes set correo='katia.palmalopez' where id=1591;</v>
      </c>
    </row>
    <row r="593" spans="1:13" ht="130.5" x14ac:dyDescent="0.35">
      <c r="A593" s="16">
        <v>1592</v>
      </c>
      <c r="B593" s="18" t="s">
        <v>1754</v>
      </c>
      <c r="C593" s="16" t="str">
        <f>CONCATENATE("'",Alumnos!E479,"'")</f>
        <v>'mirandacarolina.lopezvargas'</v>
      </c>
      <c r="D593" s="16" t="str">
        <f>CONCATENATE(Alumnos!F479,"'")</f>
        <v>'111746'</v>
      </c>
      <c r="E593" s="16" t="s">
        <v>1755</v>
      </c>
      <c r="F593" s="16" t="str">
        <f>CONCATENATE("'",Alumnos!H479,"'")</f>
        <v>'LOPEZ VARGAS MIRANDA CAROLINA'</v>
      </c>
      <c r="G593" s="16" t="str">
        <f>CONCATENATE("'",Alumnos!I479,"'")</f>
        <v>'INGENIERIA AEROESPACIAL'</v>
      </c>
      <c r="H593" s="16" t="str">
        <f>CONCATENATE("'",Alumnos!J479,"'")</f>
        <v>'4to'</v>
      </c>
      <c r="I593" s="16" t="str">
        <f>UPPER(CONCATENATE("'",Alumnos!K479,"'"))</f>
        <v>'FEMENINO'</v>
      </c>
      <c r="J593" s="16" t="str">
        <f>UPPER(CONCATENATE("'",Alumnos!L479,"'"))</f>
        <v>'ACTIVO'</v>
      </c>
      <c r="K593" s="16" t="str">
        <f>CONCATENATE(A593,",",B593,",",C593,",",D593,",'",E593,",",F593,",",G593,",",H593,",",UPPER(I593),",",UPPER(J593),",'',0,0,'','ALUMNO'")</f>
        <v>1592,'LICENCIATURA','mirandacarolina.lopezvargas','111746','TOMAR DEL SND','LOPEZ VARGAS MIRANDA CAROLINA','INGENIERIA AEROESPACIAL','4to','FEMENINO','ACTIVO','',0,0,'','ALUMNO'</v>
      </c>
      <c r="L593" s="16" t="str">
        <f>CONCATENATE($K$1,K593,");")</f>
        <v>INSERT INTO participantes (id,nivel,correo,matricula,clave,nombre,carrera,grado,sexo,situacion,evaluados,num_evaluados,total_evaluaciones,ultimo_acceso,nivel_acceso) VALUES (1592,'LICENCIATURA','mirandacarolina.lopezvargas','111746','TOMAR DEL SND','LOPEZ VARGAS MIRANDA CAROLINA','INGENIERIA AEROESPACIAL','4to','FEMENINO','ACTIVO','',0,0,'','ALUMNO');</v>
      </c>
      <c r="M593" s="16" t="str">
        <f>CONCATENATE("update participantes set correo=",C593," where id=",A593,";")</f>
        <v>update participantes set correo='mirandacarolina.lopezvargas' where id=1592;</v>
      </c>
    </row>
    <row r="594" spans="1:13" ht="130.5" x14ac:dyDescent="0.35">
      <c r="A594" s="16">
        <v>1593</v>
      </c>
      <c r="B594" s="18" t="s">
        <v>1754</v>
      </c>
      <c r="C594" s="16" t="str">
        <f>CONCATENATE("'",Alumnos!E343,"'")</f>
        <v>'joshuaalejandro.gascatellez'</v>
      </c>
      <c r="D594" s="16" t="str">
        <f>CONCATENATE(Alumnos!F343,"'")</f>
        <v>'111747'</v>
      </c>
      <c r="E594" s="16" t="s">
        <v>1755</v>
      </c>
      <c r="F594" s="16" t="str">
        <f>CONCATENATE("'",Alumnos!H343,"'")</f>
        <v>'GASCA TELLEZ JOSHUA ALEJANDRO'</v>
      </c>
      <c r="G594" s="16" t="str">
        <f>CONCATENATE("'",Alumnos!I343,"'")</f>
        <v>'INGENIERÍA AUTOMOTRIZ'</v>
      </c>
      <c r="H594" s="16" t="str">
        <f>CONCATENATE("'",Alumnos!J343,"'")</f>
        <v>'4to'</v>
      </c>
      <c r="I594" s="16" t="str">
        <f>UPPER(CONCATENATE("'",Alumnos!K343,"'"))</f>
        <v>'MASCULINO'</v>
      </c>
      <c r="J594" s="16" t="str">
        <f>UPPER(CONCATENATE("'",Alumnos!L343,"'"))</f>
        <v>'ACTIVO'</v>
      </c>
      <c r="K594" s="16" t="str">
        <f>CONCATENATE(A594,",",B594,",",C594,",",D594,",'",E594,",",F594,",",G594,",",H594,",",UPPER(I594),",",UPPER(J594),",'',0,0,'','ALUMNO'")</f>
        <v>1593,'LICENCIATURA','joshuaalejandro.gascatellez','111747','TOMAR DEL SND','GASCA TELLEZ JOSHUA ALEJANDRO','INGENIERÍA AUTOMOTRIZ','4to','MASCULINO','ACTIVO','',0,0,'','ALUMNO'</v>
      </c>
      <c r="L594" s="16" t="str">
        <f>CONCATENATE($K$1,K594,");")</f>
        <v>INSERT INTO participantes (id,nivel,correo,matricula,clave,nombre,carrera,grado,sexo,situacion,evaluados,num_evaluados,total_evaluaciones,ultimo_acceso,nivel_acceso) VALUES (1593,'LICENCIATURA','joshuaalejandro.gascatellez','111747','TOMAR DEL SND','GASCA TELLEZ JOSHUA ALEJANDRO','INGENIERÍA AUTOMOTRIZ','4to','MASCULINO','ACTIVO','',0,0,'','ALUMNO');</v>
      </c>
      <c r="M594" s="16" t="str">
        <f>CONCATENATE("update participantes set correo=",C594," where id=",A594,";")</f>
        <v>update participantes set correo='joshuaalejandro.gascatellez' where id=1593;</v>
      </c>
    </row>
    <row r="595" spans="1:13" ht="130.5" x14ac:dyDescent="0.35">
      <c r="A595" s="16">
        <v>1594</v>
      </c>
      <c r="B595" s="18" t="s">
        <v>1754</v>
      </c>
      <c r="C595" s="16" t="str">
        <f>CONCATENATE("'",Alumnos!E317,"'")</f>
        <v>'jonathanulises.figueroabanuelos'</v>
      </c>
      <c r="D595" s="16" t="str">
        <f>CONCATENATE(Alumnos!F317,"'")</f>
        <v>'111748'</v>
      </c>
      <c r="E595" s="16" t="s">
        <v>1755</v>
      </c>
      <c r="F595" s="16" t="str">
        <f>CONCATENATE("'",Alumnos!H317,"'")</f>
        <v>'FIGUEROA BAÑUELOS JONATHAN ULISES'</v>
      </c>
      <c r="G595" s="16" t="str">
        <f>CONCATENATE("'",Alumnos!I317,"'")</f>
        <v>'INGENIERÍA AUTOMOTRIZ'</v>
      </c>
      <c r="H595" s="16" t="str">
        <f>CONCATENATE("'",Alumnos!J317,"'")</f>
        <v>'4to'</v>
      </c>
      <c r="I595" s="16" t="str">
        <f>UPPER(CONCATENATE("'",Alumnos!K317,"'"))</f>
        <v>'MASCULINO'</v>
      </c>
      <c r="J595" s="16" t="str">
        <f>UPPER(CONCATENATE("'",Alumnos!L317,"'"))</f>
        <v>'ACTIVO'</v>
      </c>
      <c r="K595" s="16" t="str">
        <f>CONCATENATE(A595,",",B595,",",C595,",",D595,",'",E595,",",F595,",",G595,",",H595,",",UPPER(I595),",",UPPER(J595),",'',0,0,'','ALUMNO'")</f>
        <v>1594,'LICENCIATURA','jonathanulises.figueroabanuelos','111748','TOMAR DEL SND','FIGUEROA BAÑUELOS JONATHAN ULISES','INGENIERÍA AUTOMOTRIZ','4to','MASCULINO','ACTIVO','',0,0,'','ALUMNO'</v>
      </c>
      <c r="L595" s="16" t="str">
        <f>CONCATENATE($K$1,K595,");")</f>
        <v>INSERT INTO participantes (id,nivel,correo,matricula,clave,nombre,carrera,grado,sexo,situacion,evaluados,num_evaluados,total_evaluaciones,ultimo_acceso,nivel_acceso) VALUES (1594,'LICENCIATURA','jonathanulises.figueroabanuelos','111748','TOMAR DEL SND','FIGUEROA BAÑUELOS JONATHAN ULISES','INGENIERÍA AUTOMOTRIZ','4to','MASCULINO','ACTIVO','',0,0,'','ALUMNO');</v>
      </c>
      <c r="M595" s="16" t="str">
        <f>CONCATENATE("update participantes set correo=",C595," where id=",A595,";")</f>
        <v>update participantes set correo='jonathanulises.figueroabanuelos' where id=1594;</v>
      </c>
    </row>
    <row r="596" spans="1:13" ht="130.5" x14ac:dyDescent="0.35">
      <c r="A596" s="16">
        <v>1595</v>
      </c>
      <c r="B596" s="18" t="s">
        <v>1754</v>
      </c>
      <c r="C596" s="16" t="str">
        <f>CONCATENATE("'",Alumnos!E306,"'")</f>
        <v>'jesusabraham.navarreteterrones'</v>
      </c>
      <c r="D596" s="16" t="str">
        <f>CONCATENATE(Alumnos!F306,"'")</f>
        <v>'111749'</v>
      </c>
      <c r="E596" s="16" t="s">
        <v>1755</v>
      </c>
      <c r="F596" s="16" t="str">
        <f>CONCATENATE("'",Alumnos!H306,"'")</f>
        <v>'NAVARRETE TERRONES JESUS ABRAHAM'</v>
      </c>
      <c r="G596" s="16" t="str">
        <f>CONCATENATE("'",Alumnos!I306,"'")</f>
        <v>'INGENIERIA AEROESPACIAL'</v>
      </c>
      <c r="H596" s="16" t="str">
        <f>CONCATENATE("'",Alumnos!J306,"'")</f>
        <v>'4to'</v>
      </c>
      <c r="I596" s="16" t="str">
        <f>UPPER(CONCATENATE("'",Alumnos!K306,"'"))</f>
        <v>'MASCULINO'</v>
      </c>
      <c r="J596" s="16" t="str">
        <f>UPPER(CONCATENATE("'",Alumnos!L306,"'"))</f>
        <v>'ACTIVO'</v>
      </c>
      <c r="K596" s="16" t="str">
        <f>CONCATENATE(A596,",",B596,",",C596,",",D596,",'",E596,",",F596,",",G596,",",H596,",",UPPER(I596),",",UPPER(J596),",'',0,0,'','ALUMNO'")</f>
        <v>1595,'LICENCIATURA','jesusabraham.navarreteterrones','111749','TOMAR DEL SND','NAVARRETE TERRONES JESUS ABRAHAM','INGENIERIA AEROESPACIAL','4to','MASCULINO','ACTIVO','',0,0,'','ALUMNO'</v>
      </c>
      <c r="L596" s="16" t="str">
        <f>CONCATENATE($K$1,K596,");")</f>
        <v>INSERT INTO participantes (id,nivel,correo,matricula,clave,nombre,carrera,grado,sexo,situacion,evaluados,num_evaluados,total_evaluaciones,ultimo_acceso,nivel_acceso) VALUES (1595,'LICENCIATURA','jesusabraham.navarreteterrones','111749','TOMAR DEL SND','NAVARRETE TERRONES JESUS ABRAHAM','INGENIERIA AEROESPACIAL','4to','MASCULINO','ACTIVO','',0,0,'','ALUMNO');</v>
      </c>
      <c r="M596" s="16" t="str">
        <f>CONCATENATE("update participantes set correo=",C596," where id=",A596,";")</f>
        <v>update participantes set correo='jesusabraham.navarreteterrones' where id=1595;</v>
      </c>
    </row>
    <row r="597" spans="1:13" ht="130.5" x14ac:dyDescent="0.35">
      <c r="A597" s="16">
        <v>1596</v>
      </c>
      <c r="B597" s="18" t="s">
        <v>1754</v>
      </c>
      <c r="C597" s="16" t="str">
        <f>CONCATENATE("'",Alumnos!E76,"'")</f>
        <v>'angelandres.garciacherrington'</v>
      </c>
      <c r="D597" s="16" t="str">
        <f>CONCATENATE(Alumnos!F76,"'")</f>
        <v>'111750'</v>
      </c>
      <c r="E597" s="16" t="s">
        <v>1755</v>
      </c>
      <c r="F597" s="16" t="str">
        <f>CONCATENATE("'",Alumnos!H76,"'")</f>
        <v>'GARCIA CHERRINGTON ANGEL ANDRES'</v>
      </c>
      <c r="G597" s="16" t="str">
        <f>CONCATENATE("'",Alumnos!I76,"'")</f>
        <v>'INGENIERIA AEROESPACIAL'</v>
      </c>
      <c r="H597" s="16" t="str">
        <f>CONCATENATE("'",Alumnos!J76,"'")</f>
        <v>'4to'</v>
      </c>
      <c r="I597" s="16" t="str">
        <f>UPPER(CONCATENATE("'",Alumnos!K76,"'"))</f>
        <v>'MASCULINO'</v>
      </c>
      <c r="J597" s="16" t="str">
        <f>UPPER(CONCATENATE("'",Alumnos!L76,"'"))</f>
        <v>'ACTIVO'</v>
      </c>
      <c r="K597" s="16" t="str">
        <f>CONCATENATE(A597,",",B597,",",C597,",",D597,",'",E597,",",F597,",",G597,",",H597,",",UPPER(I597),",",UPPER(J597),",'',0,0,'','ALUMNO'")</f>
        <v>1596,'LICENCIATURA','angelandres.garciacherrington','111750','TOMAR DEL SND','GARCIA CHERRINGTON ANGEL ANDRES','INGENIERIA AEROESPACIAL','4to','MASCULINO','ACTIVO','',0,0,'','ALUMNO'</v>
      </c>
      <c r="L597" s="16" t="str">
        <f>CONCATENATE($K$1,K597,");")</f>
        <v>INSERT INTO participantes (id,nivel,correo,matricula,clave,nombre,carrera,grado,sexo,situacion,evaluados,num_evaluados,total_evaluaciones,ultimo_acceso,nivel_acceso) VALUES (1596,'LICENCIATURA','angelandres.garciacherrington','111750','TOMAR DEL SND','GARCIA CHERRINGTON ANGEL ANDRES','INGENIERIA AEROESPACIAL','4to','MASCULINO','ACTIVO','',0,0,'','ALUMNO');</v>
      </c>
      <c r="M597" s="16" t="str">
        <f>CONCATENATE("update participantes set correo=",C597," where id=",A597,";")</f>
        <v>update participantes set correo='angelandres.garciacherrington' where id=1596;</v>
      </c>
    </row>
    <row r="598" spans="1:13" ht="130.5" x14ac:dyDescent="0.35">
      <c r="A598" s="16">
        <v>1597</v>
      </c>
      <c r="B598" s="18" t="s">
        <v>1754</v>
      </c>
      <c r="C598" s="16" t="str">
        <f>CONCATENATE("'",Alumnos!E330,"'")</f>
        <v>'joseantonio.munozsevilla'</v>
      </c>
      <c r="D598" s="16" t="str">
        <f>CONCATENATE(Alumnos!F330,"'")</f>
        <v>'111751'</v>
      </c>
      <c r="E598" s="16" t="s">
        <v>1755</v>
      </c>
      <c r="F598" s="16" t="str">
        <f>CONCATENATE("'",Alumnos!H330,"'")</f>
        <v>'MUÑOZ SEVILLA JOSE ANTONIO'</v>
      </c>
      <c r="G598" s="16" t="str">
        <f>CONCATENATE("'",Alumnos!I330,"'")</f>
        <v>'INGENIERÍA AUTOMOTRIZ'</v>
      </c>
      <c r="H598" s="16" t="str">
        <f>CONCATENATE("'",Alumnos!J330,"'")</f>
        <v>'4to'</v>
      </c>
      <c r="I598" s="16" t="str">
        <f>UPPER(CONCATENATE("'",Alumnos!K330,"'"))</f>
        <v>'MASCULINO'</v>
      </c>
      <c r="J598" s="16" t="str">
        <f>UPPER(CONCATENATE("'",Alumnos!L330,"'"))</f>
        <v>'ACTIVO'</v>
      </c>
      <c r="K598" s="16" t="str">
        <f>CONCATENATE(A598,",",B598,",",C598,",",D598,",'",E598,",",F598,",",G598,",",H598,",",UPPER(I598),",",UPPER(J598),",'',0,0,'','ALUMNO'")</f>
        <v>1597,'LICENCIATURA','joseantonio.munozsevilla','111751','TOMAR DEL SND','MUÑOZ SEVILLA JOSE ANTONIO','INGENIERÍA AUTOMOTRIZ','4to','MASCULINO','ACTIVO','',0,0,'','ALUMNO'</v>
      </c>
      <c r="L598" s="16" t="str">
        <f>CONCATENATE($K$1,K598,");")</f>
        <v>INSERT INTO participantes (id,nivel,correo,matricula,clave,nombre,carrera,grado,sexo,situacion,evaluados,num_evaluados,total_evaluaciones,ultimo_acceso,nivel_acceso) VALUES (1597,'LICENCIATURA','joseantonio.munozsevilla','111751','TOMAR DEL SND','MUÑOZ SEVILLA JOSE ANTONIO','INGENIERÍA AUTOMOTRIZ','4to','MASCULINO','ACTIVO','',0,0,'','ALUMNO');</v>
      </c>
      <c r="M598" s="16" t="str">
        <f>CONCATENATE("update participantes set correo=",C598," where id=",A598,";")</f>
        <v>update participantes set correo='joseantonio.munozsevilla' where id=1597;</v>
      </c>
    </row>
    <row r="599" spans="1:13" ht="130.5" x14ac:dyDescent="0.35">
      <c r="A599" s="16">
        <v>1598</v>
      </c>
      <c r="B599" s="18" t="s">
        <v>1754</v>
      </c>
      <c r="C599" s="16" t="str">
        <f>CONCATENATE("'",Alumnos!E351,"'")</f>
        <v>'juanjesus.zacariasaguilar'</v>
      </c>
      <c r="D599" s="16" t="str">
        <f>CONCATENATE(Alumnos!F351,"'")</f>
        <v>'111752'</v>
      </c>
      <c r="E599" s="16" t="s">
        <v>1755</v>
      </c>
      <c r="F599" s="16" t="str">
        <f>CONCATENATE("'",Alumnos!H351,"'")</f>
        <v>'ZACARIAS AGUILAR JUAN JESUS'</v>
      </c>
      <c r="G599" s="16" t="str">
        <f>CONCATENATE("'",Alumnos!I351,"'")</f>
        <v>'INGENIERIA AEROESPACIAL'</v>
      </c>
      <c r="H599" s="16" t="str">
        <f>CONCATENATE("'",Alumnos!J351,"'")</f>
        <v>'4to'</v>
      </c>
      <c r="I599" s="16" t="str">
        <f>UPPER(CONCATENATE("'",Alumnos!K351,"'"))</f>
        <v>'MASCULINO'</v>
      </c>
      <c r="J599" s="16" t="str">
        <f>UPPER(CONCATENATE("'",Alumnos!L351,"'"))</f>
        <v>'ACTIVO'</v>
      </c>
      <c r="K599" s="16" t="str">
        <f>CONCATENATE(A599,",",B599,",",C599,",",D599,",'",E599,",",F599,",",G599,",",H599,",",UPPER(I599),",",UPPER(J599),",'',0,0,'','ALUMNO'")</f>
        <v>1598,'LICENCIATURA','juanjesus.zacariasaguilar','111752','TOMAR DEL SND','ZACARIAS AGUILAR JUAN JESUS','INGENIERIA AEROESPACIAL','4to','MASCULINO','ACTIVO','',0,0,'','ALUMNO'</v>
      </c>
      <c r="L599" s="16" t="str">
        <f>CONCATENATE($K$1,K599,");")</f>
        <v>INSERT INTO participantes (id,nivel,correo,matricula,clave,nombre,carrera,grado,sexo,situacion,evaluados,num_evaluados,total_evaluaciones,ultimo_acceso,nivel_acceso) VALUES (1598,'LICENCIATURA','juanjesus.zacariasaguilar','111752','TOMAR DEL SND','ZACARIAS AGUILAR JUAN JESUS','INGENIERIA AEROESPACIAL','4to','MASCULINO','ACTIVO','',0,0,'','ALUMNO');</v>
      </c>
      <c r="M599" s="16" t="str">
        <f>CONCATENATE("update participantes set correo=",C599," where id=",A599,";")</f>
        <v>update participantes set correo='juanjesus.zacariasaguilar' where id=1598;</v>
      </c>
    </row>
    <row r="600" spans="1:13" ht="130.5" x14ac:dyDescent="0.35">
      <c r="A600" s="16">
        <v>1599</v>
      </c>
      <c r="B600" s="18" t="s">
        <v>1754</v>
      </c>
      <c r="C600" s="16" t="str">
        <f>CONCATENATE("'",Alumnos!E196,"'")</f>
        <v>'diegomisael.patinomejia'</v>
      </c>
      <c r="D600" s="16" t="str">
        <f>CONCATENATE(Alumnos!F196,"'")</f>
        <v>'111753'</v>
      </c>
      <c r="E600" s="16" t="s">
        <v>1755</v>
      </c>
      <c r="F600" s="16" t="str">
        <f>CONCATENATE("'",Alumnos!H196,"'")</f>
        <v>'PATIÑO MEJIA DIEGO MISAEL'</v>
      </c>
      <c r="G600" s="16" t="str">
        <f>CONCATENATE("'",Alumnos!I196,"'")</f>
        <v>'INGENIERIA AEROESPACIAL'</v>
      </c>
      <c r="H600" s="16" t="str">
        <f>CONCATENATE("'",Alumnos!J196,"'")</f>
        <v>'4to'</v>
      </c>
      <c r="I600" s="16" t="str">
        <f>UPPER(CONCATENATE("'",Alumnos!K196,"'"))</f>
        <v>'MASCULINO'</v>
      </c>
      <c r="J600" s="16" t="str">
        <f>UPPER(CONCATENATE("'",Alumnos!L196,"'"))</f>
        <v>'ACTIVO'</v>
      </c>
      <c r="K600" s="16" t="str">
        <f>CONCATENATE(A600,",",B600,",",C600,",",D600,",'",E600,",",F600,",",G600,",",H600,",",UPPER(I600),",",UPPER(J600),",'',0,0,'','ALUMNO'")</f>
        <v>1599,'LICENCIATURA','diegomisael.patinomejia','111753','TOMAR DEL SND','PATIÑO MEJIA DIEGO MISAEL','INGENIERIA AEROESPACIAL','4to','MASCULINO','ACTIVO','',0,0,'','ALUMNO'</v>
      </c>
      <c r="L600" s="16" t="str">
        <f>CONCATENATE($K$1,K600,");")</f>
        <v>INSERT INTO participantes (id,nivel,correo,matricula,clave,nombre,carrera,grado,sexo,situacion,evaluados,num_evaluados,total_evaluaciones,ultimo_acceso,nivel_acceso) VALUES (1599,'LICENCIATURA','diegomisael.patinomejia','111753','TOMAR DEL SND','PATIÑO MEJIA DIEGO MISAEL','INGENIERIA AEROESPACIAL','4to','MASCULINO','ACTIVO','',0,0,'','ALUMNO');</v>
      </c>
      <c r="M600" s="16" t="str">
        <f>CONCATENATE("update participantes set correo=",C600," where id=",A600,";")</f>
        <v>update participantes set correo='diegomisael.patinomejia' where id=1599;</v>
      </c>
    </row>
    <row r="601" spans="1:13" ht="130.5" x14ac:dyDescent="0.35">
      <c r="A601" s="16">
        <v>1600</v>
      </c>
      <c r="B601" s="18" t="s">
        <v>1754</v>
      </c>
      <c r="C601" s="16" t="str">
        <f>CONCATENATE("'",Alumnos!E431,"'")</f>
        <v>'marcogabriel.prezaruvalcaba'</v>
      </c>
      <c r="D601" s="16" t="str">
        <f>CONCATENATE(Alumnos!F431,"'")</f>
        <v>'111755'</v>
      </c>
      <c r="E601" s="16" t="s">
        <v>1755</v>
      </c>
      <c r="F601" s="16" t="str">
        <f>CONCATENATE("'",Alumnos!H431,"'")</f>
        <v>'PREZA RUVALCABA MARCO GABRIEL'</v>
      </c>
      <c r="G601" s="16" t="str">
        <f>CONCATENATE("'",Alumnos!I431,"'")</f>
        <v>'INGENIERIA AEROESPACIAL'</v>
      </c>
      <c r="H601" s="16" t="str">
        <f>CONCATENATE("'",Alumnos!J431,"'")</f>
        <v>'4to'</v>
      </c>
      <c r="I601" s="16" t="str">
        <f>UPPER(CONCATENATE("'",Alumnos!K431,"'"))</f>
        <v>'MASCULINO'</v>
      </c>
      <c r="J601" s="16" t="str">
        <f>UPPER(CONCATENATE("'",Alumnos!L431,"'"))</f>
        <v>'ACTIVO'</v>
      </c>
      <c r="K601" s="16" t="str">
        <f>CONCATENATE(A601,",",B601,",",C601,",",D601,",'",E601,",",F601,",",G601,",",H601,",",UPPER(I601),",",UPPER(J601),",'',0,0,'','ALUMNO'")</f>
        <v>1600,'LICENCIATURA','marcogabriel.prezaruvalcaba','111755','TOMAR DEL SND','PREZA RUVALCABA MARCO GABRIEL','INGENIERIA AEROESPACIAL','4to','MASCULINO','ACTIVO','',0,0,'','ALUMNO'</v>
      </c>
      <c r="L601" s="16" t="str">
        <f>CONCATENATE($K$1,K601,");")</f>
        <v>INSERT INTO participantes (id,nivel,correo,matricula,clave,nombre,carrera,grado,sexo,situacion,evaluados,num_evaluados,total_evaluaciones,ultimo_acceso,nivel_acceso) VALUES (1600,'LICENCIATURA','marcogabriel.prezaruvalcaba','111755','TOMAR DEL SND','PREZA RUVALCABA MARCO GABRIEL','INGENIERIA AEROESPACIAL','4to','MASCULINO','ACTIVO','',0,0,'','ALUMNO');</v>
      </c>
      <c r="M601" s="16" t="str">
        <f>CONCATENATE("update participantes set correo=",C601," where id=",A601,";")</f>
        <v>update participantes set correo='marcogabriel.prezaruvalcaba' where id=1600;</v>
      </c>
    </row>
    <row r="602" spans="1:13" ht="116" x14ac:dyDescent="0.35">
      <c r="A602" s="16">
        <v>1601</v>
      </c>
      <c r="B602" s="18" t="s">
        <v>1754</v>
      </c>
      <c r="C602" s="16" t="str">
        <f>CONCATENATE("'",Alumnos!E277,"'")</f>
        <v>'ilichlenin.dejesusprado'</v>
      </c>
      <c r="D602" s="16" t="str">
        <f>CONCATENATE(Alumnos!F277,"'")</f>
        <v>'111756'</v>
      </c>
      <c r="E602" s="16" t="s">
        <v>1755</v>
      </c>
      <c r="F602" s="16" t="str">
        <f>CONCATENATE("'",Alumnos!H277,"'")</f>
        <v>'DE JESUS PRADO ILICH LENIN'</v>
      </c>
      <c r="G602" s="16" t="str">
        <f>CONCATENATE("'",Alumnos!I277,"'")</f>
        <v>'INGENIERÍA AUTOMOTRIZ'</v>
      </c>
      <c r="H602" s="16" t="str">
        <f>CONCATENATE("'",Alumnos!J277,"'")</f>
        <v>'4to'</v>
      </c>
      <c r="I602" s="16" t="str">
        <f>UPPER(CONCATENATE("'",Alumnos!K277,"'"))</f>
        <v>'MASCULINO'</v>
      </c>
      <c r="J602" s="16" t="str">
        <f>UPPER(CONCATENATE("'",Alumnos!L277,"'"))</f>
        <v>'ACTIVO'</v>
      </c>
      <c r="K602" s="16" t="str">
        <f>CONCATENATE(A602,",",B602,",",C602,",",D602,",'",E602,",",F602,",",G602,",",H602,",",UPPER(I602),",",UPPER(J602),",'',0,0,'','ALUMNO'")</f>
        <v>1601,'LICENCIATURA','ilichlenin.dejesusprado','111756','TOMAR DEL SND','DE JESUS PRADO ILICH LENIN','INGENIERÍA AUTOMOTRIZ','4to','MASCULINO','ACTIVO','',0,0,'','ALUMNO'</v>
      </c>
      <c r="L602" s="16" t="str">
        <f>CONCATENATE($K$1,K602,");")</f>
        <v>INSERT INTO participantes (id,nivel,correo,matricula,clave,nombre,carrera,grado,sexo,situacion,evaluados,num_evaluados,total_evaluaciones,ultimo_acceso,nivel_acceso) VALUES (1601,'LICENCIATURA','ilichlenin.dejesusprado','111756','TOMAR DEL SND','DE JESUS PRADO ILICH LENIN','INGENIERÍA AUTOMOTRIZ','4to','MASCULINO','ACTIVO','',0,0,'','ALUMNO');</v>
      </c>
      <c r="M602" s="16" t="str">
        <f>CONCATENATE("update participantes set correo=",C602," where id=",A602,";")</f>
        <v>update participantes set correo='ilichlenin.dejesusprado' where id=1601;</v>
      </c>
    </row>
    <row r="603" spans="1:13" ht="130.5" x14ac:dyDescent="0.35">
      <c r="A603" s="16">
        <v>1602</v>
      </c>
      <c r="B603" s="18" t="s">
        <v>1754</v>
      </c>
      <c r="C603" s="16" t="str">
        <f>CONCATENATE("'",Alumnos!E146,"'")</f>
        <v>'cristopheradrian.saucedolupercio'</v>
      </c>
      <c r="D603" s="16" t="str">
        <f>CONCATENATE(Alumnos!F146,"'")</f>
        <v>'111757'</v>
      </c>
      <c r="E603" s="16" t="s">
        <v>1755</v>
      </c>
      <c r="F603" s="16" t="str">
        <f>CONCATENATE("'",Alumnos!H146,"'")</f>
        <v>'SAUCEDO LUPERCIO CRISTOPHER ADRIAN'</v>
      </c>
      <c r="G603" s="16" t="str">
        <f>CONCATENATE("'",Alumnos!I146,"'")</f>
        <v>'INGENIERIA AEROESPACIAL'</v>
      </c>
      <c r="H603" s="16" t="str">
        <f>CONCATENATE("'",Alumnos!J146,"'")</f>
        <v>'4to'</v>
      </c>
      <c r="I603" s="16" t="str">
        <f>UPPER(CONCATENATE("'",Alumnos!K146,"'"))</f>
        <v>'MASCULINO'</v>
      </c>
      <c r="J603" s="16" t="str">
        <f>UPPER(CONCATENATE("'",Alumnos!L146,"'"))</f>
        <v>'ACTIVO'</v>
      </c>
      <c r="K603" s="16" t="str">
        <f>CONCATENATE(A603,",",B603,",",C603,",",D603,",'",E603,",",F603,",",G603,",",H603,",",UPPER(I603),",",UPPER(J603),",'',0,0,'','ALUMNO'")</f>
        <v>1602,'LICENCIATURA','cristopheradrian.saucedolupercio','111757','TOMAR DEL SND','SAUCEDO LUPERCIO CRISTOPHER ADRIAN','INGENIERIA AEROESPACIAL','4to','MASCULINO','ACTIVO','',0,0,'','ALUMNO'</v>
      </c>
      <c r="L603" s="16" t="str">
        <f>CONCATENATE($K$1,K603,");")</f>
        <v>INSERT INTO participantes (id,nivel,correo,matricula,clave,nombre,carrera,grado,sexo,situacion,evaluados,num_evaluados,total_evaluaciones,ultimo_acceso,nivel_acceso) VALUES (1602,'LICENCIATURA','cristopheradrian.saucedolupercio','111757','TOMAR DEL SND','SAUCEDO LUPERCIO CRISTOPHER ADRIAN','INGENIERIA AEROESPACIAL','4to','MASCULINO','ACTIVO','',0,0,'','ALUMNO');</v>
      </c>
      <c r="M603" s="16" t="str">
        <f>CONCATENATE("update participantes set correo=",C603," where id=",A603,";")</f>
        <v>update participantes set correo='cristopheradrian.saucedolupercio' where id=1602;</v>
      </c>
    </row>
    <row r="604" spans="1:13" ht="130.5" x14ac:dyDescent="0.35">
      <c r="A604" s="16">
        <v>1603</v>
      </c>
      <c r="B604" s="18" t="s">
        <v>1754</v>
      </c>
      <c r="C604" s="16" t="str">
        <f>CONCATENATE("'",Alumnos!E35,"'")</f>
        <v>'almadaniela.santoyogarcia'</v>
      </c>
      <c r="D604" s="16" t="str">
        <f>CONCATENATE(Alumnos!F35,"'")</f>
        <v>'111758'</v>
      </c>
      <c r="E604" s="16" t="s">
        <v>1755</v>
      </c>
      <c r="F604" s="16" t="str">
        <f>CONCATENATE("'",Alumnos!H35,"'")</f>
        <v>'SANTOYO GARCIA ALMA DANIELA'</v>
      </c>
      <c r="G604" s="16" t="str">
        <f>CONCATENATE("'",Alumnos!I35,"'")</f>
        <v>'NUTRICION Y GASTRONOMIA'</v>
      </c>
      <c r="H604" s="16" t="str">
        <f>CONCATENATE("'",Alumnos!J35,"'")</f>
        <v>'4to'</v>
      </c>
      <c r="I604" s="16" t="str">
        <f>UPPER(CONCATENATE("'",Alumnos!K35,"'"))</f>
        <v>'FEMENINO'</v>
      </c>
      <c r="J604" s="16" t="str">
        <f>UPPER(CONCATENATE("'",Alumnos!L35,"'"))</f>
        <v>'ACTIVO'</v>
      </c>
      <c r="K604" s="16" t="str">
        <f>CONCATENATE(A604,",",B604,",",C604,",",D604,",'",E604,",",F604,",",G604,",",H604,",",UPPER(I604),",",UPPER(J604),",'',0,0,'','ALUMNO'")</f>
        <v>1603,'LICENCIATURA','almadaniela.santoyogarcia','111758','TOMAR DEL SND','SANTOYO GARCIA ALMA DANIELA','NUTRICION Y GASTRONOMIA','4to','FEMENINO','ACTIVO','',0,0,'','ALUMNO'</v>
      </c>
      <c r="L604" s="16" t="str">
        <f>CONCATENATE($K$1,K604,");")</f>
        <v>INSERT INTO participantes (id,nivel,correo,matricula,clave,nombre,carrera,grado,sexo,situacion,evaluados,num_evaluados,total_evaluaciones,ultimo_acceso,nivel_acceso) VALUES (1603,'LICENCIATURA','almadaniela.santoyogarcia','111758','TOMAR DEL SND','SANTOYO GARCIA ALMA DANIELA','NUTRICION Y GASTRONOMIA','4to','FEMENINO','ACTIVO','',0,0,'','ALUMNO');</v>
      </c>
      <c r="M604" s="16" t="str">
        <f>CONCATENATE("update participantes set correo=",C604," where id=",A604,";")</f>
        <v>update participantes set correo='almadaniela.santoyogarcia' where id=1603;</v>
      </c>
    </row>
    <row r="605" spans="1:13" ht="130.5" x14ac:dyDescent="0.35">
      <c r="A605" s="16">
        <v>1604</v>
      </c>
      <c r="B605" s="18" t="s">
        <v>1754</v>
      </c>
      <c r="C605" s="16" t="str">
        <f>CONCATENATE("'",Alumnos!E465,"'")</f>
        <v>'mauriciojavier.quinterourzua'</v>
      </c>
      <c r="D605" s="16" t="str">
        <f>CONCATENATE(Alumnos!F465,"'")</f>
        <v>'111759'</v>
      </c>
      <c r="E605" s="16" t="s">
        <v>1755</v>
      </c>
      <c r="F605" s="16" t="str">
        <f>CONCATENATE("'",Alumnos!H465,"'")</f>
        <v>'QUINTERO URZUA MAURICIO JAVIER'</v>
      </c>
      <c r="G605" s="16" t="str">
        <f>CONCATENATE("'",Alumnos!I465,"'")</f>
        <v>'INGENIERIA AEROESPACIAL'</v>
      </c>
      <c r="H605" s="16" t="str">
        <f>CONCATENATE("'",Alumnos!J465,"'")</f>
        <v>'4to'</v>
      </c>
      <c r="I605" s="16" t="str">
        <f>UPPER(CONCATENATE("'",Alumnos!K465,"'"))</f>
        <v>'MASCULINO'</v>
      </c>
      <c r="J605" s="16" t="str">
        <f>UPPER(CONCATENATE("'",Alumnos!L465,"'"))</f>
        <v>'ACTIVO'</v>
      </c>
      <c r="K605" s="16" t="str">
        <f>CONCATENATE(A605,",",B605,",",C605,",",D605,",'",E605,",",F605,",",G605,",",H605,",",UPPER(I605),",",UPPER(J605),",'',0,0,'','ALUMNO'")</f>
        <v>1604,'LICENCIATURA','mauriciojavier.quinterourzua','111759','TOMAR DEL SND','QUINTERO URZUA MAURICIO JAVIER','INGENIERIA AEROESPACIAL','4to','MASCULINO','ACTIVO','',0,0,'','ALUMNO'</v>
      </c>
      <c r="L605" s="16" t="str">
        <f>CONCATENATE($K$1,K605,");")</f>
        <v>INSERT INTO participantes (id,nivel,correo,matricula,clave,nombre,carrera,grado,sexo,situacion,evaluados,num_evaluados,total_evaluaciones,ultimo_acceso,nivel_acceso) VALUES (1604,'LICENCIATURA','mauriciojavier.quinterourzua','111759','TOMAR DEL SND','QUINTERO URZUA MAURICIO JAVIER','INGENIERIA AEROESPACIAL','4to','MASCULINO','ACTIVO','',0,0,'','ALUMNO');</v>
      </c>
      <c r="M605" s="16" t="str">
        <f>CONCATENATE("update participantes set correo=",C605," where id=",A605,";")</f>
        <v>update participantes set correo='mauriciojavier.quinterourzua' where id=1604;</v>
      </c>
    </row>
    <row r="606" spans="1:13" ht="116" x14ac:dyDescent="0.35">
      <c r="A606" s="16">
        <v>1605</v>
      </c>
      <c r="B606" s="18" t="s">
        <v>1754</v>
      </c>
      <c r="C606" s="16" t="str">
        <f>CONCATENATE("'",Alumnos!E536,"'")</f>
        <v>'perlabeatriz.avilesbretado'</v>
      </c>
      <c r="D606" s="16" t="str">
        <f>CONCATENATE(Alumnos!F536,"'")</f>
        <v>'111760'</v>
      </c>
      <c r="E606" s="16" t="s">
        <v>1755</v>
      </c>
      <c r="F606" s="16" t="str">
        <f>CONCATENATE("'",Alumnos!H536,"'")</f>
        <v>'AVILES BRETADO PERLA BEATRIZ'</v>
      </c>
      <c r="G606" s="16" t="str">
        <f>CONCATENATE("'",Alumnos!I536,"'")</f>
        <v>'PSICOLOGIA'</v>
      </c>
      <c r="H606" s="16" t="str">
        <f>CONCATENATE("'",Alumnos!J536,"'")</f>
        <v>'4to'</v>
      </c>
      <c r="I606" s="16" t="str">
        <f>UPPER(CONCATENATE("'",Alumnos!K536,"'"))</f>
        <v>'FEMENINO'</v>
      </c>
      <c r="J606" s="16" t="str">
        <f>UPPER(CONCATENATE("'",Alumnos!L536,"'"))</f>
        <v>'ACTIVO'</v>
      </c>
      <c r="K606" s="16" t="str">
        <f>CONCATENATE(A606,",",B606,",",C606,",",D606,",'",E606,",",F606,",",G606,",",H606,",",UPPER(I606),",",UPPER(J606),",'',0,0,'','ALUMNO'")</f>
        <v>1605,'LICENCIATURA','perlabeatriz.avilesbretado','111760','TOMAR DEL SND','AVILES BRETADO PERLA BEATRIZ','PSICOLOGIA','4to','FEMENINO','ACTIVO','',0,0,'','ALUMNO'</v>
      </c>
      <c r="L606" s="16" t="str">
        <f>CONCATENATE($K$1,K606,");")</f>
        <v>INSERT INTO participantes (id,nivel,correo,matricula,clave,nombre,carrera,grado,sexo,situacion,evaluados,num_evaluados,total_evaluaciones,ultimo_acceso,nivel_acceso) VALUES (1605,'LICENCIATURA','perlabeatriz.avilesbretado','111760','TOMAR DEL SND','AVILES BRETADO PERLA BEATRIZ','PSICOLOGIA','4to','FEMENINO','ACTIVO','',0,0,'','ALUMNO');</v>
      </c>
      <c r="M606" s="16" t="str">
        <f>CONCATENATE("update participantes set correo=",C606," where id=",A606,";")</f>
        <v>update participantes set correo='perlabeatriz.avilesbretado' where id=1605;</v>
      </c>
    </row>
    <row r="607" spans="1:13" ht="116" x14ac:dyDescent="0.35">
      <c r="A607" s="16">
        <v>1606</v>
      </c>
      <c r="B607" s="18" t="s">
        <v>1754</v>
      </c>
      <c r="C607" s="16" t="str">
        <f>CONCATENATE("'",Alumnos!E234,"'")</f>
        <v>'farahisabella.florestapia'</v>
      </c>
      <c r="D607" s="16" t="str">
        <f>CONCATENATE(Alumnos!F234,"'")</f>
        <v>'111761'</v>
      </c>
      <c r="E607" s="16" t="s">
        <v>1755</v>
      </c>
      <c r="F607" s="16" t="str">
        <f>CONCATENATE("'",Alumnos!H234,"'")</f>
        <v>'FLORES TAPIA FARAH ISABELLA'</v>
      </c>
      <c r="G607" s="16" t="str">
        <f>CONCATENATE("'",Alumnos!I234,"'")</f>
        <v>'PSICOLOGIA'</v>
      </c>
      <c r="H607" s="16" t="str">
        <f>CONCATENATE("'",Alumnos!J234,"'")</f>
        <v>'4to'</v>
      </c>
      <c r="I607" s="16" t="str">
        <f>UPPER(CONCATENATE("'",Alumnos!K234,"'"))</f>
        <v>'FEMENINO'</v>
      </c>
      <c r="J607" s="16" t="str">
        <f>UPPER(CONCATENATE("'",Alumnos!L234,"'"))</f>
        <v>'ACTIVO'</v>
      </c>
      <c r="K607" s="16" t="str">
        <f>CONCATENATE(A607,",",B607,",",C607,",",D607,",'",E607,",",F607,",",G607,",",H607,",",UPPER(I607),",",UPPER(J607),",'',0,0,'','ALUMNO'")</f>
        <v>1606,'LICENCIATURA','farahisabella.florestapia','111761','TOMAR DEL SND','FLORES TAPIA FARAH ISABELLA','PSICOLOGIA','4to','FEMENINO','ACTIVO','',0,0,'','ALUMNO'</v>
      </c>
      <c r="L607" s="16" t="str">
        <f>CONCATENATE($K$1,K607,");")</f>
        <v>INSERT INTO participantes (id,nivel,correo,matricula,clave,nombre,carrera,grado,sexo,situacion,evaluados,num_evaluados,total_evaluaciones,ultimo_acceso,nivel_acceso) VALUES (1606,'LICENCIATURA','farahisabella.florestapia','111761','TOMAR DEL SND','FLORES TAPIA FARAH ISABELLA','PSICOLOGIA','4to','FEMENINO','ACTIVO','',0,0,'','ALUMNO');</v>
      </c>
      <c r="M607" s="16" t="str">
        <f>CONCATENATE("update participantes set correo=",C607," where id=",A607,";")</f>
        <v>update participantes set correo='farahisabella.florestapia' where id=1606;</v>
      </c>
    </row>
    <row r="608" spans="1:13" ht="130.5" x14ac:dyDescent="0.35">
      <c r="A608" s="16">
        <v>1607</v>
      </c>
      <c r="B608" s="18" t="s">
        <v>1754</v>
      </c>
      <c r="C608" s="16" t="str">
        <f>CONCATENATE("'",Alumnos!E293,"'")</f>
        <v>'jaimegabriel.munozsandoval'</v>
      </c>
      <c r="D608" s="16" t="str">
        <f>CONCATENATE(Alumnos!F293,"'")</f>
        <v>'111762'</v>
      </c>
      <c r="E608" s="16" t="s">
        <v>1755</v>
      </c>
      <c r="F608" s="16" t="str">
        <f>CONCATENATE("'",Alumnos!H293,"'")</f>
        <v>'MUÑOZ SANDOVAL JAIME GABRIEL'</v>
      </c>
      <c r="G608" s="16" t="str">
        <f>CONCATENATE("'",Alumnos!I293,"'")</f>
        <v>'INGENIERIA AEROESPACIAL'</v>
      </c>
      <c r="H608" s="16" t="str">
        <f>CONCATENATE("'",Alumnos!J293,"'")</f>
        <v>'4to'</v>
      </c>
      <c r="I608" s="16" t="str">
        <f>UPPER(CONCATENATE("'",Alumnos!K293,"'"))</f>
        <v>'MASCULINO'</v>
      </c>
      <c r="J608" s="16" t="str">
        <f>UPPER(CONCATENATE("'",Alumnos!L293,"'"))</f>
        <v>'ACTIVO'</v>
      </c>
      <c r="K608" s="16" t="str">
        <f>CONCATENATE(A608,",",B608,",",C608,",",D608,",'",E608,",",F608,",",G608,",",H608,",",UPPER(I608),",",UPPER(J608),",'',0,0,'','ALUMNO'")</f>
        <v>1607,'LICENCIATURA','jaimegabriel.munozsandoval','111762','TOMAR DEL SND','MUÑOZ SANDOVAL JAIME GABRIEL','INGENIERIA AEROESPACIAL','4to','MASCULINO','ACTIVO','',0,0,'','ALUMNO'</v>
      </c>
      <c r="L608" s="16" t="str">
        <f>CONCATENATE($K$1,K608,");")</f>
        <v>INSERT INTO participantes (id,nivel,correo,matricula,clave,nombre,carrera,grado,sexo,situacion,evaluados,num_evaluados,total_evaluaciones,ultimo_acceso,nivel_acceso) VALUES (1607,'LICENCIATURA','jaimegabriel.munozsandoval','111762','TOMAR DEL SND','MUÑOZ SANDOVAL JAIME GABRIEL','INGENIERIA AEROESPACIAL','4to','MASCULINO','ACTIVO','',0,0,'','ALUMNO');</v>
      </c>
      <c r="M608" s="16" t="str">
        <f>CONCATENATE("update participantes set correo=",C608," where id=",A608,";")</f>
        <v>update participantes set correo='jaimegabriel.munozsandoval' where id=1607;</v>
      </c>
    </row>
    <row r="609" spans="1:13" ht="130.5" x14ac:dyDescent="0.35">
      <c r="A609" s="16">
        <v>1608</v>
      </c>
      <c r="B609" s="18" t="s">
        <v>1754</v>
      </c>
      <c r="C609" s="16" t="str">
        <f>CONCATENATE("'",Alumnos!E16,"'")</f>
        <v>'airamvictoria.mirandaguerra'</v>
      </c>
      <c r="D609" s="16" t="str">
        <f>CONCATENATE(Alumnos!F16,"'")</f>
        <v>'111763'</v>
      </c>
      <c r="E609" s="16" t="s">
        <v>1755</v>
      </c>
      <c r="F609" s="16" t="str">
        <f>CONCATENATE("'",Alumnos!H16,"'")</f>
        <v>'MIRANDA GUERRA AIRAM VICTORIA'</v>
      </c>
      <c r="G609" s="16" t="str">
        <f>CONCATENATE("'",Alumnos!I16,"'")</f>
        <v>'INGENIERIA AEROESPACIAL'</v>
      </c>
      <c r="H609" s="16" t="str">
        <f>CONCATENATE("'",Alumnos!J16,"'")</f>
        <v>'4to'</v>
      </c>
      <c r="I609" s="16" t="str">
        <f>UPPER(CONCATENATE("'",Alumnos!K16,"'"))</f>
        <v>'FEMENINO'</v>
      </c>
      <c r="J609" s="16" t="str">
        <f>UPPER(CONCATENATE("'",Alumnos!L16,"'"))</f>
        <v>'ACTIVO'</v>
      </c>
      <c r="K609" s="16" t="str">
        <f>CONCATENATE(A609,",",B609,",",C609,",",D609,",'",E609,",",F609,",",G609,",",H609,",",UPPER(I609),",",UPPER(J609),",'',0,0,'','ALUMNO'")</f>
        <v>1608,'LICENCIATURA','airamvictoria.mirandaguerra','111763','TOMAR DEL SND','MIRANDA GUERRA AIRAM VICTORIA','INGENIERIA AEROESPACIAL','4to','FEMENINO','ACTIVO','',0,0,'','ALUMNO'</v>
      </c>
      <c r="L609" s="16" t="str">
        <f>CONCATENATE($K$1,K609,");")</f>
        <v>INSERT INTO participantes (id,nivel,correo,matricula,clave,nombre,carrera,grado,sexo,situacion,evaluados,num_evaluados,total_evaluaciones,ultimo_acceso,nivel_acceso) VALUES (1608,'LICENCIATURA','airamvictoria.mirandaguerra','111763','TOMAR DEL SND','MIRANDA GUERRA AIRAM VICTORIA','INGENIERIA AEROESPACIAL','4to','FEMENINO','ACTIVO','',0,0,'','ALUMNO');</v>
      </c>
      <c r="M609" s="16" t="str">
        <f>CONCATENATE("update participantes set correo=",C609," where id=",A609,";")</f>
        <v>update participantes set correo='airamvictoria.mirandaguerra' where id=1608;</v>
      </c>
    </row>
    <row r="610" spans="1:13" ht="116" x14ac:dyDescent="0.35">
      <c r="A610" s="16">
        <v>1609</v>
      </c>
      <c r="B610" s="18" t="s">
        <v>1754</v>
      </c>
      <c r="C610" s="16" t="str">
        <f>CONCATENATE("'",Alumnos!E177,"'")</f>
        <v>'dayramichelle.zunigahernandez'</v>
      </c>
      <c r="D610" s="16" t="str">
        <f>CONCATENATE(Alumnos!F177,"'")</f>
        <v>'111764'</v>
      </c>
      <c r="E610" s="16" t="s">
        <v>1755</v>
      </c>
      <c r="F610" s="16" t="str">
        <f>CONCATENATE("'",Alumnos!H177,"'")</f>
        <v>'ZUÑIGA HERNANDEZ DAYRA MICHELLE'</v>
      </c>
      <c r="G610" s="16" t="str">
        <f>CONCATENATE("'",Alumnos!I177,"'")</f>
        <v>'ADMINISTRACION Y DIRECCION DE NEGOCIOS'</v>
      </c>
      <c r="H610" s="16" t="str">
        <f>CONCATENATE("'",Alumnos!J177,"'")</f>
        <v>'4to'</v>
      </c>
      <c r="I610" s="16" t="str">
        <f>UPPER(CONCATENATE("'",Alumnos!K177,"'"))</f>
        <v>'FEMENINO'</v>
      </c>
      <c r="J610" s="16" t="str">
        <f>UPPER(CONCATENATE("'",Alumnos!L177,"'"))</f>
        <v>'ACTIVO'</v>
      </c>
      <c r="K610" s="16" t="str">
        <f>CONCATENATE(A610,",",B610,",",C610,",",D610,",'",E610,",",F610,",",G610,",",H610,",",UPPER(I610),",",UPPER(J610),",'',0,0,'','ALUMNO'")</f>
        <v>1609,'LICENCIATURA','dayramichelle.zunigahernandez','111764','TOMAR DEL SND','ZUÑIGA HERNANDEZ DAYRA MICHELLE','ADMINISTRACION Y DIRECCION DE NEGOCIOS','4to','FEMENINO','ACTIVO','',0,0,'','ALUMNO'</v>
      </c>
      <c r="L610" s="16" t="str">
        <f>CONCATENATE($K$1,K610,");")</f>
        <v>INSERT INTO participantes (id,nivel,correo,matricula,clave,nombre,carrera,grado,sexo,situacion,evaluados,num_evaluados,total_evaluaciones,ultimo_acceso,nivel_acceso) VALUES (1609,'LICENCIATURA','dayramichelle.zunigahernandez','111764','TOMAR DEL SND','ZUÑIGA HERNANDEZ DAYRA MICHELLE','ADMINISTRACION Y DIRECCION DE NEGOCIOS','4to','FEMENINO','ACTIVO','',0,0,'','ALUMNO');</v>
      </c>
      <c r="M610" s="16" t="str">
        <f>CONCATENATE("update participantes set correo=",C610," where id=",A610,";")</f>
        <v>update participantes set correo='dayramichelle.zunigahernandez' where id=1609;</v>
      </c>
    </row>
    <row r="611" spans="1:13" ht="130.5" x14ac:dyDescent="0.35">
      <c r="A611" s="16">
        <v>1610</v>
      </c>
      <c r="B611" s="18" t="s">
        <v>1754</v>
      </c>
      <c r="C611" s="16" t="str">
        <f>CONCATENATE("'",Alumnos!E49,"'")</f>
        <v>'anakarol.jimenezmartinez'</v>
      </c>
      <c r="D611" s="16" t="str">
        <f>CONCATENATE(Alumnos!F49,"'")</f>
        <v>'111765'</v>
      </c>
      <c r="E611" s="16" t="s">
        <v>1755</v>
      </c>
      <c r="F611" s="16" t="str">
        <f>CONCATENATE("'",Alumnos!H49,"'")</f>
        <v>'JIMENEZ MARTINEZ ANA KAROL'</v>
      </c>
      <c r="G611" s="16" t="str">
        <f>CONCATENATE("'",Alumnos!I49,"'")</f>
        <v>'NUTRICION Y GASTRONOMIA'</v>
      </c>
      <c r="H611" s="16" t="str">
        <f>CONCATENATE("'",Alumnos!J49,"'")</f>
        <v>'4to'</v>
      </c>
      <c r="I611" s="16" t="str">
        <f>UPPER(CONCATENATE("'",Alumnos!K49,"'"))</f>
        <v>'FEMENINO'</v>
      </c>
      <c r="J611" s="16" t="str">
        <f>UPPER(CONCATENATE("'",Alumnos!L49,"'"))</f>
        <v>'ACTIVO'</v>
      </c>
      <c r="K611" s="16" t="str">
        <f>CONCATENATE(A611,",",B611,",",C611,",",D611,",'",E611,",",F611,",",G611,",",H611,",",UPPER(I611),",",UPPER(J611),",'',0,0,'','ALUMNO'")</f>
        <v>1610,'LICENCIATURA','anakarol.jimenezmartinez','111765','TOMAR DEL SND','JIMENEZ MARTINEZ ANA KAROL','NUTRICION Y GASTRONOMIA','4to','FEMENINO','ACTIVO','',0,0,'','ALUMNO'</v>
      </c>
      <c r="L611" s="16" t="str">
        <f>CONCATENATE($K$1,K611,");")</f>
        <v>INSERT INTO participantes (id,nivel,correo,matricula,clave,nombre,carrera,grado,sexo,situacion,evaluados,num_evaluados,total_evaluaciones,ultimo_acceso,nivel_acceso) VALUES (1610,'LICENCIATURA','anakarol.jimenezmartinez','111765','TOMAR DEL SND','JIMENEZ MARTINEZ ANA KAROL','NUTRICION Y GASTRONOMIA','4to','FEMENINO','ACTIVO','',0,0,'','ALUMNO');</v>
      </c>
      <c r="M611" s="16" t="str">
        <f>CONCATENATE("update participantes set correo=",C611," where id=",A611,";")</f>
        <v>update participantes set correo='anakarol.jimenezmartinez' where id=1610;</v>
      </c>
    </row>
    <row r="612" spans="1:13" ht="130.5" x14ac:dyDescent="0.35">
      <c r="A612" s="16">
        <v>1611</v>
      </c>
      <c r="B612" s="18" t="s">
        <v>1754</v>
      </c>
      <c r="C612" s="16" t="str">
        <f>CONCATENATE("'",Alumnos!E281,"'")</f>
        <v>'isabelhiromi.inukaimorales'</v>
      </c>
      <c r="D612" s="16" t="str">
        <f>CONCATENATE(Alumnos!F281,"'")</f>
        <v>'111766'</v>
      </c>
      <c r="E612" s="16" t="s">
        <v>1755</v>
      </c>
      <c r="F612" s="16" t="str">
        <f>CONCATENATE("'",Alumnos!H281,"'")</f>
        <v>'INUKAI MORALES ISABEL HIROMI'</v>
      </c>
      <c r="G612" s="16" t="str">
        <f>CONCATENATE("'",Alumnos!I281,"'")</f>
        <v>'ANIMACION DIGITAL Y VIDEOJUEGOS'</v>
      </c>
      <c r="H612" s="16" t="str">
        <f>CONCATENATE("'",Alumnos!J281,"'")</f>
        <v>'4to'</v>
      </c>
      <c r="I612" s="16" t="str">
        <f>UPPER(CONCATENATE("'",Alumnos!K281,"'"))</f>
        <v>'FEMENINO'</v>
      </c>
      <c r="J612" s="16" t="str">
        <f>UPPER(CONCATENATE("'",Alumnos!L281,"'"))</f>
        <v>'ACTIVO'</v>
      </c>
      <c r="K612" s="16" t="str">
        <f>CONCATENATE(A612,",",B612,",",C612,",",D612,",'",E612,",",F612,",",G612,",",H612,",",UPPER(I612),",",UPPER(J612),",'',0,0,'','ALUMNO'")</f>
        <v>1611,'LICENCIATURA','isabelhiromi.inukaimorales','111766','TOMAR DEL SND','INUKAI MORALES ISABEL HIROMI','ANIMACION DIGITAL Y VIDEOJUEGOS','4to','FEMENINO','ACTIVO','',0,0,'','ALUMNO'</v>
      </c>
      <c r="L612" s="16" t="str">
        <f>CONCATENATE($K$1,K612,");")</f>
        <v>INSERT INTO participantes (id,nivel,correo,matricula,clave,nombre,carrera,grado,sexo,situacion,evaluados,num_evaluados,total_evaluaciones,ultimo_acceso,nivel_acceso) VALUES (1611,'LICENCIATURA','isabelhiromi.inukaimorales','111766','TOMAR DEL SND','INUKAI MORALES ISABEL HIROMI','ANIMACION DIGITAL Y VIDEOJUEGOS','4to','FEMENINO','ACTIVO','',0,0,'','ALUMNO');</v>
      </c>
      <c r="M612" s="16" t="str">
        <f>CONCATENATE("update participantes set correo=",C612," where id=",A612,";")</f>
        <v>update participantes set correo='isabelhiromi.inukaimorales' where id=1611;</v>
      </c>
    </row>
    <row r="613" spans="1:13" ht="116" x14ac:dyDescent="0.35">
      <c r="A613" s="16">
        <v>1612</v>
      </c>
      <c r="B613" s="18" t="s">
        <v>1754</v>
      </c>
      <c r="C613" s="16" t="str">
        <f>CONCATENATE("'",Alumnos!E538,"'")</f>
        <v>'regina.lopezalvarez'</v>
      </c>
      <c r="D613" s="16" t="str">
        <f>CONCATENATE(Alumnos!F538,"'")</f>
        <v>'111767'</v>
      </c>
      <c r="E613" s="16" t="s">
        <v>1755</v>
      </c>
      <c r="F613" s="16" t="str">
        <f>CONCATENATE("'",Alumnos!H538,"'")</f>
        <v>'LOPEZ ALVAREZ REGINA'</v>
      </c>
      <c r="G613" s="16" t="str">
        <f>CONCATENATE("'",Alumnos!I538,"'")</f>
        <v>'ARQUITECTURA'</v>
      </c>
      <c r="H613" s="16" t="str">
        <f>CONCATENATE("'",Alumnos!J538,"'")</f>
        <v>'4to'</v>
      </c>
      <c r="I613" s="16" t="str">
        <f>UPPER(CONCATENATE("'",Alumnos!K538,"'"))</f>
        <v>'FEMENINO'</v>
      </c>
      <c r="J613" s="16" t="str">
        <f>UPPER(CONCATENATE("'",Alumnos!L538,"'"))</f>
        <v>'ACTIVO'</v>
      </c>
      <c r="K613" s="16" t="str">
        <f>CONCATENATE(A613,",",B613,",",C613,",",D613,",'",E613,",",F613,",",G613,",",H613,",",UPPER(I613),",",UPPER(J613),",'',0,0,'','ALUMNO'")</f>
        <v>1612,'LICENCIATURA','regina.lopezalvarez','111767','TOMAR DEL SND','LOPEZ ALVAREZ REGINA','ARQUITECTURA','4to','FEMENINO','ACTIVO','',0,0,'','ALUMNO'</v>
      </c>
      <c r="L613" s="16" t="str">
        <f>CONCATENATE($K$1,K613,");")</f>
        <v>INSERT INTO participantes (id,nivel,correo,matricula,clave,nombre,carrera,grado,sexo,situacion,evaluados,num_evaluados,total_evaluaciones,ultimo_acceso,nivel_acceso) VALUES (1612,'LICENCIATURA','regina.lopezalvarez','111767','TOMAR DEL SND','LOPEZ ALVAREZ REGINA','ARQUITECTURA','4to','FEMENINO','ACTIVO','',0,0,'','ALUMNO');</v>
      </c>
      <c r="M613" s="16" t="str">
        <f>CONCATENATE("update participantes set correo=",C613," where id=",A613,";")</f>
        <v>update participantes set correo='regina.lopezalvarez' where id=1612;</v>
      </c>
    </row>
    <row r="614" spans="1:13" ht="130.5" x14ac:dyDescent="0.35">
      <c r="A614" s="16">
        <v>1613</v>
      </c>
      <c r="B614" s="18" t="s">
        <v>1754</v>
      </c>
      <c r="C614" s="16" t="str">
        <f>CONCATENATE("'",Alumnos!E138,"'")</f>
        <v>'claudiaberenice.alfaroruiz'</v>
      </c>
      <c r="D614" s="16" t="str">
        <f>CONCATENATE(Alumnos!F138,"'")</f>
        <v>'111768'</v>
      </c>
      <c r="E614" s="16" t="s">
        <v>1755</v>
      </c>
      <c r="F614" s="16" t="str">
        <f>CONCATENATE("'",Alumnos!H138,"'")</f>
        <v>'ALFARO RUIZ CLAUDIA BERENICE'</v>
      </c>
      <c r="G614" s="16" t="str">
        <f>CONCATENATE("'",Alumnos!I138,"'")</f>
        <v>'INGENIERIA AEROESPACIAL'</v>
      </c>
      <c r="H614" s="16" t="str">
        <f>CONCATENATE("'",Alumnos!J138,"'")</f>
        <v>'4to'</v>
      </c>
      <c r="I614" s="16" t="str">
        <f>UPPER(CONCATENATE("'",Alumnos!K138,"'"))</f>
        <v>'FEMENINO'</v>
      </c>
      <c r="J614" s="16" t="str">
        <f>UPPER(CONCATENATE("'",Alumnos!L138,"'"))</f>
        <v>'ACTIVO'</v>
      </c>
      <c r="K614" s="16" t="str">
        <f>CONCATENATE(A614,",",B614,",",C614,",",D614,",'",E614,",",F614,",",G614,",",H614,",",UPPER(I614),",",UPPER(J614),",'',0,0,'','ALUMNO'")</f>
        <v>1613,'LICENCIATURA','claudiaberenice.alfaroruiz','111768','TOMAR DEL SND','ALFARO RUIZ CLAUDIA BERENICE','INGENIERIA AEROESPACIAL','4to','FEMENINO','ACTIVO','',0,0,'','ALUMNO'</v>
      </c>
      <c r="L614" s="16" t="str">
        <f>CONCATENATE($K$1,K614,");")</f>
        <v>INSERT INTO participantes (id,nivel,correo,matricula,clave,nombre,carrera,grado,sexo,situacion,evaluados,num_evaluados,total_evaluaciones,ultimo_acceso,nivel_acceso) VALUES (1613,'LICENCIATURA','claudiaberenice.alfaroruiz','111768','TOMAR DEL SND','ALFARO RUIZ CLAUDIA BERENICE','INGENIERIA AEROESPACIAL','4to','FEMENINO','ACTIVO','',0,0,'','ALUMNO');</v>
      </c>
      <c r="M614" s="16" t="str">
        <f>CONCATENATE("update participantes set correo=",C614," where id=",A614,";")</f>
        <v>update participantes set correo='claudiaberenice.alfaroruiz' where id=1613;</v>
      </c>
    </row>
    <row r="615" spans="1:13" ht="116" x14ac:dyDescent="0.35">
      <c r="A615" s="16">
        <v>1614</v>
      </c>
      <c r="B615" s="18" t="s">
        <v>1754</v>
      </c>
      <c r="C615" s="16" t="str">
        <f>CONCATENATE("'",Alumnos!E344,"'")</f>
        <v>'josuejavier.perezlopez'</v>
      </c>
      <c r="D615" s="16" t="str">
        <f>CONCATENATE(Alumnos!F344,"'")</f>
        <v>'111770'</v>
      </c>
      <c r="E615" s="16" t="s">
        <v>1755</v>
      </c>
      <c r="F615" s="16" t="str">
        <f>CONCATENATE("'",Alumnos!H344,"'")</f>
        <v>'PEREZ LOPEZ JOSUE JAVIER'</v>
      </c>
      <c r="G615" s="16" t="str">
        <f>CONCATENATE("'",Alumnos!I344,"'")</f>
        <v>'INGENIERIA AEROESPACIAL'</v>
      </c>
      <c r="H615" s="16" t="str">
        <f>CONCATENATE("'",Alumnos!J344,"'")</f>
        <v>'4to'</v>
      </c>
      <c r="I615" s="16" t="str">
        <f>UPPER(CONCATENATE("'",Alumnos!K344,"'"))</f>
        <v>'MASCULINO'</v>
      </c>
      <c r="J615" s="16" t="str">
        <f>UPPER(CONCATENATE("'",Alumnos!L344,"'"))</f>
        <v>'ACTIVO'</v>
      </c>
      <c r="K615" s="16" t="str">
        <f>CONCATENATE(A615,",",B615,",",C615,",",D615,",'",E615,",",F615,",",G615,",",H615,",",UPPER(I615),",",UPPER(J615),",'',0,0,'','ALUMNO'")</f>
        <v>1614,'LICENCIATURA','josuejavier.perezlopez','111770','TOMAR DEL SND','PEREZ LOPEZ JOSUE JAVIER','INGENIERIA AEROESPACIAL','4to','MASCULINO','ACTIVO','',0,0,'','ALUMNO'</v>
      </c>
      <c r="L615" s="16" t="str">
        <f>CONCATENATE($K$1,K615,");")</f>
        <v>INSERT INTO participantes (id,nivel,correo,matricula,clave,nombre,carrera,grado,sexo,situacion,evaluados,num_evaluados,total_evaluaciones,ultimo_acceso,nivel_acceso) VALUES (1614,'LICENCIATURA','josuejavier.perezlopez','111770','TOMAR DEL SND','PEREZ LOPEZ JOSUE JAVIER','INGENIERIA AEROESPACIAL','4to','MASCULINO','ACTIVO','',0,0,'','ALUMNO');</v>
      </c>
      <c r="M615" s="16" t="str">
        <f>CONCATENATE("update participantes set correo=",C615," where id=",A615,";")</f>
        <v>update participantes set correo='josuejavier.perezlopez' where id=1614;</v>
      </c>
    </row>
    <row r="616" spans="1:13" ht="130.5" x14ac:dyDescent="0.35">
      <c r="A616" s="16">
        <v>1615</v>
      </c>
      <c r="B616" s="18" t="s">
        <v>1754</v>
      </c>
      <c r="C616" s="16" t="str">
        <f>CONCATENATE("'",Alumnos!E329,"'")</f>
        <v>'joseangel.perezcontreras'</v>
      </c>
      <c r="D616" s="16" t="str">
        <f>CONCATENATE(Alumnos!F329,"'")</f>
        <v>'111771'</v>
      </c>
      <c r="E616" s="16" t="s">
        <v>1755</v>
      </c>
      <c r="F616" s="16" t="str">
        <f>CONCATENATE("'",Alumnos!H329,"'")</f>
        <v>'PEREZ CONTRERAS JOSE ANGEL'</v>
      </c>
      <c r="G616" s="16" t="str">
        <f>CONCATENATE("'",Alumnos!I329,"'")</f>
        <v>'INGENIERÍA AUTOMOTRIZ'</v>
      </c>
      <c r="H616" s="16" t="str">
        <f>CONCATENATE("'",Alumnos!J329,"'")</f>
        <v>'4to'</v>
      </c>
      <c r="I616" s="16" t="str">
        <f>UPPER(CONCATENATE("'",Alumnos!K329,"'"))</f>
        <v>'MASCULINO'</v>
      </c>
      <c r="J616" s="16" t="str">
        <f>UPPER(CONCATENATE("'",Alumnos!L329,"'"))</f>
        <v>'ACTIVO'</v>
      </c>
      <c r="K616" s="16" t="str">
        <f>CONCATENATE(A616,",",B616,",",C616,",",D616,",'",E616,",",F616,",",G616,",",H616,",",UPPER(I616),",",UPPER(J616),",'',0,0,'','ALUMNO'")</f>
        <v>1615,'LICENCIATURA','joseangel.perezcontreras','111771','TOMAR DEL SND','PEREZ CONTRERAS JOSE ANGEL','INGENIERÍA AUTOMOTRIZ','4to','MASCULINO','ACTIVO','',0,0,'','ALUMNO'</v>
      </c>
      <c r="L616" s="16" t="str">
        <f>CONCATENATE($K$1,K616,");")</f>
        <v>INSERT INTO participantes (id,nivel,correo,matricula,clave,nombre,carrera,grado,sexo,situacion,evaluados,num_evaluados,total_evaluaciones,ultimo_acceso,nivel_acceso) VALUES (1615,'LICENCIATURA','joseangel.perezcontreras','111771','TOMAR DEL SND','PEREZ CONTRERAS JOSE ANGEL','INGENIERÍA AUTOMOTRIZ','4to','MASCULINO','ACTIVO','',0,0,'','ALUMNO');</v>
      </c>
      <c r="M616" s="16" t="str">
        <f>CONCATENATE("update participantes set correo=",C616," where id=",A616,";")</f>
        <v>update participantes set correo='joseangel.perezcontreras' where id=1615;</v>
      </c>
    </row>
  </sheetData>
  <autoFilter ref="A1:M616" xr:uid="{BD8E751B-D060-4C36-B218-5FDEC6D7C6F9}">
    <sortState xmlns:xlrd2="http://schemas.microsoft.com/office/spreadsheetml/2017/richdata2" ref="A2:M616">
      <sortCondition ref="A1:A616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E652-A430-4CB7-86E4-BE9B9573FA75}">
  <dimension ref="A1:D613"/>
  <sheetViews>
    <sheetView workbookViewId="0">
      <selection activeCell="D2" sqref="D2"/>
    </sheetView>
  </sheetViews>
  <sheetFormatPr baseColWidth="10" defaultRowHeight="14.5" x14ac:dyDescent="0.35"/>
  <cols>
    <col min="1" max="1" width="9.1796875" bestFit="1" customWidth="1"/>
    <col min="2" max="2" width="27.54296875" bestFit="1" customWidth="1"/>
    <col min="3" max="3" width="26.1796875" bestFit="1" customWidth="1"/>
    <col min="4" max="4" width="36.1796875" bestFit="1" customWidth="1"/>
  </cols>
  <sheetData>
    <row r="1" spans="1:4" x14ac:dyDescent="0.35">
      <c r="A1" t="s">
        <v>1048</v>
      </c>
      <c r="B1" t="s">
        <v>2380</v>
      </c>
      <c r="C1" t="s">
        <v>2</v>
      </c>
      <c r="D1" t="s">
        <v>2381</v>
      </c>
    </row>
    <row r="2" spans="1:4" x14ac:dyDescent="0.35">
      <c r="A2" t="s">
        <v>2382</v>
      </c>
      <c r="B2" t="s">
        <v>2383</v>
      </c>
      <c r="C2" t="s">
        <v>3</v>
      </c>
      <c r="D2" t="s">
        <v>2384</v>
      </c>
    </row>
    <row r="3" spans="1:4" x14ac:dyDescent="0.35">
      <c r="A3" t="s">
        <v>2385</v>
      </c>
      <c r="B3" t="s">
        <v>2386</v>
      </c>
      <c r="C3" t="s">
        <v>4</v>
      </c>
      <c r="D3" t="s">
        <v>2387</v>
      </c>
    </row>
    <row r="4" spans="1:4" x14ac:dyDescent="0.35">
      <c r="A4" t="s">
        <v>2388</v>
      </c>
      <c r="B4" t="s">
        <v>2389</v>
      </c>
      <c r="C4" t="s">
        <v>5</v>
      </c>
      <c r="D4" t="s">
        <v>2390</v>
      </c>
    </row>
    <row r="5" spans="1:4" x14ac:dyDescent="0.35">
      <c r="A5" t="s">
        <v>2391</v>
      </c>
      <c r="B5" t="s">
        <v>2392</v>
      </c>
      <c r="C5" t="s">
        <v>6</v>
      </c>
      <c r="D5" t="s">
        <v>2393</v>
      </c>
    </row>
    <row r="6" spans="1:4" x14ac:dyDescent="0.35">
      <c r="A6" t="s">
        <v>2394</v>
      </c>
      <c r="B6" t="s">
        <v>2395</v>
      </c>
      <c r="C6" t="s">
        <v>7</v>
      </c>
      <c r="D6" t="s">
        <v>2396</v>
      </c>
    </row>
    <row r="7" spans="1:4" x14ac:dyDescent="0.35">
      <c r="A7" t="s">
        <v>2397</v>
      </c>
      <c r="B7" t="s">
        <v>2398</v>
      </c>
      <c r="C7" t="s">
        <v>8</v>
      </c>
      <c r="D7" t="s">
        <v>2399</v>
      </c>
    </row>
    <row r="8" spans="1:4" x14ac:dyDescent="0.35">
      <c r="A8" t="s">
        <v>2400</v>
      </c>
      <c r="B8" t="s">
        <v>2401</v>
      </c>
      <c r="C8" t="s">
        <v>9</v>
      </c>
      <c r="D8" t="s">
        <v>2402</v>
      </c>
    </row>
    <row r="9" spans="1:4" x14ac:dyDescent="0.35">
      <c r="A9" t="s">
        <v>2403</v>
      </c>
      <c r="B9" t="s">
        <v>2404</v>
      </c>
      <c r="C9" t="s">
        <v>9</v>
      </c>
      <c r="D9" t="s">
        <v>2405</v>
      </c>
    </row>
    <row r="10" spans="1:4" x14ac:dyDescent="0.35">
      <c r="A10" t="s">
        <v>2406</v>
      </c>
      <c r="B10" t="s">
        <v>2407</v>
      </c>
      <c r="C10" t="s">
        <v>13</v>
      </c>
      <c r="D10" t="s">
        <v>2408</v>
      </c>
    </row>
    <row r="11" spans="1:4" x14ac:dyDescent="0.35">
      <c r="A11" t="s">
        <v>2409</v>
      </c>
      <c r="B11" t="s">
        <v>2410</v>
      </c>
      <c r="C11" t="s">
        <v>13</v>
      </c>
      <c r="D11" t="s">
        <v>2411</v>
      </c>
    </row>
    <row r="12" spans="1:4" x14ac:dyDescent="0.35">
      <c r="A12" t="s">
        <v>2412</v>
      </c>
      <c r="B12" t="s">
        <v>2413</v>
      </c>
      <c r="C12" t="s">
        <v>14</v>
      </c>
      <c r="D12" t="s">
        <v>2414</v>
      </c>
    </row>
    <row r="13" spans="1:4" x14ac:dyDescent="0.35">
      <c r="A13" t="s">
        <v>2415</v>
      </c>
      <c r="B13" t="s">
        <v>2416</v>
      </c>
      <c r="C13" t="s">
        <v>10</v>
      </c>
      <c r="D13" t="s">
        <v>2417</v>
      </c>
    </row>
    <row r="14" spans="1:4" x14ac:dyDescent="0.35">
      <c r="A14" t="s">
        <v>2418</v>
      </c>
      <c r="B14" t="s">
        <v>2419</v>
      </c>
      <c r="C14" t="s">
        <v>11</v>
      </c>
      <c r="D14" t="s">
        <v>2420</v>
      </c>
    </row>
    <row r="15" spans="1:4" x14ac:dyDescent="0.35">
      <c r="A15" t="s">
        <v>2421</v>
      </c>
      <c r="B15" t="s">
        <v>2422</v>
      </c>
      <c r="C15" t="s">
        <v>12</v>
      </c>
      <c r="D15" t="s">
        <v>2423</v>
      </c>
    </row>
    <row r="16" spans="1:4" x14ac:dyDescent="0.35">
      <c r="A16" t="s">
        <v>2424</v>
      </c>
      <c r="B16" t="s">
        <v>2425</v>
      </c>
      <c r="C16" t="s">
        <v>15</v>
      </c>
      <c r="D16" t="s">
        <v>2426</v>
      </c>
    </row>
    <row r="17" spans="1:4" x14ac:dyDescent="0.35">
      <c r="A17" t="s">
        <v>2427</v>
      </c>
      <c r="B17" t="s">
        <v>2428</v>
      </c>
      <c r="C17" t="s">
        <v>16</v>
      </c>
      <c r="D17" t="s">
        <v>2429</v>
      </c>
    </row>
    <row r="18" spans="1:4" x14ac:dyDescent="0.35">
      <c r="A18" t="s">
        <v>2430</v>
      </c>
      <c r="B18" t="s">
        <v>2431</v>
      </c>
      <c r="C18" t="s">
        <v>17</v>
      </c>
      <c r="D18" t="s">
        <v>2432</v>
      </c>
    </row>
    <row r="19" spans="1:4" x14ac:dyDescent="0.35">
      <c r="A19" t="s">
        <v>2433</v>
      </c>
      <c r="B19" t="s">
        <v>2434</v>
      </c>
      <c r="C19" t="s">
        <v>18</v>
      </c>
      <c r="D19" t="s">
        <v>2435</v>
      </c>
    </row>
    <row r="20" spans="1:4" x14ac:dyDescent="0.35">
      <c r="A20" t="s">
        <v>2436</v>
      </c>
      <c r="B20" t="s">
        <v>2437</v>
      </c>
      <c r="C20" t="s">
        <v>19</v>
      </c>
      <c r="D20" t="s">
        <v>2438</v>
      </c>
    </row>
    <row r="21" spans="1:4" x14ac:dyDescent="0.35">
      <c r="A21" t="s">
        <v>2439</v>
      </c>
      <c r="B21" t="s">
        <v>2440</v>
      </c>
      <c r="C21" t="s">
        <v>20</v>
      </c>
      <c r="D21" t="s">
        <v>2441</v>
      </c>
    </row>
    <row r="22" spans="1:4" x14ac:dyDescent="0.35">
      <c r="A22" t="s">
        <v>2442</v>
      </c>
      <c r="B22" t="s">
        <v>2443</v>
      </c>
      <c r="C22" t="s">
        <v>21</v>
      </c>
      <c r="D22" t="s">
        <v>2444</v>
      </c>
    </row>
    <row r="23" spans="1:4" x14ac:dyDescent="0.35">
      <c r="A23" t="s">
        <v>2445</v>
      </c>
      <c r="B23" t="s">
        <v>2446</v>
      </c>
      <c r="C23" t="s">
        <v>22</v>
      </c>
      <c r="D23" t="s">
        <v>2447</v>
      </c>
    </row>
    <row r="24" spans="1:4" x14ac:dyDescent="0.35">
      <c r="A24" t="s">
        <v>2448</v>
      </c>
      <c r="B24" t="s">
        <v>2449</v>
      </c>
      <c r="C24" t="s">
        <v>23</v>
      </c>
      <c r="D24" t="s">
        <v>2450</v>
      </c>
    </row>
    <row r="25" spans="1:4" x14ac:dyDescent="0.35">
      <c r="A25" t="s">
        <v>2451</v>
      </c>
      <c r="B25" t="s">
        <v>2452</v>
      </c>
      <c r="C25" t="s">
        <v>23</v>
      </c>
      <c r="D25" t="s">
        <v>2453</v>
      </c>
    </row>
    <row r="26" spans="1:4" x14ac:dyDescent="0.35">
      <c r="A26" t="s">
        <v>2454</v>
      </c>
      <c r="B26" t="s">
        <v>2455</v>
      </c>
      <c r="C26" t="s">
        <v>24</v>
      </c>
      <c r="D26" t="s">
        <v>2456</v>
      </c>
    </row>
    <row r="27" spans="1:4" x14ac:dyDescent="0.35">
      <c r="A27" t="s">
        <v>2457</v>
      </c>
      <c r="B27" t="s">
        <v>2458</v>
      </c>
      <c r="C27" t="s">
        <v>24</v>
      </c>
      <c r="D27" t="s">
        <v>2459</v>
      </c>
    </row>
    <row r="28" spans="1:4" x14ac:dyDescent="0.35">
      <c r="A28" t="s">
        <v>2460</v>
      </c>
      <c r="B28" t="s">
        <v>2461</v>
      </c>
      <c r="C28" t="s">
        <v>24</v>
      </c>
      <c r="D28" t="s">
        <v>2462</v>
      </c>
    </row>
    <row r="29" spans="1:4" x14ac:dyDescent="0.35">
      <c r="A29" t="s">
        <v>2463</v>
      </c>
      <c r="B29" t="s">
        <v>2464</v>
      </c>
      <c r="C29" t="s">
        <v>24</v>
      </c>
      <c r="D29" t="s">
        <v>2465</v>
      </c>
    </row>
    <row r="30" spans="1:4" x14ac:dyDescent="0.35">
      <c r="A30" t="s">
        <v>2466</v>
      </c>
      <c r="B30" t="s">
        <v>2467</v>
      </c>
      <c r="C30" t="s">
        <v>24</v>
      </c>
      <c r="D30" t="s">
        <v>2468</v>
      </c>
    </row>
    <row r="31" spans="1:4" x14ac:dyDescent="0.35">
      <c r="A31" t="s">
        <v>2469</v>
      </c>
      <c r="B31" t="s">
        <v>2470</v>
      </c>
      <c r="C31" t="s">
        <v>24</v>
      </c>
      <c r="D31" t="s">
        <v>2471</v>
      </c>
    </row>
    <row r="32" spans="1:4" x14ac:dyDescent="0.35">
      <c r="A32" t="s">
        <v>2472</v>
      </c>
      <c r="B32" t="s">
        <v>2473</v>
      </c>
      <c r="C32" t="s">
        <v>25</v>
      </c>
      <c r="D32" t="s">
        <v>2474</v>
      </c>
    </row>
    <row r="33" spans="1:4" x14ac:dyDescent="0.35">
      <c r="A33" t="s">
        <v>2475</v>
      </c>
      <c r="B33" t="s">
        <v>2476</v>
      </c>
      <c r="C33" t="s">
        <v>26</v>
      </c>
      <c r="D33" t="s">
        <v>2477</v>
      </c>
    </row>
    <row r="34" spans="1:4" x14ac:dyDescent="0.35">
      <c r="A34" t="s">
        <v>2478</v>
      </c>
      <c r="B34" t="s">
        <v>2479</v>
      </c>
      <c r="C34" t="s">
        <v>27</v>
      </c>
      <c r="D34" t="s">
        <v>2480</v>
      </c>
    </row>
    <row r="35" spans="1:4" x14ac:dyDescent="0.35">
      <c r="A35" t="s">
        <v>2481</v>
      </c>
      <c r="B35" t="s">
        <v>2482</v>
      </c>
      <c r="C35" t="s">
        <v>28</v>
      </c>
      <c r="D35" t="s">
        <v>2483</v>
      </c>
    </row>
    <row r="36" spans="1:4" x14ac:dyDescent="0.35">
      <c r="A36" t="s">
        <v>2484</v>
      </c>
      <c r="B36" t="s">
        <v>2485</v>
      </c>
      <c r="C36" t="s">
        <v>29</v>
      </c>
      <c r="D36" t="s">
        <v>2486</v>
      </c>
    </row>
    <row r="37" spans="1:4" x14ac:dyDescent="0.35">
      <c r="A37" t="s">
        <v>2487</v>
      </c>
      <c r="B37" t="s">
        <v>2488</v>
      </c>
      <c r="C37" t="s">
        <v>29</v>
      </c>
      <c r="D37" t="s">
        <v>2489</v>
      </c>
    </row>
    <row r="38" spans="1:4" x14ac:dyDescent="0.35">
      <c r="A38" t="s">
        <v>2490</v>
      </c>
      <c r="B38" t="s">
        <v>2491</v>
      </c>
      <c r="C38" t="s">
        <v>30</v>
      </c>
      <c r="D38" t="s">
        <v>2492</v>
      </c>
    </row>
    <row r="39" spans="1:4" x14ac:dyDescent="0.35">
      <c r="A39" t="s">
        <v>2493</v>
      </c>
      <c r="B39" t="s">
        <v>2494</v>
      </c>
      <c r="C39" t="s">
        <v>31</v>
      </c>
      <c r="D39" t="s">
        <v>2495</v>
      </c>
    </row>
    <row r="40" spans="1:4" x14ac:dyDescent="0.35">
      <c r="A40" t="s">
        <v>2496</v>
      </c>
      <c r="B40" t="s">
        <v>2497</v>
      </c>
      <c r="C40" t="s">
        <v>32</v>
      </c>
      <c r="D40" t="s">
        <v>2498</v>
      </c>
    </row>
    <row r="41" spans="1:4" x14ac:dyDescent="0.35">
      <c r="A41" t="s">
        <v>2499</v>
      </c>
      <c r="B41" t="s">
        <v>2500</v>
      </c>
      <c r="C41" t="s">
        <v>34</v>
      </c>
      <c r="D41" t="s">
        <v>2501</v>
      </c>
    </row>
    <row r="42" spans="1:4" x14ac:dyDescent="0.35">
      <c r="A42" t="s">
        <v>2502</v>
      </c>
      <c r="B42" t="s">
        <v>2503</v>
      </c>
      <c r="C42" t="s">
        <v>35</v>
      </c>
      <c r="D42" t="s">
        <v>2504</v>
      </c>
    </row>
    <row r="43" spans="1:4" x14ac:dyDescent="0.35">
      <c r="A43" t="s">
        <v>2505</v>
      </c>
      <c r="B43" t="s">
        <v>2506</v>
      </c>
      <c r="C43" t="s">
        <v>36</v>
      </c>
      <c r="D43" t="s">
        <v>2507</v>
      </c>
    </row>
    <row r="44" spans="1:4" x14ac:dyDescent="0.35">
      <c r="A44" t="s">
        <v>2508</v>
      </c>
      <c r="B44" t="s">
        <v>2509</v>
      </c>
      <c r="C44" t="s">
        <v>37</v>
      </c>
      <c r="D44" t="s">
        <v>2510</v>
      </c>
    </row>
    <row r="45" spans="1:4" x14ac:dyDescent="0.35">
      <c r="A45" t="s">
        <v>2511</v>
      </c>
      <c r="B45" t="s">
        <v>2512</v>
      </c>
      <c r="C45" t="s">
        <v>38</v>
      </c>
      <c r="D45" t="s">
        <v>2513</v>
      </c>
    </row>
    <row r="46" spans="1:4" x14ac:dyDescent="0.35">
      <c r="A46" t="s">
        <v>2514</v>
      </c>
      <c r="B46" t="s">
        <v>2515</v>
      </c>
      <c r="C46" t="s">
        <v>39</v>
      </c>
      <c r="D46" t="s">
        <v>2516</v>
      </c>
    </row>
    <row r="47" spans="1:4" x14ac:dyDescent="0.35">
      <c r="A47" t="s">
        <v>2517</v>
      </c>
      <c r="B47" t="s">
        <v>2518</v>
      </c>
      <c r="C47" t="s">
        <v>47</v>
      </c>
      <c r="D47" t="s">
        <v>2519</v>
      </c>
    </row>
    <row r="48" spans="1:4" x14ac:dyDescent="0.35">
      <c r="A48" t="s">
        <v>2520</v>
      </c>
      <c r="B48" t="s">
        <v>2521</v>
      </c>
      <c r="C48" t="s">
        <v>40</v>
      </c>
      <c r="D48" t="s">
        <v>2522</v>
      </c>
    </row>
    <row r="49" spans="1:4" x14ac:dyDescent="0.35">
      <c r="A49" t="s">
        <v>2523</v>
      </c>
      <c r="B49" t="s">
        <v>2524</v>
      </c>
      <c r="C49" t="s">
        <v>41</v>
      </c>
      <c r="D49" t="s">
        <v>2525</v>
      </c>
    </row>
    <row r="50" spans="1:4" x14ac:dyDescent="0.35">
      <c r="A50" t="s">
        <v>2526</v>
      </c>
      <c r="B50" t="s">
        <v>2527</v>
      </c>
      <c r="C50" t="s">
        <v>42</v>
      </c>
      <c r="D50" t="s">
        <v>2528</v>
      </c>
    </row>
    <row r="51" spans="1:4" x14ac:dyDescent="0.35">
      <c r="A51" t="s">
        <v>2529</v>
      </c>
      <c r="B51" t="s">
        <v>2530</v>
      </c>
      <c r="C51" t="s">
        <v>42</v>
      </c>
      <c r="D51" t="s">
        <v>2531</v>
      </c>
    </row>
    <row r="52" spans="1:4" x14ac:dyDescent="0.35">
      <c r="A52" t="s">
        <v>2532</v>
      </c>
      <c r="B52" t="s">
        <v>2533</v>
      </c>
      <c r="C52" t="s">
        <v>43</v>
      </c>
      <c r="D52" t="s">
        <v>2534</v>
      </c>
    </row>
    <row r="53" spans="1:4" x14ac:dyDescent="0.35">
      <c r="A53" t="s">
        <v>2535</v>
      </c>
      <c r="B53" t="s">
        <v>2536</v>
      </c>
      <c r="C53" t="s">
        <v>44</v>
      </c>
      <c r="D53" t="s">
        <v>2537</v>
      </c>
    </row>
    <row r="54" spans="1:4" x14ac:dyDescent="0.35">
      <c r="A54" t="s">
        <v>2538</v>
      </c>
      <c r="B54" t="s">
        <v>2539</v>
      </c>
      <c r="C54" t="s">
        <v>44</v>
      </c>
      <c r="D54" t="s">
        <v>2540</v>
      </c>
    </row>
    <row r="55" spans="1:4" x14ac:dyDescent="0.35">
      <c r="A55" t="s">
        <v>2541</v>
      </c>
      <c r="B55" t="s">
        <v>2542</v>
      </c>
      <c r="C55" t="s">
        <v>45</v>
      </c>
      <c r="D55" t="s">
        <v>2543</v>
      </c>
    </row>
    <row r="56" spans="1:4" x14ac:dyDescent="0.35">
      <c r="A56" t="s">
        <v>2544</v>
      </c>
      <c r="B56" t="s">
        <v>2545</v>
      </c>
      <c r="C56" t="s">
        <v>46</v>
      </c>
      <c r="D56" t="s">
        <v>2546</v>
      </c>
    </row>
    <row r="57" spans="1:4" x14ac:dyDescent="0.35">
      <c r="A57" t="s">
        <v>2547</v>
      </c>
      <c r="B57" t="s">
        <v>2548</v>
      </c>
      <c r="C57" t="s">
        <v>49</v>
      </c>
      <c r="D57" t="s">
        <v>2549</v>
      </c>
    </row>
    <row r="58" spans="1:4" x14ac:dyDescent="0.35">
      <c r="A58" t="s">
        <v>2550</v>
      </c>
      <c r="B58" t="s">
        <v>2551</v>
      </c>
      <c r="C58" t="s">
        <v>49</v>
      </c>
      <c r="D58" t="s">
        <v>2552</v>
      </c>
    </row>
    <row r="59" spans="1:4" x14ac:dyDescent="0.35">
      <c r="A59" t="s">
        <v>2553</v>
      </c>
      <c r="B59" t="s">
        <v>2554</v>
      </c>
      <c r="C59" t="s">
        <v>50</v>
      </c>
      <c r="D59" t="s">
        <v>2555</v>
      </c>
    </row>
    <row r="60" spans="1:4" x14ac:dyDescent="0.35">
      <c r="A60" t="s">
        <v>2556</v>
      </c>
      <c r="B60" t="s">
        <v>2557</v>
      </c>
      <c r="C60" t="s">
        <v>51</v>
      </c>
      <c r="D60" t="s">
        <v>2558</v>
      </c>
    </row>
    <row r="61" spans="1:4" x14ac:dyDescent="0.35">
      <c r="A61" t="s">
        <v>2559</v>
      </c>
      <c r="B61" t="s">
        <v>2560</v>
      </c>
      <c r="C61" t="s">
        <v>52</v>
      </c>
      <c r="D61" t="s">
        <v>2561</v>
      </c>
    </row>
    <row r="62" spans="1:4" x14ac:dyDescent="0.35">
      <c r="A62" t="s">
        <v>2562</v>
      </c>
      <c r="B62" t="s">
        <v>2563</v>
      </c>
      <c r="C62" t="s">
        <v>52</v>
      </c>
      <c r="D62" t="s">
        <v>2564</v>
      </c>
    </row>
    <row r="63" spans="1:4" x14ac:dyDescent="0.35">
      <c r="A63" t="s">
        <v>2565</v>
      </c>
      <c r="B63" t="s">
        <v>2566</v>
      </c>
      <c r="C63" t="s">
        <v>52</v>
      </c>
      <c r="D63" t="s">
        <v>2567</v>
      </c>
    </row>
    <row r="64" spans="1:4" x14ac:dyDescent="0.35">
      <c r="A64" t="s">
        <v>2568</v>
      </c>
      <c r="B64" t="s">
        <v>2569</v>
      </c>
      <c r="C64" t="s">
        <v>48</v>
      </c>
      <c r="D64" t="s">
        <v>2570</v>
      </c>
    </row>
    <row r="65" spans="1:4" x14ac:dyDescent="0.35">
      <c r="A65" t="s">
        <v>2571</v>
      </c>
      <c r="B65" t="s">
        <v>2572</v>
      </c>
      <c r="C65" t="s">
        <v>53</v>
      </c>
      <c r="D65" t="s">
        <v>2573</v>
      </c>
    </row>
    <row r="66" spans="1:4" x14ac:dyDescent="0.35">
      <c r="A66" t="s">
        <v>2574</v>
      </c>
      <c r="B66" t="s">
        <v>2575</v>
      </c>
      <c r="C66" t="s">
        <v>54</v>
      </c>
      <c r="D66" t="s">
        <v>2576</v>
      </c>
    </row>
    <row r="67" spans="1:4" x14ac:dyDescent="0.35">
      <c r="A67" t="s">
        <v>2577</v>
      </c>
      <c r="B67" t="s">
        <v>2578</v>
      </c>
      <c r="C67" t="s">
        <v>55</v>
      </c>
      <c r="D67" t="s">
        <v>2579</v>
      </c>
    </row>
    <row r="68" spans="1:4" x14ac:dyDescent="0.35">
      <c r="A68" t="s">
        <v>2580</v>
      </c>
      <c r="B68" t="s">
        <v>2581</v>
      </c>
      <c r="C68" t="s">
        <v>56</v>
      </c>
      <c r="D68" t="s">
        <v>2582</v>
      </c>
    </row>
    <row r="69" spans="1:4" x14ac:dyDescent="0.35">
      <c r="A69" t="s">
        <v>2583</v>
      </c>
      <c r="B69" t="s">
        <v>2584</v>
      </c>
      <c r="C69" t="s">
        <v>57</v>
      </c>
      <c r="D69" t="s">
        <v>2585</v>
      </c>
    </row>
    <row r="70" spans="1:4" x14ac:dyDescent="0.35">
      <c r="A70" t="s">
        <v>2586</v>
      </c>
      <c r="B70" t="s">
        <v>2587</v>
      </c>
      <c r="C70" t="s">
        <v>57</v>
      </c>
      <c r="D70" t="s">
        <v>2588</v>
      </c>
    </row>
    <row r="71" spans="1:4" x14ac:dyDescent="0.35">
      <c r="A71" t="s">
        <v>2589</v>
      </c>
      <c r="B71" t="s">
        <v>2590</v>
      </c>
      <c r="C71" t="s">
        <v>57</v>
      </c>
      <c r="D71" t="s">
        <v>2591</v>
      </c>
    </row>
    <row r="72" spans="1:4" x14ac:dyDescent="0.35">
      <c r="A72" t="s">
        <v>2592</v>
      </c>
      <c r="B72" t="s">
        <v>2593</v>
      </c>
      <c r="C72" t="s">
        <v>58</v>
      </c>
      <c r="D72" t="s">
        <v>2594</v>
      </c>
    </row>
    <row r="73" spans="1:4" x14ac:dyDescent="0.35">
      <c r="A73" t="s">
        <v>2595</v>
      </c>
      <c r="B73" t="s">
        <v>2596</v>
      </c>
      <c r="C73" t="s">
        <v>59</v>
      </c>
      <c r="D73" t="s">
        <v>2597</v>
      </c>
    </row>
    <row r="74" spans="1:4" x14ac:dyDescent="0.35">
      <c r="A74" t="s">
        <v>2598</v>
      </c>
      <c r="B74" t="s">
        <v>2599</v>
      </c>
      <c r="C74" t="s">
        <v>59</v>
      </c>
      <c r="D74" t="s">
        <v>2600</v>
      </c>
    </row>
    <row r="75" spans="1:4" x14ac:dyDescent="0.35">
      <c r="A75" t="s">
        <v>2601</v>
      </c>
      <c r="B75" t="s">
        <v>2602</v>
      </c>
      <c r="C75" t="s">
        <v>60</v>
      </c>
      <c r="D75" t="s">
        <v>2603</v>
      </c>
    </row>
    <row r="76" spans="1:4" x14ac:dyDescent="0.35">
      <c r="A76" t="s">
        <v>2604</v>
      </c>
      <c r="B76" t="s">
        <v>2605</v>
      </c>
      <c r="C76" t="s">
        <v>61</v>
      </c>
      <c r="D76" t="s">
        <v>2606</v>
      </c>
    </row>
    <row r="77" spans="1:4" x14ac:dyDescent="0.35">
      <c r="A77" t="s">
        <v>2607</v>
      </c>
      <c r="B77" t="s">
        <v>2608</v>
      </c>
      <c r="C77" t="s">
        <v>62</v>
      </c>
      <c r="D77" t="s">
        <v>2609</v>
      </c>
    </row>
    <row r="78" spans="1:4" x14ac:dyDescent="0.35">
      <c r="A78" t="s">
        <v>2610</v>
      </c>
      <c r="B78" t="s">
        <v>2611</v>
      </c>
      <c r="C78" t="s">
        <v>62</v>
      </c>
      <c r="D78" t="s">
        <v>2612</v>
      </c>
    </row>
    <row r="79" spans="1:4" x14ac:dyDescent="0.35">
      <c r="A79" t="s">
        <v>2613</v>
      </c>
      <c r="B79" t="s">
        <v>2614</v>
      </c>
      <c r="C79" t="s">
        <v>63</v>
      </c>
      <c r="D79" t="s">
        <v>2615</v>
      </c>
    </row>
    <row r="80" spans="1:4" x14ac:dyDescent="0.35">
      <c r="A80" t="s">
        <v>2616</v>
      </c>
      <c r="B80" t="s">
        <v>2617</v>
      </c>
      <c r="C80" t="s">
        <v>64</v>
      </c>
      <c r="D80" t="s">
        <v>2618</v>
      </c>
    </row>
    <row r="81" spans="1:4" x14ac:dyDescent="0.35">
      <c r="A81" t="s">
        <v>2619</v>
      </c>
      <c r="B81" t="s">
        <v>2620</v>
      </c>
      <c r="C81" t="s">
        <v>65</v>
      </c>
      <c r="D81" t="s">
        <v>2621</v>
      </c>
    </row>
    <row r="82" spans="1:4" x14ac:dyDescent="0.35">
      <c r="A82" t="s">
        <v>2622</v>
      </c>
      <c r="B82" t="s">
        <v>2623</v>
      </c>
      <c r="C82" t="s">
        <v>66</v>
      </c>
      <c r="D82" t="s">
        <v>2624</v>
      </c>
    </row>
    <row r="83" spans="1:4" x14ac:dyDescent="0.35">
      <c r="A83" t="s">
        <v>2625</v>
      </c>
      <c r="B83" t="s">
        <v>2626</v>
      </c>
      <c r="C83" t="s">
        <v>70</v>
      </c>
      <c r="D83" t="s">
        <v>2627</v>
      </c>
    </row>
    <row r="84" spans="1:4" x14ac:dyDescent="0.35">
      <c r="A84" t="s">
        <v>2628</v>
      </c>
      <c r="B84" t="s">
        <v>2629</v>
      </c>
      <c r="C84" t="s">
        <v>67</v>
      </c>
      <c r="D84" t="s">
        <v>2630</v>
      </c>
    </row>
    <row r="85" spans="1:4" x14ac:dyDescent="0.35">
      <c r="A85" t="s">
        <v>2631</v>
      </c>
      <c r="B85" t="s">
        <v>2632</v>
      </c>
      <c r="C85" t="s">
        <v>68</v>
      </c>
      <c r="D85" t="s">
        <v>2633</v>
      </c>
    </row>
    <row r="86" spans="1:4" x14ac:dyDescent="0.35">
      <c r="A86" t="s">
        <v>2634</v>
      </c>
      <c r="B86" t="s">
        <v>2635</v>
      </c>
      <c r="C86" t="s">
        <v>69</v>
      </c>
      <c r="D86" t="s">
        <v>2636</v>
      </c>
    </row>
    <row r="87" spans="1:4" x14ac:dyDescent="0.35">
      <c r="A87" t="s">
        <v>2637</v>
      </c>
      <c r="B87" t="s">
        <v>2638</v>
      </c>
      <c r="C87" t="s">
        <v>71</v>
      </c>
      <c r="D87" t="s">
        <v>2639</v>
      </c>
    </row>
    <row r="88" spans="1:4" x14ac:dyDescent="0.35">
      <c r="A88" t="s">
        <v>2640</v>
      </c>
      <c r="B88" t="s">
        <v>2641</v>
      </c>
      <c r="C88" t="s">
        <v>72</v>
      </c>
      <c r="D88" t="s">
        <v>2642</v>
      </c>
    </row>
    <row r="89" spans="1:4" x14ac:dyDescent="0.35">
      <c r="A89" t="s">
        <v>2643</v>
      </c>
      <c r="B89" t="s">
        <v>2644</v>
      </c>
      <c r="C89" t="s">
        <v>73</v>
      </c>
      <c r="D89" t="s">
        <v>2645</v>
      </c>
    </row>
    <row r="90" spans="1:4" x14ac:dyDescent="0.35">
      <c r="A90" t="s">
        <v>2646</v>
      </c>
      <c r="B90" t="s">
        <v>2647</v>
      </c>
      <c r="C90" t="s">
        <v>74</v>
      </c>
      <c r="D90" t="s">
        <v>2648</v>
      </c>
    </row>
    <row r="91" spans="1:4" x14ac:dyDescent="0.35">
      <c r="A91" t="s">
        <v>2649</v>
      </c>
      <c r="B91" t="s">
        <v>2650</v>
      </c>
      <c r="C91" t="s">
        <v>75</v>
      </c>
      <c r="D91" t="s">
        <v>2651</v>
      </c>
    </row>
    <row r="92" spans="1:4" x14ac:dyDescent="0.35">
      <c r="A92" t="s">
        <v>2652</v>
      </c>
      <c r="B92" t="s">
        <v>2653</v>
      </c>
      <c r="C92" t="s">
        <v>76</v>
      </c>
      <c r="D92" t="s">
        <v>2654</v>
      </c>
    </row>
    <row r="93" spans="1:4" x14ac:dyDescent="0.35">
      <c r="A93" t="s">
        <v>2655</v>
      </c>
      <c r="B93" t="s">
        <v>2656</v>
      </c>
      <c r="C93" t="s">
        <v>77</v>
      </c>
      <c r="D93" t="s">
        <v>2657</v>
      </c>
    </row>
    <row r="94" spans="1:4" x14ac:dyDescent="0.35">
      <c r="A94" t="s">
        <v>2658</v>
      </c>
      <c r="B94" t="s">
        <v>2659</v>
      </c>
      <c r="C94" t="s">
        <v>78</v>
      </c>
      <c r="D94" t="s">
        <v>2660</v>
      </c>
    </row>
    <row r="95" spans="1:4" x14ac:dyDescent="0.35">
      <c r="A95" t="s">
        <v>2661</v>
      </c>
      <c r="B95" t="s">
        <v>2662</v>
      </c>
      <c r="C95" t="s">
        <v>79</v>
      </c>
      <c r="D95" t="s">
        <v>2663</v>
      </c>
    </row>
    <row r="96" spans="1:4" x14ac:dyDescent="0.35">
      <c r="A96" t="s">
        <v>2664</v>
      </c>
      <c r="B96" t="s">
        <v>2665</v>
      </c>
      <c r="C96" t="s">
        <v>80</v>
      </c>
      <c r="D96" t="s">
        <v>2666</v>
      </c>
    </row>
    <row r="97" spans="1:4" x14ac:dyDescent="0.35">
      <c r="A97" t="s">
        <v>2667</v>
      </c>
      <c r="B97" t="s">
        <v>2668</v>
      </c>
      <c r="C97" t="s">
        <v>81</v>
      </c>
      <c r="D97" t="s">
        <v>2669</v>
      </c>
    </row>
    <row r="98" spans="1:4" x14ac:dyDescent="0.35">
      <c r="A98" t="s">
        <v>2670</v>
      </c>
      <c r="B98" t="s">
        <v>2671</v>
      </c>
      <c r="C98" t="s">
        <v>82</v>
      </c>
      <c r="D98" t="s">
        <v>2672</v>
      </c>
    </row>
    <row r="99" spans="1:4" x14ac:dyDescent="0.35">
      <c r="A99" t="s">
        <v>2673</v>
      </c>
      <c r="B99" t="s">
        <v>2674</v>
      </c>
      <c r="C99" t="s">
        <v>83</v>
      </c>
      <c r="D99" t="s">
        <v>2675</v>
      </c>
    </row>
    <row r="100" spans="1:4" x14ac:dyDescent="0.35">
      <c r="A100" t="s">
        <v>2676</v>
      </c>
      <c r="B100" t="s">
        <v>2677</v>
      </c>
      <c r="C100" t="s">
        <v>84</v>
      </c>
      <c r="D100" t="s">
        <v>2678</v>
      </c>
    </row>
    <row r="101" spans="1:4" x14ac:dyDescent="0.35">
      <c r="A101" t="s">
        <v>2679</v>
      </c>
      <c r="B101" t="s">
        <v>2680</v>
      </c>
      <c r="C101" t="s">
        <v>85</v>
      </c>
      <c r="D101" t="s">
        <v>2681</v>
      </c>
    </row>
    <row r="102" spans="1:4" x14ac:dyDescent="0.35">
      <c r="A102" t="s">
        <v>2682</v>
      </c>
      <c r="B102" t="s">
        <v>2683</v>
      </c>
      <c r="C102" t="s">
        <v>86</v>
      </c>
      <c r="D102" t="s">
        <v>2684</v>
      </c>
    </row>
    <row r="103" spans="1:4" x14ac:dyDescent="0.35">
      <c r="A103" t="s">
        <v>2685</v>
      </c>
      <c r="B103" t="s">
        <v>2686</v>
      </c>
      <c r="C103" t="s">
        <v>87</v>
      </c>
      <c r="D103" t="s">
        <v>2687</v>
      </c>
    </row>
    <row r="104" spans="1:4" x14ac:dyDescent="0.35">
      <c r="A104" t="s">
        <v>2688</v>
      </c>
      <c r="B104" t="s">
        <v>2689</v>
      </c>
      <c r="C104" t="s">
        <v>88</v>
      </c>
      <c r="D104" t="s">
        <v>2690</v>
      </c>
    </row>
    <row r="105" spans="1:4" x14ac:dyDescent="0.35">
      <c r="A105" t="s">
        <v>2691</v>
      </c>
      <c r="B105" t="s">
        <v>2692</v>
      </c>
      <c r="C105" t="s">
        <v>89</v>
      </c>
      <c r="D105" t="s">
        <v>2693</v>
      </c>
    </row>
    <row r="106" spans="1:4" x14ac:dyDescent="0.35">
      <c r="A106" t="s">
        <v>2694</v>
      </c>
      <c r="B106" t="s">
        <v>2695</v>
      </c>
      <c r="C106" t="s">
        <v>90</v>
      </c>
      <c r="D106" t="s">
        <v>2696</v>
      </c>
    </row>
    <row r="107" spans="1:4" x14ac:dyDescent="0.35">
      <c r="A107" t="s">
        <v>2697</v>
      </c>
      <c r="B107" t="s">
        <v>2698</v>
      </c>
      <c r="C107" t="s">
        <v>91</v>
      </c>
      <c r="D107" t="s">
        <v>2699</v>
      </c>
    </row>
    <row r="108" spans="1:4" x14ac:dyDescent="0.35">
      <c r="A108" t="s">
        <v>2700</v>
      </c>
      <c r="B108" t="s">
        <v>2701</v>
      </c>
      <c r="C108" t="s">
        <v>92</v>
      </c>
      <c r="D108" t="s">
        <v>2702</v>
      </c>
    </row>
    <row r="109" spans="1:4" x14ac:dyDescent="0.35">
      <c r="A109" t="s">
        <v>2703</v>
      </c>
      <c r="B109" t="s">
        <v>2704</v>
      </c>
      <c r="C109" t="s">
        <v>93</v>
      </c>
      <c r="D109" t="s">
        <v>2705</v>
      </c>
    </row>
    <row r="110" spans="1:4" x14ac:dyDescent="0.35">
      <c r="A110" t="s">
        <v>2706</v>
      </c>
      <c r="B110" t="s">
        <v>2707</v>
      </c>
      <c r="C110" t="s">
        <v>94</v>
      </c>
      <c r="D110" t="s">
        <v>2708</v>
      </c>
    </row>
    <row r="111" spans="1:4" x14ac:dyDescent="0.35">
      <c r="A111" t="s">
        <v>2709</v>
      </c>
      <c r="B111" t="s">
        <v>2710</v>
      </c>
      <c r="C111" t="s">
        <v>95</v>
      </c>
      <c r="D111" t="s">
        <v>2711</v>
      </c>
    </row>
    <row r="112" spans="1:4" x14ac:dyDescent="0.35">
      <c r="A112" t="s">
        <v>2712</v>
      </c>
      <c r="B112" t="s">
        <v>2713</v>
      </c>
      <c r="C112" t="s">
        <v>96</v>
      </c>
      <c r="D112" t="s">
        <v>2714</v>
      </c>
    </row>
    <row r="113" spans="1:4" x14ac:dyDescent="0.35">
      <c r="A113" t="s">
        <v>2715</v>
      </c>
      <c r="B113" t="s">
        <v>2716</v>
      </c>
      <c r="C113" t="s">
        <v>97</v>
      </c>
      <c r="D113" t="s">
        <v>2717</v>
      </c>
    </row>
    <row r="114" spans="1:4" x14ac:dyDescent="0.35">
      <c r="A114" t="s">
        <v>2718</v>
      </c>
      <c r="B114" t="s">
        <v>2719</v>
      </c>
      <c r="C114" t="s">
        <v>98</v>
      </c>
      <c r="D114" t="s">
        <v>2720</v>
      </c>
    </row>
    <row r="115" spans="1:4" x14ac:dyDescent="0.35">
      <c r="A115" t="s">
        <v>2721</v>
      </c>
      <c r="B115" t="s">
        <v>2722</v>
      </c>
      <c r="C115" t="s">
        <v>99</v>
      </c>
      <c r="D115" t="s">
        <v>2723</v>
      </c>
    </row>
    <row r="116" spans="1:4" x14ac:dyDescent="0.35">
      <c r="A116" t="s">
        <v>2724</v>
      </c>
      <c r="B116" t="s">
        <v>2725</v>
      </c>
      <c r="C116" t="s">
        <v>100</v>
      </c>
      <c r="D116" t="s">
        <v>2726</v>
      </c>
    </row>
    <row r="117" spans="1:4" x14ac:dyDescent="0.35">
      <c r="A117" t="s">
        <v>2727</v>
      </c>
      <c r="B117" t="s">
        <v>2728</v>
      </c>
      <c r="C117" t="s">
        <v>101</v>
      </c>
      <c r="D117" t="s">
        <v>2729</v>
      </c>
    </row>
    <row r="118" spans="1:4" x14ac:dyDescent="0.35">
      <c r="A118" t="s">
        <v>2730</v>
      </c>
      <c r="B118" t="s">
        <v>2731</v>
      </c>
      <c r="C118" t="s">
        <v>102</v>
      </c>
      <c r="D118" t="s">
        <v>2732</v>
      </c>
    </row>
    <row r="119" spans="1:4" x14ac:dyDescent="0.35">
      <c r="A119" t="s">
        <v>2733</v>
      </c>
      <c r="B119" t="s">
        <v>2734</v>
      </c>
      <c r="C119" t="s">
        <v>103</v>
      </c>
      <c r="D119" t="s">
        <v>2735</v>
      </c>
    </row>
    <row r="120" spans="1:4" x14ac:dyDescent="0.35">
      <c r="A120" t="s">
        <v>2736</v>
      </c>
      <c r="B120" t="s">
        <v>2737</v>
      </c>
      <c r="C120" t="s">
        <v>104</v>
      </c>
      <c r="D120" t="s">
        <v>2738</v>
      </c>
    </row>
    <row r="121" spans="1:4" x14ac:dyDescent="0.35">
      <c r="A121" t="s">
        <v>2739</v>
      </c>
      <c r="B121" t="s">
        <v>2740</v>
      </c>
      <c r="C121" t="s">
        <v>105</v>
      </c>
      <c r="D121" t="s">
        <v>2741</v>
      </c>
    </row>
    <row r="122" spans="1:4" x14ac:dyDescent="0.35">
      <c r="A122" t="s">
        <v>2742</v>
      </c>
      <c r="B122" t="s">
        <v>2743</v>
      </c>
      <c r="C122" t="s">
        <v>106</v>
      </c>
      <c r="D122" t="s">
        <v>2744</v>
      </c>
    </row>
    <row r="123" spans="1:4" x14ac:dyDescent="0.35">
      <c r="A123" t="s">
        <v>2745</v>
      </c>
      <c r="B123" t="s">
        <v>2746</v>
      </c>
      <c r="C123" t="s">
        <v>107</v>
      </c>
      <c r="D123" t="s">
        <v>2747</v>
      </c>
    </row>
    <row r="124" spans="1:4" x14ac:dyDescent="0.35">
      <c r="A124" t="s">
        <v>2748</v>
      </c>
      <c r="B124" t="s">
        <v>2749</v>
      </c>
      <c r="C124" t="s">
        <v>108</v>
      </c>
      <c r="D124" t="s">
        <v>2750</v>
      </c>
    </row>
    <row r="125" spans="1:4" x14ac:dyDescent="0.35">
      <c r="A125" t="s">
        <v>2751</v>
      </c>
      <c r="B125" t="s">
        <v>2752</v>
      </c>
      <c r="C125" t="s">
        <v>109</v>
      </c>
      <c r="D125" t="s">
        <v>2753</v>
      </c>
    </row>
    <row r="126" spans="1:4" x14ac:dyDescent="0.35">
      <c r="A126" t="s">
        <v>2754</v>
      </c>
      <c r="B126" t="s">
        <v>2755</v>
      </c>
      <c r="C126" t="s">
        <v>110</v>
      </c>
      <c r="D126" t="s">
        <v>2756</v>
      </c>
    </row>
    <row r="127" spans="1:4" x14ac:dyDescent="0.35">
      <c r="A127" t="s">
        <v>2757</v>
      </c>
      <c r="B127" t="s">
        <v>2758</v>
      </c>
      <c r="C127" t="s">
        <v>110</v>
      </c>
      <c r="D127" t="s">
        <v>2759</v>
      </c>
    </row>
    <row r="128" spans="1:4" x14ac:dyDescent="0.35">
      <c r="A128" t="s">
        <v>2760</v>
      </c>
      <c r="B128" t="s">
        <v>2761</v>
      </c>
      <c r="C128" t="s">
        <v>114</v>
      </c>
      <c r="D128" t="s">
        <v>2762</v>
      </c>
    </row>
    <row r="129" spans="1:4" x14ac:dyDescent="0.35">
      <c r="A129" t="s">
        <v>2763</v>
      </c>
      <c r="B129" t="s">
        <v>2764</v>
      </c>
      <c r="C129" t="s">
        <v>111</v>
      </c>
      <c r="D129" t="s">
        <v>2765</v>
      </c>
    </row>
    <row r="130" spans="1:4" x14ac:dyDescent="0.35">
      <c r="A130" t="s">
        <v>2766</v>
      </c>
      <c r="B130" t="s">
        <v>2767</v>
      </c>
      <c r="C130" t="s">
        <v>112</v>
      </c>
      <c r="D130" t="s">
        <v>2768</v>
      </c>
    </row>
    <row r="131" spans="1:4" x14ac:dyDescent="0.35">
      <c r="A131" t="s">
        <v>2769</v>
      </c>
      <c r="B131" t="s">
        <v>2770</v>
      </c>
      <c r="C131" t="s">
        <v>113</v>
      </c>
      <c r="D131" t="s">
        <v>2771</v>
      </c>
    </row>
    <row r="132" spans="1:4" x14ac:dyDescent="0.35">
      <c r="A132" t="s">
        <v>2772</v>
      </c>
      <c r="B132" t="s">
        <v>2773</v>
      </c>
      <c r="C132" t="s">
        <v>115</v>
      </c>
      <c r="D132" t="s">
        <v>2774</v>
      </c>
    </row>
    <row r="133" spans="1:4" x14ac:dyDescent="0.35">
      <c r="A133" t="s">
        <v>2775</v>
      </c>
      <c r="B133" t="s">
        <v>2776</v>
      </c>
      <c r="C133" t="s">
        <v>116</v>
      </c>
      <c r="D133" t="s">
        <v>2777</v>
      </c>
    </row>
    <row r="134" spans="1:4" x14ac:dyDescent="0.35">
      <c r="A134" t="s">
        <v>2778</v>
      </c>
      <c r="B134" t="s">
        <v>2779</v>
      </c>
      <c r="C134" t="s">
        <v>117</v>
      </c>
      <c r="D134" t="s">
        <v>2780</v>
      </c>
    </row>
    <row r="135" spans="1:4" x14ac:dyDescent="0.35">
      <c r="A135" t="s">
        <v>2781</v>
      </c>
      <c r="B135" t="s">
        <v>2782</v>
      </c>
      <c r="C135" t="s">
        <v>118</v>
      </c>
      <c r="D135" t="s">
        <v>2783</v>
      </c>
    </row>
    <row r="136" spans="1:4" x14ac:dyDescent="0.35">
      <c r="A136" t="s">
        <v>2784</v>
      </c>
      <c r="B136" t="s">
        <v>2785</v>
      </c>
      <c r="C136" t="s">
        <v>119</v>
      </c>
      <c r="D136" t="s">
        <v>2786</v>
      </c>
    </row>
    <row r="137" spans="1:4" x14ac:dyDescent="0.35">
      <c r="A137" t="s">
        <v>2787</v>
      </c>
      <c r="B137" t="s">
        <v>2788</v>
      </c>
      <c r="C137" t="s">
        <v>120</v>
      </c>
      <c r="D137" t="s">
        <v>2789</v>
      </c>
    </row>
    <row r="138" spans="1:4" x14ac:dyDescent="0.35">
      <c r="A138" t="s">
        <v>2790</v>
      </c>
      <c r="B138" t="s">
        <v>2791</v>
      </c>
      <c r="C138" t="s">
        <v>121</v>
      </c>
      <c r="D138" t="s">
        <v>2792</v>
      </c>
    </row>
    <row r="139" spans="1:4" x14ac:dyDescent="0.35">
      <c r="A139" t="s">
        <v>2793</v>
      </c>
      <c r="B139" t="s">
        <v>2794</v>
      </c>
      <c r="C139" t="s">
        <v>122</v>
      </c>
      <c r="D139" t="s">
        <v>2795</v>
      </c>
    </row>
    <row r="140" spans="1:4" x14ac:dyDescent="0.35">
      <c r="A140" t="s">
        <v>2796</v>
      </c>
      <c r="B140" t="s">
        <v>2797</v>
      </c>
      <c r="C140" t="s">
        <v>123</v>
      </c>
      <c r="D140" t="s">
        <v>2798</v>
      </c>
    </row>
    <row r="141" spans="1:4" x14ac:dyDescent="0.35">
      <c r="A141" t="s">
        <v>2799</v>
      </c>
      <c r="B141" t="s">
        <v>2800</v>
      </c>
      <c r="C141" t="s">
        <v>124</v>
      </c>
      <c r="D141" t="s">
        <v>2801</v>
      </c>
    </row>
    <row r="142" spans="1:4" x14ac:dyDescent="0.35">
      <c r="A142" t="s">
        <v>2802</v>
      </c>
      <c r="B142" t="s">
        <v>2803</v>
      </c>
      <c r="C142" t="s">
        <v>125</v>
      </c>
      <c r="D142" t="s">
        <v>2804</v>
      </c>
    </row>
    <row r="143" spans="1:4" x14ac:dyDescent="0.35">
      <c r="A143" t="s">
        <v>2805</v>
      </c>
      <c r="B143" t="s">
        <v>2806</v>
      </c>
      <c r="C143" t="s">
        <v>126</v>
      </c>
      <c r="D143" t="s">
        <v>2807</v>
      </c>
    </row>
    <row r="144" spans="1:4" x14ac:dyDescent="0.35">
      <c r="A144" t="s">
        <v>2808</v>
      </c>
      <c r="B144" t="s">
        <v>2809</v>
      </c>
      <c r="C144" t="s">
        <v>127</v>
      </c>
      <c r="D144" t="s">
        <v>2810</v>
      </c>
    </row>
    <row r="145" spans="1:4" x14ac:dyDescent="0.35">
      <c r="A145" t="s">
        <v>2811</v>
      </c>
      <c r="B145" t="s">
        <v>2812</v>
      </c>
      <c r="C145" t="s">
        <v>129</v>
      </c>
      <c r="D145" t="s">
        <v>2813</v>
      </c>
    </row>
    <row r="146" spans="1:4" x14ac:dyDescent="0.35">
      <c r="A146" t="s">
        <v>2814</v>
      </c>
      <c r="B146" t="s">
        <v>2815</v>
      </c>
      <c r="C146" t="s">
        <v>128</v>
      </c>
      <c r="D146" t="s">
        <v>2816</v>
      </c>
    </row>
    <row r="147" spans="1:4" x14ac:dyDescent="0.35">
      <c r="A147" t="s">
        <v>2817</v>
      </c>
      <c r="B147" t="s">
        <v>2818</v>
      </c>
      <c r="C147" t="s">
        <v>130</v>
      </c>
      <c r="D147" t="s">
        <v>2819</v>
      </c>
    </row>
    <row r="148" spans="1:4" x14ac:dyDescent="0.35">
      <c r="A148" t="s">
        <v>2820</v>
      </c>
      <c r="B148" t="s">
        <v>2821</v>
      </c>
      <c r="C148" t="s">
        <v>131</v>
      </c>
      <c r="D148" t="s">
        <v>2822</v>
      </c>
    </row>
    <row r="149" spans="1:4" x14ac:dyDescent="0.35">
      <c r="A149" t="s">
        <v>2823</v>
      </c>
      <c r="B149" t="s">
        <v>2824</v>
      </c>
      <c r="C149" t="s">
        <v>132</v>
      </c>
      <c r="D149" t="s">
        <v>2825</v>
      </c>
    </row>
    <row r="150" spans="1:4" x14ac:dyDescent="0.35">
      <c r="A150" t="s">
        <v>2826</v>
      </c>
      <c r="B150" t="s">
        <v>2827</v>
      </c>
      <c r="C150" t="s">
        <v>133</v>
      </c>
      <c r="D150" t="s">
        <v>2828</v>
      </c>
    </row>
    <row r="151" spans="1:4" x14ac:dyDescent="0.35">
      <c r="A151" t="s">
        <v>2829</v>
      </c>
      <c r="B151" t="s">
        <v>2830</v>
      </c>
      <c r="C151" t="s">
        <v>134</v>
      </c>
      <c r="D151" t="s">
        <v>2831</v>
      </c>
    </row>
    <row r="152" spans="1:4" x14ac:dyDescent="0.35">
      <c r="A152" t="s">
        <v>2832</v>
      </c>
      <c r="B152" t="s">
        <v>2833</v>
      </c>
      <c r="C152" t="s">
        <v>135</v>
      </c>
      <c r="D152" t="s">
        <v>2834</v>
      </c>
    </row>
    <row r="153" spans="1:4" x14ac:dyDescent="0.35">
      <c r="A153" t="s">
        <v>2835</v>
      </c>
      <c r="B153" t="s">
        <v>2836</v>
      </c>
      <c r="C153" t="s">
        <v>136</v>
      </c>
      <c r="D153" t="s">
        <v>2837</v>
      </c>
    </row>
    <row r="154" spans="1:4" x14ac:dyDescent="0.35">
      <c r="A154" t="s">
        <v>2838</v>
      </c>
      <c r="B154" t="s">
        <v>2839</v>
      </c>
      <c r="C154" t="s">
        <v>137</v>
      </c>
      <c r="D154" t="s">
        <v>2840</v>
      </c>
    </row>
    <row r="155" spans="1:4" x14ac:dyDescent="0.35">
      <c r="A155" t="s">
        <v>2841</v>
      </c>
      <c r="B155" t="s">
        <v>2842</v>
      </c>
      <c r="C155" t="s">
        <v>137</v>
      </c>
      <c r="D155" t="s">
        <v>2843</v>
      </c>
    </row>
    <row r="156" spans="1:4" x14ac:dyDescent="0.35">
      <c r="A156" t="s">
        <v>2844</v>
      </c>
      <c r="B156" t="s">
        <v>2845</v>
      </c>
      <c r="C156" t="s">
        <v>142</v>
      </c>
      <c r="D156" t="s">
        <v>2846</v>
      </c>
    </row>
    <row r="157" spans="1:4" x14ac:dyDescent="0.35">
      <c r="A157" t="s">
        <v>2847</v>
      </c>
      <c r="B157" t="s">
        <v>2848</v>
      </c>
      <c r="C157" t="s">
        <v>142</v>
      </c>
      <c r="D157" t="s">
        <v>2849</v>
      </c>
    </row>
    <row r="158" spans="1:4" x14ac:dyDescent="0.35">
      <c r="A158" t="s">
        <v>2850</v>
      </c>
      <c r="B158" t="s">
        <v>2851</v>
      </c>
      <c r="C158" t="s">
        <v>142</v>
      </c>
      <c r="D158" t="s">
        <v>2852</v>
      </c>
    </row>
    <row r="159" spans="1:4" x14ac:dyDescent="0.35">
      <c r="A159" t="s">
        <v>2853</v>
      </c>
      <c r="B159" t="s">
        <v>2854</v>
      </c>
      <c r="C159" t="s">
        <v>142</v>
      </c>
      <c r="D159" t="s">
        <v>2855</v>
      </c>
    </row>
    <row r="160" spans="1:4" x14ac:dyDescent="0.35">
      <c r="A160" t="s">
        <v>2856</v>
      </c>
      <c r="B160" t="s">
        <v>2857</v>
      </c>
      <c r="C160" t="s">
        <v>143</v>
      </c>
      <c r="D160" t="s">
        <v>2858</v>
      </c>
    </row>
    <row r="161" spans="1:4" x14ac:dyDescent="0.35">
      <c r="A161" t="s">
        <v>2859</v>
      </c>
      <c r="B161" t="s">
        <v>2860</v>
      </c>
      <c r="C161" t="s">
        <v>138</v>
      </c>
      <c r="D161" t="s">
        <v>2861</v>
      </c>
    </row>
    <row r="162" spans="1:4" x14ac:dyDescent="0.35">
      <c r="A162" t="s">
        <v>2862</v>
      </c>
      <c r="B162" t="s">
        <v>2863</v>
      </c>
      <c r="C162" t="s">
        <v>144</v>
      </c>
      <c r="D162" t="s">
        <v>2864</v>
      </c>
    </row>
    <row r="163" spans="1:4" x14ac:dyDescent="0.35">
      <c r="A163" t="s">
        <v>2865</v>
      </c>
      <c r="B163" t="s">
        <v>2866</v>
      </c>
      <c r="C163" t="s">
        <v>139</v>
      </c>
      <c r="D163" t="s">
        <v>2867</v>
      </c>
    </row>
    <row r="164" spans="1:4" x14ac:dyDescent="0.35">
      <c r="A164" t="s">
        <v>2868</v>
      </c>
      <c r="B164" t="s">
        <v>2869</v>
      </c>
      <c r="C164" t="s">
        <v>140</v>
      </c>
      <c r="D164" t="s">
        <v>2870</v>
      </c>
    </row>
    <row r="165" spans="1:4" x14ac:dyDescent="0.35">
      <c r="A165" t="s">
        <v>2871</v>
      </c>
      <c r="B165" t="s">
        <v>2872</v>
      </c>
      <c r="C165" t="s">
        <v>141</v>
      </c>
      <c r="D165" t="s">
        <v>2873</v>
      </c>
    </row>
    <row r="166" spans="1:4" x14ac:dyDescent="0.35">
      <c r="A166" t="s">
        <v>2874</v>
      </c>
      <c r="B166" t="s">
        <v>2875</v>
      </c>
      <c r="C166" t="s">
        <v>145</v>
      </c>
      <c r="D166" t="s">
        <v>2876</v>
      </c>
    </row>
    <row r="167" spans="1:4" x14ac:dyDescent="0.35">
      <c r="A167" t="s">
        <v>2877</v>
      </c>
      <c r="B167" t="s">
        <v>2878</v>
      </c>
      <c r="C167" t="s">
        <v>146</v>
      </c>
      <c r="D167" t="s">
        <v>2879</v>
      </c>
    </row>
    <row r="168" spans="1:4" x14ac:dyDescent="0.35">
      <c r="A168" t="s">
        <v>2880</v>
      </c>
      <c r="B168" t="s">
        <v>2881</v>
      </c>
      <c r="C168" t="s">
        <v>147</v>
      </c>
      <c r="D168" t="s">
        <v>2882</v>
      </c>
    </row>
    <row r="169" spans="1:4" x14ac:dyDescent="0.35">
      <c r="A169" t="s">
        <v>2883</v>
      </c>
      <c r="B169" t="s">
        <v>2884</v>
      </c>
      <c r="C169" t="s">
        <v>148</v>
      </c>
      <c r="D169" t="s">
        <v>2885</v>
      </c>
    </row>
    <row r="170" spans="1:4" x14ac:dyDescent="0.35">
      <c r="A170" t="s">
        <v>2886</v>
      </c>
      <c r="B170" t="s">
        <v>2887</v>
      </c>
      <c r="C170" t="s">
        <v>149</v>
      </c>
      <c r="D170" t="s">
        <v>2888</v>
      </c>
    </row>
    <row r="171" spans="1:4" x14ac:dyDescent="0.35">
      <c r="A171" t="s">
        <v>2889</v>
      </c>
      <c r="B171" t="s">
        <v>2890</v>
      </c>
      <c r="C171" t="s">
        <v>150</v>
      </c>
      <c r="D171" t="s">
        <v>2891</v>
      </c>
    </row>
    <row r="172" spans="1:4" x14ac:dyDescent="0.35">
      <c r="A172" t="s">
        <v>2892</v>
      </c>
      <c r="B172" t="s">
        <v>2893</v>
      </c>
      <c r="C172" t="s">
        <v>151</v>
      </c>
      <c r="D172" t="s">
        <v>2894</v>
      </c>
    </row>
    <row r="173" spans="1:4" x14ac:dyDescent="0.35">
      <c r="A173" t="s">
        <v>2895</v>
      </c>
      <c r="B173" t="s">
        <v>2896</v>
      </c>
      <c r="C173" t="s">
        <v>151</v>
      </c>
      <c r="D173" t="s">
        <v>2897</v>
      </c>
    </row>
    <row r="174" spans="1:4" x14ac:dyDescent="0.35">
      <c r="A174" t="s">
        <v>2898</v>
      </c>
      <c r="B174" t="s">
        <v>2899</v>
      </c>
      <c r="C174" t="s">
        <v>152</v>
      </c>
      <c r="D174" t="s">
        <v>2900</v>
      </c>
    </row>
    <row r="175" spans="1:4" x14ac:dyDescent="0.35">
      <c r="A175" t="s">
        <v>2901</v>
      </c>
      <c r="B175" t="s">
        <v>2902</v>
      </c>
      <c r="C175" t="s">
        <v>153</v>
      </c>
      <c r="D175" t="s">
        <v>2903</v>
      </c>
    </row>
    <row r="176" spans="1:4" x14ac:dyDescent="0.35">
      <c r="A176" t="s">
        <v>2904</v>
      </c>
      <c r="B176" t="s">
        <v>2905</v>
      </c>
      <c r="C176" t="s">
        <v>154</v>
      </c>
      <c r="D176" t="s">
        <v>2906</v>
      </c>
    </row>
    <row r="177" spans="1:4" x14ac:dyDescent="0.35">
      <c r="A177" t="s">
        <v>2907</v>
      </c>
      <c r="B177" t="s">
        <v>2908</v>
      </c>
      <c r="C177" t="s">
        <v>155</v>
      </c>
      <c r="D177" t="s">
        <v>2909</v>
      </c>
    </row>
    <row r="178" spans="1:4" x14ac:dyDescent="0.35">
      <c r="A178" t="s">
        <v>2910</v>
      </c>
      <c r="B178" t="s">
        <v>2911</v>
      </c>
      <c r="C178" t="s">
        <v>156</v>
      </c>
      <c r="D178" t="s">
        <v>2912</v>
      </c>
    </row>
    <row r="179" spans="1:4" x14ac:dyDescent="0.35">
      <c r="A179" t="s">
        <v>2913</v>
      </c>
      <c r="B179" t="s">
        <v>2914</v>
      </c>
      <c r="C179" t="s">
        <v>157</v>
      </c>
      <c r="D179" t="s">
        <v>2915</v>
      </c>
    </row>
    <row r="180" spans="1:4" x14ac:dyDescent="0.35">
      <c r="A180" t="s">
        <v>2916</v>
      </c>
      <c r="B180" t="s">
        <v>2917</v>
      </c>
      <c r="C180" t="s">
        <v>158</v>
      </c>
      <c r="D180" t="s">
        <v>2918</v>
      </c>
    </row>
    <row r="181" spans="1:4" x14ac:dyDescent="0.35">
      <c r="A181" t="s">
        <v>2919</v>
      </c>
      <c r="B181" t="s">
        <v>2920</v>
      </c>
      <c r="C181" t="s">
        <v>159</v>
      </c>
      <c r="D181" t="s">
        <v>2921</v>
      </c>
    </row>
    <row r="182" spans="1:4" x14ac:dyDescent="0.35">
      <c r="A182" t="s">
        <v>2922</v>
      </c>
      <c r="B182" t="s">
        <v>2923</v>
      </c>
      <c r="C182" t="s">
        <v>160</v>
      </c>
      <c r="D182" t="s">
        <v>2924</v>
      </c>
    </row>
    <row r="183" spans="1:4" x14ac:dyDescent="0.35">
      <c r="A183" t="s">
        <v>2925</v>
      </c>
      <c r="B183" t="s">
        <v>2926</v>
      </c>
      <c r="C183" t="s">
        <v>161</v>
      </c>
      <c r="D183" t="s">
        <v>2927</v>
      </c>
    </row>
    <row r="184" spans="1:4" x14ac:dyDescent="0.35">
      <c r="A184" t="s">
        <v>2928</v>
      </c>
      <c r="B184" t="s">
        <v>2929</v>
      </c>
      <c r="C184" t="s">
        <v>161</v>
      </c>
      <c r="D184" t="s">
        <v>2930</v>
      </c>
    </row>
    <row r="185" spans="1:4" x14ac:dyDescent="0.35">
      <c r="A185" t="s">
        <v>2931</v>
      </c>
      <c r="B185" t="s">
        <v>2932</v>
      </c>
      <c r="C185" t="s">
        <v>161</v>
      </c>
      <c r="D185" t="s">
        <v>2933</v>
      </c>
    </row>
    <row r="186" spans="1:4" x14ac:dyDescent="0.35">
      <c r="A186" t="s">
        <v>2934</v>
      </c>
      <c r="B186" t="s">
        <v>2935</v>
      </c>
      <c r="C186" t="s">
        <v>161</v>
      </c>
      <c r="D186" t="s">
        <v>2936</v>
      </c>
    </row>
    <row r="187" spans="1:4" x14ac:dyDescent="0.35">
      <c r="A187" t="s">
        <v>2937</v>
      </c>
      <c r="B187" t="s">
        <v>2938</v>
      </c>
      <c r="C187" t="s">
        <v>161</v>
      </c>
      <c r="D187" t="s">
        <v>2939</v>
      </c>
    </row>
    <row r="188" spans="1:4" x14ac:dyDescent="0.35">
      <c r="A188" t="s">
        <v>2940</v>
      </c>
      <c r="B188" t="s">
        <v>2941</v>
      </c>
      <c r="C188" t="s">
        <v>161</v>
      </c>
      <c r="D188" t="s">
        <v>2942</v>
      </c>
    </row>
    <row r="189" spans="1:4" x14ac:dyDescent="0.35">
      <c r="A189" t="s">
        <v>2943</v>
      </c>
      <c r="B189" t="s">
        <v>2944</v>
      </c>
      <c r="C189" t="s">
        <v>162</v>
      </c>
      <c r="D189" t="s">
        <v>2945</v>
      </c>
    </row>
    <row r="190" spans="1:4" x14ac:dyDescent="0.35">
      <c r="A190" t="s">
        <v>2946</v>
      </c>
      <c r="B190" t="s">
        <v>2947</v>
      </c>
      <c r="C190" t="s">
        <v>162</v>
      </c>
      <c r="D190" t="s">
        <v>2948</v>
      </c>
    </row>
    <row r="191" spans="1:4" x14ac:dyDescent="0.35">
      <c r="A191" t="s">
        <v>2949</v>
      </c>
      <c r="B191" t="s">
        <v>2950</v>
      </c>
      <c r="C191" t="s">
        <v>163</v>
      </c>
      <c r="D191" t="s">
        <v>2951</v>
      </c>
    </row>
    <row r="192" spans="1:4" x14ac:dyDescent="0.35">
      <c r="A192" t="s">
        <v>2952</v>
      </c>
      <c r="B192" t="s">
        <v>2953</v>
      </c>
      <c r="C192" t="s">
        <v>164</v>
      </c>
      <c r="D192" t="s">
        <v>2954</v>
      </c>
    </row>
    <row r="193" spans="1:4" x14ac:dyDescent="0.35">
      <c r="A193" t="s">
        <v>2955</v>
      </c>
      <c r="B193" t="s">
        <v>2956</v>
      </c>
      <c r="C193" t="s">
        <v>165</v>
      </c>
      <c r="D193" t="s">
        <v>2957</v>
      </c>
    </row>
    <row r="194" spans="1:4" x14ac:dyDescent="0.35">
      <c r="A194" t="s">
        <v>2958</v>
      </c>
      <c r="B194" t="s">
        <v>2959</v>
      </c>
      <c r="C194" t="s">
        <v>166</v>
      </c>
      <c r="D194" t="s">
        <v>2960</v>
      </c>
    </row>
    <row r="195" spans="1:4" x14ac:dyDescent="0.35">
      <c r="A195" t="s">
        <v>2961</v>
      </c>
      <c r="B195" t="s">
        <v>2962</v>
      </c>
      <c r="C195" t="s">
        <v>167</v>
      </c>
      <c r="D195" t="s">
        <v>2963</v>
      </c>
    </row>
    <row r="196" spans="1:4" x14ac:dyDescent="0.35">
      <c r="A196" t="s">
        <v>2964</v>
      </c>
      <c r="B196" t="s">
        <v>2965</v>
      </c>
      <c r="C196" t="s">
        <v>168</v>
      </c>
      <c r="D196" t="s">
        <v>2966</v>
      </c>
    </row>
    <row r="197" spans="1:4" x14ac:dyDescent="0.35">
      <c r="A197" t="s">
        <v>2967</v>
      </c>
      <c r="B197" t="s">
        <v>2968</v>
      </c>
      <c r="C197" t="s">
        <v>169</v>
      </c>
      <c r="D197" t="s">
        <v>2969</v>
      </c>
    </row>
    <row r="198" spans="1:4" x14ac:dyDescent="0.35">
      <c r="A198" t="s">
        <v>2970</v>
      </c>
      <c r="B198" t="s">
        <v>2971</v>
      </c>
      <c r="C198" t="s">
        <v>170</v>
      </c>
      <c r="D198" t="s">
        <v>2972</v>
      </c>
    </row>
    <row r="199" spans="1:4" x14ac:dyDescent="0.35">
      <c r="A199" t="s">
        <v>2973</v>
      </c>
      <c r="B199" t="s">
        <v>2974</v>
      </c>
      <c r="C199" t="s">
        <v>171</v>
      </c>
      <c r="D199" t="s">
        <v>2975</v>
      </c>
    </row>
    <row r="200" spans="1:4" x14ac:dyDescent="0.35">
      <c r="A200" t="s">
        <v>2976</v>
      </c>
      <c r="B200" t="s">
        <v>2977</v>
      </c>
      <c r="C200" t="s">
        <v>172</v>
      </c>
      <c r="D200" t="s">
        <v>2978</v>
      </c>
    </row>
    <row r="201" spans="1:4" x14ac:dyDescent="0.35">
      <c r="A201" t="s">
        <v>2979</v>
      </c>
      <c r="B201" t="s">
        <v>2980</v>
      </c>
      <c r="C201" t="s">
        <v>173</v>
      </c>
      <c r="D201" t="s">
        <v>2981</v>
      </c>
    </row>
    <row r="202" spans="1:4" x14ac:dyDescent="0.35">
      <c r="A202" t="s">
        <v>2982</v>
      </c>
      <c r="B202" t="s">
        <v>2983</v>
      </c>
      <c r="C202" t="s">
        <v>174</v>
      </c>
      <c r="D202" t="s">
        <v>2984</v>
      </c>
    </row>
    <row r="203" spans="1:4" x14ac:dyDescent="0.35">
      <c r="A203" t="s">
        <v>2985</v>
      </c>
      <c r="B203" t="s">
        <v>2986</v>
      </c>
      <c r="C203" t="s">
        <v>175</v>
      </c>
      <c r="D203" t="s">
        <v>2987</v>
      </c>
    </row>
    <row r="204" spans="1:4" x14ac:dyDescent="0.35">
      <c r="A204" t="s">
        <v>2988</v>
      </c>
      <c r="B204" t="s">
        <v>2989</v>
      </c>
      <c r="C204" t="s">
        <v>176</v>
      </c>
      <c r="D204" t="s">
        <v>2990</v>
      </c>
    </row>
    <row r="205" spans="1:4" x14ac:dyDescent="0.35">
      <c r="A205" t="s">
        <v>2991</v>
      </c>
      <c r="B205" t="s">
        <v>2992</v>
      </c>
      <c r="C205" t="s">
        <v>177</v>
      </c>
      <c r="D205" t="s">
        <v>2993</v>
      </c>
    </row>
    <row r="206" spans="1:4" x14ac:dyDescent="0.35">
      <c r="A206" t="s">
        <v>2994</v>
      </c>
      <c r="B206" t="s">
        <v>2995</v>
      </c>
      <c r="C206" t="s">
        <v>178</v>
      </c>
      <c r="D206" t="s">
        <v>2996</v>
      </c>
    </row>
    <row r="207" spans="1:4" x14ac:dyDescent="0.35">
      <c r="A207" t="s">
        <v>2997</v>
      </c>
      <c r="B207" t="s">
        <v>2818</v>
      </c>
      <c r="C207" t="s">
        <v>180</v>
      </c>
      <c r="D207" t="s">
        <v>2998</v>
      </c>
    </row>
    <row r="208" spans="1:4" x14ac:dyDescent="0.35">
      <c r="A208" t="s">
        <v>2999</v>
      </c>
      <c r="B208" t="s">
        <v>3000</v>
      </c>
      <c r="C208" t="s">
        <v>179</v>
      </c>
      <c r="D208" t="s">
        <v>3001</v>
      </c>
    </row>
    <row r="209" spans="1:4" x14ac:dyDescent="0.35">
      <c r="A209" t="s">
        <v>3002</v>
      </c>
      <c r="B209" t="s">
        <v>3003</v>
      </c>
      <c r="C209" t="s">
        <v>181</v>
      </c>
      <c r="D209" t="s">
        <v>3004</v>
      </c>
    </row>
    <row r="210" spans="1:4" x14ac:dyDescent="0.35">
      <c r="A210" t="s">
        <v>3005</v>
      </c>
      <c r="B210" t="s">
        <v>3006</v>
      </c>
      <c r="C210" t="s">
        <v>182</v>
      </c>
      <c r="D210" t="s">
        <v>3007</v>
      </c>
    </row>
    <row r="211" spans="1:4" x14ac:dyDescent="0.35">
      <c r="A211" t="s">
        <v>3008</v>
      </c>
      <c r="B211" t="s">
        <v>3009</v>
      </c>
      <c r="C211" t="s">
        <v>182</v>
      </c>
      <c r="D211" t="s">
        <v>3010</v>
      </c>
    </row>
    <row r="212" spans="1:4" x14ac:dyDescent="0.35">
      <c r="A212" t="s">
        <v>3011</v>
      </c>
      <c r="B212" t="s">
        <v>3012</v>
      </c>
      <c r="C212" t="s">
        <v>182</v>
      </c>
      <c r="D212" t="s">
        <v>3013</v>
      </c>
    </row>
    <row r="213" spans="1:4" x14ac:dyDescent="0.35">
      <c r="A213" t="s">
        <v>3014</v>
      </c>
      <c r="B213" t="s">
        <v>3015</v>
      </c>
      <c r="C213" t="s">
        <v>182</v>
      </c>
      <c r="D213" t="s">
        <v>3016</v>
      </c>
    </row>
    <row r="214" spans="1:4" x14ac:dyDescent="0.35">
      <c r="A214" t="s">
        <v>3017</v>
      </c>
      <c r="B214" t="s">
        <v>3018</v>
      </c>
      <c r="C214" t="s">
        <v>182</v>
      </c>
      <c r="D214" t="s">
        <v>3019</v>
      </c>
    </row>
    <row r="215" spans="1:4" x14ac:dyDescent="0.35">
      <c r="A215" t="s">
        <v>3020</v>
      </c>
      <c r="B215" t="s">
        <v>3021</v>
      </c>
      <c r="C215" t="s">
        <v>183</v>
      </c>
      <c r="D215" t="s">
        <v>3022</v>
      </c>
    </row>
    <row r="216" spans="1:4" x14ac:dyDescent="0.35">
      <c r="A216" t="s">
        <v>3023</v>
      </c>
      <c r="B216" t="s">
        <v>3024</v>
      </c>
      <c r="C216" t="s">
        <v>184</v>
      </c>
      <c r="D216" t="s">
        <v>3025</v>
      </c>
    </row>
    <row r="217" spans="1:4" x14ac:dyDescent="0.35">
      <c r="A217" t="s">
        <v>3026</v>
      </c>
      <c r="B217" t="s">
        <v>3027</v>
      </c>
      <c r="C217" t="s">
        <v>184</v>
      </c>
      <c r="D217" t="s">
        <v>3028</v>
      </c>
    </row>
    <row r="218" spans="1:4" x14ac:dyDescent="0.35">
      <c r="A218" t="s">
        <v>3029</v>
      </c>
      <c r="B218" t="s">
        <v>3030</v>
      </c>
      <c r="C218" t="s">
        <v>184</v>
      </c>
      <c r="D218" t="s">
        <v>3031</v>
      </c>
    </row>
    <row r="219" spans="1:4" x14ac:dyDescent="0.35">
      <c r="A219" t="s">
        <v>3032</v>
      </c>
      <c r="B219" t="s">
        <v>3033</v>
      </c>
      <c r="C219" t="s">
        <v>185</v>
      </c>
      <c r="D219" t="s">
        <v>3034</v>
      </c>
    </row>
    <row r="220" spans="1:4" x14ac:dyDescent="0.35">
      <c r="A220" t="s">
        <v>3035</v>
      </c>
      <c r="B220" t="s">
        <v>3036</v>
      </c>
      <c r="C220" t="s">
        <v>186</v>
      </c>
      <c r="D220" t="s">
        <v>3037</v>
      </c>
    </row>
    <row r="221" spans="1:4" x14ac:dyDescent="0.35">
      <c r="A221" t="s">
        <v>3038</v>
      </c>
      <c r="B221" t="s">
        <v>2512</v>
      </c>
      <c r="C221" t="s">
        <v>187</v>
      </c>
      <c r="D221" t="s">
        <v>3039</v>
      </c>
    </row>
    <row r="222" spans="1:4" x14ac:dyDescent="0.35">
      <c r="A222" t="s">
        <v>3040</v>
      </c>
      <c r="B222" t="s">
        <v>3041</v>
      </c>
      <c r="C222" t="s">
        <v>188</v>
      </c>
      <c r="D222" t="s">
        <v>3042</v>
      </c>
    </row>
    <row r="223" spans="1:4" x14ac:dyDescent="0.35">
      <c r="A223" t="s">
        <v>3043</v>
      </c>
      <c r="B223" t="s">
        <v>3044</v>
      </c>
      <c r="C223" t="s">
        <v>189</v>
      </c>
      <c r="D223" t="s">
        <v>3045</v>
      </c>
    </row>
    <row r="224" spans="1:4" x14ac:dyDescent="0.35">
      <c r="A224" t="s">
        <v>3046</v>
      </c>
      <c r="B224" t="s">
        <v>3047</v>
      </c>
      <c r="C224" t="s">
        <v>190</v>
      </c>
      <c r="D224" t="s">
        <v>3048</v>
      </c>
    </row>
    <row r="225" spans="1:4" x14ac:dyDescent="0.35">
      <c r="A225" t="s">
        <v>3049</v>
      </c>
      <c r="B225" t="s">
        <v>3050</v>
      </c>
      <c r="C225" t="s">
        <v>193</v>
      </c>
      <c r="D225" t="s">
        <v>3051</v>
      </c>
    </row>
    <row r="226" spans="1:4" x14ac:dyDescent="0.35">
      <c r="A226" t="s">
        <v>3052</v>
      </c>
      <c r="B226" t="s">
        <v>3053</v>
      </c>
      <c r="C226" t="s">
        <v>194</v>
      </c>
      <c r="D226" t="s">
        <v>3054</v>
      </c>
    </row>
    <row r="227" spans="1:4" x14ac:dyDescent="0.35">
      <c r="A227" t="s">
        <v>3055</v>
      </c>
      <c r="B227" t="s">
        <v>3056</v>
      </c>
      <c r="C227" t="s">
        <v>195</v>
      </c>
      <c r="D227" t="s">
        <v>3057</v>
      </c>
    </row>
    <row r="228" spans="1:4" x14ac:dyDescent="0.35">
      <c r="A228" t="s">
        <v>3058</v>
      </c>
      <c r="B228" t="s">
        <v>3059</v>
      </c>
      <c r="C228" t="s">
        <v>196</v>
      </c>
      <c r="D228" t="s">
        <v>3060</v>
      </c>
    </row>
    <row r="229" spans="1:4" x14ac:dyDescent="0.35">
      <c r="A229" t="s">
        <v>3061</v>
      </c>
      <c r="B229" t="s">
        <v>3062</v>
      </c>
      <c r="C229" t="s">
        <v>197</v>
      </c>
      <c r="D229" t="s">
        <v>3063</v>
      </c>
    </row>
    <row r="230" spans="1:4" x14ac:dyDescent="0.35">
      <c r="A230" t="s">
        <v>3064</v>
      </c>
      <c r="B230" t="s">
        <v>3065</v>
      </c>
      <c r="C230" t="s">
        <v>198</v>
      </c>
      <c r="D230" t="s">
        <v>3066</v>
      </c>
    </row>
    <row r="231" spans="1:4" x14ac:dyDescent="0.35">
      <c r="A231" t="s">
        <v>3067</v>
      </c>
      <c r="B231" t="s">
        <v>3068</v>
      </c>
      <c r="C231" t="s">
        <v>199</v>
      </c>
      <c r="D231" t="s">
        <v>3069</v>
      </c>
    </row>
    <row r="232" spans="1:4" x14ac:dyDescent="0.35">
      <c r="A232" t="s">
        <v>3070</v>
      </c>
      <c r="B232" t="s">
        <v>3071</v>
      </c>
      <c r="C232" t="s">
        <v>200</v>
      </c>
      <c r="D232" t="s">
        <v>3072</v>
      </c>
    </row>
    <row r="233" spans="1:4" x14ac:dyDescent="0.35">
      <c r="A233" t="s">
        <v>3073</v>
      </c>
      <c r="B233" t="s">
        <v>3074</v>
      </c>
      <c r="C233" t="s">
        <v>201</v>
      </c>
      <c r="D233" t="s">
        <v>3075</v>
      </c>
    </row>
    <row r="234" spans="1:4" x14ac:dyDescent="0.35">
      <c r="A234" t="s">
        <v>3076</v>
      </c>
      <c r="B234" t="s">
        <v>3077</v>
      </c>
      <c r="C234" t="s">
        <v>202</v>
      </c>
      <c r="D234" t="s">
        <v>3078</v>
      </c>
    </row>
    <row r="235" spans="1:4" x14ac:dyDescent="0.35">
      <c r="A235" t="s">
        <v>3079</v>
      </c>
      <c r="B235" t="s">
        <v>3080</v>
      </c>
      <c r="C235" t="s">
        <v>203</v>
      </c>
      <c r="D235" t="s">
        <v>3081</v>
      </c>
    </row>
    <row r="236" spans="1:4" x14ac:dyDescent="0.35">
      <c r="A236" t="s">
        <v>3082</v>
      </c>
      <c r="B236" t="s">
        <v>2923</v>
      </c>
      <c r="C236" t="s">
        <v>204</v>
      </c>
      <c r="D236" t="s">
        <v>3083</v>
      </c>
    </row>
    <row r="237" spans="1:4" x14ac:dyDescent="0.35">
      <c r="A237" t="s">
        <v>3084</v>
      </c>
      <c r="B237" t="s">
        <v>3085</v>
      </c>
      <c r="C237" t="s">
        <v>205</v>
      </c>
      <c r="D237" t="s">
        <v>3086</v>
      </c>
    </row>
    <row r="238" spans="1:4" x14ac:dyDescent="0.35">
      <c r="A238" t="s">
        <v>3087</v>
      </c>
      <c r="B238" t="s">
        <v>3088</v>
      </c>
      <c r="C238" t="s">
        <v>206</v>
      </c>
      <c r="D238" t="s">
        <v>3089</v>
      </c>
    </row>
    <row r="239" spans="1:4" x14ac:dyDescent="0.35">
      <c r="A239" t="s">
        <v>3090</v>
      </c>
      <c r="B239" t="s">
        <v>3091</v>
      </c>
      <c r="C239" t="s">
        <v>207</v>
      </c>
      <c r="D239" t="s">
        <v>3092</v>
      </c>
    </row>
    <row r="240" spans="1:4" x14ac:dyDescent="0.35">
      <c r="A240" t="s">
        <v>3093</v>
      </c>
      <c r="B240" t="s">
        <v>3094</v>
      </c>
      <c r="C240" t="s">
        <v>208</v>
      </c>
      <c r="D240" t="s">
        <v>3095</v>
      </c>
    </row>
    <row r="241" spans="1:4" x14ac:dyDescent="0.35">
      <c r="A241" t="s">
        <v>3096</v>
      </c>
      <c r="B241" t="s">
        <v>3097</v>
      </c>
      <c r="C241" t="s">
        <v>209</v>
      </c>
      <c r="D241" t="s">
        <v>3098</v>
      </c>
    </row>
    <row r="242" spans="1:4" x14ac:dyDescent="0.35">
      <c r="A242" t="s">
        <v>3099</v>
      </c>
      <c r="B242" t="s">
        <v>3100</v>
      </c>
      <c r="C242" t="s">
        <v>210</v>
      </c>
      <c r="D242" t="s">
        <v>3101</v>
      </c>
    </row>
    <row r="243" spans="1:4" x14ac:dyDescent="0.35">
      <c r="A243" t="s">
        <v>3102</v>
      </c>
      <c r="B243" t="s">
        <v>3103</v>
      </c>
      <c r="C243" t="s">
        <v>211</v>
      </c>
      <c r="D243" t="s">
        <v>3104</v>
      </c>
    </row>
    <row r="244" spans="1:4" x14ac:dyDescent="0.35">
      <c r="A244" t="s">
        <v>3105</v>
      </c>
      <c r="B244" t="s">
        <v>3106</v>
      </c>
      <c r="C244" t="s">
        <v>215</v>
      </c>
      <c r="D244" t="s">
        <v>3107</v>
      </c>
    </row>
    <row r="245" spans="1:4" x14ac:dyDescent="0.35">
      <c r="A245" t="s">
        <v>3108</v>
      </c>
      <c r="B245" t="s">
        <v>3109</v>
      </c>
      <c r="C245" t="s">
        <v>216</v>
      </c>
      <c r="D245" t="s">
        <v>3110</v>
      </c>
    </row>
    <row r="246" spans="1:4" x14ac:dyDescent="0.35">
      <c r="A246" t="s">
        <v>3111</v>
      </c>
      <c r="B246" t="s">
        <v>3112</v>
      </c>
      <c r="C246" t="s">
        <v>216</v>
      </c>
      <c r="D246" t="s">
        <v>3113</v>
      </c>
    </row>
    <row r="247" spans="1:4" x14ac:dyDescent="0.35">
      <c r="A247" t="s">
        <v>3114</v>
      </c>
      <c r="B247" t="s">
        <v>3115</v>
      </c>
      <c r="C247" t="s">
        <v>212</v>
      </c>
      <c r="D247" t="s">
        <v>3116</v>
      </c>
    </row>
    <row r="248" spans="1:4" x14ac:dyDescent="0.35">
      <c r="A248" t="s">
        <v>3117</v>
      </c>
      <c r="B248" t="s">
        <v>3118</v>
      </c>
      <c r="C248" t="s">
        <v>213</v>
      </c>
      <c r="D248" t="s">
        <v>3119</v>
      </c>
    </row>
    <row r="249" spans="1:4" x14ac:dyDescent="0.35">
      <c r="A249" t="s">
        <v>3120</v>
      </c>
      <c r="B249" t="s">
        <v>3121</v>
      </c>
      <c r="C249" t="s">
        <v>214</v>
      </c>
      <c r="D249" t="s">
        <v>3122</v>
      </c>
    </row>
    <row r="250" spans="1:4" x14ac:dyDescent="0.35">
      <c r="A250" t="s">
        <v>3123</v>
      </c>
      <c r="B250" t="s">
        <v>3124</v>
      </c>
      <c r="C250" t="s">
        <v>217</v>
      </c>
      <c r="D250" t="s">
        <v>3125</v>
      </c>
    </row>
    <row r="251" spans="1:4" x14ac:dyDescent="0.35">
      <c r="A251" t="s">
        <v>3126</v>
      </c>
      <c r="B251" t="s">
        <v>3127</v>
      </c>
      <c r="C251" t="s">
        <v>218</v>
      </c>
      <c r="D251" t="s">
        <v>3128</v>
      </c>
    </row>
    <row r="252" spans="1:4" x14ac:dyDescent="0.35">
      <c r="A252" t="s">
        <v>3129</v>
      </c>
      <c r="B252" t="s">
        <v>3130</v>
      </c>
      <c r="C252" t="s">
        <v>219</v>
      </c>
      <c r="D252" t="s">
        <v>3131</v>
      </c>
    </row>
    <row r="253" spans="1:4" x14ac:dyDescent="0.35">
      <c r="A253" t="s">
        <v>3132</v>
      </c>
      <c r="B253" t="s">
        <v>3133</v>
      </c>
      <c r="C253" t="s">
        <v>220</v>
      </c>
      <c r="D253" t="s">
        <v>3134</v>
      </c>
    </row>
    <row r="254" spans="1:4" x14ac:dyDescent="0.35">
      <c r="A254" t="s">
        <v>3135</v>
      </c>
      <c r="B254" t="s">
        <v>3136</v>
      </c>
      <c r="C254" t="s">
        <v>221</v>
      </c>
      <c r="D254" t="s">
        <v>3137</v>
      </c>
    </row>
    <row r="255" spans="1:4" x14ac:dyDescent="0.35">
      <c r="A255" t="s">
        <v>3138</v>
      </c>
      <c r="B255" t="s">
        <v>3139</v>
      </c>
      <c r="C255" t="s">
        <v>222</v>
      </c>
      <c r="D255" t="s">
        <v>3140</v>
      </c>
    </row>
    <row r="256" spans="1:4" x14ac:dyDescent="0.35">
      <c r="A256" t="s">
        <v>3141</v>
      </c>
      <c r="B256" t="s">
        <v>3142</v>
      </c>
      <c r="C256" t="s">
        <v>223</v>
      </c>
      <c r="D256" t="s">
        <v>3143</v>
      </c>
    </row>
    <row r="257" spans="1:4" x14ac:dyDescent="0.35">
      <c r="A257" t="s">
        <v>3144</v>
      </c>
      <c r="B257" t="s">
        <v>3145</v>
      </c>
      <c r="C257" t="s">
        <v>225</v>
      </c>
      <c r="D257" t="s">
        <v>3146</v>
      </c>
    </row>
    <row r="258" spans="1:4" x14ac:dyDescent="0.35">
      <c r="A258" t="s">
        <v>3147</v>
      </c>
      <c r="B258" t="s">
        <v>3148</v>
      </c>
      <c r="C258" t="s">
        <v>226</v>
      </c>
      <c r="D258" t="s">
        <v>3149</v>
      </c>
    </row>
    <row r="259" spans="1:4" x14ac:dyDescent="0.35">
      <c r="A259" t="s">
        <v>3150</v>
      </c>
      <c r="B259" t="s">
        <v>3151</v>
      </c>
      <c r="C259" t="s">
        <v>227</v>
      </c>
      <c r="D259" t="s">
        <v>3152</v>
      </c>
    </row>
    <row r="260" spans="1:4" x14ac:dyDescent="0.35">
      <c r="A260" t="s">
        <v>3153</v>
      </c>
      <c r="B260" t="s">
        <v>3154</v>
      </c>
      <c r="C260" t="s">
        <v>229</v>
      </c>
      <c r="D260" t="s">
        <v>3155</v>
      </c>
    </row>
    <row r="261" spans="1:4" x14ac:dyDescent="0.35">
      <c r="A261" t="s">
        <v>3156</v>
      </c>
      <c r="B261" t="s">
        <v>3157</v>
      </c>
      <c r="C261" t="s">
        <v>230</v>
      </c>
      <c r="D261" t="s">
        <v>3158</v>
      </c>
    </row>
    <row r="262" spans="1:4" x14ac:dyDescent="0.35">
      <c r="A262" t="s">
        <v>3159</v>
      </c>
      <c r="B262" t="s">
        <v>3160</v>
      </c>
      <c r="C262" t="s">
        <v>231</v>
      </c>
      <c r="D262" t="s">
        <v>3161</v>
      </c>
    </row>
    <row r="263" spans="1:4" x14ac:dyDescent="0.35">
      <c r="A263" t="s">
        <v>3162</v>
      </c>
      <c r="B263" t="s">
        <v>3163</v>
      </c>
      <c r="C263" t="s">
        <v>232</v>
      </c>
      <c r="D263" t="s">
        <v>3164</v>
      </c>
    </row>
    <row r="264" spans="1:4" x14ac:dyDescent="0.35">
      <c r="A264" t="s">
        <v>3165</v>
      </c>
      <c r="B264" t="s">
        <v>3166</v>
      </c>
      <c r="C264" t="s">
        <v>233</v>
      </c>
      <c r="D264" t="s">
        <v>3167</v>
      </c>
    </row>
    <row r="265" spans="1:4" x14ac:dyDescent="0.35">
      <c r="A265" t="s">
        <v>3168</v>
      </c>
      <c r="B265" t="s">
        <v>3169</v>
      </c>
      <c r="C265" t="s">
        <v>234</v>
      </c>
      <c r="D265" t="s">
        <v>3170</v>
      </c>
    </row>
    <row r="266" spans="1:4" x14ac:dyDescent="0.35">
      <c r="A266" t="s">
        <v>3171</v>
      </c>
      <c r="B266" t="s">
        <v>3172</v>
      </c>
      <c r="C266" t="s">
        <v>235</v>
      </c>
      <c r="D266" t="s">
        <v>3173</v>
      </c>
    </row>
    <row r="267" spans="1:4" x14ac:dyDescent="0.35">
      <c r="A267" t="s">
        <v>3174</v>
      </c>
      <c r="B267" t="s">
        <v>3175</v>
      </c>
      <c r="C267" t="s">
        <v>236</v>
      </c>
      <c r="D267" t="s">
        <v>3176</v>
      </c>
    </row>
    <row r="268" spans="1:4" x14ac:dyDescent="0.35">
      <c r="A268" t="s">
        <v>3177</v>
      </c>
      <c r="B268" t="s">
        <v>3178</v>
      </c>
      <c r="C268" t="s">
        <v>237</v>
      </c>
      <c r="D268" t="s">
        <v>3179</v>
      </c>
    </row>
    <row r="269" spans="1:4" x14ac:dyDescent="0.35">
      <c r="A269" t="s">
        <v>3180</v>
      </c>
      <c r="B269" t="s">
        <v>3181</v>
      </c>
      <c r="C269" t="s">
        <v>238</v>
      </c>
      <c r="D269" t="s">
        <v>3182</v>
      </c>
    </row>
    <row r="270" spans="1:4" x14ac:dyDescent="0.35">
      <c r="A270" t="s">
        <v>3183</v>
      </c>
      <c r="B270" t="s">
        <v>3184</v>
      </c>
      <c r="C270" t="s">
        <v>239</v>
      </c>
      <c r="D270" t="s">
        <v>3185</v>
      </c>
    </row>
    <row r="271" spans="1:4" x14ac:dyDescent="0.35">
      <c r="A271" t="s">
        <v>3186</v>
      </c>
      <c r="B271" t="s">
        <v>3187</v>
      </c>
      <c r="C271" t="s">
        <v>240</v>
      </c>
      <c r="D271" t="s">
        <v>3188</v>
      </c>
    </row>
    <row r="272" spans="1:4" x14ac:dyDescent="0.35">
      <c r="A272" t="s">
        <v>3189</v>
      </c>
      <c r="B272" t="s">
        <v>3190</v>
      </c>
      <c r="C272" t="s">
        <v>241</v>
      </c>
      <c r="D272" t="s">
        <v>3191</v>
      </c>
    </row>
    <row r="273" spans="1:4" x14ac:dyDescent="0.35">
      <c r="A273" t="s">
        <v>3192</v>
      </c>
      <c r="B273" t="s">
        <v>3193</v>
      </c>
      <c r="C273" t="s">
        <v>242</v>
      </c>
      <c r="D273" t="s">
        <v>3194</v>
      </c>
    </row>
    <row r="274" spans="1:4" x14ac:dyDescent="0.35">
      <c r="A274" t="s">
        <v>3195</v>
      </c>
      <c r="B274" t="s">
        <v>2413</v>
      </c>
      <c r="C274" t="s">
        <v>243</v>
      </c>
      <c r="D274" t="s">
        <v>3196</v>
      </c>
    </row>
    <row r="275" spans="1:4" x14ac:dyDescent="0.35">
      <c r="A275" t="s">
        <v>3197</v>
      </c>
      <c r="B275" t="s">
        <v>3198</v>
      </c>
      <c r="C275" t="s">
        <v>244</v>
      </c>
      <c r="D275" t="s">
        <v>3199</v>
      </c>
    </row>
    <row r="276" spans="1:4" x14ac:dyDescent="0.35">
      <c r="A276" t="s">
        <v>3200</v>
      </c>
      <c r="B276" t="s">
        <v>3201</v>
      </c>
      <c r="C276" t="s">
        <v>245</v>
      </c>
      <c r="D276" t="s">
        <v>3202</v>
      </c>
    </row>
    <row r="277" spans="1:4" x14ac:dyDescent="0.35">
      <c r="A277" t="s">
        <v>3203</v>
      </c>
      <c r="B277" t="s">
        <v>3204</v>
      </c>
      <c r="C277" t="s">
        <v>246</v>
      </c>
      <c r="D277" t="s">
        <v>3205</v>
      </c>
    </row>
    <row r="278" spans="1:4" x14ac:dyDescent="0.35">
      <c r="A278" t="s">
        <v>3206</v>
      </c>
      <c r="B278" t="s">
        <v>3207</v>
      </c>
      <c r="C278" t="s">
        <v>247</v>
      </c>
      <c r="D278" t="s">
        <v>3208</v>
      </c>
    </row>
    <row r="279" spans="1:4" x14ac:dyDescent="0.35">
      <c r="A279" t="s">
        <v>3209</v>
      </c>
      <c r="B279" t="s">
        <v>3210</v>
      </c>
      <c r="C279" t="s">
        <v>248</v>
      </c>
      <c r="D279" t="s">
        <v>3211</v>
      </c>
    </row>
    <row r="280" spans="1:4" x14ac:dyDescent="0.35">
      <c r="A280" t="s">
        <v>3212</v>
      </c>
      <c r="B280" t="s">
        <v>3213</v>
      </c>
      <c r="C280" t="s">
        <v>249</v>
      </c>
      <c r="D280" t="s">
        <v>3214</v>
      </c>
    </row>
    <row r="281" spans="1:4" x14ac:dyDescent="0.35">
      <c r="A281" t="s">
        <v>3215</v>
      </c>
      <c r="B281" t="s">
        <v>3216</v>
      </c>
      <c r="C281" t="s">
        <v>250</v>
      </c>
      <c r="D281" t="s">
        <v>3217</v>
      </c>
    </row>
    <row r="282" spans="1:4" x14ac:dyDescent="0.35">
      <c r="A282" t="s">
        <v>3218</v>
      </c>
      <c r="B282" t="s">
        <v>3219</v>
      </c>
      <c r="C282" t="s">
        <v>251</v>
      </c>
      <c r="D282" t="s">
        <v>3220</v>
      </c>
    </row>
    <row r="283" spans="1:4" x14ac:dyDescent="0.35">
      <c r="A283" t="s">
        <v>3221</v>
      </c>
      <c r="B283" t="s">
        <v>3222</v>
      </c>
      <c r="C283" t="s">
        <v>252</v>
      </c>
      <c r="D283" t="s">
        <v>3223</v>
      </c>
    </row>
    <row r="284" spans="1:4" x14ac:dyDescent="0.35">
      <c r="A284" t="s">
        <v>3224</v>
      </c>
      <c r="B284" t="s">
        <v>3225</v>
      </c>
      <c r="C284" t="s">
        <v>253</v>
      </c>
      <c r="D284" t="s">
        <v>3226</v>
      </c>
    </row>
    <row r="285" spans="1:4" x14ac:dyDescent="0.35">
      <c r="A285" t="s">
        <v>3227</v>
      </c>
      <c r="B285" t="s">
        <v>3228</v>
      </c>
      <c r="C285" t="s">
        <v>254</v>
      </c>
      <c r="D285" t="s">
        <v>3229</v>
      </c>
    </row>
    <row r="286" spans="1:4" x14ac:dyDescent="0.35">
      <c r="A286" t="s">
        <v>3230</v>
      </c>
      <c r="B286" t="s">
        <v>3231</v>
      </c>
      <c r="C286" t="s">
        <v>255</v>
      </c>
      <c r="D286" t="s">
        <v>3232</v>
      </c>
    </row>
    <row r="287" spans="1:4" x14ac:dyDescent="0.35">
      <c r="A287" t="s">
        <v>3233</v>
      </c>
      <c r="B287" t="s">
        <v>3234</v>
      </c>
      <c r="C287" t="s">
        <v>256</v>
      </c>
      <c r="D287" t="s">
        <v>3235</v>
      </c>
    </row>
    <row r="288" spans="1:4" x14ac:dyDescent="0.35">
      <c r="A288" t="s">
        <v>3236</v>
      </c>
      <c r="B288" t="s">
        <v>3237</v>
      </c>
      <c r="C288" t="s">
        <v>257</v>
      </c>
      <c r="D288" t="s">
        <v>3238</v>
      </c>
    </row>
    <row r="289" spans="1:4" x14ac:dyDescent="0.35">
      <c r="A289" t="s">
        <v>3239</v>
      </c>
      <c r="B289" t="s">
        <v>3240</v>
      </c>
      <c r="C289" t="s">
        <v>258</v>
      </c>
      <c r="D289" t="s">
        <v>3241</v>
      </c>
    </row>
    <row r="290" spans="1:4" x14ac:dyDescent="0.35">
      <c r="A290" t="s">
        <v>3242</v>
      </c>
      <c r="B290" t="s">
        <v>3243</v>
      </c>
      <c r="C290" t="s">
        <v>259</v>
      </c>
      <c r="D290" t="s">
        <v>3244</v>
      </c>
    </row>
    <row r="291" spans="1:4" x14ac:dyDescent="0.35">
      <c r="A291" t="s">
        <v>3245</v>
      </c>
      <c r="B291" t="s">
        <v>3246</v>
      </c>
      <c r="C291" t="s">
        <v>260</v>
      </c>
      <c r="D291" t="s">
        <v>3247</v>
      </c>
    </row>
    <row r="292" spans="1:4" x14ac:dyDescent="0.35">
      <c r="A292" t="s">
        <v>3248</v>
      </c>
      <c r="B292" t="s">
        <v>3249</v>
      </c>
      <c r="C292" t="s">
        <v>261</v>
      </c>
      <c r="D292" t="s">
        <v>3250</v>
      </c>
    </row>
    <row r="293" spans="1:4" x14ac:dyDescent="0.35">
      <c r="A293" t="s">
        <v>3251</v>
      </c>
      <c r="B293" t="s">
        <v>3252</v>
      </c>
      <c r="C293" t="s">
        <v>261</v>
      </c>
      <c r="D293" t="s">
        <v>3253</v>
      </c>
    </row>
    <row r="294" spans="1:4" x14ac:dyDescent="0.35">
      <c r="A294" t="s">
        <v>3254</v>
      </c>
      <c r="B294" t="s">
        <v>3255</v>
      </c>
      <c r="C294" t="s">
        <v>262</v>
      </c>
      <c r="D294" t="s">
        <v>3256</v>
      </c>
    </row>
    <row r="295" spans="1:4" x14ac:dyDescent="0.35">
      <c r="A295" t="s">
        <v>3257</v>
      </c>
      <c r="B295" t="s">
        <v>3258</v>
      </c>
      <c r="C295" t="s">
        <v>263</v>
      </c>
      <c r="D295" t="s">
        <v>3259</v>
      </c>
    </row>
    <row r="296" spans="1:4" x14ac:dyDescent="0.35">
      <c r="A296" t="s">
        <v>3260</v>
      </c>
      <c r="B296" t="s">
        <v>3261</v>
      </c>
      <c r="C296" t="s">
        <v>264</v>
      </c>
      <c r="D296" t="s">
        <v>3262</v>
      </c>
    </row>
    <row r="297" spans="1:4" x14ac:dyDescent="0.35">
      <c r="A297" t="s">
        <v>3263</v>
      </c>
      <c r="B297" t="s">
        <v>3264</v>
      </c>
      <c r="C297" t="s">
        <v>265</v>
      </c>
      <c r="D297" t="s">
        <v>3265</v>
      </c>
    </row>
    <row r="298" spans="1:4" x14ac:dyDescent="0.35">
      <c r="A298" t="s">
        <v>3266</v>
      </c>
      <c r="B298" t="s">
        <v>3267</v>
      </c>
      <c r="C298" t="s">
        <v>266</v>
      </c>
      <c r="D298" t="s">
        <v>3268</v>
      </c>
    </row>
    <row r="299" spans="1:4" x14ac:dyDescent="0.35">
      <c r="A299" t="s">
        <v>3269</v>
      </c>
      <c r="B299" t="s">
        <v>3270</v>
      </c>
      <c r="C299" t="s">
        <v>267</v>
      </c>
      <c r="D299" t="s">
        <v>3271</v>
      </c>
    </row>
    <row r="300" spans="1:4" x14ac:dyDescent="0.35">
      <c r="A300" t="s">
        <v>3272</v>
      </c>
      <c r="B300" t="s">
        <v>3273</v>
      </c>
      <c r="C300" t="s">
        <v>268</v>
      </c>
      <c r="D300" t="s">
        <v>3274</v>
      </c>
    </row>
    <row r="301" spans="1:4" x14ac:dyDescent="0.35">
      <c r="A301" t="s">
        <v>3275</v>
      </c>
      <c r="B301" t="s">
        <v>3276</v>
      </c>
      <c r="C301" t="s">
        <v>269</v>
      </c>
      <c r="D301" t="s">
        <v>3277</v>
      </c>
    </row>
    <row r="302" spans="1:4" x14ac:dyDescent="0.35">
      <c r="A302" t="s">
        <v>3278</v>
      </c>
      <c r="B302" t="s">
        <v>3279</v>
      </c>
      <c r="C302" t="s">
        <v>270</v>
      </c>
      <c r="D302" t="s">
        <v>3280</v>
      </c>
    </row>
    <row r="303" spans="1:4" x14ac:dyDescent="0.35">
      <c r="A303" t="s">
        <v>3281</v>
      </c>
      <c r="B303" t="s">
        <v>3282</v>
      </c>
      <c r="C303" t="s">
        <v>271</v>
      </c>
      <c r="D303" t="s">
        <v>3283</v>
      </c>
    </row>
    <row r="304" spans="1:4" x14ac:dyDescent="0.35">
      <c r="A304" t="s">
        <v>3284</v>
      </c>
      <c r="B304" t="s">
        <v>3285</v>
      </c>
      <c r="C304" t="s">
        <v>272</v>
      </c>
      <c r="D304" t="s">
        <v>3286</v>
      </c>
    </row>
    <row r="305" spans="1:4" x14ac:dyDescent="0.35">
      <c r="A305" t="s">
        <v>3287</v>
      </c>
      <c r="B305" t="s">
        <v>3288</v>
      </c>
      <c r="C305" t="s">
        <v>273</v>
      </c>
      <c r="D305" t="s">
        <v>3289</v>
      </c>
    </row>
    <row r="306" spans="1:4" x14ac:dyDescent="0.35">
      <c r="A306" t="s">
        <v>3290</v>
      </c>
      <c r="B306" t="s">
        <v>3291</v>
      </c>
      <c r="C306" t="s">
        <v>274</v>
      </c>
      <c r="D306" t="s">
        <v>3292</v>
      </c>
    </row>
    <row r="307" spans="1:4" x14ac:dyDescent="0.35">
      <c r="A307" t="s">
        <v>3293</v>
      </c>
      <c r="B307" t="s">
        <v>3294</v>
      </c>
      <c r="C307" t="s">
        <v>275</v>
      </c>
      <c r="D307" t="s">
        <v>3295</v>
      </c>
    </row>
    <row r="308" spans="1:4" x14ac:dyDescent="0.35">
      <c r="A308" t="s">
        <v>3296</v>
      </c>
      <c r="B308" t="s">
        <v>3297</v>
      </c>
      <c r="C308" t="s">
        <v>276</v>
      </c>
      <c r="D308" t="s">
        <v>3298</v>
      </c>
    </row>
    <row r="309" spans="1:4" x14ac:dyDescent="0.35">
      <c r="A309" t="s">
        <v>3299</v>
      </c>
      <c r="B309" t="s">
        <v>3300</v>
      </c>
      <c r="C309" t="s">
        <v>277</v>
      </c>
      <c r="D309" t="s">
        <v>3301</v>
      </c>
    </row>
    <row r="310" spans="1:4" x14ac:dyDescent="0.35">
      <c r="A310" t="s">
        <v>3302</v>
      </c>
      <c r="B310" t="s">
        <v>3303</v>
      </c>
      <c r="C310" t="s">
        <v>278</v>
      </c>
      <c r="D310" t="s">
        <v>3304</v>
      </c>
    </row>
    <row r="311" spans="1:4" x14ac:dyDescent="0.35">
      <c r="A311" t="s">
        <v>3305</v>
      </c>
      <c r="B311" t="s">
        <v>3306</v>
      </c>
      <c r="C311" t="s">
        <v>279</v>
      </c>
      <c r="D311" t="s">
        <v>3307</v>
      </c>
    </row>
    <row r="312" spans="1:4" x14ac:dyDescent="0.35">
      <c r="A312" t="s">
        <v>3308</v>
      </c>
      <c r="B312" t="s">
        <v>3309</v>
      </c>
      <c r="C312" t="s">
        <v>280</v>
      </c>
      <c r="D312" t="s">
        <v>3310</v>
      </c>
    </row>
    <row r="313" spans="1:4" x14ac:dyDescent="0.35">
      <c r="A313" t="s">
        <v>3311</v>
      </c>
      <c r="B313" t="s">
        <v>3312</v>
      </c>
      <c r="C313" t="s">
        <v>281</v>
      </c>
      <c r="D313" t="s">
        <v>3313</v>
      </c>
    </row>
    <row r="314" spans="1:4" x14ac:dyDescent="0.35">
      <c r="A314" t="s">
        <v>3314</v>
      </c>
      <c r="B314" t="s">
        <v>3315</v>
      </c>
      <c r="C314" t="s">
        <v>282</v>
      </c>
      <c r="D314" t="s">
        <v>3316</v>
      </c>
    </row>
    <row r="315" spans="1:4" x14ac:dyDescent="0.35">
      <c r="A315" t="s">
        <v>3317</v>
      </c>
      <c r="B315" t="s">
        <v>3318</v>
      </c>
      <c r="C315" t="s">
        <v>283</v>
      </c>
      <c r="D315" t="s">
        <v>3319</v>
      </c>
    </row>
    <row r="316" spans="1:4" x14ac:dyDescent="0.35">
      <c r="A316" t="s">
        <v>3320</v>
      </c>
      <c r="B316" t="s">
        <v>3321</v>
      </c>
      <c r="C316" t="s">
        <v>283</v>
      </c>
      <c r="D316" t="s">
        <v>3322</v>
      </c>
    </row>
    <row r="317" spans="1:4" x14ac:dyDescent="0.35">
      <c r="A317" t="s">
        <v>3323</v>
      </c>
      <c r="B317" t="s">
        <v>3324</v>
      </c>
      <c r="C317" t="s">
        <v>284</v>
      </c>
      <c r="D317" t="s">
        <v>3325</v>
      </c>
    </row>
    <row r="318" spans="1:4" x14ac:dyDescent="0.35">
      <c r="A318" t="s">
        <v>3326</v>
      </c>
      <c r="B318" t="s">
        <v>3327</v>
      </c>
      <c r="C318" t="s">
        <v>285</v>
      </c>
      <c r="D318" t="s">
        <v>3328</v>
      </c>
    </row>
    <row r="319" spans="1:4" x14ac:dyDescent="0.35">
      <c r="A319" t="s">
        <v>3329</v>
      </c>
      <c r="B319" t="s">
        <v>3330</v>
      </c>
      <c r="C319" t="s">
        <v>285</v>
      </c>
      <c r="D319" t="s">
        <v>3331</v>
      </c>
    </row>
    <row r="320" spans="1:4" x14ac:dyDescent="0.35">
      <c r="A320" t="s">
        <v>3332</v>
      </c>
      <c r="B320" t="s">
        <v>3333</v>
      </c>
      <c r="C320" t="s">
        <v>286</v>
      </c>
      <c r="D320" t="s">
        <v>3334</v>
      </c>
    </row>
    <row r="321" spans="1:4" x14ac:dyDescent="0.35">
      <c r="A321" t="s">
        <v>3335</v>
      </c>
      <c r="B321" t="s">
        <v>3336</v>
      </c>
      <c r="C321" t="s">
        <v>287</v>
      </c>
      <c r="D321" t="s">
        <v>3337</v>
      </c>
    </row>
    <row r="322" spans="1:4" x14ac:dyDescent="0.35">
      <c r="A322" t="s">
        <v>3338</v>
      </c>
      <c r="B322" t="s">
        <v>3339</v>
      </c>
      <c r="C322" t="s">
        <v>288</v>
      </c>
      <c r="D322" t="s">
        <v>3340</v>
      </c>
    </row>
    <row r="323" spans="1:4" x14ac:dyDescent="0.35">
      <c r="A323" t="s">
        <v>3341</v>
      </c>
      <c r="B323" t="s">
        <v>3342</v>
      </c>
      <c r="C323" t="s">
        <v>289</v>
      </c>
      <c r="D323" t="s">
        <v>3343</v>
      </c>
    </row>
    <row r="324" spans="1:4" x14ac:dyDescent="0.35">
      <c r="A324" t="s">
        <v>3344</v>
      </c>
      <c r="B324" t="s">
        <v>3345</v>
      </c>
      <c r="C324" t="s">
        <v>290</v>
      </c>
      <c r="D324" t="s">
        <v>3346</v>
      </c>
    </row>
    <row r="325" spans="1:4" x14ac:dyDescent="0.35">
      <c r="A325" t="s">
        <v>3347</v>
      </c>
      <c r="B325" t="s">
        <v>3348</v>
      </c>
      <c r="C325" t="s">
        <v>291</v>
      </c>
      <c r="D325" t="s">
        <v>3349</v>
      </c>
    </row>
    <row r="326" spans="1:4" x14ac:dyDescent="0.35">
      <c r="A326" t="s">
        <v>3350</v>
      </c>
      <c r="B326" t="s">
        <v>3351</v>
      </c>
      <c r="C326" t="s">
        <v>292</v>
      </c>
      <c r="D326" t="s">
        <v>3352</v>
      </c>
    </row>
    <row r="327" spans="1:4" x14ac:dyDescent="0.35">
      <c r="A327" t="s">
        <v>3353</v>
      </c>
      <c r="B327" t="s">
        <v>2413</v>
      </c>
      <c r="C327" t="s">
        <v>293</v>
      </c>
      <c r="D327" t="s">
        <v>3354</v>
      </c>
    </row>
    <row r="328" spans="1:4" x14ac:dyDescent="0.35">
      <c r="A328" t="s">
        <v>3355</v>
      </c>
      <c r="B328" t="s">
        <v>3356</v>
      </c>
      <c r="C328" t="s">
        <v>294</v>
      </c>
      <c r="D328" t="s">
        <v>3357</v>
      </c>
    </row>
    <row r="329" spans="1:4" x14ac:dyDescent="0.35">
      <c r="A329" t="s">
        <v>3358</v>
      </c>
      <c r="B329" t="s">
        <v>3359</v>
      </c>
      <c r="C329" t="s">
        <v>295</v>
      </c>
      <c r="D329" t="s">
        <v>3360</v>
      </c>
    </row>
    <row r="330" spans="1:4" x14ac:dyDescent="0.35">
      <c r="A330" t="s">
        <v>3361</v>
      </c>
      <c r="B330" t="s">
        <v>3362</v>
      </c>
      <c r="C330" t="s">
        <v>296</v>
      </c>
      <c r="D330" t="s">
        <v>3363</v>
      </c>
    </row>
    <row r="331" spans="1:4" x14ac:dyDescent="0.35">
      <c r="A331" t="s">
        <v>3364</v>
      </c>
      <c r="B331" t="s">
        <v>3365</v>
      </c>
      <c r="C331" t="s">
        <v>297</v>
      </c>
      <c r="D331" t="s">
        <v>3366</v>
      </c>
    </row>
    <row r="332" spans="1:4" x14ac:dyDescent="0.35">
      <c r="A332" t="s">
        <v>3367</v>
      </c>
      <c r="B332" t="s">
        <v>3368</v>
      </c>
      <c r="C332" t="s">
        <v>298</v>
      </c>
      <c r="D332" t="s">
        <v>3369</v>
      </c>
    </row>
    <row r="333" spans="1:4" x14ac:dyDescent="0.35">
      <c r="A333" t="s">
        <v>3370</v>
      </c>
      <c r="B333" t="s">
        <v>3371</v>
      </c>
      <c r="C333" t="s">
        <v>299</v>
      </c>
      <c r="D333" t="s">
        <v>3372</v>
      </c>
    </row>
    <row r="334" spans="1:4" x14ac:dyDescent="0.35">
      <c r="A334" t="s">
        <v>3373</v>
      </c>
      <c r="B334" t="s">
        <v>3374</v>
      </c>
      <c r="C334" t="s">
        <v>300</v>
      </c>
      <c r="D334" t="s">
        <v>3375</v>
      </c>
    </row>
    <row r="335" spans="1:4" x14ac:dyDescent="0.35">
      <c r="A335" t="s">
        <v>3376</v>
      </c>
      <c r="B335" t="s">
        <v>3377</v>
      </c>
      <c r="C335" t="s">
        <v>301</v>
      </c>
      <c r="D335" t="s">
        <v>3378</v>
      </c>
    </row>
    <row r="336" spans="1:4" x14ac:dyDescent="0.35">
      <c r="A336" t="s">
        <v>3379</v>
      </c>
      <c r="B336" t="s">
        <v>3380</v>
      </c>
      <c r="C336" t="s">
        <v>302</v>
      </c>
      <c r="D336" t="s">
        <v>3381</v>
      </c>
    </row>
    <row r="337" spans="1:4" x14ac:dyDescent="0.35">
      <c r="A337" t="s">
        <v>3382</v>
      </c>
      <c r="B337" t="s">
        <v>3383</v>
      </c>
      <c r="C337" t="s">
        <v>302</v>
      </c>
      <c r="D337" t="s">
        <v>3384</v>
      </c>
    </row>
    <row r="338" spans="1:4" x14ac:dyDescent="0.35">
      <c r="A338" t="s">
        <v>3385</v>
      </c>
      <c r="B338" t="s">
        <v>3386</v>
      </c>
      <c r="C338" t="s">
        <v>304</v>
      </c>
      <c r="D338" t="s">
        <v>3387</v>
      </c>
    </row>
    <row r="339" spans="1:4" x14ac:dyDescent="0.35">
      <c r="A339" t="s">
        <v>3388</v>
      </c>
      <c r="B339" t="s">
        <v>3389</v>
      </c>
      <c r="C339" t="s">
        <v>305</v>
      </c>
      <c r="D339" t="s">
        <v>3390</v>
      </c>
    </row>
    <row r="340" spans="1:4" x14ac:dyDescent="0.35">
      <c r="A340" t="s">
        <v>3391</v>
      </c>
      <c r="B340" t="s">
        <v>3392</v>
      </c>
      <c r="C340" t="s">
        <v>306</v>
      </c>
      <c r="D340" t="s">
        <v>3393</v>
      </c>
    </row>
    <row r="341" spans="1:4" x14ac:dyDescent="0.35">
      <c r="A341" t="s">
        <v>3394</v>
      </c>
      <c r="B341" t="s">
        <v>3395</v>
      </c>
      <c r="C341" t="s">
        <v>307</v>
      </c>
      <c r="D341" t="s">
        <v>3396</v>
      </c>
    </row>
    <row r="342" spans="1:4" x14ac:dyDescent="0.35">
      <c r="A342" t="s">
        <v>3397</v>
      </c>
      <c r="B342" t="s">
        <v>3398</v>
      </c>
      <c r="C342" t="s">
        <v>308</v>
      </c>
      <c r="D342" t="s">
        <v>3399</v>
      </c>
    </row>
    <row r="343" spans="1:4" x14ac:dyDescent="0.35">
      <c r="A343" t="s">
        <v>3400</v>
      </c>
      <c r="B343" t="s">
        <v>3401</v>
      </c>
      <c r="C343" t="s">
        <v>308</v>
      </c>
      <c r="D343" t="s">
        <v>3402</v>
      </c>
    </row>
    <row r="344" spans="1:4" x14ac:dyDescent="0.35">
      <c r="A344" t="s">
        <v>3403</v>
      </c>
      <c r="B344" t="s">
        <v>3404</v>
      </c>
      <c r="C344" t="s">
        <v>308</v>
      </c>
      <c r="D344" t="s">
        <v>3405</v>
      </c>
    </row>
    <row r="345" spans="1:4" x14ac:dyDescent="0.35">
      <c r="A345" t="s">
        <v>3406</v>
      </c>
      <c r="B345" t="s">
        <v>3407</v>
      </c>
      <c r="C345" t="s">
        <v>308</v>
      </c>
      <c r="D345" t="s">
        <v>3408</v>
      </c>
    </row>
    <row r="346" spans="1:4" x14ac:dyDescent="0.35">
      <c r="A346" t="s">
        <v>3409</v>
      </c>
      <c r="B346" t="s">
        <v>3410</v>
      </c>
      <c r="C346" t="s">
        <v>309</v>
      </c>
      <c r="D346" t="s">
        <v>3411</v>
      </c>
    </row>
    <row r="347" spans="1:4" x14ac:dyDescent="0.35">
      <c r="A347" t="s">
        <v>3412</v>
      </c>
      <c r="B347" t="s">
        <v>3413</v>
      </c>
      <c r="C347" t="s">
        <v>310</v>
      </c>
      <c r="D347" t="s">
        <v>3414</v>
      </c>
    </row>
    <row r="348" spans="1:4" x14ac:dyDescent="0.35">
      <c r="A348" t="s">
        <v>3415</v>
      </c>
      <c r="B348" t="s">
        <v>3416</v>
      </c>
      <c r="C348" t="s">
        <v>311</v>
      </c>
      <c r="D348" t="s">
        <v>3417</v>
      </c>
    </row>
    <row r="349" spans="1:4" x14ac:dyDescent="0.35">
      <c r="A349" t="s">
        <v>3418</v>
      </c>
      <c r="B349" t="s">
        <v>3419</v>
      </c>
      <c r="C349" t="s">
        <v>312</v>
      </c>
      <c r="D349" t="s">
        <v>3420</v>
      </c>
    </row>
    <row r="350" spans="1:4" x14ac:dyDescent="0.35">
      <c r="A350" t="s">
        <v>3421</v>
      </c>
      <c r="B350" t="s">
        <v>2794</v>
      </c>
      <c r="C350" t="s">
        <v>312</v>
      </c>
      <c r="D350" t="s">
        <v>3422</v>
      </c>
    </row>
    <row r="351" spans="1:4" x14ac:dyDescent="0.35">
      <c r="A351" t="s">
        <v>3423</v>
      </c>
      <c r="B351" t="s">
        <v>3424</v>
      </c>
      <c r="C351" t="s">
        <v>312</v>
      </c>
      <c r="D351" t="s">
        <v>3425</v>
      </c>
    </row>
    <row r="352" spans="1:4" x14ac:dyDescent="0.35">
      <c r="A352" t="s">
        <v>3426</v>
      </c>
      <c r="B352" t="s">
        <v>3427</v>
      </c>
      <c r="C352" t="s">
        <v>312</v>
      </c>
      <c r="D352" t="s">
        <v>3428</v>
      </c>
    </row>
    <row r="353" spans="1:4" x14ac:dyDescent="0.35">
      <c r="A353" t="s">
        <v>3429</v>
      </c>
      <c r="B353" t="s">
        <v>3430</v>
      </c>
      <c r="C353" t="s">
        <v>312</v>
      </c>
      <c r="D353" t="s">
        <v>3431</v>
      </c>
    </row>
    <row r="354" spans="1:4" x14ac:dyDescent="0.35">
      <c r="A354" t="s">
        <v>3432</v>
      </c>
      <c r="B354" t="s">
        <v>3433</v>
      </c>
      <c r="C354" t="s">
        <v>312</v>
      </c>
      <c r="D354" t="s">
        <v>3434</v>
      </c>
    </row>
    <row r="355" spans="1:4" x14ac:dyDescent="0.35">
      <c r="A355" t="s">
        <v>3435</v>
      </c>
      <c r="B355" t="s">
        <v>3436</v>
      </c>
      <c r="C355" t="s">
        <v>313</v>
      </c>
      <c r="D355" t="s">
        <v>3437</v>
      </c>
    </row>
    <row r="356" spans="1:4" x14ac:dyDescent="0.35">
      <c r="A356" t="s">
        <v>3438</v>
      </c>
      <c r="B356" t="s">
        <v>3439</v>
      </c>
      <c r="C356" t="s">
        <v>314</v>
      </c>
      <c r="D356" t="s">
        <v>3440</v>
      </c>
    </row>
    <row r="357" spans="1:4" x14ac:dyDescent="0.35">
      <c r="A357" t="s">
        <v>3441</v>
      </c>
      <c r="B357" t="s">
        <v>3442</v>
      </c>
      <c r="C357" t="s">
        <v>315</v>
      </c>
      <c r="D357" t="s">
        <v>3443</v>
      </c>
    </row>
    <row r="358" spans="1:4" x14ac:dyDescent="0.35">
      <c r="A358" t="s">
        <v>3444</v>
      </c>
      <c r="B358" t="s">
        <v>3445</v>
      </c>
      <c r="C358" t="s">
        <v>316</v>
      </c>
      <c r="D358" t="s">
        <v>3446</v>
      </c>
    </row>
    <row r="359" spans="1:4" x14ac:dyDescent="0.35">
      <c r="A359" t="s">
        <v>3447</v>
      </c>
      <c r="B359" t="s">
        <v>3448</v>
      </c>
      <c r="C359" t="s">
        <v>317</v>
      </c>
      <c r="D359" t="s">
        <v>3449</v>
      </c>
    </row>
    <row r="360" spans="1:4" x14ac:dyDescent="0.35">
      <c r="A360" t="s">
        <v>3450</v>
      </c>
      <c r="B360" t="s">
        <v>3451</v>
      </c>
      <c r="C360" t="s">
        <v>318</v>
      </c>
      <c r="D360" t="s">
        <v>3452</v>
      </c>
    </row>
    <row r="361" spans="1:4" x14ac:dyDescent="0.35">
      <c r="A361" t="s">
        <v>3453</v>
      </c>
      <c r="B361" t="s">
        <v>3454</v>
      </c>
      <c r="C361" t="s">
        <v>319</v>
      </c>
      <c r="D361" t="s">
        <v>3455</v>
      </c>
    </row>
    <row r="362" spans="1:4" x14ac:dyDescent="0.35">
      <c r="A362" t="s">
        <v>3456</v>
      </c>
      <c r="B362" t="s">
        <v>3457</v>
      </c>
      <c r="C362" t="s">
        <v>320</v>
      </c>
      <c r="D362" t="s">
        <v>3458</v>
      </c>
    </row>
    <row r="363" spans="1:4" x14ac:dyDescent="0.35">
      <c r="A363" t="s">
        <v>3459</v>
      </c>
      <c r="B363" t="s">
        <v>3460</v>
      </c>
      <c r="C363" t="s">
        <v>321</v>
      </c>
      <c r="D363" t="s">
        <v>3461</v>
      </c>
    </row>
    <row r="364" spans="1:4" x14ac:dyDescent="0.35">
      <c r="A364" t="s">
        <v>3462</v>
      </c>
      <c r="B364" t="s">
        <v>3463</v>
      </c>
      <c r="C364" t="s">
        <v>322</v>
      </c>
      <c r="D364" t="s">
        <v>3464</v>
      </c>
    </row>
    <row r="365" spans="1:4" x14ac:dyDescent="0.35">
      <c r="A365" t="s">
        <v>3465</v>
      </c>
      <c r="B365" t="s">
        <v>3466</v>
      </c>
      <c r="C365" t="s">
        <v>323</v>
      </c>
      <c r="D365" t="s">
        <v>3467</v>
      </c>
    </row>
    <row r="366" spans="1:4" x14ac:dyDescent="0.35">
      <c r="A366" t="s">
        <v>3468</v>
      </c>
      <c r="B366" t="s">
        <v>3469</v>
      </c>
      <c r="C366" t="s">
        <v>324</v>
      </c>
      <c r="D366" t="s">
        <v>3470</v>
      </c>
    </row>
    <row r="367" spans="1:4" x14ac:dyDescent="0.35">
      <c r="A367" t="s">
        <v>3471</v>
      </c>
      <c r="B367" t="s">
        <v>3472</v>
      </c>
      <c r="C367" t="s">
        <v>325</v>
      </c>
      <c r="D367" t="s">
        <v>3473</v>
      </c>
    </row>
    <row r="368" spans="1:4" x14ac:dyDescent="0.35">
      <c r="A368" t="s">
        <v>3474</v>
      </c>
      <c r="B368" t="s">
        <v>3475</v>
      </c>
      <c r="C368" t="s">
        <v>326</v>
      </c>
      <c r="D368" t="s">
        <v>3476</v>
      </c>
    </row>
    <row r="369" spans="1:4" x14ac:dyDescent="0.35">
      <c r="A369" t="s">
        <v>3477</v>
      </c>
      <c r="B369" t="s">
        <v>3478</v>
      </c>
      <c r="C369" t="s">
        <v>327</v>
      </c>
      <c r="D369" t="s">
        <v>3479</v>
      </c>
    </row>
    <row r="370" spans="1:4" x14ac:dyDescent="0.35">
      <c r="A370" t="s">
        <v>3480</v>
      </c>
      <c r="B370" t="s">
        <v>3481</v>
      </c>
      <c r="C370" t="s">
        <v>328</v>
      </c>
      <c r="D370" t="s">
        <v>3482</v>
      </c>
    </row>
    <row r="371" spans="1:4" x14ac:dyDescent="0.35">
      <c r="A371" t="s">
        <v>3483</v>
      </c>
      <c r="B371" t="s">
        <v>3484</v>
      </c>
      <c r="C371" t="s">
        <v>329</v>
      </c>
      <c r="D371" t="s">
        <v>3485</v>
      </c>
    </row>
    <row r="372" spans="1:4" x14ac:dyDescent="0.35">
      <c r="A372" t="s">
        <v>3486</v>
      </c>
      <c r="B372" t="s">
        <v>3487</v>
      </c>
      <c r="C372" t="s">
        <v>332</v>
      </c>
      <c r="D372" t="s">
        <v>3488</v>
      </c>
    </row>
    <row r="373" spans="1:4" x14ac:dyDescent="0.35">
      <c r="A373" t="s">
        <v>3489</v>
      </c>
      <c r="B373" t="s">
        <v>3490</v>
      </c>
      <c r="C373" t="s">
        <v>333</v>
      </c>
      <c r="D373" t="s">
        <v>3491</v>
      </c>
    </row>
    <row r="374" spans="1:4" x14ac:dyDescent="0.35">
      <c r="A374" t="s">
        <v>3492</v>
      </c>
      <c r="B374" t="s">
        <v>3493</v>
      </c>
      <c r="C374" t="s">
        <v>334</v>
      </c>
      <c r="D374" t="s">
        <v>3494</v>
      </c>
    </row>
    <row r="375" spans="1:4" x14ac:dyDescent="0.35">
      <c r="A375" t="s">
        <v>3495</v>
      </c>
      <c r="B375" t="s">
        <v>3496</v>
      </c>
      <c r="C375" t="s">
        <v>335</v>
      </c>
      <c r="D375" t="s">
        <v>3497</v>
      </c>
    </row>
    <row r="376" spans="1:4" x14ac:dyDescent="0.35">
      <c r="A376" t="s">
        <v>3498</v>
      </c>
      <c r="B376" t="s">
        <v>3499</v>
      </c>
      <c r="C376" t="s">
        <v>336</v>
      </c>
      <c r="D376" t="s">
        <v>3500</v>
      </c>
    </row>
    <row r="377" spans="1:4" x14ac:dyDescent="0.35">
      <c r="A377" t="s">
        <v>3501</v>
      </c>
      <c r="B377" t="s">
        <v>3502</v>
      </c>
      <c r="C377" t="s">
        <v>337</v>
      </c>
      <c r="D377" t="s">
        <v>3503</v>
      </c>
    </row>
    <row r="378" spans="1:4" x14ac:dyDescent="0.35">
      <c r="A378" t="s">
        <v>3504</v>
      </c>
      <c r="B378" t="s">
        <v>3505</v>
      </c>
      <c r="C378" t="s">
        <v>338</v>
      </c>
      <c r="D378" t="s">
        <v>3506</v>
      </c>
    </row>
    <row r="379" spans="1:4" x14ac:dyDescent="0.35">
      <c r="A379" t="s">
        <v>3507</v>
      </c>
      <c r="B379" t="s">
        <v>3508</v>
      </c>
      <c r="C379" t="s">
        <v>340</v>
      </c>
      <c r="D379" t="s">
        <v>3509</v>
      </c>
    </row>
    <row r="380" spans="1:4" x14ac:dyDescent="0.35">
      <c r="A380" t="s">
        <v>3510</v>
      </c>
      <c r="B380" t="s">
        <v>3062</v>
      </c>
      <c r="C380" t="s">
        <v>341</v>
      </c>
      <c r="D380" t="s">
        <v>3511</v>
      </c>
    </row>
    <row r="381" spans="1:4" x14ac:dyDescent="0.35">
      <c r="A381" t="s">
        <v>3512</v>
      </c>
      <c r="B381" t="s">
        <v>3513</v>
      </c>
      <c r="C381" t="s">
        <v>342</v>
      </c>
      <c r="D381" t="s">
        <v>3514</v>
      </c>
    </row>
    <row r="382" spans="1:4" x14ac:dyDescent="0.35">
      <c r="A382" t="s">
        <v>3515</v>
      </c>
      <c r="B382" t="s">
        <v>3516</v>
      </c>
      <c r="C382" t="s">
        <v>343</v>
      </c>
      <c r="D382" t="s">
        <v>3517</v>
      </c>
    </row>
    <row r="383" spans="1:4" x14ac:dyDescent="0.35">
      <c r="A383" t="s">
        <v>3518</v>
      </c>
      <c r="B383" t="s">
        <v>3519</v>
      </c>
      <c r="C383" t="s">
        <v>344</v>
      </c>
      <c r="D383" t="s">
        <v>3520</v>
      </c>
    </row>
    <row r="384" spans="1:4" x14ac:dyDescent="0.35">
      <c r="A384" t="s">
        <v>3521</v>
      </c>
      <c r="B384" t="s">
        <v>3522</v>
      </c>
      <c r="C384" t="s">
        <v>345</v>
      </c>
      <c r="D384" t="s">
        <v>3523</v>
      </c>
    </row>
    <row r="385" spans="1:4" x14ac:dyDescent="0.35">
      <c r="A385" t="s">
        <v>3524</v>
      </c>
      <c r="B385" t="s">
        <v>2683</v>
      </c>
      <c r="C385" t="s">
        <v>346</v>
      </c>
      <c r="D385" t="s">
        <v>3525</v>
      </c>
    </row>
    <row r="386" spans="1:4" x14ac:dyDescent="0.35">
      <c r="A386" t="s">
        <v>3526</v>
      </c>
      <c r="B386" t="s">
        <v>3527</v>
      </c>
      <c r="C386" t="s">
        <v>347</v>
      </c>
      <c r="D386" t="s">
        <v>3528</v>
      </c>
    </row>
    <row r="387" spans="1:4" x14ac:dyDescent="0.35">
      <c r="A387" t="s">
        <v>3529</v>
      </c>
      <c r="B387" t="s">
        <v>3530</v>
      </c>
      <c r="C387" t="s">
        <v>348</v>
      </c>
      <c r="D387" t="s">
        <v>3531</v>
      </c>
    </row>
    <row r="388" spans="1:4" x14ac:dyDescent="0.35">
      <c r="A388" t="s">
        <v>3532</v>
      </c>
      <c r="B388" t="s">
        <v>3533</v>
      </c>
      <c r="C388" t="s">
        <v>349</v>
      </c>
      <c r="D388" t="s">
        <v>3534</v>
      </c>
    </row>
    <row r="389" spans="1:4" x14ac:dyDescent="0.35">
      <c r="A389" t="s">
        <v>3535</v>
      </c>
      <c r="B389" t="s">
        <v>3536</v>
      </c>
      <c r="C389" t="s">
        <v>350</v>
      </c>
      <c r="D389" t="s">
        <v>3537</v>
      </c>
    </row>
    <row r="390" spans="1:4" x14ac:dyDescent="0.35">
      <c r="A390" t="s">
        <v>3538</v>
      </c>
      <c r="B390" t="s">
        <v>3539</v>
      </c>
      <c r="C390" t="s">
        <v>350</v>
      </c>
      <c r="D390" t="s">
        <v>3540</v>
      </c>
    </row>
    <row r="391" spans="1:4" x14ac:dyDescent="0.35">
      <c r="A391" t="s">
        <v>3541</v>
      </c>
      <c r="B391" t="s">
        <v>3542</v>
      </c>
      <c r="C391" t="s">
        <v>351</v>
      </c>
      <c r="D391" t="s">
        <v>3543</v>
      </c>
    </row>
    <row r="392" spans="1:4" x14ac:dyDescent="0.35">
      <c r="A392" t="s">
        <v>3544</v>
      </c>
      <c r="B392" t="s">
        <v>3545</v>
      </c>
      <c r="C392" t="s">
        <v>352</v>
      </c>
      <c r="D392" t="s">
        <v>3546</v>
      </c>
    </row>
    <row r="393" spans="1:4" x14ac:dyDescent="0.35">
      <c r="A393" t="s">
        <v>3547</v>
      </c>
      <c r="B393" t="s">
        <v>3548</v>
      </c>
      <c r="C393" t="s">
        <v>353</v>
      </c>
      <c r="D393" t="s">
        <v>3549</v>
      </c>
    </row>
    <row r="394" spans="1:4" x14ac:dyDescent="0.35">
      <c r="A394" t="s">
        <v>3550</v>
      </c>
      <c r="B394" t="s">
        <v>3551</v>
      </c>
      <c r="C394" t="s">
        <v>354</v>
      </c>
      <c r="D394" t="s">
        <v>3552</v>
      </c>
    </row>
    <row r="395" spans="1:4" x14ac:dyDescent="0.35">
      <c r="A395" t="s">
        <v>3553</v>
      </c>
      <c r="B395" t="s">
        <v>3554</v>
      </c>
      <c r="C395" t="s">
        <v>355</v>
      </c>
      <c r="D395" t="s">
        <v>3555</v>
      </c>
    </row>
    <row r="396" spans="1:4" x14ac:dyDescent="0.35">
      <c r="A396" t="s">
        <v>3556</v>
      </c>
      <c r="B396" t="s">
        <v>3557</v>
      </c>
      <c r="C396" t="s">
        <v>356</v>
      </c>
      <c r="D396" t="s">
        <v>3558</v>
      </c>
    </row>
    <row r="397" spans="1:4" x14ac:dyDescent="0.35">
      <c r="A397" t="s">
        <v>3559</v>
      </c>
      <c r="B397" t="s">
        <v>3551</v>
      </c>
      <c r="C397" t="s">
        <v>357</v>
      </c>
      <c r="D397" t="s">
        <v>3560</v>
      </c>
    </row>
    <row r="398" spans="1:4" x14ac:dyDescent="0.35">
      <c r="A398" t="s">
        <v>3561</v>
      </c>
      <c r="B398" t="s">
        <v>3562</v>
      </c>
      <c r="C398" t="s">
        <v>358</v>
      </c>
      <c r="D398" t="s">
        <v>3563</v>
      </c>
    </row>
    <row r="399" spans="1:4" x14ac:dyDescent="0.35">
      <c r="A399" t="s">
        <v>3564</v>
      </c>
      <c r="B399" t="s">
        <v>3565</v>
      </c>
      <c r="C399" t="s">
        <v>359</v>
      </c>
      <c r="D399" t="s">
        <v>3566</v>
      </c>
    </row>
    <row r="400" spans="1:4" x14ac:dyDescent="0.35">
      <c r="A400" t="s">
        <v>3567</v>
      </c>
      <c r="B400" t="s">
        <v>3568</v>
      </c>
      <c r="C400" t="s">
        <v>360</v>
      </c>
      <c r="D400" t="s">
        <v>3569</v>
      </c>
    </row>
    <row r="401" spans="1:4" x14ac:dyDescent="0.35">
      <c r="A401" t="s">
        <v>3570</v>
      </c>
      <c r="B401" t="s">
        <v>3571</v>
      </c>
      <c r="C401" t="s">
        <v>361</v>
      </c>
      <c r="D401" t="s">
        <v>3572</v>
      </c>
    </row>
    <row r="402" spans="1:4" x14ac:dyDescent="0.35">
      <c r="A402" t="s">
        <v>3573</v>
      </c>
      <c r="B402" t="s">
        <v>3574</v>
      </c>
      <c r="C402" t="s">
        <v>362</v>
      </c>
      <c r="D402" t="s">
        <v>3575</v>
      </c>
    </row>
    <row r="403" spans="1:4" x14ac:dyDescent="0.35">
      <c r="A403" t="s">
        <v>3576</v>
      </c>
      <c r="B403" t="s">
        <v>3577</v>
      </c>
      <c r="C403" t="s">
        <v>363</v>
      </c>
      <c r="D403" t="s">
        <v>3578</v>
      </c>
    </row>
    <row r="404" spans="1:4" x14ac:dyDescent="0.35">
      <c r="A404" t="s">
        <v>3579</v>
      </c>
      <c r="B404" t="s">
        <v>3580</v>
      </c>
      <c r="C404" t="s">
        <v>364</v>
      </c>
      <c r="D404" t="s">
        <v>3581</v>
      </c>
    </row>
    <row r="405" spans="1:4" x14ac:dyDescent="0.35">
      <c r="A405" t="s">
        <v>3582</v>
      </c>
      <c r="B405" t="s">
        <v>3583</v>
      </c>
      <c r="C405" t="s">
        <v>364</v>
      </c>
      <c r="D405" t="s">
        <v>3584</v>
      </c>
    </row>
    <row r="406" spans="1:4" x14ac:dyDescent="0.35">
      <c r="A406" t="s">
        <v>3585</v>
      </c>
      <c r="B406" t="s">
        <v>3586</v>
      </c>
      <c r="C406" t="s">
        <v>364</v>
      </c>
      <c r="D406" t="s">
        <v>3587</v>
      </c>
    </row>
    <row r="407" spans="1:4" x14ac:dyDescent="0.35">
      <c r="A407" t="s">
        <v>3588</v>
      </c>
      <c r="B407" t="s">
        <v>3589</v>
      </c>
      <c r="C407" t="s">
        <v>364</v>
      </c>
      <c r="D407" t="s">
        <v>3590</v>
      </c>
    </row>
    <row r="408" spans="1:4" x14ac:dyDescent="0.35">
      <c r="A408" t="s">
        <v>3591</v>
      </c>
      <c r="B408" t="s">
        <v>3592</v>
      </c>
      <c r="C408" t="s">
        <v>366</v>
      </c>
      <c r="D408" t="s">
        <v>3593</v>
      </c>
    </row>
    <row r="409" spans="1:4" x14ac:dyDescent="0.35">
      <c r="A409" t="s">
        <v>3594</v>
      </c>
      <c r="B409" t="s">
        <v>3595</v>
      </c>
      <c r="C409" t="s">
        <v>367</v>
      </c>
      <c r="D409" t="s">
        <v>3596</v>
      </c>
    </row>
    <row r="410" spans="1:4" x14ac:dyDescent="0.35">
      <c r="A410" t="s">
        <v>3597</v>
      </c>
      <c r="B410" t="s">
        <v>3598</v>
      </c>
      <c r="C410" t="s">
        <v>367</v>
      </c>
      <c r="D410" t="s">
        <v>3599</v>
      </c>
    </row>
    <row r="411" spans="1:4" x14ac:dyDescent="0.35">
      <c r="A411" t="s">
        <v>3600</v>
      </c>
      <c r="B411" t="s">
        <v>3601</v>
      </c>
      <c r="C411" t="s">
        <v>368</v>
      </c>
      <c r="D411" t="s">
        <v>3602</v>
      </c>
    </row>
    <row r="412" spans="1:4" x14ac:dyDescent="0.35">
      <c r="A412" t="s">
        <v>3603</v>
      </c>
      <c r="B412" t="s">
        <v>3604</v>
      </c>
      <c r="C412" t="s">
        <v>369</v>
      </c>
      <c r="D412" t="s">
        <v>3605</v>
      </c>
    </row>
    <row r="413" spans="1:4" x14ac:dyDescent="0.35">
      <c r="A413" t="s">
        <v>3606</v>
      </c>
      <c r="B413" t="s">
        <v>3607</v>
      </c>
      <c r="C413" t="s">
        <v>370</v>
      </c>
      <c r="D413" t="s">
        <v>3608</v>
      </c>
    </row>
    <row r="414" spans="1:4" x14ac:dyDescent="0.35">
      <c r="A414" t="s">
        <v>3609</v>
      </c>
      <c r="B414" t="s">
        <v>3610</v>
      </c>
      <c r="C414" t="s">
        <v>371</v>
      </c>
      <c r="D414" t="s">
        <v>3611</v>
      </c>
    </row>
    <row r="415" spans="1:4" x14ac:dyDescent="0.35">
      <c r="A415" t="s">
        <v>3612</v>
      </c>
      <c r="B415" t="s">
        <v>3613</v>
      </c>
      <c r="C415" t="s">
        <v>372</v>
      </c>
      <c r="D415" t="s">
        <v>3614</v>
      </c>
    </row>
    <row r="416" spans="1:4" x14ac:dyDescent="0.35">
      <c r="A416" t="s">
        <v>3615</v>
      </c>
      <c r="B416" t="s">
        <v>3616</v>
      </c>
      <c r="C416" t="s">
        <v>373</v>
      </c>
      <c r="D416" t="s">
        <v>3617</v>
      </c>
    </row>
    <row r="417" spans="1:4" x14ac:dyDescent="0.35">
      <c r="A417" t="s">
        <v>3618</v>
      </c>
      <c r="B417" t="s">
        <v>3619</v>
      </c>
      <c r="C417" t="s">
        <v>374</v>
      </c>
      <c r="D417" t="s">
        <v>3620</v>
      </c>
    </row>
    <row r="418" spans="1:4" x14ac:dyDescent="0.35">
      <c r="A418" t="s">
        <v>3621</v>
      </c>
      <c r="B418" t="s">
        <v>3622</v>
      </c>
      <c r="C418" t="s">
        <v>375</v>
      </c>
      <c r="D418" t="s">
        <v>3623</v>
      </c>
    </row>
    <row r="419" spans="1:4" x14ac:dyDescent="0.35">
      <c r="A419" t="s">
        <v>3624</v>
      </c>
      <c r="B419" t="s">
        <v>3625</v>
      </c>
      <c r="C419" t="s">
        <v>376</v>
      </c>
      <c r="D419" t="s">
        <v>3626</v>
      </c>
    </row>
    <row r="420" spans="1:4" x14ac:dyDescent="0.35">
      <c r="A420" t="s">
        <v>3627</v>
      </c>
      <c r="B420" t="s">
        <v>3548</v>
      </c>
      <c r="C420" t="s">
        <v>377</v>
      </c>
      <c r="D420" t="s">
        <v>3628</v>
      </c>
    </row>
    <row r="421" spans="1:4" x14ac:dyDescent="0.35">
      <c r="A421" t="s">
        <v>3629</v>
      </c>
      <c r="B421" t="s">
        <v>3630</v>
      </c>
      <c r="C421" t="s">
        <v>378</v>
      </c>
      <c r="D421" t="s">
        <v>3631</v>
      </c>
    </row>
    <row r="422" spans="1:4" x14ac:dyDescent="0.35">
      <c r="A422" t="s">
        <v>3632</v>
      </c>
      <c r="B422" t="s">
        <v>3184</v>
      </c>
      <c r="C422" t="s">
        <v>379</v>
      </c>
      <c r="D422" t="s">
        <v>3633</v>
      </c>
    </row>
    <row r="423" spans="1:4" x14ac:dyDescent="0.35">
      <c r="A423" t="s">
        <v>3634</v>
      </c>
      <c r="B423" t="s">
        <v>2482</v>
      </c>
      <c r="C423" t="s">
        <v>380</v>
      </c>
      <c r="D423" t="s">
        <v>3635</v>
      </c>
    </row>
    <row r="424" spans="1:4" x14ac:dyDescent="0.35">
      <c r="A424" t="s">
        <v>3636</v>
      </c>
      <c r="B424" t="s">
        <v>3637</v>
      </c>
      <c r="C424" t="s">
        <v>381</v>
      </c>
      <c r="D424" t="s">
        <v>3638</v>
      </c>
    </row>
    <row r="425" spans="1:4" x14ac:dyDescent="0.35">
      <c r="A425" t="s">
        <v>3639</v>
      </c>
      <c r="B425" t="s">
        <v>2455</v>
      </c>
      <c r="C425" t="s">
        <v>381</v>
      </c>
      <c r="D425" t="s">
        <v>3640</v>
      </c>
    </row>
    <row r="426" spans="1:4" x14ac:dyDescent="0.35">
      <c r="A426" t="s">
        <v>3641</v>
      </c>
      <c r="B426" t="s">
        <v>3642</v>
      </c>
      <c r="C426" t="s">
        <v>381</v>
      </c>
      <c r="D426" t="s">
        <v>3643</v>
      </c>
    </row>
    <row r="427" spans="1:4" x14ac:dyDescent="0.35">
      <c r="A427" t="s">
        <v>3644</v>
      </c>
      <c r="B427" t="s">
        <v>3645</v>
      </c>
      <c r="C427" t="s">
        <v>381</v>
      </c>
      <c r="D427" t="s">
        <v>3646</v>
      </c>
    </row>
    <row r="428" spans="1:4" x14ac:dyDescent="0.35">
      <c r="A428" t="s">
        <v>3647</v>
      </c>
      <c r="B428" t="s">
        <v>3648</v>
      </c>
      <c r="C428" t="s">
        <v>381</v>
      </c>
      <c r="D428" t="s">
        <v>3649</v>
      </c>
    </row>
    <row r="429" spans="1:4" x14ac:dyDescent="0.35">
      <c r="A429" t="s">
        <v>3650</v>
      </c>
      <c r="B429" t="s">
        <v>3651</v>
      </c>
      <c r="C429" t="s">
        <v>381</v>
      </c>
      <c r="D429" t="s">
        <v>3652</v>
      </c>
    </row>
    <row r="430" spans="1:4" x14ac:dyDescent="0.35">
      <c r="A430" t="s">
        <v>3653</v>
      </c>
      <c r="B430" t="s">
        <v>3654</v>
      </c>
      <c r="C430" t="s">
        <v>381</v>
      </c>
      <c r="D430" t="s">
        <v>3655</v>
      </c>
    </row>
    <row r="431" spans="1:4" x14ac:dyDescent="0.35">
      <c r="A431" t="s">
        <v>3656</v>
      </c>
      <c r="B431" t="s">
        <v>3657</v>
      </c>
      <c r="C431" t="s">
        <v>381</v>
      </c>
      <c r="D431" t="s">
        <v>3658</v>
      </c>
    </row>
    <row r="432" spans="1:4" x14ac:dyDescent="0.35">
      <c r="A432" t="s">
        <v>3659</v>
      </c>
      <c r="B432" t="s">
        <v>2854</v>
      </c>
      <c r="C432" t="s">
        <v>382</v>
      </c>
      <c r="D432" t="s">
        <v>3660</v>
      </c>
    </row>
    <row r="433" spans="1:4" x14ac:dyDescent="0.35">
      <c r="A433" t="s">
        <v>3661</v>
      </c>
      <c r="B433" t="s">
        <v>3662</v>
      </c>
      <c r="C433" t="s">
        <v>385</v>
      </c>
      <c r="D433" t="s">
        <v>3663</v>
      </c>
    </row>
    <row r="434" spans="1:4" x14ac:dyDescent="0.35">
      <c r="A434" t="s">
        <v>3664</v>
      </c>
      <c r="B434" t="s">
        <v>3404</v>
      </c>
      <c r="C434" t="s">
        <v>385</v>
      </c>
      <c r="D434" t="s">
        <v>3665</v>
      </c>
    </row>
    <row r="435" spans="1:4" x14ac:dyDescent="0.35">
      <c r="A435" t="s">
        <v>3666</v>
      </c>
      <c r="B435" t="s">
        <v>3667</v>
      </c>
      <c r="C435" t="s">
        <v>385</v>
      </c>
      <c r="D435" t="s">
        <v>3668</v>
      </c>
    </row>
    <row r="436" spans="1:4" x14ac:dyDescent="0.35">
      <c r="A436" t="s">
        <v>3669</v>
      </c>
      <c r="B436" t="s">
        <v>3670</v>
      </c>
      <c r="C436" t="s">
        <v>385</v>
      </c>
      <c r="D436" t="s">
        <v>3671</v>
      </c>
    </row>
    <row r="437" spans="1:4" x14ac:dyDescent="0.35">
      <c r="A437" t="s">
        <v>3672</v>
      </c>
      <c r="B437" t="s">
        <v>3673</v>
      </c>
      <c r="C437" t="s">
        <v>386</v>
      </c>
      <c r="D437" t="s">
        <v>3674</v>
      </c>
    </row>
    <row r="438" spans="1:4" x14ac:dyDescent="0.35">
      <c r="A438" t="s">
        <v>3675</v>
      </c>
      <c r="B438" t="s">
        <v>3676</v>
      </c>
      <c r="C438" t="s">
        <v>387</v>
      </c>
      <c r="D438" t="s">
        <v>3677</v>
      </c>
    </row>
    <row r="439" spans="1:4" x14ac:dyDescent="0.35">
      <c r="A439" t="s">
        <v>3678</v>
      </c>
      <c r="B439" t="s">
        <v>3679</v>
      </c>
      <c r="C439" t="s">
        <v>388</v>
      </c>
      <c r="D439" t="s">
        <v>3680</v>
      </c>
    </row>
    <row r="440" spans="1:4" x14ac:dyDescent="0.35">
      <c r="A440" t="s">
        <v>3681</v>
      </c>
      <c r="B440" t="s">
        <v>3682</v>
      </c>
      <c r="C440" t="s">
        <v>389</v>
      </c>
      <c r="D440" t="s">
        <v>3683</v>
      </c>
    </row>
    <row r="441" spans="1:4" x14ac:dyDescent="0.35">
      <c r="A441" t="s">
        <v>3684</v>
      </c>
      <c r="B441" t="s">
        <v>3685</v>
      </c>
      <c r="C441" t="s">
        <v>384</v>
      </c>
      <c r="D441" t="s">
        <v>3686</v>
      </c>
    </row>
    <row r="442" spans="1:4" x14ac:dyDescent="0.35">
      <c r="A442" t="s">
        <v>3687</v>
      </c>
      <c r="B442" t="s">
        <v>3688</v>
      </c>
      <c r="C442" t="s">
        <v>390</v>
      </c>
      <c r="D442" t="s">
        <v>3689</v>
      </c>
    </row>
    <row r="443" spans="1:4" x14ac:dyDescent="0.35">
      <c r="A443" t="s">
        <v>3690</v>
      </c>
      <c r="B443" t="s">
        <v>3691</v>
      </c>
      <c r="C443" t="s">
        <v>391</v>
      </c>
      <c r="D443" t="s">
        <v>3692</v>
      </c>
    </row>
    <row r="444" spans="1:4" x14ac:dyDescent="0.35">
      <c r="A444" t="s">
        <v>3693</v>
      </c>
      <c r="B444" t="s">
        <v>3694</v>
      </c>
      <c r="C444" t="s">
        <v>392</v>
      </c>
      <c r="D444" t="s">
        <v>3695</v>
      </c>
    </row>
    <row r="445" spans="1:4" x14ac:dyDescent="0.35">
      <c r="A445" t="s">
        <v>3696</v>
      </c>
      <c r="B445" t="s">
        <v>3697</v>
      </c>
      <c r="C445" t="s">
        <v>383</v>
      </c>
      <c r="D445" t="s">
        <v>3698</v>
      </c>
    </row>
    <row r="446" spans="1:4" x14ac:dyDescent="0.35">
      <c r="A446" t="s">
        <v>3699</v>
      </c>
      <c r="B446" t="s">
        <v>3700</v>
      </c>
      <c r="C446" t="s">
        <v>394</v>
      </c>
      <c r="D446" t="s">
        <v>3701</v>
      </c>
    </row>
    <row r="447" spans="1:4" x14ac:dyDescent="0.35">
      <c r="A447" t="s">
        <v>3702</v>
      </c>
      <c r="B447" t="s">
        <v>3703</v>
      </c>
      <c r="C447" t="s">
        <v>395</v>
      </c>
      <c r="D447" t="s">
        <v>3704</v>
      </c>
    </row>
    <row r="448" spans="1:4" x14ac:dyDescent="0.35">
      <c r="A448" t="s">
        <v>3705</v>
      </c>
      <c r="B448" t="s">
        <v>3706</v>
      </c>
      <c r="C448" t="s">
        <v>396</v>
      </c>
      <c r="D448" t="s">
        <v>3707</v>
      </c>
    </row>
    <row r="449" spans="1:4" x14ac:dyDescent="0.35">
      <c r="A449" t="s">
        <v>3708</v>
      </c>
      <c r="B449" t="s">
        <v>3709</v>
      </c>
      <c r="C449" t="s">
        <v>397</v>
      </c>
      <c r="D449" t="s">
        <v>3710</v>
      </c>
    </row>
    <row r="450" spans="1:4" x14ac:dyDescent="0.35">
      <c r="A450" t="s">
        <v>3711</v>
      </c>
      <c r="B450" t="s">
        <v>3712</v>
      </c>
      <c r="C450" t="s">
        <v>397</v>
      </c>
      <c r="D450" t="s">
        <v>3713</v>
      </c>
    </row>
    <row r="451" spans="1:4" x14ac:dyDescent="0.35">
      <c r="A451" t="s">
        <v>3714</v>
      </c>
      <c r="B451" t="s">
        <v>3121</v>
      </c>
      <c r="C451" t="s">
        <v>398</v>
      </c>
      <c r="D451" t="s">
        <v>3715</v>
      </c>
    </row>
    <row r="452" spans="1:4" x14ac:dyDescent="0.35">
      <c r="A452" t="s">
        <v>3716</v>
      </c>
      <c r="B452" t="s">
        <v>3717</v>
      </c>
      <c r="C452" t="s">
        <v>399</v>
      </c>
      <c r="D452" t="s">
        <v>3718</v>
      </c>
    </row>
    <row r="453" spans="1:4" x14ac:dyDescent="0.35">
      <c r="A453" t="s">
        <v>3719</v>
      </c>
      <c r="B453" t="s">
        <v>3720</v>
      </c>
      <c r="C453" t="s">
        <v>400</v>
      </c>
      <c r="D453" t="s">
        <v>3721</v>
      </c>
    </row>
    <row r="454" spans="1:4" x14ac:dyDescent="0.35">
      <c r="A454" t="s">
        <v>3722</v>
      </c>
      <c r="B454" t="s">
        <v>3723</v>
      </c>
      <c r="C454" t="s">
        <v>401</v>
      </c>
      <c r="D454" t="s">
        <v>3724</v>
      </c>
    </row>
    <row r="455" spans="1:4" x14ac:dyDescent="0.35">
      <c r="A455" t="s">
        <v>3725</v>
      </c>
      <c r="B455" t="s">
        <v>3726</v>
      </c>
      <c r="C455" t="s">
        <v>402</v>
      </c>
      <c r="D455" t="s">
        <v>3727</v>
      </c>
    </row>
    <row r="456" spans="1:4" x14ac:dyDescent="0.35">
      <c r="A456" t="s">
        <v>3728</v>
      </c>
      <c r="B456" t="s">
        <v>3729</v>
      </c>
      <c r="C456" t="s">
        <v>403</v>
      </c>
      <c r="D456" t="s">
        <v>3730</v>
      </c>
    </row>
    <row r="457" spans="1:4" x14ac:dyDescent="0.35">
      <c r="A457" t="s">
        <v>3731</v>
      </c>
      <c r="B457" t="s">
        <v>3732</v>
      </c>
      <c r="C457" t="s">
        <v>404</v>
      </c>
      <c r="D457" t="s">
        <v>3733</v>
      </c>
    </row>
    <row r="458" spans="1:4" x14ac:dyDescent="0.35">
      <c r="A458" t="s">
        <v>3734</v>
      </c>
      <c r="B458" t="s">
        <v>3735</v>
      </c>
      <c r="C458" t="s">
        <v>405</v>
      </c>
      <c r="D458" t="s">
        <v>3736</v>
      </c>
    </row>
    <row r="459" spans="1:4" x14ac:dyDescent="0.35">
      <c r="A459" t="s">
        <v>3737</v>
      </c>
      <c r="B459" t="s">
        <v>3662</v>
      </c>
      <c r="C459" t="s">
        <v>406</v>
      </c>
      <c r="D459" t="s">
        <v>3738</v>
      </c>
    </row>
    <row r="460" spans="1:4" x14ac:dyDescent="0.35">
      <c r="A460" t="s">
        <v>3739</v>
      </c>
      <c r="B460" t="s">
        <v>3740</v>
      </c>
      <c r="C460" t="s">
        <v>407</v>
      </c>
      <c r="D460" t="s">
        <v>3741</v>
      </c>
    </row>
    <row r="461" spans="1:4" x14ac:dyDescent="0.35">
      <c r="A461" t="s">
        <v>3742</v>
      </c>
      <c r="B461" t="s">
        <v>3743</v>
      </c>
      <c r="C461" t="s">
        <v>407</v>
      </c>
      <c r="D461" t="s">
        <v>3744</v>
      </c>
    </row>
    <row r="462" spans="1:4" x14ac:dyDescent="0.35">
      <c r="A462" t="s">
        <v>3745</v>
      </c>
      <c r="B462" t="s">
        <v>3746</v>
      </c>
      <c r="C462" t="s">
        <v>408</v>
      </c>
      <c r="D462" t="s">
        <v>3747</v>
      </c>
    </row>
    <row r="463" spans="1:4" x14ac:dyDescent="0.35">
      <c r="A463" t="s">
        <v>3748</v>
      </c>
      <c r="B463" t="s">
        <v>3749</v>
      </c>
      <c r="C463" t="s">
        <v>409</v>
      </c>
      <c r="D463" t="s">
        <v>3750</v>
      </c>
    </row>
    <row r="464" spans="1:4" x14ac:dyDescent="0.35">
      <c r="A464" t="s">
        <v>3751</v>
      </c>
      <c r="B464" t="s">
        <v>3752</v>
      </c>
      <c r="C464" t="s">
        <v>410</v>
      </c>
      <c r="D464" t="s">
        <v>3753</v>
      </c>
    </row>
    <row r="465" spans="1:4" x14ac:dyDescent="0.35">
      <c r="A465" t="s">
        <v>3754</v>
      </c>
      <c r="B465" t="s">
        <v>3755</v>
      </c>
      <c r="C465" t="s">
        <v>411</v>
      </c>
      <c r="D465" t="s">
        <v>3756</v>
      </c>
    </row>
    <row r="466" spans="1:4" x14ac:dyDescent="0.35">
      <c r="A466" t="s">
        <v>3757</v>
      </c>
      <c r="B466" t="s">
        <v>3758</v>
      </c>
      <c r="C466" t="s">
        <v>412</v>
      </c>
      <c r="D466" t="s">
        <v>3759</v>
      </c>
    </row>
    <row r="467" spans="1:4" x14ac:dyDescent="0.35">
      <c r="A467" t="s">
        <v>3760</v>
      </c>
      <c r="B467" t="s">
        <v>3761</v>
      </c>
      <c r="C467" t="s">
        <v>413</v>
      </c>
      <c r="D467" t="s">
        <v>3762</v>
      </c>
    </row>
    <row r="468" spans="1:4" x14ac:dyDescent="0.35">
      <c r="A468" t="s">
        <v>3763</v>
      </c>
      <c r="B468" t="s">
        <v>3764</v>
      </c>
      <c r="C468" t="s">
        <v>414</v>
      </c>
      <c r="D468" t="s">
        <v>3765</v>
      </c>
    </row>
    <row r="469" spans="1:4" x14ac:dyDescent="0.35">
      <c r="A469" t="s">
        <v>3766</v>
      </c>
      <c r="B469" t="s">
        <v>2413</v>
      </c>
      <c r="C469" t="s">
        <v>415</v>
      </c>
      <c r="D469" t="s">
        <v>3767</v>
      </c>
    </row>
    <row r="470" spans="1:4" x14ac:dyDescent="0.35">
      <c r="A470" t="s">
        <v>3768</v>
      </c>
      <c r="B470" t="s">
        <v>3769</v>
      </c>
      <c r="C470" t="s">
        <v>416</v>
      </c>
      <c r="D470" t="s">
        <v>3770</v>
      </c>
    </row>
    <row r="471" spans="1:4" x14ac:dyDescent="0.35">
      <c r="A471" t="s">
        <v>3771</v>
      </c>
      <c r="B471" t="s">
        <v>3772</v>
      </c>
      <c r="C471" t="s">
        <v>417</v>
      </c>
      <c r="D471" t="s">
        <v>3773</v>
      </c>
    </row>
    <row r="472" spans="1:4" x14ac:dyDescent="0.35">
      <c r="A472" t="s">
        <v>3774</v>
      </c>
      <c r="B472" t="s">
        <v>3775</v>
      </c>
      <c r="C472" t="s">
        <v>417</v>
      </c>
      <c r="D472" t="s">
        <v>3776</v>
      </c>
    </row>
    <row r="473" spans="1:4" x14ac:dyDescent="0.35">
      <c r="A473" t="s">
        <v>3777</v>
      </c>
      <c r="B473" t="s">
        <v>3778</v>
      </c>
      <c r="C473" t="s">
        <v>418</v>
      </c>
      <c r="D473" t="s">
        <v>3779</v>
      </c>
    </row>
    <row r="474" spans="1:4" x14ac:dyDescent="0.35">
      <c r="A474" t="s">
        <v>3780</v>
      </c>
      <c r="B474" t="s">
        <v>3781</v>
      </c>
      <c r="C474" t="s">
        <v>419</v>
      </c>
      <c r="D474" t="s">
        <v>3782</v>
      </c>
    </row>
    <row r="475" spans="1:4" x14ac:dyDescent="0.35">
      <c r="A475" t="s">
        <v>3783</v>
      </c>
      <c r="B475" t="s">
        <v>3121</v>
      </c>
      <c r="C475" t="s">
        <v>420</v>
      </c>
      <c r="D475" t="s">
        <v>3784</v>
      </c>
    </row>
    <row r="476" spans="1:4" x14ac:dyDescent="0.35">
      <c r="A476" t="s">
        <v>3785</v>
      </c>
      <c r="B476" t="s">
        <v>3786</v>
      </c>
      <c r="C476" t="s">
        <v>421</v>
      </c>
      <c r="D476" t="s">
        <v>3787</v>
      </c>
    </row>
    <row r="477" spans="1:4" x14ac:dyDescent="0.35">
      <c r="A477" t="s">
        <v>3788</v>
      </c>
      <c r="B477" t="s">
        <v>3789</v>
      </c>
      <c r="C477" t="s">
        <v>421</v>
      </c>
      <c r="D477" t="s">
        <v>3790</v>
      </c>
    </row>
    <row r="478" spans="1:4" x14ac:dyDescent="0.35">
      <c r="A478" t="s">
        <v>3791</v>
      </c>
      <c r="B478" t="s">
        <v>3792</v>
      </c>
      <c r="C478" t="s">
        <v>421</v>
      </c>
      <c r="D478" t="s">
        <v>3793</v>
      </c>
    </row>
    <row r="479" spans="1:4" x14ac:dyDescent="0.35">
      <c r="A479" t="s">
        <v>3794</v>
      </c>
      <c r="B479" t="s">
        <v>3795</v>
      </c>
      <c r="C479" t="s">
        <v>421</v>
      </c>
      <c r="D479" t="s">
        <v>3796</v>
      </c>
    </row>
    <row r="480" spans="1:4" x14ac:dyDescent="0.35">
      <c r="A480" t="s">
        <v>3797</v>
      </c>
      <c r="B480" t="s">
        <v>3798</v>
      </c>
      <c r="C480" t="s">
        <v>421</v>
      </c>
      <c r="D480" t="s">
        <v>3799</v>
      </c>
    </row>
    <row r="481" spans="1:4" x14ac:dyDescent="0.35">
      <c r="A481" t="s">
        <v>3800</v>
      </c>
      <c r="B481" t="s">
        <v>3801</v>
      </c>
      <c r="C481" t="s">
        <v>422</v>
      </c>
      <c r="D481" t="s">
        <v>3802</v>
      </c>
    </row>
    <row r="482" spans="1:4" x14ac:dyDescent="0.35">
      <c r="A482" t="s">
        <v>3803</v>
      </c>
      <c r="B482" t="s">
        <v>3804</v>
      </c>
      <c r="C482" t="s">
        <v>423</v>
      </c>
      <c r="D482" t="s">
        <v>3805</v>
      </c>
    </row>
    <row r="483" spans="1:4" x14ac:dyDescent="0.35">
      <c r="A483" t="s">
        <v>3806</v>
      </c>
      <c r="B483" t="s">
        <v>3807</v>
      </c>
      <c r="C483" t="s">
        <v>424</v>
      </c>
      <c r="D483" t="s">
        <v>3808</v>
      </c>
    </row>
    <row r="484" spans="1:4" x14ac:dyDescent="0.35">
      <c r="A484" t="s">
        <v>3809</v>
      </c>
      <c r="B484" t="s">
        <v>3810</v>
      </c>
      <c r="C484" t="s">
        <v>426</v>
      </c>
      <c r="D484" t="s">
        <v>3811</v>
      </c>
    </row>
    <row r="485" spans="1:4" x14ac:dyDescent="0.35">
      <c r="A485" t="s">
        <v>3812</v>
      </c>
      <c r="B485" t="s">
        <v>3813</v>
      </c>
      <c r="C485" t="s">
        <v>425</v>
      </c>
      <c r="D485" t="s">
        <v>3814</v>
      </c>
    </row>
    <row r="486" spans="1:4" x14ac:dyDescent="0.35">
      <c r="A486" t="s">
        <v>3815</v>
      </c>
      <c r="B486" t="s">
        <v>3816</v>
      </c>
      <c r="C486" t="s">
        <v>427</v>
      </c>
      <c r="D486" t="s">
        <v>3817</v>
      </c>
    </row>
    <row r="487" spans="1:4" x14ac:dyDescent="0.35">
      <c r="A487" t="s">
        <v>3818</v>
      </c>
      <c r="B487" t="s">
        <v>3819</v>
      </c>
      <c r="C487" t="s">
        <v>428</v>
      </c>
      <c r="D487" t="s">
        <v>3820</v>
      </c>
    </row>
    <row r="488" spans="1:4" x14ac:dyDescent="0.35">
      <c r="A488" t="s">
        <v>3821</v>
      </c>
      <c r="B488" t="s">
        <v>3822</v>
      </c>
      <c r="C488" t="s">
        <v>429</v>
      </c>
      <c r="D488" t="s">
        <v>3823</v>
      </c>
    </row>
    <row r="489" spans="1:4" x14ac:dyDescent="0.35">
      <c r="A489" t="s">
        <v>3824</v>
      </c>
      <c r="B489" t="s">
        <v>3825</v>
      </c>
      <c r="C489" t="s">
        <v>430</v>
      </c>
      <c r="D489" t="s">
        <v>3826</v>
      </c>
    </row>
    <row r="490" spans="1:4" x14ac:dyDescent="0.35">
      <c r="A490" t="s">
        <v>3827</v>
      </c>
      <c r="B490" t="s">
        <v>3828</v>
      </c>
      <c r="C490" t="s">
        <v>431</v>
      </c>
      <c r="D490" t="s">
        <v>3829</v>
      </c>
    </row>
    <row r="491" spans="1:4" x14ac:dyDescent="0.35">
      <c r="A491" t="s">
        <v>3830</v>
      </c>
      <c r="B491" t="s">
        <v>3831</v>
      </c>
      <c r="C491" t="s">
        <v>432</v>
      </c>
      <c r="D491" t="s">
        <v>3832</v>
      </c>
    </row>
    <row r="492" spans="1:4" x14ac:dyDescent="0.35">
      <c r="A492" t="s">
        <v>3833</v>
      </c>
      <c r="B492" t="s">
        <v>3834</v>
      </c>
      <c r="C492" t="s">
        <v>433</v>
      </c>
      <c r="D492" t="s">
        <v>3835</v>
      </c>
    </row>
    <row r="493" spans="1:4" x14ac:dyDescent="0.35">
      <c r="A493" t="s">
        <v>3836</v>
      </c>
      <c r="B493" t="s">
        <v>3837</v>
      </c>
      <c r="C493" t="s">
        <v>434</v>
      </c>
      <c r="D493" t="s">
        <v>3838</v>
      </c>
    </row>
    <row r="494" spans="1:4" x14ac:dyDescent="0.35">
      <c r="A494" t="s">
        <v>3839</v>
      </c>
      <c r="B494" t="s">
        <v>3840</v>
      </c>
      <c r="C494" t="s">
        <v>435</v>
      </c>
      <c r="D494" t="s">
        <v>3841</v>
      </c>
    </row>
    <row r="495" spans="1:4" x14ac:dyDescent="0.35">
      <c r="A495" t="s">
        <v>3842</v>
      </c>
      <c r="B495" t="s">
        <v>3843</v>
      </c>
      <c r="C495" t="s">
        <v>435</v>
      </c>
      <c r="D495" t="s">
        <v>3844</v>
      </c>
    </row>
    <row r="496" spans="1:4" x14ac:dyDescent="0.35">
      <c r="A496" t="s">
        <v>3845</v>
      </c>
      <c r="B496" t="s">
        <v>3846</v>
      </c>
      <c r="C496" t="s">
        <v>436</v>
      </c>
      <c r="D496" t="s">
        <v>3847</v>
      </c>
    </row>
    <row r="497" spans="1:4" x14ac:dyDescent="0.35">
      <c r="A497" t="s">
        <v>3848</v>
      </c>
      <c r="B497" t="s">
        <v>3849</v>
      </c>
      <c r="C497" t="s">
        <v>437</v>
      </c>
      <c r="D497" t="s">
        <v>3850</v>
      </c>
    </row>
    <row r="498" spans="1:4" x14ac:dyDescent="0.35">
      <c r="A498" t="s">
        <v>3851</v>
      </c>
      <c r="B498" t="s">
        <v>3852</v>
      </c>
      <c r="C498" t="s">
        <v>438</v>
      </c>
      <c r="D498" t="s">
        <v>3853</v>
      </c>
    </row>
    <row r="499" spans="1:4" x14ac:dyDescent="0.35">
      <c r="A499" t="s">
        <v>3854</v>
      </c>
      <c r="B499" t="s">
        <v>3855</v>
      </c>
      <c r="C499" t="s">
        <v>439</v>
      </c>
      <c r="D499" t="s">
        <v>3856</v>
      </c>
    </row>
    <row r="500" spans="1:4" x14ac:dyDescent="0.35">
      <c r="A500" t="s">
        <v>3857</v>
      </c>
      <c r="B500" t="s">
        <v>3858</v>
      </c>
      <c r="C500" t="s">
        <v>440</v>
      </c>
      <c r="D500" t="s">
        <v>3859</v>
      </c>
    </row>
    <row r="501" spans="1:4" x14ac:dyDescent="0.35">
      <c r="A501" t="s">
        <v>3860</v>
      </c>
      <c r="B501" t="s">
        <v>3861</v>
      </c>
      <c r="C501" t="s">
        <v>442</v>
      </c>
      <c r="D501" t="s">
        <v>3862</v>
      </c>
    </row>
    <row r="502" spans="1:4" x14ac:dyDescent="0.35">
      <c r="A502" t="s">
        <v>3863</v>
      </c>
      <c r="B502" t="s">
        <v>3864</v>
      </c>
      <c r="C502" t="s">
        <v>443</v>
      </c>
      <c r="D502" t="s">
        <v>3865</v>
      </c>
    </row>
    <row r="503" spans="1:4" x14ac:dyDescent="0.35">
      <c r="A503" t="s">
        <v>3866</v>
      </c>
      <c r="B503" t="s">
        <v>3867</v>
      </c>
      <c r="C503" t="s">
        <v>444</v>
      </c>
      <c r="D503" t="s">
        <v>3868</v>
      </c>
    </row>
    <row r="504" spans="1:4" x14ac:dyDescent="0.35">
      <c r="A504" t="s">
        <v>3869</v>
      </c>
      <c r="B504" t="s">
        <v>3870</v>
      </c>
      <c r="C504" t="s">
        <v>445</v>
      </c>
      <c r="D504" t="s">
        <v>3871</v>
      </c>
    </row>
    <row r="505" spans="1:4" x14ac:dyDescent="0.35">
      <c r="A505" t="s">
        <v>3872</v>
      </c>
      <c r="B505" t="s">
        <v>3873</v>
      </c>
      <c r="C505" t="s">
        <v>446</v>
      </c>
      <c r="D505" t="s">
        <v>3874</v>
      </c>
    </row>
    <row r="506" spans="1:4" x14ac:dyDescent="0.35">
      <c r="A506" t="s">
        <v>3875</v>
      </c>
      <c r="B506" t="s">
        <v>3876</v>
      </c>
      <c r="C506" t="s">
        <v>447</v>
      </c>
      <c r="D506" t="s">
        <v>3877</v>
      </c>
    </row>
    <row r="507" spans="1:4" x14ac:dyDescent="0.35">
      <c r="A507" t="s">
        <v>3878</v>
      </c>
      <c r="B507" t="s">
        <v>3879</v>
      </c>
      <c r="C507" t="s">
        <v>448</v>
      </c>
      <c r="D507" t="s">
        <v>3880</v>
      </c>
    </row>
    <row r="508" spans="1:4" x14ac:dyDescent="0.35">
      <c r="A508" t="s">
        <v>3881</v>
      </c>
      <c r="B508" t="s">
        <v>3882</v>
      </c>
      <c r="C508" t="s">
        <v>450</v>
      </c>
      <c r="D508" t="s">
        <v>3883</v>
      </c>
    </row>
    <row r="509" spans="1:4" x14ac:dyDescent="0.35">
      <c r="A509" t="s">
        <v>3884</v>
      </c>
      <c r="B509" t="s">
        <v>3885</v>
      </c>
      <c r="C509" t="s">
        <v>451</v>
      </c>
      <c r="D509" t="s">
        <v>3886</v>
      </c>
    </row>
    <row r="510" spans="1:4" x14ac:dyDescent="0.35">
      <c r="A510" t="s">
        <v>3887</v>
      </c>
      <c r="B510" t="s">
        <v>2872</v>
      </c>
      <c r="C510" t="s">
        <v>452</v>
      </c>
      <c r="D510" t="s">
        <v>3888</v>
      </c>
    </row>
    <row r="511" spans="1:4" x14ac:dyDescent="0.35">
      <c r="A511" t="s">
        <v>3889</v>
      </c>
      <c r="B511" t="s">
        <v>3890</v>
      </c>
      <c r="C511" t="s">
        <v>453</v>
      </c>
      <c r="D511" t="s">
        <v>3891</v>
      </c>
    </row>
    <row r="512" spans="1:4" x14ac:dyDescent="0.35">
      <c r="A512" t="s">
        <v>3892</v>
      </c>
      <c r="B512" t="s">
        <v>3893</v>
      </c>
      <c r="C512" t="s">
        <v>454</v>
      </c>
      <c r="D512" t="s">
        <v>3894</v>
      </c>
    </row>
    <row r="513" spans="1:4" x14ac:dyDescent="0.35">
      <c r="A513" t="s">
        <v>3895</v>
      </c>
      <c r="B513" t="s">
        <v>3896</v>
      </c>
      <c r="C513" t="s">
        <v>455</v>
      </c>
      <c r="D513" t="s">
        <v>3897</v>
      </c>
    </row>
    <row r="514" spans="1:4" x14ac:dyDescent="0.35">
      <c r="A514" t="s">
        <v>3898</v>
      </c>
      <c r="B514" t="s">
        <v>3899</v>
      </c>
      <c r="C514" t="s">
        <v>456</v>
      </c>
      <c r="D514" t="s">
        <v>3900</v>
      </c>
    </row>
    <row r="515" spans="1:4" x14ac:dyDescent="0.35">
      <c r="A515" t="s">
        <v>3901</v>
      </c>
      <c r="B515" t="s">
        <v>3902</v>
      </c>
      <c r="C515" t="s">
        <v>456</v>
      </c>
      <c r="D515" t="s">
        <v>3903</v>
      </c>
    </row>
    <row r="516" spans="1:4" x14ac:dyDescent="0.35">
      <c r="A516" t="s">
        <v>3904</v>
      </c>
      <c r="B516" t="s">
        <v>3905</v>
      </c>
      <c r="C516" t="s">
        <v>457</v>
      </c>
      <c r="D516" t="s">
        <v>3906</v>
      </c>
    </row>
    <row r="517" spans="1:4" x14ac:dyDescent="0.35">
      <c r="A517" t="s">
        <v>3907</v>
      </c>
      <c r="B517" t="s">
        <v>3908</v>
      </c>
      <c r="C517" t="s">
        <v>458</v>
      </c>
      <c r="D517" t="s">
        <v>3909</v>
      </c>
    </row>
    <row r="518" spans="1:4" x14ac:dyDescent="0.35">
      <c r="A518" t="s">
        <v>3910</v>
      </c>
      <c r="B518" t="s">
        <v>3911</v>
      </c>
      <c r="C518" t="s">
        <v>459</v>
      </c>
      <c r="D518" t="s">
        <v>3912</v>
      </c>
    </row>
    <row r="519" spans="1:4" x14ac:dyDescent="0.35">
      <c r="A519" t="s">
        <v>3913</v>
      </c>
      <c r="B519" t="s">
        <v>3914</v>
      </c>
      <c r="C519" t="s">
        <v>460</v>
      </c>
      <c r="D519" t="s">
        <v>3915</v>
      </c>
    </row>
    <row r="520" spans="1:4" x14ac:dyDescent="0.35">
      <c r="A520" t="s">
        <v>3916</v>
      </c>
      <c r="B520" t="s">
        <v>3917</v>
      </c>
      <c r="C520" t="s">
        <v>462</v>
      </c>
      <c r="D520" t="s">
        <v>3918</v>
      </c>
    </row>
    <row r="521" spans="1:4" x14ac:dyDescent="0.35">
      <c r="A521" t="s">
        <v>3919</v>
      </c>
      <c r="B521" t="s">
        <v>3920</v>
      </c>
      <c r="C521" t="s">
        <v>463</v>
      </c>
      <c r="D521" t="s">
        <v>3921</v>
      </c>
    </row>
    <row r="522" spans="1:4" x14ac:dyDescent="0.35">
      <c r="A522" t="s">
        <v>3922</v>
      </c>
      <c r="B522" t="s">
        <v>3923</v>
      </c>
      <c r="C522" t="s">
        <v>464</v>
      </c>
      <c r="D522" t="s">
        <v>3924</v>
      </c>
    </row>
    <row r="523" spans="1:4" x14ac:dyDescent="0.35">
      <c r="A523" t="s">
        <v>3925</v>
      </c>
      <c r="B523" t="s">
        <v>3926</v>
      </c>
      <c r="C523" t="s">
        <v>465</v>
      </c>
      <c r="D523" t="s">
        <v>3927</v>
      </c>
    </row>
    <row r="524" spans="1:4" x14ac:dyDescent="0.35">
      <c r="A524" t="s">
        <v>3928</v>
      </c>
      <c r="B524" t="s">
        <v>3929</v>
      </c>
      <c r="C524" t="s">
        <v>466</v>
      </c>
      <c r="D524" t="s">
        <v>3930</v>
      </c>
    </row>
    <row r="525" spans="1:4" x14ac:dyDescent="0.35">
      <c r="A525" t="s">
        <v>3931</v>
      </c>
      <c r="B525" t="s">
        <v>3932</v>
      </c>
      <c r="C525" t="s">
        <v>466</v>
      </c>
      <c r="D525" t="s">
        <v>3933</v>
      </c>
    </row>
    <row r="526" spans="1:4" x14ac:dyDescent="0.35">
      <c r="A526" t="s">
        <v>3934</v>
      </c>
      <c r="B526" t="s">
        <v>3935</v>
      </c>
      <c r="C526" t="s">
        <v>467</v>
      </c>
      <c r="D526" t="s">
        <v>3936</v>
      </c>
    </row>
    <row r="527" spans="1:4" x14ac:dyDescent="0.35">
      <c r="A527" t="s">
        <v>3937</v>
      </c>
      <c r="B527" t="s">
        <v>3938</v>
      </c>
      <c r="C527" t="s">
        <v>468</v>
      </c>
      <c r="D527" t="s">
        <v>3939</v>
      </c>
    </row>
    <row r="528" spans="1:4" x14ac:dyDescent="0.35">
      <c r="A528" t="s">
        <v>3940</v>
      </c>
      <c r="B528" t="s">
        <v>3941</v>
      </c>
      <c r="C528" t="s">
        <v>468</v>
      </c>
      <c r="D528" t="s">
        <v>3942</v>
      </c>
    </row>
    <row r="529" spans="1:4" x14ac:dyDescent="0.35">
      <c r="A529" t="s">
        <v>3943</v>
      </c>
      <c r="B529" t="s">
        <v>3944</v>
      </c>
      <c r="C529" t="s">
        <v>469</v>
      </c>
      <c r="D529" t="s">
        <v>3945</v>
      </c>
    </row>
    <row r="530" spans="1:4" x14ac:dyDescent="0.35">
      <c r="A530" t="s">
        <v>3946</v>
      </c>
      <c r="B530" t="s">
        <v>3947</v>
      </c>
      <c r="C530" t="s">
        <v>470</v>
      </c>
      <c r="D530" t="s">
        <v>3948</v>
      </c>
    </row>
    <row r="531" spans="1:4" x14ac:dyDescent="0.35">
      <c r="A531" t="s">
        <v>3949</v>
      </c>
      <c r="B531" t="s">
        <v>3950</v>
      </c>
      <c r="C531" t="s">
        <v>470</v>
      </c>
      <c r="D531" t="s">
        <v>3951</v>
      </c>
    </row>
    <row r="532" spans="1:4" x14ac:dyDescent="0.35">
      <c r="A532" t="s">
        <v>3952</v>
      </c>
      <c r="B532" t="s">
        <v>3953</v>
      </c>
      <c r="C532" t="s">
        <v>471</v>
      </c>
      <c r="D532" t="s">
        <v>3954</v>
      </c>
    </row>
    <row r="533" spans="1:4" x14ac:dyDescent="0.35">
      <c r="A533" t="s">
        <v>3955</v>
      </c>
      <c r="B533" t="s">
        <v>3956</v>
      </c>
      <c r="C533" t="s">
        <v>472</v>
      </c>
      <c r="D533" t="s">
        <v>3957</v>
      </c>
    </row>
    <row r="534" spans="1:4" x14ac:dyDescent="0.35">
      <c r="A534" t="s">
        <v>3958</v>
      </c>
      <c r="B534" t="s">
        <v>3959</v>
      </c>
      <c r="C534" t="s">
        <v>473</v>
      </c>
      <c r="D534" t="s">
        <v>3960</v>
      </c>
    </row>
    <row r="535" spans="1:4" x14ac:dyDescent="0.35">
      <c r="A535" t="s">
        <v>3961</v>
      </c>
      <c r="B535" t="s">
        <v>3962</v>
      </c>
      <c r="C535" t="s">
        <v>474</v>
      </c>
      <c r="D535" t="s">
        <v>3963</v>
      </c>
    </row>
    <row r="536" spans="1:4" x14ac:dyDescent="0.35">
      <c r="A536" t="s">
        <v>3964</v>
      </c>
      <c r="B536" t="s">
        <v>3965</v>
      </c>
      <c r="C536" t="s">
        <v>475</v>
      </c>
      <c r="D536" t="s">
        <v>3966</v>
      </c>
    </row>
    <row r="537" spans="1:4" x14ac:dyDescent="0.35">
      <c r="A537" t="s">
        <v>3967</v>
      </c>
      <c r="B537" t="s">
        <v>3968</v>
      </c>
      <c r="C537" t="s">
        <v>475</v>
      </c>
      <c r="D537" t="s">
        <v>3969</v>
      </c>
    </row>
    <row r="538" spans="1:4" x14ac:dyDescent="0.35">
      <c r="A538" t="s">
        <v>3970</v>
      </c>
      <c r="B538" t="s">
        <v>3971</v>
      </c>
      <c r="C538" t="s">
        <v>475</v>
      </c>
      <c r="D538" t="s">
        <v>3972</v>
      </c>
    </row>
    <row r="539" spans="1:4" x14ac:dyDescent="0.35">
      <c r="A539" t="s">
        <v>3973</v>
      </c>
      <c r="B539" t="s">
        <v>3974</v>
      </c>
      <c r="C539" t="s">
        <v>475</v>
      </c>
      <c r="D539" t="s">
        <v>3975</v>
      </c>
    </row>
    <row r="540" spans="1:4" x14ac:dyDescent="0.35">
      <c r="A540" t="s">
        <v>3976</v>
      </c>
      <c r="B540" t="s">
        <v>3977</v>
      </c>
      <c r="C540" t="s">
        <v>475</v>
      </c>
      <c r="D540" t="s">
        <v>3978</v>
      </c>
    </row>
    <row r="541" spans="1:4" x14ac:dyDescent="0.35">
      <c r="A541" t="s">
        <v>3979</v>
      </c>
      <c r="B541" t="s">
        <v>3980</v>
      </c>
      <c r="C541" t="s">
        <v>475</v>
      </c>
      <c r="D541" t="s">
        <v>3981</v>
      </c>
    </row>
    <row r="542" spans="1:4" x14ac:dyDescent="0.35">
      <c r="A542" t="s">
        <v>3982</v>
      </c>
      <c r="B542" t="s">
        <v>3983</v>
      </c>
      <c r="C542" t="s">
        <v>476</v>
      </c>
      <c r="D542" t="s">
        <v>3984</v>
      </c>
    </row>
    <row r="543" spans="1:4" x14ac:dyDescent="0.35">
      <c r="A543" t="s">
        <v>3985</v>
      </c>
      <c r="B543" t="s">
        <v>3986</v>
      </c>
      <c r="C543" t="s">
        <v>477</v>
      </c>
      <c r="D543" t="s">
        <v>3987</v>
      </c>
    </row>
    <row r="544" spans="1:4" x14ac:dyDescent="0.35">
      <c r="A544" t="s">
        <v>3988</v>
      </c>
      <c r="B544" t="s">
        <v>3989</v>
      </c>
      <c r="C544" t="s">
        <v>478</v>
      </c>
      <c r="D544" t="s">
        <v>3990</v>
      </c>
    </row>
    <row r="545" spans="1:4" x14ac:dyDescent="0.35">
      <c r="A545" t="s">
        <v>3991</v>
      </c>
      <c r="B545" t="s">
        <v>3992</v>
      </c>
      <c r="C545" t="s">
        <v>479</v>
      </c>
      <c r="D545" t="s">
        <v>3993</v>
      </c>
    </row>
    <row r="546" spans="1:4" x14ac:dyDescent="0.35">
      <c r="A546" t="s">
        <v>3994</v>
      </c>
      <c r="B546" t="s">
        <v>3995</v>
      </c>
      <c r="C546" t="s">
        <v>480</v>
      </c>
      <c r="D546" t="s">
        <v>3996</v>
      </c>
    </row>
    <row r="547" spans="1:4" x14ac:dyDescent="0.35">
      <c r="A547" t="s">
        <v>3997</v>
      </c>
      <c r="B547" t="s">
        <v>3998</v>
      </c>
      <c r="C547" t="s">
        <v>481</v>
      </c>
      <c r="D547" t="s">
        <v>3999</v>
      </c>
    </row>
    <row r="548" spans="1:4" x14ac:dyDescent="0.35">
      <c r="A548" t="s">
        <v>4000</v>
      </c>
      <c r="B548" t="s">
        <v>4001</v>
      </c>
      <c r="C548" t="s">
        <v>482</v>
      </c>
      <c r="D548" t="s">
        <v>4002</v>
      </c>
    </row>
    <row r="549" spans="1:4" x14ac:dyDescent="0.35">
      <c r="A549" t="s">
        <v>4003</v>
      </c>
      <c r="B549" t="s">
        <v>4004</v>
      </c>
      <c r="C549" t="s">
        <v>483</v>
      </c>
      <c r="D549" t="s">
        <v>4005</v>
      </c>
    </row>
    <row r="550" spans="1:4" x14ac:dyDescent="0.35">
      <c r="A550" t="s">
        <v>4006</v>
      </c>
      <c r="B550" t="s">
        <v>4007</v>
      </c>
      <c r="C550" t="s">
        <v>484</v>
      </c>
      <c r="D550" t="s">
        <v>4008</v>
      </c>
    </row>
    <row r="551" spans="1:4" x14ac:dyDescent="0.35">
      <c r="A551" t="s">
        <v>4009</v>
      </c>
      <c r="B551" t="s">
        <v>4010</v>
      </c>
      <c r="C551" t="s">
        <v>485</v>
      </c>
      <c r="D551" t="s">
        <v>4011</v>
      </c>
    </row>
    <row r="552" spans="1:4" x14ac:dyDescent="0.35">
      <c r="A552" t="s">
        <v>4012</v>
      </c>
      <c r="B552" t="s">
        <v>4013</v>
      </c>
      <c r="C552" t="s">
        <v>486</v>
      </c>
      <c r="D552" t="s">
        <v>4014</v>
      </c>
    </row>
    <row r="553" spans="1:4" x14ac:dyDescent="0.35">
      <c r="A553" t="s">
        <v>4015</v>
      </c>
      <c r="B553" t="s">
        <v>4016</v>
      </c>
      <c r="C553" t="s">
        <v>486</v>
      </c>
      <c r="D553" t="s">
        <v>4017</v>
      </c>
    </row>
    <row r="554" spans="1:4" x14ac:dyDescent="0.35">
      <c r="A554" t="s">
        <v>4018</v>
      </c>
      <c r="B554" t="s">
        <v>4019</v>
      </c>
      <c r="C554" t="s">
        <v>487</v>
      </c>
      <c r="D554" t="s">
        <v>4020</v>
      </c>
    </row>
    <row r="555" spans="1:4" x14ac:dyDescent="0.35">
      <c r="A555" t="s">
        <v>4021</v>
      </c>
      <c r="B555" t="s">
        <v>4022</v>
      </c>
      <c r="C555" t="s">
        <v>488</v>
      </c>
      <c r="D555" t="s">
        <v>4023</v>
      </c>
    </row>
    <row r="556" spans="1:4" x14ac:dyDescent="0.35">
      <c r="A556" t="s">
        <v>4024</v>
      </c>
      <c r="B556" t="s">
        <v>4025</v>
      </c>
      <c r="C556" t="s">
        <v>489</v>
      </c>
      <c r="D556" t="s">
        <v>4026</v>
      </c>
    </row>
    <row r="557" spans="1:4" x14ac:dyDescent="0.35">
      <c r="A557" t="s">
        <v>4027</v>
      </c>
      <c r="B557" t="s">
        <v>4028</v>
      </c>
      <c r="C557" t="s">
        <v>490</v>
      </c>
      <c r="D557" t="s">
        <v>4029</v>
      </c>
    </row>
    <row r="558" spans="1:4" x14ac:dyDescent="0.35">
      <c r="A558" t="s">
        <v>4030</v>
      </c>
      <c r="B558" t="s">
        <v>4031</v>
      </c>
      <c r="C558" t="s">
        <v>491</v>
      </c>
      <c r="D558" t="s">
        <v>4032</v>
      </c>
    </row>
    <row r="559" spans="1:4" x14ac:dyDescent="0.35">
      <c r="A559" t="s">
        <v>4033</v>
      </c>
      <c r="B559" t="s">
        <v>4034</v>
      </c>
      <c r="C559" t="s">
        <v>492</v>
      </c>
      <c r="D559" t="s">
        <v>4035</v>
      </c>
    </row>
    <row r="560" spans="1:4" x14ac:dyDescent="0.35">
      <c r="A560" t="s">
        <v>4036</v>
      </c>
      <c r="B560" t="s">
        <v>4037</v>
      </c>
      <c r="C560" t="s">
        <v>492</v>
      </c>
      <c r="D560" t="s">
        <v>4038</v>
      </c>
    </row>
    <row r="561" spans="1:4" x14ac:dyDescent="0.35">
      <c r="A561" t="s">
        <v>4039</v>
      </c>
      <c r="B561" t="s">
        <v>4040</v>
      </c>
      <c r="C561" t="s">
        <v>492</v>
      </c>
      <c r="D561" t="s">
        <v>4041</v>
      </c>
    </row>
    <row r="562" spans="1:4" x14ac:dyDescent="0.35">
      <c r="A562" t="s">
        <v>4042</v>
      </c>
      <c r="B562" t="s">
        <v>4043</v>
      </c>
      <c r="C562" t="s">
        <v>493</v>
      </c>
      <c r="D562" t="s">
        <v>4044</v>
      </c>
    </row>
    <row r="563" spans="1:4" x14ac:dyDescent="0.35">
      <c r="A563" t="s">
        <v>4045</v>
      </c>
      <c r="B563" t="s">
        <v>4046</v>
      </c>
      <c r="C563" t="s">
        <v>494</v>
      </c>
      <c r="D563" t="s">
        <v>4047</v>
      </c>
    </row>
    <row r="564" spans="1:4" x14ac:dyDescent="0.35">
      <c r="A564" t="s">
        <v>4048</v>
      </c>
      <c r="B564" t="s">
        <v>4049</v>
      </c>
      <c r="C564" t="s">
        <v>495</v>
      </c>
      <c r="D564" t="s">
        <v>4050</v>
      </c>
    </row>
    <row r="565" spans="1:4" x14ac:dyDescent="0.35">
      <c r="A565" t="s">
        <v>4051</v>
      </c>
      <c r="B565" t="s">
        <v>4052</v>
      </c>
      <c r="C565" t="s">
        <v>496</v>
      </c>
      <c r="D565" t="s">
        <v>4053</v>
      </c>
    </row>
    <row r="566" spans="1:4" x14ac:dyDescent="0.35">
      <c r="A566" t="s">
        <v>4054</v>
      </c>
      <c r="B566" t="s">
        <v>4055</v>
      </c>
      <c r="C566" t="s">
        <v>497</v>
      </c>
      <c r="D566" t="s">
        <v>4056</v>
      </c>
    </row>
    <row r="567" spans="1:4" x14ac:dyDescent="0.35">
      <c r="A567" t="s">
        <v>4057</v>
      </c>
      <c r="B567" t="s">
        <v>4058</v>
      </c>
      <c r="C567" t="s">
        <v>497</v>
      </c>
      <c r="D567" t="s">
        <v>4059</v>
      </c>
    </row>
    <row r="568" spans="1:4" x14ac:dyDescent="0.35">
      <c r="A568" t="s">
        <v>4060</v>
      </c>
      <c r="B568" t="s">
        <v>4061</v>
      </c>
      <c r="C568" t="s">
        <v>497</v>
      </c>
      <c r="D568" t="s">
        <v>4062</v>
      </c>
    </row>
    <row r="569" spans="1:4" x14ac:dyDescent="0.35">
      <c r="A569" t="s">
        <v>4063</v>
      </c>
      <c r="B569" t="s">
        <v>4064</v>
      </c>
      <c r="C569" t="s">
        <v>497</v>
      </c>
      <c r="D569" t="s">
        <v>4065</v>
      </c>
    </row>
    <row r="570" spans="1:4" x14ac:dyDescent="0.35">
      <c r="A570" t="s">
        <v>4066</v>
      </c>
      <c r="B570" t="s">
        <v>3920</v>
      </c>
      <c r="C570" t="s">
        <v>497</v>
      </c>
      <c r="D570" t="s">
        <v>4067</v>
      </c>
    </row>
    <row r="571" spans="1:4" x14ac:dyDescent="0.35">
      <c r="A571" t="s">
        <v>4068</v>
      </c>
      <c r="B571" t="s">
        <v>4069</v>
      </c>
      <c r="C571" t="s">
        <v>498</v>
      </c>
      <c r="D571" t="s">
        <v>4070</v>
      </c>
    </row>
    <row r="572" spans="1:4" x14ac:dyDescent="0.35">
      <c r="A572" t="s">
        <v>4071</v>
      </c>
      <c r="B572" t="s">
        <v>4072</v>
      </c>
      <c r="C572" t="s">
        <v>499</v>
      </c>
      <c r="D572" t="s">
        <v>4073</v>
      </c>
    </row>
    <row r="573" spans="1:4" x14ac:dyDescent="0.35">
      <c r="A573" t="s">
        <v>4074</v>
      </c>
      <c r="B573" t="s">
        <v>4075</v>
      </c>
      <c r="C573" t="s">
        <v>500</v>
      </c>
      <c r="D573" t="s">
        <v>4076</v>
      </c>
    </row>
    <row r="574" spans="1:4" x14ac:dyDescent="0.35">
      <c r="A574" t="s">
        <v>4077</v>
      </c>
      <c r="B574" t="s">
        <v>4078</v>
      </c>
      <c r="C574" t="s">
        <v>501</v>
      </c>
      <c r="D574" t="s">
        <v>4079</v>
      </c>
    </row>
    <row r="575" spans="1:4" x14ac:dyDescent="0.35">
      <c r="A575" t="s">
        <v>4080</v>
      </c>
      <c r="B575" t="s">
        <v>4081</v>
      </c>
      <c r="C575" t="s">
        <v>502</v>
      </c>
      <c r="D575" t="s">
        <v>4082</v>
      </c>
    </row>
    <row r="576" spans="1:4" x14ac:dyDescent="0.35">
      <c r="A576" t="s">
        <v>4083</v>
      </c>
      <c r="B576" t="s">
        <v>4084</v>
      </c>
      <c r="C576" t="s">
        <v>503</v>
      </c>
      <c r="D576" t="s">
        <v>4085</v>
      </c>
    </row>
    <row r="577" spans="1:4" x14ac:dyDescent="0.35">
      <c r="A577" t="s">
        <v>4086</v>
      </c>
      <c r="B577" t="s">
        <v>4087</v>
      </c>
      <c r="C577" t="s">
        <v>504</v>
      </c>
      <c r="D577" t="s">
        <v>4088</v>
      </c>
    </row>
    <row r="578" spans="1:4" x14ac:dyDescent="0.35">
      <c r="A578" t="s">
        <v>4089</v>
      </c>
      <c r="B578" t="s">
        <v>4090</v>
      </c>
      <c r="C578" t="s">
        <v>504</v>
      </c>
      <c r="D578" t="s">
        <v>4091</v>
      </c>
    </row>
    <row r="579" spans="1:4" x14ac:dyDescent="0.35">
      <c r="A579" t="s">
        <v>4092</v>
      </c>
      <c r="B579" t="s">
        <v>4093</v>
      </c>
      <c r="C579" t="s">
        <v>505</v>
      </c>
      <c r="D579" t="s">
        <v>4094</v>
      </c>
    </row>
    <row r="580" spans="1:4" x14ac:dyDescent="0.35">
      <c r="A580" t="s">
        <v>4095</v>
      </c>
      <c r="B580" t="s">
        <v>4096</v>
      </c>
      <c r="C580" t="s">
        <v>506</v>
      </c>
      <c r="D580" t="s">
        <v>4097</v>
      </c>
    </row>
    <row r="581" spans="1:4" x14ac:dyDescent="0.35">
      <c r="A581" t="s">
        <v>4098</v>
      </c>
      <c r="B581" t="s">
        <v>4099</v>
      </c>
      <c r="C581" t="s">
        <v>506</v>
      </c>
      <c r="D581" t="s">
        <v>4100</v>
      </c>
    </row>
    <row r="582" spans="1:4" x14ac:dyDescent="0.35">
      <c r="A582" t="s">
        <v>4101</v>
      </c>
      <c r="B582" t="s">
        <v>4102</v>
      </c>
      <c r="C582" t="s">
        <v>506</v>
      </c>
      <c r="D582" t="s">
        <v>4103</v>
      </c>
    </row>
    <row r="583" spans="1:4" x14ac:dyDescent="0.35">
      <c r="A583" t="s">
        <v>4104</v>
      </c>
      <c r="B583" t="s">
        <v>4105</v>
      </c>
      <c r="C583" t="s">
        <v>506</v>
      </c>
      <c r="D583" t="s">
        <v>4106</v>
      </c>
    </row>
    <row r="584" spans="1:4" x14ac:dyDescent="0.35">
      <c r="A584" t="s">
        <v>4107</v>
      </c>
      <c r="B584" t="s">
        <v>4108</v>
      </c>
      <c r="C584" t="s">
        <v>506</v>
      </c>
      <c r="D584" t="s">
        <v>4109</v>
      </c>
    </row>
    <row r="585" spans="1:4" x14ac:dyDescent="0.35">
      <c r="A585" t="s">
        <v>4110</v>
      </c>
      <c r="B585" t="s">
        <v>4111</v>
      </c>
      <c r="C585" t="s">
        <v>506</v>
      </c>
      <c r="D585" t="s">
        <v>4112</v>
      </c>
    </row>
    <row r="586" spans="1:4" x14ac:dyDescent="0.35">
      <c r="A586" t="s">
        <v>4113</v>
      </c>
      <c r="B586" t="s">
        <v>4114</v>
      </c>
      <c r="C586" t="s">
        <v>506</v>
      </c>
      <c r="D586" t="s">
        <v>4115</v>
      </c>
    </row>
    <row r="587" spans="1:4" x14ac:dyDescent="0.35">
      <c r="A587" t="s">
        <v>4116</v>
      </c>
      <c r="B587" t="s">
        <v>4117</v>
      </c>
      <c r="C587" t="s">
        <v>506</v>
      </c>
      <c r="D587" t="s">
        <v>4118</v>
      </c>
    </row>
    <row r="588" spans="1:4" x14ac:dyDescent="0.35">
      <c r="A588" t="s">
        <v>4119</v>
      </c>
      <c r="B588" t="s">
        <v>4120</v>
      </c>
      <c r="C588" t="s">
        <v>506</v>
      </c>
      <c r="D588" t="s">
        <v>4121</v>
      </c>
    </row>
    <row r="589" spans="1:4" x14ac:dyDescent="0.35">
      <c r="A589" t="s">
        <v>4122</v>
      </c>
      <c r="B589" t="s">
        <v>4123</v>
      </c>
      <c r="C589" t="s">
        <v>506</v>
      </c>
      <c r="D589" t="s">
        <v>4124</v>
      </c>
    </row>
    <row r="590" spans="1:4" x14ac:dyDescent="0.35">
      <c r="A590" t="s">
        <v>4125</v>
      </c>
      <c r="B590" t="s">
        <v>4126</v>
      </c>
      <c r="C590" t="s">
        <v>507</v>
      </c>
      <c r="D590" t="s">
        <v>4127</v>
      </c>
    </row>
    <row r="591" spans="1:4" x14ac:dyDescent="0.35">
      <c r="A591" t="s">
        <v>4128</v>
      </c>
      <c r="B591" t="s">
        <v>4129</v>
      </c>
      <c r="C591" t="s">
        <v>508</v>
      </c>
      <c r="D591" t="s">
        <v>4130</v>
      </c>
    </row>
    <row r="592" spans="1:4" x14ac:dyDescent="0.35">
      <c r="A592" t="s">
        <v>4131</v>
      </c>
      <c r="B592" t="s">
        <v>4132</v>
      </c>
      <c r="C592" t="s">
        <v>510</v>
      </c>
      <c r="D592" t="s">
        <v>4133</v>
      </c>
    </row>
    <row r="593" spans="1:4" x14ac:dyDescent="0.35">
      <c r="A593" t="s">
        <v>4134</v>
      </c>
      <c r="B593" t="s">
        <v>4135</v>
      </c>
      <c r="C593" t="s">
        <v>512</v>
      </c>
      <c r="D593" t="s">
        <v>4136</v>
      </c>
    </row>
    <row r="594" spans="1:4" x14ac:dyDescent="0.35">
      <c r="A594" t="s">
        <v>4137</v>
      </c>
      <c r="B594" t="s">
        <v>4138</v>
      </c>
      <c r="C594" t="s">
        <v>512</v>
      </c>
      <c r="D594" t="s">
        <v>4139</v>
      </c>
    </row>
    <row r="595" spans="1:4" x14ac:dyDescent="0.35">
      <c r="A595" t="s">
        <v>4140</v>
      </c>
      <c r="B595" t="s">
        <v>4141</v>
      </c>
      <c r="C595" t="s">
        <v>511</v>
      </c>
      <c r="D595" t="s">
        <v>4142</v>
      </c>
    </row>
    <row r="596" spans="1:4" x14ac:dyDescent="0.35">
      <c r="A596" t="s">
        <v>4143</v>
      </c>
      <c r="B596" t="s">
        <v>4144</v>
      </c>
      <c r="C596" t="s">
        <v>511</v>
      </c>
      <c r="D596" t="s">
        <v>4145</v>
      </c>
    </row>
    <row r="597" spans="1:4" x14ac:dyDescent="0.35">
      <c r="A597" t="s">
        <v>4146</v>
      </c>
      <c r="B597" t="s">
        <v>4147</v>
      </c>
      <c r="C597" t="s">
        <v>514</v>
      </c>
      <c r="D597" t="s">
        <v>4148</v>
      </c>
    </row>
    <row r="598" spans="1:4" x14ac:dyDescent="0.35">
      <c r="A598" t="s">
        <v>4149</v>
      </c>
      <c r="B598" t="s">
        <v>4150</v>
      </c>
      <c r="C598" t="s">
        <v>515</v>
      </c>
      <c r="D598" t="s">
        <v>4151</v>
      </c>
    </row>
    <row r="599" spans="1:4" x14ac:dyDescent="0.35">
      <c r="A599" t="s">
        <v>4152</v>
      </c>
      <c r="B599" t="s">
        <v>3109</v>
      </c>
      <c r="C599" t="s">
        <v>515</v>
      </c>
      <c r="D599" t="s">
        <v>4153</v>
      </c>
    </row>
    <row r="600" spans="1:4" x14ac:dyDescent="0.35">
      <c r="A600" t="s">
        <v>4154</v>
      </c>
      <c r="B600" t="s">
        <v>4155</v>
      </c>
      <c r="C600" t="s">
        <v>516</v>
      </c>
      <c r="D600" t="s">
        <v>4156</v>
      </c>
    </row>
    <row r="601" spans="1:4" x14ac:dyDescent="0.35">
      <c r="A601" t="s">
        <v>4157</v>
      </c>
      <c r="B601" t="s">
        <v>4158</v>
      </c>
      <c r="C601" t="s">
        <v>518</v>
      </c>
      <c r="D601" t="s">
        <v>4159</v>
      </c>
    </row>
    <row r="602" spans="1:4" x14ac:dyDescent="0.35">
      <c r="A602" t="s">
        <v>4160</v>
      </c>
      <c r="B602" t="s">
        <v>4161</v>
      </c>
      <c r="C602" t="s">
        <v>519</v>
      </c>
      <c r="D602" t="s">
        <v>4162</v>
      </c>
    </row>
    <row r="603" spans="1:4" x14ac:dyDescent="0.35">
      <c r="A603" t="s">
        <v>4163</v>
      </c>
      <c r="B603" t="s">
        <v>4164</v>
      </c>
      <c r="C603" t="s">
        <v>520</v>
      </c>
      <c r="D603" t="s">
        <v>4165</v>
      </c>
    </row>
    <row r="604" spans="1:4" x14ac:dyDescent="0.35">
      <c r="A604" t="s">
        <v>4166</v>
      </c>
      <c r="B604" t="s">
        <v>4167</v>
      </c>
      <c r="C604" t="s">
        <v>521</v>
      </c>
      <c r="D604" t="s">
        <v>4168</v>
      </c>
    </row>
    <row r="605" spans="1:4" x14ac:dyDescent="0.35">
      <c r="A605" t="s">
        <v>4169</v>
      </c>
      <c r="B605" t="s">
        <v>4170</v>
      </c>
      <c r="C605" t="s">
        <v>522</v>
      </c>
      <c r="D605" t="s">
        <v>4171</v>
      </c>
    </row>
    <row r="606" spans="1:4" x14ac:dyDescent="0.35">
      <c r="A606" t="s">
        <v>4172</v>
      </c>
      <c r="B606" t="s">
        <v>4173</v>
      </c>
      <c r="C606" t="s">
        <v>523</v>
      </c>
      <c r="D606" t="s">
        <v>4174</v>
      </c>
    </row>
    <row r="607" spans="1:4" x14ac:dyDescent="0.35">
      <c r="A607" t="s">
        <v>4175</v>
      </c>
      <c r="B607" t="s">
        <v>4176</v>
      </c>
      <c r="C607" t="s">
        <v>524</v>
      </c>
      <c r="D607" t="s">
        <v>4177</v>
      </c>
    </row>
    <row r="608" spans="1:4" x14ac:dyDescent="0.35">
      <c r="A608" t="s">
        <v>4178</v>
      </c>
      <c r="B608" t="s">
        <v>4179</v>
      </c>
      <c r="C608" t="s">
        <v>525</v>
      </c>
      <c r="D608" t="s">
        <v>4180</v>
      </c>
    </row>
    <row r="609" spans="1:4" x14ac:dyDescent="0.35">
      <c r="A609" t="s">
        <v>4181</v>
      </c>
      <c r="B609" t="s">
        <v>4182</v>
      </c>
      <c r="C609" t="s">
        <v>364</v>
      </c>
      <c r="D609" t="s">
        <v>4183</v>
      </c>
    </row>
    <row r="610" spans="1:4" x14ac:dyDescent="0.35">
      <c r="A610" t="s">
        <v>4184</v>
      </c>
      <c r="B610" t="s">
        <v>4185</v>
      </c>
      <c r="C610" t="s">
        <v>449</v>
      </c>
      <c r="D610" t="s">
        <v>4186</v>
      </c>
    </row>
    <row r="611" spans="1:4" x14ac:dyDescent="0.35">
      <c r="A611" t="s">
        <v>4187</v>
      </c>
      <c r="B611" t="s">
        <v>4188</v>
      </c>
      <c r="C611" t="s">
        <v>365</v>
      </c>
      <c r="D611" t="s">
        <v>4189</v>
      </c>
    </row>
    <row r="612" spans="1:4" x14ac:dyDescent="0.35">
      <c r="A612" t="s">
        <v>4190</v>
      </c>
      <c r="B612" t="s">
        <v>4191</v>
      </c>
      <c r="C612" t="s">
        <v>191</v>
      </c>
      <c r="D612" t="s">
        <v>4192</v>
      </c>
    </row>
    <row r="613" spans="1:4" x14ac:dyDescent="0.35">
      <c r="A613" t="s">
        <v>4193</v>
      </c>
      <c r="B613" t="s">
        <v>4194</v>
      </c>
      <c r="C613" t="s">
        <v>339</v>
      </c>
      <c r="D613" t="s">
        <v>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</vt:lpstr>
      <vt:lpstr>Alumnos</vt:lpstr>
      <vt:lpstr>Participantes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2026-03-23T16:04:44Z</dcterms:modified>
</cp:coreProperties>
</file>