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6ii\Documentos\docs lolita\"/>
    </mc:Choice>
  </mc:AlternateContent>
  <xr:revisionPtr revIDLastSave="0" documentId="13_ncr:1_{FC954E14-1623-4174-B1DE-9CAFE29BE7AF}" xr6:coauthVersionLast="47" xr6:coauthVersionMax="47" xr10:uidLastSave="{00000000-0000-0000-0000-000000000000}"/>
  <bookViews>
    <workbookView xWindow="38280" yWindow="-120" windowWidth="29040" windowHeight="15720" firstSheet="1" activeTab="6" xr2:uid="{00000000-000D-0000-FFFF-FFFF00000000}"/>
  </bookViews>
  <sheets>
    <sheet name="TIPOS DE REPORTES" sheetId="2" r:id="rId1"/>
    <sheet name="CAMPOS" sheetId="1" r:id="rId2"/>
    <sheet name="DEFINICIÓN DE CASOS" sheetId="3" r:id="rId3"/>
    <sheet name="BD ESTUDIANTES" sheetId="10" r:id="rId4"/>
    <sheet name="BD AUTOEVALUACION" sheetId="11" r:id="rId5"/>
    <sheet name="BD COORDINACION" sheetId="12" r:id="rId6"/>
    <sheet name="DE DOCENTE POR MATERIA" sheetId="13" r:id="rId7"/>
    <sheet name="DE DOCENTES POR CARRERA" sheetId="14" r:id="rId8"/>
    <sheet name="INTEGRAL POR DOCENTE" sheetId="15" r:id="rId9"/>
  </sheets>
  <definedNames>
    <definedName name="_xlnm._FilterDatabase" localSheetId="4" hidden="1">'BD AUTOEVALUACION'!$A$2:$R$25</definedName>
    <definedName name="_xlnm._FilterDatabase" localSheetId="5" hidden="1">'BD COORDINACION'!$A$2:$M$20</definedName>
    <definedName name="_xlnm._FilterDatabase" localSheetId="3" hidden="1">'BD ESTUDIANTES'!$A$2:$M$72</definedName>
    <definedName name="_xlnm._FilterDatabase" localSheetId="1" hidden="1">CAMPOS!$A$1:$C$44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2" i="15" l="1"/>
  <c r="D12" i="15"/>
  <c r="D9" i="14"/>
  <c r="E46" i="14"/>
  <c r="H18" i="14" s="1"/>
  <c r="F46" i="14"/>
  <c r="H19" i="14" s="1"/>
  <c r="G46" i="14"/>
  <c r="H20" i="14" s="1"/>
  <c r="H46" i="14"/>
  <c r="H21" i="14" s="1"/>
  <c r="I46" i="14"/>
  <c r="H22" i="14" s="1"/>
  <c r="D12" i="14" s="1"/>
  <c r="F52" i="14"/>
  <c r="I52" i="14" s="1"/>
  <c r="I53" i="14"/>
  <c r="I54" i="14"/>
  <c r="I55" i="14"/>
  <c r="I56" i="14"/>
  <c r="I57" i="14"/>
  <c r="I58" i="14"/>
  <c r="H34" i="13"/>
  <c r="G34" i="13"/>
  <c r="I34" i="13" s="1"/>
  <c r="H33" i="13"/>
  <c r="G33" i="13"/>
  <c r="F33" i="13"/>
  <c r="I33" i="13" s="1"/>
  <c r="G32" i="13"/>
  <c r="F32" i="13"/>
  <c r="G31" i="13"/>
  <c r="F31" i="13"/>
  <c r="I31" i="13" s="1"/>
  <c r="G30" i="13"/>
  <c r="I30" i="13" s="1"/>
  <c r="G29" i="13"/>
  <c r="F29" i="13"/>
  <c r="I29" i="13" s="1"/>
  <c r="G28" i="13"/>
  <c r="F28" i="13"/>
  <c r="H21" i="13"/>
  <c r="H22" i="13" s="1"/>
  <c r="D14" i="13" s="1"/>
  <c r="H20" i="13"/>
  <c r="H19" i="13"/>
  <c r="D9" i="13"/>
  <c r="N3" i="12"/>
  <c r="S3" i="11"/>
  <c r="I6" i="10"/>
  <c r="J6" i="10"/>
  <c r="K6" i="10"/>
  <c r="L6" i="10"/>
  <c r="H6" i="10"/>
  <c r="N6" i="10" s="1"/>
  <c r="I32" i="13" l="1"/>
  <c r="I28" i="13"/>
  <c r="F26" i="1"/>
</calcChain>
</file>

<file path=xl/sharedStrings.xml><?xml version="1.0" encoding="utf-8"?>
<sst xmlns="http://schemas.openxmlformats.org/spreadsheetml/2006/main" count="1246" uniqueCount="335">
  <si>
    <t xml:space="preserve">COORDINADORES </t>
  </si>
  <si>
    <t>#</t>
  </si>
  <si>
    <t>NOMBRE</t>
  </si>
  <si>
    <t>SEXO</t>
  </si>
  <si>
    <t>CARRERA</t>
  </si>
  <si>
    <t>(1C) El o la docente se conduce de manera respetuosa al relacionarse con las personas de todas las áreas de la Universidad, sin tener registro a la fecha de algún reporte de comportamiento inadecuado.</t>
  </si>
  <si>
    <t>(2C) El o la docente se conduce siempre bajo los principios de integridad académica.</t>
  </si>
  <si>
    <t xml:space="preserve">(3C) El o la docente cumple asiduamente sus compromisos como prestador de servicios: puntualidad/asistencia, atención a solicitudes administrativas como entrega de documentación, etc. </t>
  </si>
  <si>
    <t>(4C) El o la docente cumple asiduamente sus compromisos en procesos académicos, como captura de calificaciones, entrega de planeaciones, entre otros.</t>
  </si>
  <si>
    <t>(5C) El o la docente participa en reuniones del colegio de carrera.</t>
  </si>
  <si>
    <t xml:space="preserve">(6C) Fortalezas de la o el docente: </t>
  </si>
  <si>
    <t xml:space="preserve">(7C) Áreas de mejora de la o el docente: </t>
  </si>
  <si>
    <t>(8C) Resultado de evaluación de la capacitación (solo dígitos, máximo 15)</t>
  </si>
  <si>
    <t>DOCENTES</t>
  </si>
  <si>
    <t>MATERIA</t>
  </si>
  <si>
    <t>GRUPO</t>
  </si>
  <si>
    <t>(1D) Tengo dominio sobre los contenidos de aprendizaje de la(s) materia(s) a mi cargo:  conceptos, teorías, modelos, principios, prácticas, dentro de mi campo profesional.</t>
  </si>
  <si>
    <t>(2D) Relaciono mi experiencia profesional con los procesos de aprendizaje de las y los estudiantes.</t>
  </si>
  <si>
    <t xml:space="preserve">(3D) Me comunico eficientemente con mis estudiantes. Si la materia así lo exige, utilizo tecnologías de la información y comunicación. </t>
  </si>
  <si>
    <t>(4D) Comunico e invito a mis estudiantes a conducirse con ética profesional.</t>
  </si>
  <si>
    <t>(5D) Aplico estrategias metodológicas acordes con las características de las y los estudiantes y los objetivos de aprendizaje.</t>
  </si>
  <si>
    <t>(6D) Aplico estrategias, criterios y mecanismos de evaluación de forma integral y con perspectiva formativa.</t>
  </si>
  <si>
    <t>(7D) Promuevo con mis estudiantes un ambiente respetuoso, motivante y confiable, lo que permite el intercambio de ideas, el diálogo académico y la sana convivencia</t>
  </si>
  <si>
    <t>(8D) Me conduzco eficaz y oportunamente en los entornos físicos, en las relaciones interpersonales y en los procesos relacionados con la función docente atendiendo las disposiciones institucionales y contribuyendo en los procesos de mejora continua.</t>
  </si>
  <si>
    <t>(9D) Me conduzco con honorabilidad, respeto a los derechos humanos y sentido de contribución con el logro de los valores institucionales.</t>
  </si>
  <si>
    <t xml:space="preserve">(10D) Participo en las reuniones de colegio de docentes. Si por razones de causa mayor no puedo asistir, solicito la información compartida. </t>
  </si>
  <si>
    <t>(11D) Mis fortalezas como docente son:</t>
  </si>
  <si>
    <t xml:space="preserve">(12D) Mis áreas de mejora como docente son: </t>
  </si>
  <si>
    <t xml:space="preserve">(13D) Comentarios adicionales (sugerencias de toda índole que favorezcan la práctica docente, el bienestar y los procesos de aprendizaje): </t>
  </si>
  <si>
    <t>ESTUDIANTES</t>
  </si>
  <si>
    <t>TIPO</t>
  </si>
  <si>
    <t>GRADO</t>
  </si>
  <si>
    <t>(1E) El o la docente domina la materia, explica, da ejemplos, resuelve mis dudas.</t>
  </si>
  <si>
    <t xml:space="preserve">(2E) El o la docente sabe relacionar su experiencia y saberes con mi formación profesional y me invita a vivir los valores maristas. </t>
  </si>
  <si>
    <t xml:space="preserve">(3E) El o la docente sabe enseñar y aprendo cosas útiles que me harán más competente en mi profesión.   </t>
  </si>
  <si>
    <t xml:space="preserve">(4E) El o la docente me evalúa no solo los conocimientos sino también las habilidades; es decir, lo que debo saber hacer respecto a mi profesión. </t>
  </si>
  <si>
    <t>(5E) El o la docente promueve un ambiente respetuoso, motivante y confiable, lo que permite el intercambio de ideas y la sana convivencia.</t>
  </si>
  <si>
    <t xml:space="preserve">(6E) Comentarios, felicitaciones, sugerencias a el o la   docente: </t>
  </si>
  <si>
    <t>COMPETENCIA</t>
  </si>
  <si>
    <t xml:space="preserve">DOMINIO DE LA DISCIPLINA </t>
  </si>
  <si>
    <t xml:space="preserve">VINCULACIÓN PROFESIONAL </t>
  </si>
  <si>
    <t xml:space="preserve">COMUNICACIÓN </t>
  </si>
  <si>
    <t>MEDIACIÓN DE LOS APRENDIZAJES</t>
  </si>
  <si>
    <t>EVALUACIÓN DE LOS APRENDIZAJES</t>
  </si>
  <si>
    <t xml:space="preserve">GENERACIÓN DE AMBIENTES SEGUROS </t>
  </si>
  <si>
    <t xml:space="preserve">COMPROMISO INSTITUCIONAL </t>
  </si>
  <si>
    <t>CAMPO</t>
  </si>
  <si>
    <t>DESCRIPCIÓN</t>
  </si>
  <si>
    <t>NOMBRE DEL REPORTE</t>
  </si>
  <si>
    <t xml:space="preserve">JEFATURA </t>
  </si>
  <si>
    <t xml:space="preserve">COORDINACIÓN </t>
  </si>
  <si>
    <t xml:space="preserve">RESPONSABLE DE PROYECTOS ACADÉMICOS </t>
  </si>
  <si>
    <t xml:space="preserve">SUBDIRECCIÓN DE OPERACIONES ACADÉMICAS </t>
  </si>
  <si>
    <t xml:space="preserve">DIRECCIÓN EDUCATIVA </t>
  </si>
  <si>
    <t>¿SE ENTREGA A DOCENTE?</t>
  </si>
  <si>
    <t>REPORTE DE DOCENTE POR CARRERA</t>
  </si>
  <si>
    <t>No</t>
  </si>
  <si>
    <t>x</t>
  </si>
  <si>
    <t xml:space="preserve">REPORTE DE DOCENTE POR MATERIA </t>
  </si>
  <si>
    <t xml:space="preserve">Sí, a criterio de la coordinación, ya que contiene comentarios de estudiantes. </t>
  </si>
  <si>
    <t xml:space="preserve">Sí </t>
  </si>
  <si>
    <t xml:space="preserve">Es el reporte más específico que recoge los resultados obtenidos por cada docente, por cada materia que imparte y por cada grupo, incluyendo los comentarios de docentes, estudiantes y coordinación. </t>
  </si>
  <si>
    <t xml:space="preserve">Recoge los resultados obtenidos por cada docente, integrando los resultados que obtuvo en todas las materias, todos los grupos y todas las carreras en donde imparta clases. No incluye los comentarios del estudiantado. </t>
  </si>
  <si>
    <t xml:space="preserve">CLAVE DE REPORTE </t>
  </si>
  <si>
    <t>RDM</t>
  </si>
  <si>
    <t>RDC</t>
  </si>
  <si>
    <t>REPORTE</t>
  </si>
  <si>
    <t xml:space="preserve">Recoge en una misma tabla  los resultados obtenidos por las y los docentes que imparten clases en una misma carrera, ordenándolos de mayor a menor.En caso de que un docente imparta clases en más de una materia, los resultados se deberán promediar. Aquí se incluye el ranking de las y los docentes. </t>
  </si>
  <si>
    <t>RID</t>
  </si>
  <si>
    <t>REPORTE INTEGRAL DE DOCENTE</t>
  </si>
  <si>
    <t>Docente con 1 asignatura</t>
  </si>
  <si>
    <t>Docente con 2 asignaturas en una carrera</t>
  </si>
  <si>
    <t>Docente con 3 asignaturas en distinta carrera</t>
  </si>
  <si>
    <t xml:space="preserve">Docente con 4 asignaturas en distinta carrera </t>
  </si>
  <si>
    <t>VISOR</t>
  </si>
  <si>
    <t xml:space="preserve">Coordinador con 1 carrera </t>
  </si>
  <si>
    <t>Coordinador con más de 1 carrera</t>
  </si>
  <si>
    <t xml:space="preserve">Jefatura </t>
  </si>
  <si>
    <t>Materias sello</t>
  </si>
  <si>
    <t xml:space="preserve">Idiomas </t>
  </si>
  <si>
    <t xml:space="preserve">Responsable de Proyectos acacémicos </t>
  </si>
  <si>
    <t>Carrera de Psicología</t>
  </si>
  <si>
    <t xml:space="preserve">Materias sello </t>
  </si>
  <si>
    <t xml:space="preserve">Grupo </t>
  </si>
  <si>
    <t xml:space="preserve">ESTUDIANTES </t>
  </si>
  <si>
    <t>AUTOEVALUACIÓN (DOCENTES)</t>
  </si>
  <si>
    <t>MUJER</t>
  </si>
  <si>
    <t xml:space="preserve">CASO </t>
  </si>
  <si>
    <t xml:space="preserve">PSICOLOGÍA </t>
  </si>
  <si>
    <t>HOMBRE</t>
  </si>
  <si>
    <t>TENDENCIAS CONTEMPORÁNEAS DE LA PSICOLOGÍA</t>
  </si>
  <si>
    <t>PSICOLOGÍA SOCIAL</t>
  </si>
  <si>
    <t>PSICOGERONTOLOGÍA</t>
  </si>
  <si>
    <t>DISEÑO DE PROGRAMAS PSICOEDUCATIVOS</t>
  </si>
  <si>
    <t>METODOS DE DIAGNÓSTICO</t>
  </si>
  <si>
    <t>PROMOCIÓN COMUNITARIA Y PSICOLOGÍA DE LA SALUD</t>
  </si>
  <si>
    <t>INTERVENCIÓN PSICOLÓGICA DESDE EL MODELO SISTÉMICO FAMILIAR</t>
  </si>
  <si>
    <t>BASES DE LA NEUROCIENCIA</t>
  </si>
  <si>
    <t>SEXUALIDAD HUMANA</t>
  </si>
  <si>
    <t>TEORÍAS DE LA PERSONALIDAD I</t>
  </si>
  <si>
    <t>PSICOFARMACOLOGÍA</t>
  </si>
  <si>
    <t>TANATOLOGÍA</t>
  </si>
  <si>
    <t>INTERVENCIÓN PSICOLOGICA DESDE LA GESTALT</t>
  </si>
  <si>
    <t>MANEJO DE GRUPO</t>
  </si>
  <si>
    <t>MODELOS PSICOLÓGICOS DE INTERVENCIÓN EMERGENTES</t>
  </si>
  <si>
    <t>PROYECTO DE INVESTIGACIÓN EN PSICOLOGÍA</t>
  </si>
  <si>
    <t xml:space="preserve">ADMINISTRACIÓN DE RECURSOS HUMANOS </t>
  </si>
  <si>
    <t>PSICOPATOLOGÍA</t>
  </si>
  <si>
    <t>PSICOLOGÍA DE LA INFANCIA Y ADOLESCENCIA</t>
  </si>
  <si>
    <t>MODELOS PSICOLÓGICOS DE INTERVENCIÓN II</t>
  </si>
  <si>
    <t>PSICOLOGÍA DE LO VIRTUAL</t>
  </si>
  <si>
    <t>MODELOS PSICOLÓGICOS DE INTERVENCIÓN IV</t>
  </si>
  <si>
    <t>ENFOQUE DE LA ENSEÑANZA APRENDIZAJE</t>
  </si>
  <si>
    <t xml:space="preserve">Carrera de Psicología </t>
  </si>
  <si>
    <t>GENERAL</t>
  </si>
  <si>
    <t>PSI 8</t>
  </si>
  <si>
    <t>PSI 4</t>
  </si>
  <si>
    <t>PSI 2</t>
  </si>
  <si>
    <t>PSI 6</t>
  </si>
  <si>
    <t>Es una muy buena maestra, me gustan mucho las clases y facilita mucho el aprendizaje en el 3D</t>
  </si>
  <si>
    <t>Muy buena maestra y me gusta su clase</t>
  </si>
  <si>
    <t>He aprendido mucho, pero me asusta el examen del parcial completo porque siento que hemos visto demasiado</t>
  </si>
  <si>
    <t>Amo tus clases, hacer 3d no</t>
  </si>
  <si>
    <t>Deje menos tareas... tenemos otras materias pesadas</t>
  </si>
  <si>
    <t>Excelente maestro comprensivo y paciente, nos ayuda mucho a mejorar, de los mejores maestros, respeta el tiempo de clase.</t>
  </si>
  <si>
    <t>Buen maestro,  sus clases son concisas y productivas.</t>
  </si>
  <si>
    <t>Paciencia, fomentar espacios de reflexi�n y di�logo, diversidad de herramientas</t>
  </si>
  <si>
    <t>Poner l�mites m�s firmes, de forma clara y tranquila, sobre todo con alumnos que no realicen tareas, asistan a clase, etc</t>
  </si>
  <si>
    <t>Realizar presentaciones m�s din�micas</t>
  </si>
  <si>
    <t>Pasi�n por la materia, contactos de organizaciones y proyectos sociales en la materia, experiencia profesional en todas las �reas que abarca la materia.</t>
  </si>
  <si>
    <t>Capacidad de aprendizaje, facilidad de palabra, paciencia, tolerancia y empat�a , con los alumnos</t>
  </si>
  <si>
    <t>Continuar con capacitaciones en actualizaciones de temas referentes. Mis materias</t>
  </si>
  <si>
    <t>Capacidad de aprendizaje, actitud positiva, paciente, tolerante,gusto por aprender cosas nuevas y transmitir esto a mis alumnos de la forma que se requiera</t>
  </si>
  <si>
    <t>Capacitaci�n en mejoras y actualizaci�n de temas relacionados a mi materia</t>
  </si>
  <si>
    <t>Capacidad de aprendizaje, actitud positiva, paciencia, tolerancia y empat�a</t>
  </si>
  <si>
    <t>Cualquier actualizaci�n que aporte a mi persona o a las materias que imparto o a mi persona</t>
  </si>
  <si>
    <t>Emp�tica, pr�ctica, tolerante , capacidad de aprendizaje y actitud positiva</t>
  </si>
  <si>
    <t>Aprender , aplicar conocimientos y capacitaciones relacionadas a mi persona o a las materias que imparto</t>
  </si>
  <si>
    <t>Las variedad de practicas para aprender las herramientas de clase.</t>
  </si>
  <si>
    <t>La comunicaci�n continua con los alumnos fuera de clase.</t>
  </si>
  <si>
    <t>Atenci�n personalizada, uso de herramientas tecnol�gicas y pedag�gicas para la ense�anza.</t>
  </si>
  <si>
    <t>Mayor participaci�n en los proyectos integradores.</t>
  </si>
  <si>
    <t>Me actualizo continuamente a fin de implementar estrategias pedag�gicas, as� como del contenido de la materia que imparto. Escucho activamente a mis alumnos para captar sus necesidades y aplicar estrategias que me permitan atender y entender sus inquietudes.</t>
  </si>
  <si>
    <t>Reevaluar mi material de apoyo pedag�gico para hacerlo m�s accesible y concreto.  Movilizar mi persona fuera del espacio tradicional como docente.</t>
  </si>
  <si>
    <t>experiencia y conocimiento</t>
  </si>
  <si>
    <t>Puntualidad y tolerancia al desempe�o de los discentes</t>
  </si>
  <si>
    <t>Despierto cierto inter�s en mis alumnos en conocer otros temas relacionados, hay algunos fuera de la Programaci�n que exceden mi �rea de expertise, pero les invito a investigarlo y yo por mi cuenta tambi�n investigo para hablarlo la clase siguiente. Les permito (de forma ocasional) que dialoguen sobre temas personales o acad�micos que les aqueje, ofreciendome a escuchar o a brindarles sugerencias cuando lo soliciten. Otra es dirigir la did�ctica de forma de que lo aprendido en mi materia, puedan servirles para otros semestres y en pr�ctica profesional, que conozcan herramientas usadas en producci�n. Por cada tarea explico la importancia y c�mo contribuye a su perfil o ejercicio profesional</t>
  </si>
  <si>
    <t>Al terminar mis clases, procuro no extenderme m�s de las 12:30 porque a esa hora acaba, pero llegan a surgir muchas participaciones o comentarios sobre sus proyectos y no he podido conducirme para terminar 5 minutos antes (12:25) y dar oportunidad de desalojar el sal�n. Este grupo siempre llegan hasta 10 minutos tarde (por materias sello), provocando que el tiempo para tema, dudas o participaciones pueda verse reducido(me cuesta manejar ello). Todav�a me falta m�s experiencia como docente para ser m�s exigente en la disciplina, y en ocasiones debido a limitaciones tecnologicas y log�sticas, mi material did�ctico puede verse insuficiente. Puntualidad en subir materiales did�cticos a teams.</t>
  </si>
  <si>
    <t>compromiso, vocaci�n, empatia, comunicaci�n, reciprocidad</t>
  </si>
  <si>
    <t>puntualidad de salida, manejo de estr�s,</t>
  </si>
  <si>
    <t>reciprocidad, empatia, vocaci�n, organizaci�n, pasi�n por mi trabajo</t>
  </si>
  <si>
    <t>puntualidad de salida,</t>
  </si>
  <si>
    <t>Conocimiento y dominio de los contenidos de mis materias, as� como la utilizaci�n de estrategias que permitan una experiencia de aprendizaje v�vida.</t>
  </si>
  <si>
    <t>Destinar un poco m�s de tiempo al acompa�amiento de alumnos con bajo rendimiento (falta de tiempo con respecto a los horarios y dem�s materias que el alumno debe atender).</t>
  </si>
  <si>
    <t>Conocimiento y dominio de los contenidos de mis materias, as� como la utilizaci�n de estrategias y actividades que permitan una experiencia de aprendizaje v�vida.</t>
  </si>
  <si>
    <t>Un buen dominio de las categor�as y conceptos relacionados con los temas estudiados en la materia, capacidad de an�lisis, formaci�n continua y transdisciplinaria.</t>
  </si>
  <si>
    <t>Un uso m�s extendido de herramientas audiovisuales para la exposici�n de los temas de clase, en atenci�n a las necesidades de acompa�amiento visual de las nuevas generaciones.</t>
  </si>
  <si>
    <t>Dominio de la asignatura  Comunicaci�n efectiva</t>
  </si>
  <si>
    <t>Manejo de grupos grandes</t>
  </si>
  <si>
    <t>Mejorar internet</t>
  </si>
  <si>
    <t>mejorar infraestructura</t>
  </si>
  <si>
    <t>Ser más eficientes en la cafetería</t>
  </si>
  <si>
    <t>dar más capacitación</t>
  </si>
  <si>
    <t>Capacita en IA</t>
  </si>
  <si>
    <t>Uso de la IA urge normatividad</t>
  </si>
  <si>
    <t>Mejorar el sueldo</t>
  </si>
  <si>
    <t>SALCEDO ROSALES ERIKA IVETTE-PRUEBA-</t>
  </si>
  <si>
    <t>AGUILAR CEBALLOS CARLA MARIANA-PRUEBA-</t>
  </si>
  <si>
    <t>ÁVALOS TORRES ÁNGEL ALEJANDRO-PRUEBA-</t>
  </si>
  <si>
    <t>BARRERA SÁNCHEZ IAN ALEJANDRO-PRUEBA-</t>
  </si>
  <si>
    <t>CORTÉS VELASCO CLAUDIA PAOLA-PRUEBA-</t>
  </si>
  <si>
    <t>FLORES GUZMÁN HÉCTOR ALFONSO-PRUEBA-</t>
  </si>
  <si>
    <t>GARCÍA LÓPEZ JOAQUÍN-PRUEBA-</t>
  </si>
  <si>
    <t>GARCÍA VALDERRAMA ALFREDO-PRUEBA-</t>
  </si>
  <si>
    <t>GÓMEZ PÉREZ DAVID UBALDO-PRUEBA-</t>
  </si>
  <si>
    <t>GONZÁLEZ GONZÁLEZ ENRIQUE-PRUEBA-</t>
  </si>
  <si>
    <t>GUERRA RÍOS BRENDA JEANNETTE-PRUEBA-</t>
  </si>
  <si>
    <t>HERRERA ARAGÓN DAVID-PRUEBA-</t>
  </si>
  <si>
    <t>JÁUREGUI RODRÍGUEZ NARDA RUBÍ-PRUEBA-</t>
  </si>
  <si>
    <t>LUNA HERRERA JOSÉ CARLOS-PRUEBA-</t>
  </si>
  <si>
    <t>PÉREZ CAMACHO MONSERRAT MARLEM-PRUEBA-</t>
  </si>
  <si>
    <t>RODRÍGUEZ AMADOR MARÍA DE JESÚS-PRUEBA-</t>
  </si>
  <si>
    <t>ROSARIO BECERRA CARLOS ALFONSO-PRUEBA-</t>
  </si>
  <si>
    <t>TAPIA VELÁZQUEZ FRANCISCO-PRUEBA-</t>
  </si>
  <si>
    <t>super</t>
  </si>
  <si>
    <t>te felicito</t>
  </si>
  <si>
    <t>siempre adelante</t>
  </si>
  <si>
    <t>super wow</t>
  </si>
  <si>
    <t>excelene</t>
  </si>
  <si>
    <t>sin miedo al éxito</t>
  </si>
  <si>
    <t xml:space="preserve">cuenta con mi apoyo </t>
  </si>
  <si>
    <t>todo bien 1AO3:AO9AOAO3:AO17</t>
  </si>
  <si>
    <t>capacitación</t>
  </si>
  <si>
    <t>planeación</t>
  </si>
  <si>
    <t>comuciación</t>
  </si>
  <si>
    <t>espacios seguros</t>
  </si>
  <si>
    <t>asistir a juntas</t>
  </si>
  <si>
    <t>compartir avances</t>
  </si>
  <si>
    <t>puntualidad</t>
  </si>
  <si>
    <t>SOLO LO APLIQUÉ CON ÉSTA</t>
  </si>
  <si>
    <t xml:space="preserve">GRUPO </t>
  </si>
  <si>
    <t>Nnguno</t>
  </si>
  <si>
    <t>nada</t>
  </si>
  <si>
    <t xml:space="preserve">TOTAL </t>
  </si>
  <si>
    <t xml:space="preserve">PROMEEDIO TOTAL </t>
  </si>
  <si>
    <t xml:space="preserve">PTOMEDIO AUTOEVALUACIÓN </t>
  </si>
  <si>
    <t xml:space="preserve">PROMEDIO EVALUIACIÓN DE LA COORDINACIÓN </t>
  </si>
  <si>
    <t>REPORTE DE DOCENTES POR MATERIA</t>
  </si>
  <si>
    <t>2026-II</t>
  </si>
  <si>
    <t>FECHA</t>
  </si>
  <si>
    <t xml:space="preserve">Actualizar la fecha del día en el que se descargue el reporte </t>
  </si>
  <si>
    <t xml:space="preserve">DOCENTE </t>
  </si>
  <si>
    <t xml:space="preserve">Tomar el valor del campo NOMBRE de la BD AUTOEVALUACIÓN </t>
  </si>
  <si>
    <t xml:space="preserve">Tomar el valor del campo CARRERA de la BD AUTOEVALUACIÓN </t>
  </si>
  <si>
    <t xml:space="preserve">Tomar el valor del campo MATERIA de la BD AUTOEVALUACIÓN </t>
  </si>
  <si>
    <t xml:space="preserve">Tomar el valor del campo GRUPO de la BD AUTOEVALUACIÓN </t>
  </si>
  <si>
    <t xml:space="preserve">Tomar el valor de la celda TOTAL  de la TABLA DE RESULTADOS (H21) </t>
  </si>
  <si>
    <t xml:space="preserve">TABLA DE RESULTADOS </t>
  </si>
  <si>
    <t>CONCEPTO</t>
  </si>
  <si>
    <t xml:space="preserve">PONDERACIÓN </t>
  </si>
  <si>
    <t>RESULTADO OBTENIDO</t>
  </si>
  <si>
    <t>CAPACITACIÓN</t>
  </si>
  <si>
    <t>Tomar el valor más alto obtenido en el campo (8C) de la BD COORDINACIÓN (el número debe ser igual o menor a 15)</t>
  </si>
  <si>
    <t xml:space="preserve">Promediar todas las respuestas dadas por todos los estudiantes de esta misma  materia. El resultado se deberá multiplicar por 35 y dividir entre 4 para hacer la conversión al ponderado. Dejar con una decimal. </t>
  </si>
  <si>
    <t>AUTOEVALUACIÓN</t>
  </si>
  <si>
    <t xml:space="preserve">Promediar todas las respuestas dadas por el docente en su autoevaluación de esta materia. El resultado se deberá multiplicar por 15 y dividir entre 4, para convertirlo al ponderado, dejando una decimal. </t>
  </si>
  <si>
    <t>COORDINACIÓN</t>
  </si>
  <si>
    <t xml:space="preserve">Promediar todas las respuestas dadas por el coordinador al evaluar a este docente, en esta materia. El resultado se deberá multiplicar por 35 y dividir entre 4, para convertirlo al ponderado, con una decimal. </t>
  </si>
  <si>
    <t xml:space="preserve">Sumar las cantidades anteriores, dejar una decimal. </t>
  </si>
  <si>
    <t>EVALUACIÓN POR COMPETENCIAS
Esta evaluación promedia los resultados obtenidos por cada una de las 7 competencias docentes, según el agente evaluador y las convierte a escala de 100.</t>
  </si>
  <si>
    <t>ESTUDIANTE</t>
  </si>
  <si>
    <t>DOCENTE</t>
  </si>
  <si>
    <t>RESULTADO POR COMPETENCIA</t>
  </si>
  <si>
    <t>1.Dominio de la disciplina</t>
  </si>
  <si>
    <t>Conoce y explica a profundidad los conceptos, teorías, modelos, principios o prácticas del campo disciplinar de su especialidad.</t>
  </si>
  <si>
    <t xml:space="preserve">Promediar las respuestas del campo (1E) de todos los estudiantes de esta materia y  dividirlo entre 4 para convertirlo a porcentaje. </t>
  </si>
  <si>
    <t xml:space="preserve">Tomar la respuesta del campo (1D) de esa materia y dividirla entre 4 para convertirlo en porcentaje. </t>
  </si>
  <si>
    <t xml:space="preserve">Promediar los resultados horizontalmente (no tomar en cuenta las celdas en gris). </t>
  </si>
  <si>
    <t>2.Vinculación profesional</t>
  </si>
  <si>
    <t>Tiene experiencia en su campo profesional y la relaciona con los procesos de aprendizaje de las y los estudiantes.</t>
  </si>
  <si>
    <t>Lo mismo con el campo (2E)</t>
  </si>
  <si>
    <t>Lo mismo con el campo (2D)</t>
  </si>
  <si>
    <t>3.Comunicación</t>
  </si>
  <si>
    <t>Se comunica eficazmente con el grupo.</t>
  </si>
  <si>
    <t>Lo mismo con el campo (3D)</t>
  </si>
  <si>
    <t>4.Mediación de los aprendizajes</t>
  </si>
  <si>
    <t>En su actividad en el aula demuestra manejo de grupo, organización, liderazgo, capacidad de implementar actividades y recursos diversos y congruentes con los objetivos de aprendizaje.</t>
  </si>
  <si>
    <t>Lo mismo con el campo (3E)</t>
  </si>
  <si>
    <t>Lo mismo con el campo (5D)</t>
  </si>
  <si>
    <t>5.Evaluación de los aprendizajes</t>
  </si>
  <si>
    <t>Anticipa y presenta criterios de evaluación claros, evalúa de manera integral y brinda retroalimentación oportuna.</t>
  </si>
  <si>
    <t>Lo mismo con el campo (4E)</t>
  </si>
  <si>
    <t>Lo mismo con el campo (6D)</t>
  </si>
  <si>
    <t>6.Generación de ambientes seguros</t>
  </si>
  <si>
    <t>Promueve un ambiente respetuoso y libre de violencias, lo que favorece el diálogo y la sana convivencia. Se conduce con respeto hacia todas las personas de la comunidad educativa.</t>
  </si>
  <si>
    <t>Lo mismo con el campo (5E)</t>
  </si>
  <si>
    <t>Lo mismo con el campo (7D)</t>
  </si>
  <si>
    <t xml:space="preserve">Promediar las respuestas del campo 1C de la evaluación que el coordinador hace a ese docente, y dividir el resultado entre 4 para obtener porcentaje. </t>
  </si>
  <si>
    <t xml:space="preserve">7.Compromiso institucional </t>
  </si>
  <si>
    <t>Promueve los valores maristas, se conduce con honorabilidad e integridad, participa en reuniones, cumple compromisos administrativos y académicos.</t>
  </si>
  <si>
    <t>Lo mismo con los campos 4D, 8D, 9D y 10D.</t>
  </si>
  <si>
    <t xml:space="preserve">Lo mismo, con los campos 2C, 3C, 4C y 5C. </t>
  </si>
  <si>
    <t xml:space="preserve">COMENTARIOS DE LA O EL DOCENTE </t>
  </si>
  <si>
    <t>FORTALEZAS</t>
  </si>
  <si>
    <t>ÁREAS DE MEJORA</t>
  </si>
  <si>
    <t>Paciencia, fomentar espacios de reflexión y diálogo, diversidad de herramientas</t>
  </si>
  <si>
    <t>Poner límites más firmes, de forma clara y tranquila, sobre todo con alumnos que no realicen tareas, asistan a clase, etc</t>
  </si>
  <si>
    <t xml:space="preserve">Transcribir los comentarios del campo 11D  hechos por el docente de la materia. </t>
  </si>
  <si>
    <t xml:space="preserve">Transcribir los comentarios del campo 12D  hechos por el docente de la materia. </t>
  </si>
  <si>
    <t xml:space="preserve">COMENTARIOS ADICIONALES </t>
  </si>
  <si>
    <t xml:space="preserve">Transcribir los comentarios del campo 13D  hechos por el docente de la materia. </t>
  </si>
  <si>
    <t>COMENTARIOS DE LA O EL COORDINADOR</t>
  </si>
  <si>
    <t xml:space="preserve">Transcribir los comentarios del campo 6C  hechos por el coordinador de la carrera a la que pertenece la materia. </t>
  </si>
  <si>
    <t xml:space="preserve">Transcribir los comentarios del campo 7C  hechos por el coordinador de la carrera a la que pertenece la materia. </t>
  </si>
  <si>
    <t>COMENTARIOS, FELICITACIONES POR PARTE DEL ESTUDIANTADO</t>
  </si>
  <si>
    <t xml:space="preserve">Transcribir los comentarios del campo (6E) hechos por los estudiaantes que cursan esa materia con ese docente. </t>
  </si>
  <si>
    <t xml:space="preserve">Le invitamos a reflexionar sobre estos resultados y a identificar posibles áreas de mejora como una oportunidad para fortalecer su práctica docente. En la parte inferior encontrará un espacio destinado a la formulación de sus compromisos para la mejora integral.
Agradecemos profundamente su compromiso con la excelencia educativa. Quedamos a su disposición para brindarle el apoyo adicional que considere necesario.
</t>
  </si>
  <si>
    <r>
      <t xml:space="preserve">Atentamente.
</t>
    </r>
    <r>
      <rPr>
        <sz val="11"/>
        <color rgb="FF7030A0"/>
        <rFont val="Calibri"/>
        <family val="2"/>
        <scheme val="minor"/>
      </rPr>
      <t xml:space="preserve">ALEJANDRO CALERA SUÁLEZ
JEFATURA DE CIENCIAS SOCIALES, HUMANIDADES Y DE LA SALUD
</t>
    </r>
    <r>
      <rPr>
        <sz val="11"/>
        <color theme="1"/>
        <rFont val="Calibri"/>
        <family val="2"/>
        <scheme val="minor"/>
      </rPr>
      <t xml:space="preserve">
</t>
    </r>
  </si>
  <si>
    <t xml:space="preserve">COMPROMISOS PARA LA MEJORA INTEGRAL: </t>
  </si>
  <si>
    <r>
      <t xml:space="preserve">______________________________
</t>
    </r>
    <r>
      <rPr>
        <sz val="11"/>
        <color rgb="FF7030A0"/>
        <rFont val="Calibri"/>
        <family val="2"/>
        <scheme val="minor"/>
      </rPr>
      <t>AGUILAR CEBALLOS CARLA MARIANA-PRUEBA-</t>
    </r>
    <r>
      <rPr>
        <sz val="11"/>
        <color theme="1"/>
        <rFont val="Calibri"/>
        <family val="2"/>
        <scheme val="minor"/>
      </rPr>
      <t xml:space="preserve">
Firma del docente
</t>
    </r>
  </si>
  <si>
    <t xml:space="preserve">______________________________
ALEJANDRO CALERA SUÁREZ 
Firma
</t>
  </si>
  <si>
    <t>COMPROMISOS PARA LA MEJORA INTEGRAL DE LA CARRERA:</t>
  </si>
  <si>
    <t xml:space="preserve">Atentamente.
ALEJANDRO CALERA SUÁREZ
JEFATURA DE CIENCIAS SOCIALES, HUMANIDADES Y DE LA SALUD
</t>
  </si>
  <si>
    <t xml:space="preserve">Estimada, estimado coordinador: 
Te invito a reflexionar sobre estos resultados y a identificar posibles áreas de mejora como una oportunidad para fortalecer el seguimiento de las y los docentes. En la parte inferior encontrarás un espacio destinado a la formulación de tus compromisos para la mejora integral.
Agradezco profundamente tu compromiso con la excelencia educativa y quedo a tu disposición para brindarte el apoyo adicional que consideres necesario.
Atentamente.
</t>
  </si>
  <si>
    <t xml:space="preserve">Promediar todas  las respuestas del campo 1C de la evaluación que el coordinador hace a todos sus docentes, y dividir el resultado entre 4 para obtener porcentaje. </t>
  </si>
  <si>
    <t xml:space="preserve">Promediar todas las respuestas del campo  (1D) de esa carrera y dividirla entre 4 para convertirlo en porcentaje. </t>
  </si>
  <si>
    <t>Promediar todas las respuestas de sus estudiantes del campo (1E) y dividir entre 4 para obtener porcentaje.</t>
  </si>
  <si>
    <t xml:space="preserve">PROMEDIO </t>
  </si>
  <si>
    <t xml:space="preserve">RESULTADOS POR COMPETENCIAS </t>
  </si>
  <si>
    <t xml:space="preserve">TOTALES </t>
  </si>
  <si>
    <t>TOTAL</t>
  </si>
  <si>
    <t xml:space="preserve">CAPACITACIÓN </t>
  </si>
  <si>
    <t>N°</t>
  </si>
  <si>
    <t xml:space="preserve">RESULTADOS DE LAS Y LOS DOCENTES
En caso de que un docente imparta clases en más de una materia o grupo pero dentro de una misma carrera, los resultados específicos se promediarán. 
</t>
  </si>
  <si>
    <t xml:space="preserve">TOTAL EVALUACIÓN INTEGRADA POR CARRERA </t>
  </si>
  <si>
    <t xml:space="preserve">Totales obtenidos por los docentes de esa carrera (se toman de las celdas correspondientes) </t>
  </si>
  <si>
    <t xml:space="preserve">EVALUACIÓN INTEGRADA
Se presentan los resultados obtenidos por el conjunto de las y los docentes que integran una misma carrera, considerando el promedio de valoraciones a partir de los resultados obtenidos según el agente evaluador y agregando de manera directa su resultado en la capacitación.  
</t>
  </si>
  <si>
    <t xml:space="preserve">Transcribir el total de la evaluación integrada por carrera </t>
  </si>
  <si>
    <t>Nombre  de la o el coordinador de la carrera</t>
  </si>
  <si>
    <t xml:space="preserve">COORDINADOR O COORDINADORA </t>
  </si>
  <si>
    <t>ALEJANDRO CALERA SUÁREZ</t>
  </si>
  <si>
    <t xml:space="preserve">Nombre de la carrera a la que pertenece esta plantilla docente. </t>
  </si>
  <si>
    <t>PSICOLOGÍA</t>
  </si>
  <si>
    <t>REPORTE DE DOCENTES POR CARRERA</t>
  </si>
  <si>
    <t xml:space="preserve">FECHA </t>
  </si>
  <si>
    <t xml:space="preserve">RESULTADO INTEGRADO </t>
  </si>
  <si>
    <t xml:space="preserve">En este reporte se presentan los resultados obtenidos por la o el docente considerando las valoraciones hechas en todas las materias y grupos en los que imparte clases. </t>
  </si>
  <si>
    <t xml:space="preserve">COMPETENCIAS </t>
  </si>
  <si>
    <t xml:space="preserve">EVALUACIÓN INTEGRADA </t>
  </si>
  <si>
    <t>1.DOMINIO DE LA DISCIPLINA</t>
  </si>
  <si>
    <t xml:space="preserve">2.VINCULACIÓN PROFESIONAL </t>
  </si>
  <si>
    <t>3.COMUNICACIÓN</t>
  </si>
  <si>
    <t xml:space="preserve">4. MEDIACIÓN DE LOS APRENDIZAJES </t>
  </si>
  <si>
    <t>5.EVALUACIÓN DE LOS APRENDIZAJES</t>
  </si>
  <si>
    <t xml:space="preserve">6. GENERACIÓN DE AMBIENTES SEGUROS </t>
  </si>
  <si>
    <t xml:space="preserve">7.COMPROMISO INSTITUCIONAL </t>
  </si>
  <si>
    <t xml:space="preserve">AUTOEVALUACIÓN </t>
  </si>
  <si>
    <t>COMENTARIOS DE LA O EL DOCENTE</t>
  </si>
  <si>
    <t>CLAVE</t>
  </si>
  <si>
    <t xml:space="preserve">FORTALEZAS </t>
  </si>
  <si>
    <t xml:space="preserve">ÁREAS DE MEJORA </t>
  </si>
  <si>
    <t xml:space="preserve">ADICIONALES </t>
  </si>
  <si>
    <t xml:space="preserve">COMENTARIOS DE LA O EL COORDINADOR </t>
  </si>
  <si>
    <t xml:space="preserve">COMPROMISOS PARA LA MEJORA INTEGRAL </t>
  </si>
  <si>
    <t xml:space="preserve">______________________________
&lt;APELLIDOS Y NOMBRE(S) DE LA O EL DOCENTE&gt;
Firma del docente
</t>
  </si>
  <si>
    <t xml:space="preserve">Aquí se promedian los resultados de cada docente considerando todas las materias que imparte. </t>
  </si>
  <si>
    <t>Clave de la materia ¿o grupo?</t>
  </si>
  <si>
    <t xml:space="preserve">Transcribir lo que el docente haya puesto en el campo 11D (únicamente los comentarios de esa materia) </t>
  </si>
  <si>
    <t xml:space="preserve">Transcribir lo que el docente haya puesto en el campo 12D (únicamente los comentarios de esa materia) </t>
  </si>
  <si>
    <t xml:space="preserve">Transcribir lo que el docente haya puesto en el campo 13D (únicamente los comentarios de esa materia) </t>
  </si>
  <si>
    <t xml:space="preserve">Transcribir lo que el docente haya puesto en el campo 6C (únicamente los comentarios de esa materia) </t>
  </si>
  <si>
    <t xml:space="preserve">Transcribir lo que el docente haya puesto en el campo  7C únicamente los comentarios de esa materia) </t>
  </si>
  <si>
    <t xml:space="preserve">
</t>
  </si>
  <si>
    <r>
      <t xml:space="preserve">______________________________
&lt;APELLIDOS Y NOMBRE(S) DE LA O EL DOCENTE&gt;  </t>
    </r>
    <r>
      <rPr>
        <sz val="11"/>
        <color rgb="FFFF0000"/>
        <rFont val="Calibri"/>
        <family val="2"/>
        <scheme val="minor"/>
      </rPr>
      <t>Insertar aquí el nombre de la o el docente.</t>
    </r>
    <r>
      <rPr>
        <sz val="11"/>
        <color theme="0" tint="-0.34998626667073579"/>
        <rFont val="Calibri"/>
        <family val="2"/>
        <scheme val="minor"/>
      </rPr>
      <t xml:space="preserve">
Firma del docente
</t>
    </r>
  </si>
  <si>
    <r>
      <t xml:space="preserve">Atentamente.
</t>
    </r>
    <r>
      <rPr>
        <sz val="11"/>
        <color rgb="FF7030A0"/>
        <rFont val="Calibri"/>
        <family val="2"/>
        <scheme val="minor"/>
      </rPr>
      <t xml:space="preserve">DIRECCIÓN GENERAL EDUCATIVA 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</si>
</sst>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ptos"/>
    </font>
    <font>
      <b/>
      <sz val="8"/>
      <name val="Aptos"/>
    </font>
    <font>
      <sz val="8"/>
      <color theme="1"/>
      <name val="APTOS"/>
    </font>
    <font>
      <b/>
      <sz val="8"/>
      <color theme="1"/>
      <name val="APTOS"/>
    </font>
    <font>
      <sz val="20"/>
      <color theme="1"/>
      <name val="Calibri"/>
      <family val="2"/>
      <scheme val="minor"/>
    </font>
    <font>
      <sz val="5"/>
      <color theme="1"/>
      <name val="APTOS"/>
    </font>
    <font>
      <b/>
      <sz val="5"/>
      <name val="APTOS"/>
    </font>
    <font>
      <sz val="5"/>
      <color rgb="FF000000"/>
      <name val="APTOS"/>
    </font>
    <font>
      <b/>
      <sz val="5"/>
      <color rgb="FF000000"/>
      <name val="APTOS"/>
    </font>
    <font>
      <sz val="10"/>
      <color theme="1"/>
      <name val="Abadi Extra Light"/>
      <family val="2"/>
    </font>
    <font>
      <sz val="4"/>
      <name val="Calibri"/>
      <family val="2"/>
    </font>
    <font>
      <sz val="5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4"/>
      <color theme="1"/>
      <name val="Calibri"/>
      <family val="2"/>
      <scheme val="minor"/>
    </font>
    <font>
      <sz val="11"/>
      <name val="Calibri"/>
      <family val="2"/>
    </font>
    <font>
      <sz val="11"/>
      <color rgb="FF7030A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6"/>
      <color rgb="FFFF0000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theme="0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12529"/>
      <name val="Segoe UI"/>
      <family val="2"/>
    </font>
    <font>
      <sz val="10"/>
      <color theme="0" tint="-0.249977111117893"/>
      <name val="Calibri"/>
      <family val="2"/>
      <scheme val="minor"/>
    </font>
    <font>
      <sz val="10"/>
      <color theme="0" tint="-0.249977111117893"/>
      <name val="Segoe UI"/>
      <family val="2"/>
    </font>
    <font>
      <sz val="11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rgb="FFFF0000"/>
      <name val="Calibri"/>
      <family val="2"/>
      <scheme val="minor"/>
    </font>
    <font>
      <sz val="6"/>
      <color theme="0" tint="-0.34998626667073579"/>
      <name val="Calibri"/>
      <family val="2"/>
      <scheme val="minor"/>
    </font>
    <font>
      <sz val="10"/>
      <color rgb="FF7030A0"/>
      <name val="Segoe UI"/>
      <family val="2"/>
    </font>
    <font>
      <b/>
      <sz val="11"/>
      <color theme="0" tint="-0.34998626667073579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7"/>
      <color theme="0" tint="-0.34998626667073579"/>
      <name val="Calibri"/>
      <family val="2"/>
      <scheme val="minor"/>
    </font>
    <font>
      <sz val="7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5"/>
      <color theme="0" tint="-0.3499862666707357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291">
    <xf numFmtId="0" fontId="0" fillId="0" borderId="0" xfId="0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1" fillId="0" borderId="0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1" fillId="0" borderId="1" xfId="0" applyFont="1" applyBorder="1"/>
    <xf numFmtId="0" fontId="11" fillId="0" borderId="1" xfId="0" applyFont="1" applyFill="1" applyBorder="1"/>
    <xf numFmtId="0" fontId="0" fillId="0" borderId="1" xfId="0" applyFill="1" applyBorder="1"/>
    <xf numFmtId="0" fontId="0" fillId="4" borderId="1" xfId="0" applyFill="1" applyBorder="1"/>
    <xf numFmtId="0" fontId="12" fillId="3" borderId="1" xfId="0" applyFont="1" applyFill="1" applyBorder="1" applyAlignment="1">
      <alignment wrapText="1"/>
    </xf>
    <xf numFmtId="1" fontId="0" fillId="0" borderId="1" xfId="0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wrapText="1"/>
    </xf>
    <xf numFmtId="0" fontId="0" fillId="0" borderId="3" xfId="0" applyBorder="1"/>
    <xf numFmtId="0" fontId="13" fillId="3" borderId="2" xfId="0" applyFont="1" applyFill="1" applyBorder="1" applyAlignment="1">
      <alignment wrapText="1"/>
    </xf>
    <xf numFmtId="1" fontId="0" fillId="0" borderId="1" xfId="0" applyNumberFormat="1" applyFont="1" applyFill="1" applyBorder="1"/>
    <xf numFmtId="0" fontId="0" fillId="3" borderId="1" xfId="0" applyFill="1" applyBorder="1" applyAlignment="1">
      <alignment wrapText="1"/>
    </xf>
    <xf numFmtId="0" fontId="0" fillId="0" borderId="2" xfId="0" applyFill="1" applyBorder="1"/>
    <xf numFmtId="1" fontId="0" fillId="0" borderId="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/>
    <xf numFmtId="1" fontId="17" fillId="8" borderId="1" xfId="0" applyNumberFormat="1" applyFont="1" applyFill="1" applyBorder="1" applyAlignment="1">
      <alignment wrapText="1"/>
    </xf>
    <xf numFmtId="0" fontId="0" fillId="8" borderId="1" xfId="0" applyFill="1" applyBorder="1"/>
    <xf numFmtId="0" fontId="0" fillId="8" borderId="3" xfId="0" applyFill="1" applyBorder="1"/>
    <xf numFmtId="0" fontId="11" fillId="8" borderId="1" xfId="0" applyFont="1" applyFill="1" applyBorder="1"/>
    <xf numFmtId="164" fontId="0" fillId="0" borderId="0" xfId="0" applyNumberFormat="1"/>
    <xf numFmtId="164" fontId="0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/>
    <xf numFmtId="0" fontId="15" fillId="0" borderId="0" xfId="0" applyFont="1"/>
    <xf numFmtId="0" fontId="15" fillId="0" borderId="0" xfId="0" applyFont="1" applyFill="1" applyBorder="1"/>
    <xf numFmtId="0" fontId="21" fillId="0" borderId="0" xfId="0" applyFont="1" applyAlignment="1">
      <alignment wrapText="1"/>
    </xf>
    <xf numFmtId="0" fontId="22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9" fontId="18" fillId="0" borderId="1" xfId="1" applyNumberFormat="1" applyFont="1" applyBorder="1" applyAlignment="1">
      <alignment horizontal="center"/>
    </xf>
    <xf numFmtId="9" fontId="18" fillId="0" borderId="1" xfId="0" applyNumberFormat="1" applyFont="1" applyBorder="1" applyAlignment="1">
      <alignment horizontal="center"/>
    </xf>
    <xf numFmtId="9" fontId="18" fillId="10" borderId="1" xfId="0" applyNumberFormat="1" applyFont="1" applyFill="1" applyBorder="1" applyAlignment="1">
      <alignment horizontal="center"/>
    </xf>
    <xf numFmtId="0" fontId="26" fillId="0" borderId="11" xfId="0" applyFont="1" applyBorder="1" applyAlignment="1">
      <alignment vertical="center" wrapText="1"/>
    </xf>
    <xf numFmtId="0" fontId="28" fillId="10" borderId="11" xfId="0" applyFont="1" applyFill="1" applyBorder="1"/>
    <xf numFmtId="0" fontId="29" fillId="0" borderId="1" xfId="0" applyFont="1" applyBorder="1" applyAlignment="1">
      <alignment vertical="center" wrapText="1"/>
    </xf>
    <xf numFmtId="0" fontId="28" fillId="0" borderId="11" xfId="0" applyFont="1" applyBorder="1"/>
    <xf numFmtId="0" fontId="20" fillId="0" borderId="0" xfId="0" applyFont="1" applyBorder="1"/>
    <xf numFmtId="0" fontId="29" fillId="0" borderId="0" xfId="0" applyFont="1" applyFill="1" applyBorder="1" applyAlignment="1">
      <alignment horizontal="center" vertical="center" wrapText="1"/>
    </xf>
    <xf numFmtId="0" fontId="20" fillId="0" borderId="8" xfId="0" applyFont="1" applyBorder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30" fillId="0" borderId="11" xfId="0" applyFont="1" applyBorder="1" applyAlignment="1">
      <alignment vertical="center" wrapText="1"/>
    </xf>
    <xf numFmtId="0" fontId="0" fillId="0" borderId="0" xfId="0" applyBorder="1"/>
    <xf numFmtId="9" fontId="18" fillId="0" borderId="26" xfId="0" applyNumberFormat="1" applyFont="1" applyFill="1" applyBorder="1" applyAlignment="1">
      <alignment horizontal="center" vertical="center"/>
    </xf>
    <xf numFmtId="9" fontId="18" fillId="0" borderId="1" xfId="0" applyNumberFormat="1" applyFont="1" applyBorder="1" applyAlignment="1">
      <alignment horizontal="center" vertical="center"/>
    </xf>
    <xf numFmtId="9" fontId="18" fillId="0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9" fontId="34" fillId="0" borderId="1" xfId="0" applyNumberFormat="1" applyFont="1" applyBorder="1" applyAlignment="1">
      <alignment horizontal="center" vertical="center" wrapText="1"/>
    </xf>
    <xf numFmtId="0" fontId="0" fillId="0" borderId="0" xfId="0" applyFill="1" applyBorder="1"/>
    <xf numFmtId="0" fontId="18" fillId="11" borderId="1" xfId="0" applyFont="1" applyFill="1" applyBorder="1" applyAlignment="1">
      <alignment horizontal="center" vertical="center"/>
    </xf>
    <xf numFmtId="9" fontId="34" fillId="0" borderId="1" xfId="0" applyNumberFormat="1" applyFont="1" applyFill="1" applyBorder="1" applyAlignment="1">
      <alignment horizontal="center" vertical="center" wrapText="1"/>
    </xf>
    <xf numFmtId="0" fontId="18" fillId="11" borderId="26" xfId="0" applyFont="1" applyFill="1" applyBorder="1" applyAlignment="1">
      <alignment horizontal="center" vertical="center"/>
    </xf>
    <xf numFmtId="9" fontId="34" fillId="0" borderId="26" xfId="1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vertical="center" wrapText="1"/>
    </xf>
    <xf numFmtId="0" fontId="33" fillId="12" borderId="11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 vertical="top" wrapText="1"/>
    </xf>
    <xf numFmtId="164" fontId="35" fillId="0" borderId="1" xfId="0" applyNumberFormat="1" applyFont="1" applyBorder="1" applyAlignment="1">
      <alignment horizontal="center"/>
    </xf>
    <xf numFmtId="0" fontId="20" fillId="0" borderId="1" xfId="0" applyFont="1" applyBorder="1"/>
    <xf numFmtId="164" fontId="36" fillId="0" borderId="0" xfId="0" applyNumberFormat="1" applyFont="1" applyBorder="1" applyAlignment="1">
      <alignment horizontal="center"/>
    </xf>
    <xf numFmtId="164" fontId="36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" fontId="18" fillId="0" borderId="0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8" fillId="0" borderId="1" xfId="0" applyFont="1" applyFill="1" applyBorder="1"/>
    <xf numFmtId="0" fontId="18" fillId="0" borderId="1" xfId="0" applyFont="1" applyBorder="1" applyAlignment="1">
      <alignment horizontal="center"/>
    </xf>
    <xf numFmtId="0" fontId="37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/>
    </xf>
    <xf numFmtId="0" fontId="38" fillId="12" borderId="0" xfId="0" applyFont="1" applyFill="1" applyBorder="1" applyAlignment="1">
      <alignment horizontal="center" vertical="center" wrapText="1"/>
    </xf>
    <xf numFmtId="0" fontId="38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NumberFormat="1" applyFont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Fill="1" applyBorder="1" applyAlignment="1">
      <alignment vertical="center" wrapText="1"/>
    </xf>
    <xf numFmtId="14" fontId="0" fillId="0" borderId="0" xfId="0" applyNumberFormat="1" applyFont="1" applyBorder="1" applyAlignment="1">
      <alignment vertical="center" wrapText="1"/>
    </xf>
    <xf numFmtId="0" fontId="0" fillId="0" borderId="0" xfId="0" applyNumberFormat="1" applyFont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39" fillId="12" borderId="30" xfId="0" applyFont="1" applyFill="1" applyBorder="1" applyAlignment="1">
      <alignment horizontal="center" vertical="center" wrapText="1"/>
    </xf>
    <xf numFmtId="0" fontId="39" fillId="12" borderId="31" xfId="0" applyFont="1" applyFill="1" applyBorder="1" applyAlignment="1">
      <alignment horizontal="center" vertical="center" wrapText="1"/>
    </xf>
    <xf numFmtId="0" fontId="39" fillId="12" borderId="32" xfId="0" applyFont="1" applyFill="1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9" borderId="1" xfId="0" applyFill="1" applyBorder="1" applyAlignment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41" fillId="12" borderId="36" xfId="0" applyFont="1" applyFill="1" applyBorder="1" applyAlignment="1">
      <alignment horizontal="center" vertical="center" wrapText="1"/>
    </xf>
    <xf numFmtId="0" fontId="20" fillId="9" borderId="11" xfId="0" applyFont="1" applyFill="1" applyBorder="1" applyAlignment="1"/>
    <xf numFmtId="0" fontId="20" fillId="0" borderId="11" xfId="0" applyFont="1" applyBorder="1" applyAlignment="1"/>
    <xf numFmtId="0" fontId="21" fillId="7" borderId="11" xfId="0" applyFont="1" applyFill="1" applyBorder="1" applyAlignment="1">
      <alignment wrapText="1"/>
    </xf>
    <xf numFmtId="0" fontId="33" fillId="0" borderId="11" xfId="0" applyFont="1" applyBorder="1" applyAlignment="1"/>
    <xf numFmtId="0" fontId="0" fillId="2" borderId="6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20" fillId="9" borderId="14" xfId="0" applyFont="1" applyFill="1" applyBorder="1" applyAlignment="1">
      <alignment horizontal="center"/>
    </xf>
    <xf numFmtId="0" fontId="20" fillId="9" borderId="15" xfId="0" applyFont="1" applyFill="1" applyBorder="1" applyAlignment="1">
      <alignment horizontal="center"/>
    </xf>
    <xf numFmtId="0" fontId="20" fillId="9" borderId="16" xfId="0" applyFont="1" applyFill="1" applyBorder="1" applyAlignment="1">
      <alignment horizontal="center"/>
    </xf>
    <xf numFmtId="0" fontId="18" fillId="0" borderId="3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18" xfId="0" applyFont="1" applyBorder="1" applyAlignment="1">
      <alignment horizontal="center" vertical="top"/>
    </xf>
    <xf numFmtId="0" fontId="15" fillId="0" borderId="19" xfId="0" applyFont="1" applyBorder="1" applyAlignment="1">
      <alignment horizontal="center" vertical="top"/>
    </xf>
    <xf numFmtId="0" fontId="0" fillId="0" borderId="0" xfId="0" applyBorder="1" applyAlignment="1">
      <alignment horizontal="center" wrapText="1"/>
    </xf>
    <xf numFmtId="0" fontId="29" fillId="9" borderId="3" xfId="0" applyFont="1" applyFill="1" applyBorder="1" applyAlignment="1">
      <alignment horizontal="center" vertical="center" wrapText="1"/>
    </xf>
    <xf numFmtId="0" fontId="29" fillId="9" borderId="4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30" fillId="9" borderId="8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2" fillId="0" borderId="11" xfId="0" applyFont="1" applyFill="1" applyBorder="1" applyAlignment="1">
      <alignment horizontal="center" vertical="center" wrapText="1"/>
    </xf>
    <xf numFmtId="0" fontId="30" fillId="9" borderId="1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30" fillId="9" borderId="1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0" fillId="9" borderId="12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9" fontId="20" fillId="0" borderId="8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0" fillId="9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20" fillId="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14" fontId="18" fillId="0" borderId="4" xfId="0" applyNumberFormat="1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15" fillId="0" borderId="8" xfId="0" applyNumberFormat="1" applyFont="1" applyBorder="1" applyAlignment="1">
      <alignment horizontal="left" vertical="center" wrapText="1"/>
    </xf>
    <xf numFmtId="0" fontId="18" fillId="0" borderId="25" xfId="0" applyFont="1" applyBorder="1" applyAlignment="1">
      <alignment horizontal="center" wrapText="1"/>
    </xf>
    <xf numFmtId="0" fontId="18" fillId="0" borderId="24" xfId="0" applyFont="1" applyBorder="1" applyAlignment="1">
      <alignment horizontal="center" wrapText="1"/>
    </xf>
    <xf numFmtId="0" fontId="18" fillId="0" borderId="23" xfId="0" applyFont="1" applyBorder="1" applyAlignment="1">
      <alignment horizontal="center" wrapText="1"/>
    </xf>
    <xf numFmtId="0" fontId="18" fillId="0" borderId="22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/>
    </xf>
    <xf numFmtId="164" fontId="18" fillId="0" borderId="3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14" fontId="18" fillId="0" borderId="1" xfId="0" applyNumberFormat="1" applyFont="1" applyFill="1" applyBorder="1" applyAlignment="1">
      <alignment horizontal="center" vertical="center" wrapText="1"/>
    </xf>
    <xf numFmtId="14" fontId="18" fillId="0" borderId="3" xfId="0" applyNumberFormat="1" applyFont="1" applyFill="1" applyBorder="1" applyAlignment="1">
      <alignment horizontal="center" vertical="center" wrapText="1"/>
    </xf>
    <xf numFmtId="14" fontId="18" fillId="0" borderId="4" xfId="0" applyNumberFormat="1" applyFont="1" applyFill="1" applyBorder="1" applyAlignment="1">
      <alignment horizontal="center" vertical="center" wrapText="1"/>
    </xf>
    <xf numFmtId="14" fontId="18" fillId="0" borderId="2" xfId="0" applyNumberFormat="1" applyFont="1" applyFill="1" applyBorder="1" applyAlignment="1">
      <alignment horizontal="center" vertical="center" wrapText="1"/>
    </xf>
    <xf numFmtId="164" fontId="18" fillId="0" borderId="1" xfId="0" applyNumberFormat="1" applyFont="1" applyFill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3" xfId="0" applyFont="1" applyFill="1" applyBorder="1" applyAlignment="1">
      <alignment horizontal="center"/>
    </xf>
    <xf numFmtId="0" fontId="20" fillId="0" borderId="2" xfId="0" applyFont="1" applyFill="1" applyBorder="1" applyAlignment="1">
      <alignment horizontal="center"/>
    </xf>
    <xf numFmtId="9" fontId="20" fillId="0" borderId="1" xfId="0" applyNumberFormat="1" applyFont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15" fillId="0" borderId="8" xfId="0" applyNumberFormat="1" applyFont="1" applyBorder="1" applyAlignment="1">
      <alignment horizontal="left" vertical="center" wrapText="1"/>
    </xf>
    <xf numFmtId="164" fontId="15" fillId="0" borderId="25" xfId="0" applyNumberFormat="1" applyFont="1" applyBorder="1" applyAlignment="1">
      <alignment horizontal="center" wrapText="1"/>
    </xf>
    <xf numFmtId="164" fontId="15" fillId="0" borderId="23" xfId="0" applyNumberFormat="1" applyFont="1" applyBorder="1" applyAlignment="1">
      <alignment horizontal="center" wrapText="1"/>
    </xf>
    <xf numFmtId="164" fontId="15" fillId="0" borderId="22" xfId="0" applyNumberFormat="1" applyFont="1" applyBorder="1" applyAlignment="1">
      <alignment horizontal="center" wrapText="1"/>
    </xf>
    <xf numFmtId="164" fontId="15" fillId="0" borderId="21" xfId="0" applyNumberFormat="1" applyFont="1" applyBorder="1" applyAlignment="1">
      <alignment horizontal="center" wrapText="1"/>
    </xf>
    <xf numFmtId="164" fontId="15" fillId="0" borderId="5" xfId="0" applyNumberFormat="1" applyFont="1" applyBorder="1" applyAlignment="1">
      <alignment horizontal="center" wrapText="1"/>
    </xf>
    <xf numFmtId="164" fontId="15" fillId="0" borderId="20" xfId="0" applyNumberFormat="1" applyFont="1" applyBorder="1" applyAlignment="1">
      <alignment horizontal="center" wrapText="1"/>
    </xf>
    <xf numFmtId="0" fontId="33" fillId="0" borderId="11" xfId="0" applyFont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33" fillId="12" borderId="11" xfId="0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wrapText="1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20" fillId="0" borderId="37" xfId="0" applyFont="1" applyBorder="1" applyAlignment="1">
      <alignment horizontal="center"/>
    </xf>
    <xf numFmtId="0" fontId="20" fillId="0" borderId="43" xfId="0" applyFont="1" applyBorder="1" applyAlignment="1">
      <alignment horizontal="center" wrapText="1"/>
    </xf>
    <xf numFmtId="0" fontId="20" fillId="0" borderId="44" xfId="0" applyFont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20" fillId="0" borderId="48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20" fillId="0" borderId="50" xfId="0" applyFont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15" fillId="0" borderId="52" xfId="0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13" borderId="11" xfId="0" applyFont="1" applyFill="1" applyBorder="1" applyAlignment="1">
      <alignment horizontal="center"/>
    </xf>
    <xf numFmtId="0" fontId="20" fillId="9" borderId="37" xfId="0" applyFont="1" applyFill="1" applyBorder="1" applyAlignment="1">
      <alignment horizontal="center"/>
    </xf>
    <xf numFmtId="0" fontId="20" fillId="9" borderId="38" xfId="0" applyFont="1" applyFill="1" applyBorder="1" applyAlignment="1">
      <alignment horizontal="center"/>
    </xf>
    <xf numFmtId="0" fontId="20" fillId="9" borderId="39" xfId="0" applyFont="1" applyFill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20" fillId="0" borderId="42" xfId="0" applyFont="1" applyBorder="1" applyAlignment="1">
      <alignment horizontal="center"/>
    </xf>
    <xf numFmtId="0" fontId="20" fillId="12" borderId="11" xfId="0" applyFont="1" applyFill="1" applyBorder="1" applyAlignment="1">
      <alignment horizontal="center"/>
    </xf>
    <xf numFmtId="0" fontId="20" fillId="9" borderId="11" xfId="0" applyFont="1" applyFill="1" applyBorder="1" applyAlignment="1">
      <alignment horizontal="center"/>
    </xf>
    <xf numFmtId="0" fontId="21" fillId="0" borderId="11" xfId="0" applyFont="1" applyBorder="1" applyAlignment="1">
      <alignment horizontal="center" wrapText="1"/>
    </xf>
    <xf numFmtId="0" fontId="21" fillId="13" borderId="11" xfId="0" applyFont="1" applyFill="1" applyBorder="1" applyAlignment="1">
      <alignment horizontal="center" wrapText="1"/>
    </xf>
    <xf numFmtId="0" fontId="33" fillId="0" borderId="11" xfId="0" applyFont="1" applyBorder="1" applyAlignment="1">
      <alignment horizontal="center"/>
    </xf>
    <xf numFmtId="0" fontId="20" fillId="12" borderId="36" xfId="0" applyFont="1" applyFill="1" applyBorder="1" applyAlignment="1">
      <alignment horizontal="center"/>
    </xf>
    <xf numFmtId="0" fontId="20" fillId="12" borderId="11" xfId="0" applyFont="1" applyFill="1" applyBorder="1" applyAlignment="1">
      <alignment horizontal="center" wrapText="1"/>
    </xf>
    <xf numFmtId="14" fontId="40" fillId="0" borderId="11" xfId="0" applyNumberFormat="1" applyFont="1" applyBorder="1" applyAlignment="1">
      <alignment horizontal="center"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0" fontId="20" fillId="0" borderId="11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2" borderId="1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14" fontId="0" fillId="0" borderId="3" xfId="0" applyNumberFormat="1" applyFont="1" applyBorder="1" applyAlignment="1">
      <alignment horizontal="center" vertical="center" wrapText="1"/>
    </xf>
    <xf numFmtId="14" fontId="0" fillId="0" borderId="4" xfId="0" applyNumberFormat="1" applyFont="1" applyBorder="1" applyAlignment="1">
      <alignment horizontal="center" vertical="center" wrapText="1"/>
    </xf>
    <xf numFmtId="14" fontId="0" fillId="0" borderId="2" xfId="0" applyNumberFormat="1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wrapText="1"/>
    </xf>
    <xf numFmtId="0" fontId="38" fillId="0" borderId="4" xfId="0" applyFont="1" applyBorder="1" applyAlignment="1">
      <alignment horizontal="center" wrapText="1"/>
    </xf>
    <xf numFmtId="0" fontId="38" fillId="0" borderId="2" xfId="0" applyFont="1" applyBorder="1" applyAlignment="1">
      <alignment horizontal="center" wrapText="1"/>
    </xf>
    <xf numFmtId="0" fontId="0" fillId="12" borderId="27" xfId="0" applyFill="1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2" borderId="29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111610</xdr:colOff>
      <xdr:row>0</xdr:row>
      <xdr:rowOff>88750</xdr:rowOff>
    </xdr:from>
    <xdr:to>
      <xdr:col>1</xdr:col>
      <xdr:colOff>950258</xdr:colOff>
      <xdr:row>6</xdr:row>
      <xdr:rowOff>77655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090" y="88750"/>
          <a:ext cx="838648" cy="1086185"/>
        </a:xfrm>
        <a:prstGeom prst="rect">
          <a:avLst/>
        </a:prstGeom>
      </xdr:spPr>
    </xdr:pic>
    <xdr:clientData/>
  </xdr:twoCellAnchor>
  <xdr:twoCellAnchor>
    <xdr:from>
      <xdr:col>15</xdr:col>
      <xdr:colOff>717177</xdr:colOff>
      <xdr:row>27</xdr:row>
      <xdr:rowOff>564776</xdr:rowOff>
    </xdr:from>
    <xdr:to>
      <xdr:col>15</xdr:col>
      <xdr:colOff>726141</xdr:colOff>
      <xdr:row>28</xdr:row>
      <xdr:rowOff>143435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3503537" y="6790316"/>
          <a:ext cx="8964" cy="3863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1039906</xdr:colOff>
      <xdr:row>27</xdr:row>
      <xdr:rowOff>573741</xdr:rowOff>
    </xdr:from>
    <xdr:to>
      <xdr:col>14</xdr:col>
      <xdr:colOff>1048870</xdr:colOff>
      <xdr:row>28</xdr:row>
      <xdr:rowOff>152400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12660406" y="6799281"/>
          <a:ext cx="8964" cy="3863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1219200</xdr:colOff>
      <xdr:row>32</xdr:row>
      <xdr:rowOff>421341</xdr:rowOff>
    </xdr:from>
    <xdr:to>
      <xdr:col>16</xdr:col>
      <xdr:colOff>1228164</xdr:colOff>
      <xdr:row>33</xdr:row>
      <xdr:rowOff>170329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14798040" y="10807401"/>
          <a:ext cx="8964" cy="9758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663388</xdr:colOff>
      <xdr:row>27</xdr:row>
      <xdr:rowOff>609600</xdr:rowOff>
    </xdr:from>
    <xdr:to>
      <xdr:col>17</xdr:col>
      <xdr:colOff>681317</xdr:colOff>
      <xdr:row>33</xdr:row>
      <xdr:rowOff>233082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/>
      </xdr:nvCxnSpPr>
      <xdr:spPr>
        <a:xfrm flipH="1">
          <a:off x="15583348" y="6835140"/>
          <a:ext cx="17929" cy="50108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66786</xdr:colOff>
      <xdr:row>1</xdr:row>
      <xdr:rowOff>52892</xdr:rowOff>
    </xdr:from>
    <xdr:ext cx="838648" cy="106467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266" y="235772"/>
          <a:ext cx="838648" cy="1064670"/>
        </a:xfrm>
        <a:prstGeom prst="rect">
          <a:avLst/>
        </a:prstGeom>
      </xdr:spPr>
    </xdr:pic>
    <xdr:clientData/>
  </xdr:oneCellAnchor>
  <xdr:twoCellAnchor>
    <xdr:from>
      <xdr:col>9</xdr:col>
      <xdr:colOff>394448</xdr:colOff>
      <xdr:row>26</xdr:row>
      <xdr:rowOff>80683</xdr:rowOff>
    </xdr:from>
    <xdr:to>
      <xdr:col>9</xdr:col>
      <xdr:colOff>430306</xdr:colOff>
      <xdr:row>44</xdr:row>
      <xdr:rowOff>152400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H="1" flipV="1">
          <a:off x="7526768" y="4835563"/>
          <a:ext cx="35858" cy="336355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717177</xdr:colOff>
      <xdr:row>51</xdr:row>
      <xdr:rowOff>564776</xdr:rowOff>
    </xdr:from>
    <xdr:to>
      <xdr:col>14</xdr:col>
      <xdr:colOff>726141</xdr:colOff>
      <xdr:row>52</xdr:row>
      <xdr:rowOff>143435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1811897" y="9510656"/>
          <a:ext cx="8964" cy="1425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1039906</xdr:colOff>
      <xdr:row>51</xdr:row>
      <xdr:rowOff>573741</xdr:rowOff>
    </xdr:from>
    <xdr:to>
      <xdr:col>13</xdr:col>
      <xdr:colOff>1048870</xdr:colOff>
      <xdr:row>52</xdr:row>
      <xdr:rowOff>152400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CxnSpPr/>
      </xdr:nvCxnSpPr>
      <xdr:spPr>
        <a:xfrm>
          <a:off x="11098306" y="9512001"/>
          <a:ext cx="0" cy="1501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1219200</xdr:colOff>
      <xdr:row>56</xdr:row>
      <xdr:rowOff>421341</xdr:rowOff>
    </xdr:from>
    <xdr:to>
      <xdr:col>15</xdr:col>
      <xdr:colOff>1228164</xdr:colOff>
      <xdr:row>57</xdr:row>
      <xdr:rowOff>170329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2679680" y="10426401"/>
          <a:ext cx="1344" cy="1680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663388</xdr:colOff>
      <xdr:row>51</xdr:row>
      <xdr:rowOff>609600</xdr:rowOff>
    </xdr:from>
    <xdr:to>
      <xdr:col>16</xdr:col>
      <xdr:colOff>681317</xdr:colOff>
      <xdr:row>57</xdr:row>
      <xdr:rowOff>233082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H="1">
          <a:off x="13343068" y="9509760"/>
          <a:ext cx="17929" cy="10941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219187</xdr:colOff>
      <xdr:row>1</xdr:row>
      <xdr:rowOff>61856</xdr:rowOff>
    </xdr:from>
    <xdr:to>
      <xdr:col>2</xdr:col>
      <xdr:colOff>458783</xdr:colOff>
      <xdr:row>6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747" y="244736"/>
          <a:ext cx="772996" cy="1004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70" zoomScaleNormal="70" workbookViewId="0">
      <selection activeCell="C8" sqref="C8"/>
    </sheetView>
  </sheetViews>
  <sheetFormatPr baseColWidth="10" defaultRowHeight="14.5"/>
  <cols>
    <col min="1" max="1" width="23.1796875" style="20" customWidth="1"/>
    <col min="2" max="2" width="39.1796875" customWidth="1"/>
    <col min="3" max="3" width="33.81640625" customWidth="1"/>
    <col min="4" max="4" width="29.7265625" customWidth="1"/>
    <col min="5" max="5" width="19" customWidth="1"/>
    <col min="7" max="7" width="16.7265625" customWidth="1"/>
    <col min="8" max="8" width="20.81640625" customWidth="1"/>
    <col min="9" max="9" width="20.7265625" customWidth="1"/>
  </cols>
  <sheetData>
    <row r="1" spans="1:9" ht="43.5">
      <c r="A1" s="10" t="s">
        <v>63</v>
      </c>
      <c r="B1" s="17" t="s">
        <v>48</v>
      </c>
      <c r="C1" s="10" t="s">
        <v>47</v>
      </c>
      <c r="D1" s="10" t="s">
        <v>54</v>
      </c>
      <c r="E1" s="11" t="s">
        <v>50</v>
      </c>
      <c r="F1" s="11" t="s">
        <v>49</v>
      </c>
      <c r="G1" s="11" t="s">
        <v>51</v>
      </c>
      <c r="H1" s="11" t="s">
        <v>52</v>
      </c>
      <c r="I1" s="11" t="s">
        <v>53</v>
      </c>
    </row>
    <row r="2" spans="1:9" ht="110.5" customHeight="1">
      <c r="A2" s="16" t="s">
        <v>64</v>
      </c>
      <c r="B2" s="18" t="s">
        <v>58</v>
      </c>
      <c r="C2" s="12" t="s">
        <v>61</v>
      </c>
      <c r="D2" s="12" t="s">
        <v>59</v>
      </c>
      <c r="E2" s="13" t="s">
        <v>57</v>
      </c>
      <c r="F2" s="13" t="s">
        <v>57</v>
      </c>
      <c r="G2" s="13" t="s">
        <v>57</v>
      </c>
      <c r="H2" s="14"/>
      <c r="I2" s="14"/>
    </row>
    <row r="3" spans="1:9" ht="153" customHeight="1">
      <c r="A3" s="16" t="s">
        <v>65</v>
      </c>
      <c r="B3" s="19" t="s">
        <v>55</v>
      </c>
      <c r="C3" s="12" t="s">
        <v>67</v>
      </c>
      <c r="D3" s="14" t="s">
        <v>56</v>
      </c>
      <c r="E3" s="13" t="s">
        <v>57</v>
      </c>
      <c r="F3" s="13" t="s">
        <v>57</v>
      </c>
      <c r="G3" s="13" t="s">
        <v>57</v>
      </c>
      <c r="H3" s="14"/>
      <c r="I3" s="14"/>
    </row>
    <row r="4" spans="1:9" ht="112.9" customHeight="1">
      <c r="A4" s="16" t="s">
        <v>68</v>
      </c>
      <c r="B4" s="19" t="s">
        <v>69</v>
      </c>
      <c r="C4" s="15" t="s">
        <v>62</v>
      </c>
      <c r="D4" s="14" t="s">
        <v>60</v>
      </c>
      <c r="E4" s="13" t="s">
        <v>57</v>
      </c>
      <c r="F4" s="13" t="s">
        <v>57</v>
      </c>
      <c r="G4" s="13" t="s">
        <v>57</v>
      </c>
      <c r="H4" s="14"/>
      <c r="I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workbookViewId="0">
      <selection activeCell="C18" sqref="C18"/>
    </sheetView>
  </sheetViews>
  <sheetFormatPr baseColWidth="10" defaultRowHeight="14.5"/>
  <cols>
    <col min="1" max="1" width="17.26953125" style="4" customWidth="1"/>
    <col min="2" max="2" width="45.453125" style="5" customWidth="1"/>
    <col min="3" max="3" width="40.81640625" customWidth="1"/>
  </cols>
  <sheetData>
    <row r="1" spans="1:3">
      <c r="A1" s="7" t="s">
        <v>66</v>
      </c>
      <c r="B1" s="6" t="s">
        <v>46</v>
      </c>
      <c r="C1" s="8" t="s">
        <v>38</v>
      </c>
    </row>
    <row r="2" spans="1:3">
      <c r="A2" s="4" t="s">
        <v>0</v>
      </c>
      <c r="B2" s="6" t="s">
        <v>1</v>
      </c>
    </row>
    <row r="3" spans="1:3">
      <c r="A3" s="4" t="s">
        <v>0</v>
      </c>
      <c r="B3" s="6" t="s">
        <v>2</v>
      </c>
    </row>
    <row r="4" spans="1:3">
      <c r="A4" s="4" t="s">
        <v>0</v>
      </c>
      <c r="B4" s="6" t="s">
        <v>3</v>
      </c>
    </row>
    <row r="5" spans="1:3">
      <c r="A5" s="4" t="s">
        <v>0</v>
      </c>
      <c r="B5" s="6" t="s">
        <v>4</v>
      </c>
    </row>
    <row r="6" spans="1:3" ht="45.65" customHeight="1">
      <c r="A6" s="4" t="s">
        <v>0</v>
      </c>
      <c r="B6" s="1" t="s">
        <v>5</v>
      </c>
      <c r="C6" t="s">
        <v>44</v>
      </c>
    </row>
    <row r="7" spans="1:3" ht="27.65" customHeight="1">
      <c r="A7" s="4" t="s">
        <v>0</v>
      </c>
      <c r="B7" s="1" t="s">
        <v>6</v>
      </c>
      <c r="C7" t="s">
        <v>45</v>
      </c>
    </row>
    <row r="8" spans="1:3" ht="43.15" customHeight="1">
      <c r="A8" s="4" t="s">
        <v>0</v>
      </c>
      <c r="B8" s="1" t="s">
        <v>7</v>
      </c>
      <c r="C8" t="s">
        <v>45</v>
      </c>
    </row>
    <row r="9" spans="1:3" ht="34.15" customHeight="1">
      <c r="A9" s="4" t="s">
        <v>0</v>
      </c>
      <c r="B9" s="1" t="s">
        <v>8</v>
      </c>
      <c r="C9" t="s">
        <v>45</v>
      </c>
    </row>
    <row r="10" spans="1:3" ht="32.5" customHeight="1">
      <c r="A10" s="4" t="s">
        <v>0</v>
      </c>
      <c r="B10" s="1" t="s">
        <v>9</v>
      </c>
      <c r="C10" t="s">
        <v>45</v>
      </c>
    </row>
    <row r="11" spans="1:3" ht="22.15" customHeight="1">
      <c r="A11" s="4" t="s">
        <v>0</v>
      </c>
      <c r="B11" s="2" t="s">
        <v>10</v>
      </c>
    </row>
    <row r="12" spans="1:3">
      <c r="A12" s="4" t="s">
        <v>0</v>
      </c>
      <c r="B12" s="2" t="s">
        <v>11</v>
      </c>
    </row>
    <row r="13" spans="1:3" ht="27" customHeight="1">
      <c r="A13" s="4" t="s">
        <v>0</v>
      </c>
      <c r="B13" s="1" t="s">
        <v>12</v>
      </c>
    </row>
    <row r="14" spans="1:3">
      <c r="A14" s="4" t="s">
        <v>13</v>
      </c>
      <c r="B14" s="1" t="s">
        <v>2</v>
      </c>
    </row>
    <row r="15" spans="1:3">
      <c r="A15" s="4" t="s">
        <v>13</v>
      </c>
      <c r="B15" s="1" t="s">
        <v>3</v>
      </c>
    </row>
    <row r="16" spans="1:3">
      <c r="A16" s="4" t="s">
        <v>13</v>
      </c>
      <c r="B16" s="1" t="s">
        <v>4</v>
      </c>
    </row>
    <row r="17" spans="1:6">
      <c r="A17" s="4" t="s">
        <v>13</v>
      </c>
      <c r="B17" s="1" t="s">
        <v>14</v>
      </c>
    </row>
    <row r="18" spans="1:6">
      <c r="A18" s="4" t="s">
        <v>13</v>
      </c>
      <c r="B18" s="1" t="s">
        <v>15</v>
      </c>
    </row>
    <row r="19" spans="1:6" ht="32.5">
      <c r="A19" s="4" t="s">
        <v>13</v>
      </c>
      <c r="B19" s="3" t="s">
        <v>16</v>
      </c>
      <c r="C19" t="s">
        <v>39</v>
      </c>
    </row>
    <row r="20" spans="1:6" ht="22">
      <c r="A20" s="4" t="s">
        <v>13</v>
      </c>
      <c r="B20" s="3" t="s">
        <v>17</v>
      </c>
      <c r="C20" t="s">
        <v>40</v>
      </c>
    </row>
    <row r="21" spans="1:6" ht="32.5">
      <c r="A21" s="4" t="s">
        <v>13</v>
      </c>
      <c r="B21" s="3" t="s">
        <v>18</v>
      </c>
      <c r="C21" t="s">
        <v>41</v>
      </c>
    </row>
    <row r="22" spans="1:6" ht="22">
      <c r="A22" s="4" t="s">
        <v>13</v>
      </c>
      <c r="B22" s="3" t="s">
        <v>19</v>
      </c>
      <c r="C22" t="s">
        <v>45</v>
      </c>
    </row>
    <row r="23" spans="1:6" ht="32.5">
      <c r="A23" s="4" t="s">
        <v>13</v>
      </c>
      <c r="B23" s="3" t="s">
        <v>20</v>
      </c>
      <c r="C23" t="s">
        <v>42</v>
      </c>
    </row>
    <row r="24" spans="1:6" ht="22">
      <c r="A24" s="4" t="s">
        <v>13</v>
      </c>
      <c r="B24" s="3" t="s">
        <v>21</v>
      </c>
      <c r="C24" t="s">
        <v>43</v>
      </c>
    </row>
    <row r="25" spans="1:6" ht="32.5">
      <c r="A25" s="4" t="s">
        <v>13</v>
      </c>
      <c r="B25" s="3" t="s">
        <v>22</v>
      </c>
      <c r="C25" t="s">
        <v>44</v>
      </c>
      <c r="E25">
        <v>4</v>
      </c>
      <c r="F25">
        <v>35</v>
      </c>
    </row>
    <row r="26" spans="1:6" ht="53.5">
      <c r="A26" s="4" t="s">
        <v>13</v>
      </c>
      <c r="B26" s="3" t="s">
        <v>23</v>
      </c>
      <c r="C26" t="s">
        <v>45</v>
      </c>
      <c r="E26">
        <v>3.8</v>
      </c>
      <c r="F26">
        <f>(E26*F25)/4</f>
        <v>33.25</v>
      </c>
    </row>
    <row r="27" spans="1:6" ht="32.5">
      <c r="A27" s="4" t="s">
        <v>13</v>
      </c>
      <c r="B27" s="3" t="s">
        <v>24</v>
      </c>
      <c r="C27" t="s">
        <v>45</v>
      </c>
    </row>
    <row r="28" spans="1:6" ht="32.5">
      <c r="A28" s="4" t="s">
        <v>13</v>
      </c>
      <c r="B28" s="3" t="s">
        <v>25</v>
      </c>
      <c r="C28" t="s">
        <v>45</v>
      </c>
    </row>
    <row r="29" spans="1:6">
      <c r="A29" s="4" t="s">
        <v>13</v>
      </c>
      <c r="B29" s="3" t="s">
        <v>26</v>
      </c>
    </row>
    <row r="30" spans="1:6">
      <c r="A30" s="4" t="s">
        <v>13</v>
      </c>
      <c r="B30" s="3" t="s">
        <v>27</v>
      </c>
    </row>
    <row r="31" spans="1:6" ht="32.5">
      <c r="A31" s="4" t="s">
        <v>13</v>
      </c>
      <c r="B31" s="3" t="s">
        <v>28</v>
      </c>
    </row>
    <row r="32" spans="1:6">
      <c r="A32" s="4" t="s">
        <v>29</v>
      </c>
      <c r="B32" s="3" t="s">
        <v>1</v>
      </c>
    </row>
    <row r="33" spans="1:3">
      <c r="A33" s="4" t="s">
        <v>29</v>
      </c>
      <c r="B33" s="3" t="s">
        <v>15</v>
      </c>
    </row>
    <row r="34" spans="1:3">
      <c r="A34" s="4" t="s">
        <v>29</v>
      </c>
      <c r="B34" s="3" t="s">
        <v>14</v>
      </c>
    </row>
    <row r="35" spans="1:3">
      <c r="A35" s="4" t="s">
        <v>29</v>
      </c>
      <c r="B35" s="3" t="s">
        <v>30</v>
      </c>
    </row>
    <row r="36" spans="1:3">
      <c r="A36" s="4" t="s">
        <v>29</v>
      </c>
      <c r="B36" s="3" t="s">
        <v>3</v>
      </c>
    </row>
    <row r="37" spans="1:3">
      <c r="A37" s="4" t="s">
        <v>29</v>
      </c>
      <c r="B37" s="3" t="s">
        <v>4</v>
      </c>
    </row>
    <row r="38" spans="1:3">
      <c r="A38" s="4" t="s">
        <v>29</v>
      </c>
      <c r="B38" s="3" t="s">
        <v>31</v>
      </c>
    </row>
    <row r="39" spans="1:3" ht="21">
      <c r="A39" s="4" t="s">
        <v>29</v>
      </c>
      <c r="B39" s="2" t="s">
        <v>32</v>
      </c>
      <c r="C39" t="s">
        <v>39</v>
      </c>
    </row>
    <row r="40" spans="1:3" ht="32.5">
      <c r="A40" s="4" t="s">
        <v>29</v>
      </c>
      <c r="B40" s="1" t="s">
        <v>33</v>
      </c>
      <c r="C40" t="s">
        <v>40</v>
      </c>
    </row>
    <row r="41" spans="1:3" ht="22">
      <c r="A41" s="4" t="s">
        <v>29</v>
      </c>
      <c r="B41" s="1" t="s">
        <v>34</v>
      </c>
      <c r="C41" t="s">
        <v>42</v>
      </c>
    </row>
    <row r="42" spans="1:3" ht="32.5">
      <c r="A42" s="4" t="s">
        <v>29</v>
      </c>
      <c r="B42" s="1" t="s">
        <v>35</v>
      </c>
      <c r="C42" t="s">
        <v>43</v>
      </c>
    </row>
    <row r="43" spans="1:3" ht="32.5">
      <c r="A43" s="4" t="s">
        <v>29</v>
      </c>
      <c r="B43" s="1" t="s">
        <v>36</v>
      </c>
      <c r="C43" t="s">
        <v>44</v>
      </c>
    </row>
    <row r="44" spans="1:3">
      <c r="A44" s="4" t="s">
        <v>29</v>
      </c>
      <c r="B44" s="2" t="s">
        <v>37</v>
      </c>
    </row>
  </sheetData>
  <autoFilter ref="A1:C4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B27" sqref="B27"/>
    </sheetView>
  </sheetViews>
  <sheetFormatPr baseColWidth="10" defaultRowHeight="14.5"/>
  <cols>
    <col min="1" max="1" width="46.81640625" customWidth="1"/>
    <col min="2" max="2" width="25.453125" customWidth="1"/>
  </cols>
  <sheetData>
    <row r="1" spans="1:2">
      <c r="A1" s="14" t="s">
        <v>70</v>
      </c>
      <c r="B1" s="14"/>
    </row>
    <row r="2" spans="1:2">
      <c r="A2" s="14" t="s">
        <v>71</v>
      </c>
      <c r="B2" s="14"/>
    </row>
    <row r="3" spans="1:2">
      <c r="A3" s="14" t="s">
        <v>72</v>
      </c>
      <c r="B3" s="14"/>
    </row>
    <row r="4" spans="1:2">
      <c r="A4" s="14" t="s">
        <v>73</v>
      </c>
      <c r="B4" s="14"/>
    </row>
    <row r="5" spans="1:2">
      <c r="A5" s="14"/>
      <c r="B5" s="14"/>
    </row>
    <row r="6" spans="1:2">
      <c r="A6" s="14" t="s">
        <v>81</v>
      </c>
      <c r="B6" s="31" t="s">
        <v>199</v>
      </c>
    </row>
    <row r="7" spans="1:2">
      <c r="A7" s="14" t="s">
        <v>82</v>
      </c>
      <c r="B7" s="14"/>
    </row>
    <row r="8" spans="1:2">
      <c r="A8" s="14" t="s">
        <v>79</v>
      </c>
      <c r="B8" s="14"/>
    </row>
    <row r="9" spans="1:2">
      <c r="A9" s="14"/>
      <c r="B9" s="14"/>
    </row>
    <row r="10" spans="1:2">
      <c r="A10" s="14" t="s">
        <v>83</v>
      </c>
      <c r="B10" s="14"/>
    </row>
    <row r="11" spans="1:2">
      <c r="A11" s="14"/>
      <c r="B11" s="14"/>
    </row>
    <row r="12" spans="1:2">
      <c r="A12" s="14" t="s">
        <v>74</v>
      </c>
      <c r="B12" s="14"/>
    </row>
    <row r="13" spans="1:2">
      <c r="A13" s="14"/>
      <c r="B13" s="14"/>
    </row>
    <row r="14" spans="1:2">
      <c r="A14" s="14" t="s">
        <v>75</v>
      </c>
      <c r="B14" s="14"/>
    </row>
    <row r="15" spans="1:2">
      <c r="A15" s="14" t="s">
        <v>76</v>
      </c>
      <c r="B15" s="14"/>
    </row>
    <row r="16" spans="1:2">
      <c r="A16" s="14" t="s">
        <v>77</v>
      </c>
      <c r="B16" s="14"/>
    </row>
    <row r="17" spans="1:2">
      <c r="A17" s="14" t="s">
        <v>78</v>
      </c>
      <c r="B17" s="14"/>
    </row>
    <row r="18" spans="1:2">
      <c r="A18" s="14" t="s">
        <v>79</v>
      </c>
      <c r="B18" s="14"/>
    </row>
    <row r="19" spans="1:2">
      <c r="A19" s="14" t="s">
        <v>80</v>
      </c>
      <c r="B1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3"/>
  <sheetViews>
    <sheetView topLeftCell="C1" zoomScale="55" zoomScaleNormal="55" workbookViewId="0">
      <selection activeCell="V39" sqref="V39"/>
    </sheetView>
  </sheetViews>
  <sheetFormatPr baseColWidth="10" defaultRowHeight="14.5"/>
  <cols>
    <col min="1" max="1" width="58" customWidth="1"/>
    <col min="2" max="2" width="61.7265625" bestFit="1" customWidth="1"/>
    <col min="3" max="3" width="22.7265625" bestFit="1" customWidth="1"/>
    <col min="4" max="4" width="10.453125" bestFit="1" customWidth="1"/>
    <col min="5" max="5" width="13.453125" customWidth="1"/>
    <col min="6" max="6" width="7.81640625" customWidth="1"/>
    <col min="7" max="7" width="11.26953125" bestFit="1" customWidth="1"/>
    <col min="8" max="8" width="22.453125" bestFit="1" customWidth="1"/>
    <col min="9" max="10" width="22.7265625" bestFit="1" customWidth="1"/>
    <col min="11" max="11" width="22.26953125" bestFit="1" customWidth="1"/>
    <col min="12" max="12" width="20.54296875" bestFit="1" customWidth="1"/>
    <col min="13" max="13" width="20.81640625" bestFit="1" customWidth="1"/>
  </cols>
  <sheetData>
    <row r="1" spans="1:14">
      <c r="A1" s="126" t="s">
        <v>84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4" s="21" customFormat="1" ht="26">
      <c r="A2" s="22" t="s">
        <v>2</v>
      </c>
      <c r="B2" s="22" t="s">
        <v>14</v>
      </c>
      <c r="C2" s="22" t="s">
        <v>30</v>
      </c>
      <c r="D2" s="22" t="s">
        <v>3</v>
      </c>
      <c r="E2" s="22" t="s">
        <v>4</v>
      </c>
      <c r="F2" s="22" t="s">
        <v>200</v>
      </c>
      <c r="G2" s="22" t="s">
        <v>31</v>
      </c>
      <c r="H2" s="23" t="s">
        <v>32</v>
      </c>
      <c r="I2" s="23" t="s">
        <v>33</v>
      </c>
      <c r="J2" s="23" t="s">
        <v>34</v>
      </c>
      <c r="K2" s="23" t="s">
        <v>35</v>
      </c>
      <c r="L2" s="23" t="s">
        <v>36</v>
      </c>
      <c r="M2" s="23" t="s">
        <v>37</v>
      </c>
      <c r="N2" s="21" t="s">
        <v>204</v>
      </c>
    </row>
    <row r="3" spans="1:14">
      <c r="A3" s="14" t="s">
        <v>167</v>
      </c>
      <c r="B3" s="14" t="s">
        <v>90</v>
      </c>
      <c r="C3" s="14" t="s">
        <v>114</v>
      </c>
      <c r="D3" s="14" t="s">
        <v>86</v>
      </c>
      <c r="E3" s="14" t="s">
        <v>88</v>
      </c>
      <c r="F3" s="35" t="s">
        <v>115</v>
      </c>
      <c r="G3" s="28">
        <v>8</v>
      </c>
      <c r="H3" s="33">
        <v>4</v>
      </c>
      <c r="I3" s="33">
        <v>4</v>
      </c>
      <c r="J3" s="33">
        <v>1</v>
      </c>
      <c r="K3" s="33">
        <v>4</v>
      </c>
      <c r="L3" s="33">
        <v>4</v>
      </c>
      <c r="M3" s="32" t="s">
        <v>119</v>
      </c>
    </row>
    <row r="4" spans="1:14">
      <c r="A4" s="14" t="s">
        <v>167</v>
      </c>
      <c r="B4" s="14" t="s">
        <v>90</v>
      </c>
      <c r="C4" s="14" t="s">
        <v>114</v>
      </c>
      <c r="D4" s="14" t="s">
        <v>86</v>
      </c>
      <c r="E4" s="14" t="s">
        <v>88</v>
      </c>
      <c r="F4" s="35" t="s">
        <v>115</v>
      </c>
      <c r="G4" s="28">
        <v>8</v>
      </c>
      <c r="H4" s="33">
        <v>1</v>
      </c>
      <c r="I4" s="33">
        <v>3</v>
      </c>
      <c r="J4" s="33">
        <v>2</v>
      </c>
      <c r="K4" s="33">
        <v>2</v>
      </c>
      <c r="L4" s="33">
        <v>2</v>
      </c>
      <c r="M4" s="32"/>
    </row>
    <row r="5" spans="1:14">
      <c r="A5" s="14" t="s">
        <v>167</v>
      </c>
      <c r="B5" s="14" t="s">
        <v>90</v>
      </c>
      <c r="C5" s="14" t="s">
        <v>114</v>
      </c>
      <c r="D5" s="14" t="s">
        <v>86</v>
      </c>
      <c r="E5" s="14" t="s">
        <v>88</v>
      </c>
      <c r="F5" s="35" t="s">
        <v>115</v>
      </c>
      <c r="G5" s="28">
        <v>8</v>
      </c>
      <c r="H5" s="33">
        <v>1</v>
      </c>
      <c r="I5" s="33">
        <v>4</v>
      </c>
      <c r="J5" s="33">
        <v>2</v>
      </c>
      <c r="K5" s="33">
        <v>2</v>
      </c>
      <c r="L5" s="33">
        <v>2</v>
      </c>
      <c r="M5" s="32"/>
    </row>
    <row r="6" spans="1:14">
      <c r="A6" s="44"/>
      <c r="B6" s="44"/>
      <c r="C6" s="44"/>
      <c r="D6" s="44"/>
      <c r="E6" s="44"/>
      <c r="F6" s="45"/>
      <c r="G6" s="46"/>
      <c r="H6" s="48">
        <f>AVERAGE(H3:H5)</f>
        <v>2</v>
      </c>
      <c r="I6" s="48">
        <f t="shared" ref="I6:L6" si="0">AVERAGE(I3:I5)</f>
        <v>3.6666666666666665</v>
      </c>
      <c r="J6" s="48">
        <f t="shared" si="0"/>
        <v>1.6666666666666667</v>
      </c>
      <c r="K6" s="48">
        <f t="shared" si="0"/>
        <v>2.6666666666666665</v>
      </c>
      <c r="L6" s="48">
        <f t="shared" si="0"/>
        <v>2.6666666666666665</v>
      </c>
      <c r="M6" s="43"/>
      <c r="N6" s="49">
        <f>AVERAGE(H6:L6)</f>
        <v>2.5333333333333332</v>
      </c>
    </row>
    <row r="7" spans="1:14">
      <c r="A7" s="14" t="s">
        <v>168</v>
      </c>
      <c r="B7" s="14" t="s">
        <v>91</v>
      </c>
      <c r="C7" s="14" t="s">
        <v>114</v>
      </c>
      <c r="D7" s="14" t="s">
        <v>89</v>
      </c>
      <c r="E7" s="14" t="s">
        <v>88</v>
      </c>
      <c r="F7" s="35" t="s">
        <v>116</v>
      </c>
      <c r="G7" s="28">
        <v>4</v>
      </c>
      <c r="H7" s="33">
        <v>4</v>
      </c>
      <c r="I7" s="33">
        <v>4</v>
      </c>
      <c r="J7" s="33">
        <v>4</v>
      </c>
      <c r="K7" s="33">
        <v>4</v>
      </c>
      <c r="L7" s="33">
        <v>4</v>
      </c>
      <c r="M7" s="32" t="s">
        <v>120</v>
      </c>
    </row>
    <row r="8" spans="1:14">
      <c r="A8" s="14" t="s">
        <v>168</v>
      </c>
      <c r="B8" s="14" t="s">
        <v>91</v>
      </c>
      <c r="C8" s="14" t="s">
        <v>114</v>
      </c>
      <c r="D8" s="14" t="s">
        <v>89</v>
      </c>
      <c r="E8" s="14" t="s">
        <v>88</v>
      </c>
      <c r="F8" s="35" t="s">
        <v>116</v>
      </c>
      <c r="G8" s="28">
        <v>4</v>
      </c>
      <c r="H8" s="33">
        <v>3</v>
      </c>
      <c r="I8" s="33">
        <v>3</v>
      </c>
      <c r="J8" s="33">
        <v>3</v>
      </c>
      <c r="K8" s="33">
        <v>2</v>
      </c>
      <c r="L8" s="33">
        <v>2</v>
      </c>
      <c r="M8" s="32"/>
    </row>
    <row r="9" spans="1:14">
      <c r="A9" s="14" t="s">
        <v>168</v>
      </c>
      <c r="B9" s="14" t="s">
        <v>91</v>
      </c>
      <c r="C9" s="14" t="s">
        <v>114</v>
      </c>
      <c r="D9" s="14" t="s">
        <v>89</v>
      </c>
      <c r="E9" s="14" t="s">
        <v>88</v>
      </c>
      <c r="F9" s="35" t="s">
        <v>116</v>
      </c>
      <c r="G9" s="28">
        <v>4</v>
      </c>
      <c r="H9" s="33">
        <v>2</v>
      </c>
      <c r="I9" s="33">
        <v>1</v>
      </c>
      <c r="J9" s="33">
        <v>1</v>
      </c>
      <c r="K9" s="33">
        <v>3</v>
      </c>
      <c r="L9" s="33">
        <v>3</v>
      </c>
      <c r="M9" s="32"/>
    </row>
    <row r="10" spans="1:14">
      <c r="A10" s="14" t="s">
        <v>169</v>
      </c>
      <c r="B10" s="14" t="s">
        <v>92</v>
      </c>
      <c r="C10" s="14" t="s">
        <v>114</v>
      </c>
      <c r="D10" s="14" t="s">
        <v>89</v>
      </c>
      <c r="E10" s="14" t="s">
        <v>88</v>
      </c>
      <c r="F10" s="35" t="s">
        <v>116</v>
      </c>
      <c r="G10" s="28">
        <v>4</v>
      </c>
      <c r="H10" s="33">
        <v>4</v>
      </c>
      <c r="I10" s="33">
        <v>1</v>
      </c>
      <c r="J10" s="33">
        <v>2</v>
      </c>
      <c r="K10" s="33">
        <v>2</v>
      </c>
      <c r="L10" s="33">
        <v>4</v>
      </c>
      <c r="M10" s="32"/>
    </row>
    <row r="11" spans="1:14">
      <c r="A11" s="14" t="s">
        <v>169</v>
      </c>
      <c r="B11" s="14" t="s">
        <v>92</v>
      </c>
      <c r="C11" s="14" t="s">
        <v>114</v>
      </c>
      <c r="D11" s="14" t="s">
        <v>89</v>
      </c>
      <c r="E11" s="14" t="s">
        <v>88</v>
      </c>
      <c r="F11" s="35" t="s">
        <v>116</v>
      </c>
      <c r="G11" s="28">
        <v>4</v>
      </c>
      <c r="H11" s="33">
        <v>2</v>
      </c>
      <c r="I11" s="33">
        <v>2</v>
      </c>
      <c r="J11" s="33">
        <v>2</v>
      </c>
      <c r="K11" s="33">
        <v>1</v>
      </c>
      <c r="L11" s="33">
        <v>2</v>
      </c>
      <c r="M11" s="32"/>
    </row>
    <row r="12" spans="1:14">
      <c r="A12" s="14" t="s">
        <v>169</v>
      </c>
      <c r="B12" s="14" t="s">
        <v>92</v>
      </c>
      <c r="C12" s="14" t="s">
        <v>114</v>
      </c>
      <c r="D12" s="14" t="s">
        <v>89</v>
      </c>
      <c r="E12" s="14" t="s">
        <v>88</v>
      </c>
      <c r="F12" s="35" t="s">
        <v>116</v>
      </c>
      <c r="G12" s="28">
        <v>4</v>
      </c>
      <c r="H12" s="33">
        <v>2</v>
      </c>
      <c r="I12" s="33">
        <v>3</v>
      </c>
      <c r="J12" s="33">
        <v>2</v>
      </c>
      <c r="K12" s="33">
        <v>4</v>
      </c>
      <c r="L12" s="33">
        <v>2</v>
      </c>
      <c r="M12" s="32"/>
    </row>
    <row r="13" spans="1:14">
      <c r="A13" s="14" t="s">
        <v>170</v>
      </c>
      <c r="B13" s="14" t="s">
        <v>93</v>
      </c>
      <c r="C13" s="14" t="s">
        <v>114</v>
      </c>
      <c r="D13" s="14" t="s">
        <v>86</v>
      </c>
      <c r="E13" s="14" t="s">
        <v>88</v>
      </c>
      <c r="F13" s="35" t="s">
        <v>116</v>
      </c>
      <c r="G13" s="28">
        <v>4</v>
      </c>
      <c r="H13" s="33">
        <v>2</v>
      </c>
      <c r="I13" s="33">
        <v>2</v>
      </c>
      <c r="J13" s="33">
        <v>4</v>
      </c>
      <c r="K13" s="33">
        <v>2</v>
      </c>
      <c r="L13" s="33">
        <v>4</v>
      </c>
      <c r="M13" s="32"/>
    </row>
    <row r="14" spans="1:14">
      <c r="A14" s="14" t="s">
        <v>170</v>
      </c>
      <c r="B14" s="14" t="s">
        <v>93</v>
      </c>
      <c r="C14" s="14" t="s">
        <v>114</v>
      </c>
      <c r="D14" s="14" t="s">
        <v>86</v>
      </c>
      <c r="E14" s="14" t="s">
        <v>88</v>
      </c>
      <c r="F14" s="35" t="s">
        <v>116</v>
      </c>
      <c r="G14" s="28">
        <v>4</v>
      </c>
      <c r="H14" s="33">
        <v>3</v>
      </c>
      <c r="I14" s="33">
        <v>4</v>
      </c>
      <c r="J14" s="33">
        <v>1</v>
      </c>
      <c r="K14" s="33">
        <v>4</v>
      </c>
      <c r="L14" s="33">
        <v>2</v>
      </c>
      <c r="M14" s="32"/>
    </row>
    <row r="15" spans="1:14">
      <c r="A15" s="14" t="s">
        <v>170</v>
      </c>
      <c r="B15" s="14" t="s">
        <v>93</v>
      </c>
      <c r="C15" s="14" t="s">
        <v>114</v>
      </c>
      <c r="D15" s="14" t="s">
        <v>86</v>
      </c>
      <c r="E15" s="14" t="s">
        <v>88</v>
      </c>
      <c r="F15" s="35" t="s">
        <v>116</v>
      </c>
      <c r="G15" s="28">
        <v>4</v>
      </c>
      <c r="H15" s="33">
        <v>2</v>
      </c>
      <c r="I15" s="33">
        <v>2</v>
      </c>
      <c r="J15" s="33">
        <v>2</v>
      </c>
      <c r="K15" s="33">
        <v>2</v>
      </c>
      <c r="L15" s="33">
        <v>1</v>
      </c>
      <c r="M15" s="32"/>
    </row>
    <row r="16" spans="1:14">
      <c r="A16" s="14" t="s">
        <v>171</v>
      </c>
      <c r="B16" s="14" t="s">
        <v>94</v>
      </c>
      <c r="C16" s="14" t="s">
        <v>114</v>
      </c>
      <c r="D16" s="14" t="s">
        <v>89</v>
      </c>
      <c r="E16" s="14" t="s">
        <v>88</v>
      </c>
      <c r="F16" s="35" t="s">
        <v>116</v>
      </c>
      <c r="G16" s="28">
        <v>4</v>
      </c>
      <c r="H16" s="33">
        <v>2</v>
      </c>
      <c r="I16" s="33">
        <v>4</v>
      </c>
      <c r="J16" s="33">
        <v>1</v>
      </c>
      <c r="K16" s="33">
        <v>4</v>
      </c>
      <c r="L16" s="33">
        <v>2</v>
      </c>
      <c r="M16" s="32" t="s">
        <v>121</v>
      </c>
    </row>
    <row r="17" spans="1:13">
      <c r="A17" s="14" t="s">
        <v>171</v>
      </c>
      <c r="B17" s="14" t="s">
        <v>94</v>
      </c>
      <c r="C17" s="14" t="s">
        <v>114</v>
      </c>
      <c r="D17" s="14" t="s">
        <v>89</v>
      </c>
      <c r="E17" s="14" t="s">
        <v>88</v>
      </c>
      <c r="F17" s="35" t="s">
        <v>116</v>
      </c>
      <c r="G17" s="28">
        <v>4</v>
      </c>
      <c r="H17" s="33">
        <v>4</v>
      </c>
      <c r="I17" s="33">
        <v>1</v>
      </c>
      <c r="J17" s="33">
        <v>3</v>
      </c>
      <c r="K17" s="33">
        <v>3</v>
      </c>
      <c r="L17" s="33">
        <v>2</v>
      </c>
      <c r="M17" s="32"/>
    </row>
    <row r="18" spans="1:13">
      <c r="A18" s="14" t="s">
        <v>171</v>
      </c>
      <c r="B18" s="14" t="s">
        <v>94</v>
      </c>
      <c r="C18" s="14" t="s">
        <v>114</v>
      </c>
      <c r="D18" s="14" t="s">
        <v>89</v>
      </c>
      <c r="E18" s="14" t="s">
        <v>88</v>
      </c>
      <c r="F18" s="35" t="s">
        <v>116</v>
      </c>
      <c r="G18" s="28">
        <v>4</v>
      </c>
      <c r="H18" s="33">
        <v>1</v>
      </c>
      <c r="I18" s="33">
        <v>3</v>
      </c>
      <c r="J18" s="33">
        <v>3</v>
      </c>
      <c r="K18" s="33">
        <v>3</v>
      </c>
      <c r="L18" s="33">
        <v>2</v>
      </c>
      <c r="M18" s="32"/>
    </row>
    <row r="19" spans="1:13">
      <c r="A19" s="14" t="s">
        <v>171</v>
      </c>
      <c r="B19" s="14" t="s">
        <v>95</v>
      </c>
      <c r="C19" s="14" t="s">
        <v>114</v>
      </c>
      <c r="D19" s="14" t="s">
        <v>89</v>
      </c>
      <c r="E19" s="14" t="s">
        <v>88</v>
      </c>
      <c r="F19" s="35" t="s">
        <v>117</v>
      </c>
      <c r="G19" s="29">
        <v>2</v>
      </c>
      <c r="H19" s="33">
        <v>4</v>
      </c>
      <c r="I19" s="33">
        <v>4</v>
      </c>
      <c r="J19" s="33">
        <v>4</v>
      </c>
      <c r="K19" s="33">
        <v>4</v>
      </c>
      <c r="L19" s="33">
        <v>2</v>
      </c>
      <c r="M19" s="32"/>
    </row>
    <row r="20" spans="1:13">
      <c r="A20" s="14" t="s">
        <v>171</v>
      </c>
      <c r="B20" s="14" t="s">
        <v>95</v>
      </c>
      <c r="C20" s="14" t="s">
        <v>114</v>
      </c>
      <c r="D20" s="14" t="s">
        <v>89</v>
      </c>
      <c r="E20" s="14" t="s">
        <v>88</v>
      </c>
      <c r="F20" s="35" t="s">
        <v>117</v>
      </c>
      <c r="G20" s="29">
        <v>2</v>
      </c>
      <c r="H20" s="33">
        <v>3</v>
      </c>
      <c r="I20" s="33">
        <v>4</v>
      </c>
      <c r="J20" s="33">
        <v>4</v>
      </c>
      <c r="K20" s="33">
        <v>3</v>
      </c>
      <c r="L20" s="33">
        <v>3</v>
      </c>
      <c r="M20" s="32"/>
    </row>
    <row r="21" spans="1:13">
      <c r="A21" s="14" t="s">
        <v>171</v>
      </c>
      <c r="B21" s="14" t="s">
        <v>95</v>
      </c>
      <c r="C21" s="14" t="s">
        <v>114</v>
      </c>
      <c r="D21" s="14" t="s">
        <v>89</v>
      </c>
      <c r="E21" s="14" t="s">
        <v>88</v>
      </c>
      <c r="F21" s="35" t="s">
        <v>117</v>
      </c>
      <c r="G21" s="29">
        <v>2</v>
      </c>
      <c r="H21" s="33">
        <v>1</v>
      </c>
      <c r="I21" s="33">
        <v>4</v>
      </c>
      <c r="J21" s="33">
        <v>1</v>
      </c>
      <c r="K21" s="33">
        <v>3</v>
      </c>
      <c r="L21" s="33">
        <v>3</v>
      </c>
      <c r="M21" s="32"/>
    </row>
    <row r="22" spans="1:13">
      <c r="A22" s="14" t="s">
        <v>172</v>
      </c>
      <c r="B22" s="14" t="s">
        <v>96</v>
      </c>
      <c r="C22" s="14" t="s">
        <v>114</v>
      </c>
      <c r="D22" s="14" t="s">
        <v>89</v>
      </c>
      <c r="E22" s="14" t="s">
        <v>88</v>
      </c>
      <c r="F22" s="35" t="s">
        <v>115</v>
      </c>
      <c r="G22" s="29">
        <v>8</v>
      </c>
      <c r="H22" s="33">
        <v>4</v>
      </c>
      <c r="I22" s="33">
        <v>4</v>
      </c>
      <c r="J22" s="33">
        <v>4</v>
      </c>
      <c r="K22" s="33">
        <v>4</v>
      </c>
      <c r="L22" s="33">
        <v>4</v>
      </c>
      <c r="M22" s="32"/>
    </row>
    <row r="23" spans="1:13">
      <c r="A23" s="14" t="s">
        <v>172</v>
      </c>
      <c r="B23" s="14" t="s">
        <v>96</v>
      </c>
      <c r="C23" s="14" t="s">
        <v>114</v>
      </c>
      <c r="D23" s="14" t="s">
        <v>89</v>
      </c>
      <c r="E23" s="14" t="s">
        <v>88</v>
      </c>
      <c r="F23" s="35" t="s">
        <v>115</v>
      </c>
      <c r="G23" s="29">
        <v>8</v>
      </c>
      <c r="H23" s="33">
        <v>3</v>
      </c>
      <c r="I23" s="33">
        <v>3</v>
      </c>
      <c r="J23" s="33">
        <v>2</v>
      </c>
      <c r="K23" s="33">
        <v>3</v>
      </c>
      <c r="L23" s="33">
        <v>4</v>
      </c>
      <c r="M23" s="32"/>
    </row>
    <row r="24" spans="1:13">
      <c r="A24" s="14" t="s">
        <v>172</v>
      </c>
      <c r="B24" s="14" t="s">
        <v>96</v>
      </c>
      <c r="C24" s="14" t="s">
        <v>114</v>
      </c>
      <c r="D24" s="14" t="s">
        <v>89</v>
      </c>
      <c r="E24" s="14" t="s">
        <v>88</v>
      </c>
      <c r="F24" s="35" t="s">
        <v>115</v>
      </c>
      <c r="G24" s="29">
        <v>8</v>
      </c>
      <c r="H24" s="33">
        <v>3</v>
      </c>
      <c r="I24" s="33">
        <v>4</v>
      </c>
      <c r="J24" s="33">
        <v>3</v>
      </c>
      <c r="K24" s="33">
        <v>1</v>
      </c>
      <c r="L24" s="33">
        <v>3</v>
      </c>
      <c r="M24" s="32"/>
    </row>
    <row r="25" spans="1:13">
      <c r="A25" s="14" t="s">
        <v>173</v>
      </c>
      <c r="B25" s="14" t="s">
        <v>97</v>
      </c>
      <c r="C25" s="14" t="s">
        <v>114</v>
      </c>
      <c r="D25" s="14" t="s">
        <v>89</v>
      </c>
      <c r="E25" s="14" t="s">
        <v>88</v>
      </c>
      <c r="F25" s="35" t="s">
        <v>117</v>
      </c>
      <c r="G25" s="29">
        <v>2</v>
      </c>
      <c r="H25" s="33">
        <v>4</v>
      </c>
      <c r="I25" s="33">
        <v>4</v>
      </c>
      <c r="J25" s="33">
        <v>4</v>
      </c>
      <c r="K25" s="33">
        <v>4</v>
      </c>
      <c r="L25" s="33">
        <v>4</v>
      </c>
      <c r="M25" s="32" t="s">
        <v>122</v>
      </c>
    </row>
    <row r="26" spans="1:13">
      <c r="A26" s="14" t="s">
        <v>173</v>
      </c>
      <c r="B26" s="14" t="s">
        <v>97</v>
      </c>
      <c r="C26" s="14" t="s">
        <v>114</v>
      </c>
      <c r="D26" s="14" t="s">
        <v>89</v>
      </c>
      <c r="E26" s="14" t="s">
        <v>88</v>
      </c>
      <c r="F26" s="35" t="s">
        <v>117</v>
      </c>
      <c r="G26" s="29">
        <v>2</v>
      </c>
      <c r="H26" s="33">
        <v>4</v>
      </c>
      <c r="I26" s="33">
        <v>4</v>
      </c>
      <c r="J26" s="33">
        <v>1</v>
      </c>
      <c r="K26" s="33">
        <v>4</v>
      </c>
      <c r="L26" s="33">
        <v>4</v>
      </c>
      <c r="M26" s="32"/>
    </row>
    <row r="27" spans="1:13">
      <c r="A27" s="14" t="s">
        <v>173</v>
      </c>
      <c r="B27" s="14" t="s">
        <v>97</v>
      </c>
      <c r="C27" s="14" t="s">
        <v>114</v>
      </c>
      <c r="D27" s="14" t="s">
        <v>89</v>
      </c>
      <c r="E27" s="14" t="s">
        <v>88</v>
      </c>
      <c r="F27" s="35" t="s">
        <v>117</v>
      </c>
      <c r="G27" s="29">
        <v>2</v>
      </c>
      <c r="H27" s="33">
        <v>1</v>
      </c>
      <c r="I27" s="33">
        <v>3</v>
      </c>
      <c r="J27" s="33">
        <v>2</v>
      </c>
      <c r="K27" s="33">
        <v>2</v>
      </c>
      <c r="L27" s="33">
        <v>2</v>
      </c>
      <c r="M27" s="32"/>
    </row>
    <row r="28" spans="1:13">
      <c r="A28" s="14" t="s">
        <v>174</v>
      </c>
      <c r="B28" s="14" t="s">
        <v>98</v>
      </c>
      <c r="C28" s="14" t="s">
        <v>114</v>
      </c>
      <c r="D28" s="14" t="s">
        <v>89</v>
      </c>
      <c r="E28" s="14" t="s">
        <v>88</v>
      </c>
      <c r="F28" s="35" t="s">
        <v>116</v>
      </c>
      <c r="G28" s="29">
        <v>4</v>
      </c>
      <c r="H28" s="33">
        <v>1</v>
      </c>
      <c r="I28" s="33">
        <v>4</v>
      </c>
      <c r="J28" s="33">
        <v>2</v>
      </c>
      <c r="K28" s="33">
        <v>2</v>
      </c>
      <c r="L28" s="33">
        <v>2</v>
      </c>
      <c r="M28" s="32"/>
    </row>
    <row r="29" spans="1:13">
      <c r="A29" s="14" t="s">
        <v>174</v>
      </c>
      <c r="B29" s="14" t="s">
        <v>98</v>
      </c>
      <c r="C29" s="14" t="s">
        <v>114</v>
      </c>
      <c r="D29" s="14" t="s">
        <v>89</v>
      </c>
      <c r="E29" s="14" t="s">
        <v>88</v>
      </c>
      <c r="F29" s="35" t="s">
        <v>116</v>
      </c>
      <c r="G29" s="29">
        <v>4</v>
      </c>
      <c r="H29" s="33">
        <v>4</v>
      </c>
      <c r="I29" s="33">
        <v>4</v>
      </c>
      <c r="J29" s="33">
        <v>4</v>
      </c>
      <c r="K29" s="33">
        <v>4</v>
      </c>
      <c r="L29" s="33">
        <v>4</v>
      </c>
      <c r="M29" s="32"/>
    </row>
    <row r="30" spans="1:13">
      <c r="A30" s="14" t="s">
        <v>174</v>
      </c>
      <c r="B30" s="14" t="s">
        <v>98</v>
      </c>
      <c r="C30" s="14" t="s">
        <v>114</v>
      </c>
      <c r="D30" s="14" t="s">
        <v>89</v>
      </c>
      <c r="E30" s="14" t="s">
        <v>88</v>
      </c>
      <c r="F30" s="35" t="s">
        <v>116</v>
      </c>
      <c r="G30" s="29">
        <v>4</v>
      </c>
      <c r="H30" s="33">
        <v>3</v>
      </c>
      <c r="I30" s="33">
        <v>3</v>
      </c>
      <c r="J30" s="33">
        <v>3</v>
      </c>
      <c r="K30" s="33">
        <v>2</v>
      </c>
      <c r="L30" s="33">
        <v>2</v>
      </c>
      <c r="M30" s="32"/>
    </row>
    <row r="31" spans="1:13">
      <c r="A31" s="14" t="s">
        <v>174</v>
      </c>
      <c r="B31" s="14" t="s">
        <v>99</v>
      </c>
      <c r="C31" s="14" t="s">
        <v>114</v>
      </c>
      <c r="D31" s="14" t="s">
        <v>89</v>
      </c>
      <c r="E31" s="14" t="s">
        <v>88</v>
      </c>
      <c r="F31" s="35" t="s">
        <v>117</v>
      </c>
      <c r="G31" s="29">
        <v>2</v>
      </c>
      <c r="H31" s="33">
        <v>2</v>
      </c>
      <c r="I31" s="33">
        <v>1</v>
      </c>
      <c r="J31" s="33">
        <v>1</v>
      </c>
      <c r="K31" s="33">
        <v>3</v>
      </c>
      <c r="L31" s="33">
        <v>3</v>
      </c>
      <c r="M31" s="32"/>
    </row>
    <row r="32" spans="1:13">
      <c r="A32" s="14" t="s">
        <v>174</v>
      </c>
      <c r="B32" s="14" t="s">
        <v>99</v>
      </c>
      <c r="C32" s="14" t="s">
        <v>114</v>
      </c>
      <c r="D32" s="14" t="s">
        <v>89</v>
      </c>
      <c r="E32" s="14" t="s">
        <v>88</v>
      </c>
      <c r="F32" s="35" t="s">
        <v>117</v>
      </c>
      <c r="G32" s="29">
        <v>2</v>
      </c>
      <c r="H32" s="33">
        <v>4</v>
      </c>
      <c r="I32" s="33">
        <v>1</v>
      </c>
      <c r="J32" s="33">
        <v>2</v>
      </c>
      <c r="K32" s="33">
        <v>2</v>
      </c>
      <c r="L32" s="33">
        <v>4</v>
      </c>
      <c r="M32" s="32"/>
    </row>
    <row r="33" spans="1:13">
      <c r="A33" s="14" t="s">
        <v>174</v>
      </c>
      <c r="B33" s="14" t="s">
        <v>99</v>
      </c>
      <c r="C33" s="14" t="s">
        <v>114</v>
      </c>
      <c r="D33" s="14" t="s">
        <v>89</v>
      </c>
      <c r="E33" s="14" t="s">
        <v>88</v>
      </c>
      <c r="F33" s="35" t="s">
        <v>117</v>
      </c>
      <c r="G33" s="29">
        <v>2</v>
      </c>
      <c r="H33" s="33">
        <v>2</v>
      </c>
      <c r="I33" s="33">
        <v>2</v>
      </c>
      <c r="J33" s="33">
        <v>2</v>
      </c>
      <c r="K33" s="33">
        <v>1</v>
      </c>
      <c r="L33" s="33">
        <v>2</v>
      </c>
      <c r="M33" s="32"/>
    </row>
    <row r="34" spans="1:13">
      <c r="A34" s="14" t="s">
        <v>175</v>
      </c>
      <c r="B34" s="14" t="s">
        <v>100</v>
      </c>
      <c r="C34" s="14" t="s">
        <v>114</v>
      </c>
      <c r="D34" s="14" t="s">
        <v>89</v>
      </c>
      <c r="E34" s="14" t="s">
        <v>88</v>
      </c>
      <c r="F34" s="35" t="s">
        <v>118</v>
      </c>
      <c r="G34" s="29">
        <v>6</v>
      </c>
      <c r="H34" s="33">
        <v>2</v>
      </c>
      <c r="I34" s="33">
        <v>3</v>
      </c>
      <c r="J34" s="33">
        <v>2</v>
      </c>
      <c r="K34" s="33">
        <v>4</v>
      </c>
      <c r="L34" s="33">
        <v>2</v>
      </c>
      <c r="M34" s="32"/>
    </row>
    <row r="35" spans="1:13">
      <c r="A35" s="14" t="s">
        <v>175</v>
      </c>
      <c r="B35" s="14" t="s">
        <v>100</v>
      </c>
      <c r="C35" s="14" t="s">
        <v>114</v>
      </c>
      <c r="D35" s="14" t="s">
        <v>89</v>
      </c>
      <c r="E35" s="14" t="s">
        <v>88</v>
      </c>
      <c r="F35" s="35" t="s">
        <v>118</v>
      </c>
      <c r="G35" s="29">
        <v>6</v>
      </c>
      <c r="H35" s="33">
        <v>2</v>
      </c>
      <c r="I35" s="33">
        <v>2</v>
      </c>
      <c r="J35" s="33">
        <v>4</v>
      </c>
      <c r="K35" s="33">
        <v>2</v>
      </c>
      <c r="L35" s="33">
        <v>4</v>
      </c>
      <c r="M35" s="32"/>
    </row>
    <row r="36" spans="1:13">
      <c r="A36" s="14" t="s">
        <v>175</v>
      </c>
      <c r="B36" s="14" t="s">
        <v>100</v>
      </c>
      <c r="C36" s="14" t="s">
        <v>114</v>
      </c>
      <c r="D36" s="14" t="s">
        <v>89</v>
      </c>
      <c r="E36" s="14" t="s">
        <v>88</v>
      </c>
      <c r="F36" s="35" t="s">
        <v>118</v>
      </c>
      <c r="G36" s="29">
        <v>6</v>
      </c>
      <c r="H36" s="33">
        <v>3</v>
      </c>
      <c r="I36" s="33">
        <v>4</v>
      </c>
      <c r="J36" s="33">
        <v>1</v>
      </c>
      <c r="K36" s="33">
        <v>4</v>
      </c>
      <c r="L36" s="33">
        <v>2</v>
      </c>
      <c r="M36" s="32"/>
    </row>
    <row r="37" spans="1:13">
      <c r="A37" s="14" t="s">
        <v>175</v>
      </c>
      <c r="B37" s="14" t="s">
        <v>101</v>
      </c>
      <c r="C37" s="14" t="s">
        <v>114</v>
      </c>
      <c r="D37" s="14" t="s">
        <v>89</v>
      </c>
      <c r="E37" s="14" t="s">
        <v>88</v>
      </c>
      <c r="F37" s="35" t="s">
        <v>115</v>
      </c>
      <c r="G37" s="29">
        <v>8</v>
      </c>
      <c r="H37" s="33">
        <v>2</v>
      </c>
      <c r="I37" s="33">
        <v>2</v>
      </c>
      <c r="J37" s="33">
        <v>2</v>
      </c>
      <c r="K37" s="33">
        <v>2</v>
      </c>
      <c r="L37" s="33">
        <v>1</v>
      </c>
      <c r="M37" s="32"/>
    </row>
    <row r="38" spans="1:13">
      <c r="A38" s="14" t="s">
        <v>175</v>
      </c>
      <c r="B38" s="14" t="s">
        <v>101</v>
      </c>
      <c r="C38" s="14" t="s">
        <v>114</v>
      </c>
      <c r="D38" s="14" t="s">
        <v>89</v>
      </c>
      <c r="E38" s="14" t="s">
        <v>88</v>
      </c>
      <c r="F38" s="35" t="s">
        <v>115</v>
      </c>
      <c r="G38" s="29">
        <v>8</v>
      </c>
      <c r="H38" s="33">
        <v>2</v>
      </c>
      <c r="I38" s="33">
        <v>4</v>
      </c>
      <c r="J38" s="33">
        <v>1</v>
      </c>
      <c r="K38" s="33">
        <v>4</v>
      </c>
      <c r="L38" s="33">
        <v>2</v>
      </c>
      <c r="M38" s="32"/>
    </row>
    <row r="39" spans="1:13">
      <c r="A39" s="14" t="s">
        <v>175</v>
      </c>
      <c r="B39" s="14" t="s">
        <v>101</v>
      </c>
      <c r="C39" s="14" t="s">
        <v>114</v>
      </c>
      <c r="D39" s="14" t="s">
        <v>89</v>
      </c>
      <c r="E39" s="14" t="s">
        <v>88</v>
      </c>
      <c r="F39" s="35" t="s">
        <v>115</v>
      </c>
      <c r="G39" s="29">
        <v>8</v>
      </c>
      <c r="H39" s="33">
        <v>4</v>
      </c>
      <c r="I39" s="33">
        <v>1</v>
      </c>
      <c r="J39" s="33">
        <v>3</v>
      </c>
      <c r="K39" s="33">
        <v>3</v>
      </c>
      <c r="L39" s="33">
        <v>2</v>
      </c>
      <c r="M39" s="32"/>
    </row>
    <row r="40" spans="1:13">
      <c r="A40" s="14" t="s">
        <v>176</v>
      </c>
      <c r="B40" s="14" t="s">
        <v>102</v>
      </c>
      <c r="C40" s="14" t="s">
        <v>114</v>
      </c>
      <c r="D40" s="14" t="s">
        <v>86</v>
      </c>
      <c r="E40" s="14" t="s">
        <v>88</v>
      </c>
      <c r="F40" s="35" t="s">
        <v>118</v>
      </c>
      <c r="G40" s="29">
        <v>6</v>
      </c>
      <c r="H40" s="33">
        <v>1</v>
      </c>
      <c r="I40" s="33">
        <v>3</v>
      </c>
      <c r="J40" s="33">
        <v>3</v>
      </c>
      <c r="K40" s="33">
        <v>3</v>
      </c>
      <c r="L40" s="33">
        <v>2</v>
      </c>
      <c r="M40" s="32"/>
    </row>
    <row r="41" spans="1:13">
      <c r="A41" s="14" t="s">
        <v>176</v>
      </c>
      <c r="B41" s="14" t="s">
        <v>102</v>
      </c>
      <c r="C41" s="14" t="s">
        <v>114</v>
      </c>
      <c r="D41" s="14" t="s">
        <v>86</v>
      </c>
      <c r="E41" s="14" t="s">
        <v>88</v>
      </c>
      <c r="F41" s="35" t="s">
        <v>118</v>
      </c>
      <c r="G41" s="29">
        <v>6</v>
      </c>
      <c r="H41" s="33">
        <v>4</v>
      </c>
      <c r="I41" s="33">
        <v>4</v>
      </c>
      <c r="J41" s="33">
        <v>4</v>
      </c>
      <c r="K41" s="33">
        <v>4</v>
      </c>
      <c r="L41" s="33">
        <v>2</v>
      </c>
      <c r="M41" s="32"/>
    </row>
    <row r="42" spans="1:13">
      <c r="A42" s="14" t="s">
        <v>176</v>
      </c>
      <c r="B42" s="14" t="s">
        <v>102</v>
      </c>
      <c r="C42" s="14" t="s">
        <v>114</v>
      </c>
      <c r="D42" s="14" t="s">
        <v>86</v>
      </c>
      <c r="E42" s="14" t="s">
        <v>88</v>
      </c>
      <c r="F42" s="35" t="s">
        <v>118</v>
      </c>
      <c r="G42" s="29">
        <v>6</v>
      </c>
      <c r="H42" s="33">
        <v>3</v>
      </c>
      <c r="I42" s="33">
        <v>4</v>
      </c>
      <c r="J42" s="33">
        <v>4</v>
      </c>
      <c r="K42" s="33">
        <v>3</v>
      </c>
      <c r="L42" s="33">
        <v>3</v>
      </c>
      <c r="M42" s="32"/>
    </row>
    <row r="43" spans="1:13">
      <c r="A43" s="14" t="s">
        <v>176</v>
      </c>
      <c r="B43" s="14" t="s">
        <v>103</v>
      </c>
      <c r="C43" s="14" t="s">
        <v>114</v>
      </c>
      <c r="D43" s="14" t="s">
        <v>86</v>
      </c>
      <c r="E43" s="14" t="s">
        <v>88</v>
      </c>
      <c r="F43" s="35" t="s">
        <v>117</v>
      </c>
      <c r="G43" s="29">
        <v>2</v>
      </c>
      <c r="H43" s="33">
        <v>1</v>
      </c>
      <c r="I43" s="33">
        <v>4</v>
      </c>
      <c r="J43" s="33">
        <v>1</v>
      </c>
      <c r="K43" s="33">
        <v>3</v>
      </c>
      <c r="L43" s="33">
        <v>3</v>
      </c>
      <c r="M43" s="32"/>
    </row>
    <row r="44" spans="1:13">
      <c r="A44" s="14" t="s">
        <v>176</v>
      </c>
      <c r="B44" s="14" t="s">
        <v>103</v>
      </c>
      <c r="C44" s="14" t="s">
        <v>114</v>
      </c>
      <c r="D44" s="14" t="s">
        <v>86</v>
      </c>
      <c r="E44" s="14" t="s">
        <v>88</v>
      </c>
      <c r="F44" s="35" t="s">
        <v>117</v>
      </c>
      <c r="G44" s="29">
        <v>2</v>
      </c>
      <c r="H44" s="33">
        <v>4</v>
      </c>
      <c r="I44" s="33">
        <v>4</v>
      </c>
      <c r="J44" s="33">
        <v>4</v>
      </c>
      <c r="K44" s="33">
        <v>4</v>
      </c>
      <c r="L44" s="33">
        <v>4</v>
      </c>
      <c r="M44" s="32"/>
    </row>
    <row r="45" spans="1:13">
      <c r="A45" s="14" t="s">
        <v>176</v>
      </c>
      <c r="B45" s="14" t="s">
        <v>103</v>
      </c>
      <c r="C45" s="14" t="s">
        <v>114</v>
      </c>
      <c r="D45" s="14" t="s">
        <v>86</v>
      </c>
      <c r="E45" s="14" t="s">
        <v>88</v>
      </c>
      <c r="F45" s="35" t="s">
        <v>117</v>
      </c>
      <c r="G45" s="29">
        <v>2</v>
      </c>
      <c r="H45" s="33">
        <v>3</v>
      </c>
      <c r="I45" s="33">
        <v>3</v>
      </c>
      <c r="J45" s="33">
        <v>2</v>
      </c>
      <c r="K45" s="33">
        <v>3</v>
      </c>
      <c r="L45" s="33">
        <v>4</v>
      </c>
      <c r="M45" s="32"/>
    </row>
    <row r="46" spans="1:13">
      <c r="A46" s="14" t="s">
        <v>176</v>
      </c>
      <c r="B46" s="14" t="s">
        <v>104</v>
      </c>
      <c r="C46" s="14" t="s">
        <v>114</v>
      </c>
      <c r="D46" s="14" t="s">
        <v>86</v>
      </c>
      <c r="E46" s="14" t="s">
        <v>88</v>
      </c>
      <c r="F46" s="35" t="s">
        <v>115</v>
      </c>
      <c r="G46" s="29">
        <v>8</v>
      </c>
      <c r="H46" s="33">
        <v>3</v>
      </c>
      <c r="I46" s="33">
        <v>4</v>
      </c>
      <c r="J46" s="33">
        <v>3</v>
      </c>
      <c r="K46" s="33">
        <v>1</v>
      </c>
      <c r="L46" s="33">
        <v>3</v>
      </c>
      <c r="M46" s="32"/>
    </row>
    <row r="47" spans="1:13">
      <c r="A47" s="14" t="s">
        <v>176</v>
      </c>
      <c r="B47" s="14" t="s">
        <v>104</v>
      </c>
      <c r="C47" s="14" t="s">
        <v>114</v>
      </c>
      <c r="D47" s="14" t="s">
        <v>86</v>
      </c>
      <c r="E47" s="14" t="s">
        <v>88</v>
      </c>
      <c r="F47" s="35" t="s">
        <v>115</v>
      </c>
      <c r="G47" s="29">
        <v>8</v>
      </c>
      <c r="H47" s="33">
        <v>4</v>
      </c>
      <c r="I47" s="33">
        <v>4</v>
      </c>
      <c r="J47" s="33">
        <v>4</v>
      </c>
      <c r="K47" s="33">
        <v>4</v>
      </c>
      <c r="L47" s="33">
        <v>4</v>
      </c>
      <c r="M47" s="32"/>
    </row>
    <row r="48" spans="1:13">
      <c r="A48" s="14" t="s">
        <v>176</v>
      </c>
      <c r="B48" s="14" t="s">
        <v>104</v>
      </c>
      <c r="C48" s="14" t="s">
        <v>114</v>
      </c>
      <c r="D48" s="14" t="s">
        <v>86</v>
      </c>
      <c r="E48" s="14" t="s">
        <v>88</v>
      </c>
      <c r="F48" s="35" t="s">
        <v>115</v>
      </c>
      <c r="G48" s="29">
        <v>8</v>
      </c>
      <c r="H48" s="33">
        <v>4</v>
      </c>
      <c r="I48" s="33">
        <v>4</v>
      </c>
      <c r="J48" s="33">
        <v>1</v>
      </c>
      <c r="K48" s="33">
        <v>4</v>
      </c>
      <c r="L48" s="33">
        <v>4</v>
      </c>
      <c r="M48" s="32"/>
    </row>
    <row r="49" spans="1:13">
      <c r="A49" s="14" t="s">
        <v>177</v>
      </c>
      <c r="B49" s="14" t="s">
        <v>105</v>
      </c>
      <c r="C49" s="14" t="s">
        <v>114</v>
      </c>
      <c r="D49" s="14" t="s">
        <v>89</v>
      </c>
      <c r="E49" s="14" t="s">
        <v>88</v>
      </c>
      <c r="F49" s="35" t="s">
        <v>118</v>
      </c>
      <c r="G49" s="29">
        <v>6</v>
      </c>
      <c r="H49" s="33">
        <v>1</v>
      </c>
      <c r="I49" s="33">
        <v>3</v>
      </c>
      <c r="J49" s="33">
        <v>2</v>
      </c>
      <c r="K49" s="33">
        <v>2</v>
      </c>
      <c r="L49" s="33">
        <v>2</v>
      </c>
      <c r="M49" s="32"/>
    </row>
    <row r="50" spans="1:13">
      <c r="A50" s="14" t="s">
        <v>177</v>
      </c>
      <c r="B50" s="14" t="s">
        <v>105</v>
      </c>
      <c r="C50" s="14" t="s">
        <v>114</v>
      </c>
      <c r="D50" s="14" t="s">
        <v>89</v>
      </c>
      <c r="E50" s="14" t="s">
        <v>88</v>
      </c>
      <c r="F50" s="35" t="s">
        <v>118</v>
      </c>
      <c r="G50" s="29">
        <v>6</v>
      </c>
      <c r="H50" s="33">
        <v>1</v>
      </c>
      <c r="I50" s="33">
        <v>4</v>
      </c>
      <c r="J50" s="33">
        <v>2</v>
      </c>
      <c r="K50" s="33">
        <v>2</v>
      </c>
      <c r="L50" s="33">
        <v>2</v>
      </c>
      <c r="M50" s="32"/>
    </row>
    <row r="51" spans="1:13">
      <c r="A51" s="14" t="s">
        <v>177</v>
      </c>
      <c r="B51" s="14" t="s">
        <v>105</v>
      </c>
      <c r="C51" s="14" t="s">
        <v>114</v>
      </c>
      <c r="D51" s="14" t="s">
        <v>89</v>
      </c>
      <c r="E51" s="14" t="s">
        <v>88</v>
      </c>
      <c r="F51" s="35" t="s">
        <v>118</v>
      </c>
      <c r="G51" s="29">
        <v>6</v>
      </c>
      <c r="H51" s="33">
        <v>4</v>
      </c>
      <c r="I51" s="33">
        <v>4</v>
      </c>
      <c r="J51" s="33">
        <v>4</v>
      </c>
      <c r="K51" s="33">
        <v>4</v>
      </c>
      <c r="L51" s="33">
        <v>4</v>
      </c>
      <c r="M51" s="32"/>
    </row>
    <row r="52" spans="1:13">
      <c r="A52" s="14" t="s">
        <v>178</v>
      </c>
      <c r="B52" s="14" t="s">
        <v>106</v>
      </c>
      <c r="C52" s="14" t="s">
        <v>114</v>
      </c>
      <c r="D52" s="14" t="s">
        <v>86</v>
      </c>
      <c r="E52" s="14" t="s">
        <v>88</v>
      </c>
      <c r="F52" s="35" t="s">
        <v>118</v>
      </c>
      <c r="G52" s="30">
        <v>6</v>
      </c>
      <c r="H52" s="33">
        <v>3</v>
      </c>
      <c r="I52" s="33">
        <v>3</v>
      </c>
      <c r="J52" s="33">
        <v>3</v>
      </c>
      <c r="K52" s="33">
        <v>2</v>
      </c>
      <c r="L52" s="33">
        <v>2</v>
      </c>
      <c r="M52" s="32"/>
    </row>
    <row r="53" spans="1:13">
      <c r="A53" s="14" t="s">
        <v>178</v>
      </c>
      <c r="B53" s="14" t="s">
        <v>106</v>
      </c>
      <c r="C53" s="14" t="s">
        <v>114</v>
      </c>
      <c r="D53" s="14" t="s">
        <v>86</v>
      </c>
      <c r="E53" s="14" t="s">
        <v>88</v>
      </c>
      <c r="F53" s="35" t="s">
        <v>118</v>
      </c>
      <c r="G53" s="29">
        <v>6</v>
      </c>
      <c r="H53" s="33">
        <v>2</v>
      </c>
      <c r="I53" s="33">
        <v>1</v>
      </c>
      <c r="J53" s="33">
        <v>1</v>
      </c>
      <c r="K53" s="33">
        <v>3</v>
      </c>
      <c r="L53" s="33">
        <v>3</v>
      </c>
      <c r="M53" s="32"/>
    </row>
    <row r="54" spans="1:13">
      <c r="A54" s="14" t="s">
        <v>178</v>
      </c>
      <c r="B54" s="14" t="s">
        <v>106</v>
      </c>
      <c r="C54" s="14" t="s">
        <v>114</v>
      </c>
      <c r="D54" s="14" t="s">
        <v>86</v>
      </c>
      <c r="E54" s="14" t="s">
        <v>88</v>
      </c>
      <c r="F54" s="35" t="s">
        <v>118</v>
      </c>
      <c r="G54" s="29">
        <v>6</v>
      </c>
      <c r="H54" s="33">
        <v>4</v>
      </c>
      <c r="I54" s="33">
        <v>1</v>
      </c>
      <c r="J54" s="33">
        <v>2</v>
      </c>
      <c r="K54" s="33">
        <v>2</v>
      </c>
      <c r="L54" s="33">
        <v>4</v>
      </c>
      <c r="M54" s="32"/>
    </row>
    <row r="55" spans="1:13">
      <c r="A55" s="14" t="s">
        <v>179</v>
      </c>
      <c r="B55" s="14" t="s">
        <v>107</v>
      </c>
      <c r="C55" s="14" t="s">
        <v>114</v>
      </c>
      <c r="D55" s="14" t="s">
        <v>89</v>
      </c>
      <c r="E55" s="14" t="s">
        <v>88</v>
      </c>
      <c r="F55" s="35" t="s">
        <v>116</v>
      </c>
      <c r="G55" s="30">
        <v>4</v>
      </c>
      <c r="H55" s="33">
        <v>2</v>
      </c>
      <c r="I55" s="33">
        <v>2</v>
      </c>
      <c r="J55" s="33">
        <v>2</v>
      </c>
      <c r="K55" s="33">
        <v>1</v>
      </c>
      <c r="L55" s="33">
        <v>2</v>
      </c>
      <c r="M55" s="32"/>
    </row>
    <row r="56" spans="1:13">
      <c r="A56" s="14" t="s">
        <v>179</v>
      </c>
      <c r="B56" s="14" t="s">
        <v>107</v>
      </c>
      <c r="C56" s="14" t="s">
        <v>114</v>
      </c>
      <c r="D56" s="14" t="s">
        <v>89</v>
      </c>
      <c r="E56" s="14" t="s">
        <v>88</v>
      </c>
      <c r="F56" s="35" t="s">
        <v>116</v>
      </c>
      <c r="G56" s="30">
        <v>4</v>
      </c>
      <c r="H56" s="33">
        <v>2</v>
      </c>
      <c r="I56" s="33">
        <v>3</v>
      </c>
      <c r="J56" s="33">
        <v>2</v>
      </c>
      <c r="K56" s="33">
        <v>4</v>
      </c>
      <c r="L56" s="33">
        <v>2</v>
      </c>
      <c r="M56" s="32"/>
    </row>
    <row r="57" spans="1:13">
      <c r="A57" s="14" t="s">
        <v>179</v>
      </c>
      <c r="B57" s="14" t="s">
        <v>107</v>
      </c>
      <c r="C57" s="14" t="s">
        <v>114</v>
      </c>
      <c r="D57" s="14" t="s">
        <v>89</v>
      </c>
      <c r="E57" s="14" t="s">
        <v>88</v>
      </c>
      <c r="F57" s="35" t="s">
        <v>116</v>
      </c>
      <c r="G57" s="30">
        <v>4</v>
      </c>
      <c r="H57" s="33">
        <v>2</v>
      </c>
      <c r="I57" s="33">
        <v>2</v>
      </c>
      <c r="J57" s="33">
        <v>4</v>
      </c>
      <c r="K57" s="33">
        <v>2</v>
      </c>
      <c r="L57" s="33">
        <v>4</v>
      </c>
      <c r="M57" s="32"/>
    </row>
    <row r="58" spans="1:13">
      <c r="A58" s="14" t="s">
        <v>180</v>
      </c>
      <c r="B58" s="14" t="s">
        <v>108</v>
      </c>
      <c r="C58" s="14" t="s">
        <v>114</v>
      </c>
      <c r="D58" s="14" t="s">
        <v>86</v>
      </c>
      <c r="E58" s="14" t="s">
        <v>88</v>
      </c>
      <c r="F58" s="35" t="s">
        <v>117</v>
      </c>
      <c r="G58" s="30">
        <v>2</v>
      </c>
      <c r="H58" s="33">
        <v>3</v>
      </c>
      <c r="I58" s="33">
        <v>4</v>
      </c>
      <c r="J58" s="33">
        <v>1</v>
      </c>
      <c r="K58" s="33">
        <v>4</v>
      </c>
      <c r="L58" s="33">
        <v>2</v>
      </c>
      <c r="M58" s="32"/>
    </row>
    <row r="59" spans="1:13">
      <c r="A59" s="14" t="s">
        <v>180</v>
      </c>
      <c r="B59" s="14" t="s">
        <v>108</v>
      </c>
      <c r="C59" s="14" t="s">
        <v>114</v>
      </c>
      <c r="D59" s="14" t="s">
        <v>86</v>
      </c>
      <c r="E59" s="14" t="s">
        <v>88</v>
      </c>
      <c r="F59" s="35" t="s">
        <v>117</v>
      </c>
      <c r="G59" s="30">
        <v>2</v>
      </c>
      <c r="H59" s="33">
        <v>2</v>
      </c>
      <c r="I59" s="33">
        <v>2</v>
      </c>
      <c r="J59" s="33">
        <v>2</v>
      </c>
      <c r="K59" s="33">
        <v>2</v>
      </c>
      <c r="L59" s="33">
        <v>1</v>
      </c>
      <c r="M59" s="32"/>
    </row>
    <row r="60" spans="1:13">
      <c r="A60" s="14" t="s">
        <v>180</v>
      </c>
      <c r="B60" s="14" t="s">
        <v>108</v>
      </c>
      <c r="C60" s="14" t="s">
        <v>114</v>
      </c>
      <c r="D60" s="14" t="s">
        <v>86</v>
      </c>
      <c r="E60" s="14" t="s">
        <v>88</v>
      </c>
      <c r="F60" s="35" t="s">
        <v>117</v>
      </c>
      <c r="G60" s="30">
        <v>2</v>
      </c>
      <c r="H60" s="33">
        <v>2</v>
      </c>
      <c r="I60" s="33">
        <v>4</v>
      </c>
      <c r="J60" s="33">
        <v>1</v>
      </c>
      <c r="K60" s="33">
        <v>4</v>
      </c>
      <c r="L60" s="33">
        <v>2</v>
      </c>
      <c r="M60" s="32"/>
    </row>
    <row r="61" spans="1:13">
      <c r="A61" s="14" t="s">
        <v>181</v>
      </c>
      <c r="B61" s="14" t="s">
        <v>109</v>
      </c>
      <c r="C61" s="14" t="s">
        <v>114</v>
      </c>
      <c r="D61" s="14" t="s">
        <v>86</v>
      </c>
      <c r="E61" s="14" t="s">
        <v>88</v>
      </c>
      <c r="F61" s="35" t="s">
        <v>118</v>
      </c>
      <c r="G61" s="14">
        <v>6</v>
      </c>
      <c r="H61" s="33">
        <v>4</v>
      </c>
      <c r="I61" s="33">
        <v>1</v>
      </c>
      <c r="J61" s="33">
        <v>3</v>
      </c>
      <c r="K61" s="33">
        <v>3</v>
      </c>
      <c r="L61" s="33">
        <v>2</v>
      </c>
      <c r="M61" s="32" t="s">
        <v>123</v>
      </c>
    </row>
    <row r="62" spans="1:13">
      <c r="A62" s="14" t="s">
        <v>181</v>
      </c>
      <c r="B62" s="14" t="s">
        <v>109</v>
      </c>
      <c r="C62" s="14" t="s">
        <v>114</v>
      </c>
      <c r="D62" s="14" t="s">
        <v>86</v>
      </c>
      <c r="E62" s="14" t="s">
        <v>88</v>
      </c>
      <c r="F62" s="35" t="s">
        <v>118</v>
      </c>
      <c r="G62" s="29">
        <v>6</v>
      </c>
      <c r="H62" s="33">
        <v>1</v>
      </c>
      <c r="I62" s="33">
        <v>3</v>
      </c>
      <c r="J62" s="33">
        <v>3</v>
      </c>
      <c r="K62" s="33">
        <v>3</v>
      </c>
      <c r="L62" s="33">
        <v>2</v>
      </c>
      <c r="M62" s="32"/>
    </row>
    <row r="63" spans="1:13">
      <c r="A63" s="14" t="s">
        <v>181</v>
      </c>
      <c r="B63" s="14" t="s">
        <v>109</v>
      </c>
      <c r="C63" s="14" t="s">
        <v>114</v>
      </c>
      <c r="D63" s="14" t="s">
        <v>86</v>
      </c>
      <c r="E63" s="14" t="s">
        <v>88</v>
      </c>
      <c r="F63" s="35" t="s">
        <v>118</v>
      </c>
      <c r="G63" s="29">
        <v>6</v>
      </c>
      <c r="H63" s="33">
        <v>4</v>
      </c>
      <c r="I63" s="33">
        <v>4</v>
      </c>
      <c r="J63" s="33">
        <v>4</v>
      </c>
      <c r="K63" s="33">
        <v>4</v>
      </c>
      <c r="L63" s="33">
        <v>2</v>
      </c>
      <c r="M63" s="32"/>
    </row>
    <row r="64" spans="1:13">
      <c r="A64" s="14" t="s">
        <v>182</v>
      </c>
      <c r="B64" s="14" t="s">
        <v>110</v>
      </c>
      <c r="C64" s="14" t="s">
        <v>114</v>
      </c>
      <c r="D64" s="14" t="s">
        <v>89</v>
      </c>
      <c r="E64" s="14" t="s">
        <v>88</v>
      </c>
      <c r="F64" s="35" t="s">
        <v>115</v>
      </c>
      <c r="G64" s="14">
        <v>8</v>
      </c>
      <c r="H64" s="33">
        <v>3</v>
      </c>
      <c r="I64" s="33">
        <v>4</v>
      </c>
      <c r="J64" s="33">
        <v>4</v>
      </c>
      <c r="K64" s="33">
        <v>3</v>
      </c>
      <c r="L64" s="33">
        <v>3</v>
      </c>
      <c r="M64" s="32"/>
    </row>
    <row r="65" spans="1:13">
      <c r="A65" s="14" t="s">
        <v>182</v>
      </c>
      <c r="B65" s="14" t="s">
        <v>110</v>
      </c>
      <c r="C65" s="14" t="s">
        <v>114</v>
      </c>
      <c r="D65" s="14" t="s">
        <v>89</v>
      </c>
      <c r="E65" s="14" t="s">
        <v>88</v>
      </c>
      <c r="F65" s="35" t="s">
        <v>115</v>
      </c>
      <c r="G65" s="29">
        <v>8</v>
      </c>
      <c r="H65" s="33">
        <v>1</v>
      </c>
      <c r="I65" s="33">
        <v>4</v>
      </c>
      <c r="J65" s="33">
        <v>1</v>
      </c>
      <c r="K65" s="33">
        <v>3</v>
      </c>
      <c r="L65" s="33">
        <v>3</v>
      </c>
      <c r="M65" s="32"/>
    </row>
    <row r="66" spans="1:13">
      <c r="A66" s="14" t="s">
        <v>182</v>
      </c>
      <c r="B66" s="14" t="s">
        <v>110</v>
      </c>
      <c r="C66" s="14" t="s">
        <v>114</v>
      </c>
      <c r="D66" s="14" t="s">
        <v>89</v>
      </c>
      <c r="E66" s="14" t="s">
        <v>88</v>
      </c>
      <c r="F66" s="35" t="s">
        <v>115</v>
      </c>
      <c r="G66" s="29">
        <v>8</v>
      </c>
      <c r="H66" s="33">
        <v>4</v>
      </c>
      <c r="I66" s="33">
        <v>4</v>
      </c>
      <c r="J66" s="33">
        <v>4</v>
      </c>
      <c r="K66" s="33">
        <v>4</v>
      </c>
      <c r="L66" s="33">
        <v>4</v>
      </c>
      <c r="M66" s="32"/>
    </row>
    <row r="67" spans="1:13" ht="16.899999999999999" customHeight="1">
      <c r="A67" s="14" t="s">
        <v>166</v>
      </c>
      <c r="B67" s="14" t="s">
        <v>111</v>
      </c>
      <c r="C67" s="14" t="s">
        <v>114</v>
      </c>
      <c r="D67" s="14" t="s">
        <v>86</v>
      </c>
      <c r="E67" s="14" t="s">
        <v>88</v>
      </c>
      <c r="F67" s="35" t="s">
        <v>115</v>
      </c>
      <c r="G67" s="14">
        <v>8</v>
      </c>
      <c r="H67" s="33">
        <v>3</v>
      </c>
      <c r="I67" s="33">
        <v>3</v>
      </c>
      <c r="J67" s="33">
        <v>2</v>
      </c>
      <c r="K67" s="33">
        <v>3</v>
      </c>
      <c r="L67" s="33">
        <v>4</v>
      </c>
      <c r="M67" s="32" t="s">
        <v>124</v>
      </c>
    </row>
    <row r="68" spans="1:13">
      <c r="A68" s="14" t="s">
        <v>166</v>
      </c>
      <c r="B68" s="14" t="s">
        <v>111</v>
      </c>
      <c r="C68" s="14" t="s">
        <v>114</v>
      </c>
      <c r="D68" s="14" t="s">
        <v>86</v>
      </c>
      <c r="E68" s="14" t="s">
        <v>88</v>
      </c>
      <c r="F68" s="35" t="s">
        <v>115</v>
      </c>
      <c r="G68" s="29">
        <v>8</v>
      </c>
      <c r="H68" s="33">
        <v>3</v>
      </c>
      <c r="I68" s="33">
        <v>4</v>
      </c>
      <c r="J68" s="33">
        <v>3</v>
      </c>
      <c r="K68" s="33">
        <v>1</v>
      </c>
      <c r="L68" s="33">
        <v>3</v>
      </c>
      <c r="M68" s="32"/>
    </row>
    <row r="69" spans="1:13">
      <c r="A69" s="14" t="s">
        <v>166</v>
      </c>
      <c r="B69" s="14" t="s">
        <v>111</v>
      </c>
      <c r="C69" s="14" t="s">
        <v>114</v>
      </c>
      <c r="D69" s="14" t="s">
        <v>86</v>
      </c>
      <c r="E69" s="14" t="s">
        <v>88</v>
      </c>
      <c r="F69" s="35" t="s">
        <v>115</v>
      </c>
      <c r="G69" s="29">
        <v>8</v>
      </c>
      <c r="H69" s="33">
        <v>4</v>
      </c>
      <c r="I69" s="33">
        <v>4</v>
      </c>
      <c r="J69" s="33">
        <v>4</v>
      </c>
      <c r="K69" s="33">
        <v>4</v>
      </c>
      <c r="L69" s="33">
        <v>4</v>
      </c>
      <c r="M69" s="32"/>
    </row>
    <row r="70" spans="1:13">
      <c r="A70" s="14" t="s">
        <v>183</v>
      </c>
      <c r="B70" s="14" t="s">
        <v>112</v>
      </c>
      <c r="C70" s="14" t="s">
        <v>114</v>
      </c>
      <c r="D70" s="14" t="s">
        <v>89</v>
      </c>
      <c r="E70" s="14" t="s">
        <v>88</v>
      </c>
      <c r="F70" s="35" t="s">
        <v>117</v>
      </c>
      <c r="G70" s="14">
        <v>2</v>
      </c>
      <c r="H70" s="33">
        <v>3</v>
      </c>
      <c r="I70" s="33">
        <v>2</v>
      </c>
      <c r="J70" s="33">
        <v>2</v>
      </c>
      <c r="K70" s="33">
        <v>2</v>
      </c>
      <c r="L70" s="33">
        <v>3</v>
      </c>
      <c r="M70" s="32" t="s">
        <v>125</v>
      </c>
    </row>
    <row r="71" spans="1:13">
      <c r="A71" s="14" t="s">
        <v>183</v>
      </c>
      <c r="B71" s="14" t="s">
        <v>112</v>
      </c>
      <c r="C71" s="14" t="s">
        <v>114</v>
      </c>
      <c r="D71" s="14" t="s">
        <v>89</v>
      </c>
      <c r="E71" s="14" t="s">
        <v>88</v>
      </c>
      <c r="F71" s="14" t="s">
        <v>117</v>
      </c>
      <c r="G71" s="29">
        <v>2</v>
      </c>
      <c r="H71" s="41">
        <v>2</v>
      </c>
      <c r="I71" s="41">
        <v>2</v>
      </c>
      <c r="J71" s="41">
        <v>4</v>
      </c>
      <c r="K71" s="41">
        <v>2</v>
      </c>
      <c r="L71" s="41">
        <v>4</v>
      </c>
      <c r="M71" s="42" t="s">
        <v>201</v>
      </c>
    </row>
    <row r="72" spans="1:13">
      <c r="A72" s="14" t="s">
        <v>183</v>
      </c>
      <c r="B72" s="14" t="s">
        <v>112</v>
      </c>
      <c r="C72" s="14" t="s">
        <v>114</v>
      </c>
      <c r="D72" s="14" t="s">
        <v>89</v>
      </c>
      <c r="E72" s="14" t="s">
        <v>88</v>
      </c>
      <c r="F72" s="14" t="s">
        <v>117</v>
      </c>
      <c r="G72" s="29">
        <v>2</v>
      </c>
      <c r="H72" s="41">
        <v>1</v>
      </c>
      <c r="I72" s="41">
        <v>3</v>
      </c>
      <c r="J72" s="41">
        <v>3</v>
      </c>
      <c r="K72" s="41">
        <v>1</v>
      </c>
      <c r="L72" s="41">
        <v>4</v>
      </c>
      <c r="M72" s="42" t="s">
        <v>202</v>
      </c>
    </row>
    <row r="73" spans="1:13">
      <c r="K73" s="40"/>
    </row>
  </sheetData>
  <autoFilter ref="A2:M72" xr:uid="{00000000-0009-0000-0000-000003000000}"/>
  <mergeCells count="1">
    <mergeCell ref="A1:M1"/>
  </mergeCells>
  <conditionalFormatting sqref="D37:D66 D70:D72 D3:D33 A3:A33">
    <cfRule type="containsText" dxfId="37" priority="107" operator="containsText" text="VACANTE">
      <formula>NOT(ISERROR(SEARCH("VACANTE",A3)))</formula>
    </cfRule>
    <cfRule type="containsText" dxfId="36" priority="108" operator="containsText" text="PENDIENTE">
      <formula>NOT(ISERROR(SEARCH("PENDIENTE",A3)))</formula>
    </cfRule>
  </conditionalFormatting>
  <conditionalFormatting sqref="A37:A66">
    <cfRule type="containsText" dxfId="35" priority="113" operator="containsText" text="VACANTE">
      <formula>NOT(ISERROR(SEARCH("VACANTE",A37)))</formula>
    </cfRule>
    <cfRule type="containsText" dxfId="34" priority="114" operator="containsText" text="PENDIENTE">
      <formula>NOT(ISERROR(SEARCH("PENDIENTE",A37)))</formula>
    </cfRule>
  </conditionalFormatting>
  <conditionalFormatting sqref="A34:A36">
    <cfRule type="containsText" dxfId="33" priority="111" operator="containsText" text="VACANTE">
      <formula>NOT(ISERROR(SEARCH("VACANTE",A34)))</formula>
    </cfRule>
    <cfRule type="containsText" dxfId="32" priority="112" operator="containsText" text="PENDIENTE">
      <formula>NOT(ISERROR(SEARCH("PENDIENTE",A34)))</formula>
    </cfRule>
  </conditionalFormatting>
  <conditionalFormatting sqref="A67:A72">
    <cfRule type="containsText" dxfId="31" priority="109" operator="containsText" text="VACANTE">
      <formula>NOT(ISERROR(SEARCH("VACANTE",A67)))</formula>
    </cfRule>
    <cfRule type="containsText" dxfId="30" priority="110" operator="containsText" text="PENDIENTE">
      <formula>NOT(ISERROR(SEARCH("PENDIENTE",A67)))</formula>
    </cfRule>
  </conditionalFormatting>
  <conditionalFormatting sqref="D34:D36 D67:D69">
    <cfRule type="containsText" dxfId="29" priority="105" operator="containsText" text="VACANTE">
      <formula>NOT(ISERROR(SEARCH("VACANTE",D34)))</formula>
    </cfRule>
    <cfRule type="containsText" dxfId="28" priority="106" operator="containsText" text="PENDIENTE">
      <formula>NOT(ISERROR(SEARCH("PENDIENTE",D34)))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5"/>
  <sheetViews>
    <sheetView topLeftCell="H1" zoomScale="175" zoomScaleNormal="175" workbookViewId="0">
      <selection activeCell="P2" sqref="P2"/>
    </sheetView>
  </sheetViews>
  <sheetFormatPr baseColWidth="10" defaultRowHeight="14.5"/>
  <cols>
    <col min="1" max="1" width="49.54296875" customWidth="1"/>
    <col min="2" max="2" width="10.453125" bestFit="1" customWidth="1"/>
    <col min="3" max="3" width="51.26953125" customWidth="1"/>
    <col min="4" max="4" width="70.26953125" customWidth="1"/>
    <col min="5" max="5" width="12.7265625" bestFit="1" customWidth="1"/>
    <col min="6" max="6" width="30.81640625" bestFit="1" customWidth="1"/>
    <col min="7" max="7" width="21.1796875" bestFit="1" customWidth="1"/>
    <col min="12" max="12" width="22.1796875" customWidth="1"/>
    <col min="13" max="13" width="22.453125" customWidth="1"/>
  </cols>
  <sheetData>
    <row r="1" spans="1:19">
      <c r="A1" s="127" t="s">
        <v>85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9"/>
    </row>
    <row r="2" spans="1:19" s="21" customFormat="1" ht="58.5">
      <c r="A2" s="24" t="s">
        <v>2</v>
      </c>
      <c r="B2" s="24" t="s">
        <v>3</v>
      </c>
      <c r="C2" s="24" t="s">
        <v>4</v>
      </c>
      <c r="D2" s="24" t="s">
        <v>14</v>
      </c>
      <c r="E2" s="24" t="s">
        <v>15</v>
      </c>
      <c r="F2" s="24" t="s">
        <v>16</v>
      </c>
      <c r="G2" s="24" t="s">
        <v>17</v>
      </c>
      <c r="H2" s="24" t="s">
        <v>18</v>
      </c>
      <c r="I2" s="24" t="s">
        <v>19</v>
      </c>
      <c r="J2" s="24" t="s">
        <v>20</v>
      </c>
      <c r="K2" s="24" t="s">
        <v>21</v>
      </c>
      <c r="L2" s="24" t="s">
        <v>22</v>
      </c>
      <c r="M2" s="24" t="s">
        <v>23</v>
      </c>
      <c r="N2" s="24" t="s">
        <v>24</v>
      </c>
      <c r="O2" s="24" t="s">
        <v>25</v>
      </c>
      <c r="P2" s="24" t="s">
        <v>26</v>
      </c>
      <c r="Q2" s="24" t="s">
        <v>27</v>
      </c>
      <c r="R2" s="24" t="s">
        <v>28</v>
      </c>
      <c r="S2" s="21" t="s">
        <v>205</v>
      </c>
    </row>
    <row r="3" spans="1:19" ht="41">
      <c r="A3" s="39" t="s">
        <v>167</v>
      </c>
      <c r="B3" s="30" t="s">
        <v>86</v>
      </c>
      <c r="C3" s="30" t="s">
        <v>88</v>
      </c>
      <c r="D3" s="30" t="s">
        <v>90</v>
      </c>
      <c r="E3" s="35" t="s">
        <v>115</v>
      </c>
      <c r="F3" s="37">
        <v>3</v>
      </c>
      <c r="G3" s="37">
        <v>2</v>
      </c>
      <c r="H3" s="37">
        <v>1</v>
      </c>
      <c r="I3" s="37">
        <v>4</v>
      </c>
      <c r="J3" s="37">
        <v>3</v>
      </c>
      <c r="K3" s="37">
        <v>3</v>
      </c>
      <c r="L3" s="37">
        <v>4</v>
      </c>
      <c r="M3" s="37">
        <v>4</v>
      </c>
      <c r="N3" s="37">
        <v>4</v>
      </c>
      <c r="O3" s="37">
        <v>4</v>
      </c>
      <c r="P3" s="36" t="s">
        <v>126</v>
      </c>
      <c r="Q3" s="34" t="s">
        <v>127</v>
      </c>
      <c r="R3" s="34" t="s">
        <v>164</v>
      </c>
      <c r="S3" s="47">
        <f>AVERAGE(F3:O3)</f>
        <v>3.2</v>
      </c>
    </row>
    <row r="4" spans="1:19" ht="15">
      <c r="A4" s="19" t="s">
        <v>168</v>
      </c>
      <c r="B4" s="14" t="s">
        <v>89</v>
      </c>
      <c r="C4" s="14" t="s">
        <v>88</v>
      </c>
      <c r="D4" s="14" t="s">
        <v>91</v>
      </c>
      <c r="E4" s="35" t="s">
        <v>116</v>
      </c>
      <c r="F4" s="37">
        <v>4</v>
      </c>
      <c r="G4" s="37">
        <v>4</v>
      </c>
      <c r="H4" s="37">
        <v>4</v>
      </c>
      <c r="I4" s="37">
        <v>4</v>
      </c>
      <c r="J4" s="37">
        <v>3</v>
      </c>
      <c r="K4" s="37">
        <v>3</v>
      </c>
      <c r="L4" s="37">
        <v>4</v>
      </c>
      <c r="M4" s="37">
        <v>4</v>
      </c>
      <c r="N4" s="37">
        <v>4</v>
      </c>
      <c r="O4" s="37">
        <v>4</v>
      </c>
      <c r="P4" s="36" t="s">
        <v>128</v>
      </c>
      <c r="Q4" s="34"/>
      <c r="R4" s="34" t="s">
        <v>165</v>
      </c>
    </row>
    <row r="5" spans="1:19" ht="54">
      <c r="A5" s="19" t="s">
        <v>169</v>
      </c>
      <c r="B5" s="14" t="s">
        <v>89</v>
      </c>
      <c r="C5" s="14" t="s">
        <v>88</v>
      </c>
      <c r="D5" s="14" t="s">
        <v>92</v>
      </c>
      <c r="E5" s="35" t="s">
        <v>116</v>
      </c>
      <c r="F5" s="37">
        <v>4</v>
      </c>
      <c r="G5" s="37">
        <v>4</v>
      </c>
      <c r="H5" s="37">
        <v>4</v>
      </c>
      <c r="I5" s="37">
        <v>4</v>
      </c>
      <c r="J5" s="37">
        <v>4</v>
      </c>
      <c r="K5" s="37">
        <v>4</v>
      </c>
      <c r="L5" s="37">
        <v>4</v>
      </c>
      <c r="M5" s="37">
        <v>4</v>
      </c>
      <c r="N5" s="37">
        <v>4</v>
      </c>
      <c r="O5" s="37">
        <v>4</v>
      </c>
      <c r="P5" s="36" t="s">
        <v>129</v>
      </c>
      <c r="Q5" s="34" t="s">
        <v>128</v>
      </c>
      <c r="R5" s="34" t="s">
        <v>159</v>
      </c>
    </row>
    <row r="6" spans="1:19" ht="34.5">
      <c r="A6" s="19" t="s">
        <v>170</v>
      </c>
      <c r="B6" s="14" t="s">
        <v>86</v>
      </c>
      <c r="C6" s="14" t="s">
        <v>88</v>
      </c>
      <c r="D6" s="14" t="s">
        <v>93</v>
      </c>
      <c r="E6" s="35" t="s">
        <v>116</v>
      </c>
      <c r="F6" s="37">
        <v>4</v>
      </c>
      <c r="G6" s="37">
        <v>4</v>
      </c>
      <c r="H6" s="37">
        <v>4</v>
      </c>
      <c r="I6" s="37">
        <v>4</v>
      </c>
      <c r="J6" s="37">
        <v>4</v>
      </c>
      <c r="K6" s="37">
        <v>4</v>
      </c>
      <c r="L6" s="37">
        <v>4</v>
      </c>
      <c r="M6" s="37">
        <v>4</v>
      </c>
      <c r="N6" s="37">
        <v>4</v>
      </c>
      <c r="O6" s="37">
        <v>4</v>
      </c>
      <c r="P6" s="36" t="s">
        <v>130</v>
      </c>
      <c r="Q6" s="34" t="s">
        <v>131</v>
      </c>
      <c r="R6" s="34" t="s">
        <v>160</v>
      </c>
    </row>
    <row r="7" spans="1:19" ht="54">
      <c r="A7" s="19" t="s">
        <v>171</v>
      </c>
      <c r="B7" s="14" t="s">
        <v>89</v>
      </c>
      <c r="C7" s="14" t="s">
        <v>88</v>
      </c>
      <c r="D7" s="14" t="s">
        <v>94</v>
      </c>
      <c r="E7" s="35" t="s">
        <v>116</v>
      </c>
      <c r="F7" s="37">
        <v>4</v>
      </c>
      <c r="G7" s="37">
        <v>4</v>
      </c>
      <c r="H7" s="37">
        <v>4</v>
      </c>
      <c r="I7" s="37">
        <v>4</v>
      </c>
      <c r="J7" s="37">
        <v>4</v>
      </c>
      <c r="K7" s="37">
        <v>4</v>
      </c>
      <c r="L7" s="37">
        <v>4</v>
      </c>
      <c r="M7" s="37">
        <v>4</v>
      </c>
      <c r="N7" s="37">
        <v>4</v>
      </c>
      <c r="O7" s="37">
        <v>4</v>
      </c>
      <c r="P7" s="36" t="s">
        <v>132</v>
      </c>
      <c r="Q7" s="34" t="s">
        <v>133</v>
      </c>
      <c r="R7" s="34" t="s">
        <v>161</v>
      </c>
    </row>
    <row r="8" spans="1:19" ht="28">
      <c r="A8" s="19" t="s">
        <v>171</v>
      </c>
      <c r="B8" s="14" t="s">
        <v>89</v>
      </c>
      <c r="C8" s="14" t="s">
        <v>88</v>
      </c>
      <c r="D8" s="14" t="s">
        <v>95</v>
      </c>
      <c r="E8" s="35" t="s">
        <v>117</v>
      </c>
      <c r="F8" s="37">
        <v>4</v>
      </c>
      <c r="G8" s="37">
        <v>4</v>
      </c>
      <c r="H8" s="37">
        <v>4</v>
      </c>
      <c r="I8" s="37">
        <v>4</v>
      </c>
      <c r="J8" s="37">
        <v>4</v>
      </c>
      <c r="K8" s="37">
        <v>4</v>
      </c>
      <c r="L8" s="37">
        <v>4</v>
      </c>
      <c r="M8" s="37">
        <v>4</v>
      </c>
      <c r="N8" s="37">
        <v>4</v>
      </c>
      <c r="O8" s="37">
        <v>4</v>
      </c>
      <c r="P8" s="36" t="s">
        <v>134</v>
      </c>
      <c r="Q8" s="34" t="s">
        <v>135</v>
      </c>
      <c r="R8" s="34" t="s">
        <v>162</v>
      </c>
    </row>
    <row r="9" spans="1:19" ht="41">
      <c r="A9" s="19" t="s">
        <v>172</v>
      </c>
      <c r="B9" s="14" t="s">
        <v>89</v>
      </c>
      <c r="C9" s="14" t="s">
        <v>88</v>
      </c>
      <c r="D9" s="14" t="s">
        <v>96</v>
      </c>
      <c r="E9" s="35" t="s">
        <v>115</v>
      </c>
      <c r="F9" s="37">
        <v>4</v>
      </c>
      <c r="G9" s="37">
        <v>4</v>
      </c>
      <c r="H9" s="37">
        <v>4</v>
      </c>
      <c r="I9" s="37">
        <v>4</v>
      </c>
      <c r="J9" s="37">
        <v>4</v>
      </c>
      <c r="K9" s="37">
        <v>4</v>
      </c>
      <c r="L9" s="37">
        <v>4</v>
      </c>
      <c r="M9" s="37">
        <v>4</v>
      </c>
      <c r="N9" s="37">
        <v>4</v>
      </c>
      <c r="O9" s="37">
        <v>4</v>
      </c>
      <c r="P9" s="36" t="s">
        <v>136</v>
      </c>
      <c r="Q9" s="34" t="s">
        <v>137</v>
      </c>
      <c r="R9" s="34" t="s">
        <v>163</v>
      </c>
    </row>
    <row r="10" spans="1:19" ht="28">
      <c r="A10" s="19" t="s">
        <v>173</v>
      </c>
      <c r="B10" s="14" t="s">
        <v>89</v>
      </c>
      <c r="C10" s="14" t="s">
        <v>88</v>
      </c>
      <c r="D10" s="14" t="s">
        <v>97</v>
      </c>
      <c r="E10" s="35" t="s">
        <v>117</v>
      </c>
      <c r="F10" s="37">
        <v>4</v>
      </c>
      <c r="G10" s="37">
        <v>4</v>
      </c>
      <c r="H10" s="37">
        <v>4</v>
      </c>
      <c r="I10" s="37">
        <v>4</v>
      </c>
      <c r="J10" s="37">
        <v>4</v>
      </c>
      <c r="K10" s="37">
        <v>4</v>
      </c>
      <c r="L10" s="37">
        <v>4</v>
      </c>
      <c r="M10" s="37">
        <v>4</v>
      </c>
      <c r="N10" s="37">
        <v>4</v>
      </c>
      <c r="O10" s="37">
        <v>4</v>
      </c>
      <c r="P10" s="36" t="s">
        <v>138</v>
      </c>
      <c r="Q10" s="34" t="s">
        <v>139</v>
      </c>
      <c r="R10" s="34" t="s">
        <v>164</v>
      </c>
    </row>
    <row r="11" spans="1:19" ht="41">
      <c r="A11" s="19" t="s">
        <v>174</v>
      </c>
      <c r="B11" s="14" t="s">
        <v>89</v>
      </c>
      <c r="C11" s="14" t="s">
        <v>88</v>
      </c>
      <c r="D11" s="14" t="s">
        <v>98</v>
      </c>
      <c r="E11" s="35" t="s">
        <v>116</v>
      </c>
      <c r="F11" s="37">
        <v>4</v>
      </c>
      <c r="G11" s="37">
        <v>4</v>
      </c>
      <c r="H11" s="37">
        <v>3</v>
      </c>
      <c r="I11" s="37">
        <v>4</v>
      </c>
      <c r="J11" s="37">
        <v>3</v>
      </c>
      <c r="K11" s="37">
        <v>4</v>
      </c>
      <c r="L11" s="37">
        <v>4</v>
      </c>
      <c r="M11" s="37">
        <v>4</v>
      </c>
      <c r="N11" s="37">
        <v>4</v>
      </c>
      <c r="O11" s="37">
        <v>2</v>
      </c>
      <c r="P11" s="36" t="s">
        <v>140</v>
      </c>
      <c r="Q11" s="34" t="s">
        <v>141</v>
      </c>
      <c r="R11" s="34" t="s">
        <v>165</v>
      </c>
    </row>
    <row r="12" spans="1:19">
      <c r="A12" s="19" t="s">
        <v>174</v>
      </c>
      <c r="B12" s="14" t="s">
        <v>89</v>
      </c>
      <c r="C12" s="14" t="s">
        <v>88</v>
      </c>
      <c r="D12" s="14" t="s">
        <v>99</v>
      </c>
      <c r="E12" s="35" t="s">
        <v>117</v>
      </c>
      <c r="F12" s="37">
        <v>4</v>
      </c>
      <c r="G12" s="37">
        <v>3</v>
      </c>
      <c r="H12" s="37">
        <v>4</v>
      </c>
      <c r="I12" s="37">
        <v>4</v>
      </c>
      <c r="J12" s="37">
        <v>4</v>
      </c>
      <c r="K12" s="37">
        <v>4</v>
      </c>
      <c r="L12" s="37">
        <v>4</v>
      </c>
      <c r="M12" s="37">
        <v>4</v>
      </c>
      <c r="N12" s="37">
        <v>4</v>
      </c>
      <c r="O12" s="37">
        <v>4</v>
      </c>
      <c r="P12" s="36"/>
      <c r="Q12" s="34"/>
      <c r="R12" s="34" t="s">
        <v>159</v>
      </c>
    </row>
    <row r="13" spans="1:19">
      <c r="A13" s="19" t="s">
        <v>175</v>
      </c>
      <c r="B13" s="14" t="s">
        <v>89</v>
      </c>
      <c r="C13" s="14" t="s">
        <v>88</v>
      </c>
      <c r="D13" s="14" t="s">
        <v>100</v>
      </c>
      <c r="E13" s="35" t="s">
        <v>118</v>
      </c>
      <c r="F13" s="37">
        <v>4</v>
      </c>
      <c r="G13" s="37">
        <v>4</v>
      </c>
      <c r="H13" s="37">
        <v>4</v>
      </c>
      <c r="I13" s="37">
        <v>4</v>
      </c>
      <c r="J13" s="37">
        <v>4</v>
      </c>
      <c r="K13" s="37">
        <v>4</v>
      </c>
      <c r="L13" s="37">
        <v>4</v>
      </c>
      <c r="M13" s="37">
        <v>4</v>
      </c>
      <c r="N13" s="37">
        <v>4</v>
      </c>
      <c r="O13" s="37">
        <v>4</v>
      </c>
      <c r="P13" s="36"/>
      <c r="Q13" s="34"/>
      <c r="R13" s="34" t="s">
        <v>160</v>
      </c>
    </row>
    <row r="14" spans="1:19" ht="15">
      <c r="A14" s="19" t="s">
        <v>175</v>
      </c>
      <c r="B14" s="14" t="s">
        <v>89</v>
      </c>
      <c r="C14" s="14" t="s">
        <v>88</v>
      </c>
      <c r="D14" s="14" t="s">
        <v>101</v>
      </c>
      <c r="E14" s="35" t="s">
        <v>115</v>
      </c>
      <c r="F14" s="37">
        <v>4</v>
      </c>
      <c r="G14" s="37">
        <v>4</v>
      </c>
      <c r="H14" s="37">
        <v>4</v>
      </c>
      <c r="I14" s="37">
        <v>4</v>
      </c>
      <c r="J14" s="37">
        <v>4</v>
      </c>
      <c r="K14" s="37">
        <v>4</v>
      </c>
      <c r="L14" s="37">
        <v>4</v>
      </c>
      <c r="M14" s="37">
        <v>4</v>
      </c>
      <c r="N14" s="37">
        <v>4</v>
      </c>
      <c r="O14" s="37">
        <v>4</v>
      </c>
      <c r="P14" s="36"/>
      <c r="Q14" s="34"/>
      <c r="R14" s="34" t="s">
        <v>161</v>
      </c>
    </row>
    <row r="15" spans="1:19" ht="86.5">
      <c r="A15" s="19" t="s">
        <v>176</v>
      </c>
      <c r="B15" s="14" t="s">
        <v>86</v>
      </c>
      <c r="C15" s="14" t="s">
        <v>88</v>
      </c>
      <c r="D15" s="14" t="s">
        <v>102</v>
      </c>
      <c r="E15" s="35" t="s">
        <v>118</v>
      </c>
      <c r="F15" s="37">
        <v>4</v>
      </c>
      <c r="G15" s="37">
        <v>4</v>
      </c>
      <c r="H15" s="37">
        <v>4</v>
      </c>
      <c r="I15" s="37">
        <v>4</v>
      </c>
      <c r="J15" s="37">
        <v>4</v>
      </c>
      <c r="K15" s="37">
        <v>4</v>
      </c>
      <c r="L15" s="37">
        <v>4</v>
      </c>
      <c r="M15" s="37">
        <v>4</v>
      </c>
      <c r="N15" s="37">
        <v>4</v>
      </c>
      <c r="O15" s="37">
        <v>4</v>
      </c>
      <c r="P15" s="36" t="s">
        <v>142</v>
      </c>
      <c r="Q15" s="34" t="s">
        <v>143</v>
      </c>
      <c r="R15" s="34" t="s">
        <v>162</v>
      </c>
    </row>
    <row r="16" spans="1:19" ht="86.5">
      <c r="A16" s="19" t="s">
        <v>176</v>
      </c>
      <c r="B16" s="14" t="s">
        <v>86</v>
      </c>
      <c r="C16" s="14" t="s">
        <v>88</v>
      </c>
      <c r="D16" s="14" t="s">
        <v>103</v>
      </c>
      <c r="E16" s="35" t="s">
        <v>117</v>
      </c>
      <c r="F16" s="37">
        <v>4</v>
      </c>
      <c r="G16" s="37">
        <v>4</v>
      </c>
      <c r="H16" s="37">
        <v>4</v>
      </c>
      <c r="I16" s="37">
        <v>4</v>
      </c>
      <c r="J16" s="37">
        <v>4</v>
      </c>
      <c r="K16" s="37">
        <v>4</v>
      </c>
      <c r="L16" s="37">
        <v>4</v>
      </c>
      <c r="M16" s="37">
        <v>4</v>
      </c>
      <c r="N16" s="37">
        <v>4</v>
      </c>
      <c r="O16" s="37">
        <v>4</v>
      </c>
      <c r="P16" s="36" t="s">
        <v>142</v>
      </c>
      <c r="Q16" s="34" t="s">
        <v>143</v>
      </c>
      <c r="R16" s="34" t="s">
        <v>163</v>
      </c>
    </row>
    <row r="17" spans="1:18" ht="21.5">
      <c r="A17" s="19" t="s">
        <v>176</v>
      </c>
      <c r="B17" s="14" t="s">
        <v>86</v>
      </c>
      <c r="C17" s="14" t="s">
        <v>88</v>
      </c>
      <c r="D17" s="14" t="s">
        <v>104</v>
      </c>
      <c r="E17" s="35" t="s">
        <v>115</v>
      </c>
      <c r="F17" s="37">
        <v>4</v>
      </c>
      <c r="G17" s="37">
        <v>4</v>
      </c>
      <c r="H17" s="37">
        <v>4</v>
      </c>
      <c r="I17" s="37">
        <v>4</v>
      </c>
      <c r="J17" s="37">
        <v>4</v>
      </c>
      <c r="K17" s="37">
        <v>4</v>
      </c>
      <c r="L17" s="37">
        <v>4</v>
      </c>
      <c r="M17" s="37">
        <v>4</v>
      </c>
      <c r="N17" s="37">
        <v>4</v>
      </c>
      <c r="O17" s="37">
        <v>4</v>
      </c>
      <c r="P17" s="36" t="s">
        <v>144</v>
      </c>
      <c r="Q17" s="34" t="s">
        <v>145</v>
      </c>
      <c r="R17" s="34" t="s">
        <v>164</v>
      </c>
    </row>
    <row r="18" spans="1:18" ht="229.5">
      <c r="A18" s="19" t="s">
        <v>177</v>
      </c>
      <c r="B18" s="14" t="s">
        <v>89</v>
      </c>
      <c r="C18" s="14" t="s">
        <v>88</v>
      </c>
      <c r="D18" s="14" t="s">
        <v>105</v>
      </c>
      <c r="E18" s="35" t="s">
        <v>118</v>
      </c>
      <c r="F18" s="37">
        <v>4</v>
      </c>
      <c r="G18" s="37">
        <v>4</v>
      </c>
      <c r="H18" s="37">
        <v>4</v>
      </c>
      <c r="I18" s="37">
        <v>4</v>
      </c>
      <c r="J18" s="37">
        <v>4</v>
      </c>
      <c r="K18" s="37">
        <v>4</v>
      </c>
      <c r="L18" s="37">
        <v>4</v>
      </c>
      <c r="M18" s="37">
        <v>4</v>
      </c>
      <c r="N18" s="37">
        <v>4</v>
      </c>
      <c r="O18" s="37">
        <v>3</v>
      </c>
      <c r="P18" s="36" t="s">
        <v>146</v>
      </c>
      <c r="Q18" s="34" t="s">
        <v>147</v>
      </c>
      <c r="R18" s="34" t="s">
        <v>165</v>
      </c>
    </row>
    <row r="19" spans="1:18" ht="28">
      <c r="A19" s="19" t="s">
        <v>178</v>
      </c>
      <c r="B19" s="14" t="s">
        <v>86</v>
      </c>
      <c r="C19" s="14" t="s">
        <v>88</v>
      </c>
      <c r="D19" s="14" t="s">
        <v>106</v>
      </c>
      <c r="E19" s="35" t="s">
        <v>118</v>
      </c>
      <c r="F19" s="37">
        <v>3</v>
      </c>
      <c r="G19" s="37">
        <v>4</v>
      </c>
      <c r="H19" s="37">
        <v>4</v>
      </c>
      <c r="I19" s="37">
        <v>3</v>
      </c>
      <c r="J19" s="37">
        <v>4</v>
      </c>
      <c r="K19" s="37">
        <v>4</v>
      </c>
      <c r="L19" s="37">
        <v>4</v>
      </c>
      <c r="M19" s="37">
        <v>4</v>
      </c>
      <c r="N19" s="37">
        <v>4</v>
      </c>
      <c r="O19" s="37">
        <v>3</v>
      </c>
      <c r="P19" s="36" t="s">
        <v>148</v>
      </c>
      <c r="Q19" s="34" t="s">
        <v>149</v>
      </c>
      <c r="R19" s="34" t="s">
        <v>159</v>
      </c>
    </row>
    <row r="20" spans="1:18" ht="28">
      <c r="A20" s="19" t="s">
        <v>179</v>
      </c>
      <c r="B20" s="14" t="s">
        <v>89</v>
      </c>
      <c r="C20" s="14" t="s">
        <v>88</v>
      </c>
      <c r="D20" s="14" t="s">
        <v>107</v>
      </c>
      <c r="E20" s="35" t="s">
        <v>116</v>
      </c>
      <c r="F20" s="37">
        <v>4</v>
      </c>
      <c r="G20" s="37">
        <v>4</v>
      </c>
      <c r="H20" s="37">
        <v>4</v>
      </c>
      <c r="I20" s="37">
        <v>4</v>
      </c>
      <c r="J20" s="37">
        <v>4</v>
      </c>
      <c r="K20" s="37">
        <v>4</v>
      </c>
      <c r="L20" s="37">
        <v>4</v>
      </c>
      <c r="M20" s="37">
        <v>4</v>
      </c>
      <c r="N20" s="37">
        <v>4</v>
      </c>
      <c r="O20" s="37">
        <v>3</v>
      </c>
      <c r="P20" s="36" t="s">
        <v>150</v>
      </c>
      <c r="Q20" s="34" t="s">
        <v>151</v>
      </c>
      <c r="R20" s="34" t="s">
        <v>160</v>
      </c>
    </row>
    <row r="21" spans="1:18" ht="60.5">
      <c r="A21" s="19" t="s">
        <v>180</v>
      </c>
      <c r="B21" s="14" t="s">
        <v>86</v>
      </c>
      <c r="C21" s="14" t="s">
        <v>88</v>
      </c>
      <c r="D21" s="14" t="s">
        <v>108</v>
      </c>
      <c r="E21" s="35" t="s">
        <v>117</v>
      </c>
      <c r="F21" s="37">
        <v>4</v>
      </c>
      <c r="G21" s="37">
        <v>4</v>
      </c>
      <c r="H21" s="37">
        <v>4</v>
      </c>
      <c r="I21" s="37">
        <v>4</v>
      </c>
      <c r="J21" s="37">
        <v>4</v>
      </c>
      <c r="K21" s="37">
        <v>4</v>
      </c>
      <c r="L21" s="37">
        <v>4</v>
      </c>
      <c r="M21" s="37">
        <v>4</v>
      </c>
      <c r="N21" s="37">
        <v>4</v>
      </c>
      <c r="O21" s="37">
        <v>3</v>
      </c>
      <c r="P21" s="36" t="s">
        <v>152</v>
      </c>
      <c r="Q21" s="34" t="s">
        <v>153</v>
      </c>
      <c r="R21" s="34" t="s">
        <v>161</v>
      </c>
    </row>
    <row r="22" spans="1:18" ht="60.5">
      <c r="A22" s="19" t="s">
        <v>181</v>
      </c>
      <c r="B22" s="14" t="s">
        <v>86</v>
      </c>
      <c r="C22" s="14" t="s">
        <v>88</v>
      </c>
      <c r="D22" s="14" t="s">
        <v>109</v>
      </c>
      <c r="E22" s="35" t="s">
        <v>118</v>
      </c>
      <c r="F22" s="37">
        <v>4</v>
      </c>
      <c r="G22" s="37">
        <v>4</v>
      </c>
      <c r="H22" s="37">
        <v>4</v>
      </c>
      <c r="I22" s="37">
        <v>4</v>
      </c>
      <c r="J22" s="37">
        <v>4</v>
      </c>
      <c r="K22" s="37">
        <v>4</v>
      </c>
      <c r="L22" s="37">
        <v>4</v>
      </c>
      <c r="M22" s="37">
        <v>4</v>
      </c>
      <c r="N22" s="37">
        <v>4</v>
      </c>
      <c r="O22" s="37">
        <v>4</v>
      </c>
      <c r="P22" s="36" t="s">
        <v>154</v>
      </c>
      <c r="Q22" s="34" t="s">
        <v>153</v>
      </c>
      <c r="R22" s="34" t="s">
        <v>162</v>
      </c>
    </row>
    <row r="23" spans="1:18" ht="60.5">
      <c r="A23" s="19" t="s">
        <v>182</v>
      </c>
      <c r="B23" s="14" t="s">
        <v>89</v>
      </c>
      <c r="C23" s="14" t="s">
        <v>88</v>
      </c>
      <c r="D23" s="14" t="s">
        <v>110</v>
      </c>
      <c r="E23" s="35" t="s">
        <v>115</v>
      </c>
      <c r="F23" s="37">
        <v>4</v>
      </c>
      <c r="G23" s="37">
        <v>4</v>
      </c>
      <c r="H23" s="37">
        <v>4</v>
      </c>
      <c r="I23" s="37">
        <v>4</v>
      </c>
      <c r="J23" s="37">
        <v>4</v>
      </c>
      <c r="K23" s="37">
        <v>4</v>
      </c>
      <c r="L23" s="37">
        <v>4</v>
      </c>
      <c r="M23" s="37">
        <v>4</v>
      </c>
      <c r="N23" s="37">
        <v>4</v>
      </c>
      <c r="O23" s="37">
        <v>4</v>
      </c>
      <c r="P23" s="36" t="s">
        <v>154</v>
      </c>
      <c r="Q23" s="34" t="s">
        <v>153</v>
      </c>
      <c r="R23" s="34" t="s">
        <v>163</v>
      </c>
    </row>
    <row r="24" spans="1:18" ht="60.5">
      <c r="A24" s="19" t="s">
        <v>166</v>
      </c>
      <c r="B24" s="14" t="s">
        <v>86</v>
      </c>
      <c r="C24" s="14" t="s">
        <v>88</v>
      </c>
      <c r="D24" s="14" t="s">
        <v>111</v>
      </c>
      <c r="E24" s="35" t="s">
        <v>115</v>
      </c>
      <c r="F24" s="37">
        <v>4</v>
      </c>
      <c r="G24" s="37">
        <v>4</v>
      </c>
      <c r="H24" s="37">
        <v>4</v>
      </c>
      <c r="I24" s="37">
        <v>4</v>
      </c>
      <c r="J24" s="37">
        <v>4</v>
      </c>
      <c r="K24" s="37">
        <v>4</v>
      </c>
      <c r="L24" s="37">
        <v>4</v>
      </c>
      <c r="M24" s="37">
        <v>4</v>
      </c>
      <c r="N24" s="37">
        <v>4</v>
      </c>
      <c r="O24" s="37">
        <v>4</v>
      </c>
      <c r="P24" s="36" t="s">
        <v>155</v>
      </c>
      <c r="Q24" s="34" t="s">
        <v>156</v>
      </c>
      <c r="R24" s="34" t="s">
        <v>164</v>
      </c>
    </row>
    <row r="25" spans="1:18" ht="15">
      <c r="A25" s="19" t="s">
        <v>183</v>
      </c>
      <c r="B25" s="14" t="s">
        <v>89</v>
      </c>
      <c r="C25" s="14" t="s">
        <v>88</v>
      </c>
      <c r="D25" s="14" t="s">
        <v>112</v>
      </c>
      <c r="E25" s="35" t="s">
        <v>117</v>
      </c>
      <c r="F25" s="37">
        <v>4</v>
      </c>
      <c r="G25" s="37">
        <v>4</v>
      </c>
      <c r="H25" s="37">
        <v>3</v>
      </c>
      <c r="I25" s="37">
        <v>4</v>
      </c>
      <c r="J25" s="37">
        <v>4</v>
      </c>
      <c r="K25" s="37">
        <v>4</v>
      </c>
      <c r="L25" s="37">
        <v>4</v>
      </c>
      <c r="M25" s="37">
        <v>4</v>
      </c>
      <c r="N25" s="37">
        <v>4</v>
      </c>
      <c r="O25" s="37">
        <v>4</v>
      </c>
      <c r="P25" s="36" t="s">
        <v>157</v>
      </c>
      <c r="Q25" s="34" t="s">
        <v>158</v>
      </c>
      <c r="R25" s="34" t="s">
        <v>165</v>
      </c>
    </row>
  </sheetData>
  <autoFilter ref="A2:R25" xr:uid="{00000000-0009-0000-0000-000004000000}"/>
  <mergeCells count="1">
    <mergeCell ref="A1:R1"/>
  </mergeCells>
  <conditionalFormatting sqref="A14:A23 A3:B12">
    <cfRule type="containsText" dxfId="27" priority="75" operator="containsText" text="VACANTE">
      <formula>NOT(ISERROR(SEARCH("VACANTE",A3)))</formula>
    </cfRule>
    <cfRule type="containsText" dxfId="26" priority="76" operator="containsText" text="PENDIENTE">
      <formula>NOT(ISERROR(SEARCH("PENDIENTE",A3)))</formula>
    </cfRule>
  </conditionalFormatting>
  <conditionalFormatting sqref="A13">
    <cfRule type="containsText" dxfId="25" priority="73" operator="containsText" text="VACANTE">
      <formula>NOT(ISERROR(SEARCH("VACANTE",A13)))</formula>
    </cfRule>
    <cfRule type="containsText" dxfId="24" priority="74" operator="containsText" text="PENDIENTE">
      <formula>NOT(ISERROR(SEARCH("PENDIENTE",A13)))</formula>
    </cfRule>
  </conditionalFormatting>
  <conditionalFormatting sqref="A24:A25">
    <cfRule type="containsText" dxfId="23" priority="71" operator="containsText" text="VACANTE">
      <formula>NOT(ISERROR(SEARCH("VACANTE",A24)))</formula>
    </cfRule>
    <cfRule type="containsText" dxfId="22" priority="72" operator="containsText" text="PENDIENTE">
      <formula>NOT(ISERROR(SEARCH("PENDIENTE",A24)))</formula>
    </cfRule>
  </conditionalFormatting>
  <conditionalFormatting sqref="B14:B23 B25">
    <cfRule type="containsText" dxfId="21" priority="23" operator="containsText" text="VACANTE">
      <formula>NOT(ISERROR(SEARCH("VACANTE",B14)))</formula>
    </cfRule>
    <cfRule type="containsText" dxfId="20" priority="24" operator="containsText" text="PENDIENTE">
      <formula>NOT(ISERROR(SEARCH("PENDIENTE",B14)))</formula>
    </cfRule>
  </conditionalFormatting>
  <conditionalFormatting sqref="B24 B13">
    <cfRule type="containsText" dxfId="19" priority="21" operator="containsText" text="VACANTE">
      <formula>NOT(ISERROR(SEARCH("VACANTE",B13)))</formula>
    </cfRule>
    <cfRule type="containsText" dxfId="18" priority="22" operator="containsText" text="PENDIENTE">
      <formula>NOT(ISERROR(SEARCH("PENDIENTE",B13)))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topLeftCell="C1" zoomScale="115" zoomScaleNormal="115" workbookViewId="0">
      <selection activeCell="M3" sqref="M3"/>
    </sheetView>
  </sheetViews>
  <sheetFormatPr baseColWidth="10" defaultRowHeight="14.5"/>
  <cols>
    <col min="1" max="1" width="58.81640625" customWidth="1"/>
    <col min="3" max="3" width="44.7265625" customWidth="1"/>
    <col min="5" max="5" width="47.54296875" customWidth="1"/>
    <col min="6" max="6" width="21.7265625" customWidth="1"/>
    <col min="8" max="8" width="16.26953125" customWidth="1"/>
    <col min="9" max="9" width="17.453125" customWidth="1"/>
    <col min="12" max="12" width="11.54296875" style="9"/>
  </cols>
  <sheetData>
    <row r="1" spans="1:14">
      <c r="B1" s="130" t="s">
        <v>50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4" s="21" customFormat="1" ht="45.5">
      <c r="A2" s="22" t="s">
        <v>87</v>
      </c>
      <c r="B2" s="25" t="s">
        <v>1</v>
      </c>
      <c r="C2" s="25" t="s">
        <v>2</v>
      </c>
      <c r="D2" s="25" t="s">
        <v>3</v>
      </c>
      <c r="E2" s="25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1" t="s">
        <v>206</v>
      </c>
    </row>
    <row r="3" spans="1:14" ht="29">
      <c r="A3" s="14" t="s">
        <v>113</v>
      </c>
      <c r="B3" s="14"/>
      <c r="C3" s="14" t="s">
        <v>167</v>
      </c>
      <c r="D3" s="14" t="s">
        <v>86</v>
      </c>
      <c r="E3" s="14" t="s">
        <v>88</v>
      </c>
      <c r="F3" s="37">
        <v>0</v>
      </c>
      <c r="G3" s="37">
        <v>1</v>
      </c>
      <c r="H3" s="37">
        <v>3</v>
      </c>
      <c r="I3" s="37">
        <v>3</v>
      </c>
      <c r="J3" s="37">
        <v>4</v>
      </c>
      <c r="K3" s="27" t="s">
        <v>187</v>
      </c>
      <c r="L3" s="38" t="s">
        <v>195</v>
      </c>
      <c r="M3" s="27">
        <v>15</v>
      </c>
      <c r="N3" s="47">
        <f>AVERAGE(F3:J3)</f>
        <v>2.2000000000000002</v>
      </c>
    </row>
    <row r="4" spans="1:14" ht="29">
      <c r="A4" s="14" t="s">
        <v>113</v>
      </c>
      <c r="B4" s="14"/>
      <c r="C4" s="14" t="s">
        <v>168</v>
      </c>
      <c r="D4" s="14" t="s">
        <v>89</v>
      </c>
      <c r="E4" s="14" t="s">
        <v>88</v>
      </c>
      <c r="F4" s="37">
        <v>4</v>
      </c>
      <c r="G4" s="37">
        <v>4</v>
      </c>
      <c r="H4" s="37">
        <v>4</v>
      </c>
      <c r="I4" s="37">
        <v>4</v>
      </c>
      <c r="J4" s="37">
        <v>4</v>
      </c>
      <c r="K4" s="27" t="s">
        <v>188</v>
      </c>
      <c r="L4" s="38" t="s">
        <v>196</v>
      </c>
      <c r="M4" s="27">
        <v>15</v>
      </c>
    </row>
    <row r="5" spans="1:14" ht="29">
      <c r="A5" s="14" t="s">
        <v>113</v>
      </c>
      <c r="B5" s="14"/>
      <c r="C5" s="14" t="s">
        <v>169</v>
      </c>
      <c r="D5" s="14" t="s">
        <v>89</v>
      </c>
      <c r="E5" s="14" t="s">
        <v>88</v>
      </c>
      <c r="F5" s="37">
        <v>4</v>
      </c>
      <c r="G5" s="37">
        <v>4</v>
      </c>
      <c r="H5" s="37">
        <v>4</v>
      </c>
      <c r="I5" s="37">
        <v>4</v>
      </c>
      <c r="J5" s="37">
        <v>4</v>
      </c>
      <c r="K5" s="38" t="s">
        <v>189</v>
      </c>
      <c r="L5" s="38" t="s">
        <v>197</v>
      </c>
      <c r="M5" s="27">
        <v>15</v>
      </c>
    </row>
    <row r="6" spans="1:14" ht="29">
      <c r="A6" s="14" t="s">
        <v>113</v>
      </c>
      <c r="B6" s="14"/>
      <c r="C6" s="30" t="s">
        <v>170</v>
      </c>
      <c r="D6" s="14" t="s">
        <v>86</v>
      </c>
      <c r="E6" s="14" t="s">
        <v>88</v>
      </c>
      <c r="F6" s="37">
        <v>4</v>
      </c>
      <c r="G6" s="37">
        <v>4</v>
      </c>
      <c r="H6" s="37">
        <v>4</v>
      </c>
      <c r="I6" s="37">
        <v>4</v>
      </c>
      <c r="J6" s="37">
        <v>4</v>
      </c>
      <c r="K6" s="38" t="s">
        <v>190</v>
      </c>
      <c r="L6" s="38" t="s">
        <v>192</v>
      </c>
      <c r="M6" s="27">
        <v>15</v>
      </c>
    </row>
    <row r="7" spans="1:14">
      <c r="A7" s="14" t="s">
        <v>113</v>
      </c>
      <c r="B7" s="14"/>
      <c r="C7" s="30" t="s">
        <v>171</v>
      </c>
      <c r="D7" s="14" t="s">
        <v>89</v>
      </c>
      <c r="E7" s="14" t="s">
        <v>88</v>
      </c>
      <c r="F7" s="37">
        <v>4</v>
      </c>
      <c r="G7" s="37">
        <v>4</v>
      </c>
      <c r="H7" s="37">
        <v>4</v>
      </c>
      <c r="I7" s="37">
        <v>4</v>
      </c>
      <c r="J7" s="37">
        <v>4</v>
      </c>
      <c r="K7" s="27"/>
      <c r="L7" s="38" t="s">
        <v>198</v>
      </c>
      <c r="M7" s="27">
        <v>15</v>
      </c>
    </row>
    <row r="8" spans="1:14">
      <c r="A8" s="14" t="s">
        <v>113</v>
      </c>
      <c r="B8" s="14"/>
      <c r="C8" s="30" t="s">
        <v>172</v>
      </c>
      <c r="D8" s="14" t="s">
        <v>89</v>
      </c>
      <c r="E8" s="14" t="s">
        <v>88</v>
      </c>
      <c r="F8" s="37">
        <v>4</v>
      </c>
      <c r="G8" s="37">
        <v>4</v>
      </c>
      <c r="H8" s="37">
        <v>4</v>
      </c>
      <c r="I8" s="37">
        <v>4</v>
      </c>
      <c r="J8" s="37">
        <v>4</v>
      </c>
      <c r="K8" s="27"/>
      <c r="L8" s="38" t="s">
        <v>192</v>
      </c>
      <c r="M8" s="27">
        <v>15</v>
      </c>
    </row>
    <row r="9" spans="1:14" ht="43.5">
      <c r="A9" s="14" t="s">
        <v>113</v>
      </c>
      <c r="B9" s="14"/>
      <c r="C9" s="30" t="s">
        <v>173</v>
      </c>
      <c r="D9" s="14" t="s">
        <v>89</v>
      </c>
      <c r="E9" s="14" t="s">
        <v>88</v>
      </c>
      <c r="F9" s="37">
        <v>3</v>
      </c>
      <c r="G9" s="37">
        <v>4</v>
      </c>
      <c r="H9" s="37">
        <v>4</v>
      </c>
      <c r="I9" s="37">
        <v>3</v>
      </c>
      <c r="J9" s="37">
        <v>4</v>
      </c>
      <c r="K9" s="38" t="s">
        <v>191</v>
      </c>
      <c r="L9" s="38" t="s">
        <v>193</v>
      </c>
      <c r="M9" s="27">
        <v>15</v>
      </c>
    </row>
    <row r="10" spans="1:14">
      <c r="A10" s="14" t="s">
        <v>113</v>
      </c>
      <c r="B10" s="14"/>
      <c r="C10" s="30" t="s">
        <v>174</v>
      </c>
      <c r="D10" s="14" t="s">
        <v>89</v>
      </c>
      <c r="E10" s="14" t="s">
        <v>88</v>
      </c>
      <c r="F10" s="37">
        <v>4</v>
      </c>
      <c r="G10" s="37">
        <v>4</v>
      </c>
      <c r="H10" s="37">
        <v>4</v>
      </c>
      <c r="I10" s="37">
        <v>4</v>
      </c>
      <c r="J10" s="37">
        <v>4</v>
      </c>
      <c r="K10" s="27" t="s">
        <v>184</v>
      </c>
      <c r="L10" s="38" t="s">
        <v>194</v>
      </c>
      <c r="M10" s="27">
        <v>15</v>
      </c>
    </row>
    <row r="11" spans="1:14" ht="29">
      <c r="A11" s="14" t="s">
        <v>113</v>
      </c>
      <c r="B11" s="14"/>
      <c r="C11" s="30" t="s">
        <v>175</v>
      </c>
      <c r="D11" s="14" t="s">
        <v>89</v>
      </c>
      <c r="E11" s="14" t="s">
        <v>88</v>
      </c>
      <c r="F11" s="37">
        <v>4</v>
      </c>
      <c r="G11" s="37">
        <v>4</v>
      </c>
      <c r="H11" s="37">
        <v>4</v>
      </c>
      <c r="I11" s="37">
        <v>4</v>
      </c>
      <c r="J11" s="37">
        <v>4</v>
      </c>
      <c r="K11" s="27" t="s">
        <v>186</v>
      </c>
      <c r="L11" s="38" t="s">
        <v>196</v>
      </c>
      <c r="M11" s="27">
        <v>15</v>
      </c>
    </row>
    <row r="12" spans="1:14">
      <c r="A12" s="14" t="s">
        <v>113</v>
      </c>
      <c r="B12" s="14"/>
      <c r="C12" s="30" t="s">
        <v>176</v>
      </c>
      <c r="D12" s="14" t="s">
        <v>86</v>
      </c>
      <c r="E12" s="14" t="s">
        <v>88</v>
      </c>
      <c r="F12" s="37">
        <v>4</v>
      </c>
      <c r="G12" s="37">
        <v>4</v>
      </c>
      <c r="H12" s="37">
        <v>4</v>
      </c>
      <c r="I12" s="37">
        <v>4</v>
      </c>
      <c r="J12" s="37">
        <v>4</v>
      </c>
      <c r="K12" s="27" t="s">
        <v>188</v>
      </c>
      <c r="L12" s="38" t="s">
        <v>192</v>
      </c>
      <c r="M12" s="27">
        <v>15</v>
      </c>
    </row>
    <row r="13" spans="1:14" ht="43.5">
      <c r="A13" s="14" t="s">
        <v>113</v>
      </c>
      <c r="B13" s="14"/>
      <c r="C13" s="30" t="s">
        <v>177</v>
      </c>
      <c r="D13" s="14" t="s">
        <v>89</v>
      </c>
      <c r="E13" s="14" t="s">
        <v>88</v>
      </c>
      <c r="F13" s="37">
        <v>4</v>
      </c>
      <c r="G13" s="37">
        <v>4</v>
      </c>
      <c r="H13" s="37">
        <v>4</v>
      </c>
      <c r="I13" s="37">
        <v>4</v>
      </c>
      <c r="J13" s="37">
        <v>4</v>
      </c>
      <c r="K13" s="38" t="s">
        <v>191</v>
      </c>
      <c r="L13" s="38" t="s">
        <v>192</v>
      </c>
      <c r="M13" s="27">
        <v>15</v>
      </c>
    </row>
    <row r="14" spans="1:14">
      <c r="A14" s="14" t="s">
        <v>113</v>
      </c>
      <c r="B14" s="14"/>
      <c r="C14" s="30" t="s">
        <v>178</v>
      </c>
      <c r="D14" s="14" t="s">
        <v>86</v>
      </c>
      <c r="E14" s="14" t="s">
        <v>88</v>
      </c>
      <c r="F14" s="37">
        <v>4</v>
      </c>
      <c r="G14" s="37">
        <v>4</v>
      </c>
      <c r="H14" s="37">
        <v>4</v>
      </c>
      <c r="I14" s="37">
        <v>4</v>
      </c>
      <c r="J14" s="37">
        <v>4</v>
      </c>
      <c r="K14" s="27" t="s">
        <v>184</v>
      </c>
      <c r="L14" s="38" t="s">
        <v>193</v>
      </c>
      <c r="M14" s="27">
        <v>15</v>
      </c>
    </row>
    <row r="15" spans="1:14">
      <c r="A15" s="14" t="s">
        <v>113</v>
      </c>
      <c r="B15" s="14"/>
      <c r="C15" s="30" t="s">
        <v>179</v>
      </c>
      <c r="D15" s="14" t="s">
        <v>89</v>
      </c>
      <c r="E15" s="14" t="s">
        <v>88</v>
      </c>
      <c r="F15" s="37">
        <v>4</v>
      </c>
      <c r="G15" s="37">
        <v>4</v>
      </c>
      <c r="H15" s="37">
        <v>4</v>
      </c>
      <c r="I15" s="37">
        <v>4</v>
      </c>
      <c r="J15" s="37">
        <v>4</v>
      </c>
      <c r="K15" s="27" t="s">
        <v>185</v>
      </c>
      <c r="L15" s="38" t="s">
        <v>194</v>
      </c>
      <c r="M15" s="27">
        <v>15</v>
      </c>
    </row>
    <row r="16" spans="1:14" ht="29">
      <c r="A16" s="14" t="s">
        <v>113</v>
      </c>
      <c r="B16" s="14"/>
      <c r="C16" s="30" t="s">
        <v>180</v>
      </c>
      <c r="D16" s="14" t="s">
        <v>86</v>
      </c>
      <c r="E16" s="14" t="s">
        <v>88</v>
      </c>
      <c r="F16" s="37">
        <v>4</v>
      </c>
      <c r="G16" s="37">
        <v>4</v>
      </c>
      <c r="H16" s="37">
        <v>4</v>
      </c>
      <c r="I16" s="37">
        <v>4</v>
      </c>
      <c r="J16" s="37">
        <v>4</v>
      </c>
      <c r="K16" s="27" t="s">
        <v>186</v>
      </c>
      <c r="L16" s="38" t="s">
        <v>195</v>
      </c>
      <c r="M16" s="27">
        <v>15</v>
      </c>
    </row>
    <row r="17" spans="1:13" ht="43.5">
      <c r="A17" s="14" t="s">
        <v>113</v>
      </c>
      <c r="B17" s="14"/>
      <c r="C17" s="30" t="s">
        <v>181</v>
      </c>
      <c r="D17" s="14" t="s">
        <v>86</v>
      </c>
      <c r="E17" s="14" t="s">
        <v>88</v>
      </c>
      <c r="F17" s="37">
        <v>4</v>
      </c>
      <c r="G17" s="37">
        <v>4</v>
      </c>
      <c r="H17" s="37">
        <v>4</v>
      </c>
      <c r="I17" s="37">
        <v>4</v>
      </c>
      <c r="J17" s="37">
        <v>4</v>
      </c>
      <c r="K17" s="38" t="s">
        <v>191</v>
      </c>
      <c r="L17" s="38" t="s">
        <v>196</v>
      </c>
      <c r="M17" s="27">
        <v>15</v>
      </c>
    </row>
    <row r="18" spans="1:13" ht="29">
      <c r="A18" s="14" t="s">
        <v>113</v>
      </c>
      <c r="B18" s="14"/>
      <c r="C18" s="14" t="s">
        <v>182</v>
      </c>
      <c r="D18" s="14" t="s">
        <v>89</v>
      </c>
      <c r="E18" s="14" t="s">
        <v>88</v>
      </c>
      <c r="F18" s="37">
        <v>4</v>
      </c>
      <c r="G18" s="37">
        <v>4</v>
      </c>
      <c r="H18" s="37">
        <v>4</v>
      </c>
      <c r="I18" s="37">
        <v>4</v>
      </c>
      <c r="J18" s="37">
        <v>4</v>
      </c>
      <c r="K18" s="27" t="s">
        <v>184</v>
      </c>
      <c r="L18" s="38" t="s">
        <v>197</v>
      </c>
      <c r="M18" s="27">
        <v>15</v>
      </c>
    </row>
    <row r="19" spans="1:13">
      <c r="A19" s="14" t="s">
        <v>113</v>
      </c>
      <c r="B19" s="14"/>
      <c r="C19" s="14" t="s">
        <v>166</v>
      </c>
      <c r="D19" s="14" t="s">
        <v>86</v>
      </c>
      <c r="E19" s="14" t="s">
        <v>88</v>
      </c>
      <c r="F19" s="37">
        <v>4</v>
      </c>
      <c r="G19" s="37">
        <v>4</v>
      </c>
      <c r="H19" s="37">
        <v>4</v>
      </c>
      <c r="I19" s="37">
        <v>4</v>
      </c>
      <c r="J19" s="37">
        <v>4</v>
      </c>
      <c r="K19" s="27" t="s">
        <v>185</v>
      </c>
      <c r="L19" s="38" t="s">
        <v>192</v>
      </c>
      <c r="M19" s="27">
        <v>15</v>
      </c>
    </row>
    <row r="20" spans="1:13">
      <c r="A20" s="14" t="s">
        <v>113</v>
      </c>
      <c r="B20" s="14"/>
      <c r="C20" s="14" t="s">
        <v>183</v>
      </c>
      <c r="D20" s="14" t="s">
        <v>89</v>
      </c>
      <c r="E20" s="14" t="s">
        <v>88</v>
      </c>
      <c r="F20" s="37">
        <v>4</v>
      </c>
      <c r="G20" s="37">
        <v>4</v>
      </c>
      <c r="H20" s="37">
        <v>4</v>
      </c>
      <c r="I20" s="37">
        <v>4</v>
      </c>
      <c r="J20" s="37">
        <v>4</v>
      </c>
      <c r="K20" s="27" t="s">
        <v>186</v>
      </c>
      <c r="L20" s="38" t="s">
        <v>198</v>
      </c>
      <c r="M20" s="27">
        <v>15</v>
      </c>
    </row>
  </sheetData>
  <autoFilter ref="A2:M20" xr:uid="{00000000-0009-0000-0000-000005000000}"/>
  <mergeCells count="1">
    <mergeCell ref="B1:M1"/>
  </mergeCells>
  <conditionalFormatting sqref="C3:D10 C12:D18">
    <cfRule type="containsText" dxfId="17" priority="67" operator="containsText" text="VACANTE">
      <formula>NOT(ISERROR(SEARCH("VACANTE",C3)))</formula>
    </cfRule>
    <cfRule type="containsText" dxfId="16" priority="68" operator="containsText" text="PENDIENTE">
      <formula>NOT(ISERROR(SEARCH("PENDIENTE",C3)))</formula>
    </cfRule>
  </conditionalFormatting>
  <conditionalFormatting sqref="C11">
    <cfRule type="containsText" dxfId="15" priority="57" operator="containsText" text="VACANTE">
      <formula>NOT(ISERROR(SEARCH("VACANTE",C11)))</formula>
    </cfRule>
    <cfRule type="containsText" dxfId="14" priority="58" operator="containsText" text="PENDIENTE">
      <formula>NOT(ISERROR(SEARCH("PENDIENTE",C11)))</formula>
    </cfRule>
  </conditionalFormatting>
  <conditionalFormatting sqref="C19:C20">
    <cfRule type="containsText" dxfId="13" priority="55" operator="containsText" text="VACANTE">
      <formula>NOT(ISERROR(SEARCH("VACANTE",C19)))</formula>
    </cfRule>
    <cfRule type="containsText" dxfId="12" priority="56" operator="containsText" text="PENDIENTE">
      <formula>NOT(ISERROR(SEARCH("PENDIENTE",C19)))</formula>
    </cfRule>
  </conditionalFormatting>
  <conditionalFormatting sqref="D20">
    <cfRule type="containsText" dxfId="11" priority="45" operator="containsText" text="VACANTE">
      <formula>NOT(ISERROR(SEARCH("VACANTE",D20)))</formula>
    </cfRule>
    <cfRule type="containsText" dxfId="10" priority="46" operator="containsText" text="PENDIENTE">
      <formula>NOT(ISERROR(SEARCH("PENDIENTE",D20)))</formula>
    </cfRule>
  </conditionalFormatting>
  <conditionalFormatting sqref="D19 D11">
    <cfRule type="containsText" dxfId="9" priority="43" operator="containsText" text="VACANTE">
      <formula>NOT(ISERROR(SEARCH("VACANTE",D11)))</formula>
    </cfRule>
    <cfRule type="containsText" dxfId="8" priority="44" operator="containsText" text="PENDIENTE">
      <formula>NOT(ISERROR(SEARCH("PENDIENTE",D11)))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B6:X75"/>
  <sheetViews>
    <sheetView tabSelected="1" topLeftCell="A60" zoomScale="130" zoomScaleNormal="130" workbookViewId="0">
      <selection activeCell="B58" sqref="B58:I58"/>
    </sheetView>
  </sheetViews>
  <sheetFormatPr baseColWidth="10" defaultRowHeight="14.5"/>
  <cols>
    <col min="2" max="2" width="15.26953125" customWidth="1"/>
    <col min="3" max="3" width="15.453125" customWidth="1"/>
    <col min="15" max="15" width="17" customWidth="1"/>
    <col min="17" max="17" width="19.54296875" customWidth="1"/>
  </cols>
  <sheetData>
    <row r="6" spans="2:24">
      <c r="C6" s="185" t="s">
        <v>207</v>
      </c>
      <c r="D6" s="185"/>
      <c r="E6" s="185"/>
      <c r="F6" s="185"/>
      <c r="G6" s="185"/>
      <c r="H6" s="185"/>
    </row>
    <row r="7" spans="2:24">
      <c r="C7" s="185" t="s">
        <v>208</v>
      </c>
      <c r="D7" s="185"/>
      <c r="E7" s="185"/>
      <c r="F7" s="185"/>
      <c r="G7" s="185"/>
      <c r="H7" s="185"/>
    </row>
    <row r="9" spans="2:24" ht="22.9" customHeight="1">
      <c r="B9" s="172" t="s">
        <v>209</v>
      </c>
      <c r="C9" s="172"/>
      <c r="D9" s="184">
        <f ca="1">TODAY()</f>
        <v>46134</v>
      </c>
      <c r="E9" s="184"/>
      <c r="F9" s="184"/>
      <c r="G9" s="184"/>
      <c r="H9" s="184"/>
      <c r="I9" s="184"/>
      <c r="K9" s="174" t="s">
        <v>209</v>
      </c>
      <c r="L9" s="174"/>
      <c r="M9" s="186" t="s">
        <v>210</v>
      </c>
      <c r="N9" s="186"/>
      <c r="O9" s="186"/>
      <c r="P9" s="186"/>
      <c r="Q9" s="186"/>
      <c r="R9" s="186"/>
      <c r="X9" s="50"/>
    </row>
    <row r="10" spans="2:24" ht="22.9" customHeight="1">
      <c r="B10" s="172" t="s">
        <v>211</v>
      </c>
      <c r="C10" s="172"/>
      <c r="D10" s="184" t="s">
        <v>167</v>
      </c>
      <c r="E10" s="184"/>
      <c r="F10" s="184"/>
      <c r="G10" s="184"/>
      <c r="H10" s="184"/>
      <c r="I10" s="184"/>
      <c r="K10" s="174" t="s">
        <v>211</v>
      </c>
      <c r="L10" s="174"/>
      <c r="M10" s="175" t="s">
        <v>212</v>
      </c>
      <c r="N10" s="176"/>
      <c r="O10" s="176"/>
      <c r="P10" s="176"/>
      <c r="Q10" s="176"/>
      <c r="R10" s="176"/>
      <c r="X10" s="50"/>
    </row>
    <row r="11" spans="2:24" ht="22.9" customHeight="1">
      <c r="B11" s="172" t="s">
        <v>4</v>
      </c>
      <c r="C11" s="172"/>
      <c r="D11" s="170" t="s">
        <v>88</v>
      </c>
      <c r="E11" s="170"/>
      <c r="F11" s="170"/>
      <c r="G11" s="170"/>
      <c r="H11" s="170"/>
      <c r="I11" s="170"/>
      <c r="K11" s="174" t="s">
        <v>4</v>
      </c>
      <c r="L11" s="174"/>
      <c r="M11" s="175" t="s">
        <v>213</v>
      </c>
      <c r="N11" s="176"/>
      <c r="O11" s="176"/>
      <c r="P11" s="176"/>
      <c r="Q11" s="176"/>
      <c r="R11" s="176"/>
      <c r="X11" s="50"/>
    </row>
    <row r="12" spans="2:24" ht="22.9" customHeight="1">
      <c r="B12" s="172" t="s">
        <v>14</v>
      </c>
      <c r="C12" s="172"/>
      <c r="D12" s="184" t="s">
        <v>90</v>
      </c>
      <c r="E12" s="184"/>
      <c r="F12" s="184"/>
      <c r="G12" s="184"/>
      <c r="H12" s="184"/>
      <c r="I12" s="184"/>
      <c r="K12" s="174" t="s">
        <v>14</v>
      </c>
      <c r="L12" s="174"/>
      <c r="M12" s="175" t="s">
        <v>214</v>
      </c>
      <c r="N12" s="176"/>
      <c r="O12" s="176"/>
      <c r="P12" s="176"/>
      <c r="Q12" s="176"/>
      <c r="R12" s="176"/>
      <c r="X12" s="50"/>
    </row>
    <row r="13" spans="2:24" ht="22.9" customHeight="1">
      <c r="B13" s="179" t="s">
        <v>200</v>
      </c>
      <c r="C13" s="180"/>
      <c r="D13" s="181" t="s">
        <v>115</v>
      </c>
      <c r="E13" s="182"/>
      <c r="F13" s="182"/>
      <c r="G13" s="182"/>
      <c r="H13" s="182"/>
      <c r="I13" s="183"/>
      <c r="K13" s="174" t="s">
        <v>200</v>
      </c>
      <c r="L13" s="174"/>
      <c r="M13" s="175" t="s">
        <v>215</v>
      </c>
      <c r="N13" s="176"/>
      <c r="O13" s="176"/>
      <c r="P13" s="176"/>
      <c r="Q13" s="176"/>
      <c r="R13" s="176"/>
      <c r="X13" s="50"/>
    </row>
    <row r="14" spans="2:24" ht="22.9" customHeight="1">
      <c r="B14" s="172" t="s">
        <v>203</v>
      </c>
      <c r="C14" s="172"/>
      <c r="D14" s="173">
        <f>H22</f>
        <v>70.375</v>
      </c>
      <c r="E14" s="173"/>
      <c r="F14" s="173"/>
      <c r="G14" s="173"/>
      <c r="H14" s="173"/>
      <c r="I14" s="173"/>
      <c r="K14" s="174" t="s">
        <v>203</v>
      </c>
      <c r="L14" s="174"/>
      <c r="M14" s="175" t="s">
        <v>216</v>
      </c>
      <c r="N14" s="176"/>
      <c r="O14" s="176"/>
      <c r="P14" s="176"/>
      <c r="Q14" s="176"/>
      <c r="R14" s="176"/>
      <c r="X14" s="51"/>
    </row>
    <row r="16" spans="2:24">
      <c r="B16" s="177" t="s">
        <v>217</v>
      </c>
      <c r="C16" s="177"/>
      <c r="D16" s="177"/>
      <c r="E16" s="177"/>
      <c r="F16" s="177"/>
      <c r="G16" s="177"/>
      <c r="H16" s="177"/>
      <c r="I16" s="177"/>
      <c r="K16" s="178" t="s">
        <v>217</v>
      </c>
      <c r="L16" s="178"/>
      <c r="M16" s="178"/>
      <c r="N16" s="178"/>
      <c r="O16" s="178"/>
      <c r="P16" s="178"/>
      <c r="Q16" s="178"/>
      <c r="R16" s="178"/>
    </row>
    <row r="17" spans="2:24">
      <c r="B17" s="133" t="s">
        <v>218</v>
      </c>
      <c r="C17" s="133"/>
      <c r="D17" s="133"/>
      <c r="E17" s="133"/>
      <c r="F17" s="133" t="s">
        <v>219</v>
      </c>
      <c r="G17" s="133"/>
      <c r="H17" s="133" t="s">
        <v>220</v>
      </c>
      <c r="I17" s="133"/>
      <c r="K17" s="171" t="s">
        <v>218</v>
      </c>
      <c r="L17" s="171"/>
      <c r="M17" s="171"/>
      <c r="N17" s="171"/>
      <c r="O17" s="171" t="s">
        <v>219</v>
      </c>
      <c r="P17" s="171"/>
      <c r="Q17" s="171" t="s">
        <v>220</v>
      </c>
      <c r="R17" s="171"/>
    </row>
    <row r="18" spans="2:24">
      <c r="B18" s="131" t="s">
        <v>221</v>
      </c>
      <c r="C18" s="131"/>
      <c r="D18" s="131"/>
      <c r="E18" s="131"/>
      <c r="F18" s="166">
        <v>0.15</v>
      </c>
      <c r="G18" s="131"/>
      <c r="H18" s="170">
        <v>15</v>
      </c>
      <c r="I18" s="170"/>
      <c r="K18" s="168" t="s">
        <v>221</v>
      </c>
      <c r="L18" s="168"/>
      <c r="M18" s="168"/>
      <c r="N18" s="168"/>
      <c r="O18" s="169">
        <v>0.15</v>
      </c>
      <c r="P18" s="168"/>
      <c r="Q18" s="50" t="s">
        <v>222</v>
      </c>
      <c r="R18" s="50"/>
      <c r="X18" s="50"/>
    </row>
    <row r="19" spans="2:24">
      <c r="B19" s="131" t="s">
        <v>29</v>
      </c>
      <c r="C19" s="131"/>
      <c r="D19" s="131"/>
      <c r="E19" s="131"/>
      <c r="F19" s="166">
        <v>0.35</v>
      </c>
      <c r="G19" s="131"/>
      <c r="H19" s="167">
        <f>(2.5*35)/4</f>
        <v>21.875</v>
      </c>
      <c r="I19" s="167"/>
      <c r="K19" s="168" t="s">
        <v>29</v>
      </c>
      <c r="L19" s="168"/>
      <c r="M19" s="168"/>
      <c r="N19" s="168"/>
      <c r="O19" s="169">
        <v>0.35</v>
      </c>
      <c r="P19" s="168"/>
      <c r="Q19" s="50" t="s">
        <v>223</v>
      </c>
      <c r="R19" s="50"/>
      <c r="X19" s="50"/>
    </row>
    <row r="20" spans="2:24">
      <c r="B20" s="131" t="s">
        <v>224</v>
      </c>
      <c r="C20" s="131"/>
      <c r="D20" s="131"/>
      <c r="E20" s="131"/>
      <c r="F20" s="166">
        <v>0.15</v>
      </c>
      <c r="G20" s="131"/>
      <c r="H20" s="167">
        <f>(3.8*15)/4</f>
        <v>14.25</v>
      </c>
      <c r="I20" s="167"/>
      <c r="K20" s="168" t="s">
        <v>224</v>
      </c>
      <c r="L20" s="168"/>
      <c r="M20" s="168"/>
      <c r="N20" s="168"/>
      <c r="O20" s="169">
        <v>0.15</v>
      </c>
      <c r="P20" s="168"/>
      <c r="Q20" s="50" t="s">
        <v>225</v>
      </c>
      <c r="R20" s="50"/>
      <c r="X20" s="50"/>
    </row>
    <row r="21" spans="2:24">
      <c r="B21" s="131" t="s">
        <v>226</v>
      </c>
      <c r="C21" s="131"/>
      <c r="D21" s="131"/>
      <c r="E21" s="131"/>
      <c r="F21" s="166">
        <v>0.35</v>
      </c>
      <c r="G21" s="131"/>
      <c r="H21" s="167">
        <f>(2.2*35)/4</f>
        <v>19.25</v>
      </c>
      <c r="I21" s="167"/>
      <c r="K21" s="168" t="s">
        <v>226</v>
      </c>
      <c r="L21" s="168"/>
      <c r="M21" s="168"/>
      <c r="N21" s="168"/>
      <c r="O21" s="169">
        <v>0.35</v>
      </c>
      <c r="P21" s="168"/>
      <c r="Q21" s="50" t="s">
        <v>227</v>
      </c>
      <c r="R21" s="50"/>
      <c r="X21" s="50"/>
    </row>
    <row r="22" spans="2:24" ht="16.899999999999999" customHeight="1">
      <c r="B22" s="131" t="s">
        <v>203</v>
      </c>
      <c r="C22" s="131"/>
      <c r="D22" s="131"/>
      <c r="E22" s="131"/>
      <c r="F22" s="166">
        <v>1</v>
      </c>
      <c r="G22" s="131"/>
      <c r="H22" s="167">
        <f>SUM(H18:I21)</f>
        <v>70.375</v>
      </c>
      <c r="I22" s="167"/>
      <c r="K22" s="168" t="s">
        <v>203</v>
      </c>
      <c r="L22" s="168"/>
      <c r="M22" s="168"/>
      <c r="N22" s="168"/>
      <c r="O22" s="169">
        <v>1</v>
      </c>
      <c r="P22" s="168"/>
      <c r="Q22" s="50" t="s">
        <v>228</v>
      </c>
      <c r="R22" s="50"/>
      <c r="X22" s="50"/>
    </row>
    <row r="25" spans="2:24" ht="50.5" customHeight="1">
      <c r="B25" s="132" t="s">
        <v>229</v>
      </c>
      <c r="C25" s="132"/>
      <c r="D25" s="132"/>
      <c r="E25" s="132"/>
      <c r="F25" s="132"/>
      <c r="G25" s="132"/>
      <c r="H25" s="132"/>
      <c r="I25" s="132"/>
      <c r="K25" s="52"/>
    </row>
    <row r="27" spans="2:24" ht="27" customHeight="1">
      <c r="B27" s="53" t="s">
        <v>38</v>
      </c>
      <c r="C27" s="164" t="s">
        <v>47</v>
      </c>
      <c r="D27" s="164"/>
      <c r="E27" s="164"/>
      <c r="F27" s="53" t="s">
        <v>230</v>
      </c>
      <c r="G27" s="53" t="s">
        <v>231</v>
      </c>
      <c r="H27" s="53" t="s">
        <v>226</v>
      </c>
      <c r="I27" s="53" t="s">
        <v>232</v>
      </c>
      <c r="K27" s="54" t="s">
        <v>38</v>
      </c>
      <c r="L27" s="165" t="s">
        <v>47</v>
      </c>
      <c r="M27" s="165"/>
      <c r="N27" s="165"/>
      <c r="O27" s="54" t="s">
        <v>230</v>
      </c>
      <c r="P27" s="54" t="s">
        <v>231</v>
      </c>
      <c r="Q27" s="54" t="s">
        <v>226</v>
      </c>
      <c r="R27" s="54" t="s">
        <v>232</v>
      </c>
    </row>
    <row r="28" spans="2:24" ht="63.65" customHeight="1">
      <c r="B28" s="55" t="s">
        <v>233</v>
      </c>
      <c r="C28" s="161" t="s">
        <v>234</v>
      </c>
      <c r="D28" s="161"/>
      <c r="E28" s="161"/>
      <c r="F28" s="56">
        <f>2/4</f>
        <v>0.5</v>
      </c>
      <c r="G28" s="57">
        <f>3/4</f>
        <v>0.75</v>
      </c>
      <c r="H28" s="58"/>
      <c r="I28" s="57">
        <f>AVERAGE(F28:G28)</f>
        <v>0.625</v>
      </c>
      <c r="K28" s="59" t="s">
        <v>233</v>
      </c>
      <c r="L28" s="162" t="s">
        <v>234</v>
      </c>
      <c r="M28" s="162"/>
      <c r="N28" s="162"/>
      <c r="O28" s="52" t="s">
        <v>235</v>
      </c>
      <c r="P28" s="52" t="s">
        <v>236</v>
      </c>
      <c r="Q28" s="60"/>
      <c r="R28" s="52" t="s">
        <v>237</v>
      </c>
    </row>
    <row r="29" spans="2:24" ht="67.150000000000006" customHeight="1">
      <c r="B29" s="61" t="s">
        <v>238</v>
      </c>
      <c r="C29" s="161" t="s">
        <v>239</v>
      </c>
      <c r="D29" s="161"/>
      <c r="E29" s="161"/>
      <c r="F29" s="57">
        <f>3.7/4</f>
        <v>0.92500000000000004</v>
      </c>
      <c r="G29" s="57">
        <f>2/4</f>
        <v>0.5</v>
      </c>
      <c r="H29" s="58"/>
      <c r="I29" s="57">
        <f>AVERAGE(F29:G29)</f>
        <v>0.71250000000000002</v>
      </c>
      <c r="K29" s="59" t="s">
        <v>238</v>
      </c>
      <c r="L29" s="162" t="s">
        <v>239</v>
      </c>
      <c r="M29" s="162"/>
      <c r="N29" s="162"/>
      <c r="O29" s="52" t="s">
        <v>240</v>
      </c>
      <c r="P29" s="52" t="s">
        <v>241</v>
      </c>
      <c r="Q29" s="60"/>
      <c r="R29" s="62"/>
    </row>
    <row r="30" spans="2:24" ht="27.65" customHeight="1">
      <c r="B30" s="61" t="s">
        <v>242</v>
      </c>
      <c r="C30" s="161" t="s">
        <v>243</v>
      </c>
      <c r="D30" s="161"/>
      <c r="E30" s="161"/>
      <c r="F30" s="58"/>
      <c r="G30" s="57">
        <f>1/4</f>
        <v>0.25</v>
      </c>
      <c r="H30" s="58"/>
      <c r="I30" s="57">
        <f>G30</f>
        <v>0.25</v>
      </c>
      <c r="K30" s="59" t="s">
        <v>242</v>
      </c>
      <c r="L30" s="162" t="s">
        <v>243</v>
      </c>
      <c r="M30" s="162"/>
      <c r="N30" s="162"/>
      <c r="O30" s="60"/>
      <c r="P30" s="52" t="s">
        <v>244</v>
      </c>
      <c r="Q30" s="60"/>
      <c r="R30" s="62"/>
    </row>
    <row r="31" spans="2:24" ht="97.9" customHeight="1">
      <c r="B31" s="61" t="s">
        <v>245</v>
      </c>
      <c r="C31" s="161" t="s">
        <v>246</v>
      </c>
      <c r="D31" s="161"/>
      <c r="E31" s="161"/>
      <c r="F31" s="57">
        <f>1.7/4</f>
        <v>0.42499999999999999</v>
      </c>
      <c r="G31" s="57">
        <f>3/4</f>
        <v>0.75</v>
      </c>
      <c r="H31" s="58"/>
      <c r="I31" s="57">
        <f>AVERAGE(F31:G31)</f>
        <v>0.58750000000000002</v>
      </c>
      <c r="K31" s="59" t="s">
        <v>245</v>
      </c>
      <c r="L31" s="162" t="s">
        <v>246</v>
      </c>
      <c r="M31" s="162"/>
      <c r="N31" s="162"/>
      <c r="O31" s="52" t="s">
        <v>247</v>
      </c>
      <c r="P31" s="52" t="s">
        <v>248</v>
      </c>
      <c r="Q31" s="60"/>
      <c r="R31" s="62"/>
    </row>
    <row r="32" spans="2:24" ht="71.5" customHeight="1">
      <c r="B32" s="61" t="s">
        <v>249</v>
      </c>
      <c r="C32" s="161" t="s">
        <v>250</v>
      </c>
      <c r="D32" s="161"/>
      <c r="E32" s="161"/>
      <c r="F32" s="57">
        <f>2.7/4</f>
        <v>0.67500000000000004</v>
      </c>
      <c r="G32" s="57">
        <f>3/4</f>
        <v>0.75</v>
      </c>
      <c r="H32" s="58"/>
      <c r="I32" s="57">
        <f>AVERAGE(F32:G32)</f>
        <v>0.71250000000000002</v>
      </c>
      <c r="K32" s="59" t="s">
        <v>249</v>
      </c>
      <c r="L32" s="162" t="s">
        <v>250</v>
      </c>
      <c r="M32" s="162"/>
      <c r="N32" s="162"/>
      <c r="O32" s="52" t="s">
        <v>251</v>
      </c>
      <c r="P32" s="52" t="s">
        <v>252</v>
      </c>
      <c r="Q32" s="60"/>
      <c r="R32" s="62"/>
    </row>
    <row r="33" spans="2:18" ht="96.65" customHeight="1">
      <c r="B33" s="61" t="s">
        <v>253</v>
      </c>
      <c r="C33" s="161" t="s">
        <v>254</v>
      </c>
      <c r="D33" s="161"/>
      <c r="E33" s="161"/>
      <c r="F33" s="57">
        <f>2.7/4</f>
        <v>0.67500000000000004</v>
      </c>
      <c r="G33" s="57">
        <f t="shared" ref="G33:G34" si="0">3/4</f>
        <v>0.75</v>
      </c>
      <c r="H33" s="57">
        <f>3/4</f>
        <v>0.75</v>
      </c>
      <c r="I33" s="57">
        <f>AVERAGE(F33:H33)</f>
        <v>0.72499999999999998</v>
      </c>
      <c r="K33" s="59" t="s">
        <v>253</v>
      </c>
      <c r="L33" s="162" t="s">
        <v>254</v>
      </c>
      <c r="M33" s="162"/>
      <c r="N33" s="162"/>
      <c r="O33" s="52" t="s">
        <v>255</v>
      </c>
      <c r="P33" s="52" t="s">
        <v>256</v>
      </c>
      <c r="Q33" s="52" t="s">
        <v>257</v>
      </c>
      <c r="R33" s="62"/>
    </row>
    <row r="34" spans="2:18" ht="81" customHeight="1">
      <c r="B34" s="61" t="s">
        <v>258</v>
      </c>
      <c r="C34" s="161" t="s">
        <v>259</v>
      </c>
      <c r="D34" s="161"/>
      <c r="E34" s="161"/>
      <c r="F34" s="58"/>
      <c r="G34" s="57">
        <f t="shared" si="0"/>
        <v>0.75</v>
      </c>
      <c r="H34" s="57">
        <f>2/4</f>
        <v>0.5</v>
      </c>
      <c r="I34" s="57">
        <f>AVERAGE(G34:H34)</f>
        <v>0.625</v>
      </c>
      <c r="K34" s="59" t="s">
        <v>258</v>
      </c>
      <c r="L34" s="162" t="s">
        <v>259</v>
      </c>
      <c r="M34" s="162"/>
      <c r="N34" s="162"/>
      <c r="O34" s="60"/>
      <c r="P34" s="52" t="s">
        <v>260</v>
      </c>
      <c r="Q34" s="52" t="s">
        <v>261</v>
      </c>
      <c r="R34" s="62"/>
    </row>
    <row r="37" spans="2:18" ht="14.5" customHeight="1">
      <c r="B37" s="156" t="s">
        <v>262</v>
      </c>
      <c r="C37" s="156"/>
      <c r="D37" s="156"/>
      <c r="E37" s="156"/>
      <c r="F37" s="156"/>
      <c r="G37" s="156"/>
      <c r="H37" s="156"/>
      <c r="I37" s="156"/>
      <c r="K37" s="163" t="s">
        <v>262</v>
      </c>
      <c r="L37" s="163"/>
      <c r="M37" s="163"/>
      <c r="N37" s="163"/>
      <c r="O37" s="163"/>
      <c r="P37" s="163"/>
      <c r="Q37" s="163"/>
      <c r="R37" s="163"/>
    </row>
    <row r="38" spans="2:18">
      <c r="K38" s="63"/>
      <c r="L38" s="63"/>
      <c r="M38" s="63"/>
      <c r="N38" s="63"/>
      <c r="O38" s="63"/>
      <c r="P38" s="63"/>
      <c r="Q38" s="63"/>
      <c r="R38" s="63"/>
    </row>
    <row r="39" spans="2:18" ht="14.5" customHeight="1">
      <c r="B39" s="144" t="s">
        <v>263</v>
      </c>
      <c r="C39" s="145"/>
      <c r="D39" s="145"/>
      <c r="E39" s="146"/>
      <c r="F39" s="144" t="s">
        <v>264</v>
      </c>
      <c r="G39" s="145"/>
      <c r="H39" s="145"/>
      <c r="I39" s="146"/>
      <c r="K39" s="157" t="s">
        <v>263</v>
      </c>
      <c r="L39" s="157"/>
      <c r="M39" s="157"/>
      <c r="N39" s="157"/>
      <c r="O39" s="157" t="s">
        <v>264</v>
      </c>
      <c r="P39" s="157"/>
      <c r="Q39" s="157"/>
      <c r="R39" s="157"/>
    </row>
    <row r="40" spans="2:18" ht="47.5" customHeight="1">
      <c r="B40" s="148" t="s">
        <v>265</v>
      </c>
      <c r="C40" s="149"/>
      <c r="D40" s="149"/>
      <c r="E40" s="150"/>
      <c r="F40" s="158" t="s">
        <v>266</v>
      </c>
      <c r="G40" s="159"/>
      <c r="H40" s="159"/>
      <c r="I40" s="160"/>
      <c r="K40" s="154" t="s">
        <v>267</v>
      </c>
      <c r="L40" s="154"/>
      <c r="M40" s="154"/>
      <c r="N40" s="154"/>
      <c r="O40" s="154" t="s">
        <v>268</v>
      </c>
      <c r="P40" s="154"/>
      <c r="Q40" s="154"/>
      <c r="R40" s="154"/>
    </row>
    <row r="41" spans="2:18" ht="18.649999999999999" customHeight="1">
      <c r="B41" s="144" t="s">
        <v>269</v>
      </c>
      <c r="C41" s="145"/>
      <c r="D41" s="145"/>
      <c r="E41" s="145"/>
      <c r="F41" s="145"/>
      <c r="G41" s="145"/>
      <c r="H41" s="145"/>
      <c r="I41" s="146"/>
      <c r="K41" s="155" t="s">
        <v>269</v>
      </c>
      <c r="L41" s="155"/>
      <c r="M41" s="155"/>
      <c r="N41" s="155"/>
      <c r="O41" s="155"/>
      <c r="P41" s="155"/>
      <c r="Q41" s="155"/>
      <c r="R41" s="155"/>
    </row>
    <row r="42" spans="2:18" ht="48" customHeight="1">
      <c r="B42" s="148" t="s">
        <v>164</v>
      </c>
      <c r="C42" s="149"/>
      <c r="D42" s="149"/>
      <c r="E42" s="149"/>
      <c r="F42" s="149"/>
      <c r="G42" s="149"/>
      <c r="H42" s="149"/>
      <c r="I42" s="150"/>
      <c r="K42" s="154" t="s">
        <v>270</v>
      </c>
      <c r="L42" s="154"/>
      <c r="M42" s="154"/>
      <c r="N42" s="154"/>
      <c r="O42" s="154"/>
      <c r="P42" s="154"/>
      <c r="Q42" s="154"/>
      <c r="R42" s="154"/>
    </row>
    <row r="43" spans="2:18">
      <c r="B43" s="64"/>
      <c r="C43" s="64"/>
      <c r="D43" s="64"/>
      <c r="E43" s="64"/>
      <c r="F43" s="64"/>
      <c r="G43" s="64"/>
      <c r="H43" s="64"/>
      <c r="I43" s="64"/>
    </row>
    <row r="45" spans="2:18" ht="14.5" customHeight="1">
      <c r="B45" s="156" t="s">
        <v>271</v>
      </c>
      <c r="C45" s="156"/>
      <c r="D45" s="156"/>
      <c r="E45" s="156"/>
      <c r="F45" s="156"/>
      <c r="G45" s="156"/>
      <c r="H45" s="156"/>
      <c r="I45" s="156"/>
      <c r="K45" s="147" t="s">
        <v>271</v>
      </c>
      <c r="L45" s="147"/>
      <c r="M45" s="147"/>
      <c r="N45" s="147"/>
      <c r="O45" s="147"/>
      <c r="P45" s="147"/>
      <c r="Q45" s="147"/>
      <c r="R45" s="147"/>
    </row>
    <row r="46" spans="2:18">
      <c r="K46" s="65"/>
      <c r="L46" s="65"/>
      <c r="M46" s="65"/>
      <c r="N46" s="65"/>
      <c r="O46" s="65"/>
      <c r="P46" s="65"/>
      <c r="Q46" s="65"/>
      <c r="R46" s="65"/>
    </row>
    <row r="47" spans="2:18" ht="14.5" customHeight="1">
      <c r="B47" s="144" t="s">
        <v>263</v>
      </c>
      <c r="C47" s="145"/>
      <c r="D47" s="145"/>
      <c r="E47" s="146"/>
      <c r="F47" s="144" t="s">
        <v>264</v>
      </c>
      <c r="G47" s="145"/>
      <c r="H47" s="145"/>
      <c r="I47" s="146"/>
      <c r="K47" s="147" t="s">
        <v>263</v>
      </c>
      <c r="L47" s="147"/>
      <c r="M47" s="147"/>
      <c r="N47" s="147"/>
      <c r="O47" s="147" t="s">
        <v>264</v>
      </c>
      <c r="P47" s="147"/>
      <c r="Q47" s="147"/>
      <c r="R47" s="147"/>
    </row>
    <row r="48" spans="2:18" ht="49.15" customHeight="1">
      <c r="B48" s="148" t="s">
        <v>187</v>
      </c>
      <c r="C48" s="149"/>
      <c r="D48" s="149"/>
      <c r="E48" s="150"/>
      <c r="F48" s="151" t="s">
        <v>195</v>
      </c>
      <c r="G48" s="152"/>
      <c r="H48" s="152"/>
      <c r="I48" s="153"/>
      <c r="K48" s="154" t="s">
        <v>272</v>
      </c>
      <c r="L48" s="154"/>
      <c r="M48" s="154"/>
      <c r="N48" s="154"/>
      <c r="O48" s="154" t="s">
        <v>273</v>
      </c>
      <c r="P48" s="154"/>
      <c r="Q48" s="154"/>
      <c r="R48" s="154"/>
    </row>
    <row r="51" spans="2:18">
      <c r="B51" s="133" t="s">
        <v>274</v>
      </c>
      <c r="C51" s="133"/>
      <c r="D51" s="133"/>
      <c r="E51" s="133"/>
      <c r="F51" s="133"/>
      <c r="G51" s="133"/>
      <c r="H51" s="133"/>
      <c r="I51" s="133"/>
      <c r="K51" s="134" t="s">
        <v>274</v>
      </c>
      <c r="L51" s="135"/>
      <c r="M51" s="135"/>
      <c r="N51" s="135"/>
      <c r="O51" s="135"/>
      <c r="P51" s="135"/>
      <c r="Q51" s="135"/>
      <c r="R51" s="136"/>
    </row>
    <row r="52" spans="2:18" ht="70.900000000000006" customHeight="1">
      <c r="B52" s="137" t="s">
        <v>119</v>
      </c>
      <c r="C52" s="138"/>
      <c r="D52" s="138"/>
      <c r="E52" s="138"/>
      <c r="F52" s="138"/>
      <c r="G52" s="138"/>
      <c r="H52" s="138"/>
      <c r="I52" s="139"/>
      <c r="K52" s="140" t="s">
        <v>275</v>
      </c>
      <c r="L52" s="141"/>
      <c r="M52" s="141"/>
      <c r="N52" s="141"/>
      <c r="O52" s="141"/>
      <c r="P52" s="141"/>
      <c r="Q52" s="141"/>
      <c r="R52" s="142"/>
    </row>
    <row r="55" spans="2:18" ht="115.9" customHeight="1">
      <c r="B55" s="143" t="s">
        <v>276</v>
      </c>
      <c r="C55" s="143"/>
      <c r="D55" s="143"/>
      <c r="E55" s="143"/>
      <c r="F55" s="143"/>
      <c r="G55" s="143"/>
      <c r="H55" s="143"/>
      <c r="I55" s="143"/>
    </row>
    <row r="56" spans="2:18" ht="16.149999999999999" customHeight="1">
      <c r="B56" s="66"/>
      <c r="C56" s="66"/>
      <c r="D56" s="66"/>
      <c r="E56" s="66"/>
      <c r="F56" s="66"/>
      <c r="G56" s="66"/>
      <c r="H56" s="66"/>
      <c r="I56" s="66"/>
    </row>
    <row r="58" spans="2:18" ht="126" customHeight="1">
      <c r="B58" s="143" t="s">
        <v>277</v>
      </c>
      <c r="C58" s="143"/>
      <c r="D58" s="143"/>
      <c r="E58" s="143"/>
      <c r="F58" s="143"/>
      <c r="G58" s="143"/>
      <c r="H58" s="143"/>
      <c r="I58" s="143"/>
    </row>
    <row r="60" spans="2:18">
      <c r="B60" s="131" t="s">
        <v>278</v>
      </c>
      <c r="C60" s="131"/>
      <c r="D60" s="131"/>
      <c r="E60" s="131"/>
      <c r="F60" s="131"/>
      <c r="G60" s="131"/>
      <c r="H60" s="131"/>
      <c r="I60" s="131"/>
    </row>
    <row r="61" spans="2:18">
      <c r="B61" s="131"/>
      <c r="C61" s="131"/>
      <c r="D61" s="131"/>
      <c r="E61" s="131"/>
      <c r="F61" s="131"/>
      <c r="G61" s="131"/>
      <c r="H61" s="131"/>
      <c r="I61" s="131"/>
    </row>
    <row r="62" spans="2:18">
      <c r="B62" s="131"/>
      <c r="C62" s="131"/>
      <c r="D62" s="131"/>
      <c r="E62" s="131"/>
      <c r="F62" s="131"/>
      <c r="G62" s="131"/>
      <c r="H62" s="131"/>
      <c r="I62" s="131"/>
    </row>
    <row r="63" spans="2:18">
      <c r="B63" s="131"/>
      <c r="C63" s="131"/>
      <c r="D63" s="131"/>
      <c r="E63" s="131"/>
      <c r="F63" s="131"/>
      <c r="G63" s="131"/>
      <c r="H63" s="131"/>
      <c r="I63" s="131"/>
    </row>
    <row r="64" spans="2:18">
      <c r="B64" s="131"/>
      <c r="C64" s="131"/>
      <c r="D64" s="131"/>
      <c r="E64" s="131"/>
      <c r="F64" s="131"/>
      <c r="G64" s="131"/>
      <c r="H64" s="131"/>
      <c r="I64" s="131"/>
    </row>
    <row r="65" spans="2:9">
      <c r="B65" s="131"/>
      <c r="C65" s="131"/>
      <c r="D65" s="131"/>
      <c r="E65" s="131"/>
      <c r="F65" s="131"/>
      <c r="G65" s="131"/>
      <c r="H65" s="131"/>
      <c r="I65" s="131"/>
    </row>
    <row r="66" spans="2:9">
      <c r="B66" s="131"/>
      <c r="C66" s="131"/>
      <c r="D66" s="131"/>
      <c r="E66" s="131"/>
      <c r="F66" s="131"/>
      <c r="G66" s="131"/>
      <c r="H66" s="131"/>
      <c r="I66" s="131"/>
    </row>
    <row r="67" spans="2:9">
      <c r="B67" s="131"/>
      <c r="C67" s="131"/>
      <c r="D67" s="131"/>
      <c r="E67" s="131"/>
      <c r="F67" s="131"/>
      <c r="G67" s="131"/>
      <c r="H67" s="131"/>
      <c r="I67" s="131"/>
    </row>
    <row r="68" spans="2:9">
      <c r="B68" s="131"/>
      <c r="C68" s="131"/>
      <c r="D68" s="131"/>
      <c r="E68" s="131"/>
      <c r="F68" s="131"/>
      <c r="G68" s="131"/>
      <c r="H68" s="131"/>
      <c r="I68" s="131"/>
    </row>
    <row r="69" spans="2:9" ht="14.5" customHeight="1">
      <c r="B69" s="132" t="s">
        <v>279</v>
      </c>
      <c r="C69" s="131"/>
      <c r="D69" s="131"/>
      <c r="E69" s="131"/>
      <c r="F69" s="131"/>
      <c r="G69" s="131"/>
      <c r="H69" s="131"/>
      <c r="I69" s="131"/>
    </row>
    <row r="70" spans="2:9">
      <c r="B70" s="131"/>
      <c r="C70" s="131"/>
      <c r="D70" s="131"/>
      <c r="E70" s="131"/>
      <c r="F70" s="131"/>
      <c r="G70" s="131"/>
      <c r="H70" s="131"/>
      <c r="I70" s="131"/>
    </row>
    <row r="71" spans="2:9">
      <c r="B71" s="131"/>
      <c r="C71" s="131"/>
      <c r="D71" s="131"/>
      <c r="E71" s="131"/>
      <c r="F71" s="131"/>
      <c r="G71" s="131"/>
      <c r="H71" s="131"/>
      <c r="I71" s="131"/>
    </row>
    <row r="72" spans="2:9">
      <c r="B72" s="131"/>
      <c r="C72" s="131"/>
      <c r="D72" s="131"/>
      <c r="E72" s="131"/>
      <c r="F72" s="131"/>
      <c r="G72" s="131"/>
      <c r="H72" s="131"/>
      <c r="I72" s="131"/>
    </row>
    <row r="73" spans="2:9">
      <c r="B73" s="131"/>
      <c r="C73" s="131"/>
      <c r="D73" s="131"/>
      <c r="E73" s="131"/>
      <c r="F73" s="131"/>
      <c r="G73" s="131"/>
      <c r="H73" s="131"/>
      <c r="I73" s="131"/>
    </row>
    <row r="74" spans="2:9">
      <c r="B74" s="131"/>
      <c r="C74" s="131"/>
      <c r="D74" s="131"/>
      <c r="E74" s="131"/>
      <c r="F74" s="131"/>
      <c r="G74" s="131"/>
      <c r="H74" s="131"/>
      <c r="I74" s="131"/>
    </row>
    <row r="75" spans="2:9">
      <c r="B75" s="131"/>
      <c r="C75" s="131"/>
      <c r="D75" s="131"/>
      <c r="E75" s="131"/>
      <c r="F75" s="131"/>
      <c r="G75" s="131"/>
      <c r="H75" s="131"/>
      <c r="I75" s="131"/>
    </row>
  </sheetData>
  <mergeCells count="109">
    <mergeCell ref="C6:H6"/>
    <mergeCell ref="C7:H7"/>
    <mergeCell ref="B9:C9"/>
    <mergeCell ref="D9:I9"/>
    <mergeCell ref="K9:L9"/>
    <mergeCell ref="M9:R9"/>
    <mergeCell ref="B12:C12"/>
    <mergeCell ref="D12:I12"/>
    <mergeCell ref="K12:L12"/>
    <mergeCell ref="M12:R12"/>
    <mergeCell ref="B13:C13"/>
    <mergeCell ref="D13:I13"/>
    <mergeCell ref="K13:L13"/>
    <mergeCell ref="M13:R13"/>
    <mergeCell ref="B10:C10"/>
    <mergeCell ref="D10:I10"/>
    <mergeCell ref="K10:L10"/>
    <mergeCell ref="M10:R10"/>
    <mergeCell ref="B11:C11"/>
    <mergeCell ref="D11:I11"/>
    <mergeCell ref="K11:L11"/>
    <mergeCell ref="M11:R11"/>
    <mergeCell ref="B17:E17"/>
    <mergeCell ref="F17:G17"/>
    <mergeCell ref="H17:I17"/>
    <mergeCell ref="K17:N17"/>
    <mergeCell ref="O17:P17"/>
    <mergeCell ref="Q17:R17"/>
    <mergeCell ref="B14:C14"/>
    <mergeCell ref="D14:I14"/>
    <mergeCell ref="K14:L14"/>
    <mergeCell ref="M14:R14"/>
    <mergeCell ref="B16:I16"/>
    <mergeCell ref="K16:R16"/>
    <mergeCell ref="B18:E18"/>
    <mergeCell ref="F18:G18"/>
    <mergeCell ref="H18:I18"/>
    <mergeCell ref="K18:N18"/>
    <mergeCell ref="O18:P18"/>
    <mergeCell ref="B19:E19"/>
    <mergeCell ref="F19:G19"/>
    <mergeCell ref="H19:I19"/>
    <mergeCell ref="K19:N19"/>
    <mergeCell ref="O19:P19"/>
    <mergeCell ref="B22:E22"/>
    <mergeCell ref="F22:G22"/>
    <mergeCell ref="H22:I22"/>
    <mergeCell ref="K22:N22"/>
    <mergeCell ref="O22:P22"/>
    <mergeCell ref="B25:I25"/>
    <mergeCell ref="B20:E20"/>
    <mergeCell ref="F20:G20"/>
    <mergeCell ref="H20:I20"/>
    <mergeCell ref="K20:N20"/>
    <mergeCell ref="O20:P20"/>
    <mergeCell ref="B21:E21"/>
    <mergeCell ref="F21:G21"/>
    <mergeCell ref="H21:I21"/>
    <mergeCell ref="K21:N21"/>
    <mergeCell ref="O21:P21"/>
    <mergeCell ref="C30:E30"/>
    <mergeCell ref="L30:N30"/>
    <mergeCell ref="C31:E31"/>
    <mergeCell ref="L31:N31"/>
    <mergeCell ref="C32:E32"/>
    <mergeCell ref="L32:N32"/>
    <mergeCell ref="C27:E27"/>
    <mergeCell ref="L27:N27"/>
    <mergeCell ref="C28:E28"/>
    <mergeCell ref="L28:N28"/>
    <mergeCell ref="C29:E29"/>
    <mergeCell ref="L29:N29"/>
    <mergeCell ref="B39:E39"/>
    <mergeCell ref="F39:I39"/>
    <mergeCell ref="K39:N39"/>
    <mergeCell ref="O39:R39"/>
    <mergeCell ref="B40:E40"/>
    <mergeCell ref="F40:I40"/>
    <mergeCell ref="K40:N40"/>
    <mergeCell ref="O40:R40"/>
    <mergeCell ref="C33:E33"/>
    <mergeCell ref="L33:N33"/>
    <mergeCell ref="C34:E34"/>
    <mergeCell ref="L34:N34"/>
    <mergeCell ref="B37:I37"/>
    <mergeCell ref="K37:R37"/>
    <mergeCell ref="B47:E47"/>
    <mergeCell ref="F47:I47"/>
    <mergeCell ref="K47:N47"/>
    <mergeCell ref="O47:R47"/>
    <mergeCell ref="B48:E48"/>
    <mergeCell ref="F48:I48"/>
    <mergeCell ref="K48:N48"/>
    <mergeCell ref="O48:R48"/>
    <mergeCell ref="B41:I41"/>
    <mergeCell ref="K41:R41"/>
    <mergeCell ref="B42:I42"/>
    <mergeCell ref="K42:R42"/>
    <mergeCell ref="B45:I45"/>
    <mergeCell ref="K45:R45"/>
    <mergeCell ref="B60:I60"/>
    <mergeCell ref="B61:I68"/>
    <mergeCell ref="B69:I75"/>
    <mergeCell ref="B51:I51"/>
    <mergeCell ref="K51:R51"/>
    <mergeCell ref="B52:I52"/>
    <mergeCell ref="K52:R52"/>
    <mergeCell ref="B55:I55"/>
    <mergeCell ref="B58:I5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B6:R82"/>
  <sheetViews>
    <sheetView zoomScale="85" zoomScaleNormal="85" workbookViewId="0">
      <selection activeCell="I40" sqref="I40"/>
    </sheetView>
  </sheetViews>
  <sheetFormatPr baseColWidth="10" defaultRowHeight="14.5"/>
  <cols>
    <col min="2" max="2" width="13.7265625" customWidth="1"/>
    <col min="3" max="3" width="15.453125" customWidth="1"/>
    <col min="4" max="4" width="29.1796875" customWidth="1"/>
    <col min="6" max="6" width="12.7265625" customWidth="1"/>
    <col min="7" max="7" width="10.453125" customWidth="1"/>
    <col min="8" max="8" width="12.7265625" customWidth="1"/>
    <col min="9" max="10" width="10.1796875" customWidth="1"/>
    <col min="14" max="14" width="18.1796875" customWidth="1"/>
    <col min="15" max="15" width="16.7265625" customWidth="1"/>
    <col min="16" max="16" width="15.81640625" customWidth="1"/>
  </cols>
  <sheetData>
    <row r="6" spans="2:17">
      <c r="C6" s="185" t="s">
        <v>303</v>
      </c>
      <c r="D6" s="185"/>
      <c r="E6" s="185"/>
      <c r="F6" s="185"/>
      <c r="G6" s="185"/>
      <c r="H6" s="185"/>
    </row>
    <row r="7" spans="2:17">
      <c r="C7" s="185" t="s">
        <v>208</v>
      </c>
      <c r="D7" s="185"/>
      <c r="E7" s="185"/>
      <c r="F7" s="185"/>
      <c r="G7" s="185"/>
      <c r="H7" s="185"/>
    </row>
    <row r="9" spans="2:17" ht="25.9" customHeight="1">
      <c r="B9" s="172" t="s">
        <v>209</v>
      </c>
      <c r="C9" s="172"/>
      <c r="D9" s="201">
        <f ca="1">TODAY()</f>
        <v>46134</v>
      </c>
      <c r="E9" s="201"/>
      <c r="F9" s="201"/>
      <c r="G9" s="201"/>
      <c r="H9" s="201"/>
      <c r="I9" s="201"/>
      <c r="J9" s="104"/>
      <c r="K9" s="174" t="s">
        <v>209</v>
      </c>
      <c r="L9" s="174"/>
      <c r="M9" s="186" t="s">
        <v>210</v>
      </c>
      <c r="N9" s="186"/>
      <c r="O9" s="186"/>
      <c r="P9" s="186"/>
      <c r="Q9" s="186"/>
    </row>
    <row r="10" spans="2:17" ht="28.9" customHeight="1">
      <c r="B10" s="172" t="s">
        <v>4</v>
      </c>
      <c r="C10" s="172"/>
      <c r="D10" s="201" t="s">
        <v>302</v>
      </c>
      <c r="E10" s="201"/>
      <c r="F10" s="201"/>
      <c r="G10" s="201"/>
      <c r="H10" s="201"/>
      <c r="I10" s="201"/>
      <c r="J10" s="104"/>
      <c r="K10" s="174" t="s">
        <v>4</v>
      </c>
      <c r="L10" s="174"/>
      <c r="M10" s="186" t="s">
        <v>301</v>
      </c>
      <c r="N10" s="186"/>
      <c r="O10" s="186"/>
      <c r="P10" s="186"/>
      <c r="Q10" s="186"/>
    </row>
    <row r="11" spans="2:17" ht="28.9" customHeight="1">
      <c r="B11" s="179" t="s">
        <v>299</v>
      </c>
      <c r="C11" s="180"/>
      <c r="D11" s="202" t="s">
        <v>300</v>
      </c>
      <c r="E11" s="203"/>
      <c r="F11" s="203"/>
      <c r="G11" s="203"/>
      <c r="H11" s="203"/>
      <c r="I11" s="204"/>
      <c r="J11" s="104"/>
      <c r="K11" s="174" t="s">
        <v>299</v>
      </c>
      <c r="L11" s="174"/>
      <c r="M11" s="186" t="s">
        <v>298</v>
      </c>
      <c r="N11" s="186"/>
      <c r="O11" s="186"/>
      <c r="P11" s="186"/>
      <c r="Q11" s="186"/>
    </row>
    <row r="12" spans="2:17" ht="42" customHeight="1">
      <c r="B12" s="172" t="s">
        <v>294</v>
      </c>
      <c r="C12" s="172"/>
      <c r="D12" s="205">
        <f>H22</f>
        <v>80.291666666666671</v>
      </c>
      <c r="E12" s="205"/>
      <c r="F12" s="205"/>
      <c r="G12" s="205"/>
      <c r="H12" s="205"/>
      <c r="I12" s="205"/>
      <c r="J12" s="103"/>
      <c r="K12" s="174" t="s">
        <v>294</v>
      </c>
      <c r="L12" s="174"/>
      <c r="M12" s="213" t="s">
        <v>297</v>
      </c>
      <c r="N12" s="213"/>
      <c r="O12" s="213"/>
      <c r="P12" s="213"/>
      <c r="Q12" s="213"/>
    </row>
    <row r="15" spans="2:17" ht="69.650000000000006" customHeight="1">
      <c r="B15" s="132" t="s">
        <v>296</v>
      </c>
      <c r="C15" s="132"/>
      <c r="D15" s="132"/>
      <c r="E15" s="132"/>
      <c r="F15" s="132"/>
      <c r="G15" s="132"/>
      <c r="H15" s="132"/>
      <c r="I15" s="132"/>
      <c r="J15" s="66"/>
    </row>
    <row r="17" spans="2:18">
      <c r="B17" s="133" t="s">
        <v>218</v>
      </c>
      <c r="C17" s="133"/>
      <c r="D17" s="133"/>
      <c r="E17" s="133"/>
      <c r="F17" s="133" t="s">
        <v>219</v>
      </c>
      <c r="G17" s="133"/>
      <c r="H17" s="133" t="s">
        <v>220</v>
      </c>
      <c r="I17" s="133"/>
      <c r="J17" s="102"/>
      <c r="K17" s="207" t="s">
        <v>218</v>
      </c>
      <c r="L17" s="207"/>
      <c r="M17" s="207"/>
      <c r="N17" s="207"/>
      <c r="O17" s="207" t="s">
        <v>219</v>
      </c>
      <c r="P17" s="207"/>
      <c r="Q17" s="207" t="s">
        <v>220</v>
      </c>
      <c r="R17" s="207"/>
    </row>
    <row r="18" spans="2:18" ht="14.5" customHeight="1">
      <c r="B18" s="131" t="s">
        <v>221</v>
      </c>
      <c r="C18" s="131"/>
      <c r="D18" s="131"/>
      <c r="E18" s="131"/>
      <c r="F18" s="166">
        <v>0.15</v>
      </c>
      <c r="G18" s="131"/>
      <c r="H18" s="199">
        <f>E46</f>
        <v>9.1666666666666661</v>
      </c>
      <c r="I18" s="200"/>
      <c r="J18" s="67"/>
      <c r="K18" s="208" t="s">
        <v>221</v>
      </c>
      <c r="L18" s="208"/>
      <c r="M18" s="208"/>
      <c r="N18" s="208"/>
      <c r="O18" s="211">
        <v>0.15</v>
      </c>
      <c r="P18" s="208"/>
      <c r="Q18" s="214" t="s">
        <v>295</v>
      </c>
      <c r="R18" s="215"/>
    </row>
    <row r="19" spans="2:18">
      <c r="B19" s="131" t="s">
        <v>29</v>
      </c>
      <c r="C19" s="131"/>
      <c r="D19" s="131"/>
      <c r="E19" s="131"/>
      <c r="F19" s="166">
        <v>0.35</v>
      </c>
      <c r="G19" s="131"/>
      <c r="H19" s="199">
        <f>F46</f>
        <v>28.104166666666668</v>
      </c>
      <c r="I19" s="200"/>
      <c r="J19" s="67"/>
      <c r="K19" s="208" t="s">
        <v>29</v>
      </c>
      <c r="L19" s="208"/>
      <c r="M19" s="208"/>
      <c r="N19" s="208"/>
      <c r="O19" s="211">
        <v>0.35</v>
      </c>
      <c r="P19" s="208"/>
      <c r="Q19" s="216"/>
      <c r="R19" s="217"/>
    </row>
    <row r="20" spans="2:18">
      <c r="B20" s="131" t="s">
        <v>224</v>
      </c>
      <c r="C20" s="131"/>
      <c r="D20" s="131"/>
      <c r="E20" s="131"/>
      <c r="F20" s="166">
        <v>0.15</v>
      </c>
      <c r="G20" s="131"/>
      <c r="H20" s="199">
        <f>G46</f>
        <v>14.916666666666666</v>
      </c>
      <c r="I20" s="200"/>
      <c r="J20" s="67"/>
      <c r="K20" s="208" t="s">
        <v>224</v>
      </c>
      <c r="L20" s="208"/>
      <c r="M20" s="208"/>
      <c r="N20" s="208"/>
      <c r="O20" s="211">
        <v>0.15</v>
      </c>
      <c r="P20" s="208"/>
      <c r="Q20" s="216"/>
      <c r="R20" s="217"/>
    </row>
    <row r="21" spans="2:18">
      <c r="B21" s="131" t="s">
        <v>226</v>
      </c>
      <c r="C21" s="131"/>
      <c r="D21" s="131"/>
      <c r="E21" s="131"/>
      <c r="F21" s="166">
        <v>0.35</v>
      </c>
      <c r="G21" s="131"/>
      <c r="H21" s="199">
        <f>H46</f>
        <v>28.104166666666668</v>
      </c>
      <c r="I21" s="200"/>
      <c r="J21" s="67"/>
      <c r="K21" s="208" t="s">
        <v>226</v>
      </c>
      <c r="L21" s="208"/>
      <c r="M21" s="208"/>
      <c r="N21" s="208"/>
      <c r="O21" s="211">
        <v>0.35</v>
      </c>
      <c r="P21" s="208"/>
      <c r="Q21" s="216"/>
      <c r="R21" s="217"/>
    </row>
    <row r="22" spans="2:18" ht="18.649999999999999" customHeight="1">
      <c r="B22" s="131" t="s">
        <v>294</v>
      </c>
      <c r="C22" s="131"/>
      <c r="D22" s="131"/>
      <c r="E22" s="131"/>
      <c r="F22" s="166">
        <v>1</v>
      </c>
      <c r="G22" s="131"/>
      <c r="H22" s="199">
        <f>I46</f>
        <v>80.291666666666671</v>
      </c>
      <c r="I22" s="200"/>
      <c r="J22" s="67"/>
      <c r="K22" s="208" t="s">
        <v>294</v>
      </c>
      <c r="L22" s="208"/>
      <c r="M22" s="208"/>
      <c r="N22" s="208"/>
      <c r="O22" s="211">
        <v>1</v>
      </c>
      <c r="P22" s="208"/>
      <c r="Q22" s="218"/>
      <c r="R22" s="219"/>
    </row>
    <row r="25" spans="2:18" ht="60" customHeight="1">
      <c r="B25" s="132" t="s">
        <v>293</v>
      </c>
      <c r="C25" s="132"/>
      <c r="D25" s="132"/>
      <c r="E25" s="132"/>
      <c r="F25" s="132"/>
      <c r="G25" s="132"/>
      <c r="H25" s="132"/>
      <c r="I25" s="132"/>
      <c r="J25" s="66"/>
    </row>
    <row r="27" spans="2:18">
      <c r="B27" s="101" t="s">
        <v>292</v>
      </c>
      <c r="C27" s="196" t="s">
        <v>2</v>
      </c>
      <c r="D27" s="196"/>
      <c r="E27" s="100" t="s">
        <v>291</v>
      </c>
      <c r="F27" s="100" t="s">
        <v>29</v>
      </c>
      <c r="G27" s="100" t="s">
        <v>13</v>
      </c>
      <c r="H27" s="100" t="s">
        <v>50</v>
      </c>
      <c r="I27" s="100" t="s">
        <v>290</v>
      </c>
      <c r="J27" s="99"/>
      <c r="K27" s="98" t="s">
        <v>292</v>
      </c>
      <c r="L27" s="212" t="s">
        <v>2</v>
      </c>
      <c r="M27" s="212"/>
      <c r="N27" s="97" t="s">
        <v>291</v>
      </c>
      <c r="O27" s="97" t="s">
        <v>29</v>
      </c>
      <c r="P27" s="97" t="s">
        <v>13</v>
      </c>
      <c r="Q27" s="97" t="s">
        <v>50</v>
      </c>
      <c r="R27" s="97" t="s">
        <v>290</v>
      </c>
    </row>
    <row r="28" spans="2:18">
      <c r="B28" s="96">
        <v>1</v>
      </c>
      <c r="C28" s="95" t="s">
        <v>171</v>
      </c>
      <c r="D28" s="94"/>
      <c r="E28" s="93">
        <v>15</v>
      </c>
      <c r="F28" s="93">
        <v>34</v>
      </c>
      <c r="G28" s="93">
        <v>15</v>
      </c>
      <c r="H28" s="93">
        <v>34</v>
      </c>
      <c r="I28" s="93">
        <v>98</v>
      </c>
      <c r="J28" s="92"/>
      <c r="K28" s="91">
        <v>1</v>
      </c>
      <c r="L28" s="209"/>
      <c r="M28" s="210"/>
      <c r="N28" s="90"/>
      <c r="O28" s="90"/>
      <c r="P28" s="90"/>
      <c r="Q28" s="90"/>
      <c r="R28" s="90"/>
    </row>
    <row r="29" spans="2:18">
      <c r="B29" s="96">
        <v>2</v>
      </c>
      <c r="C29" s="95" t="s">
        <v>173</v>
      </c>
      <c r="D29" s="94"/>
      <c r="E29" s="93">
        <v>15</v>
      </c>
      <c r="F29" s="93">
        <v>32</v>
      </c>
      <c r="G29" s="93">
        <v>15</v>
      </c>
      <c r="H29" s="93">
        <v>32</v>
      </c>
      <c r="I29" s="93">
        <v>94</v>
      </c>
      <c r="J29" s="92"/>
      <c r="K29" s="91">
        <v>2</v>
      </c>
      <c r="L29" s="209"/>
      <c r="M29" s="210"/>
      <c r="N29" s="90"/>
      <c r="O29" s="90"/>
      <c r="P29" s="90"/>
      <c r="Q29" s="90"/>
      <c r="R29" s="90"/>
    </row>
    <row r="30" spans="2:18">
      <c r="B30" s="96">
        <v>3</v>
      </c>
      <c r="C30" s="95" t="s">
        <v>180</v>
      </c>
      <c r="D30" s="94"/>
      <c r="E30" s="93">
        <v>15</v>
      </c>
      <c r="F30" s="93">
        <v>32</v>
      </c>
      <c r="G30" s="93">
        <v>15</v>
      </c>
      <c r="H30" s="93">
        <v>32</v>
      </c>
      <c r="I30" s="93">
        <v>94</v>
      </c>
      <c r="J30" s="92"/>
      <c r="K30" s="91">
        <v>3</v>
      </c>
      <c r="L30" s="209"/>
      <c r="M30" s="210"/>
      <c r="N30" s="90"/>
      <c r="O30" s="90"/>
      <c r="P30" s="90"/>
      <c r="Q30" s="90"/>
      <c r="R30" s="90"/>
    </row>
    <row r="31" spans="2:18">
      <c r="B31" s="96">
        <v>4</v>
      </c>
      <c r="C31" s="95" t="s">
        <v>176</v>
      </c>
      <c r="D31" s="95"/>
      <c r="E31" s="93">
        <v>15</v>
      </c>
      <c r="F31" s="93">
        <v>32</v>
      </c>
      <c r="G31" s="93">
        <v>14.25</v>
      </c>
      <c r="H31" s="93">
        <v>32</v>
      </c>
      <c r="I31" s="93">
        <v>93.25</v>
      </c>
      <c r="J31" s="92"/>
      <c r="K31" s="91">
        <v>4</v>
      </c>
      <c r="L31" s="209"/>
      <c r="M31" s="210"/>
      <c r="N31" s="90"/>
      <c r="O31" s="90"/>
      <c r="P31" s="90"/>
      <c r="Q31" s="90"/>
      <c r="R31" s="90"/>
    </row>
    <row r="32" spans="2:18">
      <c r="B32" s="96">
        <v>5</v>
      </c>
      <c r="C32" s="95" t="s">
        <v>175</v>
      </c>
      <c r="D32" s="95"/>
      <c r="E32" s="93">
        <v>15</v>
      </c>
      <c r="F32" s="93">
        <v>30</v>
      </c>
      <c r="G32" s="93">
        <v>15</v>
      </c>
      <c r="H32" s="93">
        <v>30</v>
      </c>
      <c r="I32" s="93">
        <v>90</v>
      </c>
      <c r="J32" s="92"/>
      <c r="K32" s="91">
        <v>5</v>
      </c>
      <c r="L32" s="209"/>
      <c r="M32" s="210"/>
      <c r="N32" s="90"/>
      <c r="O32" s="90"/>
      <c r="P32" s="90"/>
      <c r="Q32" s="90"/>
      <c r="R32" s="90"/>
    </row>
    <row r="33" spans="2:18">
      <c r="B33" s="96">
        <v>6</v>
      </c>
      <c r="C33" s="95" t="s">
        <v>179</v>
      </c>
      <c r="D33" s="95"/>
      <c r="E33" s="93">
        <v>15</v>
      </c>
      <c r="F33" s="93">
        <v>30</v>
      </c>
      <c r="G33" s="93">
        <v>15</v>
      </c>
      <c r="H33" s="93">
        <v>30</v>
      </c>
      <c r="I33" s="93">
        <v>90</v>
      </c>
      <c r="J33" s="92"/>
      <c r="K33" s="91">
        <v>6</v>
      </c>
      <c r="L33" s="209"/>
      <c r="M33" s="210"/>
      <c r="N33" s="90"/>
      <c r="O33" s="90"/>
      <c r="P33" s="90"/>
      <c r="Q33" s="90"/>
      <c r="R33" s="90"/>
    </row>
    <row r="34" spans="2:18">
      <c r="B34" s="96">
        <v>7</v>
      </c>
      <c r="C34" s="95" t="s">
        <v>181</v>
      </c>
      <c r="D34" s="95"/>
      <c r="E34" s="93">
        <v>15</v>
      </c>
      <c r="F34" s="93">
        <v>29</v>
      </c>
      <c r="G34" s="93">
        <v>15</v>
      </c>
      <c r="H34" s="93">
        <v>29</v>
      </c>
      <c r="I34" s="93">
        <v>88</v>
      </c>
      <c r="J34" s="92"/>
      <c r="K34" s="91">
        <v>7</v>
      </c>
      <c r="L34" s="209"/>
      <c r="M34" s="210"/>
      <c r="N34" s="90"/>
      <c r="O34" s="90"/>
      <c r="P34" s="90"/>
      <c r="Q34" s="90"/>
      <c r="R34" s="90"/>
    </row>
    <row r="35" spans="2:18">
      <c r="B35" s="96">
        <v>8</v>
      </c>
      <c r="C35" s="94" t="s">
        <v>166</v>
      </c>
      <c r="D35" s="95"/>
      <c r="E35" s="93">
        <v>15</v>
      </c>
      <c r="F35" s="93">
        <v>28</v>
      </c>
      <c r="G35" s="93">
        <v>15</v>
      </c>
      <c r="H35" s="93">
        <v>28</v>
      </c>
      <c r="I35" s="93">
        <v>86</v>
      </c>
      <c r="J35" s="92"/>
      <c r="K35" s="91">
        <v>8</v>
      </c>
      <c r="L35" s="209"/>
      <c r="M35" s="210"/>
      <c r="N35" s="90"/>
      <c r="O35" s="90"/>
      <c r="P35" s="90"/>
      <c r="Q35" s="90"/>
      <c r="R35" s="90"/>
    </row>
    <row r="36" spans="2:18">
      <c r="B36" s="96">
        <v>9</v>
      </c>
      <c r="C36" s="95" t="s">
        <v>170</v>
      </c>
      <c r="D36" s="95"/>
      <c r="E36" s="93">
        <v>0</v>
      </c>
      <c r="F36" s="93">
        <v>35</v>
      </c>
      <c r="G36" s="93">
        <v>15</v>
      </c>
      <c r="H36" s="93">
        <v>35</v>
      </c>
      <c r="I36" s="93">
        <v>85</v>
      </c>
      <c r="J36" s="92"/>
      <c r="K36" s="91">
        <v>9</v>
      </c>
      <c r="L36" s="209"/>
      <c r="M36" s="210"/>
      <c r="N36" s="90"/>
      <c r="O36" s="90"/>
      <c r="P36" s="90"/>
      <c r="Q36" s="90"/>
      <c r="R36" s="90"/>
    </row>
    <row r="37" spans="2:18">
      <c r="B37" s="96">
        <v>10</v>
      </c>
      <c r="C37" s="94" t="s">
        <v>168</v>
      </c>
      <c r="D37" s="95"/>
      <c r="E37" s="93">
        <v>0</v>
      </c>
      <c r="F37" s="93">
        <v>35</v>
      </c>
      <c r="G37" s="93">
        <v>15</v>
      </c>
      <c r="H37" s="93">
        <v>35</v>
      </c>
      <c r="I37" s="93">
        <v>85</v>
      </c>
      <c r="J37" s="92"/>
      <c r="K37" s="91">
        <v>10</v>
      </c>
      <c r="L37" s="209"/>
      <c r="M37" s="210"/>
      <c r="N37" s="90"/>
      <c r="O37" s="90"/>
      <c r="P37" s="90"/>
      <c r="Q37" s="90"/>
      <c r="R37" s="90"/>
    </row>
    <row r="38" spans="2:18">
      <c r="B38" s="96">
        <v>11</v>
      </c>
      <c r="C38" s="95" t="s">
        <v>174</v>
      </c>
      <c r="D38" s="95"/>
      <c r="E38" s="93">
        <v>0</v>
      </c>
      <c r="F38" s="93">
        <v>35</v>
      </c>
      <c r="G38" s="93">
        <v>15</v>
      </c>
      <c r="H38" s="93">
        <v>35</v>
      </c>
      <c r="I38" s="93">
        <v>85</v>
      </c>
      <c r="J38" s="92"/>
      <c r="K38" s="91">
        <v>11</v>
      </c>
      <c r="L38" s="209"/>
      <c r="M38" s="210"/>
      <c r="N38" s="90"/>
      <c r="O38" s="90"/>
      <c r="P38" s="90"/>
      <c r="Q38" s="90"/>
      <c r="R38" s="90"/>
    </row>
    <row r="39" spans="2:18">
      <c r="B39" s="96">
        <v>12</v>
      </c>
      <c r="C39" s="94" t="s">
        <v>183</v>
      </c>
      <c r="D39" s="95"/>
      <c r="E39" s="93">
        <v>0</v>
      </c>
      <c r="F39" s="93">
        <v>32</v>
      </c>
      <c r="G39" s="93">
        <v>15</v>
      </c>
      <c r="H39" s="93">
        <v>32</v>
      </c>
      <c r="I39" s="93">
        <v>79</v>
      </c>
      <c r="J39" s="92"/>
      <c r="K39" s="91">
        <v>12</v>
      </c>
      <c r="L39" s="209"/>
      <c r="M39" s="210"/>
      <c r="N39" s="90"/>
      <c r="O39" s="90"/>
      <c r="P39" s="90"/>
      <c r="Q39" s="90"/>
      <c r="R39" s="90"/>
    </row>
    <row r="40" spans="2:18">
      <c r="B40" s="96">
        <v>13</v>
      </c>
      <c r="C40" s="94" t="s">
        <v>169</v>
      </c>
      <c r="D40" s="95"/>
      <c r="E40" s="93">
        <v>0</v>
      </c>
      <c r="F40" s="93">
        <v>30</v>
      </c>
      <c r="G40" s="93">
        <v>15</v>
      </c>
      <c r="H40" s="93">
        <v>30</v>
      </c>
      <c r="I40" s="93">
        <v>75</v>
      </c>
      <c r="J40" s="92"/>
      <c r="K40" s="91">
        <v>13</v>
      </c>
      <c r="L40" s="209"/>
      <c r="M40" s="210"/>
      <c r="N40" s="90"/>
      <c r="O40" s="90"/>
      <c r="P40" s="90"/>
      <c r="Q40" s="90"/>
      <c r="R40" s="90"/>
    </row>
    <row r="41" spans="2:18">
      <c r="B41" s="96">
        <v>14</v>
      </c>
      <c r="C41" s="94" t="s">
        <v>167</v>
      </c>
      <c r="D41" s="95"/>
      <c r="E41" s="93">
        <v>15</v>
      </c>
      <c r="F41" s="93">
        <v>21.875</v>
      </c>
      <c r="G41" s="93">
        <v>14.25</v>
      </c>
      <c r="H41" s="93">
        <v>21.875</v>
      </c>
      <c r="I41" s="93">
        <v>73</v>
      </c>
      <c r="J41" s="92"/>
      <c r="K41" s="91">
        <v>14</v>
      </c>
      <c r="L41" s="209"/>
      <c r="M41" s="210"/>
      <c r="N41" s="90"/>
      <c r="O41" s="90"/>
      <c r="P41" s="90"/>
      <c r="Q41" s="90"/>
      <c r="R41" s="90"/>
    </row>
    <row r="42" spans="2:18">
      <c r="B42" s="96">
        <v>15</v>
      </c>
      <c r="C42" s="94" t="s">
        <v>182</v>
      </c>
      <c r="D42" s="95"/>
      <c r="E42" s="93">
        <v>15</v>
      </c>
      <c r="F42" s="93">
        <v>21</v>
      </c>
      <c r="G42" s="93">
        <v>15</v>
      </c>
      <c r="H42" s="93">
        <v>21</v>
      </c>
      <c r="I42" s="93">
        <v>72</v>
      </c>
      <c r="J42" s="92"/>
      <c r="K42" s="91">
        <v>15</v>
      </c>
      <c r="L42" s="209"/>
      <c r="M42" s="210"/>
      <c r="N42" s="90"/>
      <c r="O42" s="90"/>
      <c r="P42" s="90"/>
      <c r="Q42" s="90"/>
      <c r="R42" s="90"/>
    </row>
    <row r="43" spans="2:18">
      <c r="B43" s="96">
        <v>16</v>
      </c>
      <c r="C43" s="95" t="s">
        <v>172</v>
      </c>
      <c r="D43" s="94"/>
      <c r="E43" s="93">
        <v>0</v>
      </c>
      <c r="F43" s="93">
        <v>28</v>
      </c>
      <c r="G43" s="93">
        <v>15</v>
      </c>
      <c r="H43" s="93">
        <v>28</v>
      </c>
      <c r="I43" s="93">
        <v>71</v>
      </c>
      <c r="J43" s="92"/>
      <c r="K43" s="91">
        <v>16</v>
      </c>
      <c r="L43" s="209"/>
      <c r="M43" s="210"/>
      <c r="N43" s="90"/>
      <c r="O43" s="90"/>
      <c r="P43" s="90"/>
      <c r="Q43" s="90"/>
      <c r="R43" s="90"/>
    </row>
    <row r="44" spans="2:18">
      <c r="B44" s="96">
        <v>17</v>
      </c>
      <c r="C44" s="95" t="s">
        <v>178</v>
      </c>
      <c r="D44" s="94"/>
      <c r="E44" s="93">
        <v>0</v>
      </c>
      <c r="F44" s="93">
        <v>21</v>
      </c>
      <c r="G44" s="93">
        <v>15</v>
      </c>
      <c r="H44" s="93">
        <v>21</v>
      </c>
      <c r="I44" s="93">
        <v>57</v>
      </c>
      <c r="J44" s="92"/>
      <c r="K44" s="91">
        <v>17</v>
      </c>
      <c r="L44" s="209"/>
      <c r="M44" s="210"/>
      <c r="N44" s="90"/>
      <c r="O44" s="90"/>
      <c r="P44" s="90"/>
      <c r="Q44" s="90"/>
      <c r="R44" s="90"/>
    </row>
    <row r="45" spans="2:18">
      <c r="B45" s="96">
        <v>18</v>
      </c>
      <c r="C45" s="95" t="s">
        <v>177</v>
      </c>
      <c r="D45" s="94"/>
      <c r="E45" s="93">
        <v>15</v>
      </c>
      <c r="F45" s="93">
        <v>0</v>
      </c>
      <c r="G45" s="93">
        <v>15</v>
      </c>
      <c r="H45" s="93">
        <v>0</v>
      </c>
      <c r="I45" s="93">
        <v>30</v>
      </c>
      <c r="J45" s="92"/>
      <c r="K45" s="91">
        <v>18</v>
      </c>
      <c r="L45" s="209"/>
      <c r="M45" s="210"/>
      <c r="N45" s="90"/>
      <c r="O45" s="90"/>
      <c r="P45" s="90"/>
      <c r="Q45" s="90"/>
      <c r="R45" s="90"/>
    </row>
    <row r="46" spans="2:18">
      <c r="B46" s="14"/>
      <c r="C46" s="198" t="s">
        <v>289</v>
      </c>
      <c r="D46" s="198"/>
      <c r="E46" s="89">
        <f>AVERAGE(E28:E45)</f>
        <v>9.1666666666666661</v>
      </c>
      <c r="F46" s="89">
        <f>AVERAGE(F28:F45)</f>
        <v>28.104166666666668</v>
      </c>
      <c r="G46" s="89">
        <f>AVERAGE(G28:G45)</f>
        <v>14.916666666666666</v>
      </c>
      <c r="H46" s="89">
        <f>AVERAGE(H28:H45)</f>
        <v>28.104166666666668</v>
      </c>
      <c r="I46" s="89">
        <f>AVERAGE(I28:I45)</f>
        <v>80.291666666666671</v>
      </c>
      <c r="J46" s="88"/>
      <c r="K46" s="87"/>
      <c r="L46" s="206" t="s">
        <v>289</v>
      </c>
      <c r="M46" s="206"/>
      <c r="N46" s="86"/>
      <c r="O46" s="86"/>
      <c r="P46" s="86"/>
      <c r="Q46" s="86"/>
      <c r="R46" s="86"/>
    </row>
    <row r="48" spans="2:18" ht="14.5" customHeight="1">
      <c r="B48" s="197" t="s">
        <v>288</v>
      </c>
      <c r="C48" s="197"/>
      <c r="D48" s="197"/>
      <c r="E48" s="197"/>
      <c r="F48" s="197"/>
      <c r="G48" s="197"/>
      <c r="H48" s="197"/>
      <c r="I48" s="197"/>
      <c r="J48" s="85"/>
    </row>
    <row r="49" spans="2:17">
      <c r="J49" s="84"/>
    </row>
    <row r="50" spans="2:17">
      <c r="J50" s="84"/>
    </row>
    <row r="51" spans="2:17" ht="27" customHeight="1">
      <c r="B51" s="83" t="s">
        <v>38</v>
      </c>
      <c r="C51" s="221" t="s">
        <v>47</v>
      </c>
      <c r="D51" s="221"/>
      <c r="E51" s="221"/>
      <c r="F51" s="83" t="s">
        <v>230</v>
      </c>
      <c r="G51" s="83" t="s">
        <v>231</v>
      </c>
      <c r="H51" s="83" t="s">
        <v>226</v>
      </c>
      <c r="I51" s="83" t="s">
        <v>287</v>
      </c>
      <c r="J51" s="82"/>
      <c r="K51" s="81" t="s">
        <v>38</v>
      </c>
      <c r="L51" s="222" t="s">
        <v>47</v>
      </c>
      <c r="M51" s="222"/>
      <c r="N51" s="81" t="s">
        <v>230</v>
      </c>
      <c r="O51" s="81" t="s">
        <v>231</v>
      </c>
      <c r="P51" s="81" t="s">
        <v>226</v>
      </c>
      <c r="Q51" s="81" t="s">
        <v>287</v>
      </c>
    </row>
    <row r="52" spans="2:17" ht="58.9" customHeight="1">
      <c r="B52" s="80" t="s">
        <v>233</v>
      </c>
      <c r="C52" s="164" t="s">
        <v>234</v>
      </c>
      <c r="D52" s="164"/>
      <c r="E52" s="164"/>
      <c r="F52" s="79">
        <f>3/4</f>
        <v>0.75</v>
      </c>
      <c r="G52" s="70">
        <v>0.8</v>
      </c>
      <c r="H52" s="78"/>
      <c r="I52" s="70">
        <f t="shared" ref="I52:I58" si="0">AVERAGE(F52:G52)</f>
        <v>0.77500000000000002</v>
      </c>
      <c r="J52" s="75"/>
      <c r="K52" s="68" t="s">
        <v>233</v>
      </c>
      <c r="L52" s="220" t="s">
        <v>234</v>
      </c>
      <c r="M52" s="220"/>
      <c r="N52" s="52" t="s">
        <v>286</v>
      </c>
      <c r="O52" s="52" t="s">
        <v>285</v>
      </c>
      <c r="P52" s="60"/>
      <c r="Q52" s="52" t="s">
        <v>237</v>
      </c>
    </row>
    <row r="53" spans="2:17" ht="34.15" customHeight="1">
      <c r="B53" s="61" t="s">
        <v>238</v>
      </c>
      <c r="C53" s="164" t="s">
        <v>239</v>
      </c>
      <c r="D53" s="164"/>
      <c r="E53" s="164"/>
      <c r="F53" s="77">
        <v>0.8</v>
      </c>
      <c r="G53" s="72">
        <v>0.92</v>
      </c>
      <c r="H53" s="76"/>
      <c r="I53" s="70">
        <f t="shared" si="0"/>
        <v>0.8600000000000001</v>
      </c>
      <c r="J53" s="75"/>
      <c r="K53" s="68" t="s">
        <v>238</v>
      </c>
      <c r="L53" s="220" t="s">
        <v>239</v>
      </c>
      <c r="M53" s="220"/>
      <c r="N53" s="52" t="s">
        <v>240</v>
      </c>
      <c r="O53" s="52" t="s">
        <v>241</v>
      </c>
      <c r="P53" s="60"/>
      <c r="Q53" s="62"/>
    </row>
    <row r="54" spans="2:17" ht="22.15" customHeight="1">
      <c r="B54" s="61" t="s">
        <v>242</v>
      </c>
      <c r="C54" s="164" t="s">
        <v>243</v>
      </c>
      <c r="D54" s="164"/>
      <c r="E54" s="164"/>
      <c r="F54" s="73"/>
      <c r="G54" s="72">
        <v>0.91</v>
      </c>
      <c r="H54" s="76"/>
      <c r="I54" s="70">
        <f t="shared" si="0"/>
        <v>0.91</v>
      </c>
      <c r="J54" s="75"/>
      <c r="K54" s="68" t="s">
        <v>242</v>
      </c>
      <c r="L54" s="220" t="s">
        <v>243</v>
      </c>
      <c r="M54" s="220"/>
      <c r="N54" s="60"/>
      <c r="O54" s="52" t="s">
        <v>244</v>
      </c>
      <c r="P54" s="60"/>
      <c r="Q54" s="62"/>
    </row>
    <row r="55" spans="2:17" ht="46.9" customHeight="1">
      <c r="B55" s="61" t="s">
        <v>245</v>
      </c>
      <c r="C55" s="164" t="s">
        <v>246</v>
      </c>
      <c r="D55" s="164"/>
      <c r="E55" s="164"/>
      <c r="F55" s="77">
        <v>0.45</v>
      </c>
      <c r="G55" s="72">
        <v>1</v>
      </c>
      <c r="H55" s="76"/>
      <c r="I55" s="70">
        <f t="shared" si="0"/>
        <v>0.72499999999999998</v>
      </c>
      <c r="J55" s="75"/>
      <c r="K55" s="68" t="s">
        <v>245</v>
      </c>
      <c r="L55" s="220" t="s">
        <v>246</v>
      </c>
      <c r="M55" s="220"/>
      <c r="N55" s="52" t="s">
        <v>247</v>
      </c>
      <c r="O55" s="52" t="s">
        <v>248</v>
      </c>
      <c r="P55" s="60"/>
      <c r="Q55" s="62"/>
    </row>
    <row r="56" spans="2:17" ht="43.9" customHeight="1">
      <c r="B56" s="61" t="s">
        <v>249</v>
      </c>
      <c r="C56" s="164" t="s">
        <v>250</v>
      </c>
      <c r="D56" s="164"/>
      <c r="E56" s="164"/>
      <c r="F56" s="77">
        <v>0.92</v>
      </c>
      <c r="G56" s="72">
        <v>0.89</v>
      </c>
      <c r="H56" s="76"/>
      <c r="I56" s="70">
        <f t="shared" si="0"/>
        <v>0.90500000000000003</v>
      </c>
      <c r="J56" s="75"/>
      <c r="K56" s="68" t="s">
        <v>249</v>
      </c>
      <c r="L56" s="220" t="s">
        <v>250</v>
      </c>
      <c r="M56" s="220"/>
      <c r="N56" s="52" t="s">
        <v>251</v>
      </c>
      <c r="O56" s="52" t="s">
        <v>252</v>
      </c>
      <c r="P56" s="60"/>
      <c r="Q56" s="62"/>
    </row>
    <row r="57" spans="2:17" ht="57" customHeight="1">
      <c r="B57" s="61" t="s">
        <v>253</v>
      </c>
      <c r="C57" s="164" t="s">
        <v>254</v>
      </c>
      <c r="D57" s="164"/>
      <c r="E57" s="164"/>
      <c r="F57" s="74">
        <v>0.35</v>
      </c>
      <c r="G57" s="71">
        <v>0.8</v>
      </c>
      <c r="H57" s="71">
        <v>0.89</v>
      </c>
      <c r="I57" s="70">
        <f t="shared" si="0"/>
        <v>0.57499999999999996</v>
      </c>
      <c r="J57" s="69"/>
      <c r="K57" s="68" t="s">
        <v>253</v>
      </c>
      <c r="L57" s="220" t="s">
        <v>254</v>
      </c>
      <c r="M57" s="220"/>
      <c r="N57" s="52" t="s">
        <v>255</v>
      </c>
      <c r="O57" s="52" t="s">
        <v>256</v>
      </c>
      <c r="P57" s="52" t="s">
        <v>284</v>
      </c>
      <c r="Q57" s="62"/>
    </row>
    <row r="58" spans="2:17" ht="42.65" customHeight="1">
      <c r="B58" s="61" t="s">
        <v>258</v>
      </c>
      <c r="C58" s="164" t="s">
        <v>259</v>
      </c>
      <c r="D58" s="164"/>
      <c r="E58" s="164"/>
      <c r="F58" s="73"/>
      <c r="G58" s="72">
        <v>0.76</v>
      </c>
      <c r="H58" s="71">
        <v>0.92</v>
      </c>
      <c r="I58" s="70">
        <f t="shared" si="0"/>
        <v>0.76</v>
      </c>
      <c r="J58" s="69"/>
      <c r="K58" s="68" t="s">
        <v>258</v>
      </c>
      <c r="L58" s="220" t="s">
        <v>259</v>
      </c>
      <c r="M58" s="220"/>
      <c r="N58" s="60"/>
      <c r="O58" s="52" t="s">
        <v>260</v>
      </c>
      <c r="P58" s="52" t="s">
        <v>261</v>
      </c>
      <c r="Q58" s="62"/>
    </row>
    <row r="61" spans="2:17" ht="189" customHeight="1">
      <c r="B61" s="143" t="s">
        <v>283</v>
      </c>
      <c r="C61" s="143"/>
      <c r="D61" s="143"/>
      <c r="E61" s="143"/>
      <c r="F61" s="143"/>
      <c r="G61" s="143"/>
      <c r="H61" s="143"/>
      <c r="I61" s="143"/>
      <c r="J61" s="66"/>
    </row>
    <row r="63" spans="2:17" ht="126" customHeight="1">
      <c r="B63" s="191" t="s">
        <v>282</v>
      </c>
      <c r="C63" s="191"/>
      <c r="D63" s="191"/>
      <c r="E63" s="191"/>
      <c r="F63" s="191"/>
      <c r="G63" s="191"/>
      <c r="H63" s="191"/>
      <c r="I63" s="191"/>
      <c r="J63" s="66"/>
    </row>
    <row r="65" spans="2:10">
      <c r="B65" s="131" t="s">
        <v>281</v>
      </c>
      <c r="C65" s="131"/>
      <c r="D65" s="131"/>
      <c r="E65" s="131"/>
      <c r="F65" s="131"/>
      <c r="G65" s="131"/>
      <c r="H65" s="131"/>
      <c r="I65" s="131"/>
      <c r="J65" s="67"/>
    </row>
    <row r="66" spans="2:10">
      <c r="B66" s="131"/>
      <c r="C66" s="131"/>
      <c r="D66" s="131"/>
      <c r="E66" s="131"/>
      <c r="F66" s="131"/>
      <c r="G66" s="131"/>
      <c r="H66" s="131"/>
      <c r="I66" s="131"/>
      <c r="J66" s="67"/>
    </row>
    <row r="67" spans="2:10">
      <c r="B67" s="131"/>
      <c r="C67" s="131"/>
      <c r="D67" s="131"/>
      <c r="E67" s="131"/>
      <c r="F67" s="131"/>
      <c r="G67" s="131"/>
      <c r="H67" s="131"/>
      <c r="I67" s="131"/>
      <c r="J67" s="67"/>
    </row>
    <row r="68" spans="2:10">
      <c r="B68" s="131"/>
      <c r="C68" s="131"/>
      <c r="D68" s="131"/>
      <c r="E68" s="131"/>
      <c r="F68" s="131"/>
      <c r="G68" s="131"/>
      <c r="H68" s="131"/>
      <c r="I68" s="131"/>
      <c r="J68" s="67"/>
    </row>
    <row r="69" spans="2:10">
      <c r="B69" s="131"/>
      <c r="C69" s="131"/>
      <c r="D69" s="131"/>
      <c r="E69" s="131"/>
      <c r="F69" s="131"/>
      <c r="G69" s="131"/>
      <c r="H69" s="131"/>
      <c r="I69" s="131"/>
      <c r="J69" s="67"/>
    </row>
    <row r="70" spans="2:10">
      <c r="B70" s="131"/>
      <c r="C70" s="131"/>
      <c r="D70" s="131"/>
      <c r="E70" s="131"/>
      <c r="F70" s="131"/>
      <c r="G70" s="131"/>
      <c r="H70" s="131"/>
      <c r="I70" s="131"/>
      <c r="J70" s="67"/>
    </row>
    <row r="71" spans="2:10">
      <c r="B71" s="131"/>
      <c r="C71" s="131"/>
      <c r="D71" s="131"/>
      <c r="E71" s="131"/>
      <c r="F71" s="131"/>
      <c r="G71" s="131"/>
      <c r="H71" s="131"/>
      <c r="I71" s="131"/>
      <c r="J71" s="67"/>
    </row>
    <row r="72" spans="2:10">
      <c r="B72" s="131"/>
      <c r="C72" s="131"/>
      <c r="D72" s="131"/>
      <c r="E72" s="131"/>
      <c r="F72" s="131"/>
      <c r="G72" s="131"/>
      <c r="H72" s="131"/>
      <c r="I72" s="131"/>
      <c r="J72" s="67"/>
    </row>
    <row r="73" spans="2:10">
      <c r="B73" s="131"/>
      <c r="C73" s="131"/>
      <c r="D73" s="131"/>
      <c r="E73" s="131"/>
      <c r="F73" s="131"/>
      <c r="G73" s="131"/>
      <c r="H73" s="131"/>
      <c r="I73" s="131"/>
      <c r="J73" s="67"/>
    </row>
    <row r="74" spans="2:10" ht="14.5" customHeight="1">
      <c r="B74" s="187" t="s">
        <v>280</v>
      </c>
      <c r="C74" s="188"/>
      <c r="D74" s="188"/>
      <c r="E74" s="188"/>
      <c r="F74" s="188"/>
      <c r="G74" s="188"/>
      <c r="H74" s="188"/>
      <c r="I74" s="189"/>
      <c r="J74" s="66"/>
    </row>
    <row r="75" spans="2:10" ht="14.5" customHeight="1">
      <c r="B75" s="190"/>
      <c r="C75" s="191"/>
      <c r="D75" s="191"/>
      <c r="E75" s="191"/>
      <c r="F75" s="191"/>
      <c r="G75" s="191"/>
      <c r="H75" s="191"/>
      <c r="I75" s="192"/>
      <c r="J75" s="66"/>
    </row>
    <row r="76" spans="2:10" ht="14.5" customHeight="1">
      <c r="B76" s="190"/>
      <c r="C76" s="191"/>
      <c r="D76" s="191"/>
      <c r="E76" s="191"/>
      <c r="F76" s="191"/>
      <c r="G76" s="191"/>
      <c r="H76" s="191"/>
      <c r="I76" s="192"/>
      <c r="J76" s="66"/>
    </row>
    <row r="77" spans="2:10">
      <c r="B77" s="190"/>
      <c r="C77" s="191"/>
      <c r="D77" s="191"/>
      <c r="E77" s="191"/>
      <c r="F77" s="191"/>
      <c r="G77" s="191"/>
      <c r="H77" s="191"/>
      <c r="I77" s="192"/>
      <c r="J77" s="66"/>
    </row>
    <row r="78" spans="2:10">
      <c r="B78" s="190"/>
      <c r="C78" s="191"/>
      <c r="D78" s="191"/>
      <c r="E78" s="191"/>
      <c r="F78" s="191"/>
      <c r="G78" s="191"/>
      <c r="H78" s="191"/>
      <c r="I78" s="192"/>
      <c r="J78" s="66"/>
    </row>
    <row r="79" spans="2:10">
      <c r="B79" s="190"/>
      <c r="C79" s="191"/>
      <c r="D79" s="191"/>
      <c r="E79" s="191"/>
      <c r="F79" s="191"/>
      <c r="G79" s="191"/>
      <c r="H79" s="191"/>
      <c r="I79" s="192"/>
      <c r="J79" s="66"/>
    </row>
    <row r="80" spans="2:10">
      <c r="B80" s="190"/>
      <c r="C80" s="191"/>
      <c r="D80" s="191"/>
      <c r="E80" s="191"/>
      <c r="F80" s="191"/>
      <c r="G80" s="191"/>
      <c r="H80" s="191"/>
      <c r="I80" s="192"/>
      <c r="J80" s="66"/>
    </row>
    <row r="81" spans="2:10">
      <c r="B81" s="190"/>
      <c r="C81" s="191"/>
      <c r="D81" s="191"/>
      <c r="E81" s="191"/>
      <c r="F81" s="191"/>
      <c r="G81" s="191"/>
      <c r="H81" s="191"/>
      <c r="I81" s="192"/>
      <c r="J81" s="66"/>
    </row>
    <row r="82" spans="2:10">
      <c r="B82" s="193"/>
      <c r="C82" s="194"/>
      <c r="D82" s="194"/>
      <c r="E82" s="194"/>
      <c r="F82" s="194"/>
      <c r="G82" s="194"/>
      <c r="H82" s="194"/>
      <c r="I82" s="195"/>
      <c r="J82" s="66"/>
    </row>
  </sheetData>
  <mergeCells count="96">
    <mergeCell ref="L30:M30"/>
    <mergeCell ref="L31:M31"/>
    <mergeCell ref="L32:M32"/>
    <mergeCell ref="L33:M33"/>
    <mergeCell ref="L34:M34"/>
    <mergeCell ref="L58:M58"/>
    <mergeCell ref="C51:E51"/>
    <mergeCell ref="C52:E52"/>
    <mergeCell ref="C53:E53"/>
    <mergeCell ref="C54:E54"/>
    <mergeCell ref="C55:E55"/>
    <mergeCell ref="C56:E56"/>
    <mergeCell ref="C57:E57"/>
    <mergeCell ref="C58:E58"/>
    <mergeCell ref="L53:M53"/>
    <mergeCell ref="L54:M54"/>
    <mergeCell ref="L55:M55"/>
    <mergeCell ref="L56:M56"/>
    <mergeCell ref="L57:M57"/>
    <mergeCell ref="L51:M51"/>
    <mergeCell ref="L52:M52"/>
    <mergeCell ref="K12:L12"/>
    <mergeCell ref="M12:Q12"/>
    <mergeCell ref="O17:P17"/>
    <mergeCell ref="Q17:R17"/>
    <mergeCell ref="O18:P18"/>
    <mergeCell ref="Q18:R22"/>
    <mergeCell ref="O21:P21"/>
    <mergeCell ref="O19:P19"/>
    <mergeCell ref="K22:N22"/>
    <mergeCell ref="O22:P22"/>
    <mergeCell ref="L28:M28"/>
    <mergeCell ref="L29:M29"/>
    <mergeCell ref="K20:N20"/>
    <mergeCell ref="O20:P20"/>
    <mergeCell ref="L27:M27"/>
    <mergeCell ref="L46:M46"/>
    <mergeCell ref="K17:N17"/>
    <mergeCell ref="K18:N18"/>
    <mergeCell ref="K19:N19"/>
    <mergeCell ref="K21:N21"/>
    <mergeCell ref="L45:M45"/>
    <mergeCell ref="L44:M44"/>
    <mergeCell ref="L40:M40"/>
    <mergeCell ref="L41:M41"/>
    <mergeCell ref="L42:M42"/>
    <mergeCell ref="L43:M43"/>
    <mergeCell ref="L35:M35"/>
    <mergeCell ref="L36:M36"/>
    <mergeCell ref="L37:M37"/>
    <mergeCell ref="L38:M38"/>
    <mergeCell ref="L39:M39"/>
    <mergeCell ref="K9:L9"/>
    <mergeCell ref="M9:Q9"/>
    <mergeCell ref="K10:L10"/>
    <mergeCell ref="M10:Q10"/>
    <mergeCell ref="K11:L11"/>
    <mergeCell ref="M11:Q11"/>
    <mergeCell ref="B17:E17"/>
    <mergeCell ref="F17:G17"/>
    <mergeCell ref="H17:I17"/>
    <mergeCell ref="C6:H6"/>
    <mergeCell ref="C7:H7"/>
    <mergeCell ref="B9:C9"/>
    <mergeCell ref="D9:I9"/>
    <mergeCell ref="B10:C10"/>
    <mergeCell ref="D10:I10"/>
    <mergeCell ref="B11:C11"/>
    <mergeCell ref="D11:I11"/>
    <mergeCell ref="B12:C12"/>
    <mergeCell ref="D12:I12"/>
    <mergeCell ref="B15:I15"/>
    <mergeCell ref="H18:I18"/>
    <mergeCell ref="B19:E19"/>
    <mergeCell ref="F19:G19"/>
    <mergeCell ref="H19:I19"/>
    <mergeCell ref="B20:E20"/>
    <mergeCell ref="F20:G20"/>
    <mergeCell ref="H20:I20"/>
    <mergeCell ref="B18:E18"/>
    <mergeCell ref="F18:G18"/>
    <mergeCell ref="B21:E21"/>
    <mergeCell ref="F21:G21"/>
    <mergeCell ref="H21:I21"/>
    <mergeCell ref="B22:E22"/>
    <mergeCell ref="F22:G22"/>
    <mergeCell ref="H22:I22"/>
    <mergeCell ref="B25:I25"/>
    <mergeCell ref="B74:I82"/>
    <mergeCell ref="C27:D27"/>
    <mergeCell ref="B61:I61"/>
    <mergeCell ref="B63:I63"/>
    <mergeCell ref="B65:I65"/>
    <mergeCell ref="B66:I73"/>
    <mergeCell ref="B48:I48"/>
    <mergeCell ref="C46:D46"/>
  </mergeCells>
  <conditionalFormatting sqref="D28:D45">
    <cfRule type="containsText" dxfId="7" priority="7" operator="containsText" text="VACANTE">
      <formula>NOT(ISERROR(SEARCH("VACANTE",D28)))</formula>
    </cfRule>
    <cfRule type="containsText" dxfId="6" priority="8" operator="containsText" text="PENDIENTE">
      <formula>NOT(ISERROR(SEARCH("PENDIENTE",D28)))</formula>
    </cfRule>
  </conditionalFormatting>
  <conditionalFormatting sqref="C28:C46">
    <cfRule type="containsText" dxfId="5" priority="5" operator="containsText" text="VACANTE">
      <formula>NOT(ISERROR(SEARCH("VACANTE",C28)))</formula>
    </cfRule>
    <cfRule type="containsText" dxfId="4" priority="6" operator="containsText" text="PENDIENTE">
      <formula>NOT(ISERROR(SEARCH("PENDIENTE",C28)))</formula>
    </cfRule>
  </conditionalFormatting>
  <conditionalFormatting sqref="L28 L46">
    <cfRule type="containsText" dxfId="3" priority="3" operator="containsText" text="VACANTE">
      <formula>NOT(ISERROR(SEARCH("VACANTE",L28)))</formula>
    </cfRule>
    <cfRule type="containsText" dxfId="2" priority="4" operator="containsText" text="PENDIENTE">
      <formula>NOT(ISERROR(SEARCH("PENDIENTE",L28)))</formula>
    </cfRule>
  </conditionalFormatting>
  <conditionalFormatting sqref="L29:L45">
    <cfRule type="containsText" dxfId="1" priority="1" operator="containsText" text="VACANTE">
      <formula>NOT(ISERROR(SEARCH("VACANTE",L29)))</formula>
    </cfRule>
    <cfRule type="containsText" dxfId="0" priority="2" operator="containsText" text="PENDIENTE">
      <formula>NOT(ISERROR(SEARCH("PENDIENTE",L29)))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6:Z68"/>
  <sheetViews>
    <sheetView topLeftCell="A19" zoomScaleNormal="100" workbookViewId="0">
      <selection activeCell="I36" sqref="I36:M36"/>
    </sheetView>
  </sheetViews>
  <sheetFormatPr baseColWidth="10" defaultRowHeight="14.5"/>
  <cols>
    <col min="1" max="1" width="15.26953125" style="75" customWidth="1"/>
    <col min="2" max="2" width="7.7265625" customWidth="1"/>
    <col min="3" max="3" width="9.26953125" customWidth="1"/>
    <col min="4" max="4" width="9.81640625" customWidth="1"/>
    <col min="5" max="5" width="9.7265625" customWidth="1"/>
    <col min="6" max="6" width="8.81640625" customWidth="1"/>
    <col min="7" max="7" width="8" customWidth="1"/>
    <col min="8" max="8" width="8.81640625" customWidth="1"/>
    <col min="9" max="9" width="8.54296875" customWidth="1"/>
    <col min="10" max="10" width="8.7265625" customWidth="1"/>
    <col min="11" max="11" width="10.1796875" customWidth="1"/>
    <col min="12" max="12" width="8.81640625" customWidth="1"/>
    <col min="13" max="13" width="7.7265625" customWidth="1"/>
    <col min="20" max="20" width="18.1796875" customWidth="1"/>
  </cols>
  <sheetData>
    <row r="6" spans="1:21">
      <c r="D6" s="105"/>
      <c r="E6" s="185" t="s">
        <v>69</v>
      </c>
      <c r="F6" s="185"/>
      <c r="G6" s="185"/>
      <c r="H6" s="185"/>
      <c r="I6" s="185"/>
      <c r="J6" s="185"/>
    </row>
    <row r="7" spans="1:21">
      <c r="F7" s="185" t="s">
        <v>208</v>
      </c>
      <c r="G7" s="185"/>
      <c r="H7" s="185"/>
      <c r="I7" s="185"/>
    </row>
    <row r="8" spans="1:21">
      <c r="I8" s="106"/>
      <c r="Q8" s="105"/>
      <c r="R8" s="105"/>
      <c r="S8" s="105"/>
      <c r="T8" s="105"/>
      <c r="U8" s="105"/>
    </row>
    <row r="10" spans="1:21" ht="18" customHeight="1">
      <c r="A10" s="107"/>
      <c r="B10" s="278" t="s">
        <v>304</v>
      </c>
      <c r="C10" s="278"/>
      <c r="D10" s="279"/>
      <c r="E10" s="280"/>
      <c r="F10" s="280"/>
      <c r="G10" s="281"/>
      <c r="H10" s="108"/>
      <c r="I10" s="108"/>
      <c r="J10" s="108"/>
      <c r="K10" s="108"/>
      <c r="L10" s="108"/>
      <c r="M10" s="108"/>
      <c r="O10" s="253" t="s">
        <v>304</v>
      </c>
      <c r="P10" s="253"/>
      <c r="Q10" s="254" t="s">
        <v>210</v>
      </c>
      <c r="R10" s="254"/>
      <c r="S10" s="254"/>
      <c r="T10" s="254"/>
    </row>
    <row r="11" spans="1:21" ht="16.149999999999999" customHeight="1">
      <c r="A11" s="107"/>
      <c r="B11" s="278" t="s">
        <v>211</v>
      </c>
      <c r="C11" s="278"/>
      <c r="D11" s="279"/>
      <c r="E11" s="280"/>
      <c r="F11" s="280"/>
      <c r="G11" s="281"/>
      <c r="H11" s="108"/>
      <c r="I11" s="108"/>
      <c r="J11" s="108"/>
      <c r="K11" s="108"/>
      <c r="L11" s="108"/>
      <c r="M11" s="108"/>
      <c r="O11" s="253" t="s">
        <v>211</v>
      </c>
      <c r="P11" s="253"/>
      <c r="Q11" s="255"/>
      <c r="R11" s="255"/>
      <c r="S11" s="255"/>
      <c r="T11" s="255"/>
    </row>
    <row r="12" spans="1:21" ht="33" customHeight="1">
      <c r="A12" s="107"/>
      <c r="B12" s="278" t="s">
        <v>305</v>
      </c>
      <c r="C12" s="278"/>
      <c r="D12" s="282">
        <f>M19</f>
        <v>0</v>
      </c>
      <c r="E12" s="283"/>
      <c r="F12" s="283"/>
      <c r="G12" s="284"/>
      <c r="H12" s="109"/>
      <c r="I12" s="109"/>
      <c r="J12" s="109"/>
      <c r="K12" s="109"/>
      <c r="L12" s="109"/>
      <c r="M12" s="109"/>
      <c r="O12" s="253" t="s">
        <v>305</v>
      </c>
      <c r="P12" s="253"/>
      <c r="Q12" s="256">
        <f>Z19</f>
        <v>0</v>
      </c>
      <c r="R12" s="256"/>
      <c r="S12" s="256"/>
      <c r="T12" s="256"/>
    </row>
    <row r="15" spans="1:21" ht="32.5" customHeight="1">
      <c r="A15" s="110"/>
      <c r="B15" s="285" t="s">
        <v>306</v>
      </c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7"/>
    </row>
    <row r="16" spans="1:21" ht="15" thickBot="1"/>
    <row r="17" spans="1:26" ht="15" thickBot="1">
      <c r="B17" s="288" t="s">
        <v>307</v>
      </c>
      <c r="C17" s="289"/>
      <c r="D17" s="289"/>
      <c r="E17" s="289"/>
      <c r="F17" s="289"/>
      <c r="G17" s="289"/>
      <c r="H17" s="290"/>
      <c r="I17" s="288" t="s">
        <v>308</v>
      </c>
      <c r="J17" s="289"/>
      <c r="K17" s="289"/>
      <c r="L17" s="289"/>
      <c r="M17" s="290"/>
      <c r="O17" s="252" t="s">
        <v>307</v>
      </c>
      <c r="P17" s="252"/>
      <c r="Q17" s="252"/>
      <c r="R17" s="252"/>
      <c r="S17" s="252"/>
      <c r="T17" s="252"/>
      <c r="U17" s="252"/>
      <c r="V17" s="252" t="s">
        <v>308</v>
      </c>
      <c r="W17" s="252"/>
      <c r="X17" s="252"/>
      <c r="Y17" s="252"/>
      <c r="Z17" s="252"/>
    </row>
    <row r="18" spans="1:26" ht="31.9" customHeight="1" thickBot="1">
      <c r="A18" s="102"/>
      <c r="B18" s="111" t="s">
        <v>309</v>
      </c>
      <c r="C18" s="112" t="s">
        <v>310</v>
      </c>
      <c r="D18" s="112" t="s">
        <v>311</v>
      </c>
      <c r="E18" s="112" t="s">
        <v>312</v>
      </c>
      <c r="F18" s="112" t="s">
        <v>313</v>
      </c>
      <c r="G18" s="112" t="s">
        <v>314</v>
      </c>
      <c r="H18" s="113" t="s">
        <v>315</v>
      </c>
      <c r="I18" s="111" t="s">
        <v>221</v>
      </c>
      <c r="J18" s="112" t="s">
        <v>29</v>
      </c>
      <c r="K18" s="112" t="s">
        <v>316</v>
      </c>
      <c r="L18" s="112" t="s">
        <v>50</v>
      </c>
      <c r="M18" s="113" t="s">
        <v>203</v>
      </c>
      <c r="O18" s="121" t="s">
        <v>309</v>
      </c>
      <c r="P18" s="121" t="s">
        <v>310</v>
      </c>
      <c r="Q18" s="121" t="s">
        <v>311</v>
      </c>
      <c r="R18" s="121" t="s">
        <v>312</v>
      </c>
      <c r="S18" s="121" t="s">
        <v>313</v>
      </c>
      <c r="T18" s="121" t="s">
        <v>314</v>
      </c>
      <c r="U18" s="121" t="s">
        <v>315</v>
      </c>
      <c r="V18" s="121" t="s">
        <v>221</v>
      </c>
      <c r="W18" s="121" t="s">
        <v>29</v>
      </c>
      <c r="X18" s="121" t="s">
        <v>316</v>
      </c>
      <c r="Y18" s="121" t="s">
        <v>50</v>
      </c>
      <c r="Z18" s="121" t="s">
        <v>203</v>
      </c>
    </row>
    <row r="19" spans="1:26" ht="15" thickBot="1">
      <c r="B19" s="114"/>
      <c r="C19" s="115"/>
      <c r="D19" s="115"/>
      <c r="E19" s="115"/>
      <c r="F19" s="115"/>
      <c r="G19" s="115"/>
      <c r="H19" s="116"/>
      <c r="I19" s="114"/>
      <c r="J19" s="115"/>
      <c r="K19" s="115"/>
      <c r="L19" s="115"/>
      <c r="M19" s="116"/>
      <c r="O19" s="236" t="s">
        <v>325</v>
      </c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8"/>
    </row>
    <row r="21" spans="1:26">
      <c r="B21" s="274" t="s">
        <v>317</v>
      </c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O21" s="247" t="s">
        <v>317</v>
      </c>
      <c r="P21" s="247"/>
      <c r="Q21" s="247"/>
      <c r="R21" s="247"/>
      <c r="S21" s="247"/>
      <c r="T21" s="247"/>
      <c r="U21" s="247"/>
      <c r="V21" s="247"/>
      <c r="W21" s="247"/>
      <c r="X21" s="247"/>
      <c r="Y21" s="247"/>
      <c r="Z21" s="247"/>
    </row>
    <row r="22" spans="1:26">
      <c r="B22" s="117" t="s">
        <v>318</v>
      </c>
      <c r="C22" s="275" t="s">
        <v>319</v>
      </c>
      <c r="D22" s="276"/>
      <c r="E22" s="276"/>
      <c r="F22" s="277"/>
      <c r="G22" s="275" t="s">
        <v>320</v>
      </c>
      <c r="H22" s="276"/>
      <c r="I22" s="276"/>
      <c r="J22" s="277"/>
      <c r="K22" s="275" t="s">
        <v>321</v>
      </c>
      <c r="L22" s="276"/>
      <c r="M22" s="277"/>
      <c r="O22" s="122" t="s">
        <v>318</v>
      </c>
      <c r="P22" s="247" t="s">
        <v>319</v>
      </c>
      <c r="Q22" s="247"/>
      <c r="R22" s="247"/>
      <c r="S22" s="247"/>
      <c r="T22" s="247" t="s">
        <v>320</v>
      </c>
      <c r="U22" s="247"/>
      <c r="V22" s="247"/>
      <c r="W22" s="247"/>
      <c r="X22" s="247" t="s">
        <v>321</v>
      </c>
      <c r="Y22" s="247"/>
      <c r="Z22" s="247"/>
    </row>
    <row r="23" spans="1:26" ht="23.25" customHeight="1">
      <c r="B23" s="118"/>
      <c r="C23" s="268"/>
      <c r="D23" s="273"/>
      <c r="E23" s="273"/>
      <c r="F23" s="269"/>
      <c r="G23" s="268"/>
      <c r="H23" s="273"/>
      <c r="I23" s="273"/>
      <c r="J23" s="269"/>
      <c r="K23" s="131"/>
      <c r="L23" s="131"/>
      <c r="M23" s="131"/>
      <c r="O23" s="124" t="s">
        <v>326</v>
      </c>
      <c r="P23" s="249" t="s">
        <v>327</v>
      </c>
      <c r="Q23" s="249"/>
      <c r="R23" s="249"/>
      <c r="S23" s="249"/>
      <c r="T23" s="249" t="s">
        <v>328</v>
      </c>
      <c r="U23" s="249"/>
      <c r="V23" s="249"/>
      <c r="W23" s="249"/>
      <c r="X23" s="249" t="s">
        <v>329</v>
      </c>
      <c r="Y23" s="249"/>
      <c r="Z23" s="249"/>
    </row>
    <row r="24" spans="1:26">
      <c r="B24" s="118"/>
      <c r="C24" s="268"/>
      <c r="D24" s="273"/>
      <c r="E24" s="273"/>
      <c r="F24" s="269"/>
      <c r="G24" s="268"/>
      <c r="H24" s="273"/>
      <c r="I24" s="273"/>
      <c r="J24" s="269"/>
      <c r="K24" s="131"/>
      <c r="L24" s="131"/>
      <c r="M24" s="131"/>
      <c r="O24" s="125"/>
      <c r="P24" s="251"/>
      <c r="Q24" s="251"/>
      <c r="R24" s="251"/>
      <c r="S24" s="251"/>
      <c r="T24" s="251"/>
      <c r="U24" s="251"/>
      <c r="V24" s="251"/>
      <c r="W24" s="251"/>
      <c r="X24" s="239"/>
      <c r="Y24" s="239"/>
      <c r="Z24" s="239"/>
    </row>
    <row r="25" spans="1:26">
      <c r="B25" s="118"/>
      <c r="C25" s="268"/>
      <c r="D25" s="273"/>
      <c r="E25" s="273"/>
      <c r="F25" s="269"/>
      <c r="G25" s="268"/>
      <c r="H25" s="273"/>
      <c r="I25" s="273"/>
      <c r="J25" s="269"/>
      <c r="K25" s="131"/>
      <c r="L25" s="131"/>
      <c r="M25" s="131"/>
      <c r="O25" s="125"/>
      <c r="P25" s="251"/>
      <c r="Q25" s="251"/>
      <c r="R25" s="251"/>
      <c r="S25" s="251"/>
      <c r="T25" s="251"/>
      <c r="U25" s="251"/>
      <c r="V25" s="251"/>
      <c r="W25" s="251"/>
      <c r="X25" s="239"/>
      <c r="Y25" s="239"/>
      <c r="Z25" s="239"/>
    </row>
    <row r="26" spans="1:26">
      <c r="B26" s="118"/>
      <c r="C26" s="268"/>
      <c r="D26" s="273"/>
      <c r="E26" s="273"/>
      <c r="F26" s="269"/>
      <c r="G26" s="268"/>
      <c r="H26" s="273"/>
      <c r="I26" s="273"/>
      <c r="J26" s="269"/>
      <c r="K26" s="131"/>
      <c r="L26" s="131"/>
      <c r="M26" s="131"/>
      <c r="O26" s="123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spans="1:26">
      <c r="B27" s="118"/>
      <c r="C27" s="268"/>
      <c r="D27" s="273"/>
      <c r="E27" s="273"/>
      <c r="F27" s="269"/>
      <c r="G27" s="268"/>
      <c r="H27" s="273"/>
      <c r="I27" s="273"/>
      <c r="J27" s="269"/>
      <c r="K27" s="131"/>
      <c r="L27" s="131"/>
      <c r="M27" s="131"/>
      <c r="O27" s="123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 spans="1:26">
      <c r="B28" s="118"/>
      <c r="C28" s="268"/>
      <c r="D28" s="273"/>
      <c r="E28" s="273"/>
      <c r="F28" s="269"/>
      <c r="G28" s="131"/>
      <c r="H28" s="131"/>
      <c r="I28" s="131"/>
      <c r="J28" s="131"/>
      <c r="K28" s="131"/>
      <c r="L28" s="131"/>
      <c r="M28" s="131"/>
      <c r="O28" s="123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 spans="1:26">
      <c r="B29" s="119"/>
      <c r="C29" s="67"/>
      <c r="D29" s="67"/>
      <c r="E29" s="67"/>
      <c r="F29" s="67"/>
      <c r="G29" s="67"/>
      <c r="H29" s="67"/>
      <c r="I29" s="67"/>
      <c r="J29" s="67"/>
      <c r="K29" s="120"/>
      <c r="L29" s="120"/>
      <c r="M29" s="120"/>
      <c r="N29" s="84"/>
    </row>
    <row r="30" spans="1:26">
      <c r="K30" s="75"/>
      <c r="L30" s="75"/>
      <c r="M30" s="75"/>
      <c r="N30" s="84"/>
    </row>
    <row r="31" spans="1:26">
      <c r="B31" s="274" t="s">
        <v>322</v>
      </c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O31" s="247" t="s">
        <v>322</v>
      </c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</row>
    <row r="32" spans="1:26">
      <c r="B32" s="133" t="s">
        <v>318</v>
      </c>
      <c r="C32" s="133"/>
      <c r="D32" s="275" t="s">
        <v>319</v>
      </c>
      <c r="E32" s="276"/>
      <c r="F32" s="276"/>
      <c r="G32" s="276"/>
      <c r="H32" s="277"/>
      <c r="I32" s="196" t="s">
        <v>320</v>
      </c>
      <c r="J32" s="196"/>
      <c r="K32" s="196"/>
      <c r="L32" s="196"/>
      <c r="M32" s="196"/>
      <c r="O32" s="248" t="s">
        <v>318</v>
      </c>
      <c r="P32" s="248"/>
      <c r="Q32" s="247" t="s">
        <v>319</v>
      </c>
      <c r="R32" s="247"/>
      <c r="S32" s="247"/>
      <c r="T32" s="247"/>
      <c r="U32" s="247"/>
      <c r="V32" s="247" t="s">
        <v>320</v>
      </c>
      <c r="W32" s="247"/>
      <c r="X32" s="247"/>
      <c r="Y32" s="247"/>
      <c r="Z32" s="247"/>
    </row>
    <row r="33" spans="2:26">
      <c r="B33" s="268"/>
      <c r="C33" s="269"/>
      <c r="D33" s="270"/>
      <c r="E33" s="271"/>
      <c r="F33" s="271"/>
      <c r="G33" s="271"/>
      <c r="H33" s="272"/>
      <c r="I33" s="270"/>
      <c r="J33" s="271"/>
      <c r="K33" s="271"/>
      <c r="L33" s="271"/>
      <c r="M33" s="272"/>
      <c r="O33" s="249" t="s">
        <v>326</v>
      </c>
      <c r="P33" s="249"/>
      <c r="Q33" s="250" t="s">
        <v>330</v>
      </c>
      <c r="R33" s="250"/>
      <c r="S33" s="250"/>
      <c r="T33" s="250"/>
      <c r="U33" s="250"/>
      <c r="V33" s="250" t="s">
        <v>331</v>
      </c>
      <c r="W33" s="250"/>
      <c r="X33" s="250"/>
      <c r="Y33" s="250"/>
      <c r="Z33" s="250"/>
    </row>
    <row r="34" spans="2:26">
      <c r="B34" s="268"/>
      <c r="C34" s="269"/>
      <c r="D34" s="270"/>
      <c r="E34" s="271"/>
      <c r="F34" s="271"/>
      <c r="G34" s="271"/>
      <c r="H34" s="272"/>
      <c r="I34" s="270"/>
      <c r="J34" s="271"/>
      <c r="K34" s="271"/>
      <c r="L34" s="271"/>
      <c r="M34" s="272"/>
      <c r="O34" s="239"/>
      <c r="P34" s="239"/>
      <c r="Q34" s="240"/>
      <c r="R34" s="240"/>
      <c r="S34" s="240"/>
      <c r="T34" s="240"/>
      <c r="U34" s="240"/>
      <c r="V34" s="240"/>
      <c r="W34" s="240"/>
      <c r="X34" s="240"/>
      <c r="Y34" s="240"/>
      <c r="Z34" s="240"/>
    </row>
    <row r="35" spans="2:26">
      <c r="B35" s="268"/>
      <c r="C35" s="269"/>
      <c r="D35" s="270"/>
      <c r="E35" s="271"/>
      <c r="F35" s="271"/>
      <c r="G35" s="271"/>
      <c r="H35" s="272"/>
      <c r="I35" s="270"/>
      <c r="J35" s="271"/>
      <c r="K35" s="271"/>
      <c r="L35" s="271"/>
      <c r="M35" s="272"/>
      <c r="O35" s="239"/>
      <c r="P35" s="239"/>
      <c r="Q35" s="240"/>
      <c r="R35" s="240"/>
      <c r="S35" s="240"/>
      <c r="T35" s="240"/>
      <c r="U35" s="240"/>
      <c r="V35" s="240"/>
      <c r="W35" s="240"/>
      <c r="X35" s="240"/>
      <c r="Y35" s="240"/>
      <c r="Z35" s="240"/>
    </row>
    <row r="36" spans="2:26">
      <c r="B36" s="268"/>
      <c r="C36" s="269"/>
      <c r="D36" s="270"/>
      <c r="E36" s="271"/>
      <c r="F36" s="271"/>
      <c r="G36" s="271"/>
      <c r="H36" s="272"/>
      <c r="I36" s="270"/>
      <c r="J36" s="271"/>
      <c r="K36" s="271"/>
      <c r="L36" s="271"/>
      <c r="M36" s="272"/>
      <c r="O36" s="239"/>
      <c r="P36" s="239"/>
      <c r="Q36" s="240"/>
      <c r="R36" s="240"/>
      <c r="S36" s="240"/>
      <c r="T36" s="240"/>
      <c r="U36" s="240"/>
      <c r="V36" s="240"/>
      <c r="W36" s="240"/>
      <c r="X36" s="240"/>
      <c r="Y36" s="240"/>
      <c r="Z36" s="240"/>
    </row>
    <row r="37" spans="2:26">
      <c r="B37" s="268"/>
      <c r="C37" s="269"/>
      <c r="D37" s="270"/>
      <c r="E37" s="271"/>
      <c r="F37" s="271"/>
      <c r="G37" s="271"/>
      <c r="H37" s="272"/>
      <c r="I37" s="270"/>
      <c r="J37" s="271"/>
      <c r="K37" s="271"/>
      <c r="L37" s="271"/>
      <c r="M37" s="272"/>
      <c r="O37" s="239"/>
      <c r="P37" s="239"/>
      <c r="Q37" s="240"/>
      <c r="R37" s="240"/>
      <c r="S37" s="240"/>
      <c r="T37" s="240"/>
      <c r="U37" s="240"/>
      <c r="V37" s="240"/>
      <c r="W37" s="240"/>
      <c r="X37" s="240"/>
      <c r="Y37" s="240"/>
      <c r="Z37" s="240"/>
    </row>
    <row r="38" spans="2:26">
      <c r="B38" s="268"/>
      <c r="C38" s="269"/>
      <c r="D38" s="270"/>
      <c r="E38" s="271"/>
      <c r="F38" s="271"/>
      <c r="G38" s="271"/>
      <c r="H38" s="272"/>
      <c r="I38" s="270"/>
      <c r="J38" s="271"/>
      <c r="K38" s="271"/>
      <c r="L38" s="271"/>
      <c r="M38" s="272"/>
      <c r="O38" s="239"/>
      <c r="P38" s="239"/>
      <c r="Q38" s="240"/>
      <c r="R38" s="240"/>
      <c r="S38" s="240"/>
      <c r="T38" s="240"/>
      <c r="U38" s="240"/>
      <c r="V38" s="240"/>
      <c r="W38" s="240"/>
      <c r="X38" s="240"/>
      <c r="Y38" s="240"/>
      <c r="Z38" s="240"/>
    </row>
    <row r="39" spans="2:26"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</row>
    <row r="41" spans="2:26" ht="125.5" customHeight="1">
      <c r="B41" s="257" t="s">
        <v>276</v>
      </c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</row>
    <row r="43" spans="2:26">
      <c r="B43" s="258" t="s">
        <v>334</v>
      </c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O43" s="227" t="s">
        <v>332</v>
      </c>
      <c r="P43" s="228"/>
      <c r="Q43" s="228"/>
      <c r="R43" s="228"/>
      <c r="S43" s="228"/>
      <c r="T43" s="228"/>
      <c r="U43" s="228"/>
      <c r="V43" s="228"/>
      <c r="W43" s="228"/>
      <c r="X43" s="228"/>
      <c r="Y43" s="228"/>
      <c r="Z43" s="229"/>
    </row>
    <row r="44" spans="2:26"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O44" s="230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2"/>
    </row>
    <row r="45" spans="2:26"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O45" s="230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2"/>
    </row>
    <row r="46" spans="2:26"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O46" s="230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2"/>
    </row>
    <row r="47" spans="2:26"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O47" s="230"/>
      <c r="P47" s="231"/>
      <c r="Q47" s="231"/>
      <c r="R47" s="231"/>
      <c r="S47" s="231"/>
      <c r="T47" s="231"/>
      <c r="U47" s="231"/>
      <c r="V47" s="231"/>
      <c r="W47" s="231"/>
      <c r="X47" s="231"/>
      <c r="Y47" s="231"/>
      <c r="Z47" s="232"/>
    </row>
    <row r="48" spans="2:26"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O48" s="233"/>
      <c r="P48" s="234"/>
      <c r="Q48" s="234"/>
      <c r="R48" s="234"/>
      <c r="S48" s="234"/>
      <c r="T48" s="234"/>
      <c r="U48" s="234"/>
      <c r="V48" s="234"/>
      <c r="W48" s="234"/>
      <c r="X48" s="234"/>
      <c r="Y48" s="234"/>
      <c r="Z48" s="235"/>
    </row>
    <row r="50" spans="2:26">
      <c r="B50" s="133" t="s">
        <v>323</v>
      </c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O50" s="241" t="s">
        <v>323</v>
      </c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3"/>
    </row>
    <row r="51" spans="2:26">
      <c r="B51" s="259"/>
      <c r="C51" s="260"/>
      <c r="D51" s="260"/>
      <c r="E51" s="260"/>
      <c r="F51" s="260"/>
      <c r="G51" s="260"/>
      <c r="H51" s="260"/>
      <c r="I51" s="260"/>
      <c r="J51" s="260"/>
      <c r="K51" s="260"/>
      <c r="L51" s="260"/>
      <c r="M51" s="261"/>
      <c r="O51" s="244"/>
      <c r="P51" s="245"/>
      <c r="Q51" s="245"/>
      <c r="R51" s="245"/>
      <c r="S51" s="245"/>
      <c r="T51" s="245"/>
      <c r="U51" s="245"/>
      <c r="V51" s="245"/>
      <c r="W51" s="245"/>
      <c r="X51" s="245"/>
      <c r="Y51" s="245"/>
      <c r="Z51" s="246"/>
    </row>
    <row r="52" spans="2:26">
      <c r="B52" s="262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4"/>
      <c r="O52" s="244"/>
      <c r="P52" s="245"/>
      <c r="Q52" s="245"/>
      <c r="R52" s="245"/>
      <c r="S52" s="245"/>
      <c r="T52" s="245"/>
      <c r="U52" s="245"/>
      <c r="V52" s="245"/>
      <c r="W52" s="245"/>
      <c r="X52" s="245"/>
      <c r="Y52" s="245"/>
      <c r="Z52" s="246"/>
    </row>
    <row r="53" spans="2:26">
      <c r="B53" s="262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4"/>
      <c r="O53" s="244"/>
      <c r="P53" s="245"/>
      <c r="Q53" s="245"/>
      <c r="R53" s="245"/>
      <c r="S53" s="245"/>
      <c r="T53" s="245"/>
      <c r="U53" s="245"/>
      <c r="V53" s="245"/>
      <c r="W53" s="245"/>
      <c r="X53" s="245"/>
      <c r="Y53" s="245"/>
      <c r="Z53" s="246"/>
    </row>
    <row r="54" spans="2:26">
      <c r="B54" s="262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4"/>
      <c r="O54" s="244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46"/>
    </row>
    <row r="55" spans="2:26" ht="13.9" customHeight="1">
      <c r="B55" s="262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4"/>
      <c r="O55" s="244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6"/>
    </row>
    <row r="56" spans="2:26">
      <c r="B56" s="262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4"/>
      <c r="O56" s="244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6"/>
    </row>
    <row r="57" spans="2:26">
      <c r="B57" s="262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4"/>
      <c r="O57" s="244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6"/>
    </row>
    <row r="58" spans="2:26">
      <c r="B58" s="262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4"/>
      <c r="O58" s="244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6"/>
    </row>
    <row r="59" spans="2:26">
      <c r="B59" s="265"/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O59" s="244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6"/>
    </row>
    <row r="60" spans="2:26">
      <c r="B60" s="132" t="s">
        <v>324</v>
      </c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O60" s="223" t="s">
        <v>333</v>
      </c>
      <c r="P60" s="224"/>
      <c r="Q60" s="224"/>
      <c r="R60" s="224"/>
      <c r="S60" s="224"/>
      <c r="T60" s="224"/>
      <c r="U60" s="224"/>
      <c r="V60" s="224"/>
      <c r="W60" s="224"/>
      <c r="X60" s="224"/>
      <c r="Y60" s="224"/>
      <c r="Z60" s="225"/>
    </row>
    <row r="61" spans="2:26"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O61" s="226"/>
      <c r="P61" s="224"/>
      <c r="Q61" s="224"/>
      <c r="R61" s="224"/>
      <c r="S61" s="224"/>
      <c r="T61" s="224"/>
      <c r="U61" s="224"/>
      <c r="V61" s="224"/>
      <c r="W61" s="224"/>
      <c r="X61" s="224"/>
      <c r="Y61" s="224"/>
      <c r="Z61" s="225"/>
    </row>
    <row r="62" spans="2:26"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O62" s="226"/>
      <c r="P62" s="224"/>
      <c r="Q62" s="224"/>
      <c r="R62" s="224"/>
      <c r="S62" s="224"/>
      <c r="T62" s="224"/>
      <c r="U62" s="224"/>
      <c r="V62" s="224"/>
      <c r="W62" s="224"/>
      <c r="X62" s="224"/>
      <c r="Y62" s="224"/>
      <c r="Z62" s="225"/>
    </row>
    <row r="63" spans="2:26"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O63" s="226"/>
      <c r="P63" s="224"/>
      <c r="Q63" s="224"/>
      <c r="R63" s="224"/>
      <c r="S63" s="224"/>
      <c r="T63" s="224"/>
      <c r="U63" s="224"/>
      <c r="V63" s="224"/>
      <c r="W63" s="224"/>
      <c r="X63" s="224"/>
      <c r="Y63" s="224"/>
      <c r="Z63" s="225"/>
    </row>
    <row r="64" spans="2:26"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O64" s="226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5"/>
    </row>
    <row r="65" spans="2:26"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O65" s="226"/>
      <c r="P65" s="224"/>
      <c r="Q65" s="224"/>
      <c r="R65" s="224"/>
      <c r="S65" s="224"/>
      <c r="T65" s="224"/>
      <c r="U65" s="224"/>
      <c r="V65" s="224"/>
      <c r="W65" s="224"/>
      <c r="X65" s="224"/>
      <c r="Y65" s="224"/>
      <c r="Z65" s="225"/>
    </row>
    <row r="66" spans="2:26"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O66" s="226"/>
      <c r="P66" s="224"/>
      <c r="Q66" s="224"/>
      <c r="R66" s="224"/>
      <c r="S66" s="224"/>
      <c r="T66" s="224"/>
      <c r="U66" s="224"/>
      <c r="V66" s="224"/>
      <c r="W66" s="224"/>
      <c r="X66" s="224"/>
      <c r="Y66" s="224"/>
      <c r="Z66" s="225"/>
    </row>
    <row r="67" spans="2:26"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O67" s="226"/>
      <c r="P67" s="224"/>
      <c r="Q67" s="224"/>
      <c r="R67" s="224"/>
      <c r="S67" s="224"/>
      <c r="T67" s="224"/>
      <c r="U67" s="224"/>
      <c r="V67" s="224"/>
      <c r="W67" s="224"/>
      <c r="X67" s="224"/>
      <c r="Y67" s="224"/>
      <c r="Z67" s="225"/>
    </row>
    <row r="68" spans="2:26"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O68" s="226"/>
      <c r="P68" s="224"/>
      <c r="Q68" s="224"/>
      <c r="R68" s="224"/>
      <c r="S68" s="224"/>
      <c r="T68" s="224"/>
      <c r="U68" s="224"/>
      <c r="V68" s="224"/>
      <c r="W68" s="224"/>
      <c r="X68" s="224"/>
      <c r="Y68" s="224"/>
      <c r="Z68" s="225"/>
    </row>
  </sheetData>
  <mergeCells count="117">
    <mergeCell ref="B21:M21"/>
    <mergeCell ref="E6:J6"/>
    <mergeCell ref="F7:I7"/>
    <mergeCell ref="B10:C10"/>
    <mergeCell ref="D10:G10"/>
    <mergeCell ref="B11:C11"/>
    <mergeCell ref="D11:G11"/>
    <mergeCell ref="B12:C12"/>
    <mergeCell ref="D12:G12"/>
    <mergeCell ref="B15:M15"/>
    <mergeCell ref="B17:H17"/>
    <mergeCell ref="I17:M17"/>
    <mergeCell ref="C24:F24"/>
    <mergeCell ref="G24:J24"/>
    <mergeCell ref="K24:M24"/>
    <mergeCell ref="C25:F25"/>
    <mergeCell ref="G25:J25"/>
    <mergeCell ref="K25:M25"/>
    <mergeCell ref="C22:F22"/>
    <mergeCell ref="G22:J22"/>
    <mergeCell ref="K22:M22"/>
    <mergeCell ref="C23:F23"/>
    <mergeCell ref="G23:J23"/>
    <mergeCell ref="K23:M23"/>
    <mergeCell ref="C28:F28"/>
    <mergeCell ref="G28:J28"/>
    <mergeCell ref="K28:M28"/>
    <mergeCell ref="B31:M31"/>
    <mergeCell ref="B32:C32"/>
    <mergeCell ref="D32:H32"/>
    <mergeCell ref="I32:M32"/>
    <mergeCell ref="C26:F26"/>
    <mergeCell ref="G26:J26"/>
    <mergeCell ref="K26:M26"/>
    <mergeCell ref="C27:F27"/>
    <mergeCell ref="G27:J27"/>
    <mergeCell ref="K27:M27"/>
    <mergeCell ref="B35:C35"/>
    <mergeCell ref="D35:H35"/>
    <mergeCell ref="I35:M35"/>
    <mergeCell ref="B36:C36"/>
    <mergeCell ref="D36:H36"/>
    <mergeCell ref="I36:M36"/>
    <mergeCell ref="B33:C33"/>
    <mergeCell ref="D33:H33"/>
    <mergeCell ref="I33:M33"/>
    <mergeCell ref="B34:C34"/>
    <mergeCell ref="D34:H34"/>
    <mergeCell ref="I34:M34"/>
    <mergeCell ref="B41:M41"/>
    <mergeCell ref="B43:M48"/>
    <mergeCell ref="B50:M50"/>
    <mergeCell ref="B51:M59"/>
    <mergeCell ref="B60:M68"/>
    <mergeCell ref="B37:C37"/>
    <mergeCell ref="D37:H37"/>
    <mergeCell ref="I37:M37"/>
    <mergeCell ref="B38:C38"/>
    <mergeCell ref="D38:H38"/>
    <mergeCell ref="I38:M38"/>
    <mergeCell ref="O17:U17"/>
    <mergeCell ref="V17:Z17"/>
    <mergeCell ref="O21:Z21"/>
    <mergeCell ref="P22:S22"/>
    <mergeCell ref="T22:W22"/>
    <mergeCell ref="X22:Z22"/>
    <mergeCell ref="O10:P10"/>
    <mergeCell ref="Q10:T10"/>
    <mergeCell ref="O11:P11"/>
    <mergeCell ref="Q11:T11"/>
    <mergeCell ref="O12:P12"/>
    <mergeCell ref="Q12:T12"/>
    <mergeCell ref="P25:S25"/>
    <mergeCell ref="T25:W25"/>
    <mergeCell ref="X25:Z25"/>
    <mergeCell ref="P26:S26"/>
    <mergeCell ref="T26:W26"/>
    <mergeCell ref="X26:Z26"/>
    <mergeCell ref="P23:S23"/>
    <mergeCell ref="T23:W23"/>
    <mergeCell ref="X23:Z23"/>
    <mergeCell ref="P24:S24"/>
    <mergeCell ref="T24:W24"/>
    <mergeCell ref="X24:Z24"/>
    <mergeCell ref="O33:P33"/>
    <mergeCell ref="Q33:U33"/>
    <mergeCell ref="V33:Z33"/>
    <mergeCell ref="P27:S27"/>
    <mergeCell ref="T27:W27"/>
    <mergeCell ref="X27:Z27"/>
    <mergeCell ref="P28:S28"/>
    <mergeCell ref="T28:W28"/>
    <mergeCell ref="X28:Z28"/>
    <mergeCell ref="O60:Z68"/>
    <mergeCell ref="O43:Z48"/>
    <mergeCell ref="O19:Z19"/>
    <mergeCell ref="O38:P38"/>
    <mergeCell ref="Q38:U38"/>
    <mergeCell ref="V38:Z38"/>
    <mergeCell ref="O50:Z50"/>
    <mergeCell ref="O51:Z59"/>
    <mergeCell ref="O36:P36"/>
    <mergeCell ref="Q36:U36"/>
    <mergeCell ref="V36:Z36"/>
    <mergeCell ref="O37:P37"/>
    <mergeCell ref="Q37:U37"/>
    <mergeCell ref="V37:Z37"/>
    <mergeCell ref="O34:P34"/>
    <mergeCell ref="Q34:U34"/>
    <mergeCell ref="V34:Z34"/>
    <mergeCell ref="O35:P35"/>
    <mergeCell ref="Q35:U35"/>
    <mergeCell ref="V35:Z35"/>
    <mergeCell ref="O31:Z31"/>
    <mergeCell ref="O32:P32"/>
    <mergeCell ref="Q32:U32"/>
    <mergeCell ref="V32:Z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TIPOS DE REPORTES</vt:lpstr>
      <vt:lpstr>CAMPOS</vt:lpstr>
      <vt:lpstr>DEFINICIÓN DE CASOS</vt:lpstr>
      <vt:lpstr>BD ESTUDIANTES</vt:lpstr>
      <vt:lpstr>BD AUTOEVALUACION</vt:lpstr>
      <vt:lpstr>BD COORDINACION</vt:lpstr>
      <vt:lpstr>DE DOCENTE POR MATERIA</vt:lpstr>
      <vt:lpstr>DE DOCENTES POR CARRERA</vt:lpstr>
      <vt:lpstr>INTEGRAL POR DOCENTE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Lolis Navarro</dc:creator>
  <cp:lastModifiedBy>HECTOR MANUEL GARCIA ESCOBAR</cp:lastModifiedBy>
  <dcterms:created xsi:type="dcterms:W3CDTF">2026-02-14T18:44:19Z</dcterms:created>
  <dcterms:modified xsi:type="dcterms:W3CDTF">2026-04-22T20:08:54Z</dcterms:modified>
</cp:coreProperties>
</file>