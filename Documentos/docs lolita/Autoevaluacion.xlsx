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os\Usuarios\HECTORMANUELGARCIAES\Documents\proyectos\test.evaluaciones.umg.edu.mx\eva2026ii\Documentos\docs lolita\"/>
    </mc:Choice>
  </mc:AlternateContent>
  <xr:revisionPtr revIDLastSave="0" documentId="13_ncr:1_{A73A1E99-C383-4E63-B80F-7D53702816F8}" xr6:coauthVersionLast="47" xr6:coauthVersionMax="47" xr10:uidLastSave="{00000000-0000-0000-0000-000000000000}"/>
  <bookViews>
    <workbookView xWindow="38280" yWindow="-120" windowWidth="29040" windowHeight="15720" activeTab="3" xr2:uid="{00000000-000D-0000-FFFF-FFFF00000000}"/>
  </bookViews>
  <sheets>
    <sheet name="Sheet" sheetId="1" r:id="rId1"/>
    <sheet name="Hoja1" sheetId="2" r:id="rId2"/>
    <sheet name="Participantes" sheetId="3" r:id="rId3"/>
    <sheet name="Materias" sheetId="4" r:id="rId4"/>
  </sheets>
  <definedNames>
    <definedName name="_xlnm._FilterDatabase" localSheetId="2" hidden="1">Participantes!$A$1:$L$172</definedName>
    <definedName name="_xlnm._FilterDatabase" localSheetId="0" hidden="1">Sheet!$A$1:$I$171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8" i="4" l="1"/>
  <c r="J258" i="4" s="1"/>
  <c r="I259" i="4"/>
  <c r="J259" i="4" s="1"/>
  <c r="I260" i="4"/>
  <c r="J260" i="4" s="1"/>
  <c r="I261" i="4"/>
  <c r="J261" i="4" s="1"/>
  <c r="I262" i="4"/>
  <c r="J262" i="4" s="1"/>
  <c r="I263" i="4"/>
  <c r="J263" i="4" s="1"/>
  <c r="I264" i="4"/>
  <c r="J264" i="4" s="1"/>
  <c r="I265" i="4"/>
  <c r="J265" i="4" s="1"/>
  <c r="I266" i="4"/>
  <c r="J266" i="4" s="1"/>
  <c r="I267" i="4"/>
  <c r="J267" i="4" s="1"/>
  <c r="I268" i="4"/>
  <c r="J268" i="4" s="1"/>
  <c r="I269" i="4"/>
  <c r="J269" i="4" s="1"/>
  <c r="I270" i="4"/>
  <c r="J270" i="4" s="1"/>
  <c r="I271" i="4"/>
  <c r="J271" i="4" s="1"/>
  <c r="I272" i="4"/>
  <c r="J272" i="4" s="1"/>
  <c r="I273" i="4"/>
  <c r="J273" i="4" s="1"/>
  <c r="I274" i="4"/>
  <c r="J274" i="4" s="1"/>
  <c r="I275" i="4"/>
  <c r="J275" i="4"/>
  <c r="I276" i="4"/>
  <c r="J276" i="4" s="1"/>
  <c r="I277" i="4"/>
  <c r="J277" i="4" s="1"/>
  <c r="I278" i="4"/>
  <c r="J278" i="4" s="1"/>
  <c r="I279" i="4"/>
  <c r="J279" i="4" s="1"/>
  <c r="I280" i="4"/>
  <c r="J280" i="4" s="1"/>
  <c r="I281" i="4"/>
  <c r="J281" i="4" s="1"/>
  <c r="I282" i="4"/>
  <c r="J282" i="4" s="1"/>
  <c r="I283" i="4"/>
  <c r="J283" i="4" s="1"/>
  <c r="I284" i="4"/>
  <c r="J284" i="4" s="1"/>
  <c r="I285" i="4"/>
  <c r="J285" i="4" s="1"/>
  <c r="I286" i="4"/>
  <c r="J286" i="4" s="1"/>
  <c r="I287" i="4"/>
  <c r="J287" i="4" s="1"/>
  <c r="I288" i="4"/>
  <c r="J288" i="4" s="1"/>
  <c r="I289" i="4"/>
  <c r="J289" i="4" s="1"/>
  <c r="I290" i="4"/>
  <c r="J290" i="4" s="1"/>
  <c r="I291" i="4"/>
  <c r="J291" i="4" s="1"/>
  <c r="I292" i="4"/>
  <c r="J292" i="4" s="1"/>
  <c r="I293" i="4"/>
  <c r="J293" i="4"/>
  <c r="I294" i="4"/>
  <c r="J294" i="4" s="1"/>
  <c r="I295" i="4"/>
  <c r="J295" i="4" s="1"/>
  <c r="I296" i="4"/>
  <c r="J296" i="4" s="1"/>
  <c r="I297" i="4"/>
  <c r="J297" i="4" s="1"/>
  <c r="I298" i="4"/>
  <c r="J298" i="4" s="1"/>
  <c r="I299" i="4"/>
  <c r="J299" i="4" s="1"/>
  <c r="I300" i="4"/>
  <c r="J300" i="4" s="1"/>
  <c r="I301" i="4"/>
  <c r="J301" i="4" s="1"/>
  <c r="I302" i="4"/>
  <c r="J302" i="4" s="1"/>
  <c r="I303" i="4"/>
  <c r="J303" i="4" s="1"/>
  <c r="I304" i="4"/>
  <c r="J304" i="4" s="1"/>
  <c r="I305" i="4"/>
  <c r="J305" i="4" s="1"/>
  <c r="I306" i="4"/>
  <c r="J306" i="4" s="1"/>
  <c r="I307" i="4"/>
  <c r="J307" i="4" s="1"/>
  <c r="I308" i="4"/>
  <c r="J308" i="4" s="1"/>
  <c r="I309" i="4"/>
  <c r="J309" i="4" s="1"/>
  <c r="I310" i="4"/>
  <c r="J310" i="4" s="1"/>
  <c r="I311" i="4"/>
  <c r="J311" i="4" s="1"/>
  <c r="I312" i="4"/>
  <c r="J312" i="4" s="1"/>
  <c r="I313" i="4"/>
  <c r="J313" i="4" s="1"/>
  <c r="I314" i="4"/>
  <c r="J314" i="4" s="1"/>
  <c r="I315" i="4"/>
  <c r="J315" i="4" s="1"/>
  <c r="I316" i="4"/>
  <c r="J316" i="4" s="1"/>
  <c r="I317" i="4"/>
  <c r="J317" i="4" s="1"/>
  <c r="I3" i="4"/>
  <c r="J3" i="4" s="1"/>
  <c r="I4" i="4"/>
  <c r="J4" i="4" s="1"/>
  <c r="I5" i="4"/>
  <c r="J5" i="4" s="1"/>
  <c r="I6" i="4"/>
  <c r="J6" i="4" s="1"/>
  <c r="I7" i="4"/>
  <c r="J7" i="4" s="1"/>
  <c r="I8" i="4"/>
  <c r="J8" i="4" s="1"/>
  <c r="I9" i="4"/>
  <c r="J9" i="4" s="1"/>
  <c r="I10" i="4"/>
  <c r="J10" i="4" s="1"/>
  <c r="I11" i="4"/>
  <c r="J11" i="4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 s="1"/>
  <c r="I46" i="4"/>
  <c r="J46" i="4" s="1"/>
  <c r="I47" i="4"/>
  <c r="J47" i="4" s="1"/>
  <c r="I48" i="4"/>
  <c r="J48" i="4" s="1"/>
  <c r="I49" i="4"/>
  <c r="J49" i="4" s="1"/>
  <c r="I50" i="4"/>
  <c r="J50" i="4" s="1"/>
  <c r="I51" i="4"/>
  <c r="J51" i="4" s="1"/>
  <c r="I52" i="4"/>
  <c r="J52" i="4" s="1"/>
  <c r="I53" i="4"/>
  <c r="J53" i="4" s="1"/>
  <c r="I54" i="4"/>
  <c r="J54" i="4" s="1"/>
  <c r="I55" i="4"/>
  <c r="J55" i="4" s="1"/>
  <c r="I56" i="4"/>
  <c r="J56" i="4" s="1"/>
  <c r="I57" i="4"/>
  <c r="J57" i="4" s="1"/>
  <c r="I58" i="4"/>
  <c r="J58" i="4" s="1"/>
  <c r="I59" i="4"/>
  <c r="J59" i="4" s="1"/>
  <c r="I60" i="4"/>
  <c r="J60" i="4" s="1"/>
  <c r="I61" i="4"/>
  <c r="J61" i="4" s="1"/>
  <c r="I62" i="4"/>
  <c r="J62" i="4" s="1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 s="1"/>
  <c r="I69" i="4"/>
  <c r="J69" i="4" s="1"/>
  <c r="I70" i="4"/>
  <c r="J70" i="4" s="1"/>
  <c r="I71" i="4"/>
  <c r="J71" i="4" s="1"/>
  <c r="I72" i="4"/>
  <c r="J72" i="4" s="1"/>
  <c r="I73" i="4"/>
  <c r="J73" i="4" s="1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 s="1"/>
  <c r="I85" i="4"/>
  <c r="J85" i="4" s="1"/>
  <c r="I86" i="4"/>
  <c r="J86" i="4" s="1"/>
  <c r="I87" i="4"/>
  <c r="J87" i="4" s="1"/>
  <c r="I88" i="4"/>
  <c r="J88" i="4" s="1"/>
  <c r="I89" i="4"/>
  <c r="J89" i="4" s="1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 s="1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 s="1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/>
  <c r="I128" i="4"/>
  <c r="J128" i="4" s="1"/>
  <c r="I129" i="4"/>
  <c r="J129" i="4" s="1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 s="1"/>
  <c r="I138" i="4"/>
  <c r="J138" i="4" s="1"/>
  <c r="I139" i="4"/>
  <c r="J139" i="4" s="1"/>
  <c r="I140" i="4"/>
  <c r="J140" i="4" s="1"/>
  <c r="I141" i="4"/>
  <c r="J141" i="4" s="1"/>
  <c r="I142" i="4"/>
  <c r="J142" i="4" s="1"/>
  <c r="I143" i="4"/>
  <c r="J143" i="4" s="1"/>
  <c r="I144" i="4"/>
  <c r="J144" i="4" s="1"/>
  <c r="I145" i="4"/>
  <c r="J145" i="4" s="1"/>
  <c r="I146" i="4"/>
  <c r="J146" i="4" s="1"/>
  <c r="I147" i="4"/>
  <c r="J147" i="4" s="1"/>
  <c r="I148" i="4"/>
  <c r="J148" i="4" s="1"/>
  <c r="I149" i="4"/>
  <c r="J149" i="4" s="1"/>
  <c r="I150" i="4"/>
  <c r="J150" i="4" s="1"/>
  <c r="I151" i="4"/>
  <c r="J151" i="4" s="1"/>
  <c r="I152" i="4"/>
  <c r="J152" i="4" s="1"/>
  <c r="I153" i="4"/>
  <c r="J153" i="4" s="1"/>
  <c r="I154" i="4"/>
  <c r="J154" i="4" s="1"/>
  <c r="I155" i="4"/>
  <c r="J155" i="4" s="1"/>
  <c r="I156" i="4"/>
  <c r="J156" i="4" s="1"/>
  <c r="I157" i="4"/>
  <c r="J157" i="4" s="1"/>
  <c r="I158" i="4"/>
  <c r="J158" i="4" s="1"/>
  <c r="I159" i="4"/>
  <c r="J159" i="4" s="1"/>
  <c r="I160" i="4"/>
  <c r="J160" i="4" s="1"/>
  <c r="I161" i="4"/>
  <c r="J161" i="4" s="1"/>
  <c r="I162" i="4"/>
  <c r="J162" i="4" s="1"/>
  <c r="I163" i="4"/>
  <c r="J163" i="4" s="1"/>
  <c r="I164" i="4"/>
  <c r="J164" i="4" s="1"/>
  <c r="I165" i="4"/>
  <c r="J165" i="4" s="1"/>
  <c r="I166" i="4"/>
  <c r="J166" i="4" s="1"/>
  <c r="I167" i="4"/>
  <c r="J167" i="4" s="1"/>
  <c r="I168" i="4"/>
  <c r="J168" i="4" s="1"/>
  <c r="I169" i="4"/>
  <c r="J169" i="4" s="1"/>
  <c r="I170" i="4"/>
  <c r="J170" i="4" s="1"/>
  <c r="I171" i="4"/>
  <c r="J171" i="4" s="1"/>
  <c r="I172" i="4"/>
  <c r="J172" i="4" s="1"/>
  <c r="I173" i="4"/>
  <c r="J173" i="4" s="1"/>
  <c r="I174" i="4"/>
  <c r="J174" i="4" s="1"/>
  <c r="I175" i="4"/>
  <c r="J175" i="4" s="1"/>
  <c r="I176" i="4"/>
  <c r="J176" i="4" s="1"/>
  <c r="I177" i="4"/>
  <c r="J177" i="4" s="1"/>
  <c r="I178" i="4"/>
  <c r="J178" i="4" s="1"/>
  <c r="I179" i="4"/>
  <c r="J179" i="4" s="1"/>
  <c r="I180" i="4"/>
  <c r="J180" i="4" s="1"/>
  <c r="I181" i="4"/>
  <c r="J181" i="4"/>
  <c r="I182" i="4"/>
  <c r="J182" i="4" s="1"/>
  <c r="I183" i="4"/>
  <c r="J183" i="4" s="1"/>
  <c r="I184" i="4"/>
  <c r="J184" i="4" s="1"/>
  <c r="I185" i="4"/>
  <c r="J185" i="4" s="1"/>
  <c r="I186" i="4"/>
  <c r="J186" i="4" s="1"/>
  <c r="I187" i="4"/>
  <c r="J187" i="4" s="1"/>
  <c r="I188" i="4"/>
  <c r="J188" i="4" s="1"/>
  <c r="I189" i="4"/>
  <c r="J189" i="4" s="1"/>
  <c r="I190" i="4"/>
  <c r="J190" i="4" s="1"/>
  <c r="I191" i="4"/>
  <c r="J191" i="4" s="1"/>
  <c r="I192" i="4"/>
  <c r="J192" i="4" s="1"/>
  <c r="I193" i="4"/>
  <c r="J193" i="4" s="1"/>
  <c r="I194" i="4"/>
  <c r="J194" i="4" s="1"/>
  <c r="I195" i="4"/>
  <c r="J195" i="4" s="1"/>
  <c r="I196" i="4"/>
  <c r="J196" i="4" s="1"/>
  <c r="I197" i="4"/>
  <c r="J197" i="4" s="1"/>
  <c r="I198" i="4"/>
  <c r="J198" i="4" s="1"/>
  <c r="I199" i="4"/>
  <c r="J199" i="4" s="1"/>
  <c r="I200" i="4"/>
  <c r="J200" i="4" s="1"/>
  <c r="I201" i="4"/>
  <c r="J201" i="4" s="1"/>
  <c r="I202" i="4"/>
  <c r="J202" i="4" s="1"/>
  <c r="I203" i="4"/>
  <c r="J203" i="4" s="1"/>
  <c r="I204" i="4"/>
  <c r="J204" i="4" s="1"/>
  <c r="I205" i="4"/>
  <c r="J205" i="4" s="1"/>
  <c r="I206" i="4"/>
  <c r="J206" i="4"/>
  <c r="I207" i="4"/>
  <c r="J207" i="4" s="1"/>
  <c r="I208" i="4"/>
  <c r="J208" i="4" s="1"/>
  <c r="I209" i="4"/>
  <c r="J209" i="4" s="1"/>
  <c r="I210" i="4"/>
  <c r="J210" i="4" s="1"/>
  <c r="I211" i="4"/>
  <c r="J211" i="4" s="1"/>
  <c r="I212" i="4"/>
  <c r="J212" i="4" s="1"/>
  <c r="I213" i="4"/>
  <c r="J213" i="4" s="1"/>
  <c r="I214" i="4"/>
  <c r="J214" i="4" s="1"/>
  <c r="I215" i="4"/>
  <c r="J215" i="4" s="1"/>
  <c r="I216" i="4"/>
  <c r="J216" i="4" s="1"/>
  <c r="I217" i="4"/>
  <c r="J217" i="4" s="1"/>
  <c r="I218" i="4"/>
  <c r="J218" i="4" s="1"/>
  <c r="I219" i="4"/>
  <c r="J219" i="4" s="1"/>
  <c r="I220" i="4"/>
  <c r="J220" i="4" s="1"/>
  <c r="I221" i="4"/>
  <c r="J221" i="4" s="1"/>
  <c r="I222" i="4"/>
  <c r="J222" i="4" s="1"/>
  <c r="I223" i="4"/>
  <c r="J223" i="4" s="1"/>
  <c r="I224" i="4"/>
  <c r="J224" i="4" s="1"/>
  <c r="I225" i="4"/>
  <c r="J225" i="4" s="1"/>
  <c r="I226" i="4"/>
  <c r="J226" i="4" s="1"/>
  <c r="I227" i="4"/>
  <c r="J227" i="4" s="1"/>
  <c r="I228" i="4"/>
  <c r="J228" i="4" s="1"/>
  <c r="I229" i="4"/>
  <c r="J229" i="4" s="1"/>
  <c r="I230" i="4"/>
  <c r="J230" i="4" s="1"/>
  <c r="I231" i="4"/>
  <c r="J231" i="4" s="1"/>
  <c r="I232" i="4"/>
  <c r="J232" i="4" s="1"/>
  <c r="I233" i="4"/>
  <c r="J233" i="4" s="1"/>
  <c r="I234" i="4"/>
  <c r="J234" i="4" s="1"/>
  <c r="I235" i="4"/>
  <c r="J235" i="4" s="1"/>
  <c r="I236" i="4"/>
  <c r="J236" i="4" s="1"/>
  <c r="I237" i="4"/>
  <c r="J237" i="4" s="1"/>
  <c r="I238" i="4"/>
  <c r="J238" i="4" s="1"/>
  <c r="I239" i="4"/>
  <c r="J239" i="4" s="1"/>
  <c r="I240" i="4"/>
  <c r="J240" i="4" s="1"/>
  <c r="I241" i="4"/>
  <c r="J241" i="4" s="1"/>
  <c r="I242" i="4"/>
  <c r="J242" i="4" s="1"/>
  <c r="I243" i="4"/>
  <c r="J243" i="4" s="1"/>
  <c r="I244" i="4"/>
  <c r="J244" i="4" s="1"/>
  <c r="I245" i="4"/>
  <c r="J245" i="4" s="1"/>
  <c r="I246" i="4"/>
  <c r="J246" i="4" s="1"/>
  <c r="I247" i="4"/>
  <c r="J247" i="4" s="1"/>
  <c r="I248" i="4"/>
  <c r="J248" i="4" s="1"/>
  <c r="I249" i="4"/>
  <c r="J249" i="4" s="1"/>
  <c r="I250" i="4"/>
  <c r="J250" i="4" s="1"/>
  <c r="I251" i="4"/>
  <c r="J251" i="4" s="1"/>
  <c r="I252" i="4"/>
  <c r="J252" i="4" s="1"/>
  <c r="I253" i="4"/>
  <c r="J253" i="4" s="1"/>
  <c r="I254" i="4"/>
  <c r="J254" i="4" s="1"/>
  <c r="I255" i="4"/>
  <c r="J255" i="4" s="1"/>
  <c r="I256" i="4"/>
  <c r="J256" i="4" s="1"/>
  <c r="I257" i="4"/>
  <c r="J257" i="4" s="1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I2" i="4"/>
  <c r="J2" i="4" s="1"/>
  <c r="L43" i="3" l="1"/>
  <c r="L162" i="3"/>
  <c r="L111" i="3"/>
  <c r="L93" i="3"/>
  <c r="L76" i="3"/>
  <c r="L59" i="3"/>
  <c r="L42" i="3"/>
  <c r="L23" i="3"/>
  <c r="L5" i="3"/>
  <c r="L117" i="3"/>
  <c r="L48" i="3"/>
  <c r="L64" i="3"/>
  <c r="L133" i="3"/>
  <c r="L46" i="3"/>
  <c r="L71" i="3"/>
  <c r="L37" i="3"/>
  <c r="L105" i="3"/>
  <c r="L70" i="3"/>
  <c r="L18" i="3"/>
  <c r="L139" i="3"/>
  <c r="L52" i="3"/>
  <c r="L91" i="3"/>
  <c r="L4" i="3"/>
  <c r="L108" i="3"/>
  <c r="L3" i="3"/>
  <c r="L124" i="3"/>
  <c r="L72" i="3"/>
  <c r="L20" i="3"/>
  <c r="L84" i="3"/>
  <c r="L67" i="3"/>
  <c r="L168" i="3"/>
  <c r="L65" i="3"/>
  <c r="L166" i="3"/>
  <c r="L81" i="3"/>
  <c r="L47" i="3"/>
  <c r="L90" i="3"/>
  <c r="L158" i="3"/>
  <c r="L142" i="3"/>
  <c r="L107" i="3"/>
  <c r="L55" i="3"/>
  <c r="L157" i="3"/>
  <c r="L106" i="3"/>
  <c r="L33" i="3"/>
  <c r="L169" i="3"/>
  <c r="L136" i="3"/>
  <c r="L135" i="3"/>
  <c r="L118" i="3"/>
  <c r="L101" i="3"/>
  <c r="L83" i="3"/>
  <c r="L66" i="3"/>
  <c r="K2" i="3"/>
  <c r="K1" i="3"/>
  <c r="L50" i="3" l="1"/>
  <c r="L170" i="3"/>
  <c r="L86" i="3"/>
  <c r="L104" i="3"/>
  <c r="L122" i="3"/>
  <c r="L38" i="3"/>
  <c r="L26" i="3"/>
  <c r="L165" i="3"/>
  <c r="L134" i="3"/>
  <c r="L14" i="3"/>
  <c r="L32" i="3"/>
  <c r="L153" i="3"/>
  <c r="L56" i="3"/>
  <c r="L8" i="3"/>
  <c r="L164" i="3"/>
  <c r="L68" i="3"/>
  <c r="L171" i="3"/>
  <c r="L44" i="3"/>
  <c r="L159" i="3"/>
  <c r="L74" i="3"/>
  <c r="L92" i="3"/>
  <c r="L110" i="3"/>
  <c r="L128" i="3"/>
  <c r="L146" i="3"/>
  <c r="L62" i="3"/>
  <c r="L80" i="3"/>
  <c r="L116" i="3"/>
  <c r="L152" i="3"/>
  <c r="L87" i="3"/>
  <c r="L28" i="3"/>
  <c r="L53" i="3"/>
  <c r="L99" i="3"/>
  <c r="L75" i="3"/>
  <c r="L151" i="3"/>
  <c r="L115" i="3"/>
  <c r="L143" i="3"/>
  <c r="L102" i="3"/>
  <c r="L144" i="3"/>
  <c r="L123" i="3"/>
  <c r="L40" i="3"/>
  <c r="L60" i="3"/>
  <c r="L85" i="3"/>
  <c r="L39" i="3"/>
  <c r="L119" i="3"/>
  <c r="L61" i="3"/>
  <c r="L172" i="3"/>
  <c r="L57" i="3"/>
  <c r="L77" i="3"/>
  <c r="L120" i="3"/>
  <c r="L109" i="3"/>
  <c r="L15" i="3"/>
  <c r="L148" i="3"/>
  <c r="L89" i="3"/>
  <c r="L127" i="3"/>
  <c r="L94" i="3"/>
  <c r="L137" i="3"/>
  <c r="L129" i="3"/>
  <c r="L103" i="3"/>
  <c r="L27" i="3"/>
  <c r="L21" i="3"/>
  <c r="L145" i="3"/>
  <c r="L112" i="3"/>
  <c r="L51" i="3"/>
  <c r="L113" i="3"/>
  <c r="L16" i="3"/>
  <c r="L114" i="3"/>
  <c r="L73" i="3"/>
  <c r="L160" i="3"/>
  <c r="L163" i="3"/>
  <c r="L138" i="3"/>
  <c r="L9" i="3"/>
  <c r="L34" i="3"/>
  <c r="L10" i="3"/>
  <c r="L125" i="3"/>
  <c r="L6" i="3"/>
  <c r="L95" i="3"/>
  <c r="L17" i="3"/>
  <c r="L79" i="3"/>
  <c r="L154" i="3"/>
  <c r="L97" i="3"/>
  <c r="L22" i="3"/>
  <c r="L24" i="3"/>
  <c r="L130" i="3"/>
  <c r="L155" i="3"/>
  <c r="L131" i="3"/>
  <c r="L35" i="3"/>
  <c r="L29" i="3"/>
  <c r="L126" i="3"/>
  <c r="L41" i="3"/>
  <c r="L150" i="3"/>
  <c r="L36" i="3"/>
  <c r="L149" i="3"/>
  <c r="L69" i="3"/>
  <c r="L30" i="3"/>
  <c r="L147" i="3"/>
  <c r="L58" i="3"/>
  <c r="L98" i="3"/>
  <c r="L78" i="3"/>
  <c r="L140" i="3"/>
  <c r="L19" i="3"/>
  <c r="L31" i="3"/>
  <c r="L96" i="3"/>
  <c r="L161" i="3"/>
  <c r="L12" i="3"/>
  <c r="L167" i="3"/>
  <c r="L156" i="3"/>
  <c r="L11" i="3"/>
  <c r="L88" i="3"/>
  <c r="L100" i="3"/>
  <c r="L45" i="3"/>
  <c r="L7" i="3"/>
  <c r="L13" i="3"/>
  <c r="L49" i="3"/>
  <c r="L54" i="3"/>
  <c r="L63" i="3"/>
  <c r="L141" i="3"/>
  <c r="L121" i="3"/>
  <c r="L132" i="3"/>
  <c r="L25" i="3"/>
  <c r="L82" i="3"/>
  <c r="L2" i="3"/>
</calcChain>
</file>

<file path=xl/sharedStrings.xml><?xml version="1.0" encoding="utf-8"?>
<sst xmlns="http://schemas.openxmlformats.org/spreadsheetml/2006/main" count="6178" uniqueCount="1501">
  <si>
    <t>Nombre Maestro</t>
  </si>
  <si>
    <t>ABIGAIL NOHEMI</t>
  </si>
  <si>
    <t>ADRIAN</t>
  </si>
  <si>
    <t>AIDA CITLALI</t>
  </si>
  <si>
    <t>ALAM</t>
  </si>
  <si>
    <t>ALBERTO</t>
  </si>
  <si>
    <t>ALEJANDRO</t>
  </si>
  <si>
    <t>ALEJANDRO GABRIEL</t>
  </si>
  <si>
    <t>ALEJANDRO GUADALUPE</t>
  </si>
  <si>
    <t>ALFREDO</t>
  </si>
  <si>
    <t>ALFREDO DE JESUS</t>
  </si>
  <si>
    <t>ALMA DANIELA</t>
  </si>
  <si>
    <t>ALVARO</t>
  </si>
  <si>
    <t>AMANDA JANETTE</t>
  </si>
  <si>
    <t>ANA LORENA</t>
  </si>
  <si>
    <t xml:space="preserve">ANA MARIA </t>
  </si>
  <si>
    <t>ANGEL ALEJANDRO</t>
  </si>
  <si>
    <t>ARACELI</t>
  </si>
  <si>
    <t>BARBARA</t>
  </si>
  <si>
    <t>BERENICE</t>
  </si>
  <si>
    <t>BERTHA LUCRECIA</t>
  </si>
  <si>
    <t>BRENDA JEANNETTE</t>
  </si>
  <si>
    <t>CARLA DANIELA</t>
  </si>
  <si>
    <t>CARLA MARIANA</t>
  </si>
  <si>
    <t>CARLOS ALBERTO</t>
  </si>
  <si>
    <t>CARLOS ALFONSO</t>
  </si>
  <si>
    <t>CESAR FERNANDO</t>
  </si>
  <si>
    <t>CHRISTIAN</t>
  </si>
  <si>
    <t>CIRO</t>
  </si>
  <si>
    <t>CITLALIN</t>
  </si>
  <si>
    <t>CLAUDIA ELIZABETH</t>
  </si>
  <si>
    <t>CLAUDIA LUCIA</t>
  </si>
  <si>
    <t>CLAUDIA MAYELA</t>
  </si>
  <si>
    <t>CLAUDIA PAOLA</t>
  </si>
  <si>
    <t>CRISTINA DEL SOCORRO</t>
  </si>
  <si>
    <t>DAISUKE</t>
  </si>
  <si>
    <t>DANIEL</t>
  </si>
  <si>
    <t>DANIELA</t>
  </si>
  <si>
    <t>DAVID</t>
  </si>
  <si>
    <t>DAVID EDUARDO</t>
  </si>
  <si>
    <t>DAVID UBALDO</t>
  </si>
  <si>
    <t>DENIS PAUL</t>
  </si>
  <si>
    <t>DENNIS</t>
  </si>
  <si>
    <t>DIANA JOSSELINE</t>
  </si>
  <si>
    <t>DULCE CARMINA</t>
  </si>
  <si>
    <t>EDGARDO</t>
  </si>
  <si>
    <t>EDUARDO FRANCISCO</t>
  </si>
  <si>
    <t>ELISA</t>
  </si>
  <si>
    <t>ELSA GEORGINA</t>
  </si>
  <si>
    <t>EMMANUEL</t>
  </si>
  <si>
    <t>ENRIQUE</t>
  </si>
  <si>
    <t>ENRIQUE ALEJANDRO</t>
  </si>
  <si>
    <t>ERIKA</t>
  </si>
  <si>
    <t>ERIKA ALICIA</t>
  </si>
  <si>
    <t>ERIKA IVETTE</t>
  </si>
  <si>
    <t>FATIMA ALEJANDRA</t>
  </si>
  <si>
    <t>FERNANDO</t>
  </si>
  <si>
    <t>FERNANDO ABIF</t>
  </si>
  <si>
    <t>FRANCISCO</t>
  </si>
  <si>
    <t>FRANCISCO ALBERTO</t>
  </si>
  <si>
    <t>FRANCISCO JAVIER</t>
  </si>
  <si>
    <t>GABRIEL</t>
  </si>
  <si>
    <t>GABRIELA</t>
  </si>
  <si>
    <t>GIOVANNI ARTURO</t>
  </si>
  <si>
    <t>GISELLE</t>
  </si>
  <si>
    <t>GRISELDA</t>
  </si>
  <si>
    <t>HECTOR</t>
  </si>
  <si>
    <t>HECTOR ALFONSO</t>
  </si>
  <si>
    <t>HECTOR RAUL</t>
  </si>
  <si>
    <t>HECTOR RICARDO</t>
  </si>
  <si>
    <t>HERNAN ANDRES</t>
  </si>
  <si>
    <t>HORACIO</t>
  </si>
  <si>
    <t>HUGO MIGUEL</t>
  </si>
  <si>
    <t>IAN ALEJANDRO</t>
  </si>
  <si>
    <t>IRMA ELIZABETH</t>
  </si>
  <si>
    <t>IRVING TRINIDAD</t>
  </si>
  <si>
    <t>ISIS</t>
  </si>
  <si>
    <t>JAVIER EDUARDO</t>
  </si>
  <si>
    <t>JESUS ALEJANDRO</t>
  </si>
  <si>
    <t>JESUS ANTONIO</t>
  </si>
  <si>
    <t>JESUS EMMANUEL</t>
  </si>
  <si>
    <t>JESUS HIRAM</t>
  </si>
  <si>
    <t>JOAQUIN</t>
  </si>
  <si>
    <t>JORGE</t>
  </si>
  <si>
    <t>JORGE ENRIQUE</t>
  </si>
  <si>
    <t>JORGE HUMBERTO</t>
  </si>
  <si>
    <t>JOSE ALBERTO</t>
  </si>
  <si>
    <t>JOSE ALEJANDRO</t>
  </si>
  <si>
    <t>JOSE BENJAMIN</t>
  </si>
  <si>
    <t>JOSE CARLOS</t>
  </si>
  <si>
    <t>JOSE COSME</t>
  </si>
  <si>
    <t>JOSE DANIEL</t>
  </si>
  <si>
    <t>JOSE DE JESUS</t>
  </si>
  <si>
    <t>JOSE JAVIER</t>
  </si>
  <si>
    <t>JOSE JORGE</t>
  </si>
  <si>
    <t>JOSE LUIS</t>
  </si>
  <si>
    <t>JUAN</t>
  </si>
  <si>
    <t>JUAN CARLOS</t>
  </si>
  <si>
    <t>JUAN JOSE</t>
  </si>
  <si>
    <t>JULIETA</t>
  </si>
  <si>
    <t>LAURA</t>
  </si>
  <si>
    <t>LAURA JEZABEL</t>
  </si>
  <si>
    <t>LAURA LIVIER</t>
  </si>
  <si>
    <t>LAURA YANET</t>
  </si>
  <si>
    <t>LEIDY CAROLINA</t>
  </si>
  <si>
    <t>LEONARDO</t>
  </si>
  <si>
    <t>LETICIA</t>
  </si>
  <si>
    <t>LILIANA</t>
  </si>
  <si>
    <t>LIZETTE SARAI</t>
  </si>
  <si>
    <t>LUCINA SARAY</t>
  </si>
  <si>
    <t>LUIS ANDRES</t>
  </si>
  <si>
    <t>LUIS ARTURO</t>
  </si>
  <si>
    <t>LUIS FERNANDO</t>
  </si>
  <si>
    <t>LUIS GILBERTO</t>
  </si>
  <si>
    <t>LUIS RAFAEL</t>
  </si>
  <si>
    <t>MARCELINO</t>
  </si>
  <si>
    <t>MARIA ALEJANDRA</t>
  </si>
  <si>
    <t>MARIA DE JESUS</t>
  </si>
  <si>
    <t>MARIA DEL CARMEN</t>
  </si>
  <si>
    <t>MARIA DOLORES</t>
  </si>
  <si>
    <t>MARIA ELENA</t>
  </si>
  <si>
    <t>MARIA GUADALUPE</t>
  </si>
  <si>
    <t xml:space="preserve">MARIA LUISA </t>
  </si>
  <si>
    <t>MARIA TERESA</t>
  </si>
  <si>
    <t>MARIANA ELISA</t>
  </si>
  <si>
    <t>MARTHA IXCHEL</t>
  </si>
  <si>
    <t>MARTIN</t>
  </si>
  <si>
    <t>MARTIN DE JESUS</t>
  </si>
  <si>
    <t xml:space="preserve">MARTIN EDUARDO </t>
  </si>
  <si>
    <t>MARTIN ONESIMO</t>
  </si>
  <si>
    <t>MELISSA</t>
  </si>
  <si>
    <t>MERCEDES</t>
  </si>
  <si>
    <t>MIGUEL ANGEL</t>
  </si>
  <si>
    <t>MONSERRAT MARLEM</t>
  </si>
  <si>
    <t>MONTSERRAT FABIOLA</t>
  </si>
  <si>
    <t>NANCY</t>
  </si>
  <si>
    <t>NARDA RUBI</t>
  </si>
  <si>
    <t>NICOLE</t>
  </si>
  <si>
    <t>NOEMI MONSERRAT</t>
  </si>
  <si>
    <t>NYDIA</t>
  </si>
  <si>
    <t>ORELY KARINA</t>
  </si>
  <si>
    <t>OSVALDO</t>
  </si>
  <si>
    <t>PALOMA BELEN</t>
  </si>
  <si>
    <t>PAULETTE</t>
  </si>
  <si>
    <t>RAFAEL</t>
  </si>
  <si>
    <t>RAQUEL ABIGAIL</t>
  </si>
  <si>
    <t>RAUL ENRIQUE</t>
  </si>
  <si>
    <t>RAYMUNDO</t>
  </si>
  <si>
    <t>RICARDO IGNACIO</t>
  </si>
  <si>
    <t>ROBERTO ANTONIO</t>
  </si>
  <si>
    <t>RODOLFO</t>
  </si>
  <si>
    <t>RODRIGO</t>
  </si>
  <si>
    <t>SALVADOR</t>
  </si>
  <si>
    <t>SAMUEL</t>
  </si>
  <si>
    <t>SANTIAGO</t>
  </si>
  <si>
    <t>SAUL EMMANUEL</t>
  </si>
  <si>
    <t>SOBEK DRACO</t>
  </si>
  <si>
    <t>STEPHANY ELIZABETH</t>
  </si>
  <si>
    <t>URIEL</t>
  </si>
  <si>
    <t>VICTOR MANUEL</t>
  </si>
  <si>
    <t>ZAIRA MARLENE</t>
  </si>
  <si>
    <t>Paterno Maestro</t>
  </si>
  <si>
    <t>CHILPA</t>
  </si>
  <si>
    <t>ROJAS</t>
  </si>
  <si>
    <t>HERNANDEZ</t>
  </si>
  <si>
    <t>GOMEZ</t>
  </si>
  <si>
    <t>MENDEZ</t>
  </si>
  <si>
    <t>PALOMERA</t>
  </si>
  <si>
    <t>URIBE</t>
  </si>
  <si>
    <t>LAGOS</t>
  </si>
  <si>
    <t>ESQUIVEL</t>
  </si>
  <si>
    <t>GARCIA</t>
  </si>
  <si>
    <t>VELAZQUEZ</t>
  </si>
  <si>
    <t>MORENO</t>
  </si>
  <si>
    <t>RENTERIA</t>
  </si>
  <si>
    <t>ANGUIANO</t>
  </si>
  <si>
    <t>NUÑEZ</t>
  </si>
  <si>
    <t>AVALOS</t>
  </si>
  <si>
    <t>FLORES</t>
  </si>
  <si>
    <t>TORRES</t>
  </si>
  <si>
    <t>FERRER</t>
  </si>
  <si>
    <t>GUERRA</t>
  </si>
  <si>
    <t>MORELOS</t>
  </si>
  <si>
    <t>AGUILAR</t>
  </si>
  <si>
    <t>ROSARIO</t>
  </si>
  <si>
    <t>ZAPARI</t>
  </si>
  <si>
    <t>CARRILLO</t>
  </si>
  <si>
    <t xml:space="preserve">ZARATE </t>
  </si>
  <si>
    <t>VEGA</t>
  </si>
  <si>
    <t>OCHOA</t>
  </si>
  <si>
    <t>BAUTISTA</t>
  </si>
  <si>
    <t>ESCOBEDO</t>
  </si>
  <si>
    <t>CORTES</t>
  </si>
  <si>
    <t>CASILLAS</t>
  </si>
  <si>
    <t>SHINDO</t>
  </si>
  <si>
    <t>LARA</t>
  </si>
  <si>
    <t>MONTELONGO</t>
  </si>
  <si>
    <t>FAJER</t>
  </si>
  <si>
    <t>HERRERA</t>
  </si>
  <si>
    <t>ACEVES</t>
  </si>
  <si>
    <t>RODRIGUEZ</t>
  </si>
  <si>
    <t>CAMACHO</t>
  </si>
  <si>
    <t>ORTEGA</t>
  </si>
  <si>
    <t>ALVARADO</t>
  </si>
  <si>
    <t>CHAVARRIA</t>
  </si>
  <si>
    <t>SANCHEZ</t>
  </si>
  <si>
    <t>HOBART</t>
  </si>
  <si>
    <t>PADILLA</t>
  </si>
  <si>
    <t>SALDIVAR</t>
  </si>
  <si>
    <t>GONZALEZ</t>
  </si>
  <si>
    <t>JIMENEZ</t>
  </si>
  <si>
    <t>ESPEJO</t>
  </si>
  <si>
    <t>PONCE</t>
  </si>
  <si>
    <t>SALCEDO</t>
  </si>
  <si>
    <t>VELA</t>
  </si>
  <si>
    <t>LOPEZ</t>
  </si>
  <si>
    <t>TAPIA</t>
  </si>
  <si>
    <t>MARQUEZ</t>
  </si>
  <si>
    <t>RAMIREZ</t>
  </si>
  <si>
    <t>BENITEZ</t>
  </si>
  <si>
    <t>GARIBAY</t>
  </si>
  <si>
    <t>ANDRADE</t>
  </si>
  <si>
    <t>MADRIGAL</t>
  </si>
  <si>
    <t>DEL RIO</t>
  </si>
  <si>
    <t>CAVALLO</t>
  </si>
  <si>
    <t>ARTEAGA</t>
  </si>
  <si>
    <t>SEGOVIANO</t>
  </si>
  <si>
    <t>BARRERA</t>
  </si>
  <si>
    <t>CASTELLANOS</t>
  </si>
  <si>
    <t>FARIAS</t>
  </si>
  <si>
    <t>GUDIÑO</t>
  </si>
  <si>
    <t>ZEPEDA</t>
  </si>
  <si>
    <t>BEGINES</t>
  </si>
  <si>
    <t>ACOSTA</t>
  </si>
  <si>
    <t>MACIAS</t>
  </si>
  <si>
    <t>PEREZ</t>
  </si>
  <si>
    <t>LUNA</t>
  </si>
  <si>
    <t>VALENZUELA</t>
  </si>
  <si>
    <t>DELGADILLO</t>
  </si>
  <si>
    <t>GUILLEN</t>
  </si>
  <si>
    <t>BLANQUET</t>
  </si>
  <si>
    <t>PARRA</t>
  </si>
  <si>
    <t xml:space="preserve">MARTINEZ </t>
  </si>
  <si>
    <t>MONTAÑO</t>
  </si>
  <si>
    <t>DE ALBA</t>
  </si>
  <si>
    <t>RIVAS</t>
  </si>
  <si>
    <t>GAMA</t>
  </si>
  <si>
    <t>MICHEL</t>
  </si>
  <si>
    <t>BAHENA</t>
  </si>
  <si>
    <t>BERMUDEZ</t>
  </si>
  <si>
    <t>MARTINEZ</t>
  </si>
  <si>
    <t>ROSALES</t>
  </si>
  <si>
    <t>MEJIA</t>
  </si>
  <si>
    <t xml:space="preserve">ROMERO </t>
  </si>
  <si>
    <t>SALAZAR</t>
  </si>
  <si>
    <t>FUENTES</t>
  </si>
  <si>
    <t>DOMINGUEZ</t>
  </si>
  <si>
    <t>MAGALLON</t>
  </si>
  <si>
    <t>MIRANDA</t>
  </si>
  <si>
    <t xml:space="preserve">CHAN </t>
  </si>
  <si>
    <t>MENDOZA</t>
  </si>
  <si>
    <t xml:space="preserve">GARCIA </t>
  </si>
  <si>
    <t>MORONES</t>
  </si>
  <si>
    <t>BARUCH</t>
  </si>
  <si>
    <t>QUINTERO</t>
  </si>
  <si>
    <t xml:space="preserve">DE ANDA </t>
  </si>
  <si>
    <t>DE LA ROSA</t>
  </si>
  <si>
    <t>ESCARCEGA</t>
  </si>
  <si>
    <t>FRIAS</t>
  </si>
  <si>
    <t>RAMOS</t>
  </si>
  <si>
    <t>MEDINA</t>
  </si>
  <si>
    <t>JAUREGUI</t>
  </si>
  <si>
    <t>HERNANDEZ GONZALEZ</t>
  </si>
  <si>
    <t>CALDERON</t>
  </si>
  <si>
    <t>ESPINO</t>
  </si>
  <si>
    <t>IRETA</t>
  </si>
  <si>
    <t>JARAMILLO</t>
  </si>
  <si>
    <t>RIOS</t>
  </si>
  <si>
    <t>TRUJILLO</t>
  </si>
  <si>
    <t>ABREU</t>
  </si>
  <si>
    <t>ESPEJEL</t>
  </si>
  <si>
    <t>SILVA</t>
  </si>
  <si>
    <t>BAEZA</t>
  </si>
  <si>
    <t>PEÑA</t>
  </si>
  <si>
    <t>CARDENAS</t>
  </si>
  <si>
    <t>MONTERO</t>
  </si>
  <si>
    <t>MEDEL</t>
  </si>
  <si>
    <t>QUEZADA</t>
  </si>
  <si>
    <t>ZAMBRANO</t>
  </si>
  <si>
    <t>Materno Maestro</t>
  </si>
  <si>
    <t>ABOYTES</t>
  </si>
  <si>
    <t>MALDONADO</t>
  </si>
  <si>
    <t>CANALES</t>
  </si>
  <si>
    <t>LEAL</t>
  </si>
  <si>
    <t>VALDERRAMA</t>
  </si>
  <si>
    <t>SANTOS</t>
  </si>
  <si>
    <t>NAVARRETE</t>
  </si>
  <si>
    <t>CORRAL</t>
  </si>
  <si>
    <t>SUAREZ DEL REAL</t>
  </si>
  <si>
    <t>GIL</t>
  </si>
  <si>
    <t>CEBALLOS</t>
  </si>
  <si>
    <t>ESPINOSA</t>
  </si>
  <si>
    <t>BECERRA</t>
  </si>
  <si>
    <t>ROMERO</t>
  </si>
  <si>
    <t>TOVAR</t>
  </si>
  <si>
    <t>TOMAS</t>
  </si>
  <si>
    <t>ROMAN</t>
  </si>
  <si>
    <t>VELASCO</t>
  </si>
  <si>
    <t>CASTILLO</t>
  </si>
  <si>
    <t>FAVELA</t>
  </si>
  <si>
    <t>AGUAYO</t>
  </si>
  <si>
    <t>ROMO</t>
  </si>
  <si>
    <t>ARAGON</t>
  </si>
  <si>
    <t>REYNAGA</t>
  </si>
  <si>
    <t>BUENROSTRO</t>
  </si>
  <si>
    <t>CUEVAS</t>
  </si>
  <si>
    <t>BAEZ</t>
  </si>
  <si>
    <t>OCAMPO</t>
  </si>
  <si>
    <t>OROZCO</t>
  </si>
  <si>
    <t>ANDALON</t>
  </si>
  <si>
    <t>AMADOR</t>
  </si>
  <si>
    <t>REGALADO</t>
  </si>
  <si>
    <t>SAAVEDRA</t>
  </si>
  <si>
    <t>VIDAURRI</t>
  </si>
  <si>
    <t>CORONA</t>
  </si>
  <si>
    <t>ORNELAS</t>
  </si>
  <si>
    <t>LOZANO</t>
  </si>
  <si>
    <t>AVILA</t>
  </si>
  <si>
    <t>GUZMAN</t>
  </si>
  <si>
    <t>LLAMAS</t>
  </si>
  <si>
    <t>AZCONA</t>
  </si>
  <si>
    <t xml:space="preserve"> MAZZITELLI</t>
  </si>
  <si>
    <t>CARDONA</t>
  </si>
  <si>
    <t>MEZA</t>
  </si>
  <si>
    <t>ALONSO</t>
  </si>
  <si>
    <t>RONDON</t>
  </si>
  <si>
    <t>LEDEZMA</t>
  </si>
  <si>
    <t>REYNOSO</t>
  </si>
  <si>
    <t>CINCO</t>
  </si>
  <si>
    <t>GARZA</t>
  </si>
  <si>
    <t>GUTIERREZ</t>
  </si>
  <si>
    <t>VAZQUEZ</t>
  </si>
  <si>
    <t>CHAVIRA</t>
  </si>
  <si>
    <t>BOCANEGRA</t>
  </si>
  <si>
    <t>LAGUNES</t>
  </si>
  <si>
    <t>MUÑOZ</t>
  </si>
  <si>
    <t>CHAVOYA</t>
  </si>
  <si>
    <t>ALDRETE</t>
  </si>
  <si>
    <t>ALVIZO</t>
  </si>
  <si>
    <t>CABRERA</t>
  </si>
  <si>
    <t>SANDOVAL</t>
  </si>
  <si>
    <t>VANEGAS</t>
  </si>
  <si>
    <t>QUIROGA</t>
  </si>
  <si>
    <t>COSIO</t>
  </si>
  <si>
    <t>TERAN</t>
  </si>
  <si>
    <t>VARGAS</t>
  </si>
  <si>
    <t>CORDOVA</t>
  </si>
  <si>
    <t>COVARRUBIAS</t>
  </si>
  <si>
    <t>MORTERA</t>
  </si>
  <si>
    <t xml:space="preserve">SANCHEZ </t>
  </si>
  <si>
    <t>ALVAREZ</t>
  </si>
  <si>
    <t>MORALES</t>
  </si>
  <si>
    <t xml:space="preserve">HERNANDEZ </t>
  </si>
  <si>
    <t xml:space="preserve">DEL MURO </t>
  </si>
  <si>
    <t>ROBLES</t>
  </si>
  <si>
    <t>RICARIO</t>
  </si>
  <si>
    <t>ORTIZ</t>
  </si>
  <si>
    <t>GARCIA DE LEON</t>
  </si>
  <si>
    <t>BARCENA</t>
  </si>
  <si>
    <t>CHAVARIN</t>
  </si>
  <si>
    <t>CAMPOS</t>
  </si>
  <si>
    <t>GOYTIA</t>
  </si>
  <si>
    <t>NUÑO</t>
  </si>
  <si>
    <t>TEJEDA</t>
  </si>
  <si>
    <t>MONTIEL</t>
  </si>
  <si>
    <t>ZAMORA</t>
  </si>
  <si>
    <t>JUAREZ</t>
  </si>
  <si>
    <t>NAVARRO</t>
  </si>
  <si>
    <t>Maestro</t>
  </si>
  <si>
    <t xml:space="preserve">CAA1971   </t>
  </si>
  <si>
    <t xml:space="preserve">RMA2027   </t>
  </si>
  <si>
    <t xml:space="preserve">HMA1841   </t>
  </si>
  <si>
    <t xml:space="preserve">GCA1735   </t>
  </si>
  <si>
    <t xml:space="preserve">MJA1950   </t>
  </si>
  <si>
    <t xml:space="preserve">PJA1958   </t>
  </si>
  <si>
    <t xml:space="preserve">ULA0927   </t>
  </si>
  <si>
    <t xml:space="preserve">LLA2001   </t>
  </si>
  <si>
    <t xml:space="preserve">ELA1980   </t>
  </si>
  <si>
    <t xml:space="preserve">GVA1919   </t>
  </si>
  <si>
    <t xml:space="preserve">VSA1861   </t>
  </si>
  <si>
    <t xml:space="preserve">VNA1925   </t>
  </si>
  <si>
    <t xml:space="preserve">MCA1844   </t>
  </si>
  <si>
    <t xml:space="preserve">RJA1850   </t>
  </si>
  <si>
    <t xml:space="preserve">ASA1552   </t>
  </si>
  <si>
    <t xml:space="preserve">NVA1745   </t>
  </si>
  <si>
    <t xml:space="preserve">ATA1653   </t>
  </si>
  <si>
    <t xml:space="preserve">FGA1042   </t>
  </si>
  <si>
    <t xml:space="preserve">NGB1914   </t>
  </si>
  <si>
    <t xml:space="preserve">TMB1974   </t>
  </si>
  <si>
    <t xml:space="preserve">FLB0895   </t>
  </si>
  <si>
    <t xml:space="preserve">GRB0956   </t>
  </si>
  <si>
    <t xml:space="preserve">MVC1563   </t>
  </si>
  <si>
    <t xml:space="preserve">ACC1730   </t>
  </si>
  <si>
    <t xml:space="preserve">TEC1066   </t>
  </si>
  <si>
    <t xml:space="preserve">RBC1633   </t>
  </si>
  <si>
    <t xml:space="preserve">ZRC1887   </t>
  </si>
  <si>
    <t xml:space="preserve">CTC2034   </t>
  </si>
  <si>
    <t xml:space="preserve">ZTC1408   </t>
  </si>
  <si>
    <t xml:space="preserve">VRC1859   </t>
  </si>
  <si>
    <t xml:space="preserve">OFC1982   </t>
  </si>
  <si>
    <t xml:space="preserve">BPC1920   </t>
  </si>
  <si>
    <t xml:space="preserve">EGC2011   </t>
  </si>
  <si>
    <t xml:space="preserve">CVC1898   </t>
  </si>
  <si>
    <t xml:space="preserve">CCC1964   </t>
  </si>
  <si>
    <t xml:space="preserve">SD0167    </t>
  </si>
  <si>
    <t xml:space="preserve">LFD1482   </t>
  </si>
  <si>
    <t xml:space="preserve">MAD0975   </t>
  </si>
  <si>
    <t xml:space="preserve">FRD1712   </t>
  </si>
  <si>
    <t xml:space="preserve">HAD0939   </t>
  </si>
  <si>
    <t xml:space="preserve">ARD1864   </t>
  </si>
  <si>
    <t xml:space="preserve">GPD1665   </t>
  </si>
  <si>
    <t xml:space="preserve">RRD1854   </t>
  </si>
  <si>
    <t xml:space="preserve">CBD0795   </t>
  </si>
  <si>
    <t xml:space="preserve">OCD1957   </t>
  </si>
  <si>
    <t xml:space="preserve">ABD1972   </t>
  </si>
  <si>
    <t xml:space="preserve">CRE2018   </t>
  </si>
  <si>
    <t xml:space="preserve">SOE1855   </t>
  </si>
  <si>
    <t xml:space="preserve">HGE1078   </t>
  </si>
  <si>
    <t xml:space="preserve">PME1742   </t>
  </si>
  <si>
    <t xml:space="preserve">SE0523    </t>
  </si>
  <si>
    <t xml:space="preserve">GGE1133   </t>
  </si>
  <si>
    <t xml:space="preserve">JAE1729   </t>
  </si>
  <si>
    <t xml:space="preserve">GAE2037   </t>
  </si>
  <si>
    <t xml:space="preserve">ERE1767   </t>
  </si>
  <si>
    <t xml:space="preserve">PSE2004   </t>
  </si>
  <si>
    <t xml:space="preserve">SRE1199   </t>
  </si>
  <si>
    <t xml:space="preserve">VTF1860   </t>
  </si>
  <si>
    <t xml:space="preserve">SLF1932   </t>
  </si>
  <si>
    <t xml:space="preserve">LVF1601   </t>
  </si>
  <si>
    <t xml:space="preserve">TVF1344   </t>
  </si>
  <si>
    <t xml:space="preserve">MCF1923   </t>
  </si>
  <si>
    <t xml:space="preserve">ROF1352   </t>
  </si>
  <si>
    <t xml:space="preserve">BLG1791   </t>
  </si>
  <si>
    <t xml:space="preserve">GGG1774   </t>
  </si>
  <si>
    <t xml:space="preserve">JSG1692   </t>
  </si>
  <si>
    <t xml:space="preserve">AHG0679   </t>
  </si>
  <si>
    <t xml:space="preserve">MRG1930   </t>
  </si>
  <si>
    <t xml:space="preserve">RAH2003   </t>
  </si>
  <si>
    <t xml:space="preserve">FGH1934   </t>
  </si>
  <si>
    <t xml:space="preserve">MLH1052   </t>
  </si>
  <si>
    <t xml:space="preserve">DAH0151   </t>
  </si>
  <si>
    <t xml:space="preserve">CMH1305   </t>
  </si>
  <si>
    <t xml:space="preserve">ACH1131   </t>
  </si>
  <si>
    <t xml:space="preserve">SMH1905   </t>
  </si>
  <si>
    <t xml:space="preserve">BSI1910   </t>
  </si>
  <si>
    <t xml:space="preserve">CMI1010   </t>
  </si>
  <si>
    <t xml:space="preserve">RAI1236   </t>
  </si>
  <si>
    <t xml:space="preserve">FCI1701   </t>
  </si>
  <si>
    <t xml:space="preserve">SRJ1260   </t>
  </si>
  <si>
    <t xml:space="preserve">GLJ1802   </t>
  </si>
  <si>
    <t xml:space="preserve">GGJ1869   </t>
  </si>
  <si>
    <t xml:space="preserve">ZRJ2030   </t>
  </si>
  <si>
    <t xml:space="preserve">BCJ1210   </t>
  </si>
  <si>
    <t xml:space="preserve">GLJ1249   </t>
  </si>
  <si>
    <t xml:space="preserve">AMJ1423   </t>
  </si>
  <si>
    <t xml:space="preserve">MGJ1410   </t>
  </si>
  <si>
    <t xml:space="preserve">PGJ1240   </t>
  </si>
  <si>
    <t xml:space="preserve">MQJ1984   </t>
  </si>
  <si>
    <t xml:space="preserve">SPJ2028   </t>
  </si>
  <si>
    <t xml:space="preserve">RMJ1853   </t>
  </si>
  <si>
    <t xml:space="preserve">LHJ1611   </t>
  </si>
  <si>
    <t xml:space="preserve">GVJ1876   </t>
  </si>
  <si>
    <t xml:space="preserve">VCJ1927   </t>
  </si>
  <si>
    <t xml:space="preserve">DBJ1893   </t>
  </si>
  <si>
    <t xml:space="preserve">GLJ1890   </t>
  </si>
  <si>
    <t xml:space="preserve">SMJ0539   </t>
  </si>
  <si>
    <t xml:space="preserve">BCJ1051   </t>
  </si>
  <si>
    <t xml:space="preserve">GFJ1530   </t>
  </si>
  <si>
    <t xml:space="preserve">PAJ1953   </t>
  </si>
  <si>
    <t xml:space="preserve">PCJ1177   </t>
  </si>
  <si>
    <t xml:space="preserve">MJ0221    </t>
  </si>
  <si>
    <t xml:space="preserve">MAJ1442   </t>
  </si>
  <si>
    <t xml:space="preserve">RCJ1881   </t>
  </si>
  <si>
    <t xml:space="preserve">DGJ1732   </t>
  </si>
  <si>
    <t xml:space="preserve">RRL1304   </t>
  </si>
  <si>
    <t xml:space="preserve">GGL1922   </t>
  </si>
  <si>
    <t xml:space="preserve">MSL1607   </t>
  </si>
  <si>
    <t xml:space="preserve">BVL2038   </t>
  </si>
  <si>
    <t xml:space="preserve">BQL1911   </t>
  </si>
  <si>
    <t xml:space="preserve">FCL1178   </t>
  </si>
  <si>
    <t xml:space="preserve">MGL0928   </t>
  </si>
  <si>
    <t xml:space="preserve">MML1660   </t>
  </si>
  <si>
    <t xml:space="preserve">MTL1553   </t>
  </si>
  <si>
    <t xml:space="preserve">RVL1931   </t>
  </si>
  <si>
    <t xml:space="preserve">MGL1990   </t>
  </si>
  <si>
    <t xml:space="preserve">RCL1449   </t>
  </si>
  <si>
    <t xml:space="preserve">HZL0661   </t>
  </si>
  <si>
    <t xml:space="preserve">SLL1959   </t>
  </si>
  <si>
    <t xml:space="preserve">GCL1128   </t>
  </si>
  <si>
    <t xml:space="preserve">FHM2033   </t>
  </si>
  <si>
    <t xml:space="preserve">DLM0970   </t>
  </si>
  <si>
    <t xml:space="preserve">RAM2025   </t>
  </si>
  <si>
    <t xml:space="preserve">MRM1794   </t>
  </si>
  <si>
    <t xml:space="preserve">MMM1414   </t>
  </si>
  <si>
    <t xml:space="preserve">CNM0034   </t>
  </si>
  <si>
    <t xml:space="preserve">MSM2022   </t>
  </si>
  <si>
    <t xml:space="preserve">GSM0224   </t>
  </si>
  <si>
    <t xml:space="preserve">GAM0556   </t>
  </si>
  <si>
    <t xml:space="preserve">MMM1396   </t>
  </si>
  <si>
    <t xml:space="preserve">BMM2041   </t>
  </si>
  <si>
    <t xml:space="preserve">GHM1198   </t>
  </si>
  <si>
    <t xml:space="preserve">RGM2024   </t>
  </si>
  <si>
    <t xml:space="preserve">QLM0846   </t>
  </si>
  <si>
    <t xml:space="preserve">DDM0468   </t>
  </si>
  <si>
    <t xml:space="preserve">RRM2026   </t>
  </si>
  <si>
    <t xml:space="preserve">DRM1880   </t>
  </si>
  <si>
    <t xml:space="preserve">POM0707   </t>
  </si>
  <si>
    <t xml:space="preserve">EGM1892   </t>
  </si>
  <si>
    <t xml:space="preserve">FRM2000   </t>
  </si>
  <si>
    <t xml:space="preserve">PCM1848   </t>
  </si>
  <si>
    <t xml:space="preserve">RRM1422   </t>
  </si>
  <si>
    <t xml:space="preserve">MVN1938   </t>
  </si>
  <si>
    <t xml:space="preserve">JRN2021   </t>
  </si>
  <si>
    <t xml:space="preserve">HBN1668   </t>
  </si>
  <si>
    <t xml:space="preserve">CCN1952   </t>
  </si>
  <si>
    <t xml:space="preserve">ECN0993   </t>
  </si>
  <si>
    <t xml:space="preserve">BGO2017   </t>
  </si>
  <si>
    <t xml:space="preserve">IVO1989   </t>
  </si>
  <si>
    <t xml:space="preserve">AVP1751   </t>
  </si>
  <si>
    <t xml:space="preserve">JMP1912   </t>
  </si>
  <si>
    <t xml:space="preserve">RNR1966   </t>
  </si>
  <si>
    <t xml:space="preserve">TTR1680   </t>
  </si>
  <si>
    <t xml:space="preserve">ATR1755   </t>
  </si>
  <si>
    <t xml:space="preserve">EVR1642   </t>
  </si>
  <si>
    <t xml:space="preserve">SHR1973   </t>
  </si>
  <si>
    <t xml:space="preserve">BMR1221   </t>
  </si>
  <si>
    <t xml:space="preserve">RGR1965   </t>
  </si>
  <si>
    <t xml:space="preserve">SPR1937   </t>
  </si>
  <si>
    <t xml:space="preserve">PCR0609   </t>
  </si>
  <si>
    <t xml:space="preserve">AMS2016   </t>
  </si>
  <si>
    <t xml:space="preserve">GOS1311   </t>
  </si>
  <si>
    <t xml:space="preserve">CCS0709   </t>
  </si>
  <si>
    <t xml:space="preserve">FMS1800   </t>
  </si>
  <si>
    <t xml:space="preserve">MMM1455   </t>
  </si>
  <si>
    <t xml:space="preserve">MLS1918   </t>
  </si>
  <si>
    <t xml:space="preserve">RZU0538   </t>
  </si>
  <si>
    <t xml:space="preserve">MJV1996   </t>
  </si>
  <si>
    <t xml:space="preserve">QNV1347   </t>
  </si>
  <si>
    <t xml:space="preserve">ZLZ1862   </t>
  </si>
  <si>
    <t>Nombre</t>
  </si>
  <si>
    <t>CHILPA ABOYTES ABIGAIL NOHEMI</t>
  </si>
  <si>
    <t>ROJAS MALDONADO ADRIAN</t>
  </si>
  <si>
    <t>HERNANDEZ MONTAÑO AIDA CITLALI</t>
  </si>
  <si>
    <t>GOMEZ CANALES ALAM</t>
  </si>
  <si>
    <t>MENDEZ JIMENEZ ALBERTO</t>
  </si>
  <si>
    <t>PALOMERA JIMENEZ ALBERTO</t>
  </si>
  <si>
    <t>URIBE LOPEZ ALEJANDRO</t>
  </si>
  <si>
    <t>LAGOS LOPEZ ALEJANDRO GABRIEL</t>
  </si>
  <si>
    <t>ESQUIVEL LEAL ALEJANDRO GUADALUPE</t>
  </si>
  <si>
    <t>GARCIA VALDERRAMA ALFREDO</t>
  </si>
  <si>
    <t>VELAZQUEZ SANTOS ALFREDO DE JESUS</t>
  </si>
  <si>
    <t>VELAZQUEZ NAVARRETE ALMA DANIELA</t>
  </si>
  <si>
    <t>MORENO CORRAL ALVARO</t>
  </si>
  <si>
    <t>RENTERIA JIMENEZ AMANDA JANETTE</t>
  </si>
  <si>
    <t>ANGUIANO SUAREZ DEL REAL ANA LORENA</t>
  </si>
  <si>
    <t xml:space="preserve">NUÑEZ VELAZQUEZ ANA MARIA </t>
  </si>
  <si>
    <t>AVALOS TORRES ANGEL ALEJANDRO</t>
  </si>
  <si>
    <t>FLORES GIL ARACELI</t>
  </si>
  <si>
    <t>NUÑEZ GONZALEZ BARBARA</t>
  </si>
  <si>
    <t>TORRES MENDOZA BERENICE</t>
  </si>
  <si>
    <t>FERRER LOPEZ BERTHA LUCRECIA</t>
  </si>
  <si>
    <t>GUERRA RIOS BRENDA JEANNETTE</t>
  </si>
  <si>
    <t>MORELOS VELAZQUEZ CARLA DANIELA</t>
  </si>
  <si>
    <t>AGUILAR CEBALLOS CARLA MARIANA</t>
  </si>
  <si>
    <t>TORRES ESPINOSA CARLOS ALBERTO</t>
  </si>
  <si>
    <t>ROSARIO BECERRA CARLOS ALFONSO</t>
  </si>
  <si>
    <t>ZAPARI ROMERO CESAR FERNANDO</t>
  </si>
  <si>
    <t>CARRILLO TOVAR CHRISTIAN</t>
  </si>
  <si>
    <t>ZARATE  TOMAS CIRO</t>
  </si>
  <si>
    <t>VEGA ROMAN CITLALIN</t>
  </si>
  <si>
    <t>OCHOA FLORES CLAUDIA ELIZABETH</t>
  </si>
  <si>
    <t>BAUTISTA PARRA CLAUDIA LUCIA</t>
  </si>
  <si>
    <t>ESCOBEDO GARCIA CLAUDIA MAYELA</t>
  </si>
  <si>
    <t>CORTES VELASCO CLAUDIA PAOLA</t>
  </si>
  <si>
    <t>CASILLAS CASTILLO CRISTINA DEL SOCORRO</t>
  </si>
  <si>
    <t>SHINDO  DAISUKE</t>
  </si>
  <si>
    <t>LARA FAVELA DANIEL</t>
  </si>
  <si>
    <t>MONTELONGO AGUAYO DANIEL</t>
  </si>
  <si>
    <t>FAJER ROMO DANIELA</t>
  </si>
  <si>
    <t>HERRERA ARAGON DAVID</t>
  </si>
  <si>
    <t>ACEVES REYNAGA DAVID EDUARDO</t>
  </si>
  <si>
    <t>GOMEZ PEREZ DAVID UBALDO</t>
  </si>
  <si>
    <t>RODRIGUEZ ROMERO DENIS PAUL</t>
  </si>
  <si>
    <t>CAMACHO BUENROSTRO DENNIS</t>
  </si>
  <si>
    <t>ORTEGA CUEVAS DIANA JOSSELINE</t>
  </si>
  <si>
    <t>ALVARADO BAEZ DULCE CARMINA</t>
  </si>
  <si>
    <t>CHAVARRIA RODRIGUEZ EDGARDO</t>
  </si>
  <si>
    <t>SANCHEZ OCAMPO EDUARDO FRANCISCO</t>
  </si>
  <si>
    <t>HOBART GARCIA ELISA</t>
  </si>
  <si>
    <t>PADILLA MARTINEZ ELSA GEORGINA</t>
  </si>
  <si>
    <t>SALDIVAR OROZCO EMMANUEL</t>
  </si>
  <si>
    <t>GONZALEZ GONZALEZ ENRIQUE</t>
  </si>
  <si>
    <t>JIMENEZ ANDALON ENRIQUE</t>
  </si>
  <si>
    <t>GONZALEZ AMADOR ENRIQUE ALEJANDRO</t>
  </si>
  <si>
    <t>ESPEJO REGALADO ERIKA</t>
  </si>
  <si>
    <t>PONCE SAAVEDRA ERIKA ALICIA</t>
  </si>
  <si>
    <t>SALCEDO ROSALES ERIKA IVETTE</t>
  </si>
  <si>
    <t>VELA TORRES FATIMA ALEJANDRA</t>
  </si>
  <si>
    <t>SANCHEZ LOPEZ FERNANDO</t>
  </si>
  <si>
    <t>LOPEZ VIDAURRI FERNANDO ABIF</t>
  </si>
  <si>
    <t>TAPIA VELAZQUEZ FRANCISCO</t>
  </si>
  <si>
    <t>MARQUEZ CORONA FRANCISCO ALBERTO</t>
  </si>
  <si>
    <t>RAMIREZ ORNELAS FRANCISCO JAVIER</t>
  </si>
  <si>
    <t>BENITEZ LOZANO GABRIEL</t>
  </si>
  <si>
    <t>GARIBAY GARCIA GABRIELA</t>
  </si>
  <si>
    <t>JIMENEZ SILVA GIOVANNI ARTURO</t>
  </si>
  <si>
    <t>ANDRADE HERNANDEZ GISELLE</t>
  </si>
  <si>
    <t>MADRIGAL RODRIGUEZ GRISELDA</t>
  </si>
  <si>
    <t>RODRIGUEZ AVILA HECTOR</t>
  </si>
  <si>
    <t>FLORES GUZMAN HECTOR ALFONSO</t>
  </si>
  <si>
    <t>MORENO LLAMAS HECTOR RAUL</t>
  </si>
  <si>
    <t>DEL RIO AZCONA HECTOR RICARDO</t>
  </si>
  <si>
    <t>CAVALLO  MAZZITELLI HERNAN ANDRES</t>
  </si>
  <si>
    <t>ARTEAGA CARDONA HORACIO</t>
  </si>
  <si>
    <t>SEGOVIANO MARTINEZ HUGO MIGUEL</t>
  </si>
  <si>
    <t>BARRERA SANCHEZ IAN ALEJANDRO</t>
  </si>
  <si>
    <t>CASTELLANOS MEZA IRMA ELIZABETH</t>
  </si>
  <si>
    <t>RODRIGUEZ ALONSO IRVING TRINIDAD</t>
  </si>
  <si>
    <t>FARIAS CASTELLANOS ISIS</t>
  </si>
  <si>
    <t>SALCEDO RONDON JAVIER EDUARDO</t>
  </si>
  <si>
    <t>GOMEZ LEDEZMA JESUS ALEJANDRO</t>
  </si>
  <si>
    <t>GUDIÑO GONZALEZ JESUS ANTONIO</t>
  </si>
  <si>
    <t>ZEPEDA REYNOSO JESUS EMMANUEL</t>
  </si>
  <si>
    <t>BEGINES CINCO JESUS HIRAM</t>
  </si>
  <si>
    <t>GARCIA LOPEZ JOAQUIN</t>
  </si>
  <si>
    <t>ACOSTA NUÑEZ JORGE</t>
  </si>
  <si>
    <t>MACIAS GARZA JORGE ENRIQUE</t>
  </si>
  <si>
    <t>PEREZ GUTIERREZ JORGE HUMBERTO</t>
  </si>
  <si>
    <t>MORENO QUEZADA JOSE ALBERTO</t>
  </si>
  <si>
    <t>SALDIVAR PEREZ JOSE ALEJANDRO</t>
  </si>
  <si>
    <t>RODRIGUEZ MIRANDA JOSE BENJAMIN</t>
  </si>
  <si>
    <t>LUNA HERRERA JOSE CARLOS</t>
  </si>
  <si>
    <t>GARCIA VAZQUEZ JOSE COSME</t>
  </si>
  <si>
    <t>VALENZUELA CHAVIRA JOSE DANIEL</t>
  </si>
  <si>
    <t>DELGADILLO BOCANEGRA JOSE DE JESUS</t>
  </si>
  <si>
    <t>GUILLEN LAGUNES JOSE JAVIER</t>
  </si>
  <si>
    <t>SANCHEZ MUÑOZ JOSE JORGE</t>
  </si>
  <si>
    <t>BLANQUET CHAVOYA JOSE LUIS</t>
  </si>
  <si>
    <t>GARCIA FLORES JOSE LUIS</t>
  </si>
  <si>
    <t>PARRA ALDRETE JOSE LUIS</t>
  </si>
  <si>
    <t>PONCE CUEVAS JUAN</t>
  </si>
  <si>
    <t>MARTINEZ  ALVARADO JUAN CARLOS</t>
  </si>
  <si>
    <t>MONTAÑO ALVIZO JUAN CARLOS</t>
  </si>
  <si>
    <t>RODRIGUEZ CABRERA JUAN JOSE</t>
  </si>
  <si>
    <t>DE ALBA GONZALEZ JULIETA</t>
  </si>
  <si>
    <t>RIVAS RODRIGUEZ LAURA</t>
  </si>
  <si>
    <t>GAMA GOMEZ LAURA JEZABEL</t>
  </si>
  <si>
    <t>MICHEL SANDOVAL LAURA LIVIER</t>
  </si>
  <si>
    <t>BAHENA VANEGAS LAURA YANET</t>
  </si>
  <si>
    <t>BERMUDEZ QUIROGA LEIDY CAROLINA</t>
  </si>
  <si>
    <t>FLORES COSIO LEONARDO</t>
  </si>
  <si>
    <t>MARTINEZ GOMEZ LETICIA</t>
  </si>
  <si>
    <t>MARTINEZ MEDINA LILIANA</t>
  </si>
  <si>
    <t>MORENO TERAN LIZETTE SARAI</t>
  </si>
  <si>
    <t>ROSALES VARGAS LUCINA SARAY</t>
  </si>
  <si>
    <t>MEJIA GONZALEZ LUIS ANDRES</t>
  </si>
  <si>
    <t>ROMERO  CORDOVA LUIS ARTURO</t>
  </si>
  <si>
    <t>HERNANDEZ SALDIVAR LUIS FERNANDO</t>
  </si>
  <si>
    <t>SALAZAR LOPEZ LUIS GILBERTO</t>
  </si>
  <si>
    <t>GARCIA COVARRUBIAS LUIS RAFAEL</t>
  </si>
  <si>
    <t>FUENTES HERNANDEZ MARCELINO</t>
  </si>
  <si>
    <t>DOMINGUEZ LOPEZ MARIA ALEJANDRA</t>
  </si>
  <si>
    <t>RODRIGUEZ AMADOR MARIA DE JESUS</t>
  </si>
  <si>
    <t>MAGALLON RAMIREZ MARIA DEL CARMEN</t>
  </si>
  <si>
    <t>MIRANDA MORTERA MARIA DOLORES</t>
  </si>
  <si>
    <t>CHAN  NUÑEZ MARIA ELENA</t>
  </si>
  <si>
    <t>MENDOZA SANCHEZ MARIA GUADALUPE</t>
  </si>
  <si>
    <t xml:space="preserve">GARCIA  SANCHEZ  MARIA LUISA </t>
  </si>
  <si>
    <t>GONZALEZ ALVAREZ MARIA TERESA</t>
  </si>
  <si>
    <t>MORONES MUÑOZ MARIANA ELISA</t>
  </si>
  <si>
    <t>BARUCH MORALES MARTHA IXCHEL</t>
  </si>
  <si>
    <t>GARCIA HERNANDEZ  MARTIN</t>
  </si>
  <si>
    <t>RAMIREZ GUZMAN MARTIN</t>
  </si>
  <si>
    <t>QUINTERO LOPEZ MARTIN DE JESUS</t>
  </si>
  <si>
    <t xml:space="preserve">DE ANDA  DEL MURO  MARTIN EDUARDO </t>
  </si>
  <si>
    <t>RODRIGUEZ ROBLES MARTIN ONESIMO</t>
  </si>
  <si>
    <t>DE LA ROSA RICARIO MELISSA</t>
  </si>
  <si>
    <t>PEREZ ORTIZ MERCEDES</t>
  </si>
  <si>
    <t>ESCARCEGA GARCIA DE LEON MIGUEL ANGEL</t>
  </si>
  <si>
    <t>FRIAS REYNAGA MIGUEL ANGEL</t>
  </si>
  <si>
    <t>PEREZ CAMACHO MONSERRAT MARLEM</t>
  </si>
  <si>
    <t>RAMOS RENTERIA MONTSERRAT FABIOLA</t>
  </si>
  <si>
    <t>MEDINA VELAZQUEZ NANCY</t>
  </si>
  <si>
    <t>JAUREGUI RODRIGUEZ NARDA RUBI</t>
  </si>
  <si>
    <t>HERNANDEZ GONZALEZ BARCENA NICOLE</t>
  </si>
  <si>
    <t>CALDERON CHAVARIN NOEMI MONSERRAT</t>
  </si>
  <si>
    <t>ESPINO CAMPOS NYDIA</t>
  </si>
  <si>
    <t>BARRERA GOYTIA ORELY KARINA</t>
  </si>
  <si>
    <t>IRETA VELAZQUEZ OSVALDO</t>
  </si>
  <si>
    <t>ACOSTA VELAZQUEZ PALOMA BELEN</t>
  </si>
  <si>
    <t>JARAMILLO MARTINEZ PAULETTE</t>
  </si>
  <si>
    <t>RIOS NUÑO RAFAEL</t>
  </si>
  <si>
    <t>TRUJILLO TORRES RAFAEL</t>
  </si>
  <si>
    <t>ABREU TEJEDA RAQUEL ABIGAIL</t>
  </si>
  <si>
    <t>ESPEJEL VARGAS RAUL ENRIQUE</t>
  </si>
  <si>
    <t>SILVA HERRERA RAYMUNDO</t>
  </si>
  <si>
    <t>BAEZA MONTIEL RICARDO IGNACIO</t>
  </si>
  <si>
    <t>RAMIREZ GONZALEZ ROBERTO ANTONIO</t>
  </si>
  <si>
    <t>SALAZAR PEÑA RODOLFO</t>
  </si>
  <si>
    <t>PEÑA CAMACHO RODRIGO</t>
  </si>
  <si>
    <t>AVALOS MEDINA SALVADOR</t>
  </si>
  <si>
    <t>GOMEZ OROZCO SAMUEL</t>
  </si>
  <si>
    <t>CARDENAS CASTILLO SANTIAGO</t>
  </si>
  <si>
    <t>FLORES MONTAÑO SAUL EMMANUEL</t>
  </si>
  <si>
    <t>MARTINEZ MARTINEZ SOBEK DRACO</t>
  </si>
  <si>
    <t>MONTERO LOPEZ STEPHANY ELIZABETH</t>
  </si>
  <si>
    <t>RODRIGUEZ ZAMORA URIEL</t>
  </si>
  <si>
    <t>MEDEL JUAREZ VICTOR MANUEL</t>
  </si>
  <si>
    <t>QUEZADA NAVARRO VICTOR MANUEL</t>
  </si>
  <si>
    <t>ZAMBRANO LOPEZ ZAIRA MARLENE</t>
  </si>
  <si>
    <t>Sexo</t>
  </si>
  <si>
    <t>FEMENINO</t>
  </si>
  <si>
    <t>MASCULINO</t>
  </si>
  <si>
    <t>Horas</t>
  </si>
  <si>
    <t>N.Alumnos</t>
  </si>
  <si>
    <t>Total de Grupos</t>
  </si>
  <si>
    <t>MATERIA</t>
  </si>
  <si>
    <t>ID</t>
  </si>
  <si>
    <t>NIVEL</t>
  </si>
  <si>
    <t>CARRERA</t>
  </si>
  <si>
    <t>GRUPO</t>
  </si>
  <si>
    <t>NOMBRE</t>
  </si>
  <si>
    <t>SEXO</t>
  </si>
  <si>
    <t xml:space="preserve">CORREO ELECTRÓNICO </t>
  </si>
  <si>
    <t xml:space="preserve">OBSERVACIONES </t>
  </si>
  <si>
    <t>DERECHO MERCANTIL</t>
  </si>
  <si>
    <t>LICENCIATURA</t>
  </si>
  <si>
    <t>ADMINISTRACION Y DIRECCION DE NEGOCIOS</t>
  </si>
  <si>
    <t xml:space="preserve">ADMON 2°  </t>
  </si>
  <si>
    <t>cristina.casillas</t>
  </si>
  <si>
    <t>ESTADISTICA I</t>
  </si>
  <si>
    <t>miguel.escarcega</t>
  </si>
  <si>
    <t>PLANEACION ESTRATEGICA</t>
  </si>
  <si>
    <t>jose.guillen</t>
  </si>
  <si>
    <t>DISEÑO DE ESTRUCTURAS Y SISTEMAS ADMINISTRATIVOS</t>
  </si>
  <si>
    <t>elsa.padilla</t>
  </si>
  <si>
    <t>CONTABILIDAD BASICA</t>
  </si>
  <si>
    <t>martin.ramirez</t>
  </si>
  <si>
    <t>ECONOMIA MEXICANA Y DESARROLLO</t>
  </si>
  <si>
    <t>denis.rodriguez</t>
  </si>
  <si>
    <t>MATEMATICAS FINANCIERAS</t>
  </si>
  <si>
    <t>jose.saldivar</t>
  </si>
  <si>
    <t>PRESUPUESTOS</t>
  </si>
  <si>
    <t xml:space="preserve">ADMON 4°  </t>
  </si>
  <si>
    <t>jesus.gomez</t>
  </si>
  <si>
    <t>DERECHO TRIBUTARIO</t>
  </si>
  <si>
    <t>DIAGNOSTICO Y DESARROLLO ORGANIZACIONAL</t>
  </si>
  <si>
    <t>erika.salcedo</t>
  </si>
  <si>
    <t>GESTION FINANCIERA</t>
  </si>
  <si>
    <t>FUNDAMENTOS DE MERCADOTECNIA</t>
  </si>
  <si>
    <t>jose.valenzuela</t>
  </si>
  <si>
    <t>DIRECCION DE NEGOCIOS ELECTRONICOS</t>
  </si>
  <si>
    <t>jesus.zepeda</t>
  </si>
  <si>
    <t>ADMINISTRACION DE LA CALIDAD II</t>
  </si>
  <si>
    <t xml:space="preserve">ADMON 6°  </t>
  </si>
  <si>
    <t>julieta.dealba</t>
  </si>
  <si>
    <t>PLANEACION DE LA PRODUCCION</t>
  </si>
  <si>
    <t>FUNDAMENTOS DEL DERECHO ADUANERO</t>
  </si>
  <si>
    <t>rafael.rios</t>
  </si>
  <si>
    <t>MEGA DATOS Y ANALITICA</t>
  </si>
  <si>
    <t>DIRECCION DEL CAPITAL HUMANO II</t>
  </si>
  <si>
    <t>berenice.torres</t>
  </si>
  <si>
    <t>MERCADOTECNIA DIGITAL</t>
  </si>
  <si>
    <t>TOPICOS DE ACTUALIDAD</t>
  </si>
  <si>
    <t xml:space="preserve">ADMON 8°  </t>
  </si>
  <si>
    <t>david.aceves</t>
  </si>
  <si>
    <t>GOBIERNO CORPORATIVO</t>
  </si>
  <si>
    <t>GESTION DE LA CONSULTORIA Y AUDITORIA</t>
  </si>
  <si>
    <t>luis.hernandez</t>
  </si>
  <si>
    <t>DISEÑO DE ESTRATEGIAS DE LOGISTICA Y DISTRIBUCION</t>
  </si>
  <si>
    <t>amanda.renteria</t>
  </si>
  <si>
    <t>GESTION DE INNOVACION Y TECNOLOGIA</t>
  </si>
  <si>
    <t>adrian.rojas</t>
  </si>
  <si>
    <t>DIRECCION DE NEGOCIOS INTERNACIONALES</t>
  </si>
  <si>
    <t>INTRODUCCION AL 3D</t>
  </si>
  <si>
    <t>ANIMACION DIGITAL Y VIDEOJUEGOS</t>
  </si>
  <si>
    <t xml:space="preserve">ANIM 2°   </t>
  </si>
  <si>
    <t>raquel.abreu</t>
  </si>
  <si>
    <t>GEOMETRIA Y TRIGONOMETRIA</t>
  </si>
  <si>
    <t>hector.delrio</t>
  </si>
  <si>
    <t>FISICA</t>
  </si>
  <si>
    <t>saul.flores</t>
  </si>
  <si>
    <t>ANIMACION 2D I</t>
  </si>
  <si>
    <t>elisa.hobart</t>
  </si>
  <si>
    <t>TALLER DE STOPMOTION</t>
  </si>
  <si>
    <t>fernando.lopez</t>
  </si>
  <si>
    <t>GUION LITERARIO Y TECNICO</t>
  </si>
  <si>
    <t>laura.michel</t>
  </si>
  <si>
    <t>DIBUJO ARTISTICO</t>
  </si>
  <si>
    <t>carla.morelos</t>
  </si>
  <si>
    <t>ILUSTRACION DIGITAL</t>
  </si>
  <si>
    <t>lucina.rosales</t>
  </si>
  <si>
    <t>MODELADO 3D ORGANICO</t>
  </si>
  <si>
    <t xml:space="preserve">ANIM 4°   </t>
  </si>
  <si>
    <t>DISEÑO DE PERSONAJES II</t>
  </si>
  <si>
    <t>jorge.acosta</t>
  </si>
  <si>
    <t>AUDIO Y SONORIZACION</t>
  </si>
  <si>
    <t>jose.blanquet</t>
  </si>
  <si>
    <t>ANIMACION 2D COMPORTAMIENTO DE PERSONAJES</t>
  </si>
  <si>
    <t>alam.gomez</t>
  </si>
  <si>
    <t>MECANICAS DE JUEGO</t>
  </si>
  <si>
    <t>nicole.hernandezgonzalez</t>
  </si>
  <si>
    <t>GUION GRAFICO Y ANIMATICO</t>
  </si>
  <si>
    <t>PROCESOS DE PRODUCCION DE ANIMACION Y VIDEOJUEGOS</t>
  </si>
  <si>
    <t>TALLER DE ANIMACION II</t>
  </si>
  <si>
    <t>zaira.zambrano</t>
  </si>
  <si>
    <t>MERCADOTECNIA</t>
  </si>
  <si>
    <t xml:space="preserve">ANIM 6°   </t>
  </si>
  <si>
    <t>gabriel.benitez</t>
  </si>
  <si>
    <t>FUNDAMENTOS DE PROGRAMACION</t>
  </si>
  <si>
    <t>RENDER E ILUMINACION</t>
  </si>
  <si>
    <t>samuel.gomez</t>
  </si>
  <si>
    <t>DISEÑO DE NIVELES DE JUEGO</t>
  </si>
  <si>
    <t>TEXTURIZADOS Y SHADERS</t>
  </si>
  <si>
    <t>javier.salcedo</t>
  </si>
  <si>
    <t>ANIMACION 3D I</t>
  </si>
  <si>
    <t>carlos.torres</t>
  </si>
  <si>
    <t>PUBLICACION Y DISTRIBUCION</t>
  </si>
  <si>
    <t xml:space="preserve">ANIM 8°   </t>
  </si>
  <si>
    <t>EFECTOS ESPECIALES</t>
  </si>
  <si>
    <t>ANIMACION 3D II</t>
  </si>
  <si>
    <t>ricardo.baeza</t>
  </si>
  <si>
    <t>TEMAS SELECTOS DE ANIMACION</t>
  </si>
  <si>
    <t>MOTORES PARA VIDEOJUEGOS II</t>
  </si>
  <si>
    <t>POSTPRODUCCION Y COMPOSICION II</t>
  </si>
  <si>
    <t>francisco.ramirez</t>
  </si>
  <si>
    <t>SEMINARIO DE INTEGRACION</t>
  </si>
  <si>
    <t>DISEÑO DEL ESPACIO HABITACIONAL UNIFAMILIAR</t>
  </si>
  <si>
    <t>ARQUITECTURA</t>
  </si>
  <si>
    <t xml:space="preserve">ARQ 2°    </t>
  </si>
  <si>
    <t>dulce.alvarado</t>
  </si>
  <si>
    <t>GEOMETRIA APLICADA A LA ARQUITECTURA</t>
  </si>
  <si>
    <t>nydia.espino</t>
  </si>
  <si>
    <t>HISTORIA CRITICA DE LA ARQUITECTURA Y URBANISMO BASICA</t>
  </si>
  <si>
    <t>jesus.gudino</t>
  </si>
  <si>
    <t>DIBUJO ASISTIDO POR COMPUTADORA</t>
  </si>
  <si>
    <t>giovanni.jimenez</t>
  </si>
  <si>
    <t>MAQUETAS</t>
  </si>
  <si>
    <t>MATERIALES DE CONSTRUCCION</t>
  </si>
  <si>
    <t>daniel.montelongo</t>
  </si>
  <si>
    <t>ESTATICA</t>
  </si>
  <si>
    <t>hugo.segoviano</t>
  </si>
  <si>
    <t>ARQUITECTURA DEL PAISAJISMO</t>
  </si>
  <si>
    <t xml:space="preserve">ARQ 4°    </t>
  </si>
  <si>
    <t>leticia.martinez</t>
  </si>
  <si>
    <t>DISEÑO DE INSTALACIONES HIDRAULICAS SANITARIAS</t>
  </si>
  <si>
    <t>HISTORIA DE LA ARQUITECTURA MEXICANA</t>
  </si>
  <si>
    <t>juan.ponce</t>
  </si>
  <si>
    <t>FOTOGRAFIA</t>
  </si>
  <si>
    <t>montserrat.ramos</t>
  </si>
  <si>
    <t>HISTORIA CRITICA DEL URBANISMO</t>
  </si>
  <si>
    <t>jose.sanchezm</t>
  </si>
  <si>
    <t>DISEÑO DE ESTRUCTURAS DE ACERO</t>
  </si>
  <si>
    <t>DISEÑO DEL ESPACIO RELIGIOSO Y EDUCATIVO</t>
  </si>
  <si>
    <t>raymundo.silva</t>
  </si>
  <si>
    <t>CONSERVACION DEL PATRIMONIO CULTURAL</t>
  </si>
  <si>
    <t xml:space="preserve">ARQ 6°    </t>
  </si>
  <si>
    <t>noemi.calderon</t>
  </si>
  <si>
    <t>ARQUITECTURA INTELIGENTE</t>
  </si>
  <si>
    <t>irma.castellanos</t>
  </si>
  <si>
    <t>DISEÑO ASISTIDO POR COMPUTADORA AVANZADO</t>
  </si>
  <si>
    <t>leonardo.flores</t>
  </si>
  <si>
    <t>RESCATE DE ZONAS URBANAS</t>
  </si>
  <si>
    <t>jorge.perez</t>
  </si>
  <si>
    <t>COSTOS Y PRESUPUESTOS DE LA EDIFICACION</t>
  </si>
  <si>
    <t>DISEÑO DEL ESPACIO CULTURAL Y RECREATIVO</t>
  </si>
  <si>
    <t>CIMENTACIONES Y TIPOS DE FALLAS</t>
  </si>
  <si>
    <t>DISEÑO ARQUITECTONICO SUSTENTABLE</t>
  </si>
  <si>
    <t xml:space="preserve">ARQ 8°    </t>
  </si>
  <si>
    <t>DESARROLLO DE PROYECTOS URBANISTICOS</t>
  </si>
  <si>
    <t>DISEÑO DEL ESPACIO PARA LA SALUD</t>
  </si>
  <si>
    <t>GESTION Y ORGANIZACION DE OBRAS</t>
  </si>
  <si>
    <t xml:space="preserve">INVESTIGACION Y APLICADA  </t>
  </si>
  <si>
    <t>LICITACION DE OBRAS</t>
  </si>
  <si>
    <t>LEGISLACION ADUANERA II</t>
  </si>
  <si>
    <t>COMERCIO INTERNACIONAL</t>
  </si>
  <si>
    <t xml:space="preserve">COM 8°    </t>
  </si>
  <si>
    <t>TOPICOS DE ACTUALIDAD DE COMERCIO INTERNACIONAL</t>
  </si>
  <si>
    <t>raul.espejel</t>
  </si>
  <si>
    <t>AUDITORIA CON BASE EN RIESGOS</t>
  </si>
  <si>
    <t>COMERCIO DE SERVICIOS</t>
  </si>
  <si>
    <t>roberto.ramirez</t>
  </si>
  <si>
    <t>PROGRAMAS DE FOMENTO AL COMERCIO EXTERIOR</t>
  </si>
  <si>
    <t>ETICA</t>
  </si>
  <si>
    <t>COMERCIO EXTERIOR</t>
  </si>
  <si>
    <t>DERECHO</t>
  </si>
  <si>
    <t xml:space="preserve">DER 8°    </t>
  </si>
  <si>
    <t>laura.bahena</t>
  </si>
  <si>
    <t>DERECHO ELECTORAL</t>
  </si>
  <si>
    <t>luis.garciac</t>
  </si>
  <si>
    <t>ETICA PROFESIONAL</t>
  </si>
  <si>
    <t>stephany.montero</t>
  </si>
  <si>
    <t>DERECHO INTERNACIONAL PUBLICO</t>
  </si>
  <si>
    <t>diana.ortega</t>
  </si>
  <si>
    <t>DERECHO BANCARIO</t>
  </si>
  <si>
    <t>alberto.palomera</t>
  </si>
  <si>
    <t>CLINICA DE JUICIO DE AMPARO</t>
  </si>
  <si>
    <t>luis.salazar</t>
  </si>
  <si>
    <t>DISEÑO DE INCLUSION SOCIAL</t>
  </si>
  <si>
    <t>DISEÑO GRAFICO Y DIGITAL</t>
  </si>
  <si>
    <t xml:space="preserve">DGD 6°    </t>
  </si>
  <si>
    <t>claudia.bautista</t>
  </si>
  <si>
    <t>DISEÑO TRIDIMENSIONAL Y ESCAPARATISMO</t>
  </si>
  <si>
    <t>araceli.flores</t>
  </si>
  <si>
    <t>ANIMACION TRIDIMENSIONAL</t>
  </si>
  <si>
    <t>maria.martinezm</t>
  </si>
  <si>
    <t>LENGUAJE DE MAQUETACION</t>
  </si>
  <si>
    <t>hector.moreno</t>
  </si>
  <si>
    <t>DISEÑO EDITORIAL BASICO</t>
  </si>
  <si>
    <t>mercedes.perez</t>
  </si>
  <si>
    <t>SEMINARIO DE INTEGRACION DE LA CARRERA</t>
  </si>
  <si>
    <t xml:space="preserve">DGD 8°    </t>
  </si>
  <si>
    <t>DISEÑO DE APLICACIONES</t>
  </si>
  <si>
    <t>martin.quintero</t>
  </si>
  <si>
    <t>CALCULO INTEGRAL</t>
  </si>
  <si>
    <t>INGENIERIA AEROESPACIAL</t>
  </si>
  <si>
    <t xml:space="preserve">AERO 2°A  </t>
  </si>
  <si>
    <t>giselle.andrade</t>
  </si>
  <si>
    <t>INTRODUCCION A LA PROGRAMACION</t>
  </si>
  <si>
    <t>edgardo.chavarria</t>
  </si>
  <si>
    <t>GEOMETRIA DESCRIPTIVA</t>
  </si>
  <si>
    <t>bertha.ferrer</t>
  </si>
  <si>
    <t>CIENCIA Y TECNOLOGIA DE MATERIALES AEROESPACIALES</t>
  </si>
  <si>
    <t>victor.medel</t>
  </si>
  <si>
    <t>CIRCUITOS ELECTRICOS</t>
  </si>
  <si>
    <t>ana.nunez</t>
  </si>
  <si>
    <t>daisuke.shindo</t>
  </si>
  <si>
    <t xml:space="preserve">AERO 2°B  </t>
  </si>
  <si>
    <t>NORMATIVA AERONAUTICA I</t>
  </si>
  <si>
    <t xml:space="preserve">AERO 4°A  </t>
  </si>
  <si>
    <t>enrique.jimenez</t>
  </si>
  <si>
    <t>METODOS NUMERICOS</t>
  </si>
  <si>
    <t>victor.quezada</t>
  </si>
  <si>
    <t>PLANIFICACION Y DISEÑO DE AEROPUERTOS</t>
  </si>
  <si>
    <t>juan.rodriguezc</t>
  </si>
  <si>
    <t>DISEÑO Y FABRICACION ASISTIDO POR COMPUTADORA</t>
  </si>
  <si>
    <t>fernando.sanchez</t>
  </si>
  <si>
    <t>MICROCONTROLADORES</t>
  </si>
  <si>
    <t>eduardo.sanchez</t>
  </si>
  <si>
    <t>MECANICA DE FLUIDOS</t>
  </si>
  <si>
    <t>TERMODINAMICA</t>
  </si>
  <si>
    <t>VARGAS CARMONA JORGE ALBERTO</t>
  </si>
  <si>
    <t>jorge.vargas</t>
  </si>
  <si>
    <t xml:space="preserve">AERO 4°B  </t>
  </si>
  <si>
    <t>GESTION Y EXPLOTACION DE AEROPUERTOS</t>
  </si>
  <si>
    <t xml:space="preserve">AERO 6°   </t>
  </si>
  <si>
    <t>SISTEMAS DE AERONAVES I</t>
  </si>
  <si>
    <t>marcelino.fuentes</t>
  </si>
  <si>
    <t>TRAFICO AEREO</t>
  </si>
  <si>
    <t>nancy.medina</t>
  </si>
  <si>
    <t>SEÑALES Y SISTEMAS DE RADIOFRECUENCIAS</t>
  </si>
  <si>
    <t>juan.montano</t>
  </si>
  <si>
    <t>MOTORES RECIPROCOS Y SUS SISTEMAS</t>
  </si>
  <si>
    <t>MECANICA DE VUELO</t>
  </si>
  <si>
    <t>rafael.trujillo</t>
  </si>
  <si>
    <t>AERONAVES DE ALA ROTATIVA</t>
  </si>
  <si>
    <t xml:space="preserve">AERO 8°   </t>
  </si>
  <si>
    <t>jose.garcia</t>
  </si>
  <si>
    <t>CALCULO DE AVIONES</t>
  </si>
  <si>
    <t>jose.rodriguez</t>
  </si>
  <si>
    <t>MECANICA DE VUELO AVANZADA</t>
  </si>
  <si>
    <t>FABRICACION DE AERONAVES Y SISTEMAS DE GESTION DE CALIDAD</t>
  </si>
  <si>
    <t>ciro.zarate</t>
  </si>
  <si>
    <t>OPERACION DE VEHICULOS ESPACIALES NO TRIPULADOS</t>
  </si>
  <si>
    <t>DISEÑO PRELIMINAR DE NAVES ESPACIALES</t>
  </si>
  <si>
    <t xml:space="preserve">AERO_10°  </t>
  </si>
  <si>
    <t>daniel.lara</t>
  </si>
  <si>
    <t>AUTOMATIZACION DE LA FABRICACION</t>
  </si>
  <si>
    <t>alberto.mendez</t>
  </si>
  <si>
    <t>TOPICOS DE ACTUALIDAD EN INGENIERIA AEROESPACIAL</t>
  </si>
  <si>
    <t>ESTRUCTURAS ESPACIALES</t>
  </si>
  <si>
    <t xml:space="preserve">MAQUINAS Y HERRAMIENTAS </t>
  </si>
  <si>
    <t>INGENIERÍA AUTOMOTRIZ</t>
  </si>
  <si>
    <t xml:space="preserve">AUTO 2° A </t>
  </si>
  <si>
    <t>santiago.cardenas</t>
  </si>
  <si>
    <t>DIBUJO ASISTIDO POR COMPUTADORA I</t>
  </si>
  <si>
    <t>osvaldo.ireta</t>
  </si>
  <si>
    <t xml:space="preserve">CIRCUITOS LOGICOS </t>
  </si>
  <si>
    <t>jorge.macias</t>
  </si>
  <si>
    <t>METROLOGIA</t>
  </si>
  <si>
    <t>rodolfo.salazar</t>
  </si>
  <si>
    <t xml:space="preserve">ALGEBRA LINEAL </t>
  </si>
  <si>
    <t>emmanuel.saldivar</t>
  </si>
  <si>
    <t xml:space="preserve">DINAMICA </t>
  </si>
  <si>
    <t>fatima.vela</t>
  </si>
  <si>
    <t xml:space="preserve">AUTO 2° B </t>
  </si>
  <si>
    <t>juan.martinez</t>
  </si>
  <si>
    <t xml:space="preserve">CIENCIA DE LOS MATERIALES </t>
  </si>
  <si>
    <t xml:space="preserve">AUTO 4°   </t>
  </si>
  <si>
    <t>martin.deanda</t>
  </si>
  <si>
    <t xml:space="preserve">DISEÑO DE SISTEMAS DIGITALES </t>
  </si>
  <si>
    <t>alejandro.esquivel</t>
  </si>
  <si>
    <t>DIBUJO ASISTIDO POR COMPUTADORA III</t>
  </si>
  <si>
    <t>ECUACIONES DIFERENCIALES</t>
  </si>
  <si>
    <t>MECANICA VECTORIAL</t>
  </si>
  <si>
    <t>jose.parra</t>
  </si>
  <si>
    <t>SUSPENSION, DIRECCION Y FRENOS</t>
  </si>
  <si>
    <t>cesar.zapari</t>
  </si>
  <si>
    <t xml:space="preserve">ELECTRONICA DE POTENCIA </t>
  </si>
  <si>
    <t xml:space="preserve">AUTO 6°   </t>
  </si>
  <si>
    <t>jose.delgadillo</t>
  </si>
  <si>
    <t xml:space="preserve">COMPUTO AUTOMOTRIZ </t>
  </si>
  <si>
    <t>claudia.ochoa</t>
  </si>
  <si>
    <t xml:space="preserve">TERMODINAMICA Y TRANSFERENCIA DE CALOR </t>
  </si>
  <si>
    <t xml:space="preserve">VIBRACIONES </t>
  </si>
  <si>
    <t xml:space="preserve">MECANICA DE SOLIDOS </t>
  </si>
  <si>
    <t>uriel.rodriguez</t>
  </si>
  <si>
    <t>AERODINÁMICA AUTOMOTRIZ</t>
  </si>
  <si>
    <t>ROBOTICA</t>
  </si>
  <si>
    <t>INGENIERIA CIBERNETICA Y EN SISTEMAS COMPUTACIONALES</t>
  </si>
  <si>
    <t xml:space="preserve">CIB 6°    </t>
  </si>
  <si>
    <t>salvador.avalos</t>
  </si>
  <si>
    <t>METRICAS DE SOFTWARE Y PRUEBAS UNITARIAS</t>
  </si>
  <si>
    <t>TEORIA DE AUTOMATAS Y LENGUAJES FORMALES</t>
  </si>
  <si>
    <t>SISTEMAS EMBEBIDOS</t>
  </si>
  <si>
    <t>hector.rodriguez</t>
  </si>
  <si>
    <t>BASE DE DATOS NO RELACIONALES</t>
  </si>
  <si>
    <t>SEGURIDAD Y AUDITORIA INFORMATICA</t>
  </si>
  <si>
    <t xml:space="preserve">CIB 8°    </t>
  </si>
  <si>
    <t>REDES NEURONALES ARTIFICIALES</t>
  </si>
  <si>
    <t>martin.garcia</t>
  </si>
  <si>
    <t>COMPILADORES</t>
  </si>
  <si>
    <t>griselda.madrigal</t>
  </si>
  <si>
    <t>MINERIA DE DATOS</t>
  </si>
  <si>
    <t>jose.moreno</t>
  </si>
  <si>
    <t>COMPLEJIDAD DE ALGORITMOS</t>
  </si>
  <si>
    <t>martin.rodriguez</t>
  </si>
  <si>
    <t xml:space="preserve">PROBABILIDAD Y ESTADISTICA APLICADA </t>
  </si>
  <si>
    <t>INGENIERÍA EN INTELIGENCIA ARTIFICIAL</t>
  </si>
  <si>
    <t xml:space="preserve">IA 2°     </t>
  </si>
  <si>
    <t xml:space="preserve">REPRESENTACION DEL CONOCIMIENTO </t>
  </si>
  <si>
    <t xml:space="preserve">ELECTRÓNICA </t>
  </si>
  <si>
    <t xml:space="preserve">SISTEMAS OPERATIVOS </t>
  </si>
  <si>
    <t>maria.garcias</t>
  </si>
  <si>
    <t>CÁLCULO MULTIVARIABLE</t>
  </si>
  <si>
    <t>luis.mejia</t>
  </si>
  <si>
    <t xml:space="preserve">PROGRAMACIÓN ORIENTADA A OBJETOS </t>
  </si>
  <si>
    <t xml:space="preserve">PROGRAMACIÓN PARA ENTORNOS VIRTUALES </t>
  </si>
  <si>
    <t xml:space="preserve">IA 4°     </t>
  </si>
  <si>
    <t>martha.baruch</t>
  </si>
  <si>
    <t>ANÁLISIS DE FOURIER</t>
  </si>
  <si>
    <t xml:space="preserve">ANÁLISIS Y DISEÑO DE SISTEMAS </t>
  </si>
  <si>
    <t xml:space="preserve">ESTRUCTURA DE DATOS </t>
  </si>
  <si>
    <t xml:space="preserve">BASES DE DATOS NO RELACIONALES </t>
  </si>
  <si>
    <t xml:space="preserve">ALGORITMOS INTELIGENTES </t>
  </si>
  <si>
    <t xml:space="preserve">AUTOMATIZACIÓN </t>
  </si>
  <si>
    <t xml:space="preserve">IA 6°     </t>
  </si>
  <si>
    <t xml:space="preserve">REDES NEURONALES </t>
  </si>
  <si>
    <t>CIENCIA DE DATOS I</t>
  </si>
  <si>
    <t>enrique.gonzaleza</t>
  </si>
  <si>
    <t xml:space="preserve">COMPILADORES </t>
  </si>
  <si>
    <t>APLICACIONES INTELIGENTES EN SISTEMAS EMBEBIDOS</t>
  </si>
  <si>
    <t xml:space="preserve">PROGRAMACIÓN MÓVIL </t>
  </si>
  <si>
    <t>ADMINISTRACION DE LA PRODUCCION I</t>
  </si>
  <si>
    <t>INGENIERIA INDUSTRIAL Y EN SISTEMAS ORGANIZACIONALES</t>
  </si>
  <si>
    <t xml:space="preserve">IND 6°    </t>
  </si>
  <si>
    <t>DISEÑO DE EXPERIMENTOS</t>
  </si>
  <si>
    <t>PROCESOS DE MANUFACTURA</t>
  </si>
  <si>
    <t>GESTION DE LA INNOVACION</t>
  </si>
  <si>
    <t>FORMULACION DE PROYECTOS</t>
  </si>
  <si>
    <t>SISTEMAS DE GESTION DE LA CALIDAD</t>
  </si>
  <si>
    <t>alfredo.velazquez</t>
  </si>
  <si>
    <t>NUEVAS TENDENCIAS EN LA MERCADOTECNIA</t>
  </si>
  <si>
    <t>MERCADOTECNIA Y PUBLICIDAD</t>
  </si>
  <si>
    <t xml:space="preserve">MKT 8°    </t>
  </si>
  <si>
    <t>orely.barrera</t>
  </si>
  <si>
    <t>TALLER DE INNOVACION PUBLICITARIA</t>
  </si>
  <si>
    <t>ESTRATEGIAS DE MERCADOTECNIA INDUSTRIAL</t>
  </si>
  <si>
    <t>maria.magallon</t>
  </si>
  <si>
    <t>MARKETING SOCIAL Y POLITICO</t>
  </si>
  <si>
    <t>alvaro.moreno</t>
  </si>
  <si>
    <t>TALLER DE PRODUCCION DE CONTENIDOS</t>
  </si>
  <si>
    <t>AUDITORIA EN MARKETING</t>
  </si>
  <si>
    <t>EPIDEMIOLOGIA Y SALUD PUBLICA</t>
  </si>
  <si>
    <t>NUTRICION Y GASTRONOMIA</t>
  </si>
  <si>
    <t xml:space="preserve">NUT 2°    </t>
  </si>
  <si>
    <t>paloma.acosta</t>
  </si>
  <si>
    <t>PANADERIA BASICA</t>
  </si>
  <si>
    <t>horacio.arteaga</t>
  </si>
  <si>
    <t>QUIMICA DE LOS ALIMENTOS</t>
  </si>
  <si>
    <t>abigail.chilpa</t>
  </si>
  <si>
    <t>MICROBIOLOGIA</t>
  </si>
  <si>
    <t>maria.dominguez</t>
  </si>
  <si>
    <t>ANATOMIA Y FISIOLOGIA II</t>
  </si>
  <si>
    <t>enrique.gonzalez</t>
  </si>
  <si>
    <t>MANEJO DE CARNES</t>
  </si>
  <si>
    <t>alma.velazquez</t>
  </si>
  <si>
    <t>COCINA MEDITERRANEA I</t>
  </si>
  <si>
    <t xml:space="preserve">NUT 4°    </t>
  </si>
  <si>
    <t>jesus.begines</t>
  </si>
  <si>
    <t>CHARCUTERIA</t>
  </si>
  <si>
    <t>hernan.cavallo</t>
  </si>
  <si>
    <t>LACTEOS</t>
  </si>
  <si>
    <t>EVALUACION DEL ESTADO NUTRICIO</t>
  </si>
  <si>
    <t>maria.gonzalez</t>
  </si>
  <si>
    <t>ENDOCRINOLOGIA</t>
  </si>
  <si>
    <t>francisco.marquez</t>
  </si>
  <si>
    <t>PSICOLOGIA EN NUTRICION</t>
  </si>
  <si>
    <t>FARMACOLOGIA</t>
  </si>
  <si>
    <t>citlain.vega</t>
  </si>
  <si>
    <t>NUTRICION EN GINECOLOGIA Y PEDIATRIA</t>
  </si>
  <si>
    <t xml:space="preserve">NUT 6°    </t>
  </si>
  <si>
    <t>dennis.camacho</t>
  </si>
  <si>
    <t>ADMINISTRACION DE SERVICIOS ALIMENTICIOS</t>
  </si>
  <si>
    <t>maria.miranda</t>
  </si>
  <si>
    <t>TALLER DE ORIENTACION ALIMENTARIA</t>
  </si>
  <si>
    <t>lizette.moreno</t>
  </si>
  <si>
    <t>NUTRICION CLINICA I</t>
  </si>
  <si>
    <t>rodrigo.pena</t>
  </si>
  <si>
    <t>REPOSTERIA BASICA</t>
  </si>
  <si>
    <t>erika.ponce</t>
  </si>
  <si>
    <t>BEBIDAS AVANZADAS</t>
  </si>
  <si>
    <t>luis.romero</t>
  </si>
  <si>
    <t>MUKIMONO</t>
  </si>
  <si>
    <t xml:space="preserve">NUT 8°    </t>
  </si>
  <si>
    <t>MERCADOTECNIA EN ALIMENTOS</t>
  </si>
  <si>
    <t>laura.gama</t>
  </si>
  <si>
    <t>BIOETICA</t>
  </si>
  <si>
    <t>NUTRICION EN GERIATRIA</t>
  </si>
  <si>
    <t>COCINA VEGETARIANA Y VEGANA</t>
  </si>
  <si>
    <t>laura.rivas</t>
  </si>
  <si>
    <t>NUTRICION EN LA ACTIVIDAD FISICA Y DEPORTE</t>
  </si>
  <si>
    <t>irving.rodriguez</t>
  </si>
  <si>
    <t>PROMOCION COMUNITARIA Y PSICOLOGIA DE LA SALUD</t>
  </si>
  <si>
    <t>PSICOLOGIA</t>
  </si>
  <si>
    <t xml:space="preserve">PSI 2°    </t>
  </si>
  <si>
    <t>hector.flores</t>
  </si>
  <si>
    <t>BASES DE LA NEUROCIENCIA</t>
  </si>
  <si>
    <t>alfredo.garcia</t>
  </si>
  <si>
    <t>TEORIAS DE LA PERSONALIDAD I</t>
  </si>
  <si>
    <t>david.gomez</t>
  </si>
  <si>
    <t>MANEJO DE GRUPO</t>
  </si>
  <si>
    <t>brenda.guerra</t>
  </si>
  <si>
    <t>PSICOLOGIA DE LA INFANCIA Y ADOLESCENCIA</t>
  </si>
  <si>
    <t>monserrat.perez</t>
  </si>
  <si>
    <t>ENFOQUE DE LA ENSEÑANZA APRENDIZAJE</t>
  </si>
  <si>
    <t>francisco.tapia</t>
  </si>
  <si>
    <t>PSICOLOGIA SOCIAL</t>
  </si>
  <si>
    <t xml:space="preserve">PSI 4°    </t>
  </si>
  <si>
    <t>angel.avalos</t>
  </si>
  <si>
    <t>PSICOGERONTOLOGIA</t>
  </si>
  <si>
    <t>ian.barrera</t>
  </si>
  <si>
    <t>DISEÑO DE PROGRAMAS PSICOEDUCATIVOS</t>
  </si>
  <si>
    <t>claudia.cortes</t>
  </si>
  <si>
    <t>METODOS DE DIAGNOSTICO</t>
  </si>
  <si>
    <t>SEXUALIDAD HUMANA</t>
  </si>
  <si>
    <t>PSICOPATOLOGIA</t>
  </si>
  <si>
    <t>jose.luna</t>
  </si>
  <si>
    <t>PSICOFARMACOLOGIA</t>
  </si>
  <si>
    <t xml:space="preserve">PSI 6°    </t>
  </si>
  <si>
    <t>INTERVENCION PSICOLOGICA DESDE LA GESTALT Y EL HUMANISMO</t>
  </si>
  <si>
    <t>PROYECTO DE INVESTIGACION EN PSICOLOGIA</t>
  </si>
  <si>
    <t>david.herrera</t>
  </si>
  <si>
    <t xml:space="preserve">ADMINISTRACION DE RECURSOS HUMANOS </t>
  </si>
  <si>
    <t>narda.jauregui</t>
  </si>
  <si>
    <t>MODELOS PSICOLOGICOS DE INTERVENCION II</t>
  </si>
  <si>
    <t>maria.rodriguez</t>
  </si>
  <si>
    <t>TENDENCIAS CONTEMPORANEAS DE LA PSICOLOGIA</t>
  </si>
  <si>
    <t xml:space="preserve">PSI 8°    </t>
  </si>
  <si>
    <t>carla.aguilar</t>
  </si>
  <si>
    <t>INTERVENCION PSICOLOGICA DESDE EL MODELO SISTEMICO FAMILIAR</t>
  </si>
  <si>
    <t>joaquin.garcia</t>
  </si>
  <si>
    <t>TANATOLOGIA</t>
  </si>
  <si>
    <t>MODELOS PSICOLOGICOS DE INTERVENCION EMERGENTE</t>
  </si>
  <si>
    <t>PSICOLOGIA DE LO VIRTUAL</t>
  </si>
  <si>
    <t>carlos.rosario</t>
  </si>
  <si>
    <t>MODELOS PSICOLOGICOS DE INTERVENCION IV</t>
  </si>
  <si>
    <t>id</t>
  </si>
  <si>
    <t>Nivel</t>
  </si>
  <si>
    <t>Correo</t>
  </si>
  <si>
    <t>matricula</t>
  </si>
  <si>
    <t>clave</t>
  </si>
  <si>
    <t>carrera</t>
  </si>
  <si>
    <t>grado</t>
  </si>
  <si>
    <t>sexo</t>
  </si>
  <si>
    <t>situacion</t>
  </si>
  <si>
    <t>id,nivel,correo,matricula,clave,nombre,carrera,grado,sexo,situacion,evaluados,num_evaluados,total_evaluaciones,ultimo_acceso,nivel_acceso</t>
  </si>
  <si>
    <t>'LICENCIATURA'</t>
  </si>
  <si>
    <t>TOMAR DEL SND'</t>
  </si>
  <si>
    <t>PROFESORES</t>
  </si>
  <si>
    <t>CCC1964</t>
  </si>
  <si>
    <t>EGM1892</t>
  </si>
  <si>
    <t>GLJ1890</t>
  </si>
  <si>
    <t>PME1742</t>
  </si>
  <si>
    <t>RGM2024</t>
  </si>
  <si>
    <t>RRD1854</t>
  </si>
  <si>
    <t>SPJ2028</t>
  </si>
  <si>
    <t>GLJ1802</t>
  </si>
  <si>
    <t>SRE1199</t>
  </si>
  <si>
    <t>VCJ1927</t>
  </si>
  <si>
    <t>ZRJ2030</t>
  </si>
  <si>
    <t>DGJ1732</t>
  </si>
  <si>
    <t>RNR1966</t>
  </si>
  <si>
    <t>TMB1974</t>
  </si>
  <si>
    <t>ARD1864</t>
  </si>
  <si>
    <t>HZL0661</t>
  </si>
  <si>
    <t>RJA1850</t>
  </si>
  <si>
    <t>RMA2027</t>
  </si>
  <si>
    <t>ATR1755</t>
  </si>
  <si>
    <t>DAH0151</t>
  </si>
  <si>
    <t>FMS1800</t>
  </si>
  <si>
    <t>HGE1078</t>
  </si>
  <si>
    <t>LVF1601</t>
  </si>
  <si>
    <t>MSL1607</t>
  </si>
  <si>
    <t>MVC1563</t>
  </si>
  <si>
    <t>RVL1931</t>
  </si>
  <si>
    <t>AMJ1423</t>
  </si>
  <si>
    <t>BCJ1051</t>
  </si>
  <si>
    <t>GCA1735</t>
  </si>
  <si>
    <t>HBN1668</t>
  </si>
  <si>
    <t>ZLZ1862</t>
  </si>
  <si>
    <t>BLG1791</t>
  </si>
  <si>
    <t>GOS1311</t>
  </si>
  <si>
    <t>SRJ1260</t>
  </si>
  <si>
    <t>TEC1066</t>
  </si>
  <si>
    <t>BMR1221</t>
  </si>
  <si>
    <t>ROF1352</t>
  </si>
  <si>
    <t>ABD1972</t>
  </si>
  <si>
    <t>ECN0993</t>
  </si>
  <si>
    <t>GGJ1869</t>
  </si>
  <si>
    <t>JSG1692</t>
  </si>
  <si>
    <t>MAD0975</t>
  </si>
  <si>
    <t>SMH1905</t>
  </si>
  <si>
    <t>MGL0928</t>
  </si>
  <si>
    <t>PCJ1177</t>
  </si>
  <si>
    <t>RRM1422</t>
  </si>
  <si>
    <t>SMJ0539</t>
  </si>
  <si>
    <t>SHR1973</t>
  </si>
  <si>
    <t>CCN1952</t>
  </si>
  <si>
    <t>CMI1010</t>
  </si>
  <si>
    <t>FCL1178</t>
  </si>
  <si>
    <t>PGJ1240</t>
  </si>
  <si>
    <t>EVR1642</t>
  </si>
  <si>
    <t>RGR1965</t>
  </si>
  <si>
    <t>BVL2038</t>
  </si>
  <si>
    <t>GCL1128</t>
  </si>
  <si>
    <t>MLS1918</t>
  </si>
  <si>
    <t>OCD1957</t>
  </si>
  <si>
    <t>PJA1958</t>
  </si>
  <si>
    <t>SLL1959</t>
  </si>
  <si>
    <t>BPC1920</t>
  </si>
  <si>
    <t>FGA1042</t>
  </si>
  <si>
    <t>MMM1455</t>
  </si>
  <si>
    <t>MLH1052</t>
  </si>
  <si>
    <t>POM0707</t>
  </si>
  <si>
    <t>QLM0846</t>
  </si>
  <si>
    <t>AHG0679</t>
  </si>
  <si>
    <t>CRE2018</t>
  </si>
  <si>
    <t>FLB0895</t>
  </si>
  <si>
    <t>MJV1996</t>
  </si>
  <si>
    <t>NVA1745</t>
  </si>
  <si>
    <t>SD0167</t>
  </si>
  <si>
    <t>JAE1729</t>
  </si>
  <si>
    <t>QNV1347</t>
  </si>
  <si>
    <t>RCJ1881</t>
  </si>
  <si>
    <t>SLF1932</t>
  </si>
  <si>
    <t>SOE1855</t>
  </si>
  <si>
    <t>FHM2033</t>
  </si>
  <si>
    <t>MVN1938</t>
  </si>
  <si>
    <t>MAJ1442</t>
  </si>
  <si>
    <t>TTR1680</t>
  </si>
  <si>
    <t>GFJ1530</t>
  </si>
  <si>
    <t>RMJ1853</t>
  </si>
  <si>
    <t>ZTC1408</t>
  </si>
  <si>
    <t>LFD1482</t>
  </si>
  <si>
    <t>MJA1950</t>
  </si>
  <si>
    <t>CCS0709</t>
  </si>
  <si>
    <t>IVO1989</t>
  </si>
  <si>
    <t>MGJ1410</t>
  </si>
  <si>
    <t>SPR1937</t>
  </si>
  <si>
    <t>SE0523</t>
  </si>
  <si>
    <t>VTF1860</t>
  </si>
  <si>
    <t>MJ0221</t>
  </si>
  <si>
    <t>DDM0468</t>
  </si>
  <si>
    <t>ELA1980</t>
  </si>
  <si>
    <t>PAJ1953</t>
  </si>
  <si>
    <t>ZRC1887</t>
  </si>
  <si>
    <t>DBJ1893</t>
  </si>
  <si>
    <t>OFC1982</t>
  </si>
  <si>
    <t>RZU0538</t>
  </si>
  <si>
    <t>AMS2016</t>
  </si>
  <si>
    <t>RAH2003</t>
  </si>
  <si>
    <t>GHM1198</t>
  </si>
  <si>
    <t>MRG1930</t>
  </si>
  <si>
    <t>MQJ1984</t>
  </si>
  <si>
    <t>RRM2026</t>
  </si>
  <si>
    <t>GSM0224</t>
  </si>
  <si>
    <t>MGL1990</t>
  </si>
  <si>
    <t>BMM2041</t>
  </si>
  <si>
    <t>GAE2037</t>
  </si>
  <si>
    <t>VSA1861</t>
  </si>
  <si>
    <t>BGO2017</t>
  </si>
  <si>
    <t>MRM1794</t>
  </si>
  <si>
    <t>MCA1844</t>
  </si>
  <si>
    <t>AVP1751</t>
  </si>
  <si>
    <t>ACH1131</t>
  </si>
  <si>
    <t>CAA1971</t>
  </si>
  <si>
    <t>DLM0970</t>
  </si>
  <si>
    <t>GGE1133</t>
  </si>
  <si>
    <t>VNA1925</t>
  </si>
  <si>
    <t>BCJ1210</t>
  </si>
  <si>
    <t>CMH1305</t>
  </si>
  <si>
    <t>GAM0556</t>
  </si>
  <si>
    <t>MCF1923</t>
  </si>
  <si>
    <t>VRC1859</t>
  </si>
  <si>
    <t>CBD0795</t>
  </si>
  <si>
    <t>MMM1414</t>
  </si>
  <si>
    <t>MTL1553</t>
  </si>
  <si>
    <t>PCR0609</t>
  </si>
  <si>
    <t>PSE2004</t>
  </si>
  <si>
    <t>RCL1449</t>
  </si>
  <si>
    <t>GGL1922</t>
  </si>
  <si>
    <t>RRL1304</t>
  </si>
  <si>
    <t>RAI1236</t>
  </si>
  <si>
    <t>FGH1934</t>
  </si>
  <si>
    <t>GVA1919</t>
  </si>
  <si>
    <t>GPD1665</t>
  </si>
  <si>
    <t>GRB0956</t>
  </si>
  <si>
    <t>PCM1848</t>
  </si>
  <si>
    <t>TVF1344</t>
  </si>
  <si>
    <t>ATA1653</t>
  </si>
  <si>
    <t>BSI1910</t>
  </si>
  <si>
    <t>CVC1898</t>
  </si>
  <si>
    <t>LHJ1611</t>
  </si>
  <si>
    <t>HAD0939</t>
  </si>
  <si>
    <t>JRN2021</t>
  </si>
  <si>
    <t>RAM2025</t>
  </si>
  <si>
    <t>ACC1730</t>
  </si>
  <si>
    <t>GLJ1249</t>
  </si>
  <si>
    <t>RBC1633</t>
  </si>
  <si>
    <t>Carrera</t>
  </si>
  <si>
    <t>Grupo</t>
  </si>
  <si>
    <t>Materia</t>
  </si>
  <si>
    <t>SELLO</t>
  </si>
  <si>
    <t>INSERT INTO profesores (id,nivel,carrera,grupo,nombre,materia,sexo,sello) VALUES (</t>
  </si>
  <si>
    <t>ADMON 2°'</t>
  </si>
  <si>
    <t>RESTREPO MUÑOZ DANIEL</t>
  </si>
  <si>
    <t>ASA1552</t>
  </si>
  <si>
    <t>BQL1911</t>
  </si>
  <si>
    <t>CNM0034</t>
  </si>
  <si>
    <t>DRM1880</t>
  </si>
  <si>
    <t>EGC2011</t>
  </si>
  <si>
    <t>ERE1767</t>
  </si>
  <si>
    <t>FRD1712</t>
  </si>
  <si>
    <t>FCI1701</t>
  </si>
  <si>
    <t>FRM2000</t>
  </si>
  <si>
    <t>GVJ1876</t>
  </si>
  <si>
    <t>GGG1774</t>
  </si>
  <si>
    <t>HMA1841</t>
  </si>
  <si>
    <t>JMP1912</t>
  </si>
  <si>
    <t>LLA2001</t>
  </si>
  <si>
    <t>MML1660</t>
  </si>
  <si>
    <t>MSM2022</t>
  </si>
  <si>
    <t>MMM1396</t>
  </si>
  <si>
    <t>NGB1914</t>
  </si>
  <si>
    <t>RMD2043</t>
  </si>
  <si>
    <t>ULA0927</t>
  </si>
  <si>
    <t>ana.anguiano</t>
  </si>
  <si>
    <t>leidy.bermudez</t>
  </si>
  <si>
    <t>maria.chan</t>
  </si>
  <si>
    <t>claudia.escobedo</t>
  </si>
  <si>
    <t>miguel.frias</t>
  </si>
  <si>
    <t>aida.hernandez</t>
  </si>
  <si>
    <t>alejandro.lagos</t>
  </si>
  <si>
    <t>maria.mendoza</t>
  </si>
  <si>
    <t>mariana.morones</t>
  </si>
  <si>
    <t>melissa.delarosa</t>
  </si>
  <si>
    <t>erika.espejo</t>
  </si>
  <si>
    <t>daniela.fajer</t>
  </si>
  <si>
    <t>isis.farias</t>
  </si>
  <si>
    <t>gabriela.garibay</t>
  </si>
  <si>
    <t>paulette.jaramillo</t>
  </si>
  <si>
    <t>liliana.martinez</t>
  </si>
  <si>
    <t>daniel.restrepo</t>
  </si>
  <si>
    <t>alejandro.uribe</t>
  </si>
  <si>
    <t>jose.garciav</t>
  </si>
  <si>
    <t>barbara.nunez</t>
  </si>
  <si>
    <t>LIDERAZGO Y MANEJO DE GRUPOS</t>
  </si>
  <si>
    <t>ESCENARIO DE INTERVENCION III</t>
  </si>
  <si>
    <t>EXPERIENCIA DE ACCION SOCIAL</t>
  </si>
  <si>
    <t>DERECHOS HUMANOS Y JUSTICIA SOCIAL</t>
  </si>
  <si>
    <t>EMPRENDIMIENTO E INNOVACION</t>
  </si>
  <si>
    <t>SUSTENTABILIDAD</t>
  </si>
  <si>
    <t>CIUDADANIA Y DESARROLLO PROFESIONAL</t>
  </si>
  <si>
    <t>ESCENARIO DE INTERVENCION SOCIAL I</t>
  </si>
  <si>
    <t>IDIOMAS 2</t>
  </si>
  <si>
    <t>IDIOMAS 4</t>
  </si>
  <si>
    <t>MATERIAS INSTITUCIONALES</t>
  </si>
  <si>
    <t>IDIOMAS</t>
  </si>
  <si>
    <t>ADMON 4°'</t>
  </si>
  <si>
    <t>ADMON 6°'</t>
  </si>
  <si>
    <t>ADMON 8°'</t>
  </si>
  <si>
    <t>ANIM 2°'</t>
  </si>
  <si>
    <t>ANIM 4°'</t>
  </si>
  <si>
    <t>ANIM 6°'</t>
  </si>
  <si>
    <t>ANIM 8°'</t>
  </si>
  <si>
    <t>ARQ 2°'</t>
  </si>
  <si>
    <t>ARQ 4°'</t>
  </si>
  <si>
    <t>ARQ 6°'</t>
  </si>
  <si>
    <t>ARQ 8°'</t>
  </si>
  <si>
    <t>COM 8°'</t>
  </si>
  <si>
    <t>DER 8°'</t>
  </si>
  <si>
    <t>DGD 6°'</t>
  </si>
  <si>
    <t>DGD 8°'</t>
  </si>
  <si>
    <t>AERO 2°A'</t>
  </si>
  <si>
    <t>AERO 2°B'</t>
  </si>
  <si>
    <t>AERO 4°A'</t>
  </si>
  <si>
    <t>AERO 4°B'</t>
  </si>
  <si>
    <t>AERO 6°'</t>
  </si>
  <si>
    <t>AERO 8°'</t>
  </si>
  <si>
    <t>AERO_10°'</t>
  </si>
  <si>
    <t>AUTO 2° A'</t>
  </si>
  <si>
    <t>AUTO 2° B'</t>
  </si>
  <si>
    <t>AUTO 4°'</t>
  </si>
  <si>
    <t>AUTO 6°'</t>
  </si>
  <si>
    <t>CIB 6°'</t>
  </si>
  <si>
    <t>CIB 8°'</t>
  </si>
  <si>
    <t>IA 2°'</t>
  </si>
  <si>
    <t>IA 4°'</t>
  </si>
  <si>
    <t>IA 6°'</t>
  </si>
  <si>
    <t>IND 6°'</t>
  </si>
  <si>
    <t>MKT 8°'</t>
  </si>
  <si>
    <t>NUT 2°'</t>
  </si>
  <si>
    <t>NUT 4°'</t>
  </si>
  <si>
    <t>NUT 6°'</t>
  </si>
  <si>
    <t>NUT 8°'</t>
  </si>
  <si>
    <t>PSI 2°'</t>
  </si>
  <si>
    <t>PSI 4°'</t>
  </si>
  <si>
    <t>PSI 6°'</t>
  </si>
  <si>
    <t>PSI 8°'</t>
  </si>
  <si>
    <t>TC 0603'</t>
  </si>
  <si>
    <t>TC 0603 2'</t>
  </si>
  <si>
    <t>TC 0801 1'</t>
  </si>
  <si>
    <t>TC0201 1'</t>
  </si>
  <si>
    <t>TC0201 2'</t>
  </si>
  <si>
    <t>TC0201 3'</t>
  </si>
  <si>
    <t>TC0201 4'</t>
  </si>
  <si>
    <t>TC0201 5'</t>
  </si>
  <si>
    <t>TC0201 6'</t>
  </si>
  <si>
    <t>TC0201 7'</t>
  </si>
  <si>
    <t>TC0201 8'</t>
  </si>
  <si>
    <t>TC0202 1'</t>
  </si>
  <si>
    <t>TC0202 2'</t>
  </si>
  <si>
    <t>TC0202 3'</t>
  </si>
  <si>
    <t>TC0202 4'</t>
  </si>
  <si>
    <t>TC0202 5'</t>
  </si>
  <si>
    <t>TC0202 6'</t>
  </si>
  <si>
    <t>TC0202 7'</t>
  </si>
  <si>
    <t>TC0202 8'</t>
  </si>
  <si>
    <t>TC0401 1'</t>
  </si>
  <si>
    <t>TC0401 2'</t>
  </si>
  <si>
    <t>TC0401 3'</t>
  </si>
  <si>
    <t>TC0401 4'</t>
  </si>
  <si>
    <t>TC0401 5'</t>
  </si>
  <si>
    <t>TC0401 6'</t>
  </si>
  <si>
    <t>TC0401 7'</t>
  </si>
  <si>
    <t>TC0402 1'</t>
  </si>
  <si>
    <t>TC0402 2'</t>
  </si>
  <si>
    <t>TC0402 3'</t>
  </si>
  <si>
    <t>TC0402 4'</t>
  </si>
  <si>
    <t>TC0402 5'</t>
  </si>
  <si>
    <t>TC0402 6'</t>
  </si>
  <si>
    <t>TC0402 7'</t>
  </si>
  <si>
    <t>TC0503'</t>
  </si>
  <si>
    <t>TC0601 1'</t>
  </si>
  <si>
    <t>TC0601 10'</t>
  </si>
  <si>
    <t>TC0601 2'</t>
  </si>
  <si>
    <t>TC0601 3'</t>
  </si>
  <si>
    <t>TC0601 4'</t>
  </si>
  <si>
    <t>TC0601 5'</t>
  </si>
  <si>
    <t>TC0601 6'</t>
  </si>
  <si>
    <t>TC0601 7'</t>
  </si>
  <si>
    <t>TC0601 8'</t>
  </si>
  <si>
    <t>TC0601 9'</t>
  </si>
  <si>
    <t>TC0603 1'</t>
  </si>
  <si>
    <t>TC0603 2'</t>
  </si>
  <si>
    <t>TC0603 3'</t>
  </si>
  <si>
    <t>TC0603 4'</t>
  </si>
  <si>
    <t>TC0603 5'</t>
  </si>
  <si>
    <t>TC0603 6'</t>
  </si>
  <si>
    <t>TC0801 2'</t>
  </si>
  <si>
    <t>TC0801 3'</t>
  </si>
  <si>
    <t>TC0801 4'</t>
  </si>
  <si>
    <t>TC0801 5'</t>
  </si>
  <si>
    <t>TIDIOMAS_1'</t>
  </si>
  <si>
    <t>TIDIOMAS_2'</t>
  </si>
  <si>
    <t>TIDIOMAS_3'</t>
  </si>
  <si>
    <t>TIDIOMAS_4'</t>
  </si>
  <si>
    <t>TIDIOMAS_5'</t>
  </si>
  <si>
    <t>TIDIOMAS_6'</t>
  </si>
  <si>
    <t>TIDIOMAS_7'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</si>
</sst>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right" vertical="center"/>
    </xf>
    <xf numFmtId="0" fontId="6" fillId="0" borderId="0" xfId="0" applyFont="1" applyAlignment="1">
      <alignment wrapText="1"/>
    </xf>
    <xf numFmtId="0" fontId="3" fillId="4" borderId="3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6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quotePrefix="1" applyFont="1" applyBorder="1" applyAlignment="1">
      <alignment vertical="center" wrapText="1"/>
    </xf>
    <xf numFmtId="0" fontId="0" fillId="0" borderId="0" xfId="0" quotePrefix="1" applyAlignment="1">
      <alignment wrapText="1"/>
    </xf>
    <xf numFmtId="0" fontId="0" fillId="0" borderId="7" xfId="0" applyFont="1" applyFill="1" applyBorder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71"/>
  <sheetViews>
    <sheetView showGridLines="0" workbookViewId="0">
      <selection activeCell="E188" sqref="E188"/>
    </sheetView>
  </sheetViews>
  <sheetFormatPr baseColWidth="10" defaultRowHeight="14.5" x14ac:dyDescent="0.35"/>
  <cols>
    <col min="1" max="1" width="19.81640625" customWidth="1"/>
    <col min="2" max="2" width="19" customWidth="1"/>
    <col min="3" max="3" width="15.1796875" customWidth="1"/>
    <col min="4" max="4" width="9.26953125" customWidth="1"/>
    <col min="5" max="5" width="34.54296875" customWidth="1"/>
    <col min="6" max="6" width="10.7265625" customWidth="1"/>
    <col min="7" max="7" width="6.26953125" customWidth="1"/>
    <col min="8" max="8" width="9.7265625" customWidth="1"/>
    <col min="9" max="9" width="13.26953125" customWidth="1"/>
  </cols>
  <sheetData>
    <row r="1" spans="1:9" ht="15" customHeight="1" x14ac:dyDescent="0.35">
      <c r="A1" s="1" t="s">
        <v>0</v>
      </c>
      <c r="B1" s="1" t="s">
        <v>161</v>
      </c>
      <c r="C1" s="1" t="s">
        <v>289</v>
      </c>
      <c r="D1" s="1" t="s">
        <v>378</v>
      </c>
      <c r="E1" s="1" t="s">
        <v>549</v>
      </c>
      <c r="F1" s="1" t="s">
        <v>720</v>
      </c>
      <c r="G1" s="1" t="s">
        <v>723</v>
      </c>
      <c r="H1" s="1" t="s">
        <v>724</v>
      </c>
      <c r="I1" s="1" t="s">
        <v>725</v>
      </c>
    </row>
    <row r="2" spans="1:9" ht="15" hidden="1" customHeight="1" x14ac:dyDescent="0.35">
      <c r="A2" s="1" t="s">
        <v>1</v>
      </c>
      <c r="B2" s="1" t="s">
        <v>162</v>
      </c>
      <c r="C2" s="1" t="s">
        <v>290</v>
      </c>
      <c r="D2" s="1" t="s">
        <v>379</v>
      </c>
      <c r="E2" s="1" t="s">
        <v>550</v>
      </c>
      <c r="F2" s="1" t="s">
        <v>721</v>
      </c>
      <c r="G2" s="5">
        <v>2</v>
      </c>
      <c r="H2" s="5">
        <v>17</v>
      </c>
      <c r="I2" s="5">
        <v>2</v>
      </c>
    </row>
    <row r="3" spans="1:9" ht="15" hidden="1" customHeight="1" x14ac:dyDescent="0.35">
      <c r="A3" s="1" t="s">
        <v>2</v>
      </c>
      <c r="B3" s="1" t="s">
        <v>163</v>
      </c>
      <c r="C3" s="1" t="s">
        <v>291</v>
      </c>
      <c r="D3" s="1" t="s">
        <v>380</v>
      </c>
      <c r="E3" s="1" t="s">
        <v>551</v>
      </c>
      <c r="F3" s="1" t="s">
        <v>722</v>
      </c>
      <c r="G3" s="5">
        <v>1</v>
      </c>
      <c r="H3" s="5">
        <v>8</v>
      </c>
      <c r="I3" s="5">
        <v>1</v>
      </c>
    </row>
    <row r="4" spans="1:9" ht="15" hidden="1" customHeight="1" x14ac:dyDescent="0.35">
      <c r="A4" s="1" t="s">
        <v>3</v>
      </c>
      <c r="B4" s="1" t="s">
        <v>164</v>
      </c>
      <c r="C4" s="1" t="s">
        <v>243</v>
      </c>
      <c r="D4" s="1" t="s">
        <v>381</v>
      </c>
      <c r="E4" s="1" t="s">
        <v>552</v>
      </c>
      <c r="F4" s="1" t="s">
        <v>721</v>
      </c>
      <c r="G4" s="5">
        <v>9</v>
      </c>
      <c r="H4" s="5">
        <v>84</v>
      </c>
      <c r="I4" s="5">
        <v>4</v>
      </c>
    </row>
    <row r="5" spans="1:9" ht="15" hidden="1" customHeight="1" x14ac:dyDescent="0.35">
      <c r="A5" s="1" t="s">
        <v>4</v>
      </c>
      <c r="B5" s="1" t="s">
        <v>165</v>
      </c>
      <c r="C5" s="1" t="s">
        <v>292</v>
      </c>
      <c r="D5" s="1" t="s">
        <v>382</v>
      </c>
      <c r="E5" s="1" t="s">
        <v>553</v>
      </c>
      <c r="F5" s="1" t="s">
        <v>722</v>
      </c>
      <c r="G5" s="5">
        <v>1</v>
      </c>
      <c r="H5" s="5">
        <v>14</v>
      </c>
      <c r="I5" s="5">
        <v>1</v>
      </c>
    </row>
    <row r="6" spans="1:9" ht="15" hidden="1" customHeight="1" x14ac:dyDescent="0.35">
      <c r="A6" s="2" t="s">
        <v>5</v>
      </c>
      <c r="B6" s="1" t="s">
        <v>166</v>
      </c>
      <c r="C6" s="1" t="s">
        <v>210</v>
      </c>
      <c r="D6" s="1" t="s">
        <v>383</v>
      </c>
      <c r="E6" s="1" t="s">
        <v>554</v>
      </c>
      <c r="F6" s="1" t="s">
        <v>722</v>
      </c>
      <c r="G6" s="5">
        <v>1</v>
      </c>
      <c r="H6" s="5">
        <v>28</v>
      </c>
      <c r="I6" s="5">
        <v>1</v>
      </c>
    </row>
    <row r="7" spans="1:9" ht="15" hidden="1" customHeight="1" x14ac:dyDescent="0.35">
      <c r="A7" s="3"/>
      <c r="B7" s="1" t="s">
        <v>167</v>
      </c>
      <c r="C7" s="1" t="s">
        <v>210</v>
      </c>
      <c r="D7" s="1" t="s">
        <v>384</v>
      </c>
      <c r="E7" s="1" t="s">
        <v>555</v>
      </c>
      <c r="F7" s="1" t="s">
        <v>722</v>
      </c>
      <c r="G7" s="5">
        <v>1</v>
      </c>
      <c r="H7" s="5">
        <v>7</v>
      </c>
      <c r="I7" s="5">
        <v>1</v>
      </c>
    </row>
    <row r="8" spans="1:9" ht="15" hidden="1" customHeight="1" x14ac:dyDescent="0.35">
      <c r="A8" s="1" t="s">
        <v>6</v>
      </c>
      <c r="B8" s="1" t="s">
        <v>168</v>
      </c>
      <c r="C8" s="1" t="s">
        <v>215</v>
      </c>
      <c r="D8" s="1" t="s">
        <v>385</v>
      </c>
      <c r="E8" s="1" t="s">
        <v>556</v>
      </c>
      <c r="F8" s="1" t="s">
        <v>722</v>
      </c>
      <c r="G8" s="5">
        <v>3</v>
      </c>
      <c r="H8" s="5">
        <v>59</v>
      </c>
      <c r="I8" s="5">
        <v>3</v>
      </c>
    </row>
    <row r="9" spans="1:9" ht="15" hidden="1" customHeight="1" x14ac:dyDescent="0.35">
      <c r="A9" s="1" t="s">
        <v>7</v>
      </c>
      <c r="B9" s="1" t="s">
        <v>169</v>
      </c>
      <c r="C9" s="1" t="s">
        <v>215</v>
      </c>
      <c r="D9" s="1" t="s">
        <v>386</v>
      </c>
      <c r="E9" s="1" t="s">
        <v>557</v>
      </c>
      <c r="F9" s="1" t="s">
        <v>722</v>
      </c>
      <c r="G9" s="5">
        <v>1</v>
      </c>
      <c r="H9" s="5">
        <v>11</v>
      </c>
      <c r="I9" s="5">
        <v>1</v>
      </c>
    </row>
    <row r="10" spans="1:9" ht="15" hidden="1" customHeight="1" x14ac:dyDescent="0.35">
      <c r="A10" s="1" t="s">
        <v>8</v>
      </c>
      <c r="B10" s="1" t="s">
        <v>170</v>
      </c>
      <c r="C10" s="1" t="s">
        <v>293</v>
      </c>
      <c r="D10" s="1" t="s">
        <v>387</v>
      </c>
      <c r="E10" s="1" t="s">
        <v>558</v>
      </c>
      <c r="F10" s="1" t="s">
        <v>722</v>
      </c>
      <c r="G10" s="5">
        <v>3</v>
      </c>
      <c r="H10" s="5">
        <v>44</v>
      </c>
      <c r="I10" s="5">
        <v>3</v>
      </c>
    </row>
    <row r="11" spans="1:9" ht="15" hidden="1" customHeight="1" x14ac:dyDescent="0.35">
      <c r="A11" s="1" t="s">
        <v>9</v>
      </c>
      <c r="B11" s="1" t="s">
        <v>171</v>
      </c>
      <c r="C11" s="1" t="s">
        <v>294</v>
      </c>
      <c r="D11" s="1" t="s">
        <v>388</v>
      </c>
      <c r="E11" s="1" t="s">
        <v>559</v>
      </c>
      <c r="F11" s="1" t="s">
        <v>722</v>
      </c>
      <c r="G11" s="5">
        <v>1</v>
      </c>
      <c r="H11" s="5">
        <v>13</v>
      </c>
      <c r="I11" s="5">
        <v>1</v>
      </c>
    </row>
    <row r="12" spans="1:9" ht="15" hidden="1" customHeight="1" x14ac:dyDescent="0.35">
      <c r="A12" s="1" t="s">
        <v>10</v>
      </c>
      <c r="B12" s="1" t="s">
        <v>172</v>
      </c>
      <c r="C12" s="1" t="s">
        <v>295</v>
      </c>
      <c r="D12" s="1" t="s">
        <v>389</v>
      </c>
      <c r="E12" s="1" t="s">
        <v>560</v>
      </c>
      <c r="F12" s="1" t="s">
        <v>722</v>
      </c>
      <c r="G12" s="5">
        <v>1</v>
      </c>
      <c r="H12" s="5">
        <v>4</v>
      </c>
      <c r="I12" s="5">
        <v>1</v>
      </c>
    </row>
    <row r="13" spans="1:9" ht="15" hidden="1" customHeight="1" x14ac:dyDescent="0.35">
      <c r="A13" s="1" t="s">
        <v>11</v>
      </c>
      <c r="B13" s="1" t="s">
        <v>172</v>
      </c>
      <c r="C13" s="1" t="s">
        <v>296</v>
      </c>
      <c r="D13" s="1" t="s">
        <v>390</v>
      </c>
      <c r="E13" s="1" t="s">
        <v>561</v>
      </c>
      <c r="F13" s="1" t="s">
        <v>721</v>
      </c>
      <c r="G13" s="5">
        <v>1</v>
      </c>
      <c r="H13" s="5">
        <v>6</v>
      </c>
      <c r="I13" s="5">
        <v>1</v>
      </c>
    </row>
    <row r="14" spans="1:9" ht="15" hidden="1" customHeight="1" x14ac:dyDescent="0.35">
      <c r="A14" s="1" t="s">
        <v>12</v>
      </c>
      <c r="B14" s="1" t="s">
        <v>173</v>
      </c>
      <c r="C14" s="1" t="s">
        <v>297</v>
      </c>
      <c r="D14" s="1" t="s">
        <v>391</v>
      </c>
      <c r="E14" s="1" t="s">
        <v>562</v>
      </c>
      <c r="F14" s="1" t="s">
        <v>722</v>
      </c>
      <c r="G14" s="5">
        <v>1</v>
      </c>
      <c r="H14" s="5">
        <v>5</v>
      </c>
      <c r="I14" s="5">
        <v>1</v>
      </c>
    </row>
    <row r="15" spans="1:9" ht="15" hidden="1" customHeight="1" x14ac:dyDescent="0.35">
      <c r="A15" s="1" t="s">
        <v>13</v>
      </c>
      <c r="B15" s="1" t="s">
        <v>174</v>
      </c>
      <c r="C15" s="1" t="s">
        <v>210</v>
      </c>
      <c r="D15" s="1" t="s">
        <v>392</v>
      </c>
      <c r="E15" s="1" t="s">
        <v>563</v>
      </c>
      <c r="F15" s="1" t="s">
        <v>721</v>
      </c>
      <c r="G15" s="5">
        <v>2</v>
      </c>
      <c r="H15" s="5">
        <v>18</v>
      </c>
      <c r="I15" s="5">
        <v>2</v>
      </c>
    </row>
    <row r="16" spans="1:9" ht="15" hidden="1" customHeight="1" x14ac:dyDescent="0.35">
      <c r="A16" s="1" t="s">
        <v>14</v>
      </c>
      <c r="B16" s="1" t="s">
        <v>175</v>
      </c>
      <c r="C16" s="1" t="s">
        <v>298</v>
      </c>
      <c r="D16" s="1" t="s">
        <v>393</v>
      </c>
      <c r="E16" s="1" t="s">
        <v>564</v>
      </c>
      <c r="F16" s="1" t="s">
        <v>721</v>
      </c>
      <c r="G16" s="5">
        <v>3</v>
      </c>
      <c r="H16" s="5">
        <v>55</v>
      </c>
      <c r="I16" s="5">
        <v>3</v>
      </c>
    </row>
    <row r="17" spans="1:9" ht="15" hidden="1" customHeight="1" x14ac:dyDescent="0.35">
      <c r="A17" s="1" t="s">
        <v>15</v>
      </c>
      <c r="B17" s="1" t="s">
        <v>176</v>
      </c>
      <c r="C17" s="1" t="s">
        <v>172</v>
      </c>
      <c r="D17" s="1" t="s">
        <v>394</v>
      </c>
      <c r="E17" s="1" t="s">
        <v>565</v>
      </c>
      <c r="F17" s="1" t="s">
        <v>721</v>
      </c>
      <c r="G17" s="5">
        <v>3</v>
      </c>
      <c r="H17" s="5">
        <v>64</v>
      </c>
      <c r="I17" s="5">
        <v>3</v>
      </c>
    </row>
    <row r="18" spans="1:9" ht="15" hidden="1" customHeight="1" x14ac:dyDescent="0.35">
      <c r="A18" s="1" t="s">
        <v>16</v>
      </c>
      <c r="B18" s="1" t="s">
        <v>177</v>
      </c>
      <c r="C18" s="1" t="s">
        <v>179</v>
      </c>
      <c r="D18" s="1" t="s">
        <v>395</v>
      </c>
      <c r="E18" s="1" t="s">
        <v>566</v>
      </c>
      <c r="F18" s="1" t="s">
        <v>722</v>
      </c>
      <c r="G18" s="5">
        <v>1</v>
      </c>
      <c r="H18" s="5">
        <v>18</v>
      </c>
      <c r="I18" s="5">
        <v>1</v>
      </c>
    </row>
    <row r="19" spans="1:9" ht="15" hidden="1" customHeight="1" x14ac:dyDescent="0.35">
      <c r="A19" s="1" t="s">
        <v>17</v>
      </c>
      <c r="B19" s="1" t="s">
        <v>178</v>
      </c>
      <c r="C19" s="1" t="s">
        <v>299</v>
      </c>
      <c r="D19" s="1" t="s">
        <v>396</v>
      </c>
      <c r="E19" s="1" t="s">
        <v>567</v>
      </c>
      <c r="F19" s="1" t="s">
        <v>721</v>
      </c>
      <c r="G19" s="5">
        <v>2</v>
      </c>
      <c r="H19" s="5">
        <v>11</v>
      </c>
      <c r="I19" s="5">
        <v>2</v>
      </c>
    </row>
    <row r="20" spans="1:9" ht="15" hidden="1" customHeight="1" x14ac:dyDescent="0.35">
      <c r="A20" s="1" t="s">
        <v>18</v>
      </c>
      <c r="B20" s="1" t="s">
        <v>176</v>
      </c>
      <c r="C20" s="1" t="s">
        <v>209</v>
      </c>
      <c r="D20" s="1" t="s">
        <v>397</v>
      </c>
      <c r="E20" s="1" t="s">
        <v>568</v>
      </c>
      <c r="F20" s="1" t="s">
        <v>721</v>
      </c>
      <c r="G20" s="5">
        <v>2</v>
      </c>
      <c r="H20" s="5">
        <v>42</v>
      </c>
      <c r="I20" s="5">
        <v>2</v>
      </c>
    </row>
    <row r="21" spans="1:9" ht="15" hidden="1" customHeight="1" x14ac:dyDescent="0.35">
      <c r="A21" s="1" t="s">
        <v>19</v>
      </c>
      <c r="B21" s="1" t="s">
        <v>179</v>
      </c>
      <c r="C21" s="1" t="s">
        <v>260</v>
      </c>
      <c r="D21" s="1" t="s">
        <v>398</v>
      </c>
      <c r="E21" s="1" t="s">
        <v>569</v>
      </c>
      <c r="F21" s="1" t="s">
        <v>721</v>
      </c>
      <c r="G21" s="5">
        <v>1</v>
      </c>
      <c r="H21" s="5">
        <v>13</v>
      </c>
      <c r="I21" s="5">
        <v>1</v>
      </c>
    </row>
    <row r="22" spans="1:9" ht="15" hidden="1" customHeight="1" x14ac:dyDescent="0.35">
      <c r="A22" s="1" t="s">
        <v>20</v>
      </c>
      <c r="B22" s="1" t="s">
        <v>180</v>
      </c>
      <c r="C22" s="1" t="s">
        <v>215</v>
      </c>
      <c r="D22" s="1" t="s">
        <v>399</v>
      </c>
      <c r="E22" s="1" t="s">
        <v>570</v>
      </c>
      <c r="F22" s="1" t="s">
        <v>721</v>
      </c>
      <c r="G22" s="5">
        <v>2</v>
      </c>
      <c r="H22" s="5">
        <v>42</v>
      </c>
      <c r="I22" s="5">
        <v>2</v>
      </c>
    </row>
    <row r="23" spans="1:9" ht="15" hidden="1" customHeight="1" x14ac:dyDescent="0.35">
      <c r="A23" s="1" t="s">
        <v>21</v>
      </c>
      <c r="B23" s="1" t="s">
        <v>181</v>
      </c>
      <c r="C23" s="1" t="s">
        <v>277</v>
      </c>
      <c r="D23" s="1" t="s">
        <v>400</v>
      </c>
      <c r="E23" s="1" t="s">
        <v>571</v>
      </c>
      <c r="F23" s="1" t="s">
        <v>721</v>
      </c>
      <c r="G23" s="5">
        <v>3</v>
      </c>
      <c r="H23" s="5">
        <v>55</v>
      </c>
      <c r="I23" s="5">
        <v>3</v>
      </c>
    </row>
    <row r="24" spans="1:9" ht="15" hidden="1" customHeight="1" x14ac:dyDescent="0.35">
      <c r="A24" s="1" t="s">
        <v>22</v>
      </c>
      <c r="B24" s="1" t="s">
        <v>182</v>
      </c>
      <c r="C24" s="1" t="s">
        <v>172</v>
      </c>
      <c r="D24" s="1" t="s">
        <v>401</v>
      </c>
      <c r="E24" s="1" t="s">
        <v>572</v>
      </c>
      <c r="F24" s="1" t="s">
        <v>721</v>
      </c>
      <c r="G24" s="5">
        <v>1</v>
      </c>
      <c r="H24" s="5">
        <v>7</v>
      </c>
      <c r="I24" s="5">
        <v>1</v>
      </c>
    </row>
    <row r="25" spans="1:9" ht="15" hidden="1" customHeight="1" x14ac:dyDescent="0.35">
      <c r="A25" s="1" t="s">
        <v>23</v>
      </c>
      <c r="B25" s="1" t="s">
        <v>183</v>
      </c>
      <c r="C25" s="1" t="s">
        <v>300</v>
      </c>
      <c r="D25" s="1" t="s">
        <v>402</v>
      </c>
      <c r="E25" s="1" t="s">
        <v>573</v>
      </c>
      <c r="F25" s="1" t="s">
        <v>721</v>
      </c>
      <c r="G25" s="5">
        <v>8</v>
      </c>
      <c r="H25" s="5">
        <v>168</v>
      </c>
      <c r="I25" s="5">
        <v>8</v>
      </c>
    </row>
    <row r="26" spans="1:9" ht="15" hidden="1" customHeight="1" x14ac:dyDescent="0.35">
      <c r="A26" s="1" t="s">
        <v>24</v>
      </c>
      <c r="B26" s="1" t="s">
        <v>179</v>
      </c>
      <c r="C26" s="1" t="s">
        <v>301</v>
      </c>
      <c r="D26" s="1" t="s">
        <v>403</v>
      </c>
      <c r="E26" s="1" t="s">
        <v>574</v>
      </c>
      <c r="F26" s="1" t="s">
        <v>722</v>
      </c>
      <c r="G26" s="5">
        <v>1</v>
      </c>
      <c r="H26" s="5">
        <v>15</v>
      </c>
      <c r="I26" s="5">
        <v>1</v>
      </c>
    </row>
    <row r="27" spans="1:9" ht="15" hidden="1" customHeight="1" x14ac:dyDescent="0.35">
      <c r="A27" s="1" t="s">
        <v>25</v>
      </c>
      <c r="B27" s="1" t="s">
        <v>184</v>
      </c>
      <c r="C27" s="1" t="s">
        <v>302</v>
      </c>
      <c r="D27" s="1" t="s">
        <v>404</v>
      </c>
      <c r="E27" s="1" t="s">
        <v>575</v>
      </c>
      <c r="F27" s="1" t="s">
        <v>722</v>
      </c>
      <c r="G27" s="5">
        <v>1</v>
      </c>
      <c r="H27" s="5">
        <v>20</v>
      </c>
      <c r="I27" s="5">
        <v>1</v>
      </c>
    </row>
    <row r="28" spans="1:9" ht="15" hidden="1" customHeight="1" x14ac:dyDescent="0.35">
      <c r="A28" s="1" t="s">
        <v>26</v>
      </c>
      <c r="B28" s="1" t="s">
        <v>185</v>
      </c>
      <c r="C28" s="1" t="s">
        <v>303</v>
      </c>
      <c r="D28" s="1" t="s">
        <v>405</v>
      </c>
      <c r="E28" s="1" t="s">
        <v>576</v>
      </c>
      <c r="F28" s="1" t="s">
        <v>722</v>
      </c>
      <c r="G28" s="5">
        <v>1</v>
      </c>
      <c r="H28" s="5">
        <v>33</v>
      </c>
      <c r="I28" s="5">
        <v>1</v>
      </c>
    </row>
    <row r="29" spans="1:9" ht="15" hidden="1" customHeight="1" x14ac:dyDescent="0.35">
      <c r="A29" s="1" t="s">
        <v>27</v>
      </c>
      <c r="B29" s="1" t="s">
        <v>186</v>
      </c>
      <c r="C29" s="1" t="s">
        <v>304</v>
      </c>
      <c r="D29" s="1" t="s">
        <v>406</v>
      </c>
      <c r="E29" s="1" t="s">
        <v>577</v>
      </c>
      <c r="F29" s="1" t="s">
        <v>722</v>
      </c>
      <c r="G29" s="5">
        <v>4</v>
      </c>
      <c r="H29" s="5">
        <v>3</v>
      </c>
      <c r="I29" s="5">
        <v>1</v>
      </c>
    </row>
    <row r="30" spans="1:9" ht="15" hidden="1" customHeight="1" x14ac:dyDescent="0.35">
      <c r="A30" s="1" t="s">
        <v>28</v>
      </c>
      <c r="B30" s="1" t="s">
        <v>187</v>
      </c>
      <c r="C30" s="1" t="s">
        <v>305</v>
      </c>
      <c r="D30" s="1" t="s">
        <v>407</v>
      </c>
      <c r="E30" s="1" t="s">
        <v>578</v>
      </c>
      <c r="F30" s="1" t="s">
        <v>722</v>
      </c>
      <c r="G30" s="5">
        <v>4</v>
      </c>
      <c r="H30" s="5">
        <v>109</v>
      </c>
      <c r="I30" s="5">
        <v>4</v>
      </c>
    </row>
    <row r="31" spans="1:9" ht="15" hidden="1" customHeight="1" x14ac:dyDescent="0.35">
      <c r="A31" s="1" t="s">
        <v>29</v>
      </c>
      <c r="B31" s="1" t="s">
        <v>188</v>
      </c>
      <c r="C31" s="1" t="s">
        <v>306</v>
      </c>
      <c r="D31" s="1" t="s">
        <v>408</v>
      </c>
      <c r="E31" s="1" t="s">
        <v>579</v>
      </c>
      <c r="F31" s="1" t="s">
        <v>721</v>
      </c>
      <c r="G31" s="5">
        <v>1</v>
      </c>
      <c r="H31" s="5">
        <v>11</v>
      </c>
      <c r="I31" s="5">
        <v>1</v>
      </c>
    </row>
    <row r="32" spans="1:9" ht="15" hidden="1" customHeight="1" x14ac:dyDescent="0.35">
      <c r="A32" s="1" t="s">
        <v>30</v>
      </c>
      <c r="B32" s="1" t="s">
        <v>189</v>
      </c>
      <c r="C32" s="1" t="s">
        <v>178</v>
      </c>
      <c r="D32" s="1" t="s">
        <v>409</v>
      </c>
      <c r="E32" s="1" t="s">
        <v>580</v>
      </c>
      <c r="F32" s="1" t="s">
        <v>721</v>
      </c>
      <c r="G32" s="5">
        <v>4</v>
      </c>
      <c r="H32" s="5">
        <v>25</v>
      </c>
      <c r="I32" s="5">
        <v>4</v>
      </c>
    </row>
    <row r="33" spans="1:9" ht="15" hidden="1" customHeight="1" x14ac:dyDescent="0.35">
      <c r="A33" s="1" t="s">
        <v>31</v>
      </c>
      <c r="B33" s="1" t="s">
        <v>190</v>
      </c>
      <c r="C33" s="1" t="s">
        <v>241</v>
      </c>
      <c r="D33" s="1" t="s">
        <v>410</v>
      </c>
      <c r="E33" s="1" t="s">
        <v>581</v>
      </c>
      <c r="F33" s="1" t="s">
        <v>721</v>
      </c>
      <c r="G33" s="5">
        <v>1</v>
      </c>
      <c r="H33" s="5">
        <v>7</v>
      </c>
      <c r="I33" s="5">
        <v>1</v>
      </c>
    </row>
    <row r="34" spans="1:9" ht="15" hidden="1" customHeight="1" x14ac:dyDescent="0.35">
      <c r="A34" s="1" t="s">
        <v>32</v>
      </c>
      <c r="B34" s="1" t="s">
        <v>191</v>
      </c>
      <c r="C34" s="1" t="s">
        <v>171</v>
      </c>
      <c r="D34" s="1" t="s">
        <v>411</v>
      </c>
      <c r="E34" s="1" t="s">
        <v>582</v>
      </c>
      <c r="F34" s="1" t="s">
        <v>721</v>
      </c>
      <c r="G34" s="5">
        <v>1</v>
      </c>
      <c r="H34" s="5">
        <v>17</v>
      </c>
      <c r="I34" s="5">
        <v>1</v>
      </c>
    </row>
    <row r="35" spans="1:9" ht="15" hidden="1" customHeight="1" x14ac:dyDescent="0.35">
      <c r="A35" s="1" t="s">
        <v>33</v>
      </c>
      <c r="B35" s="1" t="s">
        <v>192</v>
      </c>
      <c r="C35" s="1" t="s">
        <v>307</v>
      </c>
      <c r="D35" s="1" t="s">
        <v>412</v>
      </c>
      <c r="E35" s="1" t="s">
        <v>583</v>
      </c>
      <c r="F35" s="1" t="s">
        <v>721</v>
      </c>
      <c r="G35" s="5">
        <v>2</v>
      </c>
      <c r="H35" s="5">
        <v>33</v>
      </c>
      <c r="I35" s="5">
        <v>2</v>
      </c>
    </row>
    <row r="36" spans="1:9" ht="15" hidden="1" customHeight="1" x14ac:dyDescent="0.35">
      <c r="A36" s="1" t="s">
        <v>34</v>
      </c>
      <c r="B36" s="1" t="s">
        <v>193</v>
      </c>
      <c r="C36" s="1" t="s">
        <v>308</v>
      </c>
      <c r="D36" s="1" t="s">
        <v>413</v>
      </c>
      <c r="E36" s="1" t="s">
        <v>584</v>
      </c>
      <c r="F36" s="1" t="s">
        <v>721</v>
      </c>
      <c r="G36" s="5">
        <v>2</v>
      </c>
      <c r="H36" s="5">
        <v>18</v>
      </c>
      <c r="I36" s="5">
        <v>2</v>
      </c>
    </row>
    <row r="37" spans="1:9" ht="15" hidden="1" customHeight="1" x14ac:dyDescent="0.35">
      <c r="A37" s="1" t="s">
        <v>35</v>
      </c>
      <c r="B37" s="1" t="s">
        <v>194</v>
      </c>
      <c r="C37" s="4"/>
      <c r="D37" s="1" t="s">
        <v>414</v>
      </c>
      <c r="E37" s="1" t="s">
        <v>585</v>
      </c>
      <c r="F37" s="1" t="s">
        <v>722</v>
      </c>
      <c r="G37" s="5">
        <v>4</v>
      </c>
      <c r="H37" s="5">
        <v>89</v>
      </c>
      <c r="I37" s="5">
        <v>4</v>
      </c>
    </row>
    <row r="38" spans="1:9" ht="15" hidden="1" customHeight="1" x14ac:dyDescent="0.35">
      <c r="A38" s="2" t="s">
        <v>36</v>
      </c>
      <c r="B38" s="1" t="s">
        <v>195</v>
      </c>
      <c r="C38" s="1" t="s">
        <v>309</v>
      </c>
      <c r="D38" s="1" t="s">
        <v>415</v>
      </c>
      <c r="E38" s="1" t="s">
        <v>586</v>
      </c>
      <c r="F38" s="1" t="s">
        <v>722</v>
      </c>
      <c r="G38" s="5">
        <v>1</v>
      </c>
      <c r="H38" s="5">
        <v>28</v>
      </c>
      <c r="I38" s="5">
        <v>1</v>
      </c>
    </row>
    <row r="39" spans="1:9" ht="15" hidden="1" customHeight="1" x14ac:dyDescent="0.35">
      <c r="A39" s="3"/>
      <c r="B39" s="1" t="s">
        <v>196</v>
      </c>
      <c r="C39" s="1" t="s">
        <v>310</v>
      </c>
      <c r="D39" s="1" t="s">
        <v>416</v>
      </c>
      <c r="E39" s="1" t="s">
        <v>587</v>
      </c>
      <c r="F39" s="1" t="s">
        <v>722</v>
      </c>
      <c r="G39" s="5">
        <v>2</v>
      </c>
      <c r="H39" s="5">
        <v>29</v>
      </c>
      <c r="I39" s="5">
        <v>2</v>
      </c>
    </row>
    <row r="40" spans="1:9" ht="15" hidden="1" customHeight="1" x14ac:dyDescent="0.35">
      <c r="A40" s="1" t="s">
        <v>37</v>
      </c>
      <c r="B40" s="1" t="s">
        <v>197</v>
      </c>
      <c r="C40" s="1" t="s">
        <v>311</v>
      </c>
      <c r="D40" s="1" t="s">
        <v>417</v>
      </c>
      <c r="E40" s="1" t="s">
        <v>588</v>
      </c>
      <c r="F40" s="1" t="s">
        <v>721</v>
      </c>
      <c r="G40" s="5">
        <v>1</v>
      </c>
      <c r="H40" s="5">
        <v>19</v>
      </c>
      <c r="I40" s="5">
        <v>1</v>
      </c>
    </row>
    <row r="41" spans="1:9" ht="15" hidden="1" customHeight="1" x14ac:dyDescent="0.35">
      <c r="A41" s="1" t="s">
        <v>38</v>
      </c>
      <c r="B41" s="1" t="s">
        <v>198</v>
      </c>
      <c r="C41" s="1" t="s">
        <v>312</v>
      </c>
      <c r="D41" s="1" t="s">
        <v>418</v>
      </c>
      <c r="E41" s="1" t="s">
        <v>589</v>
      </c>
      <c r="F41" s="1" t="s">
        <v>722</v>
      </c>
      <c r="G41" s="5">
        <v>1</v>
      </c>
      <c r="H41" s="5">
        <v>22</v>
      </c>
      <c r="I41" s="5">
        <v>1</v>
      </c>
    </row>
    <row r="42" spans="1:9" ht="15" hidden="1" customHeight="1" x14ac:dyDescent="0.35">
      <c r="A42" s="1" t="s">
        <v>39</v>
      </c>
      <c r="B42" s="1" t="s">
        <v>199</v>
      </c>
      <c r="C42" s="1" t="s">
        <v>313</v>
      </c>
      <c r="D42" s="1" t="s">
        <v>419</v>
      </c>
      <c r="E42" s="1" t="s">
        <v>590</v>
      </c>
      <c r="F42" s="1" t="s">
        <v>722</v>
      </c>
      <c r="G42" s="5">
        <v>1</v>
      </c>
      <c r="H42" s="5">
        <v>8</v>
      </c>
      <c r="I42" s="5">
        <v>1</v>
      </c>
    </row>
    <row r="43" spans="1:9" ht="15" hidden="1" customHeight="1" x14ac:dyDescent="0.35">
      <c r="A43" s="1" t="s">
        <v>40</v>
      </c>
      <c r="B43" s="1" t="s">
        <v>165</v>
      </c>
      <c r="C43" s="1" t="s">
        <v>235</v>
      </c>
      <c r="D43" s="1" t="s">
        <v>420</v>
      </c>
      <c r="E43" s="1" t="s">
        <v>591</v>
      </c>
      <c r="F43" s="1" t="s">
        <v>722</v>
      </c>
      <c r="G43" s="5">
        <v>2</v>
      </c>
      <c r="H43" s="5">
        <v>31</v>
      </c>
      <c r="I43" s="5">
        <v>2</v>
      </c>
    </row>
    <row r="44" spans="1:9" ht="15" hidden="1" customHeight="1" x14ac:dyDescent="0.35">
      <c r="A44" s="1" t="s">
        <v>41</v>
      </c>
      <c r="B44" s="1" t="s">
        <v>200</v>
      </c>
      <c r="C44" s="1" t="s">
        <v>303</v>
      </c>
      <c r="D44" s="1" t="s">
        <v>421</v>
      </c>
      <c r="E44" s="1" t="s">
        <v>592</v>
      </c>
      <c r="F44" s="1" t="s">
        <v>722</v>
      </c>
      <c r="G44" s="5">
        <v>3</v>
      </c>
      <c r="H44" s="5">
        <v>26</v>
      </c>
      <c r="I44" s="5">
        <v>3</v>
      </c>
    </row>
    <row r="45" spans="1:9" ht="15" hidden="1" customHeight="1" x14ac:dyDescent="0.35">
      <c r="A45" s="1" t="s">
        <v>42</v>
      </c>
      <c r="B45" s="1" t="s">
        <v>201</v>
      </c>
      <c r="C45" s="1" t="s">
        <v>314</v>
      </c>
      <c r="D45" s="1" t="s">
        <v>422</v>
      </c>
      <c r="E45" s="1" t="s">
        <v>593</v>
      </c>
      <c r="F45" s="1" t="s">
        <v>721</v>
      </c>
      <c r="G45" s="5">
        <v>1</v>
      </c>
      <c r="H45" s="5">
        <v>12</v>
      </c>
      <c r="I45" s="5">
        <v>1</v>
      </c>
    </row>
    <row r="46" spans="1:9" ht="15" hidden="1" customHeight="1" x14ac:dyDescent="0.35">
      <c r="A46" s="1" t="s">
        <v>43</v>
      </c>
      <c r="B46" s="1" t="s">
        <v>202</v>
      </c>
      <c r="C46" s="1" t="s">
        <v>315</v>
      </c>
      <c r="D46" s="1" t="s">
        <v>423</v>
      </c>
      <c r="E46" s="1" t="s">
        <v>594</v>
      </c>
      <c r="F46" s="1" t="s">
        <v>721</v>
      </c>
      <c r="G46" s="5">
        <v>1</v>
      </c>
      <c r="H46" s="5">
        <v>7</v>
      </c>
      <c r="I46" s="5">
        <v>1</v>
      </c>
    </row>
    <row r="47" spans="1:9" ht="15" hidden="1" customHeight="1" x14ac:dyDescent="0.35">
      <c r="A47" s="1" t="s">
        <v>44</v>
      </c>
      <c r="B47" s="1" t="s">
        <v>203</v>
      </c>
      <c r="C47" s="1" t="s">
        <v>316</v>
      </c>
      <c r="D47" s="1" t="s">
        <v>424</v>
      </c>
      <c r="E47" s="1" t="s">
        <v>595</v>
      </c>
      <c r="F47" s="1" t="s">
        <v>721</v>
      </c>
      <c r="G47" s="5">
        <v>1</v>
      </c>
      <c r="H47" s="5">
        <v>16</v>
      </c>
      <c r="I47" s="5">
        <v>1</v>
      </c>
    </row>
    <row r="48" spans="1:9" ht="15" hidden="1" customHeight="1" x14ac:dyDescent="0.35">
      <c r="A48" s="1" t="s">
        <v>45</v>
      </c>
      <c r="B48" s="1" t="s">
        <v>204</v>
      </c>
      <c r="C48" s="1" t="s">
        <v>200</v>
      </c>
      <c r="D48" s="1" t="s">
        <v>425</v>
      </c>
      <c r="E48" s="1" t="s">
        <v>596</v>
      </c>
      <c r="F48" s="1" t="s">
        <v>722</v>
      </c>
      <c r="G48" s="5">
        <v>3</v>
      </c>
      <c r="H48" s="5">
        <v>64</v>
      </c>
      <c r="I48" s="5">
        <v>3</v>
      </c>
    </row>
    <row r="49" spans="1:9" ht="15" hidden="1" customHeight="1" x14ac:dyDescent="0.35">
      <c r="A49" s="1" t="s">
        <v>46</v>
      </c>
      <c r="B49" s="1" t="s">
        <v>205</v>
      </c>
      <c r="C49" s="1" t="s">
        <v>317</v>
      </c>
      <c r="D49" s="1" t="s">
        <v>426</v>
      </c>
      <c r="E49" s="1" t="s">
        <v>597</v>
      </c>
      <c r="F49" s="1" t="s">
        <v>722</v>
      </c>
      <c r="G49" s="5">
        <v>2</v>
      </c>
      <c r="H49" s="5">
        <v>47</v>
      </c>
      <c r="I49" s="5">
        <v>2</v>
      </c>
    </row>
    <row r="50" spans="1:9" ht="15" hidden="1" customHeight="1" x14ac:dyDescent="0.35">
      <c r="A50" s="1" t="s">
        <v>47</v>
      </c>
      <c r="B50" s="1" t="s">
        <v>206</v>
      </c>
      <c r="C50" s="1" t="s">
        <v>171</v>
      </c>
      <c r="D50" s="1" t="s">
        <v>427</v>
      </c>
      <c r="E50" s="1" t="s">
        <v>598</v>
      </c>
      <c r="F50" s="1" t="s">
        <v>721</v>
      </c>
      <c r="G50" s="5">
        <v>2</v>
      </c>
      <c r="H50" s="5">
        <v>21</v>
      </c>
      <c r="I50" s="5">
        <v>2</v>
      </c>
    </row>
    <row r="51" spans="1:9" ht="15" hidden="1" customHeight="1" x14ac:dyDescent="0.35">
      <c r="A51" s="1" t="s">
        <v>48</v>
      </c>
      <c r="B51" s="1" t="s">
        <v>207</v>
      </c>
      <c r="C51" s="1" t="s">
        <v>250</v>
      </c>
      <c r="D51" s="1" t="s">
        <v>428</v>
      </c>
      <c r="E51" s="1" t="s">
        <v>599</v>
      </c>
      <c r="F51" s="1" t="s">
        <v>721</v>
      </c>
      <c r="G51" s="5">
        <v>3</v>
      </c>
      <c r="H51" s="5">
        <v>51</v>
      </c>
      <c r="I51" s="5">
        <v>3</v>
      </c>
    </row>
    <row r="52" spans="1:9" ht="15" hidden="1" customHeight="1" x14ac:dyDescent="0.35">
      <c r="A52" s="1" t="s">
        <v>49</v>
      </c>
      <c r="B52" s="1" t="s">
        <v>208</v>
      </c>
      <c r="C52" s="1" t="s">
        <v>318</v>
      </c>
      <c r="D52" s="1" t="s">
        <v>429</v>
      </c>
      <c r="E52" s="1" t="s">
        <v>600</v>
      </c>
      <c r="F52" s="1" t="s">
        <v>722</v>
      </c>
      <c r="G52" s="5">
        <v>1</v>
      </c>
      <c r="H52" s="5">
        <v>23</v>
      </c>
      <c r="I52" s="5">
        <v>1</v>
      </c>
    </row>
    <row r="53" spans="1:9" ht="15" hidden="1" customHeight="1" x14ac:dyDescent="0.35">
      <c r="A53" s="2" t="s">
        <v>50</v>
      </c>
      <c r="B53" s="1" t="s">
        <v>209</v>
      </c>
      <c r="C53" s="1" t="s">
        <v>209</v>
      </c>
      <c r="D53" s="1" t="s">
        <v>430</v>
      </c>
      <c r="E53" s="1" t="s">
        <v>601</v>
      </c>
      <c r="F53" s="1" t="s">
        <v>722</v>
      </c>
      <c r="G53" s="5">
        <v>4</v>
      </c>
      <c r="H53" s="5">
        <v>61</v>
      </c>
      <c r="I53" s="5">
        <v>4</v>
      </c>
    </row>
    <row r="54" spans="1:9" ht="15" hidden="1" customHeight="1" x14ac:dyDescent="0.35">
      <c r="A54" s="3"/>
      <c r="B54" s="1" t="s">
        <v>210</v>
      </c>
      <c r="C54" s="1" t="s">
        <v>319</v>
      </c>
      <c r="D54" s="1" t="s">
        <v>431</v>
      </c>
      <c r="E54" s="1" t="s">
        <v>602</v>
      </c>
      <c r="F54" s="1" t="s">
        <v>722</v>
      </c>
      <c r="G54" s="5">
        <v>2</v>
      </c>
      <c r="H54" s="5">
        <v>47</v>
      </c>
      <c r="I54" s="5">
        <v>2</v>
      </c>
    </row>
    <row r="55" spans="1:9" ht="15" hidden="1" customHeight="1" x14ac:dyDescent="0.35">
      <c r="A55" s="1" t="s">
        <v>51</v>
      </c>
      <c r="B55" s="1" t="s">
        <v>209</v>
      </c>
      <c r="C55" s="1" t="s">
        <v>320</v>
      </c>
      <c r="D55" s="1" t="s">
        <v>432</v>
      </c>
      <c r="E55" s="1" t="s">
        <v>603</v>
      </c>
      <c r="F55" s="1" t="s">
        <v>722</v>
      </c>
      <c r="G55" s="5">
        <v>1</v>
      </c>
      <c r="H55" s="5">
        <v>3</v>
      </c>
      <c r="I55" s="5">
        <v>1</v>
      </c>
    </row>
    <row r="56" spans="1:9" ht="15" hidden="1" customHeight="1" x14ac:dyDescent="0.35">
      <c r="A56" s="1" t="s">
        <v>52</v>
      </c>
      <c r="B56" s="1" t="s">
        <v>211</v>
      </c>
      <c r="C56" s="1" t="s">
        <v>321</v>
      </c>
      <c r="D56" s="1" t="s">
        <v>433</v>
      </c>
      <c r="E56" s="1" t="s">
        <v>604</v>
      </c>
      <c r="F56" s="1" t="s">
        <v>721</v>
      </c>
      <c r="G56" s="5">
        <v>1</v>
      </c>
      <c r="H56" s="5">
        <v>15</v>
      </c>
      <c r="I56" s="5">
        <v>1</v>
      </c>
    </row>
    <row r="57" spans="1:9" ht="15" hidden="1" customHeight="1" x14ac:dyDescent="0.35">
      <c r="A57" s="1" t="s">
        <v>53</v>
      </c>
      <c r="B57" s="1" t="s">
        <v>212</v>
      </c>
      <c r="C57" s="1" t="s">
        <v>322</v>
      </c>
      <c r="D57" s="1" t="s">
        <v>434</v>
      </c>
      <c r="E57" s="1" t="s">
        <v>605</v>
      </c>
      <c r="F57" s="1" t="s">
        <v>721</v>
      </c>
      <c r="G57" s="5">
        <v>1</v>
      </c>
      <c r="H57" s="5">
        <v>12</v>
      </c>
      <c r="I57" s="5">
        <v>1</v>
      </c>
    </row>
    <row r="58" spans="1:9" ht="15" hidden="1" customHeight="1" x14ac:dyDescent="0.35">
      <c r="A58" s="1" t="s">
        <v>54</v>
      </c>
      <c r="B58" s="1" t="s">
        <v>213</v>
      </c>
      <c r="C58" s="1" t="s">
        <v>251</v>
      </c>
      <c r="D58" s="1" t="s">
        <v>435</v>
      </c>
      <c r="E58" s="1" t="s">
        <v>606</v>
      </c>
      <c r="F58" s="1" t="s">
        <v>721</v>
      </c>
      <c r="G58" s="5">
        <v>3</v>
      </c>
      <c r="H58" s="5">
        <v>44</v>
      </c>
      <c r="I58" s="5">
        <v>3</v>
      </c>
    </row>
    <row r="59" spans="1:9" ht="15" hidden="1" customHeight="1" x14ac:dyDescent="0.35">
      <c r="A59" s="1" t="s">
        <v>55</v>
      </c>
      <c r="B59" s="1" t="s">
        <v>214</v>
      </c>
      <c r="C59" s="1" t="s">
        <v>179</v>
      </c>
      <c r="D59" s="1" t="s">
        <v>436</v>
      </c>
      <c r="E59" s="1" t="s">
        <v>607</v>
      </c>
      <c r="F59" s="1" t="s">
        <v>721</v>
      </c>
      <c r="G59" s="5">
        <v>3</v>
      </c>
      <c r="H59" s="5">
        <v>50</v>
      </c>
      <c r="I59" s="5">
        <v>3</v>
      </c>
    </row>
    <row r="60" spans="1:9" ht="15" hidden="1" customHeight="1" x14ac:dyDescent="0.35">
      <c r="A60" s="1" t="s">
        <v>56</v>
      </c>
      <c r="B60" s="1" t="s">
        <v>205</v>
      </c>
      <c r="C60" s="1" t="s">
        <v>215</v>
      </c>
      <c r="D60" s="1" t="s">
        <v>437</v>
      </c>
      <c r="E60" s="1" t="s">
        <v>608</v>
      </c>
      <c r="F60" s="1" t="s">
        <v>722</v>
      </c>
      <c r="G60" s="5">
        <v>2</v>
      </c>
      <c r="H60" s="5">
        <v>47</v>
      </c>
      <c r="I60" s="5">
        <v>2</v>
      </c>
    </row>
    <row r="61" spans="1:9" ht="15" hidden="1" customHeight="1" x14ac:dyDescent="0.35">
      <c r="A61" s="1" t="s">
        <v>57</v>
      </c>
      <c r="B61" s="1" t="s">
        <v>215</v>
      </c>
      <c r="C61" s="1" t="s">
        <v>323</v>
      </c>
      <c r="D61" s="1" t="s">
        <v>438</v>
      </c>
      <c r="E61" s="1" t="s">
        <v>609</v>
      </c>
      <c r="F61" s="1" t="s">
        <v>722</v>
      </c>
      <c r="G61" s="5">
        <v>2</v>
      </c>
      <c r="H61" s="5">
        <v>21</v>
      </c>
      <c r="I61" s="5">
        <v>2</v>
      </c>
    </row>
    <row r="62" spans="1:9" ht="15" hidden="1" customHeight="1" x14ac:dyDescent="0.35">
      <c r="A62" s="1" t="s">
        <v>58</v>
      </c>
      <c r="B62" s="1" t="s">
        <v>216</v>
      </c>
      <c r="C62" s="1" t="s">
        <v>172</v>
      </c>
      <c r="D62" s="1" t="s">
        <v>439</v>
      </c>
      <c r="E62" s="1" t="s">
        <v>610</v>
      </c>
      <c r="F62" s="1" t="s">
        <v>722</v>
      </c>
      <c r="G62" s="5">
        <v>2</v>
      </c>
      <c r="H62" s="5">
        <v>30</v>
      </c>
      <c r="I62" s="5">
        <v>2</v>
      </c>
    </row>
    <row r="63" spans="1:9" ht="15" hidden="1" customHeight="1" x14ac:dyDescent="0.35">
      <c r="A63" s="1" t="s">
        <v>59</v>
      </c>
      <c r="B63" s="1" t="s">
        <v>217</v>
      </c>
      <c r="C63" s="1" t="s">
        <v>324</v>
      </c>
      <c r="D63" s="1" t="s">
        <v>440</v>
      </c>
      <c r="E63" s="1" t="s">
        <v>611</v>
      </c>
      <c r="F63" s="1" t="s">
        <v>722</v>
      </c>
      <c r="G63" s="5">
        <v>2</v>
      </c>
      <c r="H63" s="5">
        <v>24</v>
      </c>
      <c r="I63" s="5">
        <v>2</v>
      </c>
    </row>
    <row r="64" spans="1:9" ht="15" hidden="1" customHeight="1" x14ac:dyDescent="0.35">
      <c r="A64" s="1" t="s">
        <v>60</v>
      </c>
      <c r="B64" s="1" t="s">
        <v>218</v>
      </c>
      <c r="C64" s="1" t="s">
        <v>325</v>
      </c>
      <c r="D64" s="1" t="s">
        <v>441</v>
      </c>
      <c r="E64" s="1" t="s">
        <v>612</v>
      </c>
      <c r="F64" s="1" t="s">
        <v>722</v>
      </c>
      <c r="G64" s="5">
        <v>1</v>
      </c>
      <c r="H64" s="5">
        <v>25</v>
      </c>
      <c r="I64" s="5">
        <v>1</v>
      </c>
    </row>
    <row r="65" spans="1:9" ht="15" hidden="1" customHeight="1" x14ac:dyDescent="0.35">
      <c r="A65" s="1" t="s">
        <v>61</v>
      </c>
      <c r="B65" s="1" t="s">
        <v>219</v>
      </c>
      <c r="C65" s="1" t="s">
        <v>326</v>
      </c>
      <c r="D65" s="1" t="s">
        <v>442</v>
      </c>
      <c r="E65" s="1" t="s">
        <v>613</v>
      </c>
      <c r="F65" s="1" t="s">
        <v>722</v>
      </c>
      <c r="G65" s="5">
        <v>1</v>
      </c>
      <c r="H65" s="5">
        <v>15</v>
      </c>
      <c r="I65" s="5">
        <v>1</v>
      </c>
    </row>
    <row r="66" spans="1:9" ht="15" hidden="1" customHeight="1" x14ac:dyDescent="0.35">
      <c r="A66" s="1" t="s">
        <v>62</v>
      </c>
      <c r="B66" s="1" t="s">
        <v>220</v>
      </c>
      <c r="C66" s="1" t="s">
        <v>171</v>
      </c>
      <c r="D66" s="1" t="s">
        <v>443</v>
      </c>
      <c r="E66" s="1" t="s">
        <v>614</v>
      </c>
      <c r="F66" s="1" t="s">
        <v>721</v>
      </c>
      <c r="G66" s="5">
        <v>1</v>
      </c>
      <c r="H66" s="5">
        <v>16</v>
      </c>
      <c r="I66" s="5">
        <v>1</v>
      </c>
    </row>
    <row r="67" spans="1:9" ht="15" hidden="1" customHeight="1" x14ac:dyDescent="0.35">
      <c r="A67" s="1" t="s">
        <v>63</v>
      </c>
      <c r="B67" s="1" t="s">
        <v>210</v>
      </c>
      <c r="C67" s="1" t="s">
        <v>281</v>
      </c>
      <c r="D67" s="1" t="s">
        <v>444</v>
      </c>
      <c r="E67" s="1" t="s">
        <v>615</v>
      </c>
      <c r="F67" s="1" t="s">
        <v>722</v>
      </c>
      <c r="G67" s="5">
        <v>2</v>
      </c>
      <c r="H67" s="5">
        <v>32</v>
      </c>
      <c r="I67" s="5">
        <v>2</v>
      </c>
    </row>
    <row r="68" spans="1:9" ht="15" hidden="1" customHeight="1" x14ac:dyDescent="0.35">
      <c r="A68" s="1" t="s">
        <v>64</v>
      </c>
      <c r="B68" s="1" t="s">
        <v>221</v>
      </c>
      <c r="C68" s="1" t="s">
        <v>164</v>
      </c>
      <c r="D68" s="1" t="s">
        <v>445</v>
      </c>
      <c r="E68" s="1" t="s">
        <v>616</v>
      </c>
      <c r="F68" s="1" t="s">
        <v>721</v>
      </c>
      <c r="G68" s="5">
        <v>2</v>
      </c>
      <c r="H68" s="5">
        <v>42</v>
      </c>
      <c r="I68" s="5">
        <v>2</v>
      </c>
    </row>
    <row r="69" spans="1:9" ht="15" hidden="1" customHeight="1" x14ac:dyDescent="0.35">
      <c r="A69" s="1" t="s">
        <v>65</v>
      </c>
      <c r="B69" s="1" t="s">
        <v>222</v>
      </c>
      <c r="C69" s="1" t="s">
        <v>200</v>
      </c>
      <c r="D69" s="1" t="s">
        <v>446</v>
      </c>
      <c r="E69" s="1" t="s">
        <v>617</v>
      </c>
      <c r="F69" s="1" t="s">
        <v>721</v>
      </c>
      <c r="G69" s="5">
        <v>3</v>
      </c>
      <c r="H69" s="5">
        <v>20</v>
      </c>
      <c r="I69" s="5">
        <v>3</v>
      </c>
    </row>
    <row r="70" spans="1:9" ht="15" hidden="1" customHeight="1" x14ac:dyDescent="0.35">
      <c r="A70" s="1" t="s">
        <v>66</v>
      </c>
      <c r="B70" s="1" t="s">
        <v>200</v>
      </c>
      <c r="C70" s="1" t="s">
        <v>327</v>
      </c>
      <c r="D70" s="1" t="s">
        <v>447</v>
      </c>
      <c r="E70" s="1" t="s">
        <v>618</v>
      </c>
      <c r="F70" s="1" t="s">
        <v>722</v>
      </c>
      <c r="G70" s="5">
        <v>1</v>
      </c>
      <c r="H70" s="5">
        <v>5</v>
      </c>
      <c r="I70" s="5">
        <v>1</v>
      </c>
    </row>
    <row r="71" spans="1:9" ht="15" hidden="1" customHeight="1" x14ac:dyDescent="0.35">
      <c r="A71" s="1" t="s">
        <v>67</v>
      </c>
      <c r="B71" s="1" t="s">
        <v>178</v>
      </c>
      <c r="C71" s="1" t="s">
        <v>328</v>
      </c>
      <c r="D71" s="1" t="s">
        <v>448</v>
      </c>
      <c r="E71" s="1" t="s">
        <v>619</v>
      </c>
      <c r="F71" s="1" t="s">
        <v>722</v>
      </c>
      <c r="G71" s="5">
        <v>2</v>
      </c>
      <c r="H71" s="5">
        <v>31</v>
      </c>
      <c r="I71" s="5">
        <v>2</v>
      </c>
    </row>
    <row r="72" spans="1:9" ht="15" hidden="1" customHeight="1" x14ac:dyDescent="0.35">
      <c r="A72" s="1" t="s">
        <v>68</v>
      </c>
      <c r="B72" s="1" t="s">
        <v>173</v>
      </c>
      <c r="C72" s="1" t="s">
        <v>329</v>
      </c>
      <c r="D72" s="1" t="s">
        <v>449</v>
      </c>
      <c r="E72" s="1" t="s">
        <v>620</v>
      </c>
      <c r="F72" s="1" t="s">
        <v>722</v>
      </c>
      <c r="G72" s="5">
        <v>2</v>
      </c>
      <c r="H72" s="5">
        <v>11</v>
      </c>
      <c r="I72" s="5">
        <v>2</v>
      </c>
    </row>
    <row r="73" spans="1:9" ht="15" hidden="1" customHeight="1" x14ac:dyDescent="0.35">
      <c r="A73" s="1" t="s">
        <v>69</v>
      </c>
      <c r="B73" s="1" t="s">
        <v>223</v>
      </c>
      <c r="C73" s="1" t="s">
        <v>330</v>
      </c>
      <c r="D73" s="1" t="s">
        <v>450</v>
      </c>
      <c r="E73" s="1" t="s">
        <v>621</v>
      </c>
      <c r="F73" s="1" t="s">
        <v>722</v>
      </c>
      <c r="G73" s="5">
        <v>1</v>
      </c>
      <c r="H73" s="5">
        <v>7</v>
      </c>
      <c r="I73" s="5">
        <v>1</v>
      </c>
    </row>
    <row r="74" spans="1:9" ht="15" hidden="1" customHeight="1" x14ac:dyDescent="0.35">
      <c r="A74" s="1" t="s">
        <v>70</v>
      </c>
      <c r="B74" s="1" t="s">
        <v>224</v>
      </c>
      <c r="C74" s="1" t="s">
        <v>331</v>
      </c>
      <c r="D74" s="1" t="s">
        <v>451</v>
      </c>
      <c r="E74" s="1" t="s">
        <v>622</v>
      </c>
      <c r="F74" s="1" t="s">
        <v>722</v>
      </c>
      <c r="G74" s="5">
        <v>1</v>
      </c>
      <c r="H74" s="5">
        <v>11</v>
      </c>
      <c r="I74" s="5">
        <v>1</v>
      </c>
    </row>
    <row r="75" spans="1:9" ht="15" hidden="1" customHeight="1" x14ac:dyDescent="0.35">
      <c r="A75" s="1" t="s">
        <v>71</v>
      </c>
      <c r="B75" s="1" t="s">
        <v>225</v>
      </c>
      <c r="C75" s="1" t="s">
        <v>332</v>
      </c>
      <c r="D75" s="1" t="s">
        <v>452</v>
      </c>
      <c r="E75" s="1" t="s">
        <v>623</v>
      </c>
      <c r="F75" s="1" t="s">
        <v>722</v>
      </c>
      <c r="G75" s="5">
        <v>1</v>
      </c>
      <c r="H75" s="5">
        <v>6</v>
      </c>
      <c r="I75" s="5">
        <v>1</v>
      </c>
    </row>
    <row r="76" spans="1:9" ht="15" hidden="1" customHeight="1" x14ac:dyDescent="0.35">
      <c r="A76" s="1" t="s">
        <v>72</v>
      </c>
      <c r="B76" s="1" t="s">
        <v>226</v>
      </c>
      <c r="C76" s="1" t="s">
        <v>250</v>
      </c>
      <c r="D76" s="1" t="s">
        <v>453</v>
      </c>
      <c r="E76" s="1" t="s">
        <v>624</v>
      </c>
      <c r="F76" s="1" t="s">
        <v>722</v>
      </c>
      <c r="G76" s="5">
        <v>3</v>
      </c>
      <c r="H76" s="5">
        <v>47</v>
      </c>
      <c r="I76" s="5">
        <v>3</v>
      </c>
    </row>
    <row r="77" spans="1:9" ht="15" hidden="1" customHeight="1" x14ac:dyDescent="0.35">
      <c r="A77" s="1" t="s">
        <v>73</v>
      </c>
      <c r="B77" s="1" t="s">
        <v>227</v>
      </c>
      <c r="C77" s="1" t="s">
        <v>205</v>
      </c>
      <c r="D77" s="1" t="s">
        <v>454</v>
      </c>
      <c r="E77" s="1" t="s">
        <v>625</v>
      </c>
      <c r="F77" s="1" t="s">
        <v>722</v>
      </c>
      <c r="G77" s="5">
        <v>1</v>
      </c>
      <c r="H77" s="5">
        <v>18</v>
      </c>
      <c r="I77" s="5">
        <v>1</v>
      </c>
    </row>
    <row r="78" spans="1:9" ht="15" hidden="1" customHeight="1" x14ac:dyDescent="0.35">
      <c r="A78" s="1" t="s">
        <v>74</v>
      </c>
      <c r="B78" s="1" t="s">
        <v>228</v>
      </c>
      <c r="C78" s="1" t="s">
        <v>333</v>
      </c>
      <c r="D78" s="1" t="s">
        <v>455</v>
      </c>
      <c r="E78" s="1" t="s">
        <v>626</v>
      </c>
      <c r="F78" s="1" t="s">
        <v>721</v>
      </c>
      <c r="G78" s="5">
        <v>2</v>
      </c>
      <c r="H78" s="5">
        <v>39</v>
      </c>
      <c r="I78" s="5">
        <v>2</v>
      </c>
    </row>
    <row r="79" spans="1:9" ht="15" hidden="1" customHeight="1" x14ac:dyDescent="0.35">
      <c r="A79" s="1" t="s">
        <v>75</v>
      </c>
      <c r="B79" s="1" t="s">
        <v>200</v>
      </c>
      <c r="C79" s="1" t="s">
        <v>334</v>
      </c>
      <c r="D79" s="1" t="s">
        <v>456</v>
      </c>
      <c r="E79" s="1" t="s">
        <v>627</v>
      </c>
      <c r="F79" s="1" t="s">
        <v>722</v>
      </c>
      <c r="G79" s="5">
        <v>1</v>
      </c>
      <c r="H79" s="5">
        <v>13</v>
      </c>
      <c r="I79" s="5">
        <v>1</v>
      </c>
    </row>
    <row r="80" spans="1:9" ht="15" hidden="1" customHeight="1" x14ac:dyDescent="0.35">
      <c r="A80" s="1" t="s">
        <v>76</v>
      </c>
      <c r="B80" s="1" t="s">
        <v>229</v>
      </c>
      <c r="C80" s="1" t="s">
        <v>228</v>
      </c>
      <c r="D80" s="1" t="s">
        <v>457</v>
      </c>
      <c r="E80" s="1" t="s">
        <v>628</v>
      </c>
      <c r="F80" s="1" t="s">
        <v>721</v>
      </c>
      <c r="G80" s="5">
        <v>7</v>
      </c>
      <c r="H80" s="5">
        <v>141</v>
      </c>
      <c r="I80" s="5">
        <v>7</v>
      </c>
    </row>
    <row r="81" spans="1:9" ht="15" hidden="1" customHeight="1" x14ac:dyDescent="0.35">
      <c r="A81" s="1" t="s">
        <v>77</v>
      </c>
      <c r="B81" s="1" t="s">
        <v>213</v>
      </c>
      <c r="C81" s="1" t="s">
        <v>335</v>
      </c>
      <c r="D81" s="1" t="s">
        <v>458</v>
      </c>
      <c r="E81" s="1" t="s">
        <v>629</v>
      </c>
      <c r="F81" s="1" t="s">
        <v>722</v>
      </c>
      <c r="G81" s="5">
        <v>1</v>
      </c>
      <c r="H81" s="5">
        <v>15</v>
      </c>
      <c r="I81" s="5">
        <v>1</v>
      </c>
    </row>
    <row r="82" spans="1:9" ht="15" hidden="1" customHeight="1" x14ac:dyDescent="0.35">
      <c r="A82" s="1" t="s">
        <v>78</v>
      </c>
      <c r="B82" s="1" t="s">
        <v>165</v>
      </c>
      <c r="C82" s="1" t="s">
        <v>336</v>
      </c>
      <c r="D82" s="1" t="s">
        <v>459</v>
      </c>
      <c r="E82" s="1" t="s">
        <v>630</v>
      </c>
      <c r="F82" s="1" t="s">
        <v>722</v>
      </c>
      <c r="G82" s="5">
        <v>6</v>
      </c>
      <c r="H82" s="5">
        <v>87</v>
      </c>
      <c r="I82" s="5">
        <v>6</v>
      </c>
    </row>
    <row r="83" spans="1:9" ht="15" hidden="1" customHeight="1" x14ac:dyDescent="0.35">
      <c r="A83" s="1" t="s">
        <v>79</v>
      </c>
      <c r="B83" s="1" t="s">
        <v>230</v>
      </c>
      <c r="C83" s="1" t="s">
        <v>209</v>
      </c>
      <c r="D83" s="1" t="s">
        <v>460</v>
      </c>
      <c r="E83" s="1" t="s">
        <v>631</v>
      </c>
      <c r="F83" s="1" t="s">
        <v>722</v>
      </c>
      <c r="G83" s="5">
        <v>1</v>
      </c>
      <c r="H83" s="5">
        <v>16</v>
      </c>
      <c r="I83" s="5">
        <v>1</v>
      </c>
    </row>
    <row r="84" spans="1:9" ht="15" hidden="1" customHeight="1" x14ac:dyDescent="0.35">
      <c r="A84" s="1" t="s">
        <v>80</v>
      </c>
      <c r="B84" s="1" t="s">
        <v>231</v>
      </c>
      <c r="C84" s="1" t="s">
        <v>337</v>
      </c>
      <c r="D84" s="1" t="s">
        <v>461</v>
      </c>
      <c r="E84" s="1" t="s">
        <v>632</v>
      </c>
      <c r="F84" s="1" t="s">
        <v>722</v>
      </c>
      <c r="G84" s="5">
        <v>2</v>
      </c>
      <c r="H84" s="5">
        <v>26</v>
      </c>
      <c r="I84" s="5">
        <v>2</v>
      </c>
    </row>
    <row r="85" spans="1:9" ht="15" hidden="1" customHeight="1" x14ac:dyDescent="0.35">
      <c r="A85" s="1" t="s">
        <v>81</v>
      </c>
      <c r="B85" s="1" t="s">
        <v>232</v>
      </c>
      <c r="C85" s="1" t="s">
        <v>338</v>
      </c>
      <c r="D85" s="1" t="s">
        <v>462</v>
      </c>
      <c r="E85" s="1" t="s">
        <v>633</v>
      </c>
      <c r="F85" s="1" t="s">
        <v>722</v>
      </c>
      <c r="G85" s="5">
        <v>2</v>
      </c>
      <c r="H85" s="5">
        <v>24</v>
      </c>
      <c r="I85" s="5">
        <v>2</v>
      </c>
    </row>
    <row r="86" spans="1:9" ht="15" hidden="1" customHeight="1" x14ac:dyDescent="0.35">
      <c r="A86" s="1" t="s">
        <v>82</v>
      </c>
      <c r="B86" s="1" t="s">
        <v>171</v>
      </c>
      <c r="C86" s="1" t="s">
        <v>215</v>
      </c>
      <c r="D86" s="1" t="s">
        <v>463</v>
      </c>
      <c r="E86" s="1" t="s">
        <v>634</v>
      </c>
      <c r="F86" s="1" t="s">
        <v>722</v>
      </c>
      <c r="G86" s="5">
        <v>1</v>
      </c>
      <c r="H86" s="5">
        <v>20</v>
      </c>
      <c r="I86" s="5">
        <v>1</v>
      </c>
    </row>
    <row r="87" spans="1:9" ht="15" hidden="1" customHeight="1" x14ac:dyDescent="0.35">
      <c r="A87" s="1" t="s">
        <v>83</v>
      </c>
      <c r="B87" s="1" t="s">
        <v>233</v>
      </c>
      <c r="C87" s="1" t="s">
        <v>176</v>
      </c>
      <c r="D87" s="1" t="s">
        <v>464</v>
      </c>
      <c r="E87" s="1" t="s">
        <v>635</v>
      </c>
      <c r="F87" s="1" t="s">
        <v>722</v>
      </c>
      <c r="G87" s="5">
        <v>2</v>
      </c>
      <c r="H87" s="5">
        <v>39</v>
      </c>
      <c r="I87" s="5">
        <v>2</v>
      </c>
    </row>
    <row r="88" spans="1:9" ht="15" hidden="1" customHeight="1" x14ac:dyDescent="0.35">
      <c r="A88" s="1" t="s">
        <v>84</v>
      </c>
      <c r="B88" s="1" t="s">
        <v>234</v>
      </c>
      <c r="C88" s="1" t="s">
        <v>339</v>
      </c>
      <c r="D88" s="1" t="s">
        <v>465</v>
      </c>
      <c r="E88" s="1" t="s">
        <v>636</v>
      </c>
      <c r="F88" s="1" t="s">
        <v>722</v>
      </c>
      <c r="G88" s="5">
        <v>2</v>
      </c>
      <c r="H88" s="5">
        <v>27</v>
      </c>
      <c r="I88" s="5">
        <v>2</v>
      </c>
    </row>
    <row r="89" spans="1:9" ht="15" hidden="1" customHeight="1" x14ac:dyDescent="0.35">
      <c r="A89" s="1" t="s">
        <v>85</v>
      </c>
      <c r="B89" s="1" t="s">
        <v>235</v>
      </c>
      <c r="C89" s="1" t="s">
        <v>340</v>
      </c>
      <c r="D89" s="1" t="s">
        <v>466</v>
      </c>
      <c r="E89" s="1" t="s">
        <v>637</v>
      </c>
      <c r="F89" s="1" t="s">
        <v>722</v>
      </c>
      <c r="G89" s="5">
        <v>2</v>
      </c>
      <c r="H89" s="5">
        <v>39</v>
      </c>
      <c r="I89" s="5">
        <v>2</v>
      </c>
    </row>
    <row r="90" spans="1:9" ht="15" hidden="1" customHeight="1" x14ac:dyDescent="0.35">
      <c r="A90" s="1" t="s">
        <v>86</v>
      </c>
      <c r="B90" s="1" t="s">
        <v>173</v>
      </c>
      <c r="C90" s="1" t="s">
        <v>287</v>
      </c>
      <c r="D90" s="1" t="s">
        <v>467</v>
      </c>
      <c r="E90" s="1" t="s">
        <v>638</v>
      </c>
      <c r="F90" s="1" t="s">
        <v>722</v>
      </c>
      <c r="G90" s="5">
        <v>2</v>
      </c>
      <c r="H90" s="5">
        <v>20</v>
      </c>
      <c r="I90" s="5">
        <v>2</v>
      </c>
    </row>
    <row r="91" spans="1:9" ht="15" hidden="1" customHeight="1" x14ac:dyDescent="0.35">
      <c r="A91" s="1" t="s">
        <v>87</v>
      </c>
      <c r="B91" s="1" t="s">
        <v>208</v>
      </c>
      <c r="C91" s="1" t="s">
        <v>235</v>
      </c>
      <c r="D91" s="1" t="s">
        <v>468</v>
      </c>
      <c r="E91" s="1" t="s">
        <v>639</v>
      </c>
      <c r="F91" s="1" t="s">
        <v>722</v>
      </c>
      <c r="G91" s="5">
        <v>2</v>
      </c>
      <c r="H91" s="5">
        <v>21</v>
      </c>
      <c r="I91" s="5">
        <v>2</v>
      </c>
    </row>
    <row r="92" spans="1:9" ht="15" hidden="1" customHeight="1" x14ac:dyDescent="0.35">
      <c r="A92" s="1" t="s">
        <v>88</v>
      </c>
      <c r="B92" s="1" t="s">
        <v>200</v>
      </c>
      <c r="C92" s="1" t="s">
        <v>258</v>
      </c>
      <c r="D92" s="1" t="s">
        <v>469</v>
      </c>
      <c r="E92" s="1" t="s">
        <v>640</v>
      </c>
      <c r="F92" s="1" t="s">
        <v>722</v>
      </c>
      <c r="G92" s="5">
        <v>2</v>
      </c>
      <c r="H92" s="5">
        <v>62</v>
      </c>
      <c r="I92" s="5">
        <v>2</v>
      </c>
    </row>
    <row r="93" spans="1:9" ht="15" hidden="1" customHeight="1" x14ac:dyDescent="0.35">
      <c r="A93" s="1" t="s">
        <v>89</v>
      </c>
      <c r="B93" s="1" t="s">
        <v>236</v>
      </c>
      <c r="C93" s="1" t="s">
        <v>198</v>
      </c>
      <c r="D93" s="1" t="s">
        <v>470</v>
      </c>
      <c r="E93" s="1" t="s">
        <v>641</v>
      </c>
      <c r="F93" s="1" t="s">
        <v>722</v>
      </c>
      <c r="G93" s="5">
        <v>4</v>
      </c>
      <c r="H93" s="5">
        <v>76</v>
      </c>
      <c r="I93" s="5">
        <v>4</v>
      </c>
    </row>
    <row r="94" spans="1:9" ht="15" hidden="1" customHeight="1" x14ac:dyDescent="0.35">
      <c r="A94" s="1" t="s">
        <v>90</v>
      </c>
      <c r="B94" s="1" t="s">
        <v>171</v>
      </c>
      <c r="C94" s="1" t="s">
        <v>341</v>
      </c>
      <c r="D94" s="1" t="s">
        <v>471</v>
      </c>
      <c r="E94" s="1" t="s">
        <v>642</v>
      </c>
      <c r="F94" s="1" t="s">
        <v>722</v>
      </c>
      <c r="G94" s="5">
        <v>1</v>
      </c>
      <c r="H94" s="5">
        <v>18</v>
      </c>
      <c r="I94" s="5">
        <v>1</v>
      </c>
    </row>
    <row r="95" spans="1:9" ht="15" hidden="1" customHeight="1" x14ac:dyDescent="0.35">
      <c r="A95" s="1" t="s">
        <v>91</v>
      </c>
      <c r="B95" s="1" t="s">
        <v>237</v>
      </c>
      <c r="C95" s="1" t="s">
        <v>342</v>
      </c>
      <c r="D95" s="1" t="s">
        <v>472</v>
      </c>
      <c r="E95" s="1" t="s">
        <v>643</v>
      </c>
      <c r="F95" s="1" t="s">
        <v>722</v>
      </c>
      <c r="G95" s="5">
        <v>3</v>
      </c>
      <c r="H95" s="5">
        <v>26</v>
      </c>
      <c r="I95" s="5">
        <v>3</v>
      </c>
    </row>
    <row r="96" spans="1:9" ht="15" hidden="1" customHeight="1" x14ac:dyDescent="0.35">
      <c r="A96" s="1" t="s">
        <v>92</v>
      </c>
      <c r="B96" s="1" t="s">
        <v>238</v>
      </c>
      <c r="C96" s="1" t="s">
        <v>343</v>
      </c>
      <c r="D96" s="1" t="s">
        <v>473</v>
      </c>
      <c r="E96" s="1" t="s">
        <v>644</v>
      </c>
      <c r="F96" s="1" t="s">
        <v>722</v>
      </c>
      <c r="G96" s="5">
        <v>1</v>
      </c>
      <c r="H96" s="5">
        <v>13</v>
      </c>
      <c r="I96" s="5">
        <v>1</v>
      </c>
    </row>
    <row r="97" spans="1:9" ht="15" hidden="1" customHeight="1" x14ac:dyDescent="0.35">
      <c r="A97" s="1" t="s">
        <v>93</v>
      </c>
      <c r="B97" s="1" t="s">
        <v>239</v>
      </c>
      <c r="C97" s="1" t="s">
        <v>344</v>
      </c>
      <c r="D97" s="1" t="s">
        <v>474</v>
      </c>
      <c r="E97" s="1" t="s">
        <v>645</v>
      </c>
      <c r="F97" s="1" t="s">
        <v>722</v>
      </c>
      <c r="G97" s="5">
        <v>2</v>
      </c>
      <c r="H97" s="5">
        <v>16</v>
      </c>
      <c r="I97" s="5">
        <v>2</v>
      </c>
    </row>
    <row r="98" spans="1:9" ht="15" hidden="1" customHeight="1" x14ac:dyDescent="0.35">
      <c r="A98" s="1" t="s">
        <v>94</v>
      </c>
      <c r="B98" s="1" t="s">
        <v>205</v>
      </c>
      <c r="C98" s="1" t="s">
        <v>345</v>
      </c>
      <c r="D98" s="1" t="s">
        <v>475</v>
      </c>
      <c r="E98" s="1" t="s">
        <v>646</v>
      </c>
      <c r="F98" s="1" t="s">
        <v>722</v>
      </c>
      <c r="G98" s="5">
        <v>4</v>
      </c>
      <c r="H98" s="5">
        <v>52</v>
      </c>
      <c r="I98" s="5">
        <v>3</v>
      </c>
    </row>
    <row r="99" spans="1:9" ht="15" hidden="1" customHeight="1" x14ac:dyDescent="0.35">
      <c r="A99" s="2" t="s">
        <v>95</v>
      </c>
      <c r="B99" s="1" t="s">
        <v>240</v>
      </c>
      <c r="C99" s="1" t="s">
        <v>346</v>
      </c>
      <c r="D99" s="1" t="s">
        <v>476</v>
      </c>
      <c r="E99" s="1" t="s">
        <v>647</v>
      </c>
      <c r="F99" s="1" t="s">
        <v>722</v>
      </c>
      <c r="G99" s="5">
        <v>2</v>
      </c>
      <c r="H99" s="5">
        <v>39</v>
      </c>
      <c r="I99" s="5">
        <v>2</v>
      </c>
    </row>
    <row r="100" spans="1:9" ht="15" hidden="1" customHeight="1" x14ac:dyDescent="0.35">
      <c r="A100" s="7"/>
      <c r="B100" s="1" t="s">
        <v>171</v>
      </c>
      <c r="C100" s="1" t="s">
        <v>178</v>
      </c>
      <c r="D100" s="1" t="s">
        <v>477</v>
      </c>
      <c r="E100" s="1" t="s">
        <v>648</v>
      </c>
      <c r="F100" s="1" t="s">
        <v>722</v>
      </c>
      <c r="G100" s="5">
        <v>1</v>
      </c>
      <c r="H100" s="5">
        <v>34</v>
      </c>
      <c r="I100" s="5">
        <v>1</v>
      </c>
    </row>
    <row r="101" spans="1:9" ht="15" hidden="1" customHeight="1" x14ac:dyDescent="0.35">
      <c r="A101" s="7"/>
      <c r="B101" s="1" t="s">
        <v>241</v>
      </c>
      <c r="C101" s="1" t="s">
        <v>347</v>
      </c>
      <c r="D101" s="1" t="s">
        <v>478</v>
      </c>
      <c r="E101" s="1" t="s">
        <v>649</v>
      </c>
      <c r="F101" s="1" t="s">
        <v>722</v>
      </c>
      <c r="G101" s="5">
        <v>3</v>
      </c>
      <c r="H101" s="5">
        <v>51</v>
      </c>
      <c r="I101" s="5">
        <v>3</v>
      </c>
    </row>
    <row r="102" spans="1:9" ht="15" hidden="1" customHeight="1" x14ac:dyDescent="0.35">
      <c r="A102" s="1" t="s">
        <v>96</v>
      </c>
      <c r="B102" s="1" t="s">
        <v>212</v>
      </c>
      <c r="C102" s="1" t="s">
        <v>315</v>
      </c>
      <c r="D102" s="1" t="s">
        <v>479</v>
      </c>
      <c r="E102" s="1" t="s">
        <v>650</v>
      </c>
      <c r="F102" s="1" t="s">
        <v>722</v>
      </c>
      <c r="G102" s="5">
        <v>4</v>
      </c>
      <c r="H102" s="5">
        <v>70</v>
      </c>
      <c r="I102" s="5">
        <v>4</v>
      </c>
    </row>
    <row r="103" spans="1:9" ht="15" hidden="1" customHeight="1" x14ac:dyDescent="0.35">
      <c r="A103" s="2" t="s">
        <v>97</v>
      </c>
      <c r="B103" s="1" t="s">
        <v>242</v>
      </c>
      <c r="C103" s="1" t="s">
        <v>203</v>
      </c>
      <c r="D103" s="1" t="s">
        <v>480</v>
      </c>
      <c r="E103" s="1" t="s">
        <v>651</v>
      </c>
      <c r="F103" s="1" t="s">
        <v>722</v>
      </c>
      <c r="G103" s="5">
        <v>2</v>
      </c>
      <c r="H103" s="5">
        <v>55</v>
      </c>
      <c r="I103" s="5">
        <v>2</v>
      </c>
    </row>
    <row r="104" spans="1:9" ht="15" hidden="1" customHeight="1" x14ac:dyDescent="0.35">
      <c r="A104" s="3"/>
      <c r="B104" s="1" t="s">
        <v>243</v>
      </c>
      <c r="C104" s="1" t="s">
        <v>348</v>
      </c>
      <c r="D104" s="1" t="s">
        <v>481</v>
      </c>
      <c r="E104" s="1" t="s">
        <v>652</v>
      </c>
      <c r="F104" s="1" t="s">
        <v>722</v>
      </c>
      <c r="G104" s="5">
        <v>1</v>
      </c>
      <c r="H104" s="5">
        <v>22</v>
      </c>
      <c r="I104" s="5">
        <v>1</v>
      </c>
    </row>
    <row r="105" spans="1:9" ht="15" hidden="1" customHeight="1" x14ac:dyDescent="0.35">
      <c r="A105" s="1" t="s">
        <v>98</v>
      </c>
      <c r="B105" s="1" t="s">
        <v>200</v>
      </c>
      <c r="C105" s="1" t="s">
        <v>349</v>
      </c>
      <c r="D105" s="1" t="s">
        <v>482</v>
      </c>
      <c r="E105" s="1" t="s">
        <v>653</v>
      </c>
      <c r="F105" s="1" t="s">
        <v>722</v>
      </c>
      <c r="G105" s="5">
        <v>3</v>
      </c>
      <c r="H105" s="5">
        <v>69</v>
      </c>
      <c r="I105" s="5">
        <v>3</v>
      </c>
    </row>
    <row r="106" spans="1:9" ht="15" hidden="1" customHeight="1" x14ac:dyDescent="0.35">
      <c r="A106" s="1" t="s">
        <v>99</v>
      </c>
      <c r="B106" s="1" t="s">
        <v>244</v>
      </c>
      <c r="C106" s="1" t="s">
        <v>209</v>
      </c>
      <c r="D106" s="1" t="s">
        <v>483</v>
      </c>
      <c r="E106" s="1" t="s">
        <v>654</v>
      </c>
      <c r="F106" s="1" t="s">
        <v>721</v>
      </c>
      <c r="G106" s="5">
        <v>2</v>
      </c>
      <c r="H106" s="5">
        <v>20</v>
      </c>
      <c r="I106" s="5">
        <v>2</v>
      </c>
    </row>
    <row r="107" spans="1:9" ht="15" hidden="1" customHeight="1" x14ac:dyDescent="0.35">
      <c r="A107" s="1" t="s">
        <v>100</v>
      </c>
      <c r="B107" s="1" t="s">
        <v>245</v>
      </c>
      <c r="C107" s="1" t="s">
        <v>200</v>
      </c>
      <c r="D107" s="1" t="s">
        <v>484</v>
      </c>
      <c r="E107" s="1" t="s">
        <v>655</v>
      </c>
      <c r="F107" s="1" t="s">
        <v>721</v>
      </c>
      <c r="G107" s="5">
        <v>1</v>
      </c>
      <c r="H107" s="5">
        <v>13</v>
      </c>
      <c r="I107" s="5">
        <v>1</v>
      </c>
    </row>
    <row r="108" spans="1:9" ht="15" hidden="1" customHeight="1" x14ac:dyDescent="0.35">
      <c r="A108" s="1" t="s">
        <v>101</v>
      </c>
      <c r="B108" s="1" t="s">
        <v>246</v>
      </c>
      <c r="C108" s="1" t="s">
        <v>165</v>
      </c>
      <c r="D108" s="1" t="s">
        <v>485</v>
      </c>
      <c r="E108" s="1" t="s">
        <v>656</v>
      </c>
      <c r="F108" s="1" t="s">
        <v>721</v>
      </c>
      <c r="G108" s="5">
        <v>1</v>
      </c>
      <c r="H108" s="5">
        <v>13</v>
      </c>
      <c r="I108" s="5">
        <v>1</v>
      </c>
    </row>
    <row r="109" spans="1:9" ht="15" hidden="1" customHeight="1" x14ac:dyDescent="0.35">
      <c r="A109" s="1" t="s">
        <v>102</v>
      </c>
      <c r="B109" s="1" t="s">
        <v>247</v>
      </c>
      <c r="C109" s="1" t="s">
        <v>350</v>
      </c>
      <c r="D109" s="1" t="s">
        <v>486</v>
      </c>
      <c r="E109" s="1" t="s">
        <v>657</v>
      </c>
      <c r="F109" s="1" t="s">
        <v>721</v>
      </c>
      <c r="G109" s="5">
        <v>1</v>
      </c>
      <c r="H109" s="5">
        <v>7</v>
      </c>
      <c r="I109" s="5">
        <v>1</v>
      </c>
    </row>
    <row r="110" spans="1:9" ht="15" hidden="1" customHeight="1" x14ac:dyDescent="0.35">
      <c r="A110" s="1" t="s">
        <v>103</v>
      </c>
      <c r="B110" s="1" t="s">
        <v>248</v>
      </c>
      <c r="C110" s="1" t="s">
        <v>351</v>
      </c>
      <c r="D110" s="1" t="s">
        <v>487</v>
      </c>
      <c r="E110" s="1" t="s">
        <v>658</v>
      </c>
      <c r="F110" s="1" t="s">
        <v>721</v>
      </c>
      <c r="G110" s="5">
        <v>1</v>
      </c>
      <c r="H110" s="5">
        <v>7</v>
      </c>
      <c r="I110" s="5">
        <v>1</v>
      </c>
    </row>
    <row r="111" spans="1:9" ht="15" hidden="1" customHeight="1" x14ac:dyDescent="0.35">
      <c r="A111" s="1" t="s">
        <v>104</v>
      </c>
      <c r="B111" s="1" t="s">
        <v>249</v>
      </c>
      <c r="C111" s="1" t="s">
        <v>352</v>
      </c>
      <c r="D111" s="1" t="s">
        <v>488</v>
      </c>
      <c r="E111" s="1" t="s">
        <v>659</v>
      </c>
      <c r="F111" s="1" t="s">
        <v>721</v>
      </c>
      <c r="G111" s="5">
        <v>2</v>
      </c>
      <c r="H111" s="5">
        <v>46</v>
      </c>
      <c r="I111" s="5">
        <v>2</v>
      </c>
    </row>
    <row r="112" spans="1:9" ht="15" hidden="1" customHeight="1" x14ac:dyDescent="0.35">
      <c r="A112" s="1" t="s">
        <v>105</v>
      </c>
      <c r="B112" s="1" t="s">
        <v>178</v>
      </c>
      <c r="C112" s="1" t="s">
        <v>353</v>
      </c>
      <c r="D112" s="1" t="s">
        <v>489</v>
      </c>
      <c r="E112" s="1" t="s">
        <v>660</v>
      </c>
      <c r="F112" s="1" t="s">
        <v>722</v>
      </c>
      <c r="G112" s="5">
        <v>1</v>
      </c>
      <c r="H112" s="5">
        <v>21</v>
      </c>
      <c r="I112" s="5">
        <v>1</v>
      </c>
    </row>
    <row r="113" spans="1:9" ht="15" hidden="1" customHeight="1" x14ac:dyDescent="0.35">
      <c r="A113" s="1" t="s">
        <v>106</v>
      </c>
      <c r="B113" s="1" t="s">
        <v>250</v>
      </c>
      <c r="C113" s="1" t="s">
        <v>165</v>
      </c>
      <c r="D113" s="1" t="s">
        <v>490</v>
      </c>
      <c r="E113" s="1" t="s">
        <v>661</v>
      </c>
      <c r="F113" s="1" t="s">
        <v>721</v>
      </c>
      <c r="G113" s="5">
        <v>1</v>
      </c>
      <c r="H113" s="5">
        <v>13</v>
      </c>
      <c r="I113" s="5">
        <v>1</v>
      </c>
    </row>
    <row r="114" spans="1:9" ht="15" hidden="1" customHeight="1" x14ac:dyDescent="0.35">
      <c r="A114" s="1" t="s">
        <v>107</v>
      </c>
      <c r="B114" s="1" t="s">
        <v>250</v>
      </c>
      <c r="C114" s="1" t="s">
        <v>270</v>
      </c>
      <c r="D114" s="1" t="s">
        <v>491</v>
      </c>
      <c r="E114" s="1" t="s">
        <v>662</v>
      </c>
      <c r="F114" s="1" t="s">
        <v>721</v>
      </c>
      <c r="G114" s="5">
        <v>2</v>
      </c>
      <c r="H114" s="5">
        <v>45</v>
      </c>
      <c r="I114" s="5">
        <v>2</v>
      </c>
    </row>
    <row r="115" spans="1:9" ht="15" hidden="1" customHeight="1" x14ac:dyDescent="0.35">
      <c r="A115" s="1" t="s">
        <v>108</v>
      </c>
      <c r="B115" s="1" t="s">
        <v>173</v>
      </c>
      <c r="C115" s="1" t="s">
        <v>354</v>
      </c>
      <c r="D115" s="1" t="s">
        <v>492</v>
      </c>
      <c r="E115" s="1" t="s">
        <v>663</v>
      </c>
      <c r="F115" s="1" t="s">
        <v>721</v>
      </c>
      <c r="G115" s="5">
        <v>1</v>
      </c>
      <c r="H115" s="5">
        <v>12</v>
      </c>
      <c r="I115" s="5">
        <v>1</v>
      </c>
    </row>
    <row r="116" spans="1:9" ht="15" hidden="1" customHeight="1" x14ac:dyDescent="0.35">
      <c r="A116" s="1" t="s">
        <v>109</v>
      </c>
      <c r="B116" s="1" t="s">
        <v>251</v>
      </c>
      <c r="C116" s="1" t="s">
        <v>355</v>
      </c>
      <c r="D116" s="1" t="s">
        <v>493</v>
      </c>
      <c r="E116" s="1" t="s">
        <v>664</v>
      </c>
      <c r="F116" s="1" t="s">
        <v>721</v>
      </c>
      <c r="G116" s="5">
        <v>1</v>
      </c>
      <c r="H116" s="5">
        <v>7</v>
      </c>
      <c r="I116" s="5">
        <v>1</v>
      </c>
    </row>
    <row r="117" spans="1:9" ht="15" hidden="1" customHeight="1" x14ac:dyDescent="0.35">
      <c r="A117" s="1" t="s">
        <v>110</v>
      </c>
      <c r="B117" s="1" t="s">
        <v>252</v>
      </c>
      <c r="C117" s="1" t="s">
        <v>209</v>
      </c>
      <c r="D117" s="1" t="s">
        <v>494</v>
      </c>
      <c r="E117" s="1" t="s">
        <v>665</v>
      </c>
      <c r="F117" s="1" t="s">
        <v>722</v>
      </c>
      <c r="G117" s="5">
        <v>1</v>
      </c>
      <c r="H117" s="5">
        <v>7</v>
      </c>
      <c r="I117" s="5">
        <v>1</v>
      </c>
    </row>
    <row r="118" spans="1:9" ht="15" hidden="1" customHeight="1" x14ac:dyDescent="0.35">
      <c r="A118" s="1" t="s">
        <v>111</v>
      </c>
      <c r="B118" s="1" t="s">
        <v>253</v>
      </c>
      <c r="C118" s="1" t="s">
        <v>356</v>
      </c>
      <c r="D118" s="1" t="s">
        <v>495</v>
      </c>
      <c r="E118" s="1" t="s">
        <v>666</v>
      </c>
      <c r="F118" s="1" t="s">
        <v>722</v>
      </c>
      <c r="G118" s="5">
        <v>1.4</v>
      </c>
      <c r="H118" s="5">
        <v>12</v>
      </c>
      <c r="I118" s="5">
        <v>1</v>
      </c>
    </row>
    <row r="119" spans="1:9" ht="15" hidden="1" customHeight="1" x14ac:dyDescent="0.35">
      <c r="A119" s="1" t="s">
        <v>112</v>
      </c>
      <c r="B119" s="1" t="s">
        <v>164</v>
      </c>
      <c r="C119" s="1" t="s">
        <v>208</v>
      </c>
      <c r="D119" s="1" t="s">
        <v>496</v>
      </c>
      <c r="E119" s="1" t="s">
        <v>667</v>
      </c>
      <c r="F119" s="1" t="s">
        <v>722</v>
      </c>
      <c r="G119" s="5">
        <v>2</v>
      </c>
      <c r="H119" s="5">
        <v>12</v>
      </c>
      <c r="I119" s="5">
        <v>2</v>
      </c>
    </row>
    <row r="120" spans="1:9" ht="15" hidden="1" customHeight="1" x14ac:dyDescent="0.35">
      <c r="A120" s="1" t="s">
        <v>113</v>
      </c>
      <c r="B120" s="1" t="s">
        <v>254</v>
      </c>
      <c r="C120" s="1" t="s">
        <v>215</v>
      </c>
      <c r="D120" s="1" t="s">
        <v>497</v>
      </c>
      <c r="E120" s="1" t="s">
        <v>668</v>
      </c>
      <c r="F120" s="1" t="s">
        <v>722</v>
      </c>
      <c r="G120" s="5">
        <v>1</v>
      </c>
      <c r="H120" s="5">
        <v>7</v>
      </c>
      <c r="I120" s="5">
        <v>1</v>
      </c>
    </row>
    <row r="121" spans="1:9" ht="15" hidden="1" customHeight="1" x14ac:dyDescent="0.35">
      <c r="A121" s="1" t="s">
        <v>114</v>
      </c>
      <c r="B121" s="1" t="s">
        <v>171</v>
      </c>
      <c r="C121" s="1" t="s">
        <v>357</v>
      </c>
      <c r="D121" s="1" t="s">
        <v>498</v>
      </c>
      <c r="E121" s="1" t="s">
        <v>669</v>
      </c>
      <c r="F121" s="1" t="s">
        <v>722</v>
      </c>
      <c r="G121" s="5">
        <v>1</v>
      </c>
      <c r="H121" s="5">
        <v>7</v>
      </c>
      <c r="I121" s="5">
        <v>1</v>
      </c>
    </row>
    <row r="122" spans="1:9" ht="15" hidden="1" customHeight="1" x14ac:dyDescent="0.35">
      <c r="A122" s="1" t="s">
        <v>115</v>
      </c>
      <c r="B122" s="1" t="s">
        <v>255</v>
      </c>
      <c r="C122" s="1" t="s">
        <v>164</v>
      </c>
      <c r="D122" s="1" t="s">
        <v>499</v>
      </c>
      <c r="E122" s="1" t="s">
        <v>670</v>
      </c>
      <c r="F122" s="1" t="s">
        <v>722</v>
      </c>
      <c r="G122" s="5">
        <v>1</v>
      </c>
      <c r="H122" s="5">
        <v>22</v>
      </c>
      <c r="I122" s="5">
        <v>1</v>
      </c>
    </row>
    <row r="123" spans="1:9" ht="15" hidden="1" customHeight="1" x14ac:dyDescent="0.35">
      <c r="A123" s="1" t="s">
        <v>116</v>
      </c>
      <c r="B123" s="1" t="s">
        <v>256</v>
      </c>
      <c r="C123" s="1" t="s">
        <v>215</v>
      </c>
      <c r="D123" s="1" t="s">
        <v>500</v>
      </c>
      <c r="E123" s="1" t="s">
        <v>671</v>
      </c>
      <c r="F123" s="1" t="s">
        <v>721</v>
      </c>
      <c r="G123" s="5">
        <v>1</v>
      </c>
      <c r="H123" s="5">
        <v>6</v>
      </c>
      <c r="I123" s="5">
        <v>1</v>
      </c>
    </row>
    <row r="124" spans="1:9" ht="15" hidden="1" customHeight="1" x14ac:dyDescent="0.35">
      <c r="A124" s="1" t="s">
        <v>117</v>
      </c>
      <c r="B124" s="1" t="s">
        <v>200</v>
      </c>
      <c r="C124" s="1" t="s">
        <v>320</v>
      </c>
      <c r="D124" s="1" t="s">
        <v>501</v>
      </c>
      <c r="E124" s="1" t="s">
        <v>672</v>
      </c>
      <c r="F124" s="1" t="s">
        <v>721</v>
      </c>
      <c r="G124" s="5">
        <v>1</v>
      </c>
      <c r="H124" s="5">
        <v>22</v>
      </c>
      <c r="I124" s="5">
        <v>1</v>
      </c>
    </row>
    <row r="125" spans="1:9" ht="15" hidden="1" customHeight="1" x14ac:dyDescent="0.35">
      <c r="A125" s="1" t="s">
        <v>118</v>
      </c>
      <c r="B125" s="1" t="s">
        <v>257</v>
      </c>
      <c r="C125" s="1" t="s">
        <v>218</v>
      </c>
      <c r="D125" s="1" t="s">
        <v>502</v>
      </c>
      <c r="E125" s="1" t="s">
        <v>673</v>
      </c>
      <c r="F125" s="1" t="s">
        <v>721</v>
      </c>
      <c r="G125" s="5">
        <v>1</v>
      </c>
      <c r="H125" s="5">
        <v>5</v>
      </c>
      <c r="I125" s="5">
        <v>1</v>
      </c>
    </row>
    <row r="126" spans="1:9" ht="15" hidden="1" customHeight="1" x14ac:dyDescent="0.35">
      <c r="A126" s="1" t="s">
        <v>119</v>
      </c>
      <c r="B126" s="1" t="s">
        <v>258</v>
      </c>
      <c r="C126" s="1" t="s">
        <v>358</v>
      </c>
      <c r="D126" s="1" t="s">
        <v>503</v>
      </c>
      <c r="E126" s="1" t="s">
        <v>674</v>
      </c>
      <c r="F126" s="1" t="s">
        <v>721</v>
      </c>
      <c r="G126" s="5">
        <v>1</v>
      </c>
      <c r="H126" s="5">
        <v>12</v>
      </c>
      <c r="I126" s="5">
        <v>1</v>
      </c>
    </row>
    <row r="127" spans="1:9" ht="15" hidden="1" customHeight="1" x14ac:dyDescent="0.35">
      <c r="A127" s="1" t="s">
        <v>120</v>
      </c>
      <c r="B127" s="1" t="s">
        <v>259</v>
      </c>
      <c r="C127" s="1" t="s">
        <v>176</v>
      </c>
      <c r="D127" s="1" t="s">
        <v>504</v>
      </c>
      <c r="E127" s="1" t="s">
        <v>675</v>
      </c>
      <c r="F127" s="1" t="s">
        <v>721</v>
      </c>
      <c r="G127" s="5">
        <v>3.3</v>
      </c>
      <c r="H127" s="5">
        <v>54</v>
      </c>
      <c r="I127" s="5">
        <v>3</v>
      </c>
    </row>
    <row r="128" spans="1:9" ht="15" hidden="1" customHeight="1" x14ac:dyDescent="0.35">
      <c r="A128" s="1" t="s">
        <v>121</v>
      </c>
      <c r="B128" s="1" t="s">
        <v>260</v>
      </c>
      <c r="C128" s="1" t="s">
        <v>205</v>
      </c>
      <c r="D128" s="1" t="s">
        <v>505</v>
      </c>
      <c r="E128" s="1" t="s">
        <v>676</v>
      </c>
      <c r="F128" s="1" t="s">
        <v>721</v>
      </c>
      <c r="G128" s="5">
        <v>4</v>
      </c>
      <c r="H128" s="5">
        <v>40</v>
      </c>
      <c r="I128" s="5">
        <v>4</v>
      </c>
    </row>
    <row r="129" spans="1:9" ht="15" hidden="1" customHeight="1" x14ac:dyDescent="0.35">
      <c r="A129" s="1" t="s">
        <v>122</v>
      </c>
      <c r="B129" s="1" t="s">
        <v>261</v>
      </c>
      <c r="C129" s="1" t="s">
        <v>359</v>
      </c>
      <c r="D129" s="1" t="s">
        <v>506</v>
      </c>
      <c r="E129" s="1" t="s">
        <v>677</v>
      </c>
      <c r="F129" s="1" t="s">
        <v>721</v>
      </c>
      <c r="G129" s="5">
        <v>2</v>
      </c>
      <c r="H129" s="5">
        <v>11</v>
      </c>
      <c r="I129" s="5">
        <v>2</v>
      </c>
    </row>
    <row r="130" spans="1:9" ht="15" hidden="1" customHeight="1" x14ac:dyDescent="0.35">
      <c r="A130" s="1" t="s">
        <v>123</v>
      </c>
      <c r="B130" s="1" t="s">
        <v>209</v>
      </c>
      <c r="C130" s="1" t="s">
        <v>360</v>
      </c>
      <c r="D130" s="1" t="s">
        <v>507</v>
      </c>
      <c r="E130" s="1" t="s">
        <v>678</v>
      </c>
      <c r="F130" s="1" t="s">
        <v>721</v>
      </c>
      <c r="G130" s="5">
        <v>1</v>
      </c>
      <c r="H130" s="5">
        <v>11</v>
      </c>
      <c r="I130" s="5">
        <v>1</v>
      </c>
    </row>
    <row r="131" spans="1:9" ht="15" hidden="1" customHeight="1" x14ac:dyDescent="0.35">
      <c r="A131" s="1" t="s">
        <v>124</v>
      </c>
      <c r="B131" s="1" t="s">
        <v>262</v>
      </c>
      <c r="C131" s="1" t="s">
        <v>345</v>
      </c>
      <c r="D131" s="1" t="s">
        <v>508</v>
      </c>
      <c r="E131" s="1" t="s">
        <v>679</v>
      </c>
      <c r="F131" s="1" t="s">
        <v>721</v>
      </c>
      <c r="G131" s="5">
        <v>5</v>
      </c>
      <c r="H131" s="5">
        <v>86</v>
      </c>
      <c r="I131" s="5">
        <v>5</v>
      </c>
    </row>
    <row r="132" spans="1:9" ht="15" hidden="1" customHeight="1" x14ac:dyDescent="0.35">
      <c r="A132" s="1" t="s">
        <v>125</v>
      </c>
      <c r="B132" s="1" t="s">
        <v>263</v>
      </c>
      <c r="C132" s="1" t="s">
        <v>361</v>
      </c>
      <c r="D132" s="1" t="s">
        <v>509</v>
      </c>
      <c r="E132" s="1" t="s">
        <v>680</v>
      </c>
      <c r="F132" s="1" t="s">
        <v>721</v>
      </c>
      <c r="G132" s="5">
        <v>1</v>
      </c>
      <c r="H132" s="5">
        <v>4</v>
      </c>
      <c r="I132" s="5">
        <v>1</v>
      </c>
    </row>
    <row r="133" spans="1:9" ht="15" hidden="1" customHeight="1" x14ac:dyDescent="0.35">
      <c r="A133" s="2" t="s">
        <v>126</v>
      </c>
      <c r="B133" s="1" t="s">
        <v>171</v>
      </c>
      <c r="C133" s="1" t="s">
        <v>362</v>
      </c>
      <c r="D133" s="1" t="s">
        <v>510</v>
      </c>
      <c r="E133" s="1" t="s">
        <v>681</v>
      </c>
      <c r="F133" s="1" t="s">
        <v>722</v>
      </c>
      <c r="G133" s="5">
        <v>2</v>
      </c>
      <c r="H133" s="5">
        <v>16</v>
      </c>
      <c r="I133" s="5">
        <v>2</v>
      </c>
    </row>
    <row r="134" spans="1:9" ht="15" hidden="1" customHeight="1" x14ac:dyDescent="0.35">
      <c r="A134" s="3"/>
      <c r="B134" s="1" t="s">
        <v>218</v>
      </c>
      <c r="C134" s="1" t="s">
        <v>328</v>
      </c>
      <c r="D134" s="1" t="s">
        <v>511</v>
      </c>
      <c r="E134" s="1" t="s">
        <v>682</v>
      </c>
      <c r="F134" s="1" t="s">
        <v>722</v>
      </c>
      <c r="G134" s="5">
        <v>2</v>
      </c>
      <c r="H134" s="5">
        <v>21</v>
      </c>
      <c r="I134" s="5">
        <v>2</v>
      </c>
    </row>
    <row r="135" spans="1:9" ht="15" hidden="1" customHeight="1" x14ac:dyDescent="0.35">
      <c r="A135" s="1" t="s">
        <v>127</v>
      </c>
      <c r="B135" s="1" t="s">
        <v>264</v>
      </c>
      <c r="C135" s="1" t="s">
        <v>215</v>
      </c>
      <c r="D135" s="1" t="s">
        <v>512</v>
      </c>
      <c r="E135" s="1" t="s">
        <v>683</v>
      </c>
      <c r="F135" s="1" t="s">
        <v>722</v>
      </c>
      <c r="G135" s="5">
        <v>1</v>
      </c>
      <c r="H135" s="5">
        <v>4</v>
      </c>
      <c r="I135" s="5">
        <v>1</v>
      </c>
    </row>
    <row r="136" spans="1:9" ht="15" hidden="1" customHeight="1" x14ac:dyDescent="0.35">
      <c r="A136" s="1" t="s">
        <v>128</v>
      </c>
      <c r="B136" s="1" t="s">
        <v>265</v>
      </c>
      <c r="C136" s="1" t="s">
        <v>363</v>
      </c>
      <c r="D136" s="1" t="s">
        <v>513</v>
      </c>
      <c r="E136" s="1" t="s">
        <v>684</v>
      </c>
      <c r="F136" s="1" t="s">
        <v>722</v>
      </c>
      <c r="G136" s="5">
        <v>5</v>
      </c>
      <c r="H136" s="5">
        <v>91</v>
      </c>
      <c r="I136" s="5">
        <v>5</v>
      </c>
    </row>
    <row r="137" spans="1:9" ht="15" hidden="1" customHeight="1" x14ac:dyDescent="0.35">
      <c r="A137" s="1" t="s">
        <v>129</v>
      </c>
      <c r="B137" s="1" t="s">
        <v>200</v>
      </c>
      <c r="C137" s="1" t="s">
        <v>364</v>
      </c>
      <c r="D137" s="1" t="s">
        <v>514</v>
      </c>
      <c r="E137" s="1" t="s">
        <v>685</v>
      </c>
      <c r="F137" s="1" t="s">
        <v>722</v>
      </c>
      <c r="G137" s="5">
        <v>3</v>
      </c>
      <c r="H137" s="5">
        <v>20</v>
      </c>
      <c r="I137" s="5">
        <v>3</v>
      </c>
    </row>
    <row r="138" spans="1:9" ht="15" hidden="1" customHeight="1" x14ac:dyDescent="0.35">
      <c r="A138" s="1" t="s">
        <v>130</v>
      </c>
      <c r="B138" s="1" t="s">
        <v>266</v>
      </c>
      <c r="C138" s="1" t="s">
        <v>365</v>
      </c>
      <c r="D138" s="1" t="s">
        <v>515</v>
      </c>
      <c r="E138" s="1" t="s">
        <v>686</v>
      </c>
      <c r="F138" s="1" t="s">
        <v>721</v>
      </c>
      <c r="G138" s="5">
        <v>1</v>
      </c>
      <c r="H138" s="5">
        <v>13</v>
      </c>
      <c r="I138" s="5">
        <v>1</v>
      </c>
    </row>
    <row r="139" spans="1:9" ht="15" hidden="1" customHeight="1" x14ac:dyDescent="0.35">
      <c r="A139" s="1" t="s">
        <v>131</v>
      </c>
      <c r="B139" s="1" t="s">
        <v>235</v>
      </c>
      <c r="C139" s="1" t="s">
        <v>366</v>
      </c>
      <c r="D139" s="1" t="s">
        <v>516</v>
      </c>
      <c r="E139" s="1" t="s">
        <v>687</v>
      </c>
      <c r="F139" s="1" t="s">
        <v>721</v>
      </c>
      <c r="G139" s="5">
        <v>1</v>
      </c>
      <c r="H139" s="5">
        <v>7</v>
      </c>
      <c r="I139" s="5">
        <v>1</v>
      </c>
    </row>
    <row r="140" spans="1:9" ht="15" hidden="1" customHeight="1" x14ac:dyDescent="0.35">
      <c r="A140" s="2" t="s">
        <v>132</v>
      </c>
      <c r="B140" s="1" t="s">
        <v>267</v>
      </c>
      <c r="C140" s="1" t="s">
        <v>367</v>
      </c>
      <c r="D140" s="1" t="s">
        <v>517</v>
      </c>
      <c r="E140" s="1" t="s">
        <v>688</v>
      </c>
      <c r="F140" s="1" t="s">
        <v>722</v>
      </c>
      <c r="G140" s="5">
        <v>1</v>
      </c>
      <c r="H140" s="5">
        <v>8</v>
      </c>
      <c r="I140" s="5">
        <v>1</v>
      </c>
    </row>
    <row r="141" spans="1:9" ht="15" hidden="1" customHeight="1" x14ac:dyDescent="0.35">
      <c r="A141" s="3"/>
      <c r="B141" s="1" t="s">
        <v>268</v>
      </c>
      <c r="C141" s="1" t="s">
        <v>313</v>
      </c>
      <c r="D141" s="1" t="s">
        <v>518</v>
      </c>
      <c r="E141" s="1" t="s">
        <v>689</v>
      </c>
      <c r="F141" s="1" t="s">
        <v>722</v>
      </c>
      <c r="G141" s="5">
        <v>1</v>
      </c>
      <c r="H141" s="5">
        <v>12</v>
      </c>
      <c r="I141" s="5">
        <v>1</v>
      </c>
    </row>
    <row r="142" spans="1:9" ht="15" hidden="1" customHeight="1" x14ac:dyDescent="0.35">
      <c r="A142" s="1" t="s">
        <v>133</v>
      </c>
      <c r="B142" s="1" t="s">
        <v>235</v>
      </c>
      <c r="C142" s="1" t="s">
        <v>201</v>
      </c>
      <c r="D142" s="1" t="s">
        <v>519</v>
      </c>
      <c r="E142" s="1" t="s">
        <v>690</v>
      </c>
      <c r="F142" s="1" t="s">
        <v>721</v>
      </c>
      <c r="G142" s="5">
        <v>1</v>
      </c>
      <c r="H142" s="5">
        <v>13</v>
      </c>
      <c r="I142" s="5">
        <v>1</v>
      </c>
    </row>
    <row r="143" spans="1:9" ht="15" hidden="1" customHeight="1" x14ac:dyDescent="0.35">
      <c r="A143" s="1" t="s">
        <v>134</v>
      </c>
      <c r="B143" s="1" t="s">
        <v>269</v>
      </c>
      <c r="C143" s="1" t="s">
        <v>174</v>
      </c>
      <c r="D143" s="1" t="s">
        <v>520</v>
      </c>
      <c r="E143" s="1" t="s">
        <v>691</v>
      </c>
      <c r="F143" s="1" t="s">
        <v>721</v>
      </c>
      <c r="G143" s="5">
        <v>1</v>
      </c>
      <c r="H143" s="5">
        <v>13</v>
      </c>
      <c r="I143" s="5">
        <v>1</v>
      </c>
    </row>
    <row r="144" spans="1:9" ht="15" hidden="1" customHeight="1" x14ac:dyDescent="0.35">
      <c r="A144" s="1" t="s">
        <v>135</v>
      </c>
      <c r="B144" s="1" t="s">
        <v>270</v>
      </c>
      <c r="C144" s="1" t="s">
        <v>172</v>
      </c>
      <c r="D144" s="1" t="s">
        <v>521</v>
      </c>
      <c r="E144" s="1" t="s">
        <v>692</v>
      </c>
      <c r="F144" s="1" t="s">
        <v>721</v>
      </c>
      <c r="G144" s="5">
        <v>1</v>
      </c>
      <c r="H144" s="5">
        <v>22</v>
      </c>
      <c r="I144" s="5">
        <v>1</v>
      </c>
    </row>
    <row r="145" spans="1:9" ht="15" hidden="1" customHeight="1" x14ac:dyDescent="0.35">
      <c r="A145" s="1" t="s">
        <v>136</v>
      </c>
      <c r="B145" s="1" t="s">
        <v>271</v>
      </c>
      <c r="C145" s="1" t="s">
        <v>200</v>
      </c>
      <c r="D145" s="1" t="s">
        <v>522</v>
      </c>
      <c r="E145" s="1" t="s">
        <v>693</v>
      </c>
      <c r="F145" s="1" t="s">
        <v>721</v>
      </c>
      <c r="G145" s="5">
        <v>1</v>
      </c>
      <c r="H145" s="5">
        <v>22</v>
      </c>
      <c r="I145" s="5">
        <v>1</v>
      </c>
    </row>
    <row r="146" spans="1:9" ht="15" hidden="1" customHeight="1" x14ac:dyDescent="0.35">
      <c r="A146" s="1" t="s">
        <v>137</v>
      </c>
      <c r="B146" s="1" t="s">
        <v>272</v>
      </c>
      <c r="C146" s="1" t="s">
        <v>368</v>
      </c>
      <c r="D146" s="1" t="s">
        <v>523</v>
      </c>
      <c r="E146" s="1" t="s">
        <v>694</v>
      </c>
      <c r="F146" s="1" t="s">
        <v>721</v>
      </c>
      <c r="G146" s="5">
        <v>2</v>
      </c>
      <c r="H146" s="5">
        <v>29</v>
      </c>
      <c r="I146" s="5">
        <v>2</v>
      </c>
    </row>
    <row r="147" spans="1:9" ht="15" hidden="1" customHeight="1" x14ac:dyDescent="0.35">
      <c r="A147" s="1" t="s">
        <v>138</v>
      </c>
      <c r="B147" s="1" t="s">
        <v>273</v>
      </c>
      <c r="C147" s="1" t="s">
        <v>369</v>
      </c>
      <c r="D147" s="1" t="s">
        <v>524</v>
      </c>
      <c r="E147" s="1" t="s">
        <v>695</v>
      </c>
      <c r="F147" s="1" t="s">
        <v>721</v>
      </c>
      <c r="G147" s="5">
        <v>1</v>
      </c>
      <c r="H147" s="5">
        <v>21</v>
      </c>
      <c r="I147" s="5">
        <v>1</v>
      </c>
    </row>
    <row r="148" spans="1:9" ht="15" hidden="1" customHeight="1" x14ac:dyDescent="0.35">
      <c r="A148" s="1" t="s">
        <v>139</v>
      </c>
      <c r="B148" s="1" t="s">
        <v>274</v>
      </c>
      <c r="C148" s="1" t="s">
        <v>370</v>
      </c>
      <c r="D148" s="1" t="s">
        <v>525</v>
      </c>
      <c r="E148" s="1" t="s">
        <v>696</v>
      </c>
      <c r="F148" s="1" t="s">
        <v>721</v>
      </c>
      <c r="G148" s="5">
        <v>2</v>
      </c>
      <c r="H148" s="5">
        <v>34</v>
      </c>
      <c r="I148" s="5">
        <v>2</v>
      </c>
    </row>
    <row r="149" spans="1:9" ht="15" hidden="1" customHeight="1" x14ac:dyDescent="0.35">
      <c r="A149" s="1" t="s">
        <v>140</v>
      </c>
      <c r="B149" s="1" t="s">
        <v>227</v>
      </c>
      <c r="C149" s="1" t="s">
        <v>371</v>
      </c>
      <c r="D149" s="1" t="s">
        <v>526</v>
      </c>
      <c r="E149" s="1" t="s">
        <v>697</v>
      </c>
      <c r="F149" s="1" t="s">
        <v>721</v>
      </c>
      <c r="G149" s="5">
        <v>1</v>
      </c>
      <c r="H149" s="5">
        <v>5</v>
      </c>
      <c r="I149" s="5">
        <v>1</v>
      </c>
    </row>
    <row r="150" spans="1:9" ht="15" hidden="1" customHeight="1" x14ac:dyDescent="0.35">
      <c r="A150" s="1" t="s">
        <v>141</v>
      </c>
      <c r="B150" s="1" t="s">
        <v>275</v>
      </c>
      <c r="C150" s="1" t="s">
        <v>172</v>
      </c>
      <c r="D150" s="1" t="s">
        <v>527</v>
      </c>
      <c r="E150" s="1" t="s">
        <v>698</v>
      </c>
      <c r="F150" s="1" t="s">
        <v>722</v>
      </c>
      <c r="G150" s="5">
        <v>3</v>
      </c>
      <c r="H150" s="5">
        <v>78</v>
      </c>
      <c r="I150" s="5">
        <v>3</v>
      </c>
    </row>
    <row r="151" spans="1:9" ht="15" hidden="1" customHeight="1" x14ac:dyDescent="0.35">
      <c r="A151" s="1" t="s">
        <v>142</v>
      </c>
      <c r="B151" s="1" t="s">
        <v>233</v>
      </c>
      <c r="C151" s="1" t="s">
        <v>172</v>
      </c>
      <c r="D151" s="1" t="s">
        <v>528</v>
      </c>
      <c r="E151" s="1" t="s">
        <v>699</v>
      </c>
      <c r="F151" s="1" t="s">
        <v>721</v>
      </c>
      <c r="G151" s="5">
        <v>1</v>
      </c>
      <c r="H151" s="5">
        <v>6</v>
      </c>
      <c r="I151" s="5">
        <v>1</v>
      </c>
    </row>
    <row r="152" spans="1:9" ht="15" hidden="1" customHeight="1" x14ac:dyDescent="0.35">
      <c r="A152" s="1" t="s">
        <v>143</v>
      </c>
      <c r="B152" s="1" t="s">
        <v>276</v>
      </c>
      <c r="C152" s="1" t="s">
        <v>250</v>
      </c>
      <c r="D152" s="1" t="s">
        <v>529</v>
      </c>
      <c r="E152" s="1" t="s">
        <v>700</v>
      </c>
      <c r="F152" s="1" t="s">
        <v>721</v>
      </c>
      <c r="G152" s="5">
        <v>2</v>
      </c>
      <c r="H152" s="5">
        <v>45</v>
      </c>
      <c r="I152" s="5">
        <v>2</v>
      </c>
    </row>
    <row r="153" spans="1:9" ht="15" hidden="1" customHeight="1" x14ac:dyDescent="0.35">
      <c r="A153" s="2" t="s">
        <v>144</v>
      </c>
      <c r="B153" s="1" t="s">
        <v>277</v>
      </c>
      <c r="C153" s="1" t="s">
        <v>372</v>
      </c>
      <c r="D153" s="1" t="s">
        <v>530</v>
      </c>
      <c r="E153" s="1" t="s">
        <v>701</v>
      </c>
      <c r="F153" s="1" t="s">
        <v>722</v>
      </c>
      <c r="G153" s="5">
        <v>2</v>
      </c>
      <c r="H153" s="5">
        <v>23</v>
      </c>
      <c r="I153" s="5">
        <v>2</v>
      </c>
    </row>
    <row r="154" spans="1:9" ht="15" hidden="1" customHeight="1" x14ac:dyDescent="0.35">
      <c r="A154" s="3"/>
      <c r="B154" s="1" t="s">
        <v>278</v>
      </c>
      <c r="C154" s="1" t="s">
        <v>179</v>
      </c>
      <c r="D154" s="1" t="s">
        <v>531</v>
      </c>
      <c r="E154" s="1" t="s">
        <v>702</v>
      </c>
      <c r="F154" s="1" t="s">
        <v>722</v>
      </c>
      <c r="G154" s="5">
        <v>2</v>
      </c>
      <c r="H154" s="5">
        <v>56</v>
      </c>
      <c r="I154" s="5">
        <v>2</v>
      </c>
    </row>
    <row r="155" spans="1:9" ht="15" customHeight="1" x14ac:dyDescent="0.35">
      <c r="A155" s="1" t="s">
        <v>145</v>
      </c>
      <c r="B155" s="1" t="s">
        <v>279</v>
      </c>
      <c r="C155" s="1" t="s">
        <v>373</v>
      </c>
      <c r="D155" s="1" t="s">
        <v>532</v>
      </c>
      <c r="E155" s="1" t="s">
        <v>703</v>
      </c>
      <c r="F155" s="1" t="s">
        <v>721</v>
      </c>
      <c r="G155" s="5">
        <v>3</v>
      </c>
      <c r="H155" s="5">
        <v>46</v>
      </c>
      <c r="I155" s="5">
        <v>3</v>
      </c>
    </row>
    <row r="156" spans="1:9" ht="15" hidden="1" customHeight="1" x14ac:dyDescent="0.35">
      <c r="A156" s="1" t="s">
        <v>146</v>
      </c>
      <c r="B156" s="1" t="s">
        <v>280</v>
      </c>
      <c r="C156" s="1" t="s">
        <v>355</v>
      </c>
      <c r="D156" s="1" t="s">
        <v>533</v>
      </c>
      <c r="E156" s="1" t="s">
        <v>704</v>
      </c>
      <c r="F156" s="1" t="s">
        <v>722</v>
      </c>
      <c r="G156" s="5">
        <v>1</v>
      </c>
      <c r="H156" s="5">
        <v>10</v>
      </c>
      <c r="I156" s="5">
        <v>1</v>
      </c>
    </row>
    <row r="157" spans="1:9" ht="15" hidden="1" customHeight="1" x14ac:dyDescent="0.35">
      <c r="A157" s="1" t="s">
        <v>147</v>
      </c>
      <c r="B157" s="1" t="s">
        <v>281</v>
      </c>
      <c r="C157" s="1" t="s">
        <v>198</v>
      </c>
      <c r="D157" s="1" t="s">
        <v>534</v>
      </c>
      <c r="E157" s="1" t="s">
        <v>705</v>
      </c>
      <c r="F157" s="1" t="s">
        <v>722</v>
      </c>
      <c r="G157" s="5">
        <v>2</v>
      </c>
      <c r="H157" s="5">
        <v>34</v>
      </c>
      <c r="I157" s="5">
        <v>2</v>
      </c>
    </row>
    <row r="158" spans="1:9" ht="15" hidden="1" customHeight="1" x14ac:dyDescent="0.35">
      <c r="A158" s="1" t="s">
        <v>148</v>
      </c>
      <c r="B158" s="1" t="s">
        <v>282</v>
      </c>
      <c r="C158" s="1" t="s">
        <v>374</v>
      </c>
      <c r="D158" s="1" t="s">
        <v>535</v>
      </c>
      <c r="E158" s="1" t="s">
        <v>706</v>
      </c>
      <c r="F158" s="1" t="s">
        <v>722</v>
      </c>
      <c r="G158" s="5">
        <v>2</v>
      </c>
      <c r="H158" s="5">
        <v>38</v>
      </c>
      <c r="I158" s="5">
        <v>2</v>
      </c>
    </row>
    <row r="159" spans="1:9" ht="15" hidden="1" customHeight="1" x14ac:dyDescent="0.35">
      <c r="A159" s="1" t="s">
        <v>149</v>
      </c>
      <c r="B159" s="1" t="s">
        <v>218</v>
      </c>
      <c r="C159" s="1" t="s">
        <v>209</v>
      </c>
      <c r="D159" s="1" t="s">
        <v>536</v>
      </c>
      <c r="E159" s="1" t="s">
        <v>707</v>
      </c>
      <c r="F159" s="1" t="s">
        <v>722</v>
      </c>
      <c r="G159" s="5">
        <v>1</v>
      </c>
      <c r="H159" s="5">
        <v>10</v>
      </c>
      <c r="I159" s="5">
        <v>1</v>
      </c>
    </row>
    <row r="160" spans="1:9" ht="15" hidden="1" customHeight="1" x14ac:dyDescent="0.35">
      <c r="A160" s="1" t="s">
        <v>150</v>
      </c>
      <c r="B160" s="1" t="s">
        <v>254</v>
      </c>
      <c r="C160" s="1" t="s">
        <v>283</v>
      </c>
      <c r="D160" s="1" t="s">
        <v>537</v>
      </c>
      <c r="E160" s="1" t="s">
        <v>708</v>
      </c>
      <c r="F160" s="1" t="s">
        <v>722</v>
      </c>
      <c r="G160" s="5">
        <v>2</v>
      </c>
      <c r="H160" s="5">
        <v>45</v>
      </c>
      <c r="I160" s="5">
        <v>2</v>
      </c>
    </row>
    <row r="161" spans="1:9" ht="15" hidden="1" customHeight="1" x14ac:dyDescent="0.35">
      <c r="A161" s="1" t="s">
        <v>151</v>
      </c>
      <c r="B161" s="1" t="s">
        <v>283</v>
      </c>
      <c r="C161" s="1" t="s">
        <v>201</v>
      </c>
      <c r="D161" s="1" t="s">
        <v>538</v>
      </c>
      <c r="E161" s="1" t="s">
        <v>709</v>
      </c>
      <c r="F161" s="1" t="s">
        <v>722</v>
      </c>
      <c r="G161" s="5">
        <v>1</v>
      </c>
      <c r="H161" s="5">
        <v>12</v>
      </c>
      <c r="I161" s="5">
        <v>1</v>
      </c>
    </row>
    <row r="162" spans="1:9" ht="15" hidden="1" customHeight="1" x14ac:dyDescent="0.35">
      <c r="A162" s="1" t="s">
        <v>152</v>
      </c>
      <c r="B162" s="1" t="s">
        <v>177</v>
      </c>
      <c r="C162" s="1" t="s">
        <v>270</v>
      </c>
      <c r="D162" s="1" t="s">
        <v>539</v>
      </c>
      <c r="E162" s="1" t="s">
        <v>710</v>
      </c>
      <c r="F162" s="1" t="s">
        <v>722</v>
      </c>
      <c r="G162" s="5">
        <v>3</v>
      </c>
      <c r="H162" s="5">
        <v>12</v>
      </c>
      <c r="I162" s="5">
        <v>3</v>
      </c>
    </row>
    <row r="163" spans="1:9" ht="15" hidden="1" customHeight="1" x14ac:dyDescent="0.35">
      <c r="A163" s="1" t="s">
        <v>153</v>
      </c>
      <c r="B163" s="1" t="s">
        <v>165</v>
      </c>
      <c r="C163" s="1" t="s">
        <v>318</v>
      </c>
      <c r="D163" s="1" t="s">
        <v>540</v>
      </c>
      <c r="E163" s="1" t="s">
        <v>711</v>
      </c>
      <c r="F163" s="1" t="s">
        <v>722</v>
      </c>
      <c r="G163" s="5">
        <v>1</v>
      </c>
      <c r="H163" s="5">
        <v>15</v>
      </c>
      <c r="I163" s="5">
        <v>1</v>
      </c>
    </row>
    <row r="164" spans="1:9" ht="15" hidden="1" customHeight="1" x14ac:dyDescent="0.35">
      <c r="A164" s="1" t="s">
        <v>154</v>
      </c>
      <c r="B164" s="1" t="s">
        <v>284</v>
      </c>
      <c r="C164" s="1" t="s">
        <v>308</v>
      </c>
      <c r="D164" s="1" t="s">
        <v>541</v>
      </c>
      <c r="E164" s="1" t="s">
        <v>712</v>
      </c>
      <c r="F164" s="1" t="s">
        <v>722</v>
      </c>
      <c r="G164" s="5">
        <v>3</v>
      </c>
      <c r="H164" s="5">
        <v>49</v>
      </c>
      <c r="I164" s="5">
        <v>3</v>
      </c>
    </row>
    <row r="165" spans="1:9" ht="15" hidden="1" customHeight="1" x14ac:dyDescent="0.35">
      <c r="A165" s="1" t="s">
        <v>155</v>
      </c>
      <c r="B165" s="1" t="s">
        <v>178</v>
      </c>
      <c r="C165" s="1" t="s">
        <v>243</v>
      </c>
      <c r="D165" s="1" t="s">
        <v>542</v>
      </c>
      <c r="E165" s="1" t="s">
        <v>713</v>
      </c>
      <c r="F165" s="1" t="s">
        <v>722</v>
      </c>
      <c r="G165" s="5">
        <v>3</v>
      </c>
      <c r="H165" s="5">
        <v>47</v>
      </c>
      <c r="I165" s="5">
        <v>3</v>
      </c>
    </row>
    <row r="166" spans="1:9" ht="15" hidden="1" customHeight="1" x14ac:dyDescent="0.35">
      <c r="A166" s="1" t="s">
        <v>156</v>
      </c>
      <c r="B166" s="1" t="s">
        <v>250</v>
      </c>
      <c r="C166" s="1" t="s">
        <v>250</v>
      </c>
      <c r="D166" s="1" t="s">
        <v>543</v>
      </c>
      <c r="E166" s="1" t="s">
        <v>714</v>
      </c>
      <c r="F166" s="1" t="s">
        <v>722</v>
      </c>
      <c r="G166" s="5">
        <v>1</v>
      </c>
      <c r="H166" s="5">
        <v>7</v>
      </c>
      <c r="I166" s="5">
        <v>1</v>
      </c>
    </row>
    <row r="167" spans="1:9" ht="15" hidden="1" customHeight="1" x14ac:dyDescent="0.35">
      <c r="A167" s="1" t="s">
        <v>157</v>
      </c>
      <c r="B167" s="1" t="s">
        <v>285</v>
      </c>
      <c r="C167" s="1" t="s">
        <v>215</v>
      </c>
      <c r="D167" s="1" t="s">
        <v>544</v>
      </c>
      <c r="E167" s="1" t="s">
        <v>715</v>
      </c>
      <c r="F167" s="1" t="s">
        <v>721</v>
      </c>
      <c r="G167" s="5">
        <v>1</v>
      </c>
      <c r="H167" s="5">
        <v>7</v>
      </c>
      <c r="I167" s="5">
        <v>1</v>
      </c>
    </row>
    <row r="168" spans="1:9" ht="15" hidden="1" customHeight="1" x14ac:dyDescent="0.35">
      <c r="A168" s="1" t="s">
        <v>158</v>
      </c>
      <c r="B168" s="1" t="s">
        <v>200</v>
      </c>
      <c r="C168" s="1" t="s">
        <v>375</v>
      </c>
      <c r="D168" s="1" t="s">
        <v>545</v>
      </c>
      <c r="E168" s="1" t="s">
        <v>716</v>
      </c>
      <c r="F168" s="1" t="s">
        <v>722</v>
      </c>
      <c r="G168" s="5">
        <v>1</v>
      </c>
      <c r="H168" s="5">
        <v>13</v>
      </c>
      <c r="I168" s="5">
        <v>1</v>
      </c>
    </row>
    <row r="169" spans="1:9" ht="15" hidden="1" customHeight="1" x14ac:dyDescent="0.35">
      <c r="A169" s="2" t="s">
        <v>159</v>
      </c>
      <c r="B169" s="1" t="s">
        <v>286</v>
      </c>
      <c r="C169" s="1" t="s">
        <v>376</v>
      </c>
      <c r="D169" s="1" t="s">
        <v>546</v>
      </c>
      <c r="E169" s="1" t="s">
        <v>717</v>
      </c>
      <c r="F169" s="1" t="s">
        <v>722</v>
      </c>
      <c r="G169" s="5">
        <v>2</v>
      </c>
      <c r="H169" s="5">
        <v>42</v>
      </c>
      <c r="I169" s="5">
        <v>2</v>
      </c>
    </row>
    <row r="170" spans="1:9" ht="15" hidden="1" customHeight="1" x14ac:dyDescent="0.35">
      <c r="A170" s="3"/>
      <c r="B170" s="1" t="s">
        <v>287</v>
      </c>
      <c r="C170" s="1" t="s">
        <v>377</v>
      </c>
      <c r="D170" s="1" t="s">
        <v>547</v>
      </c>
      <c r="E170" s="1" t="s">
        <v>718</v>
      </c>
      <c r="F170" s="1" t="s">
        <v>722</v>
      </c>
      <c r="G170" s="5">
        <v>3</v>
      </c>
      <c r="H170" s="5">
        <v>60</v>
      </c>
      <c r="I170" s="5">
        <v>3</v>
      </c>
    </row>
    <row r="171" spans="1:9" ht="15" hidden="1" customHeight="1" x14ac:dyDescent="0.35">
      <c r="A171" s="1" t="s">
        <v>160</v>
      </c>
      <c r="B171" s="1" t="s">
        <v>288</v>
      </c>
      <c r="C171" s="1" t="s">
        <v>215</v>
      </c>
      <c r="D171" s="1" t="s">
        <v>548</v>
      </c>
      <c r="E171" s="1" t="s">
        <v>719</v>
      </c>
      <c r="F171" s="1" t="s">
        <v>721</v>
      </c>
      <c r="G171" s="5">
        <v>2</v>
      </c>
      <c r="H171" s="5">
        <v>39</v>
      </c>
      <c r="I171" s="5">
        <v>2</v>
      </c>
    </row>
  </sheetData>
  <autoFilter ref="A1:I171" xr:uid="{00000000-0001-0000-0000-000000000000}">
    <filterColumn colId="4">
      <filters>
        <filter val="ABREU TEJEDA RAQUEL ABIGAIL"/>
      </filters>
    </filterColumn>
  </autoFilter>
  <mergeCells count="1">
    <mergeCell ref="A100:A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806A-0317-41D3-94CA-E5040EDE3652}">
  <dimension ref="A1:K256"/>
  <sheetViews>
    <sheetView topLeftCell="E231" workbookViewId="0">
      <selection activeCell="B9" sqref="B9"/>
    </sheetView>
  </sheetViews>
  <sheetFormatPr baseColWidth="10" defaultRowHeight="14.5" x14ac:dyDescent="0.35"/>
  <cols>
    <col min="1" max="1" width="4" bestFit="1" customWidth="1"/>
    <col min="2" max="2" width="63.26953125" bestFit="1" customWidth="1"/>
    <col min="3" max="3" width="5" bestFit="1" customWidth="1"/>
    <col min="4" max="4" width="13.7265625" bestFit="1" customWidth="1"/>
    <col min="5" max="5" width="55.7265625" bestFit="1" customWidth="1"/>
    <col min="6" max="6" width="11.1796875" bestFit="1" customWidth="1"/>
    <col min="7" max="7" width="40.453125" bestFit="1" customWidth="1"/>
    <col min="9" max="9" width="11.7265625" bestFit="1" customWidth="1"/>
    <col min="10" max="10" width="24.453125" bestFit="1" customWidth="1"/>
    <col min="11" max="11" width="16.453125" bestFit="1" customWidth="1"/>
  </cols>
  <sheetData>
    <row r="1" spans="1:11" x14ac:dyDescent="0.35">
      <c r="B1" t="s">
        <v>726</v>
      </c>
      <c r="C1" t="s">
        <v>727</v>
      </c>
      <c r="D1" t="s">
        <v>728</v>
      </c>
      <c r="E1" t="s">
        <v>729</v>
      </c>
      <c r="F1" t="s">
        <v>730</v>
      </c>
      <c r="G1" t="s">
        <v>731</v>
      </c>
      <c r="H1" t="s">
        <v>378</v>
      </c>
      <c r="I1" t="s">
        <v>732</v>
      </c>
      <c r="J1" t="s">
        <v>733</v>
      </c>
      <c r="K1" t="s">
        <v>734</v>
      </c>
    </row>
    <row r="2" spans="1:11" x14ac:dyDescent="0.35">
      <c r="A2">
        <v>1</v>
      </c>
      <c r="B2" t="s">
        <v>735</v>
      </c>
      <c r="C2">
        <v>1001</v>
      </c>
      <c r="D2" t="s">
        <v>736</v>
      </c>
      <c r="E2" t="s">
        <v>737</v>
      </c>
      <c r="F2" t="s">
        <v>738</v>
      </c>
      <c r="G2" t="s">
        <v>584</v>
      </c>
      <c r="H2" t="s">
        <v>413</v>
      </c>
      <c r="I2" t="s">
        <v>721</v>
      </c>
      <c r="J2" t="s">
        <v>739</v>
      </c>
    </row>
    <row r="3" spans="1:11" x14ac:dyDescent="0.35">
      <c r="A3">
        <v>2</v>
      </c>
      <c r="B3" t="s">
        <v>740</v>
      </c>
      <c r="C3">
        <v>1002</v>
      </c>
      <c r="D3" t="s">
        <v>736</v>
      </c>
      <c r="E3" t="s">
        <v>737</v>
      </c>
      <c r="F3" t="s">
        <v>738</v>
      </c>
      <c r="G3" t="s">
        <v>688</v>
      </c>
      <c r="H3" t="s">
        <v>517</v>
      </c>
      <c r="I3" t="s">
        <v>722</v>
      </c>
      <c r="J3" t="s">
        <v>741</v>
      </c>
    </row>
    <row r="4" spans="1:11" x14ac:dyDescent="0.35">
      <c r="A4">
        <v>3</v>
      </c>
      <c r="B4" t="s">
        <v>742</v>
      </c>
      <c r="C4">
        <v>1003</v>
      </c>
      <c r="D4" t="s">
        <v>736</v>
      </c>
      <c r="E4" t="s">
        <v>737</v>
      </c>
      <c r="F4" t="s">
        <v>738</v>
      </c>
      <c r="G4" t="s">
        <v>645</v>
      </c>
      <c r="H4" t="s">
        <v>474</v>
      </c>
      <c r="I4" t="s">
        <v>722</v>
      </c>
      <c r="J4" t="s">
        <v>743</v>
      </c>
    </row>
    <row r="5" spans="1:11" x14ac:dyDescent="0.35">
      <c r="A5">
        <v>4</v>
      </c>
      <c r="B5" t="s">
        <v>744</v>
      </c>
      <c r="C5">
        <v>1004</v>
      </c>
      <c r="D5" t="s">
        <v>736</v>
      </c>
      <c r="E5" t="s">
        <v>737</v>
      </c>
      <c r="F5" t="s">
        <v>738</v>
      </c>
      <c r="G5" t="s">
        <v>599</v>
      </c>
      <c r="H5" t="s">
        <v>428</v>
      </c>
      <c r="I5" t="s">
        <v>721</v>
      </c>
      <c r="J5" t="s">
        <v>745</v>
      </c>
    </row>
    <row r="6" spans="1:11" x14ac:dyDescent="0.35">
      <c r="A6">
        <v>5</v>
      </c>
      <c r="B6" t="s">
        <v>746</v>
      </c>
      <c r="C6">
        <v>1005</v>
      </c>
      <c r="D6" t="s">
        <v>736</v>
      </c>
      <c r="E6" t="s">
        <v>737</v>
      </c>
      <c r="F6" t="s">
        <v>738</v>
      </c>
      <c r="G6" t="s">
        <v>682</v>
      </c>
      <c r="H6" t="s">
        <v>511</v>
      </c>
      <c r="I6" t="s">
        <v>722</v>
      </c>
      <c r="J6" t="s">
        <v>747</v>
      </c>
    </row>
    <row r="7" spans="1:11" x14ac:dyDescent="0.35">
      <c r="A7">
        <v>6</v>
      </c>
      <c r="B7" t="s">
        <v>748</v>
      </c>
      <c r="C7">
        <v>1006</v>
      </c>
      <c r="D7" t="s">
        <v>736</v>
      </c>
      <c r="E7" t="s">
        <v>737</v>
      </c>
      <c r="F7" t="s">
        <v>738</v>
      </c>
      <c r="G7" t="s">
        <v>592</v>
      </c>
      <c r="H7" t="s">
        <v>421</v>
      </c>
      <c r="I7" t="s">
        <v>722</v>
      </c>
      <c r="J7" t="s">
        <v>749</v>
      </c>
    </row>
    <row r="8" spans="1:11" x14ac:dyDescent="0.35">
      <c r="A8">
        <v>7</v>
      </c>
      <c r="B8" t="s">
        <v>750</v>
      </c>
      <c r="C8">
        <v>1007</v>
      </c>
      <c r="D8" t="s">
        <v>736</v>
      </c>
      <c r="E8" t="s">
        <v>737</v>
      </c>
      <c r="F8" t="s">
        <v>738</v>
      </c>
      <c r="G8" t="s">
        <v>639</v>
      </c>
      <c r="H8" t="s">
        <v>468</v>
      </c>
      <c r="I8" t="s">
        <v>722</v>
      </c>
      <c r="J8" t="s">
        <v>751</v>
      </c>
    </row>
    <row r="9" spans="1:11" x14ac:dyDescent="0.35">
      <c r="A9">
        <v>8</v>
      </c>
      <c r="B9" t="s">
        <v>752</v>
      </c>
      <c r="C9">
        <v>1008</v>
      </c>
      <c r="D9" t="s">
        <v>736</v>
      </c>
      <c r="E9" t="s">
        <v>737</v>
      </c>
      <c r="F9" t="s">
        <v>753</v>
      </c>
      <c r="G9" t="s">
        <v>630</v>
      </c>
      <c r="H9" t="s">
        <v>459</v>
      </c>
      <c r="I9" t="s">
        <v>722</v>
      </c>
      <c r="J9" t="s">
        <v>754</v>
      </c>
    </row>
    <row r="10" spans="1:11" x14ac:dyDescent="0.35">
      <c r="A10">
        <v>9</v>
      </c>
      <c r="B10" t="s">
        <v>755</v>
      </c>
      <c r="C10">
        <v>1009</v>
      </c>
      <c r="D10" t="s">
        <v>736</v>
      </c>
      <c r="E10" t="s">
        <v>737</v>
      </c>
      <c r="F10" t="s">
        <v>753</v>
      </c>
      <c r="G10" t="s">
        <v>682</v>
      </c>
      <c r="H10" t="s">
        <v>511</v>
      </c>
      <c r="I10" t="s">
        <v>722</v>
      </c>
      <c r="J10" t="s">
        <v>747</v>
      </c>
    </row>
    <row r="11" spans="1:11" x14ac:dyDescent="0.35">
      <c r="A11">
        <v>10</v>
      </c>
      <c r="B11" t="s">
        <v>756</v>
      </c>
      <c r="C11">
        <v>1010</v>
      </c>
      <c r="D11" t="s">
        <v>736</v>
      </c>
      <c r="E11" t="s">
        <v>737</v>
      </c>
      <c r="F11" t="s">
        <v>753</v>
      </c>
      <c r="G11" t="s">
        <v>606</v>
      </c>
      <c r="H11" t="s">
        <v>435</v>
      </c>
      <c r="I11" t="s">
        <v>721</v>
      </c>
      <c r="J11" t="s">
        <v>757</v>
      </c>
    </row>
    <row r="12" spans="1:11" x14ac:dyDescent="0.35">
      <c r="A12">
        <v>11</v>
      </c>
      <c r="B12" t="s">
        <v>758</v>
      </c>
      <c r="C12">
        <v>1011</v>
      </c>
      <c r="D12" t="s">
        <v>736</v>
      </c>
      <c r="E12" t="s">
        <v>737</v>
      </c>
      <c r="F12" t="s">
        <v>753</v>
      </c>
      <c r="G12" t="s">
        <v>639</v>
      </c>
      <c r="H12" t="s">
        <v>468</v>
      </c>
      <c r="I12" t="s">
        <v>722</v>
      </c>
      <c r="J12" t="s">
        <v>751</v>
      </c>
    </row>
    <row r="13" spans="1:11" x14ac:dyDescent="0.35">
      <c r="A13">
        <v>12</v>
      </c>
      <c r="B13" t="s">
        <v>759</v>
      </c>
      <c r="C13">
        <v>1012</v>
      </c>
      <c r="D13" t="s">
        <v>736</v>
      </c>
      <c r="E13" t="s">
        <v>737</v>
      </c>
      <c r="F13" t="s">
        <v>753</v>
      </c>
      <c r="G13" t="s">
        <v>643</v>
      </c>
      <c r="H13" t="s">
        <v>472</v>
      </c>
      <c r="I13" t="s">
        <v>722</v>
      </c>
      <c r="J13" t="s">
        <v>760</v>
      </c>
    </row>
    <row r="14" spans="1:11" x14ac:dyDescent="0.35">
      <c r="A14">
        <v>13</v>
      </c>
      <c r="B14" t="s">
        <v>761</v>
      </c>
      <c r="C14">
        <v>1013</v>
      </c>
      <c r="D14" t="s">
        <v>736</v>
      </c>
      <c r="E14" t="s">
        <v>737</v>
      </c>
      <c r="F14" t="s">
        <v>753</v>
      </c>
      <c r="G14" t="s">
        <v>632</v>
      </c>
      <c r="H14" t="s">
        <v>461</v>
      </c>
      <c r="I14" t="s">
        <v>722</v>
      </c>
      <c r="J14" t="s">
        <v>762</v>
      </c>
    </row>
    <row r="15" spans="1:11" x14ac:dyDescent="0.35">
      <c r="A15">
        <v>14</v>
      </c>
      <c r="B15" t="s">
        <v>763</v>
      </c>
      <c r="C15">
        <v>1014</v>
      </c>
      <c r="D15" t="s">
        <v>736</v>
      </c>
      <c r="E15" t="s">
        <v>737</v>
      </c>
      <c r="F15" t="s">
        <v>764</v>
      </c>
      <c r="G15" t="s">
        <v>654</v>
      </c>
      <c r="H15" t="s">
        <v>483</v>
      </c>
      <c r="I15" t="s">
        <v>721</v>
      </c>
      <c r="J15" t="s">
        <v>765</v>
      </c>
    </row>
    <row r="16" spans="1:11" x14ac:dyDescent="0.35">
      <c r="A16">
        <v>15</v>
      </c>
      <c r="B16" t="s">
        <v>766</v>
      </c>
      <c r="C16">
        <v>1015</v>
      </c>
      <c r="D16" t="s">
        <v>736</v>
      </c>
      <c r="E16" t="s">
        <v>737</v>
      </c>
      <c r="F16" t="s">
        <v>764</v>
      </c>
      <c r="G16" t="s">
        <v>630</v>
      </c>
      <c r="H16" t="s">
        <v>459</v>
      </c>
      <c r="I16" t="s">
        <v>722</v>
      </c>
      <c r="J16" t="s">
        <v>754</v>
      </c>
    </row>
    <row r="17" spans="1:10" x14ac:dyDescent="0.35">
      <c r="A17">
        <v>16</v>
      </c>
      <c r="B17" t="s">
        <v>767</v>
      </c>
      <c r="C17">
        <v>1016</v>
      </c>
      <c r="D17" t="s">
        <v>736</v>
      </c>
      <c r="E17" t="s">
        <v>737</v>
      </c>
      <c r="F17" t="s">
        <v>764</v>
      </c>
      <c r="G17" t="s">
        <v>701</v>
      </c>
      <c r="H17" t="s">
        <v>530</v>
      </c>
      <c r="I17" t="s">
        <v>722</v>
      </c>
      <c r="J17" t="s">
        <v>768</v>
      </c>
    </row>
    <row r="18" spans="1:10" x14ac:dyDescent="0.35">
      <c r="A18">
        <v>17</v>
      </c>
      <c r="B18" t="s">
        <v>769</v>
      </c>
      <c r="C18">
        <v>1017</v>
      </c>
      <c r="D18" t="s">
        <v>736</v>
      </c>
      <c r="E18" t="s">
        <v>737</v>
      </c>
      <c r="F18" t="s">
        <v>764</v>
      </c>
      <c r="G18" t="s">
        <v>592</v>
      </c>
      <c r="H18" t="s">
        <v>421</v>
      </c>
      <c r="I18" t="s">
        <v>722</v>
      </c>
      <c r="J18" t="s">
        <v>749</v>
      </c>
    </row>
    <row r="19" spans="1:10" x14ac:dyDescent="0.35">
      <c r="A19">
        <v>18</v>
      </c>
      <c r="B19" t="s">
        <v>770</v>
      </c>
      <c r="C19">
        <v>1018</v>
      </c>
      <c r="D19" t="s">
        <v>736</v>
      </c>
      <c r="E19" t="s">
        <v>737</v>
      </c>
      <c r="F19" t="s">
        <v>764</v>
      </c>
      <c r="G19" t="s">
        <v>569</v>
      </c>
      <c r="H19" t="s">
        <v>398</v>
      </c>
      <c r="I19" t="s">
        <v>721</v>
      </c>
      <c r="J19" t="s">
        <v>771</v>
      </c>
    </row>
    <row r="20" spans="1:10" x14ac:dyDescent="0.35">
      <c r="A20">
        <v>19</v>
      </c>
      <c r="B20" t="s">
        <v>772</v>
      </c>
      <c r="C20">
        <v>1019</v>
      </c>
      <c r="D20" t="s">
        <v>736</v>
      </c>
      <c r="E20" t="s">
        <v>737</v>
      </c>
      <c r="F20" t="s">
        <v>764</v>
      </c>
      <c r="G20" t="s">
        <v>632</v>
      </c>
      <c r="H20" t="s">
        <v>461</v>
      </c>
      <c r="I20" t="s">
        <v>722</v>
      </c>
      <c r="J20" t="s">
        <v>762</v>
      </c>
    </row>
    <row r="21" spans="1:10" x14ac:dyDescent="0.35">
      <c r="A21">
        <v>20</v>
      </c>
      <c r="B21" t="s">
        <v>773</v>
      </c>
      <c r="C21">
        <v>1020</v>
      </c>
      <c r="D21" t="s">
        <v>736</v>
      </c>
      <c r="E21" t="s">
        <v>737</v>
      </c>
      <c r="F21" t="s">
        <v>774</v>
      </c>
      <c r="G21" t="s">
        <v>590</v>
      </c>
      <c r="H21" t="s">
        <v>419</v>
      </c>
      <c r="I21" t="s">
        <v>722</v>
      </c>
      <c r="J21" t="s">
        <v>775</v>
      </c>
    </row>
    <row r="22" spans="1:10" x14ac:dyDescent="0.35">
      <c r="A22">
        <v>21</v>
      </c>
      <c r="B22" t="s">
        <v>776</v>
      </c>
      <c r="C22">
        <v>1021</v>
      </c>
      <c r="D22" t="s">
        <v>736</v>
      </c>
      <c r="E22" t="s">
        <v>737</v>
      </c>
      <c r="F22" t="s">
        <v>774</v>
      </c>
      <c r="G22" t="s">
        <v>645</v>
      </c>
      <c r="H22" t="s">
        <v>474</v>
      </c>
      <c r="I22" t="s">
        <v>722</v>
      </c>
      <c r="J22" t="s">
        <v>743</v>
      </c>
    </row>
    <row r="23" spans="1:10" x14ac:dyDescent="0.35">
      <c r="A23">
        <v>22</v>
      </c>
      <c r="B23" t="s">
        <v>777</v>
      </c>
      <c r="C23">
        <v>1022</v>
      </c>
      <c r="D23" t="s">
        <v>736</v>
      </c>
      <c r="E23" t="s">
        <v>737</v>
      </c>
      <c r="F23" t="s">
        <v>774</v>
      </c>
      <c r="G23" t="s">
        <v>667</v>
      </c>
      <c r="H23" t="s">
        <v>496</v>
      </c>
      <c r="I23" t="s">
        <v>722</v>
      </c>
      <c r="J23" t="s">
        <v>778</v>
      </c>
    </row>
    <row r="24" spans="1:10" x14ac:dyDescent="0.35">
      <c r="A24">
        <v>23</v>
      </c>
      <c r="B24" t="s">
        <v>779</v>
      </c>
      <c r="C24">
        <v>1023</v>
      </c>
      <c r="D24" t="s">
        <v>736</v>
      </c>
      <c r="E24" t="s">
        <v>737</v>
      </c>
      <c r="F24" t="s">
        <v>774</v>
      </c>
      <c r="G24" t="s">
        <v>563</v>
      </c>
      <c r="H24" t="s">
        <v>392</v>
      </c>
      <c r="I24" t="s">
        <v>721</v>
      </c>
      <c r="J24" t="s">
        <v>780</v>
      </c>
    </row>
    <row r="25" spans="1:10" x14ac:dyDescent="0.35">
      <c r="A25">
        <v>24</v>
      </c>
      <c r="B25" t="s">
        <v>781</v>
      </c>
      <c r="C25">
        <v>1024</v>
      </c>
      <c r="D25" t="s">
        <v>736</v>
      </c>
      <c r="E25" t="s">
        <v>737</v>
      </c>
      <c r="F25" t="s">
        <v>774</v>
      </c>
      <c r="G25" t="s">
        <v>551</v>
      </c>
      <c r="H25" t="s">
        <v>380</v>
      </c>
      <c r="I25" t="s">
        <v>722</v>
      </c>
      <c r="J25" t="s">
        <v>782</v>
      </c>
    </row>
    <row r="26" spans="1:10" x14ac:dyDescent="0.35">
      <c r="A26">
        <v>25</v>
      </c>
      <c r="B26" t="s">
        <v>783</v>
      </c>
      <c r="C26">
        <v>1025</v>
      </c>
      <c r="D26" t="s">
        <v>736</v>
      </c>
      <c r="E26" t="s">
        <v>737</v>
      </c>
      <c r="F26" t="s">
        <v>774</v>
      </c>
      <c r="G26" t="s">
        <v>643</v>
      </c>
      <c r="H26" t="s">
        <v>472</v>
      </c>
      <c r="I26" t="s">
        <v>722</v>
      </c>
      <c r="J26" t="s">
        <v>760</v>
      </c>
    </row>
    <row r="27" spans="1:10" x14ac:dyDescent="0.35">
      <c r="A27">
        <v>26</v>
      </c>
      <c r="B27" t="s">
        <v>784</v>
      </c>
      <c r="C27">
        <v>1026</v>
      </c>
      <c r="D27" t="s">
        <v>736</v>
      </c>
      <c r="E27" t="s">
        <v>785</v>
      </c>
      <c r="F27" t="s">
        <v>786</v>
      </c>
      <c r="G27" t="s">
        <v>703</v>
      </c>
      <c r="H27" t="s">
        <v>532</v>
      </c>
      <c r="I27" t="s">
        <v>721</v>
      </c>
      <c r="J27" t="s">
        <v>787</v>
      </c>
    </row>
    <row r="28" spans="1:10" x14ac:dyDescent="0.35">
      <c r="A28">
        <v>27</v>
      </c>
      <c r="B28" t="s">
        <v>788</v>
      </c>
      <c r="C28">
        <v>1027</v>
      </c>
      <c r="D28" t="s">
        <v>736</v>
      </c>
      <c r="E28" t="s">
        <v>785</v>
      </c>
      <c r="F28" t="s">
        <v>786</v>
      </c>
      <c r="G28" t="s">
        <v>621</v>
      </c>
      <c r="H28" t="s">
        <v>450</v>
      </c>
      <c r="I28" t="s">
        <v>722</v>
      </c>
      <c r="J28" t="s">
        <v>789</v>
      </c>
    </row>
    <row r="29" spans="1:10" x14ac:dyDescent="0.35">
      <c r="A29">
        <v>28</v>
      </c>
      <c r="B29" t="s">
        <v>790</v>
      </c>
      <c r="C29">
        <v>1028</v>
      </c>
      <c r="D29" t="s">
        <v>736</v>
      </c>
      <c r="E29" t="s">
        <v>785</v>
      </c>
      <c r="F29" t="s">
        <v>786</v>
      </c>
      <c r="G29" t="s">
        <v>713</v>
      </c>
      <c r="H29" t="s">
        <v>542</v>
      </c>
      <c r="I29" t="s">
        <v>722</v>
      </c>
      <c r="J29" t="s">
        <v>791</v>
      </c>
    </row>
    <row r="30" spans="1:10" x14ac:dyDescent="0.35">
      <c r="A30">
        <v>29</v>
      </c>
      <c r="B30" t="s">
        <v>792</v>
      </c>
      <c r="C30">
        <v>1029</v>
      </c>
      <c r="D30" t="s">
        <v>736</v>
      </c>
      <c r="E30" t="s">
        <v>785</v>
      </c>
      <c r="F30" t="s">
        <v>786</v>
      </c>
      <c r="G30" t="s">
        <v>598</v>
      </c>
      <c r="H30" t="s">
        <v>427</v>
      </c>
      <c r="I30" t="s">
        <v>721</v>
      </c>
      <c r="J30" t="s">
        <v>793</v>
      </c>
    </row>
    <row r="31" spans="1:10" x14ac:dyDescent="0.35">
      <c r="A31">
        <v>30</v>
      </c>
      <c r="B31" t="s">
        <v>794</v>
      </c>
      <c r="C31">
        <v>1030</v>
      </c>
      <c r="D31" t="s">
        <v>736</v>
      </c>
      <c r="E31" t="s">
        <v>785</v>
      </c>
      <c r="F31" t="s">
        <v>786</v>
      </c>
      <c r="G31" t="s">
        <v>609</v>
      </c>
      <c r="H31" t="s">
        <v>438</v>
      </c>
      <c r="I31" t="s">
        <v>722</v>
      </c>
      <c r="J31" t="s">
        <v>795</v>
      </c>
    </row>
    <row r="32" spans="1:10" x14ac:dyDescent="0.35">
      <c r="A32">
        <v>31</v>
      </c>
      <c r="B32" t="s">
        <v>796</v>
      </c>
      <c r="C32">
        <v>1031</v>
      </c>
      <c r="D32" t="s">
        <v>736</v>
      </c>
      <c r="E32" t="s">
        <v>785</v>
      </c>
      <c r="F32" t="s">
        <v>786</v>
      </c>
      <c r="G32" t="s">
        <v>657</v>
      </c>
      <c r="H32" t="s">
        <v>486</v>
      </c>
      <c r="I32" t="s">
        <v>721</v>
      </c>
      <c r="J32" t="s">
        <v>797</v>
      </c>
    </row>
    <row r="33" spans="1:10" x14ac:dyDescent="0.35">
      <c r="A33">
        <v>32</v>
      </c>
      <c r="B33" t="s">
        <v>798</v>
      </c>
      <c r="C33">
        <v>1032</v>
      </c>
      <c r="D33" t="s">
        <v>736</v>
      </c>
      <c r="E33" t="s">
        <v>785</v>
      </c>
      <c r="F33" t="s">
        <v>786</v>
      </c>
      <c r="G33" t="s">
        <v>572</v>
      </c>
      <c r="H33" t="s">
        <v>401</v>
      </c>
      <c r="I33" t="s">
        <v>721</v>
      </c>
      <c r="J33" t="s">
        <v>799</v>
      </c>
    </row>
    <row r="34" spans="1:10" x14ac:dyDescent="0.35">
      <c r="A34">
        <v>33</v>
      </c>
      <c r="B34" t="s">
        <v>800</v>
      </c>
      <c r="C34">
        <v>1033</v>
      </c>
      <c r="D34" t="s">
        <v>736</v>
      </c>
      <c r="E34" t="s">
        <v>785</v>
      </c>
      <c r="F34" t="s">
        <v>786</v>
      </c>
      <c r="G34" t="s">
        <v>664</v>
      </c>
      <c r="H34" t="s">
        <v>493</v>
      </c>
      <c r="I34" t="s">
        <v>721</v>
      </c>
      <c r="J34" t="s">
        <v>801</v>
      </c>
    </row>
    <row r="35" spans="1:10" x14ac:dyDescent="0.35">
      <c r="A35">
        <v>34</v>
      </c>
      <c r="B35" t="s">
        <v>802</v>
      </c>
      <c r="C35">
        <v>1034</v>
      </c>
      <c r="D35" t="s">
        <v>736</v>
      </c>
      <c r="E35" t="s">
        <v>785</v>
      </c>
      <c r="F35" t="s">
        <v>803</v>
      </c>
      <c r="G35" t="s">
        <v>703</v>
      </c>
      <c r="H35" t="s">
        <v>532</v>
      </c>
      <c r="I35" t="s">
        <v>721</v>
      </c>
      <c r="J35" t="s">
        <v>787</v>
      </c>
    </row>
    <row r="36" spans="1:10" x14ac:dyDescent="0.35">
      <c r="A36">
        <v>35</v>
      </c>
      <c r="B36" t="s">
        <v>804</v>
      </c>
      <c r="C36">
        <v>1035</v>
      </c>
      <c r="D36" t="s">
        <v>736</v>
      </c>
      <c r="E36" t="s">
        <v>785</v>
      </c>
      <c r="F36" t="s">
        <v>803</v>
      </c>
      <c r="G36" t="s">
        <v>635</v>
      </c>
      <c r="H36" t="s">
        <v>464</v>
      </c>
      <c r="I36" t="s">
        <v>722</v>
      </c>
      <c r="J36" t="s">
        <v>805</v>
      </c>
    </row>
    <row r="37" spans="1:10" x14ac:dyDescent="0.35">
      <c r="A37">
        <v>36</v>
      </c>
      <c r="B37" t="s">
        <v>806</v>
      </c>
      <c r="C37">
        <v>1036</v>
      </c>
      <c r="D37" t="s">
        <v>736</v>
      </c>
      <c r="E37" t="s">
        <v>785</v>
      </c>
      <c r="F37" t="s">
        <v>803</v>
      </c>
      <c r="G37" t="s">
        <v>647</v>
      </c>
      <c r="H37" t="s">
        <v>476</v>
      </c>
      <c r="I37" t="s">
        <v>722</v>
      </c>
      <c r="J37" t="s">
        <v>807</v>
      </c>
    </row>
    <row r="38" spans="1:10" x14ac:dyDescent="0.35">
      <c r="A38">
        <v>37</v>
      </c>
      <c r="B38" t="s">
        <v>808</v>
      </c>
      <c r="C38">
        <v>1037</v>
      </c>
      <c r="D38" t="s">
        <v>736</v>
      </c>
      <c r="E38" t="s">
        <v>785</v>
      </c>
      <c r="F38" t="s">
        <v>803</v>
      </c>
      <c r="G38" t="s">
        <v>553</v>
      </c>
      <c r="H38" t="s">
        <v>382</v>
      </c>
      <c r="I38" t="s">
        <v>722</v>
      </c>
      <c r="J38" t="s">
        <v>809</v>
      </c>
    </row>
    <row r="39" spans="1:10" x14ac:dyDescent="0.35">
      <c r="A39">
        <v>38</v>
      </c>
      <c r="B39" t="s">
        <v>810</v>
      </c>
      <c r="C39">
        <v>1038</v>
      </c>
      <c r="D39" t="s">
        <v>736</v>
      </c>
      <c r="E39" t="s">
        <v>785</v>
      </c>
      <c r="F39" t="s">
        <v>803</v>
      </c>
      <c r="G39" t="s">
        <v>694</v>
      </c>
      <c r="H39" t="s">
        <v>523</v>
      </c>
      <c r="I39" t="s">
        <v>721</v>
      </c>
      <c r="J39" t="s">
        <v>811</v>
      </c>
    </row>
    <row r="40" spans="1:10" x14ac:dyDescent="0.35">
      <c r="A40">
        <v>39</v>
      </c>
      <c r="B40" t="s">
        <v>812</v>
      </c>
      <c r="C40">
        <v>1039</v>
      </c>
      <c r="D40" t="s">
        <v>736</v>
      </c>
      <c r="E40" t="s">
        <v>785</v>
      </c>
      <c r="F40" t="s">
        <v>803</v>
      </c>
      <c r="G40" t="s">
        <v>598</v>
      </c>
      <c r="H40" t="s">
        <v>427</v>
      </c>
      <c r="I40" t="s">
        <v>721</v>
      </c>
      <c r="J40" t="s">
        <v>793</v>
      </c>
    </row>
    <row r="41" spans="1:10" x14ac:dyDescent="0.35">
      <c r="A41">
        <v>40</v>
      </c>
      <c r="B41" t="s">
        <v>813</v>
      </c>
      <c r="C41">
        <v>1040</v>
      </c>
      <c r="D41" t="s">
        <v>736</v>
      </c>
      <c r="E41" t="s">
        <v>785</v>
      </c>
      <c r="F41" t="s">
        <v>803</v>
      </c>
      <c r="G41" t="s">
        <v>609</v>
      </c>
      <c r="H41" t="s">
        <v>438</v>
      </c>
      <c r="I41" t="s">
        <v>722</v>
      </c>
      <c r="J41" t="s">
        <v>795</v>
      </c>
    </row>
    <row r="42" spans="1:10" x14ac:dyDescent="0.35">
      <c r="A42">
        <v>41</v>
      </c>
      <c r="B42" t="s">
        <v>814</v>
      </c>
      <c r="C42">
        <v>1041</v>
      </c>
      <c r="D42" t="s">
        <v>736</v>
      </c>
      <c r="E42" t="s">
        <v>785</v>
      </c>
      <c r="F42" t="s">
        <v>803</v>
      </c>
      <c r="G42" t="s">
        <v>719</v>
      </c>
      <c r="H42" t="s">
        <v>548</v>
      </c>
      <c r="I42" t="s">
        <v>721</v>
      </c>
      <c r="J42" t="s">
        <v>815</v>
      </c>
    </row>
    <row r="43" spans="1:10" x14ac:dyDescent="0.35">
      <c r="A43">
        <v>42</v>
      </c>
      <c r="B43" t="s">
        <v>816</v>
      </c>
      <c r="C43">
        <v>1042</v>
      </c>
      <c r="D43" t="s">
        <v>736</v>
      </c>
      <c r="E43" t="s">
        <v>785</v>
      </c>
      <c r="F43" t="s">
        <v>817</v>
      </c>
      <c r="G43" t="s">
        <v>613</v>
      </c>
      <c r="H43" t="s">
        <v>442</v>
      </c>
      <c r="I43" t="s">
        <v>722</v>
      </c>
      <c r="J43" t="s">
        <v>818</v>
      </c>
    </row>
    <row r="44" spans="1:10" x14ac:dyDescent="0.35">
      <c r="A44">
        <v>43</v>
      </c>
      <c r="B44" t="s">
        <v>819</v>
      </c>
      <c r="C44">
        <v>1043</v>
      </c>
      <c r="D44" t="s">
        <v>736</v>
      </c>
      <c r="E44" t="s">
        <v>785</v>
      </c>
      <c r="F44" t="s">
        <v>817</v>
      </c>
      <c r="G44" t="s">
        <v>713</v>
      </c>
      <c r="H44" t="s">
        <v>542</v>
      </c>
      <c r="I44" t="s">
        <v>722</v>
      </c>
      <c r="J44" t="s">
        <v>791</v>
      </c>
    </row>
    <row r="45" spans="1:10" x14ac:dyDescent="0.35">
      <c r="A45">
        <v>44</v>
      </c>
      <c r="B45" t="s">
        <v>820</v>
      </c>
      <c r="C45">
        <v>1044</v>
      </c>
      <c r="D45" t="s">
        <v>736</v>
      </c>
      <c r="E45" t="s">
        <v>785</v>
      </c>
      <c r="F45" t="s">
        <v>817</v>
      </c>
      <c r="G45" t="s">
        <v>711</v>
      </c>
      <c r="H45" t="s">
        <v>540</v>
      </c>
      <c r="I45" t="s">
        <v>722</v>
      </c>
      <c r="J45" t="s">
        <v>821</v>
      </c>
    </row>
    <row r="46" spans="1:10" x14ac:dyDescent="0.35">
      <c r="A46">
        <v>45</v>
      </c>
      <c r="B46" t="s">
        <v>822</v>
      </c>
      <c r="C46">
        <v>1045</v>
      </c>
      <c r="D46" t="s">
        <v>736</v>
      </c>
      <c r="E46" t="s">
        <v>785</v>
      </c>
      <c r="F46" t="s">
        <v>817</v>
      </c>
      <c r="G46" t="s">
        <v>694</v>
      </c>
      <c r="H46" t="s">
        <v>523</v>
      </c>
      <c r="I46" t="s">
        <v>721</v>
      </c>
      <c r="J46" t="s">
        <v>811</v>
      </c>
    </row>
    <row r="47" spans="1:10" x14ac:dyDescent="0.35">
      <c r="A47">
        <v>46</v>
      </c>
      <c r="B47" t="s">
        <v>823</v>
      </c>
      <c r="C47">
        <v>1046</v>
      </c>
      <c r="D47" t="s">
        <v>736</v>
      </c>
      <c r="E47" t="s">
        <v>785</v>
      </c>
      <c r="F47" t="s">
        <v>817</v>
      </c>
      <c r="G47" t="s">
        <v>629</v>
      </c>
      <c r="H47" t="s">
        <v>458</v>
      </c>
      <c r="I47" t="s">
        <v>722</v>
      </c>
      <c r="J47" t="s">
        <v>824</v>
      </c>
    </row>
    <row r="48" spans="1:10" x14ac:dyDescent="0.35">
      <c r="A48">
        <v>47</v>
      </c>
      <c r="B48" t="s">
        <v>825</v>
      </c>
      <c r="C48">
        <v>1047</v>
      </c>
      <c r="D48" t="s">
        <v>736</v>
      </c>
      <c r="E48" t="s">
        <v>785</v>
      </c>
      <c r="F48" t="s">
        <v>817</v>
      </c>
      <c r="G48" t="s">
        <v>574</v>
      </c>
      <c r="H48" t="s">
        <v>403</v>
      </c>
      <c r="I48" t="s">
        <v>722</v>
      </c>
      <c r="J48" t="s">
        <v>826</v>
      </c>
    </row>
    <row r="49" spans="1:10" x14ac:dyDescent="0.35">
      <c r="A49">
        <v>48</v>
      </c>
      <c r="B49" t="s">
        <v>827</v>
      </c>
      <c r="C49">
        <v>1048</v>
      </c>
      <c r="D49" t="s">
        <v>736</v>
      </c>
      <c r="E49" t="s">
        <v>785</v>
      </c>
      <c r="F49" t="s">
        <v>828</v>
      </c>
      <c r="G49" t="s">
        <v>703</v>
      </c>
      <c r="H49" t="s">
        <v>532</v>
      </c>
      <c r="I49" t="s">
        <v>721</v>
      </c>
      <c r="J49" t="s">
        <v>787</v>
      </c>
    </row>
    <row r="50" spans="1:10" x14ac:dyDescent="0.35">
      <c r="A50">
        <v>49</v>
      </c>
      <c r="B50" t="s">
        <v>829</v>
      </c>
      <c r="C50">
        <v>1049</v>
      </c>
      <c r="D50" t="s">
        <v>736</v>
      </c>
      <c r="E50" t="s">
        <v>785</v>
      </c>
      <c r="F50" t="s">
        <v>828</v>
      </c>
      <c r="G50" t="s">
        <v>635</v>
      </c>
      <c r="H50" t="s">
        <v>464</v>
      </c>
      <c r="I50" t="s">
        <v>722</v>
      </c>
      <c r="J50" t="s">
        <v>805</v>
      </c>
    </row>
    <row r="51" spans="1:10" x14ac:dyDescent="0.35">
      <c r="A51">
        <v>50</v>
      </c>
      <c r="B51" t="s">
        <v>830</v>
      </c>
      <c r="C51">
        <v>1050</v>
      </c>
      <c r="D51" t="s">
        <v>736</v>
      </c>
      <c r="E51" t="s">
        <v>785</v>
      </c>
      <c r="F51" t="s">
        <v>828</v>
      </c>
      <c r="G51" t="s">
        <v>706</v>
      </c>
      <c r="H51" t="s">
        <v>535</v>
      </c>
      <c r="I51" t="s">
        <v>722</v>
      </c>
      <c r="J51" t="s">
        <v>831</v>
      </c>
    </row>
    <row r="52" spans="1:10" x14ac:dyDescent="0.35">
      <c r="A52">
        <v>51</v>
      </c>
      <c r="B52" t="s">
        <v>832</v>
      </c>
      <c r="C52">
        <v>1051</v>
      </c>
      <c r="D52" t="s">
        <v>736</v>
      </c>
      <c r="E52" t="s">
        <v>785</v>
      </c>
      <c r="F52" t="s">
        <v>828</v>
      </c>
      <c r="G52" t="s">
        <v>647</v>
      </c>
      <c r="H52" t="s">
        <v>476</v>
      </c>
      <c r="I52" t="s">
        <v>722</v>
      </c>
      <c r="J52" t="s">
        <v>807</v>
      </c>
    </row>
    <row r="53" spans="1:10" x14ac:dyDescent="0.35">
      <c r="A53">
        <v>52</v>
      </c>
      <c r="B53" t="s">
        <v>833</v>
      </c>
      <c r="C53">
        <v>1052</v>
      </c>
      <c r="D53" t="s">
        <v>736</v>
      </c>
      <c r="E53" t="s">
        <v>785</v>
      </c>
      <c r="F53" t="s">
        <v>828</v>
      </c>
      <c r="G53" t="s">
        <v>713</v>
      </c>
      <c r="H53" t="s">
        <v>542</v>
      </c>
      <c r="I53" t="s">
        <v>722</v>
      </c>
      <c r="J53" t="s">
        <v>791</v>
      </c>
    </row>
    <row r="54" spans="1:10" x14ac:dyDescent="0.35">
      <c r="A54">
        <v>53</v>
      </c>
      <c r="B54" t="s">
        <v>834</v>
      </c>
      <c r="C54">
        <v>1053</v>
      </c>
      <c r="D54" t="s">
        <v>736</v>
      </c>
      <c r="E54" t="s">
        <v>785</v>
      </c>
      <c r="F54" t="s">
        <v>828</v>
      </c>
      <c r="G54" t="s">
        <v>612</v>
      </c>
      <c r="H54" t="s">
        <v>441</v>
      </c>
      <c r="I54" t="s">
        <v>722</v>
      </c>
      <c r="J54" t="s">
        <v>835</v>
      </c>
    </row>
    <row r="55" spans="1:10" x14ac:dyDescent="0.35">
      <c r="A55">
        <v>54</v>
      </c>
      <c r="B55" t="s">
        <v>836</v>
      </c>
      <c r="C55">
        <v>1054</v>
      </c>
      <c r="D55" t="s">
        <v>736</v>
      </c>
      <c r="E55" t="s">
        <v>785</v>
      </c>
      <c r="F55" t="s">
        <v>828</v>
      </c>
      <c r="G55" t="s">
        <v>719</v>
      </c>
      <c r="H55" t="s">
        <v>548</v>
      </c>
      <c r="I55" t="s">
        <v>721</v>
      </c>
      <c r="J55" t="s">
        <v>815</v>
      </c>
    </row>
    <row r="56" spans="1:10" x14ac:dyDescent="0.35">
      <c r="A56">
        <v>55</v>
      </c>
      <c r="B56" t="s">
        <v>837</v>
      </c>
      <c r="C56">
        <v>1055</v>
      </c>
      <c r="D56" t="s">
        <v>736</v>
      </c>
      <c r="E56" t="s">
        <v>838</v>
      </c>
      <c r="F56" t="s">
        <v>839</v>
      </c>
      <c r="G56" t="s">
        <v>595</v>
      </c>
      <c r="H56" t="s">
        <v>424</v>
      </c>
      <c r="I56" t="s">
        <v>721</v>
      </c>
      <c r="J56" t="s">
        <v>840</v>
      </c>
    </row>
    <row r="57" spans="1:10" x14ac:dyDescent="0.35">
      <c r="A57">
        <v>56</v>
      </c>
      <c r="B57" t="s">
        <v>841</v>
      </c>
      <c r="C57">
        <v>1056</v>
      </c>
      <c r="D57" t="s">
        <v>736</v>
      </c>
      <c r="E57" t="s">
        <v>838</v>
      </c>
      <c r="F57" t="s">
        <v>839</v>
      </c>
      <c r="G57" t="s">
        <v>696</v>
      </c>
      <c r="H57" t="s">
        <v>525</v>
      </c>
      <c r="I57" t="s">
        <v>721</v>
      </c>
      <c r="J57" t="s">
        <v>842</v>
      </c>
    </row>
    <row r="58" spans="1:10" x14ac:dyDescent="0.35">
      <c r="A58">
        <v>57</v>
      </c>
      <c r="B58" t="s">
        <v>843</v>
      </c>
      <c r="C58">
        <v>1057</v>
      </c>
      <c r="D58" t="s">
        <v>736</v>
      </c>
      <c r="E58" t="s">
        <v>838</v>
      </c>
      <c r="F58" t="s">
        <v>839</v>
      </c>
      <c r="G58" t="s">
        <v>631</v>
      </c>
      <c r="H58" t="s">
        <v>460</v>
      </c>
      <c r="I58" t="s">
        <v>722</v>
      </c>
      <c r="J58" t="s">
        <v>844</v>
      </c>
    </row>
    <row r="59" spans="1:10" x14ac:dyDescent="0.35">
      <c r="A59">
        <v>58</v>
      </c>
      <c r="B59" t="s">
        <v>845</v>
      </c>
      <c r="C59">
        <v>1058</v>
      </c>
      <c r="D59" t="s">
        <v>736</v>
      </c>
      <c r="E59" t="s">
        <v>838</v>
      </c>
      <c r="F59" t="s">
        <v>839</v>
      </c>
      <c r="G59" t="s">
        <v>615</v>
      </c>
      <c r="H59" t="s">
        <v>444</v>
      </c>
      <c r="I59" t="s">
        <v>722</v>
      </c>
      <c r="J59" t="s">
        <v>846</v>
      </c>
    </row>
    <row r="60" spans="1:10" x14ac:dyDescent="0.35">
      <c r="A60">
        <v>59</v>
      </c>
      <c r="B60" t="s">
        <v>847</v>
      </c>
      <c r="C60">
        <v>1059</v>
      </c>
      <c r="D60" t="s">
        <v>736</v>
      </c>
      <c r="E60" t="s">
        <v>838</v>
      </c>
      <c r="F60" t="s">
        <v>839</v>
      </c>
      <c r="G60" t="s">
        <v>615</v>
      </c>
      <c r="H60" t="s">
        <v>444</v>
      </c>
      <c r="I60" t="s">
        <v>722</v>
      </c>
      <c r="J60" t="s">
        <v>846</v>
      </c>
    </row>
    <row r="61" spans="1:10" x14ac:dyDescent="0.35">
      <c r="A61">
        <v>60</v>
      </c>
      <c r="B61" t="s">
        <v>848</v>
      </c>
      <c r="C61">
        <v>1060</v>
      </c>
      <c r="D61" t="s">
        <v>736</v>
      </c>
      <c r="E61" t="s">
        <v>838</v>
      </c>
      <c r="F61" t="s">
        <v>839</v>
      </c>
      <c r="G61" t="s">
        <v>587</v>
      </c>
      <c r="H61" t="s">
        <v>416</v>
      </c>
      <c r="I61" t="s">
        <v>722</v>
      </c>
      <c r="J61" t="s">
        <v>849</v>
      </c>
    </row>
    <row r="62" spans="1:10" x14ac:dyDescent="0.35">
      <c r="A62">
        <v>61</v>
      </c>
      <c r="B62" t="s">
        <v>850</v>
      </c>
      <c r="C62">
        <v>1061</v>
      </c>
      <c r="D62" t="s">
        <v>736</v>
      </c>
      <c r="E62" t="s">
        <v>838</v>
      </c>
      <c r="F62" t="s">
        <v>839</v>
      </c>
      <c r="G62" t="s">
        <v>624</v>
      </c>
      <c r="H62" t="s">
        <v>453</v>
      </c>
      <c r="I62" t="s">
        <v>722</v>
      </c>
      <c r="J62" t="s">
        <v>851</v>
      </c>
    </row>
    <row r="63" spans="1:10" x14ac:dyDescent="0.35">
      <c r="A63">
        <v>62</v>
      </c>
      <c r="B63" t="s">
        <v>852</v>
      </c>
      <c r="C63">
        <v>1062</v>
      </c>
      <c r="D63" t="s">
        <v>736</v>
      </c>
      <c r="E63" t="s">
        <v>838</v>
      </c>
      <c r="F63" t="s">
        <v>853</v>
      </c>
      <c r="G63" t="s">
        <v>661</v>
      </c>
      <c r="H63" t="s">
        <v>490</v>
      </c>
      <c r="I63" t="s">
        <v>721</v>
      </c>
      <c r="J63" t="s">
        <v>854</v>
      </c>
    </row>
    <row r="64" spans="1:10" x14ac:dyDescent="0.35">
      <c r="A64">
        <v>63</v>
      </c>
      <c r="B64" t="s">
        <v>855</v>
      </c>
      <c r="C64">
        <v>1063</v>
      </c>
      <c r="D64" t="s">
        <v>736</v>
      </c>
      <c r="E64" t="s">
        <v>838</v>
      </c>
      <c r="F64" t="s">
        <v>853</v>
      </c>
      <c r="G64" t="s">
        <v>587</v>
      </c>
      <c r="H64" t="s">
        <v>416</v>
      </c>
      <c r="I64" t="s">
        <v>722</v>
      </c>
      <c r="J64" t="s">
        <v>849</v>
      </c>
    </row>
    <row r="65" spans="1:10" x14ac:dyDescent="0.35">
      <c r="A65">
        <v>64</v>
      </c>
      <c r="B65" t="s">
        <v>856</v>
      </c>
      <c r="C65">
        <v>1064</v>
      </c>
      <c r="D65" t="s">
        <v>736</v>
      </c>
      <c r="E65" t="s">
        <v>838</v>
      </c>
      <c r="F65" t="s">
        <v>853</v>
      </c>
      <c r="G65" t="s">
        <v>650</v>
      </c>
      <c r="H65" t="s">
        <v>479</v>
      </c>
      <c r="I65" t="s">
        <v>722</v>
      </c>
      <c r="J65" t="s">
        <v>857</v>
      </c>
    </row>
    <row r="66" spans="1:10" x14ac:dyDescent="0.35">
      <c r="A66">
        <v>65</v>
      </c>
      <c r="B66" t="s">
        <v>858</v>
      </c>
      <c r="C66">
        <v>1065</v>
      </c>
      <c r="D66" t="s">
        <v>736</v>
      </c>
      <c r="E66" t="s">
        <v>838</v>
      </c>
      <c r="F66" t="s">
        <v>853</v>
      </c>
      <c r="G66" t="s">
        <v>691</v>
      </c>
      <c r="H66" t="s">
        <v>520</v>
      </c>
      <c r="I66" t="s">
        <v>721</v>
      </c>
      <c r="J66" t="s">
        <v>859</v>
      </c>
    </row>
    <row r="67" spans="1:10" x14ac:dyDescent="0.35">
      <c r="A67">
        <v>66</v>
      </c>
      <c r="B67" t="s">
        <v>860</v>
      </c>
      <c r="C67">
        <v>1066</v>
      </c>
      <c r="D67" t="s">
        <v>736</v>
      </c>
      <c r="E67" t="s">
        <v>838</v>
      </c>
      <c r="F67" t="s">
        <v>853</v>
      </c>
      <c r="G67" t="s">
        <v>646</v>
      </c>
      <c r="H67" t="s">
        <v>475</v>
      </c>
      <c r="I67" t="s">
        <v>722</v>
      </c>
      <c r="J67" t="s">
        <v>861</v>
      </c>
    </row>
    <row r="68" spans="1:10" x14ac:dyDescent="0.35">
      <c r="A68">
        <v>67</v>
      </c>
      <c r="B68" t="s">
        <v>862</v>
      </c>
      <c r="C68">
        <v>1067</v>
      </c>
      <c r="D68" t="s">
        <v>736</v>
      </c>
      <c r="E68" t="s">
        <v>838</v>
      </c>
      <c r="F68" t="s">
        <v>853</v>
      </c>
      <c r="G68" t="s">
        <v>624</v>
      </c>
      <c r="H68" t="s">
        <v>453</v>
      </c>
      <c r="I68" t="s">
        <v>722</v>
      </c>
      <c r="J68" t="s">
        <v>851</v>
      </c>
    </row>
    <row r="69" spans="1:10" x14ac:dyDescent="0.35">
      <c r="A69">
        <v>68</v>
      </c>
      <c r="B69" t="s">
        <v>863</v>
      </c>
      <c r="C69">
        <v>1068</v>
      </c>
      <c r="D69" t="s">
        <v>736</v>
      </c>
      <c r="E69" t="s">
        <v>838</v>
      </c>
      <c r="F69" t="s">
        <v>853</v>
      </c>
      <c r="G69" t="s">
        <v>705</v>
      </c>
      <c r="H69" t="s">
        <v>534</v>
      </c>
      <c r="I69" t="s">
        <v>722</v>
      </c>
      <c r="J69" t="s">
        <v>864</v>
      </c>
    </row>
    <row r="70" spans="1:10" x14ac:dyDescent="0.35">
      <c r="A70">
        <v>69</v>
      </c>
      <c r="B70" t="s">
        <v>865</v>
      </c>
      <c r="C70">
        <v>1069</v>
      </c>
      <c r="D70" t="s">
        <v>736</v>
      </c>
      <c r="E70" t="s">
        <v>838</v>
      </c>
      <c r="F70" t="s">
        <v>866</v>
      </c>
      <c r="G70" t="s">
        <v>695</v>
      </c>
      <c r="H70" t="s">
        <v>524</v>
      </c>
      <c r="I70" t="s">
        <v>721</v>
      </c>
      <c r="J70" t="s">
        <v>867</v>
      </c>
    </row>
    <row r="71" spans="1:10" x14ac:dyDescent="0.35">
      <c r="A71">
        <v>70</v>
      </c>
      <c r="B71" t="s">
        <v>868</v>
      </c>
      <c r="C71">
        <v>1070</v>
      </c>
      <c r="D71" t="s">
        <v>736</v>
      </c>
      <c r="E71" t="s">
        <v>838</v>
      </c>
      <c r="F71" t="s">
        <v>866</v>
      </c>
      <c r="G71" t="s">
        <v>626</v>
      </c>
      <c r="H71" t="s">
        <v>455</v>
      </c>
      <c r="I71" t="s">
        <v>721</v>
      </c>
      <c r="J71" t="s">
        <v>869</v>
      </c>
    </row>
    <row r="72" spans="1:10" x14ac:dyDescent="0.35">
      <c r="A72">
        <v>71</v>
      </c>
      <c r="B72" t="s">
        <v>870</v>
      </c>
      <c r="C72">
        <v>1071</v>
      </c>
      <c r="D72" t="s">
        <v>736</v>
      </c>
      <c r="E72" t="s">
        <v>838</v>
      </c>
      <c r="F72" t="s">
        <v>866</v>
      </c>
      <c r="G72" t="s">
        <v>660</v>
      </c>
      <c r="H72" t="s">
        <v>489</v>
      </c>
      <c r="I72" t="s">
        <v>722</v>
      </c>
      <c r="J72" t="s">
        <v>871</v>
      </c>
    </row>
    <row r="73" spans="1:10" x14ac:dyDescent="0.35">
      <c r="A73">
        <v>72</v>
      </c>
      <c r="B73" t="s">
        <v>872</v>
      </c>
      <c r="C73">
        <v>1072</v>
      </c>
      <c r="D73" t="s">
        <v>736</v>
      </c>
      <c r="E73" t="s">
        <v>838</v>
      </c>
      <c r="F73" t="s">
        <v>866</v>
      </c>
      <c r="G73" t="s">
        <v>637</v>
      </c>
      <c r="H73" t="s">
        <v>466</v>
      </c>
      <c r="I73" t="s">
        <v>722</v>
      </c>
      <c r="J73" t="s">
        <v>873</v>
      </c>
    </row>
    <row r="74" spans="1:10" x14ac:dyDescent="0.35">
      <c r="A74">
        <v>73</v>
      </c>
      <c r="B74" t="s">
        <v>874</v>
      </c>
      <c r="C74">
        <v>1073</v>
      </c>
      <c r="D74" t="s">
        <v>736</v>
      </c>
      <c r="E74" t="s">
        <v>838</v>
      </c>
      <c r="F74" t="s">
        <v>866</v>
      </c>
      <c r="G74" t="s">
        <v>650</v>
      </c>
      <c r="H74" t="s">
        <v>479</v>
      </c>
      <c r="I74" t="s">
        <v>722</v>
      </c>
      <c r="J74" t="s">
        <v>857</v>
      </c>
    </row>
    <row r="75" spans="1:10" x14ac:dyDescent="0.35">
      <c r="A75">
        <v>74</v>
      </c>
      <c r="B75" t="s">
        <v>875</v>
      </c>
      <c r="C75">
        <v>1074</v>
      </c>
      <c r="D75" t="s">
        <v>736</v>
      </c>
      <c r="E75" t="s">
        <v>838</v>
      </c>
      <c r="F75" t="s">
        <v>866</v>
      </c>
      <c r="G75" t="s">
        <v>646</v>
      </c>
      <c r="H75" t="s">
        <v>475</v>
      </c>
      <c r="I75" t="s">
        <v>722</v>
      </c>
      <c r="J75" t="s">
        <v>861</v>
      </c>
    </row>
    <row r="76" spans="1:10" x14ac:dyDescent="0.35">
      <c r="A76">
        <v>75</v>
      </c>
      <c r="B76" t="s">
        <v>876</v>
      </c>
      <c r="C76">
        <v>1075</v>
      </c>
      <c r="D76" t="s">
        <v>736</v>
      </c>
      <c r="E76" t="s">
        <v>838</v>
      </c>
      <c r="F76" t="s">
        <v>866</v>
      </c>
      <c r="G76" t="s">
        <v>705</v>
      </c>
      <c r="H76" t="s">
        <v>534</v>
      </c>
      <c r="I76" t="s">
        <v>722</v>
      </c>
      <c r="J76" t="s">
        <v>864</v>
      </c>
    </row>
    <row r="77" spans="1:10" x14ac:dyDescent="0.35">
      <c r="A77">
        <v>76</v>
      </c>
      <c r="B77" t="s">
        <v>877</v>
      </c>
      <c r="C77">
        <v>1076</v>
      </c>
      <c r="D77" t="s">
        <v>736</v>
      </c>
      <c r="E77" t="s">
        <v>838</v>
      </c>
      <c r="F77" t="s">
        <v>878</v>
      </c>
      <c r="G77" t="s">
        <v>626</v>
      </c>
      <c r="H77" t="s">
        <v>455</v>
      </c>
      <c r="I77" t="s">
        <v>721</v>
      </c>
      <c r="J77" t="s">
        <v>869</v>
      </c>
    </row>
    <row r="78" spans="1:10" x14ac:dyDescent="0.35">
      <c r="A78">
        <v>77</v>
      </c>
      <c r="B78" t="s">
        <v>879</v>
      </c>
      <c r="C78">
        <v>1077</v>
      </c>
      <c r="D78" t="s">
        <v>736</v>
      </c>
      <c r="E78" t="s">
        <v>838</v>
      </c>
      <c r="F78" t="s">
        <v>878</v>
      </c>
      <c r="G78" t="s">
        <v>696</v>
      </c>
      <c r="H78" t="s">
        <v>525</v>
      </c>
      <c r="I78" t="s">
        <v>721</v>
      </c>
      <c r="J78" t="s">
        <v>842</v>
      </c>
    </row>
    <row r="79" spans="1:10" x14ac:dyDescent="0.35">
      <c r="A79">
        <v>78</v>
      </c>
      <c r="B79" t="s">
        <v>773</v>
      </c>
      <c r="C79">
        <v>1078</v>
      </c>
      <c r="D79" t="s">
        <v>736</v>
      </c>
      <c r="E79" t="s">
        <v>838</v>
      </c>
      <c r="F79" t="s">
        <v>878</v>
      </c>
      <c r="G79" t="s">
        <v>637</v>
      </c>
      <c r="H79" t="s">
        <v>466</v>
      </c>
      <c r="I79" t="s">
        <v>722</v>
      </c>
      <c r="J79" t="s">
        <v>873</v>
      </c>
    </row>
    <row r="80" spans="1:10" x14ac:dyDescent="0.35">
      <c r="A80">
        <v>79</v>
      </c>
      <c r="B80" t="s">
        <v>880</v>
      </c>
      <c r="C80">
        <v>1079</v>
      </c>
      <c r="D80" t="s">
        <v>736</v>
      </c>
      <c r="E80" t="s">
        <v>838</v>
      </c>
      <c r="F80" t="s">
        <v>878</v>
      </c>
      <c r="G80" t="s">
        <v>650</v>
      </c>
      <c r="H80" t="s">
        <v>479</v>
      </c>
      <c r="I80" t="s">
        <v>722</v>
      </c>
      <c r="J80" t="s">
        <v>857</v>
      </c>
    </row>
    <row r="81" spans="1:10" x14ac:dyDescent="0.35">
      <c r="A81">
        <v>80</v>
      </c>
      <c r="B81" t="s">
        <v>881</v>
      </c>
      <c r="C81">
        <v>1080</v>
      </c>
      <c r="D81" t="s">
        <v>736</v>
      </c>
      <c r="E81" t="s">
        <v>838</v>
      </c>
      <c r="F81" t="s">
        <v>878</v>
      </c>
      <c r="G81" t="s">
        <v>650</v>
      </c>
      <c r="H81" t="s">
        <v>479</v>
      </c>
      <c r="I81" t="s">
        <v>722</v>
      </c>
      <c r="J81" t="s">
        <v>857</v>
      </c>
    </row>
    <row r="82" spans="1:10" x14ac:dyDescent="0.35">
      <c r="A82">
        <v>81</v>
      </c>
      <c r="B82" t="s">
        <v>882</v>
      </c>
      <c r="C82">
        <v>1081</v>
      </c>
      <c r="D82" t="s">
        <v>736</v>
      </c>
      <c r="E82" t="s">
        <v>838</v>
      </c>
      <c r="F82" t="s">
        <v>878</v>
      </c>
      <c r="G82" t="s">
        <v>646</v>
      </c>
      <c r="H82" t="s">
        <v>475</v>
      </c>
      <c r="I82" t="s">
        <v>722</v>
      </c>
      <c r="J82" t="s">
        <v>861</v>
      </c>
    </row>
    <row r="83" spans="1:10" x14ac:dyDescent="0.35">
      <c r="A83">
        <v>82</v>
      </c>
      <c r="B83" t="s">
        <v>883</v>
      </c>
      <c r="C83">
        <v>1082</v>
      </c>
      <c r="D83" t="s">
        <v>736</v>
      </c>
      <c r="E83" t="s">
        <v>838</v>
      </c>
      <c r="F83" t="s">
        <v>878</v>
      </c>
      <c r="G83" t="s">
        <v>624</v>
      </c>
      <c r="H83" t="s">
        <v>453</v>
      </c>
      <c r="I83" t="s">
        <v>722</v>
      </c>
      <c r="J83" t="s">
        <v>851</v>
      </c>
    </row>
    <row r="84" spans="1:10" x14ac:dyDescent="0.35">
      <c r="A84">
        <v>83</v>
      </c>
      <c r="B84" t="s">
        <v>884</v>
      </c>
      <c r="C84">
        <v>1083</v>
      </c>
      <c r="D84" t="s">
        <v>736</v>
      </c>
      <c r="E84" t="s">
        <v>885</v>
      </c>
      <c r="F84" t="s">
        <v>886</v>
      </c>
      <c r="G84" t="s">
        <v>584</v>
      </c>
      <c r="H84" t="s">
        <v>413</v>
      </c>
      <c r="I84" t="s">
        <v>721</v>
      </c>
      <c r="J84" t="s">
        <v>739</v>
      </c>
    </row>
    <row r="85" spans="1:10" x14ac:dyDescent="0.35">
      <c r="A85">
        <v>84</v>
      </c>
      <c r="B85" t="s">
        <v>887</v>
      </c>
      <c r="C85">
        <v>1084</v>
      </c>
      <c r="D85" t="s">
        <v>736</v>
      </c>
      <c r="E85" t="s">
        <v>885</v>
      </c>
      <c r="F85" t="s">
        <v>886</v>
      </c>
      <c r="G85" t="s">
        <v>704</v>
      </c>
      <c r="H85" t="s">
        <v>533</v>
      </c>
      <c r="I85" t="s">
        <v>722</v>
      </c>
      <c r="J85" t="s">
        <v>888</v>
      </c>
    </row>
    <row r="86" spans="1:10" x14ac:dyDescent="0.35">
      <c r="A86">
        <v>85</v>
      </c>
      <c r="B86" t="s">
        <v>889</v>
      </c>
      <c r="C86">
        <v>1085</v>
      </c>
      <c r="D86" t="s">
        <v>736</v>
      </c>
      <c r="E86" t="s">
        <v>885</v>
      </c>
      <c r="F86" t="s">
        <v>886</v>
      </c>
      <c r="G86" t="s">
        <v>630</v>
      </c>
      <c r="H86" t="s">
        <v>459</v>
      </c>
      <c r="I86" t="s">
        <v>722</v>
      </c>
      <c r="J86" t="s">
        <v>754</v>
      </c>
    </row>
    <row r="87" spans="1:10" x14ac:dyDescent="0.35">
      <c r="A87">
        <v>86</v>
      </c>
      <c r="B87" t="s">
        <v>890</v>
      </c>
      <c r="C87">
        <v>1086</v>
      </c>
      <c r="D87" t="s">
        <v>736</v>
      </c>
      <c r="E87" t="s">
        <v>885</v>
      </c>
      <c r="F87" t="s">
        <v>886</v>
      </c>
      <c r="G87" t="s">
        <v>707</v>
      </c>
      <c r="H87" t="s">
        <v>536</v>
      </c>
      <c r="I87" t="s">
        <v>722</v>
      </c>
      <c r="J87" t="s">
        <v>891</v>
      </c>
    </row>
    <row r="88" spans="1:10" x14ac:dyDescent="0.35">
      <c r="A88">
        <v>87</v>
      </c>
      <c r="B88" t="s">
        <v>892</v>
      </c>
      <c r="C88">
        <v>1087</v>
      </c>
      <c r="D88" t="s">
        <v>736</v>
      </c>
      <c r="E88" t="s">
        <v>885</v>
      </c>
      <c r="F88" t="s">
        <v>886</v>
      </c>
      <c r="G88" t="s">
        <v>563</v>
      </c>
      <c r="H88" t="s">
        <v>392</v>
      </c>
      <c r="I88" t="s">
        <v>721</v>
      </c>
      <c r="J88" t="s">
        <v>780</v>
      </c>
    </row>
    <row r="89" spans="1:10" x14ac:dyDescent="0.35">
      <c r="A89">
        <v>88</v>
      </c>
      <c r="B89" t="s">
        <v>893</v>
      </c>
      <c r="C89">
        <v>1088</v>
      </c>
      <c r="D89" t="s">
        <v>736</v>
      </c>
      <c r="E89" t="s">
        <v>885</v>
      </c>
      <c r="F89" t="s">
        <v>886</v>
      </c>
      <c r="G89" t="s">
        <v>701</v>
      </c>
      <c r="H89" t="s">
        <v>530</v>
      </c>
      <c r="I89" t="s">
        <v>722</v>
      </c>
      <c r="J89" t="s">
        <v>768</v>
      </c>
    </row>
    <row r="90" spans="1:10" x14ac:dyDescent="0.35">
      <c r="A90">
        <v>89</v>
      </c>
      <c r="B90" t="s">
        <v>894</v>
      </c>
      <c r="C90">
        <v>1089</v>
      </c>
      <c r="D90" t="s">
        <v>736</v>
      </c>
      <c r="E90" t="s">
        <v>895</v>
      </c>
      <c r="F90" t="s">
        <v>896</v>
      </c>
      <c r="G90" t="s">
        <v>658</v>
      </c>
      <c r="H90" t="s">
        <v>487</v>
      </c>
      <c r="I90" t="s">
        <v>721</v>
      </c>
      <c r="J90" t="s">
        <v>897</v>
      </c>
    </row>
    <row r="91" spans="1:10" x14ac:dyDescent="0.35">
      <c r="A91">
        <v>90</v>
      </c>
      <c r="B91" t="s">
        <v>898</v>
      </c>
      <c r="C91">
        <v>1090</v>
      </c>
      <c r="D91" t="s">
        <v>736</v>
      </c>
      <c r="E91" t="s">
        <v>895</v>
      </c>
      <c r="F91" t="s">
        <v>896</v>
      </c>
      <c r="G91" t="s">
        <v>669</v>
      </c>
      <c r="H91" t="s">
        <v>498</v>
      </c>
      <c r="I91" t="s">
        <v>722</v>
      </c>
      <c r="J91" t="s">
        <v>899</v>
      </c>
    </row>
    <row r="92" spans="1:10" x14ac:dyDescent="0.35">
      <c r="A92">
        <v>91</v>
      </c>
      <c r="B92" t="s">
        <v>900</v>
      </c>
      <c r="C92">
        <v>1091</v>
      </c>
      <c r="D92" t="s">
        <v>736</v>
      </c>
      <c r="E92" t="s">
        <v>895</v>
      </c>
      <c r="F92" t="s">
        <v>896</v>
      </c>
      <c r="G92" t="s">
        <v>715</v>
      </c>
      <c r="H92" t="s">
        <v>544</v>
      </c>
      <c r="I92" t="s">
        <v>721</v>
      </c>
      <c r="J92" t="s">
        <v>901</v>
      </c>
    </row>
    <row r="93" spans="1:10" x14ac:dyDescent="0.35">
      <c r="A93">
        <v>92</v>
      </c>
      <c r="B93" t="s">
        <v>902</v>
      </c>
      <c r="C93">
        <v>1092</v>
      </c>
      <c r="D93" t="s">
        <v>736</v>
      </c>
      <c r="E93" t="s">
        <v>895</v>
      </c>
      <c r="F93" t="s">
        <v>896</v>
      </c>
      <c r="G93" t="s">
        <v>594</v>
      </c>
      <c r="H93" t="s">
        <v>423</v>
      </c>
      <c r="I93" t="s">
        <v>721</v>
      </c>
      <c r="J93" t="s">
        <v>903</v>
      </c>
    </row>
    <row r="94" spans="1:10" x14ac:dyDescent="0.35">
      <c r="A94">
        <v>93</v>
      </c>
      <c r="B94" t="s">
        <v>904</v>
      </c>
      <c r="C94">
        <v>1093</v>
      </c>
      <c r="D94" t="s">
        <v>736</v>
      </c>
      <c r="E94" t="s">
        <v>895</v>
      </c>
      <c r="F94" t="s">
        <v>896</v>
      </c>
      <c r="G94" t="s">
        <v>555</v>
      </c>
      <c r="H94" t="s">
        <v>384</v>
      </c>
      <c r="I94" t="s">
        <v>722</v>
      </c>
      <c r="J94" t="s">
        <v>905</v>
      </c>
    </row>
    <row r="95" spans="1:10" x14ac:dyDescent="0.35">
      <c r="A95">
        <v>94</v>
      </c>
      <c r="B95" t="s">
        <v>906</v>
      </c>
      <c r="C95">
        <v>1094</v>
      </c>
      <c r="D95" t="s">
        <v>736</v>
      </c>
      <c r="E95" t="s">
        <v>895</v>
      </c>
      <c r="F95" t="s">
        <v>896</v>
      </c>
      <c r="G95" t="s">
        <v>668</v>
      </c>
      <c r="H95" t="s">
        <v>497</v>
      </c>
      <c r="I95" t="s">
        <v>722</v>
      </c>
      <c r="J95" t="s">
        <v>907</v>
      </c>
    </row>
    <row r="96" spans="1:10" x14ac:dyDescent="0.35">
      <c r="A96">
        <v>95</v>
      </c>
      <c r="B96" t="s">
        <v>908</v>
      </c>
      <c r="C96">
        <v>1095</v>
      </c>
      <c r="D96" t="s">
        <v>736</v>
      </c>
      <c r="E96" t="s">
        <v>909</v>
      </c>
      <c r="F96" t="s">
        <v>910</v>
      </c>
      <c r="G96" t="s">
        <v>581</v>
      </c>
      <c r="H96" t="s">
        <v>410</v>
      </c>
      <c r="I96" t="s">
        <v>721</v>
      </c>
      <c r="J96" t="s">
        <v>911</v>
      </c>
    </row>
    <row r="97" spans="1:10" x14ac:dyDescent="0.35">
      <c r="A97">
        <v>96</v>
      </c>
      <c r="B97" t="s">
        <v>912</v>
      </c>
      <c r="C97">
        <v>1096</v>
      </c>
      <c r="D97" t="s">
        <v>736</v>
      </c>
      <c r="E97" t="s">
        <v>909</v>
      </c>
      <c r="F97" t="s">
        <v>910</v>
      </c>
      <c r="G97" t="s">
        <v>567</v>
      </c>
      <c r="H97" t="s">
        <v>396</v>
      </c>
      <c r="I97" t="s">
        <v>721</v>
      </c>
      <c r="J97" t="s">
        <v>913</v>
      </c>
    </row>
    <row r="98" spans="1:10" x14ac:dyDescent="0.35">
      <c r="A98">
        <v>97</v>
      </c>
      <c r="B98" t="s">
        <v>914</v>
      </c>
      <c r="C98">
        <v>1097</v>
      </c>
      <c r="D98" t="s">
        <v>736</v>
      </c>
      <c r="E98" t="s">
        <v>909</v>
      </c>
      <c r="F98" t="s">
        <v>910</v>
      </c>
      <c r="G98" t="s">
        <v>714</v>
      </c>
      <c r="H98" t="s">
        <v>543</v>
      </c>
      <c r="I98" t="s">
        <v>722</v>
      </c>
      <c r="J98" t="s">
        <v>915</v>
      </c>
    </row>
    <row r="99" spans="1:10" x14ac:dyDescent="0.35">
      <c r="A99">
        <v>98</v>
      </c>
      <c r="B99" t="s">
        <v>916</v>
      </c>
      <c r="C99">
        <v>1098</v>
      </c>
      <c r="D99" t="s">
        <v>736</v>
      </c>
      <c r="E99" t="s">
        <v>909</v>
      </c>
      <c r="F99" t="s">
        <v>910</v>
      </c>
      <c r="G99" t="s">
        <v>620</v>
      </c>
      <c r="H99" t="s">
        <v>449</v>
      </c>
      <c r="I99" t="s">
        <v>722</v>
      </c>
      <c r="J99" t="s">
        <v>917</v>
      </c>
    </row>
    <row r="100" spans="1:10" x14ac:dyDescent="0.35">
      <c r="A100">
        <v>99</v>
      </c>
      <c r="B100" t="s">
        <v>918</v>
      </c>
      <c r="C100">
        <v>1099</v>
      </c>
      <c r="D100" t="s">
        <v>736</v>
      </c>
      <c r="E100" t="s">
        <v>909</v>
      </c>
      <c r="F100" t="s">
        <v>910</v>
      </c>
      <c r="G100" t="s">
        <v>687</v>
      </c>
      <c r="H100" t="s">
        <v>516</v>
      </c>
      <c r="I100" t="s">
        <v>721</v>
      </c>
      <c r="J100" t="s">
        <v>919</v>
      </c>
    </row>
    <row r="101" spans="1:10" x14ac:dyDescent="0.35">
      <c r="A101">
        <v>100</v>
      </c>
      <c r="B101" t="s">
        <v>920</v>
      </c>
      <c r="C101">
        <v>1100</v>
      </c>
      <c r="D101" t="s">
        <v>736</v>
      </c>
      <c r="E101" t="s">
        <v>909</v>
      </c>
      <c r="F101" t="s">
        <v>921</v>
      </c>
      <c r="G101" t="s">
        <v>567</v>
      </c>
      <c r="H101" t="s">
        <v>396</v>
      </c>
      <c r="I101" t="s">
        <v>721</v>
      </c>
      <c r="J101" t="s">
        <v>913</v>
      </c>
    </row>
    <row r="102" spans="1:10" x14ac:dyDescent="0.35">
      <c r="A102">
        <v>101</v>
      </c>
      <c r="B102" t="s">
        <v>922</v>
      </c>
      <c r="C102">
        <v>1101</v>
      </c>
      <c r="D102" t="s">
        <v>736</v>
      </c>
      <c r="E102" t="s">
        <v>909</v>
      </c>
      <c r="F102" t="s">
        <v>921</v>
      </c>
      <c r="G102" t="s">
        <v>620</v>
      </c>
      <c r="H102" t="s">
        <v>449</v>
      </c>
      <c r="I102" t="s">
        <v>722</v>
      </c>
      <c r="J102" t="s">
        <v>917</v>
      </c>
    </row>
    <row r="103" spans="1:10" x14ac:dyDescent="0.35">
      <c r="A103">
        <v>102</v>
      </c>
      <c r="B103" t="s">
        <v>773</v>
      </c>
      <c r="C103">
        <v>1102</v>
      </c>
      <c r="D103" t="s">
        <v>736</v>
      </c>
      <c r="E103" t="s">
        <v>909</v>
      </c>
      <c r="F103" t="s">
        <v>921</v>
      </c>
      <c r="G103" t="s">
        <v>683</v>
      </c>
      <c r="H103" t="s">
        <v>512</v>
      </c>
      <c r="I103" t="s">
        <v>722</v>
      </c>
      <c r="J103" t="s">
        <v>923</v>
      </c>
    </row>
    <row r="104" spans="1:10" x14ac:dyDescent="0.35">
      <c r="A104">
        <v>103</v>
      </c>
      <c r="B104" t="s">
        <v>924</v>
      </c>
      <c r="C104">
        <v>1103</v>
      </c>
      <c r="D104" t="s">
        <v>736</v>
      </c>
      <c r="E104" t="s">
        <v>925</v>
      </c>
      <c r="F104" t="s">
        <v>926</v>
      </c>
      <c r="G104" t="s">
        <v>616</v>
      </c>
      <c r="H104" t="s">
        <v>445</v>
      </c>
      <c r="I104" t="s">
        <v>721</v>
      </c>
      <c r="J104" t="s">
        <v>927</v>
      </c>
    </row>
    <row r="105" spans="1:10" x14ac:dyDescent="0.35">
      <c r="A105">
        <v>104</v>
      </c>
      <c r="B105" t="s">
        <v>928</v>
      </c>
      <c r="C105">
        <v>1104</v>
      </c>
      <c r="D105" t="s">
        <v>736</v>
      </c>
      <c r="E105" t="s">
        <v>925</v>
      </c>
      <c r="F105" t="s">
        <v>926</v>
      </c>
      <c r="G105" t="s">
        <v>596</v>
      </c>
      <c r="H105" t="s">
        <v>425</v>
      </c>
      <c r="I105" t="s">
        <v>722</v>
      </c>
      <c r="J105" t="s">
        <v>929</v>
      </c>
    </row>
    <row r="106" spans="1:10" x14ac:dyDescent="0.35">
      <c r="A106">
        <v>105</v>
      </c>
      <c r="B106" t="s">
        <v>930</v>
      </c>
      <c r="C106">
        <v>1105</v>
      </c>
      <c r="D106" t="s">
        <v>736</v>
      </c>
      <c r="E106" t="s">
        <v>925</v>
      </c>
      <c r="F106" t="s">
        <v>926</v>
      </c>
      <c r="G106" t="s">
        <v>570</v>
      </c>
      <c r="H106" t="s">
        <v>399</v>
      </c>
      <c r="I106" t="s">
        <v>721</v>
      </c>
      <c r="J106" t="s">
        <v>931</v>
      </c>
    </row>
    <row r="107" spans="1:10" x14ac:dyDescent="0.35">
      <c r="A107">
        <v>106</v>
      </c>
      <c r="B107" t="s">
        <v>932</v>
      </c>
      <c r="C107">
        <v>1106</v>
      </c>
      <c r="D107" t="s">
        <v>736</v>
      </c>
      <c r="E107" t="s">
        <v>925</v>
      </c>
      <c r="F107" t="s">
        <v>926</v>
      </c>
      <c r="G107" t="s">
        <v>717</v>
      </c>
      <c r="H107" t="s">
        <v>546</v>
      </c>
      <c r="I107" t="s">
        <v>722</v>
      </c>
      <c r="J107" t="s">
        <v>933</v>
      </c>
    </row>
    <row r="108" spans="1:10" x14ac:dyDescent="0.35">
      <c r="A108">
        <v>107</v>
      </c>
      <c r="B108" t="s">
        <v>934</v>
      </c>
      <c r="C108">
        <v>1107</v>
      </c>
      <c r="D108" t="s">
        <v>736</v>
      </c>
      <c r="E108" t="s">
        <v>925</v>
      </c>
      <c r="F108" t="s">
        <v>926</v>
      </c>
      <c r="G108" t="s">
        <v>565</v>
      </c>
      <c r="H108" t="s">
        <v>394</v>
      </c>
      <c r="I108" t="s">
        <v>721</v>
      </c>
      <c r="J108" t="s">
        <v>935</v>
      </c>
    </row>
    <row r="109" spans="1:10" x14ac:dyDescent="0.35">
      <c r="A109">
        <v>108</v>
      </c>
      <c r="B109" t="s">
        <v>850</v>
      </c>
      <c r="C109">
        <v>1108</v>
      </c>
      <c r="D109" t="s">
        <v>736</v>
      </c>
      <c r="E109" t="s">
        <v>925</v>
      </c>
      <c r="F109" t="s">
        <v>926</v>
      </c>
      <c r="G109" t="s">
        <v>585</v>
      </c>
      <c r="H109" t="s">
        <v>414</v>
      </c>
      <c r="I109" t="s">
        <v>722</v>
      </c>
      <c r="J109" t="s">
        <v>936</v>
      </c>
    </row>
    <row r="110" spans="1:10" x14ac:dyDescent="0.35">
      <c r="A110">
        <v>109</v>
      </c>
      <c r="B110" t="s">
        <v>924</v>
      </c>
      <c r="C110">
        <v>1109</v>
      </c>
      <c r="D110" t="s">
        <v>736</v>
      </c>
      <c r="E110" t="s">
        <v>925</v>
      </c>
      <c r="F110" t="s">
        <v>937</v>
      </c>
      <c r="G110" t="s">
        <v>616</v>
      </c>
      <c r="H110" t="s">
        <v>445</v>
      </c>
      <c r="I110" t="s">
        <v>721</v>
      </c>
      <c r="J110" t="s">
        <v>927</v>
      </c>
    </row>
    <row r="111" spans="1:10" x14ac:dyDescent="0.35">
      <c r="A111">
        <v>110</v>
      </c>
      <c r="B111" t="s">
        <v>928</v>
      </c>
      <c r="C111">
        <v>1110</v>
      </c>
      <c r="D111" t="s">
        <v>736</v>
      </c>
      <c r="E111" t="s">
        <v>925</v>
      </c>
      <c r="F111" t="s">
        <v>937</v>
      </c>
      <c r="G111" t="s">
        <v>596</v>
      </c>
      <c r="H111" t="s">
        <v>425</v>
      </c>
      <c r="I111" t="s">
        <v>722</v>
      </c>
      <c r="J111" t="s">
        <v>929</v>
      </c>
    </row>
    <row r="112" spans="1:10" x14ac:dyDescent="0.35">
      <c r="A112">
        <v>111</v>
      </c>
      <c r="B112" t="s">
        <v>930</v>
      </c>
      <c r="C112">
        <v>1111</v>
      </c>
      <c r="D112" t="s">
        <v>736</v>
      </c>
      <c r="E112" t="s">
        <v>925</v>
      </c>
      <c r="F112" t="s">
        <v>937</v>
      </c>
      <c r="G112" t="s">
        <v>570</v>
      </c>
      <c r="H112" t="s">
        <v>399</v>
      </c>
      <c r="I112" t="s">
        <v>721</v>
      </c>
      <c r="J112" t="s">
        <v>931</v>
      </c>
    </row>
    <row r="113" spans="1:10" x14ac:dyDescent="0.35">
      <c r="A113">
        <v>112</v>
      </c>
      <c r="B113" t="s">
        <v>932</v>
      </c>
      <c r="C113">
        <v>1112</v>
      </c>
      <c r="D113" t="s">
        <v>736</v>
      </c>
      <c r="E113" t="s">
        <v>925</v>
      </c>
      <c r="F113" t="s">
        <v>937</v>
      </c>
      <c r="G113" t="s">
        <v>717</v>
      </c>
      <c r="H113" t="s">
        <v>546</v>
      </c>
      <c r="I113" t="s">
        <v>722</v>
      </c>
      <c r="J113" t="s">
        <v>933</v>
      </c>
    </row>
    <row r="114" spans="1:10" x14ac:dyDescent="0.35">
      <c r="A114">
        <v>113</v>
      </c>
      <c r="B114" t="s">
        <v>934</v>
      </c>
      <c r="C114">
        <v>1113</v>
      </c>
      <c r="D114" t="s">
        <v>736</v>
      </c>
      <c r="E114" t="s">
        <v>925</v>
      </c>
      <c r="F114" t="s">
        <v>937</v>
      </c>
      <c r="G114" t="s">
        <v>565</v>
      </c>
      <c r="H114" t="s">
        <v>394</v>
      </c>
      <c r="I114" t="s">
        <v>721</v>
      </c>
      <c r="J114" t="s">
        <v>935</v>
      </c>
    </row>
    <row r="115" spans="1:10" x14ac:dyDescent="0.35">
      <c r="A115">
        <v>114</v>
      </c>
      <c r="B115" t="s">
        <v>850</v>
      </c>
      <c r="C115">
        <v>1114</v>
      </c>
      <c r="D115" t="s">
        <v>736</v>
      </c>
      <c r="E115" t="s">
        <v>925</v>
      </c>
      <c r="F115" t="s">
        <v>937</v>
      </c>
      <c r="G115" t="s">
        <v>585</v>
      </c>
      <c r="H115" t="s">
        <v>414</v>
      </c>
      <c r="I115" t="s">
        <v>722</v>
      </c>
      <c r="J115" t="s">
        <v>936</v>
      </c>
    </row>
    <row r="116" spans="1:10" x14ac:dyDescent="0.35">
      <c r="A116">
        <v>115</v>
      </c>
      <c r="B116" t="s">
        <v>938</v>
      </c>
      <c r="C116">
        <v>1115</v>
      </c>
      <c r="D116" t="s">
        <v>736</v>
      </c>
      <c r="E116" t="s">
        <v>925</v>
      </c>
      <c r="F116" t="s">
        <v>939</v>
      </c>
      <c r="G116" t="s">
        <v>602</v>
      </c>
      <c r="H116" t="s">
        <v>431</v>
      </c>
      <c r="I116" t="s">
        <v>722</v>
      </c>
      <c r="J116" t="s">
        <v>940</v>
      </c>
    </row>
    <row r="117" spans="1:10" x14ac:dyDescent="0.35">
      <c r="A117">
        <v>116</v>
      </c>
      <c r="B117" t="s">
        <v>941</v>
      </c>
      <c r="C117">
        <v>1116</v>
      </c>
      <c r="D117" t="s">
        <v>736</v>
      </c>
      <c r="E117" t="s">
        <v>925</v>
      </c>
      <c r="F117" t="s">
        <v>939</v>
      </c>
      <c r="G117" t="s">
        <v>718</v>
      </c>
      <c r="H117" t="s">
        <v>547</v>
      </c>
      <c r="I117" t="s">
        <v>722</v>
      </c>
      <c r="J117" t="s">
        <v>942</v>
      </c>
    </row>
    <row r="118" spans="1:10" x14ac:dyDescent="0.35">
      <c r="A118">
        <v>117</v>
      </c>
      <c r="B118" t="s">
        <v>943</v>
      </c>
      <c r="C118">
        <v>1117</v>
      </c>
      <c r="D118" t="s">
        <v>736</v>
      </c>
      <c r="E118" t="s">
        <v>925</v>
      </c>
      <c r="F118" t="s">
        <v>939</v>
      </c>
      <c r="G118" t="s">
        <v>653</v>
      </c>
      <c r="H118" t="s">
        <v>482</v>
      </c>
      <c r="I118" t="s">
        <v>722</v>
      </c>
      <c r="J118" t="s">
        <v>944</v>
      </c>
    </row>
    <row r="119" spans="1:10" x14ac:dyDescent="0.35">
      <c r="A119">
        <v>118</v>
      </c>
      <c r="B119" t="s">
        <v>945</v>
      </c>
      <c r="C119">
        <v>1118</v>
      </c>
      <c r="D119" t="s">
        <v>736</v>
      </c>
      <c r="E119" t="s">
        <v>925</v>
      </c>
      <c r="F119" t="s">
        <v>939</v>
      </c>
      <c r="G119" t="s">
        <v>608</v>
      </c>
      <c r="H119" t="s">
        <v>437</v>
      </c>
      <c r="I119" t="s">
        <v>722</v>
      </c>
      <c r="J119" t="s">
        <v>946</v>
      </c>
    </row>
    <row r="120" spans="1:10" x14ac:dyDescent="0.35">
      <c r="A120">
        <v>119</v>
      </c>
      <c r="B120" t="s">
        <v>947</v>
      </c>
      <c r="C120">
        <v>1119</v>
      </c>
      <c r="D120" t="s">
        <v>736</v>
      </c>
      <c r="E120" t="s">
        <v>925</v>
      </c>
      <c r="F120" t="s">
        <v>939</v>
      </c>
      <c r="G120" t="s">
        <v>597</v>
      </c>
      <c r="H120" t="s">
        <v>426</v>
      </c>
      <c r="I120" t="s">
        <v>722</v>
      </c>
      <c r="J120" t="s">
        <v>948</v>
      </c>
    </row>
    <row r="121" spans="1:10" x14ac:dyDescent="0.35">
      <c r="A121">
        <v>120</v>
      </c>
      <c r="B121" t="s">
        <v>949</v>
      </c>
      <c r="C121">
        <v>1120</v>
      </c>
      <c r="D121" t="s">
        <v>736</v>
      </c>
      <c r="E121" t="s">
        <v>925</v>
      </c>
      <c r="F121" t="s">
        <v>939</v>
      </c>
      <c r="G121" t="s">
        <v>585</v>
      </c>
      <c r="H121" t="s">
        <v>414</v>
      </c>
      <c r="I121" t="s">
        <v>722</v>
      </c>
      <c r="J121" t="s">
        <v>936</v>
      </c>
    </row>
    <row r="122" spans="1:10" x14ac:dyDescent="0.35">
      <c r="A122">
        <v>121</v>
      </c>
      <c r="B122" t="s">
        <v>950</v>
      </c>
      <c r="C122">
        <v>1121</v>
      </c>
      <c r="D122" t="s">
        <v>736</v>
      </c>
      <c r="E122" t="s">
        <v>925</v>
      </c>
      <c r="F122" t="s">
        <v>939</v>
      </c>
      <c r="G122" t="s">
        <v>951</v>
      </c>
      <c r="H122" t="e">
        <v>#N/A</v>
      </c>
      <c r="I122" t="s">
        <v>722</v>
      </c>
      <c r="J122" t="s">
        <v>952</v>
      </c>
    </row>
    <row r="123" spans="1:10" x14ac:dyDescent="0.35">
      <c r="A123">
        <v>122</v>
      </c>
      <c r="B123" t="s">
        <v>938</v>
      </c>
      <c r="C123">
        <v>1122</v>
      </c>
      <c r="D123" t="s">
        <v>736</v>
      </c>
      <c r="E123" t="s">
        <v>925</v>
      </c>
      <c r="F123" t="s">
        <v>953</v>
      </c>
      <c r="G123" t="s">
        <v>602</v>
      </c>
      <c r="H123" t="s">
        <v>431</v>
      </c>
      <c r="I123" t="s">
        <v>722</v>
      </c>
      <c r="J123" t="s">
        <v>940</v>
      </c>
    </row>
    <row r="124" spans="1:10" x14ac:dyDescent="0.35">
      <c r="A124">
        <v>123</v>
      </c>
      <c r="B124" t="s">
        <v>941</v>
      </c>
      <c r="C124">
        <v>1123</v>
      </c>
      <c r="D124" t="s">
        <v>736</v>
      </c>
      <c r="E124" t="s">
        <v>925</v>
      </c>
      <c r="F124" t="s">
        <v>953</v>
      </c>
      <c r="G124" t="s">
        <v>718</v>
      </c>
      <c r="H124" t="s">
        <v>547</v>
      </c>
      <c r="I124" t="s">
        <v>722</v>
      </c>
      <c r="J124" t="s">
        <v>942</v>
      </c>
    </row>
    <row r="125" spans="1:10" x14ac:dyDescent="0.35">
      <c r="A125">
        <v>124</v>
      </c>
      <c r="B125" t="s">
        <v>943</v>
      </c>
      <c r="C125">
        <v>1124</v>
      </c>
      <c r="D125" t="s">
        <v>736</v>
      </c>
      <c r="E125" t="s">
        <v>925</v>
      </c>
      <c r="F125" t="s">
        <v>953</v>
      </c>
      <c r="G125" t="s">
        <v>653</v>
      </c>
      <c r="H125" t="s">
        <v>482</v>
      </c>
      <c r="I125" t="s">
        <v>722</v>
      </c>
      <c r="J125" t="s">
        <v>944</v>
      </c>
    </row>
    <row r="126" spans="1:10" x14ac:dyDescent="0.35">
      <c r="A126">
        <v>125</v>
      </c>
      <c r="B126" t="s">
        <v>945</v>
      </c>
      <c r="C126">
        <v>1125</v>
      </c>
      <c r="D126" t="s">
        <v>736</v>
      </c>
      <c r="E126" t="s">
        <v>925</v>
      </c>
      <c r="F126" t="s">
        <v>953</v>
      </c>
      <c r="G126" t="s">
        <v>608</v>
      </c>
      <c r="H126" t="s">
        <v>437</v>
      </c>
      <c r="I126" t="s">
        <v>722</v>
      </c>
      <c r="J126" t="s">
        <v>946</v>
      </c>
    </row>
    <row r="127" spans="1:10" x14ac:dyDescent="0.35">
      <c r="A127">
        <v>126</v>
      </c>
      <c r="B127" t="s">
        <v>947</v>
      </c>
      <c r="C127">
        <v>1126</v>
      </c>
      <c r="D127" t="s">
        <v>736</v>
      </c>
      <c r="E127" t="s">
        <v>925</v>
      </c>
      <c r="F127" t="s">
        <v>953</v>
      </c>
      <c r="G127" t="s">
        <v>597</v>
      </c>
      <c r="H127" t="s">
        <v>426</v>
      </c>
      <c r="I127" t="s">
        <v>722</v>
      </c>
      <c r="J127" t="s">
        <v>948</v>
      </c>
    </row>
    <row r="128" spans="1:10" x14ac:dyDescent="0.35">
      <c r="A128">
        <v>127</v>
      </c>
      <c r="B128" t="s">
        <v>949</v>
      </c>
      <c r="C128">
        <v>1127</v>
      </c>
      <c r="D128" t="s">
        <v>736</v>
      </c>
      <c r="E128" t="s">
        <v>925</v>
      </c>
      <c r="F128" t="s">
        <v>953</v>
      </c>
      <c r="G128" t="s">
        <v>585</v>
      </c>
      <c r="H128" t="s">
        <v>414</v>
      </c>
      <c r="I128" t="s">
        <v>722</v>
      </c>
      <c r="J128" t="s">
        <v>936</v>
      </c>
    </row>
    <row r="129" spans="1:10" x14ac:dyDescent="0.35">
      <c r="A129">
        <v>128</v>
      </c>
      <c r="B129" t="s">
        <v>950</v>
      </c>
      <c r="C129">
        <v>1128</v>
      </c>
      <c r="D129" t="s">
        <v>736</v>
      </c>
      <c r="E129" t="s">
        <v>925</v>
      </c>
      <c r="F129" t="s">
        <v>953</v>
      </c>
      <c r="G129" t="s">
        <v>951</v>
      </c>
      <c r="H129" t="e">
        <v>#N/A</v>
      </c>
      <c r="I129" t="s">
        <v>722</v>
      </c>
      <c r="J129" t="s">
        <v>952</v>
      </c>
    </row>
    <row r="130" spans="1:10" x14ac:dyDescent="0.35">
      <c r="A130">
        <v>129</v>
      </c>
      <c r="B130" t="s">
        <v>954</v>
      </c>
      <c r="C130">
        <v>1129</v>
      </c>
      <c r="D130" t="s">
        <v>736</v>
      </c>
      <c r="E130" t="s">
        <v>925</v>
      </c>
      <c r="F130" t="s">
        <v>955</v>
      </c>
      <c r="G130" t="s">
        <v>596</v>
      </c>
      <c r="H130" t="s">
        <v>425</v>
      </c>
      <c r="I130" t="s">
        <v>722</v>
      </c>
      <c r="J130" t="s">
        <v>929</v>
      </c>
    </row>
    <row r="131" spans="1:10" x14ac:dyDescent="0.35">
      <c r="A131">
        <v>130</v>
      </c>
      <c r="B131" t="s">
        <v>956</v>
      </c>
      <c r="C131">
        <v>1130</v>
      </c>
      <c r="D131" t="s">
        <v>736</v>
      </c>
      <c r="E131" t="s">
        <v>925</v>
      </c>
      <c r="F131" t="s">
        <v>955</v>
      </c>
      <c r="G131" t="s">
        <v>670</v>
      </c>
      <c r="H131" t="s">
        <v>499</v>
      </c>
      <c r="I131" t="s">
        <v>722</v>
      </c>
      <c r="J131" t="s">
        <v>957</v>
      </c>
    </row>
    <row r="132" spans="1:10" x14ac:dyDescent="0.35">
      <c r="A132">
        <v>131</v>
      </c>
      <c r="B132" t="s">
        <v>958</v>
      </c>
      <c r="C132">
        <v>1131</v>
      </c>
      <c r="D132" t="s">
        <v>736</v>
      </c>
      <c r="E132" t="s">
        <v>925</v>
      </c>
      <c r="F132" t="s">
        <v>955</v>
      </c>
      <c r="G132" t="s">
        <v>692</v>
      </c>
      <c r="H132" t="s">
        <v>521</v>
      </c>
      <c r="I132" t="s">
        <v>721</v>
      </c>
      <c r="J132" t="s">
        <v>959</v>
      </c>
    </row>
    <row r="133" spans="1:10" x14ac:dyDescent="0.35">
      <c r="A133">
        <v>132</v>
      </c>
      <c r="B133" t="s">
        <v>960</v>
      </c>
      <c r="C133">
        <v>1132</v>
      </c>
      <c r="D133" t="s">
        <v>736</v>
      </c>
      <c r="E133" t="s">
        <v>925</v>
      </c>
      <c r="F133" t="s">
        <v>955</v>
      </c>
      <c r="G133" t="s">
        <v>652</v>
      </c>
      <c r="H133" t="s">
        <v>481</v>
      </c>
      <c r="I133" t="s">
        <v>722</v>
      </c>
      <c r="J133" t="s">
        <v>961</v>
      </c>
    </row>
    <row r="134" spans="1:10" x14ac:dyDescent="0.35">
      <c r="A134">
        <v>133</v>
      </c>
      <c r="B134" t="s">
        <v>962</v>
      </c>
      <c r="C134">
        <v>1133</v>
      </c>
      <c r="D134" t="s">
        <v>736</v>
      </c>
      <c r="E134" t="s">
        <v>925</v>
      </c>
      <c r="F134" t="s">
        <v>955</v>
      </c>
      <c r="G134" t="s">
        <v>653</v>
      </c>
      <c r="H134" t="s">
        <v>482</v>
      </c>
      <c r="I134" t="s">
        <v>722</v>
      </c>
      <c r="J134" t="s">
        <v>944</v>
      </c>
    </row>
    <row r="135" spans="1:10" x14ac:dyDescent="0.35">
      <c r="A135">
        <v>134</v>
      </c>
      <c r="B135" t="s">
        <v>963</v>
      </c>
      <c r="C135">
        <v>1134</v>
      </c>
      <c r="D135" t="s">
        <v>736</v>
      </c>
      <c r="E135" t="s">
        <v>925</v>
      </c>
      <c r="F135" t="s">
        <v>955</v>
      </c>
      <c r="G135" t="s">
        <v>702</v>
      </c>
      <c r="H135" t="s">
        <v>531</v>
      </c>
      <c r="I135" t="s">
        <v>722</v>
      </c>
      <c r="J135" t="s">
        <v>964</v>
      </c>
    </row>
    <row r="136" spans="1:10" x14ac:dyDescent="0.35">
      <c r="A136">
        <v>135</v>
      </c>
      <c r="B136" t="s">
        <v>965</v>
      </c>
      <c r="C136">
        <v>1135</v>
      </c>
      <c r="D136" t="s">
        <v>736</v>
      </c>
      <c r="E136" t="s">
        <v>925</v>
      </c>
      <c r="F136" t="s">
        <v>966</v>
      </c>
      <c r="G136" t="s">
        <v>648</v>
      </c>
      <c r="H136" t="s">
        <v>477</v>
      </c>
      <c r="I136" t="s">
        <v>722</v>
      </c>
      <c r="J136" t="s">
        <v>967</v>
      </c>
    </row>
    <row r="137" spans="1:10" x14ac:dyDescent="0.35">
      <c r="A137">
        <v>136</v>
      </c>
      <c r="B137" t="s">
        <v>968</v>
      </c>
      <c r="C137">
        <v>1136</v>
      </c>
      <c r="D137" t="s">
        <v>736</v>
      </c>
      <c r="E137" t="s">
        <v>925</v>
      </c>
      <c r="F137" t="s">
        <v>966</v>
      </c>
      <c r="G137" t="s">
        <v>640</v>
      </c>
      <c r="H137" t="s">
        <v>469</v>
      </c>
      <c r="I137" t="s">
        <v>722</v>
      </c>
      <c r="J137" t="s">
        <v>969</v>
      </c>
    </row>
    <row r="138" spans="1:10" x14ac:dyDescent="0.35">
      <c r="A138">
        <v>137</v>
      </c>
      <c r="B138" t="s">
        <v>970</v>
      </c>
      <c r="C138">
        <v>1137</v>
      </c>
      <c r="D138" t="s">
        <v>736</v>
      </c>
      <c r="E138" t="s">
        <v>925</v>
      </c>
      <c r="F138" t="s">
        <v>966</v>
      </c>
      <c r="G138" t="s">
        <v>702</v>
      </c>
      <c r="H138" t="s">
        <v>531</v>
      </c>
      <c r="I138" t="s">
        <v>722</v>
      </c>
      <c r="J138" t="s">
        <v>964</v>
      </c>
    </row>
    <row r="139" spans="1:10" x14ac:dyDescent="0.35">
      <c r="A139">
        <v>138</v>
      </c>
      <c r="B139" t="s">
        <v>971</v>
      </c>
      <c r="C139">
        <v>1138</v>
      </c>
      <c r="D139" t="s">
        <v>736</v>
      </c>
      <c r="E139" t="s">
        <v>925</v>
      </c>
      <c r="F139" t="s">
        <v>966</v>
      </c>
      <c r="G139" t="s">
        <v>578</v>
      </c>
      <c r="H139" t="s">
        <v>407</v>
      </c>
      <c r="I139" t="s">
        <v>722</v>
      </c>
      <c r="J139" t="s">
        <v>972</v>
      </c>
    </row>
    <row r="140" spans="1:10" x14ac:dyDescent="0.35">
      <c r="A140">
        <v>139</v>
      </c>
      <c r="B140" t="s">
        <v>973</v>
      </c>
      <c r="C140">
        <v>1139</v>
      </c>
      <c r="D140" t="s">
        <v>736</v>
      </c>
      <c r="E140" t="s">
        <v>925</v>
      </c>
      <c r="F140" t="s">
        <v>966</v>
      </c>
      <c r="G140" t="s">
        <v>578</v>
      </c>
      <c r="H140" t="s">
        <v>407</v>
      </c>
      <c r="I140" t="s">
        <v>722</v>
      </c>
      <c r="J140" t="s">
        <v>972</v>
      </c>
    </row>
    <row r="141" spans="1:10" x14ac:dyDescent="0.35">
      <c r="A141">
        <v>140</v>
      </c>
      <c r="B141" t="s">
        <v>974</v>
      </c>
      <c r="C141">
        <v>1140</v>
      </c>
      <c r="D141" t="s">
        <v>736</v>
      </c>
      <c r="E141" t="s">
        <v>925</v>
      </c>
      <c r="F141" t="s">
        <v>975</v>
      </c>
      <c r="G141" t="s">
        <v>586</v>
      </c>
      <c r="H141" t="s">
        <v>415</v>
      </c>
      <c r="I141" t="s">
        <v>722</v>
      </c>
      <c r="J141" t="s">
        <v>976</v>
      </c>
    </row>
    <row r="142" spans="1:10" x14ac:dyDescent="0.35">
      <c r="A142">
        <v>141</v>
      </c>
      <c r="B142" t="s">
        <v>977</v>
      </c>
      <c r="C142">
        <v>1141</v>
      </c>
      <c r="D142" t="s">
        <v>736</v>
      </c>
      <c r="E142" t="s">
        <v>925</v>
      </c>
      <c r="F142" t="s">
        <v>975</v>
      </c>
      <c r="G142" t="s">
        <v>554</v>
      </c>
      <c r="H142" t="s">
        <v>383</v>
      </c>
      <c r="I142" t="s">
        <v>722</v>
      </c>
      <c r="J142" t="s">
        <v>978</v>
      </c>
    </row>
    <row r="143" spans="1:10" x14ac:dyDescent="0.35">
      <c r="A143">
        <v>142</v>
      </c>
      <c r="B143" t="s">
        <v>979</v>
      </c>
      <c r="C143">
        <v>1142</v>
      </c>
      <c r="D143" t="s">
        <v>736</v>
      </c>
      <c r="E143" t="s">
        <v>925</v>
      </c>
      <c r="F143" t="s">
        <v>975</v>
      </c>
      <c r="G143" t="s">
        <v>640</v>
      </c>
      <c r="H143" t="s">
        <v>469</v>
      </c>
      <c r="I143" t="s">
        <v>722</v>
      </c>
      <c r="J143" t="s">
        <v>969</v>
      </c>
    </row>
    <row r="144" spans="1:10" x14ac:dyDescent="0.35">
      <c r="A144">
        <v>143</v>
      </c>
      <c r="B144" t="s">
        <v>980</v>
      </c>
      <c r="C144">
        <v>1143</v>
      </c>
      <c r="D144" t="s">
        <v>736</v>
      </c>
      <c r="E144" t="s">
        <v>925</v>
      </c>
      <c r="F144" t="s">
        <v>975</v>
      </c>
      <c r="G144" t="s">
        <v>578</v>
      </c>
      <c r="H144" t="s">
        <v>407</v>
      </c>
      <c r="I144" t="s">
        <v>722</v>
      </c>
      <c r="J144" t="s">
        <v>972</v>
      </c>
    </row>
    <row r="145" spans="1:10" x14ac:dyDescent="0.35">
      <c r="A145">
        <v>144</v>
      </c>
      <c r="B145" t="s">
        <v>981</v>
      </c>
      <c r="C145">
        <v>1144</v>
      </c>
      <c r="D145" t="s">
        <v>736</v>
      </c>
      <c r="E145" t="s">
        <v>982</v>
      </c>
      <c r="F145" t="s">
        <v>983</v>
      </c>
      <c r="G145" t="s">
        <v>712</v>
      </c>
      <c r="H145" t="s">
        <v>541</v>
      </c>
      <c r="I145" t="s">
        <v>722</v>
      </c>
      <c r="J145" t="s">
        <v>984</v>
      </c>
    </row>
    <row r="146" spans="1:10" x14ac:dyDescent="0.35">
      <c r="A146">
        <v>145</v>
      </c>
      <c r="B146" t="s">
        <v>985</v>
      </c>
      <c r="C146">
        <v>1145</v>
      </c>
      <c r="D146" t="s">
        <v>736</v>
      </c>
      <c r="E146" t="s">
        <v>982</v>
      </c>
      <c r="F146" t="s">
        <v>983</v>
      </c>
      <c r="G146" t="s">
        <v>698</v>
      </c>
      <c r="H146" t="s">
        <v>527</v>
      </c>
      <c r="I146" t="s">
        <v>722</v>
      </c>
      <c r="J146" t="s">
        <v>986</v>
      </c>
    </row>
    <row r="147" spans="1:10" x14ac:dyDescent="0.35">
      <c r="A147">
        <v>146</v>
      </c>
      <c r="B147" t="s">
        <v>987</v>
      </c>
      <c r="C147">
        <v>1146</v>
      </c>
      <c r="D147" t="s">
        <v>736</v>
      </c>
      <c r="E147" t="s">
        <v>982</v>
      </c>
      <c r="F147" t="s">
        <v>983</v>
      </c>
      <c r="G147" t="s">
        <v>636</v>
      </c>
      <c r="H147" t="s">
        <v>465</v>
      </c>
      <c r="I147" t="s">
        <v>722</v>
      </c>
      <c r="J147" t="s">
        <v>988</v>
      </c>
    </row>
    <row r="148" spans="1:10" x14ac:dyDescent="0.35">
      <c r="A148">
        <v>147</v>
      </c>
      <c r="B148" t="s">
        <v>989</v>
      </c>
      <c r="C148">
        <v>1147</v>
      </c>
      <c r="D148" t="s">
        <v>736</v>
      </c>
      <c r="E148" t="s">
        <v>982</v>
      </c>
      <c r="F148" t="s">
        <v>983</v>
      </c>
      <c r="G148" t="s">
        <v>708</v>
      </c>
      <c r="H148" t="s">
        <v>537</v>
      </c>
      <c r="I148" t="s">
        <v>722</v>
      </c>
      <c r="J148" t="s">
        <v>990</v>
      </c>
    </row>
    <row r="149" spans="1:10" x14ac:dyDescent="0.35">
      <c r="A149">
        <v>148</v>
      </c>
      <c r="B149" t="s">
        <v>991</v>
      </c>
      <c r="C149">
        <v>1148</v>
      </c>
      <c r="D149" t="s">
        <v>736</v>
      </c>
      <c r="E149" t="s">
        <v>982</v>
      </c>
      <c r="F149" t="s">
        <v>983</v>
      </c>
      <c r="G149" t="s">
        <v>600</v>
      </c>
      <c r="H149" t="s">
        <v>429</v>
      </c>
      <c r="I149" t="s">
        <v>722</v>
      </c>
      <c r="J149" t="s">
        <v>992</v>
      </c>
    </row>
    <row r="150" spans="1:10" x14ac:dyDescent="0.35">
      <c r="A150">
        <v>149</v>
      </c>
      <c r="B150" t="s">
        <v>993</v>
      </c>
      <c r="C150">
        <v>1149</v>
      </c>
      <c r="D150" t="s">
        <v>736</v>
      </c>
      <c r="E150" t="s">
        <v>982</v>
      </c>
      <c r="F150" t="s">
        <v>983</v>
      </c>
      <c r="G150" t="s">
        <v>607</v>
      </c>
      <c r="H150" t="s">
        <v>436</v>
      </c>
      <c r="I150" t="s">
        <v>721</v>
      </c>
      <c r="J150" t="s">
        <v>994</v>
      </c>
    </row>
    <row r="151" spans="1:10" x14ac:dyDescent="0.35">
      <c r="A151">
        <v>150</v>
      </c>
      <c r="B151" t="s">
        <v>981</v>
      </c>
      <c r="C151">
        <v>1150</v>
      </c>
      <c r="D151" t="s">
        <v>736</v>
      </c>
      <c r="E151" t="s">
        <v>982</v>
      </c>
      <c r="F151" t="s">
        <v>995</v>
      </c>
      <c r="G151" t="s">
        <v>712</v>
      </c>
      <c r="H151" t="s">
        <v>541</v>
      </c>
      <c r="I151" t="s">
        <v>722</v>
      </c>
      <c r="J151" t="s">
        <v>984</v>
      </c>
    </row>
    <row r="152" spans="1:10" x14ac:dyDescent="0.35">
      <c r="A152">
        <v>151</v>
      </c>
      <c r="B152" t="s">
        <v>985</v>
      </c>
      <c r="C152">
        <v>1151</v>
      </c>
      <c r="D152" t="s">
        <v>736</v>
      </c>
      <c r="E152" t="s">
        <v>982</v>
      </c>
      <c r="F152" t="s">
        <v>995</v>
      </c>
      <c r="G152" t="s">
        <v>698</v>
      </c>
      <c r="H152" t="s">
        <v>527</v>
      </c>
      <c r="I152" t="s">
        <v>722</v>
      </c>
      <c r="J152" t="s">
        <v>986</v>
      </c>
    </row>
    <row r="153" spans="1:10" x14ac:dyDescent="0.35">
      <c r="A153">
        <v>152</v>
      </c>
      <c r="B153" t="s">
        <v>991</v>
      </c>
      <c r="C153">
        <v>1152</v>
      </c>
      <c r="D153" t="s">
        <v>736</v>
      </c>
      <c r="E153" t="s">
        <v>982</v>
      </c>
      <c r="F153" t="s">
        <v>995</v>
      </c>
      <c r="G153" t="s">
        <v>651</v>
      </c>
      <c r="H153" t="s">
        <v>480</v>
      </c>
      <c r="I153" t="s">
        <v>722</v>
      </c>
      <c r="J153" t="s">
        <v>996</v>
      </c>
    </row>
    <row r="154" spans="1:10" x14ac:dyDescent="0.35">
      <c r="A154">
        <v>153</v>
      </c>
      <c r="B154" t="s">
        <v>987</v>
      </c>
      <c r="C154">
        <v>1153</v>
      </c>
      <c r="D154" t="s">
        <v>736</v>
      </c>
      <c r="E154" t="s">
        <v>982</v>
      </c>
      <c r="F154" t="s">
        <v>995</v>
      </c>
      <c r="G154" t="s">
        <v>565</v>
      </c>
      <c r="H154" t="s">
        <v>394</v>
      </c>
      <c r="I154" t="s">
        <v>721</v>
      </c>
      <c r="J154" t="s">
        <v>935</v>
      </c>
    </row>
    <row r="155" spans="1:10" x14ac:dyDescent="0.35">
      <c r="A155">
        <v>154</v>
      </c>
      <c r="B155" t="s">
        <v>989</v>
      </c>
      <c r="C155">
        <v>1154</v>
      </c>
      <c r="D155" t="s">
        <v>736</v>
      </c>
      <c r="E155" t="s">
        <v>982</v>
      </c>
      <c r="F155" t="s">
        <v>995</v>
      </c>
      <c r="G155" t="s">
        <v>708</v>
      </c>
      <c r="H155" t="s">
        <v>537</v>
      </c>
      <c r="I155" t="s">
        <v>722</v>
      </c>
      <c r="J155" t="s">
        <v>990</v>
      </c>
    </row>
    <row r="156" spans="1:10" x14ac:dyDescent="0.35">
      <c r="A156">
        <v>155</v>
      </c>
      <c r="B156" t="s">
        <v>993</v>
      </c>
      <c r="C156">
        <v>1155</v>
      </c>
      <c r="D156" t="s">
        <v>736</v>
      </c>
      <c r="E156" t="s">
        <v>982</v>
      </c>
      <c r="F156" t="s">
        <v>995</v>
      </c>
      <c r="G156" t="s">
        <v>607</v>
      </c>
      <c r="H156" t="s">
        <v>436</v>
      </c>
      <c r="I156" t="s">
        <v>721</v>
      </c>
      <c r="J156" t="s">
        <v>994</v>
      </c>
    </row>
    <row r="157" spans="1:10" x14ac:dyDescent="0.35">
      <c r="A157">
        <v>156</v>
      </c>
      <c r="B157" t="s">
        <v>997</v>
      </c>
      <c r="C157">
        <v>1156</v>
      </c>
      <c r="D157" t="s">
        <v>736</v>
      </c>
      <c r="E157" t="s">
        <v>982</v>
      </c>
      <c r="F157" t="s">
        <v>998</v>
      </c>
      <c r="G157" t="s">
        <v>684</v>
      </c>
      <c r="H157" t="s">
        <v>513</v>
      </c>
      <c r="I157" t="s">
        <v>722</v>
      </c>
      <c r="J157" t="s">
        <v>999</v>
      </c>
    </row>
    <row r="158" spans="1:10" x14ac:dyDescent="0.35">
      <c r="A158">
        <v>157</v>
      </c>
      <c r="B158" t="s">
        <v>1000</v>
      </c>
      <c r="C158">
        <v>1157</v>
      </c>
      <c r="D158" t="s">
        <v>736</v>
      </c>
      <c r="E158" t="s">
        <v>982</v>
      </c>
      <c r="F158" t="s">
        <v>998</v>
      </c>
      <c r="G158" t="s">
        <v>558</v>
      </c>
      <c r="H158" t="s">
        <v>387</v>
      </c>
      <c r="I158" t="s">
        <v>722</v>
      </c>
      <c r="J158" t="s">
        <v>1001</v>
      </c>
    </row>
    <row r="159" spans="1:10" x14ac:dyDescent="0.35">
      <c r="A159">
        <v>158</v>
      </c>
      <c r="B159" t="s">
        <v>1002</v>
      </c>
      <c r="C159">
        <v>1158</v>
      </c>
      <c r="D159" t="s">
        <v>736</v>
      </c>
      <c r="E159" t="s">
        <v>982</v>
      </c>
      <c r="F159" t="s">
        <v>998</v>
      </c>
      <c r="G159" t="s">
        <v>698</v>
      </c>
      <c r="H159" t="s">
        <v>527</v>
      </c>
      <c r="I159" t="s">
        <v>722</v>
      </c>
      <c r="J159" t="s">
        <v>986</v>
      </c>
    </row>
    <row r="160" spans="1:10" x14ac:dyDescent="0.35">
      <c r="A160">
        <v>159</v>
      </c>
      <c r="B160" t="s">
        <v>1003</v>
      </c>
      <c r="C160">
        <v>1159</v>
      </c>
      <c r="D160" t="s">
        <v>736</v>
      </c>
      <c r="E160" t="s">
        <v>982</v>
      </c>
      <c r="F160" t="s">
        <v>998</v>
      </c>
      <c r="G160" t="s">
        <v>651</v>
      </c>
      <c r="H160" t="s">
        <v>480</v>
      </c>
      <c r="I160" t="s">
        <v>722</v>
      </c>
      <c r="J160" t="s">
        <v>996</v>
      </c>
    </row>
    <row r="161" spans="1:10" x14ac:dyDescent="0.35">
      <c r="A161">
        <v>160</v>
      </c>
      <c r="B161" t="s">
        <v>1004</v>
      </c>
      <c r="C161">
        <v>1160</v>
      </c>
      <c r="D161" t="s">
        <v>736</v>
      </c>
      <c r="E161" t="s">
        <v>982</v>
      </c>
      <c r="F161" t="s">
        <v>998</v>
      </c>
      <c r="G161" t="s">
        <v>649</v>
      </c>
      <c r="H161" t="s">
        <v>478</v>
      </c>
      <c r="I161" t="s">
        <v>722</v>
      </c>
      <c r="J161" t="s">
        <v>1005</v>
      </c>
    </row>
    <row r="162" spans="1:10" x14ac:dyDescent="0.35">
      <c r="A162">
        <v>161</v>
      </c>
      <c r="B162" t="s">
        <v>1006</v>
      </c>
      <c r="C162">
        <v>1161</v>
      </c>
      <c r="D162" t="s">
        <v>736</v>
      </c>
      <c r="E162" t="s">
        <v>982</v>
      </c>
      <c r="F162" t="s">
        <v>998</v>
      </c>
      <c r="G162" t="s">
        <v>576</v>
      </c>
      <c r="H162" t="s">
        <v>405</v>
      </c>
      <c r="I162" t="s">
        <v>722</v>
      </c>
      <c r="J162" t="s">
        <v>1007</v>
      </c>
    </row>
    <row r="163" spans="1:10" x14ac:dyDescent="0.35">
      <c r="A163">
        <v>162</v>
      </c>
      <c r="B163" t="s">
        <v>1008</v>
      </c>
      <c r="C163">
        <v>1162</v>
      </c>
      <c r="D163" t="s">
        <v>736</v>
      </c>
      <c r="E163" t="s">
        <v>982</v>
      </c>
      <c r="F163" t="s">
        <v>1009</v>
      </c>
      <c r="G163" t="s">
        <v>644</v>
      </c>
      <c r="H163" t="s">
        <v>473</v>
      </c>
      <c r="I163" t="s">
        <v>722</v>
      </c>
      <c r="J163" t="s">
        <v>1010</v>
      </c>
    </row>
    <row r="164" spans="1:10" x14ac:dyDescent="0.35">
      <c r="A164">
        <v>163</v>
      </c>
      <c r="B164" t="s">
        <v>1011</v>
      </c>
      <c r="C164">
        <v>1163</v>
      </c>
      <c r="D164" t="s">
        <v>736</v>
      </c>
      <c r="E164" t="s">
        <v>982</v>
      </c>
      <c r="F164" t="s">
        <v>1009</v>
      </c>
      <c r="G164" t="s">
        <v>580</v>
      </c>
      <c r="H164" t="s">
        <v>409</v>
      </c>
      <c r="I164" t="s">
        <v>721</v>
      </c>
      <c r="J164" t="s">
        <v>1012</v>
      </c>
    </row>
    <row r="165" spans="1:10" x14ac:dyDescent="0.35">
      <c r="A165">
        <v>164</v>
      </c>
      <c r="B165" t="s">
        <v>1013</v>
      </c>
      <c r="C165">
        <v>1164</v>
      </c>
      <c r="D165" t="s">
        <v>736</v>
      </c>
      <c r="E165" t="s">
        <v>982</v>
      </c>
      <c r="F165" t="s">
        <v>1009</v>
      </c>
      <c r="G165" t="s">
        <v>649</v>
      </c>
      <c r="H165" t="s">
        <v>478</v>
      </c>
      <c r="I165" t="s">
        <v>722</v>
      </c>
      <c r="J165" t="s">
        <v>1005</v>
      </c>
    </row>
    <row r="166" spans="1:10" x14ac:dyDescent="0.35">
      <c r="A166">
        <v>165</v>
      </c>
      <c r="B166" t="s">
        <v>1014</v>
      </c>
      <c r="C166">
        <v>1165</v>
      </c>
      <c r="D166" t="s">
        <v>736</v>
      </c>
      <c r="E166" t="s">
        <v>982</v>
      </c>
      <c r="F166" t="s">
        <v>1009</v>
      </c>
      <c r="G166" t="s">
        <v>718</v>
      </c>
      <c r="H166" t="s">
        <v>547</v>
      </c>
      <c r="I166" t="s">
        <v>722</v>
      </c>
      <c r="J166" t="s">
        <v>942</v>
      </c>
    </row>
    <row r="167" spans="1:10" x14ac:dyDescent="0.35">
      <c r="A167">
        <v>166</v>
      </c>
      <c r="B167" t="s">
        <v>1015</v>
      </c>
      <c r="C167">
        <v>1166</v>
      </c>
      <c r="D167" t="s">
        <v>736</v>
      </c>
      <c r="E167" t="s">
        <v>982</v>
      </c>
      <c r="F167" t="s">
        <v>1009</v>
      </c>
      <c r="G167" t="s">
        <v>716</v>
      </c>
      <c r="H167" t="s">
        <v>545</v>
      </c>
      <c r="I167" t="s">
        <v>722</v>
      </c>
      <c r="J167" t="s">
        <v>1016</v>
      </c>
    </row>
    <row r="168" spans="1:10" x14ac:dyDescent="0.35">
      <c r="A168">
        <v>167</v>
      </c>
      <c r="B168" t="s">
        <v>1017</v>
      </c>
      <c r="C168">
        <v>1167</v>
      </c>
      <c r="D168" t="s">
        <v>736</v>
      </c>
      <c r="E168" t="s">
        <v>982</v>
      </c>
      <c r="F168" t="s">
        <v>1009</v>
      </c>
      <c r="G168" t="s">
        <v>578</v>
      </c>
      <c r="H168" t="s">
        <v>407</v>
      </c>
      <c r="I168" t="s">
        <v>722</v>
      </c>
      <c r="J168" t="s">
        <v>972</v>
      </c>
    </row>
    <row r="169" spans="1:10" x14ac:dyDescent="0.35">
      <c r="A169">
        <v>168</v>
      </c>
      <c r="B169" t="s">
        <v>1018</v>
      </c>
      <c r="C169">
        <v>1168</v>
      </c>
      <c r="D169" t="s">
        <v>736</v>
      </c>
      <c r="E169" t="s">
        <v>1019</v>
      </c>
      <c r="F169" t="s">
        <v>1020</v>
      </c>
      <c r="G169" t="s">
        <v>710</v>
      </c>
      <c r="H169" t="s">
        <v>539</v>
      </c>
      <c r="I169" t="s">
        <v>722</v>
      </c>
      <c r="J169" t="s">
        <v>1021</v>
      </c>
    </row>
    <row r="170" spans="1:10" x14ac:dyDescent="0.35">
      <c r="A170">
        <v>169</v>
      </c>
      <c r="B170" t="s">
        <v>1022</v>
      </c>
      <c r="C170">
        <v>1169</v>
      </c>
      <c r="D170" t="s">
        <v>736</v>
      </c>
      <c r="E170" t="s">
        <v>1019</v>
      </c>
      <c r="F170" t="s">
        <v>1020</v>
      </c>
      <c r="G170" t="s">
        <v>580</v>
      </c>
      <c r="H170" t="s">
        <v>409</v>
      </c>
      <c r="I170" t="s">
        <v>721</v>
      </c>
      <c r="J170" t="s">
        <v>1012</v>
      </c>
    </row>
    <row r="171" spans="1:10" x14ac:dyDescent="0.35">
      <c r="A171">
        <v>170</v>
      </c>
      <c r="B171" t="s">
        <v>1023</v>
      </c>
      <c r="C171">
        <v>1170</v>
      </c>
      <c r="D171" t="s">
        <v>736</v>
      </c>
      <c r="E171" t="s">
        <v>1019</v>
      </c>
      <c r="F171" t="s">
        <v>1020</v>
      </c>
      <c r="G171" t="s">
        <v>649</v>
      </c>
      <c r="H171" t="s">
        <v>478</v>
      </c>
      <c r="I171" t="s">
        <v>722</v>
      </c>
      <c r="J171" t="s">
        <v>1005</v>
      </c>
    </row>
    <row r="172" spans="1:10" x14ac:dyDescent="0.35">
      <c r="A172">
        <v>171</v>
      </c>
      <c r="B172" t="s">
        <v>1024</v>
      </c>
      <c r="C172">
        <v>1171</v>
      </c>
      <c r="D172" t="s">
        <v>736</v>
      </c>
      <c r="E172" t="s">
        <v>1019</v>
      </c>
      <c r="F172" t="s">
        <v>1020</v>
      </c>
      <c r="G172" t="s">
        <v>618</v>
      </c>
      <c r="H172" t="s">
        <v>447</v>
      </c>
      <c r="I172" t="s">
        <v>722</v>
      </c>
      <c r="J172" t="s">
        <v>1025</v>
      </c>
    </row>
    <row r="173" spans="1:10" x14ac:dyDescent="0.35">
      <c r="A173">
        <v>172</v>
      </c>
      <c r="B173" t="s">
        <v>1026</v>
      </c>
      <c r="C173">
        <v>1172</v>
      </c>
      <c r="D173" t="s">
        <v>736</v>
      </c>
      <c r="E173" t="s">
        <v>1019</v>
      </c>
      <c r="F173" t="s">
        <v>1020</v>
      </c>
      <c r="G173" t="s">
        <v>607</v>
      </c>
      <c r="H173" t="s">
        <v>436</v>
      </c>
      <c r="I173" t="s">
        <v>721</v>
      </c>
      <c r="J173" t="s">
        <v>994</v>
      </c>
    </row>
    <row r="174" spans="1:10" x14ac:dyDescent="0.35">
      <c r="A174">
        <v>173</v>
      </c>
      <c r="B174" t="s">
        <v>1027</v>
      </c>
      <c r="C174">
        <v>1173</v>
      </c>
      <c r="D174" t="s">
        <v>736</v>
      </c>
      <c r="E174" t="s">
        <v>1019</v>
      </c>
      <c r="F174" t="s">
        <v>1028</v>
      </c>
      <c r="G174" t="s">
        <v>706</v>
      </c>
      <c r="H174" t="s">
        <v>535</v>
      </c>
      <c r="I174" t="s">
        <v>722</v>
      </c>
      <c r="J174" t="s">
        <v>831</v>
      </c>
    </row>
    <row r="175" spans="1:10" x14ac:dyDescent="0.35">
      <c r="A175">
        <v>174</v>
      </c>
      <c r="B175" t="s">
        <v>1029</v>
      </c>
      <c r="C175">
        <v>1174</v>
      </c>
      <c r="D175" t="s">
        <v>736</v>
      </c>
      <c r="E175" t="s">
        <v>1019</v>
      </c>
      <c r="F175" t="s">
        <v>1028</v>
      </c>
      <c r="G175" t="s">
        <v>681</v>
      </c>
      <c r="H175" t="s">
        <v>510</v>
      </c>
      <c r="I175" t="s">
        <v>722</v>
      </c>
      <c r="J175" t="s">
        <v>1030</v>
      </c>
    </row>
    <row r="176" spans="1:10" x14ac:dyDescent="0.35">
      <c r="A176">
        <v>175</v>
      </c>
      <c r="B176" t="s">
        <v>1031</v>
      </c>
      <c r="C176">
        <v>1175</v>
      </c>
      <c r="D176" t="s">
        <v>736</v>
      </c>
      <c r="E176" t="s">
        <v>1019</v>
      </c>
      <c r="F176" t="s">
        <v>1028</v>
      </c>
      <c r="G176" t="s">
        <v>617</v>
      </c>
      <c r="H176" t="s">
        <v>446</v>
      </c>
      <c r="I176" t="s">
        <v>721</v>
      </c>
      <c r="J176" t="s">
        <v>1032</v>
      </c>
    </row>
    <row r="177" spans="1:10" x14ac:dyDescent="0.35">
      <c r="A177">
        <v>176</v>
      </c>
      <c r="B177" t="s">
        <v>1033</v>
      </c>
      <c r="C177">
        <v>1176</v>
      </c>
      <c r="D177" t="s">
        <v>736</v>
      </c>
      <c r="E177" t="s">
        <v>1019</v>
      </c>
      <c r="F177" t="s">
        <v>1028</v>
      </c>
      <c r="G177" t="s">
        <v>638</v>
      </c>
      <c r="H177" t="s">
        <v>467</v>
      </c>
      <c r="I177" t="s">
        <v>722</v>
      </c>
      <c r="J177" t="s">
        <v>1034</v>
      </c>
    </row>
    <row r="178" spans="1:10" x14ac:dyDescent="0.35">
      <c r="A178">
        <v>177</v>
      </c>
      <c r="B178" t="s">
        <v>1035</v>
      </c>
      <c r="C178">
        <v>1177</v>
      </c>
      <c r="D178" t="s">
        <v>736</v>
      </c>
      <c r="E178" t="s">
        <v>1019</v>
      </c>
      <c r="F178" t="s">
        <v>1028</v>
      </c>
      <c r="G178" t="s">
        <v>685</v>
      </c>
      <c r="H178" t="s">
        <v>514</v>
      </c>
      <c r="I178" t="s">
        <v>722</v>
      </c>
      <c r="J178" t="s">
        <v>1036</v>
      </c>
    </row>
    <row r="179" spans="1:10" x14ac:dyDescent="0.35">
      <c r="A179">
        <v>178</v>
      </c>
      <c r="B179" t="s">
        <v>1037</v>
      </c>
      <c r="C179">
        <v>1178</v>
      </c>
      <c r="D179" t="s">
        <v>736</v>
      </c>
      <c r="E179" t="s">
        <v>1038</v>
      </c>
      <c r="F179" t="s">
        <v>1039</v>
      </c>
      <c r="G179" t="s">
        <v>654</v>
      </c>
      <c r="H179" t="s">
        <v>483</v>
      </c>
      <c r="I179" t="s">
        <v>721</v>
      </c>
      <c r="J179" t="s">
        <v>765</v>
      </c>
    </row>
    <row r="180" spans="1:10" x14ac:dyDescent="0.35">
      <c r="A180">
        <v>179</v>
      </c>
      <c r="B180" t="s">
        <v>1040</v>
      </c>
      <c r="C180">
        <v>1179</v>
      </c>
      <c r="D180" t="s">
        <v>736</v>
      </c>
      <c r="E180" t="s">
        <v>1038</v>
      </c>
      <c r="F180" t="s">
        <v>1039</v>
      </c>
      <c r="G180" t="s">
        <v>684</v>
      </c>
      <c r="H180" t="s">
        <v>513</v>
      </c>
      <c r="I180" t="s">
        <v>722</v>
      </c>
      <c r="J180" t="s">
        <v>999</v>
      </c>
    </row>
    <row r="181" spans="1:10" x14ac:dyDescent="0.35">
      <c r="A181">
        <v>180</v>
      </c>
      <c r="B181" t="s">
        <v>1041</v>
      </c>
      <c r="C181">
        <v>1180</v>
      </c>
      <c r="D181" t="s">
        <v>736</v>
      </c>
      <c r="E181" t="s">
        <v>1038</v>
      </c>
      <c r="F181" t="s">
        <v>1039</v>
      </c>
      <c r="G181" t="s">
        <v>558</v>
      </c>
      <c r="H181" t="s">
        <v>387</v>
      </c>
      <c r="I181" t="s">
        <v>722</v>
      </c>
      <c r="J181" t="s">
        <v>1001</v>
      </c>
    </row>
    <row r="182" spans="1:10" x14ac:dyDescent="0.35">
      <c r="A182">
        <v>181</v>
      </c>
      <c r="B182" t="s">
        <v>1042</v>
      </c>
      <c r="C182">
        <v>1181</v>
      </c>
      <c r="D182" t="s">
        <v>736</v>
      </c>
      <c r="E182" t="s">
        <v>1038</v>
      </c>
      <c r="F182" t="s">
        <v>1039</v>
      </c>
      <c r="G182" t="s">
        <v>677</v>
      </c>
      <c r="H182" t="s">
        <v>506</v>
      </c>
      <c r="I182" t="s">
        <v>721</v>
      </c>
      <c r="J182" t="s">
        <v>1043</v>
      </c>
    </row>
    <row r="183" spans="1:10" x14ac:dyDescent="0.35">
      <c r="A183">
        <v>182</v>
      </c>
      <c r="B183" t="s">
        <v>1044</v>
      </c>
      <c r="C183">
        <v>1182</v>
      </c>
      <c r="D183" t="s">
        <v>736</v>
      </c>
      <c r="E183" t="s">
        <v>1038</v>
      </c>
      <c r="F183" t="s">
        <v>1039</v>
      </c>
      <c r="G183" t="s">
        <v>665</v>
      </c>
      <c r="H183" t="s">
        <v>494</v>
      </c>
      <c r="I183" t="s">
        <v>722</v>
      </c>
      <c r="J183" t="s">
        <v>1045</v>
      </c>
    </row>
    <row r="184" spans="1:10" x14ac:dyDescent="0.35">
      <c r="A184">
        <v>183</v>
      </c>
      <c r="B184" t="s">
        <v>1046</v>
      </c>
      <c r="C184">
        <v>1183</v>
      </c>
      <c r="D184" t="s">
        <v>736</v>
      </c>
      <c r="E184" t="s">
        <v>1038</v>
      </c>
      <c r="F184" t="s">
        <v>1039</v>
      </c>
      <c r="G184" t="s">
        <v>638</v>
      </c>
      <c r="H184" t="s">
        <v>467</v>
      </c>
      <c r="I184" t="s">
        <v>722</v>
      </c>
      <c r="J184" t="s">
        <v>1034</v>
      </c>
    </row>
    <row r="185" spans="1:10" x14ac:dyDescent="0.35">
      <c r="A185">
        <v>184</v>
      </c>
      <c r="B185" t="s">
        <v>1047</v>
      </c>
      <c r="C185">
        <v>1184</v>
      </c>
      <c r="D185" t="s">
        <v>736</v>
      </c>
      <c r="E185" t="s">
        <v>1038</v>
      </c>
      <c r="F185" t="s">
        <v>1048</v>
      </c>
      <c r="G185" t="s">
        <v>680</v>
      </c>
      <c r="H185" t="s">
        <v>509</v>
      </c>
      <c r="I185" t="s">
        <v>721</v>
      </c>
      <c r="J185" t="s">
        <v>1049</v>
      </c>
    </row>
    <row r="186" spans="1:10" x14ac:dyDescent="0.35">
      <c r="A186">
        <v>185</v>
      </c>
      <c r="B186" t="s">
        <v>1050</v>
      </c>
      <c r="C186">
        <v>1185</v>
      </c>
      <c r="D186" t="s">
        <v>736</v>
      </c>
      <c r="E186" t="s">
        <v>1038</v>
      </c>
      <c r="F186" t="s">
        <v>1048</v>
      </c>
      <c r="G186" t="s">
        <v>684</v>
      </c>
      <c r="H186" t="s">
        <v>513</v>
      </c>
      <c r="I186" t="s">
        <v>722</v>
      </c>
      <c r="J186" t="s">
        <v>999</v>
      </c>
    </row>
    <row r="187" spans="1:10" x14ac:dyDescent="0.35">
      <c r="A187">
        <v>186</v>
      </c>
      <c r="B187" t="s">
        <v>1051</v>
      </c>
      <c r="C187">
        <v>1186</v>
      </c>
      <c r="D187" t="s">
        <v>736</v>
      </c>
      <c r="E187" t="s">
        <v>1038</v>
      </c>
      <c r="F187" t="s">
        <v>1048</v>
      </c>
      <c r="G187" t="s">
        <v>558</v>
      </c>
      <c r="H187" t="s">
        <v>387</v>
      </c>
      <c r="I187" t="s">
        <v>722</v>
      </c>
      <c r="J187" t="s">
        <v>1001</v>
      </c>
    </row>
    <row r="188" spans="1:10" x14ac:dyDescent="0.35">
      <c r="A188">
        <v>187</v>
      </c>
      <c r="B188" t="s">
        <v>1052</v>
      </c>
      <c r="C188">
        <v>1187</v>
      </c>
      <c r="D188" t="s">
        <v>736</v>
      </c>
      <c r="E188" t="s">
        <v>1038</v>
      </c>
      <c r="F188" t="s">
        <v>1048</v>
      </c>
      <c r="G188" t="s">
        <v>677</v>
      </c>
      <c r="H188" t="s">
        <v>506</v>
      </c>
      <c r="I188" t="s">
        <v>721</v>
      </c>
      <c r="J188" t="s">
        <v>1043</v>
      </c>
    </row>
    <row r="189" spans="1:10" x14ac:dyDescent="0.35">
      <c r="A189">
        <v>188</v>
      </c>
      <c r="B189" t="s">
        <v>1053</v>
      </c>
      <c r="C189">
        <v>1188</v>
      </c>
      <c r="D189" t="s">
        <v>736</v>
      </c>
      <c r="E189" t="s">
        <v>1038</v>
      </c>
      <c r="F189" t="s">
        <v>1048</v>
      </c>
      <c r="G189" t="s">
        <v>636</v>
      </c>
      <c r="H189" t="s">
        <v>465</v>
      </c>
      <c r="I189" t="s">
        <v>722</v>
      </c>
      <c r="J189" t="s">
        <v>988</v>
      </c>
    </row>
    <row r="190" spans="1:10" x14ac:dyDescent="0.35">
      <c r="A190">
        <v>189</v>
      </c>
      <c r="B190" t="s">
        <v>1054</v>
      </c>
      <c r="C190">
        <v>1189</v>
      </c>
      <c r="D190" t="s">
        <v>736</v>
      </c>
      <c r="E190" t="s">
        <v>1038</v>
      </c>
      <c r="F190" t="s">
        <v>1048</v>
      </c>
      <c r="G190" t="s">
        <v>617</v>
      </c>
      <c r="H190" t="s">
        <v>446</v>
      </c>
      <c r="I190" t="s">
        <v>721</v>
      </c>
      <c r="J190" t="s">
        <v>1032</v>
      </c>
    </row>
    <row r="191" spans="1:10" x14ac:dyDescent="0.35">
      <c r="A191">
        <v>190</v>
      </c>
      <c r="B191" t="s">
        <v>1055</v>
      </c>
      <c r="C191">
        <v>1190</v>
      </c>
      <c r="D191" t="s">
        <v>736</v>
      </c>
      <c r="E191" t="s">
        <v>1038</v>
      </c>
      <c r="F191" t="s">
        <v>1056</v>
      </c>
      <c r="G191" t="s">
        <v>710</v>
      </c>
      <c r="H191" t="s">
        <v>539</v>
      </c>
      <c r="I191" t="s">
        <v>722</v>
      </c>
      <c r="J191" t="s">
        <v>1021</v>
      </c>
    </row>
    <row r="192" spans="1:10" x14ac:dyDescent="0.35">
      <c r="A192">
        <v>192</v>
      </c>
      <c r="B192" t="s">
        <v>1057</v>
      </c>
      <c r="C192">
        <v>1192</v>
      </c>
      <c r="D192" t="s">
        <v>736</v>
      </c>
      <c r="E192" t="s">
        <v>1038</v>
      </c>
      <c r="F192" t="s">
        <v>1056</v>
      </c>
      <c r="G192" t="s">
        <v>681</v>
      </c>
      <c r="H192" t="s">
        <v>510</v>
      </c>
      <c r="I192" t="s">
        <v>722</v>
      </c>
      <c r="J192" t="s">
        <v>1030</v>
      </c>
    </row>
    <row r="193" spans="1:10" x14ac:dyDescent="0.35">
      <c r="A193">
        <v>193</v>
      </c>
      <c r="B193" t="s">
        <v>1058</v>
      </c>
      <c r="C193">
        <v>1193</v>
      </c>
      <c r="D193" t="s">
        <v>736</v>
      </c>
      <c r="E193" t="s">
        <v>1038</v>
      </c>
      <c r="F193" t="s">
        <v>1056</v>
      </c>
      <c r="G193" t="s">
        <v>603</v>
      </c>
      <c r="H193" t="s">
        <v>432</v>
      </c>
      <c r="I193" t="s">
        <v>722</v>
      </c>
      <c r="J193" t="s">
        <v>1059</v>
      </c>
    </row>
    <row r="194" spans="1:10" x14ac:dyDescent="0.35">
      <c r="A194">
        <v>194</v>
      </c>
      <c r="B194" t="s">
        <v>1060</v>
      </c>
      <c r="C194">
        <v>1194</v>
      </c>
      <c r="D194" t="s">
        <v>736</v>
      </c>
      <c r="E194" t="s">
        <v>1038</v>
      </c>
      <c r="F194" t="s">
        <v>1056</v>
      </c>
      <c r="G194" t="s">
        <v>617</v>
      </c>
      <c r="H194" t="s">
        <v>446</v>
      </c>
      <c r="I194" t="s">
        <v>721</v>
      </c>
      <c r="J194" t="s">
        <v>1032</v>
      </c>
    </row>
    <row r="195" spans="1:10" x14ac:dyDescent="0.35">
      <c r="A195">
        <v>195</v>
      </c>
      <c r="B195" t="s">
        <v>1061</v>
      </c>
      <c r="C195">
        <v>1195</v>
      </c>
      <c r="D195" t="s">
        <v>736</v>
      </c>
      <c r="E195" t="s">
        <v>1038</v>
      </c>
      <c r="F195" t="s">
        <v>1056</v>
      </c>
      <c r="G195" t="s">
        <v>580</v>
      </c>
      <c r="H195" t="s">
        <v>409</v>
      </c>
      <c r="I195" t="s">
        <v>721</v>
      </c>
      <c r="J195" t="s">
        <v>1012</v>
      </c>
    </row>
    <row r="196" spans="1:10" x14ac:dyDescent="0.35">
      <c r="A196">
        <v>196</v>
      </c>
      <c r="B196" t="s">
        <v>1062</v>
      </c>
      <c r="C196">
        <v>1196</v>
      </c>
      <c r="D196" t="s">
        <v>736</v>
      </c>
      <c r="E196" t="s">
        <v>1038</v>
      </c>
      <c r="F196" t="s">
        <v>1056</v>
      </c>
      <c r="G196" t="s">
        <v>685</v>
      </c>
      <c r="H196" t="s">
        <v>514</v>
      </c>
      <c r="I196" t="s">
        <v>722</v>
      </c>
      <c r="J196" t="s">
        <v>1036</v>
      </c>
    </row>
    <row r="197" spans="1:10" x14ac:dyDescent="0.35">
      <c r="A197">
        <v>197</v>
      </c>
      <c r="B197" t="s">
        <v>1063</v>
      </c>
      <c r="C197">
        <v>1197</v>
      </c>
      <c r="D197" t="s">
        <v>736</v>
      </c>
      <c r="E197" t="s">
        <v>1064</v>
      </c>
      <c r="F197" t="s">
        <v>1065</v>
      </c>
      <c r="G197" t="s">
        <v>710</v>
      </c>
      <c r="H197" t="s">
        <v>539</v>
      </c>
      <c r="I197" t="s">
        <v>722</v>
      </c>
      <c r="J197" t="s">
        <v>1021</v>
      </c>
    </row>
    <row r="198" spans="1:10" x14ac:dyDescent="0.35">
      <c r="A198">
        <v>198</v>
      </c>
      <c r="B198" t="s">
        <v>1066</v>
      </c>
      <c r="C198">
        <v>1198</v>
      </c>
      <c r="D198" t="s">
        <v>736</v>
      </c>
      <c r="E198" t="s">
        <v>1064</v>
      </c>
      <c r="F198" t="s">
        <v>1065</v>
      </c>
      <c r="G198" t="s">
        <v>712</v>
      </c>
      <c r="H198" t="s">
        <v>541</v>
      </c>
      <c r="I198" t="s">
        <v>722</v>
      </c>
      <c r="J198" t="s">
        <v>984</v>
      </c>
    </row>
    <row r="199" spans="1:10" x14ac:dyDescent="0.35">
      <c r="A199">
        <v>199</v>
      </c>
      <c r="B199" t="s">
        <v>1067</v>
      </c>
      <c r="C199">
        <v>1199</v>
      </c>
      <c r="D199" t="s">
        <v>736</v>
      </c>
      <c r="E199" t="s">
        <v>1064</v>
      </c>
      <c r="F199" t="s">
        <v>1065</v>
      </c>
      <c r="G199" t="s">
        <v>667</v>
      </c>
      <c r="H199" t="s">
        <v>496</v>
      </c>
      <c r="I199" t="s">
        <v>722</v>
      </c>
      <c r="J199" t="s">
        <v>778</v>
      </c>
    </row>
    <row r="200" spans="1:10" x14ac:dyDescent="0.35">
      <c r="A200">
        <v>200</v>
      </c>
      <c r="B200" t="s">
        <v>1068</v>
      </c>
      <c r="C200">
        <v>1200</v>
      </c>
      <c r="D200" t="s">
        <v>736</v>
      </c>
      <c r="E200" t="s">
        <v>1064</v>
      </c>
      <c r="F200" t="s">
        <v>1065</v>
      </c>
      <c r="G200" t="s">
        <v>580</v>
      </c>
      <c r="H200" t="s">
        <v>409</v>
      </c>
      <c r="I200" t="s">
        <v>721</v>
      </c>
      <c r="J200" t="s">
        <v>1012</v>
      </c>
    </row>
    <row r="201" spans="1:10" x14ac:dyDescent="0.35">
      <c r="A201">
        <v>201</v>
      </c>
      <c r="B201" t="s">
        <v>1069</v>
      </c>
      <c r="C201">
        <v>1201</v>
      </c>
      <c r="D201" t="s">
        <v>736</v>
      </c>
      <c r="E201" t="s">
        <v>1064</v>
      </c>
      <c r="F201" t="s">
        <v>1065</v>
      </c>
      <c r="G201" t="s">
        <v>685</v>
      </c>
      <c r="H201" t="s">
        <v>514</v>
      </c>
      <c r="I201" t="s">
        <v>722</v>
      </c>
      <c r="J201" t="s">
        <v>1036</v>
      </c>
    </row>
    <row r="202" spans="1:10" x14ac:dyDescent="0.35">
      <c r="A202">
        <v>202</v>
      </c>
      <c r="B202" t="s">
        <v>1070</v>
      </c>
      <c r="C202">
        <v>1202</v>
      </c>
      <c r="D202" t="s">
        <v>736</v>
      </c>
      <c r="E202" t="s">
        <v>1064</v>
      </c>
      <c r="F202" t="s">
        <v>1065</v>
      </c>
      <c r="G202" t="s">
        <v>560</v>
      </c>
      <c r="H202" t="s">
        <v>389</v>
      </c>
      <c r="I202" t="s">
        <v>722</v>
      </c>
      <c r="J202" t="s">
        <v>1071</v>
      </c>
    </row>
    <row r="203" spans="1:10" x14ac:dyDescent="0.35">
      <c r="A203">
        <v>203</v>
      </c>
      <c r="B203" t="s">
        <v>1072</v>
      </c>
      <c r="C203">
        <v>1203</v>
      </c>
      <c r="D203" t="s">
        <v>736</v>
      </c>
      <c r="E203" t="s">
        <v>1073</v>
      </c>
      <c r="F203" t="s">
        <v>1074</v>
      </c>
      <c r="G203" t="s">
        <v>697</v>
      </c>
      <c r="H203" t="s">
        <v>526</v>
      </c>
      <c r="I203" t="s">
        <v>721</v>
      </c>
      <c r="J203" t="s">
        <v>1075</v>
      </c>
    </row>
    <row r="204" spans="1:10" x14ac:dyDescent="0.35">
      <c r="A204">
        <v>204</v>
      </c>
      <c r="B204" t="s">
        <v>1076</v>
      </c>
      <c r="C204">
        <v>1204</v>
      </c>
      <c r="D204" t="s">
        <v>736</v>
      </c>
      <c r="E204" t="s">
        <v>1073</v>
      </c>
      <c r="F204" t="s">
        <v>1074</v>
      </c>
      <c r="G204" t="s">
        <v>630</v>
      </c>
      <c r="H204" t="s">
        <v>459</v>
      </c>
      <c r="I204" t="s">
        <v>722</v>
      </c>
      <c r="J204" t="s">
        <v>754</v>
      </c>
    </row>
    <row r="205" spans="1:10" x14ac:dyDescent="0.35">
      <c r="A205">
        <v>205</v>
      </c>
      <c r="B205" t="s">
        <v>1077</v>
      </c>
      <c r="C205">
        <v>1205</v>
      </c>
      <c r="D205" t="s">
        <v>736</v>
      </c>
      <c r="E205" t="s">
        <v>1073</v>
      </c>
      <c r="F205" t="s">
        <v>1074</v>
      </c>
      <c r="G205" t="s">
        <v>673</v>
      </c>
      <c r="H205" t="s">
        <v>502</v>
      </c>
      <c r="I205" t="s">
        <v>721</v>
      </c>
      <c r="J205" t="s">
        <v>1078</v>
      </c>
    </row>
    <row r="206" spans="1:10" x14ac:dyDescent="0.35">
      <c r="A206">
        <v>206</v>
      </c>
      <c r="B206" t="s">
        <v>1079</v>
      </c>
      <c r="C206">
        <v>1206</v>
      </c>
      <c r="D206" t="s">
        <v>736</v>
      </c>
      <c r="E206" t="s">
        <v>1073</v>
      </c>
      <c r="F206" t="s">
        <v>1074</v>
      </c>
      <c r="G206" t="s">
        <v>562</v>
      </c>
      <c r="H206" t="s">
        <v>391</v>
      </c>
      <c r="I206" t="s">
        <v>722</v>
      </c>
      <c r="J206" t="s">
        <v>1080</v>
      </c>
    </row>
    <row r="207" spans="1:10" x14ac:dyDescent="0.35">
      <c r="A207">
        <v>207</v>
      </c>
      <c r="B207" t="s">
        <v>1081</v>
      </c>
      <c r="C207">
        <v>1207</v>
      </c>
      <c r="D207" t="s">
        <v>736</v>
      </c>
      <c r="E207" t="s">
        <v>1073</v>
      </c>
      <c r="F207" t="s">
        <v>1074</v>
      </c>
      <c r="G207" t="s">
        <v>592</v>
      </c>
      <c r="H207" t="s">
        <v>421</v>
      </c>
      <c r="I207" t="s">
        <v>722</v>
      </c>
      <c r="J207" t="s">
        <v>749</v>
      </c>
    </row>
    <row r="208" spans="1:10" x14ac:dyDescent="0.35">
      <c r="A208">
        <v>208</v>
      </c>
      <c r="B208" t="s">
        <v>1082</v>
      </c>
      <c r="C208">
        <v>1208</v>
      </c>
      <c r="D208" t="s">
        <v>736</v>
      </c>
      <c r="E208" t="s">
        <v>1073</v>
      </c>
      <c r="F208" t="s">
        <v>1074</v>
      </c>
      <c r="G208" t="s">
        <v>643</v>
      </c>
      <c r="H208" t="s">
        <v>472</v>
      </c>
      <c r="I208" t="s">
        <v>722</v>
      </c>
      <c r="J208" t="s">
        <v>760</v>
      </c>
    </row>
    <row r="209" spans="1:10" x14ac:dyDescent="0.35">
      <c r="A209">
        <v>209</v>
      </c>
      <c r="B209" t="s">
        <v>1083</v>
      </c>
      <c r="C209">
        <v>1209</v>
      </c>
      <c r="D209" t="s">
        <v>736</v>
      </c>
      <c r="E209" t="s">
        <v>1084</v>
      </c>
      <c r="F209" t="s">
        <v>1085</v>
      </c>
      <c r="G209" t="s">
        <v>699</v>
      </c>
      <c r="H209" t="s">
        <v>528</v>
      </c>
      <c r="I209" t="s">
        <v>721</v>
      </c>
      <c r="J209" t="s">
        <v>1086</v>
      </c>
    </row>
    <row r="210" spans="1:10" x14ac:dyDescent="0.35">
      <c r="A210">
        <v>210</v>
      </c>
      <c r="B210" t="s">
        <v>1087</v>
      </c>
      <c r="C210">
        <v>1210</v>
      </c>
      <c r="D210" t="s">
        <v>736</v>
      </c>
      <c r="E210" t="s">
        <v>1084</v>
      </c>
      <c r="F210" t="s">
        <v>1085</v>
      </c>
      <c r="G210" t="s">
        <v>623</v>
      </c>
      <c r="H210" t="s">
        <v>452</v>
      </c>
      <c r="I210" t="s">
        <v>722</v>
      </c>
      <c r="J210" t="s">
        <v>1088</v>
      </c>
    </row>
    <row r="211" spans="1:10" x14ac:dyDescent="0.35">
      <c r="A211">
        <v>211</v>
      </c>
      <c r="B211" t="s">
        <v>1089</v>
      </c>
      <c r="C211">
        <v>1211</v>
      </c>
      <c r="D211" t="s">
        <v>736</v>
      </c>
      <c r="E211" t="s">
        <v>1084</v>
      </c>
      <c r="F211" t="s">
        <v>1085</v>
      </c>
      <c r="G211" t="s">
        <v>550</v>
      </c>
      <c r="H211" t="s">
        <v>379</v>
      </c>
      <c r="I211" t="s">
        <v>721</v>
      </c>
      <c r="J211" t="s">
        <v>1090</v>
      </c>
    </row>
    <row r="212" spans="1:10" x14ac:dyDescent="0.35">
      <c r="A212">
        <v>212</v>
      </c>
      <c r="B212" t="s">
        <v>1091</v>
      </c>
      <c r="C212">
        <v>1212</v>
      </c>
      <c r="D212" t="s">
        <v>736</v>
      </c>
      <c r="E212" t="s">
        <v>1084</v>
      </c>
      <c r="F212" t="s">
        <v>1085</v>
      </c>
      <c r="G212" t="s">
        <v>671</v>
      </c>
      <c r="H212" t="s">
        <v>500</v>
      </c>
      <c r="I212" t="s">
        <v>721</v>
      </c>
      <c r="J212" t="s">
        <v>1092</v>
      </c>
    </row>
    <row r="213" spans="1:10" x14ac:dyDescent="0.35">
      <c r="A213">
        <v>213</v>
      </c>
      <c r="B213" t="s">
        <v>1093</v>
      </c>
      <c r="C213">
        <v>1213</v>
      </c>
      <c r="D213" t="s">
        <v>736</v>
      </c>
      <c r="E213" t="s">
        <v>1084</v>
      </c>
      <c r="F213" t="s">
        <v>1085</v>
      </c>
      <c r="G213" t="s">
        <v>601</v>
      </c>
      <c r="H213" t="s">
        <v>430</v>
      </c>
      <c r="I213" t="s">
        <v>722</v>
      </c>
      <c r="J213" t="s">
        <v>1094</v>
      </c>
    </row>
    <row r="214" spans="1:10" x14ac:dyDescent="0.35">
      <c r="A214">
        <v>214</v>
      </c>
      <c r="B214" t="s">
        <v>1095</v>
      </c>
      <c r="C214">
        <v>1214</v>
      </c>
      <c r="D214" t="s">
        <v>736</v>
      </c>
      <c r="E214" t="s">
        <v>1084</v>
      </c>
      <c r="F214" t="s">
        <v>1085</v>
      </c>
      <c r="G214" t="s">
        <v>561</v>
      </c>
      <c r="H214" t="s">
        <v>390</v>
      </c>
      <c r="I214" t="s">
        <v>721</v>
      </c>
      <c r="J214" t="s">
        <v>1096</v>
      </c>
    </row>
    <row r="215" spans="1:10" x14ac:dyDescent="0.35">
      <c r="A215">
        <v>215</v>
      </c>
      <c r="B215" t="s">
        <v>1097</v>
      </c>
      <c r="C215">
        <v>1215</v>
      </c>
      <c r="D215" t="s">
        <v>736</v>
      </c>
      <c r="E215" t="s">
        <v>1084</v>
      </c>
      <c r="F215" t="s">
        <v>1098</v>
      </c>
      <c r="G215" t="s">
        <v>633</v>
      </c>
      <c r="H215" t="s">
        <v>462</v>
      </c>
      <c r="I215" t="s">
        <v>722</v>
      </c>
      <c r="J215" t="s">
        <v>1099</v>
      </c>
    </row>
    <row r="216" spans="1:10" x14ac:dyDescent="0.35">
      <c r="A216">
        <v>216</v>
      </c>
      <c r="B216" t="s">
        <v>1100</v>
      </c>
      <c r="C216">
        <v>1216</v>
      </c>
      <c r="D216" t="s">
        <v>736</v>
      </c>
      <c r="E216" t="s">
        <v>1084</v>
      </c>
      <c r="F216" t="s">
        <v>1098</v>
      </c>
      <c r="G216" t="s">
        <v>622</v>
      </c>
      <c r="H216" t="s">
        <v>451</v>
      </c>
      <c r="I216" t="s">
        <v>722</v>
      </c>
      <c r="J216" t="s">
        <v>1101</v>
      </c>
    </row>
    <row r="217" spans="1:10" x14ac:dyDescent="0.35">
      <c r="A217">
        <v>217</v>
      </c>
      <c r="B217" t="s">
        <v>1102</v>
      </c>
      <c r="C217">
        <v>1217</v>
      </c>
      <c r="D217" t="s">
        <v>736</v>
      </c>
      <c r="E217" t="s">
        <v>1084</v>
      </c>
      <c r="F217" t="s">
        <v>1098</v>
      </c>
      <c r="G217" t="s">
        <v>550</v>
      </c>
      <c r="H217" t="s">
        <v>379</v>
      </c>
      <c r="I217" t="s">
        <v>721</v>
      </c>
      <c r="J217" t="s">
        <v>1090</v>
      </c>
    </row>
    <row r="218" spans="1:10" x14ac:dyDescent="0.35">
      <c r="A218">
        <v>218</v>
      </c>
      <c r="B218" t="s">
        <v>1103</v>
      </c>
      <c r="C218">
        <v>1218</v>
      </c>
      <c r="D218" t="s">
        <v>736</v>
      </c>
      <c r="E218" t="s">
        <v>1084</v>
      </c>
      <c r="F218" t="s">
        <v>1098</v>
      </c>
      <c r="G218" t="s">
        <v>678</v>
      </c>
      <c r="H218" t="s">
        <v>507</v>
      </c>
      <c r="I218" t="s">
        <v>721</v>
      </c>
      <c r="J218" t="s">
        <v>1104</v>
      </c>
    </row>
    <row r="219" spans="1:10" x14ac:dyDescent="0.35">
      <c r="A219">
        <v>219</v>
      </c>
      <c r="B219" t="s">
        <v>1105</v>
      </c>
      <c r="C219">
        <v>1219</v>
      </c>
      <c r="D219" t="s">
        <v>736</v>
      </c>
      <c r="E219" t="s">
        <v>1084</v>
      </c>
      <c r="F219" t="s">
        <v>1098</v>
      </c>
      <c r="G219" t="s">
        <v>611</v>
      </c>
      <c r="H219" t="s">
        <v>440</v>
      </c>
      <c r="I219" t="s">
        <v>722</v>
      </c>
      <c r="J219" t="s">
        <v>1106</v>
      </c>
    </row>
    <row r="220" spans="1:10" x14ac:dyDescent="0.35">
      <c r="A220">
        <v>220</v>
      </c>
      <c r="B220" t="s">
        <v>1107</v>
      </c>
      <c r="C220">
        <v>1220</v>
      </c>
      <c r="D220" t="s">
        <v>736</v>
      </c>
      <c r="E220" t="s">
        <v>1084</v>
      </c>
      <c r="F220" t="s">
        <v>1098</v>
      </c>
      <c r="G220" t="s">
        <v>606</v>
      </c>
      <c r="H220" t="s">
        <v>435</v>
      </c>
      <c r="I220" t="s">
        <v>721</v>
      </c>
      <c r="J220" t="s">
        <v>757</v>
      </c>
    </row>
    <row r="221" spans="1:10" x14ac:dyDescent="0.35">
      <c r="A221">
        <v>221</v>
      </c>
      <c r="B221" t="s">
        <v>1108</v>
      </c>
      <c r="C221">
        <v>1221</v>
      </c>
      <c r="D221" t="s">
        <v>736</v>
      </c>
      <c r="E221" t="s">
        <v>1084</v>
      </c>
      <c r="F221" t="s">
        <v>1098</v>
      </c>
      <c r="G221" t="s">
        <v>579</v>
      </c>
      <c r="H221" t="s">
        <v>408</v>
      </c>
      <c r="I221" t="s">
        <v>721</v>
      </c>
      <c r="J221" t="s">
        <v>1109</v>
      </c>
    </row>
    <row r="222" spans="1:10" x14ac:dyDescent="0.35">
      <c r="A222">
        <v>222</v>
      </c>
      <c r="B222" t="s">
        <v>1110</v>
      </c>
      <c r="C222">
        <v>1222</v>
      </c>
      <c r="D222" t="s">
        <v>736</v>
      </c>
      <c r="E222" t="s">
        <v>1084</v>
      </c>
      <c r="F222" t="s">
        <v>1111</v>
      </c>
      <c r="G222" t="s">
        <v>593</v>
      </c>
      <c r="H222" t="s">
        <v>422</v>
      </c>
      <c r="I222" t="s">
        <v>721</v>
      </c>
      <c r="J222" t="s">
        <v>1112</v>
      </c>
    </row>
    <row r="223" spans="1:10" x14ac:dyDescent="0.35">
      <c r="A223">
        <v>223</v>
      </c>
      <c r="B223" t="s">
        <v>1113</v>
      </c>
      <c r="C223">
        <v>1223</v>
      </c>
      <c r="D223" t="s">
        <v>736</v>
      </c>
      <c r="E223" t="s">
        <v>1084</v>
      </c>
      <c r="F223" t="s">
        <v>1111</v>
      </c>
      <c r="G223" t="s">
        <v>674</v>
      </c>
      <c r="H223" t="s">
        <v>503</v>
      </c>
      <c r="I223" t="s">
        <v>721</v>
      </c>
      <c r="J223" t="s">
        <v>1114</v>
      </c>
    </row>
    <row r="224" spans="1:10" x14ac:dyDescent="0.35">
      <c r="A224">
        <v>224</v>
      </c>
      <c r="B224" t="s">
        <v>1115</v>
      </c>
      <c r="C224">
        <v>1224</v>
      </c>
      <c r="D224" t="s">
        <v>736</v>
      </c>
      <c r="E224" t="s">
        <v>1084</v>
      </c>
      <c r="F224" t="s">
        <v>1111</v>
      </c>
      <c r="G224" t="s">
        <v>663</v>
      </c>
      <c r="H224" t="s">
        <v>492</v>
      </c>
      <c r="I224" t="s">
        <v>721</v>
      </c>
      <c r="J224" t="s">
        <v>1116</v>
      </c>
    </row>
    <row r="225" spans="1:10" x14ac:dyDescent="0.35">
      <c r="A225">
        <v>225</v>
      </c>
      <c r="B225" t="s">
        <v>1117</v>
      </c>
      <c r="C225">
        <v>1225</v>
      </c>
      <c r="D225" t="s">
        <v>736</v>
      </c>
      <c r="E225" t="s">
        <v>1084</v>
      </c>
      <c r="F225" t="s">
        <v>1111</v>
      </c>
      <c r="G225" t="s">
        <v>709</v>
      </c>
      <c r="H225" t="s">
        <v>538</v>
      </c>
      <c r="I225" t="s">
        <v>722</v>
      </c>
      <c r="J225" t="s">
        <v>1118</v>
      </c>
    </row>
    <row r="226" spans="1:10" x14ac:dyDescent="0.35">
      <c r="A226">
        <v>226</v>
      </c>
      <c r="B226" t="s">
        <v>1119</v>
      </c>
      <c r="C226">
        <v>1226</v>
      </c>
      <c r="D226" t="s">
        <v>736</v>
      </c>
      <c r="E226" t="s">
        <v>1084</v>
      </c>
      <c r="F226" t="s">
        <v>1111</v>
      </c>
      <c r="G226" t="s">
        <v>605</v>
      </c>
      <c r="H226" t="s">
        <v>434</v>
      </c>
      <c r="I226" t="s">
        <v>721</v>
      </c>
      <c r="J226" t="s">
        <v>1120</v>
      </c>
    </row>
    <row r="227" spans="1:10" x14ac:dyDescent="0.35">
      <c r="A227">
        <v>227</v>
      </c>
      <c r="B227" t="s">
        <v>1121</v>
      </c>
      <c r="C227">
        <v>1227</v>
      </c>
      <c r="D227" t="s">
        <v>736</v>
      </c>
      <c r="E227" t="s">
        <v>1084</v>
      </c>
      <c r="F227" t="s">
        <v>1111</v>
      </c>
      <c r="G227" t="s">
        <v>666</v>
      </c>
      <c r="H227" t="s">
        <v>495</v>
      </c>
      <c r="I227" t="s">
        <v>722</v>
      </c>
      <c r="J227" t="s">
        <v>1122</v>
      </c>
    </row>
    <row r="228" spans="1:10" x14ac:dyDescent="0.35">
      <c r="A228">
        <v>228</v>
      </c>
      <c r="B228" t="s">
        <v>1123</v>
      </c>
      <c r="C228">
        <v>1228</v>
      </c>
      <c r="D228" t="s">
        <v>736</v>
      </c>
      <c r="E228" t="s">
        <v>1084</v>
      </c>
      <c r="F228" t="s">
        <v>1124</v>
      </c>
      <c r="G228" t="s">
        <v>633</v>
      </c>
      <c r="H228" t="s">
        <v>462</v>
      </c>
      <c r="I228" t="s">
        <v>722</v>
      </c>
      <c r="J228" t="s">
        <v>1099</v>
      </c>
    </row>
    <row r="229" spans="1:10" x14ac:dyDescent="0.35">
      <c r="A229">
        <v>229</v>
      </c>
      <c r="B229" t="s">
        <v>1125</v>
      </c>
      <c r="C229">
        <v>1229</v>
      </c>
      <c r="D229" t="s">
        <v>736</v>
      </c>
      <c r="E229" t="s">
        <v>1084</v>
      </c>
      <c r="F229" t="s">
        <v>1124</v>
      </c>
      <c r="G229" t="s">
        <v>656</v>
      </c>
      <c r="H229" t="s">
        <v>485</v>
      </c>
      <c r="I229" t="s">
        <v>721</v>
      </c>
      <c r="J229" t="s">
        <v>1126</v>
      </c>
    </row>
    <row r="230" spans="1:10" x14ac:dyDescent="0.35">
      <c r="A230">
        <v>230</v>
      </c>
      <c r="B230" t="s">
        <v>1127</v>
      </c>
      <c r="C230">
        <v>1230</v>
      </c>
      <c r="D230" t="s">
        <v>736</v>
      </c>
      <c r="E230" t="s">
        <v>1084</v>
      </c>
      <c r="F230" t="s">
        <v>1124</v>
      </c>
      <c r="G230" t="s">
        <v>601</v>
      </c>
      <c r="H230" t="s">
        <v>430</v>
      </c>
      <c r="I230" t="s">
        <v>722</v>
      </c>
      <c r="J230" t="s">
        <v>1094</v>
      </c>
    </row>
    <row r="231" spans="1:10" x14ac:dyDescent="0.35">
      <c r="A231">
        <v>231</v>
      </c>
      <c r="B231" t="s">
        <v>1128</v>
      </c>
      <c r="C231">
        <v>1231</v>
      </c>
      <c r="D231" t="s">
        <v>736</v>
      </c>
      <c r="E231" t="s">
        <v>1084</v>
      </c>
      <c r="F231" t="s">
        <v>1124</v>
      </c>
      <c r="G231" t="s">
        <v>611</v>
      </c>
      <c r="H231" t="s">
        <v>440</v>
      </c>
      <c r="I231" t="s">
        <v>722</v>
      </c>
      <c r="J231" t="s">
        <v>1106</v>
      </c>
    </row>
    <row r="232" spans="1:10" x14ac:dyDescent="0.35">
      <c r="A232">
        <v>232</v>
      </c>
      <c r="B232" t="s">
        <v>1129</v>
      </c>
      <c r="C232">
        <v>1232</v>
      </c>
      <c r="D232" t="s">
        <v>736</v>
      </c>
      <c r="E232" t="s">
        <v>1084</v>
      </c>
      <c r="F232" t="s">
        <v>1124</v>
      </c>
      <c r="G232" t="s">
        <v>655</v>
      </c>
      <c r="H232" t="s">
        <v>484</v>
      </c>
      <c r="I232" t="s">
        <v>721</v>
      </c>
      <c r="J232" t="s">
        <v>1130</v>
      </c>
    </row>
    <row r="233" spans="1:10" x14ac:dyDescent="0.35">
      <c r="A233">
        <v>233</v>
      </c>
      <c r="B233" t="s">
        <v>1131</v>
      </c>
      <c r="C233">
        <v>1233</v>
      </c>
      <c r="D233" t="s">
        <v>736</v>
      </c>
      <c r="E233" t="s">
        <v>1084</v>
      </c>
      <c r="F233" t="s">
        <v>1124</v>
      </c>
      <c r="G233" t="s">
        <v>627</v>
      </c>
      <c r="H233" t="s">
        <v>456</v>
      </c>
      <c r="I233" t="s">
        <v>722</v>
      </c>
      <c r="J233" t="s">
        <v>1132</v>
      </c>
    </row>
    <row r="234" spans="1:10" x14ac:dyDescent="0.35">
      <c r="A234">
        <v>234</v>
      </c>
      <c r="B234" t="s">
        <v>1133</v>
      </c>
      <c r="C234">
        <v>1234</v>
      </c>
      <c r="D234" t="s">
        <v>736</v>
      </c>
      <c r="E234" t="s">
        <v>1134</v>
      </c>
      <c r="F234" t="s">
        <v>1135</v>
      </c>
      <c r="G234" t="s">
        <v>619</v>
      </c>
      <c r="H234" t="s">
        <v>448</v>
      </c>
      <c r="I234" t="s">
        <v>722</v>
      </c>
      <c r="J234" t="s">
        <v>1136</v>
      </c>
    </row>
    <row r="235" spans="1:10" x14ac:dyDescent="0.35">
      <c r="A235">
        <v>235</v>
      </c>
      <c r="B235" t="s">
        <v>1137</v>
      </c>
      <c r="C235">
        <v>1235</v>
      </c>
      <c r="D235" t="s">
        <v>736</v>
      </c>
      <c r="E235" t="s">
        <v>1134</v>
      </c>
      <c r="F235" t="s">
        <v>1135</v>
      </c>
      <c r="G235" t="s">
        <v>559</v>
      </c>
      <c r="H235" t="s">
        <v>388</v>
      </c>
      <c r="I235" t="s">
        <v>722</v>
      </c>
      <c r="J235" t="s">
        <v>1138</v>
      </c>
    </row>
    <row r="236" spans="1:10" x14ac:dyDescent="0.35">
      <c r="A236">
        <v>236</v>
      </c>
      <c r="B236" t="s">
        <v>1139</v>
      </c>
      <c r="C236">
        <v>1236</v>
      </c>
      <c r="D236" t="s">
        <v>736</v>
      </c>
      <c r="E236" t="s">
        <v>1134</v>
      </c>
      <c r="F236" t="s">
        <v>1135</v>
      </c>
      <c r="G236" t="s">
        <v>591</v>
      </c>
      <c r="H236" t="s">
        <v>420</v>
      </c>
      <c r="I236" t="s">
        <v>722</v>
      </c>
      <c r="J236" t="s">
        <v>1140</v>
      </c>
    </row>
    <row r="237" spans="1:10" x14ac:dyDescent="0.35">
      <c r="A237">
        <v>237</v>
      </c>
      <c r="B237" t="s">
        <v>1141</v>
      </c>
      <c r="C237">
        <v>1237</v>
      </c>
      <c r="D237" t="s">
        <v>736</v>
      </c>
      <c r="E237" t="s">
        <v>1134</v>
      </c>
      <c r="F237" t="s">
        <v>1135</v>
      </c>
      <c r="G237" t="s">
        <v>571</v>
      </c>
      <c r="H237" t="s">
        <v>400</v>
      </c>
      <c r="I237" t="s">
        <v>721</v>
      </c>
      <c r="J237" t="s">
        <v>1142</v>
      </c>
    </row>
    <row r="238" spans="1:10" x14ac:dyDescent="0.35">
      <c r="A238">
        <v>238</v>
      </c>
      <c r="B238" t="s">
        <v>1143</v>
      </c>
      <c r="C238">
        <v>1238</v>
      </c>
      <c r="D238" t="s">
        <v>736</v>
      </c>
      <c r="E238" t="s">
        <v>1134</v>
      </c>
      <c r="F238" t="s">
        <v>1135</v>
      </c>
      <c r="G238" t="s">
        <v>690</v>
      </c>
      <c r="H238" t="s">
        <v>519</v>
      </c>
      <c r="I238" t="s">
        <v>721</v>
      </c>
      <c r="J238" t="s">
        <v>1144</v>
      </c>
    </row>
    <row r="239" spans="1:10" x14ac:dyDescent="0.35">
      <c r="A239">
        <v>239</v>
      </c>
      <c r="B239" t="s">
        <v>1145</v>
      </c>
      <c r="C239">
        <v>1239</v>
      </c>
      <c r="D239" t="s">
        <v>736</v>
      </c>
      <c r="E239" t="s">
        <v>1134</v>
      </c>
      <c r="F239" t="s">
        <v>1135</v>
      </c>
      <c r="G239" t="s">
        <v>610</v>
      </c>
      <c r="H239" t="s">
        <v>439</v>
      </c>
      <c r="I239" t="s">
        <v>722</v>
      </c>
      <c r="J239" t="s">
        <v>1146</v>
      </c>
    </row>
    <row r="240" spans="1:10" x14ac:dyDescent="0.35">
      <c r="A240">
        <v>240</v>
      </c>
      <c r="B240" t="s">
        <v>1147</v>
      </c>
      <c r="C240">
        <v>1240</v>
      </c>
      <c r="D240" t="s">
        <v>736</v>
      </c>
      <c r="E240" t="s">
        <v>1134</v>
      </c>
      <c r="F240" t="s">
        <v>1148</v>
      </c>
      <c r="G240" t="s">
        <v>566</v>
      </c>
      <c r="H240" t="s">
        <v>395</v>
      </c>
      <c r="I240" t="s">
        <v>722</v>
      </c>
      <c r="J240" t="s">
        <v>1149</v>
      </c>
    </row>
    <row r="241" spans="1:10" x14ac:dyDescent="0.35">
      <c r="A241">
        <v>241</v>
      </c>
      <c r="B241" t="s">
        <v>1150</v>
      </c>
      <c r="C241">
        <v>1241</v>
      </c>
      <c r="D241" t="s">
        <v>736</v>
      </c>
      <c r="E241" t="s">
        <v>1134</v>
      </c>
      <c r="F241" t="s">
        <v>1148</v>
      </c>
      <c r="G241" t="s">
        <v>625</v>
      </c>
      <c r="H241" t="s">
        <v>454</v>
      </c>
      <c r="I241" t="s">
        <v>722</v>
      </c>
      <c r="J241" t="s">
        <v>1151</v>
      </c>
    </row>
    <row r="242" spans="1:10" x14ac:dyDescent="0.35">
      <c r="A242">
        <v>242</v>
      </c>
      <c r="B242" t="s">
        <v>1152</v>
      </c>
      <c r="C242">
        <v>1242</v>
      </c>
      <c r="D242" t="s">
        <v>736</v>
      </c>
      <c r="E242" t="s">
        <v>1134</v>
      </c>
      <c r="F242" t="s">
        <v>1148</v>
      </c>
      <c r="G242" t="s">
        <v>583</v>
      </c>
      <c r="H242" t="s">
        <v>412</v>
      </c>
      <c r="I242" t="s">
        <v>721</v>
      </c>
      <c r="J242" t="s">
        <v>1153</v>
      </c>
    </row>
    <row r="243" spans="1:10" x14ac:dyDescent="0.35">
      <c r="A243">
        <v>243</v>
      </c>
      <c r="B243" t="s">
        <v>1154</v>
      </c>
      <c r="C243">
        <v>1243</v>
      </c>
      <c r="D243" t="s">
        <v>736</v>
      </c>
      <c r="E243" t="s">
        <v>1134</v>
      </c>
      <c r="F243" t="s">
        <v>1148</v>
      </c>
      <c r="G243" t="s">
        <v>619</v>
      </c>
      <c r="H243" t="s">
        <v>448</v>
      </c>
      <c r="I243" t="s">
        <v>722</v>
      </c>
      <c r="J243" t="s">
        <v>1136</v>
      </c>
    </row>
    <row r="244" spans="1:10" x14ac:dyDescent="0.35">
      <c r="A244">
        <v>244</v>
      </c>
      <c r="B244" t="s">
        <v>1155</v>
      </c>
      <c r="C244">
        <v>1244</v>
      </c>
      <c r="D244" t="s">
        <v>736</v>
      </c>
      <c r="E244" t="s">
        <v>1134</v>
      </c>
      <c r="F244" t="s">
        <v>1148</v>
      </c>
      <c r="G244" t="s">
        <v>591</v>
      </c>
      <c r="H244" t="s">
        <v>420</v>
      </c>
      <c r="I244" t="s">
        <v>722</v>
      </c>
      <c r="J244" t="s">
        <v>1140</v>
      </c>
    </row>
    <row r="245" spans="1:10" x14ac:dyDescent="0.35">
      <c r="A245">
        <v>245</v>
      </c>
      <c r="B245" t="s">
        <v>1156</v>
      </c>
      <c r="C245">
        <v>1245</v>
      </c>
      <c r="D245" t="s">
        <v>736</v>
      </c>
      <c r="E245" t="s">
        <v>1134</v>
      </c>
      <c r="F245" t="s">
        <v>1148</v>
      </c>
      <c r="G245" t="s">
        <v>641</v>
      </c>
      <c r="H245" t="s">
        <v>470</v>
      </c>
      <c r="I245" t="s">
        <v>722</v>
      </c>
      <c r="J245" t="s">
        <v>1157</v>
      </c>
    </row>
    <row r="246" spans="1:10" x14ac:dyDescent="0.35">
      <c r="A246">
        <v>246</v>
      </c>
      <c r="B246" t="s">
        <v>1158</v>
      </c>
      <c r="C246">
        <v>1246</v>
      </c>
      <c r="D246" t="s">
        <v>736</v>
      </c>
      <c r="E246" t="s">
        <v>1134</v>
      </c>
      <c r="F246" t="s">
        <v>1159</v>
      </c>
      <c r="G246" t="s">
        <v>601</v>
      </c>
      <c r="H246" t="s">
        <v>430</v>
      </c>
      <c r="I246" t="s">
        <v>722</v>
      </c>
      <c r="J246" t="s">
        <v>1094</v>
      </c>
    </row>
    <row r="247" spans="1:10" x14ac:dyDescent="0.35">
      <c r="A247">
        <v>247</v>
      </c>
      <c r="B247" t="s">
        <v>1160</v>
      </c>
      <c r="C247">
        <v>1247</v>
      </c>
      <c r="D247" t="s">
        <v>736</v>
      </c>
      <c r="E247" t="s">
        <v>1134</v>
      </c>
      <c r="F247" t="s">
        <v>1159</v>
      </c>
      <c r="G247" t="s">
        <v>571</v>
      </c>
      <c r="H247" t="s">
        <v>400</v>
      </c>
      <c r="I247" t="s">
        <v>721</v>
      </c>
      <c r="J247" t="s">
        <v>1142</v>
      </c>
    </row>
    <row r="248" spans="1:10" x14ac:dyDescent="0.35">
      <c r="A248">
        <v>248</v>
      </c>
      <c r="B248" t="s">
        <v>1161</v>
      </c>
      <c r="C248">
        <v>1248</v>
      </c>
      <c r="D248" t="s">
        <v>736</v>
      </c>
      <c r="E248" t="s">
        <v>1134</v>
      </c>
      <c r="F248" t="s">
        <v>1159</v>
      </c>
      <c r="G248" t="s">
        <v>589</v>
      </c>
      <c r="H248" t="s">
        <v>418</v>
      </c>
      <c r="I248" t="s">
        <v>722</v>
      </c>
      <c r="J248" t="s">
        <v>1162</v>
      </c>
    </row>
    <row r="249" spans="1:10" x14ac:dyDescent="0.35">
      <c r="A249">
        <v>249</v>
      </c>
      <c r="B249" t="s">
        <v>1163</v>
      </c>
      <c r="C249">
        <v>1249</v>
      </c>
      <c r="D249" t="s">
        <v>736</v>
      </c>
      <c r="E249" t="s">
        <v>1134</v>
      </c>
      <c r="F249" t="s">
        <v>1159</v>
      </c>
      <c r="G249" t="s">
        <v>693</v>
      </c>
      <c r="H249" t="s">
        <v>522</v>
      </c>
      <c r="I249" t="s">
        <v>721</v>
      </c>
      <c r="J249" t="s">
        <v>1164</v>
      </c>
    </row>
    <row r="250" spans="1:10" x14ac:dyDescent="0.35">
      <c r="A250">
        <v>250</v>
      </c>
      <c r="B250" t="s">
        <v>1165</v>
      </c>
      <c r="C250">
        <v>1250</v>
      </c>
      <c r="D250" t="s">
        <v>736</v>
      </c>
      <c r="E250" t="s">
        <v>1134</v>
      </c>
      <c r="F250" t="s">
        <v>1159</v>
      </c>
      <c r="G250" t="s">
        <v>672</v>
      </c>
      <c r="H250" t="s">
        <v>501</v>
      </c>
      <c r="I250" t="s">
        <v>721</v>
      </c>
      <c r="J250" t="s">
        <v>1166</v>
      </c>
    </row>
    <row r="251" spans="1:10" x14ac:dyDescent="0.35">
      <c r="A251">
        <v>251</v>
      </c>
      <c r="B251" t="s">
        <v>1167</v>
      </c>
      <c r="C251">
        <v>1251</v>
      </c>
      <c r="D251" t="s">
        <v>736</v>
      </c>
      <c r="E251" t="s">
        <v>1134</v>
      </c>
      <c r="F251" t="s">
        <v>1168</v>
      </c>
      <c r="G251" t="s">
        <v>573</v>
      </c>
      <c r="H251" t="s">
        <v>402</v>
      </c>
      <c r="I251" t="s">
        <v>721</v>
      </c>
      <c r="J251" t="s">
        <v>1169</v>
      </c>
    </row>
    <row r="252" spans="1:10" x14ac:dyDescent="0.35">
      <c r="A252">
        <v>252</v>
      </c>
      <c r="B252" t="s">
        <v>1170</v>
      </c>
      <c r="C252">
        <v>1252</v>
      </c>
      <c r="D252" t="s">
        <v>736</v>
      </c>
      <c r="E252" t="s">
        <v>1134</v>
      </c>
      <c r="F252" t="s">
        <v>1168</v>
      </c>
      <c r="G252" t="s">
        <v>634</v>
      </c>
      <c r="H252" t="s">
        <v>463</v>
      </c>
      <c r="I252" t="s">
        <v>722</v>
      </c>
      <c r="J252" t="s">
        <v>1171</v>
      </c>
    </row>
    <row r="253" spans="1:10" x14ac:dyDescent="0.35">
      <c r="A253">
        <v>253</v>
      </c>
      <c r="B253" t="s">
        <v>1172</v>
      </c>
      <c r="C253">
        <v>1253</v>
      </c>
      <c r="D253" t="s">
        <v>736</v>
      </c>
      <c r="E253" t="s">
        <v>1134</v>
      </c>
      <c r="F253" t="s">
        <v>1168</v>
      </c>
      <c r="G253" t="s">
        <v>601</v>
      </c>
      <c r="H253" t="s">
        <v>430</v>
      </c>
      <c r="I253" t="s">
        <v>722</v>
      </c>
      <c r="J253" t="s">
        <v>1094</v>
      </c>
    </row>
    <row r="254" spans="1:10" x14ac:dyDescent="0.35">
      <c r="A254">
        <v>254</v>
      </c>
      <c r="B254" t="s">
        <v>1173</v>
      </c>
      <c r="C254">
        <v>1254</v>
      </c>
      <c r="D254" t="s">
        <v>736</v>
      </c>
      <c r="E254" t="s">
        <v>1134</v>
      </c>
      <c r="F254" t="s">
        <v>1168</v>
      </c>
      <c r="G254" t="s">
        <v>571</v>
      </c>
      <c r="H254" t="s">
        <v>400</v>
      </c>
      <c r="I254" t="s">
        <v>721</v>
      </c>
      <c r="J254" t="s">
        <v>1142</v>
      </c>
    </row>
    <row r="255" spans="1:10" x14ac:dyDescent="0.35">
      <c r="A255">
        <v>255</v>
      </c>
      <c r="B255" t="s">
        <v>1174</v>
      </c>
      <c r="C255">
        <v>1255</v>
      </c>
      <c r="D255" t="s">
        <v>736</v>
      </c>
      <c r="E255" t="s">
        <v>1134</v>
      </c>
      <c r="F255" t="s">
        <v>1168</v>
      </c>
      <c r="G255" t="s">
        <v>575</v>
      </c>
      <c r="H255" t="s">
        <v>404</v>
      </c>
      <c r="I255" t="s">
        <v>722</v>
      </c>
      <c r="J255" t="s">
        <v>1175</v>
      </c>
    </row>
    <row r="256" spans="1:10" x14ac:dyDescent="0.35">
      <c r="A256">
        <v>256</v>
      </c>
      <c r="B256" t="s">
        <v>1176</v>
      </c>
      <c r="C256">
        <v>1256</v>
      </c>
      <c r="D256" t="s">
        <v>736</v>
      </c>
      <c r="E256" t="s">
        <v>1134</v>
      </c>
      <c r="F256" t="s">
        <v>1168</v>
      </c>
      <c r="G256" t="s">
        <v>606</v>
      </c>
      <c r="H256" t="s">
        <v>435</v>
      </c>
      <c r="I256" t="s">
        <v>721</v>
      </c>
      <c r="J256" t="s">
        <v>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95BE-ACA5-45BF-ADF1-D11E50741E61}">
  <dimension ref="A1:L172"/>
  <sheetViews>
    <sheetView topLeftCell="A169" workbookViewId="0">
      <selection activeCell="L2" sqref="L2:L172"/>
    </sheetView>
  </sheetViews>
  <sheetFormatPr baseColWidth="10" defaultRowHeight="14.5" x14ac:dyDescent="0.35"/>
  <cols>
    <col min="1" max="1" width="5" bestFit="1" customWidth="1"/>
    <col min="2" max="2" width="14.54296875" bestFit="1" customWidth="1"/>
    <col min="3" max="3" width="24.453125" bestFit="1" customWidth="1"/>
    <col min="5" max="5" width="15.7265625" bestFit="1" customWidth="1"/>
    <col min="6" max="6" width="40.453125" bestFit="1" customWidth="1"/>
    <col min="7" max="7" width="12.26953125" bestFit="1" customWidth="1"/>
    <col min="8" max="8" width="6" bestFit="1" customWidth="1"/>
    <col min="9" max="9" width="11.7265625" bestFit="1" customWidth="1"/>
    <col min="10" max="10" width="9" bestFit="1" customWidth="1"/>
    <col min="11" max="12" width="50.6328125" customWidth="1"/>
  </cols>
  <sheetData>
    <row r="1" spans="1:12" ht="58" x14ac:dyDescent="0.35">
      <c r="A1" s="11" t="s">
        <v>1177</v>
      </c>
      <c r="B1" s="11" t="s">
        <v>1178</v>
      </c>
      <c r="C1" s="11" t="s">
        <v>1179</v>
      </c>
      <c r="D1" s="11" t="s">
        <v>1180</v>
      </c>
      <c r="E1" s="11" t="s">
        <v>1181</v>
      </c>
      <c r="F1" s="11" t="s">
        <v>549</v>
      </c>
      <c r="G1" s="11" t="s">
        <v>1182</v>
      </c>
      <c r="H1" s="11" t="s">
        <v>1183</v>
      </c>
      <c r="I1" s="11" t="s">
        <v>1184</v>
      </c>
      <c r="J1" s="11" t="s">
        <v>1185</v>
      </c>
      <c r="K1" s="12" t="str">
        <f>CONCATENATE("INSERT INTO participantes (",L1,") VALUES (")</f>
        <v>INSERT INTO participantes (id,nivel,correo,matricula,clave,nombre,carrera,grado,sexo,situacion,evaluados,num_evaluados,total_evaluaciones,ultimo_acceso,nivel_acceso) VALUES (</v>
      </c>
      <c r="L1" s="13" t="s">
        <v>1186</v>
      </c>
    </row>
    <row r="2" spans="1:12" ht="101.5" x14ac:dyDescent="0.35">
      <c r="A2" s="12">
        <v>2001</v>
      </c>
      <c r="B2" s="12" t="s">
        <v>1187</v>
      </c>
      <c r="C2" s="12" t="s">
        <v>741</v>
      </c>
      <c r="D2" s="12" t="s">
        <v>1191</v>
      </c>
      <c r="E2" s="14" t="s">
        <v>1188</v>
      </c>
      <c r="F2" s="12" t="s">
        <v>688</v>
      </c>
      <c r="G2" s="13" t="s">
        <v>1189</v>
      </c>
      <c r="H2" s="12"/>
      <c r="I2" s="12" t="s">
        <v>722</v>
      </c>
      <c r="J2" s="12"/>
      <c r="K2" s="12" t="str">
        <f>CONCATENATE(A2,",",B2,",'",C2,"','",D2,"','",E2,",'",F2,"','",G2,"','",H2,"','",UPPER(I2),"','",UPPER(J2),"','',0,0,'','PROFESOR'")</f>
        <v>2001,'LICENCIATURA','miguel.escarcega','EGM1892','TOMAR DEL SND','ESCARCEGA GARCIA DE LEON MIGUEL ANGEL','PROFESORES','','MASCULINO','','',0,0,'','PROFESOR'</v>
      </c>
      <c r="L2" s="12" t="str">
        <f>CONCATENATE($K$1,K2,");")</f>
        <v>INSERT INTO participantes (id,nivel,correo,matricula,clave,nombre,carrera,grado,sexo,situacion,evaluados,num_evaluados,total_evaluaciones,ultimo_acceso,nivel_acceso) VALUES (2001,'LICENCIATURA','miguel.escarcega','EGM1892','TOMAR DEL SND','ESCARCEGA GARCIA DE LEON MIGUEL ANGEL','PROFESORES','','MASCULINO','','',0,0,'','PROFESOR');</v>
      </c>
    </row>
    <row r="3" spans="1:12" ht="116" x14ac:dyDescent="0.35">
      <c r="A3" s="12">
        <v>2002</v>
      </c>
      <c r="B3" s="12" t="s">
        <v>1187</v>
      </c>
      <c r="C3" s="12" t="s">
        <v>745</v>
      </c>
      <c r="D3" s="12" t="s">
        <v>1193</v>
      </c>
      <c r="E3" s="14" t="s">
        <v>1188</v>
      </c>
      <c r="F3" s="12" t="s">
        <v>599</v>
      </c>
      <c r="G3" s="13" t="s">
        <v>1189</v>
      </c>
      <c r="H3" s="12"/>
      <c r="I3" s="12" t="s">
        <v>721</v>
      </c>
      <c r="J3" s="12"/>
      <c r="K3" s="12" t="str">
        <f>CONCATENATE(A3,",",B3,",'",C3,"','",D3,"','",E3,",'",F3,"','",G3,"','",H3,"','",UPPER(I3),"','",UPPER(J3),"','',0,0,'','PROFESOR'")</f>
        <v>2002,'LICENCIATURA','elsa.padilla','PME1742','TOMAR DEL SND','PADILLA MARTINEZ ELSA GEORGINA','PROFESORES','','FEMENINO','','',0,0,'','PROFESOR'</v>
      </c>
      <c r="L3" s="12" t="str">
        <f t="shared" ref="L3:L66" si="0">CONCATENATE($K$1,K3,");")</f>
        <v>INSERT INTO participantes (id,nivel,correo,matricula,clave,nombre,carrera,grado,sexo,situacion,evaluados,num_evaluados,total_evaluaciones,ultimo_acceso,nivel_acceso) VALUES (2002,'LICENCIATURA','elsa.padilla','PME1742','TOMAR DEL SND','PADILLA MARTINEZ ELSA GEORGINA','PROFESORES','','FEMENINO','','',0,0,'','PROFESOR');</v>
      </c>
    </row>
    <row r="4" spans="1:12" ht="116" x14ac:dyDescent="0.35">
      <c r="A4" s="12">
        <v>2003</v>
      </c>
      <c r="B4" s="12" t="s">
        <v>1187</v>
      </c>
      <c r="C4" s="12" t="s">
        <v>751</v>
      </c>
      <c r="D4" s="12" t="s">
        <v>1196</v>
      </c>
      <c r="E4" s="14" t="s">
        <v>1188</v>
      </c>
      <c r="F4" s="12" t="s">
        <v>639</v>
      </c>
      <c r="G4" s="13" t="s">
        <v>1189</v>
      </c>
      <c r="H4" s="12"/>
      <c r="I4" s="12" t="s">
        <v>722</v>
      </c>
      <c r="J4" s="12"/>
      <c r="K4" s="12" t="str">
        <f>CONCATENATE(A4,",",B4,",'",C4,"','",D4,"','",E4,",'",F4,"','",G4,"','",H4,"','",UPPER(I4),"','",UPPER(J4),"','',0,0,'','PROFESOR'")</f>
        <v>2003,'LICENCIATURA','jose.saldivar','SPJ2028','TOMAR DEL SND','SALDIVAR PEREZ JOSE ALEJANDRO','PROFESORES','','MASCULINO','','',0,0,'','PROFESOR'</v>
      </c>
      <c r="L4" s="12" t="str">
        <f t="shared" si="0"/>
        <v>INSERT INTO participantes (id,nivel,correo,matricula,clave,nombre,carrera,grado,sexo,situacion,evaluados,num_evaluados,total_evaluaciones,ultimo_acceso,nivel_acceso) VALUES (2003,'LICENCIATURA','jose.saldivar','SPJ2028','TOMAR DEL SND','SALDIVAR PEREZ JOSE ALEJANDRO','PROFESORES','','MASCULINO','','',0,0,'','PROFESOR');</v>
      </c>
    </row>
    <row r="5" spans="1:12" ht="116" x14ac:dyDescent="0.35">
      <c r="A5" s="12">
        <v>2004</v>
      </c>
      <c r="B5" s="12" t="s">
        <v>1187</v>
      </c>
      <c r="C5" s="12" t="s">
        <v>747</v>
      </c>
      <c r="D5" s="12" t="s">
        <v>1194</v>
      </c>
      <c r="E5" s="14" t="s">
        <v>1188</v>
      </c>
      <c r="F5" s="12" t="s">
        <v>682</v>
      </c>
      <c r="G5" s="13" t="s">
        <v>1189</v>
      </c>
      <c r="H5" s="12"/>
      <c r="I5" s="12" t="s">
        <v>722</v>
      </c>
      <c r="J5" s="12"/>
      <c r="K5" s="12" t="str">
        <f>CONCATENATE(A5,",",B5,",'",C5,"','",D5,"','",E5,",'",F5,"','",G5,"','",H5,"','",UPPER(I5),"','",UPPER(J5),"','',0,0,'','PROFESOR'")</f>
        <v>2004,'LICENCIATURA','martin.ramirez','RGM2024','TOMAR DEL SND','RAMIREZ GUZMAN MARTIN','PROFESORES','','MASCULINO','','',0,0,'','PROFESOR'</v>
      </c>
      <c r="L5" s="12" t="str">
        <f t="shared" si="0"/>
        <v>INSERT INTO participantes (id,nivel,correo,matricula,clave,nombre,carrera,grado,sexo,situacion,evaluados,num_evaluados,total_evaluaciones,ultimo_acceso,nivel_acceso) VALUES (2004,'LICENCIATURA','martin.ramirez','RGM2024','TOMAR DEL SND','RAMIREZ GUZMAN MARTIN','PROFESORES','','MASCULINO','','',0,0,'','PROFESOR');</v>
      </c>
    </row>
    <row r="6" spans="1:12" ht="101.5" x14ac:dyDescent="0.35">
      <c r="A6" s="12">
        <v>2005</v>
      </c>
      <c r="B6" s="12" t="s">
        <v>1187</v>
      </c>
      <c r="C6" s="12" t="s">
        <v>765</v>
      </c>
      <c r="D6" s="12" t="s">
        <v>1201</v>
      </c>
      <c r="E6" s="14" t="s">
        <v>1188</v>
      </c>
      <c r="F6" s="12" t="s">
        <v>654</v>
      </c>
      <c r="G6" s="13" t="s">
        <v>1189</v>
      </c>
      <c r="H6" s="12"/>
      <c r="I6" s="12" t="s">
        <v>721</v>
      </c>
      <c r="J6" s="12"/>
      <c r="K6" s="12" t="str">
        <f>CONCATENATE(A6,",",B6,",'",C6,"','",D6,"','",E6,",'",F6,"','",G6,"','",H6,"','",UPPER(I6),"','",UPPER(J6),"','',0,0,'','PROFESOR'")</f>
        <v>2005,'LICENCIATURA','julieta.dealba','DGJ1732','TOMAR DEL SND','DE ALBA GONZALEZ JULIETA','PROFESORES','','FEMENINO','','',0,0,'','PROFESOR'</v>
      </c>
      <c r="L6" s="12" t="str">
        <f t="shared" si="0"/>
        <v>INSERT INTO participantes (id,nivel,correo,matricula,clave,nombre,carrera,grado,sexo,situacion,evaluados,num_evaluados,total_evaluaciones,ultimo_acceso,nivel_acceso) VALUES (2005,'LICENCIATURA','julieta.dealba','DGJ1732','TOMAR DEL SND','DE ALBA GONZALEZ JULIETA','PROFESORES','','FEMENINO','','',0,0,'','PROFESOR');</v>
      </c>
    </row>
    <row r="7" spans="1:12" ht="116" x14ac:dyDescent="0.35">
      <c r="A7" s="12">
        <v>2006</v>
      </c>
      <c r="B7" s="12" t="s">
        <v>1187</v>
      </c>
      <c r="C7" s="12" t="s">
        <v>771</v>
      </c>
      <c r="D7" s="12" t="s">
        <v>1203</v>
      </c>
      <c r="E7" s="14" t="s">
        <v>1188</v>
      </c>
      <c r="F7" s="12" t="s">
        <v>569</v>
      </c>
      <c r="G7" s="13" t="s">
        <v>1189</v>
      </c>
      <c r="H7" s="12"/>
      <c r="I7" s="12" t="s">
        <v>721</v>
      </c>
      <c r="J7" s="12"/>
      <c r="K7" s="12" t="str">
        <f>CONCATENATE(A7,",",B7,",'",C7,"','",D7,"','",E7,",'",F7,"','",G7,"','",H7,"','",UPPER(I7),"','",UPPER(J7),"','',0,0,'','PROFESOR'")</f>
        <v>2006,'LICENCIATURA','berenice.torres','TMB1974','TOMAR DEL SND','TORRES MENDOZA BERENICE','PROFESORES','','FEMENINO','','',0,0,'','PROFESOR'</v>
      </c>
      <c r="L7" s="12" t="str">
        <f t="shared" si="0"/>
        <v>INSERT INTO participantes (id,nivel,correo,matricula,clave,nombre,carrera,grado,sexo,situacion,evaluados,num_evaluados,total_evaluaciones,ultimo_acceso,nivel_acceso) VALUES (2006,'LICENCIATURA','berenice.torres','TMB1974','TOMAR DEL SND','TORRES MENDOZA BERENICE','PROFESORES','','FEMENINO','','',0,0,'','PROFESOR');</v>
      </c>
    </row>
    <row r="8" spans="1:12" ht="116" x14ac:dyDescent="0.35">
      <c r="A8" s="12">
        <v>2007</v>
      </c>
      <c r="B8" s="12" t="s">
        <v>1187</v>
      </c>
      <c r="C8" s="12" t="s">
        <v>762</v>
      </c>
      <c r="D8" s="12" t="s">
        <v>1200</v>
      </c>
      <c r="E8" s="14" t="s">
        <v>1188</v>
      </c>
      <c r="F8" s="12" t="s">
        <v>632</v>
      </c>
      <c r="G8" s="13" t="s">
        <v>1189</v>
      </c>
      <c r="H8" s="12"/>
      <c r="I8" s="12" t="s">
        <v>722</v>
      </c>
      <c r="J8" s="12"/>
      <c r="K8" s="12" t="str">
        <f>CONCATENATE(A8,",",B8,",'",C8,"','",D8,"','",E8,",'",F8,"','",G8,"','",H8,"','",UPPER(I8),"','",UPPER(J8),"','',0,0,'','PROFESOR'")</f>
        <v>2007,'LICENCIATURA','jesus.zepeda','ZRJ2030','TOMAR DEL SND','ZEPEDA REYNOSO JESUS EMMANUEL','PROFESORES','','MASCULINO','','',0,0,'','PROFESOR'</v>
      </c>
      <c r="L8" s="12" t="str">
        <f t="shared" si="0"/>
        <v>INSERT INTO participantes (id,nivel,correo,matricula,clave,nombre,carrera,grado,sexo,situacion,evaluados,num_evaluados,total_evaluaciones,ultimo_acceso,nivel_acceso) VALUES (2007,'LICENCIATURA','jesus.zepeda','ZRJ2030','TOMAR DEL SND','ZEPEDA REYNOSO JESUS EMMANUEL','PROFESORES','','MASCULINO','','',0,0,'','PROFESOR');</v>
      </c>
    </row>
    <row r="9" spans="1:12" ht="116" x14ac:dyDescent="0.35">
      <c r="A9" s="12">
        <v>2008</v>
      </c>
      <c r="B9" s="12" t="s">
        <v>1187</v>
      </c>
      <c r="C9" s="12" t="s">
        <v>775</v>
      </c>
      <c r="D9" s="12" t="s">
        <v>1204</v>
      </c>
      <c r="E9" s="14" t="s">
        <v>1188</v>
      </c>
      <c r="F9" s="12" t="s">
        <v>590</v>
      </c>
      <c r="G9" s="13" t="s">
        <v>1189</v>
      </c>
      <c r="H9" s="12"/>
      <c r="I9" s="12" t="s">
        <v>722</v>
      </c>
      <c r="J9" s="12"/>
      <c r="K9" s="12" t="str">
        <f>CONCATENATE(A9,",",B9,",'",C9,"','",D9,"','",E9,",'",F9,"','",G9,"','",H9,"','",UPPER(I9),"','",UPPER(J9),"','',0,0,'','PROFESOR'")</f>
        <v>2008,'LICENCIATURA','david.aceves','ARD1864','TOMAR DEL SND','ACEVES REYNAGA DAVID EDUARDO','PROFESORES','','MASCULINO','','',0,0,'','PROFESOR'</v>
      </c>
      <c r="L9" s="12" t="str">
        <f t="shared" si="0"/>
        <v>INSERT INTO participantes (id,nivel,correo,matricula,clave,nombre,carrera,grado,sexo,situacion,evaluados,num_evaluados,total_evaluaciones,ultimo_acceso,nivel_acceso) VALUES (2008,'LICENCIATURA','david.aceves','ARD1864','TOMAR DEL SND','ACEVES REYNAGA DAVID EDUARDO','PROFESORES','','MASCULINO','','',0,0,'','PROFESOR');</v>
      </c>
    </row>
    <row r="10" spans="1:12" ht="101.5" x14ac:dyDescent="0.35">
      <c r="A10" s="12">
        <v>2009</v>
      </c>
      <c r="B10" s="12" t="s">
        <v>1187</v>
      </c>
      <c r="C10" s="12" t="s">
        <v>743</v>
      </c>
      <c r="D10" s="12" t="s">
        <v>1192</v>
      </c>
      <c r="E10" s="14" t="s">
        <v>1188</v>
      </c>
      <c r="F10" s="12" t="s">
        <v>645</v>
      </c>
      <c r="G10" s="13" t="s">
        <v>1189</v>
      </c>
      <c r="H10" s="12"/>
      <c r="I10" s="12" t="s">
        <v>722</v>
      </c>
      <c r="J10" s="12"/>
      <c r="K10" s="12" t="str">
        <f>CONCATENATE(A10,",",B10,",'",C10,"','",D10,"','",E10,",'",F10,"','",G10,"','",H10,"','",UPPER(I10),"','",UPPER(J10),"','',0,0,'','PROFESOR'")</f>
        <v>2009,'LICENCIATURA','jose.guillen','GLJ1890','TOMAR DEL SND','GUILLEN LAGUNES JOSE JAVIER','PROFESORES','','MASCULINO','','',0,0,'','PROFESOR'</v>
      </c>
      <c r="L10" s="12" t="str">
        <f t="shared" si="0"/>
        <v>INSERT INTO participantes (id,nivel,correo,matricula,clave,nombre,carrera,grado,sexo,situacion,evaluados,num_evaluados,total_evaluaciones,ultimo_acceso,nivel_acceso) VALUES (2009,'LICENCIATURA','jose.guillen','GLJ1890','TOMAR DEL SND','GUILLEN LAGUNES JOSE JAVIER','PROFESORES','','MASCULINO','','',0,0,'','PROFESOR');</v>
      </c>
    </row>
    <row r="11" spans="1:12" ht="116" x14ac:dyDescent="0.35">
      <c r="A11" s="12">
        <v>2010</v>
      </c>
      <c r="B11" s="12" t="s">
        <v>1187</v>
      </c>
      <c r="C11" s="12" t="s">
        <v>780</v>
      </c>
      <c r="D11" s="12" t="s">
        <v>1206</v>
      </c>
      <c r="E11" s="14" t="s">
        <v>1188</v>
      </c>
      <c r="F11" s="12" t="s">
        <v>563</v>
      </c>
      <c r="G11" s="13" t="s">
        <v>1189</v>
      </c>
      <c r="H11" s="12"/>
      <c r="I11" s="12" t="s">
        <v>721</v>
      </c>
      <c r="J11" s="12"/>
      <c r="K11" s="12" t="str">
        <f>CONCATENATE(A11,",",B11,",'",C11,"','",D11,"','",E11,",'",F11,"','",G11,"','",H11,"','",UPPER(I11),"','",UPPER(J11),"','',0,0,'','PROFESOR'")</f>
        <v>2010,'LICENCIATURA','amanda.renteria','RJA1850','TOMAR DEL SND','RENTERIA JIMENEZ AMANDA JANETTE','PROFESORES','','FEMENINO','','',0,0,'','PROFESOR'</v>
      </c>
      <c r="L11" s="12" t="str">
        <f t="shared" si="0"/>
        <v>INSERT INTO participantes (id,nivel,correo,matricula,clave,nombre,carrera,grado,sexo,situacion,evaluados,num_evaluados,total_evaluaciones,ultimo_acceso,nivel_acceso) VALUES (2010,'LICENCIATURA','amanda.renteria','RJA1850','TOMAR DEL SND','RENTERIA JIMENEZ AMANDA JANETTE','PROFESORES','','FEMENINO','','',0,0,'','PROFESOR');</v>
      </c>
    </row>
    <row r="12" spans="1:12" ht="116" x14ac:dyDescent="0.35">
      <c r="A12" s="12">
        <v>2011</v>
      </c>
      <c r="B12" s="12" t="s">
        <v>1187</v>
      </c>
      <c r="C12" s="12" t="s">
        <v>782</v>
      </c>
      <c r="D12" s="12" t="s">
        <v>1207</v>
      </c>
      <c r="E12" s="14" t="s">
        <v>1188</v>
      </c>
      <c r="F12" s="12" t="s">
        <v>551</v>
      </c>
      <c r="G12" s="13" t="s">
        <v>1189</v>
      </c>
      <c r="H12" s="12"/>
      <c r="I12" s="12" t="s">
        <v>722</v>
      </c>
      <c r="J12" s="12"/>
      <c r="K12" s="12" t="str">
        <f>CONCATENATE(A12,",",B12,",'",C12,"','",D12,"','",E12,",'",F12,"','",G12,"','",H12,"','",UPPER(I12),"','",UPPER(J12),"','',0,0,'','PROFESOR'")</f>
        <v>2011,'LICENCIATURA','adrian.rojas','RMA2027','TOMAR DEL SND','ROJAS MALDONADO ADRIAN','PROFESORES','','MASCULINO','','',0,0,'','PROFESOR'</v>
      </c>
      <c r="L12" s="12" t="str">
        <f t="shared" si="0"/>
        <v>INSERT INTO participantes (id,nivel,correo,matricula,clave,nombre,carrera,grado,sexo,situacion,evaluados,num_evaluados,total_evaluaciones,ultimo_acceso,nivel_acceso) VALUES (2011,'LICENCIATURA','adrian.rojas','RMA2027','TOMAR DEL SND','ROJAS MALDONADO ADRIAN','PROFESORES','','MASCULINO','','',0,0,'','PROFESOR');</v>
      </c>
    </row>
    <row r="13" spans="1:12" ht="116" x14ac:dyDescent="0.35">
      <c r="A13" s="12">
        <v>2012</v>
      </c>
      <c r="B13" s="12" t="s">
        <v>1187</v>
      </c>
      <c r="C13" s="12" t="s">
        <v>789</v>
      </c>
      <c r="D13" s="12" t="s">
        <v>1209</v>
      </c>
      <c r="E13" s="14" t="s">
        <v>1188</v>
      </c>
      <c r="F13" s="12" t="s">
        <v>621</v>
      </c>
      <c r="G13" s="13" t="s">
        <v>1189</v>
      </c>
      <c r="H13" s="12"/>
      <c r="I13" s="12" t="s">
        <v>722</v>
      </c>
      <c r="J13" s="12"/>
      <c r="K13" s="12" t="str">
        <f>CONCATENATE(A13,",",B13,",'",C13,"','",D13,"','",E13,",'",F13,"','",G13,"','",H13,"','",UPPER(I13),"','",UPPER(J13),"','',0,0,'','PROFESOR'")</f>
        <v>2012,'LICENCIATURA','hector.delrio','DAH0151','TOMAR DEL SND','DEL RIO AZCONA HECTOR RICARDO','PROFESORES','','MASCULINO','','',0,0,'','PROFESOR'</v>
      </c>
      <c r="L13" s="12" t="str">
        <f t="shared" si="0"/>
        <v>INSERT INTO participantes (id,nivel,correo,matricula,clave,nombre,carrera,grado,sexo,situacion,evaluados,num_evaluados,total_evaluaciones,ultimo_acceso,nivel_acceso) VALUES (2012,'LICENCIATURA','hector.delrio','DAH0151','TOMAR DEL SND','DEL RIO AZCONA HECTOR RICARDO','PROFESORES','','MASCULINO','','',0,0,'','PROFESOR');</v>
      </c>
    </row>
    <row r="14" spans="1:12" ht="101.5" x14ac:dyDescent="0.35">
      <c r="A14" s="12">
        <v>2013</v>
      </c>
      <c r="B14" s="12" t="s">
        <v>1187</v>
      </c>
      <c r="C14" s="12" t="s">
        <v>793</v>
      </c>
      <c r="D14" s="12" t="s">
        <v>1211</v>
      </c>
      <c r="E14" s="14" t="s">
        <v>1188</v>
      </c>
      <c r="F14" s="12" t="s">
        <v>598</v>
      </c>
      <c r="G14" s="13" t="s">
        <v>1189</v>
      </c>
      <c r="H14" s="12"/>
      <c r="I14" s="12" t="s">
        <v>721</v>
      </c>
      <c r="J14" s="12"/>
      <c r="K14" s="12" t="str">
        <f>CONCATENATE(A14,",",B14,",'",C14,"','",D14,"','",E14,",'",F14,"','",G14,"','",H14,"','",UPPER(I14),"','",UPPER(J14),"','',0,0,'','PROFESOR'")</f>
        <v>2013,'LICENCIATURA','elisa.hobart','HGE1078','TOMAR DEL SND','HOBART GARCIA ELISA','PROFESORES','','FEMENINO','','',0,0,'','PROFESOR'</v>
      </c>
      <c r="L14" s="12" t="str">
        <f t="shared" si="0"/>
        <v>INSERT INTO participantes (id,nivel,correo,matricula,clave,nombre,carrera,grado,sexo,situacion,evaluados,num_evaluados,total_evaluaciones,ultimo_acceso,nivel_acceso) VALUES (2013,'LICENCIATURA','elisa.hobart','HGE1078','TOMAR DEL SND','HOBART GARCIA ELISA','PROFESORES','','FEMENINO','','',0,0,'','PROFESOR');</v>
      </c>
    </row>
    <row r="15" spans="1:12" ht="101.5" x14ac:dyDescent="0.35">
      <c r="A15" s="12">
        <v>2014</v>
      </c>
      <c r="B15" s="12" t="s">
        <v>1187</v>
      </c>
      <c r="C15" s="12" t="s">
        <v>797</v>
      </c>
      <c r="D15" s="12" t="s">
        <v>1213</v>
      </c>
      <c r="E15" s="14" t="s">
        <v>1188</v>
      </c>
      <c r="F15" s="12" t="s">
        <v>657</v>
      </c>
      <c r="G15" s="13" t="s">
        <v>1189</v>
      </c>
      <c r="H15" s="12"/>
      <c r="I15" s="12" t="s">
        <v>721</v>
      </c>
      <c r="J15" s="12"/>
      <c r="K15" s="12" t="str">
        <f>CONCATENATE(A15,",",B15,",'",C15,"','",D15,"','",E15,",'",F15,"','",G15,"','",H15,"','",UPPER(I15),"','",UPPER(J15),"','',0,0,'','PROFESOR'")</f>
        <v>2014,'LICENCIATURA','laura.michel','MSL1607','TOMAR DEL SND','MICHEL SANDOVAL LAURA LIVIER','PROFESORES','','FEMENINO','','',0,0,'','PROFESOR'</v>
      </c>
      <c r="L15" s="12" t="str">
        <f t="shared" si="0"/>
        <v>INSERT INTO participantes (id,nivel,correo,matricula,clave,nombre,carrera,grado,sexo,situacion,evaluados,num_evaluados,total_evaluaciones,ultimo_acceso,nivel_acceso) VALUES (2014,'LICENCIATURA','laura.michel','MSL1607','TOMAR DEL SND','MICHEL SANDOVAL LAURA LIVIER','PROFESORES','','FEMENINO','','',0,0,'','PROFESOR');</v>
      </c>
    </row>
    <row r="16" spans="1:12" ht="116" x14ac:dyDescent="0.35">
      <c r="A16" s="12">
        <v>2015</v>
      </c>
      <c r="B16" s="12" t="s">
        <v>1187</v>
      </c>
      <c r="C16" s="12" t="s">
        <v>799</v>
      </c>
      <c r="D16" s="12" t="s">
        <v>1214</v>
      </c>
      <c r="E16" s="14" t="s">
        <v>1188</v>
      </c>
      <c r="F16" s="12" t="s">
        <v>572</v>
      </c>
      <c r="G16" s="13" t="s">
        <v>1189</v>
      </c>
      <c r="H16" s="12"/>
      <c r="I16" s="12" t="s">
        <v>721</v>
      </c>
      <c r="J16" s="12"/>
      <c r="K16" s="12" t="str">
        <f>CONCATENATE(A16,",",B16,",'",C16,"','",D16,"','",E16,",'",F16,"','",G16,"','",H16,"','",UPPER(I16),"','",UPPER(J16),"','',0,0,'','PROFESOR'")</f>
        <v>2015,'LICENCIATURA','carla.morelos','MVC1563','TOMAR DEL SND','MORELOS VELAZQUEZ CARLA DANIELA','PROFESORES','','FEMENINO','','',0,0,'','PROFESOR'</v>
      </c>
      <c r="L16" s="12" t="str">
        <f t="shared" si="0"/>
        <v>INSERT INTO participantes (id,nivel,correo,matricula,clave,nombre,carrera,grado,sexo,situacion,evaluados,num_evaluados,total_evaluaciones,ultimo_acceso,nivel_acceso) VALUES (2015,'LICENCIATURA','carla.morelos','MVC1563','TOMAR DEL SND','MORELOS VELAZQUEZ CARLA DANIELA','PROFESORES','','FEMENINO','','',0,0,'','PROFESOR');</v>
      </c>
    </row>
    <row r="17" spans="1:12" ht="101.5" x14ac:dyDescent="0.35">
      <c r="A17" s="12">
        <v>2016</v>
      </c>
      <c r="B17" s="12" t="s">
        <v>1187</v>
      </c>
      <c r="C17" s="12" t="s">
        <v>801</v>
      </c>
      <c r="D17" s="12" t="s">
        <v>1215</v>
      </c>
      <c r="E17" s="14" t="s">
        <v>1188</v>
      </c>
      <c r="F17" s="12" t="s">
        <v>664</v>
      </c>
      <c r="G17" s="13" t="s">
        <v>1189</v>
      </c>
      <c r="H17" s="12"/>
      <c r="I17" s="12" t="s">
        <v>721</v>
      </c>
      <c r="J17" s="12"/>
      <c r="K17" s="12" t="str">
        <f>CONCATENATE(A17,",",B17,",'",C17,"','",D17,"','",E17,",'",F17,"','",G17,"','",H17,"','",UPPER(I17),"','",UPPER(J17),"','',0,0,'','PROFESOR'")</f>
        <v>2016,'LICENCIATURA','lucina.rosales','RVL1931','TOMAR DEL SND','ROSALES VARGAS LUCINA SARAY','PROFESORES','','FEMENINO','','',0,0,'','PROFESOR'</v>
      </c>
      <c r="L17" s="12" t="str">
        <f t="shared" si="0"/>
        <v>INSERT INTO participantes (id,nivel,correo,matricula,clave,nombre,carrera,grado,sexo,situacion,evaluados,num_evaluados,total_evaluaciones,ultimo_acceso,nivel_acceso) VALUES (2016,'LICENCIATURA','lucina.rosales','RVL1931','TOMAR DEL SND','ROSALES VARGAS LUCINA SARAY','PROFESORES','','FEMENINO','','',0,0,'','PROFESOR');</v>
      </c>
    </row>
    <row r="18" spans="1:12" ht="101.5" x14ac:dyDescent="0.35">
      <c r="A18" s="12">
        <v>2017</v>
      </c>
      <c r="B18" s="12" t="s">
        <v>1187</v>
      </c>
      <c r="C18" s="12" t="s">
        <v>807</v>
      </c>
      <c r="D18" s="12" t="s">
        <v>1217</v>
      </c>
      <c r="E18" s="14" t="s">
        <v>1188</v>
      </c>
      <c r="F18" s="12" t="s">
        <v>647</v>
      </c>
      <c r="G18" s="13" t="s">
        <v>1189</v>
      </c>
      <c r="H18" s="12"/>
      <c r="I18" s="12" t="s">
        <v>722</v>
      </c>
      <c r="J18" s="12"/>
      <c r="K18" s="12" t="str">
        <f>CONCATENATE(A18,",",B18,",'",C18,"','",D18,"','",E18,",'",F18,"','",G18,"','",H18,"','",UPPER(I18),"','",UPPER(J18),"','',0,0,'','PROFESOR'")</f>
        <v>2017,'LICENCIATURA','jose.blanquet','BCJ1051','TOMAR DEL SND','BLANQUET CHAVOYA JOSE LUIS','PROFESORES','','MASCULINO','','',0,0,'','PROFESOR'</v>
      </c>
      <c r="L18" s="12" t="str">
        <f t="shared" si="0"/>
        <v>INSERT INTO participantes (id,nivel,correo,matricula,clave,nombre,carrera,grado,sexo,situacion,evaluados,num_evaluados,total_evaluaciones,ultimo_acceso,nivel_acceso) VALUES (2017,'LICENCIATURA','jose.blanquet','BCJ1051','TOMAR DEL SND','BLANQUET CHAVOYA JOSE LUIS','PROFESORES','','MASCULINO','','',0,0,'','PROFESOR');</v>
      </c>
    </row>
    <row r="19" spans="1:12" ht="101.5" x14ac:dyDescent="0.35">
      <c r="A19" s="12">
        <v>2018</v>
      </c>
      <c r="B19" s="12" t="s">
        <v>1187</v>
      </c>
      <c r="C19" s="12" t="s">
        <v>809</v>
      </c>
      <c r="D19" s="12" t="s">
        <v>1218</v>
      </c>
      <c r="E19" s="14" t="s">
        <v>1188</v>
      </c>
      <c r="F19" s="12" t="s">
        <v>553</v>
      </c>
      <c r="G19" s="13" t="s">
        <v>1189</v>
      </c>
      <c r="H19" s="12"/>
      <c r="I19" s="12" t="s">
        <v>722</v>
      </c>
      <c r="J19" s="12"/>
      <c r="K19" s="12" t="str">
        <f>CONCATENATE(A19,",",B19,",'",C19,"','",D19,"','",E19,",'",F19,"','",G19,"','",H19,"','",UPPER(I19),"','",UPPER(J19),"','',0,0,'','PROFESOR'")</f>
        <v>2018,'LICENCIATURA','alam.gomez','GCA1735','TOMAR DEL SND','GOMEZ CANALES ALAM','PROFESORES','','MASCULINO','','',0,0,'','PROFESOR'</v>
      </c>
      <c r="L19" s="12" t="str">
        <f t="shared" si="0"/>
        <v>INSERT INTO participantes (id,nivel,correo,matricula,clave,nombre,carrera,grado,sexo,situacion,evaluados,num_evaluados,total_evaluaciones,ultimo_acceso,nivel_acceso) VALUES (2018,'LICENCIATURA','alam.gomez','GCA1735','TOMAR DEL SND','GOMEZ CANALES ALAM','PROFESORES','','MASCULINO','','',0,0,'','PROFESOR');</v>
      </c>
    </row>
    <row r="20" spans="1:12" ht="101.5" x14ac:dyDescent="0.35">
      <c r="A20" s="12">
        <v>2019</v>
      </c>
      <c r="B20" s="12" t="s">
        <v>1187</v>
      </c>
      <c r="C20" s="12" t="s">
        <v>811</v>
      </c>
      <c r="D20" s="12" t="s">
        <v>1219</v>
      </c>
      <c r="E20" s="14" t="s">
        <v>1188</v>
      </c>
      <c r="F20" s="12" t="s">
        <v>694</v>
      </c>
      <c r="G20" s="13" t="s">
        <v>1189</v>
      </c>
      <c r="H20" s="12"/>
      <c r="I20" s="12" t="s">
        <v>721</v>
      </c>
      <c r="J20" s="12"/>
      <c r="K20" s="12" t="str">
        <f>CONCATENATE(A20,",",B20,",'",C20,"','",D20,"','",E20,",'",F20,"','",G20,"','",H20,"','",UPPER(I20),"','",UPPER(J20),"','',0,0,'','PROFESOR'")</f>
        <v>2019,'LICENCIATURA','nicole.hernandezgonzalez','HBN1668','TOMAR DEL SND','HERNANDEZ GONZALEZ BARCENA NICOLE','PROFESORES','','FEMENINO','','',0,0,'','PROFESOR'</v>
      </c>
      <c r="L20" s="12" t="str">
        <f t="shared" si="0"/>
        <v>INSERT INTO participantes (id,nivel,correo,matricula,clave,nombre,carrera,grado,sexo,situacion,evaluados,num_evaluados,total_evaluaciones,ultimo_acceso,nivel_acceso) VALUES (2019,'LICENCIATURA','nicole.hernandezgonzalez','HBN1668','TOMAR DEL SND','HERNANDEZ GONZALEZ BARCENA NICOLE','PROFESORES','','FEMENINO','','',0,0,'','PROFESOR');</v>
      </c>
    </row>
    <row r="21" spans="1:12" ht="101.5" x14ac:dyDescent="0.35">
      <c r="A21" s="12">
        <v>2020</v>
      </c>
      <c r="B21" s="12" t="s">
        <v>1187</v>
      </c>
      <c r="C21" s="12" t="s">
        <v>795</v>
      </c>
      <c r="D21" s="12" t="s">
        <v>1212</v>
      </c>
      <c r="E21" s="14" t="s">
        <v>1188</v>
      </c>
      <c r="F21" s="12" t="s">
        <v>609</v>
      </c>
      <c r="G21" s="13" t="s">
        <v>1189</v>
      </c>
      <c r="H21" s="12"/>
      <c r="I21" s="12" t="s">
        <v>722</v>
      </c>
      <c r="J21" s="12"/>
      <c r="K21" s="12" t="str">
        <f>CONCATENATE(A21,",",B21,",'",C21,"','",D21,"','",E21,",'",F21,"','",G21,"','",H21,"','",UPPER(I21),"','",UPPER(J21),"','',0,0,'','PROFESOR'")</f>
        <v>2020,'LICENCIATURA','fernando.lopez','LVF1601','TOMAR DEL SND','LOPEZ VIDAURRI FERNANDO ABIF','PROFESORES','','MASCULINO','','',0,0,'','PROFESOR'</v>
      </c>
      <c r="L21" s="12" t="str">
        <f t="shared" si="0"/>
        <v>INSERT INTO participantes (id,nivel,correo,matricula,clave,nombre,carrera,grado,sexo,situacion,evaluados,num_evaluados,total_evaluaciones,ultimo_acceso,nivel_acceso) VALUES (2020,'LICENCIATURA','fernando.lopez','LVF1601','TOMAR DEL SND','LOPEZ VIDAURRI FERNANDO ABIF','PROFESORES','','MASCULINO','','',0,0,'','PROFESOR');</v>
      </c>
    </row>
    <row r="22" spans="1:12" ht="116" x14ac:dyDescent="0.35">
      <c r="A22" s="12">
        <v>2021</v>
      </c>
      <c r="B22" s="12" t="s">
        <v>1187</v>
      </c>
      <c r="C22" s="12" t="s">
        <v>818</v>
      </c>
      <c r="D22" s="12" t="s">
        <v>1221</v>
      </c>
      <c r="E22" s="14" t="s">
        <v>1188</v>
      </c>
      <c r="F22" s="12" t="s">
        <v>613</v>
      </c>
      <c r="G22" s="13" t="s">
        <v>1189</v>
      </c>
      <c r="H22" s="12"/>
      <c r="I22" s="12" t="s">
        <v>722</v>
      </c>
      <c r="J22" s="12"/>
      <c r="K22" s="12" t="str">
        <f>CONCATENATE(A22,",",B22,",'",C22,"','",D22,"','",E22,",'",F22,"','",G22,"','",H22,"','",UPPER(I22),"','",UPPER(J22),"','',0,0,'','PROFESOR'")</f>
        <v>2021,'LICENCIATURA','gabriel.benitez','BLG1791','TOMAR DEL SND','BENITEZ LOZANO GABRIEL','PROFESORES','','MASCULINO','','',0,0,'','PROFESOR'</v>
      </c>
      <c r="L22" s="12" t="str">
        <f t="shared" si="0"/>
        <v>INSERT INTO participantes (id,nivel,correo,matricula,clave,nombre,carrera,grado,sexo,situacion,evaluados,num_evaluados,total_evaluaciones,ultimo_acceso,nivel_acceso) VALUES (2021,'LICENCIATURA','gabriel.benitez','BLG1791','TOMAR DEL SND','BENITEZ LOZANO GABRIEL','PROFESORES','','MASCULINO','','',0,0,'','PROFESOR');</v>
      </c>
    </row>
    <row r="23" spans="1:12" ht="116" x14ac:dyDescent="0.35">
      <c r="A23" s="12">
        <v>2022</v>
      </c>
      <c r="B23" s="12" t="s">
        <v>1187</v>
      </c>
      <c r="C23" s="12" t="s">
        <v>821</v>
      </c>
      <c r="D23" s="12" t="s">
        <v>1222</v>
      </c>
      <c r="E23" s="14" t="s">
        <v>1188</v>
      </c>
      <c r="F23" s="12" t="s">
        <v>711</v>
      </c>
      <c r="G23" s="13" t="s">
        <v>1189</v>
      </c>
      <c r="H23" s="12"/>
      <c r="I23" s="12" t="s">
        <v>722</v>
      </c>
      <c r="J23" s="12"/>
      <c r="K23" s="12" t="str">
        <f>CONCATENATE(A23,",",B23,",'",C23,"','",D23,"','",E23,",'",F23,"','",G23,"','",H23,"','",UPPER(I23),"','",UPPER(J23),"','',0,0,'','PROFESOR'")</f>
        <v>2022,'LICENCIATURA','samuel.gomez','GOS1311','TOMAR DEL SND','GOMEZ OROZCO SAMUEL','PROFESORES','','MASCULINO','','',0,0,'','PROFESOR'</v>
      </c>
      <c r="L23" s="12" t="str">
        <f t="shared" si="0"/>
        <v>INSERT INTO participantes (id,nivel,correo,matricula,clave,nombre,carrera,grado,sexo,situacion,evaluados,num_evaluados,total_evaluaciones,ultimo_acceso,nivel_acceso) VALUES (2022,'LICENCIATURA','samuel.gomez','GOS1311','TOMAR DEL SND','GOMEZ OROZCO SAMUEL','PROFESORES','','MASCULINO','','',0,0,'','PROFESOR');</v>
      </c>
    </row>
    <row r="24" spans="1:12" ht="116" x14ac:dyDescent="0.35">
      <c r="A24" s="12">
        <v>2023</v>
      </c>
      <c r="B24" s="12" t="s">
        <v>1187</v>
      </c>
      <c r="C24" s="12" t="s">
        <v>824</v>
      </c>
      <c r="D24" s="12" t="s">
        <v>1223</v>
      </c>
      <c r="E24" s="14" t="s">
        <v>1188</v>
      </c>
      <c r="F24" s="12" t="s">
        <v>629</v>
      </c>
      <c r="G24" s="13" t="s">
        <v>1189</v>
      </c>
      <c r="H24" s="12"/>
      <c r="I24" s="12" t="s">
        <v>722</v>
      </c>
      <c r="J24" s="12"/>
      <c r="K24" s="12" t="str">
        <f>CONCATENATE(A24,",",B24,",'",C24,"','",D24,"','",E24,",'",F24,"','",G24,"','",H24,"','",UPPER(I24),"','",UPPER(J24),"','',0,0,'','PROFESOR'")</f>
        <v>2023,'LICENCIATURA','javier.salcedo','SRJ1260','TOMAR DEL SND','SALCEDO RONDON JAVIER EDUARDO','PROFESORES','','MASCULINO','','',0,0,'','PROFESOR'</v>
      </c>
      <c r="L24" s="12" t="str">
        <f t="shared" si="0"/>
        <v>INSERT INTO participantes (id,nivel,correo,matricula,clave,nombre,carrera,grado,sexo,situacion,evaluados,num_evaluados,total_evaluaciones,ultimo_acceso,nivel_acceso) VALUES (2023,'LICENCIATURA','javier.salcedo','SRJ1260','TOMAR DEL SND','SALCEDO RONDON JAVIER EDUARDO','PROFESORES','','MASCULINO','','',0,0,'','PROFESOR');</v>
      </c>
    </row>
    <row r="25" spans="1:12" ht="116" x14ac:dyDescent="0.35">
      <c r="A25" s="12">
        <v>2024</v>
      </c>
      <c r="B25" s="12" t="s">
        <v>1187</v>
      </c>
      <c r="C25" s="12" t="s">
        <v>826</v>
      </c>
      <c r="D25" s="12" t="s">
        <v>1224</v>
      </c>
      <c r="E25" s="14" t="s">
        <v>1188</v>
      </c>
      <c r="F25" s="12" t="s">
        <v>574</v>
      </c>
      <c r="G25" s="13" t="s">
        <v>1189</v>
      </c>
      <c r="H25" s="12"/>
      <c r="I25" s="12" t="s">
        <v>722</v>
      </c>
      <c r="J25" s="12"/>
      <c r="K25" s="12" t="str">
        <f>CONCATENATE(A25,",",B25,",'",C25,"','",D25,"','",E25,",'",F25,"','",G25,"','",H25,"','",UPPER(I25),"','",UPPER(J25),"','',0,0,'','PROFESOR'")</f>
        <v>2024,'LICENCIATURA','carlos.torres','TEC1066','TOMAR DEL SND','TORRES ESPINOSA CARLOS ALBERTO','PROFESORES','','MASCULINO','','',0,0,'','PROFESOR'</v>
      </c>
      <c r="L25" s="12" t="str">
        <f t="shared" si="0"/>
        <v>INSERT INTO participantes (id,nivel,correo,matricula,clave,nombre,carrera,grado,sexo,situacion,evaluados,num_evaluados,total_evaluaciones,ultimo_acceso,nivel_acceso) VALUES (2024,'LICENCIATURA','carlos.torres','TEC1066','TOMAR DEL SND','TORRES ESPINOSA CARLOS ALBERTO','PROFESORES','','MASCULINO','','',0,0,'','PROFESOR');</v>
      </c>
    </row>
    <row r="26" spans="1:12" ht="101.5" x14ac:dyDescent="0.35">
      <c r="A26" s="12">
        <v>2025</v>
      </c>
      <c r="B26" s="12" t="s">
        <v>1187</v>
      </c>
      <c r="C26" s="12" t="s">
        <v>787</v>
      </c>
      <c r="D26" s="12" t="s">
        <v>1208</v>
      </c>
      <c r="E26" s="14" t="s">
        <v>1188</v>
      </c>
      <c r="F26" s="12" t="s">
        <v>703</v>
      </c>
      <c r="G26" s="13" t="s">
        <v>1189</v>
      </c>
      <c r="H26" s="12"/>
      <c r="I26" s="12" t="s">
        <v>721</v>
      </c>
      <c r="J26" s="12"/>
      <c r="K26" s="12" t="str">
        <f>CONCATENATE(A26,",",B26,",'",C26,"','",D26,"','",E26,",'",F26,"','",G26,"','",H26,"','",UPPER(I26),"','",UPPER(J26),"','',0,0,'','PROFESOR'")</f>
        <v>2025,'LICENCIATURA','raquel.abreu','ATR1755','TOMAR DEL SND','ABREU TEJEDA RAQUEL ABIGAIL','PROFESORES','','FEMENINO','','',0,0,'','PROFESOR'</v>
      </c>
      <c r="L26" s="12" t="str">
        <f t="shared" si="0"/>
        <v>INSERT INTO participantes (id,nivel,correo,matricula,clave,nombre,carrera,grado,sexo,situacion,evaluados,num_evaluados,total_evaluaciones,ultimo_acceso,nivel_acceso) VALUES (2025,'LICENCIATURA','raquel.abreu','ATR1755','TOMAR DEL SND','ABREU TEJEDA RAQUEL ABIGAIL','PROFESORES','','FEMENINO','','',0,0,'','PROFESOR');</v>
      </c>
    </row>
    <row r="27" spans="1:12" ht="101.5" x14ac:dyDescent="0.35">
      <c r="A27" s="12">
        <v>2026</v>
      </c>
      <c r="B27" s="12" t="s">
        <v>1187</v>
      </c>
      <c r="C27" s="12" t="s">
        <v>805</v>
      </c>
      <c r="D27" s="12" t="s">
        <v>1216</v>
      </c>
      <c r="E27" s="14" t="s">
        <v>1188</v>
      </c>
      <c r="F27" s="12" t="s">
        <v>635</v>
      </c>
      <c r="G27" s="13" t="s">
        <v>1189</v>
      </c>
      <c r="H27" s="12"/>
      <c r="I27" s="12" t="s">
        <v>722</v>
      </c>
      <c r="J27" s="12"/>
      <c r="K27" s="12" t="str">
        <f>CONCATENATE(A27,",",B27,",'",C27,"','",D27,"','",E27,",'",F27,"','",G27,"','",H27,"','",UPPER(I27),"','",UPPER(J27),"','',0,0,'','PROFESOR'")</f>
        <v>2026,'LICENCIATURA','jorge.acosta','AMJ1423','TOMAR DEL SND','ACOSTA NUÑEZ JORGE','PROFESORES','','MASCULINO','','',0,0,'','PROFESOR'</v>
      </c>
      <c r="L27" s="12" t="str">
        <f t="shared" si="0"/>
        <v>INSERT INTO participantes (id,nivel,correo,matricula,clave,nombre,carrera,grado,sexo,situacion,evaluados,num_evaluados,total_evaluaciones,ultimo_acceso,nivel_acceso) VALUES (2026,'LICENCIATURA','jorge.acosta','AMJ1423','TOMAR DEL SND','ACOSTA NUÑEZ JORGE','PROFESORES','','MASCULINO','','',0,0,'','PROFESOR');</v>
      </c>
    </row>
    <row r="28" spans="1:12" ht="116" x14ac:dyDescent="0.35">
      <c r="A28" s="12">
        <v>2027</v>
      </c>
      <c r="B28" s="12" t="s">
        <v>1187</v>
      </c>
      <c r="C28" s="12" t="s">
        <v>791</v>
      </c>
      <c r="D28" s="12" t="s">
        <v>1210</v>
      </c>
      <c r="E28" s="14" t="s">
        <v>1188</v>
      </c>
      <c r="F28" s="12" t="s">
        <v>713</v>
      </c>
      <c r="G28" s="13" t="s">
        <v>1189</v>
      </c>
      <c r="H28" s="12"/>
      <c r="I28" s="12" t="s">
        <v>722</v>
      </c>
      <c r="J28" s="12"/>
      <c r="K28" s="12" t="str">
        <f>CONCATENATE(A28,",",B28,",'",C28,"','",D28,"','",E28,",'",F28,"','",G28,"','",H28,"','",UPPER(I28),"','",UPPER(J28),"','',0,0,'','PROFESOR'")</f>
        <v>2027,'LICENCIATURA','saul.flores','FMS1800','TOMAR DEL SND','FLORES MONTAÑO SAUL EMMANUEL','PROFESORES','','MASCULINO','','',0,0,'','PROFESOR'</v>
      </c>
      <c r="L28" s="12" t="str">
        <f t="shared" si="0"/>
        <v>INSERT INTO participantes (id,nivel,correo,matricula,clave,nombre,carrera,grado,sexo,situacion,evaluados,num_evaluados,total_evaluaciones,ultimo_acceso,nivel_acceso) VALUES (2027,'LICENCIATURA','saul.flores','FMS1800','TOMAR DEL SND','FLORES MONTAÑO SAUL EMMANUEL','PROFESORES','','MASCULINO','','',0,0,'','PROFESOR');</v>
      </c>
    </row>
    <row r="29" spans="1:12" ht="101.5" x14ac:dyDescent="0.35">
      <c r="A29" s="12">
        <v>2028</v>
      </c>
      <c r="B29" s="12" t="s">
        <v>1187</v>
      </c>
      <c r="C29" s="12" t="s">
        <v>835</v>
      </c>
      <c r="D29" s="12" t="s">
        <v>1226</v>
      </c>
      <c r="E29" s="14" t="s">
        <v>1188</v>
      </c>
      <c r="F29" s="12" t="s">
        <v>612</v>
      </c>
      <c r="G29" s="13" t="s">
        <v>1189</v>
      </c>
      <c r="H29" s="12"/>
      <c r="I29" s="12" t="s">
        <v>722</v>
      </c>
      <c r="J29" s="12"/>
      <c r="K29" s="12" t="str">
        <f>CONCATENATE(A29,",",B29,",'",C29,"','",D29,"','",E29,",'",F29,"','",G29,"','",H29,"','",UPPER(I29),"','",UPPER(J29),"','',0,0,'','PROFESOR'")</f>
        <v>2028,'LICENCIATURA','francisco.ramirez','ROF1352','TOMAR DEL SND','RAMIREZ ORNELAS FRANCISCO JAVIER','PROFESORES','','MASCULINO','','',0,0,'','PROFESOR'</v>
      </c>
      <c r="L29" s="12" t="str">
        <f t="shared" si="0"/>
        <v>INSERT INTO participantes (id,nivel,correo,matricula,clave,nombre,carrera,grado,sexo,situacion,evaluados,num_evaluados,total_evaluaciones,ultimo_acceso,nivel_acceso) VALUES (2028,'LICENCIATURA','francisco.ramirez','ROF1352','TOMAR DEL SND','RAMIREZ ORNELAS FRANCISCO JAVIER','PROFESORES','','MASCULINO','','',0,0,'','PROFESOR');</v>
      </c>
    </row>
    <row r="30" spans="1:12" ht="116" x14ac:dyDescent="0.35">
      <c r="A30" s="12">
        <v>2029</v>
      </c>
      <c r="B30" s="12" t="s">
        <v>1187</v>
      </c>
      <c r="C30" s="12" t="s">
        <v>815</v>
      </c>
      <c r="D30" s="12" t="s">
        <v>1220</v>
      </c>
      <c r="E30" s="14" t="s">
        <v>1188</v>
      </c>
      <c r="F30" s="12" t="s">
        <v>719</v>
      </c>
      <c r="G30" s="13" t="s">
        <v>1189</v>
      </c>
      <c r="H30" s="12"/>
      <c r="I30" s="12" t="s">
        <v>721</v>
      </c>
      <c r="J30" s="12"/>
      <c r="K30" s="12" t="str">
        <f>CONCATENATE(A30,",",B30,",'",C30,"','",D30,"','",E30,",'",F30,"','",G30,"','",H30,"','",UPPER(I30),"','",UPPER(J30),"','',0,0,'','PROFESOR'")</f>
        <v>2029,'LICENCIATURA','zaira.zambrano','ZLZ1862','TOMAR DEL SND','ZAMBRANO LOPEZ ZAIRA MARLENE','PROFESORES','','FEMENINO','','',0,0,'','PROFESOR'</v>
      </c>
      <c r="L30" s="12" t="str">
        <f t="shared" si="0"/>
        <v>INSERT INTO participantes (id,nivel,correo,matricula,clave,nombre,carrera,grado,sexo,situacion,evaluados,num_evaluados,total_evaluaciones,ultimo_acceso,nivel_acceso) VALUES (2029,'LICENCIATURA','zaira.zambrano','ZLZ1862','TOMAR DEL SND','ZAMBRANO LOPEZ ZAIRA MARLENE','PROFESORES','','FEMENINO','','',0,0,'','PROFESOR');</v>
      </c>
    </row>
    <row r="31" spans="1:12" ht="116" x14ac:dyDescent="0.35">
      <c r="A31" s="12">
        <v>2030</v>
      </c>
      <c r="B31" s="12" t="s">
        <v>1187</v>
      </c>
      <c r="C31" s="12" t="s">
        <v>840</v>
      </c>
      <c r="D31" s="12" t="s">
        <v>1227</v>
      </c>
      <c r="E31" s="14" t="s">
        <v>1188</v>
      </c>
      <c r="F31" s="12" t="s">
        <v>595</v>
      </c>
      <c r="G31" s="13" t="s">
        <v>1189</v>
      </c>
      <c r="H31" s="12"/>
      <c r="I31" s="12" t="s">
        <v>721</v>
      </c>
      <c r="J31" s="12"/>
      <c r="K31" s="12" t="str">
        <f>CONCATENATE(A31,",",B31,",'",C31,"','",D31,"','",E31,",'",F31,"','",G31,"','",H31,"','",UPPER(I31),"','",UPPER(J31),"','',0,0,'','PROFESOR'")</f>
        <v>2030,'LICENCIATURA','dulce.alvarado','ABD1972','TOMAR DEL SND','ALVARADO BAEZ DULCE CARMINA','PROFESORES','','FEMENINO','','',0,0,'','PROFESOR'</v>
      </c>
      <c r="L31" s="12" t="str">
        <f t="shared" si="0"/>
        <v>INSERT INTO participantes (id,nivel,correo,matricula,clave,nombre,carrera,grado,sexo,situacion,evaluados,num_evaluados,total_evaluaciones,ultimo_acceso,nivel_acceso) VALUES (2030,'LICENCIATURA','dulce.alvarado','ABD1972','TOMAR DEL SND','ALVARADO BAEZ DULCE CARMINA','PROFESORES','','FEMENINO','','',0,0,'','PROFESOR');</v>
      </c>
    </row>
    <row r="32" spans="1:12" ht="101.5" x14ac:dyDescent="0.35">
      <c r="A32" s="12">
        <v>2031</v>
      </c>
      <c r="B32" s="12" t="s">
        <v>1187</v>
      </c>
      <c r="C32" s="12" t="s">
        <v>842</v>
      </c>
      <c r="D32" s="12" t="s">
        <v>1228</v>
      </c>
      <c r="E32" s="14" t="s">
        <v>1188</v>
      </c>
      <c r="F32" s="12" t="s">
        <v>696</v>
      </c>
      <c r="G32" s="13" t="s">
        <v>1189</v>
      </c>
      <c r="H32" s="12"/>
      <c r="I32" s="12" t="s">
        <v>721</v>
      </c>
      <c r="J32" s="12"/>
      <c r="K32" s="12" t="str">
        <f>CONCATENATE(A32,",",B32,",'",C32,"','",D32,"','",E32,",'",F32,"','",G32,"','",H32,"','",UPPER(I32),"','",UPPER(J32),"','',0,0,'','PROFESOR'")</f>
        <v>2031,'LICENCIATURA','nydia.espino','ECN0993','TOMAR DEL SND','ESPINO CAMPOS NYDIA','PROFESORES','','FEMENINO','','',0,0,'','PROFESOR'</v>
      </c>
      <c r="L32" s="12" t="str">
        <f t="shared" si="0"/>
        <v>INSERT INTO participantes (id,nivel,correo,matricula,clave,nombre,carrera,grado,sexo,situacion,evaluados,num_evaluados,total_evaluaciones,ultimo_acceso,nivel_acceso) VALUES (2031,'LICENCIATURA','nydia.espino','ECN0993','TOMAR DEL SND','ESPINO CAMPOS NYDIA','PROFESORES','','FEMENINO','','',0,0,'','PROFESOR');</v>
      </c>
    </row>
    <row r="33" spans="1:12" ht="116" x14ac:dyDescent="0.35">
      <c r="A33" s="12">
        <v>2032</v>
      </c>
      <c r="B33" s="12" t="s">
        <v>1187</v>
      </c>
      <c r="C33" s="12" t="s">
        <v>844</v>
      </c>
      <c r="D33" s="12" t="s">
        <v>1229</v>
      </c>
      <c r="E33" s="14" t="s">
        <v>1188</v>
      </c>
      <c r="F33" s="12" t="s">
        <v>631</v>
      </c>
      <c r="G33" s="13" t="s">
        <v>1189</v>
      </c>
      <c r="H33" s="12"/>
      <c r="I33" s="12" t="s">
        <v>722</v>
      </c>
      <c r="J33" s="12"/>
      <c r="K33" s="12" t="str">
        <f>CONCATENATE(A33,",",B33,",'",C33,"','",D33,"','",E33,",'",F33,"','",G33,"','",H33,"','",UPPER(I33),"','",UPPER(J33),"','',0,0,'','PROFESOR'")</f>
        <v>2032,'LICENCIATURA','jesus.gudino','GGJ1869','TOMAR DEL SND','GUDIÑO GONZALEZ JESUS ANTONIO','PROFESORES','','MASCULINO','','',0,0,'','PROFESOR'</v>
      </c>
      <c r="L33" s="12" t="str">
        <f t="shared" si="0"/>
        <v>INSERT INTO participantes (id,nivel,correo,matricula,clave,nombre,carrera,grado,sexo,situacion,evaluados,num_evaluados,total_evaluaciones,ultimo_acceso,nivel_acceso) VALUES (2032,'LICENCIATURA','jesus.gudino','GGJ1869','TOMAR DEL SND','GUDIÑO GONZALEZ JESUS ANTONIO','PROFESORES','','MASCULINO','','',0,0,'','PROFESOR');</v>
      </c>
    </row>
    <row r="34" spans="1:12" ht="116" x14ac:dyDescent="0.35">
      <c r="A34" s="12">
        <v>2033</v>
      </c>
      <c r="B34" s="12" t="s">
        <v>1187</v>
      </c>
      <c r="C34" s="12" t="s">
        <v>846</v>
      </c>
      <c r="D34" s="12" t="s">
        <v>1230</v>
      </c>
      <c r="E34" s="14" t="s">
        <v>1188</v>
      </c>
      <c r="F34" s="12" t="s">
        <v>615</v>
      </c>
      <c r="G34" s="13" t="s">
        <v>1189</v>
      </c>
      <c r="H34" s="12"/>
      <c r="I34" s="12" t="s">
        <v>722</v>
      </c>
      <c r="J34" s="12"/>
      <c r="K34" s="12" t="str">
        <f>CONCATENATE(A34,",",B34,",'",C34,"','",D34,"','",E34,",'",F34,"','",G34,"','",H34,"','",UPPER(I34),"','",UPPER(J34),"','',0,0,'','PROFESOR'")</f>
        <v>2033,'LICENCIATURA','giovanni.jimenez','JSG1692','TOMAR DEL SND','JIMENEZ SILVA GIOVANNI ARTURO','PROFESORES','','MASCULINO','','',0,0,'','PROFESOR'</v>
      </c>
      <c r="L34" s="12" t="str">
        <f t="shared" si="0"/>
        <v>INSERT INTO participantes (id,nivel,correo,matricula,clave,nombre,carrera,grado,sexo,situacion,evaluados,num_evaluados,total_evaluaciones,ultimo_acceso,nivel_acceso) VALUES (2033,'LICENCIATURA','giovanni.jimenez','JSG1692','TOMAR DEL SND','JIMENEZ SILVA GIOVANNI ARTURO','PROFESORES','','MASCULINO','','',0,0,'','PROFESOR');</v>
      </c>
    </row>
    <row r="35" spans="1:12" ht="116" x14ac:dyDescent="0.35">
      <c r="A35" s="12">
        <v>2034</v>
      </c>
      <c r="B35" s="12" t="s">
        <v>1187</v>
      </c>
      <c r="C35" s="12" t="s">
        <v>851</v>
      </c>
      <c r="D35" s="12" t="s">
        <v>1232</v>
      </c>
      <c r="E35" s="14" t="s">
        <v>1188</v>
      </c>
      <c r="F35" s="12" t="s">
        <v>624</v>
      </c>
      <c r="G35" s="13" t="s">
        <v>1189</v>
      </c>
      <c r="H35" s="12"/>
      <c r="I35" s="12" t="s">
        <v>722</v>
      </c>
      <c r="J35" s="12"/>
      <c r="K35" s="12" t="str">
        <f>CONCATENATE(A35,",",B35,",'",C35,"','",D35,"','",E35,",'",F35,"','",G35,"','",H35,"','",UPPER(I35),"','",UPPER(J35),"','',0,0,'','PROFESOR'")</f>
        <v>2034,'LICENCIATURA','hugo.segoviano','SMH1905','TOMAR DEL SND','SEGOVIANO MARTINEZ HUGO MIGUEL','PROFESORES','','MASCULINO','','',0,0,'','PROFESOR'</v>
      </c>
      <c r="L35" s="12" t="str">
        <f t="shared" si="0"/>
        <v>INSERT INTO participantes (id,nivel,correo,matricula,clave,nombre,carrera,grado,sexo,situacion,evaluados,num_evaluados,total_evaluaciones,ultimo_acceso,nivel_acceso) VALUES (2034,'LICENCIATURA','hugo.segoviano','SMH1905','TOMAR DEL SND','SEGOVIANO MARTINEZ HUGO MIGUEL','PROFESORES','','MASCULINO','','',0,0,'','PROFESOR');</v>
      </c>
    </row>
    <row r="36" spans="1:12" ht="101.5" x14ac:dyDescent="0.35">
      <c r="A36" s="12">
        <v>2035</v>
      </c>
      <c r="B36" s="12" t="s">
        <v>1187</v>
      </c>
      <c r="C36" s="12" t="s">
        <v>854</v>
      </c>
      <c r="D36" s="12" t="s">
        <v>1233</v>
      </c>
      <c r="E36" s="14" t="s">
        <v>1188</v>
      </c>
      <c r="F36" s="12" t="s">
        <v>661</v>
      </c>
      <c r="G36" s="13" t="s">
        <v>1189</v>
      </c>
      <c r="H36" s="12"/>
      <c r="I36" s="12" t="s">
        <v>721</v>
      </c>
      <c r="J36" s="12"/>
      <c r="K36" s="12" t="str">
        <f>CONCATENATE(A36,",",B36,",'",C36,"','",D36,"','",E36,",'",F36,"','",G36,"','",H36,"','",UPPER(I36),"','",UPPER(J36),"','',0,0,'','PROFESOR'")</f>
        <v>2035,'LICENCIATURA','leticia.martinez','MGL0928','TOMAR DEL SND','MARTINEZ GOMEZ LETICIA','PROFESORES','','FEMENINO','','',0,0,'','PROFESOR'</v>
      </c>
      <c r="L36" s="12" t="str">
        <f t="shared" si="0"/>
        <v>INSERT INTO participantes (id,nivel,correo,matricula,clave,nombre,carrera,grado,sexo,situacion,evaluados,num_evaluados,total_evaluaciones,ultimo_acceso,nivel_acceso) VALUES (2035,'LICENCIATURA','leticia.martinez','MGL0928','TOMAR DEL SND','MARTINEZ GOMEZ LETICIA','PROFESORES','','FEMENINO','','',0,0,'','PROFESOR');</v>
      </c>
    </row>
    <row r="37" spans="1:12" ht="116" x14ac:dyDescent="0.35">
      <c r="A37" s="12">
        <v>2036</v>
      </c>
      <c r="B37" s="12" t="s">
        <v>1187</v>
      </c>
      <c r="C37" s="12" t="s">
        <v>849</v>
      </c>
      <c r="D37" s="12" t="s">
        <v>1231</v>
      </c>
      <c r="E37" s="14" t="s">
        <v>1188</v>
      </c>
      <c r="F37" s="12" t="s">
        <v>587</v>
      </c>
      <c r="G37" s="13" t="s">
        <v>1189</v>
      </c>
      <c r="H37" s="12"/>
      <c r="I37" s="12" t="s">
        <v>722</v>
      </c>
      <c r="J37" s="12"/>
      <c r="K37" s="12" t="str">
        <f>CONCATENATE(A37,",",B37,",'",C37,"','",D37,"','",E37,",'",F37,"','",G37,"','",H37,"','",UPPER(I37),"','",UPPER(J37),"','',0,0,'','PROFESOR'")</f>
        <v>2036,'LICENCIATURA','daniel.montelongo','MAD0975','TOMAR DEL SND','MONTELONGO AGUAYO DANIEL','PROFESORES','','MASCULINO','','',0,0,'','PROFESOR'</v>
      </c>
      <c r="L37" s="12" t="str">
        <f t="shared" si="0"/>
        <v>INSERT INTO participantes (id,nivel,correo,matricula,clave,nombre,carrera,grado,sexo,situacion,evaluados,num_evaluados,total_evaluaciones,ultimo_acceso,nivel_acceso) VALUES (2036,'LICENCIATURA','daniel.montelongo','MAD0975','TOMAR DEL SND','MONTELONGO AGUAYO DANIEL','PROFESORES','','MASCULINO','','',0,0,'','PROFESOR');</v>
      </c>
    </row>
    <row r="38" spans="1:12" ht="101.5" x14ac:dyDescent="0.35">
      <c r="A38" s="12">
        <v>2037</v>
      </c>
      <c r="B38" s="12" t="s">
        <v>1187</v>
      </c>
      <c r="C38" s="12" t="s">
        <v>857</v>
      </c>
      <c r="D38" s="12" t="s">
        <v>1234</v>
      </c>
      <c r="E38" s="14" t="s">
        <v>1188</v>
      </c>
      <c r="F38" s="12" t="s">
        <v>650</v>
      </c>
      <c r="G38" s="13" t="s">
        <v>1189</v>
      </c>
      <c r="H38" s="12"/>
      <c r="I38" s="12" t="s">
        <v>722</v>
      </c>
      <c r="J38" s="12"/>
      <c r="K38" s="12" t="str">
        <f>CONCATENATE(A38,",",B38,",'",C38,"','",D38,"','",E38,",'",F38,"','",G38,"','",H38,"','",UPPER(I38),"','",UPPER(J38),"','',0,0,'','PROFESOR'")</f>
        <v>2037,'LICENCIATURA','juan.ponce','PCJ1177','TOMAR DEL SND','PONCE CUEVAS JUAN','PROFESORES','','MASCULINO','','',0,0,'','PROFESOR'</v>
      </c>
      <c r="L38" s="12" t="str">
        <f t="shared" si="0"/>
        <v>INSERT INTO participantes (id,nivel,correo,matricula,clave,nombre,carrera,grado,sexo,situacion,evaluados,num_evaluados,total_evaluaciones,ultimo_acceso,nivel_acceso) VALUES (2037,'LICENCIATURA','juan.ponce','PCJ1177','TOMAR DEL SND','PONCE CUEVAS JUAN','PROFESORES','','MASCULINO','','',0,0,'','PROFESOR');</v>
      </c>
    </row>
    <row r="39" spans="1:12" ht="116" x14ac:dyDescent="0.35">
      <c r="A39" s="12">
        <v>2038</v>
      </c>
      <c r="B39" s="12" t="s">
        <v>1187</v>
      </c>
      <c r="C39" s="12" t="s">
        <v>859</v>
      </c>
      <c r="D39" s="12" t="s">
        <v>1235</v>
      </c>
      <c r="E39" s="14" t="s">
        <v>1188</v>
      </c>
      <c r="F39" s="12" t="s">
        <v>691</v>
      </c>
      <c r="G39" s="13" t="s">
        <v>1189</v>
      </c>
      <c r="H39" s="12"/>
      <c r="I39" s="12" t="s">
        <v>721</v>
      </c>
      <c r="J39" s="12"/>
      <c r="K39" s="12" t="str">
        <f>CONCATENATE(A39,",",B39,",'",C39,"','",D39,"','",E39,",'",F39,"','",G39,"','",H39,"','",UPPER(I39),"','",UPPER(J39),"','',0,0,'','PROFESOR'")</f>
        <v>2038,'LICENCIATURA','montserrat.ramos','RRM1422','TOMAR DEL SND','RAMOS RENTERIA MONTSERRAT FABIOLA','PROFESORES','','FEMENINO','','',0,0,'','PROFESOR'</v>
      </c>
      <c r="L39" s="12" t="str">
        <f t="shared" si="0"/>
        <v>INSERT INTO participantes (id,nivel,correo,matricula,clave,nombre,carrera,grado,sexo,situacion,evaluados,num_evaluados,total_evaluaciones,ultimo_acceso,nivel_acceso) VALUES (2038,'LICENCIATURA','montserrat.ramos','RRM1422','TOMAR DEL SND','RAMOS RENTERIA MONTSERRAT FABIOLA','PROFESORES','','FEMENINO','','',0,0,'','PROFESOR');</v>
      </c>
    </row>
    <row r="40" spans="1:12" ht="101.5" x14ac:dyDescent="0.35">
      <c r="A40" s="12">
        <v>2039</v>
      </c>
      <c r="B40" s="12" t="s">
        <v>1187</v>
      </c>
      <c r="C40" s="12" t="s">
        <v>861</v>
      </c>
      <c r="D40" s="12" t="s">
        <v>1236</v>
      </c>
      <c r="E40" s="14" t="s">
        <v>1188</v>
      </c>
      <c r="F40" s="12" t="s">
        <v>646</v>
      </c>
      <c r="G40" s="13" t="s">
        <v>1189</v>
      </c>
      <c r="H40" s="12"/>
      <c r="I40" s="12" t="s">
        <v>722</v>
      </c>
      <c r="J40" s="12"/>
      <c r="K40" s="12" t="str">
        <f>CONCATENATE(A40,",",B40,",'",C40,"','",D40,"','",E40,",'",F40,"','",G40,"','",H40,"','",UPPER(I40),"','",UPPER(J40),"','',0,0,'','PROFESOR'")</f>
        <v>2039,'LICENCIATURA','jose.sanchezm','SMJ0539','TOMAR DEL SND','SANCHEZ MUÑOZ JOSE JORGE','PROFESORES','','MASCULINO','','',0,0,'','PROFESOR'</v>
      </c>
      <c r="L40" s="12" t="str">
        <f t="shared" si="0"/>
        <v>INSERT INTO participantes (id,nivel,correo,matricula,clave,nombre,carrera,grado,sexo,situacion,evaluados,num_evaluados,total_evaluaciones,ultimo_acceso,nivel_acceso) VALUES (2039,'LICENCIATURA','jose.sanchezm','SMJ0539','TOMAR DEL SND','SANCHEZ MUÑOZ JOSE JORGE','PROFESORES','','MASCULINO','','',0,0,'','PROFESOR');</v>
      </c>
    </row>
    <row r="41" spans="1:12" ht="116" x14ac:dyDescent="0.35">
      <c r="A41" s="12">
        <v>2040</v>
      </c>
      <c r="B41" s="12" t="s">
        <v>1187</v>
      </c>
      <c r="C41" s="12" t="s">
        <v>864</v>
      </c>
      <c r="D41" s="12" t="s">
        <v>1237</v>
      </c>
      <c r="E41" s="14" t="s">
        <v>1188</v>
      </c>
      <c r="F41" s="12" t="s">
        <v>705</v>
      </c>
      <c r="G41" s="13" t="s">
        <v>1189</v>
      </c>
      <c r="H41" s="12"/>
      <c r="I41" s="12" t="s">
        <v>722</v>
      </c>
      <c r="J41" s="12"/>
      <c r="K41" s="12" t="str">
        <f>CONCATENATE(A41,",",B41,",'",C41,"','",D41,"','",E41,",'",F41,"','",G41,"','",H41,"','",UPPER(I41),"','",UPPER(J41),"','',0,0,'','PROFESOR'")</f>
        <v>2040,'LICENCIATURA','raymundo.silva','SHR1973','TOMAR DEL SND','SILVA HERRERA RAYMUNDO','PROFESORES','','MASCULINO','','',0,0,'','PROFESOR'</v>
      </c>
      <c r="L41" s="12" t="str">
        <f t="shared" si="0"/>
        <v>INSERT INTO participantes (id,nivel,correo,matricula,clave,nombre,carrera,grado,sexo,situacion,evaluados,num_evaluados,total_evaluaciones,ultimo_acceso,nivel_acceso) VALUES (2040,'LICENCIATURA','raymundo.silva','SHR1973','TOMAR DEL SND','SILVA HERRERA RAYMUNDO','PROFESORES','','MASCULINO','','',0,0,'','PROFESOR');</v>
      </c>
    </row>
    <row r="42" spans="1:12" ht="116" x14ac:dyDescent="0.35">
      <c r="A42" s="12">
        <v>2041</v>
      </c>
      <c r="B42" s="12" t="s">
        <v>1187</v>
      </c>
      <c r="C42" s="12" t="s">
        <v>867</v>
      </c>
      <c r="D42" s="12" t="s">
        <v>1238</v>
      </c>
      <c r="E42" s="14" t="s">
        <v>1188</v>
      </c>
      <c r="F42" s="12" t="s">
        <v>695</v>
      </c>
      <c r="G42" s="13" t="s">
        <v>1189</v>
      </c>
      <c r="H42" s="12"/>
      <c r="I42" s="12" t="s">
        <v>721</v>
      </c>
      <c r="J42" s="12"/>
      <c r="K42" s="12" t="str">
        <f>CONCATENATE(A42,",",B42,",'",C42,"','",D42,"','",E42,",'",F42,"','",G42,"','",H42,"','",UPPER(I42),"','",UPPER(J42),"','',0,0,'','PROFESOR'")</f>
        <v>2041,'LICENCIATURA','noemi.calderon','CCN1952','TOMAR DEL SND','CALDERON CHAVARIN NOEMI MONSERRAT','PROFESORES','','FEMENINO','','',0,0,'','PROFESOR'</v>
      </c>
      <c r="L42" s="12" t="str">
        <f t="shared" si="0"/>
        <v>INSERT INTO participantes (id,nivel,correo,matricula,clave,nombre,carrera,grado,sexo,situacion,evaluados,num_evaluados,total_evaluaciones,ultimo_acceso,nivel_acceso) VALUES (2041,'LICENCIATURA','noemi.calderon','CCN1952','TOMAR DEL SND','CALDERON CHAVARIN NOEMI MONSERRAT','PROFESORES','','FEMENINO','','',0,0,'','PROFESOR');</v>
      </c>
    </row>
    <row r="43" spans="1:12" ht="116" x14ac:dyDescent="0.35">
      <c r="A43" s="12">
        <v>2042</v>
      </c>
      <c r="B43" s="12" t="s">
        <v>1187</v>
      </c>
      <c r="C43" s="12" t="s">
        <v>871</v>
      </c>
      <c r="D43" s="12" t="s">
        <v>1240</v>
      </c>
      <c r="E43" s="14" t="s">
        <v>1188</v>
      </c>
      <c r="F43" s="12" t="s">
        <v>660</v>
      </c>
      <c r="G43" s="13" t="s">
        <v>1189</v>
      </c>
      <c r="H43" s="12"/>
      <c r="I43" s="12" t="s">
        <v>722</v>
      </c>
      <c r="J43" s="12"/>
      <c r="K43" s="12" t="str">
        <f>CONCATENATE(A43,",",B43,",'",C43,"','",D43,"','",E43,",'",F43,"','",G43,"','",H43,"','",UPPER(I43),"','",UPPER(J43),"','',0,0,'','PROFESOR'")</f>
        <v>2042,'LICENCIATURA','leonardo.flores','FCL1178','TOMAR DEL SND','FLORES COSIO LEONARDO','PROFESORES','','MASCULINO','','',0,0,'','PROFESOR'</v>
      </c>
      <c r="L43" s="12" t="str">
        <f t="shared" si="0"/>
        <v>INSERT INTO participantes (id,nivel,correo,matricula,clave,nombre,carrera,grado,sexo,situacion,evaluados,num_evaluados,total_evaluaciones,ultimo_acceso,nivel_acceso) VALUES (2042,'LICENCIATURA','leonardo.flores','FCL1178','TOMAR DEL SND','FLORES COSIO LEONARDO','PROFESORES','','MASCULINO','','',0,0,'','PROFESOR');</v>
      </c>
    </row>
    <row r="44" spans="1:12" ht="116" x14ac:dyDescent="0.35">
      <c r="A44" s="12">
        <v>2043</v>
      </c>
      <c r="B44" s="12" t="s">
        <v>1187</v>
      </c>
      <c r="C44" s="12" t="s">
        <v>869</v>
      </c>
      <c r="D44" s="12" t="s">
        <v>1239</v>
      </c>
      <c r="E44" s="14" t="s">
        <v>1188</v>
      </c>
      <c r="F44" s="12" t="s">
        <v>626</v>
      </c>
      <c r="G44" s="13" t="s">
        <v>1189</v>
      </c>
      <c r="H44" s="12"/>
      <c r="I44" s="12" t="s">
        <v>721</v>
      </c>
      <c r="J44" s="12"/>
      <c r="K44" s="12" t="str">
        <f>CONCATENATE(A44,",",B44,",'",C44,"','",D44,"','",E44,",'",F44,"','",G44,"','",H44,"','",UPPER(I44),"','",UPPER(J44),"','',0,0,'','PROFESOR'")</f>
        <v>2043,'LICENCIATURA','irma.castellanos','CMI1010','TOMAR DEL SND','CASTELLANOS MEZA IRMA ELIZABETH','PROFESORES','','FEMENINO','','',0,0,'','PROFESOR'</v>
      </c>
      <c r="L44" s="12" t="str">
        <f t="shared" si="0"/>
        <v>INSERT INTO participantes (id,nivel,correo,matricula,clave,nombre,carrera,grado,sexo,situacion,evaluados,num_evaluados,total_evaluaciones,ultimo_acceso,nivel_acceso) VALUES (2043,'LICENCIATURA','irma.castellanos','CMI1010','TOMAR DEL SND','CASTELLANOS MEZA IRMA ELIZABETH','PROFESORES','','FEMENINO','','',0,0,'','PROFESOR');</v>
      </c>
    </row>
    <row r="45" spans="1:12" ht="116" x14ac:dyDescent="0.35">
      <c r="A45" s="12">
        <v>2044</v>
      </c>
      <c r="B45" s="12" t="s">
        <v>1187</v>
      </c>
      <c r="C45" s="12" t="s">
        <v>873</v>
      </c>
      <c r="D45" s="12" t="s">
        <v>1241</v>
      </c>
      <c r="E45" s="14" t="s">
        <v>1188</v>
      </c>
      <c r="F45" s="12" t="s">
        <v>637</v>
      </c>
      <c r="G45" s="13" t="s">
        <v>1189</v>
      </c>
      <c r="H45" s="12"/>
      <c r="I45" s="12" t="s">
        <v>722</v>
      </c>
      <c r="J45" s="12"/>
      <c r="K45" s="12" t="str">
        <f>CONCATENATE(A45,",",B45,",'",C45,"','",D45,"','",E45,",'",F45,"','",G45,"','",H45,"','",UPPER(I45),"','",UPPER(J45),"','',0,0,'','PROFESOR'")</f>
        <v>2044,'LICENCIATURA','jorge.perez','PGJ1240','TOMAR DEL SND','PEREZ GUTIERREZ JORGE HUMBERTO','PROFESORES','','MASCULINO','','',0,0,'','PROFESOR'</v>
      </c>
      <c r="L45" s="12" t="str">
        <f t="shared" si="0"/>
        <v>INSERT INTO participantes (id,nivel,correo,matricula,clave,nombre,carrera,grado,sexo,situacion,evaluados,num_evaluados,total_evaluaciones,ultimo_acceso,nivel_acceso) VALUES (2044,'LICENCIATURA','jorge.perez','PGJ1240','TOMAR DEL SND','PEREZ GUTIERREZ JORGE HUMBERTO','PROFESORES','','MASCULINO','','',0,0,'','PROFESOR');</v>
      </c>
    </row>
    <row r="46" spans="1:12" ht="116" x14ac:dyDescent="0.35">
      <c r="A46" s="12">
        <v>2045</v>
      </c>
      <c r="B46" s="12" t="s">
        <v>1187</v>
      </c>
      <c r="C46" s="12" t="s">
        <v>739</v>
      </c>
      <c r="D46" s="12" t="s">
        <v>1190</v>
      </c>
      <c r="E46" s="14" t="s">
        <v>1188</v>
      </c>
      <c r="F46" s="12" t="s">
        <v>584</v>
      </c>
      <c r="G46" s="13" t="s">
        <v>1189</v>
      </c>
      <c r="H46" s="12"/>
      <c r="I46" s="12" t="s">
        <v>721</v>
      </c>
      <c r="J46" s="12"/>
      <c r="K46" s="12" t="str">
        <f>CONCATENATE(A46,",",B46,",'",C46,"','",D46,"','",E46,",'",F46,"','",G46,"','",H46,"','",UPPER(I46),"','",UPPER(J46),"','',0,0,'','PROFESOR'")</f>
        <v>2045,'LICENCIATURA','cristina.casillas','CCC1964','TOMAR DEL SND','CASILLAS CASTILLO CRISTINA DEL SOCORRO','PROFESORES','','FEMENINO','','',0,0,'','PROFESOR'</v>
      </c>
      <c r="L46" s="12" t="str">
        <f t="shared" si="0"/>
        <v>INSERT INTO participantes (id,nivel,correo,matricula,clave,nombre,carrera,grado,sexo,situacion,evaluados,num_evaluados,total_evaluaciones,ultimo_acceso,nivel_acceso) VALUES (2045,'LICENCIATURA','cristina.casillas','CCC1964','TOMAR DEL SND','CASILLAS CASTILLO CRISTINA DEL SOCORRO','PROFESORES','','FEMENINO','','',0,0,'','PROFESOR');</v>
      </c>
    </row>
    <row r="47" spans="1:12" ht="116" x14ac:dyDescent="0.35">
      <c r="A47" s="12">
        <v>2046</v>
      </c>
      <c r="B47" s="12" t="s">
        <v>1187</v>
      </c>
      <c r="C47" s="12" t="s">
        <v>888</v>
      </c>
      <c r="D47" s="12" t="s">
        <v>1242</v>
      </c>
      <c r="E47" s="14" t="s">
        <v>1188</v>
      </c>
      <c r="F47" s="12" t="s">
        <v>704</v>
      </c>
      <c r="G47" s="13" t="s">
        <v>1189</v>
      </c>
      <c r="H47" s="12"/>
      <c r="I47" s="12" t="s">
        <v>722</v>
      </c>
      <c r="J47" s="12"/>
      <c r="K47" s="12" t="str">
        <f>CONCATENATE(A47,",",B47,",'",C47,"','",D47,"','",E47,",'",F47,"','",G47,"','",H47,"','",UPPER(I47),"','",UPPER(J47),"','',0,0,'','PROFESOR'")</f>
        <v>2046,'LICENCIATURA','raul.espejel','EVR1642','TOMAR DEL SND','ESPEJEL VARGAS RAUL ENRIQUE','PROFESORES','','MASCULINO','','',0,0,'','PROFESOR'</v>
      </c>
      <c r="L47" s="12" t="str">
        <f t="shared" si="0"/>
        <v>INSERT INTO participantes (id,nivel,correo,matricula,clave,nombre,carrera,grado,sexo,situacion,evaluados,num_evaluados,total_evaluaciones,ultimo_acceso,nivel_acceso) VALUES (2046,'LICENCIATURA','raul.espejel','EVR1642','TOMAR DEL SND','ESPEJEL VARGAS RAUL ENRIQUE','PROFESORES','','MASCULINO','','',0,0,'','PROFESOR');</v>
      </c>
    </row>
    <row r="48" spans="1:12" ht="116" x14ac:dyDescent="0.35">
      <c r="A48" s="12">
        <v>2047</v>
      </c>
      <c r="B48" s="12" t="s">
        <v>1187</v>
      </c>
      <c r="C48" s="12" t="s">
        <v>891</v>
      </c>
      <c r="D48" s="12" t="s">
        <v>1243</v>
      </c>
      <c r="E48" s="14" t="s">
        <v>1188</v>
      </c>
      <c r="F48" s="12" t="s">
        <v>707</v>
      </c>
      <c r="G48" s="13" t="s">
        <v>1189</v>
      </c>
      <c r="H48" s="12"/>
      <c r="I48" s="12" t="s">
        <v>722</v>
      </c>
      <c r="J48" s="12"/>
      <c r="K48" s="12" t="str">
        <f>CONCATENATE(A48,",",B48,",'",C48,"','",D48,"','",E48,",'",F48,"','",G48,"','",H48,"','",UPPER(I48),"','",UPPER(J48),"','',0,0,'','PROFESOR'")</f>
        <v>2047,'LICENCIATURA','roberto.ramirez','RGR1965','TOMAR DEL SND','RAMIREZ GONZALEZ ROBERTO ANTONIO','PROFESORES','','MASCULINO','','',0,0,'','PROFESOR'</v>
      </c>
      <c r="L48" s="12" t="str">
        <f t="shared" si="0"/>
        <v>INSERT INTO participantes (id,nivel,correo,matricula,clave,nombre,carrera,grado,sexo,situacion,evaluados,num_evaluados,total_evaluaciones,ultimo_acceso,nivel_acceso) VALUES (2047,'LICENCIATURA','roberto.ramirez','RGR1965','TOMAR DEL SND','RAMIREZ GONZALEZ ROBERTO ANTONIO','PROFESORES','','MASCULINO','','',0,0,'','PROFESOR');</v>
      </c>
    </row>
    <row r="49" spans="1:12" ht="116" x14ac:dyDescent="0.35">
      <c r="A49" s="12">
        <v>2048</v>
      </c>
      <c r="B49" s="12" t="s">
        <v>1187</v>
      </c>
      <c r="C49" s="12" t="s">
        <v>768</v>
      </c>
      <c r="D49" s="12" t="s">
        <v>1202</v>
      </c>
      <c r="E49" s="14" t="s">
        <v>1188</v>
      </c>
      <c r="F49" s="12" t="s">
        <v>701</v>
      </c>
      <c r="G49" s="13" t="s">
        <v>1189</v>
      </c>
      <c r="H49" s="12"/>
      <c r="I49" s="12" t="s">
        <v>722</v>
      </c>
      <c r="J49" s="12"/>
      <c r="K49" s="12" t="str">
        <f>CONCATENATE(A49,",",B49,",'",C49,"','",D49,"','",E49,",'",F49,"','",G49,"','",H49,"','",UPPER(I49),"','",UPPER(J49),"','',0,0,'','PROFESOR'")</f>
        <v>2048,'LICENCIATURA','rafael.rios','RNR1966','TOMAR DEL SND','RIOS NUÑO RAFAEL','PROFESORES','','MASCULINO','','',0,0,'','PROFESOR'</v>
      </c>
      <c r="L49" s="12" t="str">
        <f t="shared" si="0"/>
        <v>INSERT INTO participantes (id,nivel,correo,matricula,clave,nombre,carrera,grado,sexo,situacion,evaluados,num_evaluados,total_evaluaciones,ultimo_acceso,nivel_acceso) VALUES (2048,'LICENCIATURA','rafael.rios','RNR1966','TOMAR DEL SND','RIOS NUÑO RAFAEL','PROFESORES','','MASCULINO','','',0,0,'','PROFESOR');</v>
      </c>
    </row>
    <row r="50" spans="1:12" ht="101.5" x14ac:dyDescent="0.35">
      <c r="A50" s="12">
        <v>2049</v>
      </c>
      <c r="B50" s="12" t="s">
        <v>1187</v>
      </c>
      <c r="C50" s="12" t="s">
        <v>897</v>
      </c>
      <c r="D50" s="12" t="s">
        <v>1244</v>
      </c>
      <c r="E50" s="14" t="s">
        <v>1188</v>
      </c>
      <c r="F50" s="12" t="s">
        <v>658</v>
      </c>
      <c r="G50" s="13" t="s">
        <v>1189</v>
      </c>
      <c r="H50" s="12"/>
      <c r="I50" s="12" t="s">
        <v>721</v>
      </c>
      <c r="J50" s="12"/>
      <c r="K50" s="12" t="str">
        <f>CONCATENATE(A50,",",B50,",'",C50,"','",D50,"','",E50,",'",F50,"','",G50,"','",H50,"','",UPPER(I50),"','",UPPER(J50),"','',0,0,'','PROFESOR'")</f>
        <v>2049,'LICENCIATURA','laura.bahena','BVL2038','TOMAR DEL SND','BAHENA VANEGAS LAURA YANET','PROFESORES','','FEMENINO','','',0,0,'','PROFESOR'</v>
      </c>
      <c r="L50" s="12" t="str">
        <f t="shared" si="0"/>
        <v>INSERT INTO participantes (id,nivel,correo,matricula,clave,nombre,carrera,grado,sexo,situacion,evaluados,num_evaluados,total_evaluaciones,ultimo_acceso,nivel_acceso) VALUES (2049,'LICENCIATURA','laura.bahena','BVL2038','TOMAR DEL SND','BAHENA VANEGAS LAURA YANET','PROFESORES','','FEMENINO','','',0,0,'','PROFESOR');</v>
      </c>
    </row>
    <row r="51" spans="1:12" ht="116" x14ac:dyDescent="0.35">
      <c r="A51" s="12">
        <v>2050</v>
      </c>
      <c r="B51" s="12" t="s">
        <v>1187</v>
      </c>
      <c r="C51" s="12" t="s">
        <v>899</v>
      </c>
      <c r="D51" s="12" t="s">
        <v>1245</v>
      </c>
      <c r="E51" s="14" t="s">
        <v>1188</v>
      </c>
      <c r="F51" s="12" t="s">
        <v>669</v>
      </c>
      <c r="G51" s="13" t="s">
        <v>1189</v>
      </c>
      <c r="H51" s="12"/>
      <c r="I51" s="12" t="s">
        <v>722</v>
      </c>
      <c r="J51" s="12"/>
      <c r="K51" s="12" t="str">
        <f>CONCATENATE(A51,",",B51,",'",C51,"','",D51,"','",E51,",'",F51,"','",G51,"','",H51,"','",UPPER(I51),"','",UPPER(J51),"','',0,0,'','PROFESOR'")</f>
        <v>2050,'LICENCIATURA','luis.garciac','GCL1128','TOMAR DEL SND','GARCIA COVARRUBIAS LUIS RAFAEL','PROFESORES','','MASCULINO','','',0,0,'','PROFESOR'</v>
      </c>
      <c r="L51" s="12" t="str">
        <f t="shared" si="0"/>
        <v>INSERT INTO participantes (id,nivel,correo,matricula,clave,nombre,carrera,grado,sexo,situacion,evaluados,num_evaluados,total_evaluaciones,ultimo_acceso,nivel_acceso) VALUES (2050,'LICENCIATURA','luis.garciac','GCL1128','TOMAR DEL SND','GARCIA COVARRUBIAS LUIS RAFAEL','PROFESORES','','MASCULINO','','',0,0,'','PROFESOR');</v>
      </c>
    </row>
    <row r="52" spans="1:12" ht="116" x14ac:dyDescent="0.35">
      <c r="A52" s="12">
        <v>2051</v>
      </c>
      <c r="B52" s="12" t="s">
        <v>1187</v>
      </c>
      <c r="C52" s="12" t="s">
        <v>901</v>
      </c>
      <c r="D52" s="12" t="s">
        <v>1246</v>
      </c>
      <c r="E52" s="14" t="s">
        <v>1188</v>
      </c>
      <c r="F52" s="12" t="s">
        <v>715</v>
      </c>
      <c r="G52" s="13" t="s">
        <v>1189</v>
      </c>
      <c r="H52" s="12"/>
      <c r="I52" s="12" t="s">
        <v>721</v>
      </c>
      <c r="J52" s="12"/>
      <c r="K52" s="12" t="str">
        <f>CONCATENATE(A52,",",B52,",'",C52,"','",D52,"','",E52,",'",F52,"','",G52,"','",H52,"','",UPPER(I52),"','",UPPER(J52),"','',0,0,'','PROFESOR'")</f>
        <v>2051,'LICENCIATURA','stephany.montero','MLS1918','TOMAR DEL SND','MONTERO LOPEZ STEPHANY ELIZABETH','PROFESORES','','FEMENINO','','',0,0,'','PROFESOR'</v>
      </c>
      <c r="L52" s="12" t="str">
        <f t="shared" si="0"/>
        <v>INSERT INTO participantes (id,nivel,correo,matricula,clave,nombre,carrera,grado,sexo,situacion,evaluados,num_evaluados,total_evaluaciones,ultimo_acceso,nivel_acceso) VALUES (2051,'LICENCIATURA','stephany.montero','MLS1918','TOMAR DEL SND','MONTERO LOPEZ STEPHANY ELIZABETH','PROFESORES','','FEMENINO','','',0,0,'','PROFESOR');</v>
      </c>
    </row>
    <row r="53" spans="1:12" ht="116" x14ac:dyDescent="0.35">
      <c r="A53" s="12">
        <v>2052</v>
      </c>
      <c r="B53" s="12" t="s">
        <v>1187</v>
      </c>
      <c r="C53" s="12" t="s">
        <v>903</v>
      </c>
      <c r="D53" s="12" t="s">
        <v>1247</v>
      </c>
      <c r="E53" s="14" t="s">
        <v>1188</v>
      </c>
      <c r="F53" s="12" t="s">
        <v>594</v>
      </c>
      <c r="G53" s="13" t="s">
        <v>1189</v>
      </c>
      <c r="H53" s="12"/>
      <c r="I53" s="12" t="s">
        <v>721</v>
      </c>
      <c r="J53" s="12"/>
      <c r="K53" s="12" t="str">
        <f>CONCATENATE(A53,",",B53,",'",C53,"','",D53,"','",E53,",'",F53,"','",G53,"','",H53,"','",UPPER(I53),"','",UPPER(J53),"','',0,0,'','PROFESOR'")</f>
        <v>2052,'LICENCIATURA','diana.ortega','OCD1957','TOMAR DEL SND','ORTEGA CUEVAS DIANA JOSSELINE','PROFESORES','','FEMENINO','','',0,0,'','PROFESOR'</v>
      </c>
      <c r="L53" s="12" t="str">
        <f t="shared" si="0"/>
        <v>INSERT INTO participantes (id,nivel,correo,matricula,clave,nombre,carrera,grado,sexo,situacion,evaluados,num_evaluados,total_evaluaciones,ultimo_acceso,nivel_acceso) VALUES (2052,'LICENCIATURA','diana.ortega','OCD1957','TOMAR DEL SND','ORTEGA CUEVAS DIANA JOSSELINE','PROFESORES','','FEMENINO','','',0,0,'','PROFESOR');</v>
      </c>
    </row>
    <row r="54" spans="1:12" ht="116" x14ac:dyDescent="0.35">
      <c r="A54" s="12">
        <v>2053</v>
      </c>
      <c r="B54" s="12" t="s">
        <v>1187</v>
      </c>
      <c r="C54" s="12" t="s">
        <v>905</v>
      </c>
      <c r="D54" s="12" t="s">
        <v>1248</v>
      </c>
      <c r="E54" s="14" t="s">
        <v>1188</v>
      </c>
      <c r="F54" s="12" t="s">
        <v>555</v>
      </c>
      <c r="G54" s="13" t="s">
        <v>1189</v>
      </c>
      <c r="H54" s="12"/>
      <c r="I54" s="12" t="s">
        <v>722</v>
      </c>
      <c r="J54" s="12"/>
      <c r="K54" s="12" t="str">
        <f>CONCATENATE(A54,",",B54,",'",C54,"','",D54,"','",E54,",'",F54,"','",G54,"','",H54,"','",UPPER(I54),"','",UPPER(J54),"','',0,0,'','PROFESOR'")</f>
        <v>2053,'LICENCIATURA','alberto.palomera','PJA1958','TOMAR DEL SND','PALOMERA JIMENEZ ALBERTO','PROFESORES','','MASCULINO','','',0,0,'','PROFESOR'</v>
      </c>
      <c r="L54" s="12" t="str">
        <f t="shared" si="0"/>
        <v>INSERT INTO participantes (id,nivel,correo,matricula,clave,nombre,carrera,grado,sexo,situacion,evaluados,num_evaluados,total_evaluaciones,ultimo_acceso,nivel_acceso) VALUES (2053,'LICENCIATURA','alberto.palomera','PJA1958','TOMAR DEL SND','PALOMERA JIMENEZ ALBERTO','PROFESORES','','MASCULINO','','',0,0,'','PROFESOR');</v>
      </c>
    </row>
    <row r="55" spans="1:12" ht="116" x14ac:dyDescent="0.35">
      <c r="A55" s="12">
        <v>2054</v>
      </c>
      <c r="B55" s="12" t="s">
        <v>1187</v>
      </c>
      <c r="C55" s="12" t="s">
        <v>907</v>
      </c>
      <c r="D55" s="12" t="s">
        <v>1249</v>
      </c>
      <c r="E55" s="14" t="s">
        <v>1188</v>
      </c>
      <c r="F55" s="12" t="s">
        <v>668</v>
      </c>
      <c r="G55" s="13" t="s">
        <v>1189</v>
      </c>
      <c r="H55" s="12"/>
      <c r="I55" s="12" t="s">
        <v>722</v>
      </c>
      <c r="J55" s="12"/>
      <c r="K55" s="12" t="str">
        <f>CONCATENATE(A55,",",B55,",'",C55,"','",D55,"','",E55,",'",F55,"','",G55,"','",H55,"','",UPPER(I55),"','",UPPER(J55),"','',0,0,'','PROFESOR'")</f>
        <v>2054,'LICENCIATURA','luis.salazar','SLL1959','TOMAR DEL SND','SALAZAR LOPEZ LUIS GILBERTO','PROFESORES','','MASCULINO','','',0,0,'','PROFESOR'</v>
      </c>
      <c r="L55" s="12" t="str">
        <f t="shared" si="0"/>
        <v>INSERT INTO participantes (id,nivel,correo,matricula,clave,nombre,carrera,grado,sexo,situacion,evaluados,num_evaluados,total_evaluaciones,ultimo_acceso,nivel_acceso) VALUES (2054,'LICENCIATURA','luis.salazar','SLL1959','TOMAR DEL SND','SALAZAR LOPEZ LUIS GILBERTO','PROFESORES','','MASCULINO','','',0,0,'','PROFESOR');</v>
      </c>
    </row>
    <row r="56" spans="1:12" ht="101.5" x14ac:dyDescent="0.35">
      <c r="A56" s="12">
        <v>2055</v>
      </c>
      <c r="B56" s="12" t="s">
        <v>1187</v>
      </c>
      <c r="C56" s="12" t="s">
        <v>911</v>
      </c>
      <c r="D56" s="12" t="s">
        <v>1250</v>
      </c>
      <c r="E56" s="14" t="s">
        <v>1188</v>
      </c>
      <c r="F56" s="12" t="s">
        <v>581</v>
      </c>
      <c r="G56" s="13" t="s">
        <v>1189</v>
      </c>
      <c r="H56" s="12"/>
      <c r="I56" s="12" t="s">
        <v>721</v>
      </c>
      <c r="J56" s="12"/>
      <c r="K56" s="12" t="str">
        <f>CONCATENATE(A56,",",B56,",'",C56,"','",D56,"','",E56,",'",F56,"','",G56,"','",H56,"','",UPPER(I56),"','",UPPER(J56),"','',0,0,'','PROFESOR'")</f>
        <v>2055,'LICENCIATURA','claudia.bautista','BPC1920','TOMAR DEL SND','BAUTISTA PARRA CLAUDIA LUCIA','PROFESORES','','FEMENINO','','',0,0,'','PROFESOR'</v>
      </c>
      <c r="L56" s="12" t="str">
        <f t="shared" si="0"/>
        <v>INSERT INTO participantes (id,nivel,correo,matricula,clave,nombre,carrera,grado,sexo,situacion,evaluados,num_evaluados,total_evaluaciones,ultimo_acceso,nivel_acceso) VALUES (2055,'LICENCIATURA','claudia.bautista','BPC1920','TOMAR DEL SND','BAUTISTA PARRA CLAUDIA LUCIA','PROFESORES','','FEMENINO','','',0,0,'','PROFESOR');</v>
      </c>
    </row>
    <row r="57" spans="1:12" ht="116" x14ac:dyDescent="0.35">
      <c r="A57" s="12">
        <v>2056</v>
      </c>
      <c r="B57" s="12" t="s">
        <v>1187</v>
      </c>
      <c r="C57" s="12" t="s">
        <v>913</v>
      </c>
      <c r="D57" s="12" t="s">
        <v>1251</v>
      </c>
      <c r="E57" s="14" t="s">
        <v>1188</v>
      </c>
      <c r="F57" s="12" t="s">
        <v>567</v>
      </c>
      <c r="G57" s="13" t="s">
        <v>1189</v>
      </c>
      <c r="H57" s="12"/>
      <c r="I57" s="12" t="s">
        <v>721</v>
      </c>
      <c r="J57" s="12"/>
      <c r="K57" s="12" t="str">
        <f>CONCATENATE(A57,",",B57,",'",C57,"','",D57,"','",E57,",'",F57,"','",G57,"','",H57,"','",UPPER(I57),"','",UPPER(J57),"','',0,0,'','PROFESOR'")</f>
        <v>2056,'LICENCIATURA','araceli.flores','FGA1042','TOMAR DEL SND','FLORES GIL ARACELI','PROFESORES','','FEMENINO','','',0,0,'','PROFESOR'</v>
      </c>
      <c r="L57" s="12" t="str">
        <f t="shared" si="0"/>
        <v>INSERT INTO participantes (id,nivel,correo,matricula,clave,nombre,carrera,grado,sexo,situacion,evaluados,num_evaluados,total_evaluaciones,ultimo_acceso,nivel_acceso) VALUES (2056,'LICENCIATURA','araceli.flores','FGA1042','TOMAR DEL SND','FLORES GIL ARACELI','PROFESORES','','FEMENINO','','',0,0,'','PROFESOR');</v>
      </c>
    </row>
    <row r="58" spans="1:12" ht="116" x14ac:dyDescent="0.35">
      <c r="A58" s="12">
        <v>2057</v>
      </c>
      <c r="B58" s="12" t="s">
        <v>1187</v>
      </c>
      <c r="C58" s="12" t="s">
        <v>915</v>
      </c>
      <c r="D58" s="12" t="s">
        <v>1252</v>
      </c>
      <c r="E58" s="14" t="s">
        <v>1188</v>
      </c>
      <c r="F58" s="12" t="s">
        <v>714</v>
      </c>
      <c r="G58" s="13" t="s">
        <v>1189</v>
      </c>
      <c r="H58" s="12"/>
      <c r="I58" s="12" t="s">
        <v>722</v>
      </c>
      <c r="J58" s="12"/>
      <c r="K58" s="12" t="str">
        <f>CONCATENATE(A58,",",B58,",'",C58,"','",D58,"','",E58,",'",F58,"','",G58,"','",H58,"','",UPPER(I58),"','",UPPER(J58),"','',0,0,'','PROFESOR'")</f>
        <v>2057,'LICENCIATURA','maria.martinezm','MMM1455','TOMAR DEL SND','MARTINEZ MARTINEZ SOBEK DRACO','PROFESORES','','MASCULINO','','',0,0,'','PROFESOR'</v>
      </c>
      <c r="L58" s="12" t="str">
        <f t="shared" si="0"/>
        <v>INSERT INTO participantes (id,nivel,correo,matricula,clave,nombre,carrera,grado,sexo,situacion,evaluados,num_evaluados,total_evaluaciones,ultimo_acceso,nivel_acceso) VALUES (2057,'LICENCIATURA','maria.martinezm','MMM1455','TOMAR DEL SND','MARTINEZ MARTINEZ SOBEK DRACO','PROFESORES','','MASCULINO','','',0,0,'','PROFESOR');</v>
      </c>
    </row>
    <row r="59" spans="1:12" ht="101.5" x14ac:dyDescent="0.35">
      <c r="A59" s="12">
        <v>2058</v>
      </c>
      <c r="B59" s="12" t="s">
        <v>1187</v>
      </c>
      <c r="C59" s="12" t="s">
        <v>917</v>
      </c>
      <c r="D59" s="12" t="s">
        <v>1253</v>
      </c>
      <c r="E59" s="14" t="s">
        <v>1188</v>
      </c>
      <c r="F59" s="12" t="s">
        <v>620</v>
      </c>
      <c r="G59" s="13" t="s">
        <v>1189</v>
      </c>
      <c r="H59" s="12"/>
      <c r="I59" s="12" t="s">
        <v>722</v>
      </c>
      <c r="J59" s="12"/>
      <c r="K59" s="12" t="str">
        <f>CONCATENATE(A59,",",B59,",'",C59,"','",D59,"','",E59,",'",F59,"','",G59,"','",H59,"','",UPPER(I59),"','",UPPER(J59),"','',0,0,'','PROFESOR'")</f>
        <v>2058,'LICENCIATURA','hector.moreno','MLH1052','TOMAR DEL SND','MORENO LLAMAS HECTOR RAUL','PROFESORES','','MASCULINO','','',0,0,'','PROFESOR'</v>
      </c>
      <c r="L59" s="12" t="str">
        <f t="shared" si="0"/>
        <v>INSERT INTO participantes (id,nivel,correo,matricula,clave,nombre,carrera,grado,sexo,situacion,evaluados,num_evaluados,total_evaluaciones,ultimo_acceso,nivel_acceso) VALUES (2058,'LICENCIATURA','hector.moreno','MLH1052','TOMAR DEL SND','MORENO LLAMAS HECTOR RAUL','PROFESORES','','MASCULINO','','',0,0,'','PROFESOR');</v>
      </c>
    </row>
    <row r="60" spans="1:12" ht="116" x14ac:dyDescent="0.35">
      <c r="A60" s="12">
        <v>2059</v>
      </c>
      <c r="B60" s="12" t="s">
        <v>1187</v>
      </c>
      <c r="C60" s="12" t="s">
        <v>919</v>
      </c>
      <c r="D60" s="12" t="s">
        <v>1254</v>
      </c>
      <c r="E60" s="14" t="s">
        <v>1188</v>
      </c>
      <c r="F60" s="12" t="s">
        <v>687</v>
      </c>
      <c r="G60" s="13" t="s">
        <v>1189</v>
      </c>
      <c r="H60" s="12"/>
      <c r="I60" s="12" t="s">
        <v>721</v>
      </c>
      <c r="J60" s="12"/>
      <c r="K60" s="12" t="str">
        <f>CONCATENATE(A60,",",B60,",'",C60,"','",D60,"','",E60,",'",F60,"','",G60,"','",H60,"','",UPPER(I60),"','",UPPER(J60),"','',0,0,'','PROFESOR'")</f>
        <v>2059,'LICENCIATURA','mercedes.perez','POM0707','TOMAR DEL SND','PEREZ ORTIZ MERCEDES','PROFESORES','','FEMENINO','','',0,0,'','PROFESOR'</v>
      </c>
      <c r="L60" s="12" t="str">
        <f t="shared" si="0"/>
        <v>INSERT INTO participantes (id,nivel,correo,matricula,clave,nombre,carrera,grado,sexo,situacion,evaluados,num_evaluados,total_evaluaciones,ultimo_acceso,nivel_acceso) VALUES (2059,'LICENCIATURA','mercedes.perez','POM0707','TOMAR DEL SND','PEREZ ORTIZ MERCEDES','PROFESORES','','FEMENINO','','',0,0,'','PROFESOR');</v>
      </c>
    </row>
    <row r="61" spans="1:12" ht="101.5" x14ac:dyDescent="0.35">
      <c r="A61" s="12">
        <v>2060</v>
      </c>
      <c r="B61" s="12" t="s">
        <v>1187</v>
      </c>
      <c r="C61" s="12" t="s">
        <v>923</v>
      </c>
      <c r="D61" s="12" t="s">
        <v>1255</v>
      </c>
      <c r="E61" s="14" t="s">
        <v>1188</v>
      </c>
      <c r="F61" s="12" t="s">
        <v>683</v>
      </c>
      <c r="G61" s="13" t="s">
        <v>1189</v>
      </c>
      <c r="H61" s="12"/>
      <c r="I61" s="12" t="s">
        <v>722</v>
      </c>
      <c r="J61" s="12"/>
      <c r="K61" s="12" t="str">
        <f>CONCATENATE(A61,",",B61,",'",C61,"','",D61,"','",E61,",'",F61,"','",G61,"','",H61,"','",UPPER(I61),"','",UPPER(J61),"','',0,0,'','PROFESOR'")</f>
        <v>2060,'LICENCIATURA','martin.quintero','QLM0846','TOMAR DEL SND','QUINTERO LOPEZ MARTIN DE JESUS','PROFESORES','','MASCULINO','','',0,0,'','PROFESOR'</v>
      </c>
      <c r="L61" s="12" t="str">
        <f t="shared" si="0"/>
        <v>INSERT INTO participantes (id,nivel,correo,matricula,clave,nombre,carrera,grado,sexo,situacion,evaluados,num_evaluados,total_evaluaciones,ultimo_acceso,nivel_acceso) VALUES (2060,'LICENCIATURA','martin.quintero','QLM0846','TOMAR DEL SND','QUINTERO LOPEZ MARTIN DE JESUS','PROFESORES','','MASCULINO','','',0,0,'','PROFESOR');</v>
      </c>
    </row>
    <row r="62" spans="1:12" ht="101.5" x14ac:dyDescent="0.35">
      <c r="A62" s="12">
        <v>2061</v>
      </c>
      <c r="B62" s="12" t="s">
        <v>1187</v>
      </c>
      <c r="C62" s="12" t="s">
        <v>927</v>
      </c>
      <c r="D62" s="12" t="s">
        <v>1256</v>
      </c>
      <c r="E62" s="14" t="s">
        <v>1188</v>
      </c>
      <c r="F62" s="12" t="s">
        <v>616</v>
      </c>
      <c r="G62" s="13" t="s">
        <v>1189</v>
      </c>
      <c r="H62" s="12"/>
      <c r="I62" s="12" t="s">
        <v>721</v>
      </c>
      <c r="J62" s="12"/>
      <c r="K62" s="12" t="str">
        <f>CONCATENATE(A62,",",B62,",'",C62,"','",D62,"','",E62,",'",F62,"','",G62,"','",H62,"','",UPPER(I62),"','",UPPER(J62),"','',0,0,'','PROFESOR'")</f>
        <v>2061,'LICENCIATURA','giselle.andrade','AHG0679','TOMAR DEL SND','ANDRADE HERNANDEZ GISELLE','PROFESORES','','FEMENINO','','',0,0,'','PROFESOR'</v>
      </c>
      <c r="L62" s="12" t="str">
        <f t="shared" si="0"/>
        <v>INSERT INTO participantes (id,nivel,correo,matricula,clave,nombre,carrera,grado,sexo,situacion,evaluados,num_evaluados,total_evaluaciones,ultimo_acceso,nivel_acceso) VALUES (2061,'LICENCIATURA','giselle.andrade','AHG0679','TOMAR DEL SND','ANDRADE HERNANDEZ GISELLE','PROFESORES','','FEMENINO','','',0,0,'','PROFESOR');</v>
      </c>
    </row>
    <row r="63" spans="1:12" ht="116" x14ac:dyDescent="0.35">
      <c r="A63" s="12">
        <v>2062</v>
      </c>
      <c r="B63" s="12" t="s">
        <v>1187</v>
      </c>
      <c r="C63" s="12" t="s">
        <v>929</v>
      </c>
      <c r="D63" s="12" t="s">
        <v>1257</v>
      </c>
      <c r="E63" s="14" t="s">
        <v>1188</v>
      </c>
      <c r="F63" s="12" t="s">
        <v>596</v>
      </c>
      <c r="G63" s="13" t="s">
        <v>1189</v>
      </c>
      <c r="H63" s="12"/>
      <c r="I63" s="12" t="s">
        <v>722</v>
      </c>
      <c r="J63" s="12"/>
      <c r="K63" s="12" t="str">
        <f>CONCATENATE(A63,",",B63,",'",C63,"','",D63,"','",E63,",'",F63,"','",G63,"','",H63,"','",UPPER(I63),"','",UPPER(J63),"','',0,0,'','PROFESOR'")</f>
        <v>2062,'LICENCIATURA','edgardo.chavarria','CRE2018','TOMAR DEL SND','CHAVARRIA RODRIGUEZ EDGARDO','PROFESORES','','MASCULINO','','',0,0,'','PROFESOR'</v>
      </c>
      <c r="L63" s="12" t="str">
        <f t="shared" si="0"/>
        <v>INSERT INTO participantes (id,nivel,correo,matricula,clave,nombre,carrera,grado,sexo,situacion,evaluados,num_evaluados,total_evaluaciones,ultimo_acceso,nivel_acceso) VALUES (2062,'LICENCIATURA','edgardo.chavarria','CRE2018','TOMAR DEL SND','CHAVARRIA RODRIGUEZ EDGARDO','PROFESORES','','MASCULINO','','',0,0,'','PROFESOR');</v>
      </c>
    </row>
    <row r="64" spans="1:12" ht="101.5" x14ac:dyDescent="0.35">
      <c r="A64" s="12">
        <v>2063</v>
      </c>
      <c r="B64" s="12" t="s">
        <v>1187</v>
      </c>
      <c r="C64" s="12" t="s">
        <v>935</v>
      </c>
      <c r="D64" s="12" t="s">
        <v>1260</v>
      </c>
      <c r="E64" s="14" t="s">
        <v>1188</v>
      </c>
      <c r="F64" s="12" t="s">
        <v>565</v>
      </c>
      <c r="G64" s="13" t="s">
        <v>1189</v>
      </c>
      <c r="H64" s="12"/>
      <c r="I64" s="12" t="s">
        <v>721</v>
      </c>
      <c r="J64" s="12"/>
      <c r="K64" s="12" t="str">
        <f>CONCATENATE(A64,",",B64,",'",C64,"','",D64,"','",E64,",'",F64,"','",G64,"','",H64,"','",UPPER(I64),"','",UPPER(J64),"','',0,0,'','PROFESOR'")</f>
        <v>2063,'LICENCIATURA','ana.nunez','NVA1745','TOMAR DEL SND','NUÑEZ VELAZQUEZ ANA MARIA ','PROFESORES','','FEMENINO','','',0,0,'','PROFESOR'</v>
      </c>
      <c r="L64" s="12" t="str">
        <f t="shared" si="0"/>
        <v>INSERT INTO participantes (id,nivel,correo,matricula,clave,nombre,carrera,grado,sexo,situacion,evaluados,num_evaluados,total_evaluaciones,ultimo_acceso,nivel_acceso) VALUES (2063,'LICENCIATURA','ana.nunez','NVA1745','TOMAR DEL SND','NUÑEZ VELAZQUEZ ANA MARIA ','PROFESORES','','FEMENINO','','',0,0,'','PROFESOR');</v>
      </c>
    </row>
    <row r="65" spans="1:12" ht="116" x14ac:dyDescent="0.35">
      <c r="A65" s="12">
        <v>2064</v>
      </c>
      <c r="B65" s="12" t="s">
        <v>1187</v>
      </c>
      <c r="C65" s="12" t="s">
        <v>931</v>
      </c>
      <c r="D65" s="12" t="s">
        <v>1258</v>
      </c>
      <c r="E65" s="14" t="s">
        <v>1188</v>
      </c>
      <c r="F65" s="12" t="s">
        <v>570</v>
      </c>
      <c r="G65" s="13" t="s">
        <v>1189</v>
      </c>
      <c r="H65" s="12"/>
      <c r="I65" s="12" t="s">
        <v>721</v>
      </c>
      <c r="J65" s="12"/>
      <c r="K65" s="12" t="str">
        <f>CONCATENATE(A65,",",B65,",'",C65,"','",D65,"','",E65,",'",F65,"','",G65,"','",H65,"','",UPPER(I65),"','",UPPER(J65),"','',0,0,'','PROFESOR'")</f>
        <v>2064,'LICENCIATURA','bertha.ferrer','FLB0895','TOMAR DEL SND','FERRER LOPEZ BERTHA LUCRECIA','PROFESORES','','FEMENINO','','',0,0,'','PROFESOR'</v>
      </c>
      <c r="L65" s="12" t="str">
        <f t="shared" si="0"/>
        <v>INSERT INTO participantes (id,nivel,correo,matricula,clave,nombre,carrera,grado,sexo,situacion,evaluados,num_evaluados,total_evaluaciones,ultimo_acceso,nivel_acceso) VALUES (2064,'LICENCIATURA','bertha.ferrer','FLB0895','TOMAR DEL SND','FERRER LOPEZ BERTHA LUCRECIA','PROFESORES','','FEMENINO','','',0,0,'','PROFESOR');</v>
      </c>
    </row>
    <row r="66" spans="1:12" ht="116" x14ac:dyDescent="0.35">
      <c r="A66" s="12">
        <v>2065</v>
      </c>
      <c r="B66" s="12" t="s">
        <v>1187</v>
      </c>
      <c r="C66" s="12" t="s">
        <v>933</v>
      </c>
      <c r="D66" s="12" t="s">
        <v>1259</v>
      </c>
      <c r="E66" s="14" t="s">
        <v>1188</v>
      </c>
      <c r="F66" s="12" t="s">
        <v>717</v>
      </c>
      <c r="G66" s="13" t="s">
        <v>1189</v>
      </c>
      <c r="H66" s="12"/>
      <c r="I66" s="12" t="s">
        <v>722</v>
      </c>
      <c r="J66" s="12"/>
      <c r="K66" s="12" t="str">
        <f>CONCATENATE(A66,",",B66,",'",C66,"','",D66,"','",E66,",'",F66,"','",G66,"','",H66,"','",UPPER(I66),"','",UPPER(J66),"','',0,0,'','PROFESOR'")</f>
        <v>2065,'LICENCIATURA','victor.medel','MJV1996','TOMAR DEL SND','MEDEL JUAREZ VICTOR MANUEL','PROFESORES','','MASCULINO','','',0,0,'','PROFESOR'</v>
      </c>
      <c r="L66" s="12" t="str">
        <f t="shared" si="0"/>
        <v>INSERT INTO participantes (id,nivel,correo,matricula,clave,nombre,carrera,grado,sexo,situacion,evaluados,num_evaluados,total_evaluaciones,ultimo_acceso,nivel_acceso) VALUES (2065,'LICENCIATURA','victor.medel','MJV1996','TOMAR DEL SND','MEDEL JUAREZ VICTOR MANUEL','PROFESORES','','MASCULINO','','',0,0,'','PROFESOR');</v>
      </c>
    </row>
    <row r="67" spans="1:12" ht="116" x14ac:dyDescent="0.35">
      <c r="A67" s="12">
        <v>2066</v>
      </c>
      <c r="B67" s="12" t="s">
        <v>1187</v>
      </c>
      <c r="C67" s="12" t="s">
        <v>940</v>
      </c>
      <c r="D67" s="12" t="s">
        <v>1262</v>
      </c>
      <c r="E67" s="14" t="s">
        <v>1188</v>
      </c>
      <c r="F67" s="12" t="s">
        <v>602</v>
      </c>
      <c r="G67" s="13" t="s">
        <v>1189</v>
      </c>
      <c r="H67" s="12"/>
      <c r="I67" s="12" t="s">
        <v>722</v>
      </c>
      <c r="J67" s="12"/>
      <c r="K67" s="12" t="str">
        <f>CONCATENATE(A67,",",B67,",'",C67,"','",D67,"','",E67,",'",F67,"','",G67,"','",H67,"','",UPPER(I67),"','",UPPER(J67),"','',0,0,'','PROFESOR'")</f>
        <v>2066,'LICENCIATURA','enrique.jimenez','JAE1729','TOMAR DEL SND','JIMENEZ ANDALON ENRIQUE','PROFESORES','','MASCULINO','','',0,0,'','PROFESOR'</v>
      </c>
      <c r="L67" s="12" t="str">
        <f t="shared" ref="L67:L130" si="1">CONCATENATE($K$1,K67,");")</f>
        <v>INSERT INTO participantes (id,nivel,correo,matricula,clave,nombre,carrera,grado,sexo,situacion,evaluados,num_evaluados,total_evaluaciones,ultimo_acceso,nivel_acceso) VALUES (2066,'LICENCIATURA','enrique.jimenez','JAE1729','TOMAR DEL SND','JIMENEZ ANDALON ENRIQUE','PROFESORES','','MASCULINO','','',0,0,'','PROFESOR');</v>
      </c>
    </row>
    <row r="68" spans="1:12" ht="101.5" x14ac:dyDescent="0.35">
      <c r="A68" s="12">
        <v>2067</v>
      </c>
      <c r="B68" s="12" t="s">
        <v>1187</v>
      </c>
      <c r="C68" s="12" t="s">
        <v>944</v>
      </c>
      <c r="D68" s="12" t="s">
        <v>1264</v>
      </c>
      <c r="E68" s="14" t="s">
        <v>1188</v>
      </c>
      <c r="F68" s="12" t="s">
        <v>653</v>
      </c>
      <c r="G68" s="13" t="s">
        <v>1189</v>
      </c>
      <c r="H68" s="12"/>
      <c r="I68" s="12" t="s">
        <v>722</v>
      </c>
      <c r="J68" s="12"/>
      <c r="K68" s="12" t="str">
        <f>CONCATENATE(A68,",",B68,",'",C68,"','",D68,"','",E68,",'",F68,"','",G68,"','",H68,"','",UPPER(I68),"','",UPPER(J68),"','',0,0,'','PROFESOR'")</f>
        <v>2067,'LICENCIATURA','juan.rodriguezc','RCJ1881','TOMAR DEL SND','RODRIGUEZ CABRERA JUAN JOSE','PROFESORES','','MASCULINO','','',0,0,'','PROFESOR'</v>
      </c>
      <c r="L68" s="12" t="str">
        <f t="shared" si="1"/>
        <v>INSERT INTO participantes (id,nivel,correo,matricula,clave,nombre,carrera,grado,sexo,situacion,evaluados,num_evaluados,total_evaluaciones,ultimo_acceso,nivel_acceso) VALUES (2067,'LICENCIATURA','juan.rodriguezc','RCJ1881','TOMAR DEL SND','RODRIGUEZ CABRERA JUAN JOSE','PROFESORES','','MASCULINO','','',0,0,'','PROFESOR');</v>
      </c>
    </row>
    <row r="69" spans="1:12" ht="116" x14ac:dyDescent="0.35">
      <c r="A69" s="12">
        <v>2068</v>
      </c>
      <c r="B69" s="12" t="s">
        <v>1187</v>
      </c>
      <c r="C69" s="12" t="s">
        <v>952</v>
      </c>
      <c r="D69" s="12"/>
      <c r="E69" s="14" t="s">
        <v>1188</v>
      </c>
      <c r="F69" s="12" t="s">
        <v>951</v>
      </c>
      <c r="G69" s="13" t="s">
        <v>1189</v>
      </c>
      <c r="H69" s="12"/>
      <c r="I69" s="12" t="s">
        <v>722</v>
      </c>
      <c r="J69" s="12"/>
      <c r="K69" s="12" t="str">
        <f>CONCATENATE(A69,",",B69,",'",C69,"','",D69,"','",E69,",'",F69,"','",G69,"','",H69,"','",UPPER(I69),"','",UPPER(J69),"','',0,0,'','PROFESOR'")</f>
        <v>2068,'LICENCIATURA','jorge.vargas','','TOMAR DEL SND','VARGAS CARMONA JORGE ALBERTO','PROFESORES','','MASCULINO','','',0,0,'','PROFESOR'</v>
      </c>
      <c r="L69" s="12" t="str">
        <f t="shared" si="1"/>
        <v>INSERT INTO participantes (id,nivel,correo,matricula,clave,nombre,carrera,grado,sexo,situacion,evaluados,num_evaluados,total_evaluaciones,ultimo_acceso,nivel_acceso) VALUES (2068,'LICENCIATURA','jorge.vargas','','TOMAR DEL SND','VARGAS CARMONA JORGE ALBERTO','PROFESORES','','MASCULINO','','',0,0,'','PROFESOR');</v>
      </c>
    </row>
    <row r="70" spans="1:12" ht="116" x14ac:dyDescent="0.35">
      <c r="A70" s="12">
        <v>2069</v>
      </c>
      <c r="B70" s="12" t="s">
        <v>1187</v>
      </c>
      <c r="C70" s="12" t="s">
        <v>946</v>
      </c>
      <c r="D70" s="12" t="s">
        <v>1265</v>
      </c>
      <c r="E70" s="14" t="s">
        <v>1188</v>
      </c>
      <c r="F70" s="12" t="s">
        <v>608</v>
      </c>
      <c r="G70" s="13" t="s">
        <v>1189</v>
      </c>
      <c r="H70" s="12"/>
      <c r="I70" s="12" t="s">
        <v>722</v>
      </c>
      <c r="J70" s="12"/>
      <c r="K70" s="12" t="str">
        <f>CONCATENATE(A70,",",B70,",'",C70,"','",D70,"','",E70,",'",F70,"','",G70,"','",H70,"','",UPPER(I70),"','",UPPER(J70),"','',0,0,'','PROFESOR'")</f>
        <v>2069,'LICENCIATURA','fernando.sanchez','SLF1932','TOMAR DEL SND','SANCHEZ LOPEZ FERNANDO','PROFESORES','','MASCULINO','','',0,0,'','PROFESOR'</v>
      </c>
      <c r="L70" s="12" t="str">
        <f t="shared" si="1"/>
        <v>INSERT INTO participantes (id,nivel,correo,matricula,clave,nombre,carrera,grado,sexo,situacion,evaluados,num_evaluados,total_evaluaciones,ultimo_acceso,nivel_acceso) VALUES (2069,'LICENCIATURA','fernando.sanchez','SLF1932','TOMAR DEL SND','SANCHEZ LOPEZ FERNANDO','PROFESORES','','MASCULINO','','',0,0,'','PROFESOR');</v>
      </c>
    </row>
    <row r="71" spans="1:12" ht="116" x14ac:dyDescent="0.35">
      <c r="A71" s="12">
        <v>2070</v>
      </c>
      <c r="B71" s="12" t="s">
        <v>1187</v>
      </c>
      <c r="C71" s="12" t="s">
        <v>948</v>
      </c>
      <c r="D71" s="12" t="s">
        <v>1266</v>
      </c>
      <c r="E71" s="14" t="s">
        <v>1188</v>
      </c>
      <c r="F71" s="12" t="s">
        <v>597</v>
      </c>
      <c r="G71" s="13" t="s">
        <v>1189</v>
      </c>
      <c r="H71" s="12"/>
      <c r="I71" s="12" t="s">
        <v>722</v>
      </c>
      <c r="J71" s="12"/>
      <c r="K71" s="12" t="str">
        <f>CONCATENATE(A71,",",B71,",'",C71,"','",D71,"','",E71,",'",F71,"','",G71,"','",H71,"','",UPPER(I71),"','",UPPER(J71),"','',0,0,'','PROFESOR'")</f>
        <v>2070,'LICENCIATURA','eduardo.sanchez','SOE1855','TOMAR DEL SND','SANCHEZ OCAMPO EDUARDO FRANCISCO','PROFESORES','','MASCULINO','','',0,0,'','PROFESOR'</v>
      </c>
      <c r="L71" s="12" t="str">
        <f t="shared" si="1"/>
        <v>INSERT INTO participantes (id,nivel,correo,matricula,clave,nombre,carrera,grado,sexo,situacion,evaluados,num_evaluados,total_evaluaciones,ultimo_acceso,nivel_acceso) VALUES (2070,'LICENCIATURA','eduardo.sanchez','SOE1855','TOMAR DEL SND','SANCHEZ OCAMPO EDUARDO FRANCISCO','PROFESORES','','MASCULINO','','',0,0,'','PROFESOR');</v>
      </c>
    </row>
    <row r="72" spans="1:12" ht="116" x14ac:dyDescent="0.35">
      <c r="A72" s="12">
        <v>2071</v>
      </c>
      <c r="B72" s="12" t="s">
        <v>1187</v>
      </c>
      <c r="C72" s="12" t="s">
        <v>936</v>
      </c>
      <c r="D72" s="12" t="s">
        <v>1261</v>
      </c>
      <c r="E72" s="14" t="s">
        <v>1188</v>
      </c>
      <c r="F72" s="12" t="s">
        <v>585</v>
      </c>
      <c r="G72" s="13" t="s">
        <v>1189</v>
      </c>
      <c r="H72" s="12"/>
      <c r="I72" s="12" t="s">
        <v>722</v>
      </c>
      <c r="J72" s="12"/>
      <c r="K72" s="12" t="str">
        <f>CONCATENATE(A72,",",B72,",'",C72,"','",D72,"','",E72,",'",F72,"','",G72,"','",H72,"','",UPPER(I72),"','",UPPER(J72),"','',0,0,'','PROFESOR'")</f>
        <v>2071,'LICENCIATURA','daisuke.shindo','SD0167','TOMAR DEL SND','SHINDO  DAISUKE','PROFESORES','','MASCULINO','','',0,0,'','PROFESOR'</v>
      </c>
      <c r="L72" s="12" t="str">
        <f t="shared" si="1"/>
        <v>INSERT INTO participantes (id,nivel,correo,matricula,clave,nombre,carrera,grado,sexo,situacion,evaluados,num_evaluados,total_evaluaciones,ultimo_acceso,nivel_acceso) VALUES (2071,'LICENCIATURA','daisuke.shindo','SD0167','TOMAR DEL SND','SHINDO  DAISUKE','PROFESORES','','MASCULINO','','',0,0,'','PROFESOR');</v>
      </c>
    </row>
    <row r="73" spans="1:12" ht="116" x14ac:dyDescent="0.35">
      <c r="A73" s="12">
        <v>2072</v>
      </c>
      <c r="B73" s="12" t="s">
        <v>1187</v>
      </c>
      <c r="C73" s="12" t="s">
        <v>957</v>
      </c>
      <c r="D73" s="12" t="s">
        <v>1267</v>
      </c>
      <c r="E73" s="14" t="s">
        <v>1188</v>
      </c>
      <c r="F73" s="12" t="s">
        <v>670</v>
      </c>
      <c r="G73" s="13" t="s">
        <v>1189</v>
      </c>
      <c r="H73" s="12"/>
      <c r="I73" s="12" t="s">
        <v>722</v>
      </c>
      <c r="J73" s="12"/>
      <c r="K73" s="12" t="str">
        <f>CONCATENATE(A73,",",B73,",'",C73,"','",D73,"','",E73,",'",F73,"','",G73,"','",H73,"','",UPPER(I73),"','",UPPER(J73),"','',0,0,'','PROFESOR'")</f>
        <v>2072,'LICENCIATURA','marcelino.fuentes','FHM2033','TOMAR DEL SND','FUENTES HERNANDEZ MARCELINO','PROFESORES','','MASCULINO','','',0,0,'','PROFESOR'</v>
      </c>
      <c r="L73" s="12" t="str">
        <f t="shared" si="1"/>
        <v>INSERT INTO participantes (id,nivel,correo,matricula,clave,nombre,carrera,grado,sexo,situacion,evaluados,num_evaluados,total_evaluaciones,ultimo_acceso,nivel_acceso) VALUES (2072,'LICENCIATURA','marcelino.fuentes','FHM2033','TOMAR DEL SND','FUENTES HERNANDEZ MARCELINO','PROFESORES','','MASCULINO','','',0,0,'','PROFESOR');</v>
      </c>
    </row>
    <row r="74" spans="1:12" ht="101.5" x14ac:dyDescent="0.35">
      <c r="A74" s="12">
        <v>2073</v>
      </c>
      <c r="B74" s="12" t="s">
        <v>1187</v>
      </c>
      <c r="C74" s="12" t="s">
        <v>959</v>
      </c>
      <c r="D74" s="12" t="s">
        <v>1268</v>
      </c>
      <c r="E74" s="14" t="s">
        <v>1188</v>
      </c>
      <c r="F74" s="12" t="s">
        <v>692</v>
      </c>
      <c r="G74" s="13" t="s">
        <v>1189</v>
      </c>
      <c r="H74" s="12"/>
      <c r="I74" s="12" t="s">
        <v>721</v>
      </c>
      <c r="J74" s="12"/>
      <c r="K74" s="12" t="str">
        <f>CONCATENATE(A74,",",B74,",'",C74,"','",D74,"','",E74,",'",F74,"','",G74,"','",H74,"','",UPPER(I74),"','",UPPER(J74),"','',0,0,'','PROFESOR'")</f>
        <v>2073,'LICENCIATURA','nancy.medina','MVN1938','TOMAR DEL SND','MEDINA VELAZQUEZ NANCY','PROFESORES','','FEMENINO','','',0,0,'','PROFESOR'</v>
      </c>
      <c r="L74" s="12" t="str">
        <f t="shared" si="1"/>
        <v>INSERT INTO participantes (id,nivel,correo,matricula,clave,nombre,carrera,grado,sexo,situacion,evaluados,num_evaluados,total_evaluaciones,ultimo_acceso,nivel_acceso) VALUES (2073,'LICENCIATURA','nancy.medina','MVN1938','TOMAR DEL SND','MEDINA VELAZQUEZ NANCY','PROFESORES','','FEMENINO','','',0,0,'','PROFESOR');</v>
      </c>
    </row>
    <row r="75" spans="1:12" ht="116" x14ac:dyDescent="0.35">
      <c r="A75" s="12">
        <v>2074</v>
      </c>
      <c r="B75" s="12" t="s">
        <v>1187</v>
      </c>
      <c r="C75" s="12" t="s">
        <v>961</v>
      </c>
      <c r="D75" s="12" t="s">
        <v>1269</v>
      </c>
      <c r="E75" s="14" t="s">
        <v>1188</v>
      </c>
      <c r="F75" s="12" t="s">
        <v>652</v>
      </c>
      <c r="G75" s="13" t="s">
        <v>1189</v>
      </c>
      <c r="H75" s="12"/>
      <c r="I75" s="12" t="s">
        <v>722</v>
      </c>
      <c r="J75" s="12"/>
      <c r="K75" s="12" t="str">
        <f>CONCATENATE(A75,",",B75,",'",C75,"','",D75,"','",E75,",'",F75,"','",G75,"','",H75,"','",UPPER(I75),"','",UPPER(J75),"','',0,0,'','PROFESOR'")</f>
        <v>2074,'LICENCIATURA','juan.montano','MAJ1442','TOMAR DEL SND','MONTAÑO ALVIZO JUAN CARLOS','PROFESORES','','MASCULINO','','',0,0,'','PROFESOR'</v>
      </c>
      <c r="L75" s="12" t="str">
        <f t="shared" si="1"/>
        <v>INSERT INTO participantes (id,nivel,correo,matricula,clave,nombre,carrera,grado,sexo,situacion,evaluados,num_evaluados,total_evaluaciones,ultimo_acceso,nivel_acceso) VALUES (2074,'LICENCIATURA','juan.montano','MAJ1442','TOMAR DEL SND','MONTAÑO ALVIZO JUAN CARLOS','PROFESORES','','MASCULINO','','',0,0,'','PROFESOR');</v>
      </c>
    </row>
    <row r="76" spans="1:12" ht="116" x14ac:dyDescent="0.35">
      <c r="A76" s="12">
        <v>2075</v>
      </c>
      <c r="B76" s="12" t="s">
        <v>1187</v>
      </c>
      <c r="C76" s="12" t="s">
        <v>964</v>
      </c>
      <c r="D76" s="12" t="s">
        <v>1270</v>
      </c>
      <c r="E76" s="14" t="s">
        <v>1188</v>
      </c>
      <c r="F76" s="12" t="s">
        <v>702</v>
      </c>
      <c r="G76" s="13" t="s">
        <v>1189</v>
      </c>
      <c r="H76" s="12"/>
      <c r="I76" s="12" t="s">
        <v>722</v>
      </c>
      <c r="J76" s="12"/>
      <c r="K76" s="12" t="str">
        <f>CONCATENATE(A76,",",B76,",'",C76,"','",D76,"','",E76,",'",F76,"','",G76,"','",H76,"','",UPPER(I76),"','",UPPER(J76),"','',0,0,'','PROFESOR'")</f>
        <v>2075,'LICENCIATURA','rafael.trujillo','TTR1680','TOMAR DEL SND','TRUJILLO TORRES RAFAEL','PROFESORES','','MASCULINO','','',0,0,'','PROFESOR'</v>
      </c>
      <c r="L76" s="12" t="str">
        <f t="shared" si="1"/>
        <v>INSERT INTO participantes (id,nivel,correo,matricula,clave,nombre,carrera,grado,sexo,situacion,evaluados,num_evaluados,total_evaluaciones,ultimo_acceso,nivel_acceso) VALUES (2075,'LICENCIATURA','rafael.trujillo','TTR1680','TOMAR DEL SND','TRUJILLO TORRES RAFAEL','PROFESORES','','MASCULINO','','',0,0,'','PROFESOR');</v>
      </c>
    </row>
    <row r="77" spans="1:12" ht="101.5" x14ac:dyDescent="0.35">
      <c r="A77" s="12">
        <v>2076</v>
      </c>
      <c r="B77" s="12" t="s">
        <v>1187</v>
      </c>
      <c r="C77" s="12" t="s">
        <v>967</v>
      </c>
      <c r="D77" s="12" t="s">
        <v>1271</v>
      </c>
      <c r="E77" s="14" t="s">
        <v>1188</v>
      </c>
      <c r="F77" s="12" t="s">
        <v>648</v>
      </c>
      <c r="G77" s="13" t="s">
        <v>1189</v>
      </c>
      <c r="H77" s="12"/>
      <c r="I77" s="12" t="s">
        <v>722</v>
      </c>
      <c r="J77" s="12"/>
      <c r="K77" s="12" t="str">
        <f>CONCATENATE(A77,",",B77,",'",C77,"','",D77,"','",E77,",'",F77,"','",G77,"','",H77,"','",UPPER(I77),"','",UPPER(J77),"','',0,0,'','PROFESOR'")</f>
        <v>2076,'LICENCIATURA','jose.garcia','GFJ1530','TOMAR DEL SND','GARCIA FLORES JOSE LUIS','PROFESORES','','MASCULINO','','',0,0,'','PROFESOR'</v>
      </c>
      <c r="L77" s="12" t="str">
        <f t="shared" si="1"/>
        <v>INSERT INTO participantes (id,nivel,correo,matricula,clave,nombre,carrera,grado,sexo,situacion,evaluados,num_evaluados,total_evaluaciones,ultimo_acceso,nivel_acceso) VALUES (2076,'LICENCIATURA','jose.garcia','GFJ1530','TOMAR DEL SND','GARCIA FLORES JOSE LUIS','PROFESORES','','MASCULINO','','',0,0,'','PROFESOR');</v>
      </c>
    </row>
    <row r="78" spans="1:12" ht="101.5" x14ac:dyDescent="0.35">
      <c r="A78" s="12">
        <v>2077</v>
      </c>
      <c r="B78" s="12" t="s">
        <v>1187</v>
      </c>
      <c r="C78" s="12" t="s">
        <v>972</v>
      </c>
      <c r="D78" s="12" t="s">
        <v>1273</v>
      </c>
      <c r="E78" s="14" t="s">
        <v>1188</v>
      </c>
      <c r="F78" s="12" t="s">
        <v>578</v>
      </c>
      <c r="G78" s="13" t="s">
        <v>1189</v>
      </c>
      <c r="H78" s="12"/>
      <c r="I78" s="12" t="s">
        <v>722</v>
      </c>
      <c r="J78" s="12"/>
      <c r="K78" s="12" t="str">
        <f>CONCATENATE(A78,",",B78,",'",C78,"','",D78,"','",E78,",'",F78,"','",G78,"','",H78,"','",UPPER(I78),"','",UPPER(J78),"','',0,0,'','PROFESOR'")</f>
        <v>2077,'LICENCIATURA','ciro.zarate','ZTC1408','TOMAR DEL SND','ZARATE  TOMAS CIRO','PROFESORES','','MASCULINO','','',0,0,'','PROFESOR'</v>
      </c>
      <c r="L78" s="12" t="str">
        <f t="shared" si="1"/>
        <v>INSERT INTO participantes (id,nivel,correo,matricula,clave,nombre,carrera,grado,sexo,situacion,evaluados,num_evaluados,total_evaluaciones,ultimo_acceso,nivel_acceso) VALUES (2077,'LICENCIATURA','ciro.zarate','ZTC1408','TOMAR DEL SND','ZARATE  TOMAS CIRO','PROFESORES','','MASCULINO','','',0,0,'','PROFESOR');</v>
      </c>
    </row>
    <row r="79" spans="1:12" ht="116" x14ac:dyDescent="0.35">
      <c r="A79" s="12">
        <v>2078</v>
      </c>
      <c r="B79" s="12" t="s">
        <v>1187</v>
      </c>
      <c r="C79" s="12" t="s">
        <v>976</v>
      </c>
      <c r="D79" s="12" t="s">
        <v>1274</v>
      </c>
      <c r="E79" s="14" t="s">
        <v>1188</v>
      </c>
      <c r="F79" s="12" t="s">
        <v>586</v>
      </c>
      <c r="G79" s="13" t="s">
        <v>1189</v>
      </c>
      <c r="H79" s="12"/>
      <c r="I79" s="12" t="s">
        <v>722</v>
      </c>
      <c r="J79" s="12"/>
      <c r="K79" s="12" t="str">
        <f>CONCATENATE(A79,",",B79,",'",C79,"','",D79,"','",E79,",'",F79,"','",G79,"','",H79,"','",UPPER(I79),"','",UPPER(J79),"','',0,0,'','PROFESOR'")</f>
        <v>2078,'LICENCIATURA','daniel.lara','LFD1482','TOMAR DEL SND','LARA FAVELA DANIEL','PROFESORES','','MASCULINO','','',0,0,'','PROFESOR'</v>
      </c>
      <c r="L79" s="12" t="str">
        <f t="shared" si="1"/>
        <v>INSERT INTO participantes (id,nivel,correo,matricula,clave,nombre,carrera,grado,sexo,situacion,evaluados,num_evaluados,total_evaluaciones,ultimo_acceso,nivel_acceso) VALUES (2078,'LICENCIATURA','daniel.lara','LFD1482','TOMAR DEL SND','LARA FAVELA DANIEL','PROFESORES','','MASCULINO','','',0,0,'','PROFESOR');</v>
      </c>
    </row>
    <row r="80" spans="1:12" ht="116" x14ac:dyDescent="0.35">
      <c r="A80" s="12">
        <v>2079</v>
      </c>
      <c r="B80" s="12" t="s">
        <v>1187</v>
      </c>
      <c r="C80" s="12" t="s">
        <v>978</v>
      </c>
      <c r="D80" s="12" t="s">
        <v>1275</v>
      </c>
      <c r="E80" s="14" t="s">
        <v>1188</v>
      </c>
      <c r="F80" s="12" t="s">
        <v>554</v>
      </c>
      <c r="G80" s="13" t="s">
        <v>1189</v>
      </c>
      <c r="H80" s="12"/>
      <c r="I80" s="12" t="s">
        <v>722</v>
      </c>
      <c r="J80" s="12"/>
      <c r="K80" s="12" t="str">
        <f>CONCATENATE(A80,",",B80,",'",C80,"','",D80,"','",E80,",'",F80,"','",G80,"','",H80,"','",UPPER(I80),"','",UPPER(J80),"','',0,0,'','PROFESOR'")</f>
        <v>2079,'LICENCIATURA','alberto.mendez','MJA1950','TOMAR DEL SND','MENDEZ JIMENEZ ALBERTO','PROFESORES','','MASCULINO','','',0,0,'','PROFESOR'</v>
      </c>
      <c r="L80" s="12" t="str">
        <f t="shared" si="1"/>
        <v>INSERT INTO participantes (id,nivel,correo,matricula,clave,nombre,carrera,grado,sexo,situacion,evaluados,num_evaluados,total_evaluaciones,ultimo_acceso,nivel_acceso) VALUES (2079,'LICENCIATURA','alberto.mendez','MJA1950','TOMAR DEL SND','MENDEZ JIMENEZ ALBERTO','PROFESORES','','MASCULINO','','',0,0,'','PROFESOR');</v>
      </c>
    </row>
    <row r="81" spans="1:12" ht="116" x14ac:dyDescent="0.35">
      <c r="A81" s="12">
        <v>2080</v>
      </c>
      <c r="B81" s="12" t="s">
        <v>1187</v>
      </c>
      <c r="C81" s="12" t="s">
        <v>969</v>
      </c>
      <c r="D81" s="12" t="s">
        <v>1272</v>
      </c>
      <c r="E81" s="14" t="s">
        <v>1188</v>
      </c>
      <c r="F81" s="12" t="s">
        <v>640</v>
      </c>
      <c r="G81" s="13" t="s">
        <v>1189</v>
      </c>
      <c r="H81" s="12"/>
      <c r="I81" s="12" t="s">
        <v>722</v>
      </c>
      <c r="J81" s="12"/>
      <c r="K81" s="12" t="str">
        <f>CONCATENATE(A81,",",B81,",'",C81,"','",D81,"','",E81,",'",F81,"','",G81,"','",H81,"','",UPPER(I81),"','",UPPER(J81),"','',0,0,'','PROFESOR'")</f>
        <v>2080,'LICENCIATURA','jose.rodriguez','RMJ1853','TOMAR DEL SND','RODRIGUEZ MIRANDA JOSE BENJAMIN','PROFESORES','','MASCULINO','','',0,0,'','PROFESOR'</v>
      </c>
      <c r="L81" s="12" t="str">
        <f t="shared" si="1"/>
        <v>INSERT INTO participantes (id,nivel,correo,matricula,clave,nombre,carrera,grado,sexo,situacion,evaluados,num_evaluados,total_evaluaciones,ultimo_acceso,nivel_acceso) VALUES (2080,'LICENCIATURA','jose.rodriguez','RMJ1853','TOMAR DEL SND','RODRIGUEZ MIRANDA JOSE BENJAMIN','PROFESORES','','MASCULINO','','',0,0,'','PROFESOR');</v>
      </c>
    </row>
    <row r="82" spans="1:12" ht="116" x14ac:dyDescent="0.35">
      <c r="A82" s="12">
        <v>2081</v>
      </c>
      <c r="B82" s="12" t="s">
        <v>1187</v>
      </c>
      <c r="C82" s="12" t="s">
        <v>984</v>
      </c>
      <c r="D82" s="12" t="s">
        <v>1276</v>
      </c>
      <c r="E82" s="14" t="s">
        <v>1188</v>
      </c>
      <c r="F82" s="12" t="s">
        <v>712</v>
      </c>
      <c r="G82" s="13" t="s">
        <v>1189</v>
      </c>
      <c r="H82" s="12"/>
      <c r="I82" s="12" t="s">
        <v>722</v>
      </c>
      <c r="J82" s="12"/>
      <c r="K82" s="12" t="str">
        <f>CONCATENATE(A82,",",B82,",'",C82,"','",D82,"','",E82,",'",F82,"','",G82,"','",H82,"','",UPPER(I82),"','",UPPER(J82),"','',0,0,'','PROFESOR'")</f>
        <v>2081,'LICENCIATURA','santiago.cardenas','CCS0709','TOMAR DEL SND','CARDENAS CASTILLO SANTIAGO','PROFESORES','','MASCULINO','','',0,0,'','PROFESOR'</v>
      </c>
      <c r="L82" s="12" t="str">
        <f t="shared" si="1"/>
        <v>INSERT INTO participantes (id,nivel,correo,matricula,clave,nombre,carrera,grado,sexo,situacion,evaluados,num_evaluados,total_evaluaciones,ultimo_acceso,nivel_acceso) VALUES (2081,'LICENCIATURA','santiago.cardenas','CCS0709','TOMAR DEL SND','CARDENAS CASTILLO SANTIAGO','PROFESORES','','MASCULINO','','',0,0,'','PROFESOR');</v>
      </c>
    </row>
    <row r="83" spans="1:12" ht="116" x14ac:dyDescent="0.35">
      <c r="A83" s="12">
        <v>2082</v>
      </c>
      <c r="B83" s="12" t="s">
        <v>1187</v>
      </c>
      <c r="C83" s="12" t="s">
        <v>988</v>
      </c>
      <c r="D83" s="12" t="s">
        <v>1278</v>
      </c>
      <c r="E83" s="14" t="s">
        <v>1188</v>
      </c>
      <c r="F83" s="12" t="s">
        <v>636</v>
      </c>
      <c r="G83" s="13" t="s">
        <v>1189</v>
      </c>
      <c r="H83" s="12"/>
      <c r="I83" s="12" t="s">
        <v>722</v>
      </c>
      <c r="J83" s="12"/>
      <c r="K83" s="12" t="str">
        <f>CONCATENATE(A83,",",B83,",'",C83,"','",D83,"','",E83,",'",F83,"','",G83,"','",H83,"','",UPPER(I83),"','",UPPER(J83),"','',0,0,'','PROFESOR'")</f>
        <v>2082,'LICENCIATURA','jorge.macias','MGJ1410','TOMAR DEL SND','MACIAS GARZA JORGE ENRIQUE','PROFESORES','','MASCULINO','','',0,0,'','PROFESOR'</v>
      </c>
      <c r="L83" s="12" t="str">
        <f t="shared" si="1"/>
        <v>INSERT INTO participantes (id,nivel,correo,matricula,clave,nombre,carrera,grado,sexo,situacion,evaluados,num_evaluados,total_evaluaciones,ultimo_acceso,nivel_acceso) VALUES (2082,'LICENCIATURA','jorge.macias','MGJ1410','TOMAR DEL SND','MACIAS GARZA JORGE ENRIQUE','PROFESORES','','MASCULINO','','',0,0,'','PROFESOR');</v>
      </c>
    </row>
    <row r="84" spans="1:12" ht="116" x14ac:dyDescent="0.35">
      <c r="A84" s="12">
        <v>2083</v>
      </c>
      <c r="B84" s="12" t="s">
        <v>1187</v>
      </c>
      <c r="C84" s="12" t="s">
        <v>992</v>
      </c>
      <c r="D84" s="12" t="s">
        <v>1280</v>
      </c>
      <c r="E84" s="14" t="s">
        <v>1188</v>
      </c>
      <c r="F84" s="12" t="s">
        <v>600</v>
      </c>
      <c r="G84" s="13" t="s">
        <v>1189</v>
      </c>
      <c r="H84" s="12"/>
      <c r="I84" s="12" t="s">
        <v>722</v>
      </c>
      <c r="J84" s="12"/>
      <c r="K84" s="12" t="str">
        <f>CONCATENATE(A84,",",B84,",'",C84,"','",D84,"','",E84,",'",F84,"','",G84,"','",H84,"','",UPPER(I84),"','",UPPER(J84),"','',0,0,'','PROFESOR'")</f>
        <v>2083,'LICENCIATURA','emmanuel.saldivar','SE0523','TOMAR DEL SND','SALDIVAR OROZCO EMMANUEL','PROFESORES','','MASCULINO','','',0,0,'','PROFESOR'</v>
      </c>
      <c r="L84" s="12" t="str">
        <f t="shared" si="1"/>
        <v>INSERT INTO participantes (id,nivel,correo,matricula,clave,nombre,carrera,grado,sexo,situacion,evaluados,num_evaluados,total_evaluaciones,ultimo_acceso,nivel_acceso) VALUES (2083,'LICENCIATURA','emmanuel.saldivar','SE0523','TOMAR DEL SND','SALDIVAR OROZCO EMMANUEL','PROFESORES','','MASCULINO','','',0,0,'','PROFESOR');</v>
      </c>
    </row>
    <row r="85" spans="1:12" ht="116" x14ac:dyDescent="0.35">
      <c r="A85" s="12">
        <v>2084</v>
      </c>
      <c r="B85" s="12" t="s">
        <v>1187</v>
      </c>
      <c r="C85" s="12" t="s">
        <v>994</v>
      </c>
      <c r="D85" s="12" t="s">
        <v>1281</v>
      </c>
      <c r="E85" s="14" t="s">
        <v>1188</v>
      </c>
      <c r="F85" s="12" t="s">
        <v>607</v>
      </c>
      <c r="G85" s="13" t="s">
        <v>1189</v>
      </c>
      <c r="H85" s="12"/>
      <c r="I85" s="12" t="s">
        <v>721</v>
      </c>
      <c r="J85" s="12"/>
      <c r="K85" s="12" t="str">
        <f>CONCATENATE(A85,",",B85,",'",C85,"','",D85,"','",E85,",'",F85,"','",G85,"','",H85,"','",UPPER(I85),"','",UPPER(J85),"','',0,0,'','PROFESOR'")</f>
        <v>2084,'LICENCIATURA','fatima.vela','VTF1860','TOMAR DEL SND','VELA TORRES FATIMA ALEJANDRA','PROFESORES','','FEMENINO','','',0,0,'','PROFESOR'</v>
      </c>
      <c r="L85" s="12" t="str">
        <f t="shared" si="1"/>
        <v>INSERT INTO participantes (id,nivel,correo,matricula,clave,nombre,carrera,grado,sexo,situacion,evaluados,num_evaluados,total_evaluaciones,ultimo_acceso,nivel_acceso) VALUES (2084,'LICENCIATURA','fatima.vela','VTF1860','TOMAR DEL SND','VELA TORRES FATIMA ALEJANDRA','PROFESORES','','FEMENINO','','',0,0,'','PROFESOR');</v>
      </c>
    </row>
    <row r="86" spans="1:12" ht="116" x14ac:dyDescent="0.35">
      <c r="A86" s="12">
        <v>2085</v>
      </c>
      <c r="B86" s="12" t="s">
        <v>1187</v>
      </c>
      <c r="C86" s="12" t="s">
        <v>990</v>
      </c>
      <c r="D86" s="12" t="s">
        <v>1279</v>
      </c>
      <c r="E86" s="14" t="s">
        <v>1188</v>
      </c>
      <c r="F86" s="12" t="s">
        <v>708</v>
      </c>
      <c r="G86" s="13" t="s">
        <v>1189</v>
      </c>
      <c r="H86" s="12"/>
      <c r="I86" s="12" t="s">
        <v>722</v>
      </c>
      <c r="J86" s="12"/>
      <c r="K86" s="12" t="str">
        <f>CONCATENATE(A86,",",B86,",'",C86,"','",D86,"','",E86,",'",F86,"','",G86,"','",H86,"','",UPPER(I86),"','",UPPER(J86),"','',0,0,'','PROFESOR'")</f>
        <v>2085,'LICENCIATURA','rodolfo.salazar','SPR1937','TOMAR DEL SND','SALAZAR PEÑA RODOLFO','PROFESORES','','MASCULINO','','',0,0,'','PROFESOR'</v>
      </c>
      <c r="L86" s="12" t="str">
        <f t="shared" si="1"/>
        <v>INSERT INTO participantes (id,nivel,correo,matricula,clave,nombre,carrera,grado,sexo,situacion,evaluados,num_evaluados,total_evaluaciones,ultimo_acceso,nivel_acceso) VALUES (2085,'LICENCIATURA','rodolfo.salazar','SPR1937','TOMAR DEL SND','SALAZAR PEÑA RODOLFO','PROFESORES','','MASCULINO','','',0,0,'','PROFESOR');</v>
      </c>
    </row>
    <row r="87" spans="1:12" ht="116" x14ac:dyDescent="0.35">
      <c r="A87" s="12">
        <v>2086</v>
      </c>
      <c r="B87" s="12" t="s">
        <v>1187</v>
      </c>
      <c r="C87" s="12" t="s">
        <v>986</v>
      </c>
      <c r="D87" s="12" t="s">
        <v>1277</v>
      </c>
      <c r="E87" s="14" t="s">
        <v>1188</v>
      </c>
      <c r="F87" s="12" t="s">
        <v>698</v>
      </c>
      <c r="G87" s="13" t="s">
        <v>1189</v>
      </c>
      <c r="H87" s="12"/>
      <c r="I87" s="12" t="s">
        <v>722</v>
      </c>
      <c r="J87" s="12"/>
      <c r="K87" s="12" t="str">
        <f>CONCATENATE(A87,",",B87,",'",C87,"','",D87,"','",E87,",'",F87,"','",G87,"','",H87,"','",UPPER(I87),"','",UPPER(J87),"','',0,0,'','PROFESOR'")</f>
        <v>2086,'LICENCIATURA','osvaldo.ireta','IVO1989','TOMAR DEL SND','IRETA VELAZQUEZ OSVALDO','PROFESORES','','MASCULINO','','',0,0,'','PROFESOR'</v>
      </c>
      <c r="L87" s="12" t="str">
        <f t="shared" si="1"/>
        <v>INSERT INTO participantes (id,nivel,correo,matricula,clave,nombre,carrera,grado,sexo,situacion,evaluados,num_evaluados,total_evaluaciones,ultimo_acceso,nivel_acceso) VALUES (2086,'LICENCIATURA','osvaldo.ireta','IVO1989','TOMAR DEL SND','IRETA VELAZQUEZ OSVALDO','PROFESORES','','MASCULINO','','',0,0,'','PROFESOR');</v>
      </c>
    </row>
    <row r="88" spans="1:12" ht="116" x14ac:dyDescent="0.35">
      <c r="A88" s="12">
        <v>2087</v>
      </c>
      <c r="B88" s="12" t="s">
        <v>1187</v>
      </c>
      <c r="C88" s="12" t="s">
        <v>996</v>
      </c>
      <c r="D88" s="12" t="s">
        <v>1282</v>
      </c>
      <c r="E88" s="14" t="s">
        <v>1188</v>
      </c>
      <c r="F88" s="12" t="s">
        <v>651</v>
      </c>
      <c r="G88" s="13" t="s">
        <v>1189</v>
      </c>
      <c r="H88" s="12"/>
      <c r="I88" s="12" t="s">
        <v>722</v>
      </c>
      <c r="J88" s="12"/>
      <c r="K88" s="12" t="str">
        <f>CONCATENATE(A88,",",B88,",'",C88,"','",D88,"','",E88,",'",F88,"','",G88,"','",H88,"','",UPPER(I88),"','",UPPER(J88),"','',0,0,'','PROFESOR'")</f>
        <v>2087,'LICENCIATURA','juan.martinez','MJ0221','TOMAR DEL SND','MARTINEZ  ALVARADO JUAN CARLOS','PROFESORES','','MASCULINO','','',0,0,'','PROFESOR'</v>
      </c>
      <c r="L88" s="12" t="str">
        <f t="shared" si="1"/>
        <v>INSERT INTO participantes (id,nivel,correo,matricula,clave,nombre,carrera,grado,sexo,situacion,evaluados,num_evaluados,total_evaluaciones,ultimo_acceso,nivel_acceso) VALUES (2087,'LICENCIATURA','juan.martinez','MJ0221','TOMAR DEL SND','MARTINEZ  ALVARADO JUAN CARLOS','PROFESORES','','MASCULINO','','',0,0,'','PROFESOR');</v>
      </c>
    </row>
    <row r="89" spans="1:12" ht="116" x14ac:dyDescent="0.35">
      <c r="A89" s="12">
        <v>2088</v>
      </c>
      <c r="B89" s="12" t="s">
        <v>1187</v>
      </c>
      <c r="C89" s="12" t="s">
        <v>1007</v>
      </c>
      <c r="D89" s="12" t="s">
        <v>1286</v>
      </c>
      <c r="E89" s="14" t="s">
        <v>1188</v>
      </c>
      <c r="F89" s="12" t="s">
        <v>576</v>
      </c>
      <c r="G89" s="13" t="s">
        <v>1189</v>
      </c>
      <c r="H89" s="12"/>
      <c r="I89" s="12" t="s">
        <v>722</v>
      </c>
      <c r="J89" s="12"/>
      <c r="K89" s="12" t="str">
        <f>CONCATENATE(A89,",",B89,",'",C89,"','",D89,"','",E89,",'",F89,"','",G89,"','",H89,"','",UPPER(I89),"','",UPPER(J89),"','',0,0,'','PROFESOR'")</f>
        <v>2088,'LICENCIATURA','cesar.zapari','ZRC1887','TOMAR DEL SND','ZAPARI ROMERO CESAR FERNANDO','PROFESORES','','MASCULINO','','',0,0,'','PROFESOR'</v>
      </c>
      <c r="L89" s="12" t="str">
        <f t="shared" si="1"/>
        <v>INSERT INTO participantes (id,nivel,correo,matricula,clave,nombre,carrera,grado,sexo,situacion,evaluados,num_evaluados,total_evaluaciones,ultimo_acceso,nivel_acceso) VALUES (2088,'LICENCIATURA','cesar.zapari','ZRC1887','TOMAR DEL SND','ZAPARI ROMERO CESAR FERNANDO','PROFESORES','','MASCULINO','','',0,0,'','PROFESOR');</v>
      </c>
    </row>
    <row r="90" spans="1:12" ht="101.5" x14ac:dyDescent="0.35">
      <c r="A90" s="12">
        <v>2089</v>
      </c>
      <c r="B90" s="12" t="s">
        <v>1187</v>
      </c>
      <c r="C90" s="12" t="s">
        <v>1010</v>
      </c>
      <c r="D90" s="12" t="s">
        <v>1287</v>
      </c>
      <c r="E90" s="14" t="s">
        <v>1188</v>
      </c>
      <c r="F90" s="12" t="s">
        <v>644</v>
      </c>
      <c r="G90" s="13" t="s">
        <v>1189</v>
      </c>
      <c r="H90" s="12"/>
      <c r="I90" s="12" t="s">
        <v>722</v>
      </c>
      <c r="J90" s="12"/>
      <c r="K90" s="12" t="str">
        <f>CONCATENATE(A90,",",B90,",'",C90,"','",D90,"','",E90,",'",F90,"','",G90,"','",H90,"','",UPPER(I90),"','",UPPER(J90),"','',0,0,'','PROFESOR'")</f>
        <v>2089,'LICENCIATURA','jose.delgadillo','DBJ1893','TOMAR DEL SND','DELGADILLO BOCANEGRA JOSE DE JESUS','PROFESORES','','MASCULINO','','',0,0,'','PROFESOR'</v>
      </c>
      <c r="L90" s="12" t="str">
        <f t="shared" si="1"/>
        <v>INSERT INTO participantes (id,nivel,correo,matricula,clave,nombre,carrera,grado,sexo,situacion,evaluados,num_evaluados,total_evaluaciones,ultimo_acceso,nivel_acceso) VALUES (2089,'LICENCIATURA','jose.delgadillo','DBJ1893','TOMAR DEL SND','DELGADILLO BOCANEGRA JOSE DE JESUS','PROFESORES','','MASCULINO','','',0,0,'','PROFESOR');</v>
      </c>
    </row>
    <row r="91" spans="1:12" ht="116" x14ac:dyDescent="0.35">
      <c r="A91" s="12">
        <v>2090</v>
      </c>
      <c r="B91" s="12" t="s">
        <v>1187</v>
      </c>
      <c r="C91" s="12" t="s">
        <v>942</v>
      </c>
      <c r="D91" s="12" t="s">
        <v>1263</v>
      </c>
      <c r="E91" s="14" t="s">
        <v>1188</v>
      </c>
      <c r="F91" s="12" t="s">
        <v>718</v>
      </c>
      <c r="G91" s="13" t="s">
        <v>1189</v>
      </c>
      <c r="H91" s="12"/>
      <c r="I91" s="12" t="s">
        <v>722</v>
      </c>
      <c r="J91" s="12"/>
      <c r="K91" s="12" t="str">
        <f>CONCATENATE(A91,",",B91,",'",C91,"','",D91,"','",E91,",'",F91,"','",G91,"','",H91,"','",UPPER(I91),"','",UPPER(J91),"','',0,0,'','PROFESOR'")</f>
        <v>2090,'LICENCIATURA','victor.quezada','QNV1347','TOMAR DEL SND','QUEZADA NAVARRO VICTOR MANUEL','PROFESORES','','MASCULINO','','',0,0,'','PROFESOR'</v>
      </c>
      <c r="L91" s="12" t="str">
        <f t="shared" si="1"/>
        <v>INSERT INTO participantes (id,nivel,correo,matricula,clave,nombre,carrera,grado,sexo,situacion,evaluados,num_evaluados,total_evaluaciones,ultimo_acceso,nivel_acceso) VALUES (2090,'LICENCIATURA','victor.quezada','QNV1347','TOMAR DEL SND','QUEZADA NAVARRO VICTOR MANUEL','PROFESORES','','MASCULINO','','',0,0,'','PROFESOR');</v>
      </c>
    </row>
    <row r="92" spans="1:12" ht="101.5" x14ac:dyDescent="0.35">
      <c r="A92" s="12">
        <v>2091</v>
      </c>
      <c r="B92" s="12" t="s">
        <v>1187</v>
      </c>
      <c r="C92" s="12" t="s">
        <v>1016</v>
      </c>
      <c r="D92" s="12" t="s">
        <v>1289</v>
      </c>
      <c r="E92" s="14" t="s">
        <v>1188</v>
      </c>
      <c r="F92" s="12" t="s">
        <v>716</v>
      </c>
      <c r="G92" s="13" t="s">
        <v>1189</v>
      </c>
      <c r="H92" s="12"/>
      <c r="I92" s="12" t="s">
        <v>722</v>
      </c>
      <c r="J92" s="12"/>
      <c r="K92" s="12" t="str">
        <f>CONCATENATE(A92,",",B92,",'",C92,"','",D92,"','",E92,",'",F92,"','",G92,"','",H92,"','",UPPER(I92),"','",UPPER(J92),"','',0,0,'','PROFESOR'")</f>
        <v>2091,'LICENCIATURA','uriel.rodriguez','RZU0538','TOMAR DEL SND','RODRIGUEZ ZAMORA URIEL','PROFESORES','','MASCULINO','','',0,0,'','PROFESOR'</v>
      </c>
      <c r="L92" s="12" t="str">
        <f t="shared" si="1"/>
        <v>INSERT INTO participantes (id,nivel,correo,matricula,clave,nombre,carrera,grado,sexo,situacion,evaluados,num_evaluados,total_evaluaciones,ultimo_acceso,nivel_acceso) VALUES (2091,'LICENCIATURA','uriel.rodriguez','RZU0538','TOMAR DEL SND','RODRIGUEZ ZAMORA URIEL','PROFESORES','','MASCULINO','','',0,0,'','PROFESOR');</v>
      </c>
    </row>
    <row r="93" spans="1:12" ht="101.5" x14ac:dyDescent="0.35">
      <c r="A93" s="12">
        <v>2092</v>
      </c>
      <c r="B93" s="12" t="s">
        <v>1187</v>
      </c>
      <c r="C93" s="12" t="s">
        <v>1005</v>
      </c>
      <c r="D93" s="12" t="s">
        <v>1285</v>
      </c>
      <c r="E93" s="14" t="s">
        <v>1188</v>
      </c>
      <c r="F93" s="12" t="s">
        <v>649</v>
      </c>
      <c r="G93" s="13" t="s">
        <v>1189</v>
      </c>
      <c r="H93" s="12"/>
      <c r="I93" s="12" t="s">
        <v>722</v>
      </c>
      <c r="J93" s="12"/>
      <c r="K93" s="12" t="str">
        <f>CONCATENATE(A93,",",B93,",'",C93,"','",D93,"','",E93,",'",F93,"','",G93,"','",H93,"','",UPPER(I93),"','",UPPER(J93),"','',0,0,'','PROFESOR'")</f>
        <v>2092,'LICENCIATURA','jose.parra','PAJ1953','TOMAR DEL SND','PARRA ALDRETE JOSE LUIS','PROFESORES','','MASCULINO','','',0,0,'','PROFESOR'</v>
      </c>
      <c r="L93" s="12" t="str">
        <f t="shared" si="1"/>
        <v>INSERT INTO participantes (id,nivel,correo,matricula,clave,nombre,carrera,grado,sexo,situacion,evaluados,num_evaluados,total_evaluaciones,ultimo_acceso,nivel_acceso) VALUES (2092,'LICENCIATURA','jose.parra','PAJ1953','TOMAR DEL SND','PARRA ALDRETE JOSE LUIS','PROFESORES','','MASCULINO','','',0,0,'','PROFESOR');</v>
      </c>
    </row>
    <row r="94" spans="1:12" ht="116" x14ac:dyDescent="0.35">
      <c r="A94" s="12">
        <v>2093</v>
      </c>
      <c r="B94" s="12" t="s">
        <v>1187</v>
      </c>
      <c r="C94" s="12" t="s">
        <v>1025</v>
      </c>
      <c r="D94" s="12" t="s">
        <v>1291</v>
      </c>
      <c r="E94" s="14" t="s">
        <v>1188</v>
      </c>
      <c r="F94" s="12" t="s">
        <v>618</v>
      </c>
      <c r="G94" s="13" t="s">
        <v>1189</v>
      </c>
      <c r="H94" s="12"/>
      <c r="I94" s="12" t="s">
        <v>722</v>
      </c>
      <c r="J94" s="12"/>
      <c r="K94" s="12" t="str">
        <f>CONCATENATE(A94,",",B94,",'",C94,"','",D94,"','",E94,",'",F94,"','",G94,"','",H94,"','",UPPER(I94),"','",UPPER(J94),"','',0,0,'','PROFESOR'")</f>
        <v>2093,'LICENCIATURA','hector.rodriguez','RAH2003','TOMAR DEL SND','RODRIGUEZ AVILA HECTOR','PROFESORES','','MASCULINO','','',0,0,'','PROFESOR'</v>
      </c>
      <c r="L94" s="12" t="str">
        <f t="shared" si="1"/>
        <v>INSERT INTO participantes (id,nivel,correo,matricula,clave,nombre,carrera,grado,sexo,situacion,evaluados,num_evaluados,total_evaluaciones,ultimo_acceso,nivel_acceso) VALUES (2093,'LICENCIATURA','hector.rodriguez','RAH2003','TOMAR DEL SND','RODRIGUEZ AVILA HECTOR','PROFESORES','','MASCULINO','','',0,0,'','PROFESOR');</v>
      </c>
    </row>
    <row r="95" spans="1:12" ht="116" x14ac:dyDescent="0.35">
      <c r="A95" s="12">
        <v>2094</v>
      </c>
      <c r="B95" s="12" t="s">
        <v>1187</v>
      </c>
      <c r="C95" s="12" t="s">
        <v>831</v>
      </c>
      <c r="D95" s="12" t="s">
        <v>1225</v>
      </c>
      <c r="E95" s="14" t="s">
        <v>1188</v>
      </c>
      <c r="F95" s="12" t="s">
        <v>706</v>
      </c>
      <c r="G95" s="13" t="s">
        <v>1189</v>
      </c>
      <c r="H95" s="12"/>
      <c r="I95" s="12" t="s">
        <v>722</v>
      </c>
      <c r="J95" s="12"/>
      <c r="K95" s="12" t="str">
        <f>CONCATENATE(A95,",",B95,",'",C95,"','",D95,"','",E95,",'",F95,"','",G95,"','",H95,"','",UPPER(I95),"','",UPPER(J95),"','',0,0,'','PROFESOR'")</f>
        <v>2094,'LICENCIATURA','ricardo.baeza','BMR1221','TOMAR DEL SND','BAEZA MONTIEL RICARDO IGNACIO','PROFESORES','','MASCULINO','','',0,0,'','PROFESOR'</v>
      </c>
      <c r="L95" s="12" t="str">
        <f t="shared" si="1"/>
        <v>INSERT INTO participantes (id,nivel,correo,matricula,clave,nombre,carrera,grado,sexo,situacion,evaluados,num_evaluados,total_evaluaciones,ultimo_acceso,nivel_acceso) VALUES (2094,'LICENCIATURA','ricardo.baeza','BMR1221','TOMAR DEL SND','BAEZA MONTIEL RICARDO IGNACIO','PROFESORES','','MASCULINO','','',0,0,'','PROFESOR');</v>
      </c>
    </row>
    <row r="96" spans="1:12" ht="116" x14ac:dyDescent="0.35">
      <c r="A96" s="12">
        <v>2095</v>
      </c>
      <c r="B96" s="12" t="s">
        <v>1187</v>
      </c>
      <c r="C96" s="12" t="s">
        <v>1036</v>
      </c>
      <c r="D96" s="12" t="s">
        <v>1295</v>
      </c>
      <c r="E96" s="14" t="s">
        <v>1188</v>
      </c>
      <c r="F96" s="12" t="s">
        <v>685</v>
      </c>
      <c r="G96" s="13" t="s">
        <v>1189</v>
      </c>
      <c r="H96" s="12"/>
      <c r="I96" s="12" t="s">
        <v>722</v>
      </c>
      <c r="J96" s="12"/>
      <c r="K96" s="12" t="str">
        <f>CONCATENATE(A96,",",B96,",'",C96,"','",D96,"','",E96,",'",F96,"','",G96,"','",H96,"','",UPPER(I96),"','",UPPER(J96),"','',0,0,'','PROFESOR'")</f>
        <v>2095,'LICENCIATURA','martin.rodriguez','RRM2026','TOMAR DEL SND','RODRIGUEZ ROBLES MARTIN ONESIMO','PROFESORES','','MASCULINO','','',0,0,'','PROFESOR'</v>
      </c>
      <c r="L96" s="12" t="str">
        <f t="shared" si="1"/>
        <v>INSERT INTO participantes (id,nivel,correo,matricula,clave,nombre,carrera,grado,sexo,situacion,evaluados,num_evaluados,total_evaluaciones,ultimo_acceso,nivel_acceso) VALUES (2095,'LICENCIATURA','martin.rodriguez','RRM2026','TOMAR DEL SND','RODRIGUEZ ROBLES MARTIN ONESIMO','PROFESORES','','MASCULINO','','',0,0,'','PROFESOR');</v>
      </c>
    </row>
    <row r="97" spans="1:12" ht="116" x14ac:dyDescent="0.35">
      <c r="A97" s="12">
        <v>2096</v>
      </c>
      <c r="B97" s="12" t="s">
        <v>1187</v>
      </c>
      <c r="C97" s="12" t="s">
        <v>1045</v>
      </c>
      <c r="D97" s="12" t="s">
        <v>1297</v>
      </c>
      <c r="E97" s="14" t="s">
        <v>1188</v>
      </c>
      <c r="F97" s="12" t="s">
        <v>665</v>
      </c>
      <c r="G97" s="13" t="s">
        <v>1189</v>
      </c>
      <c r="H97" s="12"/>
      <c r="I97" s="12" t="s">
        <v>722</v>
      </c>
      <c r="J97" s="12"/>
      <c r="K97" s="12" t="str">
        <f>CONCATENATE(A97,",",B97,",'",C97,"','",D97,"','",E97,",'",F97,"','",G97,"','",H97,"','",UPPER(I97),"','",UPPER(J97),"','',0,0,'','PROFESOR'")</f>
        <v>2096,'LICENCIATURA','luis.mejia','MGL1990','TOMAR DEL SND','MEJIA GONZALEZ LUIS ANDRES','PROFESORES','','MASCULINO','','',0,0,'','PROFESOR'</v>
      </c>
      <c r="L97" s="12" t="str">
        <f t="shared" si="1"/>
        <v>INSERT INTO participantes (id,nivel,correo,matricula,clave,nombre,carrera,grado,sexo,situacion,evaluados,num_evaluados,total_evaluaciones,ultimo_acceso,nivel_acceso) VALUES (2096,'LICENCIATURA','luis.mejia','MGL1990','TOMAR DEL SND','MEJIA GONZALEZ LUIS ANDRES','PROFESORES','','MASCULINO','','',0,0,'','PROFESOR');</v>
      </c>
    </row>
    <row r="98" spans="1:12" ht="116" x14ac:dyDescent="0.35">
      <c r="A98" s="12">
        <v>2097</v>
      </c>
      <c r="B98" s="12" t="s">
        <v>1187</v>
      </c>
      <c r="C98" s="12" t="s">
        <v>1034</v>
      </c>
      <c r="D98" s="12" t="s">
        <v>1294</v>
      </c>
      <c r="E98" s="14" t="s">
        <v>1188</v>
      </c>
      <c r="F98" s="12" t="s">
        <v>638</v>
      </c>
      <c r="G98" s="13" t="s">
        <v>1189</v>
      </c>
      <c r="H98" s="12"/>
      <c r="I98" s="12" t="s">
        <v>722</v>
      </c>
      <c r="J98" s="12"/>
      <c r="K98" s="12" t="str">
        <f>CONCATENATE(A98,",",B98,",'",C98,"','",D98,"','",E98,",'",F98,"','",G98,"','",H98,"','",UPPER(I98),"','",UPPER(J98),"','',0,0,'','PROFESOR'")</f>
        <v>2097,'LICENCIATURA','jose.moreno','MQJ1984','TOMAR DEL SND','MORENO QUEZADA JOSE ALBERTO','PROFESORES','','MASCULINO','','',0,0,'','PROFESOR'</v>
      </c>
      <c r="L98" s="12" t="str">
        <f t="shared" si="1"/>
        <v>INSERT INTO participantes (id,nivel,correo,matricula,clave,nombre,carrera,grado,sexo,situacion,evaluados,num_evaluados,total_evaluaciones,ultimo_acceso,nivel_acceso) VALUES (2097,'LICENCIATURA','jose.moreno','MQJ1984','TOMAR DEL SND','MORENO QUEZADA JOSE ALBERTO','PROFESORES','','MASCULINO','','',0,0,'','PROFESOR');</v>
      </c>
    </row>
    <row r="99" spans="1:12" ht="101.5" x14ac:dyDescent="0.35">
      <c r="A99" s="12">
        <v>2098</v>
      </c>
      <c r="B99" s="12" t="s">
        <v>1187</v>
      </c>
      <c r="C99" s="12" t="s">
        <v>1049</v>
      </c>
      <c r="D99" s="12" t="s">
        <v>1298</v>
      </c>
      <c r="E99" s="14" t="s">
        <v>1188</v>
      </c>
      <c r="F99" s="12" t="s">
        <v>680</v>
      </c>
      <c r="G99" s="13" t="s">
        <v>1189</v>
      </c>
      <c r="H99" s="12"/>
      <c r="I99" s="12" t="s">
        <v>721</v>
      </c>
      <c r="J99" s="12"/>
      <c r="K99" s="12" t="str">
        <f>CONCATENATE(A99,",",B99,",'",C99,"','",D99,"','",E99,",'",F99,"','",G99,"','",H99,"','",UPPER(I99),"','",UPPER(J99),"','',0,0,'','PROFESOR'")</f>
        <v>2098,'LICENCIATURA','martha.baruch','BMM2041','TOMAR DEL SND','BARUCH MORALES MARTHA IXCHEL','PROFESORES','','FEMENINO','','',0,0,'','PROFESOR'</v>
      </c>
      <c r="L99" s="12" t="str">
        <f t="shared" si="1"/>
        <v>INSERT INTO participantes (id,nivel,correo,matricula,clave,nombre,carrera,grado,sexo,situacion,evaluados,num_evaluados,total_evaluaciones,ultimo_acceso,nivel_acceso) VALUES (2098,'LICENCIATURA','martha.baruch','BMM2041','TOMAR DEL SND','BARUCH MORALES MARTHA IXCHEL','PROFESORES','','FEMENINO','','',0,0,'','PROFESOR');</v>
      </c>
    </row>
    <row r="100" spans="1:12" ht="101.5" x14ac:dyDescent="0.35">
      <c r="A100" s="12">
        <v>2099</v>
      </c>
      <c r="B100" s="12" t="s">
        <v>1187</v>
      </c>
      <c r="C100" s="12" t="s">
        <v>999</v>
      </c>
      <c r="D100" s="12" t="s">
        <v>1283</v>
      </c>
      <c r="E100" s="14" t="s">
        <v>1188</v>
      </c>
      <c r="F100" s="12" t="s">
        <v>684</v>
      </c>
      <c r="G100" s="13" t="s">
        <v>1189</v>
      </c>
      <c r="H100" s="12"/>
      <c r="I100" s="12" t="s">
        <v>722</v>
      </c>
      <c r="J100" s="12"/>
      <c r="K100" s="12" t="str">
        <f>CONCATENATE(A100,",",B100,",'",C100,"','",D100,"','",E100,",'",F100,"','",G100,"','",H100,"','",UPPER(I100),"','",UPPER(J100),"','',0,0,'','PROFESOR'")</f>
        <v>2099,'LICENCIATURA','martin.deanda','DDM0468','TOMAR DEL SND','DE ANDA  DEL MURO  MARTIN EDUARDO ','PROFESORES','','MASCULINO','','',0,0,'','PROFESOR'</v>
      </c>
      <c r="L100" s="12" t="str">
        <f t="shared" si="1"/>
        <v>INSERT INTO participantes (id,nivel,correo,matricula,clave,nombre,carrera,grado,sexo,situacion,evaluados,num_evaluados,total_evaluaciones,ultimo_acceso,nivel_acceso) VALUES (2099,'LICENCIATURA','martin.deanda','DDM0468','TOMAR DEL SND','DE ANDA  DEL MURO  MARTIN EDUARDO ','PROFESORES','','MASCULINO','','',0,0,'','PROFESOR');</v>
      </c>
    </row>
    <row r="101" spans="1:12" ht="116" x14ac:dyDescent="0.35">
      <c r="A101" s="12">
        <v>2100</v>
      </c>
      <c r="B101" s="12" t="s">
        <v>1187</v>
      </c>
      <c r="C101" s="12" t="s">
        <v>1001</v>
      </c>
      <c r="D101" s="12" t="s">
        <v>1284</v>
      </c>
      <c r="E101" s="14" t="s">
        <v>1188</v>
      </c>
      <c r="F101" s="12" t="s">
        <v>558</v>
      </c>
      <c r="G101" s="13" t="s">
        <v>1189</v>
      </c>
      <c r="H101" s="12"/>
      <c r="I101" s="12" t="s">
        <v>722</v>
      </c>
      <c r="J101" s="12"/>
      <c r="K101" s="12" t="str">
        <f>CONCATENATE(A101,",",B101,",'",C101,"','",D101,"','",E101,",'",F101,"','",G101,"','",H101,"','",UPPER(I101),"','",UPPER(J101),"','',0,0,'','PROFESOR'")</f>
        <v>2100,'LICENCIATURA','alejandro.esquivel','ELA1980','TOMAR DEL SND','ESQUIVEL LEAL ALEJANDRO GUADALUPE','PROFESORES','','MASCULINO','','',0,0,'','PROFESOR'</v>
      </c>
      <c r="L101" s="12" t="str">
        <f t="shared" si="1"/>
        <v>INSERT INTO participantes (id,nivel,correo,matricula,clave,nombre,carrera,grado,sexo,situacion,evaluados,num_evaluados,total_evaluaciones,ultimo_acceso,nivel_acceso) VALUES (2100,'LICENCIATURA','alejandro.esquivel','ELA1980','TOMAR DEL SND','ESQUIVEL LEAL ALEJANDRO GUADALUPE','PROFESORES','','MASCULINO','','',0,0,'','PROFESOR');</v>
      </c>
    </row>
    <row r="102" spans="1:12" ht="101.5" x14ac:dyDescent="0.35">
      <c r="A102" s="12">
        <v>2101</v>
      </c>
      <c r="B102" s="12" t="s">
        <v>1187</v>
      </c>
      <c r="C102" s="12" t="s">
        <v>1043</v>
      </c>
      <c r="D102" s="12" t="s">
        <v>1296</v>
      </c>
      <c r="E102" s="14" t="s">
        <v>1188</v>
      </c>
      <c r="F102" s="12" t="s">
        <v>677</v>
      </c>
      <c r="G102" s="13" t="s">
        <v>1189</v>
      </c>
      <c r="H102" s="12"/>
      <c r="I102" s="12" t="s">
        <v>721</v>
      </c>
      <c r="J102" s="12"/>
      <c r="K102" s="12" t="str">
        <f>CONCATENATE(A102,",",B102,",'",C102,"','",D102,"','",E102,",'",F102,"','",G102,"','",H102,"','",UPPER(I102),"','",UPPER(J102),"','',0,0,'','PROFESOR'")</f>
        <v>2101,'LICENCIATURA','maria.garcias','GSM0224','TOMAR DEL SND','GARCIA  SANCHEZ  MARIA LUISA ','PROFESORES','','FEMENINO','','',0,0,'','PROFESOR'</v>
      </c>
      <c r="L102" s="12" t="str">
        <f t="shared" si="1"/>
        <v>INSERT INTO participantes (id,nivel,correo,matricula,clave,nombre,carrera,grado,sexo,situacion,evaluados,num_evaluados,total_evaluaciones,ultimo_acceso,nivel_acceso) VALUES (2101,'LICENCIATURA','maria.garcias','GSM0224','TOMAR DEL SND','GARCIA  SANCHEZ  MARIA LUISA ','PROFESORES','','FEMENINO','','',0,0,'','PROFESOR');</v>
      </c>
    </row>
    <row r="103" spans="1:12" ht="116" x14ac:dyDescent="0.35">
      <c r="A103" s="12">
        <v>2102</v>
      </c>
      <c r="B103" s="12" t="s">
        <v>1187</v>
      </c>
      <c r="C103" s="12" t="s">
        <v>1030</v>
      </c>
      <c r="D103" s="12" t="s">
        <v>1292</v>
      </c>
      <c r="E103" s="14" t="s">
        <v>1188</v>
      </c>
      <c r="F103" s="12" t="s">
        <v>681</v>
      </c>
      <c r="G103" s="13" t="s">
        <v>1189</v>
      </c>
      <c r="H103" s="12"/>
      <c r="I103" s="12" t="s">
        <v>722</v>
      </c>
      <c r="J103" s="12"/>
      <c r="K103" s="12" t="str">
        <f>CONCATENATE(A103,",",B103,",'",C103,"','",D103,"','",E103,",'",F103,"','",G103,"','",H103,"','",UPPER(I103),"','",UPPER(J103),"','',0,0,'','PROFESOR'")</f>
        <v>2102,'LICENCIATURA','martin.garcia','GHM1198','TOMAR DEL SND','GARCIA HERNANDEZ  MARTIN','PROFESORES','','MASCULINO','','',0,0,'','PROFESOR'</v>
      </c>
      <c r="L103" s="12" t="str">
        <f t="shared" si="1"/>
        <v>INSERT INTO participantes (id,nivel,correo,matricula,clave,nombre,carrera,grado,sexo,situacion,evaluados,num_evaluados,total_evaluaciones,ultimo_acceso,nivel_acceso) VALUES (2102,'LICENCIATURA','martin.garcia','GHM1198','TOMAR DEL SND','GARCIA HERNANDEZ  MARTIN','PROFESORES','','MASCULINO','','',0,0,'','PROFESOR');</v>
      </c>
    </row>
    <row r="104" spans="1:12" ht="116" x14ac:dyDescent="0.35">
      <c r="A104" s="12">
        <v>2103</v>
      </c>
      <c r="B104" s="12" t="s">
        <v>1187</v>
      </c>
      <c r="C104" s="12" t="s">
        <v>1059</v>
      </c>
      <c r="D104" s="12" t="s">
        <v>1299</v>
      </c>
      <c r="E104" s="14" t="s">
        <v>1188</v>
      </c>
      <c r="F104" s="12" t="s">
        <v>603</v>
      </c>
      <c r="G104" s="13" t="s">
        <v>1189</v>
      </c>
      <c r="H104" s="12"/>
      <c r="I104" s="12" t="s">
        <v>722</v>
      </c>
      <c r="J104" s="12"/>
      <c r="K104" s="12" t="str">
        <f>CONCATENATE(A104,",",B104,",'",C104,"','",D104,"','",E104,",'",F104,"','",G104,"','",H104,"','",UPPER(I104),"','",UPPER(J104),"','',0,0,'','PROFESOR'")</f>
        <v>2103,'LICENCIATURA','enrique.gonzaleza','GAE2037','TOMAR DEL SND','GONZALEZ AMADOR ENRIQUE ALEJANDRO','PROFESORES','','MASCULINO','','',0,0,'','PROFESOR'</v>
      </c>
      <c r="L104" s="12" t="str">
        <f t="shared" si="1"/>
        <v>INSERT INTO participantes (id,nivel,correo,matricula,clave,nombre,carrera,grado,sexo,situacion,evaluados,num_evaluados,total_evaluaciones,ultimo_acceso,nivel_acceso) VALUES (2103,'LICENCIATURA','enrique.gonzaleza','GAE2037','TOMAR DEL SND','GONZALEZ AMADOR ENRIQUE ALEJANDRO','PROFESORES','','MASCULINO','','',0,0,'','PROFESOR');</v>
      </c>
    </row>
    <row r="105" spans="1:12" ht="116" x14ac:dyDescent="0.35">
      <c r="A105" s="12">
        <v>2104</v>
      </c>
      <c r="B105" s="12" t="s">
        <v>1187</v>
      </c>
      <c r="C105" s="12" t="s">
        <v>1032</v>
      </c>
      <c r="D105" s="12" t="s">
        <v>1293</v>
      </c>
      <c r="E105" s="14" t="s">
        <v>1188</v>
      </c>
      <c r="F105" s="12" t="s">
        <v>617</v>
      </c>
      <c r="G105" s="13" t="s">
        <v>1189</v>
      </c>
      <c r="H105" s="12"/>
      <c r="I105" s="12" t="s">
        <v>721</v>
      </c>
      <c r="J105" s="12"/>
      <c r="K105" s="12" t="str">
        <f>CONCATENATE(A105,",",B105,",'",C105,"','",D105,"','",E105,",'",F105,"','",G105,"','",H105,"','",UPPER(I105),"','",UPPER(J105),"','',0,0,'','PROFESOR'")</f>
        <v>2104,'LICENCIATURA','griselda.madrigal','MRG1930','TOMAR DEL SND','MADRIGAL RODRIGUEZ GRISELDA','PROFESORES','','FEMENINO','','',0,0,'','PROFESOR'</v>
      </c>
      <c r="L105" s="12" t="str">
        <f t="shared" si="1"/>
        <v>INSERT INTO participantes (id,nivel,correo,matricula,clave,nombre,carrera,grado,sexo,situacion,evaluados,num_evaluados,total_evaluaciones,ultimo_acceso,nivel_acceso) VALUES (2104,'LICENCIATURA','griselda.madrigal','MRG1930','TOMAR DEL SND','MADRIGAL RODRIGUEZ GRISELDA','PROFESORES','','FEMENINO','','',0,0,'','PROFESOR');</v>
      </c>
    </row>
    <row r="106" spans="1:12" ht="116" x14ac:dyDescent="0.35">
      <c r="A106" s="12">
        <v>2105</v>
      </c>
      <c r="B106" s="12" t="s">
        <v>1187</v>
      </c>
      <c r="C106" s="12" t="s">
        <v>1021</v>
      </c>
      <c r="D106" s="12" t="s">
        <v>1290</v>
      </c>
      <c r="E106" s="14" t="s">
        <v>1188</v>
      </c>
      <c r="F106" s="12" t="s">
        <v>710</v>
      </c>
      <c r="G106" s="13" t="s">
        <v>1189</v>
      </c>
      <c r="H106" s="12"/>
      <c r="I106" s="12" t="s">
        <v>722</v>
      </c>
      <c r="J106" s="12"/>
      <c r="K106" s="12" t="str">
        <f>CONCATENATE(A106,",",B106,",'",C106,"','",D106,"','",E106,",'",F106,"','",G106,"','",H106,"','",UPPER(I106),"','",UPPER(J106),"','',0,0,'','PROFESOR'")</f>
        <v>2105,'LICENCIATURA','salvador.avalos','AMS2016','TOMAR DEL SND','AVALOS MEDINA SALVADOR','PROFESORES','','MASCULINO','','',0,0,'','PROFESOR'</v>
      </c>
      <c r="L106" s="12" t="str">
        <f t="shared" si="1"/>
        <v>INSERT INTO participantes (id,nivel,correo,matricula,clave,nombre,carrera,grado,sexo,situacion,evaluados,num_evaluados,total_evaluaciones,ultimo_acceso,nivel_acceso) VALUES (2105,'LICENCIATURA','salvador.avalos','AMS2016','TOMAR DEL SND','AVALOS MEDINA SALVADOR','PROFESORES','','MASCULINO','','',0,0,'','PROFESOR');</v>
      </c>
    </row>
    <row r="107" spans="1:12" ht="116" x14ac:dyDescent="0.35">
      <c r="A107" s="12">
        <v>2106</v>
      </c>
      <c r="B107" s="12" t="s">
        <v>1187</v>
      </c>
      <c r="C107" s="12" t="s">
        <v>778</v>
      </c>
      <c r="D107" s="12" t="s">
        <v>1205</v>
      </c>
      <c r="E107" s="14" t="s">
        <v>1188</v>
      </c>
      <c r="F107" s="12" t="s">
        <v>667</v>
      </c>
      <c r="G107" s="13" t="s">
        <v>1189</v>
      </c>
      <c r="H107" s="12"/>
      <c r="I107" s="12" t="s">
        <v>722</v>
      </c>
      <c r="J107" s="12"/>
      <c r="K107" s="12" t="str">
        <f>CONCATENATE(A107,",",B107,",'",C107,"','",D107,"','",E107,",'",F107,"','",G107,"','",H107,"','",UPPER(I107),"','",UPPER(J107),"','',0,0,'','PROFESOR'")</f>
        <v>2106,'LICENCIATURA','luis.hernandez','HZL0661','TOMAR DEL SND','HERNANDEZ SALDIVAR LUIS FERNANDO','PROFESORES','','MASCULINO','','',0,0,'','PROFESOR'</v>
      </c>
      <c r="L107" s="12" t="str">
        <f t="shared" si="1"/>
        <v>INSERT INTO participantes (id,nivel,correo,matricula,clave,nombre,carrera,grado,sexo,situacion,evaluados,num_evaluados,total_evaluaciones,ultimo_acceso,nivel_acceso) VALUES (2106,'LICENCIATURA','luis.hernandez','HZL0661','TOMAR DEL SND','HERNANDEZ SALDIVAR LUIS FERNANDO','PROFESORES','','MASCULINO','','',0,0,'','PROFESOR');</v>
      </c>
    </row>
    <row r="108" spans="1:12" ht="116" x14ac:dyDescent="0.35">
      <c r="A108" s="12">
        <v>2107</v>
      </c>
      <c r="B108" s="12" t="s">
        <v>1187</v>
      </c>
      <c r="C108" s="12" t="s">
        <v>1012</v>
      </c>
      <c r="D108" s="12" t="s">
        <v>1288</v>
      </c>
      <c r="E108" s="14" t="s">
        <v>1188</v>
      </c>
      <c r="F108" s="12" t="s">
        <v>580</v>
      </c>
      <c r="G108" s="13" t="s">
        <v>1189</v>
      </c>
      <c r="H108" s="12"/>
      <c r="I108" s="12" t="s">
        <v>721</v>
      </c>
      <c r="J108" s="12"/>
      <c r="K108" s="12" t="str">
        <f>CONCATENATE(A108,",",B108,",'",C108,"','",D108,"','",E108,",'",F108,"','",G108,"','",H108,"','",UPPER(I108),"','",UPPER(J108),"','',0,0,'','PROFESOR'")</f>
        <v>2107,'LICENCIATURA','claudia.ochoa','OFC1982','TOMAR DEL SND','OCHOA FLORES CLAUDIA ELIZABETH','PROFESORES','','FEMENINO','','',0,0,'','PROFESOR'</v>
      </c>
      <c r="L108" s="12" t="str">
        <f t="shared" si="1"/>
        <v>INSERT INTO participantes (id,nivel,correo,matricula,clave,nombre,carrera,grado,sexo,situacion,evaluados,num_evaluados,total_evaluaciones,ultimo_acceso,nivel_acceso) VALUES (2107,'LICENCIATURA','claudia.ochoa','OFC1982','TOMAR DEL SND','OCHOA FLORES CLAUDIA ELIZABETH','PROFESORES','','FEMENINO','','',0,0,'','PROFESOR');</v>
      </c>
    </row>
    <row r="109" spans="1:12" ht="101.5" x14ac:dyDescent="0.35">
      <c r="A109" s="12">
        <v>2108</v>
      </c>
      <c r="B109" s="12" t="s">
        <v>1187</v>
      </c>
      <c r="C109" s="12" t="s">
        <v>1071</v>
      </c>
      <c r="D109" s="12" t="s">
        <v>1300</v>
      </c>
      <c r="E109" s="14" t="s">
        <v>1188</v>
      </c>
      <c r="F109" s="12" t="s">
        <v>560</v>
      </c>
      <c r="G109" s="13" t="s">
        <v>1189</v>
      </c>
      <c r="H109" s="12"/>
      <c r="I109" s="12" t="s">
        <v>722</v>
      </c>
      <c r="J109" s="12"/>
      <c r="K109" s="12" t="str">
        <f>CONCATENATE(A109,",",B109,",'",C109,"','",D109,"','",E109,",'",F109,"','",G109,"','",H109,"','",UPPER(I109),"','",UPPER(J109),"','',0,0,'','PROFESOR'")</f>
        <v>2108,'LICENCIATURA','alfredo.velazquez','VSA1861','TOMAR DEL SND','VELAZQUEZ SANTOS ALFREDO DE JESUS','PROFESORES','','MASCULINO','','',0,0,'','PROFESOR'</v>
      </c>
      <c r="L109" s="12" t="str">
        <f t="shared" si="1"/>
        <v>INSERT INTO participantes (id,nivel,correo,matricula,clave,nombre,carrera,grado,sexo,situacion,evaluados,num_evaluados,total_evaluaciones,ultimo_acceso,nivel_acceso) VALUES (2108,'LICENCIATURA','alfredo.velazquez','VSA1861','TOMAR DEL SND','VELAZQUEZ SANTOS ALFREDO DE JESUS','PROFESORES','','MASCULINO','','',0,0,'','PROFESOR');</v>
      </c>
    </row>
    <row r="110" spans="1:12" ht="101.5" x14ac:dyDescent="0.35">
      <c r="A110" s="12">
        <v>2109</v>
      </c>
      <c r="B110" s="12" t="s">
        <v>1187</v>
      </c>
      <c r="C110" s="12" t="s">
        <v>1075</v>
      </c>
      <c r="D110" s="12" t="s">
        <v>1301</v>
      </c>
      <c r="E110" s="14" t="s">
        <v>1188</v>
      </c>
      <c r="F110" s="12" t="s">
        <v>697</v>
      </c>
      <c r="G110" s="13" t="s">
        <v>1189</v>
      </c>
      <c r="H110" s="12"/>
      <c r="I110" s="12" t="s">
        <v>721</v>
      </c>
      <c r="J110" s="12"/>
      <c r="K110" s="12" t="str">
        <f>CONCATENATE(A110,",",B110,",'",C110,"','",D110,"','",E110,",'",F110,"','",G110,"','",H110,"','",UPPER(I110),"','",UPPER(J110),"','',0,0,'','PROFESOR'")</f>
        <v>2109,'LICENCIATURA','orely.barrera','BGO2017','TOMAR DEL SND','BARRERA GOYTIA ORELY KARINA','PROFESORES','','FEMENINO','','',0,0,'','PROFESOR'</v>
      </c>
      <c r="L110" s="12" t="str">
        <f t="shared" si="1"/>
        <v>INSERT INTO participantes (id,nivel,correo,matricula,clave,nombre,carrera,grado,sexo,situacion,evaluados,num_evaluados,total_evaluaciones,ultimo_acceso,nivel_acceso) VALUES (2109,'LICENCIATURA','orely.barrera','BGO2017','TOMAR DEL SND','BARRERA GOYTIA ORELY KARINA','PROFESORES','','FEMENINO','','',0,0,'','PROFESOR');</v>
      </c>
    </row>
    <row r="111" spans="1:12" ht="116" x14ac:dyDescent="0.35">
      <c r="A111" s="12">
        <v>2110</v>
      </c>
      <c r="B111" s="12" t="s">
        <v>1187</v>
      </c>
      <c r="C111" s="12" t="s">
        <v>754</v>
      </c>
      <c r="D111" s="12" t="s">
        <v>1197</v>
      </c>
      <c r="E111" s="14" t="s">
        <v>1188</v>
      </c>
      <c r="F111" s="12" t="s">
        <v>630</v>
      </c>
      <c r="G111" s="13" t="s">
        <v>1189</v>
      </c>
      <c r="H111" s="12"/>
      <c r="I111" s="12" t="s">
        <v>722</v>
      </c>
      <c r="J111" s="12"/>
      <c r="K111" s="12" t="str">
        <f>CONCATENATE(A111,",",B111,",'",C111,"','",D111,"','",E111,",'",F111,"','",G111,"','",H111,"','",UPPER(I111),"','",UPPER(J111),"','',0,0,'','PROFESOR'")</f>
        <v>2110,'LICENCIATURA','jesus.gomez','GLJ1802','TOMAR DEL SND','GOMEZ LEDEZMA JESUS ALEJANDRO','PROFESORES','','MASCULINO','','',0,0,'','PROFESOR'</v>
      </c>
      <c r="L111" s="12" t="str">
        <f t="shared" si="1"/>
        <v>INSERT INTO participantes (id,nivel,correo,matricula,clave,nombre,carrera,grado,sexo,situacion,evaluados,num_evaluados,total_evaluaciones,ultimo_acceso,nivel_acceso) VALUES (2110,'LICENCIATURA','jesus.gomez','GLJ1802','TOMAR DEL SND','GOMEZ LEDEZMA JESUS ALEJANDRO','PROFESORES','','MASCULINO','','',0,0,'','PROFESOR');</v>
      </c>
    </row>
    <row r="112" spans="1:12" ht="116" x14ac:dyDescent="0.35">
      <c r="A112" s="12">
        <v>2111</v>
      </c>
      <c r="B112" s="12" t="s">
        <v>1187</v>
      </c>
      <c r="C112" s="12" t="s">
        <v>1078</v>
      </c>
      <c r="D112" s="12" t="s">
        <v>1302</v>
      </c>
      <c r="E112" s="14" t="s">
        <v>1188</v>
      </c>
      <c r="F112" s="12" t="s">
        <v>673</v>
      </c>
      <c r="G112" s="13" t="s">
        <v>1189</v>
      </c>
      <c r="H112" s="12"/>
      <c r="I112" s="12" t="s">
        <v>721</v>
      </c>
      <c r="J112" s="12"/>
      <c r="K112" s="12" t="str">
        <f>CONCATENATE(A112,",",B112,",'",C112,"','",D112,"','",E112,",'",F112,"','",G112,"','",H112,"','",UPPER(I112),"','",UPPER(J112),"','',0,0,'','PROFESOR'")</f>
        <v>2111,'LICENCIATURA','maria.magallon','MRM1794','TOMAR DEL SND','MAGALLON RAMIREZ MARIA DEL CARMEN','PROFESORES','','FEMENINO','','',0,0,'','PROFESOR'</v>
      </c>
      <c r="L112" s="12" t="str">
        <f t="shared" si="1"/>
        <v>INSERT INTO participantes (id,nivel,correo,matricula,clave,nombre,carrera,grado,sexo,situacion,evaluados,num_evaluados,total_evaluaciones,ultimo_acceso,nivel_acceso) VALUES (2111,'LICENCIATURA','maria.magallon','MRM1794','TOMAR DEL SND','MAGALLON RAMIREZ MARIA DEL CARMEN','PROFESORES','','FEMENINO','','',0,0,'','PROFESOR');</v>
      </c>
    </row>
    <row r="113" spans="1:12" ht="116" x14ac:dyDescent="0.35">
      <c r="A113" s="12">
        <v>2112</v>
      </c>
      <c r="B113" s="12" t="s">
        <v>1187</v>
      </c>
      <c r="C113" s="12" t="s">
        <v>1080</v>
      </c>
      <c r="D113" s="12" t="s">
        <v>1303</v>
      </c>
      <c r="E113" s="14" t="s">
        <v>1188</v>
      </c>
      <c r="F113" s="12" t="s">
        <v>562</v>
      </c>
      <c r="G113" s="13" t="s">
        <v>1189</v>
      </c>
      <c r="H113" s="12"/>
      <c r="I113" s="12" t="s">
        <v>722</v>
      </c>
      <c r="J113" s="12"/>
      <c r="K113" s="12" t="str">
        <f>CONCATENATE(A113,",",B113,",'",C113,"','",D113,"','",E113,",'",F113,"','",G113,"','",H113,"','",UPPER(I113),"','",UPPER(J113),"','',0,0,'','PROFESOR'")</f>
        <v>2112,'LICENCIATURA','alvaro.moreno','MCA1844','TOMAR DEL SND','MORENO CORRAL ALVARO','PROFESORES','','MASCULINO','','',0,0,'','PROFESOR'</v>
      </c>
      <c r="L113" s="12" t="str">
        <f t="shared" si="1"/>
        <v>INSERT INTO participantes (id,nivel,correo,matricula,clave,nombre,carrera,grado,sexo,situacion,evaluados,num_evaluados,total_evaluaciones,ultimo_acceso,nivel_acceso) VALUES (2112,'LICENCIATURA','alvaro.moreno','MCA1844','TOMAR DEL SND','MORENO CORRAL ALVARO','PROFESORES','','MASCULINO','','',0,0,'','PROFESOR');</v>
      </c>
    </row>
    <row r="114" spans="1:12" ht="101.5" x14ac:dyDescent="0.35">
      <c r="A114" s="12">
        <v>2113</v>
      </c>
      <c r="B114" s="12" t="s">
        <v>1187</v>
      </c>
      <c r="C114" s="12" t="s">
        <v>749</v>
      </c>
      <c r="D114" s="12" t="s">
        <v>1195</v>
      </c>
      <c r="E114" s="14" t="s">
        <v>1188</v>
      </c>
      <c r="F114" s="12" t="s">
        <v>592</v>
      </c>
      <c r="G114" s="13" t="s">
        <v>1189</v>
      </c>
      <c r="H114" s="12"/>
      <c r="I114" s="12" t="s">
        <v>722</v>
      </c>
      <c r="J114" s="12"/>
      <c r="K114" s="12" t="str">
        <f>CONCATENATE(A114,",",B114,",'",C114,"','",D114,"','",E114,",'",F114,"','",G114,"','",H114,"','",UPPER(I114),"','",UPPER(J114),"','',0,0,'','PROFESOR'")</f>
        <v>2113,'LICENCIATURA','denis.rodriguez','RRD1854','TOMAR DEL SND','RODRIGUEZ ROMERO DENIS PAUL','PROFESORES','','MASCULINO','','',0,0,'','PROFESOR'</v>
      </c>
      <c r="L114" s="12" t="str">
        <f t="shared" si="1"/>
        <v>INSERT INTO participantes (id,nivel,correo,matricula,clave,nombre,carrera,grado,sexo,situacion,evaluados,num_evaluados,total_evaluaciones,ultimo_acceso,nivel_acceso) VALUES (2113,'LICENCIATURA','denis.rodriguez','RRD1854','TOMAR DEL SND','RODRIGUEZ ROMERO DENIS PAUL','PROFESORES','','MASCULINO','','',0,0,'','PROFESOR');</v>
      </c>
    </row>
    <row r="115" spans="1:12" ht="116" x14ac:dyDescent="0.35">
      <c r="A115" s="12">
        <v>2114</v>
      </c>
      <c r="B115" s="12" t="s">
        <v>1187</v>
      </c>
      <c r="C115" s="12" t="s">
        <v>760</v>
      </c>
      <c r="D115" s="12" t="s">
        <v>1199</v>
      </c>
      <c r="E115" s="14" t="s">
        <v>1188</v>
      </c>
      <c r="F115" s="12" t="s">
        <v>643</v>
      </c>
      <c r="G115" s="13" t="s">
        <v>1189</v>
      </c>
      <c r="H115" s="12"/>
      <c r="I115" s="12" t="s">
        <v>722</v>
      </c>
      <c r="J115" s="12"/>
      <c r="K115" s="12" t="str">
        <f>CONCATENATE(A115,",",B115,",'",C115,"','",D115,"','",E115,",'",F115,"','",G115,"','",H115,"','",UPPER(I115),"','",UPPER(J115),"','',0,0,'','PROFESOR'")</f>
        <v>2114,'LICENCIATURA','jose.valenzuela','VCJ1927','TOMAR DEL SND','VALENZUELA CHAVIRA JOSE DANIEL','PROFESORES','','MASCULINO','','',0,0,'','PROFESOR'</v>
      </c>
      <c r="L115" s="12" t="str">
        <f t="shared" si="1"/>
        <v>INSERT INTO participantes (id,nivel,correo,matricula,clave,nombre,carrera,grado,sexo,situacion,evaluados,num_evaluados,total_evaluaciones,ultimo_acceso,nivel_acceso) VALUES (2114,'LICENCIATURA','jose.valenzuela','VCJ1927','TOMAR DEL SND','VALENZUELA CHAVIRA JOSE DANIEL','PROFESORES','','MASCULINO','','',0,0,'','PROFESOR');</v>
      </c>
    </row>
    <row r="116" spans="1:12" ht="101.5" x14ac:dyDescent="0.35">
      <c r="A116" s="12">
        <v>2115</v>
      </c>
      <c r="B116" s="12" t="s">
        <v>1187</v>
      </c>
      <c r="C116" s="12" t="s">
        <v>1086</v>
      </c>
      <c r="D116" s="12" t="s">
        <v>1304</v>
      </c>
      <c r="E116" s="14" t="s">
        <v>1188</v>
      </c>
      <c r="F116" s="12" t="s">
        <v>699</v>
      </c>
      <c r="G116" s="13" t="s">
        <v>1189</v>
      </c>
      <c r="H116" s="12"/>
      <c r="I116" s="12" t="s">
        <v>721</v>
      </c>
      <c r="J116" s="12"/>
      <c r="K116" s="12" t="str">
        <f>CONCATENATE(A116,",",B116,",'",C116,"','",D116,"','",E116,",'",F116,"','",G116,"','",H116,"','",UPPER(I116),"','",UPPER(J116),"','',0,0,'','PROFESOR'")</f>
        <v>2115,'LICENCIATURA','paloma.acosta','AVP1751','TOMAR DEL SND','ACOSTA VELAZQUEZ PALOMA BELEN','PROFESORES','','FEMENINO','','',0,0,'','PROFESOR'</v>
      </c>
      <c r="L116" s="12" t="str">
        <f t="shared" si="1"/>
        <v>INSERT INTO participantes (id,nivel,correo,matricula,clave,nombre,carrera,grado,sexo,situacion,evaluados,num_evaluados,total_evaluaciones,ultimo_acceso,nivel_acceso) VALUES (2115,'LICENCIATURA','paloma.acosta','AVP1751','TOMAR DEL SND','ACOSTA VELAZQUEZ PALOMA BELEN','PROFESORES','','FEMENINO','','',0,0,'','PROFESOR');</v>
      </c>
    </row>
    <row r="117" spans="1:12" ht="116" x14ac:dyDescent="0.35">
      <c r="A117" s="12">
        <v>2116</v>
      </c>
      <c r="B117" s="12" t="s">
        <v>1187</v>
      </c>
      <c r="C117" s="12" t="s">
        <v>1088</v>
      </c>
      <c r="D117" s="12" t="s">
        <v>1305</v>
      </c>
      <c r="E117" s="14" t="s">
        <v>1188</v>
      </c>
      <c r="F117" s="12" t="s">
        <v>623</v>
      </c>
      <c r="G117" s="13" t="s">
        <v>1189</v>
      </c>
      <c r="H117" s="12"/>
      <c r="I117" s="12" t="s">
        <v>722</v>
      </c>
      <c r="J117" s="12"/>
      <c r="K117" s="12" t="str">
        <f>CONCATENATE(A117,",",B117,",'",C117,"','",D117,"','",E117,",'",F117,"','",G117,"','",H117,"','",UPPER(I117),"','",UPPER(J117),"','',0,0,'','PROFESOR'")</f>
        <v>2116,'LICENCIATURA','horacio.arteaga','ACH1131','TOMAR DEL SND','ARTEAGA CARDONA HORACIO','PROFESORES','','MASCULINO','','',0,0,'','PROFESOR'</v>
      </c>
      <c r="L117" s="12" t="str">
        <f t="shared" si="1"/>
        <v>INSERT INTO participantes (id,nivel,correo,matricula,clave,nombre,carrera,grado,sexo,situacion,evaluados,num_evaluados,total_evaluaciones,ultimo_acceso,nivel_acceso) VALUES (2116,'LICENCIATURA','horacio.arteaga','ACH1131','TOMAR DEL SND','ARTEAGA CARDONA HORACIO','PROFESORES','','MASCULINO','','',0,0,'','PROFESOR');</v>
      </c>
    </row>
    <row r="118" spans="1:12" ht="116" x14ac:dyDescent="0.35">
      <c r="A118" s="12">
        <v>2117</v>
      </c>
      <c r="B118" s="12" t="s">
        <v>1187</v>
      </c>
      <c r="C118" s="12" t="s">
        <v>1092</v>
      </c>
      <c r="D118" s="12" t="s">
        <v>1307</v>
      </c>
      <c r="E118" s="14" t="s">
        <v>1188</v>
      </c>
      <c r="F118" s="12" t="s">
        <v>671</v>
      </c>
      <c r="G118" s="13" t="s">
        <v>1189</v>
      </c>
      <c r="H118" s="12"/>
      <c r="I118" s="12" t="s">
        <v>721</v>
      </c>
      <c r="J118" s="12"/>
      <c r="K118" s="12" t="str">
        <f>CONCATENATE(A118,",",B118,",'",C118,"','",D118,"','",E118,",'",F118,"','",G118,"','",H118,"','",UPPER(I118),"','",UPPER(J118),"','',0,0,'','PROFESOR'")</f>
        <v>2117,'LICENCIATURA','maria.dominguez','DLM0970','TOMAR DEL SND','DOMINGUEZ LOPEZ MARIA ALEJANDRA','PROFESORES','','FEMENINO','','',0,0,'','PROFESOR'</v>
      </c>
      <c r="L118" s="12" t="str">
        <f t="shared" si="1"/>
        <v>INSERT INTO participantes (id,nivel,correo,matricula,clave,nombre,carrera,grado,sexo,situacion,evaluados,num_evaluados,total_evaluaciones,ultimo_acceso,nivel_acceso) VALUES (2117,'LICENCIATURA','maria.dominguez','DLM0970','TOMAR DEL SND','DOMINGUEZ LOPEZ MARIA ALEJANDRA','PROFESORES','','FEMENINO','','',0,0,'','PROFESOR');</v>
      </c>
    </row>
    <row r="119" spans="1:12" ht="116" x14ac:dyDescent="0.35">
      <c r="A119" s="12">
        <v>2118</v>
      </c>
      <c r="B119" s="12" t="s">
        <v>1187</v>
      </c>
      <c r="C119" s="12" t="s">
        <v>1096</v>
      </c>
      <c r="D119" s="12" t="s">
        <v>1309</v>
      </c>
      <c r="E119" s="14" t="s">
        <v>1188</v>
      </c>
      <c r="F119" s="12" t="s">
        <v>561</v>
      </c>
      <c r="G119" s="13" t="s">
        <v>1189</v>
      </c>
      <c r="H119" s="12"/>
      <c r="I119" s="12" t="s">
        <v>721</v>
      </c>
      <c r="J119" s="12"/>
      <c r="K119" s="12" t="str">
        <f>CONCATENATE(A119,",",B119,",'",C119,"','",D119,"','",E119,",'",F119,"','",G119,"','",H119,"','",UPPER(I119),"','",UPPER(J119),"','',0,0,'','PROFESOR'")</f>
        <v>2118,'LICENCIATURA','alma.velazquez','VNA1925','TOMAR DEL SND','VELAZQUEZ NAVARRETE ALMA DANIELA','PROFESORES','','FEMENINO','','',0,0,'','PROFESOR'</v>
      </c>
      <c r="L119" s="12" t="str">
        <f t="shared" si="1"/>
        <v>INSERT INTO participantes (id,nivel,correo,matricula,clave,nombre,carrera,grado,sexo,situacion,evaluados,num_evaluados,total_evaluaciones,ultimo_acceso,nivel_acceso) VALUES (2118,'LICENCIATURA','alma.velazquez','VNA1925','TOMAR DEL SND','VELAZQUEZ NAVARRETE ALMA DANIELA','PROFESORES','','FEMENINO','','',0,0,'','PROFESOR');</v>
      </c>
    </row>
    <row r="120" spans="1:12" ht="116" x14ac:dyDescent="0.35">
      <c r="A120" s="12">
        <v>2119</v>
      </c>
      <c r="B120" s="12" t="s">
        <v>1187</v>
      </c>
      <c r="C120" s="12" t="s">
        <v>1101</v>
      </c>
      <c r="D120" s="12" t="s">
        <v>1311</v>
      </c>
      <c r="E120" s="14" t="s">
        <v>1188</v>
      </c>
      <c r="F120" s="12" t="s">
        <v>622</v>
      </c>
      <c r="G120" s="13" t="s">
        <v>1189</v>
      </c>
      <c r="H120" s="12"/>
      <c r="I120" s="12" t="s">
        <v>722</v>
      </c>
      <c r="J120" s="12"/>
      <c r="K120" s="12" t="str">
        <f>CONCATENATE(A120,",",B120,",'",C120,"','",D120,"','",E120,",'",F120,"','",G120,"','",H120,"','",UPPER(I120),"','",UPPER(J120),"','',0,0,'','PROFESOR'")</f>
        <v>2119,'LICENCIATURA','hernan.cavallo','CMH1305','TOMAR DEL SND','CAVALLO  MAZZITELLI HERNAN ANDRES','PROFESORES','','MASCULINO','','',0,0,'','PROFESOR'</v>
      </c>
      <c r="L120" s="12" t="str">
        <f t="shared" si="1"/>
        <v>INSERT INTO participantes (id,nivel,correo,matricula,clave,nombre,carrera,grado,sexo,situacion,evaluados,num_evaluados,total_evaluaciones,ultimo_acceso,nivel_acceso) VALUES (2119,'LICENCIATURA','hernan.cavallo','CMH1305','TOMAR DEL SND','CAVALLO  MAZZITELLI HERNAN ANDRES','PROFESORES','','MASCULINO','','',0,0,'','PROFESOR');</v>
      </c>
    </row>
    <row r="121" spans="1:12" ht="116" x14ac:dyDescent="0.35">
      <c r="A121" s="12">
        <v>2120</v>
      </c>
      <c r="B121" s="12" t="s">
        <v>1187</v>
      </c>
      <c r="C121" s="12" t="s">
        <v>1090</v>
      </c>
      <c r="D121" s="12" t="s">
        <v>1306</v>
      </c>
      <c r="E121" s="14" t="s">
        <v>1188</v>
      </c>
      <c r="F121" s="12" t="s">
        <v>550</v>
      </c>
      <c r="G121" s="13" t="s">
        <v>1189</v>
      </c>
      <c r="H121" s="12"/>
      <c r="I121" s="12" t="s">
        <v>721</v>
      </c>
      <c r="J121" s="12"/>
      <c r="K121" s="12" t="str">
        <f>CONCATENATE(A121,",",B121,",'",C121,"','",D121,"','",E121,",'",F121,"','",G121,"','",H121,"','",UPPER(I121),"','",UPPER(J121),"','',0,0,'','PROFESOR'")</f>
        <v>2120,'LICENCIATURA','abigail.chilpa','CAA1971','TOMAR DEL SND','CHILPA ABOYTES ABIGAIL NOHEMI','PROFESORES','','FEMENINO','','',0,0,'','PROFESOR'</v>
      </c>
      <c r="L121" s="12" t="str">
        <f t="shared" si="1"/>
        <v>INSERT INTO participantes (id,nivel,correo,matricula,clave,nombre,carrera,grado,sexo,situacion,evaluados,num_evaluados,total_evaluaciones,ultimo_acceso,nivel_acceso) VALUES (2120,'LICENCIATURA','abigail.chilpa','CAA1971','TOMAR DEL SND','CHILPA ABOYTES ABIGAIL NOHEMI','PROFESORES','','FEMENINO','','',0,0,'','PROFESOR');</v>
      </c>
    </row>
    <row r="122" spans="1:12" ht="101.5" x14ac:dyDescent="0.35">
      <c r="A122" s="12">
        <v>2121</v>
      </c>
      <c r="B122" s="12" t="s">
        <v>1187</v>
      </c>
      <c r="C122" s="12" t="s">
        <v>1104</v>
      </c>
      <c r="D122" s="12" t="s">
        <v>1312</v>
      </c>
      <c r="E122" s="14" t="s">
        <v>1188</v>
      </c>
      <c r="F122" s="12" t="s">
        <v>678</v>
      </c>
      <c r="G122" s="13" t="s">
        <v>1189</v>
      </c>
      <c r="H122" s="12"/>
      <c r="I122" s="12" t="s">
        <v>721</v>
      </c>
      <c r="J122" s="12"/>
      <c r="K122" s="12" t="str">
        <f>CONCATENATE(A122,",",B122,",'",C122,"','",D122,"','",E122,",'",F122,"','",G122,"','",H122,"','",UPPER(I122),"','",UPPER(J122),"','',0,0,'','PROFESOR'")</f>
        <v>2121,'LICENCIATURA','maria.gonzalez','GAM0556','TOMAR DEL SND','GONZALEZ ALVAREZ MARIA TERESA','PROFESORES','','FEMENINO','','',0,0,'','PROFESOR'</v>
      </c>
      <c r="L122" s="12" t="str">
        <f t="shared" si="1"/>
        <v>INSERT INTO participantes (id,nivel,correo,matricula,clave,nombre,carrera,grado,sexo,situacion,evaluados,num_evaluados,total_evaluaciones,ultimo_acceso,nivel_acceso) VALUES (2121,'LICENCIATURA','maria.gonzalez','GAM0556','TOMAR DEL SND','GONZALEZ ALVAREZ MARIA TERESA','PROFESORES','','FEMENINO','','',0,0,'','PROFESOR');</v>
      </c>
    </row>
    <row r="123" spans="1:12" ht="116" x14ac:dyDescent="0.35">
      <c r="A123" s="12">
        <v>2122</v>
      </c>
      <c r="B123" s="12" t="s">
        <v>1187</v>
      </c>
      <c r="C123" s="12" t="s">
        <v>1106</v>
      </c>
      <c r="D123" s="12" t="s">
        <v>1313</v>
      </c>
      <c r="E123" s="14" t="s">
        <v>1188</v>
      </c>
      <c r="F123" s="12" t="s">
        <v>611</v>
      </c>
      <c r="G123" s="13" t="s">
        <v>1189</v>
      </c>
      <c r="H123" s="12"/>
      <c r="I123" s="12" t="s">
        <v>722</v>
      </c>
      <c r="J123" s="12"/>
      <c r="K123" s="12" t="str">
        <f>CONCATENATE(A123,",",B123,",'",C123,"','",D123,"','",E123,",'",F123,"','",G123,"','",H123,"','",UPPER(I123),"','",UPPER(J123),"','',0,0,'','PROFESOR'")</f>
        <v>2122,'LICENCIATURA','francisco.marquez','MCF1923','TOMAR DEL SND','MARQUEZ CORONA FRANCISCO ALBERTO','PROFESORES','','MASCULINO','','',0,0,'','PROFESOR'</v>
      </c>
      <c r="L123" s="12" t="str">
        <f t="shared" si="1"/>
        <v>INSERT INTO participantes (id,nivel,correo,matricula,clave,nombre,carrera,grado,sexo,situacion,evaluados,num_evaluados,total_evaluaciones,ultimo_acceso,nivel_acceso) VALUES (2122,'LICENCIATURA','francisco.marquez','MCF1923','TOMAR DEL SND','MARQUEZ CORONA FRANCISCO ALBERTO','PROFESORES','','MASCULINO','','',0,0,'','PROFESOR');</v>
      </c>
    </row>
    <row r="124" spans="1:12" ht="116" x14ac:dyDescent="0.35">
      <c r="A124" s="12">
        <v>2123</v>
      </c>
      <c r="B124" s="12" t="s">
        <v>1187</v>
      </c>
      <c r="C124" s="12" t="s">
        <v>1109</v>
      </c>
      <c r="D124" s="12" t="s">
        <v>1314</v>
      </c>
      <c r="E124" s="14" t="s">
        <v>1188</v>
      </c>
      <c r="F124" s="12" t="s">
        <v>579</v>
      </c>
      <c r="G124" s="13" t="s">
        <v>1189</v>
      </c>
      <c r="H124" s="12"/>
      <c r="I124" s="12" t="s">
        <v>721</v>
      </c>
      <c r="J124" s="12"/>
      <c r="K124" s="12" t="str">
        <f>CONCATENATE(A124,",",B124,",'",C124,"','",D124,"','",E124,",'",F124,"','",G124,"','",H124,"','",UPPER(I124),"','",UPPER(J124),"','',0,0,'','PROFESOR'")</f>
        <v>2123,'LICENCIATURA','citlain.vega','VRC1859','TOMAR DEL SND','VEGA ROMAN CITLALIN','PROFESORES','','FEMENINO','','',0,0,'','PROFESOR'</v>
      </c>
      <c r="L124" s="12" t="str">
        <f t="shared" si="1"/>
        <v>INSERT INTO participantes (id,nivel,correo,matricula,clave,nombre,carrera,grado,sexo,situacion,evaluados,num_evaluados,total_evaluaciones,ultimo_acceso,nivel_acceso) VALUES (2123,'LICENCIATURA','citlain.vega','VRC1859','TOMAR DEL SND','VEGA ROMAN CITLALIN','PROFESORES','','FEMENINO','','',0,0,'','PROFESOR');</v>
      </c>
    </row>
    <row r="125" spans="1:12" ht="101.5" x14ac:dyDescent="0.35">
      <c r="A125" s="12">
        <v>2124</v>
      </c>
      <c r="B125" s="12" t="s">
        <v>1187</v>
      </c>
      <c r="C125" s="12" t="s">
        <v>1112</v>
      </c>
      <c r="D125" s="12" t="s">
        <v>1315</v>
      </c>
      <c r="E125" s="14" t="s">
        <v>1188</v>
      </c>
      <c r="F125" s="12" t="s">
        <v>593</v>
      </c>
      <c r="G125" s="13" t="s">
        <v>1189</v>
      </c>
      <c r="H125" s="12"/>
      <c r="I125" s="12" t="s">
        <v>721</v>
      </c>
      <c r="J125" s="12"/>
      <c r="K125" s="12" t="str">
        <f>CONCATENATE(A125,",",B125,",'",C125,"','",D125,"','",E125,",'",F125,"','",G125,"','",H125,"','",UPPER(I125),"','",UPPER(J125),"','',0,0,'','PROFESOR'")</f>
        <v>2124,'LICENCIATURA','dennis.camacho','CBD0795','TOMAR DEL SND','CAMACHO BUENROSTRO DENNIS','PROFESORES','','FEMENINO','','',0,0,'','PROFESOR'</v>
      </c>
      <c r="L125" s="12" t="str">
        <f t="shared" si="1"/>
        <v>INSERT INTO participantes (id,nivel,correo,matricula,clave,nombre,carrera,grado,sexo,situacion,evaluados,num_evaluados,total_evaluaciones,ultimo_acceso,nivel_acceso) VALUES (2124,'LICENCIATURA','dennis.camacho','CBD0795','TOMAR DEL SND','CAMACHO BUENROSTRO DENNIS','PROFESORES','','FEMENINO','','',0,0,'','PROFESOR');</v>
      </c>
    </row>
    <row r="126" spans="1:12" ht="116" x14ac:dyDescent="0.35">
      <c r="A126" s="12">
        <v>2125</v>
      </c>
      <c r="B126" s="12" t="s">
        <v>1187</v>
      </c>
      <c r="C126" s="12" t="s">
        <v>1114</v>
      </c>
      <c r="D126" s="12" t="s">
        <v>1316</v>
      </c>
      <c r="E126" s="14" t="s">
        <v>1188</v>
      </c>
      <c r="F126" s="12" t="s">
        <v>674</v>
      </c>
      <c r="G126" s="13" t="s">
        <v>1189</v>
      </c>
      <c r="H126" s="12"/>
      <c r="I126" s="12" t="s">
        <v>721</v>
      </c>
      <c r="J126" s="12"/>
      <c r="K126" s="12" t="str">
        <f>CONCATENATE(A126,",",B126,",'",C126,"','",D126,"','",E126,",'",F126,"','",G126,"','",H126,"','",UPPER(I126),"','",UPPER(J126),"','',0,0,'','PROFESOR'")</f>
        <v>2125,'LICENCIATURA','maria.miranda','MMM1414','TOMAR DEL SND','MIRANDA MORTERA MARIA DOLORES','PROFESORES','','FEMENINO','','',0,0,'','PROFESOR'</v>
      </c>
      <c r="L126" s="12" t="str">
        <f t="shared" si="1"/>
        <v>INSERT INTO participantes (id,nivel,correo,matricula,clave,nombre,carrera,grado,sexo,situacion,evaluados,num_evaluados,total_evaluaciones,ultimo_acceso,nivel_acceso) VALUES (2125,'LICENCIATURA','maria.miranda','MMM1414','TOMAR DEL SND','MIRANDA MORTERA MARIA DOLORES','PROFESORES','','FEMENINO','','',0,0,'','PROFESOR');</v>
      </c>
    </row>
    <row r="127" spans="1:12" ht="101.5" x14ac:dyDescent="0.35">
      <c r="A127" s="12">
        <v>2126</v>
      </c>
      <c r="B127" s="12" t="s">
        <v>1187</v>
      </c>
      <c r="C127" s="12" t="s">
        <v>1116</v>
      </c>
      <c r="D127" s="12" t="s">
        <v>1317</v>
      </c>
      <c r="E127" s="14" t="s">
        <v>1188</v>
      </c>
      <c r="F127" s="12" t="s">
        <v>663</v>
      </c>
      <c r="G127" s="13" t="s">
        <v>1189</v>
      </c>
      <c r="H127" s="12"/>
      <c r="I127" s="12" t="s">
        <v>721</v>
      </c>
      <c r="J127" s="12"/>
      <c r="K127" s="12" t="str">
        <f>CONCATENATE(A127,",",B127,",'",C127,"','",D127,"','",E127,",'",F127,"','",G127,"','",H127,"','",UPPER(I127),"','",UPPER(J127),"','',0,0,'','PROFESOR'")</f>
        <v>2126,'LICENCIATURA','lizette.moreno','MTL1553','TOMAR DEL SND','MORENO TERAN LIZETTE SARAI','PROFESORES','','FEMENINO','','',0,0,'','PROFESOR'</v>
      </c>
      <c r="L127" s="12" t="str">
        <f t="shared" si="1"/>
        <v>INSERT INTO participantes (id,nivel,correo,matricula,clave,nombre,carrera,grado,sexo,situacion,evaluados,num_evaluados,total_evaluaciones,ultimo_acceso,nivel_acceso) VALUES (2126,'LICENCIATURA','lizette.moreno','MTL1553','TOMAR DEL SND','MORENO TERAN LIZETTE SARAI','PROFESORES','','FEMENINO','','',0,0,'','PROFESOR');</v>
      </c>
    </row>
    <row r="128" spans="1:12" ht="116" x14ac:dyDescent="0.35">
      <c r="A128" s="12">
        <v>2127</v>
      </c>
      <c r="B128" s="12" t="s">
        <v>1187</v>
      </c>
      <c r="C128" s="12" t="s">
        <v>1118</v>
      </c>
      <c r="D128" s="12" t="s">
        <v>1318</v>
      </c>
      <c r="E128" s="14" t="s">
        <v>1188</v>
      </c>
      <c r="F128" s="12" t="s">
        <v>709</v>
      </c>
      <c r="G128" s="13" t="s">
        <v>1189</v>
      </c>
      <c r="H128" s="12"/>
      <c r="I128" s="12" t="s">
        <v>722</v>
      </c>
      <c r="J128" s="12"/>
      <c r="K128" s="12" t="str">
        <f>CONCATENATE(A128,",",B128,",'",C128,"','",D128,"','",E128,",'",F128,"','",G128,"','",H128,"','",UPPER(I128),"','",UPPER(J128),"','',0,0,'','PROFESOR'")</f>
        <v>2127,'LICENCIATURA','rodrigo.pena','PCR0609','TOMAR DEL SND','PEÑA CAMACHO RODRIGO','PROFESORES','','MASCULINO','','',0,0,'','PROFESOR'</v>
      </c>
      <c r="L128" s="12" t="str">
        <f t="shared" si="1"/>
        <v>INSERT INTO participantes (id,nivel,correo,matricula,clave,nombre,carrera,grado,sexo,situacion,evaluados,num_evaluados,total_evaluaciones,ultimo_acceso,nivel_acceso) VALUES (2127,'LICENCIATURA','rodrigo.pena','PCR0609','TOMAR DEL SND','PEÑA CAMACHO RODRIGO','PROFESORES','','MASCULINO','','',0,0,'','PROFESOR');</v>
      </c>
    </row>
    <row r="129" spans="1:12" ht="101.5" x14ac:dyDescent="0.35">
      <c r="A129" s="12">
        <v>2128</v>
      </c>
      <c r="B129" s="12" t="s">
        <v>1187</v>
      </c>
      <c r="C129" s="12" t="s">
        <v>1120</v>
      </c>
      <c r="D129" s="12" t="s">
        <v>1319</v>
      </c>
      <c r="E129" s="14" t="s">
        <v>1188</v>
      </c>
      <c r="F129" s="12" t="s">
        <v>605</v>
      </c>
      <c r="G129" s="13" t="s">
        <v>1189</v>
      </c>
      <c r="H129" s="12"/>
      <c r="I129" s="12" t="s">
        <v>721</v>
      </c>
      <c r="J129" s="12"/>
      <c r="K129" s="12" t="str">
        <f>CONCATENATE(A129,",",B129,",'",C129,"','",D129,"','",E129,",'",F129,"','",G129,"','",H129,"','",UPPER(I129),"','",UPPER(J129),"','',0,0,'','PROFESOR'")</f>
        <v>2128,'LICENCIATURA','erika.ponce','PSE2004','TOMAR DEL SND','PONCE SAAVEDRA ERIKA ALICIA','PROFESORES','','FEMENINO','','',0,0,'','PROFESOR'</v>
      </c>
      <c r="L129" s="12" t="str">
        <f t="shared" si="1"/>
        <v>INSERT INTO participantes (id,nivel,correo,matricula,clave,nombre,carrera,grado,sexo,situacion,evaluados,num_evaluados,total_evaluaciones,ultimo_acceso,nivel_acceso) VALUES (2128,'LICENCIATURA','erika.ponce','PSE2004','TOMAR DEL SND','PONCE SAAVEDRA ERIKA ALICIA','PROFESORES','','FEMENINO','','',0,0,'','PROFESOR');</v>
      </c>
    </row>
    <row r="130" spans="1:12" ht="116" x14ac:dyDescent="0.35">
      <c r="A130" s="12">
        <v>2129</v>
      </c>
      <c r="B130" s="12" t="s">
        <v>1187</v>
      </c>
      <c r="C130" s="12" t="s">
        <v>1122</v>
      </c>
      <c r="D130" s="12" t="s">
        <v>1320</v>
      </c>
      <c r="E130" s="14" t="s">
        <v>1188</v>
      </c>
      <c r="F130" s="12" t="s">
        <v>666</v>
      </c>
      <c r="G130" s="13" t="s">
        <v>1189</v>
      </c>
      <c r="H130" s="12"/>
      <c r="I130" s="12" t="s">
        <v>722</v>
      </c>
      <c r="J130" s="12"/>
      <c r="K130" s="12" t="str">
        <f>CONCATENATE(A130,",",B130,",'",C130,"','",D130,"','",E130,",'",F130,"','",G130,"','",H130,"','",UPPER(I130),"','",UPPER(J130),"','',0,0,'','PROFESOR'")</f>
        <v>2129,'LICENCIATURA','luis.romero','RCL1449','TOMAR DEL SND','ROMERO  CORDOVA LUIS ARTURO','PROFESORES','','MASCULINO','','',0,0,'','PROFESOR'</v>
      </c>
      <c r="L130" s="12" t="str">
        <f t="shared" si="1"/>
        <v>INSERT INTO participantes (id,nivel,correo,matricula,clave,nombre,carrera,grado,sexo,situacion,evaluados,num_evaluados,total_evaluaciones,ultimo_acceso,nivel_acceso) VALUES (2129,'LICENCIATURA','luis.romero','RCL1449','TOMAR DEL SND','ROMERO  CORDOVA LUIS ARTURO','PROFESORES','','MASCULINO','','',0,0,'','PROFESOR');</v>
      </c>
    </row>
    <row r="131" spans="1:12" ht="116" x14ac:dyDescent="0.35">
      <c r="A131" s="12">
        <v>2130</v>
      </c>
      <c r="B131" s="12" t="s">
        <v>1187</v>
      </c>
      <c r="C131" s="12" t="s">
        <v>1099</v>
      </c>
      <c r="D131" s="12" t="s">
        <v>1310</v>
      </c>
      <c r="E131" s="14" t="s">
        <v>1188</v>
      </c>
      <c r="F131" s="12" t="s">
        <v>633</v>
      </c>
      <c r="G131" s="13" t="s">
        <v>1189</v>
      </c>
      <c r="H131" s="12"/>
      <c r="I131" s="12" t="s">
        <v>722</v>
      </c>
      <c r="J131" s="12"/>
      <c r="K131" s="12" t="str">
        <f>CONCATENATE(A131,",",B131,",'",C131,"','",D131,"','",E131,",'",F131,"','",G131,"','",H131,"','",UPPER(I131),"','",UPPER(J131),"','',0,0,'','PROFESOR'")</f>
        <v>2130,'LICENCIATURA','jesus.begines','BCJ1210','TOMAR DEL SND','BEGINES CINCO JESUS HIRAM','PROFESORES','','MASCULINO','','',0,0,'','PROFESOR'</v>
      </c>
      <c r="L131" s="12" t="str">
        <f t="shared" ref="L131:L172" si="2">CONCATENATE($K$1,K131,");")</f>
        <v>INSERT INTO participantes (id,nivel,correo,matricula,clave,nombre,carrera,grado,sexo,situacion,evaluados,num_evaluados,total_evaluaciones,ultimo_acceso,nivel_acceso) VALUES (2130,'LICENCIATURA','jesus.begines','BCJ1210','TOMAR DEL SND','BEGINES CINCO JESUS HIRAM','PROFESORES','','MASCULINO','','',0,0,'','PROFESOR');</v>
      </c>
    </row>
    <row r="132" spans="1:12" ht="101.5" x14ac:dyDescent="0.35">
      <c r="A132" s="12">
        <v>2131</v>
      </c>
      <c r="B132" s="12" t="s">
        <v>1187</v>
      </c>
      <c r="C132" s="12" t="s">
        <v>1126</v>
      </c>
      <c r="D132" s="12" t="s">
        <v>1321</v>
      </c>
      <c r="E132" s="14" t="s">
        <v>1188</v>
      </c>
      <c r="F132" s="12" t="s">
        <v>656</v>
      </c>
      <c r="G132" s="13" t="s">
        <v>1189</v>
      </c>
      <c r="H132" s="12"/>
      <c r="I132" s="12" t="s">
        <v>721</v>
      </c>
      <c r="J132" s="12"/>
      <c r="K132" s="12" t="str">
        <f>CONCATENATE(A132,",",B132,",'",C132,"','",D132,"','",E132,",'",F132,"','",G132,"','",H132,"','",UPPER(I132),"','",UPPER(J132),"','',0,0,'','PROFESOR'")</f>
        <v>2131,'LICENCIATURA','laura.gama','GGL1922','TOMAR DEL SND','GAMA GOMEZ LAURA JEZABEL','PROFESORES','','FEMENINO','','',0,0,'','PROFESOR'</v>
      </c>
      <c r="L132" s="12" t="str">
        <f t="shared" si="2"/>
        <v>INSERT INTO participantes (id,nivel,correo,matricula,clave,nombre,carrera,grado,sexo,situacion,evaluados,num_evaluados,total_evaluaciones,ultimo_acceso,nivel_acceso) VALUES (2131,'LICENCIATURA','laura.gama','GGL1922','TOMAR DEL SND','GAMA GOMEZ LAURA JEZABEL','PROFESORES','','FEMENINO','','',0,0,'','PROFESOR');</v>
      </c>
    </row>
    <row r="133" spans="1:12" ht="101.5" x14ac:dyDescent="0.35">
      <c r="A133" s="12">
        <v>2132</v>
      </c>
      <c r="B133" s="12" t="s">
        <v>1187</v>
      </c>
      <c r="C133" s="12" t="s">
        <v>1130</v>
      </c>
      <c r="D133" s="12" t="s">
        <v>1322</v>
      </c>
      <c r="E133" s="14" t="s">
        <v>1188</v>
      </c>
      <c r="F133" s="12" t="s">
        <v>655</v>
      </c>
      <c r="G133" s="13" t="s">
        <v>1189</v>
      </c>
      <c r="H133" s="12"/>
      <c r="I133" s="12" t="s">
        <v>721</v>
      </c>
      <c r="J133" s="12"/>
      <c r="K133" s="12" t="str">
        <f>CONCATENATE(A133,",",B133,",'",C133,"','",D133,"','",E133,",'",F133,"','",G133,"','",H133,"','",UPPER(I133),"','",UPPER(J133),"','',0,0,'','PROFESOR'")</f>
        <v>2132,'LICENCIATURA','laura.rivas','RRL1304','TOMAR DEL SND','RIVAS RODRIGUEZ LAURA','PROFESORES','','FEMENINO','','',0,0,'','PROFESOR'</v>
      </c>
      <c r="L133" s="12" t="str">
        <f t="shared" si="2"/>
        <v>INSERT INTO participantes (id,nivel,correo,matricula,clave,nombre,carrera,grado,sexo,situacion,evaluados,num_evaluados,total_evaluaciones,ultimo_acceso,nivel_acceso) VALUES (2132,'LICENCIATURA','laura.rivas','RRL1304','TOMAR DEL SND','RIVAS RODRIGUEZ LAURA','PROFESORES','','FEMENINO','','',0,0,'','PROFESOR');</v>
      </c>
    </row>
    <row r="134" spans="1:12" ht="116" x14ac:dyDescent="0.35">
      <c r="A134" s="12">
        <v>2133</v>
      </c>
      <c r="B134" s="12" t="s">
        <v>1187</v>
      </c>
      <c r="C134" s="12" t="s">
        <v>1132</v>
      </c>
      <c r="D134" s="12" t="s">
        <v>1323</v>
      </c>
      <c r="E134" s="14" t="s">
        <v>1188</v>
      </c>
      <c r="F134" s="12" t="s">
        <v>627</v>
      </c>
      <c r="G134" s="13" t="s">
        <v>1189</v>
      </c>
      <c r="H134" s="12"/>
      <c r="I134" s="12" t="s">
        <v>722</v>
      </c>
      <c r="J134" s="12"/>
      <c r="K134" s="12" t="str">
        <f>CONCATENATE(A134,",",B134,",'",C134,"','",D134,"','",E134,",'",F134,"','",G134,"','",H134,"','",UPPER(I134),"','",UPPER(J134),"','',0,0,'','PROFESOR'")</f>
        <v>2133,'LICENCIATURA','irving.rodriguez','RAI1236','TOMAR DEL SND','RODRIGUEZ ALONSO IRVING TRINIDAD','PROFESORES','','MASCULINO','','',0,0,'','PROFESOR'</v>
      </c>
      <c r="L134" s="12" t="str">
        <f t="shared" si="2"/>
        <v>INSERT INTO participantes (id,nivel,correo,matricula,clave,nombre,carrera,grado,sexo,situacion,evaluados,num_evaluados,total_evaluaciones,ultimo_acceso,nivel_acceso) VALUES (2133,'LICENCIATURA','irving.rodriguez','RAI1236','TOMAR DEL SND','RODRIGUEZ ALONSO IRVING TRINIDAD','PROFESORES','','MASCULINO','','',0,0,'','PROFESOR');</v>
      </c>
    </row>
    <row r="135" spans="1:12" ht="116" x14ac:dyDescent="0.35">
      <c r="A135" s="12">
        <v>2134</v>
      </c>
      <c r="B135" s="12" t="s">
        <v>1187</v>
      </c>
      <c r="C135" s="12" t="s">
        <v>1138</v>
      </c>
      <c r="D135" s="12" t="s">
        <v>1325</v>
      </c>
      <c r="E135" s="14" t="s">
        <v>1188</v>
      </c>
      <c r="F135" s="12" t="s">
        <v>559</v>
      </c>
      <c r="G135" s="13" t="s">
        <v>1189</v>
      </c>
      <c r="H135" s="12"/>
      <c r="I135" s="12" t="s">
        <v>722</v>
      </c>
      <c r="J135" s="12"/>
      <c r="K135" s="12" t="str">
        <f>CONCATENATE(A135,",",B135,",'",C135,"','",D135,"','",E135,",'",F135,"','",G135,"','",H135,"','",UPPER(I135),"','",UPPER(J135),"','',0,0,'','PROFESOR'")</f>
        <v>2134,'LICENCIATURA','alfredo.garcia','GVA1919','TOMAR DEL SND','GARCIA VALDERRAMA ALFREDO','PROFESORES','','MASCULINO','','',0,0,'','PROFESOR'</v>
      </c>
      <c r="L135" s="12" t="str">
        <f t="shared" si="2"/>
        <v>INSERT INTO participantes (id,nivel,correo,matricula,clave,nombre,carrera,grado,sexo,situacion,evaluados,num_evaluados,total_evaluaciones,ultimo_acceso,nivel_acceso) VALUES (2134,'LICENCIATURA','alfredo.garcia','GVA1919','TOMAR DEL SND','GARCIA VALDERRAMA ALFREDO','PROFESORES','','MASCULINO','','',0,0,'','PROFESOR');</v>
      </c>
    </row>
    <row r="136" spans="1:12" ht="116" x14ac:dyDescent="0.35">
      <c r="A136" s="12">
        <v>2135</v>
      </c>
      <c r="B136" s="12" t="s">
        <v>1187</v>
      </c>
      <c r="C136" s="12" t="s">
        <v>1142</v>
      </c>
      <c r="D136" s="12" t="s">
        <v>1327</v>
      </c>
      <c r="E136" s="14" t="s">
        <v>1188</v>
      </c>
      <c r="F136" s="12" t="s">
        <v>571</v>
      </c>
      <c r="G136" s="13" t="s">
        <v>1189</v>
      </c>
      <c r="H136" s="12"/>
      <c r="I136" s="12" t="s">
        <v>721</v>
      </c>
      <c r="J136" s="12"/>
      <c r="K136" s="12" t="str">
        <f>CONCATENATE(A136,",",B136,",'",C136,"','",D136,"','",E136,",'",F136,"','",G136,"','",H136,"','",UPPER(I136),"','",UPPER(J136),"','',0,0,'','PROFESOR'")</f>
        <v>2135,'LICENCIATURA','brenda.guerra','GRB0956','TOMAR DEL SND','GUERRA RIOS BRENDA JEANNETTE','PROFESORES','','FEMENINO','','',0,0,'','PROFESOR'</v>
      </c>
      <c r="L136" s="12" t="str">
        <f t="shared" si="2"/>
        <v>INSERT INTO participantes (id,nivel,correo,matricula,clave,nombre,carrera,grado,sexo,situacion,evaluados,num_evaluados,total_evaluaciones,ultimo_acceso,nivel_acceso) VALUES (2135,'LICENCIATURA','brenda.guerra','GRB0956','TOMAR DEL SND','GUERRA RIOS BRENDA JEANNETTE','PROFESORES','','FEMENINO','','',0,0,'','PROFESOR');</v>
      </c>
    </row>
    <row r="137" spans="1:12" ht="116" x14ac:dyDescent="0.35">
      <c r="A137" s="12">
        <v>2136</v>
      </c>
      <c r="B137" s="12" t="s">
        <v>1187</v>
      </c>
      <c r="C137" s="12" t="s">
        <v>1144</v>
      </c>
      <c r="D137" s="12" t="s">
        <v>1328</v>
      </c>
      <c r="E137" s="14" t="s">
        <v>1188</v>
      </c>
      <c r="F137" s="12" t="s">
        <v>690</v>
      </c>
      <c r="G137" s="13" t="s">
        <v>1189</v>
      </c>
      <c r="H137" s="12"/>
      <c r="I137" s="12" t="s">
        <v>721</v>
      </c>
      <c r="J137" s="12"/>
      <c r="K137" s="12" t="str">
        <f>CONCATENATE(A137,",",B137,",'",C137,"','",D137,"','",E137,",'",F137,"','",G137,"','",H137,"','",UPPER(I137),"','",UPPER(J137),"','',0,0,'','PROFESOR'")</f>
        <v>2136,'LICENCIATURA','monserrat.perez','PCM1848','TOMAR DEL SND','PEREZ CAMACHO MONSERRAT MARLEM','PROFESORES','','FEMENINO','','',0,0,'','PROFESOR'</v>
      </c>
      <c r="L137" s="12" t="str">
        <f t="shared" si="2"/>
        <v>INSERT INTO participantes (id,nivel,correo,matricula,clave,nombre,carrera,grado,sexo,situacion,evaluados,num_evaluados,total_evaluaciones,ultimo_acceso,nivel_acceso) VALUES (2136,'LICENCIATURA','monserrat.perez','PCM1848','TOMAR DEL SND','PEREZ CAMACHO MONSERRAT MARLEM','PROFESORES','','FEMENINO','','',0,0,'','PROFESOR');</v>
      </c>
    </row>
    <row r="138" spans="1:12" ht="116" x14ac:dyDescent="0.35">
      <c r="A138" s="12">
        <v>2137</v>
      </c>
      <c r="B138" s="12" t="s">
        <v>1187</v>
      </c>
      <c r="C138" s="12" t="s">
        <v>1146</v>
      </c>
      <c r="D138" s="12" t="s">
        <v>1329</v>
      </c>
      <c r="E138" s="14" t="s">
        <v>1188</v>
      </c>
      <c r="F138" s="12" t="s">
        <v>610</v>
      </c>
      <c r="G138" s="13" t="s">
        <v>1189</v>
      </c>
      <c r="H138" s="12"/>
      <c r="I138" s="12" t="s">
        <v>722</v>
      </c>
      <c r="J138" s="12"/>
      <c r="K138" s="12" t="str">
        <f>CONCATENATE(A138,",",B138,",'",C138,"','",D138,"','",E138,",'",F138,"','",G138,"','",H138,"','",UPPER(I138),"','",UPPER(J138),"','',0,0,'','PROFESOR'")</f>
        <v>2137,'LICENCIATURA','francisco.tapia','TVF1344','TOMAR DEL SND','TAPIA VELAZQUEZ FRANCISCO','PROFESORES','','MASCULINO','','',0,0,'','PROFESOR'</v>
      </c>
      <c r="L138" s="12" t="str">
        <f t="shared" si="2"/>
        <v>INSERT INTO participantes (id,nivel,correo,matricula,clave,nombre,carrera,grado,sexo,situacion,evaluados,num_evaluados,total_evaluaciones,ultimo_acceso,nivel_acceso) VALUES (2137,'LICENCIATURA','francisco.tapia','TVF1344','TOMAR DEL SND','TAPIA VELAZQUEZ FRANCISCO','PROFESORES','','MASCULINO','','',0,0,'','PROFESOR');</v>
      </c>
    </row>
    <row r="139" spans="1:12" ht="116" x14ac:dyDescent="0.35">
      <c r="A139" s="12">
        <v>2138</v>
      </c>
      <c r="B139" s="12" t="s">
        <v>1187</v>
      </c>
      <c r="C139" s="12" t="s">
        <v>1149</v>
      </c>
      <c r="D139" s="12" t="s">
        <v>1330</v>
      </c>
      <c r="E139" s="14" t="s">
        <v>1188</v>
      </c>
      <c r="F139" s="12" t="s">
        <v>566</v>
      </c>
      <c r="G139" s="13" t="s">
        <v>1189</v>
      </c>
      <c r="H139" s="12"/>
      <c r="I139" s="12" t="s">
        <v>722</v>
      </c>
      <c r="J139" s="12"/>
      <c r="K139" s="12" t="str">
        <f>CONCATENATE(A139,",",B139,",'",C139,"','",D139,"','",E139,",'",F139,"','",G139,"','",H139,"','",UPPER(I139),"','",UPPER(J139),"','',0,0,'','PROFESOR'")</f>
        <v>2138,'LICENCIATURA','angel.avalos','ATA1653','TOMAR DEL SND','AVALOS TORRES ANGEL ALEJANDRO','PROFESORES','','MASCULINO','','',0,0,'','PROFESOR'</v>
      </c>
      <c r="L139" s="12" t="str">
        <f t="shared" si="2"/>
        <v>INSERT INTO participantes (id,nivel,correo,matricula,clave,nombre,carrera,grado,sexo,situacion,evaluados,num_evaluados,total_evaluaciones,ultimo_acceso,nivel_acceso) VALUES (2138,'LICENCIATURA','angel.avalos','ATA1653','TOMAR DEL SND','AVALOS TORRES ANGEL ALEJANDRO','PROFESORES','','MASCULINO','','',0,0,'','PROFESOR');</v>
      </c>
    </row>
    <row r="140" spans="1:12" ht="116" x14ac:dyDescent="0.35">
      <c r="A140" s="12">
        <v>2139</v>
      </c>
      <c r="B140" s="12" t="s">
        <v>1187</v>
      </c>
      <c r="C140" s="12" t="s">
        <v>1151</v>
      </c>
      <c r="D140" s="12" t="s">
        <v>1331</v>
      </c>
      <c r="E140" s="14" t="s">
        <v>1188</v>
      </c>
      <c r="F140" s="12" t="s">
        <v>625</v>
      </c>
      <c r="G140" s="13" t="s">
        <v>1189</v>
      </c>
      <c r="H140" s="12"/>
      <c r="I140" s="12" t="s">
        <v>722</v>
      </c>
      <c r="J140" s="12"/>
      <c r="K140" s="12" t="str">
        <f>CONCATENATE(A140,",",B140,",'",C140,"','",D140,"','",E140,",'",F140,"','",G140,"','",H140,"','",UPPER(I140),"','",UPPER(J140),"','',0,0,'','PROFESOR'")</f>
        <v>2139,'LICENCIATURA','ian.barrera','BSI1910','TOMAR DEL SND','BARRERA SANCHEZ IAN ALEJANDRO','PROFESORES','','MASCULINO','','',0,0,'','PROFESOR'</v>
      </c>
      <c r="L140" s="12" t="str">
        <f t="shared" si="2"/>
        <v>INSERT INTO participantes (id,nivel,correo,matricula,clave,nombre,carrera,grado,sexo,situacion,evaluados,num_evaluados,total_evaluaciones,ultimo_acceso,nivel_acceso) VALUES (2139,'LICENCIATURA','ian.barrera','BSI1910','TOMAR DEL SND','BARRERA SANCHEZ IAN ALEJANDRO','PROFESORES','','MASCULINO','','',0,0,'','PROFESOR');</v>
      </c>
    </row>
    <row r="141" spans="1:12" ht="101.5" x14ac:dyDescent="0.35">
      <c r="A141" s="12">
        <v>2140</v>
      </c>
      <c r="B141" s="12" t="s">
        <v>1187</v>
      </c>
      <c r="C141" s="12" t="s">
        <v>1153</v>
      </c>
      <c r="D141" s="12" t="s">
        <v>1332</v>
      </c>
      <c r="E141" s="14" t="s">
        <v>1188</v>
      </c>
      <c r="F141" s="12" t="s">
        <v>583</v>
      </c>
      <c r="G141" s="13" t="s">
        <v>1189</v>
      </c>
      <c r="H141" s="12"/>
      <c r="I141" s="12" t="s">
        <v>721</v>
      </c>
      <c r="J141" s="12"/>
      <c r="K141" s="12" t="str">
        <f>CONCATENATE(A141,",",B141,",'",C141,"','",D141,"','",E141,",'",F141,"','",G141,"','",H141,"','",UPPER(I141),"','",UPPER(J141),"','',0,0,'','PROFESOR'")</f>
        <v>2140,'LICENCIATURA','claudia.cortes','CVC1898','TOMAR DEL SND','CORTES VELASCO CLAUDIA PAOLA','PROFESORES','','FEMENINO','','',0,0,'','PROFESOR'</v>
      </c>
      <c r="L141" s="12" t="str">
        <f t="shared" si="2"/>
        <v>INSERT INTO participantes (id,nivel,correo,matricula,clave,nombre,carrera,grado,sexo,situacion,evaluados,num_evaluados,total_evaluaciones,ultimo_acceso,nivel_acceso) VALUES (2140,'LICENCIATURA','claudia.cortes','CVC1898','TOMAR DEL SND','CORTES VELASCO CLAUDIA PAOLA','PROFESORES','','FEMENINO','','',0,0,'','PROFESOR');</v>
      </c>
    </row>
    <row r="142" spans="1:12" ht="116" x14ac:dyDescent="0.35">
      <c r="A142" s="12">
        <v>2141</v>
      </c>
      <c r="B142" s="12" t="s">
        <v>1187</v>
      </c>
      <c r="C142" s="12" t="s">
        <v>1136</v>
      </c>
      <c r="D142" s="12" t="s">
        <v>1324</v>
      </c>
      <c r="E142" s="14" t="s">
        <v>1188</v>
      </c>
      <c r="F142" s="12" t="s">
        <v>619</v>
      </c>
      <c r="G142" s="13" t="s">
        <v>1189</v>
      </c>
      <c r="H142" s="12"/>
      <c r="I142" s="12" t="s">
        <v>722</v>
      </c>
      <c r="J142" s="12"/>
      <c r="K142" s="12" t="str">
        <f>CONCATENATE(A142,",",B142,",'",C142,"','",D142,"','",E142,",'",F142,"','",G142,"','",H142,"','",UPPER(I142),"','",UPPER(J142),"','',0,0,'','PROFESOR'")</f>
        <v>2141,'LICENCIATURA','hector.flores','FGH1934','TOMAR DEL SND','FLORES GUZMAN HECTOR ALFONSO','PROFESORES','','MASCULINO','','',0,0,'','PROFESOR'</v>
      </c>
      <c r="L142" s="12" t="str">
        <f t="shared" si="2"/>
        <v>INSERT INTO participantes (id,nivel,correo,matricula,clave,nombre,carrera,grado,sexo,situacion,evaluados,num_evaluados,total_evaluaciones,ultimo_acceso,nivel_acceso) VALUES (2141,'LICENCIATURA','hector.flores','FGH1934','TOMAR DEL SND','FLORES GUZMAN HECTOR ALFONSO','PROFESORES','','MASCULINO','','',0,0,'','PROFESOR');</v>
      </c>
    </row>
    <row r="143" spans="1:12" ht="116" x14ac:dyDescent="0.35">
      <c r="A143" s="12">
        <v>2142</v>
      </c>
      <c r="B143" s="12" t="s">
        <v>1187</v>
      </c>
      <c r="C143" s="12" t="s">
        <v>1140</v>
      </c>
      <c r="D143" s="12" t="s">
        <v>1326</v>
      </c>
      <c r="E143" s="14" t="s">
        <v>1188</v>
      </c>
      <c r="F143" s="12" t="s">
        <v>591</v>
      </c>
      <c r="G143" s="13" t="s">
        <v>1189</v>
      </c>
      <c r="H143" s="12"/>
      <c r="I143" s="12" t="s">
        <v>722</v>
      </c>
      <c r="J143" s="12"/>
      <c r="K143" s="12" t="str">
        <f>CONCATENATE(A143,",",B143,",'",C143,"','",D143,"','",E143,",'",F143,"','",G143,"','",H143,"','",UPPER(I143),"','",UPPER(J143),"','',0,0,'','PROFESOR'")</f>
        <v>2142,'LICENCIATURA','david.gomez','GPD1665','TOMAR DEL SND','GOMEZ PEREZ DAVID UBALDO','PROFESORES','','MASCULINO','','',0,0,'','PROFESOR'</v>
      </c>
      <c r="L143" s="12" t="str">
        <f t="shared" si="2"/>
        <v>INSERT INTO participantes (id,nivel,correo,matricula,clave,nombre,carrera,grado,sexo,situacion,evaluados,num_evaluados,total_evaluaciones,ultimo_acceso,nivel_acceso) VALUES (2142,'LICENCIATURA','david.gomez','GPD1665','TOMAR DEL SND','GOMEZ PEREZ DAVID UBALDO','PROFESORES','','MASCULINO','','',0,0,'','PROFESOR');</v>
      </c>
    </row>
    <row r="144" spans="1:12" ht="116" x14ac:dyDescent="0.35">
      <c r="A144" s="12">
        <v>2143</v>
      </c>
      <c r="B144" s="12" t="s">
        <v>1187</v>
      </c>
      <c r="C144" s="12" t="s">
        <v>1157</v>
      </c>
      <c r="D144" s="12" t="s">
        <v>1333</v>
      </c>
      <c r="E144" s="14" t="s">
        <v>1188</v>
      </c>
      <c r="F144" s="12" t="s">
        <v>641</v>
      </c>
      <c r="G144" s="13" t="s">
        <v>1189</v>
      </c>
      <c r="H144" s="12"/>
      <c r="I144" s="12" t="s">
        <v>722</v>
      </c>
      <c r="J144" s="12"/>
      <c r="K144" s="12" t="str">
        <f>CONCATENATE(A144,",",B144,",'",C144,"','",D144,"','",E144,",'",F144,"','",G144,"','",H144,"','",UPPER(I144),"','",UPPER(J144),"','',0,0,'','PROFESOR'")</f>
        <v>2143,'LICENCIATURA','jose.luna','LHJ1611','TOMAR DEL SND','LUNA HERRERA JOSE CARLOS','PROFESORES','','MASCULINO','','',0,0,'','PROFESOR'</v>
      </c>
      <c r="L144" s="12" t="str">
        <f t="shared" si="2"/>
        <v>INSERT INTO participantes (id,nivel,correo,matricula,clave,nombre,carrera,grado,sexo,situacion,evaluados,num_evaluados,total_evaluaciones,ultimo_acceso,nivel_acceso) VALUES (2143,'LICENCIATURA','jose.luna','LHJ1611','TOMAR DEL SND','LUNA HERRERA JOSE CARLOS','PROFESORES','','MASCULINO','','',0,0,'','PROFESOR');</v>
      </c>
    </row>
    <row r="145" spans="1:12" ht="101.5" x14ac:dyDescent="0.35">
      <c r="A145" s="12">
        <v>2144</v>
      </c>
      <c r="B145" s="12" t="s">
        <v>1187</v>
      </c>
      <c r="C145" s="12" t="s">
        <v>1162</v>
      </c>
      <c r="D145" s="12" t="s">
        <v>1334</v>
      </c>
      <c r="E145" s="14" t="s">
        <v>1188</v>
      </c>
      <c r="F145" s="12" t="s">
        <v>589</v>
      </c>
      <c r="G145" s="13" t="s">
        <v>1189</v>
      </c>
      <c r="H145" s="12"/>
      <c r="I145" s="12" t="s">
        <v>722</v>
      </c>
      <c r="J145" s="12"/>
      <c r="K145" s="12" t="str">
        <f>CONCATENATE(A145,",",B145,",'",C145,"','",D145,"','",E145,",'",F145,"','",G145,"','",H145,"','",UPPER(I145),"','",UPPER(J145),"','',0,0,'','PROFESOR'")</f>
        <v>2144,'LICENCIATURA','david.herrera','HAD0939','TOMAR DEL SND','HERRERA ARAGON DAVID','PROFESORES','','MASCULINO','','',0,0,'','PROFESOR'</v>
      </c>
      <c r="L145" s="12" t="str">
        <f t="shared" si="2"/>
        <v>INSERT INTO participantes (id,nivel,correo,matricula,clave,nombre,carrera,grado,sexo,situacion,evaluados,num_evaluados,total_evaluaciones,ultimo_acceso,nivel_acceso) VALUES (2144,'LICENCIATURA','david.herrera','HAD0939','TOMAR DEL SND','HERRERA ARAGON DAVID','PROFESORES','','MASCULINO','','',0,0,'','PROFESOR');</v>
      </c>
    </row>
    <row r="146" spans="1:12" ht="101.5" x14ac:dyDescent="0.35">
      <c r="A146" s="12">
        <v>2145</v>
      </c>
      <c r="B146" s="12" t="s">
        <v>1187</v>
      </c>
      <c r="C146" s="12" t="s">
        <v>1164</v>
      </c>
      <c r="D146" s="12" t="s">
        <v>1335</v>
      </c>
      <c r="E146" s="14" t="s">
        <v>1188</v>
      </c>
      <c r="F146" s="12" t="s">
        <v>693</v>
      </c>
      <c r="G146" s="13" t="s">
        <v>1189</v>
      </c>
      <c r="H146" s="12"/>
      <c r="I146" s="12" t="s">
        <v>721</v>
      </c>
      <c r="J146" s="12"/>
      <c r="K146" s="12" t="str">
        <f>CONCATENATE(A146,",",B146,",'",C146,"','",D146,"','",E146,",'",F146,"','",G146,"','",H146,"','",UPPER(I146),"','",UPPER(J146),"','',0,0,'','PROFESOR'")</f>
        <v>2145,'LICENCIATURA','narda.jauregui','JRN2021','TOMAR DEL SND','JAUREGUI RODRIGUEZ NARDA RUBI','PROFESORES','','FEMENINO','','',0,0,'','PROFESOR'</v>
      </c>
      <c r="L146" s="12" t="str">
        <f t="shared" si="2"/>
        <v>INSERT INTO participantes (id,nivel,correo,matricula,clave,nombre,carrera,grado,sexo,situacion,evaluados,num_evaluados,total_evaluaciones,ultimo_acceso,nivel_acceso) VALUES (2145,'LICENCIATURA','narda.jauregui','JRN2021','TOMAR DEL SND','JAUREGUI RODRIGUEZ NARDA RUBI','PROFESORES','','FEMENINO','','',0,0,'','PROFESOR');</v>
      </c>
    </row>
    <row r="147" spans="1:12" ht="101.5" x14ac:dyDescent="0.35">
      <c r="A147" s="12">
        <v>2146</v>
      </c>
      <c r="B147" s="12" t="s">
        <v>1187</v>
      </c>
      <c r="C147" s="12" t="s">
        <v>1166</v>
      </c>
      <c r="D147" s="12" t="s">
        <v>1336</v>
      </c>
      <c r="E147" s="14" t="s">
        <v>1188</v>
      </c>
      <c r="F147" s="12" t="s">
        <v>672</v>
      </c>
      <c r="G147" s="13" t="s">
        <v>1189</v>
      </c>
      <c r="H147" s="12"/>
      <c r="I147" s="12" t="s">
        <v>721</v>
      </c>
      <c r="J147" s="12"/>
      <c r="K147" s="12" t="str">
        <f>CONCATENATE(A147,",",B147,",'",C147,"','",D147,"','",E147,",'",F147,"','",G147,"','",H147,"','",UPPER(I147),"','",UPPER(J147),"','',0,0,'','PROFESOR'")</f>
        <v>2146,'LICENCIATURA','maria.rodriguez','RAM2025','TOMAR DEL SND','RODRIGUEZ AMADOR MARIA DE JESUS','PROFESORES','','FEMENINO','','',0,0,'','PROFESOR'</v>
      </c>
      <c r="L147" s="12" t="str">
        <f t="shared" si="2"/>
        <v>INSERT INTO participantes (id,nivel,correo,matricula,clave,nombre,carrera,grado,sexo,situacion,evaluados,num_evaluados,total_evaluaciones,ultimo_acceso,nivel_acceso) VALUES (2146,'LICENCIATURA','maria.rodriguez','RAM2025','TOMAR DEL SND','RODRIGUEZ AMADOR MARIA DE JESUS','PROFESORES','','FEMENINO','','',0,0,'','PROFESOR');</v>
      </c>
    </row>
    <row r="148" spans="1:12" ht="116" x14ac:dyDescent="0.35">
      <c r="A148" s="12">
        <v>2147</v>
      </c>
      <c r="B148" s="12" t="s">
        <v>1187</v>
      </c>
      <c r="C148" s="12" t="s">
        <v>1169</v>
      </c>
      <c r="D148" s="12" t="s">
        <v>1337</v>
      </c>
      <c r="E148" s="14" t="s">
        <v>1188</v>
      </c>
      <c r="F148" s="12" t="s">
        <v>573</v>
      </c>
      <c r="G148" s="13" t="s">
        <v>1189</v>
      </c>
      <c r="H148" s="12"/>
      <c r="I148" s="12" t="s">
        <v>721</v>
      </c>
      <c r="J148" s="12"/>
      <c r="K148" s="12" t="str">
        <f>CONCATENATE(A148,",",B148,",'",C148,"','",D148,"','",E148,",'",F148,"','",G148,"','",H148,"','",UPPER(I148),"','",UPPER(J148),"','',0,0,'','PROFESOR'")</f>
        <v>2147,'LICENCIATURA','carla.aguilar','ACC1730','TOMAR DEL SND','AGUILAR CEBALLOS CARLA MARIANA','PROFESORES','','FEMENINO','','',0,0,'','PROFESOR'</v>
      </c>
      <c r="L148" s="12" t="str">
        <f t="shared" si="2"/>
        <v>INSERT INTO participantes (id,nivel,correo,matricula,clave,nombre,carrera,grado,sexo,situacion,evaluados,num_evaluados,total_evaluaciones,ultimo_acceso,nivel_acceso) VALUES (2147,'LICENCIATURA','carla.aguilar','ACC1730','TOMAR DEL SND','AGUILAR CEBALLOS CARLA MARIANA','PROFESORES','','FEMENINO','','',0,0,'','PROFESOR');</v>
      </c>
    </row>
    <row r="149" spans="1:12" ht="116" x14ac:dyDescent="0.35">
      <c r="A149" s="12">
        <v>2148</v>
      </c>
      <c r="B149" s="12" t="s">
        <v>1187</v>
      </c>
      <c r="C149" s="12" t="s">
        <v>1171</v>
      </c>
      <c r="D149" s="12" t="s">
        <v>1338</v>
      </c>
      <c r="E149" s="14" t="s">
        <v>1188</v>
      </c>
      <c r="F149" s="12" t="s">
        <v>634</v>
      </c>
      <c r="G149" s="13" t="s">
        <v>1189</v>
      </c>
      <c r="H149" s="12"/>
      <c r="I149" s="12" t="s">
        <v>722</v>
      </c>
      <c r="J149" s="12"/>
      <c r="K149" s="12" t="str">
        <f>CONCATENATE(A149,",",B149,",'",C149,"','",D149,"','",E149,",'",F149,"','",G149,"','",H149,"','",UPPER(I149),"','",UPPER(J149),"','',0,0,'','PROFESOR'")</f>
        <v>2148,'LICENCIATURA','joaquin.garcia','GLJ1249','TOMAR DEL SND','GARCIA LOPEZ JOAQUIN','PROFESORES','','MASCULINO','','',0,0,'','PROFESOR'</v>
      </c>
      <c r="L149" s="12" t="str">
        <f t="shared" si="2"/>
        <v>INSERT INTO participantes (id,nivel,correo,matricula,clave,nombre,carrera,grado,sexo,situacion,evaluados,num_evaluados,total_evaluaciones,ultimo_acceso,nivel_acceso) VALUES (2148,'LICENCIATURA','joaquin.garcia','GLJ1249','TOMAR DEL SND','GARCIA LOPEZ JOAQUIN','PROFESORES','','MASCULINO','','',0,0,'','PROFESOR');</v>
      </c>
    </row>
    <row r="150" spans="1:12" ht="116" x14ac:dyDescent="0.35">
      <c r="A150" s="12">
        <v>2149</v>
      </c>
      <c r="B150" s="12" t="s">
        <v>1187</v>
      </c>
      <c r="C150" s="12" t="s">
        <v>1094</v>
      </c>
      <c r="D150" s="12" t="s">
        <v>1308</v>
      </c>
      <c r="E150" s="14" t="s">
        <v>1188</v>
      </c>
      <c r="F150" s="12" t="s">
        <v>601</v>
      </c>
      <c r="G150" s="13" t="s">
        <v>1189</v>
      </c>
      <c r="H150" s="12"/>
      <c r="I150" s="12" t="s">
        <v>722</v>
      </c>
      <c r="J150" s="12"/>
      <c r="K150" s="12" t="str">
        <f>CONCATENATE(A150,",",B150,",'",C150,"','",D150,"','",E150,",'",F150,"','",G150,"','",H150,"','",UPPER(I150),"','",UPPER(J150),"','',0,0,'','PROFESOR'")</f>
        <v>2149,'LICENCIATURA','enrique.gonzalez','GGE1133','TOMAR DEL SND','GONZALEZ GONZALEZ ENRIQUE','PROFESORES','','MASCULINO','','',0,0,'','PROFESOR'</v>
      </c>
      <c r="L150" s="12" t="str">
        <f t="shared" si="2"/>
        <v>INSERT INTO participantes (id,nivel,correo,matricula,clave,nombre,carrera,grado,sexo,situacion,evaluados,num_evaluados,total_evaluaciones,ultimo_acceso,nivel_acceso) VALUES (2149,'LICENCIATURA','enrique.gonzalez','GGE1133','TOMAR DEL SND','GONZALEZ GONZALEZ ENRIQUE','PROFESORES','','MASCULINO','','',0,0,'','PROFESOR');</v>
      </c>
    </row>
    <row r="151" spans="1:12" ht="116" x14ac:dyDescent="0.35">
      <c r="A151" s="12">
        <v>2150</v>
      </c>
      <c r="B151" s="12" t="s">
        <v>1187</v>
      </c>
      <c r="C151" s="12" t="s">
        <v>1175</v>
      </c>
      <c r="D151" s="12" t="s">
        <v>1339</v>
      </c>
      <c r="E151" s="14" t="s">
        <v>1188</v>
      </c>
      <c r="F151" s="12" t="s">
        <v>575</v>
      </c>
      <c r="G151" s="13" t="s">
        <v>1189</v>
      </c>
      <c r="H151" s="12"/>
      <c r="I151" s="12" t="s">
        <v>722</v>
      </c>
      <c r="J151" s="12"/>
      <c r="K151" s="12" t="str">
        <f>CONCATENATE(A151,",",B151,",'",C151,"','",D151,"','",E151,",'",F151,"','",G151,"','",H151,"','",UPPER(I151),"','",UPPER(J151),"','',0,0,'','PROFESOR'")</f>
        <v>2150,'LICENCIATURA','carlos.rosario','RBC1633','TOMAR DEL SND','ROSARIO BECERRA CARLOS ALFONSO','PROFESORES','','MASCULINO','','',0,0,'','PROFESOR'</v>
      </c>
      <c r="L151" s="12" t="str">
        <f t="shared" si="2"/>
        <v>INSERT INTO participantes (id,nivel,correo,matricula,clave,nombre,carrera,grado,sexo,situacion,evaluados,num_evaluados,total_evaluaciones,ultimo_acceso,nivel_acceso) VALUES (2150,'LICENCIATURA','carlos.rosario','RBC1633','TOMAR DEL SND','ROSARIO BECERRA CARLOS ALFONSO','PROFESORES','','MASCULINO','','',0,0,'','PROFESOR');</v>
      </c>
    </row>
    <row r="152" spans="1:12" ht="101.5" x14ac:dyDescent="0.35">
      <c r="A152" s="12">
        <v>2151</v>
      </c>
      <c r="B152" s="12" t="s">
        <v>1187</v>
      </c>
      <c r="C152" s="12" t="s">
        <v>757</v>
      </c>
      <c r="D152" s="12" t="s">
        <v>1198</v>
      </c>
      <c r="E152" s="14" t="s">
        <v>1188</v>
      </c>
      <c r="F152" s="12" t="s">
        <v>606</v>
      </c>
      <c r="G152" s="13" t="s">
        <v>1189</v>
      </c>
      <c r="H152" s="12"/>
      <c r="I152" s="12" t="s">
        <v>721</v>
      </c>
      <c r="J152" s="12"/>
      <c r="K152" s="12" t="str">
        <f>CONCATENATE(A152,",",B152,",'",C152,"','",D152,"','",E152,",'",F152,"','",G152,"','",H152,"','",UPPER(I152),"','",UPPER(J152),"','',0,0,'','PROFESOR'")</f>
        <v>2151,'LICENCIATURA','erika.salcedo','SRE1199','TOMAR DEL SND','SALCEDO ROSALES ERIKA IVETTE','PROFESORES','','FEMENINO','','',0,0,'','PROFESOR'</v>
      </c>
      <c r="L152" s="12" t="str">
        <f t="shared" si="2"/>
        <v>INSERT INTO participantes (id,nivel,correo,matricula,clave,nombre,carrera,grado,sexo,situacion,evaluados,num_evaluados,total_evaluaciones,ultimo_acceso,nivel_acceso) VALUES (2151,'LICENCIATURA','erika.salcedo','SRE1199','TOMAR DEL SND','SALCEDO ROSALES ERIKA IVETTE','PROFESORES','','FEMENINO','','',0,0,'','PROFESOR');</v>
      </c>
    </row>
    <row r="153" spans="1:12" ht="116" x14ac:dyDescent="0.35">
      <c r="A153" s="12">
        <v>2152</v>
      </c>
      <c r="B153" s="12" t="s">
        <v>1187</v>
      </c>
      <c r="C153" s="12" t="s">
        <v>1367</v>
      </c>
      <c r="D153" s="12" t="s">
        <v>1347</v>
      </c>
      <c r="E153" s="14" t="s">
        <v>1188</v>
      </c>
      <c r="F153" s="12" t="s">
        <v>564</v>
      </c>
      <c r="G153" s="13" t="s">
        <v>1189</v>
      </c>
      <c r="H153" s="12"/>
      <c r="I153" s="12" t="s">
        <v>721</v>
      </c>
      <c r="J153" s="12"/>
      <c r="K153" s="12" t="str">
        <f>CONCATENATE(A153,",",B153,",'",C153,"','",D153,"','",E153,",'",F153,"','",G153,"','",H153,"','",UPPER(I153),"','",UPPER(J153),"','',0,0,'','PROFESOR'")</f>
        <v>2152,'LICENCIATURA','ana.anguiano','ASA1552','TOMAR DEL SND','ANGUIANO SUAREZ DEL REAL ANA LORENA','PROFESORES','','FEMENINO','','',0,0,'','PROFESOR'</v>
      </c>
      <c r="L153" s="12" t="str">
        <f t="shared" si="2"/>
        <v>INSERT INTO participantes (id,nivel,correo,matricula,clave,nombre,carrera,grado,sexo,situacion,evaluados,num_evaluados,total_evaluaciones,ultimo_acceso,nivel_acceso) VALUES (2152,'LICENCIATURA','ana.anguiano','ASA1552','TOMAR DEL SND','ANGUIANO SUAREZ DEL REAL ANA LORENA','PROFESORES','','FEMENINO','','',0,0,'','PROFESOR');</v>
      </c>
    </row>
    <row r="154" spans="1:12" ht="116" x14ac:dyDescent="0.35">
      <c r="A154" s="12">
        <v>2153</v>
      </c>
      <c r="B154" s="12" t="s">
        <v>1187</v>
      </c>
      <c r="C154" s="13" t="s">
        <v>1368</v>
      </c>
      <c r="D154" s="12" t="s">
        <v>1348</v>
      </c>
      <c r="E154" s="14" t="s">
        <v>1188</v>
      </c>
      <c r="F154" s="12" t="s">
        <v>659</v>
      </c>
      <c r="G154" s="13" t="s">
        <v>1189</v>
      </c>
      <c r="H154" s="12"/>
      <c r="I154" s="12" t="s">
        <v>721</v>
      </c>
      <c r="J154" s="12"/>
      <c r="K154" s="12" t="str">
        <f>CONCATENATE(A154,",",B154,",'",C154,"','",D154,"','",E154,",'",F154,"','",G154,"','",H154,"','",UPPER(I154),"','",UPPER(J154),"','',0,0,'','PROFESOR'")</f>
        <v>2153,'LICENCIATURA','leidy.bermudez','BQL1911','TOMAR DEL SND','BERMUDEZ QUIROGA LEIDY CAROLINA','PROFESORES','','FEMENINO','','',0,0,'','PROFESOR'</v>
      </c>
      <c r="L154" s="12" t="str">
        <f t="shared" si="2"/>
        <v>INSERT INTO participantes (id,nivel,correo,matricula,clave,nombre,carrera,grado,sexo,situacion,evaluados,num_evaluados,total_evaluaciones,ultimo_acceso,nivel_acceso) VALUES (2153,'LICENCIATURA','leidy.bermudez','BQL1911','TOMAR DEL SND','BERMUDEZ QUIROGA LEIDY CAROLINA','PROFESORES','','FEMENINO','','',0,0,'','PROFESOR');</v>
      </c>
    </row>
    <row r="155" spans="1:12" ht="101.5" x14ac:dyDescent="0.35">
      <c r="A155" s="12">
        <v>2154</v>
      </c>
      <c r="B155" s="12" t="s">
        <v>1187</v>
      </c>
      <c r="C155" s="13" t="s">
        <v>1369</v>
      </c>
      <c r="D155" s="12" t="s">
        <v>1349</v>
      </c>
      <c r="E155" s="14" t="s">
        <v>1188</v>
      </c>
      <c r="F155" s="12" t="s">
        <v>675</v>
      </c>
      <c r="G155" s="13" t="s">
        <v>1189</v>
      </c>
      <c r="H155" s="12"/>
      <c r="I155" s="12" t="s">
        <v>721</v>
      </c>
      <c r="J155" s="12"/>
      <c r="K155" s="12" t="str">
        <f>CONCATENATE(A155,",",B155,",'",C155,"','",D155,"','",E155,",'",F155,"','",G155,"','",H155,"','",UPPER(I155),"','",UPPER(J155),"','',0,0,'','PROFESOR'")</f>
        <v>2154,'LICENCIATURA','maria.chan','CNM0034','TOMAR DEL SND','CHAN  NUÑEZ MARIA ELENA','PROFESORES','','FEMENINO','','',0,0,'','PROFESOR'</v>
      </c>
      <c r="L155" s="12" t="str">
        <f t="shared" si="2"/>
        <v>INSERT INTO participantes (id,nivel,correo,matricula,clave,nombre,carrera,grado,sexo,situacion,evaluados,num_evaluados,total_evaluaciones,ultimo_acceso,nivel_acceso) VALUES (2154,'LICENCIATURA','maria.chan','CNM0034','TOMAR DEL SND','CHAN  NUÑEZ MARIA ELENA','PROFESORES','','FEMENINO','','',0,0,'','PROFESOR');</v>
      </c>
    </row>
    <row r="156" spans="1:12" ht="116" x14ac:dyDescent="0.35">
      <c r="A156" s="12">
        <v>2155</v>
      </c>
      <c r="B156" s="12" t="s">
        <v>1187</v>
      </c>
      <c r="C156" s="13" t="s">
        <v>1376</v>
      </c>
      <c r="D156" s="12" t="s">
        <v>1350</v>
      </c>
      <c r="E156" s="14" t="s">
        <v>1188</v>
      </c>
      <c r="F156" s="12" t="s">
        <v>686</v>
      </c>
      <c r="G156" s="13" t="s">
        <v>1189</v>
      </c>
      <c r="H156" s="12"/>
      <c r="I156" s="12" t="s">
        <v>721</v>
      </c>
      <c r="J156" s="12"/>
      <c r="K156" s="12" t="str">
        <f>CONCATENATE(A156,",",B156,",'",C156,"','",D156,"','",E156,",'",F156,"','",G156,"','",H156,"','",UPPER(I156),"','",UPPER(J156),"','',0,0,'','PROFESOR'")</f>
        <v>2155,'LICENCIATURA','melissa.delarosa','DRM1880','TOMAR DEL SND','DE LA ROSA RICARIO MELISSA','PROFESORES','','FEMENINO','','',0,0,'','PROFESOR'</v>
      </c>
      <c r="L156" s="12" t="str">
        <f t="shared" si="2"/>
        <v>INSERT INTO participantes (id,nivel,correo,matricula,clave,nombre,carrera,grado,sexo,situacion,evaluados,num_evaluados,total_evaluaciones,ultimo_acceso,nivel_acceso) VALUES (2155,'LICENCIATURA','melissa.delarosa','DRM1880','TOMAR DEL SND','DE LA ROSA RICARIO MELISSA','PROFESORES','','FEMENINO','','',0,0,'','PROFESOR');</v>
      </c>
    </row>
    <row r="157" spans="1:12" ht="116" x14ac:dyDescent="0.35">
      <c r="A157" s="12">
        <v>2156</v>
      </c>
      <c r="B157" s="12" t="s">
        <v>1187</v>
      </c>
      <c r="C157" s="13" t="s">
        <v>1370</v>
      </c>
      <c r="D157" s="12" t="s">
        <v>1351</v>
      </c>
      <c r="E157" s="14" t="s">
        <v>1188</v>
      </c>
      <c r="F157" s="12" t="s">
        <v>582</v>
      </c>
      <c r="G157" s="13" t="s">
        <v>1189</v>
      </c>
      <c r="H157" s="12"/>
      <c r="I157" s="12" t="s">
        <v>721</v>
      </c>
      <c r="J157" s="12"/>
      <c r="K157" s="12" t="str">
        <f>CONCATENATE(A157,",",B157,",'",C157,"','",D157,"','",E157,",'",F157,"','",G157,"','",H157,"','",UPPER(I157),"','",UPPER(J157),"','',0,0,'','PROFESOR'")</f>
        <v>2156,'LICENCIATURA','claudia.escobedo','EGC2011','TOMAR DEL SND','ESCOBEDO GARCIA CLAUDIA MAYELA','PROFESORES','','FEMENINO','','',0,0,'','PROFESOR'</v>
      </c>
      <c r="L157" s="12" t="str">
        <f t="shared" si="2"/>
        <v>INSERT INTO participantes (id,nivel,correo,matricula,clave,nombre,carrera,grado,sexo,situacion,evaluados,num_evaluados,total_evaluaciones,ultimo_acceso,nivel_acceso) VALUES (2156,'LICENCIATURA','claudia.escobedo','EGC2011','TOMAR DEL SND','ESCOBEDO GARCIA CLAUDIA MAYELA','PROFESORES','','FEMENINO','','',0,0,'','PROFESOR');</v>
      </c>
    </row>
    <row r="158" spans="1:12" ht="101.5" x14ac:dyDescent="0.35">
      <c r="A158" s="12">
        <v>2157</v>
      </c>
      <c r="B158" s="12" t="s">
        <v>1187</v>
      </c>
      <c r="C158" s="13" t="s">
        <v>1377</v>
      </c>
      <c r="D158" s="12" t="s">
        <v>1352</v>
      </c>
      <c r="E158" s="14" t="s">
        <v>1188</v>
      </c>
      <c r="F158" s="12" t="s">
        <v>604</v>
      </c>
      <c r="G158" s="13" t="s">
        <v>1189</v>
      </c>
      <c r="H158" s="12"/>
      <c r="I158" s="12" t="s">
        <v>721</v>
      </c>
      <c r="J158" s="12"/>
      <c r="K158" s="12" t="str">
        <f>CONCATENATE(A158,",",B158,",'",C158,"','",D158,"','",E158,",'",F158,"','",G158,"','",H158,"','",UPPER(I158),"','",UPPER(J158),"','',0,0,'','PROFESOR'")</f>
        <v>2157,'LICENCIATURA','erika.espejo','ERE1767','TOMAR DEL SND','ESPEJO REGALADO ERIKA','PROFESORES','','FEMENINO','','',0,0,'','PROFESOR'</v>
      </c>
      <c r="L158" s="12" t="str">
        <f t="shared" si="2"/>
        <v>INSERT INTO participantes (id,nivel,correo,matricula,clave,nombre,carrera,grado,sexo,situacion,evaluados,num_evaluados,total_evaluaciones,ultimo_acceso,nivel_acceso) VALUES (2157,'LICENCIATURA','erika.espejo','ERE1767','TOMAR DEL SND','ESPEJO REGALADO ERIKA','PROFESORES','','FEMENINO','','',0,0,'','PROFESOR');</v>
      </c>
    </row>
    <row r="159" spans="1:12" ht="116" x14ac:dyDescent="0.35">
      <c r="A159" s="12">
        <v>2158</v>
      </c>
      <c r="B159" s="12" t="s">
        <v>1187</v>
      </c>
      <c r="C159" s="13" t="s">
        <v>1378</v>
      </c>
      <c r="D159" s="12" t="s">
        <v>1353</v>
      </c>
      <c r="E159" s="14" t="s">
        <v>1188</v>
      </c>
      <c r="F159" s="12" t="s">
        <v>588</v>
      </c>
      <c r="G159" s="13" t="s">
        <v>1189</v>
      </c>
      <c r="H159" s="12"/>
      <c r="I159" s="12" t="s">
        <v>721</v>
      </c>
      <c r="J159" s="12"/>
      <c r="K159" s="12" t="str">
        <f>CONCATENATE(A159,",",B159,",'",C159,"','",D159,"','",E159,",'",F159,"','",G159,"','",H159,"','",UPPER(I159),"','",UPPER(J159),"','',0,0,'','PROFESOR'")</f>
        <v>2158,'LICENCIATURA','daniela.fajer','FRD1712','TOMAR DEL SND','FAJER ROMO DANIELA','PROFESORES','','FEMENINO','','',0,0,'','PROFESOR'</v>
      </c>
      <c r="L159" s="12" t="str">
        <f t="shared" si="2"/>
        <v>INSERT INTO participantes (id,nivel,correo,matricula,clave,nombre,carrera,grado,sexo,situacion,evaluados,num_evaluados,total_evaluaciones,ultimo_acceso,nivel_acceso) VALUES (2158,'LICENCIATURA','daniela.fajer','FRD1712','TOMAR DEL SND','FAJER ROMO DANIELA','PROFESORES','','FEMENINO','','',0,0,'','PROFESOR');</v>
      </c>
    </row>
    <row r="160" spans="1:12" ht="101.5" x14ac:dyDescent="0.35">
      <c r="A160" s="12">
        <v>2159</v>
      </c>
      <c r="B160" s="12" t="s">
        <v>1187</v>
      </c>
      <c r="C160" s="13" t="s">
        <v>1379</v>
      </c>
      <c r="D160" s="12" t="s">
        <v>1354</v>
      </c>
      <c r="E160" s="14" t="s">
        <v>1188</v>
      </c>
      <c r="F160" s="12" t="s">
        <v>628</v>
      </c>
      <c r="G160" s="13" t="s">
        <v>1189</v>
      </c>
      <c r="H160" s="12"/>
      <c r="I160" s="12" t="s">
        <v>721</v>
      </c>
      <c r="J160" s="12"/>
      <c r="K160" s="12" t="str">
        <f>CONCATENATE(A160,",",B160,",'",C160,"','",D160,"','",E160,",'",F160,"','",G160,"','",H160,"','",UPPER(I160),"','",UPPER(J160),"','',0,0,'','PROFESOR'")</f>
        <v>2159,'LICENCIATURA','isis.farias','FCI1701','TOMAR DEL SND','FARIAS CASTELLANOS ISIS','PROFESORES','','FEMENINO','','',0,0,'','PROFESOR'</v>
      </c>
      <c r="L160" s="12" t="str">
        <f t="shared" si="2"/>
        <v>INSERT INTO participantes (id,nivel,correo,matricula,clave,nombre,carrera,grado,sexo,situacion,evaluados,num_evaluados,total_evaluaciones,ultimo_acceso,nivel_acceso) VALUES (2159,'LICENCIATURA','isis.farias','FCI1701','TOMAR DEL SND','FARIAS CASTELLANOS ISIS','PROFESORES','','FEMENINO','','',0,0,'','PROFESOR');</v>
      </c>
    </row>
    <row r="161" spans="1:12" ht="101.5" x14ac:dyDescent="0.35">
      <c r="A161" s="12">
        <v>2160</v>
      </c>
      <c r="B161" s="12" t="s">
        <v>1187</v>
      </c>
      <c r="C161" s="13" t="s">
        <v>1371</v>
      </c>
      <c r="D161" s="12" t="s">
        <v>1355</v>
      </c>
      <c r="E161" s="14" t="s">
        <v>1188</v>
      </c>
      <c r="F161" s="12" t="s">
        <v>689</v>
      </c>
      <c r="G161" s="13" t="s">
        <v>1189</v>
      </c>
      <c r="H161" s="12"/>
      <c r="I161" s="12" t="s">
        <v>722</v>
      </c>
      <c r="J161" s="12"/>
      <c r="K161" s="12" t="str">
        <f>CONCATENATE(A161,",",B161,",'",C161,"','",D161,"','",E161,",'",F161,"','",G161,"','",H161,"','",UPPER(I161),"','",UPPER(J161),"','',0,0,'','PROFESOR'")</f>
        <v>2160,'LICENCIATURA','miguel.frias','FRM2000','TOMAR DEL SND','FRIAS REYNAGA MIGUEL ANGEL','PROFESORES','','MASCULINO','','',0,0,'','PROFESOR'</v>
      </c>
      <c r="L161" s="12" t="str">
        <f t="shared" si="2"/>
        <v>INSERT INTO participantes (id,nivel,correo,matricula,clave,nombre,carrera,grado,sexo,situacion,evaluados,num_evaluados,total_evaluaciones,ultimo_acceso,nivel_acceso) VALUES (2160,'LICENCIATURA','miguel.frias','FRM2000','TOMAR DEL SND','FRIAS REYNAGA MIGUEL ANGEL','PROFESORES','','MASCULINO','','',0,0,'','PROFESOR');</v>
      </c>
    </row>
    <row r="162" spans="1:12" ht="116" x14ac:dyDescent="0.35">
      <c r="A162" s="12">
        <v>2161</v>
      </c>
      <c r="B162" s="12" t="s">
        <v>1187</v>
      </c>
      <c r="C162" s="13" t="s">
        <v>1385</v>
      </c>
      <c r="D162" s="12" t="s">
        <v>1356</v>
      </c>
      <c r="E162" s="14" t="s">
        <v>1188</v>
      </c>
      <c r="F162" s="12" t="s">
        <v>642</v>
      </c>
      <c r="G162" s="13" t="s">
        <v>1189</v>
      </c>
      <c r="H162" s="12"/>
      <c r="I162" s="12" t="s">
        <v>722</v>
      </c>
      <c r="J162" s="12"/>
      <c r="K162" s="12" t="str">
        <f>CONCATENATE(A162,",",B162,",'",C162,"','",D162,"','",E162,",'",F162,"','",G162,"','",H162,"','",UPPER(I162),"','",UPPER(J162),"','',0,0,'','PROFESOR'")</f>
        <v>2161,'LICENCIATURA','jose.garciav','GVJ1876','TOMAR DEL SND','GARCIA VAZQUEZ JOSE COSME','PROFESORES','','MASCULINO','','',0,0,'','PROFESOR'</v>
      </c>
      <c r="L162" s="12" t="str">
        <f t="shared" si="2"/>
        <v>INSERT INTO participantes (id,nivel,correo,matricula,clave,nombre,carrera,grado,sexo,situacion,evaluados,num_evaluados,total_evaluaciones,ultimo_acceso,nivel_acceso) VALUES (2161,'LICENCIATURA','jose.garciav','GVJ1876','TOMAR DEL SND','GARCIA VAZQUEZ JOSE COSME','PROFESORES','','MASCULINO','','',0,0,'','PROFESOR');</v>
      </c>
    </row>
    <row r="163" spans="1:12" ht="116" x14ac:dyDescent="0.35">
      <c r="A163" s="12">
        <v>2162</v>
      </c>
      <c r="B163" s="12" t="s">
        <v>1187</v>
      </c>
      <c r="C163" s="13" t="s">
        <v>1380</v>
      </c>
      <c r="D163" s="12" t="s">
        <v>1357</v>
      </c>
      <c r="E163" s="14" t="s">
        <v>1188</v>
      </c>
      <c r="F163" s="12" t="s">
        <v>614</v>
      </c>
      <c r="G163" s="13" t="s">
        <v>1189</v>
      </c>
      <c r="H163" s="12"/>
      <c r="I163" s="12" t="s">
        <v>721</v>
      </c>
      <c r="J163" s="12"/>
      <c r="K163" s="12" t="str">
        <f>CONCATENATE(A163,",",B163,",'",C163,"','",D163,"','",E163,",'",F163,"','",G163,"','",H163,"','",UPPER(I163),"','",UPPER(J163),"','',0,0,'','PROFESOR'")</f>
        <v>2162,'LICENCIATURA','gabriela.garibay','GGG1774','TOMAR DEL SND','GARIBAY GARCIA GABRIELA','PROFESORES','','FEMENINO','','',0,0,'','PROFESOR'</v>
      </c>
      <c r="L163" s="12" t="str">
        <f t="shared" si="2"/>
        <v>INSERT INTO participantes (id,nivel,correo,matricula,clave,nombre,carrera,grado,sexo,situacion,evaluados,num_evaluados,total_evaluaciones,ultimo_acceso,nivel_acceso) VALUES (2162,'LICENCIATURA','gabriela.garibay','GGG1774','TOMAR DEL SND','GARIBAY GARCIA GABRIELA','PROFESORES','','FEMENINO','','',0,0,'','PROFESOR');</v>
      </c>
    </row>
    <row r="164" spans="1:12" ht="101.5" x14ac:dyDescent="0.35">
      <c r="A164" s="12">
        <v>2163</v>
      </c>
      <c r="B164" s="12" t="s">
        <v>1187</v>
      </c>
      <c r="C164" s="13" t="s">
        <v>1372</v>
      </c>
      <c r="D164" s="12" t="s">
        <v>1358</v>
      </c>
      <c r="E164" s="14" t="s">
        <v>1188</v>
      </c>
      <c r="F164" s="12" t="s">
        <v>552</v>
      </c>
      <c r="G164" s="13" t="s">
        <v>1189</v>
      </c>
      <c r="H164" s="12"/>
      <c r="I164" s="12" t="s">
        <v>721</v>
      </c>
      <c r="J164" s="12"/>
      <c r="K164" s="12" t="str">
        <f>CONCATENATE(A164,",",B164,",'",C164,"','",D164,"','",E164,",'",F164,"','",G164,"','",H164,"','",UPPER(I164),"','",UPPER(J164),"','',0,0,'','PROFESOR'")</f>
        <v>2163,'LICENCIATURA','aida.hernandez','HMA1841','TOMAR DEL SND','HERNANDEZ MONTAÑO AIDA CITLALI','PROFESORES','','FEMENINO','','',0,0,'','PROFESOR'</v>
      </c>
      <c r="L164" s="12" t="str">
        <f t="shared" si="2"/>
        <v>INSERT INTO participantes (id,nivel,correo,matricula,clave,nombre,carrera,grado,sexo,situacion,evaluados,num_evaluados,total_evaluaciones,ultimo_acceso,nivel_acceso) VALUES (2163,'LICENCIATURA','aida.hernandez','HMA1841','TOMAR DEL SND','HERNANDEZ MONTAÑO AIDA CITLALI','PROFESORES','','FEMENINO','','',0,0,'','PROFESOR');</v>
      </c>
    </row>
    <row r="165" spans="1:12" ht="116" x14ac:dyDescent="0.35">
      <c r="A165" s="12">
        <v>2164</v>
      </c>
      <c r="B165" s="12" t="s">
        <v>1187</v>
      </c>
      <c r="C165" s="13" t="s">
        <v>1381</v>
      </c>
      <c r="D165" s="12" t="s">
        <v>1359</v>
      </c>
      <c r="E165" s="14" t="s">
        <v>1188</v>
      </c>
      <c r="F165" s="12" t="s">
        <v>700</v>
      </c>
      <c r="G165" s="13" t="s">
        <v>1189</v>
      </c>
      <c r="H165" s="12"/>
      <c r="I165" s="12" t="s">
        <v>721</v>
      </c>
      <c r="J165" s="12"/>
      <c r="K165" s="12" t="str">
        <f>CONCATENATE(A165,",",B165,",'",C165,"','",D165,"','",E165,",'",F165,"','",G165,"','",H165,"','",UPPER(I165),"','",UPPER(J165),"','',0,0,'','PROFESOR'")</f>
        <v>2164,'LICENCIATURA','paulette.jaramillo','JMP1912','TOMAR DEL SND','JARAMILLO MARTINEZ PAULETTE','PROFESORES','','FEMENINO','','',0,0,'','PROFESOR'</v>
      </c>
      <c r="L165" s="12" t="str">
        <f t="shared" si="2"/>
        <v>INSERT INTO participantes (id,nivel,correo,matricula,clave,nombre,carrera,grado,sexo,situacion,evaluados,num_evaluados,total_evaluaciones,ultimo_acceso,nivel_acceso) VALUES (2164,'LICENCIATURA','paulette.jaramillo','JMP1912','TOMAR DEL SND','JARAMILLO MARTINEZ PAULETTE','PROFESORES','','FEMENINO','','',0,0,'','PROFESOR');</v>
      </c>
    </row>
    <row r="166" spans="1:12" ht="116" x14ac:dyDescent="0.35">
      <c r="A166" s="12">
        <v>2165</v>
      </c>
      <c r="B166" s="12" t="s">
        <v>1187</v>
      </c>
      <c r="C166" s="13" t="s">
        <v>1373</v>
      </c>
      <c r="D166" s="12" t="s">
        <v>1360</v>
      </c>
      <c r="E166" s="14" t="s">
        <v>1188</v>
      </c>
      <c r="F166" s="12" t="s">
        <v>557</v>
      </c>
      <c r="G166" s="13" t="s">
        <v>1189</v>
      </c>
      <c r="H166" s="12"/>
      <c r="I166" s="12" t="s">
        <v>722</v>
      </c>
      <c r="J166" s="12"/>
      <c r="K166" s="12" t="str">
        <f>CONCATENATE(A166,",",B166,",'",C166,"','",D166,"','",E166,",'",F166,"','",G166,"','",H166,"','",UPPER(I166),"','",UPPER(J166),"','',0,0,'','PROFESOR'")</f>
        <v>2165,'LICENCIATURA','alejandro.lagos','LLA2001','TOMAR DEL SND','LAGOS LOPEZ ALEJANDRO GABRIEL','PROFESORES','','MASCULINO','','',0,0,'','PROFESOR'</v>
      </c>
      <c r="L166" s="12" t="str">
        <f t="shared" si="2"/>
        <v>INSERT INTO participantes (id,nivel,correo,matricula,clave,nombre,carrera,grado,sexo,situacion,evaluados,num_evaluados,total_evaluaciones,ultimo_acceso,nivel_acceso) VALUES (2165,'LICENCIATURA','alejandro.lagos','LLA2001','TOMAR DEL SND','LAGOS LOPEZ ALEJANDRO GABRIEL','PROFESORES','','MASCULINO','','',0,0,'','PROFESOR');</v>
      </c>
    </row>
    <row r="167" spans="1:12" ht="101.5" x14ac:dyDescent="0.35">
      <c r="A167" s="12">
        <v>2166</v>
      </c>
      <c r="B167" s="12" t="s">
        <v>1187</v>
      </c>
      <c r="C167" s="13" t="s">
        <v>1382</v>
      </c>
      <c r="D167" s="12" t="s">
        <v>1361</v>
      </c>
      <c r="E167" s="14" t="s">
        <v>1188</v>
      </c>
      <c r="F167" s="12" t="s">
        <v>662</v>
      </c>
      <c r="G167" s="13" t="s">
        <v>1189</v>
      </c>
      <c r="H167" s="12"/>
      <c r="I167" s="12" t="s">
        <v>721</v>
      </c>
      <c r="J167" s="12"/>
      <c r="K167" s="12" t="str">
        <f>CONCATENATE(A167,",",B167,",'",C167,"','",D167,"','",E167,",'",F167,"','",G167,"','",H167,"','",UPPER(I167),"','",UPPER(J167),"','',0,0,'','PROFESOR'")</f>
        <v>2166,'LICENCIATURA','liliana.martinez','MML1660','TOMAR DEL SND','MARTINEZ MEDINA LILIANA','PROFESORES','','FEMENINO','','',0,0,'','PROFESOR'</v>
      </c>
      <c r="L167" s="12" t="str">
        <f t="shared" si="2"/>
        <v>INSERT INTO participantes (id,nivel,correo,matricula,clave,nombre,carrera,grado,sexo,situacion,evaluados,num_evaluados,total_evaluaciones,ultimo_acceso,nivel_acceso) VALUES (2166,'LICENCIATURA','liliana.martinez','MML1660','TOMAR DEL SND','MARTINEZ MEDINA LILIANA','PROFESORES','','FEMENINO','','',0,0,'','PROFESOR');</v>
      </c>
    </row>
    <row r="168" spans="1:12" ht="116" x14ac:dyDescent="0.35">
      <c r="A168" s="12">
        <v>2167</v>
      </c>
      <c r="B168" s="12" t="s">
        <v>1187</v>
      </c>
      <c r="C168" s="13" t="s">
        <v>1374</v>
      </c>
      <c r="D168" s="12" t="s">
        <v>1362</v>
      </c>
      <c r="E168" s="14" t="s">
        <v>1188</v>
      </c>
      <c r="F168" s="12" t="s">
        <v>676</v>
      </c>
      <c r="G168" s="13" t="s">
        <v>1189</v>
      </c>
      <c r="H168" s="12"/>
      <c r="I168" s="12" t="s">
        <v>721</v>
      </c>
      <c r="J168" s="12"/>
      <c r="K168" s="12" t="str">
        <f>CONCATENATE(A168,",",B168,",'",C168,"','",D168,"','",E168,",'",F168,"','",G168,"','",H168,"','",UPPER(I168),"','",UPPER(J168),"','',0,0,'','PROFESOR'")</f>
        <v>2167,'LICENCIATURA','maria.mendoza','MSM2022','TOMAR DEL SND','MENDOZA SANCHEZ MARIA GUADALUPE','PROFESORES','','FEMENINO','','',0,0,'','PROFESOR'</v>
      </c>
      <c r="L168" s="12" t="str">
        <f t="shared" si="2"/>
        <v>INSERT INTO participantes (id,nivel,correo,matricula,clave,nombre,carrera,grado,sexo,situacion,evaluados,num_evaluados,total_evaluaciones,ultimo_acceso,nivel_acceso) VALUES (2167,'LICENCIATURA','maria.mendoza','MSM2022','TOMAR DEL SND','MENDOZA SANCHEZ MARIA GUADALUPE','PROFESORES','','FEMENINO','','',0,0,'','PROFESOR');</v>
      </c>
    </row>
    <row r="169" spans="1:12" ht="101.5" x14ac:dyDescent="0.35">
      <c r="A169" s="12">
        <v>2168</v>
      </c>
      <c r="B169" s="12" t="s">
        <v>1187</v>
      </c>
      <c r="C169" s="13" t="s">
        <v>1375</v>
      </c>
      <c r="D169" s="12" t="s">
        <v>1363</v>
      </c>
      <c r="E169" s="14" t="s">
        <v>1188</v>
      </c>
      <c r="F169" s="12" t="s">
        <v>679</v>
      </c>
      <c r="G169" s="13" t="s">
        <v>1189</v>
      </c>
      <c r="H169" s="12"/>
      <c r="I169" s="12" t="s">
        <v>721</v>
      </c>
      <c r="J169" s="12"/>
      <c r="K169" s="12" t="str">
        <f>CONCATENATE(A169,",",B169,",'",C169,"','",D169,"','",E169,",'",F169,"','",G169,"','",H169,"','",UPPER(I169),"','",UPPER(J169),"','',0,0,'','PROFESOR'")</f>
        <v>2168,'LICENCIATURA','mariana.morones','MMM1396','TOMAR DEL SND','MORONES MUÑOZ MARIANA ELISA','PROFESORES','','FEMENINO','','',0,0,'','PROFESOR'</v>
      </c>
      <c r="L169" s="12" t="str">
        <f t="shared" si="2"/>
        <v>INSERT INTO participantes (id,nivel,correo,matricula,clave,nombre,carrera,grado,sexo,situacion,evaluados,num_evaluados,total_evaluaciones,ultimo_acceso,nivel_acceso) VALUES (2168,'LICENCIATURA','mariana.morones','MMM1396','TOMAR DEL SND','MORONES MUÑOZ MARIANA ELISA','PROFESORES','','FEMENINO','','',0,0,'','PROFESOR');</v>
      </c>
    </row>
    <row r="170" spans="1:12" ht="116" x14ac:dyDescent="0.35">
      <c r="A170" s="12">
        <v>2169</v>
      </c>
      <c r="B170" s="12" t="s">
        <v>1187</v>
      </c>
      <c r="C170" s="13" t="s">
        <v>1386</v>
      </c>
      <c r="D170" s="12" t="s">
        <v>1364</v>
      </c>
      <c r="E170" s="14" t="s">
        <v>1188</v>
      </c>
      <c r="F170" s="12" t="s">
        <v>568</v>
      </c>
      <c r="G170" s="13" t="s">
        <v>1189</v>
      </c>
      <c r="H170" s="12"/>
      <c r="I170" s="12" t="s">
        <v>721</v>
      </c>
      <c r="J170" s="12"/>
      <c r="K170" s="12" t="str">
        <f>CONCATENATE(A170,",",B170,",'",C170,"','",D170,"','",E170,",'",F170,"','",G170,"','",H170,"','",UPPER(I170),"','",UPPER(J170),"','',0,0,'','PROFESOR'")</f>
        <v>2169,'LICENCIATURA','barbara.nunez','NGB1914','TOMAR DEL SND','NUÑEZ GONZALEZ BARBARA','PROFESORES','','FEMENINO','','',0,0,'','PROFESOR'</v>
      </c>
      <c r="L170" s="12" t="str">
        <f t="shared" si="2"/>
        <v>INSERT INTO participantes (id,nivel,correo,matricula,clave,nombre,carrera,grado,sexo,situacion,evaluados,num_evaluados,total_evaluaciones,ultimo_acceso,nivel_acceso) VALUES (2169,'LICENCIATURA','barbara.nunez','NGB1914','TOMAR DEL SND','NUÑEZ GONZALEZ BARBARA','PROFESORES','','FEMENINO','','',0,0,'','PROFESOR');</v>
      </c>
    </row>
    <row r="171" spans="1:12" ht="116" x14ac:dyDescent="0.35">
      <c r="A171" s="12">
        <v>2170</v>
      </c>
      <c r="B171" s="12" t="s">
        <v>1187</v>
      </c>
      <c r="C171" s="13" t="s">
        <v>1383</v>
      </c>
      <c r="D171" s="12" t="s">
        <v>1365</v>
      </c>
      <c r="E171" s="14" t="s">
        <v>1188</v>
      </c>
      <c r="F171" s="12" t="s">
        <v>1346</v>
      </c>
      <c r="G171" s="13" t="s">
        <v>1189</v>
      </c>
      <c r="H171" s="12"/>
      <c r="I171" s="12" t="s">
        <v>722</v>
      </c>
      <c r="J171" s="12"/>
      <c r="K171" s="12" t="str">
        <f>CONCATENATE(A171,",",B171,",'",C171,"','",D171,"','",E171,",'",F171,"','",G171,"','",H171,"','",UPPER(I171),"','",UPPER(J171),"','',0,0,'','PROFESOR'")</f>
        <v>2170,'LICENCIATURA','daniel.restrepo','RMD2043','TOMAR DEL SND','RESTREPO MUÑOZ DANIEL','PROFESORES','','MASCULINO','','',0,0,'','PROFESOR'</v>
      </c>
      <c r="L171" s="12" t="str">
        <f t="shared" si="2"/>
        <v>INSERT INTO participantes (id,nivel,correo,matricula,clave,nombre,carrera,grado,sexo,situacion,evaluados,num_evaluados,total_evaluaciones,ultimo_acceso,nivel_acceso) VALUES (2170,'LICENCIATURA','daniel.restrepo','RMD2043','TOMAR DEL SND','RESTREPO MUÑOZ DANIEL','PROFESORES','','MASCULINO','','',0,0,'','PROFESOR');</v>
      </c>
    </row>
    <row r="172" spans="1:12" ht="116" x14ac:dyDescent="0.35">
      <c r="A172" s="12">
        <v>2171</v>
      </c>
      <c r="B172" s="12" t="s">
        <v>1187</v>
      </c>
      <c r="C172" s="13" t="s">
        <v>1384</v>
      </c>
      <c r="D172" s="12" t="s">
        <v>1366</v>
      </c>
      <c r="E172" s="14" t="s">
        <v>1188</v>
      </c>
      <c r="F172" s="12" t="s">
        <v>556</v>
      </c>
      <c r="G172" s="13" t="s">
        <v>1189</v>
      </c>
      <c r="H172" s="12"/>
      <c r="I172" s="12" t="s">
        <v>722</v>
      </c>
      <c r="J172" s="12"/>
      <c r="K172" s="12" t="str">
        <f>CONCATENATE(A172,",",B172,",'",C172,"','",D172,"','",E172,",'",F172,"','",G172,"','",H172,"','",UPPER(I172),"','",UPPER(J172),"','',0,0,'','PROFESOR'")</f>
        <v>2171,'LICENCIATURA','alejandro.uribe','ULA0927','TOMAR DEL SND','URIBE LOPEZ ALEJANDRO','PROFESORES','','MASCULINO','','',0,0,'','PROFESOR'</v>
      </c>
      <c r="L172" s="12" t="str">
        <f t="shared" si="2"/>
        <v>INSERT INTO participantes (id,nivel,correo,matricula,clave,nombre,carrera,grado,sexo,situacion,evaluados,num_evaluados,total_evaluaciones,ultimo_acceso,nivel_acceso) VALUES (2171,'LICENCIATURA','alejandro.uribe','ULA0927','TOMAR DEL SND','URIBE LOPEZ ALEJANDRO','PROFESORES','','MASCULINO','','',0,0,'','PROFESOR');</v>
      </c>
    </row>
  </sheetData>
  <autoFilter ref="A1:L172" xr:uid="{13BC95BE-ACA5-45BF-ADF1-D11E50741E61}">
    <sortState xmlns:xlrd2="http://schemas.microsoft.com/office/spreadsheetml/2017/richdata2" ref="A2:L172">
      <sortCondition ref="A1:A172"/>
    </sortState>
  </autoFilter>
  <conditionalFormatting sqref="C1">
    <cfRule type="duplicateValues" dxfId="2" priority="2"/>
  </conditionalFormatting>
  <conditionalFormatting sqref="F1:F1048576">
    <cfRule type="duplicateValues" dxfId="1" priority="1"/>
  </conditionalFormatting>
  <conditionalFormatting sqref="D1"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0283-9604-45EA-B89C-CE88996010CB}">
  <dimension ref="A1:J317"/>
  <sheetViews>
    <sheetView tabSelected="1" topLeftCell="E310" workbookViewId="0">
      <selection activeCell="J2" sqref="J2:J317"/>
    </sheetView>
  </sheetViews>
  <sheetFormatPr baseColWidth="10" defaultRowHeight="14.5" x14ac:dyDescent="0.35"/>
  <cols>
    <col min="1" max="1" width="4.81640625" style="8" bestFit="1" customWidth="1"/>
    <col min="2" max="2" width="13.08984375" style="8" bestFit="1" customWidth="1"/>
    <col min="3" max="3" width="53.1796875" style="8" bestFit="1" customWidth="1"/>
    <col min="4" max="4" width="11.81640625" style="8" bestFit="1" customWidth="1"/>
    <col min="5" max="5" width="38.6328125" style="8" bestFit="1" customWidth="1"/>
    <col min="6" max="6" width="60.36328125" style="8" bestFit="1" customWidth="1"/>
    <col min="7" max="7" width="11.1796875" style="8" bestFit="1" customWidth="1"/>
    <col min="8" max="8" width="5.81640625" style="8" bestFit="1" customWidth="1"/>
    <col min="9" max="10" width="50.6328125" style="8" customWidth="1"/>
    <col min="11" max="16384" width="10.90625" style="8"/>
  </cols>
  <sheetData>
    <row r="1" spans="1:10" ht="43.5" x14ac:dyDescent="0.35">
      <c r="A1" s="9" t="s">
        <v>727</v>
      </c>
      <c r="B1" s="9" t="s">
        <v>728</v>
      </c>
      <c r="C1" s="6" t="s">
        <v>1340</v>
      </c>
      <c r="D1" s="6" t="s">
        <v>1341</v>
      </c>
      <c r="E1" s="6" t="s">
        <v>549</v>
      </c>
      <c r="F1" s="6" t="s">
        <v>1342</v>
      </c>
      <c r="G1" s="6" t="s">
        <v>720</v>
      </c>
      <c r="H1" s="6" t="s">
        <v>1343</v>
      </c>
      <c r="I1" s="9" t="s">
        <v>1344</v>
      </c>
    </row>
    <row r="2" spans="1:10" ht="72.5" x14ac:dyDescent="0.35">
      <c r="A2" s="8">
        <v>1001</v>
      </c>
      <c r="B2" s="9" t="s">
        <v>736</v>
      </c>
      <c r="C2" s="10" t="s">
        <v>737</v>
      </c>
      <c r="D2" s="15" t="s">
        <v>1345</v>
      </c>
      <c r="E2" s="8" t="s">
        <v>584</v>
      </c>
      <c r="F2" s="8" t="s">
        <v>735</v>
      </c>
      <c r="G2" s="8" t="s">
        <v>721</v>
      </c>
      <c r="H2" s="8">
        <v>0</v>
      </c>
      <c r="I2" s="8" t="str">
        <f t="shared" ref="I2:I65" si="0">CONCATENATE(A2,",'",B2,"','",C2,"','",D2,",'",E2,"','",F2,"','",G2,"',",H2)</f>
        <v>1001,'LICENCIATURA','ADMINISTRACION Y DIRECCION DE NEGOCIOS','ADMON 2°','CASILLAS CASTILLO CRISTINA DEL SOCORRO','DERECHO MERCANTIL','FEMENINO',0</v>
      </c>
      <c r="J2" s="8" t="str">
        <f t="shared" ref="J2" si="1">CONCATENATE($I$1,I2,");")</f>
        <v>INSERT INTO profesores (id,nivel,carrera,grupo,nombre,materia,sexo,sello) VALUES (1001,'LICENCIATURA','ADMINISTRACION Y DIRECCION DE NEGOCIOS','ADMON 2°','CASILLAS CASTILLO CRISTINA DEL SOCORRO','DERECHO MERCANTIL','FEMENINO',0);</v>
      </c>
    </row>
    <row r="3" spans="1:10" ht="72.5" x14ac:dyDescent="0.35">
      <c r="A3" s="8">
        <v>1002</v>
      </c>
      <c r="B3" s="9" t="s">
        <v>736</v>
      </c>
      <c r="C3" s="10" t="s">
        <v>737</v>
      </c>
      <c r="D3" s="15" t="s">
        <v>1345</v>
      </c>
      <c r="E3" s="8" t="s">
        <v>688</v>
      </c>
      <c r="F3" s="8" t="s">
        <v>740</v>
      </c>
      <c r="G3" s="8" t="s">
        <v>722</v>
      </c>
      <c r="H3" s="8">
        <v>0</v>
      </c>
      <c r="I3" s="8" t="str">
        <f t="shared" si="0"/>
        <v>1002,'LICENCIATURA','ADMINISTRACION Y DIRECCION DE NEGOCIOS','ADMON 2°','ESCARCEGA GARCIA DE LEON MIGUEL ANGEL','ESTADISTICA I','MASCULINO',0</v>
      </c>
      <c r="J3" s="8" t="str">
        <f t="shared" ref="J3:J66" si="2">CONCATENATE($I$1,I3,");")</f>
        <v>INSERT INTO profesores (id,nivel,carrera,grupo,nombre,materia,sexo,sello) VALUES (1002,'LICENCIATURA','ADMINISTRACION Y DIRECCION DE NEGOCIOS','ADMON 2°','ESCARCEGA GARCIA DE LEON MIGUEL ANGEL','ESTADISTICA I','MASCULINO',0);</v>
      </c>
    </row>
    <row r="4" spans="1:10" ht="72.5" x14ac:dyDescent="0.35">
      <c r="A4" s="8">
        <v>1003</v>
      </c>
      <c r="B4" s="9" t="s">
        <v>736</v>
      </c>
      <c r="C4" s="10" t="s">
        <v>737</v>
      </c>
      <c r="D4" s="8" t="s">
        <v>1345</v>
      </c>
      <c r="E4" s="8" t="s">
        <v>645</v>
      </c>
      <c r="F4" s="8" t="s">
        <v>742</v>
      </c>
      <c r="G4" s="8" t="s">
        <v>722</v>
      </c>
      <c r="H4" s="8">
        <v>0</v>
      </c>
      <c r="I4" s="8" t="str">
        <f t="shared" si="0"/>
        <v>1003,'LICENCIATURA','ADMINISTRACION Y DIRECCION DE NEGOCIOS','ADMON 2°','GUILLEN LAGUNES JOSE JAVIER','PLANEACION ESTRATEGICA','MASCULINO',0</v>
      </c>
      <c r="J4" s="8" t="str">
        <f t="shared" si="2"/>
        <v>INSERT INTO profesores (id,nivel,carrera,grupo,nombre,materia,sexo,sello) VALUES (1003,'LICENCIATURA','ADMINISTRACION Y DIRECCION DE NEGOCIOS','ADMON 2°','GUILLEN LAGUNES JOSE JAVIER','PLANEACION ESTRATEGICA','MASCULINO',0);</v>
      </c>
    </row>
    <row r="5" spans="1:10" ht="87" x14ac:dyDescent="0.35">
      <c r="A5" s="8">
        <v>1004</v>
      </c>
      <c r="B5" s="9" t="s">
        <v>736</v>
      </c>
      <c r="C5" s="10" t="s">
        <v>737</v>
      </c>
      <c r="D5" s="8" t="s">
        <v>1345</v>
      </c>
      <c r="E5" s="8" t="s">
        <v>599</v>
      </c>
      <c r="F5" s="8" t="s">
        <v>744</v>
      </c>
      <c r="G5" s="8" t="s">
        <v>721</v>
      </c>
      <c r="H5" s="8">
        <v>0</v>
      </c>
      <c r="I5" s="8" t="str">
        <f t="shared" si="0"/>
        <v>1004,'LICENCIATURA','ADMINISTRACION Y DIRECCION DE NEGOCIOS','ADMON 2°','PADILLA MARTINEZ ELSA GEORGINA','DISEÑO DE ESTRUCTURAS Y SISTEMAS ADMINISTRATIVOS','FEMENINO',0</v>
      </c>
      <c r="J5" s="8" t="str">
        <f t="shared" si="2"/>
        <v>INSERT INTO profesores (id,nivel,carrera,grupo,nombre,materia,sexo,sello) VALUES (1004,'LICENCIATURA','ADMINISTRACION Y DIRECCION DE NEGOCIOS','ADMON 2°','PADILLA MARTINEZ ELSA GEORGINA','DISEÑO DE ESTRUCTURAS Y SISTEMAS ADMINISTRATIVOS','FEMENINO',0);</v>
      </c>
    </row>
    <row r="6" spans="1:10" ht="72.5" x14ac:dyDescent="0.35">
      <c r="A6" s="8">
        <v>1005</v>
      </c>
      <c r="B6" s="9" t="s">
        <v>736</v>
      </c>
      <c r="C6" s="10" t="s">
        <v>737</v>
      </c>
      <c r="D6" s="8" t="s">
        <v>1345</v>
      </c>
      <c r="E6" s="8" t="s">
        <v>682</v>
      </c>
      <c r="F6" s="8" t="s">
        <v>746</v>
      </c>
      <c r="G6" s="8" t="s">
        <v>722</v>
      </c>
      <c r="H6" s="8">
        <v>0</v>
      </c>
      <c r="I6" s="8" t="str">
        <f t="shared" si="0"/>
        <v>1005,'LICENCIATURA','ADMINISTRACION Y DIRECCION DE NEGOCIOS','ADMON 2°','RAMIREZ GUZMAN MARTIN','CONTABILIDAD BASICA','MASCULINO',0</v>
      </c>
      <c r="J6" s="8" t="str">
        <f t="shared" si="2"/>
        <v>INSERT INTO profesores (id,nivel,carrera,grupo,nombre,materia,sexo,sello) VALUES (1005,'LICENCIATURA','ADMINISTRACION Y DIRECCION DE NEGOCIOS','ADMON 2°','RAMIREZ GUZMAN MARTIN','CONTABILIDAD BASICA','MASCULINO',0);</v>
      </c>
    </row>
    <row r="7" spans="1:10" ht="87" x14ac:dyDescent="0.35">
      <c r="A7" s="8">
        <v>1006</v>
      </c>
      <c r="B7" s="9" t="s">
        <v>736</v>
      </c>
      <c r="C7" s="10" t="s">
        <v>737</v>
      </c>
      <c r="D7" s="8" t="s">
        <v>1345</v>
      </c>
      <c r="E7" s="8" t="s">
        <v>592</v>
      </c>
      <c r="F7" s="8" t="s">
        <v>748</v>
      </c>
      <c r="G7" s="8" t="s">
        <v>722</v>
      </c>
      <c r="H7" s="8">
        <v>0</v>
      </c>
      <c r="I7" s="8" t="str">
        <f t="shared" si="0"/>
        <v>1006,'LICENCIATURA','ADMINISTRACION Y DIRECCION DE NEGOCIOS','ADMON 2°','RODRIGUEZ ROMERO DENIS PAUL','ECONOMIA MEXICANA Y DESARROLLO','MASCULINO',0</v>
      </c>
      <c r="J7" s="8" t="str">
        <f t="shared" si="2"/>
        <v>INSERT INTO profesores (id,nivel,carrera,grupo,nombre,materia,sexo,sello) VALUES (1006,'LICENCIATURA','ADMINISTRACION Y DIRECCION DE NEGOCIOS','ADMON 2°','RODRIGUEZ ROMERO DENIS PAUL','ECONOMIA MEXICANA Y DESARROLLO','MASCULINO',0);</v>
      </c>
    </row>
    <row r="8" spans="1:10" ht="87" x14ac:dyDescent="0.35">
      <c r="A8" s="8">
        <v>1007</v>
      </c>
      <c r="B8" s="9" t="s">
        <v>736</v>
      </c>
      <c r="C8" s="10" t="s">
        <v>737</v>
      </c>
      <c r="D8" s="8" t="s">
        <v>1345</v>
      </c>
      <c r="E8" s="8" t="s">
        <v>639</v>
      </c>
      <c r="F8" s="8" t="s">
        <v>750</v>
      </c>
      <c r="G8" s="8" t="s">
        <v>722</v>
      </c>
      <c r="H8" s="8">
        <v>0</v>
      </c>
      <c r="I8" s="8" t="str">
        <f t="shared" si="0"/>
        <v>1007,'LICENCIATURA','ADMINISTRACION Y DIRECCION DE NEGOCIOS','ADMON 2°','SALDIVAR PEREZ JOSE ALEJANDRO','MATEMATICAS FINANCIERAS','MASCULINO',0</v>
      </c>
      <c r="J8" s="8" t="str">
        <f t="shared" si="2"/>
        <v>INSERT INTO profesores (id,nivel,carrera,grupo,nombre,materia,sexo,sello) VALUES (1007,'LICENCIATURA','ADMINISTRACION Y DIRECCION DE NEGOCIOS','ADMON 2°','SALDIVAR PEREZ JOSE ALEJANDRO','MATEMATICAS FINANCIERAS','MASCULINO',0);</v>
      </c>
    </row>
    <row r="9" spans="1:10" ht="72.5" x14ac:dyDescent="0.35">
      <c r="A9" s="8">
        <v>1008</v>
      </c>
      <c r="B9" s="9" t="s">
        <v>736</v>
      </c>
      <c r="C9" s="10" t="s">
        <v>737</v>
      </c>
      <c r="D9" s="8" t="s">
        <v>1399</v>
      </c>
      <c r="E9" s="8" t="s">
        <v>630</v>
      </c>
      <c r="F9" s="8" t="s">
        <v>752</v>
      </c>
      <c r="G9" s="8" t="s">
        <v>722</v>
      </c>
      <c r="H9" s="8">
        <v>0</v>
      </c>
      <c r="I9" s="8" t="str">
        <f t="shared" si="0"/>
        <v>1008,'LICENCIATURA','ADMINISTRACION Y DIRECCION DE NEGOCIOS','ADMON 4°','GOMEZ LEDEZMA JESUS ALEJANDRO','PRESUPUESTOS','MASCULINO',0</v>
      </c>
      <c r="J9" s="8" t="str">
        <f t="shared" si="2"/>
        <v>INSERT INTO profesores (id,nivel,carrera,grupo,nombre,materia,sexo,sello) VALUES (1008,'LICENCIATURA','ADMINISTRACION Y DIRECCION DE NEGOCIOS','ADMON 4°','GOMEZ LEDEZMA JESUS ALEJANDRO','PRESUPUESTOS','MASCULINO',0);</v>
      </c>
    </row>
    <row r="10" spans="1:10" ht="72.5" x14ac:dyDescent="0.35">
      <c r="A10" s="8">
        <v>1009</v>
      </c>
      <c r="B10" s="9" t="s">
        <v>736</v>
      </c>
      <c r="C10" s="10" t="s">
        <v>737</v>
      </c>
      <c r="D10" s="8" t="s">
        <v>1399</v>
      </c>
      <c r="E10" s="8" t="s">
        <v>682</v>
      </c>
      <c r="F10" s="8" t="s">
        <v>755</v>
      </c>
      <c r="G10" s="8" t="s">
        <v>722</v>
      </c>
      <c r="H10" s="8">
        <v>0</v>
      </c>
      <c r="I10" s="8" t="str">
        <f t="shared" si="0"/>
        <v>1009,'LICENCIATURA','ADMINISTRACION Y DIRECCION DE NEGOCIOS','ADMON 4°','RAMIREZ GUZMAN MARTIN','DERECHO TRIBUTARIO','MASCULINO',0</v>
      </c>
      <c r="J10" s="8" t="str">
        <f t="shared" si="2"/>
        <v>INSERT INTO profesores (id,nivel,carrera,grupo,nombre,materia,sexo,sello) VALUES (1009,'LICENCIATURA','ADMINISTRACION Y DIRECCION DE NEGOCIOS','ADMON 4°','RAMIREZ GUZMAN MARTIN','DERECHO TRIBUTARIO','MASCULINO',0);</v>
      </c>
    </row>
    <row r="11" spans="1:10" ht="87" x14ac:dyDescent="0.35">
      <c r="A11" s="8">
        <v>1010</v>
      </c>
      <c r="B11" s="9" t="s">
        <v>736</v>
      </c>
      <c r="C11" s="10" t="s">
        <v>737</v>
      </c>
      <c r="D11" s="8" t="s">
        <v>1399</v>
      </c>
      <c r="E11" s="8" t="s">
        <v>606</v>
      </c>
      <c r="F11" s="8" t="s">
        <v>756</v>
      </c>
      <c r="G11" s="8" t="s">
        <v>721</v>
      </c>
      <c r="H11" s="8">
        <v>0</v>
      </c>
      <c r="I11" s="8" t="str">
        <f t="shared" si="0"/>
        <v>1010,'LICENCIATURA','ADMINISTRACION Y DIRECCION DE NEGOCIOS','ADMON 4°','SALCEDO ROSALES ERIKA IVETTE','DIAGNOSTICO Y DESARROLLO ORGANIZACIONAL','FEMENINO',0</v>
      </c>
      <c r="J11" s="8" t="str">
        <f t="shared" si="2"/>
        <v>INSERT INTO profesores (id,nivel,carrera,grupo,nombre,materia,sexo,sello) VALUES (1010,'LICENCIATURA','ADMINISTRACION Y DIRECCION DE NEGOCIOS','ADMON 4°','SALCEDO ROSALES ERIKA IVETTE','DIAGNOSTICO Y DESARROLLO ORGANIZACIONAL','FEMENINO',0);</v>
      </c>
    </row>
    <row r="12" spans="1:10" ht="72.5" x14ac:dyDescent="0.35">
      <c r="A12" s="8">
        <v>1011</v>
      </c>
      <c r="B12" s="9" t="s">
        <v>736</v>
      </c>
      <c r="C12" s="10" t="s">
        <v>737</v>
      </c>
      <c r="D12" s="8" t="s">
        <v>1399</v>
      </c>
      <c r="E12" s="8" t="s">
        <v>639</v>
      </c>
      <c r="F12" s="8" t="s">
        <v>758</v>
      </c>
      <c r="G12" s="8" t="s">
        <v>722</v>
      </c>
      <c r="H12" s="8">
        <v>0</v>
      </c>
      <c r="I12" s="8" t="str">
        <f t="shared" si="0"/>
        <v>1011,'LICENCIATURA','ADMINISTRACION Y DIRECCION DE NEGOCIOS','ADMON 4°','SALDIVAR PEREZ JOSE ALEJANDRO','GESTION FINANCIERA','MASCULINO',0</v>
      </c>
      <c r="J12" s="8" t="str">
        <f t="shared" si="2"/>
        <v>INSERT INTO profesores (id,nivel,carrera,grupo,nombre,materia,sexo,sello) VALUES (1011,'LICENCIATURA','ADMINISTRACION Y DIRECCION DE NEGOCIOS','ADMON 4°','SALDIVAR PEREZ JOSE ALEJANDRO','GESTION FINANCIERA','MASCULINO',0);</v>
      </c>
    </row>
    <row r="13" spans="1:10" ht="87" x14ac:dyDescent="0.35">
      <c r="A13" s="8">
        <v>1012</v>
      </c>
      <c r="B13" s="9" t="s">
        <v>736</v>
      </c>
      <c r="C13" s="10" t="s">
        <v>737</v>
      </c>
      <c r="D13" s="8" t="s">
        <v>1399</v>
      </c>
      <c r="E13" s="8" t="s">
        <v>643</v>
      </c>
      <c r="F13" s="8" t="s">
        <v>759</v>
      </c>
      <c r="G13" s="8" t="s">
        <v>722</v>
      </c>
      <c r="H13" s="8">
        <v>0</v>
      </c>
      <c r="I13" s="8" t="str">
        <f t="shared" si="0"/>
        <v>1012,'LICENCIATURA','ADMINISTRACION Y DIRECCION DE NEGOCIOS','ADMON 4°','VALENZUELA CHAVIRA JOSE DANIEL','FUNDAMENTOS DE MERCADOTECNIA','MASCULINO',0</v>
      </c>
      <c r="J13" s="8" t="str">
        <f t="shared" si="2"/>
        <v>INSERT INTO profesores (id,nivel,carrera,grupo,nombre,materia,sexo,sello) VALUES (1012,'LICENCIATURA','ADMINISTRACION Y DIRECCION DE NEGOCIOS','ADMON 4°','VALENZUELA CHAVIRA JOSE DANIEL','FUNDAMENTOS DE MERCADOTECNIA','MASCULINO',0);</v>
      </c>
    </row>
    <row r="14" spans="1:10" ht="87" x14ac:dyDescent="0.35">
      <c r="A14" s="8">
        <v>1013</v>
      </c>
      <c r="B14" s="9" t="s">
        <v>736</v>
      </c>
      <c r="C14" s="10" t="s">
        <v>737</v>
      </c>
      <c r="D14" s="8" t="s">
        <v>1399</v>
      </c>
      <c r="E14" s="8" t="s">
        <v>632</v>
      </c>
      <c r="F14" s="8" t="s">
        <v>761</v>
      </c>
      <c r="G14" s="8" t="s">
        <v>722</v>
      </c>
      <c r="H14" s="8">
        <v>0</v>
      </c>
      <c r="I14" s="8" t="str">
        <f t="shared" si="0"/>
        <v>1013,'LICENCIATURA','ADMINISTRACION Y DIRECCION DE NEGOCIOS','ADMON 4°','ZEPEDA REYNOSO JESUS EMMANUEL','DIRECCION DE NEGOCIOS ELECTRONICOS','MASCULINO',0</v>
      </c>
      <c r="J14" s="8" t="str">
        <f t="shared" si="2"/>
        <v>INSERT INTO profesores (id,nivel,carrera,grupo,nombre,materia,sexo,sello) VALUES (1013,'LICENCIATURA','ADMINISTRACION Y DIRECCION DE NEGOCIOS','ADMON 4°','ZEPEDA REYNOSO JESUS EMMANUEL','DIRECCION DE NEGOCIOS ELECTRONICOS','MASCULINO',0);</v>
      </c>
    </row>
    <row r="15" spans="1:10" ht="87" x14ac:dyDescent="0.35">
      <c r="A15" s="8">
        <v>1014</v>
      </c>
      <c r="B15" s="9" t="s">
        <v>736</v>
      </c>
      <c r="C15" s="10" t="s">
        <v>737</v>
      </c>
      <c r="D15" s="8" t="s">
        <v>1400</v>
      </c>
      <c r="E15" s="8" t="s">
        <v>654</v>
      </c>
      <c r="F15" s="8" t="s">
        <v>763</v>
      </c>
      <c r="G15" s="8" t="s">
        <v>721</v>
      </c>
      <c r="H15" s="8">
        <v>0</v>
      </c>
      <c r="I15" s="8" t="str">
        <f t="shared" si="0"/>
        <v>1014,'LICENCIATURA','ADMINISTRACION Y DIRECCION DE NEGOCIOS','ADMON 6°','DE ALBA GONZALEZ JULIETA','ADMINISTRACION DE LA CALIDAD II','FEMENINO',0</v>
      </c>
      <c r="J15" s="8" t="str">
        <f t="shared" si="2"/>
        <v>INSERT INTO profesores (id,nivel,carrera,grupo,nombre,materia,sexo,sello) VALUES (1014,'LICENCIATURA','ADMINISTRACION Y DIRECCION DE NEGOCIOS','ADMON 6°','DE ALBA GONZALEZ JULIETA','ADMINISTRACION DE LA CALIDAD II','FEMENINO',0);</v>
      </c>
    </row>
    <row r="16" spans="1:10" ht="87" x14ac:dyDescent="0.35">
      <c r="A16" s="8">
        <v>1015</v>
      </c>
      <c r="B16" s="9" t="s">
        <v>736</v>
      </c>
      <c r="C16" s="10" t="s">
        <v>737</v>
      </c>
      <c r="D16" s="8" t="s">
        <v>1400</v>
      </c>
      <c r="E16" s="8" t="s">
        <v>630</v>
      </c>
      <c r="F16" s="8" t="s">
        <v>766</v>
      </c>
      <c r="G16" s="8" t="s">
        <v>722</v>
      </c>
      <c r="H16" s="8">
        <v>0</v>
      </c>
      <c r="I16" s="8" t="str">
        <f t="shared" si="0"/>
        <v>1015,'LICENCIATURA','ADMINISTRACION Y DIRECCION DE NEGOCIOS','ADMON 6°','GOMEZ LEDEZMA JESUS ALEJANDRO','PLANEACION DE LA PRODUCCION','MASCULINO',0</v>
      </c>
      <c r="J16" s="8" t="str">
        <f t="shared" si="2"/>
        <v>INSERT INTO profesores (id,nivel,carrera,grupo,nombre,materia,sexo,sello) VALUES (1015,'LICENCIATURA','ADMINISTRACION Y DIRECCION DE NEGOCIOS','ADMON 6°','GOMEZ LEDEZMA JESUS ALEJANDRO','PLANEACION DE LA PRODUCCION','MASCULINO',0);</v>
      </c>
    </row>
    <row r="17" spans="1:10" ht="87" x14ac:dyDescent="0.35">
      <c r="A17" s="8">
        <v>1016</v>
      </c>
      <c r="B17" s="9" t="s">
        <v>736</v>
      </c>
      <c r="C17" s="10" t="s">
        <v>737</v>
      </c>
      <c r="D17" s="8" t="s">
        <v>1400</v>
      </c>
      <c r="E17" s="8" t="s">
        <v>701</v>
      </c>
      <c r="F17" s="8" t="s">
        <v>767</v>
      </c>
      <c r="G17" s="8" t="s">
        <v>722</v>
      </c>
      <c r="H17" s="8">
        <v>0</v>
      </c>
      <c r="I17" s="8" t="str">
        <f t="shared" si="0"/>
        <v>1016,'LICENCIATURA','ADMINISTRACION Y DIRECCION DE NEGOCIOS','ADMON 6°','RIOS NUÑO RAFAEL','FUNDAMENTOS DEL DERECHO ADUANERO','MASCULINO',0</v>
      </c>
      <c r="J17" s="8" t="str">
        <f t="shared" si="2"/>
        <v>INSERT INTO profesores (id,nivel,carrera,grupo,nombre,materia,sexo,sello) VALUES (1016,'LICENCIATURA','ADMINISTRACION Y DIRECCION DE NEGOCIOS','ADMON 6°','RIOS NUÑO RAFAEL','FUNDAMENTOS DEL DERECHO ADUANERO','MASCULINO',0);</v>
      </c>
    </row>
    <row r="18" spans="1:10" ht="72.5" x14ac:dyDescent="0.35">
      <c r="A18" s="8">
        <v>1017</v>
      </c>
      <c r="B18" s="9" t="s">
        <v>736</v>
      </c>
      <c r="C18" s="10" t="s">
        <v>737</v>
      </c>
      <c r="D18" s="8" t="s">
        <v>1400</v>
      </c>
      <c r="E18" s="8" t="s">
        <v>592</v>
      </c>
      <c r="F18" s="8" t="s">
        <v>769</v>
      </c>
      <c r="G18" s="8" t="s">
        <v>722</v>
      </c>
      <c r="H18" s="8">
        <v>0</v>
      </c>
      <c r="I18" s="8" t="str">
        <f t="shared" si="0"/>
        <v>1017,'LICENCIATURA','ADMINISTRACION Y DIRECCION DE NEGOCIOS','ADMON 6°','RODRIGUEZ ROMERO DENIS PAUL','MEGA DATOS Y ANALITICA','MASCULINO',0</v>
      </c>
      <c r="J18" s="8" t="str">
        <f t="shared" si="2"/>
        <v>INSERT INTO profesores (id,nivel,carrera,grupo,nombre,materia,sexo,sello) VALUES (1017,'LICENCIATURA','ADMINISTRACION Y DIRECCION DE NEGOCIOS','ADMON 6°','RODRIGUEZ ROMERO DENIS PAUL','MEGA DATOS Y ANALITICA','MASCULINO',0);</v>
      </c>
    </row>
    <row r="19" spans="1:10" ht="87" x14ac:dyDescent="0.35">
      <c r="A19" s="8">
        <v>1018</v>
      </c>
      <c r="B19" s="9" t="s">
        <v>736</v>
      </c>
      <c r="C19" s="10" t="s">
        <v>737</v>
      </c>
      <c r="D19" s="8" t="s">
        <v>1400</v>
      </c>
      <c r="E19" s="8" t="s">
        <v>569</v>
      </c>
      <c r="F19" s="8" t="s">
        <v>770</v>
      </c>
      <c r="G19" s="8" t="s">
        <v>721</v>
      </c>
      <c r="H19" s="8">
        <v>0</v>
      </c>
      <c r="I19" s="8" t="str">
        <f t="shared" si="0"/>
        <v>1018,'LICENCIATURA','ADMINISTRACION Y DIRECCION DE NEGOCIOS','ADMON 6°','TORRES MENDOZA BERENICE','DIRECCION DEL CAPITAL HUMANO II','FEMENINO',0</v>
      </c>
      <c r="J19" s="8" t="str">
        <f t="shared" si="2"/>
        <v>INSERT INTO profesores (id,nivel,carrera,grupo,nombre,materia,sexo,sello) VALUES (1018,'LICENCIATURA','ADMINISTRACION Y DIRECCION DE NEGOCIOS','ADMON 6°','TORRES MENDOZA BERENICE','DIRECCION DEL CAPITAL HUMANO II','FEMENINO',0);</v>
      </c>
    </row>
    <row r="20" spans="1:10" ht="72.5" x14ac:dyDescent="0.35">
      <c r="A20" s="8">
        <v>1019</v>
      </c>
      <c r="B20" s="9" t="s">
        <v>736</v>
      </c>
      <c r="C20" s="10" t="s">
        <v>737</v>
      </c>
      <c r="D20" s="8" t="s">
        <v>1400</v>
      </c>
      <c r="E20" s="8" t="s">
        <v>632</v>
      </c>
      <c r="F20" s="8" t="s">
        <v>772</v>
      </c>
      <c r="G20" s="8" t="s">
        <v>722</v>
      </c>
      <c r="H20" s="8">
        <v>0</v>
      </c>
      <c r="I20" s="8" t="str">
        <f t="shared" si="0"/>
        <v>1019,'LICENCIATURA','ADMINISTRACION Y DIRECCION DE NEGOCIOS','ADMON 6°','ZEPEDA REYNOSO JESUS EMMANUEL','MERCADOTECNIA DIGITAL','MASCULINO',0</v>
      </c>
      <c r="J20" s="8" t="str">
        <f t="shared" si="2"/>
        <v>INSERT INTO profesores (id,nivel,carrera,grupo,nombre,materia,sexo,sello) VALUES (1019,'LICENCIATURA','ADMINISTRACION Y DIRECCION DE NEGOCIOS','ADMON 6°','ZEPEDA REYNOSO JESUS EMMANUEL','MERCADOTECNIA DIGITAL','MASCULINO',0);</v>
      </c>
    </row>
    <row r="21" spans="1:10" ht="72.5" x14ac:dyDescent="0.35">
      <c r="A21" s="8">
        <v>1020</v>
      </c>
      <c r="B21" s="9" t="s">
        <v>736</v>
      </c>
      <c r="C21" s="10" t="s">
        <v>737</v>
      </c>
      <c r="D21" s="8" t="s">
        <v>1401</v>
      </c>
      <c r="E21" s="8" t="s">
        <v>590</v>
      </c>
      <c r="F21" s="8" t="s">
        <v>773</v>
      </c>
      <c r="G21" s="8" t="s">
        <v>722</v>
      </c>
      <c r="H21" s="8">
        <v>0</v>
      </c>
      <c r="I21" s="8" t="str">
        <f t="shared" si="0"/>
        <v>1020,'LICENCIATURA','ADMINISTRACION Y DIRECCION DE NEGOCIOS','ADMON 8°','ACEVES REYNAGA DAVID EDUARDO','TOPICOS DE ACTUALIDAD','MASCULINO',0</v>
      </c>
      <c r="J21" s="8" t="str">
        <f t="shared" si="2"/>
        <v>INSERT INTO profesores (id,nivel,carrera,grupo,nombre,materia,sexo,sello) VALUES (1020,'LICENCIATURA','ADMINISTRACION Y DIRECCION DE NEGOCIOS','ADMON 8°','ACEVES REYNAGA DAVID EDUARDO','TOPICOS DE ACTUALIDAD','MASCULINO',0);</v>
      </c>
    </row>
    <row r="22" spans="1:10" ht="72.5" x14ac:dyDescent="0.35">
      <c r="A22" s="8">
        <v>1021</v>
      </c>
      <c r="B22" s="9" t="s">
        <v>736</v>
      </c>
      <c r="C22" s="10" t="s">
        <v>737</v>
      </c>
      <c r="D22" s="8" t="s">
        <v>1401</v>
      </c>
      <c r="E22" s="8" t="s">
        <v>645</v>
      </c>
      <c r="F22" s="8" t="s">
        <v>776</v>
      </c>
      <c r="G22" s="8" t="s">
        <v>722</v>
      </c>
      <c r="H22" s="8">
        <v>0</v>
      </c>
      <c r="I22" s="8" t="str">
        <f t="shared" si="0"/>
        <v>1021,'LICENCIATURA','ADMINISTRACION Y DIRECCION DE NEGOCIOS','ADMON 8°','GUILLEN LAGUNES JOSE JAVIER','GOBIERNO CORPORATIVO','MASCULINO',0</v>
      </c>
      <c r="J22" s="8" t="str">
        <f t="shared" si="2"/>
        <v>INSERT INTO profesores (id,nivel,carrera,grupo,nombre,materia,sexo,sello) VALUES (1021,'LICENCIATURA','ADMINISTRACION Y DIRECCION DE NEGOCIOS','ADMON 8°','GUILLEN LAGUNES JOSE JAVIER','GOBIERNO CORPORATIVO','MASCULINO',0);</v>
      </c>
    </row>
    <row r="23" spans="1:10" ht="87" x14ac:dyDescent="0.35">
      <c r="A23" s="8">
        <v>1022</v>
      </c>
      <c r="B23" s="9" t="s">
        <v>736</v>
      </c>
      <c r="C23" s="10" t="s">
        <v>737</v>
      </c>
      <c r="D23" s="8" t="s">
        <v>1401</v>
      </c>
      <c r="E23" s="8" t="s">
        <v>667</v>
      </c>
      <c r="F23" s="8" t="s">
        <v>777</v>
      </c>
      <c r="G23" s="8" t="s">
        <v>722</v>
      </c>
      <c r="H23" s="8">
        <v>0</v>
      </c>
      <c r="I23" s="8" t="str">
        <f t="shared" si="0"/>
        <v>1022,'LICENCIATURA','ADMINISTRACION Y DIRECCION DE NEGOCIOS','ADMON 8°','HERNANDEZ SALDIVAR LUIS FERNANDO','GESTION DE LA CONSULTORIA Y AUDITORIA','MASCULINO',0</v>
      </c>
      <c r="J23" s="8" t="str">
        <f t="shared" si="2"/>
        <v>INSERT INTO profesores (id,nivel,carrera,grupo,nombre,materia,sexo,sello) VALUES (1022,'LICENCIATURA','ADMINISTRACION Y DIRECCION DE NEGOCIOS','ADMON 8°','HERNANDEZ SALDIVAR LUIS FERNANDO','GESTION DE LA CONSULTORIA Y AUDITORIA','MASCULINO',0);</v>
      </c>
    </row>
    <row r="24" spans="1:10" ht="87" x14ac:dyDescent="0.35">
      <c r="A24" s="8">
        <v>1023</v>
      </c>
      <c r="B24" s="9" t="s">
        <v>736</v>
      </c>
      <c r="C24" s="10" t="s">
        <v>737</v>
      </c>
      <c r="D24" s="8" t="s">
        <v>1401</v>
      </c>
      <c r="E24" s="8" t="s">
        <v>563</v>
      </c>
      <c r="F24" s="8" t="s">
        <v>779</v>
      </c>
      <c r="G24" s="8" t="s">
        <v>721</v>
      </c>
      <c r="H24" s="8">
        <v>0</v>
      </c>
      <c r="I24" s="8" t="str">
        <f t="shared" si="0"/>
        <v>1023,'LICENCIATURA','ADMINISTRACION Y DIRECCION DE NEGOCIOS','ADMON 8°','RENTERIA JIMENEZ AMANDA JANETTE','DISEÑO DE ESTRATEGIAS DE LOGISTICA Y DISTRIBUCION','FEMENINO',0</v>
      </c>
      <c r="J24" s="8" t="str">
        <f t="shared" si="2"/>
        <v>INSERT INTO profesores (id,nivel,carrera,grupo,nombre,materia,sexo,sello) VALUES (1023,'LICENCIATURA','ADMINISTRACION Y DIRECCION DE NEGOCIOS','ADMON 8°','RENTERIA JIMENEZ AMANDA JANETTE','DISEÑO DE ESTRATEGIAS DE LOGISTICA Y DISTRIBUCION','FEMENINO',0);</v>
      </c>
    </row>
    <row r="25" spans="1:10" ht="87" x14ac:dyDescent="0.35">
      <c r="A25" s="8">
        <v>1024</v>
      </c>
      <c r="B25" s="9" t="s">
        <v>736</v>
      </c>
      <c r="C25" s="10" t="s">
        <v>737</v>
      </c>
      <c r="D25" s="8" t="s">
        <v>1401</v>
      </c>
      <c r="E25" s="8" t="s">
        <v>551</v>
      </c>
      <c r="F25" s="8" t="s">
        <v>781</v>
      </c>
      <c r="G25" s="8" t="s">
        <v>722</v>
      </c>
      <c r="H25" s="8">
        <v>0</v>
      </c>
      <c r="I25" s="8" t="str">
        <f t="shared" si="0"/>
        <v>1024,'LICENCIATURA','ADMINISTRACION Y DIRECCION DE NEGOCIOS','ADMON 8°','ROJAS MALDONADO ADRIAN','GESTION DE INNOVACION Y TECNOLOGIA','MASCULINO',0</v>
      </c>
      <c r="J25" s="8" t="str">
        <f t="shared" si="2"/>
        <v>INSERT INTO profesores (id,nivel,carrera,grupo,nombre,materia,sexo,sello) VALUES (1024,'LICENCIATURA','ADMINISTRACION Y DIRECCION DE NEGOCIOS','ADMON 8°','ROJAS MALDONADO ADRIAN','GESTION DE INNOVACION Y TECNOLOGIA','MASCULINO',0);</v>
      </c>
    </row>
    <row r="26" spans="1:10" ht="87" x14ac:dyDescent="0.35">
      <c r="A26" s="8">
        <v>1025</v>
      </c>
      <c r="B26" s="9" t="s">
        <v>736</v>
      </c>
      <c r="C26" s="10" t="s">
        <v>737</v>
      </c>
      <c r="D26" s="8" t="s">
        <v>1401</v>
      </c>
      <c r="E26" s="8" t="s">
        <v>643</v>
      </c>
      <c r="F26" s="8" t="s">
        <v>783</v>
      </c>
      <c r="G26" s="8" t="s">
        <v>722</v>
      </c>
      <c r="H26" s="8">
        <v>0</v>
      </c>
      <c r="I26" s="8" t="str">
        <f t="shared" si="0"/>
        <v>1025,'LICENCIATURA','ADMINISTRACION Y DIRECCION DE NEGOCIOS','ADMON 8°','VALENZUELA CHAVIRA JOSE DANIEL','DIRECCION DE NEGOCIOS INTERNACIONALES','MASCULINO',0</v>
      </c>
      <c r="J26" s="8" t="str">
        <f t="shared" si="2"/>
        <v>INSERT INTO profesores (id,nivel,carrera,grupo,nombre,materia,sexo,sello) VALUES (1025,'LICENCIATURA','ADMINISTRACION Y DIRECCION DE NEGOCIOS','ADMON 8°','VALENZUELA CHAVIRA JOSE DANIEL','DIRECCION DE NEGOCIOS INTERNACIONALES','MASCULINO',0);</v>
      </c>
    </row>
    <row r="27" spans="1:10" ht="72.5" x14ac:dyDescent="0.35">
      <c r="A27" s="8">
        <v>1026</v>
      </c>
      <c r="B27" s="9" t="s">
        <v>736</v>
      </c>
      <c r="C27" s="10" t="s">
        <v>785</v>
      </c>
      <c r="D27" s="8" t="s">
        <v>1402</v>
      </c>
      <c r="E27" s="8" t="s">
        <v>703</v>
      </c>
      <c r="F27" s="8" t="s">
        <v>784</v>
      </c>
      <c r="G27" s="8" t="s">
        <v>721</v>
      </c>
      <c r="H27" s="8">
        <v>0</v>
      </c>
      <c r="I27" s="8" t="str">
        <f t="shared" si="0"/>
        <v>1026,'LICENCIATURA','ANIMACION DIGITAL Y VIDEOJUEGOS','ANIM 2°','ABREU TEJEDA RAQUEL ABIGAIL','INTRODUCCION AL 3D','FEMENINO',0</v>
      </c>
      <c r="J27" s="8" t="str">
        <f t="shared" si="2"/>
        <v>INSERT INTO profesores (id,nivel,carrera,grupo,nombre,materia,sexo,sello) VALUES (1026,'LICENCIATURA','ANIMACION DIGITAL Y VIDEOJUEGOS','ANIM 2°','ABREU TEJEDA RAQUEL ABIGAIL','INTRODUCCION AL 3D','FEMENINO',0);</v>
      </c>
    </row>
    <row r="28" spans="1:10" ht="87" x14ac:dyDescent="0.35">
      <c r="A28" s="8">
        <v>1027</v>
      </c>
      <c r="B28" s="9" t="s">
        <v>736</v>
      </c>
      <c r="C28" s="10" t="s">
        <v>785</v>
      </c>
      <c r="D28" s="8" t="s">
        <v>1402</v>
      </c>
      <c r="E28" s="8" t="s">
        <v>621</v>
      </c>
      <c r="F28" s="8" t="s">
        <v>788</v>
      </c>
      <c r="G28" s="8" t="s">
        <v>722</v>
      </c>
      <c r="H28" s="8">
        <v>0</v>
      </c>
      <c r="I28" s="8" t="str">
        <f t="shared" si="0"/>
        <v>1027,'LICENCIATURA','ANIMACION DIGITAL Y VIDEOJUEGOS','ANIM 2°','DEL RIO AZCONA HECTOR RICARDO','GEOMETRIA Y TRIGONOMETRIA','MASCULINO',0</v>
      </c>
      <c r="J28" s="8" t="str">
        <f t="shared" si="2"/>
        <v>INSERT INTO profesores (id,nivel,carrera,grupo,nombre,materia,sexo,sello) VALUES (1027,'LICENCIATURA','ANIMACION DIGITAL Y VIDEOJUEGOS','ANIM 2°','DEL RIO AZCONA HECTOR RICARDO','GEOMETRIA Y TRIGONOMETRIA','MASCULINO',0);</v>
      </c>
    </row>
    <row r="29" spans="1:10" ht="72.5" x14ac:dyDescent="0.35">
      <c r="A29" s="8">
        <v>1028</v>
      </c>
      <c r="B29" s="9" t="s">
        <v>736</v>
      </c>
      <c r="C29" s="10" t="s">
        <v>785</v>
      </c>
      <c r="D29" s="8" t="s">
        <v>1402</v>
      </c>
      <c r="E29" s="8" t="s">
        <v>713</v>
      </c>
      <c r="F29" s="8" t="s">
        <v>790</v>
      </c>
      <c r="G29" s="8" t="s">
        <v>722</v>
      </c>
      <c r="H29" s="8">
        <v>0</v>
      </c>
      <c r="I29" s="8" t="str">
        <f t="shared" si="0"/>
        <v>1028,'LICENCIATURA','ANIMACION DIGITAL Y VIDEOJUEGOS','ANIM 2°','FLORES MONTAÑO SAUL EMMANUEL','FISICA','MASCULINO',0</v>
      </c>
      <c r="J29" s="8" t="str">
        <f t="shared" si="2"/>
        <v>INSERT INTO profesores (id,nivel,carrera,grupo,nombre,materia,sexo,sello) VALUES (1028,'LICENCIATURA','ANIMACION DIGITAL Y VIDEOJUEGOS','ANIM 2°','FLORES MONTAÑO SAUL EMMANUEL','FISICA','MASCULINO',0);</v>
      </c>
    </row>
    <row r="30" spans="1:10" ht="72.5" x14ac:dyDescent="0.35">
      <c r="A30" s="8">
        <v>1029</v>
      </c>
      <c r="B30" s="9" t="s">
        <v>736</v>
      </c>
      <c r="C30" s="10" t="s">
        <v>785</v>
      </c>
      <c r="D30" s="8" t="s">
        <v>1402</v>
      </c>
      <c r="E30" s="8" t="s">
        <v>598</v>
      </c>
      <c r="F30" s="8" t="s">
        <v>792</v>
      </c>
      <c r="G30" s="8" t="s">
        <v>721</v>
      </c>
      <c r="H30" s="8">
        <v>0</v>
      </c>
      <c r="I30" s="8" t="str">
        <f t="shared" si="0"/>
        <v>1029,'LICENCIATURA','ANIMACION DIGITAL Y VIDEOJUEGOS','ANIM 2°','HOBART GARCIA ELISA','ANIMACION 2D I','FEMENINO',0</v>
      </c>
      <c r="J30" s="8" t="str">
        <f t="shared" si="2"/>
        <v>INSERT INTO profesores (id,nivel,carrera,grupo,nombre,materia,sexo,sello) VALUES (1029,'LICENCIATURA','ANIMACION DIGITAL Y VIDEOJUEGOS','ANIM 2°','HOBART GARCIA ELISA','ANIMACION 2D I','FEMENINO',0);</v>
      </c>
    </row>
    <row r="31" spans="1:10" ht="72.5" x14ac:dyDescent="0.35">
      <c r="A31" s="8">
        <v>1030</v>
      </c>
      <c r="B31" s="9" t="s">
        <v>736</v>
      </c>
      <c r="C31" s="10" t="s">
        <v>785</v>
      </c>
      <c r="D31" s="8" t="s">
        <v>1402</v>
      </c>
      <c r="E31" s="8" t="s">
        <v>609</v>
      </c>
      <c r="F31" s="8" t="s">
        <v>794</v>
      </c>
      <c r="G31" s="8" t="s">
        <v>722</v>
      </c>
      <c r="H31" s="8">
        <v>0</v>
      </c>
      <c r="I31" s="8" t="str">
        <f t="shared" si="0"/>
        <v>1030,'LICENCIATURA','ANIMACION DIGITAL Y VIDEOJUEGOS','ANIM 2°','LOPEZ VIDAURRI FERNANDO ABIF','TALLER DE STOPMOTION','MASCULINO',0</v>
      </c>
      <c r="J31" s="8" t="str">
        <f t="shared" si="2"/>
        <v>INSERT INTO profesores (id,nivel,carrera,grupo,nombre,materia,sexo,sello) VALUES (1030,'LICENCIATURA','ANIMACION DIGITAL Y VIDEOJUEGOS','ANIM 2°','LOPEZ VIDAURRI FERNANDO ABIF','TALLER DE STOPMOTION','MASCULINO',0);</v>
      </c>
    </row>
    <row r="32" spans="1:10" ht="72.5" x14ac:dyDescent="0.35">
      <c r="A32" s="8">
        <v>1031</v>
      </c>
      <c r="B32" s="9" t="s">
        <v>736</v>
      </c>
      <c r="C32" s="10" t="s">
        <v>785</v>
      </c>
      <c r="D32" s="8" t="s">
        <v>1402</v>
      </c>
      <c r="E32" s="8" t="s">
        <v>657</v>
      </c>
      <c r="F32" s="8" t="s">
        <v>796</v>
      </c>
      <c r="G32" s="8" t="s">
        <v>721</v>
      </c>
      <c r="H32" s="8">
        <v>0</v>
      </c>
      <c r="I32" s="8" t="str">
        <f t="shared" si="0"/>
        <v>1031,'LICENCIATURA','ANIMACION DIGITAL Y VIDEOJUEGOS','ANIM 2°','MICHEL SANDOVAL LAURA LIVIER','GUION LITERARIO Y TECNICO','FEMENINO',0</v>
      </c>
      <c r="J32" s="8" t="str">
        <f t="shared" si="2"/>
        <v>INSERT INTO profesores (id,nivel,carrera,grupo,nombre,materia,sexo,sello) VALUES (1031,'LICENCIATURA','ANIMACION DIGITAL Y VIDEOJUEGOS','ANIM 2°','MICHEL SANDOVAL LAURA LIVIER','GUION LITERARIO Y TECNICO','FEMENINO',0);</v>
      </c>
    </row>
    <row r="33" spans="1:10" ht="72.5" x14ac:dyDescent="0.35">
      <c r="A33" s="8">
        <v>1032</v>
      </c>
      <c r="B33" s="9" t="s">
        <v>736</v>
      </c>
      <c r="C33" s="10" t="s">
        <v>785</v>
      </c>
      <c r="D33" s="8" t="s">
        <v>1402</v>
      </c>
      <c r="E33" s="8" t="s">
        <v>572</v>
      </c>
      <c r="F33" s="8" t="s">
        <v>798</v>
      </c>
      <c r="G33" s="8" t="s">
        <v>721</v>
      </c>
      <c r="H33" s="8">
        <v>0</v>
      </c>
      <c r="I33" s="8" t="str">
        <f t="shared" si="0"/>
        <v>1032,'LICENCIATURA','ANIMACION DIGITAL Y VIDEOJUEGOS','ANIM 2°','MORELOS VELAZQUEZ CARLA DANIELA','DIBUJO ARTISTICO','FEMENINO',0</v>
      </c>
      <c r="J33" s="8" t="str">
        <f t="shared" si="2"/>
        <v>INSERT INTO profesores (id,nivel,carrera,grupo,nombre,materia,sexo,sello) VALUES (1032,'LICENCIATURA','ANIMACION DIGITAL Y VIDEOJUEGOS','ANIM 2°','MORELOS VELAZQUEZ CARLA DANIELA','DIBUJO ARTISTICO','FEMENINO',0);</v>
      </c>
    </row>
    <row r="34" spans="1:10" ht="72.5" x14ac:dyDescent="0.35">
      <c r="A34" s="8">
        <v>1033</v>
      </c>
      <c r="B34" s="9" t="s">
        <v>736</v>
      </c>
      <c r="C34" s="10" t="s">
        <v>785</v>
      </c>
      <c r="D34" s="8" t="s">
        <v>1402</v>
      </c>
      <c r="E34" s="8" t="s">
        <v>664</v>
      </c>
      <c r="F34" s="8" t="s">
        <v>800</v>
      </c>
      <c r="G34" s="8" t="s">
        <v>721</v>
      </c>
      <c r="H34" s="8">
        <v>0</v>
      </c>
      <c r="I34" s="8" t="str">
        <f t="shared" si="0"/>
        <v>1033,'LICENCIATURA','ANIMACION DIGITAL Y VIDEOJUEGOS','ANIM 2°','ROSALES VARGAS LUCINA SARAY','ILUSTRACION DIGITAL','FEMENINO',0</v>
      </c>
      <c r="J34" s="8" t="str">
        <f t="shared" si="2"/>
        <v>INSERT INTO profesores (id,nivel,carrera,grupo,nombre,materia,sexo,sello) VALUES (1033,'LICENCIATURA','ANIMACION DIGITAL Y VIDEOJUEGOS','ANIM 2°','ROSALES VARGAS LUCINA SARAY','ILUSTRACION DIGITAL','FEMENINO',0);</v>
      </c>
    </row>
    <row r="35" spans="1:10" ht="72.5" x14ac:dyDescent="0.35">
      <c r="A35" s="8">
        <v>1034</v>
      </c>
      <c r="B35" s="9" t="s">
        <v>736</v>
      </c>
      <c r="C35" s="10" t="s">
        <v>785</v>
      </c>
      <c r="D35" s="8" t="s">
        <v>1403</v>
      </c>
      <c r="E35" s="8" t="s">
        <v>703</v>
      </c>
      <c r="F35" s="8" t="s">
        <v>802</v>
      </c>
      <c r="G35" s="8" t="s">
        <v>721</v>
      </c>
      <c r="H35" s="8">
        <v>0</v>
      </c>
      <c r="I35" s="8" t="str">
        <f t="shared" si="0"/>
        <v>1034,'LICENCIATURA','ANIMACION DIGITAL Y VIDEOJUEGOS','ANIM 4°','ABREU TEJEDA RAQUEL ABIGAIL','MODELADO 3D ORGANICO','FEMENINO',0</v>
      </c>
      <c r="J35" s="8" t="str">
        <f t="shared" si="2"/>
        <v>INSERT INTO profesores (id,nivel,carrera,grupo,nombre,materia,sexo,sello) VALUES (1034,'LICENCIATURA','ANIMACION DIGITAL Y VIDEOJUEGOS','ANIM 4°','ABREU TEJEDA RAQUEL ABIGAIL','MODELADO 3D ORGANICO','FEMENINO',0);</v>
      </c>
    </row>
    <row r="36" spans="1:10" ht="72.5" x14ac:dyDescent="0.35">
      <c r="A36" s="8">
        <v>1035</v>
      </c>
      <c r="B36" s="9" t="s">
        <v>736</v>
      </c>
      <c r="C36" s="10" t="s">
        <v>785</v>
      </c>
      <c r="D36" s="8" t="s">
        <v>1403</v>
      </c>
      <c r="E36" s="8" t="s">
        <v>635</v>
      </c>
      <c r="F36" s="8" t="s">
        <v>804</v>
      </c>
      <c r="G36" s="8" t="s">
        <v>722</v>
      </c>
      <c r="H36" s="8">
        <v>0</v>
      </c>
      <c r="I36" s="8" t="str">
        <f t="shared" si="0"/>
        <v>1035,'LICENCIATURA','ANIMACION DIGITAL Y VIDEOJUEGOS','ANIM 4°','ACOSTA NUÑEZ JORGE','DISEÑO DE PERSONAJES II','MASCULINO',0</v>
      </c>
      <c r="J36" s="8" t="str">
        <f t="shared" si="2"/>
        <v>INSERT INTO profesores (id,nivel,carrera,grupo,nombre,materia,sexo,sello) VALUES (1035,'LICENCIATURA','ANIMACION DIGITAL Y VIDEOJUEGOS','ANIM 4°','ACOSTA NUÑEZ JORGE','DISEÑO DE PERSONAJES II','MASCULINO',0);</v>
      </c>
    </row>
    <row r="37" spans="1:10" ht="72.5" x14ac:dyDescent="0.35">
      <c r="A37" s="8">
        <v>1036</v>
      </c>
      <c r="B37" s="9" t="s">
        <v>736</v>
      </c>
      <c r="C37" s="10" t="s">
        <v>785</v>
      </c>
      <c r="D37" s="8" t="s">
        <v>1403</v>
      </c>
      <c r="E37" s="8" t="s">
        <v>647</v>
      </c>
      <c r="F37" s="8" t="s">
        <v>806</v>
      </c>
      <c r="G37" s="8" t="s">
        <v>722</v>
      </c>
      <c r="H37" s="8">
        <v>0</v>
      </c>
      <c r="I37" s="8" t="str">
        <f t="shared" si="0"/>
        <v>1036,'LICENCIATURA','ANIMACION DIGITAL Y VIDEOJUEGOS','ANIM 4°','BLANQUET CHAVOYA JOSE LUIS','AUDIO Y SONORIZACION','MASCULINO',0</v>
      </c>
      <c r="J37" s="8" t="str">
        <f t="shared" si="2"/>
        <v>INSERT INTO profesores (id,nivel,carrera,grupo,nombre,materia,sexo,sello) VALUES (1036,'LICENCIATURA','ANIMACION DIGITAL Y VIDEOJUEGOS','ANIM 4°','BLANQUET CHAVOYA JOSE LUIS','AUDIO Y SONORIZACION','MASCULINO',0);</v>
      </c>
    </row>
    <row r="38" spans="1:10" ht="87" x14ac:dyDescent="0.35">
      <c r="A38" s="8">
        <v>1037</v>
      </c>
      <c r="B38" s="9" t="s">
        <v>736</v>
      </c>
      <c r="C38" s="10" t="s">
        <v>785</v>
      </c>
      <c r="D38" s="8" t="s">
        <v>1403</v>
      </c>
      <c r="E38" s="8" t="s">
        <v>553</v>
      </c>
      <c r="F38" s="8" t="s">
        <v>808</v>
      </c>
      <c r="G38" s="8" t="s">
        <v>722</v>
      </c>
      <c r="H38" s="8">
        <v>0</v>
      </c>
      <c r="I38" s="8" t="str">
        <f t="shared" si="0"/>
        <v>1037,'LICENCIATURA','ANIMACION DIGITAL Y VIDEOJUEGOS','ANIM 4°','GOMEZ CANALES ALAM','ANIMACION 2D COMPORTAMIENTO DE PERSONAJES','MASCULINO',0</v>
      </c>
      <c r="J38" s="8" t="str">
        <f t="shared" si="2"/>
        <v>INSERT INTO profesores (id,nivel,carrera,grupo,nombre,materia,sexo,sello) VALUES (1037,'LICENCIATURA','ANIMACION DIGITAL Y VIDEOJUEGOS','ANIM 4°','GOMEZ CANALES ALAM','ANIMACION 2D COMPORTAMIENTO DE PERSONAJES','MASCULINO',0);</v>
      </c>
    </row>
    <row r="39" spans="1:10" ht="72.5" x14ac:dyDescent="0.35">
      <c r="A39" s="8">
        <v>1038</v>
      </c>
      <c r="B39" s="9" t="s">
        <v>736</v>
      </c>
      <c r="C39" s="10" t="s">
        <v>785</v>
      </c>
      <c r="D39" s="8" t="s">
        <v>1403</v>
      </c>
      <c r="E39" s="8" t="s">
        <v>694</v>
      </c>
      <c r="F39" s="8" t="s">
        <v>810</v>
      </c>
      <c r="G39" s="8" t="s">
        <v>721</v>
      </c>
      <c r="H39" s="8">
        <v>0</v>
      </c>
      <c r="I39" s="8" t="str">
        <f t="shared" si="0"/>
        <v>1038,'LICENCIATURA','ANIMACION DIGITAL Y VIDEOJUEGOS','ANIM 4°','HERNANDEZ GONZALEZ BARCENA NICOLE','MECANICAS DE JUEGO','FEMENINO',0</v>
      </c>
      <c r="J39" s="8" t="str">
        <f t="shared" si="2"/>
        <v>INSERT INTO profesores (id,nivel,carrera,grupo,nombre,materia,sexo,sello) VALUES (1038,'LICENCIATURA','ANIMACION DIGITAL Y VIDEOJUEGOS','ANIM 4°','HERNANDEZ GONZALEZ BARCENA NICOLE','MECANICAS DE JUEGO','FEMENINO',0);</v>
      </c>
    </row>
    <row r="40" spans="1:10" ht="72.5" x14ac:dyDescent="0.35">
      <c r="A40" s="8">
        <v>1039</v>
      </c>
      <c r="B40" s="9" t="s">
        <v>736</v>
      </c>
      <c r="C40" s="10" t="s">
        <v>785</v>
      </c>
      <c r="D40" s="8" t="s">
        <v>1403</v>
      </c>
      <c r="E40" s="8" t="s">
        <v>598</v>
      </c>
      <c r="F40" s="8" t="s">
        <v>812</v>
      </c>
      <c r="G40" s="8" t="s">
        <v>721</v>
      </c>
      <c r="H40" s="8">
        <v>0</v>
      </c>
      <c r="I40" s="8" t="str">
        <f t="shared" si="0"/>
        <v>1039,'LICENCIATURA','ANIMACION DIGITAL Y VIDEOJUEGOS','ANIM 4°','HOBART GARCIA ELISA','GUION GRAFICO Y ANIMATICO','FEMENINO',0</v>
      </c>
      <c r="J40" s="8" t="str">
        <f t="shared" si="2"/>
        <v>INSERT INTO profesores (id,nivel,carrera,grupo,nombre,materia,sexo,sello) VALUES (1039,'LICENCIATURA','ANIMACION DIGITAL Y VIDEOJUEGOS','ANIM 4°','HOBART GARCIA ELISA','GUION GRAFICO Y ANIMATICO','FEMENINO',0);</v>
      </c>
    </row>
    <row r="41" spans="1:10" ht="87" x14ac:dyDescent="0.35">
      <c r="A41" s="8">
        <v>1040</v>
      </c>
      <c r="B41" s="9" t="s">
        <v>736</v>
      </c>
      <c r="C41" s="10" t="s">
        <v>785</v>
      </c>
      <c r="D41" s="8" t="s">
        <v>1403</v>
      </c>
      <c r="E41" s="8" t="s">
        <v>609</v>
      </c>
      <c r="F41" s="8" t="s">
        <v>813</v>
      </c>
      <c r="G41" s="8" t="s">
        <v>722</v>
      </c>
      <c r="H41" s="8">
        <v>0</v>
      </c>
      <c r="I41" s="8" t="str">
        <f t="shared" si="0"/>
        <v>1040,'LICENCIATURA','ANIMACION DIGITAL Y VIDEOJUEGOS','ANIM 4°','LOPEZ VIDAURRI FERNANDO ABIF','PROCESOS DE PRODUCCION DE ANIMACION Y VIDEOJUEGOS','MASCULINO',0</v>
      </c>
      <c r="J41" s="8" t="str">
        <f t="shared" si="2"/>
        <v>INSERT INTO profesores (id,nivel,carrera,grupo,nombre,materia,sexo,sello) VALUES (1040,'LICENCIATURA','ANIMACION DIGITAL Y VIDEOJUEGOS','ANIM 4°','LOPEZ VIDAURRI FERNANDO ABIF','PROCESOS DE PRODUCCION DE ANIMACION Y VIDEOJUEGOS','MASCULINO',0);</v>
      </c>
    </row>
    <row r="42" spans="1:10" ht="72.5" x14ac:dyDescent="0.35">
      <c r="A42" s="8">
        <v>1041</v>
      </c>
      <c r="B42" s="9" t="s">
        <v>736</v>
      </c>
      <c r="C42" s="10" t="s">
        <v>785</v>
      </c>
      <c r="D42" s="8" t="s">
        <v>1403</v>
      </c>
      <c r="E42" s="8" t="s">
        <v>719</v>
      </c>
      <c r="F42" s="8" t="s">
        <v>814</v>
      </c>
      <c r="G42" s="8" t="s">
        <v>721</v>
      </c>
      <c r="H42" s="8">
        <v>0</v>
      </c>
      <c r="I42" s="8" t="str">
        <f t="shared" si="0"/>
        <v>1041,'LICENCIATURA','ANIMACION DIGITAL Y VIDEOJUEGOS','ANIM 4°','ZAMBRANO LOPEZ ZAIRA MARLENE','TALLER DE ANIMACION II','FEMENINO',0</v>
      </c>
      <c r="J42" s="8" t="str">
        <f t="shared" si="2"/>
        <v>INSERT INTO profesores (id,nivel,carrera,grupo,nombre,materia,sexo,sello) VALUES (1041,'LICENCIATURA','ANIMACION DIGITAL Y VIDEOJUEGOS','ANIM 4°','ZAMBRANO LOPEZ ZAIRA MARLENE','TALLER DE ANIMACION II','FEMENINO',0);</v>
      </c>
    </row>
    <row r="43" spans="1:10" ht="72.5" x14ac:dyDescent="0.35">
      <c r="A43" s="8">
        <v>1042</v>
      </c>
      <c r="B43" s="9" t="s">
        <v>736</v>
      </c>
      <c r="C43" s="10" t="s">
        <v>785</v>
      </c>
      <c r="D43" s="8" t="s">
        <v>1404</v>
      </c>
      <c r="E43" s="8" t="s">
        <v>613</v>
      </c>
      <c r="F43" s="8" t="s">
        <v>816</v>
      </c>
      <c r="G43" s="8" t="s">
        <v>722</v>
      </c>
      <c r="H43" s="8">
        <v>0</v>
      </c>
      <c r="I43" s="8" t="str">
        <f t="shared" si="0"/>
        <v>1042,'LICENCIATURA','ANIMACION DIGITAL Y VIDEOJUEGOS','ANIM 6°','BENITEZ LOZANO GABRIEL','MERCADOTECNIA','MASCULINO',0</v>
      </c>
      <c r="J43" s="8" t="str">
        <f t="shared" si="2"/>
        <v>INSERT INTO profesores (id,nivel,carrera,grupo,nombre,materia,sexo,sello) VALUES (1042,'LICENCIATURA','ANIMACION DIGITAL Y VIDEOJUEGOS','ANIM 6°','BENITEZ LOZANO GABRIEL','MERCADOTECNIA','MASCULINO',0);</v>
      </c>
    </row>
    <row r="44" spans="1:10" ht="87" x14ac:dyDescent="0.35">
      <c r="A44" s="8">
        <v>1043</v>
      </c>
      <c r="B44" s="9" t="s">
        <v>736</v>
      </c>
      <c r="C44" s="10" t="s">
        <v>785</v>
      </c>
      <c r="D44" s="8" t="s">
        <v>1404</v>
      </c>
      <c r="E44" s="8" t="s">
        <v>713</v>
      </c>
      <c r="F44" s="8" t="s">
        <v>819</v>
      </c>
      <c r="G44" s="8" t="s">
        <v>722</v>
      </c>
      <c r="H44" s="8">
        <v>0</v>
      </c>
      <c r="I44" s="8" t="str">
        <f t="shared" si="0"/>
        <v>1043,'LICENCIATURA','ANIMACION DIGITAL Y VIDEOJUEGOS','ANIM 6°','FLORES MONTAÑO SAUL EMMANUEL','FUNDAMENTOS DE PROGRAMACION','MASCULINO',0</v>
      </c>
      <c r="J44" s="8" t="str">
        <f t="shared" si="2"/>
        <v>INSERT INTO profesores (id,nivel,carrera,grupo,nombre,materia,sexo,sello) VALUES (1043,'LICENCIATURA','ANIMACION DIGITAL Y VIDEOJUEGOS','ANIM 6°','FLORES MONTAÑO SAUL EMMANUEL','FUNDAMENTOS DE PROGRAMACION','MASCULINO',0);</v>
      </c>
    </row>
    <row r="45" spans="1:10" ht="72.5" x14ac:dyDescent="0.35">
      <c r="A45" s="8">
        <v>1044</v>
      </c>
      <c r="B45" s="9" t="s">
        <v>736</v>
      </c>
      <c r="C45" s="10" t="s">
        <v>785</v>
      </c>
      <c r="D45" s="8" t="s">
        <v>1404</v>
      </c>
      <c r="E45" s="8" t="s">
        <v>711</v>
      </c>
      <c r="F45" s="8" t="s">
        <v>820</v>
      </c>
      <c r="G45" s="8" t="s">
        <v>722</v>
      </c>
      <c r="H45" s="8">
        <v>0</v>
      </c>
      <c r="I45" s="8" t="str">
        <f t="shared" si="0"/>
        <v>1044,'LICENCIATURA','ANIMACION DIGITAL Y VIDEOJUEGOS','ANIM 6°','GOMEZ OROZCO SAMUEL','RENDER E ILUMINACION','MASCULINO',0</v>
      </c>
      <c r="J45" s="8" t="str">
        <f t="shared" si="2"/>
        <v>INSERT INTO profesores (id,nivel,carrera,grupo,nombre,materia,sexo,sello) VALUES (1044,'LICENCIATURA','ANIMACION DIGITAL Y VIDEOJUEGOS','ANIM 6°','GOMEZ OROZCO SAMUEL','RENDER E ILUMINACION','MASCULINO',0);</v>
      </c>
    </row>
    <row r="46" spans="1:10" ht="72.5" x14ac:dyDescent="0.35">
      <c r="A46" s="8">
        <v>1045</v>
      </c>
      <c r="B46" s="9" t="s">
        <v>736</v>
      </c>
      <c r="C46" s="10" t="s">
        <v>785</v>
      </c>
      <c r="D46" s="8" t="s">
        <v>1404</v>
      </c>
      <c r="E46" s="8" t="s">
        <v>694</v>
      </c>
      <c r="F46" s="8" t="s">
        <v>822</v>
      </c>
      <c r="G46" s="8" t="s">
        <v>721</v>
      </c>
      <c r="H46" s="8">
        <v>0</v>
      </c>
      <c r="I46" s="8" t="str">
        <f t="shared" si="0"/>
        <v>1045,'LICENCIATURA','ANIMACION DIGITAL Y VIDEOJUEGOS','ANIM 6°','HERNANDEZ GONZALEZ BARCENA NICOLE','DISEÑO DE NIVELES DE JUEGO','FEMENINO',0</v>
      </c>
      <c r="J46" s="8" t="str">
        <f t="shared" si="2"/>
        <v>INSERT INTO profesores (id,nivel,carrera,grupo,nombre,materia,sexo,sello) VALUES (1045,'LICENCIATURA','ANIMACION DIGITAL Y VIDEOJUEGOS','ANIM 6°','HERNANDEZ GONZALEZ BARCENA NICOLE','DISEÑO DE NIVELES DE JUEGO','FEMENINO',0);</v>
      </c>
    </row>
    <row r="47" spans="1:10" ht="72.5" x14ac:dyDescent="0.35">
      <c r="A47" s="8">
        <v>1046</v>
      </c>
      <c r="B47" s="9" t="s">
        <v>736</v>
      </c>
      <c r="C47" s="10" t="s">
        <v>785</v>
      </c>
      <c r="D47" s="8" t="s">
        <v>1404</v>
      </c>
      <c r="E47" s="8" t="s">
        <v>629</v>
      </c>
      <c r="F47" s="8" t="s">
        <v>823</v>
      </c>
      <c r="G47" s="8" t="s">
        <v>722</v>
      </c>
      <c r="H47" s="8">
        <v>0</v>
      </c>
      <c r="I47" s="8" t="str">
        <f t="shared" si="0"/>
        <v>1046,'LICENCIATURA','ANIMACION DIGITAL Y VIDEOJUEGOS','ANIM 6°','SALCEDO RONDON JAVIER EDUARDO','TEXTURIZADOS Y SHADERS','MASCULINO',0</v>
      </c>
      <c r="J47" s="8" t="str">
        <f t="shared" si="2"/>
        <v>INSERT INTO profesores (id,nivel,carrera,grupo,nombre,materia,sexo,sello) VALUES (1046,'LICENCIATURA','ANIMACION DIGITAL Y VIDEOJUEGOS','ANIM 6°','SALCEDO RONDON JAVIER EDUARDO','TEXTURIZADOS Y SHADERS','MASCULINO',0);</v>
      </c>
    </row>
    <row r="48" spans="1:10" ht="72.5" x14ac:dyDescent="0.35">
      <c r="A48" s="8">
        <v>1047</v>
      </c>
      <c r="B48" s="9" t="s">
        <v>736</v>
      </c>
      <c r="C48" s="10" t="s">
        <v>785</v>
      </c>
      <c r="D48" s="8" t="s">
        <v>1404</v>
      </c>
      <c r="E48" s="8" t="s">
        <v>574</v>
      </c>
      <c r="F48" s="8" t="s">
        <v>825</v>
      </c>
      <c r="G48" s="8" t="s">
        <v>722</v>
      </c>
      <c r="H48" s="8">
        <v>0</v>
      </c>
      <c r="I48" s="8" t="str">
        <f t="shared" si="0"/>
        <v>1047,'LICENCIATURA','ANIMACION DIGITAL Y VIDEOJUEGOS','ANIM 6°','TORRES ESPINOSA CARLOS ALBERTO','ANIMACION 3D I','MASCULINO',0</v>
      </c>
      <c r="J48" s="8" t="str">
        <f t="shared" si="2"/>
        <v>INSERT INTO profesores (id,nivel,carrera,grupo,nombre,materia,sexo,sello) VALUES (1047,'LICENCIATURA','ANIMACION DIGITAL Y VIDEOJUEGOS','ANIM 6°','TORRES ESPINOSA CARLOS ALBERTO','ANIMACION 3D I','MASCULINO',0);</v>
      </c>
    </row>
    <row r="49" spans="1:10" ht="72.5" x14ac:dyDescent="0.35">
      <c r="A49" s="8">
        <v>1048</v>
      </c>
      <c r="B49" s="9" t="s">
        <v>736</v>
      </c>
      <c r="C49" s="10" t="s">
        <v>785</v>
      </c>
      <c r="D49" s="8" t="s">
        <v>1405</v>
      </c>
      <c r="E49" s="8" t="s">
        <v>703</v>
      </c>
      <c r="F49" s="8" t="s">
        <v>827</v>
      </c>
      <c r="G49" s="8" t="s">
        <v>721</v>
      </c>
      <c r="H49" s="8">
        <v>0</v>
      </c>
      <c r="I49" s="8" t="str">
        <f t="shared" si="0"/>
        <v>1048,'LICENCIATURA','ANIMACION DIGITAL Y VIDEOJUEGOS','ANIM 8°','ABREU TEJEDA RAQUEL ABIGAIL','PUBLICACION Y DISTRIBUCION','FEMENINO',0</v>
      </c>
      <c r="J49" s="8" t="str">
        <f t="shared" si="2"/>
        <v>INSERT INTO profesores (id,nivel,carrera,grupo,nombre,materia,sexo,sello) VALUES (1048,'LICENCIATURA','ANIMACION DIGITAL Y VIDEOJUEGOS','ANIM 8°','ABREU TEJEDA RAQUEL ABIGAIL','PUBLICACION Y DISTRIBUCION','FEMENINO',0);</v>
      </c>
    </row>
    <row r="50" spans="1:10" ht="72.5" x14ac:dyDescent="0.35">
      <c r="A50" s="8">
        <v>1049</v>
      </c>
      <c r="B50" s="9" t="s">
        <v>736</v>
      </c>
      <c r="C50" s="10" t="s">
        <v>785</v>
      </c>
      <c r="D50" s="8" t="s">
        <v>1405</v>
      </c>
      <c r="E50" s="8" t="s">
        <v>635</v>
      </c>
      <c r="F50" s="8" t="s">
        <v>829</v>
      </c>
      <c r="G50" s="8" t="s">
        <v>722</v>
      </c>
      <c r="H50" s="8">
        <v>0</v>
      </c>
      <c r="I50" s="8" t="str">
        <f t="shared" si="0"/>
        <v>1049,'LICENCIATURA','ANIMACION DIGITAL Y VIDEOJUEGOS','ANIM 8°','ACOSTA NUÑEZ JORGE','EFECTOS ESPECIALES','MASCULINO',0</v>
      </c>
      <c r="J50" s="8" t="str">
        <f t="shared" si="2"/>
        <v>INSERT INTO profesores (id,nivel,carrera,grupo,nombre,materia,sexo,sello) VALUES (1049,'LICENCIATURA','ANIMACION DIGITAL Y VIDEOJUEGOS','ANIM 8°','ACOSTA NUÑEZ JORGE','EFECTOS ESPECIALES','MASCULINO',0);</v>
      </c>
    </row>
    <row r="51" spans="1:10" ht="72.5" x14ac:dyDescent="0.35">
      <c r="A51" s="8">
        <v>1050</v>
      </c>
      <c r="B51" s="9" t="s">
        <v>736</v>
      </c>
      <c r="C51" s="10" t="s">
        <v>785</v>
      </c>
      <c r="D51" s="8" t="s">
        <v>1405</v>
      </c>
      <c r="E51" s="8" t="s">
        <v>706</v>
      </c>
      <c r="F51" s="8" t="s">
        <v>830</v>
      </c>
      <c r="G51" s="8" t="s">
        <v>722</v>
      </c>
      <c r="H51" s="8">
        <v>0</v>
      </c>
      <c r="I51" s="8" t="str">
        <f t="shared" si="0"/>
        <v>1050,'LICENCIATURA','ANIMACION DIGITAL Y VIDEOJUEGOS','ANIM 8°','BAEZA MONTIEL RICARDO IGNACIO','ANIMACION 3D II','MASCULINO',0</v>
      </c>
      <c r="J51" s="8" t="str">
        <f t="shared" si="2"/>
        <v>INSERT INTO profesores (id,nivel,carrera,grupo,nombre,materia,sexo,sello) VALUES (1050,'LICENCIATURA','ANIMACION DIGITAL Y VIDEOJUEGOS','ANIM 8°','BAEZA MONTIEL RICARDO IGNACIO','ANIMACION 3D II','MASCULINO',0);</v>
      </c>
    </row>
    <row r="52" spans="1:10" ht="72.5" x14ac:dyDescent="0.35">
      <c r="A52" s="8">
        <v>1051</v>
      </c>
      <c r="B52" s="9" t="s">
        <v>736</v>
      </c>
      <c r="C52" s="10" t="s">
        <v>785</v>
      </c>
      <c r="D52" s="8" t="s">
        <v>1405</v>
      </c>
      <c r="E52" s="8" t="s">
        <v>647</v>
      </c>
      <c r="F52" s="8" t="s">
        <v>832</v>
      </c>
      <c r="G52" s="8" t="s">
        <v>722</v>
      </c>
      <c r="H52" s="8">
        <v>0</v>
      </c>
      <c r="I52" s="8" t="str">
        <f t="shared" si="0"/>
        <v>1051,'LICENCIATURA','ANIMACION DIGITAL Y VIDEOJUEGOS','ANIM 8°','BLANQUET CHAVOYA JOSE LUIS','TEMAS SELECTOS DE ANIMACION','MASCULINO',0</v>
      </c>
      <c r="J52" s="8" t="str">
        <f t="shared" si="2"/>
        <v>INSERT INTO profesores (id,nivel,carrera,grupo,nombre,materia,sexo,sello) VALUES (1051,'LICENCIATURA','ANIMACION DIGITAL Y VIDEOJUEGOS','ANIM 8°','BLANQUET CHAVOYA JOSE LUIS','TEMAS SELECTOS DE ANIMACION','MASCULINO',0);</v>
      </c>
    </row>
    <row r="53" spans="1:10" ht="87" x14ac:dyDescent="0.35">
      <c r="A53" s="8">
        <v>1052</v>
      </c>
      <c r="B53" s="9" t="s">
        <v>736</v>
      </c>
      <c r="C53" s="10" t="s">
        <v>785</v>
      </c>
      <c r="D53" s="8" t="s">
        <v>1405</v>
      </c>
      <c r="E53" s="8" t="s">
        <v>713</v>
      </c>
      <c r="F53" s="8" t="s">
        <v>833</v>
      </c>
      <c r="G53" s="8" t="s">
        <v>722</v>
      </c>
      <c r="H53" s="8">
        <v>0</v>
      </c>
      <c r="I53" s="8" t="str">
        <f t="shared" si="0"/>
        <v>1052,'LICENCIATURA','ANIMACION DIGITAL Y VIDEOJUEGOS','ANIM 8°','FLORES MONTAÑO SAUL EMMANUEL','MOTORES PARA VIDEOJUEGOS II','MASCULINO',0</v>
      </c>
      <c r="J53" s="8" t="str">
        <f t="shared" si="2"/>
        <v>INSERT INTO profesores (id,nivel,carrera,grupo,nombre,materia,sexo,sello) VALUES (1052,'LICENCIATURA','ANIMACION DIGITAL Y VIDEOJUEGOS','ANIM 8°','FLORES MONTAÑO SAUL EMMANUEL','MOTORES PARA VIDEOJUEGOS II','MASCULINO',0);</v>
      </c>
    </row>
    <row r="54" spans="1:10" ht="87" x14ac:dyDescent="0.35">
      <c r="A54" s="8">
        <v>1053</v>
      </c>
      <c r="B54" s="9" t="s">
        <v>736</v>
      </c>
      <c r="C54" s="10" t="s">
        <v>785</v>
      </c>
      <c r="D54" s="8" t="s">
        <v>1405</v>
      </c>
      <c r="E54" s="8" t="s">
        <v>612</v>
      </c>
      <c r="F54" s="8" t="s">
        <v>834</v>
      </c>
      <c r="G54" s="8" t="s">
        <v>722</v>
      </c>
      <c r="H54" s="8">
        <v>0</v>
      </c>
      <c r="I54" s="8" t="str">
        <f t="shared" si="0"/>
        <v>1053,'LICENCIATURA','ANIMACION DIGITAL Y VIDEOJUEGOS','ANIM 8°','RAMIREZ ORNELAS FRANCISCO JAVIER','POSTPRODUCCION Y COMPOSICION II','MASCULINO',0</v>
      </c>
      <c r="J54" s="8" t="str">
        <f t="shared" si="2"/>
        <v>INSERT INTO profesores (id,nivel,carrera,grupo,nombre,materia,sexo,sello) VALUES (1053,'LICENCIATURA','ANIMACION DIGITAL Y VIDEOJUEGOS','ANIM 8°','RAMIREZ ORNELAS FRANCISCO JAVIER','POSTPRODUCCION Y COMPOSICION II','MASCULINO',0);</v>
      </c>
    </row>
    <row r="55" spans="1:10" ht="72.5" x14ac:dyDescent="0.35">
      <c r="A55" s="8">
        <v>1054</v>
      </c>
      <c r="B55" s="9" t="s">
        <v>736</v>
      </c>
      <c r="C55" s="10" t="s">
        <v>785</v>
      </c>
      <c r="D55" s="8" t="s">
        <v>1405</v>
      </c>
      <c r="E55" s="8" t="s">
        <v>719</v>
      </c>
      <c r="F55" s="8" t="s">
        <v>836</v>
      </c>
      <c r="G55" s="8" t="s">
        <v>721</v>
      </c>
      <c r="H55" s="8">
        <v>0</v>
      </c>
      <c r="I55" s="8" t="str">
        <f t="shared" si="0"/>
        <v>1054,'LICENCIATURA','ANIMACION DIGITAL Y VIDEOJUEGOS','ANIM 8°','ZAMBRANO LOPEZ ZAIRA MARLENE','SEMINARIO DE INTEGRACION','FEMENINO',0</v>
      </c>
      <c r="J55" s="8" t="str">
        <f t="shared" si="2"/>
        <v>INSERT INTO profesores (id,nivel,carrera,grupo,nombre,materia,sexo,sello) VALUES (1054,'LICENCIATURA','ANIMACION DIGITAL Y VIDEOJUEGOS','ANIM 8°','ZAMBRANO LOPEZ ZAIRA MARLENE','SEMINARIO DE INTEGRACION','FEMENINO',0);</v>
      </c>
    </row>
    <row r="56" spans="1:10" ht="72.5" x14ac:dyDescent="0.35">
      <c r="A56" s="8">
        <v>1055</v>
      </c>
      <c r="B56" s="9" t="s">
        <v>736</v>
      </c>
      <c r="C56" s="10" t="s">
        <v>838</v>
      </c>
      <c r="D56" s="8" t="s">
        <v>1406</v>
      </c>
      <c r="E56" s="8" t="s">
        <v>595</v>
      </c>
      <c r="F56" s="8" t="s">
        <v>837</v>
      </c>
      <c r="G56" s="8" t="s">
        <v>721</v>
      </c>
      <c r="H56" s="8">
        <v>0</v>
      </c>
      <c r="I56" s="8" t="str">
        <f t="shared" si="0"/>
        <v>1055,'LICENCIATURA','ARQUITECTURA','ARQ 2°','ALVARADO BAEZ DULCE CARMINA','DISEÑO DEL ESPACIO HABITACIONAL UNIFAMILIAR','FEMENINO',0</v>
      </c>
      <c r="J56" s="8" t="str">
        <f t="shared" si="2"/>
        <v>INSERT INTO profesores (id,nivel,carrera,grupo,nombre,materia,sexo,sello) VALUES (1055,'LICENCIATURA','ARQUITECTURA','ARQ 2°','ALVARADO BAEZ DULCE CARMINA','DISEÑO DEL ESPACIO HABITACIONAL UNIFAMILIAR','FEMENINO',0);</v>
      </c>
    </row>
    <row r="57" spans="1:10" ht="72.5" x14ac:dyDescent="0.35">
      <c r="A57" s="8">
        <v>1056</v>
      </c>
      <c r="B57" s="9" t="s">
        <v>736</v>
      </c>
      <c r="C57" s="10" t="s">
        <v>838</v>
      </c>
      <c r="D57" s="8" t="s">
        <v>1406</v>
      </c>
      <c r="E57" s="8" t="s">
        <v>696</v>
      </c>
      <c r="F57" s="8" t="s">
        <v>841</v>
      </c>
      <c r="G57" s="8" t="s">
        <v>721</v>
      </c>
      <c r="H57" s="8">
        <v>0</v>
      </c>
      <c r="I57" s="8" t="str">
        <f t="shared" si="0"/>
        <v>1056,'LICENCIATURA','ARQUITECTURA','ARQ 2°','ESPINO CAMPOS NYDIA','GEOMETRIA APLICADA A LA ARQUITECTURA','FEMENINO',0</v>
      </c>
      <c r="J57" s="8" t="str">
        <f t="shared" si="2"/>
        <v>INSERT INTO profesores (id,nivel,carrera,grupo,nombre,materia,sexo,sello) VALUES (1056,'LICENCIATURA','ARQUITECTURA','ARQ 2°','ESPINO CAMPOS NYDIA','GEOMETRIA APLICADA A LA ARQUITECTURA','FEMENINO',0);</v>
      </c>
    </row>
    <row r="58" spans="1:10" ht="72.5" x14ac:dyDescent="0.35">
      <c r="A58" s="8">
        <v>1057</v>
      </c>
      <c r="B58" s="9" t="s">
        <v>736</v>
      </c>
      <c r="C58" s="10" t="s">
        <v>838</v>
      </c>
      <c r="D58" s="8" t="s">
        <v>1406</v>
      </c>
      <c r="E58" s="8" t="s">
        <v>631</v>
      </c>
      <c r="F58" s="8" t="s">
        <v>843</v>
      </c>
      <c r="G58" s="8" t="s">
        <v>722</v>
      </c>
      <c r="H58" s="8">
        <v>0</v>
      </c>
      <c r="I58" s="8" t="str">
        <f t="shared" si="0"/>
        <v>1057,'LICENCIATURA','ARQUITECTURA','ARQ 2°','GUDIÑO GONZALEZ JESUS ANTONIO','HISTORIA CRITICA DE LA ARQUITECTURA Y URBANISMO BASICA','MASCULINO',0</v>
      </c>
      <c r="J58" s="8" t="str">
        <f t="shared" si="2"/>
        <v>INSERT INTO profesores (id,nivel,carrera,grupo,nombre,materia,sexo,sello) VALUES (1057,'LICENCIATURA','ARQUITECTURA','ARQ 2°','GUDIÑO GONZALEZ JESUS ANTONIO','HISTORIA CRITICA DE LA ARQUITECTURA Y URBANISMO BASICA','MASCULINO',0);</v>
      </c>
    </row>
    <row r="59" spans="1:10" ht="72.5" x14ac:dyDescent="0.35">
      <c r="A59" s="8">
        <v>1058</v>
      </c>
      <c r="B59" s="9" t="s">
        <v>736</v>
      </c>
      <c r="C59" s="10" t="s">
        <v>838</v>
      </c>
      <c r="D59" s="8" t="s">
        <v>1406</v>
      </c>
      <c r="E59" s="8" t="s">
        <v>615</v>
      </c>
      <c r="F59" s="8" t="s">
        <v>845</v>
      </c>
      <c r="G59" s="8" t="s">
        <v>722</v>
      </c>
      <c r="H59" s="8">
        <v>0</v>
      </c>
      <c r="I59" s="8" t="str">
        <f t="shared" si="0"/>
        <v>1058,'LICENCIATURA','ARQUITECTURA','ARQ 2°','JIMENEZ SILVA GIOVANNI ARTURO','DIBUJO ASISTIDO POR COMPUTADORA','MASCULINO',0</v>
      </c>
      <c r="J59" s="8" t="str">
        <f t="shared" si="2"/>
        <v>INSERT INTO profesores (id,nivel,carrera,grupo,nombre,materia,sexo,sello) VALUES (1058,'LICENCIATURA','ARQUITECTURA','ARQ 2°','JIMENEZ SILVA GIOVANNI ARTURO','DIBUJO ASISTIDO POR COMPUTADORA','MASCULINO',0);</v>
      </c>
    </row>
    <row r="60" spans="1:10" ht="58" x14ac:dyDescent="0.35">
      <c r="A60" s="8">
        <v>1059</v>
      </c>
      <c r="B60" s="9" t="s">
        <v>736</v>
      </c>
      <c r="C60" s="10" t="s">
        <v>838</v>
      </c>
      <c r="D60" s="8" t="s">
        <v>1406</v>
      </c>
      <c r="E60" s="8" t="s">
        <v>615</v>
      </c>
      <c r="F60" s="8" t="s">
        <v>847</v>
      </c>
      <c r="G60" s="8" t="s">
        <v>722</v>
      </c>
      <c r="H60" s="8">
        <v>0</v>
      </c>
      <c r="I60" s="8" t="str">
        <f t="shared" si="0"/>
        <v>1059,'LICENCIATURA','ARQUITECTURA','ARQ 2°','JIMENEZ SILVA GIOVANNI ARTURO','MAQUETAS','MASCULINO',0</v>
      </c>
      <c r="J60" s="8" t="str">
        <f t="shared" si="2"/>
        <v>INSERT INTO profesores (id,nivel,carrera,grupo,nombre,materia,sexo,sello) VALUES (1059,'LICENCIATURA','ARQUITECTURA','ARQ 2°','JIMENEZ SILVA GIOVANNI ARTURO','MAQUETAS','MASCULINO',0);</v>
      </c>
    </row>
    <row r="61" spans="1:10" ht="72.5" x14ac:dyDescent="0.35">
      <c r="A61" s="8">
        <v>1060</v>
      </c>
      <c r="B61" s="9" t="s">
        <v>736</v>
      </c>
      <c r="C61" s="10" t="s">
        <v>838</v>
      </c>
      <c r="D61" s="8" t="s">
        <v>1406</v>
      </c>
      <c r="E61" s="8" t="s">
        <v>587</v>
      </c>
      <c r="F61" s="8" t="s">
        <v>848</v>
      </c>
      <c r="G61" s="8" t="s">
        <v>722</v>
      </c>
      <c r="H61" s="8">
        <v>0</v>
      </c>
      <c r="I61" s="8" t="str">
        <f t="shared" si="0"/>
        <v>1060,'LICENCIATURA','ARQUITECTURA','ARQ 2°','MONTELONGO AGUAYO DANIEL','MATERIALES DE CONSTRUCCION','MASCULINO',0</v>
      </c>
      <c r="J61" s="8" t="str">
        <f t="shared" si="2"/>
        <v>INSERT INTO profesores (id,nivel,carrera,grupo,nombre,materia,sexo,sello) VALUES (1060,'LICENCIATURA','ARQUITECTURA','ARQ 2°','MONTELONGO AGUAYO DANIEL','MATERIALES DE CONSTRUCCION','MASCULINO',0);</v>
      </c>
    </row>
    <row r="62" spans="1:10" ht="72.5" x14ac:dyDescent="0.35">
      <c r="A62" s="8">
        <v>1061</v>
      </c>
      <c r="B62" s="9" t="s">
        <v>736</v>
      </c>
      <c r="C62" s="10" t="s">
        <v>838</v>
      </c>
      <c r="D62" s="8" t="s">
        <v>1406</v>
      </c>
      <c r="E62" s="8" t="s">
        <v>624</v>
      </c>
      <c r="F62" s="8" t="s">
        <v>850</v>
      </c>
      <c r="G62" s="8" t="s">
        <v>722</v>
      </c>
      <c r="H62" s="8">
        <v>0</v>
      </c>
      <c r="I62" s="8" t="str">
        <f t="shared" si="0"/>
        <v>1061,'LICENCIATURA','ARQUITECTURA','ARQ 2°','SEGOVIANO MARTINEZ HUGO MIGUEL','ESTATICA','MASCULINO',0</v>
      </c>
      <c r="J62" s="8" t="str">
        <f t="shared" si="2"/>
        <v>INSERT INTO profesores (id,nivel,carrera,grupo,nombre,materia,sexo,sello) VALUES (1061,'LICENCIATURA','ARQUITECTURA','ARQ 2°','SEGOVIANO MARTINEZ HUGO MIGUEL','ESTATICA','MASCULINO',0);</v>
      </c>
    </row>
    <row r="63" spans="1:10" ht="72.5" x14ac:dyDescent="0.35">
      <c r="A63" s="8">
        <v>1062</v>
      </c>
      <c r="B63" s="9" t="s">
        <v>736</v>
      </c>
      <c r="C63" s="10" t="s">
        <v>838</v>
      </c>
      <c r="D63" s="8" t="s">
        <v>1407</v>
      </c>
      <c r="E63" s="8" t="s">
        <v>661</v>
      </c>
      <c r="F63" s="8" t="s">
        <v>852</v>
      </c>
      <c r="G63" s="8" t="s">
        <v>721</v>
      </c>
      <c r="H63" s="8">
        <v>0</v>
      </c>
      <c r="I63" s="8" t="str">
        <f t="shared" si="0"/>
        <v>1062,'LICENCIATURA','ARQUITECTURA','ARQ 4°','MARTINEZ GOMEZ LETICIA','ARQUITECTURA DEL PAISAJISMO','FEMENINO',0</v>
      </c>
      <c r="J63" s="8" t="str">
        <f t="shared" si="2"/>
        <v>INSERT INTO profesores (id,nivel,carrera,grupo,nombre,materia,sexo,sello) VALUES (1062,'LICENCIATURA','ARQUITECTURA','ARQ 4°','MARTINEZ GOMEZ LETICIA','ARQUITECTURA DEL PAISAJISMO','FEMENINO',0);</v>
      </c>
    </row>
    <row r="64" spans="1:10" ht="87" x14ac:dyDescent="0.35">
      <c r="A64" s="8">
        <v>1063</v>
      </c>
      <c r="B64" s="9" t="s">
        <v>736</v>
      </c>
      <c r="C64" s="10" t="s">
        <v>838</v>
      </c>
      <c r="D64" s="8" t="s">
        <v>1407</v>
      </c>
      <c r="E64" s="8" t="s">
        <v>587</v>
      </c>
      <c r="F64" s="8" t="s">
        <v>855</v>
      </c>
      <c r="G64" s="8" t="s">
        <v>722</v>
      </c>
      <c r="H64" s="8">
        <v>0</v>
      </c>
      <c r="I64" s="8" t="str">
        <f t="shared" si="0"/>
        <v>1063,'LICENCIATURA','ARQUITECTURA','ARQ 4°','MONTELONGO AGUAYO DANIEL','DISEÑO DE INSTALACIONES HIDRAULICAS SANITARIAS','MASCULINO',0</v>
      </c>
      <c r="J64" s="8" t="str">
        <f t="shared" si="2"/>
        <v>INSERT INTO profesores (id,nivel,carrera,grupo,nombre,materia,sexo,sello) VALUES (1063,'LICENCIATURA','ARQUITECTURA','ARQ 4°','MONTELONGO AGUAYO DANIEL','DISEÑO DE INSTALACIONES HIDRAULICAS SANITARIAS','MASCULINO',0);</v>
      </c>
    </row>
    <row r="65" spans="1:10" ht="72.5" x14ac:dyDescent="0.35">
      <c r="A65" s="8">
        <v>1064</v>
      </c>
      <c r="B65" s="9" t="s">
        <v>736</v>
      </c>
      <c r="C65" s="10" t="s">
        <v>838</v>
      </c>
      <c r="D65" s="8" t="s">
        <v>1407</v>
      </c>
      <c r="E65" s="8" t="s">
        <v>650</v>
      </c>
      <c r="F65" s="8" t="s">
        <v>856</v>
      </c>
      <c r="G65" s="8" t="s">
        <v>722</v>
      </c>
      <c r="H65" s="8">
        <v>0</v>
      </c>
      <c r="I65" s="8" t="str">
        <f t="shared" si="0"/>
        <v>1064,'LICENCIATURA','ARQUITECTURA','ARQ 4°','PONCE CUEVAS JUAN','HISTORIA DE LA ARQUITECTURA MEXICANA','MASCULINO',0</v>
      </c>
      <c r="J65" s="8" t="str">
        <f t="shared" si="2"/>
        <v>INSERT INTO profesores (id,nivel,carrera,grupo,nombre,materia,sexo,sello) VALUES (1064,'LICENCIATURA','ARQUITECTURA','ARQ 4°','PONCE CUEVAS JUAN','HISTORIA DE LA ARQUITECTURA MEXICANA','MASCULINO',0);</v>
      </c>
    </row>
    <row r="66" spans="1:10" ht="72.5" x14ac:dyDescent="0.35">
      <c r="A66" s="8">
        <v>1065</v>
      </c>
      <c r="B66" s="9" t="s">
        <v>736</v>
      </c>
      <c r="C66" s="10" t="s">
        <v>838</v>
      </c>
      <c r="D66" s="8" t="s">
        <v>1407</v>
      </c>
      <c r="E66" s="8" t="s">
        <v>691</v>
      </c>
      <c r="F66" s="8" t="s">
        <v>858</v>
      </c>
      <c r="G66" s="8" t="s">
        <v>721</v>
      </c>
      <c r="H66" s="8">
        <v>0</v>
      </c>
      <c r="I66" s="8" t="str">
        <f t="shared" ref="I66:I129" si="3">CONCATENATE(A66,",'",B66,"','",C66,"','",D66,",'",E66,"','",F66,"','",G66,"',",H66)</f>
        <v>1065,'LICENCIATURA','ARQUITECTURA','ARQ 4°','RAMOS RENTERIA MONTSERRAT FABIOLA','FOTOGRAFIA','FEMENINO',0</v>
      </c>
      <c r="J66" s="8" t="str">
        <f t="shared" si="2"/>
        <v>INSERT INTO profesores (id,nivel,carrera,grupo,nombre,materia,sexo,sello) VALUES (1065,'LICENCIATURA','ARQUITECTURA','ARQ 4°','RAMOS RENTERIA MONTSERRAT FABIOLA','FOTOGRAFIA','FEMENINO',0);</v>
      </c>
    </row>
    <row r="67" spans="1:10" ht="72.5" x14ac:dyDescent="0.35">
      <c r="A67" s="8">
        <v>1066</v>
      </c>
      <c r="B67" s="9" t="s">
        <v>736</v>
      </c>
      <c r="C67" s="10" t="s">
        <v>838</v>
      </c>
      <c r="D67" s="8" t="s">
        <v>1407</v>
      </c>
      <c r="E67" s="8" t="s">
        <v>646</v>
      </c>
      <c r="F67" s="8" t="s">
        <v>860</v>
      </c>
      <c r="G67" s="8" t="s">
        <v>722</v>
      </c>
      <c r="H67" s="8">
        <v>0</v>
      </c>
      <c r="I67" s="8" t="str">
        <f t="shared" si="3"/>
        <v>1066,'LICENCIATURA','ARQUITECTURA','ARQ 4°','SANCHEZ MUÑOZ JOSE JORGE','HISTORIA CRITICA DEL URBANISMO','MASCULINO',0</v>
      </c>
      <c r="J67" s="8" t="str">
        <f t="shared" ref="J67:J130" si="4">CONCATENATE($I$1,I67,");")</f>
        <v>INSERT INTO profesores (id,nivel,carrera,grupo,nombre,materia,sexo,sello) VALUES (1066,'LICENCIATURA','ARQUITECTURA','ARQ 4°','SANCHEZ MUÑOZ JOSE JORGE','HISTORIA CRITICA DEL URBANISMO','MASCULINO',0);</v>
      </c>
    </row>
    <row r="68" spans="1:10" ht="72.5" x14ac:dyDescent="0.35">
      <c r="A68" s="8">
        <v>1067</v>
      </c>
      <c r="B68" s="9" t="s">
        <v>736</v>
      </c>
      <c r="C68" s="10" t="s">
        <v>838</v>
      </c>
      <c r="D68" s="8" t="s">
        <v>1407</v>
      </c>
      <c r="E68" s="8" t="s">
        <v>624</v>
      </c>
      <c r="F68" s="8" t="s">
        <v>862</v>
      </c>
      <c r="G68" s="8" t="s">
        <v>722</v>
      </c>
      <c r="H68" s="8">
        <v>0</v>
      </c>
      <c r="I68" s="8" t="str">
        <f t="shared" si="3"/>
        <v>1067,'LICENCIATURA','ARQUITECTURA','ARQ 4°','SEGOVIANO MARTINEZ HUGO MIGUEL','DISEÑO DE ESTRUCTURAS DE ACERO','MASCULINO',0</v>
      </c>
      <c r="J68" s="8" t="str">
        <f t="shared" si="4"/>
        <v>INSERT INTO profesores (id,nivel,carrera,grupo,nombre,materia,sexo,sello) VALUES (1067,'LICENCIATURA','ARQUITECTURA','ARQ 4°','SEGOVIANO MARTINEZ HUGO MIGUEL','DISEÑO DE ESTRUCTURAS DE ACERO','MASCULINO',0);</v>
      </c>
    </row>
    <row r="69" spans="1:10" ht="72.5" x14ac:dyDescent="0.35">
      <c r="A69" s="8">
        <v>1068</v>
      </c>
      <c r="B69" s="9" t="s">
        <v>736</v>
      </c>
      <c r="C69" s="10" t="s">
        <v>838</v>
      </c>
      <c r="D69" s="8" t="s">
        <v>1407</v>
      </c>
      <c r="E69" s="8" t="s">
        <v>705</v>
      </c>
      <c r="F69" s="8" t="s">
        <v>863</v>
      </c>
      <c r="G69" s="8" t="s">
        <v>722</v>
      </c>
      <c r="H69" s="8">
        <v>0</v>
      </c>
      <c r="I69" s="8" t="str">
        <f t="shared" si="3"/>
        <v>1068,'LICENCIATURA','ARQUITECTURA','ARQ 4°','SILVA HERRERA RAYMUNDO','DISEÑO DEL ESPACIO RELIGIOSO Y EDUCATIVO','MASCULINO',0</v>
      </c>
      <c r="J69" s="8" t="str">
        <f t="shared" si="4"/>
        <v>INSERT INTO profesores (id,nivel,carrera,grupo,nombre,materia,sexo,sello) VALUES (1068,'LICENCIATURA','ARQUITECTURA','ARQ 4°','SILVA HERRERA RAYMUNDO','DISEÑO DEL ESPACIO RELIGIOSO Y EDUCATIVO','MASCULINO',0);</v>
      </c>
    </row>
    <row r="70" spans="1:10" ht="87" x14ac:dyDescent="0.35">
      <c r="A70" s="8">
        <v>1069</v>
      </c>
      <c r="B70" s="9" t="s">
        <v>736</v>
      </c>
      <c r="C70" s="10" t="s">
        <v>838</v>
      </c>
      <c r="D70" s="8" t="s">
        <v>1408</v>
      </c>
      <c r="E70" s="8" t="s">
        <v>695</v>
      </c>
      <c r="F70" s="8" t="s">
        <v>865</v>
      </c>
      <c r="G70" s="8" t="s">
        <v>721</v>
      </c>
      <c r="H70" s="8">
        <v>0</v>
      </c>
      <c r="I70" s="8" t="str">
        <f t="shared" si="3"/>
        <v>1069,'LICENCIATURA','ARQUITECTURA','ARQ 6°','CALDERON CHAVARIN NOEMI MONSERRAT','CONSERVACION DEL PATRIMONIO CULTURAL','FEMENINO',0</v>
      </c>
      <c r="J70" s="8" t="str">
        <f t="shared" si="4"/>
        <v>INSERT INTO profesores (id,nivel,carrera,grupo,nombre,materia,sexo,sello) VALUES (1069,'LICENCIATURA','ARQUITECTURA','ARQ 6°','CALDERON CHAVARIN NOEMI MONSERRAT','CONSERVACION DEL PATRIMONIO CULTURAL','FEMENINO',0);</v>
      </c>
    </row>
    <row r="71" spans="1:10" ht="72.5" x14ac:dyDescent="0.35">
      <c r="A71" s="8">
        <v>1070</v>
      </c>
      <c r="B71" s="9" t="s">
        <v>736</v>
      </c>
      <c r="C71" s="10" t="s">
        <v>838</v>
      </c>
      <c r="D71" s="8" t="s">
        <v>1408</v>
      </c>
      <c r="E71" s="8" t="s">
        <v>626</v>
      </c>
      <c r="F71" s="8" t="s">
        <v>868</v>
      </c>
      <c r="G71" s="8" t="s">
        <v>721</v>
      </c>
      <c r="H71" s="8">
        <v>0</v>
      </c>
      <c r="I71" s="8" t="str">
        <f t="shared" si="3"/>
        <v>1070,'LICENCIATURA','ARQUITECTURA','ARQ 6°','CASTELLANOS MEZA IRMA ELIZABETH','ARQUITECTURA INTELIGENTE','FEMENINO',0</v>
      </c>
      <c r="J71" s="8" t="str">
        <f t="shared" si="4"/>
        <v>INSERT INTO profesores (id,nivel,carrera,grupo,nombre,materia,sexo,sello) VALUES (1070,'LICENCIATURA','ARQUITECTURA','ARQ 6°','CASTELLANOS MEZA IRMA ELIZABETH','ARQUITECTURA INTELIGENTE','FEMENINO',0);</v>
      </c>
    </row>
    <row r="72" spans="1:10" ht="72.5" x14ac:dyDescent="0.35">
      <c r="A72" s="8">
        <v>1071</v>
      </c>
      <c r="B72" s="9" t="s">
        <v>736</v>
      </c>
      <c r="C72" s="10" t="s">
        <v>838</v>
      </c>
      <c r="D72" s="8" t="s">
        <v>1408</v>
      </c>
      <c r="E72" s="8" t="s">
        <v>660</v>
      </c>
      <c r="F72" s="8" t="s">
        <v>870</v>
      </c>
      <c r="G72" s="8" t="s">
        <v>722</v>
      </c>
      <c r="H72" s="8">
        <v>0</v>
      </c>
      <c r="I72" s="8" t="str">
        <f t="shared" si="3"/>
        <v>1071,'LICENCIATURA','ARQUITECTURA','ARQ 6°','FLORES COSIO LEONARDO','DISEÑO ASISTIDO POR COMPUTADORA AVANZADO','MASCULINO',0</v>
      </c>
      <c r="J72" s="8" t="str">
        <f t="shared" si="4"/>
        <v>INSERT INTO profesores (id,nivel,carrera,grupo,nombre,materia,sexo,sello) VALUES (1071,'LICENCIATURA','ARQUITECTURA','ARQ 6°','FLORES COSIO LEONARDO','DISEÑO ASISTIDO POR COMPUTADORA AVANZADO','MASCULINO',0);</v>
      </c>
    </row>
    <row r="73" spans="1:10" ht="72.5" x14ac:dyDescent="0.35">
      <c r="A73" s="8">
        <v>1072</v>
      </c>
      <c r="B73" s="9" t="s">
        <v>736</v>
      </c>
      <c r="C73" s="10" t="s">
        <v>838</v>
      </c>
      <c r="D73" s="8" t="s">
        <v>1408</v>
      </c>
      <c r="E73" s="8" t="s">
        <v>637</v>
      </c>
      <c r="F73" s="8" t="s">
        <v>872</v>
      </c>
      <c r="G73" s="8" t="s">
        <v>722</v>
      </c>
      <c r="H73" s="8">
        <v>0</v>
      </c>
      <c r="I73" s="8" t="str">
        <f t="shared" si="3"/>
        <v>1072,'LICENCIATURA','ARQUITECTURA','ARQ 6°','PEREZ GUTIERREZ JORGE HUMBERTO','RESCATE DE ZONAS URBANAS','MASCULINO',0</v>
      </c>
      <c r="J73" s="8" t="str">
        <f t="shared" si="4"/>
        <v>INSERT INTO profesores (id,nivel,carrera,grupo,nombre,materia,sexo,sello) VALUES (1072,'LICENCIATURA','ARQUITECTURA','ARQ 6°','PEREZ GUTIERREZ JORGE HUMBERTO','RESCATE DE ZONAS URBANAS','MASCULINO',0);</v>
      </c>
    </row>
    <row r="74" spans="1:10" ht="72.5" x14ac:dyDescent="0.35">
      <c r="A74" s="8">
        <v>1073</v>
      </c>
      <c r="B74" s="9" t="s">
        <v>736</v>
      </c>
      <c r="C74" s="10" t="s">
        <v>838</v>
      </c>
      <c r="D74" s="8" t="s">
        <v>1408</v>
      </c>
      <c r="E74" s="8" t="s">
        <v>650</v>
      </c>
      <c r="F74" s="8" t="s">
        <v>874</v>
      </c>
      <c r="G74" s="8" t="s">
        <v>722</v>
      </c>
      <c r="H74" s="8">
        <v>0</v>
      </c>
      <c r="I74" s="8" t="str">
        <f t="shared" si="3"/>
        <v>1073,'LICENCIATURA','ARQUITECTURA','ARQ 6°','PONCE CUEVAS JUAN','COSTOS Y PRESUPUESTOS DE LA EDIFICACION','MASCULINO',0</v>
      </c>
      <c r="J74" s="8" t="str">
        <f t="shared" si="4"/>
        <v>INSERT INTO profesores (id,nivel,carrera,grupo,nombre,materia,sexo,sello) VALUES (1073,'LICENCIATURA','ARQUITECTURA','ARQ 6°','PONCE CUEVAS JUAN','COSTOS Y PRESUPUESTOS DE LA EDIFICACION','MASCULINO',0);</v>
      </c>
    </row>
    <row r="75" spans="1:10" ht="72.5" x14ac:dyDescent="0.35">
      <c r="A75" s="8">
        <v>1074</v>
      </c>
      <c r="B75" s="9" t="s">
        <v>736</v>
      </c>
      <c r="C75" s="10" t="s">
        <v>838</v>
      </c>
      <c r="D75" s="8" t="s">
        <v>1408</v>
      </c>
      <c r="E75" s="8" t="s">
        <v>646</v>
      </c>
      <c r="F75" s="8" t="s">
        <v>875</v>
      </c>
      <c r="G75" s="8" t="s">
        <v>722</v>
      </c>
      <c r="H75" s="8">
        <v>0</v>
      </c>
      <c r="I75" s="8" t="str">
        <f t="shared" si="3"/>
        <v>1074,'LICENCIATURA','ARQUITECTURA','ARQ 6°','SANCHEZ MUÑOZ JOSE JORGE','DISEÑO DEL ESPACIO CULTURAL Y RECREATIVO','MASCULINO',0</v>
      </c>
      <c r="J75" s="8" t="str">
        <f t="shared" si="4"/>
        <v>INSERT INTO profesores (id,nivel,carrera,grupo,nombre,materia,sexo,sello) VALUES (1074,'LICENCIATURA','ARQUITECTURA','ARQ 6°','SANCHEZ MUÑOZ JOSE JORGE','DISEÑO DEL ESPACIO CULTURAL Y RECREATIVO','MASCULINO',0);</v>
      </c>
    </row>
    <row r="76" spans="1:10" ht="72.5" x14ac:dyDescent="0.35">
      <c r="A76" s="8">
        <v>1075</v>
      </c>
      <c r="B76" s="9" t="s">
        <v>736</v>
      </c>
      <c r="C76" s="10" t="s">
        <v>838</v>
      </c>
      <c r="D76" s="8" t="s">
        <v>1408</v>
      </c>
      <c r="E76" s="8" t="s">
        <v>705</v>
      </c>
      <c r="F76" s="8" t="s">
        <v>876</v>
      </c>
      <c r="G76" s="8" t="s">
        <v>722</v>
      </c>
      <c r="H76" s="8">
        <v>0</v>
      </c>
      <c r="I76" s="8" t="str">
        <f t="shared" si="3"/>
        <v>1075,'LICENCIATURA','ARQUITECTURA','ARQ 6°','SILVA HERRERA RAYMUNDO','CIMENTACIONES Y TIPOS DE FALLAS','MASCULINO',0</v>
      </c>
      <c r="J76" s="8" t="str">
        <f t="shared" si="4"/>
        <v>INSERT INTO profesores (id,nivel,carrera,grupo,nombre,materia,sexo,sello) VALUES (1075,'LICENCIATURA','ARQUITECTURA','ARQ 6°','SILVA HERRERA RAYMUNDO','CIMENTACIONES Y TIPOS DE FALLAS','MASCULINO',0);</v>
      </c>
    </row>
    <row r="77" spans="1:10" ht="72.5" x14ac:dyDescent="0.35">
      <c r="A77" s="8">
        <v>1076</v>
      </c>
      <c r="B77" s="9" t="s">
        <v>736</v>
      </c>
      <c r="C77" s="10" t="s">
        <v>838</v>
      </c>
      <c r="D77" s="8" t="s">
        <v>1409</v>
      </c>
      <c r="E77" s="8" t="s">
        <v>626</v>
      </c>
      <c r="F77" s="8" t="s">
        <v>877</v>
      </c>
      <c r="G77" s="8" t="s">
        <v>721</v>
      </c>
      <c r="H77" s="8">
        <v>0</v>
      </c>
      <c r="I77" s="8" t="str">
        <f t="shared" si="3"/>
        <v>1076,'LICENCIATURA','ARQUITECTURA','ARQ 8°','CASTELLANOS MEZA IRMA ELIZABETH','DISEÑO ARQUITECTONICO SUSTENTABLE','FEMENINO',0</v>
      </c>
      <c r="J77" s="8" t="str">
        <f t="shared" si="4"/>
        <v>INSERT INTO profesores (id,nivel,carrera,grupo,nombre,materia,sexo,sello) VALUES (1076,'LICENCIATURA','ARQUITECTURA','ARQ 8°','CASTELLANOS MEZA IRMA ELIZABETH','DISEÑO ARQUITECTONICO SUSTENTABLE','FEMENINO',0);</v>
      </c>
    </row>
    <row r="78" spans="1:10" ht="72.5" x14ac:dyDescent="0.35">
      <c r="A78" s="8">
        <v>1077</v>
      </c>
      <c r="B78" s="9" t="s">
        <v>736</v>
      </c>
      <c r="C78" s="10" t="s">
        <v>838</v>
      </c>
      <c r="D78" s="8" t="s">
        <v>1409</v>
      </c>
      <c r="E78" s="8" t="s">
        <v>696</v>
      </c>
      <c r="F78" s="8" t="s">
        <v>879</v>
      </c>
      <c r="G78" s="8" t="s">
        <v>721</v>
      </c>
      <c r="H78" s="8">
        <v>0</v>
      </c>
      <c r="I78" s="8" t="str">
        <f t="shared" si="3"/>
        <v>1077,'LICENCIATURA','ARQUITECTURA','ARQ 8°','ESPINO CAMPOS NYDIA','DESARROLLO DE PROYECTOS URBANISTICOS','FEMENINO',0</v>
      </c>
      <c r="J78" s="8" t="str">
        <f t="shared" si="4"/>
        <v>INSERT INTO profesores (id,nivel,carrera,grupo,nombre,materia,sexo,sello) VALUES (1077,'LICENCIATURA','ARQUITECTURA','ARQ 8°','ESPINO CAMPOS NYDIA','DESARROLLO DE PROYECTOS URBANISTICOS','FEMENINO',0);</v>
      </c>
    </row>
    <row r="79" spans="1:10" ht="72.5" x14ac:dyDescent="0.35">
      <c r="A79" s="8">
        <v>1078</v>
      </c>
      <c r="B79" s="9" t="s">
        <v>736</v>
      </c>
      <c r="C79" s="10" t="s">
        <v>838</v>
      </c>
      <c r="D79" s="8" t="s">
        <v>1409</v>
      </c>
      <c r="E79" s="8" t="s">
        <v>637</v>
      </c>
      <c r="F79" s="8" t="s">
        <v>773</v>
      </c>
      <c r="G79" s="8" t="s">
        <v>722</v>
      </c>
      <c r="H79" s="8">
        <v>0</v>
      </c>
      <c r="I79" s="8" t="str">
        <f t="shared" si="3"/>
        <v>1078,'LICENCIATURA','ARQUITECTURA','ARQ 8°','PEREZ GUTIERREZ JORGE HUMBERTO','TOPICOS DE ACTUALIDAD','MASCULINO',0</v>
      </c>
      <c r="J79" s="8" t="str">
        <f t="shared" si="4"/>
        <v>INSERT INTO profesores (id,nivel,carrera,grupo,nombre,materia,sexo,sello) VALUES (1078,'LICENCIATURA','ARQUITECTURA','ARQ 8°','PEREZ GUTIERREZ JORGE HUMBERTO','TOPICOS DE ACTUALIDAD','MASCULINO',0);</v>
      </c>
    </row>
    <row r="80" spans="1:10" ht="72.5" x14ac:dyDescent="0.35">
      <c r="A80" s="8">
        <v>1079</v>
      </c>
      <c r="B80" s="9" t="s">
        <v>736</v>
      </c>
      <c r="C80" s="10" t="s">
        <v>838</v>
      </c>
      <c r="D80" s="8" t="s">
        <v>1409</v>
      </c>
      <c r="E80" s="8" t="s">
        <v>650</v>
      </c>
      <c r="F80" s="8" t="s">
        <v>880</v>
      </c>
      <c r="G80" s="8" t="s">
        <v>722</v>
      </c>
      <c r="H80" s="8">
        <v>0</v>
      </c>
      <c r="I80" s="8" t="str">
        <f t="shared" si="3"/>
        <v>1079,'LICENCIATURA','ARQUITECTURA','ARQ 8°','PONCE CUEVAS JUAN','DISEÑO DEL ESPACIO PARA LA SALUD','MASCULINO',0</v>
      </c>
      <c r="J80" s="8" t="str">
        <f t="shared" si="4"/>
        <v>INSERT INTO profesores (id,nivel,carrera,grupo,nombre,materia,sexo,sello) VALUES (1079,'LICENCIATURA','ARQUITECTURA','ARQ 8°','PONCE CUEVAS JUAN','DISEÑO DEL ESPACIO PARA LA SALUD','MASCULINO',0);</v>
      </c>
    </row>
    <row r="81" spans="1:10" ht="72.5" x14ac:dyDescent="0.35">
      <c r="A81" s="8">
        <v>1080</v>
      </c>
      <c r="B81" s="9" t="s">
        <v>736</v>
      </c>
      <c r="C81" s="10" t="s">
        <v>838</v>
      </c>
      <c r="D81" s="8" t="s">
        <v>1409</v>
      </c>
      <c r="E81" s="8" t="s">
        <v>650</v>
      </c>
      <c r="F81" s="8" t="s">
        <v>881</v>
      </c>
      <c r="G81" s="8" t="s">
        <v>722</v>
      </c>
      <c r="H81" s="8">
        <v>0</v>
      </c>
      <c r="I81" s="8" t="str">
        <f t="shared" si="3"/>
        <v>1080,'LICENCIATURA','ARQUITECTURA','ARQ 8°','PONCE CUEVAS JUAN','GESTION Y ORGANIZACION DE OBRAS','MASCULINO',0</v>
      </c>
      <c r="J81" s="8" t="str">
        <f t="shared" si="4"/>
        <v>INSERT INTO profesores (id,nivel,carrera,grupo,nombre,materia,sexo,sello) VALUES (1080,'LICENCIATURA','ARQUITECTURA','ARQ 8°','PONCE CUEVAS JUAN','GESTION Y ORGANIZACION DE OBRAS','MASCULINO',0);</v>
      </c>
    </row>
    <row r="82" spans="1:10" ht="72.5" x14ac:dyDescent="0.35">
      <c r="A82" s="8">
        <v>1081</v>
      </c>
      <c r="B82" s="9" t="s">
        <v>736</v>
      </c>
      <c r="C82" s="10" t="s">
        <v>838</v>
      </c>
      <c r="D82" s="8" t="s">
        <v>1409</v>
      </c>
      <c r="E82" s="8" t="s">
        <v>646</v>
      </c>
      <c r="F82" s="8" t="s">
        <v>882</v>
      </c>
      <c r="G82" s="8" t="s">
        <v>722</v>
      </c>
      <c r="H82" s="8">
        <v>0</v>
      </c>
      <c r="I82" s="8" t="str">
        <f t="shared" si="3"/>
        <v>1081,'LICENCIATURA','ARQUITECTURA','ARQ 8°','SANCHEZ MUÑOZ JOSE JORGE','INVESTIGACION Y APLICADA  ','MASCULINO',0</v>
      </c>
      <c r="J82" s="8" t="str">
        <f t="shared" si="4"/>
        <v>INSERT INTO profesores (id,nivel,carrera,grupo,nombre,materia,sexo,sello) VALUES (1081,'LICENCIATURA','ARQUITECTURA','ARQ 8°','SANCHEZ MUÑOZ JOSE JORGE','INVESTIGACION Y APLICADA  ','MASCULINO',0);</v>
      </c>
    </row>
    <row r="83" spans="1:10" ht="72.5" x14ac:dyDescent="0.35">
      <c r="A83" s="8">
        <v>1082</v>
      </c>
      <c r="B83" s="9" t="s">
        <v>736</v>
      </c>
      <c r="C83" s="10" t="s">
        <v>838</v>
      </c>
      <c r="D83" s="8" t="s">
        <v>1409</v>
      </c>
      <c r="E83" s="8" t="s">
        <v>624</v>
      </c>
      <c r="F83" s="8" t="s">
        <v>883</v>
      </c>
      <c r="G83" s="8" t="s">
        <v>722</v>
      </c>
      <c r="H83" s="8">
        <v>0</v>
      </c>
      <c r="I83" s="8" t="str">
        <f t="shared" si="3"/>
        <v>1082,'LICENCIATURA','ARQUITECTURA','ARQ 8°','SEGOVIANO MARTINEZ HUGO MIGUEL','LICITACION DE OBRAS','MASCULINO',0</v>
      </c>
      <c r="J83" s="8" t="str">
        <f t="shared" si="4"/>
        <v>INSERT INTO profesores (id,nivel,carrera,grupo,nombre,materia,sexo,sello) VALUES (1082,'LICENCIATURA','ARQUITECTURA','ARQ 8°','SEGOVIANO MARTINEZ HUGO MIGUEL','LICITACION DE OBRAS','MASCULINO',0);</v>
      </c>
    </row>
    <row r="84" spans="1:10" ht="72.5" x14ac:dyDescent="0.35">
      <c r="A84" s="8">
        <v>1083</v>
      </c>
      <c r="B84" s="9" t="s">
        <v>736</v>
      </c>
      <c r="C84" s="10" t="s">
        <v>885</v>
      </c>
      <c r="D84" s="8" t="s">
        <v>1410</v>
      </c>
      <c r="E84" s="8" t="s">
        <v>584</v>
      </c>
      <c r="F84" s="8" t="s">
        <v>884</v>
      </c>
      <c r="G84" s="8" t="s">
        <v>721</v>
      </c>
      <c r="H84" s="8">
        <v>0</v>
      </c>
      <c r="I84" s="8" t="str">
        <f t="shared" si="3"/>
        <v>1083,'LICENCIATURA','COMERCIO INTERNACIONAL','COM 8°','CASILLAS CASTILLO CRISTINA DEL SOCORRO','LEGISLACION ADUANERA II','FEMENINO',0</v>
      </c>
      <c r="J84" s="8" t="str">
        <f t="shared" si="4"/>
        <v>INSERT INTO profesores (id,nivel,carrera,grupo,nombre,materia,sexo,sello) VALUES (1083,'LICENCIATURA','COMERCIO INTERNACIONAL','COM 8°','CASILLAS CASTILLO CRISTINA DEL SOCORRO','LEGISLACION ADUANERA II','FEMENINO',0);</v>
      </c>
    </row>
    <row r="85" spans="1:10" ht="87" x14ac:dyDescent="0.35">
      <c r="A85" s="8">
        <v>1084</v>
      </c>
      <c r="B85" s="9" t="s">
        <v>736</v>
      </c>
      <c r="C85" s="10" t="s">
        <v>885</v>
      </c>
      <c r="D85" s="8" t="s">
        <v>1410</v>
      </c>
      <c r="E85" s="8" t="s">
        <v>704</v>
      </c>
      <c r="F85" s="8" t="s">
        <v>887</v>
      </c>
      <c r="G85" s="8" t="s">
        <v>722</v>
      </c>
      <c r="H85" s="8">
        <v>0</v>
      </c>
      <c r="I85" s="8" t="str">
        <f t="shared" si="3"/>
        <v>1084,'LICENCIATURA','COMERCIO INTERNACIONAL','COM 8°','ESPEJEL VARGAS RAUL ENRIQUE','TOPICOS DE ACTUALIDAD DE COMERCIO INTERNACIONAL','MASCULINO',0</v>
      </c>
      <c r="J85" s="8" t="str">
        <f t="shared" si="4"/>
        <v>INSERT INTO profesores (id,nivel,carrera,grupo,nombre,materia,sexo,sello) VALUES (1084,'LICENCIATURA','COMERCIO INTERNACIONAL','COM 8°','ESPEJEL VARGAS RAUL ENRIQUE','TOPICOS DE ACTUALIDAD DE COMERCIO INTERNACIONAL','MASCULINO',0);</v>
      </c>
    </row>
    <row r="86" spans="1:10" ht="72.5" x14ac:dyDescent="0.35">
      <c r="A86" s="8">
        <v>1085</v>
      </c>
      <c r="B86" s="9" t="s">
        <v>736</v>
      </c>
      <c r="C86" s="10" t="s">
        <v>885</v>
      </c>
      <c r="D86" s="8" t="s">
        <v>1410</v>
      </c>
      <c r="E86" s="8" t="s">
        <v>630</v>
      </c>
      <c r="F86" s="8" t="s">
        <v>889</v>
      </c>
      <c r="G86" s="8" t="s">
        <v>722</v>
      </c>
      <c r="H86" s="8">
        <v>0</v>
      </c>
      <c r="I86" s="8" t="str">
        <f t="shared" si="3"/>
        <v>1085,'LICENCIATURA','COMERCIO INTERNACIONAL','COM 8°','GOMEZ LEDEZMA JESUS ALEJANDRO','AUDITORIA CON BASE EN RIESGOS','MASCULINO',0</v>
      </c>
      <c r="J86" s="8" t="str">
        <f t="shared" si="4"/>
        <v>INSERT INTO profesores (id,nivel,carrera,grupo,nombre,materia,sexo,sello) VALUES (1085,'LICENCIATURA','COMERCIO INTERNACIONAL','COM 8°','GOMEZ LEDEZMA JESUS ALEJANDRO','AUDITORIA CON BASE EN RIESGOS','MASCULINO',0);</v>
      </c>
    </row>
    <row r="87" spans="1:10" ht="72.5" x14ac:dyDescent="0.35">
      <c r="A87" s="8">
        <v>1086</v>
      </c>
      <c r="B87" s="9" t="s">
        <v>736</v>
      </c>
      <c r="C87" s="10" t="s">
        <v>885</v>
      </c>
      <c r="D87" s="8" t="s">
        <v>1410</v>
      </c>
      <c r="E87" s="8" t="s">
        <v>707</v>
      </c>
      <c r="F87" s="8" t="s">
        <v>890</v>
      </c>
      <c r="G87" s="8" t="s">
        <v>722</v>
      </c>
      <c r="H87" s="8">
        <v>0</v>
      </c>
      <c r="I87" s="8" t="str">
        <f t="shared" si="3"/>
        <v>1086,'LICENCIATURA','COMERCIO INTERNACIONAL','COM 8°','RAMIREZ GONZALEZ ROBERTO ANTONIO','COMERCIO DE SERVICIOS','MASCULINO',0</v>
      </c>
      <c r="J87" s="8" t="str">
        <f t="shared" si="4"/>
        <v>INSERT INTO profesores (id,nivel,carrera,grupo,nombre,materia,sexo,sello) VALUES (1086,'LICENCIATURA','COMERCIO INTERNACIONAL','COM 8°','RAMIREZ GONZALEZ ROBERTO ANTONIO','COMERCIO DE SERVICIOS','MASCULINO',0);</v>
      </c>
    </row>
    <row r="88" spans="1:10" ht="72.5" x14ac:dyDescent="0.35">
      <c r="A88" s="8">
        <v>1087</v>
      </c>
      <c r="B88" s="9" t="s">
        <v>736</v>
      </c>
      <c r="C88" s="10" t="s">
        <v>885</v>
      </c>
      <c r="D88" s="8" t="s">
        <v>1410</v>
      </c>
      <c r="E88" s="8" t="s">
        <v>563</v>
      </c>
      <c r="F88" s="8" t="s">
        <v>892</v>
      </c>
      <c r="G88" s="8" t="s">
        <v>721</v>
      </c>
      <c r="H88" s="8">
        <v>0</v>
      </c>
      <c r="I88" s="8" t="str">
        <f t="shared" si="3"/>
        <v>1087,'LICENCIATURA','COMERCIO INTERNACIONAL','COM 8°','RENTERIA JIMENEZ AMANDA JANETTE','PROGRAMAS DE FOMENTO AL COMERCIO EXTERIOR','FEMENINO',0</v>
      </c>
      <c r="J88" s="8" t="str">
        <f t="shared" si="4"/>
        <v>INSERT INTO profesores (id,nivel,carrera,grupo,nombre,materia,sexo,sello) VALUES (1087,'LICENCIATURA','COMERCIO INTERNACIONAL','COM 8°','RENTERIA JIMENEZ AMANDA JANETTE','PROGRAMAS DE FOMENTO AL COMERCIO EXTERIOR','FEMENINO',0);</v>
      </c>
    </row>
    <row r="89" spans="1:10" ht="58" x14ac:dyDescent="0.35">
      <c r="A89" s="8">
        <v>1088</v>
      </c>
      <c r="B89" s="9" t="s">
        <v>736</v>
      </c>
      <c r="C89" s="10" t="s">
        <v>885</v>
      </c>
      <c r="D89" s="8" t="s">
        <v>1410</v>
      </c>
      <c r="E89" s="8" t="s">
        <v>701</v>
      </c>
      <c r="F89" s="8" t="s">
        <v>893</v>
      </c>
      <c r="G89" s="8" t="s">
        <v>722</v>
      </c>
      <c r="H89" s="8">
        <v>0</v>
      </c>
      <c r="I89" s="8" t="str">
        <f t="shared" si="3"/>
        <v>1088,'LICENCIATURA','COMERCIO INTERNACIONAL','COM 8°','RIOS NUÑO RAFAEL','ETICA','MASCULINO',0</v>
      </c>
      <c r="J89" s="8" t="str">
        <f t="shared" si="4"/>
        <v>INSERT INTO profesores (id,nivel,carrera,grupo,nombre,materia,sexo,sello) VALUES (1088,'LICENCIATURA','COMERCIO INTERNACIONAL','COM 8°','RIOS NUÑO RAFAEL','ETICA','MASCULINO',0);</v>
      </c>
    </row>
    <row r="90" spans="1:10" ht="72.5" x14ac:dyDescent="0.35">
      <c r="A90" s="8">
        <v>1089</v>
      </c>
      <c r="B90" s="9" t="s">
        <v>736</v>
      </c>
      <c r="C90" s="10" t="s">
        <v>895</v>
      </c>
      <c r="D90" s="8" t="s">
        <v>1411</v>
      </c>
      <c r="E90" s="8" t="s">
        <v>658</v>
      </c>
      <c r="F90" s="8" t="s">
        <v>894</v>
      </c>
      <c r="G90" s="8" t="s">
        <v>721</v>
      </c>
      <c r="H90" s="8">
        <v>0</v>
      </c>
      <c r="I90" s="8" t="str">
        <f t="shared" si="3"/>
        <v>1089,'LICENCIATURA','DERECHO','DER 8°','BAHENA VANEGAS LAURA YANET','COMERCIO EXTERIOR','FEMENINO',0</v>
      </c>
      <c r="J90" s="8" t="str">
        <f t="shared" si="4"/>
        <v>INSERT INTO profesores (id,nivel,carrera,grupo,nombre,materia,sexo,sello) VALUES (1089,'LICENCIATURA','DERECHO','DER 8°','BAHENA VANEGAS LAURA YANET','COMERCIO EXTERIOR','FEMENINO',0);</v>
      </c>
    </row>
    <row r="91" spans="1:10" ht="72.5" x14ac:dyDescent="0.35">
      <c r="A91" s="8">
        <v>1090</v>
      </c>
      <c r="B91" s="9" t="s">
        <v>736</v>
      </c>
      <c r="C91" s="10" t="s">
        <v>895</v>
      </c>
      <c r="D91" s="8" t="s">
        <v>1411</v>
      </c>
      <c r="E91" s="8" t="s">
        <v>669</v>
      </c>
      <c r="F91" s="8" t="s">
        <v>898</v>
      </c>
      <c r="G91" s="8" t="s">
        <v>722</v>
      </c>
      <c r="H91" s="8">
        <v>0</v>
      </c>
      <c r="I91" s="8" t="str">
        <f t="shared" si="3"/>
        <v>1090,'LICENCIATURA','DERECHO','DER 8°','GARCIA COVARRUBIAS LUIS RAFAEL','DERECHO ELECTORAL','MASCULINO',0</v>
      </c>
      <c r="J91" s="8" t="str">
        <f t="shared" si="4"/>
        <v>INSERT INTO profesores (id,nivel,carrera,grupo,nombre,materia,sexo,sello) VALUES (1090,'LICENCIATURA','DERECHO','DER 8°','GARCIA COVARRUBIAS LUIS RAFAEL','DERECHO ELECTORAL','MASCULINO',0);</v>
      </c>
    </row>
    <row r="92" spans="1:10" ht="72.5" x14ac:dyDescent="0.35">
      <c r="A92" s="8">
        <v>1091</v>
      </c>
      <c r="B92" s="9" t="s">
        <v>736</v>
      </c>
      <c r="C92" s="10" t="s">
        <v>895</v>
      </c>
      <c r="D92" s="8" t="s">
        <v>1411</v>
      </c>
      <c r="E92" s="8" t="s">
        <v>715</v>
      </c>
      <c r="F92" s="8" t="s">
        <v>900</v>
      </c>
      <c r="G92" s="8" t="s">
        <v>721</v>
      </c>
      <c r="H92" s="8">
        <v>0</v>
      </c>
      <c r="I92" s="8" t="str">
        <f t="shared" si="3"/>
        <v>1091,'LICENCIATURA','DERECHO','DER 8°','MONTERO LOPEZ STEPHANY ELIZABETH','ETICA PROFESIONAL','FEMENINO',0</v>
      </c>
      <c r="J92" s="8" t="str">
        <f t="shared" si="4"/>
        <v>INSERT INTO profesores (id,nivel,carrera,grupo,nombre,materia,sexo,sello) VALUES (1091,'LICENCIATURA','DERECHO','DER 8°','MONTERO LOPEZ STEPHANY ELIZABETH','ETICA PROFESIONAL','FEMENINO',0);</v>
      </c>
    </row>
    <row r="93" spans="1:10" ht="72.5" x14ac:dyDescent="0.35">
      <c r="A93" s="8">
        <v>1092</v>
      </c>
      <c r="B93" s="9" t="s">
        <v>736</v>
      </c>
      <c r="C93" s="10" t="s">
        <v>895</v>
      </c>
      <c r="D93" s="8" t="s">
        <v>1411</v>
      </c>
      <c r="E93" s="8" t="s">
        <v>594</v>
      </c>
      <c r="F93" s="8" t="s">
        <v>902</v>
      </c>
      <c r="G93" s="8" t="s">
        <v>721</v>
      </c>
      <c r="H93" s="8">
        <v>0</v>
      </c>
      <c r="I93" s="8" t="str">
        <f t="shared" si="3"/>
        <v>1092,'LICENCIATURA','DERECHO','DER 8°','ORTEGA CUEVAS DIANA JOSSELINE','DERECHO INTERNACIONAL PUBLICO','FEMENINO',0</v>
      </c>
      <c r="J93" s="8" t="str">
        <f t="shared" si="4"/>
        <v>INSERT INTO profesores (id,nivel,carrera,grupo,nombre,materia,sexo,sello) VALUES (1092,'LICENCIATURA','DERECHO','DER 8°','ORTEGA CUEVAS DIANA JOSSELINE','DERECHO INTERNACIONAL PUBLICO','FEMENINO',0);</v>
      </c>
    </row>
    <row r="94" spans="1:10" ht="58" x14ac:dyDescent="0.35">
      <c r="A94" s="8">
        <v>1093</v>
      </c>
      <c r="B94" s="9" t="s">
        <v>736</v>
      </c>
      <c r="C94" s="10" t="s">
        <v>895</v>
      </c>
      <c r="D94" s="8" t="s">
        <v>1411</v>
      </c>
      <c r="E94" s="8" t="s">
        <v>555</v>
      </c>
      <c r="F94" s="8" t="s">
        <v>904</v>
      </c>
      <c r="G94" s="8" t="s">
        <v>722</v>
      </c>
      <c r="H94" s="8">
        <v>0</v>
      </c>
      <c r="I94" s="8" t="str">
        <f t="shared" si="3"/>
        <v>1093,'LICENCIATURA','DERECHO','DER 8°','PALOMERA JIMENEZ ALBERTO','DERECHO BANCARIO','MASCULINO',0</v>
      </c>
      <c r="J94" s="8" t="str">
        <f t="shared" si="4"/>
        <v>INSERT INTO profesores (id,nivel,carrera,grupo,nombre,materia,sexo,sello) VALUES (1093,'LICENCIATURA','DERECHO','DER 8°','PALOMERA JIMENEZ ALBERTO','DERECHO BANCARIO','MASCULINO',0);</v>
      </c>
    </row>
    <row r="95" spans="1:10" ht="72.5" x14ac:dyDescent="0.35">
      <c r="A95" s="8">
        <v>1094</v>
      </c>
      <c r="B95" s="9" t="s">
        <v>736</v>
      </c>
      <c r="C95" s="10" t="s">
        <v>895</v>
      </c>
      <c r="D95" s="8" t="s">
        <v>1411</v>
      </c>
      <c r="E95" s="8" t="s">
        <v>668</v>
      </c>
      <c r="F95" s="8" t="s">
        <v>906</v>
      </c>
      <c r="G95" s="8" t="s">
        <v>722</v>
      </c>
      <c r="H95" s="8">
        <v>0</v>
      </c>
      <c r="I95" s="8" t="str">
        <f t="shared" si="3"/>
        <v>1094,'LICENCIATURA','DERECHO','DER 8°','SALAZAR LOPEZ LUIS GILBERTO','CLINICA DE JUICIO DE AMPARO','MASCULINO',0</v>
      </c>
      <c r="J95" s="8" t="str">
        <f t="shared" si="4"/>
        <v>INSERT INTO profesores (id,nivel,carrera,grupo,nombre,materia,sexo,sello) VALUES (1094,'LICENCIATURA','DERECHO','DER 8°','SALAZAR LOPEZ LUIS GILBERTO','CLINICA DE JUICIO DE AMPARO','MASCULINO',0);</v>
      </c>
    </row>
    <row r="96" spans="1:10" ht="72.5" x14ac:dyDescent="0.35">
      <c r="A96" s="8">
        <v>1095</v>
      </c>
      <c r="B96" s="9" t="s">
        <v>736</v>
      </c>
      <c r="C96" s="10" t="s">
        <v>909</v>
      </c>
      <c r="D96" s="8" t="s">
        <v>1412</v>
      </c>
      <c r="E96" s="8" t="s">
        <v>581</v>
      </c>
      <c r="F96" s="8" t="s">
        <v>908</v>
      </c>
      <c r="G96" s="8" t="s">
        <v>721</v>
      </c>
      <c r="H96" s="8">
        <v>0</v>
      </c>
      <c r="I96" s="8" t="str">
        <f t="shared" si="3"/>
        <v>1095,'LICENCIATURA','DISEÑO GRAFICO Y DIGITAL','DGD 6°','BAUTISTA PARRA CLAUDIA LUCIA','DISEÑO DE INCLUSION SOCIAL','FEMENINO',0</v>
      </c>
      <c r="J96" s="8" t="str">
        <f t="shared" si="4"/>
        <v>INSERT INTO profesores (id,nivel,carrera,grupo,nombre,materia,sexo,sello) VALUES (1095,'LICENCIATURA','DISEÑO GRAFICO Y DIGITAL','DGD 6°','BAUTISTA PARRA CLAUDIA LUCIA','DISEÑO DE INCLUSION SOCIAL','FEMENINO',0);</v>
      </c>
    </row>
    <row r="97" spans="1:10" ht="72.5" x14ac:dyDescent="0.35">
      <c r="A97" s="8">
        <v>1096</v>
      </c>
      <c r="B97" s="9" t="s">
        <v>736</v>
      </c>
      <c r="C97" s="10" t="s">
        <v>909</v>
      </c>
      <c r="D97" s="8" t="s">
        <v>1412</v>
      </c>
      <c r="E97" s="8" t="s">
        <v>567</v>
      </c>
      <c r="F97" s="8" t="s">
        <v>912</v>
      </c>
      <c r="G97" s="8" t="s">
        <v>721</v>
      </c>
      <c r="H97" s="8">
        <v>0</v>
      </c>
      <c r="I97" s="8" t="str">
        <f t="shared" si="3"/>
        <v>1096,'LICENCIATURA','DISEÑO GRAFICO Y DIGITAL','DGD 6°','FLORES GIL ARACELI','DISEÑO TRIDIMENSIONAL Y ESCAPARATISMO','FEMENINO',0</v>
      </c>
      <c r="J97" s="8" t="str">
        <f t="shared" si="4"/>
        <v>INSERT INTO profesores (id,nivel,carrera,grupo,nombre,materia,sexo,sello) VALUES (1096,'LICENCIATURA','DISEÑO GRAFICO Y DIGITAL','DGD 6°','FLORES GIL ARACELI','DISEÑO TRIDIMENSIONAL Y ESCAPARATISMO','FEMENINO',0);</v>
      </c>
    </row>
    <row r="98" spans="1:10" ht="72.5" x14ac:dyDescent="0.35">
      <c r="A98" s="8">
        <v>1097</v>
      </c>
      <c r="B98" s="9" t="s">
        <v>736</v>
      </c>
      <c r="C98" s="10" t="s">
        <v>909</v>
      </c>
      <c r="D98" s="8" t="s">
        <v>1412</v>
      </c>
      <c r="E98" s="8" t="s">
        <v>714</v>
      </c>
      <c r="F98" s="8" t="s">
        <v>914</v>
      </c>
      <c r="G98" s="8" t="s">
        <v>722</v>
      </c>
      <c r="H98" s="8">
        <v>0</v>
      </c>
      <c r="I98" s="8" t="str">
        <f t="shared" si="3"/>
        <v>1097,'LICENCIATURA','DISEÑO GRAFICO Y DIGITAL','DGD 6°','MARTINEZ MARTINEZ SOBEK DRACO','ANIMACION TRIDIMENSIONAL','MASCULINO',0</v>
      </c>
      <c r="J98" s="8" t="str">
        <f t="shared" si="4"/>
        <v>INSERT INTO profesores (id,nivel,carrera,grupo,nombre,materia,sexo,sello) VALUES (1097,'LICENCIATURA','DISEÑO GRAFICO Y DIGITAL','DGD 6°','MARTINEZ MARTINEZ SOBEK DRACO','ANIMACION TRIDIMENSIONAL','MASCULINO',0);</v>
      </c>
    </row>
    <row r="99" spans="1:10" ht="72.5" x14ac:dyDescent="0.35">
      <c r="A99" s="8">
        <v>1098</v>
      </c>
      <c r="B99" s="9" t="s">
        <v>736</v>
      </c>
      <c r="C99" s="10" t="s">
        <v>909</v>
      </c>
      <c r="D99" s="8" t="s">
        <v>1412</v>
      </c>
      <c r="E99" s="8" t="s">
        <v>620</v>
      </c>
      <c r="F99" s="8" t="s">
        <v>916</v>
      </c>
      <c r="G99" s="8" t="s">
        <v>722</v>
      </c>
      <c r="H99" s="8">
        <v>0</v>
      </c>
      <c r="I99" s="8" t="str">
        <f t="shared" si="3"/>
        <v>1098,'LICENCIATURA','DISEÑO GRAFICO Y DIGITAL','DGD 6°','MORENO LLAMAS HECTOR RAUL','LENGUAJE DE MAQUETACION','MASCULINO',0</v>
      </c>
      <c r="J99" s="8" t="str">
        <f t="shared" si="4"/>
        <v>INSERT INTO profesores (id,nivel,carrera,grupo,nombre,materia,sexo,sello) VALUES (1098,'LICENCIATURA','DISEÑO GRAFICO Y DIGITAL','DGD 6°','MORENO LLAMAS HECTOR RAUL','LENGUAJE DE MAQUETACION','MASCULINO',0);</v>
      </c>
    </row>
    <row r="100" spans="1:10" ht="72.5" x14ac:dyDescent="0.35">
      <c r="A100" s="8">
        <v>1099</v>
      </c>
      <c r="B100" s="9" t="s">
        <v>736</v>
      </c>
      <c r="C100" s="10" t="s">
        <v>909</v>
      </c>
      <c r="D100" s="8" t="s">
        <v>1412</v>
      </c>
      <c r="E100" s="8" t="s">
        <v>687</v>
      </c>
      <c r="F100" s="8" t="s">
        <v>918</v>
      </c>
      <c r="G100" s="8" t="s">
        <v>721</v>
      </c>
      <c r="H100" s="8">
        <v>0</v>
      </c>
      <c r="I100" s="8" t="str">
        <f t="shared" si="3"/>
        <v>1099,'LICENCIATURA','DISEÑO GRAFICO Y DIGITAL','DGD 6°','PEREZ ORTIZ MERCEDES','DISEÑO EDITORIAL BASICO','FEMENINO',0</v>
      </c>
      <c r="J100" s="8" t="str">
        <f t="shared" si="4"/>
        <v>INSERT INTO profesores (id,nivel,carrera,grupo,nombre,materia,sexo,sello) VALUES (1099,'LICENCIATURA','DISEÑO GRAFICO Y DIGITAL','DGD 6°','PEREZ ORTIZ MERCEDES','DISEÑO EDITORIAL BASICO','FEMENINO',0);</v>
      </c>
    </row>
    <row r="101" spans="1:10" ht="72.5" x14ac:dyDescent="0.35">
      <c r="A101" s="8">
        <v>1100</v>
      </c>
      <c r="B101" s="9" t="s">
        <v>736</v>
      </c>
      <c r="C101" s="10" t="s">
        <v>909</v>
      </c>
      <c r="D101" s="8" t="s">
        <v>1413</v>
      </c>
      <c r="E101" s="8" t="s">
        <v>567</v>
      </c>
      <c r="F101" s="8" t="s">
        <v>920</v>
      </c>
      <c r="G101" s="8" t="s">
        <v>721</v>
      </c>
      <c r="H101" s="8">
        <v>0</v>
      </c>
      <c r="I101" s="8" t="str">
        <f t="shared" si="3"/>
        <v>1100,'LICENCIATURA','DISEÑO GRAFICO Y DIGITAL','DGD 8°','FLORES GIL ARACELI','SEMINARIO DE INTEGRACION DE LA CARRERA','FEMENINO',0</v>
      </c>
      <c r="J101" s="8" t="str">
        <f t="shared" si="4"/>
        <v>INSERT INTO profesores (id,nivel,carrera,grupo,nombre,materia,sexo,sello) VALUES (1100,'LICENCIATURA','DISEÑO GRAFICO Y DIGITAL','DGD 8°','FLORES GIL ARACELI','SEMINARIO DE INTEGRACION DE LA CARRERA','FEMENINO',0);</v>
      </c>
    </row>
    <row r="102" spans="1:10" ht="72.5" x14ac:dyDescent="0.35">
      <c r="A102" s="8">
        <v>1101</v>
      </c>
      <c r="B102" s="9" t="s">
        <v>736</v>
      </c>
      <c r="C102" s="10" t="s">
        <v>909</v>
      </c>
      <c r="D102" s="8" t="s">
        <v>1413</v>
      </c>
      <c r="E102" s="8" t="s">
        <v>620</v>
      </c>
      <c r="F102" s="8" t="s">
        <v>922</v>
      </c>
      <c r="G102" s="8" t="s">
        <v>722</v>
      </c>
      <c r="H102" s="8">
        <v>0</v>
      </c>
      <c r="I102" s="8" t="str">
        <f t="shared" si="3"/>
        <v>1101,'LICENCIATURA','DISEÑO GRAFICO Y DIGITAL','DGD 8°','MORENO LLAMAS HECTOR RAUL','DISEÑO DE APLICACIONES','MASCULINO',0</v>
      </c>
      <c r="J102" s="8" t="str">
        <f t="shared" si="4"/>
        <v>INSERT INTO profesores (id,nivel,carrera,grupo,nombre,materia,sexo,sello) VALUES (1101,'LICENCIATURA','DISEÑO GRAFICO Y DIGITAL','DGD 8°','MORENO LLAMAS HECTOR RAUL','DISEÑO DE APLICACIONES','MASCULINO',0);</v>
      </c>
    </row>
    <row r="103" spans="1:10" ht="72.5" x14ac:dyDescent="0.35">
      <c r="A103" s="8">
        <v>1102</v>
      </c>
      <c r="B103" s="9" t="s">
        <v>736</v>
      </c>
      <c r="C103" s="10" t="s">
        <v>909</v>
      </c>
      <c r="D103" s="8" t="s">
        <v>1413</v>
      </c>
      <c r="E103" s="8" t="s">
        <v>683</v>
      </c>
      <c r="F103" s="8" t="s">
        <v>773</v>
      </c>
      <c r="G103" s="8" t="s">
        <v>722</v>
      </c>
      <c r="H103" s="8">
        <v>0</v>
      </c>
      <c r="I103" s="8" t="str">
        <f t="shared" si="3"/>
        <v>1102,'LICENCIATURA','DISEÑO GRAFICO Y DIGITAL','DGD 8°','QUINTERO LOPEZ MARTIN DE JESUS','TOPICOS DE ACTUALIDAD','MASCULINO',0</v>
      </c>
      <c r="J103" s="8" t="str">
        <f t="shared" si="4"/>
        <v>INSERT INTO profesores (id,nivel,carrera,grupo,nombre,materia,sexo,sello) VALUES (1102,'LICENCIATURA','DISEÑO GRAFICO Y DIGITAL','DGD 8°','QUINTERO LOPEZ MARTIN DE JESUS','TOPICOS DE ACTUALIDAD','MASCULINO',0);</v>
      </c>
    </row>
    <row r="104" spans="1:10" ht="72.5" x14ac:dyDescent="0.35">
      <c r="A104" s="8">
        <v>1103</v>
      </c>
      <c r="B104" s="9" t="s">
        <v>736</v>
      </c>
      <c r="C104" s="10" t="s">
        <v>925</v>
      </c>
      <c r="D104" s="8" t="s">
        <v>1414</v>
      </c>
      <c r="E104" s="8" t="s">
        <v>616</v>
      </c>
      <c r="F104" s="8" t="s">
        <v>924</v>
      </c>
      <c r="G104" s="8" t="s">
        <v>721</v>
      </c>
      <c r="H104" s="8">
        <v>0</v>
      </c>
      <c r="I104" s="8" t="str">
        <f t="shared" si="3"/>
        <v>1103,'LICENCIATURA','INGENIERIA AEROESPACIAL','AERO 2°A','ANDRADE HERNANDEZ GISELLE','CALCULO INTEGRAL','FEMENINO',0</v>
      </c>
      <c r="J104" s="8" t="str">
        <f t="shared" si="4"/>
        <v>INSERT INTO profesores (id,nivel,carrera,grupo,nombre,materia,sexo,sello) VALUES (1103,'LICENCIATURA','INGENIERIA AEROESPACIAL','AERO 2°A','ANDRADE HERNANDEZ GISELLE','CALCULO INTEGRAL','FEMENINO',0);</v>
      </c>
    </row>
    <row r="105" spans="1:10" ht="72.5" x14ac:dyDescent="0.35">
      <c r="A105" s="8">
        <v>1104</v>
      </c>
      <c r="B105" s="9" t="s">
        <v>736</v>
      </c>
      <c r="C105" s="10" t="s">
        <v>925</v>
      </c>
      <c r="D105" s="8" t="s">
        <v>1414</v>
      </c>
      <c r="E105" s="8" t="s">
        <v>596</v>
      </c>
      <c r="F105" s="8" t="s">
        <v>928</v>
      </c>
      <c r="G105" s="8" t="s">
        <v>722</v>
      </c>
      <c r="H105" s="8">
        <v>0</v>
      </c>
      <c r="I105" s="8" t="str">
        <f t="shared" si="3"/>
        <v>1104,'LICENCIATURA','INGENIERIA AEROESPACIAL','AERO 2°A','CHAVARRIA RODRIGUEZ EDGARDO','INTRODUCCION A LA PROGRAMACION','MASCULINO',0</v>
      </c>
      <c r="J105" s="8" t="str">
        <f t="shared" si="4"/>
        <v>INSERT INTO profesores (id,nivel,carrera,grupo,nombre,materia,sexo,sello) VALUES (1104,'LICENCIATURA','INGENIERIA AEROESPACIAL','AERO 2°A','CHAVARRIA RODRIGUEZ EDGARDO','INTRODUCCION A LA PROGRAMACION','MASCULINO',0);</v>
      </c>
    </row>
    <row r="106" spans="1:10" ht="72.5" x14ac:dyDescent="0.35">
      <c r="A106" s="8">
        <v>1105</v>
      </c>
      <c r="B106" s="9" t="s">
        <v>736</v>
      </c>
      <c r="C106" s="10" t="s">
        <v>925</v>
      </c>
      <c r="D106" s="8" t="s">
        <v>1414</v>
      </c>
      <c r="E106" s="8" t="s">
        <v>570</v>
      </c>
      <c r="F106" s="8" t="s">
        <v>930</v>
      </c>
      <c r="G106" s="8" t="s">
        <v>721</v>
      </c>
      <c r="H106" s="8">
        <v>0</v>
      </c>
      <c r="I106" s="8" t="str">
        <f t="shared" si="3"/>
        <v>1105,'LICENCIATURA','INGENIERIA AEROESPACIAL','AERO 2°A','FERRER LOPEZ BERTHA LUCRECIA','GEOMETRIA DESCRIPTIVA','FEMENINO',0</v>
      </c>
      <c r="J106" s="8" t="str">
        <f t="shared" si="4"/>
        <v>INSERT INTO profesores (id,nivel,carrera,grupo,nombre,materia,sexo,sello) VALUES (1105,'LICENCIATURA','INGENIERIA AEROESPACIAL','AERO 2°A','FERRER LOPEZ BERTHA LUCRECIA','GEOMETRIA DESCRIPTIVA','FEMENINO',0);</v>
      </c>
    </row>
    <row r="107" spans="1:10" ht="87" x14ac:dyDescent="0.35">
      <c r="A107" s="8">
        <v>1106</v>
      </c>
      <c r="B107" s="9" t="s">
        <v>736</v>
      </c>
      <c r="C107" s="10" t="s">
        <v>925</v>
      </c>
      <c r="D107" s="8" t="s">
        <v>1414</v>
      </c>
      <c r="E107" s="8" t="s">
        <v>717</v>
      </c>
      <c r="F107" s="8" t="s">
        <v>932</v>
      </c>
      <c r="G107" s="8" t="s">
        <v>722</v>
      </c>
      <c r="H107" s="8">
        <v>0</v>
      </c>
      <c r="I107" s="8" t="str">
        <f t="shared" si="3"/>
        <v>1106,'LICENCIATURA','INGENIERIA AEROESPACIAL','AERO 2°A','MEDEL JUAREZ VICTOR MANUEL','CIENCIA Y TECNOLOGIA DE MATERIALES AEROESPACIALES','MASCULINO',0</v>
      </c>
      <c r="J107" s="8" t="str">
        <f t="shared" si="4"/>
        <v>INSERT INTO profesores (id,nivel,carrera,grupo,nombre,materia,sexo,sello) VALUES (1106,'LICENCIATURA','INGENIERIA AEROESPACIAL','AERO 2°A','MEDEL JUAREZ VICTOR MANUEL','CIENCIA Y TECNOLOGIA DE MATERIALES AEROESPACIALES','MASCULINO',0);</v>
      </c>
    </row>
    <row r="108" spans="1:10" ht="72.5" x14ac:dyDescent="0.35">
      <c r="A108" s="8">
        <v>1107</v>
      </c>
      <c r="B108" s="9" t="s">
        <v>736</v>
      </c>
      <c r="C108" s="10" t="s">
        <v>925</v>
      </c>
      <c r="D108" s="8" t="s">
        <v>1414</v>
      </c>
      <c r="E108" s="8" t="s">
        <v>565</v>
      </c>
      <c r="F108" s="8" t="s">
        <v>934</v>
      </c>
      <c r="G108" s="8" t="s">
        <v>721</v>
      </c>
      <c r="H108" s="8">
        <v>0</v>
      </c>
      <c r="I108" s="8" t="str">
        <f t="shared" si="3"/>
        <v>1107,'LICENCIATURA','INGENIERIA AEROESPACIAL','AERO 2°A','NUÑEZ VELAZQUEZ ANA MARIA ','CIRCUITOS ELECTRICOS','FEMENINO',0</v>
      </c>
      <c r="J108" s="8" t="str">
        <f t="shared" si="4"/>
        <v>INSERT INTO profesores (id,nivel,carrera,grupo,nombre,materia,sexo,sello) VALUES (1107,'LICENCIATURA','INGENIERIA AEROESPACIAL','AERO 2°A','NUÑEZ VELAZQUEZ ANA MARIA ','CIRCUITOS ELECTRICOS','FEMENINO',0);</v>
      </c>
    </row>
    <row r="109" spans="1:10" ht="58" x14ac:dyDescent="0.35">
      <c r="A109" s="8">
        <v>1108</v>
      </c>
      <c r="B109" s="9" t="s">
        <v>736</v>
      </c>
      <c r="C109" s="10" t="s">
        <v>925</v>
      </c>
      <c r="D109" s="8" t="s">
        <v>1414</v>
      </c>
      <c r="E109" s="8" t="s">
        <v>585</v>
      </c>
      <c r="F109" s="8" t="s">
        <v>850</v>
      </c>
      <c r="G109" s="8" t="s">
        <v>722</v>
      </c>
      <c r="H109" s="8">
        <v>0</v>
      </c>
      <c r="I109" s="8" t="str">
        <f t="shared" si="3"/>
        <v>1108,'LICENCIATURA','INGENIERIA AEROESPACIAL','AERO 2°A','SHINDO  DAISUKE','ESTATICA','MASCULINO',0</v>
      </c>
      <c r="J109" s="8" t="str">
        <f t="shared" si="4"/>
        <v>INSERT INTO profesores (id,nivel,carrera,grupo,nombre,materia,sexo,sello) VALUES (1108,'LICENCIATURA','INGENIERIA AEROESPACIAL','AERO 2°A','SHINDO  DAISUKE','ESTATICA','MASCULINO',0);</v>
      </c>
    </row>
    <row r="110" spans="1:10" ht="72.5" x14ac:dyDescent="0.35">
      <c r="A110" s="8">
        <v>1109</v>
      </c>
      <c r="B110" s="9" t="s">
        <v>736</v>
      </c>
      <c r="C110" s="10" t="s">
        <v>925</v>
      </c>
      <c r="D110" s="8" t="s">
        <v>1415</v>
      </c>
      <c r="E110" s="8" t="s">
        <v>616</v>
      </c>
      <c r="F110" s="8" t="s">
        <v>924</v>
      </c>
      <c r="G110" s="8" t="s">
        <v>721</v>
      </c>
      <c r="H110" s="8">
        <v>0</v>
      </c>
      <c r="I110" s="8" t="str">
        <f t="shared" si="3"/>
        <v>1109,'LICENCIATURA','INGENIERIA AEROESPACIAL','AERO 2°B','ANDRADE HERNANDEZ GISELLE','CALCULO INTEGRAL','FEMENINO',0</v>
      </c>
      <c r="J110" s="8" t="str">
        <f t="shared" si="4"/>
        <v>INSERT INTO profesores (id,nivel,carrera,grupo,nombre,materia,sexo,sello) VALUES (1109,'LICENCIATURA','INGENIERIA AEROESPACIAL','AERO 2°B','ANDRADE HERNANDEZ GISELLE','CALCULO INTEGRAL','FEMENINO',0);</v>
      </c>
    </row>
    <row r="111" spans="1:10" ht="72.5" x14ac:dyDescent="0.35">
      <c r="A111" s="8">
        <v>1110</v>
      </c>
      <c r="B111" s="9" t="s">
        <v>736</v>
      </c>
      <c r="C111" s="10" t="s">
        <v>925</v>
      </c>
      <c r="D111" s="8" t="s">
        <v>1415</v>
      </c>
      <c r="E111" s="8" t="s">
        <v>596</v>
      </c>
      <c r="F111" s="8" t="s">
        <v>928</v>
      </c>
      <c r="G111" s="8" t="s">
        <v>722</v>
      </c>
      <c r="H111" s="8">
        <v>0</v>
      </c>
      <c r="I111" s="8" t="str">
        <f t="shared" si="3"/>
        <v>1110,'LICENCIATURA','INGENIERIA AEROESPACIAL','AERO 2°B','CHAVARRIA RODRIGUEZ EDGARDO','INTRODUCCION A LA PROGRAMACION','MASCULINO',0</v>
      </c>
      <c r="J111" s="8" t="str">
        <f t="shared" si="4"/>
        <v>INSERT INTO profesores (id,nivel,carrera,grupo,nombre,materia,sexo,sello) VALUES (1110,'LICENCIATURA','INGENIERIA AEROESPACIAL','AERO 2°B','CHAVARRIA RODRIGUEZ EDGARDO','INTRODUCCION A LA PROGRAMACION','MASCULINO',0);</v>
      </c>
    </row>
    <row r="112" spans="1:10" ht="72.5" x14ac:dyDescent="0.35">
      <c r="A112" s="8">
        <v>1111</v>
      </c>
      <c r="B112" s="9" t="s">
        <v>736</v>
      </c>
      <c r="C112" s="10" t="s">
        <v>925</v>
      </c>
      <c r="D112" s="8" t="s">
        <v>1415</v>
      </c>
      <c r="E112" s="8" t="s">
        <v>570</v>
      </c>
      <c r="F112" s="8" t="s">
        <v>930</v>
      </c>
      <c r="G112" s="8" t="s">
        <v>721</v>
      </c>
      <c r="H112" s="8">
        <v>0</v>
      </c>
      <c r="I112" s="8" t="str">
        <f t="shared" si="3"/>
        <v>1111,'LICENCIATURA','INGENIERIA AEROESPACIAL','AERO 2°B','FERRER LOPEZ BERTHA LUCRECIA','GEOMETRIA DESCRIPTIVA','FEMENINO',0</v>
      </c>
      <c r="J112" s="8" t="str">
        <f t="shared" si="4"/>
        <v>INSERT INTO profesores (id,nivel,carrera,grupo,nombre,materia,sexo,sello) VALUES (1111,'LICENCIATURA','INGENIERIA AEROESPACIAL','AERO 2°B','FERRER LOPEZ BERTHA LUCRECIA','GEOMETRIA DESCRIPTIVA','FEMENINO',0);</v>
      </c>
    </row>
    <row r="113" spans="1:10" ht="87" x14ac:dyDescent="0.35">
      <c r="A113" s="8">
        <v>1112</v>
      </c>
      <c r="B113" s="9" t="s">
        <v>736</v>
      </c>
      <c r="C113" s="10" t="s">
        <v>925</v>
      </c>
      <c r="D113" s="8" t="s">
        <v>1415</v>
      </c>
      <c r="E113" s="8" t="s">
        <v>717</v>
      </c>
      <c r="F113" s="8" t="s">
        <v>932</v>
      </c>
      <c r="G113" s="8" t="s">
        <v>722</v>
      </c>
      <c r="H113" s="8">
        <v>0</v>
      </c>
      <c r="I113" s="8" t="str">
        <f t="shared" si="3"/>
        <v>1112,'LICENCIATURA','INGENIERIA AEROESPACIAL','AERO 2°B','MEDEL JUAREZ VICTOR MANUEL','CIENCIA Y TECNOLOGIA DE MATERIALES AEROESPACIALES','MASCULINO',0</v>
      </c>
      <c r="J113" s="8" t="str">
        <f t="shared" si="4"/>
        <v>INSERT INTO profesores (id,nivel,carrera,grupo,nombre,materia,sexo,sello) VALUES (1112,'LICENCIATURA','INGENIERIA AEROESPACIAL','AERO 2°B','MEDEL JUAREZ VICTOR MANUEL','CIENCIA Y TECNOLOGIA DE MATERIALES AEROESPACIALES','MASCULINO',0);</v>
      </c>
    </row>
    <row r="114" spans="1:10" ht="72.5" x14ac:dyDescent="0.35">
      <c r="A114" s="8">
        <v>1113</v>
      </c>
      <c r="B114" s="9" t="s">
        <v>736</v>
      </c>
      <c r="C114" s="10" t="s">
        <v>925</v>
      </c>
      <c r="D114" s="8" t="s">
        <v>1415</v>
      </c>
      <c r="E114" s="8" t="s">
        <v>565</v>
      </c>
      <c r="F114" s="8" t="s">
        <v>934</v>
      </c>
      <c r="G114" s="8" t="s">
        <v>721</v>
      </c>
      <c r="H114" s="8">
        <v>0</v>
      </c>
      <c r="I114" s="8" t="str">
        <f t="shared" si="3"/>
        <v>1113,'LICENCIATURA','INGENIERIA AEROESPACIAL','AERO 2°B','NUÑEZ VELAZQUEZ ANA MARIA ','CIRCUITOS ELECTRICOS','FEMENINO',0</v>
      </c>
      <c r="J114" s="8" t="str">
        <f t="shared" si="4"/>
        <v>INSERT INTO profesores (id,nivel,carrera,grupo,nombre,materia,sexo,sello) VALUES (1113,'LICENCIATURA','INGENIERIA AEROESPACIAL','AERO 2°B','NUÑEZ VELAZQUEZ ANA MARIA ','CIRCUITOS ELECTRICOS','FEMENINO',0);</v>
      </c>
    </row>
    <row r="115" spans="1:10" ht="58" x14ac:dyDescent="0.35">
      <c r="A115" s="8">
        <v>1114</v>
      </c>
      <c r="B115" s="9" t="s">
        <v>736</v>
      </c>
      <c r="C115" s="10" t="s">
        <v>925</v>
      </c>
      <c r="D115" s="8" t="s">
        <v>1415</v>
      </c>
      <c r="E115" s="8" t="s">
        <v>585</v>
      </c>
      <c r="F115" s="8" t="s">
        <v>850</v>
      </c>
      <c r="G115" s="8" t="s">
        <v>722</v>
      </c>
      <c r="H115" s="8">
        <v>0</v>
      </c>
      <c r="I115" s="8" t="str">
        <f t="shared" si="3"/>
        <v>1114,'LICENCIATURA','INGENIERIA AEROESPACIAL','AERO 2°B','SHINDO  DAISUKE','ESTATICA','MASCULINO',0</v>
      </c>
      <c r="J115" s="8" t="str">
        <f t="shared" si="4"/>
        <v>INSERT INTO profesores (id,nivel,carrera,grupo,nombre,materia,sexo,sello) VALUES (1114,'LICENCIATURA','INGENIERIA AEROESPACIAL','AERO 2°B','SHINDO  DAISUKE','ESTATICA','MASCULINO',0);</v>
      </c>
    </row>
    <row r="116" spans="1:10" ht="72.5" x14ac:dyDescent="0.35">
      <c r="A116" s="8">
        <v>1115</v>
      </c>
      <c r="B116" s="9" t="s">
        <v>736</v>
      </c>
      <c r="C116" s="10" t="s">
        <v>925</v>
      </c>
      <c r="D116" s="8" t="s">
        <v>1416</v>
      </c>
      <c r="E116" s="8" t="s">
        <v>602</v>
      </c>
      <c r="F116" s="8" t="s">
        <v>938</v>
      </c>
      <c r="G116" s="8" t="s">
        <v>722</v>
      </c>
      <c r="H116" s="8">
        <v>0</v>
      </c>
      <c r="I116" s="8" t="str">
        <f t="shared" si="3"/>
        <v>1115,'LICENCIATURA','INGENIERIA AEROESPACIAL','AERO 4°A','JIMENEZ ANDALON ENRIQUE','NORMATIVA AERONAUTICA I','MASCULINO',0</v>
      </c>
      <c r="J116" s="8" t="str">
        <f t="shared" si="4"/>
        <v>INSERT INTO profesores (id,nivel,carrera,grupo,nombre,materia,sexo,sello) VALUES (1115,'LICENCIATURA','INGENIERIA AEROESPACIAL','AERO 4°A','JIMENEZ ANDALON ENRIQUE','NORMATIVA AERONAUTICA I','MASCULINO',0);</v>
      </c>
    </row>
    <row r="117" spans="1:10" ht="72.5" x14ac:dyDescent="0.35">
      <c r="A117" s="8">
        <v>1116</v>
      </c>
      <c r="B117" s="9" t="s">
        <v>736</v>
      </c>
      <c r="C117" s="10" t="s">
        <v>925</v>
      </c>
      <c r="D117" s="8" t="s">
        <v>1416</v>
      </c>
      <c r="E117" s="8" t="s">
        <v>718</v>
      </c>
      <c r="F117" s="8" t="s">
        <v>941</v>
      </c>
      <c r="G117" s="8" t="s">
        <v>722</v>
      </c>
      <c r="H117" s="8">
        <v>0</v>
      </c>
      <c r="I117" s="8" t="str">
        <f t="shared" si="3"/>
        <v>1116,'LICENCIATURA','INGENIERIA AEROESPACIAL','AERO 4°A','QUEZADA NAVARRO VICTOR MANUEL','METODOS NUMERICOS','MASCULINO',0</v>
      </c>
      <c r="J117" s="8" t="str">
        <f t="shared" si="4"/>
        <v>INSERT INTO profesores (id,nivel,carrera,grupo,nombre,materia,sexo,sello) VALUES (1116,'LICENCIATURA','INGENIERIA AEROESPACIAL','AERO 4°A','QUEZADA NAVARRO VICTOR MANUEL','METODOS NUMERICOS','MASCULINO',0);</v>
      </c>
    </row>
    <row r="118" spans="1:10" ht="72.5" x14ac:dyDescent="0.35">
      <c r="A118" s="8">
        <v>1117</v>
      </c>
      <c r="B118" s="9" t="s">
        <v>736</v>
      </c>
      <c r="C118" s="10" t="s">
        <v>925</v>
      </c>
      <c r="D118" s="8" t="s">
        <v>1416</v>
      </c>
      <c r="E118" s="8" t="s">
        <v>653</v>
      </c>
      <c r="F118" s="8" t="s">
        <v>943</v>
      </c>
      <c r="G118" s="8" t="s">
        <v>722</v>
      </c>
      <c r="H118" s="8">
        <v>0</v>
      </c>
      <c r="I118" s="8" t="str">
        <f t="shared" si="3"/>
        <v>1117,'LICENCIATURA','INGENIERIA AEROESPACIAL','AERO 4°A','RODRIGUEZ CABRERA JUAN JOSE','PLANIFICACION Y DISEÑO DE AEROPUERTOS','MASCULINO',0</v>
      </c>
      <c r="J118" s="8" t="str">
        <f t="shared" si="4"/>
        <v>INSERT INTO profesores (id,nivel,carrera,grupo,nombre,materia,sexo,sello) VALUES (1117,'LICENCIATURA','INGENIERIA AEROESPACIAL','AERO 4°A','RODRIGUEZ CABRERA JUAN JOSE','PLANIFICACION Y DISEÑO DE AEROPUERTOS','MASCULINO',0);</v>
      </c>
    </row>
    <row r="119" spans="1:10" ht="72.5" x14ac:dyDescent="0.35">
      <c r="A119" s="8">
        <v>1118</v>
      </c>
      <c r="B119" s="9" t="s">
        <v>736</v>
      </c>
      <c r="C119" s="10" t="s">
        <v>925</v>
      </c>
      <c r="D119" s="8" t="s">
        <v>1416</v>
      </c>
      <c r="E119" s="8" t="s">
        <v>608</v>
      </c>
      <c r="F119" s="8" t="s">
        <v>945</v>
      </c>
      <c r="G119" s="8" t="s">
        <v>722</v>
      </c>
      <c r="H119" s="8">
        <v>0</v>
      </c>
      <c r="I119" s="8" t="str">
        <f t="shared" si="3"/>
        <v>1118,'LICENCIATURA','INGENIERIA AEROESPACIAL','AERO 4°A','SANCHEZ LOPEZ FERNANDO','DISEÑO Y FABRICACION ASISTIDO POR COMPUTADORA','MASCULINO',0</v>
      </c>
      <c r="J119" s="8" t="str">
        <f t="shared" si="4"/>
        <v>INSERT INTO profesores (id,nivel,carrera,grupo,nombre,materia,sexo,sello) VALUES (1118,'LICENCIATURA','INGENIERIA AEROESPACIAL','AERO 4°A','SANCHEZ LOPEZ FERNANDO','DISEÑO Y FABRICACION ASISTIDO POR COMPUTADORA','MASCULINO',0);</v>
      </c>
    </row>
    <row r="120" spans="1:10" ht="72.5" x14ac:dyDescent="0.35">
      <c r="A120" s="8">
        <v>1119</v>
      </c>
      <c r="B120" s="9" t="s">
        <v>736</v>
      </c>
      <c r="C120" s="10" t="s">
        <v>925</v>
      </c>
      <c r="D120" s="8" t="s">
        <v>1416</v>
      </c>
      <c r="E120" s="8" t="s">
        <v>597</v>
      </c>
      <c r="F120" s="8" t="s">
        <v>947</v>
      </c>
      <c r="G120" s="8" t="s">
        <v>722</v>
      </c>
      <c r="H120" s="8">
        <v>0</v>
      </c>
      <c r="I120" s="8" t="str">
        <f t="shared" si="3"/>
        <v>1119,'LICENCIATURA','INGENIERIA AEROESPACIAL','AERO 4°A','SANCHEZ OCAMPO EDUARDO FRANCISCO','MICROCONTROLADORES','MASCULINO',0</v>
      </c>
      <c r="J120" s="8" t="str">
        <f t="shared" si="4"/>
        <v>INSERT INTO profesores (id,nivel,carrera,grupo,nombre,materia,sexo,sello) VALUES (1119,'LICENCIATURA','INGENIERIA AEROESPACIAL','AERO 4°A','SANCHEZ OCAMPO EDUARDO FRANCISCO','MICROCONTROLADORES','MASCULINO',0);</v>
      </c>
    </row>
    <row r="121" spans="1:10" ht="72.5" x14ac:dyDescent="0.35">
      <c r="A121" s="8">
        <v>1120</v>
      </c>
      <c r="B121" s="9" t="s">
        <v>736</v>
      </c>
      <c r="C121" s="10" t="s">
        <v>925</v>
      </c>
      <c r="D121" s="8" t="s">
        <v>1416</v>
      </c>
      <c r="E121" s="8" t="s">
        <v>585</v>
      </c>
      <c r="F121" s="8" t="s">
        <v>949</v>
      </c>
      <c r="G121" s="8" t="s">
        <v>722</v>
      </c>
      <c r="H121" s="8">
        <v>0</v>
      </c>
      <c r="I121" s="8" t="str">
        <f t="shared" si="3"/>
        <v>1120,'LICENCIATURA','INGENIERIA AEROESPACIAL','AERO 4°A','SHINDO  DAISUKE','MECANICA DE FLUIDOS','MASCULINO',0</v>
      </c>
      <c r="J121" s="8" t="str">
        <f t="shared" si="4"/>
        <v>INSERT INTO profesores (id,nivel,carrera,grupo,nombre,materia,sexo,sello) VALUES (1120,'LICENCIATURA','INGENIERIA AEROESPACIAL','AERO 4°A','SHINDO  DAISUKE','MECANICA DE FLUIDOS','MASCULINO',0);</v>
      </c>
    </row>
    <row r="122" spans="1:10" ht="72.5" x14ac:dyDescent="0.35">
      <c r="A122" s="8">
        <v>1121</v>
      </c>
      <c r="B122" s="9" t="s">
        <v>736</v>
      </c>
      <c r="C122" s="10" t="s">
        <v>925</v>
      </c>
      <c r="D122" s="8" t="s">
        <v>1416</v>
      </c>
      <c r="E122" s="8" t="s">
        <v>951</v>
      </c>
      <c r="F122" s="8" t="s">
        <v>950</v>
      </c>
      <c r="G122" s="8" t="s">
        <v>722</v>
      </c>
      <c r="H122" s="8">
        <v>0</v>
      </c>
      <c r="I122" s="8" t="str">
        <f t="shared" si="3"/>
        <v>1121,'LICENCIATURA','INGENIERIA AEROESPACIAL','AERO 4°A','VARGAS CARMONA JORGE ALBERTO','TERMODINAMICA','MASCULINO',0</v>
      </c>
      <c r="J122" s="8" t="str">
        <f t="shared" si="4"/>
        <v>INSERT INTO profesores (id,nivel,carrera,grupo,nombre,materia,sexo,sello) VALUES (1121,'LICENCIATURA','INGENIERIA AEROESPACIAL','AERO 4°A','VARGAS CARMONA JORGE ALBERTO','TERMODINAMICA','MASCULINO',0);</v>
      </c>
    </row>
    <row r="123" spans="1:10" ht="72.5" x14ac:dyDescent="0.35">
      <c r="A123" s="8">
        <v>1122</v>
      </c>
      <c r="B123" s="9" t="s">
        <v>736</v>
      </c>
      <c r="C123" s="10" t="s">
        <v>925</v>
      </c>
      <c r="D123" s="8" t="s">
        <v>1417</v>
      </c>
      <c r="E123" s="8" t="s">
        <v>602</v>
      </c>
      <c r="F123" s="8" t="s">
        <v>938</v>
      </c>
      <c r="G123" s="8" t="s">
        <v>722</v>
      </c>
      <c r="H123" s="8">
        <v>0</v>
      </c>
      <c r="I123" s="8" t="str">
        <f t="shared" si="3"/>
        <v>1122,'LICENCIATURA','INGENIERIA AEROESPACIAL','AERO 4°B','JIMENEZ ANDALON ENRIQUE','NORMATIVA AERONAUTICA I','MASCULINO',0</v>
      </c>
      <c r="J123" s="8" t="str">
        <f t="shared" si="4"/>
        <v>INSERT INTO profesores (id,nivel,carrera,grupo,nombre,materia,sexo,sello) VALUES (1122,'LICENCIATURA','INGENIERIA AEROESPACIAL','AERO 4°B','JIMENEZ ANDALON ENRIQUE','NORMATIVA AERONAUTICA I','MASCULINO',0);</v>
      </c>
    </row>
    <row r="124" spans="1:10" ht="72.5" x14ac:dyDescent="0.35">
      <c r="A124" s="8">
        <v>1123</v>
      </c>
      <c r="B124" s="9" t="s">
        <v>736</v>
      </c>
      <c r="C124" s="10" t="s">
        <v>925</v>
      </c>
      <c r="D124" s="8" t="s">
        <v>1417</v>
      </c>
      <c r="E124" s="8" t="s">
        <v>718</v>
      </c>
      <c r="F124" s="8" t="s">
        <v>941</v>
      </c>
      <c r="G124" s="8" t="s">
        <v>722</v>
      </c>
      <c r="H124" s="8">
        <v>0</v>
      </c>
      <c r="I124" s="8" t="str">
        <f t="shared" si="3"/>
        <v>1123,'LICENCIATURA','INGENIERIA AEROESPACIAL','AERO 4°B','QUEZADA NAVARRO VICTOR MANUEL','METODOS NUMERICOS','MASCULINO',0</v>
      </c>
      <c r="J124" s="8" t="str">
        <f t="shared" si="4"/>
        <v>INSERT INTO profesores (id,nivel,carrera,grupo,nombre,materia,sexo,sello) VALUES (1123,'LICENCIATURA','INGENIERIA AEROESPACIAL','AERO 4°B','QUEZADA NAVARRO VICTOR MANUEL','METODOS NUMERICOS','MASCULINO',0);</v>
      </c>
    </row>
    <row r="125" spans="1:10" ht="72.5" x14ac:dyDescent="0.35">
      <c r="A125" s="8">
        <v>1124</v>
      </c>
      <c r="B125" s="9" t="s">
        <v>736</v>
      </c>
      <c r="C125" s="10" t="s">
        <v>925</v>
      </c>
      <c r="D125" s="8" t="s">
        <v>1417</v>
      </c>
      <c r="E125" s="8" t="s">
        <v>653</v>
      </c>
      <c r="F125" s="8" t="s">
        <v>943</v>
      </c>
      <c r="G125" s="8" t="s">
        <v>722</v>
      </c>
      <c r="H125" s="8">
        <v>0</v>
      </c>
      <c r="I125" s="8" t="str">
        <f t="shared" si="3"/>
        <v>1124,'LICENCIATURA','INGENIERIA AEROESPACIAL','AERO 4°B','RODRIGUEZ CABRERA JUAN JOSE','PLANIFICACION Y DISEÑO DE AEROPUERTOS','MASCULINO',0</v>
      </c>
      <c r="J125" s="8" t="str">
        <f t="shared" si="4"/>
        <v>INSERT INTO profesores (id,nivel,carrera,grupo,nombre,materia,sexo,sello) VALUES (1124,'LICENCIATURA','INGENIERIA AEROESPACIAL','AERO 4°B','RODRIGUEZ CABRERA JUAN JOSE','PLANIFICACION Y DISEÑO DE AEROPUERTOS','MASCULINO',0);</v>
      </c>
    </row>
    <row r="126" spans="1:10" ht="72.5" x14ac:dyDescent="0.35">
      <c r="A126" s="8">
        <v>1125</v>
      </c>
      <c r="B126" s="9" t="s">
        <v>736</v>
      </c>
      <c r="C126" s="10" t="s">
        <v>925</v>
      </c>
      <c r="D126" s="8" t="s">
        <v>1417</v>
      </c>
      <c r="E126" s="8" t="s">
        <v>608</v>
      </c>
      <c r="F126" s="8" t="s">
        <v>945</v>
      </c>
      <c r="G126" s="8" t="s">
        <v>722</v>
      </c>
      <c r="H126" s="8">
        <v>0</v>
      </c>
      <c r="I126" s="8" t="str">
        <f t="shared" si="3"/>
        <v>1125,'LICENCIATURA','INGENIERIA AEROESPACIAL','AERO 4°B','SANCHEZ LOPEZ FERNANDO','DISEÑO Y FABRICACION ASISTIDO POR COMPUTADORA','MASCULINO',0</v>
      </c>
      <c r="J126" s="8" t="str">
        <f t="shared" si="4"/>
        <v>INSERT INTO profesores (id,nivel,carrera,grupo,nombre,materia,sexo,sello) VALUES (1125,'LICENCIATURA','INGENIERIA AEROESPACIAL','AERO 4°B','SANCHEZ LOPEZ FERNANDO','DISEÑO Y FABRICACION ASISTIDO POR COMPUTADORA','MASCULINO',0);</v>
      </c>
    </row>
    <row r="127" spans="1:10" ht="72.5" x14ac:dyDescent="0.35">
      <c r="A127" s="8">
        <v>1126</v>
      </c>
      <c r="B127" s="9" t="s">
        <v>736</v>
      </c>
      <c r="C127" s="10" t="s">
        <v>925</v>
      </c>
      <c r="D127" s="8" t="s">
        <v>1417</v>
      </c>
      <c r="E127" s="8" t="s">
        <v>597</v>
      </c>
      <c r="F127" s="8" t="s">
        <v>947</v>
      </c>
      <c r="G127" s="8" t="s">
        <v>722</v>
      </c>
      <c r="H127" s="8">
        <v>0</v>
      </c>
      <c r="I127" s="8" t="str">
        <f t="shared" si="3"/>
        <v>1126,'LICENCIATURA','INGENIERIA AEROESPACIAL','AERO 4°B','SANCHEZ OCAMPO EDUARDO FRANCISCO','MICROCONTROLADORES','MASCULINO',0</v>
      </c>
      <c r="J127" s="8" t="str">
        <f t="shared" si="4"/>
        <v>INSERT INTO profesores (id,nivel,carrera,grupo,nombre,materia,sexo,sello) VALUES (1126,'LICENCIATURA','INGENIERIA AEROESPACIAL','AERO 4°B','SANCHEZ OCAMPO EDUARDO FRANCISCO','MICROCONTROLADORES','MASCULINO',0);</v>
      </c>
    </row>
    <row r="128" spans="1:10" ht="72.5" x14ac:dyDescent="0.35">
      <c r="A128" s="8">
        <v>1127</v>
      </c>
      <c r="B128" s="9" t="s">
        <v>736</v>
      </c>
      <c r="C128" s="10" t="s">
        <v>925</v>
      </c>
      <c r="D128" s="8" t="s">
        <v>1417</v>
      </c>
      <c r="E128" s="8" t="s">
        <v>585</v>
      </c>
      <c r="F128" s="8" t="s">
        <v>949</v>
      </c>
      <c r="G128" s="8" t="s">
        <v>722</v>
      </c>
      <c r="H128" s="8">
        <v>0</v>
      </c>
      <c r="I128" s="8" t="str">
        <f t="shared" si="3"/>
        <v>1127,'LICENCIATURA','INGENIERIA AEROESPACIAL','AERO 4°B','SHINDO  DAISUKE','MECANICA DE FLUIDOS','MASCULINO',0</v>
      </c>
      <c r="J128" s="8" t="str">
        <f t="shared" si="4"/>
        <v>INSERT INTO profesores (id,nivel,carrera,grupo,nombre,materia,sexo,sello) VALUES (1127,'LICENCIATURA','INGENIERIA AEROESPACIAL','AERO 4°B','SHINDO  DAISUKE','MECANICA DE FLUIDOS','MASCULINO',0);</v>
      </c>
    </row>
    <row r="129" spans="1:10" ht="72.5" x14ac:dyDescent="0.35">
      <c r="A129" s="8">
        <v>1128</v>
      </c>
      <c r="B129" s="9" t="s">
        <v>736</v>
      </c>
      <c r="C129" s="10" t="s">
        <v>925</v>
      </c>
      <c r="D129" s="8" t="s">
        <v>1417</v>
      </c>
      <c r="E129" s="8" t="s">
        <v>951</v>
      </c>
      <c r="F129" s="8" t="s">
        <v>950</v>
      </c>
      <c r="G129" s="8" t="s">
        <v>722</v>
      </c>
      <c r="H129" s="8">
        <v>0</v>
      </c>
      <c r="I129" s="8" t="str">
        <f t="shared" si="3"/>
        <v>1128,'LICENCIATURA','INGENIERIA AEROESPACIAL','AERO 4°B','VARGAS CARMONA JORGE ALBERTO','TERMODINAMICA','MASCULINO',0</v>
      </c>
      <c r="J129" s="8" t="str">
        <f t="shared" si="4"/>
        <v>INSERT INTO profesores (id,nivel,carrera,grupo,nombre,materia,sexo,sello) VALUES (1128,'LICENCIATURA','INGENIERIA AEROESPACIAL','AERO 4°B','VARGAS CARMONA JORGE ALBERTO','TERMODINAMICA','MASCULINO',0);</v>
      </c>
    </row>
    <row r="130" spans="1:10" ht="72.5" x14ac:dyDescent="0.35">
      <c r="A130" s="8">
        <v>1129</v>
      </c>
      <c r="B130" s="9" t="s">
        <v>736</v>
      </c>
      <c r="C130" s="10" t="s">
        <v>925</v>
      </c>
      <c r="D130" s="8" t="s">
        <v>1418</v>
      </c>
      <c r="E130" s="8" t="s">
        <v>596</v>
      </c>
      <c r="F130" s="8" t="s">
        <v>954</v>
      </c>
      <c r="G130" s="8" t="s">
        <v>722</v>
      </c>
      <c r="H130" s="8">
        <v>0</v>
      </c>
      <c r="I130" s="8" t="str">
        <f t="shared" ref="I130:I193" si="5">CONCATENATE(A130,",'",B130,"','",C130,"','",D130,",'",E130,"','",F130,"','",G130,"',",H130)</f>
        <v>1129,'LICENCIATURA','INGENIERIA AEROESPACIAL','AERO 6°','CHAVARRIA RODRIGUEZ EDGARDO','GESTION Y EXPLOTACION DE AEROPUERTOS','MASCULINO',0</v>
      </c>
      <c r="J130" s="8" t="str">
        <f t="shared" si="4"/>
        <v>INSERT INTO profesores (id,nivel,carrera,grupo,nombre,materia,sexo,sello) VALUES (1129,'LICENCIATURA','INGENIERIA AEROESPACIAL','AERO 6°','CHAVARRIA RODRIGUEZ EDGARDO','GESTION Y EXPLOTACION DE AEROPUERTOS','MASCULINO',0);</v>
      </c>
    </row>
    <row r="131" spans="1:10" ht="72.5" x14ac:dyDescent="0.35">
      <c r="A131" s="8">
        <v>1130</v>
      </c>
      <c r="B131" s="9" t="s">
        <v>736</v>
      </c>
      <c r="C131" s="10" t="s">
        <v>925</v>
      </c>
      <c r="D131" s="8" t="s">
        <v>1418</v>
      </c>
      <c r="E131" s="8" t="s">
        <v>670</v>
      </c>
      <c r="F131" s="8" t="s">
        <v>956</v>
      </c>
      <c r="G131" s="8" t="s">
        <v>722</v>
      </c>
      <c r="H131" s="8">
        <v>0</v>
      </c>
      <c r="I131" s="8" t="str">
        <f t="shared" si="5"/>
        <v>1130,'LICENCIATURA','INGENIERIA AEROESPACIAL','AERO 6°','FUENTES HERNANDEZ MARCELINO','SISTEMAS DE AERONAVES I','MASCULINO',0</v>
      </c>
      <c r="J131" s="8" t="str">
        <f t="shared" ref="J131:J194" si="6">CONCATENATE($I$1,I131,");")</f>
        <v>INSERT INTO profesores (id,nivel,carrera,grupo,nombre,materia,sexo,sello) VALUES (1130,'LICENCIATURA','INGENIERIA AEROESPACIAL','AERO 6°','FUENTES HERNANDEZ MARCELINO','SISTEMAS DE AERONAVES I','MASCULINO',0);</v>
      </c>
    </row>
    <row r="132" spans="1:10" ht="72.5" x14ac:dyDescent="0.35">
      <c r="A132" s="8">
        <v>1131</v>
      </c>
      <c r="B132" s="9" t="s">
        <v>736</v>
      </c>
      <c r="C132" s="10" t="s">
        <v>925</v>
      </c>
      <c r="D132" s="8" t="s">
        <v>1418</v>
      </c>
      <c r="E132" s="8" t="s">
        <v>692</v>
      </c>
      <c r="F132" s="8" t="s">
        <v>958</v>
      </c>
      <c r="G132" s="8" t="s">
        <v>721</v>
      </c>
      <c r="H132" s="8">
        <v>0</v>
      </c>
      <c r="I132" s="8" t="str">
        <f t="shared" si="5"/>
        <v>1131,'LICENCIATURA','INGENIERIA AEROESPACIAL','AERO 6°','MEDINA VELAZQUEZ NANCY','TRAFICO AEREO','FEMENINO',0</v>
      </c>
      <c r="J132" s="8" t="str">
        <f t="shared" si="6"/>
        <v>INSERT INTO profesores (id,nivel,carrera,grupo,nombre,materia,sexo,sello) VALUES (1131,'LICENCIATURA','INGENIERIA AEROESPACIAL','AERO 6°','MEDINA VELAZQUEZ NANCY','TRAFICO AEREO','FEMENINO',0);</v>
      </c>
    </row>
    <row r="133" spans="1:10" ht="72.5" x14ac:dyDescent="0.35">
      <c r="A133" s="8">
        <v>1132</v>
      </c>
      <c r="B133" s="9" t="s">
        <v>736</v>
      </c>
      <c r="C133" s="10" t="s">
        <v>925</v>
      </c>
      <c r="D133" s="8" t="s">
        <v>1418</v>
      </c>
      <c r="E133" s="8" t="s">
        <v>652</v>
      </c>
      <c r="F133" s="8" t="s">
        <v>960</v>
      </c>
      <c r="G133" s="8" t="s">
        <v>722</v>
      </c>
      <c r="H133" s="8">
        <v>0</v>
      </c>
      <c r="I133" s="8" t="str">
        <f t="shared" si="5"/>
        <v>1132,'LICENCIATURA','INGENIERIA AEROESPACIAL','AERO 6°','MONTAÑO ALVIZO JUAN CARLOS','SEÑALES Y SISTEMAS DE RADIOFRECUENCIAS','MASCULINO',0</v>
      </c>
      <c r="J133" s="8" t="str">
        <f t="shared" si="6"/>
        <v>INSERT INTO profesores (id,nivel,carrera,grupo,nombre,materia,sexo,sello) VALUES (1132,'LICENCIATURA','INGENIERIA AEROESPACIAL','AERO 6°','MONTAÑO ALVIZO JUAN CARLOS','SEÑALES Y SISTEMAS DE RADIOFRECUENCIAS','MASCULINO',0);</v>
      </c>
    </row>
    <row r="134" spans="1:10" ht="72.5" x14ac:dyDescent="0.35">
      <c r="A134" s="8">
        <v>1133</v>
      </c>
      <c r="B134" s="9" t="s">
        <v>736</v>
      </c>
      <c r="C134" s="10" t="s">
        <v>925</v>
      </c>
      <c r="D134" s="8" t="s">
        <v>1418</v>
      </c>
      <c r="E134" s="8" t="s">
        <v>653</v>
      </c>
      <c r="F134" s="8" t="s">
        <v>962</v>
      </c>
      <c r="G134" s="8" t="s">
        <v>722</v>
      </c>
      <c r="H134" s="8">
        <v>0</v>
      </c>
      <c r="I134" s="8" t="str">
        <f t="shared" si="5"/>
        <v>1133,'LICENCIATURA','INGENIERIA AEROESPACIAL','AERO 6°','RODRIGUEZ CABRERA JUAN JOSE','MOTORES RECIPROCOS Y SUS SISTEMAS','MASCULINO',0</v>
      </c>
      <c r="J134" s="8" t="str">
        <f t="shared" si="6"/>
        <v>INSERT INTO profesores (id,nivel,carrera,grupo,nombre,materia,sexo,sello) VALUES (1133,'LICENCIATURA','INGENIERIA AEROESPACIAL','AERO 6°','RODRIGUEZ CABRERA JUAN JOSE','MOTORES RECIPROCOS Y SUS SISTEMAS','MASCULINO',0);</v>
      </c>
    </row>
    <row r="135" spans="1:10" ht="72.5" x14ac:dyDescent="0.35">
      <c r="A135" s="8">
        <v>1134</v>
      </c>
      <c r="B135" s="9" t="s">
        <v>736</v>
      </c>
      <c r="C135" s="10" t="s">
        <v>925</v>
      </c>
      <c r="D135" s="8" t="s">
        <v>1418</v>
      </c>
      <c r="E135" s="8" t="s">
        <v>702</v>
      </c>
      <c r="F135" s="8" t="s">
        <v>963</v>
      </c>
      <c r="G135" s="8" t="s">
        <v>722</v>
      </c>
      <c r="H135" s="8">
        <v>0</v>
      </c>
      <c r="I135" s="8" t="str">
        <f t="shared" si="5"/>
        <v>1134,'LICENCIATURA','INGENIERIA AEROESPACIAL','AERO 6°','TRUJILLO TORRES RAFAEL','MECANICA DE VUELO','MASCULINO',0</v>
      </c>
      <c r="J135" s="8" t="str">
        <f t="shared" si="6"/>
        <v>INSERT INTO profesores (id,nivel,carrera,grupo,nombre,materia,sexo,sello) VALUES (1134,'LICENCIATURA','INGENIERIA AEROESPACIAL','AERO 6°','TRUJILLO TORRES RAFAEL','MECANICA DE VUELO','MASCULINO',0);</v>
      </c>
    </row>
    <row r="136" spans="1:10" ht="72.5" x14ac:dyDescent="0.35">
      <c r="A136" s="8">
        <v>1135</v>
      </c>
      <c r="B136" s="9" t="s">
        <v>736</v>
      </c>
      <c r="C136" s="10" t="s">
        <v>925</v>
      </c>
      <c r="D136" s="8" t="s">
        <v>1419</v>
      </c>
      <c r="E136" s="8" t="s">
        <v>648</v>
      </c>
      <c r="F136" s="8" t="s">
        <v>965</v>
      </c>
      <c r="G136" s="8" t="s">
        <v>722</v>
      </c>
      <c r="H136" s="8">
        <v>0</v>
      </c>
      <c r="I136" s="8" t="str">
        <f t="shared" si="5"/>
        <v>1135,'LICENCIATURA','INGENIERIA AEROESPACIAL','AERO 8°','GARCIA FLORES JOSE LUIS','AERONAVES DE ALA ROTATIVA','MASCULINO',0</v>
      </c>
      <c r="J136" s="8" t="str">
        <f t="shared" si="6"/>
        <v>INSERT INTO profesores (id,nivel,carrera,grupo,nombre,materia,sexo,sello) VALUES (1135,'LICENCIATURA','INGENIERIA AEROESPACIAL','AERO 8°','GARCIA FLORES JOSE LUIS','AERONAVES DE ALA ROTATIVA','MASCULINO',0);</v>
      </c>
    </row>
    <row r="137" spans="1:10" ht="72.5" x14ac:dyDescent="0.35">
      <c r="A137" s="8">
        <v>1136</v>
      </c>
      <c r="B137" s="9" t="s">
        <v>736</v>
      </c>
      <c r="C137" s="10" t="s">
        <v>925</v>
      </c>
      <c r="D137" s="8" t="s">
        <v>1419</v>
      </c>
      <c r="E137" s="8" t="s">
        <v>640</v>
      </c>
      <c r="F137" s="8" t="s">
        <v>968</v>
      </c>
      <c r="G137" s="8" t="s">
        <v>722</v>
      </c>
      <c r="H137" s="8">
        <v>0</v>
      </c>
      <c r="I137" s="8" t="str">
        <f t="shared" si="5"/>
        <v>1136,'LICENCIATURA','INGENIERIA AEROESPACIAL','AERO 8°','RODRIGUEZ MIRANDA JOSE BENJAMIN','CALCULO DE AVIONES','MASCULINO',0</v>
      </c>
      <c r="J137" s="8" t="str">
        <f t="shared" si="6"/>
        <v>INSERT INTO profesores (id,nivel,carrera,grupo,nombre,materia,sexo,sello) VALUES (1136,'LICENCIATURA','INGENIERIA AEROESPACIAL','AERO 8°','RODRIGUEZ MIRANDA JOSE BENJAMIN','CALCULO DE AVIONES','MASCULINO',0);</v>
      </c>
    </row>
    <row r="138" spans="1:10" ht="72.5" x14ac:dyDescent="0.35">
      <c r="A138" s="8">
        <v>1137</v>
      </c>
      <c r="B138" s="9" t="s">
        <v>736</v>
      </c>
      <c r="C138" s="10" t="s">
        <v>925</v>
      </c>
      <c r="D138" s="8" t="s">
        <v>1419</v>
      </c>
      <c r="E138" s="8" t="s">
        <v>702</v>
      </c>
      <c r="F138" s="8" t="s">
        <v>970</v>
      </c>
      <c r="G138" s="8" t="s">
        <v>722</v>
      </c>
      <c r="H138" s="8">
        <v>0</v>
      </c>
      <c r="I138" s="8" t="str">
        <f t="shared" si="5"/>
        <v>1137,'LICENCIATURA','INGENIERIA AEROESPACIAL','AERO 8°','TRUJILLO TORRES RAFAEL','MECANICA DE VUELO AVANZADA','MASCULINO',0</v>
      </c>
      <c r="J138" s="8" t="str">
        <f t="shared" si="6"/>
        <v>INSERT INTO profesores (id,nivel,carrera,grupo,nombre,materia,sexo,sello) VALUES (1137,'LICENCIATURA','INGENIERIA AEROESPACIAL','AERO 8°','TRUJILLO TORRES RAFAEL','MECANICA DE VUELO AVANZADA','MASCULINO',0);</v>
      </c>
    </row>
    <row r="139" spans="1:10" ht="72.5" x14ac:dyDescent="0.35">
      <c r="A139" s="8">
        <v>1138</v>
      </c>
      <c r="B139" s="9" t="s">
        <v>736</v>
      </c>
      <c r="C139" s="10" t="s">
        <v>925</v>
      </c>
      <c r="D139" s="8" t="s">
        <v>1419</v>
      </c>
      <c r="E139" s="8" t="s">
        <v>578</v>
      </c>
      <c r="F139" s="8" t="s">
        <v>971</v>
      </c>
      <c r="G139" s="8" t="s">
        <v>722</v>
      </c>
      <c r="H139" s="8">
        <v>0</v>
      </c>
      <c r="I139" s="8" t="str">
        <f t="shared" si="5"/>
        <v>1138,'LICENCIATURA','INGENIERIA AEROESPACIAL','AERO 8°','ZARATE  TOMAS CIRO','FABRICACION DE AERONAVES Y SISTEMAS DE GESTION DE CALIDAD','MASCULINO',0</v>
      </c>
      <c r="J139" s="8" t="str">
        <f t="shared" si="6"/>
        <v>INSERT INTO profesores (id,nivel,carrera,grupo,nombre,materia,sexo,sello) VALUES (1138,'LICENCIATURA','INGENIERIA AEROESPACIAL','AERO 8°','ZARATE  TOMAS CIRO','FABRICACION DE AERONAVES Y SISTEMAS DE GESTION DE CALIDAD','MASCULINO',0);</v>
      </c>
    </row>
    <row r="140" spans="1:10" ht="72.5" x14ac:dyDescent="0.35">
      <c r="A140" s="8">
        <v>1139</v>
      </c>
      <c r="B140" s="9" t="s">
        <v>736</v>
      </c>
      <c r="C140" s="10" t="s">
        <v>925</v>
      </c>
      <c r="D140" s="8" t="s">
        <v>1419</v>
      </c>
      <c r="E140" s="8" t="s">
        <v>578</v>
      </c>
      <c r="F140" s="8" t="s">
        <v>973</v>
      </c>
      <c r="G140" s="8" t="s">
        <v>722</v>
      </c>
      <c r="H140" s="8">
        <v>0</v>
      </c>
      <c r="I140" s="8" t="str">
        <f t="shared" si="5"/>
        <v>1139,'LICENCIATURA','INGENIERIA AEROESPACIAL','AERO 8°','ZARATE  TOMAS CIRO','OPERACION DE VEHICULOS ESPACIALES NO TRIPULADOS','MASCULINO',0</v>
      </c>
      <c r="J140" s="8" t="str">
        <f t="shared" si="6"/>
        <v>INSERT INTO profesores (id,nivel,carrera,grupo,nombre,materia,sexo,sello) VALUES (1139,'LICENCIATURA','INGENIERIA AEROESPACIAL','AERO 8°','ZARATE  TOMAS CIRO','OPERACION DE VEHICULOS ESPACIALES NO TRIPULADOS','MASCULINO',0);</v>
      </c>
    </row>
    <row r="141" spans="1:10" ht="72.5" x14ac:dyDescent="0.35">
      <c r="A141" s="8">
        <v>1140</v>
      </c>
      <c r="B141" s="9" t="s">
        <v>736</v>
      </c>
      <c r="C141" s="10" t="s">
        <v>925</v>
      </c>
      <c r="D141" s="8" t="s">
        <v>1420</v>
      </c>
      <c r="E141" s="8" t="s">
        <v>586</v>
      </c>
      <c r="F141" s="8" t="s">
        <v>974</v>
      </c>
      <c r="G141" s="8" t="s">
        <v>722</v>
      </c>
      <c r="H141" s="8">
        <v>0</v>
      </c>
      <c r="I141" s="8" t="str">
        <f t="shared" si="5"/>
        <v>1140,'LICENCIATURA','INGENIERIA AEROESPACIAL','AERO_10°','LARA FAVELA DANIEL','DISEÑO PRELIMINAR DE NAVES ESPACIALES','MASCULINO',0</v>
      </c>
      <c r="J141" s="8" t="str">
        <f t="shared" si="6"/>
        <v>INSERT INTO profesores (id,nivel,carrera,grupo,nombre,materia,sexo,sello) VALUES (1140,'LICENCIATURA','INGENIERIA AEROESPACIAL','AERO_10°','LARA FAVELA DANIEL','DISEÑO PRELIMINAR DE NAVES ESPACIALES','MASCULINO',0);</v>
      </c>
    </row>
    <row r="142" spans="1:10" ht="87" x14ac:dyDescent="0.35">
      <c r="A142" s="8">
        <v>1141</v>
      </c>
      <c r="B142" s="9" t="s">
        <v>736</v>
      </c>
      <c r="C142" s="10" t="s">
        <v>925</v>
      </c>
      <c r="D142" s="8" t="s">
        <v>1420</v>
      </c>
      <c r="E142" s="8" t="s">
        <v>554</v>
      </c>
      <c r="F142" s="8" t="s">
        <v>977</v>
      </c>
      <c r="G142" s="8" t="s">
        <v>722</v>
      </c>
      <c r="H142" s="8">
        <v>0</v>
      </c>
      <c r="I142" s="8" t="str">
        <f t="shared" si="5"/>
        <v>1141,'LICENCIATURA','INGENIERIA AEROESPACIAL','AERO_10°','MENDEZ JIMENEZ ALBERTO','AUTOMATIZACION DE LA FABRICACION','MASCULINO',0</v>
      </c>
      <c r="J142" s="8" t="str">
        <f t="shared" si="6"/>
        <v>INSERT INTO profesores (id,nivel,carrera,grupo,nombre,materia,sexo,sello) VALUES (1141,'LICENCIATURA','INGENIERIA AEROESPACIAL','AERO_10°','MENDEZ JIMENEZ ALBERTO','AUTOMATIZACION DE LA FABRICACION','MASCULINO',0);</v>
      </c>
    </row>
    <row r="143" spans="1:10" ht="87" x14ac:dyDescent="0.35">
      <c r="A143" s="8">
        <v>1142</v>
      </c>
      <c r="B143" s="9" t="s">
        <v>736</v>
      </c>
      <c r="C143" s="10" t="s">
        <v>925</v>
      </c>
      <c r="D143" s="8" t="s">
        <v>1420</v>
      </c>
      <c r="E143" s="8" t="s">
        <v>640</v>
      </c>
      <c r="F143" s="8" t="s">
        <v>979</v>
      </c>
      <c r="G143" s="8" t="s">
        <v>722</v>
      </c>
      <c r="H143" s="8">
        <v>0</v>
      </c>
      <c r="I143" s="8" t="str">
        <f t="shared" si="5"/>
        <v>1142,'LICENCIATURA','INGENIERIA AEROESPACIAL','AERO_10°','RODRIGUEZ MIRANDA JOSE BENJAMIN','TOPICOS DE ACTUALIDAD EN INGENIERIA AEROESPACIAL','MASCULINO',0</v>
      </c>
      <c r="J143" s="8" t="str">
        <f t="shared" si="6"/>
        <v>INSERT INTO profesores (id,nivel,carrera,grupo,nombre,materia,sexo,sello) VALUES (1142,'LICENCIATURA','INGENIERIA AEROESPACIAL','AERO_10°','RODRIGUEZ MIRANDA JOSE BENJAMIN','TOPICOS DE ACTUALIDAD EN INGENIERIA AEROESPACIAL','MASCULINO',0);</v>
      </c>
    </row>
    <row r="144" spans="1:10" ht="72.5" x14ac:dyDescent="0.35">
      <c r="A144" s="8">
        <v>1143</v>
      </c>
      <c r="B144" s="9" t="s">
        <v>736</v>
      </c>
      <c r="C144" s="10" t="s">
        <v>925</v>
      </c>
      <c r="D144" s="8" t="s">
        <v>1420</v>
      </c>
      <c r="E144" s="8" t="s">
        <v>578</v>
      </c>
      <c r="F144" s="8" t="s">
        <v>980</v>
      </c>
      <c r="G144" s="8" t="s">
        <v>722</v>
      </c>
      <c r="H144" s="8">
        <v>0</v>
      </c>
      <c r="I144" s="8" t="str">
        <f t="shared" si="5"/>
        <v>1143,'LICENCIATURA','INGENIERIA AEROESPACIAL','AERO_10°','ZARATE  TOMAS CIRO','ESTRUCTURAS ESPACIALES','MASCULINO',0</v>
      </c>
      <c r="J144" s="8" t="str">
        <f t="shared" si="6"/>
        <v>INSERT INTO profesores (id,nivel,carrera,grupo,nombre,materia,sexo,sello) VALUES (1143,'LICENCIATURA','INGENIERIA AEROESPACIAL','AERO_10°','ZARATE  TOMAS CIRO','ESTRUCTURAS ESPACIALES','MASCULINO',0);</v>
      </c>
    </row>
    <row r="145" spans="1:10" ht="72.5" x14ac:dyDescent="0.35">
      <c r="A145" s="8">
        <v>1144</v>
      </c>
      <c r="B145" s="9" t="s">
        <v>736</v>
      </c>
      <c r="C145" s="10" t="s">
        <v>982</v>
      </c>
      <c r="D145" s="8" t="s">
        <v>1421</v>
      </c>
      <c r="E145" s="8" t="s">
        <v>712</v>
      </c>
      <c r="F145" s="8" t="s">
        <v>981</v>
      </c>
      <c r="G145" s="8" t="s">
        <v>722</v>
      </c>
      <c r="H145" s="8">
        <v>0</v>
      </c>
      <c r="I145" s="8" t="str">
        <f t="shared" si="5"/>
        <v>1144,'LICENCIATURA','INGENIERÍA AUTOMOTRIZ','AUTO 2° A','CARDENAS CASTILLO SANTIAGO','MAQUINAS Y HERRAMIENTAS ','MASCULINO',0</v>
      </c>
      <c r="J145" s="8" t="str">
        <f t="shared" si="6"/>
        <v>INSERT INTO profesores (id,nivel,carrera,grupo,nombre,materia,sexo,sello) VALUES (1144,'LICENCIATURA','INGENIERÍA AUTOMOTRIZ','AUTO 2° A','CARDENAS CASTILLO SANTIAGO','MAQUINAS Y HERRAMIENTAS ','MASCULINO',0);</v>
      </c>
    </row>
    <row r="146" spans="1:10" ht="72.5" x14ac:dyDescent="0.35">
      <c r="A146" s="8">
        <v>1145</v>
      </c>
      <c r="B146" s="9" t="s">
        <v>736</v>
      </c>
      <c r="C146" s="10" t="s">
        <v>982</v>
      </c>
      <c r="D146" s="8" t="s">
        <v>1421</v>
      </c>
      <c r="E146" s="8" t="s">
        <v>698</v>
      </c>
      <c r="F146" s="8" t="s">
        <v>985</v>
      </c>
      <c r="G146" s="8" t="s">
        <v>722</v>
      </c>
      <c r="H146" s="8">
        <v>0</v>
      </c>
      <c r="I146" s="8" t="str">
        <f t="shared" si="5"/>
        <v>1145,'LICENCIATURA','INGENIERÍA AUTOMOTRIZ','AUTO 2° A','IRETA VELAZQUEZ OSVALDO','DIBUJO ASISTIDO POR COMPUTADORA I','MASCULINO',0</v>
      </c>
      <c r="J146" s="8" t="str">
        <f t="shared" si="6"/>
        <v>INSERT INTO profesores (id,nivel,carrera,grupo,nombre,materia,sexo,sello) VALUES (1145,'LICENCIATURA','INGENIERÍA AUTOMOTRIZ','AUTO 2° A','IRETA VELAZQUEZ OSVALDO','DIBUJO ASISTIDO POR COMPUTADORA I','MASCULINO',0);</v>
      </c>
    </row>
    <row r="147" spans="1:10" ht="72.5" x14ac:dyDescent="0.35">
      <c r="A147" s="8">
        <v>1146</v>
      </c>
      <c r="B147" s="9" t="s">
        <v>736</v>
      </c>
      <c r="C147" s="10" t="s">
        <v>982</v>
      </c>
      <c r="D147" s="8" t="s">
        <v>1421</v>
      </c>
      <c r="E147" s="8" t="s">
        <v>636</v>
      </c>
      <c r="F147" s="8" t="s">
        <v>987</v>
      </c>
      <c r="G147" s="8" t="s">
        <v>722</v>
      </c>
      <c r="H147" s="8">
        <v>0</v>
      </c>
      <c r="I147" s="8" t="str">
        <f t="shared" si="5"/>
        <v>1146,'LICENCIATURA','INGENIERÍA AUTOMOTRIZ','AUTO 2° A','MACIAS GARZA JORGE ENRIQUE','CIRCUITOS LOGICOS ','MASCULINO',0</v>
      </c>
      <c r="J147" s="8" t="str">
        <f t="shared" si="6"/>
        <v>INSERT INTO profesores (id,nivel,carrera,grupo,nombre,materia,sexo,sello) VALUES (1146,'LICENCIATURA','INGENIERÍA AUTOMOTRIZ','AUTO 2° A','MACIAS GARZA JORGE ENRIQUE','CIRCUITOS LOGICOS ','MASCULINO',0);</v>
      </c>
    </row>
    <row r="148" spans="1:10" ht="72.5" x14ac:dyDescent="0.35">
      <c r="A148" s="8">
        <v>1147</v>
      </c>
      <c r="B148" s="9" t="s">
        <v>736</v>
      </c>
      <c r="C148" s="10" t="s">
        <v>982</v>
      </c>
      <c r="D148" s="8" t="s">
        <v>1421</v>
      </c>
      <c r="E148" s="8" t="s">
        <v>708</v>
      </c>
      <c r="F148" s="8" t="s">
        <v>989</v>
      </c>
      <c r="G148" s="8" t="s">
        <v>722</v>
      </c>
      <c r="H148" s="8">
        <v>0</v>
      </c>
      <c r="I148" s="8" t="str">
        <f t="shared" si="5"/>
        <v>1147,'LICENCIATURA','INGENIERÍA AUTOMOTRIZ','AUTO 2° A','SALAZAR PEÑA RODOLFO','METROLOGIA','MASCULINO',0</v>
      </c>
      <c r="J148" s="8" t="str">
        <f t="shared" si="6"/>
        <v>INSERT INTO profesores (id,nivel,carrera,grupo,nombre,materia,sexo,sello) VALUES (1147,'LICENCIATURA','INGENIERÍA AUTOMOTRIZ','AUTO 2° A','SALAZAR PEÑA RODOLFO','METROLOGIA','MASCULINO',0);</v>
      </c>
    </row>
    <row r="149" spans="1:10" ht="72.5" x14ac:dyDescent="0.35">
      <c r="A149" s="8">
        <v>1148</v>
      </c>
      <c r="B149" s="9" t="s">
        <v>736</v>
      </c>
      <c r="C149" s="10" t="s">
        <v>982</v>
      </c>
      <c r="D149" s="8" t="s">
        <v>1421</v>
      </c>
      <c r="E149" s="8" t="s">
        <v>600</v>
      </c>
      <c r="F149" s="8" t="s">
        <v>991</v>
      </c>
      <c r="G149" s="8" t="s">
        <v>722</v>
      </c>
      <c r="H149" s="8">
        <v>0</v>
      </c>
      <c r="I149" s="8" t="str">
        <f t="shared" si="5"/>
        <v>1148,'LICENCIATURA','INGENIERÍA AUTOMOTRIZ','AUTO 2° A','SALDIVAR OROZCO EMMANUEL','ALGEBRA LINEAL ','MASCULINO',0</v>
      </c>
      <c r="J149" s="8" t="str">
        <f t="shared" si="6"/>
        <v>INSERT INTO profesores (id,nivel,carrera,grupo,nombre,materia,sexo,sello) VALUES (1148,'LICENCIATURA','INGENIERÍA AUTOMOTRIZ','AUTO 2° A','SALDIVAR OROZCO EMMANUEL','ALGEBRA LINEAL ','MASCULINO',0);</v>
      </c>
    </row>
    <row r="150" spans="1:10" ht="72.5" x14ac:dyDescent="0.35">
      <c r="A150" s="8">
        <v>1149</v>
      </c>
      <c r="B150" s="9" t="s">
        <v>736</v>
      </c>
      <c r="C150" s="10" t="s">
        <v>982</v>
      </c>
      <c r="D150" s="8" t="s">
        <v>1421</v>
      </c>
      <c r="E150" s="8" t="s">
        <v>607</v>
      </c>
      <c r="F150" s="8" t="s">
        <v>993</v>
      </c>
      <c r="G150" s="8" t="s">
        <v>721</v>
      </c>
      <c r="H150" s="8">
        <v>0</v>
      </c>
      <c r="I150" s="8" t="str">
        <f t="shared" si="5"/>
        <v>1149,'LICENCIATURA','INGENIERÍA AUTOMOTRIZ','AUTO 2° A','VELA TORRES FATIMA ALEJANDRA','DINAMICA ','FEMENINO',0</v>
      </c>
      <c r="J150" s="8" t="str">
        <f t="shared" si="6"/>
        <v>INSERT INTO profesores (id,nivel,carrera,grupo,nombre,materia,sexo,sello) VALUES (1149,'LICENCIATURA','INGENIERÍA AUTOMOTRIZ','AUTO 2° A','VELA TORRES FATIMA ALEJANDRA','DINAMICA ','FEMENINO',0);</v>
      </c>
    </row>
    <row r="151" spans="1:10" ht="72.5" x14ac:dyDescent="0.35">
      <c r="A151" s="8">
        <v>1150</v>
      </c>
      <c r="B151" s="9" t="s">
        <v>736</v>
      </c>
      <c r="C151" s="10" t="s">
        <v>982</v>
      </c>
      <c r="D151" s="8" t="s">
        <v>1422</v>
      </c>
      <c r="E151" s="8" t="s">
        <v>712</v>
      </c>
      <c r="F151" s="8" t="s">
        <v>981</v>
      </c>
      <c r="G151" s="8" t="s">
        <v>722</v>
      </c>
      <c r="H151" s="8">
        <v>0</v>
      </c>
      <c r="I151" s="8" t="str">
        <f t="shared" si="5"/>
        <v>1150,'LICENCIATURA','INGENIERÍA AUTOMOTRIZ','AUTO 2° B','CARDENAS CASTILLO SANTIAGO','MAQUINAS Y HERRAMIENTAS ','MASCULINO',0</v>
      </c>
      <c r="J151" s="8" t="str">
        <f t="shared" si="6"/>
        <v>INSERT INTO profesores (id,nivel,carrera,grupo,nombre,materia,sexo,sello) VALUES (1150,'LICENCIATURA','INGENIERÍA AUTOMOTRIZ','AUTO 2° B','CARDENAS CASTILLO SANTIAGO','MAQUINAS Y HERRAMIENTAS ','MASCULINO',0);</v>
      </c>
    </row>
    <row r="152" spans="1:10" ht="72.5" x14ac:dyDescent="0.35">
      <c r="A152" s="8">
        <v>1151</v>
      </c>
      <c r="B152" s="9" t="s">
        <v>736</v>
      </c>
      <c r="C152" s="10" t="s">
        <v>982</v>
      </c>
      <c r="D152" s="8" t="s">
        <v>1422</v>
      </c>
      <c r="E152" s="8" t="s">
        <v>698</v>
      </c>
      <c r="F152" s="8" t="s">
        <v>985</v>
      </c>
      <c r="G152" s="8" t="s">
        <v>722</v>
      </c>
      <c r="H152" s="8">
        <v>0</v>
      </c>
      <c r="I152" s="8" t="str">
        <f t="shared" si="5"/>
        <v>1151,'LICENCIATURA','INGENIERÍA AUTOMOTRIZ','AUTO 2° B','IRETA VELAZQUEZ OSVALDO','DIBUJO ASISTIDO POR COMPUTADORA I','MASCULINO',0</v>
      </c>
      <c r="J152" s="8" t="str">
        <f t="shared" si="6"/>
        <v>INSERT INTO profesores (id,nivel,carrera,grupo,nombre,materia,sexo,sello) VALUES (1151,'LICENCIATURA','INGENIERÍA AUTOMOTRIZ','AUTO 2° B','IRETA VELAZQUEZ OSVALDO','DIBUJO ASISTIDO POR COMPUTADORA I','MASCULINO',0);</v>
      </c>
    </row>
    <row r="153" spans="1:10" ht="72.5" x14ac:dyDescent="0.35">
      <c r="A153" s="8">
        <v>1152</v>
      </c>
      <c r="B153" s="9" t="s">
        <v>736</v>
      </c>
      <c r="C153" s="10" t="s">
        <v>982</v>
      </c>
      <c r="D153" s="8" t="s">
        <v>1422</v>
      </c>
      <c r="E153" s="8" t="s">
        <v>651</v>
      </c>
      <c r="F153" s="8" t="s">
        <v>991</v>
      </c>
      <c r="G153" s="8" t="s">
        <v>722</v>
      </c>
      <c r="H153" s="8">
        <v>0</v>
      </c>
      <c r="I153" s="8" t="str">
        <f t="shared" si="5"/>
        <v>1152,'LICENCIATURA','INGENIERÍA AUTOMOTRIZ','AUTO 2° B','MARTINEZ  ALVARADO JUAN CARLOS','ALGEBRA LINEAL ','MASCULINO',0</v>
      </c>
      <c r="J153" s="8" t="str">
        <f t="shared" si="6"/>
        <v>INSERT INTO profesores (id,nivel,carrera,grupo,nombre,materia,sexo,sello) VALUES (1152,'LICENCIATURA','INGENIERÍA AUTOMOTRIZ','AUTO 2° B','MARTINEZ  ALVARADO JUAN CARLOS','ALGEBRA LINEAL ','MASCULINO',0);</v>
      </c>
    </row>
    <row r="154" spans="1:10" ht="72.5" x14ac:dyDescent="0.35">
      <c r="A154" s="8">
        <v>1153</v>
      </c>
      <c r="B154" s="9" t="s">
        <v>736</v>
      </c>
      <c r="C154" s="10" t="s">
        <v>982</v>
      </c>
      <c r="D154" s="8" t="s">
        <v>1422</v>
      </c>
      <c r="E154" s="8" t="s">
        <v>565</v>
      </c>
      <c r="F154" s="8" t="s">
        <v>987</v>
      </c>
      <c r="G154" s="8" t="s">
        <v>721</v>
      </c>
      <c r="H154" s="8">
        <v>0</v>
      </c>
      <c r="I154" s="8" t="str">
        <f t="shared" si="5"/>
        <v>1153,'LICENCIATURA','INGENIERÍA AUTOMOTRIZ','AUTO 2° B','NUÑEZ VELAZQUEZ ANA MARIA ','CIRCUITOS LOGICOS ','FEMENINO',0</v>
      </c>
      <c r="J154" s="8" t="str">
        <f t="shared" si="6"/>
        <v>INSERT INTO profesores (id,nivel,carrera,grupo,nombre,materia,sexo,sello) VALUES (1153,'LICENCIATURA','INGENIERÍA AUTOMOTRIZ','AUTO 2° B','NUÑEZ VELAZQUEZ ANA MARIA ','CIRCUITOS LOGICOS ','FEMENINO',0);</v>
      </c>
    </row>
    <row r="155" spans="1:10" ht="72.5" x14ac:dyDescent="0.35">
      <c r="A155" s="8">
        <v>1154</v>
      </c>
      <c r="B155" s="9" t="s">
        <v>736</v>
      </c>
      <c r="C155" s="10" t="s">
        <v>982</v>
      </c>
      <c r="D155" s="8" t="s">
        <v>1422</v>
      </c>
      <c r="E155" s="8" t="s">
        <v>708</v>
      </c>
      <c r="F155" s="8" t="s">
        <v>989</v>
      </c>
      <c r="G155" s="8" t="s">
        <v>722</v>
      </c>
      <c r="H155" s="8">
        <v>0</v>
      </c>
      <c r="I155" s="8" t="str">
        <f t="shared" si="5"/>
        <v>1154,'LICENCIATURA','INGENIERÍA AUTOMOTRIZ','AUTO 2° B','SALAZAR PEÑA RODOLFO','METROLOGIA','MASCULINO',0</v>
      </c>
      <c r="J155" s="8" t="str">
        <f t="shared" si="6"/>
        <v>INSERT INTO profesores (id,nivel,carrera,grupo,nombre,materia,sexo,sello) VALUES (1154,'LICENCIATURA','INGENIERÍA AUTOMOTRIZ','AUTO 2° B','SALAZAR PEÑA RODOLFO','METROLOGIA','MASCULINO',0);</v>
      </c>
    </row>
    <row r="156" spans="1:10" ht="72.5" x14ac:dyDescent="0.35">
      <c r="A156" s="8">
        <v>1155</v>
      </c>
      <c r="B156" s="9" t="s">
        <v>736</v>
      </c>
      <c r="C156" s="10" t="s">
        <v>982</v>
      </c>
      <c r="D156" s="8" t="s">
        <v>1422</v>
      </c>
      <c r="E156" s="8" t="s">
        <v>607</v>
      </c>
      <c r="F156" s="8" t="s">
        <v>993</v>
      </c>
      <c r="G156" s="8" t="s">
        <v>721</v>
      </c>
      <c r="H156" s="8">
        <v>0</v>
      </c>
      <c r="I156" s="8" t="str">
        <f t="shared" si="5"/>
        <v>1155,'LICENCIATURA','INGENIERÍA AUTOMOTRIZ','AUTO 2° B','VELA TORRES FATIMA ALEJANDRA','DINAMICA ','FEMENINO',0</v>
      </c>
      <c r="J156" s="8" t="str">
        <f t="shared" si="6"/>
        <v>INSERT INTO profesores (id,nivel,carrera,grupo,nombre,materia,sexo,sello) VALUES (1155,'LICENCIATURA','INGENIERÍA AUTOMOTRIZ','AUTO 2° B','VELA TORRES FATIMA ALEJANDRA','DINAMICA ','FEMENINO',0);</v>
      </c>
    </row>
    <row r="157" spans="1:10" ht="72.5" x14ac:dyDescent="0.35">
      <c r="A157" s="8">
        <v>1156</v>
      </c>
      <c r="B157" s="9" t="s">
        <v>736</v>
      </c>
      <c r="C157" s="10" t="s">
        <v>982</v>
      </c>
      <c r="D157" s="8" t="s">
        <v>1423</v>
      </c>
      <c r="E157" s="8" t="s">
        <v>684</v>
      </c>
      <c r="F157" s="8" t="s">
        <v>997</v>
      </c>
      <c r="G157" s="8" t="s">
        <v>722</v>
      </c>
      <c r="H157" s="8">
        <v>0</v>
      </c>
      <c r="I157" s="8" t="str">
        <f t="shared" si="5"/>
        <v>1156,'LICENCIATURA','INGENIERÍA AUTOMOTRIZ','AUTO 4°','DE ANDA  DEL MURO  MARTIN EDUARDO ','CIENCIA DE LOS MATERIALES ','MASCULINO',0</v>
      </c>
      <c r="J157" s="8" t="str">
        <f t="shared" si="6"/>
        <v>INSERT INTO profesores (id,nivel,carrera,grupo,nombre,materia,sexo,sello) VALUES (1156,'LICENCIATURA','INGENIERÍA AUTOMOTRIZ','AUTO 4°','DE ANDA  DEL MURO  MARTIN EDUARDO ','CIENCIA DE LOS MATERIALES ','MASCULINO',0);</v>
      </c>
    </row>
    <row r="158" spans="1:10" ht="72.5" x14ac:dyDescent="0.35">
      <c r="A158" s="8">
        <v>1157</v>
      </c>
      <c r="B158" s="9" t="s">
        <v>736</v>
      </c>
      <c r="C158" s="10" t="s">
        <v>982</v>
      </c>
      <c r="D158" s="8" t="s">
        <v>1423</v>
      </c>
      <c r="E158" s="8" t="s">
        <v>558</v>
      </c>
      <c r="F158" s="8" t="s">
        <v>1000</v>
      </c>
      <c r="G158" s="8" t="s">
        <v>722</v>
      </c>
      <c r="H158" s="8">
        <v>0</v>
      </c>
      <c r="I158" s="8" t="str">
        <f t="shared" si="5"/>
        <v>1157,'LICENCIATURA','INGENIERÍA AUTOMOTRIZ','AUTO 4°','ESQUIVEL LEAL ALEJANDRO GUADALUPE','DISEÑO DE SISTEMAS DIGITALES ','MASCULINO',0</v>
      </c>
      <c r="J158" s="8" t="str">
        <f t="shared" si="6"/>
        <v>INSERT INTO profesores (id,nivel,carrera,grupo,nombre,materia,sexo,sello) VALUES (1157,'LICENCIATURA','INGENIERÍA AUTOMOTRIZ','AUTO 4°','ESQUIVEL LEAL ALEJANDRO GUADALUPE','DISEÑO DE SISTEMAS DIGITALES ','MASCULINO',0);</v>
      </c>
    </row>
    <row r="159" spans="1:10" ht="72.5" x14ac:dyDescent="0.35">
      <c r="A159" s="8">
        <v>1158</v>
      </c>
      <c r="B159" s="9" t="s">
        <v>736</v>
      </c>
      <c r="C159" s="10" t="s">
        <v>982</v>
      </c>
      <c r="D159" s="8" t="s">
        <v>1423</v>
      </c>
      <c r="E159" s="8" t="s">
        <v>698</v>
      </c>
      <c r="F159" s="8" t="s">
        <v>1002</v>
      </c>
      <c r="G159" s="8" t="s">
        <v>722</v>
      </c>
      <c r="H159" s="8">
        <v>0</v>
      </c>
      <c r="I159" s="8" t="str">
        <f t="shared" si="5"/>
        <v>1158,'LICENCIATURA','INGENIERÍA AUTOMOTRIZ','AUTO 4°','IRETA VELAZQUEZ OSVALDO','DIBUJO ASISTIDO POR COMPUTADORA III','MASCULINO',0</v>
      </c>
      <c r="J159" s="8" t="str">
        <f t="shared" si="6"/>
        <v>INSERT INTO profesores (id,nivel,carrera,grupo,nombre,materia,sexo,sello) VALUES (1158,'LICENCIATURA','INGENIERÍA AUTOMOTRIZ','AUTO 4°','IRETA VELAZQUEZ OSVALDO','DIBUJO ASISTIDO POR COMPUTADORA III','MASCULINO',0);</v>
      </c>
    </row>
    <row r="160" spans="1:10" ht="72.5" x14ac:dyDescent="0.35">
      <c r="A160" s="8">
        <v>1159</v>
      </c>
      <c r="B160" s="9" t="s">
        <v>736</v>
      </c>
      <c r="C160" s="10" t="s">
        <v>982</v>
      </c>
      <c r="D160" s="8" t="s">
        <v>1423</v>
      </c>
      <c r="E160" s="8" t="s">
        <v>651</v>
      </c>
      <c r="F160" s="8" t="s">
        <v>1003</v>
      </c>
      <c r="G160" s="8" t="s">
        <v>722</v>
      </c>
      <c r="H160" s="8">
        <v>0</v>
      </c>
      <c r="I160" s="8" t="str">
        <f t="shared" si="5"/>
        <v>1159,'LICENCIATURA','INGENIERÍA AUTOMOTRIZ','AUTO 4°','MARTINEZ  ALVARADO JUAN CARLOS','ECUACIONES DIFERENCIALES','MASCULINO',0</v>
      </c>
      <c r="J160" s="8" t="str">
        <f t="shared" si="6"/>
        <v>INSERT INTO profesores (id,nivel,carrera,grupo,nombre,materia,sexo,sello) VALUES (1159,'LICENCIATURA','INGENIERÍA AUTOMOTRIZ','AUTO 4°','MARTINEZ  ALVARADO JUAN CARLOS','ECUACIONES DIFERENCIALES','MASCULINO',0);</v>
      </c>
    </row>
    <row r="161" spans="1:10" ht="72.5" x14ac:dyDescent="0.35">
      <c r="A161" s="8">
        <v>1160</v>
      </c>
      <c r="B161" s="9" t="s">
        <v>736</v>
      </c>
      <c r="C161" s="10" t="s">
        <v>982</v>
      </c>
      <c r="D161" s="8" t="s">
        <v>1423</v>
      </c>
      <c r="E161" s="8" t="s">
        <v>649</v>
      </c>
      <c r="F161" s="8" t="s">
        <v>1004</v>
      </c>
      <c r="G161" s="8" t="s">
        <v>722</v>
      </c>
      <c r="H161" s="8">
        <v>0</v>
      </c>
      <c r="I161" s="8" t="str">
        <f t="shared" si="5"/>
        <v>1160,'LICENCIATURA','INGENIERÍA AUTOMOTRIZ','AUTO 4°','PARRA ALDRETE JOSE LUIS','MECANICA VECTORIAL','MASCULINO',0</v>
      </c>
      <c r="J161" s="8" t="str">
        <f t="shared" si="6"/>
        <v>INSERT INTO profesores (id,nivel,carrera,grupo,nombre,materia,sexo,sello) VALUES (1160,'LICENCIATURA','INGENIERÍA AUTOMOTRIZ','AUTO 4°','PARRA ALDRETE JOSE LUIS','MECANICA VECTORIAL','MASCULINO',0);</v>
      </c>
    </row>
    <row r="162" spans="1:10" ht="72.5" x14ac:dyDescent="0.35">
      <c r="A162" s="8">
        <v>1161</v>
      </c>
      <c r="B162" s="9" t="s">
        <v>736</v>
      </c>
      <c r="C162" s="10" t="s">
        <v>982</v>
      </c>
      <c r="D162" s="8" t="s">
        <v>1423</v>
      </c>
      <c r="E162" s="8" t="s">
        <v>576</v>
      </c>
      <c r="F162" s="8" t="s">
        <v>1006</v>
      </c>
      <c r="G162" s="8" t="s">
        <v>722</v>
      </c>
      <c r="H162" s="8">
        <v>0</v>
      </c>
      <c r="I162" s="8" t="str">
        <f t="shared" si="5"/>
        <v>1161,'LICENCIATURA','INGENIERÍA AUTOMOTRIZ','AUTO 4°','ZAPARI ROMERO CESAR FERNANDO','SUSPENSION, DIRECCION Y FRENOS','MASCULINO',0</v>
      </c>
      <c r="J162" s="8" t="str">
        <f t="shared" si="6"/>
        <v>INSERT INTO profesores (id,nivel,carrera,grupo,nombre,materia,sexo,sello) VALUES (1161,'LICENCIATURA','INGENIERÍA AUTOMOTRIZ','AUTO 4°','ZAPARI ROMERO CESAR FERNANDO','SUSPENSION, DIRECCION Y FRENOS','MASCULINO',0);</v>
      </c>
    </row>
    <row r="163" spans="1:10" ht="72.5" x14ac:dyDescent="0.35">
      <c r="A163" s="8">
        <v>1162</v>
      </c>
      <c r="B163" s="9" t="s">
        <v>736</v>
      </c>
      <c r="C163" s="10" t="s">
        <v>982</v>
      </c>
      <c r="D163" s="8" t="s">
        <v>1424</v>
      </c>
      <c r="E163" s="8" t="s">
        <v>644</v>
      </c>
      <c r="F163" s="8" t="s">
        <v>1008</v>
      </c>
      <c r="G163" s="8" t="s">
        <v>722</v>
      </c>
      <c r="H163" s="8">
        <v>0</v>
      </c>
      <c r="I163" s="8" t="str">
        <f t="shared" si="5"/>
        <v>1162,'LICENCIATURA','INGENIERÍA AUTOMOTRIZ','AUTO 6°','DELGADILLO BOCANEGRA JOSE DE JESUS','ELECTRONICA DE POTENCIA ','MASCULINO',0</v>
      </c>
      <c r="J163" s="8" t="str">
        <f t="shared" si="6"/>
        <v>INSERT INTO profesores (id,nivel,carrera,grupo,nombre,materia,sexo,sello) VALUES (1162,'LICENCIATURA','INGENIERÍA AUTOMOTRIZ','AUTO 6°','DELGADILLO BOCANEGRA JOSE DE JESUS','ELECTRONICA DE POTENCIA ','MASCULINO',0);</v>
      </c>
    </row>
    <row r="164" spans="1:10" ht="72.5" x14ac:dyDescent="0.35">
      <c r="A164" s="8">
        <v>1163</v>
      </c>
      <c r="B164" s="9" t="s">
        <v>736</v>
      </c>
      <c r="C164" s="10" t="s">
        <v>982</v>
      </c>
      <c r="D164" s="8" t="s">
        <v>1424</v>
      </c>
      <c r="E164" s="8" t="s">
        <v>580</v>
      </c>
      <c r="F164" s="8" t="s">
        <v>1011</v>
      </c>
      <c r="G164" s="8" t="s">
        <v>721</v>
      </c>
      <c r="H164" s="8">
        <v>0</v>
      </c>
      <c r="I164" s="8" t="str">
        <f t="shared" si="5"/>
        <v>1163,'LICENCIATURA','INGENIERÍA AUTOMOTRIZ','AUTO 6°','OCHOA FLORES CLAUDIA ELIZABETH','COMPUTO AUTOMOTRIZ ','FEMENINO',0</v>
      </c>
      <c r="J164" s="8" t="str">
        <f t="shared" si="6"/>
        <v>INSERT INTO profesores (id,nivel,carrera,grupo,nombre,materia,sexo,sello) VALUES (1163,'LICENCIATURA','INGENIERÍA AUTOMOTRIZ','AUTO 6°','OCHOA FLORES CLAUDIA ELIZABETH','COMPUTO AUTOMOTRIZ ','FEMENINO',0);</v>
      </c>
    </row>
    <row r="165" spans="1:10" ht="72.5" x14ac:dyDescent="0.35">
      <c r="A165" s="8">
        <v>1164</v>
      </c>
      <c r="B165" s="9" t="s">
        <v>736</v>
      </c>
      <c r="C165" s="10" t="s">
        <v>982</v>
      </c>
      <c r="D165" s="8" t="s">
        <v>1424</v>
      </c>
      <c r="E165" s="8" t="s">
        <v>649</v>
      </c>
      <c r="F165" s="8" t="s">
        <v>1013</v>
      </c>
      <c r="G165" s="8" t="s">
        <v>722</v>
      </c>
      <c r="H165" s="8">
        <v>0</v>
      </c>
      <c r="I165" s="8" t="str">
        <f t="shared" si="5"/>
        <v>1164,'LICENCIATURA','INGENIERÍA AUTOMOTRIZ','AUTO 6°','PARRA ALDRETE JOSE LUIS','TERMODINAMICA Y TRANSFERENCIA DE CALOR ','MASCULINO',0</v>
      </c>
      <c r="J165" s="8" t="str">
        <f t="shared" si="6"/>
        <v>INSERT INTO profesores (id,nivel,carrera,grupo,nombre,materia,sexo,sello) VALUES (1164,'LICENCIATURA','INGENIERÍA AUTOMOTRIZ','AUTO 6°','PARRA ALDRETE JOSE LUIS','TERMODINAMICA Y TRANSFERENCIA DE CALOR ','MASCULINO',0);</v>
      </c>
    </row>
    <row r="166" spans="1:10" ht="72.5" x14ac:dyDescent="0.35">
      <c r="A166" s="8">
        <v>1165</v>
      </c>
      <c r="B166" s="9" t="s">
        <v>736</v>
      </c>
      <c r="C166" s="10" t="s">
        <v>982</v>
      </c>
      <c r="D166" s="8" t="s">
        <v>1424</v>
      </c>
      <c r="E166" s="8" t="s">
        <v>718</v>
      </c>
      <c r="F166" s="8" t="s">
        <v>1014</v>
      </c>
      <c r="G166" s="8" t="s">
        <v>722</v>
      </c>
      <c r="H166" s="8">
        <v>0</v>
      </c>
      <c r="I166" s="8" t="str">
        <f t="shared" si="5"/>
        <v>1165,'LICENCIATURA','INGENIERÍA AUTOMOTRIZ','AUTO 6°','QUEZADA NAVARRO VICTOR MANUEL','VIBRACIONES ','MASCULINO',0</v>
      </c>
      <c r="J166" s="8" t="str">
        <f t="shared" si="6"/>
        <v>INSERT INTO profesores (id,nivel,carrera,grupo,nombre,materia,sexo,sello) VALUES (1165,'LICENCIATURA','INGENIERÍA AUTOMOTRIZ','AUTO 6°','QUEZADA NAVARRO VICTOR MANUEL','VIBRACIONES ','MASCULINO',0);</v>
      </c>
    </row>
    <row r="167" spans="1:10" ht="72.5" x14ac:dyDescent="0.35">
      <c r="A167" s="8">
        <v>1166</v>
      </c>
      <c r="B167" s="9" t="s">
        <v>736</v>
      </c>
      <c r="C167" s="10" t="s">
        <v>982</v>
      </c>
      <c r="D167" s="8" t="s">
        <v>1424</v>
      </c>
      <c r="E167" s="8" t="s">
        <v>716</v>
      </c>
      <c r="F167" s="8" t="s">
        <v>1015</v>
      </c>
      <c r="G167" s="8" t="s">
        <v>722</v>
      </c>
      <c r="H167" s="8">
        <v>0</v>
      </c>
      <c r="I167" s="8" t="str">
        <f t="shared" si="5"/>
        <v>1166,'LICENCIATURA','INGENIERÍA AUTOMOTRIZ','AUTO 6°','RODRIGUEZ ZAMORA URIEL','MECANICA DE SOLIDOS ','MASCULINO',0</v>
      </c>
      <c r="J167" s="8" t="str">
        <f t="shared" si="6"/>
        <v>INSERT INTO profesores (id,nivel,carrera,grupo,nombre,materia,sexo,sello) VALUES (1166,'LICENCIATURA','INGENIERÍA AUTOMOTRIZ','AUTO 6°','RODRIGUEZ ZAMORA URIEL','MECANICA DE SOLIDOS ','MASCULINO',0);</v>
      </c>
    </row>
    <row r="168" spans="1:10" ht="72.5" x14ac:dyDescent="0.35">
      <c r="A168" s="8">
        <v>1167</v>
      </c>
      <c r="B168" s="9" t="s">
        <v>736</v>
      </c>
      <c r="C168" s="10" t="s">
        <v>982</v>
      </c>
      <c r="D168" s="8" t="s">
        <v>1424</v>
      </c>
      <c r="E168" s="8" t="s">
        <v>578</v>
      </c>
      <c r="F168" s="8" t="s">
        <v>1017</v>
      </c>
      <c r="G168" s="8" t="s">
        <v>722</v>
      </c>
      <c r="H168" s="8">
        <v>0</v>
      </c>
      <c r="I168" s="8" t="str">
        <f t="shared" si="5"/>
        <v>1167,'LICENCIATURA','INGENIERÍA AUTOMOTRIZ','AUTO 6°','ZARATE  TOMAS CIRO','AERODINÁMICA AUTOMOTRIZ','MASCULINO',0</v>
      </c>
      <c r="J168" s="8" t="str">
        <f t="shared" si="6"/>
        <v>INSERT INTO profesores (id,nivel,carrera,grupo,nombre,materia,sexo,sello) VALUES (1167,'LICENCIATURA','INGENIERÍA AUTOMOTRIZ','AUTO 6°','ZARATE  TOMAS CIRO','AERODINÁMICA AUTOMOTRIZ','MASCULINO',0);</v>
      </c>
    </row>
    <row r="169" spans="1:10" ht="72.5" x14ac:dyDescent="0.35">
      <c r="A169" s="8">
        <v>1168</v>
      </c>
      <c r="B169" s="9" t="s">
        <v>736</v>
      </c>
      <c r="C169" s="10" t="s">
        <v>1019</v>
      </c>
      <c r="D169" s="8" t="s">
        <v>1425</v>
      </c>
      <c r="E169" s="8" t="s">
        <v>710</v>
      </c>
      <c r="F169" s="8" t="s">
        <v>1018</v>
      </c>
      <c r="G169" s="8" t="s">
        <v>722</v>
      </c>
      <c r="H169" s="8">
        <v>0</v>
      </c>
      <c r="I169" s="8" t="str">
        <f t="shared" si="5"/>
        <v>1168,'LICENCIATURA','INGENIERIA CIBERNETICA Y EN SISTEMAS COMPUTACIONALES','CIB 6°','AVALOS MEDINA SALVADOR','ROBOTICA','MASCULINO',0</v>
      </c>
      <c r="J169" s="8" t="str">
        <f t="shared" si="6"/>
        <v>INSERT INTO profesores (id,nivel,carrera,grupo,nombre,materia,sexo,sello) VALUES (1168,'LICENCIATURA','INGENIERIA CIBERNETICA Y EN SISTEMAS COMPUTACIONALES','CIB 6°','AVALOS MEDINA SALVADOR','ROBOTICA','MASCULINO',0);</v>
      </c>
    </row>
    <row r="170" spans="1:10" ht="87" x14ac:dyDescent="0.35">
      <c r="A170" s="8">
        <v>1169</v>
      </c>
      <c r="B170" s="9" t="s">
        <v>736</v>
      </c>
      <c r="C170" s="10" t="s">
        <v>1019</v>
      </c>
      <c r="D170" s="8" t="s">
        <v>1425</v>
      </c>
      <c r="E170" s="8" t="s">
        <v>580</v>
      </c>
      <c r="F170" s="8" t="s">
        <v>1022</v>
      </c>
      <c r="G170" s="8" t="s">
        <v>721</v>
      </c>
      <c r="H170" s="8">
        <v>0</v>
      </c>
      <c r="I170" s="8" t="str">
        <f t="shared" si="5"/>
        <v>1169,'LICENCIATURA','INGENIERIA CIBERNETICA Y EN SISTEMAS COMPUTACIONALES','CIB 6°','OCHOA FLORES CLAUDIA ELIZABETH','METRICAS DE SOFTWARE Y PRUEBAS UNITARIAS','FEMENINO',0</v>
      </c>
      <c r="J170" s="8" t="str">
        <f t="shared" si="6"/>
        <v>INSERT INTO profesores (id,nivel,carrera,grupo,nombre,materia,sexo,sello) VALUES (1169,'LICENCIATURA','INGENIERIA CIBERNETICA Y EN SISTEMAS COMPUTACIONALES','CIB 6°','OCHOA FLORES CLAUDIA ELIZABETH','METRICAS DE SOFTWARE Y PRUEBAS UNITARIAS','FEMENINO',0);</v>
      </c>
    </row>
    <row r="171" spans="1:10" ht="87" x14ac:dyDescent="0.35">
      <c r="A171" s="8">
        <v>1170</v>
      </c>
      <c r="B171" s="9" t="s">
        <v>736</v>
      </c>
      <c r="C171" s="10" t="s">
        <v>1019</v>
      </c>
      <c r="D171" s="8" t="s">
        <v>1425</v>
      </c>
      <c r="E171" s="8" t="s">
        <v>649</v>
      </c>
      <c r="F171" s="8" t="s">
        <v>1023</v>
      </c>
      <c r="G171" s="8" t="s">
        <v>722</v>
      </c>
      <c r="H171" s="8">
        <v>0</v>
      </c>
      <c r="I171" s="8" t="str">
        <f t="shared" si="5"/>
        <v>1170,'LICENCIATURA','INGENIERIA CIBERNETICA Y EN SISTEMAS COMPUTACIONALES','CIB 6°','PARRA ALDRETE JOSE LUIS','TEORIA DE AUTOMATAS Y LENGUAJES FORMALES','MASCULINO',0</v>
      </c>
      <c r="J171" s="8" t="str">
        <f t="shared" si="6"/>
        <v>INSERT INTO profesores (id,nivel,carrera,grupo,nombre,materia,sexo,sello) VALUES (1170,'LICENCIATURA','INGENIERIA CIBERNETICA Y EN SISTEMAS COMPUTACIONALES','CIB 6°','PARRA ALDRETE JOSE LUIS','TEORIA DE AUTOMATAS Y LENGUAJES FORMALES','MASCULINO',0);</v>
      </c>
    </row>
    <row r="172" spans="1:10" ht="72.5" x14ac:dyDescent="0.35">
      <c r="A172" s="8">
        <v>1171</v>
      </c>
      <c r="B172" s="9" t="s">
        <v>736</v>
      </c>
      <c r="C172" s="10" t="s">
        <v>1019</v>
      </c>
      <c r="D172" s="8" t="s">
        <v>1425</v>
      </c>
      <c r="E172" s="8" t="s">
        <v>618</v>
      </c>
      <c r="F172" s="8" t="s">
        <v>1024</v>
      </c>
      <c r="G172" s="8" t="s">
        <v>722</v>
      </c>
      <c r="H172" s="8">
        <v>0</v>
      </c>
      <c r="I172" s="8" t="str">
        <f t="shared" si="5"/>
        <v>1171,'LICENCIATURA','INGENIERIA CIBERNETICA Y EN SISTEMAS COMPUTACIONALES','CIB 6°','RODRIGUEZ AVILA HECTOR','SISTEMAS EMBEBIDOS','MASCULINO',0</v>
      </c>
      <c r="J172" s="8" t="str">
        <f t="shared" si="6"/>
        <v>INSERT INTO profesores (id,nivel,carrera,grupo,nombre,materia,sexo,sello) VALUES (1171,'LICENCIATURA','INGENIERIA CIBERNETICA Y EN SISTEMAS COMPUTACIONALES','CIB 6°','RODRIGUEZ AVILA HECTOR','SISTEMAS EMBEBIDOS','MASCULINO',0);</v>
      </c>
    </row>
    <row r="173" spans="1:10" ht="87" x14ac:dyDescent="0.35">
      <c r="A173" s="8">
        <v>1172</v>
      </c>
      <c r="B173" s="9" t="s">
        <v>736</v>
      </c>
      <c r="C173" s="10" t="s">
        <v>1019</v>
      </c>
      <c r="D173" s="8" t="s">
        <v>1425</v>
      </c>
      <c r="E173" s="8" t="s">
        <v>607</v>
      </c>
      <c r="F173" s="8" t="s">
        <v>1026</v>
      </c>
      <c r="G173" s="8" t="s">
        <v>721</v>
      </c>
      <c r="H173" s="8">
        <v>0</v>
      </c>
      <c r="I173" s="8" t="str">
        <f t="shared" si="5"/>
        <v>1172,'LICENCIATURA','INGENIERIA CIBERNETICA Y EN SISTEMAS COMPUTACIONALES','CIB 6°','VELA TORRES FATIMA ALEJANDRA','BASE DE DATOS NO RELACIONALES','FEMENINO',0</v>
      </c>
      <c r="J173" s="8" t="str">
        <f t="shared" si="6"/>
        <v>INSERT INTO profesores (id,nivel,carrera,grupo,nombre,materia,sexo,sello) VALUES (1172,'LICENCIATURA','INGENIERIA CIBERNETICA Y EN SISTEMAS COMPUTACIONALES','CIB 6°','VELA TORRES FATIMA ALEJANDRA','BASE DE DATOS NO RELACIONALES','FEMENINO',0);</v>
      </c>
    </row>
    <row r="174" spans="1:10" ht="87" x14ac:dyDescent="0.35">
      <c r="A174" s="8">
        <v>1173</v>
      </c>
      <c r="B174" s="9" t="s">
        <v>736</v>
      </c>
      <c r="C174" s="10" t="s">
        <v>1019</v>
      </c>
      <c r="D174" s="8" t="s">
        <v>1426</v>
      </c>
      <c r="E174" s="8" t="s">
        <v>706</v>
      </c>
      <c r="F174" s="8" t="s">
        <v>1027</v>
      </c>
      <c r="G174" s="8" t="s">
        <v>722</v>
      </c>
      <c r="H174" s="8">
        <v>0</v>
      </c>
      <c r="I174" s="8" t="str">
        <f t="shared" si="5"/>
        <v>1173,'LICENCIATURA','INGENIERIA CIBERNETICA Y EN SISTEMAS COMPUTACIONALES','CIB 8°','BAEZA MONTIEL RICARDO IGNACIO','SEGURIDAD Y AUDITORIA INFORMATICA','MASCULINO',0</v>
      </c>
      <c r="J174" s="8" t="str">
        <f t="shared" si="6"/>
        <v>INSERT INTO profesores (id,nivel,carrera,grupo,nombre,materia,sexo,sello) VALUES (1173,'LICENCIATURA','INGENIERIA CIBERNETICA Y EN SISTEMAS COMPUTACIONALES','CIB 8°','BAEZA MONTIEL RICARDO IGNACIO','SEGURIDAD Y AUDITORIA INFORMATICA','MASCULINO',0);</v>
      </c>
    </row>
    <row r="175" spans="1:10" ht="87" x14ac:dyDescent="0.35">
      <c r="A175" s="8">
        <v>1174</v>
      </c>
      <c r="B175" s="9" t="s">
        <v>736</v>
      </c>
      <c r="C175" s="10" t="s">
        <v>1019</v>
      </c>
      <c r="D175" s="8" t="s">
        <v>1426</v>
      </c>
      <c r="E175" s="8" t="s">
        <v>681</v>
      </c>
      <c r="F175" s="8" t="s">
        <v>1029</v>
      </c>
      <c r="G175" s="8" t="s">
        <v>722</v>
      </c>
      <c r="H175" s="8">
        <v>0</v>
      </c>
      <c r="I175" s="8" t="str">
        <f t="shared" si="5"/>
        <v>1174,'LICENCIATURA','INGENIERIA CIBERNETICA Y EN SISTEMAS COMPUTACIONALES','CIB 8°','GARCIA HERNANDEZ  MARTIN','REDES NEURONALES ARTIFICIALES','MASCULINO',0</v>
      </c>
      <c r="J175" s="8" t="str">
        <f t="shared" si="6"/>
        <v>INSERT INTO profesores (id,nivel,carrera,grupo,nombre,materia,sexo,sello) VALUES (1174,'LICENCIATURA','INGENIERIA CIBERNETICA Y EN SISTEMAS COMPUTACIONALES','CIB 8°','GARCIA HERNANDEZ  MARTIN','REDES NEURONALES ARTIFICIALES','MASCULINO',0);</v>
      </c>
    </row>
    <row r="176" spans="1:10" ht="72.5" x14ac:dyDescent="0.35">
      <c r="A176" s="8">
        <v>1175</v>
      </c>
      <c r="B176" s="9" t="s">
        <v>736</v>
      </c>
      <c r="C176" s="10" t="s">
        <v>1019</v>
      </c>
      <c r="D176" s="8" t="s">
        <v>1426</v>
      </c>
      <c r="E176" s="8" t="s">
        <v>617</v>
      </c>
      <c r="F176" s="8" t="s">
        <v>1031</v>
      </c>
      <c r="G176" s="8" t="s">
        <v>721</v>
      </c>
      <c r="H176" s="8">
        <v>0</v>
      </c>
      <c r="I176" s="8" t="str">
        <f t="shared" si="5"/>
        <v>1175,'LICENCIATURA','INGENIERIA CIBERNETICA Y EN SISTEMAS COMPUTACIONALES','CIB 8°','MADRIGAL RODRIGUEZ GRISELDA','COMPILADORES','FEMENINO',0</v>
      </c>
      <c r="J176" s="8" t="str">
        <f t="shared" si="6"/>
        <v>INSERT INTO profesores (id,nivel,carrera,grupo,nombre,materia,sexo,sello) VALUES (1175,'LICENCIATURA','INGENIERIA CIBERNETICA Y EN SISTEMAS COMPUTACIONALES','CIB 8°','MADRIGAL RODRIGUEZ GRISELDA','COMPILADORES','FEMENINO',0);</v>
      </c>
    </row>
    <row r="177" spans="1:10" ht="87" x14ac:dyDescent="0.35">
      <c r="A177" s="8">
        <v>1176</v>
      </c>
      <c r="B177" s="9" t="s">
        <v>736</v>
      </c>
      <c r="C177" s="10" t="s">
        <v>1019</v>
      </c>
      <c r="D177" s="8" t="s">
        <v>1426</v>
      </c>
      <c r="E177" s="8" t="s">
        <v>638</v>
      </c>
      <c r="F177" s="8" t="s">
        <v>1033</v>
      </c>
      <c r="G177" s="8" t="s">
        <v>722</v>
      </c>
      <c r="H177" s="8">
        <v>0</v>
      </c>
      <c r="I177" s="8" t="str">
        <f t="shared" si="5"/>
        <v>1176,'LICENCIATURA','INGENIERIA CIBERNETICA Y EN SISTEMAS COMPUTACIONALES','CIB 8°','MORENO QUEZADA JOSE ALBERTO','MINERIA DE DATOS','MASCULINO',0</v>
      </c>
      <c r="J177" s="8" t="str">
        <f t="shared" si="6"/>
        <v>INSERT INTO profesores (id,nivel,carrera,grupo,nombre,materia,sexo,sello) VALUES (1176,'LICENCIATURA','INGENIERIA CIBERNETICA Y EN SISTEMAS COMPUTACIONALES','CIB 8°','MORENO QUEZADA JOSE ALBERTO','MINERIA DE DATOS','MASCULINO',0);</v>
      </c>
    </row>
    <row r="178" spans="1:10" ht="87" x14ac:dyDescent="0.35">
      <c r="A178" s="8">
        <v>1177</v>
      </c>
      <c r="B178" s="9" t="s">
        <v>736</v>
      </c>
      <c r="C178" s="10" t="s">
        <v>1019</v>
      </c>
      <c r="D178" s="8" t="s">
        <v>1426</v>
      </c>
      <c r="E178" s="8" t="s">
        <v>685</v>
      </c>
      <c r="F178" s="8" t="s">
        <v>1035</v>
      </c>
      <c r="G178" s="8" t="s">
        <v>722</v>
      </c>
      <c r="H178" s="8">
        <v>0</v>
      </c>
      <c r="I178" s="8" t="str">
        <f t="shared" si="5"/>
        <v>1177,'LICENCIATURA','INGENIERIA CIBERNETICA Y EN SISTEMAS COMPUTACIONALES','CIB 8°','RODRIGUEZ ROBLES MARTIN ONESIMO','COMPLEJIDAD DE ALGORITMOS','MASCULINO',0</v>
      </c>
      <c r="J178" s="8" t="str">
        <f t="shared" si="6"/>
        <v>INSERT INTO profesores (id,nivel,carrera,grupo,nombre,materia,sexo,sello) VALUES (1177,'LICENCIATURA','INGENIERIA CIBERNETICA Y EN SISTEMAS COMPUTACIONALES','CIB 8°','RODRIGUEZ ROBLES MARTIN ONESIMO','COMPLEJIDAD DE ALGORITMOS','MASCULINO',0);</v>
      </c>
    </row>
    <row r="179" spans="1:10" ht="87" x14ac:dyDescent="0.35">
      <c r="A179" s="8">
        <v>1178</v>
      </c>
      <c r="B179" s="9" t="s">
        <v>736</v>
      </c>
      <c r="C179" s="10" t="s">
        <v>1038</v>
      </c>
      <c r="D179" s="8" t="s">
        <v>1427</v>
      </c>
      <c r="E179" s="8" t="s">
        <v>654</v>
      </c>
      <c r="F179" s="8" t="s">
        <v>1037</v>
      </c>
      <c r="G179" s="8" t="s">
        <v>721</v>
      </c>
      <c r="H179" s="8">
        <v>0</v>
      </c>
      <c r="I179" s="8" t="str">
        <f t="shared" si="5"/>
        <v>1178,'LICENCIATURA','INGENIERÍA EN INTELIGENCIA ARTIFICIAL','IA 2°','DE ALBA GONZALEZ JULIETA','PROBABILIDAD Y ESTADISTICA APLICADA ','FEMENINO',0</v>
      </c>
      <c r="J179" s="8" t="str">
        <f t="shared" si="6"/>
        <v>INSERT INTO profesores (id,nivel,carrera,grupo,nombre,materia,sexo,sello) VALUES (1178,'LICENCIATURA','INGENIERÍA EN INTELIGENCIA ARTIFICIAL','IA 2°','DE ALBA GONZALEZ JULIETA','PROBABILIDAD Y ESTADISTICA APLICADA ','FEMENINO',0);</v>
      </c>
    </row>
    <row r="180" spans="1:10" ht="87" x14ac:dyDescent="0.35">
      <c r="A180" s="8">
        <v>1179</v>
      </c>
      <c r="B180" s="9" t="s">
        <v>736</v>
      </c>
      <c r="C180" s="10" t="s">
        <v>1038</v>
      </c>
      <c r="D180" s="8" t="s">
        <v>1427</v>
      </c>
      <c r="E180" s="8" t="s">
        <v>684</v>
      </c>
      <c r="F180" s="8" t="s">
        <v>1040</v>
      </c>
      <c r="G180" s="8" t="s">
        <v>722</v>
      </c>
      <c r="H180" s="8">
        <v>0</v>
      </c>
      <c r="I180" s="8" t="str">
        <f t="shared" si="5"/>
        <v>1179,'LICENCIATURA','INGENIERÍA EN INTELIGENCIA ARTIFICIAL','IA 2°','DE ANDA  DEL MURO  MARTIN EDUARDO ','REPRESENTACION DEL CONOCIMIENTO ','MASCULINO',0</v>
      </c>
      <c r="J180" s="8" t="str">
        <f t="shared" si="6"/>
        <v>INSERT INTO profesores (id,nivel,carrera,grupo,nombre,materia,sexo,sello) VALUES (1179,'LICENCIATURA','INGENIERÍA EN INTELIGENCIA ARTIFICIAL','IA 2°','DE ANDA  DEL MURO  MARTIN EDUARDO ','REPRESENTACION DEL CONOCIMIENTO ','MASCULINO',0);</v>
      </c>
    </row>
    <row r="181" spans="1:10" ht="72.5" x14ac:dyDescent="0.35">
      <c r="A181" s="8">
        <v>1180</v>
      </c>
      <c r="B181" s="9" t="s">
        <v>736</v>
      </c>
      <c r="C181" s="10" t="s">
        <v>1038</v>
      </c>
      <c r="D181" s="8" t="s">
        <v>1427</v>
      </c>
      <c r="E181" s="8" t="s">
        <v>558</v>
      </c>
      <c r="F181" s="8" t="s">
        <v>1041</v>
      </c>
      <c r="G181" s="8" t="s">
        <v>722</v>
      </c>
      <c r="H181" s="8">
        <v>0</v>
      </c>
      <c r="I181" s="8" t="str">
        <f t="shared" si="5"/>
        <v>1180,'LICENCIATURA','INGENIERÍA EN INTELIGENCIA ARTIFICIAL','IA 2°','ESQUIVEL LEAL ALEJANDRO GUADALUPE','ELECTRÓNICA ','MASCULINO',0</v>
      </c>
      <c r="J181" s="8" t="str">
        <f t="shared" si="6"/>
        <v>INSERT INTO profesores (id,nivel,carrera,grupo,nombre,materia,sexo,sello) VALUES (1180,'LICENCIATURA','INGENIERÍA EN INTELIGENCIA ARTIFICIAL','IA 2°','ESQUIVEL LEAL ALEJANDRO GUADALUPE','ELECTRÓNICA ','MASCULINO',0);</v>
      </c>
    </row>
    <row r="182" spans="1:10" ht="72.5" x14ac:dyDescent="0.35">
      <c r="A182" s="8">
        <v>1181</v>
      </c>
      <c r="B182" s="9" t="s">
        <v>736</v>
      </c>
      <c r="C182" s="10" t="s">
        <v>1038</v>
      </c>
      <c r="D182" s="8" t="s">
        <v>1427</v>
      </c>
      <c r="E182" s="8" t="s">
        <v>677</v>
      </c>
      <c r="F182" s="8" t="s">
        <v>1042</v>
      </c>
      <c r="G182" s="8" t="s">
        <v>721</v>
      </c>
      <c r="H182" s="8">
        <v>0</v>
      </c>
      <c r="I182" s="8" t="str">
        <f t="shared" si="5"/>
        <v>1181,'LICENCIATURA','INGENIERÍA EN INTELIGENCIA ARTIFICIAL','IA 2°','GARCIA  SANCHEZ  MARIA LUISA ','SISTEMAS OPERATIVOS ','FEMENINO',0</v>
      </c>
      <c r="J182" s="8" t="str">
        <f t="shared" si="6"/>
        <v>INSERT INTO profesores (id,nivel,carrera,grupo,nombre,materia,sexo,sello) VALUES (1181,'LICENCIATURA','INGENIERÍA EN INTELIGENCIA ARTIFICIAL','IA 2°','GARCIA  SANCHEZ  MARIA LUISA ','SISTEMAS OPERATIVOS ','FEMENINO',0);</v>
      </c>
    </row>
    <row r="183" spans="1:10" ht="72.5" x14ac:dyDescent="0.35">
      <c r="A183" s="8">
        <v>1182</v>
      </c>
      <c r="B183" s="9" t="s">
        <v>736</v>
      </c>
      <c r="C183" s="10" t="s">
        <v>1038</v>
      </c>
      <c r="D183" s="8" t="s">
        <v>1427</v>
      </c>
      <c r="E183" s="8" t="s">
        <v>665</v>
      </c>
      <c r="F183" s="8" t="s">
        <v>1044</v>
      </c>
      <c r="G183" s="8" t="s">
        <v>722</v>
      </c>
      <c r="H183" s="8">
        <v>0</v>
      </c>
      <c r="I183" s="8" t="str">
        <f t="shared" si="5"/>
        <v>1182,'LICENCIATURA','INGENIERÍA EN INTELIGENCIA ARTIFICIAL','IA 2°','MEJIA GONZALEZ LUIS ANDRES','CÁLCULO MULTIVARIABLE','MASCULINO',0</v>
      </c>
      <c r="J183" s="8" t="str">
        <f t="shared" si="6"/>
        <v>INSERT INTO profesores (id,nivel,carrera,grupo,nombre,materia,sexo,sello) VALUES (1182,'LICENCIATURA','INGENIERÍA EN INTELIGENCIA ARTIFICIAL','IA 2°','MEJIA GONZALEZ LUIS ANDRES','CÁLCULO MULTIVARIABLE','MASCULINO',0);</v>
      </c>
    </row>
    <row r="184" spans="1:10" ht="87" x14ac:dyDescent="0.35">
      <c r="A184" s="8">
        <v>1183</v>
      </c>
      <c r="B184" s="9" t="s">
        <v>736</v>
      </c>
      <c r="C184" s="10" t="s">
        <v>1038</v>
      </c>
      <c r="D184" s="8" t="s">
        <v>1427</v>
      </c>
      <c r="E184" s="8" t="s">
        <v>638</v>
      </c>
      <c r="F184" s="8" t="s">
        <v>1046</v>
      </c>
      <c r="G184" s="8" t="s">
        <v>722</v>
      </c>
      <c r="H184" s="8">
        <v>0</v>
      </c>
      <c r="I184" s="8" t="str">
        <f t="shared" si="5"/>
        <v>1183,'LICENCIATURA','INGENIERÍA EN INTELIGENCIA ARTIFICIAL','IA 2°','MORENO QUEZADA JOSE ALBERTO','PROGRAMACIÓN ORIENTADA A OBJETOS ','MASCULINO',0</v>
      </c>
      <c r="J184" s="8" t="str">
        <f t="shared" si="6"/>
        <v>INSERT INTO profesores (id,nivel,carrera,grupo,nombre,materia,sexo,sello) VALUES (1183,'LICENCIATURA','INGENIERÍA EN INTELIGENCIA ARTIFICIAL','IA 2°','MORENO QUEZADA JOSE ALBERTO','PROGRAMACIÓN ORIENTADA A OBJETOS ','MASCULINO',0);</v>
      </c>
    </row>
    <row r="185" spans="1:10" ht="87" x14ac:dyDescent="0.35">
      <c r="A185" s="8">
        <v>1184</v>
      </c>
      <c r="B185" s="9" t="s">
        <v>736</v>
      </c>
      <c r="C185" s="10" t="s">
        <v>1038</v>
      </c>
      <c r="D185" s="8" t="s">
        <v>1428</v>
      </c>
      <c r="E185" s="8" t="s">
        <v>680</v>
      </c>
      <c r="F185" s="8" t="s">
        <v>1047</v>
      </c>
      <c r="G185" s="8" t="s">
        <v>721</v>
      </c>
      <c r="H185" s="8">
        <v>0</v>
      </c>
      <c r="I185" s="8" t="str">
        <f t="shared" si="5"/>
        <v>1184,'LICENCIATURA','INGENIERÍA EN INTELIGENCIA ARTIFICIAL','IA 4°','BARUCH MORALES MARTHA IXCHEL','PROGRAMACIÓN PARA ENTORNOS VIRTUALES ','FEMENINO',0</v>
      </c>
      <c r="J185" s="8" t="str">
        <f t="shared" si="6"/>
        <v>INSERT INTO profesores (id,nivel,carrera,grupo,nombre,materia,sexo,sello) VALUES (1184,'LICENCIATURA','INGENIERÍA EN INTELIGENCIA ARTIFICIAL','IA 4°','BARUCH MORALES MARTHA IXCHEL','PROGRAMACIÓN PARA ENTORNOS VIRTUALES ','FEMENINO',0);</v>
      </c>
    </row>
    <row r="186" spans="1:10" ht="72.5" x14ac:dyDescent="0.35">
      <c r="A186" s="8">
        <v>1185</v>
      </c>
      <c r="B186" s="9" t="s">
        <v>736</v>
      </c>
      <c r="C186" s="10" t="s">
        <v>1038</v>
      </c>
      <c r="D186" s="8" t="s">
        <v>1428</v>
      </c>
      <c r="E186" s="8" t="s">
        <v>684</v>
      </c>
      <c r="F186" s="8" t="s">
        <v>1050</v>
      </c>
      <c r="G186" s="8" t="s">
        <v>722</v>
      </c>
      <c r="H186" s="8">
        <v>0</v>
      </c>
      <c r="I186" s="8" t="str">
        <f t="shared" si="5"/>
        <v>1185,'LICENCIATURA','INGENIERÍA EN INTELIGENCIA ARTIFICIAL','IA 4°','DE ANDA  DEL MURO  MARTIN EDUARDO ','ANÁLISIS DE FOURIER','MASCULINO',0</v>
      </c>
      <c r="J186" s="8" t="str">
        <f t="shared" si="6"/>
        <v>INSERT INTO profesores (id,nivel,carrera,grupo,nombre,materia,sexo,sello) VALUES (1185,'LICENCIATURA','INGENIERÍA EN INTELIGENCIA ARTIFICIAL','IA 4°','DE ANDA  DEL MURO  MARTIN EDUARDO ','ANÁLISIS DE FOURIER','MASCULINO',0);</v>
      </c>
    </row>
    <row r="187" spans="1:10" ht="87" x14ac:dyDescent="0.35">
      <c r="A187" s="8">
        <v>1186</v>
      </c>
      <c r="B187" s="9" t="s">
        <v>736</v>
      </c>
      <c r="C187" s="10" t="s">
        <v>1038</v>
      </c>
      <c r="D187" s="8" t="s">
        <v>1428</v>
      </c>
      <c r="E187" s="8" t="s">
        <v>558</v>
      </c>
      <c r="F187" s="8" t="s">
        <v>1051</v>
      </c>
      <c r="G187" s="8" t="s">
        <v>722</v>
      </c>
      <c r="H187" s="8">
        <v>0</v>
      </c>
      <c r="I187" s="8" t="str">
        <f t="shared" si="5"/>
        <v>1186,'LICENCIATURA','INGENIERÍA EN INTELIGENCIA ARTIFICIAL','IA 4°','ESQUIVEL LEAL ALEJANDRO GUADALUPE','ANÁLISIS Y DISEÑO DE SISTEMAS ','MASCULINO',0</v>
      </c>
      <c r="J187" s="8" t="str">
        <f t="shared" si="6"/>
        <v>INSERT INTO profesores (id,nivel,carrera,grupo,nombre,materia,sexo,sello) VALUES (1186,'LICENCIATURA','INGENIERÍA EN INTELIGENCIA ARTIFICIAL','IA 4°','ESQUIVEL LEAL ALEJANDRO GUADALUPE','ANÁLISIS Y DISEÑO DE SISTEMAS ','MASCULINO',0);</v>
      </c>
    </row>
    <row r="188" spans="1:10" ht="72.5" x14ac:dyDescent="0.35">
      <c r="A188" s="8">
        <v>1187</v>
      </c>
      <c r="B188" s="9" t="s">
        <v>736</v>
      </c>
      <c r="C188" s="10" t="s">
        <v>1038</v>
      </c>
      <c r="D188" s="8" t="s">
        <v>1428</v>
      </c>
      <c r="E188" s="8" t="s">
        <v>677</v>
      </c>
      <c r="F188" s="8" t="s">
        <v>1052</v>
      </c>
      <c r="G188" s="8" t="s">
        <v>721</v>
      </c>
      <c r="H188" s="8">
        <v>0</v>
      </c>
      <c r="I188" s="8" t="str">
        <f t="shared" si="5"/>
        <v>1187,'LICENCIATURA','INGENIERÍA EN INTELIGENCIA ARTIFICIAL','IA 4°','GARCIA  SANCHEZ  MARIA LUISA ','ESTRUCTURA DE DATOS ','FEMENINO',0</v>
      </c>
      <c r="J188" s="8" t="str">
        <f t="shared" si="6"/>
        <v>INSERT INTO profesores (id,nivel,carrera,grupo,nombre,materia,sexo,sello) VALUES (1187,'LICENCIATURA','INGENIERÍA EN INTELIGENCIA ARTIFICIAL','IA 4°','GARCIA  SANCHEZ  MARIA LUISA ','ESTRUCTURA DE DATOS ','FEMENINO',0);</v>
      </c>
    </row>
    <row r="189" spans="1:10" ht="72.5" x14ac:dyDescent="0.35">
      <c r="A189" s="8">
        <v>1188</v>
      </c>
      <c r="B189" s="9" t="s">
        <v>736</v>
      </c>
      <c r="C189" s="10" t="s">
        <v>1038</v>
      </c>
      <c r="D189" s="8" t="s">
        <v>1428</v>
      </c>
      <c r="E189" s="8" t="s">
        <v>636</v>
      </c>
      <c r="F189" s="8" t="s">
        <v>1053</v>
      </c>
      <c r="G189" s="8" t="s">
        <v>722</v>
      </c>
      <c r="H189" s="8">
        <v>0</v>
      </c>
      <c r="I189" s="8" t="str">
        <f t="shared" si="5"/>
        <v>1188,'LICENCIATURA','INGENIERÍA EN INTELIGENCIA ARTIFICIAL','IA 4°','MACIAS GARZA JORGE ENRIQUE','BASES DE DATOS NO RELACIONALES ','MASCULINO',0</v>
      </c>
      <c r="J189" s="8" t="str">
        <f t="shared" si="6"/>
        <v>INSERT INTO profesores (id,nivel,carrera,grupo,nombre,materia,sexo,sello) VALUES (1188,'LICENCIATURA','INGENIERÍA EN INTELIGENCIA ARTIFICIAL','IA 4°','MACIAS GARZA JORGE ENRIQUE','BASES DE DATOS NO RELACIONALES ','MASCULINO',0);</v>
      </c>
    </row>
    <row r="190" spans="1:10" ht="72.5" x14ac:dyDescent="0.35">
      <c r="A190" s="8">
        <v>1189</v>
      </c>
      <c r="B190" s="9" t="s">
        <v>736</v>
      </c>
      <c r="C190" s="10" t="s">
        <v>1038</v>
      </c>
      <c r="D190" s="8" t="s">
        <v>1428</v>
      </c>
      <c r="E190" s="8" t="s">
        <v>617</v>
      </c>
      <c r="F190" s="8" t="s">
        <v>1054</v>
      </c>
      <c r="G190" s="8" t="s">
        <v>721</v>
      </c>
      <c r="H190" s="8">
        <v>0</v>
      </c>
      <c r="I190" s="8" t="str">
        <f t="shared" si="5"/>
        <v>1189,'LICENCIATURA','INGENIERÍA EN INTELIGENCIA ARTIFICIAL','IA 4°','MADRIGAL RODRIGUEZ GRISELDA','ALGORITMOS INTELIGENTES ','FEMENINO',0</v>
      </c>
      <c r="J190" s="8" t="str">
        <f t="shared" si="6"/>
        <v>INSERT INTO profesores (id,nivel,carrera,grupo,nombre,materia,sexo,sello) VALUES (1189,'LICENCIATURA','INGENIERÍA EN INTELIGENCIA ARTIFICIAL','IA 4°','MADRIGAL RODRIGUEZ GRISELDA','ALGORITMOS INTELIGENTES ','FEMENINO',0);</v>
      </c>
    </row>
    <row r="191" spans="1:10" ht="72.5" x14ac:dyDescent="0.35">
      <c r="A191" s="8">
        <v>1190</v>
      </c>
      <c r="B191" s="9" t="s">
        <v>736</v>
      </c>
      <c r="C191" s="10" t="s">
        <v>1038</v>
      </c>
      <c r="D191" s="8" t="s">
        <v>1429</v>
      </c>
      <c r="E191" s="8" t="s">
        <v>710</v>
      </c>
      <c r="F191" s="8" t="s">
        <v>1055</v>
      </c>
      <c r="G191" s="8" t="s">
        <v>722</v>
      </c>
      <c r="H191" s="8">
        <v>0</v>
      </c>
      <c r="I191" s="8" t="str">
        <f t="shared" si="5"/>
        <v>1190,'LICENCIATURA','INGENIERÍA EN INTELIGENCIA ARTIFICIAL','IA 6°','AVALOS MEDINA SALVADOR','AUTOMATIZACIÓN ','MASCULINO',0</v>
      </c>
      <c r="J191" s="8" t="str">
        <f t="shared" si="6"/>
        <v>INSERT INTO profesores (id,nivel,carrera,grupo,nombre,materia,sexo,sello) VALUES (1190,'LICENCIATURA','INGENIERÍA EN INTELIGENCIA ARTIFICIAL','IA 6°','AVALOS MEDINA SALVADOR','AUTOMATIZACIÓN ','MASCULINO',0);</v>
      </c>
    </row>
    <row r="192" spans="1:10" ht="72.5" x14ac:dyDescent="0.35">
      <c r="A192" s="8">
        <v>1191</v>
      </c>
      <c r="B192" s="9" t="s">
        <v>736</v>
      </c>
      <c r="C192" s="10" t="s">
        <v>1038</v>
      </c>
      <c r="D192" s="8" t="s">
        <v>1429</v>
      </c>
      <c r="E192" s="8" t="s">
        <v>681</v>
      </c>
      <c r="F192" s="8" t="s">
        <v>1057</v>
      </c>
      <c r="G192" s="8" t="s">
        <v>722</v>
      </c>
      <c r="H192" s="8">
        <v>0</v>
      </c>
      <c r="I192" s="8" t="str">
        <f t="shared" si="5"/>
        <v>1191,'LICENCIATURA','INGENIERÍA EN INTELIGENCIA ARTIFICIAL','IA 6°','GARCIA HERNANDEZ  MARTIN','REDES NEURONALES ','MASCULINO',0</v>
      </c>
      <c r="J192" s="8" t="str">
        <f t="shared" si="6"/>
        <v>INSERT INTO profesores (id,nivel,carrera,grupo,nombre,materia,sexo,sello) VALUES (1191,'LICENCIATURA','INGENIERÍA EN INTELIGENCIA ARTIFICIAL','IA 6°','GARCIA HERNANDEZ  MARTIN','REDES NEURONALES ','MASCULINO',0);</v>
      </c>
    </row>
    <row r="193" spans="1:10" ht="72.5" x14ac:dyDescent="0.35">
      <c r="A193" s="8">
        <v>1192</v>
      </c>
      <c r="B193" s="9" t="s">
        <v>736</v>
      </c>
      <c r="C193" s="10" t="s">
        <v>1038</v>
      </c>
      <c r="D193" s="8" t="s">
        <v>1429</v>
      </c>
      <c r="E193" s="8" t="s">
        <v>603</v>
      </c>
      <c r="F193" s="8" t="s">
        <v>1058</v>
      </c>
      <c r="G193" s="8" t="s">
        <v>722</v>
      </c>
      <c r="H193" s="8">
        <v>0</v>
      </c>
      <c r="I193" s="8" t="str">
        <f t="shared" si="5"/>
        <v>1192,'LICENCIATURA','INGENIERÍA EN INTELIGENCIA ARTIFICIAL','IA 6°','GONZALEZ AMADOR ENRIQUE ALEJANDRO','CIENCIA DE DATOS I','MASCULINO',0</v>
      </c>
      <c r="J193" s="8" t="str">
        <f t="shared" si="6"/>
        <v>INSERT INTO profesores (id,nivel,carrera,grupo,nombre,materia,sexo,sello) VALUES (1192,'LICENCIATURA','INGENIERÍA EN INTELIGENCIA ARTIFICIAL','IA 6°','GONZALEZ AMADOR ENRIQUE ALEJANDRO','CIENCIA DE DATOS I','MASCULINO',0);</v>
      </c>
    </row>
    <row r="194" spans="1:10" ht="72.5" x14ac:dyDescent="0.35">
      <c r="A194" s="8">
        <v>1193</v>
      </c>
      <c r="B194" s="9" t="s">
        <v>736</v>
      </c>
      <c r="C194" s="10" t="s">
        <v>1038</v>
      </c>
      <c r="D194" s="8" t="s">
        <v>1429</v>
      </c>
      <c r="E194" s="8" t="s">
        <v>617</v>
      </c>
      <c r="F194" s="8" t="s">
        <v>1060</v>
      </c>
      <c r="G194" s="8" t="s">
        <v>721</v>
      </c>
      <c r="H194" s="8">
        <v>0</v>
      </c>
      <c r="I194" s="8" t="str">
        <f t="shared" ref="I194:I257" si="7">CONCATENATE(A194,",'",B194,"','",C194,"','",D194,",'",E194,"','",F194,"','",G194,"',",H194)</f>
        <v>1193,'LICENCIATURA','INGENIERÍA EN INTELIGENCIA ARTIFICIAL','IA 6°','MADRIGAL RODRIGUEZ GRISELDA','COMPILADORES ','FEMENINO',0</v>
      </c>
      <c r="J194" s="8" t="str">
        <f t="shared" si="6"/>
        <v>INSERT INTO profesores (id,nivel,carrera,grupo,nombre,materia,sexo,sello) VALUES (1193,'LICENCIATURA','INGENIERÍA EN INTELIGENCIA ARTIFICIAL','IA 6°','MADRIGAL RODRIGUEZ GRISELDA','COMPILADORES ','FEMENINO',0);</v>
      </c>
    </row>
    <row r="195" spans="1:10" ht="87" x14ac:dyDescent="0.35">
      <c r="A195" s="8">
        <v>1194</v>
      </c>
      <c r="B195" s="9" t="s">
        <v>736</v>
      </c>
      <c r="C195" s="10" t="s">
        <v>1038</v>
      </c>
      <c r="D195" s="8" t="s">
        <v>1429</v>
      </c>
      <c r="E195" s="8" t="s">
        <v>580</v>
      </c>
      <c r="F195" s="8" t="s">
        <v>1061</v>
      </c>
      <c r="G195" s="8" t="s">
        <v>721</v>
      </c>
      <c r="H195" s="8">
        <v>0</v>
      </c>
      <c r="I195" s="8" t="str">
        <f t="shared" si="7"/>
        <v>1194,'LICENCIATURA','INGENIERÍA EN INTELIGENCIA ARTIFICIAL','IA 6°','OCHOA FLORES CLAUDIA ELIZABETH','APLICACIONES INTELIGENTES EN SISTEMAS EMBEBIDOS','FEMENINO',0</v>
      </c>
      <c r="J195" s="8" t="str">
        <f t="shared" ref="J195:J258" si="8">CONCATENATE($I$1,I195,");")</f>
        <v>INSERT INTO profesores (id,nivel,carrera,grupo,nombre,materia,sexo,sello) VALUES (1194,'LICENCIATURA','INGENIERÍA EN INTELIGENCIA ARTIFICIAL','IA 6°','OCHOA FLORES CLAUDIA ELIZABETH','APLICACIONES INTELIGENTES EN SISTEMAS EMBEBIDOS','FEMENINO',0);</v>
      </c>
    </row>
    <row r="196" spans="1:10" ht="72.5" x14ac:dyDescent="0.35">
      <c r="A196" s="8">
        <v>1195</v>
      </c>
      <c r="B196" s="9" t="s">
        <v>736</v>
      </c>
      <c r="C196" s="10" t="s">
        <v>1038</v>
      </c>
      <c r="D196" s="8" t="s">
        <v>1429</v>
      </c>
      <c r="E196" s="8" t="s">
        <v>685</v>
      </c>
      <c r="F196" s="8" t="s">
        <v>1062</v>
      </c>
      <c r="G196" s="8" t="s">
        <v>722</v>
      </c>
      <c r="H196" s="8">
        <v>0</v>
      </c>
      <c r="I196" s="8" t="str">
        <f t="shared" si="7"/>
        <v>1195,'LICENCIATURA','INGENIERÍA EN INTELIGENCIA ARTIFICIAL','IA 6°','RODRIGUEZ ROBLES MARTIN ONESIMO','PROGRAMACIÓN MÓVIL ','MASCULINO',0</v>
      </c>
      <c r="J196" s="8" t="str">
        <f t="shared" si="8"/>
        <v>INSERT INTO profesores (id,nivel,carrera,grupo,nombre,materia,sexo,sello) VALUES (1195,'LICENCIATURA','INGENIERÍA EN INTELIGENCIA ARTIFICIAL','IA 6°','RODRIGUEZ ROBLES MARTIN ONESIMO','PROGRAMACIÓN MÓVIL ','MASCULINO',0);</v>
      </c>
    </row>
    <row r="197" spans="1:10" ht="87" x14ac:dyDescent="0.35">
      <c r="A197" s="8">
        <v>1196</v>
      </c>
      <c r="B197" s="9" t="s">
        <v>736</v>
      </c>
      <c r="C197" s="10" t="s">
        <v>1064</v>
      </c>
      <c r="D197" s="8" t="s">
        <v>1430</v>
      </c>
      <c r="E197" s="8" t="s">
        <v>710</v>
      </c>
      <c r="F197" s="8" t="s">
        <v>1063</v>
      </c>
      <c r="G197" s="8" t="s">
        <v>722</v>
      </c>
      <c r="H197" s="8">
        <v>0</v>
      </c>
      <c r="I197" s="8" t="str">
        <f t="shared" si="7"/>
        <v>1196,'LICENCIATURA','INGENIERIA INDUSTRIAL Y EN SISTEMAS ORGANIZACIONALES','IND 6°','AVALOS MEDINA SALVADOR','ADMINISTRACION DE LA PRODUCCION I','MASCULINO',0</v>
      </c>
      <c r="J197" s="8" t="str">
        <f t="shared" si="8"/>
        <v>INSERT INTO profesores (id,nivel,carrera,grupo,nombre,materia,sexo,sello) VALUES (1196,'LICENCIATURA','INGENIERIA INDUSTRIAL Y EN SISTEMAS ORGANIZACIONALES','IND 6°','AVALOS MEDINA SALVADOR','ADMINISTRACION DE LA PRODUCCION I','MASCULINO',0);</v>
      </c>
    </row>
    <row r="198" spans="1:10" ht="87" x14ac:dyDescent="0.35">
      <c r="A198" s="8">
        <v>1197</v>
      </c>
      <c r="B198" s="9" t="s">
        <v>736</v>
      </c>
      <c r="C198" s="10" t="s">
        <v>1064</v>
      </c>
      <c r="D198" s="8" t="s">
        <v>1430</v>
      </c>
      <c r="E198" s="8" t="s">
        <v>712</v>
      </c>
      <c r="F198" s="8" t="s">
        <v>1066</v>
      </c>
      <c r="G198" s="8" t="s">
        <v>722</v>
      </c>
      <c r="H198" s="8">
        <v>0</v>
      </c>
      <c r="I198" s="8" t="str">
        <f t="shared" si="7"/>
        <v>1197,'LICENCIATURA','INGENIERIA INDUSTRIAL Y EN SISTEMAS ORGANIZACIONALES','IND 6°','CARDENAS CASTILLO SANTIAGO','DISEÑO DE EXPERIMENTOS','MASCULINO',0</v>
      </c>
      <c r="J198" s="8" t="str">
        <f t="shared" si="8"/>
        <v>INSERT INTO profesores (id,nivel,carrera,grupo,nombre,materia,sexo,sello) VALUES (1197,'LICENCIATURA','INGENIERIA INDUSTRIAL Y EN SISTEMAS ORGANIZACIONALES','IND 6°','CARDENAS CASTILLO SANTIAGO','DISEÑO DE EXPERIMENTOS','MASCULINO',0);</v>
      </c>
    </row>
    <row r="199" spans="1:10" ht="87" x14ac:dyDescent="0.35">
      <c r="A199" s="8">
        <v>1198</v>
      </c>
      <c r="B199" s="9" t="s">
        <v>736</v>
      </c>
      <c r="C199" s="10" t="s">
        <v>1064</v>
      </c>
      <c r="D199" s="8" t="s">
        <v>1430</v>
      </c>
      <c r="E199" s="8" t="s">
        <v>667</v>
      </c>
      <c r="F199" s="8" t="s">
        <v>1067</v>
      </c>
      <c r="G199" s="8" t="s">
        <v>722</v>
      </c>
      <c r="H199" s="8">
        <v>0</v>
      </c>
      <c r="I199" s="8" t="str">
        <f t="shared" si="7"/>
        <v>1198,'LICENCIATURA','INGENIERIA INDUSTRIAL Y EN SISTEMAS ORGANIZACIONALES','IND 6°','HERNANDEZ SALDIVAR LUIS FERNANDO','PROCESOS DE MANUFACTURA','MASCULINO',0</v>
      </c>
      <c r="J199" s="8" t="str">
        <f t="shared" si="8"/>
        <v>INSERT INTO profesores (id,nivel,carrera,grupo,nombre,materia,sexo,sello) VALUES (1198,'LICENCIATURA','INGENIERIA INDUSTRIAL Y EN SISTEMAS ORGANIZACIONALES','IND 6°','HERNANDEZ SALDIVAR LUIS FERNANDO','PROCESOS DE MANUFACTURA','MASCULINO',0);</v>
      </c>
    </row>
    <row r="200" spans="1:10" ht="87" x14ac:dyDescent="0.35">
      <c r="A200" s="8">
        <v>1199</v>
      </c>
      <c r="B200" s="9" t="s">
        <v>736</v>
      </c>
      <c r="C200" s="10" t="s">
        <v>1064</v>
      </c>
      <c r="D200" s="8" t="s">
        <v>1430</v>
      </c>
      <c r="E200" s="8" t="s">
        <v>580</v>
      </c>
      <c r="F200" s="8" t="s">
        <v>1068</v>
      </c>
      <c r="G200" s="8" t="s">
        <v>721</v>
      </c>
      <c r="H200" s="8">
        <v>0</v>
      </c>
      <c r="I200" s="8" t="str">
        <f t="shared" si="7"/>
        <v>1199,'LICENCIATURA','INGENIERIA INDUSTRIAL Y EN SISTEMAS ORGANIZACIONALES','IND 6°','OCHOA FLORES CLAUDIA ELIZABETH','GESTION DE LA INNOVACION','FEMENINO',0</v>
      </c>
      <c r="J200" s="8" t="str">
        <f t="shared" si="8"/>
        <v>INSERT INTO profesores (id,nivel,carrera,grupo,nombre,materia,sexo,sello) VALUES (1199,'LICENCIATURA','INGENIERIA INDUSTRIAL Y EN SISTEMAS ORGANIZACIONALES','IND 6°','OCHOA FLORES CLAUDIA ELIZABETH','GESTION DE LA INNOVACION','FEMENINO',0);</v>
      </c>
    </row>
    <row r="201" spans="1:10" ht="87" x14ac:dyDescent="0.35">
      <c r="A201" s="8">
        <v>1200</v>
      </c>
      <c r="B201" s="9" t="s">
        <v>736</v>
      </c>
      <c r="C201" s="10" t="s">
        <v>1064</v>
      </c>
      <c r="D201" s="8" t="s">
        <v>1430</v>
      </c>
      <c r="E201" s="8" t="s">
        <v>685</v>
      </c>
      <c r="F201" s="8" t="s">
        <v>1069</v>
      </c>
      <c r="G201" s="8" t="s">
        <v>722</v>
      </c>
      <c r="H201" s="8">
        <v>0</v>
      </c>
      <c r="I201" s="8" t="str">
        <f t="shared" si="7"/>
        <v>1200,'LICENCIATURA','INGENIERIA INDUSTRIAL Y EN SISTEMAS ORGANIZACIONALES','IND 6°','RODRIGUEZ ROBLES MARTIN ONESIMO','FORMULACION DE PROYECTOS','MASCULINO',0</v>
      </c>
      <c r="J201" s="8" t="str">
        <f t="shared" si="8"/>
        <v>INSERT INTO profesores (id,nivel,carrera,grupo,nombre,materia,sexo,sello) VALUES (1200,'LICENCIATURA','INGENIERIA INDUSTRIAL Y EN SISTEMAS ORGANIZACIONALES','IND 6°','RODRIGUEZ ROBLES MARTIN ONESIMO','FORMULACION DE PROYECTOS','MASCULINO',0);</v>
      </c>
    </row>
    <row r="202" spans="1:10" ht="87" x14ac:dyDescent="0.35">
      <c r="A202" s="8">
        <v>1201</v>
      </c>
      <c r="B202" s="9" t="s">
        <v>736</v>
      </c>
      <c r="C202" s="10" t="s">
        <v>1064</v>
      </c>
      <c r="D202" s="8" t="s">
        <v>1430</v>
      </c>
      <c r="E202" s="8" t="s">
        <v>560</v>
      </c>
      <c r="F202" s="8" t="s">
        <v>1070</v>
      </c>
      <c r="G202" s="8" t="s">
        <v>722</v>
      </c>
      <c r="H202" s="8">
        <v>0</v>
      </c>
      <c r="I202" s="8" t="str">
        <f t="shared" si="7"/>
        <v>1201,'LICENCIATURA','INGENIERIA INDUSTRIAL Y EN SISTEMAS ORGANIZACIONALES','IND 6°','VELAZQUEZ SANTOS ALFREDO DE JESUS','SISTEMAS DE GESTION DE LA CALIDAD','MASCULINO',0</v>
      </c>
      <c r="J202" s="8" t="str">
        <f t="shared" si="8"/>
        <v>INSERT INTO profesores (id,nivel,carrera,grupo,nombre,materia,sexo,sello) VALUES (1201,'LICENCIATURA','INGENIERIA INDUSTRIAL Y EN SISTEMAS ORGANIZACIONALES','IND 6°','VELAZQUEZ SANTOS ALFREDO DE JESUS','SISTEMAS DE GESTION DE LA CALIDAD','MASCULINO',0);</v>
      </c>
    </row>
    <row r="203" spans="1:10" ht="87" x14ac:dyDescent="0.35">
      <c r="A203" s="8">
        <v>1202</v>
      </c>
      <c r="B203" s="9" t="s">
        <v>736</v>
      </c>
      <c r="C203" s="10" t="s">
        <v>1073</v>
      </c>
      <c r="D203" s="8" t="s">
        <v>1431</v>
      </c>
      <c r="E203" s="8" t="s">
        <v>697</v>
      </c>
      <c r="F203" s="8" t="s">
        <v>1072</v>
      </c>
      <c r="G203" s="8" t="s">
        <v>721</v>
      </c>
      <c r="H203" s="8">
        <v>0</v>
      </c>
      <c r="I203" s="8" t="str">
        <f t="shared" si="7"/>
        <v>1202,'LICENCIATURA','MERCADOTECNIA Y PUBLICIDAD','MKT 8°','BARRERA GOYTIA ORELY KARINA','NUEVAS TENDENCIAS EN LA MERCADOTECNIA','FEMENINO',0</v>
      </c>
      <c r="J203" s="8" t="str">
        <f t="shared" si="8"/>
        <v>INSERT INTO profesores (id,nivel,carrera,grupo,nombre,materia,sexo,sello) VALUES (1202,'LICENCIATURA','MERCADOTECNIA Y PUBLICIDAD','MKT 8°','BARRERA GOYTIA ORELY KARINA','NUEVAS TENDENCIAS EN LA MERCADOTECNIA','FEMENINO',0);</v>
      </c>
    </row>
    <row r="204" spans="1:10" ht="87" x14ac:dyDescent="0.35">
      <c r="A204" s="8">
        <v>1203</v>
      </c>
      <c r="B204" s="9" t="s">
        <v>736</v>
      </c>
      <c r="C204" s="10" t="s">
        <v>1073</v>
      </c>
      <c r="D204" s="8" t="s">
        <v>1431</v>
      </c>
      <c r="E204" s="8" t="s">
        <v>630</v>
      </c>
      <c r="F204" s="8" t="s">
        <v>1076</v>
      </c>
      <c r="G204" s="8" t="s">
        <v>722</v>
      </c>
      <c r="H204" s="8">
        <v>0</v>
      </c>
      <c r="I204" s="8" t="str">
        <f t="shared" si="7"/>
        <v>1203,'LICENCIATURA','MERCADOTECNIA Y PUBLICIDAD','MKT 8°','GOMEZ LEDEZMA JESUS ALEJANDRO','TALLER DE INNOVACION PUBLICITARIA','MASCULINO',0</v>
      </c>
      <c r="J204" s="8" t="str">
        <f t="shared" si="8"/>
        <v>INSERT INTO profesores (id,nivel,carrera,grupo,nombre,materia,sexo,sello) VALUES (1203,'LICENCIATURA','MERCADOTECNIA Y PUBLICIDAD','MKT 8°','GOMEZ LEDEZMA JESUS ALEJANDRO','TALLER DE INNOVACION PUBLICITARIA','MASCULINO',0);</v>
      </c>
    </row>
    <row r="205" spans="1:10" ht="87" x14ac:dyDescent="0.35">
      <c r="A205" s="8">
        <v>1204</v>
      </c>
      <c r="B205" s="9" t="s">
        <v>736</v>
      </c>
      <c r="C205" s="10" t="s">
        <v>1073</v>
      </c>
      <c r="D205" s="8" t="s">
        <v>1431</v>
      </c>
      <c r="E205" s="8" t="s">
        <v>673</v>
      </c>
      <c r="F205" s="8" t="s">
        <v>1077</v>
      </c>
      <c r="G205" s="8" t="s">
        <v>721</v>
      </c>
      <c r="H205" s="8">
        <v>0</v>
      </c>
      <c r="I205" s="8" t="str">
        <f t="shared" si="7"/>
        <v>1204,'LICENCIATURA','MERCADOTECNIA Y PUBLICIDAD','MKT 8°','MAGALLON RAMIREZ MARIA DEL CARMEN','ESTRATEGIAS DE MERCADOTECNIA INDUSTRIAL','FEMENINO',0</v>
      </c>
      <c r="J205" s="8" t="str">
        <f t="shared" si="8"/>
        <v>INSERT INTO profesores (id,nivel,carrera,grupo,nombre,materia,sexo,sello) VALUES (1204,'LICENCIATURA','MERCADOTECNIA Y PUBLICIDAD','MKT 8°','MAGALLON RAMIREZ MARIA DEL CARMEN','ESTRATEGIAS DE MERCADOTECNIA INDUSTRIAL','FEMENINO',0);</v>
      </c>
    </row>
    <row r="206" spans="1:10" ht="72.5" x14ac:dyDescent="0.35">
      <c r="A206" s="8">
        <v>1205</v>
      </c>
      <c r="B206" s="9" t="s">
        <v>736</v>
      </c>
      <c r="C206" s="10" t="s">
        <v>1073</v>
      </c>
      <c r="D206" s="8" t="s">
        <v>1431</v>
      </c>
      <c r="E206" s="8" t="s">
        <v>562</v>
      </c>
      <c r="F206" s="8" t="s">
        <v>1079</v>
      </c>
      <c r="G206" s="8" t="s">
        <v>722</v>
      </c>
      <c r="H206" s="8">
        <v>0</v>
      </c>
      <c r="I206" s="8" t="str">
        <f t="shared" si="7"/>
        <v>1205,'LICENCIATURA','MERCADOTECNIA Y PUBLICIDAD','MKT 8°','MORENO CORRAL ALVARO','MARKETING SOCIAL Y POLITICO','MASCULINO',0</v>
      </c>
      <c r="J206" s="8" t="str">
        <f t="shared" si="8"/>
        <v>INSERT INTO profesores (id,nivel,carrera,grupo,nombre,materia,sexo,sello) VALUES (1205,'LICENCIATURA','MERCADOTECNIA Y PUBLICIDAD','MKT 8°','MORENO CORRAL ALVARO','MARKETING SOCIAL Y POLITICO','MASCULINO',0);</v>
      </c>
    </row>
    <row r="207" spans="1:10" ht="87" x14ac:dyDescent="0.35">
      <c r="A207" s="8">
        <v>1206</v>
      </c>
      <c r="B207" s="9" t="s">
        <v>736</v>
      </c>
      <c r="C207" s="10" t="s">
        <v>1073</v>
      </c>
      <c r="D207" s="8" t="s">
        <v>1431</v>
      </c>
      <c r="E207" s="8" t="s">
        <v>592</v>
      </c>
      <c r="F207" s="8" t="s">
        <v>1081</v>
      </c>
      <c r="G207" s="8" t="s">
        <v>722</v>
      </c>
      <c r="H207" s="8">
        <v>0</v>
      </c>
      <c r="I207" s="8" t="str">
        <f t="shared" si="7"/>
        <v>1206,'LICENCIATURA','MERCADOTECNIA Y PUBLICIDAD','MKT 8°','RODRIGUEZ ROMERO DENIS PAUL','TALLER DE PRODUCCION DE CONTENIDOS','MASCULINO',0</v>
      </c>
      <c r="J207" s="8" t="str">
        <f t="shared" si="8"/>
        <v>INSERT INTO profesores (id,nivel,carrera,grupo,nombre,materia,sexo,sello) VALUES (1206,'LICENCIATURA','MERCADOTECNIA Y PUBLICIDAD','MKT 8°','RODRIGUEZ ROMERO DENIS PAUL','TALLER DE PRODUCCION DE CONTENIDOS','MASCULINO',0);</v>
      </c>
    </row>
    <row r="208" spans="1:10" ht="72.5" x14ac:dyDescent="0.35">
      <c r="A208" s="8">
        <v>1207</v>
      </c>
      <c r="B208" s="9" t="s">
        <v>736</v>
      </c>
      <c r="C208" s="10" t="s">
        <v>1073</v>
      </c>
      <c r="D208" s="8" t="s">
        <v>1431</v>
      </c>
      <c r="E208" s="8" t="s">
        <v>643</v>
      </c>
      <c r="F208" s="8" t="s">
        <v>1082</v>
      </c>
      <c r="G208" s="8" t="s">
        <v>722</v>
      </c>
      <c r="H208" s="8">
        <v>0</v>
      </c>
      <c r="I208" s="8" t="str">
        <f t="shared" si="7"/>
        <v>1207,'LICENCIATURA','MERCADOTECNIA Y PUBLICIDAD','MKT 8°','VALENZUELA CHAVIRA JOSE DANIEL','AUDITORIA EN MARKETING','MASCULINO',0</v>
      </c>
      <c r="J208" s="8" t="str">
        <f t="shared" si="8"/>
        <v>INSERT INTO profesores (id,nivel,carrera,grupo,nombre,materia,sexo,sello) VALUES (1207,'LICENCIATURA','MERCADOTECNIA Y PUBLICIDAD','MKT 8°','VALENZUELA CHAVIRA JOSE DANIEL','AUDITORIA EN MARKETING','MASCULINO',0);</v>
      </c>
    </row>
    <row r="209" spans="1:10" ht="72.5" x14ac:dyDescent="0.35">
      <c r="A209" s="8">
        <v>1208</v>
      </c>
      <c r="B209" s="9" t="s">
        <v>736</v>
      </c>
      <c r="C209" s="10" t="s">
        <v>1084</v>
      </c>
      <c r="D209" s="8" t="s">
        <v>1432</v>
      </c>
      <c r="E209" s="8" t="s">
        <v>699</v>
      </c>
      <c r="F209" s="8" t="s">
        <v>1083</v>
      </c>
      <c r="G209" s="8" t="s">
        <v>721</v>
      </c>
      <c r="H209" s="8">
        <v>0</v>
      </c>
      <c r="I209" s="8" t="str">
        <f t="shared" si="7"/>
        <v>1208,'LICENCIATURA','NUTRICION Y GASTRONOMIA','NUT 2°','ACOSTA VELAZQUEZ PALOMA BELEN','EPIDEMIOLOGIA Y SALUD PUBLICA','FEMENINO',0</v>
      </c>
      <c r="J209" s="8" t="str">
        <f t="shared" si="8"/>
        <v>INSERT INTO profesores (id,nivel,carrera,grupo,nombre,materia,sexo,sello) VALUES (1208,'LICENCIATURA','NUTRICION Y GASTRONOMIA','NUT 2°','ACOSTA VELAZQUEZ PALOMA BELEN','EPIDEMIOLOGIA Y SALUD PUBLICA','FEMENINO',0);</v>
      </c>
    </row>
    <row r="210" spans="1:10" ht="72.5" x14ac:dyDescent="0.35">
      <c r="A210" s="8">
        <v>1209</v>
      </c>
      <c r="B210" s="9" t="s">
        <v>736</v>
      </c>
      <c r="C210" s="10" t="s">
        <v>1084</v>
      </c>
      <c r="D210" s="8" t="s">
        <v>1432</v>
      </c>
      <c r="E210" s="8" t="s">
        <v>623</v>
      </c>
      <c r="F210" s="8" t="s">
        <v>1087</v>
      </c>
      <c r="G210" s="8" t="s">
        <v>722</v>
      </c>
      <c r="H210" s="8">
        <v>0</v>
      </c>
      <c r="I210" s="8" t="str">
        <f t="shared" si="7"/>
        <v>1209,'LICENCIATURA','NUTRICION Y GASTRONOMIA','NUT 2°','ARTEAGA CARDONA HORACIO','PANADERIA BASICA','MASCULINO',0</v>
      </c>
      <c r="J210" s="8" t="str">
        <f t="shared" si="8"/>
        <v>INSERT INTO profesores (id,nivel,carrera,grupo,nombre,materia,sexo,sello) VALUES (1209,'LICENCIATURA','NUTRICION Y GASTRONOMIA','NUT 2°','ARTEAGA CARDONA HORACIO','PANADERIA BASICA','MASCULINO',0);</v>
      </c>
    </row>
    <row r="211" spans="1:10" ht="72.5" x14ac:dyDescent="0.35">
      <c r="A211" s="8">
        <v>1210</v>
      </c>
      <c r="B211" s="9" t="s">
        <v>736</v>
      </c>
      <c r="C211" s="10" t="s">
        <v>1084</v>
      </c>
      <c r="D211" s="8" t="s">
        <v>1432</v>
      </c>
      <c r="E211" s="8" t="s">
        <v>550</v>
      </c>
      <c r="F211" s="8" t="s">
        <v>1089</v>
      </c>
      <c r="G211" s="8" t="s">
        <v>721</v>
      </c>
      <c r="H211" s="8">
        <v>0</v>
      </c>
      <c r="I211" s="8" t="str">
        <f t="shared" si="7"/>
        <v>1210,'LICENCIATURA','NUTRICION Y GASTRONOMIA','NUT 2°','CHILPA ABOYTES ABIGAIL NOHEMI','QUIMICA DE LOS ALIMENTOS','FEMENINO',0</v>
      </c>
      <c r="J211" s="8" t="str">
        <f t="shared" si="8"/>
        <v>INSERT INTO profesores (id,nivel,carrera,grupo,nombre,materia,sexo,sello) VALUES (1210,'LICENCIATURA','NUTRICION Y GASTRONOMIA','NUT 2°','CHILPA ABOYTES ABIGAIL NOHEMI','QUIMICA DE LOS ALIMENTOS','FEMENINO',0);</v>
      </c>
    </row>
    <row r="212" spans="1:10" ht="72.5" x14ac:dyDescent="0.35">
      <c r="A212" s="8">
        <v>1211</v>
      </c>
      <c r="B212" s="9" t="s">
        <v>736</v>
      </c>
      <c r="C212" s="10" t="s">
        <v>1084</v>
      </c>
      <c r="D212" s="8" t="s">
        <v>1432</v>
      </c>
      <c r="E212" s="8" t="s">
        <v>671</v>
      </c>
      <c r="F212" s="8" t="s">
        <v>1091</v>
      </c>
      <c r="G212" s="8" t="s">
        <v>721</v>
      </c>
      <c r="H212" s="8">
        <v>0</v>
      </c>
      <c r="I212" s="8" t="str">
        <f t="shared" si="7"/>
        <v>1211,'LICENCIATURA','NUTRICION Y GASTRONOMIA','NUT 2°','DOMINGUEZ LOPEZ MARIA ALEJANDRA','MICROBIOLOGIA','FEMENINO',0</v>
      </c>
      <c r="J212" s="8" t="str">
        <f t="shared" si="8"/>
        <v>INSERT INTO profesores (id,nivel,carrera,grupo,nombre,materia,sexo,sello) VALUES (1211,'LICENCIATURA','NUTRICION Y GASTRONOMIA','NUT 2°','DOMINGUEZ LOPEZ MARIA ALEJANDRA','MICROBIOLOGIA','FEMENINO',0);</v>
      </c>
    </row>
    <row r="213" spans="1:10" ht="72.5" x14ac:dyDescent="0.35">
      <c r="A213" s="8">
        <v>1212</v>
      </c>
      <c r="B213" s="9" t="s">
        <v>736</v>
      </c>
      <c r="C213" s="10" t="s">
        <v>1084</v>
      </c>
      <c r="D213" s="8" t="s">
        <v>1432</v>
      </c>
      <c r="E213" s="8" t="s">
        <v>601</v>
      </c>
      <c r="F213" s="8" t="s">
        <v>1093</v>
      </c>
      <c r="G213" s="8" t="s">
        <v>722</v>
      </c>
      <c r="H213" s="8">
        <v>0</v>
      </c>
      <c r="I213" s="8" t="str">
        <f t="shared" si="7"/>
        <v>1212,'LICENCIATURA','NUTRICION Y GASTRONOMIA','NUT 2°','GONZALEZ GONZALEZ ENRIQUE','ANATOMIA Y FISIOLOGIA II','MASCULINO',0</v>
      </c>
      <c r="J213" s="8" t="str">
        <f t="shared" si="8"/>
        <v>INSERT INTO profesores (id,nivel,carrera,grupo,nombre,materia,sexo,sello) VALUES (1212,'LICENCIATURA','NUTRICION Y GASTRONOMIA','NUT 2°','GONZALEZ GONZALEZ ENRIQUE','ANATOMIA Y FISIOLOGIA II','MASCULINO',0);</v>
      </c>
    </row>
    <row r="214" spans="1:10" ht="72.5" x14ac:dyDescent="0.35">
      <c r="A214" s="8">
        <v>1213</v>
      </c>
      <c r="B214" s="9" t="s">
        <v>736</v>
      </c>
      <c r="C214" s="10" t="s">
        <v>1084</v>
      </c>
      <c r="D214" s="8" t="s">
        <v>1432</v>
      </c>
      <c r="E214" s="8" t="s">
        <v>561</v>
      </c>
      <c r="F214" s="8" t="s">
        <v>1095</v>
      </c>
      <c r="G214" s="8" t="s">
        <v>721</v>
      </c>
      <c r="H214" s="8">
        <v>0</v>
      </c>
      <c r="I214" s="8" t="str">
        <f t="shared" si="7"/>
        <v>1213,'LICENCIATURA','NUTRICION Y GASTRONOMIA','NUT 2°','VELAZQUEZ NAVARRETE ALMA DANIELA','MANEJO DE CARNES','FEMENINO',0</v>
      </c>
      <c r="J214" s="8" t="str">
        <f t="shared" si="8"/>
        <v>INSERT INTO profesores (id,nivel,carrera,grupo,nombre,materia,sexo,sello) VALUES (1213,'LICENCIATURA','NUTRICION Y GASTRONOMIA','NUT 2°','VELAZQUEZ NAVARRETE ALMA DANIELA','MANEJO DE CARNES','FEMENINO',0);</v>
      </c>
    </row>
    <row r="215" spans="1:10" ht="72.5" x14ac:dyDescent="0.35">
      <c r="A215" s="8">
        <v>1214</v>
      </c>
      <c r="B215" s="9" t="s">
        <v>736</v>
      </c>
      <c r="C215" s="10" t="s">
        <v>1084</v>
      </c>
      <c r="D215" s="8" t="s">
        <v>1433</v>
      </c>
      <c r="E215" s="8" t="s">
        <v>633</v>
      </c>
      <c r="F215" s="8" t="s">
        <v>1097</v>
      </c>
      <c r="G215" s="8" t="s">
        <v>722</v>
      </c>
      <c r="H215" s="8">
        <v>0</v>
      </c>
      <c r="I215" s="8" t="str">
        <f t="shared" si="7"/>
        <v>1214,'LICENCIATURA','NUTRICION Y GASTRONOMIA','NUT 4°','BEGINES CINCO JESUS HIRAM','COCINA MEDITERRANEA I','MASCULINO',0</v>
      </c>
      <c r="J215" s="8" t="str">
        <f t="shared" si="8"/>
        <v>INSERT INTO profesores (id,nivel,carrera,grupo,nombre,materia,sexo,sello) VALUES (1214,'LICENCIATURA','NUTRICION Y GASTRONOMIA','NUT 4°','BEGINES CINCO JESUS HIRAM','COCINA MEDITERRANEA I','MASCULINO',0);</v>
      </c>
    </row>
    <row r="216" spans="1:10" ht="72.5" x14ac:dyDescent="0.35">
      <c r="A216" s="8">
        <v>1215</v>
      </c>
      <c r="B216" s="9" t="s">
        <v>736</v>
      </c>
      <c r="C216" s="10" t="s">
        <v>1084</v>
      </c>
      <c r="D216" s="8" t="s">
        <v>1433</v>
      </c>
      <c r="E216" s="8" t="s">
        <v>622</v>
      </c>
      <c r="F216" s="8" t="s">
        <v>1100</v>
      </c>
      <c r="G216" s="8" t="s">
        <v>722</v>
      </c>
      <c r="H216" s="8">
        <v>0</v>
      </c>
      <c r="I216" s="8" t="str">
        <f t="shared" si="7"/>
        <v>1215,'LICENCIATURA','NUTRICION Y GASTRONOMIA','NUT 4°','CAVALLO  MAZZITELLI HERNAN ANDRES','CHARCUTERIA','MASCULINO',0</v>
      </c>
      <c r="J216" s="8" t="str">
        <f t="shared" si="8"/>
        <v>INSERT INTO profesores (id,nivel,carrera,grupo,nombre,materia,sexo,sello) VALUES (1215,'LICENCIATURA','NUTRICION Y GASTRONOMIA','NUT 4°','CAVALLO  MAZZITELLI HERNAN ANDRES','CHARCUTERIA','MASCULINO',0);</v>
      </c>
    </row>
    <row r="217" spans="1:10" ht="72.5" x14ac:dyDescent="0.35">
      <c r="A217" s="8">
        <v>1216</v>
      </c>
      <c r="B217" s="9" t="s">
        <v>736</v>
      </c>
      <c r="C217" s="10" t="s">
        <v>1084</v>
      </c>
      <c r="D217" s="8" t="s">
        <v>1433</v>
      </c>
      <c r="E217" s="8" t="s">
        <v>550</v>
      </c>
      <c r="F217" s="8" t="s">
        <v>1102</v>
      </c>
      <c r="G217" s="8" t="s">
        <v>721</v>
      </c>
      <c r="H217" s="8">
        <v>0</v>
      </c>
      <c r="I217" s="8" t="str">
        <f t="shared" si="7"/>
        <v>1216,'LICENCIATURA','NUTRICION Y GASTRONOMIA','NUT 4°','CHILPA ABOYTES ABIGAIL NOHEMI','LACTEOS','FEMENINO',0</v>
      </c>
      <c r="J217" s="8" t="str">
        <f t="shared" si="8"/>
        <v>INSERT INTO profesores (id,nivel,carrera,grupo,nombre,materia,sexo,sello) VALUES (1216,'LICENCIATURA','NUTRICION Y GASTRONOMIA','NUT 4°','CHILPA ABOYTES ABIGAIL NOHEMI','LACTEOS','FEMENINO',0);</v>
      </c>
    </row>
    <row r="218" spans="1:10" ht="72.5" x14ac:dyDescent="0.35">
      <c r="A218" s="8">
        <v>1217</v>
      </c>
      <c r="B218" s="9" t="s">
        <v>736</v>
      </c>
      <c r="C218" s="10" t="s">
        <v>1084</v>
      </c>
      <c r="D218" s="8" t="s">
        <v>1433</v>
      </c>
      <c r="E218" s="8" t="s">
        <v>678</v>
      </c>
      <c r="F218" s="8" t="s">
        <v>1103</v>
      </c>
      <c r="G218" s="8" t="s">
        <v>721</v>
      </c>
      <c r="H218" s="8">
        <v>0</v>
      </c>
      <c r="I218" s="8" t="str">
        <f t="shared" si="7"/>
        <v>1217,'LICENCIATURA','NUTRICION Y GASTRONOMIA','NUT 4°','GONZALEZ ALVAREZ MARIA TERESA','EVALUACION DEL ESTADO NUTRICIO','FEMENINO',0</v>
      </c>
      <c r="J218" s="8" t="str">
        <f t="shared" si="8"/>
        <v>INSERT INTO profesores (id,nivel,carrera,grupo,nombre,materia,sexo,sello) VALUES (1217,'LICENCIATURA','NUTRICION Y GASTRONOMIA','NUT 4°','GONZALEZ ALVAREZ MARIA TERESA','EVALUACION DEL ESTADO NUTRICIO','FEMENINO',0);</v>
      </c>
    </row>
    <row r="219" spans="1:10" ht="72.5" x14ac:dyDescent="0.35">
      <c r="A219" s="8">
        <v>1218</v>
      </c>
      <c r="B219" s="9" t="s">
        <v>736</v>
      </c>
      <c r="C219" s="10" t="s">
        <v>1084</v>
      </c>
      <c r="D219" s="8" t="s">
        <v>1433</v>
      </c>
      <c r="E219" s="8" t="s">
        <v>611</v>
      </c>
      <c r="F219" s="8" t="s">
        <v>1105</v>
      </c>
      <c r="G219" s="8" t="s">
        <v>722</v>
      </c>
      <c r="H219" s="8">
        <v>0</v>
      </c>
      <c r="I219" s="8" t="str">
        <f t="shared" si="7"/>
        <v>1218,'LICENCIATURA','NUTRICION Y GASTRONOMIA','NUT 4°','MARQUEZ CORONA FRANCISCO ALBERTO','ENDOCRINOLOGIA','MASCULINO',0</v>
      </c>
      <c r="J219" s="8" t="str">
        <f t="shared" si="8"/>
        <v>INSERT INTO profesores (id,nivel,carrera,grupo,nombre,materia,sexo,sello) VALUES (1218,'LICENCIATURA','NUTRICION Y GASTRONOMIA','NUT 4°','MARQUEZ CORONA FRANCISCO ALBERTO','ENDOCRINOLOGIA','MASCULINO',0);</v>
      </c>
    </row>
    <row r="220" spans="1:10" ht="72.5" x14ac:dyDescent="0.35">
      <c r="A220" s="8">
        <v>1219</v>
      </c>
      <c r="B220" s="9" t="s">
        <v>736</v>
      </c>
      <c r="C220" s="10" t="s">
        <v>1084</v>
      </c>
      <c r="D220" s="8" t="s">
        <v>1433</v>
      </c>
      <c r="E220" s="8" t="s">
        <v>606</v>
      </c>
      <c r="F220" s="8" t="s">
        <v>1107</v>
      </c>
      <c r="G220" s="8" t="s">
        <v>721</v>
      </c>
      <c r="H220" s="8">
        <v>0</v>
      </c>
      <c r="I220" s="8" t="str">
        <f t="shared" si="7"/>
        <v>1219,'LICENCIATURA','NUTRICION Y GASTRONOMIA','NUT 4°','SALCEDO ROSALES ERIKA IVETTE','PSICOLOGIA EN NUTRICION','FEMENINO',0</v>
      </c>
      <c r="J220" s="8" t="str">
        <f t="shared" si="8"/>
        <v>INSERT INTO profesores (id,nivel,carrera,grupo,nombre,materia,sexo,sello) VALUES (1219,'LICENCIATURA','NUTRICION Y GASTRONOMIA','NUT 4°','SALCEDO ROSALES ERIKA IVETTE','PSICOLOGIA EN NUTRICION','FEMENINO',0);</v>
      </c>
    </row>
    <row r="221" spans="1:10" ht="72.5" x14ac:dyDescent="0.35">
      <c r="A221" s="8">
        <v>1220</v>
      </c>
      <c r="B221" s="9" t="s">
        <v>736</v>
      </c>
      <c r="C221" s="10" t="s">
        <v>1084</v>
      </c>
      <c r="D221" s="8" t="s">
        <v>1433</v>
      </c>
      <c r="E221" s="8" t="s">
        <v>579</v>
      </c>
      <c r="F221" s="8" t="s">
        <v>1108</v>
      </c>
      <c r="G221" s="8" t="s">
        <v>721</v>
      </c>
      <c r="H221" s="8">
        <v>0</v>
      </c>
      <c r="I221" s="8" t="str">
        <f t="shared" si="7"/>
        <v>1220,'LICENCIATURA','NUTRICION Y GASTRONOMIA','NUT 4°','VEGA ROMAN CITLALIN','FARMACOLOGIA','FEMENINO',0</v>
      </c>
      <c r="J221" s="8" t="str">
        <f t="shared" si="8"/>
        <v>INSERT INTO profesores (id,nivel,carrera,grupo,nombre,materia,sexo,sello) VALUES (1220,'LICENCIATURA','NUTRICION Y GASTRONOMIA','NUT 4°','VEGA ROMAN CITLALIN','FARMACOLOGIA','FEMENINO',0);</v>
      </c>
    </row>
    <row r="222" spans="1:10" ht="72.5" x14ac:dyDescent="0.35">
      <c r="A222" s="8">
        <v>1221</v>
      </c>
      <c r="B222" s="9" t="s">
        <v>736</v>
      </c>
      <c r="C222" s="10" t="s">
        <v>1084</v>
      </c>
      <c r="D222" s="8" t="s">
        <v>1434</v>
      </c>
      <c r="E222" s="8" t="s">
        <v>593</v>
      </c>
      <c r="F222" s="8" t="s">
        <v>1110</v>
      </c>
      <c r="G222" s="8" t="s">
        <v>721</v>
      </c>
      <c r="H222" s="8">
        <v>0</v>
      </c>
      <c r="I222" s="8" t="str">
        <f t="shared" si="7"/>
        <v>1221,'LICENCIATURA','NUTRICION Y GASTRONOMIA','NUT 6°','CAMACHO BUENROSTRO DENNIS','NUTRICION EN GINECOLOGIA Y PEDIATRIA','FEMENINO',0</v>
      </c>
      <c r="J222" s="8" t="str">
        <f t="shared" si="8"/>
        <v>INSERT INTO profesores (id,nivel,carrera,grupo,nombre,materia,sexo,sello) VALUES (1221,'LICENCIATURA','NUTRICION Y GASTRONOMIA','NUT 6°','CAMACHO BUENROSTRO DENNIS','NUTRICION EN GINECOLOGIA Y PEDIATRIA','FEMENINO',0);</v>
      </c>
    </row>
    <row r="223" spans="1:10" ht="87" x14ac:dyDescent="0.35">
      <c r="A223" s="8">
        <v>1222</v>
      </c>
      <c r="B223" s="9" t="s">
        <v>736</v>
      </c>
      <c r="C223" s="10" t="s">
        <v>1084</v>
      </c>
      <c r="D223" s="8" t="s">
        <v>1434</v>
      </c>
      <c r="E223" s="8" t="s">
        <v>674</v>
      </c>
      <c r="F223" s="8" t="s">
        <v>1113</v>
      </c>
      <c r="G223" s="8" t="s">
        <v>721</v>
      </c>
      <c r="H223" s="8">
        <v>0</v>
      </c>
      <c r="I223" s="8" t="str">
        <f t="shared" si="7"/>
        <v>1222,'LICENCIATURA','NUTRICION Y GASTRONOMIA','NUT 6°','MIRANDA MORTERA MARIA DOLORES','ADMINISTRACION DE SERVICIOS ALIMENTICIOS','FEMENINO',0</v>
      </c>
      <c r="J223" s="8" t="str">
        <f t="shared" si="8"/>
        <v>INSERT INTO profesores (id,nivel,carrera,grupo,nombre,materia,sexo,sello) VALUES (1222,'LICENCIATURA','NUTRICION Y GASTRONOMIA','NUT 6°','MIRANDA MORTERA MARIA DOLORES','ADMINISTRACION DE SERVICIOS ALIMENTICIOS','FEMENINO',0);</v>
      </c>
    </row>
    <row r="224" spans="1:10" ht="72.5" x14ac:dyDescent="0.35">
      <c r="A224" s="8">
        <v>1223</v>
      </c>
      <c r="B224" s="9" t="s">
        <v>736</v>
      </c>
      <c r="C224" s="10" t="s">
        <v>1084</v>
      </c>
      <c r="D224" s="8" t="s">
        <v>1434</v>
      </c>
      <c r="E224" s="8" t="s">
        <v>663</v>
      </c>
      <c r="F224" s="8" t="s">
        <v>1115</v>
      </c>
      <c r="G224" s="8" t="s">
        <v>721</v>
      </c>
      <c r="H224" s="8">
        <v>0</v>
      </c>
      <c r="I224" s="8" t="str">
        <f t="shared" si="7"/>
        <v>1223,'LICENCIATURA','NUTRICION Y GASTRONOMIA','NUT 6°','MORENO TERAN LIZETTE SARAI','TALLER DE ORIENTACION ALIMENTARIA','FEMENINO',0</v>
      </c>
      <c r="J224" s="8" t="str">
        <f t="shared" si="8"/>
        <v>INSERT INTO profesores (id,nivel,carrera,grupo,nombre,materia,sexo,sello) VALUES (1223,'LICENCIATURA','NUTRICION Y GASTRONOMIA','NUT 6°','MORENO TERAN LIZETTE SARAI','TALLER DE ORIENTACION ALIMENTARIA','FEMENINO',0);</v>
      </c>
    </row>
    <row r="225" spans="1:10" ht="72.5" x14ac:dyDescent="0.35">
      <c r="A225" s="8">
        <v>1224</v>
      </c>
      <c r="B225" s="9" t="s">
        <v>736</v>
      </c>
      <c r="C225" s="10" t="s">
        <v>1084</v>
      </c>
      <c r="D225" s="8" t="s">
        <v>1434</v>
      </c>
      <c r="E225" s="8" t="s">
        <v>709</v>
      </c>
      <c r="F225" s="8" t="s">
        <v>1117</v>
      </c>
      <c r="G225" s="8" t="s">
        <v>722</v>
      </c>
      <c r="H225" s="8">
        <v>0</v>
      </c>
      <c r="I225" s="8" t="str">
        <f t="shared" si="7"/>
        <v>1224,'LICENCIATURA','NUTRICION Y GASTRONOMIA','NUT 6°','PEÑA CAMACHO RODRIGO','NUTRICION CLINICA I','MASCULINO',0</v>
      </c>
      <c r="J225" s="8" t="str">
        <f t="shared" si="8"/>
        <v>INSERT INTO profesores (id,nivel,carrera,grupo,nombre,materia,sexo,sello) VALUES (1224,'LICENCIATURA','NUTRICION Y GASTRONOMIA','NUT 6°','PEÑA CAMACHO RODRIGO','NUTRICION CLINICA I','MASCULINO',0);</v>
      </c>
    </row>
    <row r="226" spans="1:10" ht="72.5" x14ac:dyDescent="0.35">
      <c r="A226" s="8">
        <v>1225</v>
      </c>
      <c r="B226" s="9" t="s">
        <v>736</v>
      </c>
      <c r="C226" s="10" t="s">
        <v>1084</v>
      </c>
      <c r="D226" s="8" t="s">
        <v>1434</v>
      </c>
      <c r="E226" s="8" t="s">
        <v>605</v>
      </c>
      <c r="F226" s="8" t="s">
        <v>1119</v>
      </c>
      <c r="G226" s="8" t="s">
        <v>721</v>
      </c>
      <c r="H226" s="8">
        <v>0</v>
      </c>
      <c r="I226" s="8" t="str">
        <f t="shared" si="7"/>
        <v>1225,'LICENCIATURA','NUTRICION Y GASTRONOMIA','NUT 6°','PONCE SAAVEDRA ERIKA ALICIA','REPOSTERIA BASICA','FEMENINO',0</v>
      </c>
      <c r="J226" s="8" t="str">
        <f t="shared" si="8"/>
        <v>INSERT INTO profesores (id,nivel,carrera,grupo,nombre,materia,sexo,sello) VALUES (1225,'LICENCIATURA','NUTRICION Y GASTRONOMIA','NUT 6°','PONCE SAAVEDRA ERIKA ALICIA','REPOSTERIA BASICA','FEMENINO',0);</v>
      </c>
    </row>
    <row r="227" spans="1:10" ht="72.5" x14ac:dyDescent="0.35">
      <c r="A227" s="8">
        <v>1226</v>
      </c>
      <c r="B227" s="9" t="s">
        <v>736</v>
      </c>
      <c r="C227" s="10" t="s">
        <v>1084</v>
      </c>
      <c r="D227" s="8" t="s">
        <v>1434</v>
      </c>
      <c r="E227" s="8" t="s">
        <v>666</v>
      </c>
      <c r="F227" s="8" t="s">
        <v>1121</v>
      </c>
      <c r="G227" s="8" t="s">
        <v>722</v>
      </c>
      <c r="H227" s="8">
        <v>0</v>
      </c>
      <c r="I227" s="8" t="str">
        <f t="shared" si="7"/>
        <v>1226,'LICENCIATURA','NUTRICION Y GASTRONOMIA','NUT 6°','ROMERO  CORDOVA LUIS ARTURO','BEBIDAS AVANZADAS','MASCULINO',0</v>
      </c>
      <c r="J227" s="8" t="str">
        <f t="shared" si="8"/>
        <v>INSERT INTO profesores (id,nivel,carrera,grupo,nombre,materia,sexo,sello) VALUES (1226,'LICENCIATURA','NUTRICION Y GASTRONOMIA','NUT 6°','ROMERO  CORDOVA LUIS ARTURO','BEBIDAS AVANZADAS','MASCULINO',0);</v>
      </c>
    </row>
    <row r="228" spans="1:10" ht="72.5" x14ac:dyDescent="0.35">
      <c r="A228" s="8">
        <v>1227</v>
      </c>
      <c r="B228" s="9" t="s">
        <v>736</v>
      </c>
      <c r="C228" s="10" t="s">
        <v>1084</v>
      </c>
      <c r="D228" s="8" t="s">
        <v>1435</v>
      </c>
      <c r="E228" s="8" t="s">
        <v>633</v>
      </c>
      <c r="F228" s="8" t="s">
        <v>1123</v>
      </c>
      <c r="G228" s="8" t="s">
        <v>722</v>
      </c>
      <c r="H228" s="8">
        <v>0</v>
      </c>
      <c r="I228" s="8" t="str">
        <f t="shared" si="7"/>
        <v>1227,'LICENCIATURA','NUTRICION Y GASTRONOMIA','NUT 8°','BEGINES CINCO JESUS HIRAM','MUKIMONO','MASCULINO',0</v>
      </c>
      <c r="J228" s="8" t="str">
        <f t="shared" si="8"/>
        <v>INSERT INTO profesores (id,nivel,carrera,grupo,nombre,materia,sexo,sello) VALUES (1227,'LICENCIATURA','NUTRICION Y GASTRONOMIA','NUT 8°','BEGINES CINCO JESUS HIRAM','MUKIMONO','MASCULINO',0);</v>
      </c>
    </row>
    <row r="229" spans="1:10" ht="72.5" x14ac:dyDescent="0.35">
      <c r="A229" s="8">
        <v>1228</v>
      </c>
      <c r="B229" s="9" t="s">
        <v>736</v>
      </c>
      <c r="C229" s="10" t="s">
        <v>1084</v>
      </c>
      <c r="D229" s="8" t="s">
        <v>1435</v>
      </c>
      <c r="E229" s="8" t="s">
        <v>656</v>
      </c>
      <c r="F229" s="8" t="s">
        <v>1125</v>
      </c>
      <c r="G229" s="8" t="s">
        <v>721</v>
      </c>
      <c r="H229" s="8">
        <v>0</v>
      </c>
      <c r="I229" s="8" t="str">
        <f t="shared" si="7"/>
        <v>1228,'LICENCIATURA','NUTRICION Y GASTRONOMIA','NUT 8°','GAMA GOMEZ LAURA JEZABEL','MERCADOTECNIA EN ALIMENTOS','FEMENINO',0</v>
      </c>
      <c r="J229" s="8" t="str">
        <f t="shared" si="8"/>
        <v>INSERT INTO profesores (id,nivel,carrera,grupo,nombre,materia,sexo,sello) VALUES (1228,'LICENCIATURA','NUTRICION Y GASTRONOMIA','NUT 8°','GAMA GOMEZ LAURA JEZABEL','MERCADOTECNIA EN ALIMENTOS','FEMENINO',0);</v>
      </c>
    </row>
    <row r="230" spans="1:10" ht="72.5" x14ac:dyDescent="0.35">
      <c r="A230" s="8">
        <v>1229</v>
      </c>
      <c r="B230" s="9" t="s">
        <v>736</v>
      </c>
      <c r="C230" s="10" t="s">
        <v>1084</v>
      </c>
      <c r="D230" s="8" t="s">
        <v>1435</v>
      </c>
      <c r="E230" s="8" t="s">
        <v>601</v>
      </c>
      <c r="F230" s="8" t="s">
        <v>1127</v>
      </c>
      <c r="G230" s="8" t="s">
        <v>722</v>
      </c>
      <c r="H230" s="8">
        <v>0</v>
      </c>
      <c r="I230" s="8" t="str">
        <f t="shared" si="7"/>
        <v>1229,'LICENCIATURA','NUTRICION Y GASTRONOMIA','NUT 8°','GONZALEZ GONZALEZ ENRIQUE','BIOETICA','MASCULINO',0</v>
      </c>
      <c r="J230" s="8" t="str">
        <f t="shared" si="8"/>
        <v>INSERT INTO profesores (id,nivel,carrera,grupo,nombre,materia,sexo,sello) VALUES (1229,'LICENCIATURA','NUTRICION Y GASTRONOMIA','NUT 8°','GONZALEZ GONZALEZ ENRIQUE','BIOETICA','MASCULINO',0);</v>
      </c>
    </row>
    <row r="231" spans="1:10" ht="72.5" x14ac:dyDescent="0.35">
      <c r="A231" s="8">
        <v>1230</v>
      </c>
      <c r="B231" s="9" t="s">
        <v>736</v>
      </c>
      <c r="C231" s="10" t="s">
        <v>1084</v>
      </c>
      <c r="D231" s="8" t="s">
        <v>1435</v>
      </c>
      <c r="E231" s="8" t="s">
        <v>611</v>
      </c>
      <c r="F231" s="8" t="s">
        <v>1128</v>
      </c>
      <c r="G231" s="8" t="s">
        <v>722</v>
      </c>
      <c r="H231" s="8">
        <v>0</v>
      </c>
      <c r="I231" s="8" t="str">
        <f t="shared" si="7"/>
        <v>1230,'LICENCIATURA','NUTRICION Y GASTRONOMIA','NUT 8°','MARQUEZ CORONA FRANCISCO ALBERTO','NUTRICION EN GERIATRIA','MASCULINO',0</v>
      </c>
      <c r="J231" s="8" t="str">
        <f t="shared" si="8"/>
        <v>INSERT INTO profesores (id,nivel,carrera,grupo,nombre,materia,sexo,sello) VALUES (1230,'LICENCIATURA','NUTRICION Y GASTRONOMIA','NUT 8°','MARQUEZ CORONA FRANCISCO ALBERTO','NUTRICION EN GERIATRIA','MASCULINO',0);</v>
      </c>
    </row>
    <row r="232" spans="1:10" ht="72.5" x14ac:dyDescent="0.35">
      <c r="A232" s="8">
        <v>1231</v>
      </c>
      <c r="B232" s="9" t="s">
        <v>736</v>
      </c>
      <c r="C232" s="10" t="s">
        <v>1084</v>
      </c>
      <c r="D232" s="8" t="s">
        <v>1435</v>
      </c>
      <c r="E232" s="8" t="s">
        <v>655</v>
      </c>
      <c r="F232" s="8" t="s">
        <v>1129</v>
      </c>
      <c r="G232" s="8" t="s">
        <v>721</v>
      </c>
      <c r="H232" s="8">
        <v>0</v>
      </c>
      <c r="I232" s="8" t="str">
        <f t="shared" si="7"/>
        <v>1231,'LICENCIATURA','NUTRICION Y GASTRONOMIA','NUT 8°','RIVAS RODRIGUEZ LAURA','COCINA VEGETARIANA Y VEGANA','FEMENINO',0</v>
      </c>
      <c r="J232" s="8" t="str">
        <f t="shared" si="8"/>
        <v>INSERT INTO profesores (id,nivel,carrera,grupo,nombre,materia,sexo,sello) VALUES (1231,'LICENCIATURA','NUTRICION Y GASTRONOMIA','NUT 8°','RIVAS RODRIGUEZ LAURA','COCINA VEGETARIANA Y VEGANA','FEMENINO',0);</v>
      </c>
    </row>
    <row r="233" spans="1:10" ht="72.5" x14ac:dyDescent="0.35">
      <c r="A233" s="8">
        <v>1232</v>
      </c>
      <c r="B233" s="9" t="s">
        <v>736</v>
      </c>
      <c r="C233" s="10" t="s">
        <v>1084</v>
      </c>
      <c r="D233" s="8" t="s">
        <v>1435</v>
      </c>
      <c r="E233" s="8" t="s">
        <v>627</v>
      </c>
      <c r="F233" s="8" t="s">
        <v>1131</v>
      </c>
      <c r="G233" s="8" t="s">
        <v>722</v>
      </c>
      <c r="H233" s="8">
        <v>0</v>
      </c>
      <c r="I233" s="8" t="str">
        <f t="shared" si="7"/>
        <v>1232,'LICENCIATURA','NUTRICION Y GASTRONOMIA','NUT 8°','RODRIGUEZ ALONSO IRVING TRINIDAD','NUTRICION EN LA ACTIVIDAD FISICA Y DEPORTE','MASCULINO',0</v>
      </c>
      <c r="J233" s="8" t="str">
        <f t="shared" si="8"/>
        <v>INSERT INTO profesores (id,nivel,carrera,grupo,nombre,materia,sexo,sello) VALUES (1232,'LICENCIATURA','NUTRICION Y GASTRONOMIA','NUT 8°','RODRIGUEZ ALONSO IRVING TRINIDAD','NUTRICION EN LA ACTIVIDAD FISICA Y DEPORTE','MASCULINO',0);</v>
      </c>
    </row>
    <row r="234" spans="1:10" ht="72.5" x14ac:dyDescent="0.35">
      <c r="A234" s="8">
        <v>1233</v>
      </c>
      <c r="B234" s="9" t="s">
        <v>736</v>
      </c>
      <c r="C234" s="10" t="s">
        <v>1134</v>
      </c>
      <c r="D234" s="8" t="s">
        <v>1436</v>
      </c>
      <c r="E234" s="8" t="s">
        <v>619</v>
      </c>
      <c r="F234" s="8" t="s">
        <v>1133</v>
      </c>
      <c r="G234" s="8" t="s">
        <v>722</v>
      </c>
      <c r="H234" s="8">
        <v>0</v>
      </c>
      <c r="I234" s="8" t="str">
        <f t="shared" si="7"/>
        <v>1233,'LICENCIATURA','PSICOLOGIA','PSI 2°','FLORES GUZMAN HECTOR ALFONSO','PROMOCION COMUNITARIA Y PSICOLOGIA DE LA SALUD','MASCULINO',0</v>
      </c>
      <c r="J234" s="8" t="str">
        <f t="shared" si="8"/>
        <v>INSERT INTO profesores (id,nivel,carrera,grupo,nombre,materia,sexo,sello) VALUES (1233,'LICENCIATURA','PSICOLOGIA','PSI 2°','FLORES GUZMAN HECTOR ALFONSO','PROMOCION COMUNITARIA Y PSICOLOGIA DE LA SALUD','MASCULINO',0);</v>
      </c>
    </row>
    <row r="235" spans="1:10" ht="72.5" x14ac:dyDescent="0.35">
      <c r="A235" s="8">
        <v>1234</v>
      </c>
      <c r="B235" s="9" t="s">
        <v>736</v>
      </c>
      <c r="C235" s="10" t="s">
        <v>1134</v>
      </c>
      <c r="D235" s="8" t="s">
        <v>1436</v>
      </c>
      <c r="E235" s="8" t="s">
        <v>559</v>
      </c>
      <c r="F235" s="8" t="s">
        <v>1137</v>
      </c>
      <c r="G235" s="8" t="s">
        <v>722</v>
      </c>
      <c r="H235" s="8">
        <v>0</v>
      </c>
      <c r="I235" s="8" t="str">
        <f t="shared" si="7"/>
        <v>1234,'LICENCIATURA','PSICOLOGIA','PSI 2°','GARCIA VALDERRAMA ALFREDO','BASES DE LA NEUROCIENCIA','MASCULINO',0</v>
      </c>
      <c r="J235" s="8" t="str">
        <f t="shared" si="8"/>
        <v>INSERT INTO profesores (id,nivel,carrera,grupo,nombre,materia,sexo,sello) VALUES (1234,'LICENCIATURA','PSICOLOGIA','PSI 2°','GARCIA VALDERRAMA ALFREDO','BASES DE LA NEUROCIENCIA','MASCULINO',0);</v>
      </c>
    </row>
    <row r="236" spans="1:10" ht="72.5" x14ac:dyDescent="0.35">
      <c r="A236" s="8">
        <v>1235</v>
      </c>
      <c r="B236" s="9" t="s">
        <v>736</v>
      </c>
      <c r="C236" s="10" t="s">
        <v>1134</v>
      </c>
      <c r="D236" s="8" t="s">
        <v>1436</v>
      </c>
      <c r="E236" s="8" t="s">
        <v>591</v>
      </c>
      <c r="F236" s="8" t="s">
        <v>1139</v>
      </c>
      <c r="G236" s="8" t="s">
        <v>722</v>
      </c>
      <c r="H236" s="8">
        <v>0</v>
      </c>
      <c r="I236" s="8" t="str">
        <f t="shared" si="7"/>
        <v>1235,'LICENCIATURA','PSICOLOGIA','PSI 2°','GOMEZ PEREZ DAVID UBALDO','TEORIAS DE LA PERSONALIDAD I','MASCULINO',0</v>
      </c>
      <c r="J236" s="8" t="str">
        <f t="shared" si="8"/>
        <v>INSERT INTO profesores (id,nivel,carrera,grupo,nombre,materia,sexo,sello) VALUES (1235,'LICENCIATURA','PSICOLOGIA','PSI 2°','GOMEZ PEREZ DAVID UBALDO','TEORIAS DE LA PERSONALIDAD I','MASCULINO',0);</v>
      </c>
    </row>
    <row r="237" spans="1:10" ht="58" x14ac:dyDescent="0.35">
      <c r="A237" s="8">
        <v>1236</v>
      </c>
      <c r="B237" s="9" t="s">
        <v>736</v>
      </c>
      <c r="C237" s="10" t="s">
        <v>1134</v>
      </c>
      <c r="D237" s="8" t="s">
        <v>1436</v>
      </c>
      <c r="E237" s="8" t="s">
        <v>571</v>
      </c>
      <c r="F237" s="8" t="s">
        <v>1141</v>
      </c>
      <c r="G237" s="8" t="s">
        <v>721</v>
      </c>
      <c r="H237" s="8">
        <v>0</v>
      </c>
      <c r="I237" s="8" t="str">
        <f t="shared" si="7"/>
        <v>1236,'LICENCIATURA','PSICOLOGIA','PSI 2°','GUERRA RIOS BRENDA JEANNETTE','MANEJO DE GRUPO','FEMENINO',0</v>
      </c>
      <c r="J237" s="8" t="str">
        <f t="shared" si="8"/>
        <v>INSERT INTO profesores (id,nivel,carrera,grupo,nombre,materia,sexo,sello) VALUES (1236,'LICENCIATURA','PSICOLOGIA','PSI 2°','GUERRA RIOS BRENDA JEANNETTE','MANEJO DE GRUPO','FEMENINO',0);</v>
      </c>
    </row>
    <row r="238" spans="1:10" ht="72.5" x14ac:dyDescent="0.35">
      <c r="A238" s="8">
        <v>1237</v>
      </c>
      <c r="B238" s="9" t="s">
        <v>736</v>
      </c>
      <c r="C238" s="10" t="s">
        <v>1134</v>
      </c>
      <c r="D238" s="8" t="s">
        <v>1436</v>
      </c>
      <c r="E238" s="8" t="s">
        <v>690</v>
      </c>
      <c r="F238" s="8" t="s">
        <v>1143</v>
      </c>
      <c r="G238" s="8" t="s">
        <v>721</v>
      </c>
      <c r="H238" s="8">
        <v>0</v>
      </c>
      <c r="I238" s="8" t="str">
        <f t="shared" si="7"/>
        <v>1237,'LICENCIATURA','PSICOLOGIA','PSI 2°','PEREZ CAMACHO MONSERRAT MARLEM','PSICOLOGIA DE LA INFANCIA Y ADOLESCENCIA','FEMENINO',0</v>
      </c>
      <c r="J238" s="8" t="str">
        <f t="shared" si="8"/>
        <v>INSERT INTO profesores (id,nivel,carrera,grupo,nombre,materia,sexo,sello) VALUES (1237,'LICENCIATURA','PSICOLOGIA','PSI 2°','PEREZ CAMACHO MONSERRAT MARLEM','PSICOLOGIA DE LA INFANCIA Y ADOLESCENCIA','FEMENINO',0);</v>
      </c>
    </row>
    <row r="239" spans="1:10" ht="72.5" x14ac:dyDescent="0.35">
      <c r="A239" s="8">
        <v>1238</v>
      </c>
      <c r="B239" s="9" t="s">
        <v>736</v>
      </c>
      <c r="C239" s="10" t="s">
        <v>1134</v>
      </c>
      <c r="D239" s="8" t="s">
        <v>1436</v>
      </c>
      <c r="E239" s="8" t="s">
        <v>610</v>
      </c>
      <c r="F239" s="8" t="s">
        <v>1145</v>
      </c>
      <c r="G239" s="8" t="s">
        <v>722</v>
      </c>
      <c r="H239" s="8">
        <v>0</v>
      </c>
      <c r="I239" s="8" t="str">
        <f t="shared" si="7"/>
        <v>1238,'LICENCIATURA','PSICOLOGIA','PSI 2°','TAPIA VELAZQUEZ FRANCISCO','ENFOQUE DE LA ENSEÑANZA APRENDIZAJE','MASCULINO',0</v>
      </c>
      <c r="J239" s="8" t="str">
        <f t="shared" si="8"/>
        <v>INSERT INTO profesores (id,nivel,carrera,grupo,nombre,materia,sexo,sello) VALUES (1238,'LICENCIATURA','PSICOLOGIA','PSI 2°','TAPIA VELAZQUEZ FRANCISCO','ENFOQUE DE LA ENSEÑANZA APRENDIZAJE','MASCULINO',0);</v>
      </c>
    </row>
    <row r="240" spans="1:10" ht="72.5" x14ac:dyDescent="0.35">
      <c r="A240" s="8">
        <v>1239</v>
      </c>
      <c r="B240" s="9" t="s">
        <v>736</v>
      </c>
      <c r="C240" s="10" t="s">
        <v>1134</v>
      </c>
      <c r="D240" s="8" t="s">
        <v>1437</v>
      </c>
      <c r="E240" s="8" t="s">
        <v>566</v>
      </c>
      <c r="F240" s="8" t="s">
        <v>1147</v>
      </c>
      <c r="G240" s="8" t="s">
        <v>722</v>
      </c>
      <c r="H240" s="8">
        <v>0</v>
      </c>
      <c r="I240" s="8" t="str">
        <f t="shared" si="7"/>
        <v>1239,'LICENCIATURA','PSICOLOGIA','PSI 4°','AVALOS TORRES ANGEL ALEJANDRO','PSICOLOGIA SOCIAL','MASCULINO',0</v>
      </c>
      <c r="J240" s="8" t="str">
        <f t="shared" si="8"/>
        <v>INSERT INTO profesores (id,nivel,carrera,grupo,nombre,materia,sexo,sello) VALUES (1239,'LICENCIATURA','PSICOLOGIA','PSI 4°','AVALOS TORRES ANGEL ALEJANDRO','PSICOLOGIA SOCIAL','MASCULINO',0);</v>
      </c>
    </row>
    <row r="241" spans="1:10" ht="72.5" x14ac:dyDescent="0.35">
      <c r="A241" s="8">
        <v>1240</v>
      </c>
      <c r="B241" s="9" t="s">
        <v>736</v>
      </c>
      <c r="C241" s="10" t="s">
        <v>1134</v>
      </c>
      <c r="D241" s="8" t="s">
        <v>1437</v>
      </c>
      <c r="E241" s="8" t="s">
        <v>625</v>
      </c>
      <c r="F241" s="8" t="s">
        <v>1150</v>
      </c>
      <c r="G241" s="8" t="s">
        <v>722</v>
      </c>
      <c r="H241" s="8">
        <v>0</v>
      </c>
      <c r="I241" s="8" t="str">
        <f t="shared" si="7"/>
        <v>1240,'LICENCIATURA','PSICOLOGIA','PSI 4°','BARRERA SANCHEZ IAN ALEJANDRO','PSICOGERONTOLOGIA','MASCULINO',0</v>
      </c>
      <c r="J241" s="8" t="str">
        <f t="shared" si="8"/>
        <v>INSERT INTO profesores (id,nivel,carrera,grupo,nombre,materia,sexo,sello) VALUES (1240,'LICENCIATURA','PSICOLOGIA','PSI 4°','BARRERA SANCHEZ IAN ALEJANDRO','PSICOGERONTOLOGIA','MASCULINO',0);</v>
      </c>
    </row>
    <row r="242" spans="1:10" ht="72.5" x14ac:dyDescent="0.35">
      <c r="A242" s="8">
        <v>1241</v>
      </c>
      <c r="B242" s="9" t="s">
        <v>736</v>
      </c>
      <c r="C242" s="10" t="s">
        <v>1134</v>
      </c>
      <c r="D242" s="8" t="s">
        <v>1437</v>
      </c>
      <c r="E242" s="8" t="s">
        <v>583</v>
      </c>
      <c r="F242" s="8" t="s">
        <v>1152</v>
      </c>
      <c r="G242" s="8" t="s">
        <v>721</v>
      </c>
      <c r="H242" s="8">
        <v>0</v>
      </c>
      <c r="I242" s="8" t="str">
        <f t="shared" si="7"/>
        <v>1241,'LICENCIATURA','PSICOLOGIA','PSI 4°','CORTES VELASCO CLAUDIA PAOLA','DISEÑO DE PROGRAMAS PSICOEDUCATIVOS','FEMENINO',0</v>
      </c>
      <c r="J242" s="8" t="str">
        <f t="shared" si="8"/>
        <v>INSERT INTO profesores (id,nivel,carrera,grupo,nombre,materia,sexo,sello) VALUES (1241,'LICENCIATURA','PSICOLOGIA','PSI 4°','CORTES VELASCO CLAUDIA PAOLA','DISEÑO DE PROGRAMAS PSICOEDUCATIVOS','FEMENINO',0);</v>
      </c>
    </row>
    <row r="243" spans="1:10" ht="72.5" x14ac:dyDescent="0.35">
      <c r="A243" s="8">
        <v>1242</v>
      </c>
      <c r="B243" s="9" t="s">
        <v>736</v>
      </c>
      <c r="C243" s="10" t="s">
        <v>1134</v>
      </c>
      <c r="D243" s="8" t="s">
        <v>1437</v>
      </c>
      <c r="E243" s="8" t="s">
        <v>619</v>
      </c>
      <c r="F243" s="8" t="s">
        <v>1154</v>
      </c>
      <c r="G243" s="8" t="s">
        <v>722</v>
      </c>
      <c r="H243" s="8">
        <v>0</v>
      </c>
      <c r="I243" s="8" t="str">
        <f t="shared" si="7"/>
        <v>1242,'LICENCIATURA','PSICOLOGIA','PSI 4°','FLORES GUZMAN HECTOR ALFONSO','METODOS DE DIAGNOSTICO','MASCULINO',0</v>
      </c>
      <c r="J243" s="8" t="str">
        <f t="shared" si="8"/>
        <v>INSERT INTO profesores (id,nivel,carrera,grupo,nombre,materia,sexo,sello) VALUES (1242,'LICENCIATURA','PSICOLOGIA','PSI 4°','FLORES GUZMAN HECTOR ALFONSO','METODOS DE DIAGNOSTICO','MASCULINO',0);</v>
      </c>
    </row>
    <row r="244" spans="1:10" ht="58" x14ac:dyDescent="0.35">
      <c r="A244" s="8">
        <v>1243</v>
      </c>
      <c r="B244" s="9" t="s">
        <v>736</v>
      </c>
      <c r="C244" s="10" t="s">
        <v>1134</v>
      </c>
      <c r="D244" s="8" t="s">
        <v>1437</v>
      </c>
      <c r="E244" s="8" t="s">
        <v>591</v>
      </c>
      <c r="F244" s="8" t="s">
        <v>1155</v>
      </c>
      <c r="G244" s="8" t="s">
        <v>722</v>
      </c>
      <c r="H244" s="8">
        <v>0</v>
      </c>
      <c r="I244" s="8" t="str">
        <f t="shared" si="7"/>
        <v>1243,'LICENCIATURA','PSICOLOGIA','PSI 4°','GOMEZ PEREZ DAVID UBALDO','SEXUALIDAD HUMANA','MASCULINO',0</v>
      </c>
      <c r="J244" s="8" t="str">
        <f t="shared" si="8"/>
        <v>INSERT INTO profesores (id,nivel,carrera,grupo,nombre,materia,sexo,sello) VALUES (1243,'LICENCIATURA','PSICOLOGIA','PSI 4°','GOMEZ PEREZ DAVID UBALDO','SEXUALIDAD HUMANA','MASCULINO',0);</v>
      </c>
    </row>
    <row r="245" spans="1:10" ht="58" x14ac:dyDescent="0.35">
      <c r="A245" s="8">
        <v>1244</v>
      </c>
      <c r="B245" s="9" t="s">
        <v>736</v>
      </c>
      <c r="C245" s="10" t="s">
        <v>1134</v>
      </c>
      <c r="D245" s="8" t="s">
        <v>1437</v>
      </c>
      <c r="E245" s="8" t="s">
        <v>641</v>
      </c>
      <c r="F245" s="8" t="s">
        <v>1156</v>
      </c>
      <c r="G245" s="8" t="s">
        <v>722</v>
      </c>
      <c r="H245" s="8">
        <v>0</v>
      </c>
      <c r="I245" s="8" t="str">
        <f t="shared" si="7"/>
        <v>1244,'LICENCIATURA','PSICOLOGIA','PSI 4°','LUNA HERRERA JOSE CARLOS','PSICOPATOLOGIA','MASCULINO',0</v>
      </c>
      <c r="J245" s="8" t="str">
        <f t="shared" si="8"/>
        <v>INSERT INTO profesores (id,nivel,carrera,grupo,nombre,materia,sexo,sello) VALUES (1244,'LICENCIATURA','PSICOLOGIA','PSI 4°','LUNA HERRERA JOSE CARLOS','PSICOPATOLOGIA','MASCULINO',0);</v>
      </c>
    </row>
    <row r="246" spans="1:10" ht="72.5" x14ac:dyDescent="0.35">
      <c r="A246" s="8">
        <v>1245</v>
      </c>
      <c r="B246" s="9" t="s">
        <v>736</v>
      </c>
      <c r="C246" s="10" t="s">
        <v>1134</v>
      </c>
      <c r="D246" s="8" t="s">
        <v>1438</v>
      </c>
      <c r="E246" s="8" t="s">
        <v>601</v>
      </c>
      <c r="F246" s="8" t="s">
        <v>1158</v>
      </c>
      <c r="G246" s="8" t="s">
        <v>722</v>
      </c>
      <c r="H246" s="8">
        <v>0</v>
      </c>
      <c r="I246" s="8" t="str">
        <f t="shared" si="7"/>
        <v>1245,'LICENCIATURA','PSICOLOGIA','PSI 6°','GONZALEZ GONZALEZ ENRIQUE','PSICOFARMACOLOGIA','MASCULINO',0</v>
      </c>
      <c r="J246" s="8" t="str">
        <f t="shared" si="8"/>
        <v>INSERT INTO profesores (id,nivel,carrera,grupo,nombre,materia,sexo,sello) VALUES (1245,'LICENCIATURA','PSICOLOGIA','PSI 6°','GONZALEZ GONZALEZ ENRIQUE','PSICOFARMACOLOGIA','MASCULINO',0);</v>
      </c>
    </row>
    <row r="247" spans="1:10" ht="72.5" x14ac:dyDescent="0.35">
      <c r="A247" s="8">
        <v>1246</v>
      </c>
      <c r="B247" s="9" t="s">
        <v>736</v>
      </c>
      <c r="C247" s="10" t="s">
        <v>1134</v>
      </c>
      <c r="D247" s="8" t="s">
        <v>1438</v>
      </c>
      <c r="E247" s="8" t="s">
        <v>571</v>
      </c>
      <c r="F247" s="8" t="s">
        <v>1160</v>
      </c>
      <c r="G247" s="8" t="s">
        <v>721</v>
      </c>
      <c r="H247" s="8">
        <v>0</v>
      </c>
      <c r="I247" s="8" t="str">
        <f t="shared" si="7"/>
        <v>1246,'LICENCIATURA','PSICOLOGIA','PSI 6°','GUERRA RIOS BRENDA JEANNETTE','INTERVENCION PSICOLOGICA DESDE LA GESTALT Y EL HUMANISMO','FEMENINO',0</v>
      </c>
      <c r="J247" s="8" t="str">
        <f t="shared" si="8"/>
        <v>INSERT INTO profesores (id,nivel,carrera,grupo,nombre,materia,sexo,sello) VALUES (1246,'LICENCIATURA','PSICOLOGIA','PSI 6°','GUERRA RIOS BRENDA JEANNETTE','INTERVENCION PSICOLOGICA DESDE LA GESTALT Y EL HUMANISMO','FEMENINO',0);</v>
      </c>
    </row>
    <row r="248" spans="1:10" ht="72.5" x14ac:dyDescent="0.35">
      <c r="A248" s="8">
        <v>1247</v>
      </c>
      <c r="B248" s="9" t="s">
        <v>736</v>
      </c>
      <c r="C248" s="10" t="s">
        <v>1134</v>
      </c>
      <c r="D248" s="8" t="s">
        <v>1438</v>
      </c>
      <c r="E248" s="8" t="s">
        <v>589</v>
      </c>
      <c r="F248" s="8" t="s">
        <v>1161</v>
      </c>
      <c r="G248" s="8" t="s">
        <v>722</v>
      </c>
      <c r="H248" s="8">
        <v>0</v>
      </c>
      <c r="I248" s="8" t="str">
        <f t="shared" si="7"/>
        <v>1247,'LICENCIATURA','PSICOLOGIA','PSI 6°','HERRERA ARAGON DAVID','PROYECTO DE INVESTIGACION EN PSICOLOGIA','MASCULINO',0</v>
      </c>
      <c r="J248" s="8" t="str">
        <f t="shared" si="8"/>
        <v>INSERT INTO profesores (id,nivel,carrera,grupo,nombre,materia,sexo,sello) VALUES (1247,'LICENCIATURA','PSICOLOGIA','PSI 6°','HERRERA ARAGON DAVID','PROYECTO DE INVESTIGACION EN PSICOLOGIA','MASCULINO',0);</v>
      </c>
    </row>
    <row r="249" spans="1:10" ht="72.5" x14ac:dyDescent="0.35">
      <c r="A249" s="8">
        <v>1248</v>
      </c>
      <c r="B249" s="9" t="s">
        <v>736</v>
      </c>
      <c r="C249" s="10" t="s">
        <v>1134</v>
      </c>
      <c r="D249" s="8" t="s">
        <v>1438</v>
      </c>
      <c r="E249" s="8" t="s">
        <v>693</v>
      </c>
      <c r="F249" s="8" t="s">
        <v>1163</v>
      </c>
      <c r="G249" s="8" t="s">
        <v>721</v>
      </c>
      <c r="H249" s="8">
        <v>0</v>
      </c>
      <c r="I249" s="8" t="str">
        <f t="shared" si="7"/>
        <v>1248,'LICENCIATURA','PSICOLOGIA','PSI 6°','JAUREGUI RODRIGUEZ NARDA RUBI','ADMINISTRACION DE RECURSOS HUMANOS ','FEMENINO',0</v>
      </c>
      <c r="J249" s="8" t="str">
        <f t="shared" si="8"/>
        <v>INSERT INTO profesores (id,nivel,carrera,grupo,nombre,materia,sexo,sello) VALUES (1248,'LICENCIATURA','PSICOLOGIA','PSI 6°','JAUREGUI RODRIGUEZ NARDA RUBI','ADMINISTRACION DE RECURSOS HUMANOS ','FEMENINO',0);</v>
      </c>
    </row>
    <row r="250" spans="1:10" ht="72.5" x14ac:dyDescent="0.35">
      <c r="A250" s="8">
        <v>1249</v>
      </c>
      <c r="B250" s="9" t="s">
        <v>736</v>
      </c>
      <c r="C250" s="10" t="s">
        <v>1134</v>
      </c>
      <c r="D250" s="8" t="s">
        <v>1438</v>
      </c>
      <c r="E250" s="8" t="s">
        <v>672</v>
      </c>
      <c r="F250" s="8" t="s">
        <v>1165</v>
      </c>
      <c r="G250" s="8" t="s">
        <v>721</v>
      </c>
      <c r="H250" s="8">
        <v>0</v>
      </c>
      <c r="I250" s="8" t="str">
        <f t="shared" si="7"/>
        <v>1249,'LICENCIATURA','PSICOLOGIA','PSI 6°','RODRIGUEZ AMADOR MARIA DE JESUS','MODELOS PSICOLOGICOS DE INTERVENCION II','FEMENINO',0</v>
      </c>
      <c r="J250" s="8" t="str">
        <f t="shared" si="8"/>
        <v>INSERT INTO profesores (id,nivel,carrera,grupo,nombre,materia,sexo,sello) VALUES (1249,'LICENCIATURA','PSICOLOGIA','PSI 6°','RODRIGUEZ AMADOR MARIA DE JESUS','MODELOS PSICOLOGICOS DE INTERVENCION II','FEMENINO',0);</v>
      </c>
    </row>
    <row r="251" spans="1:10" ht="72.5" x14ac:dyDescent="0.35">
      <c r="A251" s="8">
        <v>1250</v>
      </c>
      <c r="B251" s="9" t="s">
        <v>736</v>
      </c>
      <c r="C251" s="10" t="s">
        <v>1134</v>
      </c>
      <c r="D251" s="8" t="s">
        <v>1439</v>
      </c>
      <c r="E251" s="8" t="s">
        <v>573</v>
      </c>
      <c r="F251" s="8" t="s">
        <v>1167</v>
      </c>
      <c r="G251" s="8" t="s">
        <v>721</v>
      </c>
      <c r="H251" s="8">
        <v>0</v>
      </c>
      <c r="I251" s="8" t="str">
        <f t="shared" si="7"/>
        <v>1250,'LICENCIATURA','PSICOLOGIA','PSI 8°','AGUILAR CEBALLOS CARLA MARIANA','TENDENCIAS CONTEMPORANEAS DE LA PSICOLOGIA','FEMENINO',0</v>
      </c>
      <c r="J251" s="8" t="str">
        <f t="shared" si="8"/>
        <v>INSERT INTO profesores (id,nivel,carrera,grupo,nombre,materia,sexo,sello) VALUES (1250,'LICENCIATURA','PSICOLOGIA','PSI 8°','AGUILAR CEBALLOS CARLA MARIANA','TENDENCIAS CONTEMPORANEAS DE LA PSICOLOGIA','FEMENINO',0);</v>
      </c>
    </row>
    <row r="252" spans="1:10" ht="72.5" x14ac:dyDescent="0.35">
      <c r="A252" s="8">
        <v>1251</v>
      </c>
      <c r="B252" s="9" t="s">
        <v>736</v>
      </c>
      <c r="C252" s="10" t="s">
        <v>1134</v>
      </c>
      <c r="D252" s="8" t="s">
        <v>1439</v>
      </c>
      <c r="E252" s="8" t="s">
        <v>634</v>
      </c>
      <c r="F252" s="8" t="s">
        <v>1170</v>
      </c>
      <c r="G252" s="8" t="s">
        <v>722</v>
      </c>
      <c r="H252" s="8">
        <v>0</v>
      </c>
      <c r="I252" s="8" t="str">
        <f t="shared" si="7"/>
        <v>1251,'LICENCIATURA','PSICOLOGIA','PSI 8°','GARCIA LOPEZ JOAQUIN','INTERVENCION PSICOLOGICA DESDE EL MODELO SISTEMICO FAMILIAR','MASCULINO',0</v>
      </c>
      <c r="J252" s="8" t="str">
        <f t="shared" si="8"/>
        <v>INSERT INTO profesores (id,nivel,carrera,grupo,nombre,materia,sexo,sello) VALUES (1251,'LICENCIATURA','PSICOLOGIA','PSI 8°','GARCIA LOPEZ JOAQUIN','INTERVENCION PSICOLOGICA DESDE EL MODELO SISTEMICO FAMILIAR','MASCULINO',0);</v>
      </c>
    </row>
    <row r="253" spans="1:10" ht="58" x14ac:dyDescent="0.35">
      <c r="A253" s="8">
        <v>1252</v>
      </c>
      <c r="B253" s="9" t="s">
        <v>736</v>
      </c>
      <c r="C253" s="10" t="s">
        <v>1134</v>
      </c>
      <c r="D253" s="8" t="s">
        <v>1439</v>
      </c>
      <c r="E253" s="8" t="s">
        <v>601</v>
      </c>
      <c r="F253" s="8" t="s">
        <v>1172</v>
      </c>
      <c r="G253" s="8" t="s">
        <v>722</v>
      </c>
      <c r="H253" s="8">
        <v>0</v>
      </c>
      <c r="I253" s="8" t="str">
        <f t="shared" si="7"/>
        <v>1252,'LICENCIATURA','PSICOLOGIA','PSI 8°','GONZALEZ GONZALEZ ENRIQUE','TANATOLOGIA','MASCULINO',0</v>
      </c>
      <c r="J253" s="8" t="str">
        <f t="shared" si="8"/>
        <v>INSERT INTO profesores (id,nivel,carrera,grupo,nombre,materia,sexo,sello) VALUES (1252,'LICENCIATURA','PSICOLOGIA','PSI 8°','GONZALEZ GONZALEZ ENRIQUE','TANATOLOGIA','MASCULINO',0);</v>
      </c>
    </row>
    <row r="254" spans="1:10" ht="72.5" x14ac:dyDescent="0.35">
      <c r="A254" s="8">
        <v>1253</v>
      </c>
      <c r="B254" s="9" t="s">
        <v>736</v>
      </c>
      <c r="C254" s="10" t="s">
        <v>1134</v>
      </c>
      <c r="D254" s="8" t="s">
        <v>1439</v>
      </c>
      <c r="E254" s="8" t="s">
        <v>571</v>
      </c>
      <c r="F254" s="8" t="s">
        <v>1173</v>
      </c>
      <c r="G254" s="8" t="s">
        <v>721</v>
      </c>
      <c r="H254" s="8">
        <v>0</v>
      </c>
      <c r="I254" s="8" t="str">
        <f t="shared" si="7"/>
        <v>1253,'LICENCIATURA','PSICOLOGIA','PSI 8°','GUERRA RIOS BRENDA JEANNETTE','MODELOS PSICOLOGICOS DE INTERVENCION EMERGENTE','FEMENINO',0</v>
      </c>
      <c r="J254" s="8" t="str">
        <f t="shared" si="8"/>
        <v>INSERT INTO profesores (id,nivel,carrera,grupo,nombre,materia,sexo,sello) VALUES (1253,'LICENCIATURA','PSICOLOGIA','PSI 8°','GUERRA RIOS BRENDA JEANNETTE','MODELOS PSICOLOGICOS DE INTERVENCION EMERGENTE','FEMENINO',0);</v>
      </c>
    </row>
    <row r="255" spans="1:10" ht="72.5" x14ac:dyDescent="0.35">
      <c r="A255" s="8">
        <v>1254</v>
      </c>
      <c r="B255" s="9" t="s">
        <v>736</v>
      </c>
      <c r="C255" s="10" t="s">
        <v>1134</v>
      </c>
      <c r="D255" s="8" t="s">
        <v>1439</v>
      </c>
      <c r="E255" s="8" t="s">
        <v>575</v>
      </c>
      <c r="F255" s="8" t="s">
        <v>1174</v>
      </c>
      <c r="G255" s="8" t="s">
        <v>722</v>
      </c>
      <c r="H255" s="8">
        <v>0</v>
      </c>
      <c r="I255" s="8" t="str">
        <f t="shared" si="7"/>
        <v>1254,'LICENCIATURA','PSICOLOGIA','PSI 8°','ROSARIO BECERRA CARLOS ALFONSO','PSICOLOGIA DE LO VIRTUAL','MASCULINO',0</v>
      </c>
      <c r="J255" s="8" t="str">
        <f t="shared" si="8"/>
        <v>INSERT INTO profesores (id,nivel,carrera,grupo,nombre,materia,sexo,sello) VALUES (1254,'LICENCIATURA','PSICOLOGIA','PSI 8°','ROSARIO BECERRA CARLOS ALFONSO','PSICOLOGIA DE LO VIRTUAL','MASCULINO',0);</v>
      </c>
    </row>
    <row r="256" spans="1:10" ht="72.5" x14ac:dyDescent="0.35">
      <c r="A256" s="8">
        <v>1255</v>
      </c>
      <c r="B256" s="9" t="s">
        <v>736</v>
      </c>
      <c r="C256" s="10" t="s">
        <v>1134</v>
      </c>
      <c r="D256" s="8" t="s">
        <v>1439</v>
      </c>
      <c r="E256" s="8" t="s">
        <v>606</v>
      </c>
      <c r="F256" s="8" t="s">
        <v>1176</v>
      </c>
      <c r="G256" s="8" t="s">
        <v>721</v>
      </c>
      <c r="H256" s="8">
        <v>0</v>
      </c>
      <c r="I256" s="8" t="str">
        <f t="shared" si="7"/>
        <v>1255,'LICENCIATURA','PSICOLOGIA','PSI 8°','SALCEDO ROSALES ERIKA IVETTE','MODELOS PSICOLOGICOS DE INTERVENCION IV','FEMENINO',0</v>
      </c>
      <c r="J256" s="8" t="str">
        <f t="shared" si="8"/>
        <v>INSERT INTO profesores (id,nivel,carrera,grupo,nombre,materia,sexo,sello) VALUES (1255,'LICENCIATURA','PSICOLOGIA','PSI 8°','SALCEDO ROSALES ERIKA IVETTE','MODELOS PSICOLOGICOS DE INTERVENCION IV','FEMENINO',0);</v>
      </c>
    </row>
    <row r="257" spans="1:10" ht="72.5" x14ac:dyDescent="0.35">
      <c r="A257" s="8">
        <v>1256</v>
      </c>
      <c r="B257" s="9" t="s">
        <v>736</v>
      </c>
      <c r="C257" s="16" t="s">
        <v>1397</v>
      </c>
      <c r="D257" s="8" t="s">
        <v>1440</v>
      </c>
      <c r="E257" s="8" t="s">
        <v>641</v>
      </c>
      <c r="F257" s="8" t="s">
        <v>1387</v>
      </c>
      <c r="G257" s="8" t="s">
        <v>722</v>
      </c>
      <c r="H257" s="8">
        <v>1</v>
      </c>
      <c r="I257" s="8" t="str">
        <f t="shared" si="7"/>
        <v>1256,'LICENCIATURA','MATERIAS INSTITUCIONALES','TC 0603','LUNA HERRERA JOSE CARLOS','LIDERAZGO Y MANEJO DE GRUPOS','MASCULINO',1</v>
      </c>
      <c r="J257" s="8" t="str">
        <f t="shared" si="8"/>
        <v>INSERT INTO profesores (id,nivel,carrera,grupo,nombre,materia,sexo,sello) VALUES (1256,'LICENCIATURA','MATERIAS INSTITUCIONALES','TC 0603','LUNA HERRERA JOSE CARLOS','LIDERAZGO Y MANEJO DE GRUPOS','MASCULINO',1);</v>
      </c>
    </row>
    <row r="258" spans="1:10" ht="72.5" x14ac:dyDescent="0.35">
      <c r="A258" s="8">
        <v>1257</v>
      </c>
      <c r="B258" s="9" t="s">
        <v>736</v>
      </c>
      <c r="C258" s="16" t="s">
        <v>1397</v>
      </c>
      <c r="D258" s="8" t="s">
        <v>1441</v>
      </c>
      <c r="E258" s="8" t="s">
        <v>679</v>
      </c>
      <c r="F258" s="8" t="s">
        <v>1387</v>
      </c>
      <c r="G258" s="8" t="s">
        <v>721</v>
      </c>
      <c r="H258" s="8">
        <v>1</v>
      </c>
      <c r="I258" s="8" t="str">
        <f t="shared" ref="I258:I321" si="9">CONCATENATE(A258,",'",B258,"','",C258,"','",D258,",'",E258,"','",F258,"','",G258,"',",H258)</f>
        <v>1257,'LICENCIATURA','MATERIAS INSTITUCIONALES','TC 0603 2','MORONES MUÑOZ MARIANA ELISA','LIDERAZGO Y MANEJO DE GRUPOS','FEMENINO',1</v>
      </c>
      <c r="J258" s="8" t="str">
        <f t="shared" si="8"/>
        <v>INSERT INTO profesores (id,nivel,carrera,grupo,nombre,materia,sexo,sello) VALUES (1257,'LICENCIATURA','MATERIAS INSTITUCIONALES','TC 0603 2','MORONES MUÑOZ MARIANA ELISA','LIDERAZGO Y MANEJO DE GRUPOS','FEMENINO',1);</v>
      </c>
    </row>
    <row r="259" spans="1:10" ht="72.5" x14ac:dyDescent="0.35">
      <c r="A259" s="8">
        <v>1258</v>
      </c>
      <c r="B259" s="9" t="s">
        <v>736</v>
      </c>
      <c r="C259" s="16" t="s">
        <v>1397</v>
      </c>
      <c r="D259" s="8" t="s">
        <v>1442</v>
      </c>
      <c r="E259" s="8" t="s">
        <v>675</v>
      </c>
      <c r="F259" s="8" t="s">
        <v>1388</v>
      </c>
      <c r="G259" s="8" t="s">
        <v>721</v>
      </c>
      <c r="H259" s="8">
        <v>1</v>
      </c>
      <c r="I259" s="8" t="str">
        <f t="shared" si="9"/>
        <v>1258,'LICENCIATURA','MATERIAS INSTITUCIONALES','TC 0801 1','CHAN  NUÑEZ MARIA ELENA','ESCENARIO DE INTERVENCION III','FEMENINO',1</v>
      </c>
      <c r="J259" s="8" t="str">
        <f t="shared" ref="J259:J317" si="10">CONCATENATE($I$1,I259,");")</f>
        <v>INSERT INTO profesores (id,nivel,carrera,grupo,nombre,materia,sexo,sello) VALUES (1258,'LICENCIATURA','MATERIAS INSTITUCIONALES','TC 0801 1','CHAN  NUÑEZ MARIA ELENA','ESCENARIO DE INTERVENCION III','FEMENINO',1);</v>
      </c>
    </row>
    <row r="260" spans="1:10" ht="87" x14ac:dyDescent="0.35">
      <c r="A260" s="8">
        <v>1259</v>
      </c>
      <c r="B260" s="9" t="s">
        <v>736</v>
      </c>
      <c r="C260" s="16" t="s">
        <v>1397</v>
      </c>
      <c r="D260" s="8" t="s">
        <v>1443</v>
      </c>
      <c r="E260" s="8" t="s">
        <v>552</v>
      </c>
      <c r="F260" s="8" t="s">
        <v>1389</v>
      </c>
      <c r="G260" s="8" t="s">
        <v>721</v>
      </c>
      <c r="H260" s="8">
        <v>1</v>
      </c>
      <c r="I260" s="8" t="str">
        <f t="shared" si="9"/>
        <v>1259,'LICENCIATURA','MATERIAS INSTITUCIONALES','TC0201 1','HERNANDEZ MONTAÑO AIDA CITLALI','EXPERIENCIA DE ACCION SOCIAL','FEMENINO',1</v>
      </c>
      <c r="J260" s="8" t="str">
        <f t="shared" si="10"/>
        <v>INSERT INTO profesores (id,nivel,carrera,grupo,nombre,materia,sexo,sello) VALUES (1259,'LICENCIATURA','MATERIAS INSTITUCIONALES','TC0201 1','HERNANDEZ MONTAÑO AIDA CITLALI','EXPERIENCIA DE ACCION SOCIAL','FEMENINO',1);</v>
      </c>
    </row>
    <row r="261" spans="1:10" ht="87" x14ac:dyDescent="0.35">
      <c r="A261" s="8">
        <v>1260</v>
      </c>
      <c r="B261" s="9" t="s">
        <v>736</v>
      </c>
      <c r="C261" s="16" t="s">
        <v>1397</v>
      </c>
      <c r="D261" s="8" t="s">
        <v>1444</v>
      </c>
      <c r="E261" s="8" t="s">
        <v>573</v>
      </c>
      <c r="F261" s="8" t="s">
        <v>1389</v>
      </c>
      <c r="G261" s="8" t="s">
        <v>721</v>
      </c>
      <c r="H261" s="8">
        <v>1</v>
      </c>
      <c r="I261" s="8" t="str">
        <f t="shared" si="9"/>
        <v>1260,'LICENCIATURA','MATERIAS INSTITUCIONALES','TC0201 2','AGUILAR CEBALLOS CARLA MARIANA','EXPERIENCIA DE ACCION SOCIAL','FEMENINO',1</v>
      </c>
      <c r="J261" s="8" t="str">
        <f t="shared" si="10"/>
        <v>INSERT INTO profesores (id,nivel,carrera,grupo,nombre,materia,sexo,sello) VALUES (1260,'LICENCIATURA','MATERIAS INSTITUCIONALES','TC0201 2','AGUILAR CEBALLOS CARLA MARIANA','EXPERIENCIA DE ACCION SOCIAL','FEMENINO',1);</v>
      </c>
    </row>
    <row r="262" spans="1:10" ht="72.5" x14ac:dyDescent="0.35">
      <c r="A262" s="8">
        <v>1261</v>
      </c>
      <c r="B262" s="9" t="s">
        <v>736</v>
      </c>
      <c r="C262" s="16" t="s">
        <v>1397</v>
      </c>
      <c r="D262" s="8" t="s">
        <v>1445</v>
      </c>
      <c r="E262" s="8" t="s">
        <v>628</v>
      </c>
      <c r="F262" s="8" t="s">
        <v>1389</v>
      </c>
      <c r="G262" s="8" t="s">
        <v>721</v>
      </c>
      <c r="H262" s="8">
        <v>1</v>
      </c>
      <c r="I262" s="8" t="str">
        <f t="shared" si="9"/>
        <v>1261,'LICENCIATURA','MATERIAS INSTITUCIONALES','TC0201 3','FARIAS CASTELLANOS ISIS','EXPERIENCIA DE ACCION SOCIAL','FEMENINO',1</v>
      </c>
      <c r="J262" s="8" t="str">
        <f t="shared" si="10"/>
        <v>INSERT INTO profesores (id,nivel,carrera,grupo,nombre,materia,sexo,sello) VALUES (1261,'LICENCIATURA','MATERIAS INSTITUCIONALES','TC0201 3','FARIAS CASTELLANOS ISIS','EXPERIENCIA DE ACCION SOCIAL','FEMENINO',1);</v>
      </c>
    </row>
    <row r="263" spans="1:10" ht="87" x14ac:dyDescent="0.35">
      <c r="A263" s="8">
        <v>1262</v>
      </c>
      <c r="B263" s="9" t="s">
        <v>736</v>
      </c>
      <c r="C263" s="16" t="s">
        <v>1397</v>
      </c>
      <c r="D263" s="8" t="s">
        <v>1446</v>
      </c>
      <c r="E263" s="8" t="s">
        <v>676</v>
      </c>
      <c r="F263" s="8" t="s">
        <v>1389</v>
      </c>
      <c r="G263" s="8" t="s">
        <v>721</v>
      </c>
      <c r="H263" s="8">
        <v>1</v>
      </c>
      <c r="I263" s="8" t="str">
        <f t="shared" si="9"/>
        <v>1262,'LICENCIATURA','MATERIAS INSTITUCIONALES','TC0201 4','MENDOZA SANCHEZ MARIA GUADALUPE','EXPERIENCIA DE ACCION SOCIAL','FEMENINO',1</v>
      </c>
      <c r="J263" s="8" t="str">
        <f t="shared" si="10"/>
        <v>INSERT INTO profesores (id,nivel,carrera,grupo,nombre,materia,sexo,sello) VALUES (1262,'LICENCIATURA','MATERIAS INSTITUCIONALES','TC0201 4','MENDOZA SANCHEZ MARIA GUADALUPE','EXPERIENCIA DE ACCION SOCIAL','FEMENINO',1);</v>
      </c>
    </row>
    <row r="264" spans="1:10" ht="87" x14ac:dyDescent="0.35">
      <c r="A264" s="8">
        <v>1263</v>
      </c>
      <c r="B264" s="9" t="s">
        <v>736</v>
      </c>
      <c r="C264" s="16" t="s">
        <v>1397</v>
      </c>
      <c r="D264" s="8" t="s">
        <v>1447</v>
      </c>
      <c r="E264" s="8" t="s">
        <v>552</v>
      </c>
      <c r="F264" s="8" t="s">
        <v>1389</v>
      </c>
      <c r="G264" s="8" t="s">
        <v>721</v>
      </c>
      <c r="H264" s="8">
        <v>1</v>
      </c>
      <c r="I264" s="8" t="str">
        <f t="shared" si="9"/>
        <v>1263,'LICENCIATURA','MATERIAS INSTITUCIONALES','TC0201 5','HERNANDEZ MONTAÑO AIDA CITLALI','EXPERIENCIA DE ACCION SOCIAL','FEMENINO',1</v>
      </c>
      <c r="J264" s="8" t="str">
        <f t="shared" si="10"/>
        <v>INSERT INTO profesores (id,nivel,carrera,grupo,nombre,materia,sexo,sello) VALUES (1263,'LICENCIATURA','MATERIAS INSTITUCIONALES','TC0201 5','HERNANDEZ MONTAÑO AIDA CITLALI','EXPERIENCIA DE ACCION SOCIAL','FEMENINO',1);</v>
      </c>
    </row>
    <row r="265" spans="1:10" ht="87" x14ac:dyDescent="0.35">
      <c r="A265" s="8">
        <v>1264</v>
      </c>
      <c r="B265" s="9" t="s">
        <v>736</v>
      </c>
      <c r="C265" s="16" t="s">
        <v>1397</v>
      </c>
      <c r="D265" s="8" t="s">
        <v>1448</v>
      </c>
      <c r="E265" s="8" t="s">
        <v>573</v>
      </c>
      <c r="F265" s="8" t="s">
        <v>1389</v>
      </c>
      <c r="G265" s="8" t="s">
        <v>721</v>
      </c>
      <c r="H265" s="8">
        <v>1</v>
      </c>
      <c r="I265" s="8" t="str">
        <f t="shared" si="9"/>
        <v>1264,'LICENCIATURA','MATERIAS INSTITUCIONALES','TC0201 6','AGUILAR CEBALLOS CARLA MARIANA','EXPERIENCIA DE ACCION SOCIAL','FEMENINO',1</v>
      </c>
      <c r="J265" s="8" t="str">
        <f t="shared" si="10"/>
        <v>INSERT INTO profesores (id,nivel,carrera,grupo,nombre,materia,sexo,sello) VALUES (1264,'LICENCIATURA','MATERIAS INSTITUCIONALES','TC0201 6','AGUILAR CEBALLOS CARLA MARIANA','EXPERIENCIA DE ACCION SOCIAL','FEMENINO',1);</v>
      </c>
    </row>
    <row r="266" spans="1:10" ht="72.5" x14ac:dyDescent="0.35">
      <c r="A266" s="8">
        <v>1265</v>
      </c>
      <c r="B266" s="9" t="s">
        <v>736</v>
      </c>
      <c r="C266" s="16" t="s">
        <v>1397</v>
      </c>
      <c r="D266" s="8" t="s">
        <v>1449</v>
      </c>
      <c r="E266" s="8" t="s">
        <v>628</v>
      </c>
      <c r="F266" s="8" t="s">
        <v>1389</v>
      </c>
      <c r="G266" s="8" t="s">
        <v>721</v>
      </c>
      <c r="H266" s="8">
        <v>1</v>
      </c>
      <c r="I266" s="8" t="str">
        <f t="shared" si="9"/>
        <v>1265,'LICENCIATURA','MATERIAS INSTITUCIONALES','TC0201 7','FARIAS CASTELLANOS ISIS','EXPERIENCIA DE ACCION SOCIAL','FEMENINO',1</v>
      </c>
      <c r="J266" s="8" t="str">
        <f t="shared" si="10"/>
        <v>INSERT INTO profesores (id,nivel,carrera,grupo,nombre,materia,sexo,sello) VALUES (1265,'LICENCIATURA','MATERIAS INSTITUCIONALES','TC0201 7','FARIAS CASTELLANOS ISIS','EXPERIENCIA DE ACCION SOCIAL','FEMENINO',1);</v>
      </c>
    </row>
    <row r="267" spans="1:10" ht="72.5" x14ac:dyDescent="0.35">
      <c r="A267" s="8">
        <v>1266</v>
      </c>
      <c r="B267" s="9" t="s">
        <v>736</v>
      </c>
      <c r="C267" s="16" t="s">
        <v>1397</v>
      </c>
      <c r="D267" s="8" t="s">
        <v>1450</v>
      </c>
      <c r="E267" s="8" t="s">
        <v>1346</v>
      </c>
      <c r="F267" s="8" t="s">
        <v>1389</v>
      </c>
      <c r="G267" s="8" t="s">
        <v>722</v>
      </c>
      <c r="H267" s="8">
        <v>1</v>
      </c>
      <c r="I267" s="8" t="str">
        <f t="shared" si="9"/>
        <v>1266,'LICENCIATURA','MATERIAS INSTITUCIONALES','TC0201 8','RESTREPO MUÑOZ DANIEL','EXPERIENCIA DE ACCION SOCIAL','MASCULINO',1</v>
      </c>
      <c r="J267" s="8" t="str">
        <f t="shared" si="10"/>
        <v>INSERT INTO profesores (id,nivel,carrera,grupo,nombre,materia,sexo,sello) VALUES (1266,'LICENCIATURA','MATERIAS INSTITUCIONALES','TC0201 8','RESTREPO MUÑOZ DANIEL','EXPERIENCIA DE ACCION SOCIAL','MASCULINO',1);</v>
      </c>
    </row>
    <row r="268" spans="1:10" ht="87" x14ac:dyDescent="0.35">
      <c r="A268" s="8">
        <v>1267</v>
      </c>
      <c r="B268" s="9" t="s">
        <v>736</v>
      </c>
      <c r="C268" s="16" t="s">
        <v>1397</v>
      </c>
      <c r="D268" s="8" t="s">
        <v>1451</v>
      </c>
      <c r="E268" s="8" t="s">
        <v>552</v>
      </c>
      <c r="F268" s="8" t="s">
        <v>1390</v>
      </c>
      <c r="G268" s="8" t="s">
        <v>721</v>
      </c>
      <c r="H268" s="8">
        <v>1</v>
      </c>
      <c r="I268" s="8" t="str">
        <f t="shared" si="9"/>
        <v>1267,'LICENCIATURA','MATERIAS INSTITUCIONALES','TC0202 1','HERNANDEZ MONTAÑO AIDA CITLALI','DERECHOS HUMANOS Y JUSTICIA SOCIAL','FEMENINO',1</v>
      </c>
      <c r="J268" s="8" t="str">
        <f t="shared" si="10"/>
        <v>INSERT INTO profesores (id,nivel,carrera,grupo,nombre,materia,sexo,sello) VALUES (1267,'LICENCIATURA','MATERIAS INSTITUCIONALES','TC0202 1','HERNANDEZ MONTAÑO AIDA CITLALI','DERECHOS HUMANOS Y JUSTICIA SOCIAL','FEMENINO',1);</v>
      </c>
    </row>
    <row r="269" spans="1:10" ht="87" x14ac:dyDescent="0.35">
      <c r="A269" s="8">
        <v>1268</v>
      </c>
      <c r="B269" s="9" t="s">
        <v>736</v>
      </c>
      <c r="C269" s="16" t="s">
        <v>1397</v>
      </c>
      <c r="D269" s="8" t="s">
        <v>1452</v>
      </c>
      <c r="E269" s="8" t="s">
        <v>573</v>
      </c>
      <c r="F269" s="8" t="s">
        <v>1390</v>
      </c>
      <c r="G269" s="8" t="s">
        <v>721</v>
      </c>
      <c r="H269" s="8">
        <v>1</v>
      </c>
      <c r="I269" s="8" t="str">
        <f t="shared" si="9"/>
        <v>1268,'LICENCIATURA','MATERIAS INSTITUCIONALES','TC0202 2','AGUILAR CEBALLOS CARLA MARIANA','DERECHOS HUMANOS Y JUSTICIA SOCIAL','FEMENINO',1</v>
      </c>
      <c r="J269" s="8" t="str">
        <f t="shared" si="10"/>
        <v>INSERT INTO profesores (id,nivel,carrera,grupo,nombre,materia,sexo,sello) VALUES (1268,'LICENCIATURA','MATERIAS INSTITUCIONALES','TC0202 2','AGUILAR CEBALLOS CARLA MARIANA','DERECHOS HUMANOS Y JUSTICIA SOCIAL','FEMENINO',1);</v>
      </c>
    </row>
    <row r="270" spans="1:10" ht="87" x14ac:dyDescent="0.35">
      <c r="A270" s="8">
        <v>1269</v>
      </c>
      <c r="B270" s="9" t="s">
        <v>736</v>
      </c>
      <c r="C270" s="16" t="s">
        <v>1397</v>
      </c>
      <c r="D270" s="8" t="s">
        <v>1453</v>
      </c>
      <c r="E270" s="8" t="s">
        <v>628</v>
      </c>
      <c r="F270" s="8" t="s">
        <v>1390</v>
      </c>
      <c r="G270" s="8" t="s">
        <v>721</v>
      </c>
      <c r="H270" s="8">
        <v>1</v>
      </c>
      <c r="I270" s="8" t="str">
        <f t="shared" si="9"/>
        <v>1269,'LICENCIATURA','MATERIAS INSTITUCIONALES','TC0202 3','FARIAS CASTELLANOS ISIS','DERECHOS HUMANOS Y JUSTICIA SOCIAL','FEMENINO',1</v>
      </c>
      <c r="J270" s="8" t="str">
        <f t="shared" si="10"/>
        <v>INSERT INTO profesores (id,nivel,carrera,grupo,nombre,materia,sexo,sello) VALUES (1269,'LICENCIATURA','MATERIAS INSTITUCIONALES','TC0202 3','FARIAS CASTELLANOS ISIS','DERECHOS HUMANOS Y JUSTICIA SOCIAL','FEMENINO',1);</v>
      </c>
    </row>
    <row r="271" spans="1:10" ht="87" x14ac:dyDescent="0.35">
      <c r="A271" s="8">
        <v>1270</v>
      </c>
      <c r="B271" s="9" t="s">
        <v>736</v>
      </c>
      <c r="C271" s="16" t="s">
        <v>1397</v>
      </c>
      <c r="D271" s="8" t="s">
        <v>1454</v>
      </c>
      <c r="E271" s="8" t="s">
        <v>676</v>
      </c>
      <c r="F271" s="8" t="s">
        <v>1390</v>
      </c>
      <c r="G271" s="8" t="s">
        <v>721</v>
      </c>
      <c r="H271" s="8">
        <v>1</v>
      </c>
      <c r="I271" s="8" t="str">
        <f t="shared" si="9"/>
        <v>1270,'LICENCIATURA','MATERIAS INSTITUCIONALES','TC0202 4','MENDOZA SANCHEZ MARIA GUADALUPE','DERECHOS HUMANOS Y JUSTICIA SOCIAL','FEMENINO',1</v>
      </c>
      <c r="J271" s="8" t="str">
        <f t="shared" si="10"/>
        <v>INSERT INTO profesores (id,nivel,carrera,grupo,nombre,materia,sexo,sello) VALUES (1270,'LICENCIATURA','MATERIAS INSTITUCIONALES','TC0202 4','MENDOZA SANCHEZ MARIA GUADALUPE','DERECHOS HUMANOS Y JUSTICIA SOCIAL','FEMENINO',1);</v>
      </c>
    </row>
    <row r="272" spans="1:10" ht="87" x14ac:dyDescent="0.35">
      <c r="A272" s="8">
        <v>1271</v>
      </c>
      <c r="B272" s="9" t="s">
        <v>736</v>
      </c>
      <c r="C272" s="16" t="s">
        <v>1397</v>
      </c>
      <c r="D272" s="8" t="s">
        <v>1455</v>
      </c>
      <c r="E272" s="8" t="s">
        <v>552</v>
      </c>
      <c r="F272" s="8" t="s">
        <v>1390</v>
      </c>
      <c r="G272" s="8" t="s">
        <v>721</v>
      </c>
      <c r="H272" s="8">
        <v>1</v>
      </c>
      <c r="I272" s="8" t="str">
        <f t="shared" si="9"/>
        <v>1271,'LICENCIATURA','MATERIAS INSTITUCIONALES','TC0202 5','HERNANDEZ MONTAÑO AIDA CITLALI','DERECHOS HUMANOS Y JUSTICIA SOCIAL','FEMENINO',1</v>
      </c>
      <c r="J272" s="8" t="str">
        <f t="shared" si="10"/>
        <v>INSERT INTO profesores (id,nivel,carrera,grupo,nombre,materia,sexo,sello) VALUES (1271,'LICENCIATURA','MATERIAS INSTITUCIONALES','TC0202 5','HERNANDEZ MONTAÑO AIDA CITLALI','DERECHOS HUMANOS Y JUSTICIA SOCIAL','FEMENINO',1);</v>
      </c>
    </row>
    <row r="273" spans="1:10" ht="87" x14ac:dyDescent="0.35">
      <c r="A273" s="8">
        <v>1272</v>
      </c>
      <c r="B273" s="9" t="s">
        <v>736</v>
      </c>
      <c r="C273" s="16" t="s">
        <v>1397</v>
      </c>
      <c r="D273" s="8" t="s">
        <v>1456</v>
      </c>
      <c r="E273" s="8" t="s">
        <v>573</v>
      </c>
      <c r="F273" s="8" t="s">
        <v>1390</v>
      </c>
      <c r="G273" s="8" t="s">
        <v>721</v>
      </c>
      <c r="H273" s="8">
        <v>1</v>
      </c>
      <c r="I273" s="8" t="str">
        <f t="shared" si="9"/>
        <v>1272,'LICENCIATURA','MATERIAS INSTITUCIONALES','TC0202 6','AGUILAR CEBALLOS CARLA MARIANA','DERECHOS HUMANOS Y JUSTICIA SOCIAL','FEMENINO',1</v>
      </c>
      <c r="J273" s="8" t="str">
        <f t="shared" si="10"/>
        <v>INSERT INTO profesores (id,nivel,carrera,grupo,nombre,materia,sexo,sello) VALUES (1272,'LICENCIATURA','MATERIAS INSTITUCIONALES','TC0202 6','AGUILAR CEBALLOS CARLA MARIANA','DERECHOS HUMANOS Y JUSTICIA SOCIAL','FEMENINO',1);</v>
      </c>
    </row>
    <row r="274" spans="1:10" ht="87" x14ac:dyDescent="0.35">
      <c r="A274" s="8">
        <v>1273</v>
      </c>
      <c r="B274" s="9" t="s">
        <v>736</v>
      </c>
      <c r="C274" s="16" t="s">
        <v>1397</v>
      </c>
      <c r="D274" s="8" t="s">
        <v>1457</v>
      </c>
      <c r="E274" s="8" t="s">
        <v>628</v>
      </c>
      <c r="F274" s="8" t="s">
        <v>1390</v>
      </c>
      <c r="G274" s="8" t="s">
        <v>721</v>
      </c>
      <c r="H274" s="8">
        <v>1</v>
      </c>
      <c r="I274" s="8" t="str">
        <f t="shared" si="9"/>
        <v>1273,'LICENCIATURA','MATERIAS INSTITUCIONALES','TC0202 7','FARIAS CASTELLANOS ISIS','DERECHOS HUMANOS Y JUSTICIA SOCIAL','FEMENINO',1</v>
      </c>
      <c r="J274" s="8" t="str">
        <f t="shared" si="10"/>
        <v>INSERT INTO profesores (id,nivel,carrera,grupo,nombre,materia,sexo,sello) VALUES (1273,'LICENCIATURA','MATERIAS INSTITUCIONALES','TC0202 7','FARIAS CASTELLANOS ISIS','DERECHOS HUMANOS Y JUSTICIA SOCIAL','FEMENINO',1);</v>
      </c>
    </row>
    <row r="275" spans="1:10" ht="87" x14ac:dyDescent="0.35">
      <c r="A275" s="8">
        <v>1274</v>
      </c>
      <c r="B275" s="9" t="s">
        <v>736</v>
      </c>
      <c r="C275" s="16" t="s">
        <v>1397</v>
      </c>
      <c r="D275" s="8" t="s">
        <v>1458</v>
      </c>
      <c r="E275" s="8" t="s">
        <v>1346</v>
      </c>
      <c r="F275" s="8" t="s">
        <v>1390</v>
      </c>
      <c r="G275" s="8" t="s">
        <v>722</v>
      </c>
      <c r="H275" s="8">
        <v>1</v>
      </c>
      <c r="I275" s="8" t="str">
        <f t="shared" si="9"/>
        <v>1274,'LICENCIATURA','MATERIAS INSTITUCIONALES','TC0202 8','RESTREPO MUÑOZ DANIEL','DERECHOS HUMANOS Y JUSTICIA SOCIAL','MASCULINO',1</v>
      </c>
      <c r="J275" s="8" t="str">
        <f t="shared" si="10"/>
        <v>INSERT INTO profesores (id,nivel,carrera,grupo,nombre,materia,sexo,sello) VALUES (1274,'LICENCIATURA','MATERIAS INSTITUCIONALES','TC0202 8','RESTREPO MUÑOZ DANIEL','DERECHOS HUMANOS Y JUSTICIA SOCIAL','MASCULINO',1);</v>
      </c>
    </row>
    <row r="276" spans="1:10" ht="87" x14ac:dyDescent="0.35">
      <c r="A276" s="8">
        <v>1275</v>
      </c>
      <c r="B276" s="9" t="s">
        <v>736</v>
      </c>
      <c r="C276" s="16" t="s">
        <v>1397</v>
      </c>
      <c r="D276" s="8" t="s">
        <v>1459</v>
      </c>
      <c r="E276" s="8" t="s">
        <v>662</v>
      </c>
      <c r="F276" s="8" t="s">
        <v>1391</v>
      </c>
      <c r="G276" s="8" t="s">
        <v>721</v>
      </c>
      <c r="H276" s="8">
        <v>1</v>
      </c>
      <c r="I276" s="8" t="str">
        <f t="shared" si="9"/>
        <v>1275,'LICENCIATURA','MATERIAS INSTITUCIONALES','TC0401 1','MARTINEZ MEDINA LILIANA','EMPRENDIMIENTO E INNOVACION','FEMENINO',1</v>
      </c>
      <c r="J276" s="8" t="str">
        <f t="shared" si="10"/>
        <v>INSERT INTO profesores (id,nivel,carrera,grupo,nombre,materia,sexo,sello) VALUES (1275,'LICENCIATURA','MATERIAS INSTITUCIONALES','TC0401 1','MARTINEZ MEDINA LILIANA','EMPRENDIMIENTO E INNOVACION','FEMENINO',1);</v>
      </c>
    </row>
    <row r="277" spans="1:10" ht="87" x14ac:dyDescent="0.35">
      <c r="A277" s="8">
        <v>1276</v>
      </c>
      <c r="B277" s="9" t="s">
        <v>736</v>
      </c>
      <c r="C277" s="16" t="s">
        <v>1397</v>
      </c>
      <c r="D277" s="8" t="s">
        <v>1460</v>
      </c>
      <c r="E277" s="8" t="s">
        <v>630</v>
      </c>
      <c r="F277" s="8" t="s">
        <v>1391</v>
      </c>
      <c r="G277" s="8" t="s">
        <v>722</v>
      </c>
      <c r="H277" s="8">
        <v>1</v>
      </c>
      <c r="I277" s="8" t="str">
        <f t="shared" si="9"/>
        <v>1276,'LICENCIATURA','MATERIAS INSTITUCIONALES','TC0401 2','GOMEZ LEDEZMA JESUS ALEJANDRO','EMPRENDIMIENTO E INNOVACION','MASCULINO',1</v>
      </c>
      <c r="J277" s="8" t="str">
        <f t="shared" si="10"/>
        <v>INSERT INTO profesores (id,nivel,carrera,grupo,nombre,materia,sexo,sello) VALUES (1276,'LICENCIATURA','MATERIAS INSTITUCIONALES','TC0401 2','GOMEZ LEDEZMA JESUS ALEJANDRO','EMPRENDIMIENTO E INNOVACION','MASCULINO',1);</v>
      </c>
    </row>
    <row r="278" spans="1:10" ht="87" x14ac:dyDescent="0.35">
      <c r="A278" s="8">
        <v>1277</v>
      </c>
      <c r="B278" s="9" t="s">
        <v>736</v>
      </c>
      <c r="C278" s="16" t="s">
        <v>1397</v>
      </c>
      <c r="D278" s="8" t="s">
        <v>1461</v>
      </c>
      <c r="E278" s="8" t="s">
        <v>599</v>
      </c>
      <c r="F278" s="8" t="s">
        <v>1391</v>
      </c>
      <c r="G278" s="8" t="s">
        <v>721</v>
      </c>
      <c r="H278" s="8">
        <v>1</v>
      </c>
      <c r="I278" s="8" t="str">
        <f t="shared" si="9"/>
        <v>1277,'LICENCIATURA','MATERIAS INSTITUCIONALES','TC0401 3','PADILLA MARTINEZ ELSA GEORGINA','EMPRENDIMIENTO E INNOVACION','FEMENINO',1</v>
      </c>
      <c r="J278" s="8" t="str">
        <f t="shared" si="10"/>
        <v>INSERT INTO profesores (id,nivel,carrera,grupo,nombre,materia,sexo,sello) VALUES (1277,'LICENCIATURA','MATERIAS INSTITUCIONALES','TC0401 3','PADILLA MARTINEZ ELSA GEORGINA','EMPRENDIMIENTO E INNOVACION','FEMENINO',1);</v>
      </c>
    </row>
    <row r="279" spans="1:10" ht="87" x14ac:dyDescent="0.35">
      <c r="A279" s="8">
        <v>1278</v>
      </c>
      <c r="B279" s="9" t="s">
        <v>736</v>
      </c>
      <c r="C279" s="16" t="s">
        <v>1397</v>
      </c>
      <c r="D279" s="8" t="s">
        <v>1462</v>
      </c>
      <c r="E279" s="8" t="s">
        <v>662</v>
      </c>
      <c r="F279" s="8" t="s">
        <v>1391</v>
      </c>
      <c r="G279" s="8" t="s">
        <v>721</v>
      </c>
      <c r="H279" s="8">
        <v>1</v>
      </c>
      <c r="I279" s="8" t="str">
        <f t="shared" si="9"/>
        <v>1278,'LICENCIATURA','MATERIAS INSTITUCIONALES','TC0401 4','MARTINEZ MEDINA LILIANA','EMPRENDIMIENTO E INNOVACION','FEMENINO',1</v>
      </c>
      <c r="J279" s="8" t="str">
        <f t="shared" si="10"/>
        <v>INSERT INTO profesores (id,nivel,carrera,grupo,nombre,materia,sexo,sello) VALUES (1278,'LICENCIATURA','MATERIAS INSTITUCIONALES','TC0401 4','MARTINEZ MEDINA LILIANA','EMPRENDIMIENTO E INNOVACION','FEMENINO',1);</v>
      </c>
    </row>
    <row r="280" spans="1:10" ht="87" x14ac:dyDescent="0.35">
      <c r="A280" s="8">
        <v>1279</v>
      </c>
      <c r="B280" s="9" t="s">
        <v>736</v>
      </c>
      <c r="C280" s="16" t="s">
        <v>1397</v>
      </c>
      <c r="D280" s="8" t="s">
        <v>1463</v>
      </c>
      <c r="E280" s="8" t="s">
        <v>630</v>
      </c>
      <c r="F280" s="8" t="s">
        <v>1391</v>
      </c>
      <c r="G280" s="8" t="s">
        <v>722</v>
      </c>
      <c r="H280" s="8">
        <v>1</v>
      </c>
      <c r="I280" s="8" t="str">
        <f t="shared" si="9"/>
        <v>1279,'LICENCIATURA','MATERIAS INSTITUCIONALES','TC0401 5','GOMEZ LEDEZMA JESUS ALEJANDRO','EMPRENDIMIENTO E INNOVACION','MASCULINO',1</v>
      </c>
      <c r="J280" s="8" t="str">
        <f t="shared" si="10"/>
        <v>INSERT INTO profesores (id,nivel,carrera,grupo,nombre,materia,sexo,sello) VALUES (1279,'LICENCIATURA','MATERIAS INSTITUCIONALES','TC0401 5','GOMEZ LEDEZMA JESUS ALEJANDRO','EMPRENDIMIENTO E INNOVACION','MASCULINO',1);</v>
      </c>
    </row>
    <row r="281" spans="1:10" ht="87" x14ac:dyDescent="0.35">
      <c r="A281" s="8">
        <v>1280</v>
      </c>
      <c r="B281" s="9" t="s">
        <v>736</v>
      </c>
      <c r="C281" s="16" t="s">
        <v>1397</v>
      </c>
      <c r="D281" s="8" t="s">
        <v>1464</v>
      </c>
      <c r="E281" s="8" t="s">
        <v>599</v>
      </c>
      <c r="F281" s="8" t="s">
        <v>1391</v>
      </c>
      <c r="G281" s="8" t="s">
        <v>721</v>
      </c>
      <c r="H281" s="8">
        <v>1</v>
      </c>
      <c r="I281" s="8" t="str">
        <f t="shared" si="9"/>
        <v>1280,'LICENCIATURA','MATERIAS INSTITUCIONALES','TC0401 6','PADILLA MARTINEZ ELSA GEORGINA','EMPRENDIMIENTO E INNOVACION','FEMENINO',1</v>
      </c>
      <c r="J281" s="8" t="str">
        <f t="shared" si="10"/>
        <v>INSERT INTO profesores (id,nivel,carrera,grupo,nombre,materia,sexo,sello) VALUES (1280,'LICENCIATURA','MATERIAS INSTITUCIONALES','TC0401 6','PADILLA MARTINEZ ELSA GEORGINA','EMPRENDIMIENTO E INNOVACION','FEMENINO',1);</v>
      </c>
    </row>
    <row r="282" spans="1:10" ht="87" x14ac:dyDescent="0.35">
      <c r="A282" s="8">
        <v>1281</v>
      </c>
      <c r="B282" s="9" t="s">
        <v>736</v>
      </c>
      <c r="C282" s="16" t="s">
        <v>1397</v>
      </c>
      <c r="D282" s="8" t="s">
        <v>1465</v>
      </c>
      <c r="E282" s="8" t="s">
        <v>642</v>
      </c>
      <c r="F282" s="8" t="s">
        <v>1391</v>
      </c>
      <c r="G282" s="8" t="s">
        <v>722</v>
      </c>
      <c r="H282" s="8">
        <v>1</v>
      </c>
      <c r="I282" s="8" t="str">
        <f t="shared" si="9"/>
        <v>1281,'LICENCIATURA','MATERIAS INSTITUCIONALES','TC0401 7','GARCIA VAZQUEZ JOSE COSME','EMPRENDIMIENTO E INNOVACION','MASCULINO',1</v>
      </c>
      <c r="J282" s="8" t="str">
        <f t="shared" si="10"/>
        <v>INSERT INTO profesores (id,nivel,carrera,grupo,nombre,materia,sexo,sello) VALUES (1281,'LICENCIATURA','MATERIAS INSTITUCIONALES','TC0401 7','GARCIA VAZQUEZ JOSE COSME','EMPRENDIMIENTO E INNOVACION','MASCULINO',1);</v>
      </c>
    </row>
    <row r="283" spans="1:10" ht="72.5" x14ac:dyDescent="0.35">
      <c r="A283" s="8">
        <v>1282</v>
      </c>
      <c r="B283" s="9" t="s">
        <v>736</v>
      </c>
      <c r="C283" s="16" t="s">
        <v>1397</v>
      </c>
      <c r="D283" s="8" t="s">
        <v>1466</v>
      </c>
      <c r="E283" s="8" t="s">
        <v>659</v>
      </c>
      <c r="F283" s="8" t="s">
        <v>1392</v>
      </c>
      <c r="G283" s="8" t="s">
        <v>721</v>
      </c>
      <c r="H283" s="8">
        <v>1</v>
      </c>
      <c r="I283" s="8" t="str">
        <f t="shared" si="9"/>
        <v>1282,'LICENCIATURA','MATERIAS INSTITUCIONALES','TC0402 1','BERMUDEZ QUIROGA LEIDY CAROLINA','SUSTENTABILIDAD','FEMENINO',1</v>
      </c>
      <c r="J283" s="8" t="str">
        <f t="shared" si="10"/>
        <v>INSERT INTO profesores (id,nivel,carrera,grupo,nombre,materia,sexo,sello) VALUES (1282,'LICENCIATURA','MATERIAS INSTITUCIONALES','TC0402 1','BERMUDEZ QUIROGA LEIDY CAROLINA','SUSTENTABILIDAD','FEMENINO',1);</v>
      </c>
    </row>
    <row r="284" spans="1:10" ht="72.5" x14ac:dyDescent="0.35">
      <c r="A284" s="8">
        <v>1283</v>
      </c>
      <c r="B284" s="9" t="s">
        <v>736</v>
      </c>
      <c r="C284" s="16" t="s">
        <v>1397</v>
      </c>
      <c r="D284" s="8" t="s">
        <v>1467</v>
      </c>
      <c r="E284" s="8" t="s">
        <v>700</v>
      </c>
      <c r="F284" s="8" t="s">
        <v>1392</v>
      </c>
      <c r="G284" s="8" t="s">
        <v>721</v>
      </c>
      <c r="H284" s="8">
        <v>1</v>
      </c>
      <c r="I284" s="8" t="str">
        <f t="shared" si="9"/>
        <v>1283,'LICENCIATURA','MATERIAS INSTITUCIONALES','TC0402 2','JARAMILLO MARTINEZ PAULETTE','SUSTENTABILIDAD','FEMENINO',1</v>
      </c>
      <c r="J284" s="8" t="str">
        <f t="shared" si="10"/>
        <v>INSERT INTO profesores (id,nivel,carrera,grupo,nombre,materia,sexo,sello) VALUES (1283,'LICENCIATURA','MATERIAS INSTITUCIONALES','TC0402 2','JARAMILLO MARTINEZ PAULETTE','SUSTENTABILIDAD','FEMENINO',1);</v>
      </c>
    </row>
    <row r="285" spans="1:10" ht="72.5" x14ac:dyDescent="0.35">
      <c r="A285" s="8">
        <v>1284</v>
      </c>
      <c r="B285" s="9" t="s">
        <v>736</v>
      </c>
      <c r="C285" s="16" t="s">
        <v>1397</v>
      </c>
      <c r="D285" s="8" t="s">
        <v>1468</v>
      </c>
      <c r="E285" s="8" t="s">
        <v>568</v>
      </c>
      <c r="F285" s="8" t="s">
        <v>1392</v>
      </c>
      <c r="G285" s="8" t="s">
        <v>721</v>
      </c>
      <c r="H285" s="8">
        <v>1</v>
      </c>
      <c r="I285" s="8" t="str">
        <f t="shared" si="9"/>
        <v>1284,'LICENCIATURA','MATERIAS INSTITUCIONALES','TC0402 3','NUÑEZ GONZALEZ BARBARA','SUSTENTABILIDAD','FEMENINO',1</v>
      </c>
      <c r="J285" s="8" t="str">
        <f t="shared" si="10"/>
        <v>INSERT INTO profesores (id,nivel,carrera,grupo,nombre,materia,sexo,sello) VALUES (1284,'LICENCIATURA','MATERIAS INSTITUCIONALES','TC0402 3','NUÑEZ GONZALEZ BARBARA','SUSTENTABILIDAD','FEMENINO',1);</v>
      </c>
    </row>
    <row r="286" spans="1:10" ht="72.5" x14ac:dyDescent="0.35">
      <c r="A286" s="8">
        <v>1285</v>
      </c>
      <c r="B286" s="9" t="s">
        <v>736</v>
      </c>
      <c r="C286" s="16" t="s">
        <v>1397</v>
      </c>
      <c r="D286" s="8" t="s">
        <v>1469</v>
      </c>
      <c r="E286" s="8" t="s">
        <v>588</v>
      </c>
      <c r="F286" s="8" t="s">
        <v>1392</v>
      </c>
      <c r="G286" s="8" t="s">
        <v>721</v>
      </c>
      <c r="H286" s="8">
        <v>1</v>
      </c>
      <c r="I286" s="8" t="str">
        <f t="shared" si="9"/>
        <v>1285,'LICENCIATURA','MATERIAS INSTITUCIONALES','TC0402 4','FAJER ROMO DANIELA','SUSTENTABILIDAD','FEMENINO',1</v>
      </c>
      <c r="J286" s="8" t="str">
        <f t="shared" si="10"/>
        <v>INSERT INTO profesores (id,nivel,carrera,grupo,nombre,materia,sexo,sello) VALUES (1285,'LICENCIATURA','MATERIAS INSTITUCIONALES','TC0402 4','FAJER ROMO DANIELA','SUSTENTABILIDAD','FEMENINO',1);</v>
      </c>
    </row>
    <row r="287" spans="1:10" ht="72.5" x14ac:dyDescent="0.35">
      <c r="A287" s="8">
        <v>1286</v>
      </c>
      <c r="B287" s="9" t="s">
        <v>736</v>
      </c>
      <c r="C287" s="16" t="s">
        <v>1397</v>
      </c>
      <c r="D287" s="8" t="s">
        <v>1470</v>
      </c>
      <c r="E287" s="8" t="s">
        <v>700</v>
      </c>
      <c r="F287" s="8" t="s">
        <v>1392</v>
      </c>
      <c r="G287" s="8" t="s">
        <v>721</v>
      </c>
      <c r="H287" s="8">
        <v>1</v>
      </c>
      <c r="I287" s="8" t="str">
        <f t="shared" si="9"/>
        <v>1286,'LICENCIATURA','MATERIAS INSTITUCIONALES','TC0402 5','JARAMILLO MARTINEZ PAULETTE','SUSTENTABILIDAD','FEMENINO',1</v>
      </c>
      <c r="J287" s="8" t="str">
        <f t="shared" si="10"/>
        <v>INSERT INTO profesores (id,nivel,carrera,grupo,nombre,materia,sexo,sello) VALUES (1286,'LICENCIATURA','MATERIAS INSTITUCIONALES','TC0402 5','JARAMILLO MARTINEZ PAULETTE','SUSTENTABILIDAD','FEMENINO',1);</v>
      </c>
    </row>
    <row r="288" spans="1:10" ht="72.5" x14ac:dyDescent="0.35">
      <c r="A288" s="8">
        <v>1287</v>
      </c>
      <c r="B288" s="9" t="s">
        <v>736</v>
      </c>
      <c r="C288" s="16" t="s">
        <v>1397</v>
      </c>
      <c r="D288" s="8" t="s">
        <v>1471</v>
      </c>
      <c r="E288" s="8" t="s">
        <v>659</v>
      </c>
      <c r="F288" s="8" t="s">
        <v>1392</v>
      </c>
      <c r="G288" s="8" t="s">
        <v>721</v>
      </c>
      <c r="H288" s="8">
        <v>1</v>
      </c>
      <c r="I288" s="8" t="str">
        <f t="shared" si="9"/>
        <v>1287,'LICENCIATURA','MATERIAS INSTITUCIONALES','TC0402 6','BERMUDEZ QUIROGA LEIDY CAROLINA','SUSTENTABILIDAD','FEMENINO',1</v>
      </c>
      <c r="J288" s="8" t="str">
        <f t="shared" si="10"/>
        <v>INSERT INTO profesores (id,nivel,carrera,grupo,nombre,materia,sexo,sello) VALUES (1287,'LICENCIATURA','MATERIAS INSTITUCIONALES','TC0402 6','BERMUDEZ QUIROGA LEIDY CAROLINA','SUSTENTABILIDAD','FEMENINO',1);</v>
      </c>
    </row>
    <row r="289" spans="1:10" ht="72.5" x14ac:dyDescent="0.35">
      <c r="A289" s="8">
        <v>1288</v>
      </c>
      <c r="B289" s="9" t="s">
        <v>736</v>
      </c>
      <c r="C289" s="16" t="s">
        <v>1397</v>
      </c>
      <c r="D289" s="8" t="s">
        <v>1472</v>
      </c>
      <c r="E289" s="8" t="s">
        <v>568</v>
      </c>
      <c r="F289" s="8" t="s">
        <v>1392</v>
      </c>
      <c r="G289" s="8" t="s">
        <v>721</v>
      </c>
      <c r="H289" s="8">
        <v>1</v>
      </c>
      <c r="I289" s="8" t="str">
        <f t="shared" si="9"/>
        <v>1288,'LICENCIATURA','MATERIAS INSTITUCIONALES','TC0402 7','NUÑEZ GONZALEZ BARBARA','SUSTENTABILIDAD','FEMENINO',1</v>
      </c>
      <c r="J289" s="8" t="str">
        <f t="shared" si="10"/>
        <v>INSERT INTO profesores (id,nivel,carrera,grupo,nombre,materia,sexo,sello) VALUES (1288,'LICENCIATURA','MATERIAS INSTITUCIONALES','TC0402 7','NUÑEZ GONZALEZ BARBARA','SUSTENTABILIDAD','FEMENINO',1);</v>
      </c>
    </row>
    <row r="290" spans="1:10" ht="87" x14ac:dyDescent="0.35">
      <c r="A290" s="8">
        <v>1289</v>
      </c>
      <c r="B290" s="9" t="s">
        <v>736</v>
      </c>
      <c r="C290" s="16" t="s">
        <v>1397</v>
      </c>
      <c r="D290" s="8" t="s">
        <v>1473</v>
      </c>
      <c r="E290" s="8" t="s">
        <v>610</v>
      </c>
      <c r="F290" s="8" t="s">
        <v>1393</v>
      </c>
      <c r="G290" s="8" t="s">
        <v>722</v>
      </c>
      <c r="H290" s="8">
        <v>1</v>
      </c>
      <c r="I290" s="8" t="str">
        <f t="shared" si="9"/>
        <v>1289,'LICENCIATURA','MATERIAS INSTITUCIONALES','TC0503','TAPIA VELAZQUEZ FRANCISCO','CIUDADANIA Y DESARROLLO PROFESIONAL','MASCULINO',1</v>
      </c>
      <c r="J290" s="8" t="str">
        <f t="shared" si="10"/>
        <v>INSERT INTO profesores (id,nivel,carrera,grupo,nombre,materia,sexo,sello) VALUES (1289,'LICENCIATURA','MATERIAS INSTITUCIONALES','TC0503','TAPIA VELAZQUEZ FRANCISCO','CIUDADANIA Y DESARROLLO PROFESIONAL','MASCULINO',1);</v>
      </c>
    </row>
    <row r="291" spans="1:10" ht="87" x14ac:dyDescent="0.35">
      <c r="A291" s="8">
        <v>1290</v>
      </c>
      <c r="B291" s="9" t="s">
        <v>736</v>
      </c>
      <c r="C291" s="16" t="s">
        <v>1397</v>
      </c>
      <c r="D291" s="8" t="s">
        <v>1474</v>
      </c>
      <c r="E291" s="8" t="s">
        <v>675</v>
      </c>
      <c r="F291" s="8" t="s">
        <v>1394</v>
      </c>
      <c r="G291" s="8" t="s">
        <v>721</v>
      </c>
      <c r="H291" s="8">
        <v>1</v>
      </c>
      <c r="I291" s="8" t="str">
        <f t="shared" si="9"/>
        <v>1290,'LICENCIATURA','MATERIAS INSTITUCIONALES','TC0601 1','CHAN  NUÑEZ MARIA ELENA','ESCENARIO DE INTERVENCION SOCIAL I','FEMENINO',1</v>
      </c>
      <c r="J291" s="8" t="str">
        <f t="shared" si="10"/>
        <v>INSERT INTO profesores (id,nivel,carrera,grupo,nombre,materia,sexo,sello) VALUES (1290,'LICENCIATURA','MATERIAS INSTITUCIONALES','TC0601 1','CHAN  NUÑEZ MARIA ELENA','ESCENARIO DE INTERVENCION SOCIAL I','FEMENINO',1);</v>
      </c>
    </row>
    <row r="292" spans="1:10" ht="87" x14ac:dyDescent="0.35">
      <c r="A292" s="8">
        <v>1291</v>
      </c>
      <c r="B292" s="9" t="s">
        <v>736</v>
      </c>
      <c r="C292" s="16" t="s">
        <v>1397</v>
      </c>
      <c r="D292" s="8" t="s">
        <v>1475</v>
      </c>
      <c r="E292" s="8" t="s">
        <v>564</v>
      </c>
      <c r="F292" s="8" t="s">
        <v>1394</v>
      </c>
      <c r="G292" s="8" t="s">
        <v>721</v>
      </c>
      <c r="H292" s="8">
        <v>1</v>
      </c>
      <c r="I292" s="8" t="str">
        <f t="shared" si="9"/>
        <v>1291,'LICENCIATURA','MATERIAS INSTITUCIONALES','TC0601 10','ANGUIANO SUAREZ DEL REAL ANA LORENA','ESCENARIO DE INTERVENCION SOCIAL I','FEMENINO',1</v>
      </c>
      <c r="J292" s="8" t="str">
        <f t="shared" si="10"/>
        <v>INSERT INTO profesores (id,nivel,carrera,grupo,nombre,materia,sexo,sello) VALUES (1291,'LICENCIATURA','MATERIAS INSTITUCIONALES','TC0601 10','ANGUIANO SUAREZ DEL REAL ANA LORENA','ESCENARIO DE INTERVENCION SOCIAL I','FEMENINO',1);</v>
      </c>
    </row>
    <row r="293" spans="1:10" ht="87" x14ac:dyDescent="0.35">
      <c r="A293" s="8">
        <v>1292</v>
      </c>
      <c r="B293" s="9" t="s">
        <v>736</v>
      </c>
      <c r="C293" s="16" t="s">
        <v>1397</v>
      </c>
      <c r="D293" s="8" t="s">
        <v>1476</v>
      </c>
      <c r="E293" s="8" t="s">
        <v>628</v>
      </c>
      <c r="F293" s="8" t="s">
        <v>1394</v>
      </c>
      <c r="G293" s="8" t="s">
        <v>721</v>
      </c>
      <c r="H293" s="8">
        <v>1</v>
      </c>
      <c r="I293" s="8" t="str">
        <f t="shared" si="9"/>
        <v>1292,'LICENCIATURA','MATERIAS INSTITUCIONALES','TC0601 2','FARIAS CASTELLANOS ISIS','ESCENARIO DE INTERVENCION SOCIAL I','FEMENINO',1</v>
      </c>
      <c r="J293" s="8" t="str">
        <f t="shared" si="10"/>
        <v>INSERT INTO profesores (id,nivel,carrera,grupo,nombre,materia,sexo,sello) VALUES (1292,'LICENCIATURA','MATERIAS INSTITUCIONALES','TC0601 2','FARIAS CASTELLANOS ISIS','ESCENARIO DE INTERVENCION SOCIAL I','FEMENINO',1);</v>
      </c>
    </row>
    <row r="294" spans="1:10" ht="87" x14ac:dyDescent="0.35">
      <c r="A294" s="8">
        <v>1293</v>
      </c>
      <c r="B294" s="9" t="s">
        <v>736</v>
      </c>
      <c r="C294" s="16" t="s">
        <v>1397</v>
      </c>
      <c r="D294" s="8" t="s">
        <v>1477</v>
      </c>
      <c r="E294" s="8" t="s">
        <v>556</v>
      </c>
      <c r="F294" s="8" t="s">
        <v>1394</v>
      </c>
      <c r="G294" s="8" t="s">
        <v>722</v>
      </c>
      <c r="H294" s="8">
        <v>1</v>
      </c>
      <c r="I294" s="8" t="str">
        <f t="shared" si="9"/>
        <v>1293,'LICENCIATURA','MATERIAS INSTITUCIONALES','TC0601 3','URIBE LOPEZ ALEJANDRO','ESCENARIO DE INTERVENCION SOCIAL I','MASCULINO',1</v>
      </c>
      <c r="J294" s="8" t="str">
        <f t="shared" si="10"/>
        <v>INSERT INTO profesores (id,nivel,carrera,grupo,nombre,materia,sexo,sello) VALUES (1293,'LICENCIATURA','MATERIAS INSTITUCIONALES','TC0601 3','URIBE LOPEZ ALEJANDRO','ESCENARIO DE INTERVENCION SOCIAL I','MASCULINO',1);</v>
      </c>
    </row>
    <row r="295" spans="1:10" ht="87" x14ac:dyDescent="0.35">
      <c r="A295" s="8">
        <v>1294</v>
      </c>
      <c r="B295" s="9" t="s">
        <v>736</v>
      </c>
      <c r="C295" s="16" t="s">
        <v>1397</v>
      </c>
      <c r="D295" s="8" t="s">
        <v>1478</v>
      </c>
      <c r="E295" s="8" t="s">
        <v>679</v>
      </c>
      <c r="F295" s="8" t="s">
        <v>1394</v>
      </c>
      <c r="G295" s="8" t="s">
        <v>721</v>
      </c>
      <c r="H295" s="8">
        <v>1</v>
      </c>
      <c r="I295" s="8" t="str">
        <f t="shared" si="9"/>
        <v>1294,'LICENCIATURA','MATERIAS INSTITUCIONALES','TC0601 4','MORONES MUÑOZ MARIANA ELISA','ESCENARIO DE INTERVENCION SOCIAL I','FEMENINO',1</v>
      </c>
      <c r="J295" s="8" t="str">
        <f t="shared" si="10"/>
        <v>INSERT INTO profesores (id,nivel,carrera,grupo,nombre,materia,sexo,sello) VALUES (1294,'LICENCIATURA','MATERIAS INSTITUCIONALES','TC0601 4','MORONES MUÑOZ MARIANA ELISA','ESCENARIO DE INTERVENCION SOCIAL I','FEMENINO',1);</v>
      </c>
    </row>
    <row r="296" spans="1:10" ht="87" x14ac:dyDescent="0.35">
      <c r="A296" s="8">
        <v>1295</v>
      </c>
      <c r="B296" s="9" t="s">
        <v>736</v>
      </c>
      <c r="C296" s="16" t="s">
        <v>1397</v>
      </c>
      <c r="D296" s="8" t="s">
        <v>1479</v>
      </c>
      <c r="E296" s="8" t="s">
        <v>564</v>
      </c>
      <c r="F296" s="8" t="s">
        <v>1394</v>
      </c>
      <c r="G296" s="8" t="s">
        <v>721</v>
      </c>
      <c r="H296" s="8">
        <v>1</v>
      </c>
      <c r="I296" s="8" t="str">
        <f t="shared" si="9"/>
        <v>1295,'LICENCIATURA','MATERIAS INSTITUCIONALES','TC0601 5','ANGUIANO SUAREZ DEL REAL ANA LORENA','ESCENARIO DE INTERVENCION SOCIAL I','FEMENINO',1</v>
      </c>
      <c r="J296" s="8" t="str">
        <f t="shared" si="10"/>
        <v>INSERT INTO profesores (id,nivel,carrera,grupo,nombre,materia,sexo,sello) VALUES (1295,'LICENCIATURA','MATERIAS INSTITUCIONALES','TC0601 5','ANGUIANO SUAREZ DEL REAL ANA LORENA','ESCENARIO DE INTERVENCION SOCIAL I','FEMENINO',1);</v>
      </c>
    </row>
    <row r="297" spans="1:10" ht="87" x14ac:dyDescent="0.35">
      <c r="A297" s="8">
        <v>1296</v>
      </c>
      <c r="B297" s="9" t="s">
        <v>736</v>
      </c>
      <c r="C297" s="16" t="s">
        <v>1397</v>
      </c>
      <c r="D297" s="8" t="s">
        <v>1480</v>
      </c>
      <c r="E297" s="8" t="s">
        <v>675</v>
      </c>
      <c r="F297" s="8" t="s">
        <v>1394</v>
      </c>
      <c r="G297" s="8" t="s">
        <v>721</v>
      </c>
      <c r="H297" s="8">
        <v>1</v>
      </c>
      <c r="I297" s="8" t="str">
        <f t="shared" si="9"/>
        <v>1296,'LICENCIATURA','MATERIAS INSTITUCIONALES','TC0601 6','CHAN  NUÑEZ MARIA ELENA','ESCENARIO DE INTERVENCION SOCIAL I','FEMENINO',1</v>
      </c>
      <c r="J297" s="8" t="str">
        <f t="shared" si="10"/>
        <v>INSERT INTO profesores (id,nivel,carrera,grupo,nombre,materia,sexo,sello) VALUES (1296,'LICENCIATURA','MATERIAS INSTITUCIONALES','TC0601 6','CHAN  NUÑEZ MARIA ELENA','ESCENARIO DE INTERVENCION SOCIAL I','FEMENINO',1);</v>
      </c>
    </row>
    <row r="298" spans="1:10" ht="87" x14ac:dyDescent="0.35">
      <c r="A298" s="8">
        <v>1297</v>
      </c>
      <c r="B298" s="9" t="s">
        <v>736</v>
      </c>
      <c r="C298" s="16" t="s">
        <v>1397</v>
      </c>
      <c r="D298" s="8" t="s">
        <v>1481</v>
      </c>
      <c r="E298" s="8" t="s">
        <v>628</v>
      </c>
      <c r="F298" s="8" t="s">
        <v>1394</v>
      </c>
      <c r="G298" s="8" t="s">
        <v>721</v>
      </c>
      <c r="H298" s="8">
        <v>1</v>
      </c>
      <c r="I298" s="8" t="str">
        <f t="shared" si="9"/>
        <v>1297,'LICENCIATURA','MATERIAS INSTITUCIONALES','TC0601 7','FARIAS CASTELLANOS ISIS','ESCENARIO DE INTERVENCION SOCIAL I','FEMENINO',1</v>
      </c>
      <c r="J298" s="8" t="str">
        <f t="shared" si="10"/>
        <v>INSERT INTO profesores (id,nivel,carrera,grupo,nombre,materia,sexo,sello) VALUES (1297,'LICENCIATURA','MATERIAS INSTITUCIONALES','TC0601 7','FARIAS CASTELLANOS ISIS','ESCENARIO DE INTERVENCION SOCIAL I','FEMENINO',1);</v>
      </c>
    </row>
    <row r="299" spans="1:10" ht="87" x14ac:dyDescent="0.35">
      <c r="A299" s="8">
        <v>1298</v>
      </c>
      <c r="B299" s="9" t="s">
        <v>736</v>
      </c>
      <c r="C299" s="16" t="s">
        <v>1397</v>
      </c>
      <c r="D299" s="8" t="s">
        <v>1482</v>
      </c>
      <c r="E299" s="8" t="s">
        <v>556</v>
      </c>
      <c r="F299" s="8" t="s">
        <v>1394</v>
      </c>
      <c r="G299" s="8" t="s">
        <v>722</v>
      </c>
      <c r="H299" s="8">
        <v>1</v>
      </c>
      <c r="I299" s="8" t="str">
        <f t="shared" si="9"/>
        <v>1298,'LICENCIATURA','MATERIAS INSTITUCIONALES','TC0601 8','URIBE LOPEZ ALEJANDRO','ESCENARIO DE INTERVENCION SOCIAL I','MASCULINO',1</v>
      </c>
      <c r="J299" s="8" t="str">
        <f t="shared" si="10"/>
        <v>INSERT INTO profesores (id,nivel,carrera,grupo,nombre,materia,sexo,sello) VALUES (1298,'LICENCIATURA','MATERIAS INSTITUCIONALES','TC0601 8','URIBE LOPEZ ALEJANDRO','ESCENARIO DE INTERVENCION SOCIAL I','MASCULINO',1);</v>
      </c>
    </row>
    <row r="300" spans="1:10" ht="87" x14ac:dyDescent="0.35">
      <c r="A300" s="8">
        <v>1299</v>
      </c>
      <c r="B300" s="9" t="s">
        <v>736</v>
      </c>
      <c r="C300" s="16" t="s">
        <v>1397</v>
      </c>
      <c r="D300" s="8" t="s">
        <v>1483</v>
      </c>
      <c r="E300" s="8" t="s">
        <v>679</v>
      </c>
      <c r="F300" s="8" t="s">
        <v>1394</v>
      </c>
      <c r="G300" s="8" t="s">
        <v>721</v>
      </c>
      <c r="H300" s="8">
        <v>1</v>
      </c>
      <c r="I300" s="8" t="str">
        <f t="shared" si="9"/>
        <v>1299,'LICENCIATURA','MATERIAS INSTITUCIONALES','TC0601 9','MORONES MUÑOZ MARIANA ELISA','ESCENARIO DE INTERVENCION SOCIAL I','FEMENINO',1</v>
      </c>
      <c r="J300" s="8" t="str">
        <f t="shared" si="10"/>
        <v>INSERT INTO profesores (id,nivel,carrera,grupo,nombre,materia,sexo,sello) VALUES (1299,'LICENCIATURA','MATERIAS INSTITUCIONALES','TC0601 9','MORONES MUÑOZ MARIANA ELISA','ESCENARIO DE INTERVENCION SOCIAL I','FEMENINO',1);</v>
      </c>
    </row>
    <row r="301" spans="1:10" ht="87" x14ac:dyDescent="0.35">
      <c r="A301" s="8">
        <v>1300</v>
      </c>
      <c r="B301" s="9" t="s">
        <v>736</v>
      </c>
      <c r="C301" s="16" t="s">
        <v>1397</v>
      </c>
      <c r="D301" s="8" t="s">
        <v>1484</v>
      </c>
      <c r="E301" s="8" t="s">
        <v>641</v>
      </c>
      <c r="F301" s="8" t="s">
        <v>1387</v>
      </c>
      <c r="G301" s="8" t="s">
        <v>722</v>
      </c>
      <c r="H301" s="8">
        <v>1</v>
      </c>
      <c r="I301" s="8" t="str">
        <f t="shared" si="9"/>
        <v>1300,'LICENCIATURA','MATERIAS INSTITUCIONALES','TC0603 1','LUNA HERRERA JOSE CARLOS','LIDERAZGO Y MANEJO DE GRUPOS','MASCULINO',1</v>
      </c>
      <c r="J301" s="8" t="str">
        <f t="shared" si="10"/>
        <v>INSERT INTO profesores (id,nivel,carrera,grupo,nombre,materia,sexo,sello) VALUES (1300,'LICENCIATURA','MATERIAS INSTITUCIONALES','TC0603 1','LUNA HERRERA JOSE CARLOS','LIDERAZGO Y MANEJO DE GRUPOS','MASCULINO',1);</v>
      </c>
    </row>
    <row r="302" spans="1:10" ht="87" x14ac:dyDescent="0.35">
      <c r="A302" s="8">
        <v>1301</v>
      </c>
      <c r="B302" s="9" t="s">
        <v>736</v>
      </c>
      <c r="C302" s="16" t="s">
        <v>1397</v>
      </c>
      <c r="D302" s="8" t="s">
        <v>1485</v>
      </c>
      <c r="E302" s="8" t="s">
        <v>679</v>
      </c>
      <c r="F302" s="8" t="s">
        <v>1387</v>
      </c>
      <c r="G302" s="8" t="s">
        <v>721</v>
      </c>
      <c r="H302" s="8">
        <v>1</v>
      </c>
      <c r="I302" s="8" t="str">
        <f t="shared" si="9"/>
        <v>1301,'LICENCIATURA','MATERIAS INSTITUCIONALES','TC0603 2','MORONES MUÑOZ MARIANA ELISA','LIDERAZGO Y MANEJO DE GRUPOS','FEMENINO',1</v>
      </c>
      <c r="J302" s="8" t="str">
        <f t="shared" si="10"/>
        <v>INSERT INTO profesores (id,nivel,carrera,grupo,nombre,materia,sexo,sello) VALUES (1301,'LICENCIATURA','MATERIAS INSTITUCIONALES','TC0603 2','MORONES MUÑOZ MARIANA ELISA','LIDERAZGO Y MANEJO DE GRUPOS','FEMENINO',1);</v>
      </c>
    </row>
    <row r="303" spans="1:10" ht="87" x14ac:dyDescent="0.35">
      <c r="A303" s="8">
        <v>1302</v>
      </c>
      <c r="B303" s="9" t="s">
        <v>736</v>
      </c>
      <c r="C303" s="16" t="s">
        <v>1397</v>
      </c>
      <c r="D303" s="8" t="s">
        <v>1486</v>
      </c>
      <c r="E303" s="8" t="s">
        <v>573</v>
      </c>
      <c r="F303" s="8" t="s">
        <v>1387</v>
      </c>
      <c r="G303" s="8" t="s">
        <v>721</v>
      </c>
      <c r="H303" s="8">
        <v>1</v>
      </c>
      <c r="I303" s="8" t="str">
        <f t="shared" si="9"/>
        <v>1302,'LICENCIATURA','MATERIAS INSTITUCIONALES','TC0603 3','AGUILAR CEBALLOS CARLA MARIANA','LIDERAZGO Y MANEJO DE GRUPOS','FEMENINO',1</v>
      </c>
      <c r="J303" s="8" t="str">
        <f t="shared" si="10"/>
        <v>INSERT INTO profesores (id,nivel,carrera,grupo,nombre,materia,sexo,sello) VALUES (1302,'LICENCIATURA','MATERIAS INSTITUCIONALES','TC0603 3','AGUILAR CEBALLOS CARLA MARIANA','LIDERAZGO Y MANEJO DE GRUPOS','FEMENINO',1);</v>
      </c>
    </row>
    <row r="304" spans="1:10" ht="87" x14ac:dyDescent="0.35">
      <c r="A304" s="8">
        <v>1303</v>
      </c>
      <c r="B304" s="9" t="s">
        <v>736</v>
      </c>
      <c r="C304" s="16" t="s">
        <v>1397</v>
      </c>
      <c r="D304" s="8" t="s">
        <v>1487</v>
      </c>
      <c r="E304" s="8" t="s">
        <v>641</v>
      </c>
      <c r="F304" s="8" t="s">
        <v>1387</v>
      </c>
      <c r="G304" s="8" t="s">
        <v>722</v>
      </c>
      <c r="H304" s="8">
        <v>1</v>
      </c>
      <c r="I304" s="8" t="str">
        <f t="shared" si="9"/>
        <v>1303,'LICENCIATURA','MATERIAS INSTITUCIONALES','TC0603 4','LUNA HERRERA JOSE CARLOS','LIDERAZGO Y MANEJO DE GRUPOS','MASCULINO',1</v>
      </c>
      <c r="J304" s="8" t="str">
        <f t="shared" si="10"/>
        <v>INSERT INTO profesores (id,nivel,carrera,grupo,nombre,materia,sexo,sello) VALUES (1303,'LICENCIATURA','MATERIAS INSTITUCIONALES','TC0603 4','LUNA HERRERA JOSE CARLOS','LIDERAZGO Y MANEJO DE GRUPOS','MASCULINO',1);</v>
      </c>
    </row>
    <row r="305" spans="1:10" ht="87" x14ac:dyDescent="0.35">
      <c r="A305" s="8">
        <v>1304</v>
      </c>
      <c r="B305" s="9" t="s">
        <v>736</v>
      </c>
      <c r="C305" s="16" t="s">
        <v>1397</v>
      </c>
      <c r="D305" s="8" t="s">
        <v>1488</v>
      </c>
      <c r="E305" s="8" t="s">
        <v>679</v>
      </c>
      <c r="F305" s="8" t="s">
        <v>1387</v>
      </c>
      <c r="G305" s="8" t="s">
        <v>721</v>
      </c>
      <c r="H305" s="8">
        <v>1</v>
      </c>
      <c r="I305" s="8" t="str">
        <f t="shared" si="9"/>
        <v>1304,'LICENCIATURA','MATERIAS INSTITUCIONALES','TC0603 5','MORONES MUÑOZ MARIANA ELISA','LIDERAZGO Y MANEJO DE GRUPOS','FEMENINO',1</v>
      </c>
      <c r="J305" s="8" t="str">
        <f t="shared" si="10"/>
        <v>INSERT INTO profesores (id,nivel,carrera,grupo,nombre,materia,sexo,sello) VALUES (1304,'LICENCIATURA','MATERIAS INSTITUCIONALES','TC0603 5','MORONES MUÑOZ MARIANA ELISA','LIDERAZGO Y MANEJO DE GRUPOS','FEMENINO',1);</v>
      </c>
    </row>
    <row r="306" spans="1:10" ht="87" x14ac:dyDescent="0.35">
      <c r="A306" s="8">
        <v>1305</v>
      </c>
      <c r="B306" s="9" t="s">
        <v>736</v>
      </c>
      <c r="C306" s="16" t="s">
        <v>1397</v>
      </c>
      <c r="D306" s="8" t="s">
        <v>1489</v>
      </c>
      <c r="E306" s="8" t="s">
        <v>573</v>
      </c>
      <c r="F306" s="8" t="s">
        <v>1387</v>
      </c>
      <c r="G306" s="8" t="s">
        <v>721</v>
      </c>
      <c r="H306" s="8">
        <v>1</v>
      </c>
      <c r="I306" s="8" t="str">
        <f t="shared" si="9"/>
        <v>1305,'LICENCIATURA','MATERIAS INSTITUCIONALES','TC0603 6','AGUILAR CEBALLOS CARLA MARIANA','LIDERAZGO Y MANEJO DE GRUPOS','FEMENINO',1</v>
      </c>
      <c r="J306" s="8" t="str">
        <f t="shared" si="10"/>
        <v>INSERT INTO profesores (id,nivel,carrera,grupo,nombre,materia,sexo,sello) VALUES (1305,'LICENCIATURA','MATERIAS INSTITUCIONALES','TC0603 6','AGUILAR CEBALLOS CARLA MARIANA','LIDERAZGO Y MANEJO DE GRUPOS','FEMENINO',1);</v>
      </c>
    </row>
    <row r="307" spans="1:10" ht="72.5" x14ac:dyDescent="0.35">
      <c r="A307" s="8">
        <v>1306</v>
      </c>
      <c r="B307" s="9" t="s">
        <v>736</v>
      </c>
      <c r="C307" s="16" t="s">
        <v>1397</v>
      </c>
      <c r="D307" s="8" t="s">
        <v>1490</v>
      </c>
      <c r="E307" s="8" t="s">
        <v>628</v>
      </c>
      <c r="F307" s="8" t="s">
        <v>1388</v>
      </c>
      <c r="G307" s="8" t="s">
        <v>721</v>
      </c>
      <c r="H307" s="8">
        <v>1</v>
      </c>
      <c r="I307" s="8" t="str">
        <f t="shared" si="9"/>
        <v>1306,'LICENCIATURA','MATERIAS INSTITUCIONALES','TC0801 2','FARIAS CASTELLANOS ISIS','ESCENARIO DE INTERVENCION III','FEMENINO',1</v>
      </c>
      <c r="J307" s="8" t="str">
        <f t="shared" si="10"/>
        <v>INSERT INTO profesores (id,nivel,carrera,grupo,nombre,materia,sexo,sello) VALUES (1306,'LICENCIATURA','MATERIAS INSTITUCIONALES','TC0801 2','FARIAS CASTELLANOS ISIS','ESCENARIO DE INTERVENCION III','FEMENINO',1);</v>
      </c>
    </row>
    <row r="308" spans="1:10" ht="87" x14ac:dyDescent="0.35">
      <c r="A308" s="8">
        <v>1307</v>
      </c>
      <c r="B308" s="9" t="s">
        <v>736</v>
      </c>
      <c r="C308" s="16" t="s">
        <v>1397</v>
      </c>
      <c r="D308" s="8" t="s">
        <v>1491</v>
      </c>
      <c r="E308" s="8" t="s">
        <v>573</v>
      </c>
      <c r="F308" s="8" t="s">
        <v>1388</v>
      </c>
      <c r="G308" s="8" t="s">
        <v>721</v>
      </c>
      <c r="H308" s="8">
        <v>1</v>
      </c>
      <c r="I308" s="8" t="str">
        <f t="shared" si="9"/>
        <v>1307,'LICENCIATURA','MATERIAS INSTITUCIONALES','TC0801 3','AGUILAR CEBALLOS CARLA MARIANA','ESCENARIO DE INTERVENCION III','FEMENINO',1</v>
      </c>
      <c r="J308" s="8" t="str">
        <f t="shared" si="10"/>
        <v>INSERT INTO profesores (id,nivel,carrera,grupo,nombre,materia,sexo,sello) VALUES (1307,'LICENCIATURA','MATERIAS INSTITUCIONALES','TC0801 3','AGUILAR CEBALLOS CARLA MARIANA','ESCENARIO DE INTERVENCION III','FEMENINO',1);</v>
      </c>
    </row>
    <row r="309" spans="1:10" ht="87" x14ac:dyDescent="0.35">
      <c r="A309" s="8">
        <v>1308</v>
      </c>
      <c r="B309" s="9" t="s">
        <v>736</v>
      </c>
      <c r="C309" s="16" t="s">
        <v>1397</v>
      </c>
      <c r="D309" s="8" t="s">
        <v>1492</v>
      </c>
      <c r="E309" s="8" t="s">
        <v>564</v>
      </c>
      <c r="F309" s="8" t="s">
        <v>1388</v>
      </c>
      <c r="G309" s="8" t="s">
        <v>721</v>
      </c>
      <c r="H309" s="8">
        <v>1</v>
      </c>
      <c r="I309" s="8" t="str">
        <f t="shared" si="9"/>
        <v>1308,'LICENCIATURA','MATERIAS INSTITUCIONALES','TC0801 4','ANGUIANO SUAREZ DEL REAL ANA LORENA','ESCENARIO DE INTERVENCION III','FEMENINO',1</v>
      </c>
      <c r="J309" s="8" t="str">
        <f t="shared" si="10"/>
        <v>INSERT INTO profesores (id,nivel,carrera,grupo,nombre,materia,sexo,sello) VALUES (1308,'LICENCIATURA','MATERIAS INSTITUCIONALES','TC0801 4','ANGUIANO SUAREZ DEL REAL ANA LORENA','ESCENARIO DE INTERVENCION III','FEMENINO',1);</v>
      </c>
    </row>
    <row r="310" spans="1:10" ht="87" x14ac:dyDescent="0.35">
      <c r="A310" s="8">
        <v>1309</v>
      </c>
      <c r="B310" s="9" t="s">
        <v>736</v>
      </c>
      <c r="C310" s="16" t="s">
        <v>1397</v>
      </c>
      <c r="D310" s="8" t="s">
        <v>1493</v>
      </c>
      <c r="E310" s="8" t="s">
        <v>556</v>
      </c>
      <c r="F310" s="8" t="s">
        <v>1388</v>
      </c>
      <c r="G310" s="8" t="s">
        <v>722</v>
      </c>
      <c r="H310" s="8">
        <v>1</v>
      </c>
      <c r="I310" s="8" t="str">
        <f t="shared" si="9"/>
        <v>1309,'LICENCIATURA','MATERIAS INSTITUCIONALES','TC0801 5','URIBE LOPEZ ALEJANDRO','ESCENARIO DE INTERVENCION III','MASCULINO',1</v>
      </c>
      <c r="J310" s="8" t="str">
        <f t="shared" si="10"/>
        <v>INSERT INTO profesores (id,nivel,carrera,grupo,nombre,materia,sexo,sello) VALUES (1309,'LICENCIATURA','MATERIAS INSTITUCIONALES','TC0801 5','URIBE LOPEZ ALEJANDRO','ESCENARIO DE INTERVENCION III','MASCULINO',1);</v>
      </c>
    </row>
    <row r="311" spans="1:10" ht="58" x14ac:dyDescent="0.35">
      <c r="A311" s="8">
        <v>1310</v>
      </c>
      <c r="B311" s="9" t="s">
        <v>736</v>
      </c>
      <c r="C311" s="9" t="s">
        <v>1398</v>
      </c>
      <c r="D311" s="8" t="s">
        <v>1494</v>
      </c>
      <c r="E311" s="8" t="s">
        <v>557</v>
      </c>
      <c r="F311" s="8" t="s">
        <v>1395</v>
      </c>
      <c r="G311" s="8" t="s">
        <v>722</v>
      </c>
      <c r="H311" s="8">
        <v>0</v>
      </c>
      <c r="I311" s="8" t="str">
        <f t="shared" si="9"/>
        <v>1310,'LICENCIATURA','IDIOMAS','TIDIOMAS_1','LAGOS LOPEZ ALEJANDRO GABRIEL','IDIOMAS 2','MASCULINO',0</v>
      </c>
      <c r="J311" s="8" t="str">
        <f t="shared" si="10"/>
        <v>INSERT INTO profesores (id,nivel,carrera,grupo,nombre,materia,sexo,sello) VALUES (1310,'LICENCIATURA','IDIOMAS','TIDIOMAS_1','LAGOS LOPEZ ALEJANDRO GABRIEL','IDIOMAS 2','MASCULINO',0);</v>
      </c>
    </row>
    <row r="312" spans="1:10" ht="58" x14ac:dyDescent="0.35">
      <c r="A312" s="8">
        <v>1311</v>
      </c>
      <c r="B312" s="9" t="s">
        <v>736</v>
      </c>
      <c r="C312" s="9" t="s">
        <v>1398</v>
      </c>
      <c r="D312" s="8" t="s">
        <v>1495</v>
      </c>
      <c r="E312" s="8" t="s">
        <v>583</v>
      </c>
      <c r="F312" s="8" t="s">
        <v>1395</v>
      </c>
      <c r="G312" s="8" t="s">
        <v>721</v>
      </c>
      <c r="H312" s="8">
        <v>0</v>
      </c>
      <c r="I312" s="8" t="str">
        <f t="shared" si="9"/>
        <v>1311,'LICENCIATURA','IDIOMAS','TIDIOMAS_2','CORTES VELASCO CLAUDIA PAOLA','IDIOMAS 2','FEMENINO',0</v>
      </c>
      <c r="J312" s="8" t="str">
        <f t="shared" si="10"/>
        <v>INSERT INTO profesores (id,nivel,carrera,grupo,nombre,materia,sexo,sello) VALUES (1311,'LICENCIATURA','IDIOMAS','TIDIOMAS_2','CORTES VELASCO CLAUDIA PAOLA','IDIOMAS 2','FEMENINO',0);</v>
      </c>
    </row>
    <row r="313" spans="1:10" ht="58" x14ac:dyDescent="0.35">
      <c r="A313" s="8">
        <v>1312</v>
      </c>
      <c r="B313" s="9" t="s">
        <v>736</v>
      </c>
      <c r="C313" s="9" t="s">
        <v>1398</v>
      </c>
      <c r="D313" s="8" t="s">
        <v>1496</v>
      </c>
      <c r="E313" s="8" t="s">
        <v>689</v>
      </c>
      <c r="F313" s="8" t="s">
        <v>1395</v>
      </c>
      <c r="G313" s="8" t="s">
        <v>722</v>
      </c>
      <c r="H313" s="8">
        <v>0</v>
      </c>
      <c r="I313" s="8" t="str">
        <f t="shared" si="9"/>
        <v>1312,'LICENCIATURA','IDIOMAS','TIDIOMAS_3','FRIAS REYNAGA MIGUEL ANGEL','IDIOMAS 2','MASCULINO',0</v>
      </c>
      <c r="J313" s="8" t="str">
        <f t="shared" si="10"/>
        <v>INSERT INTO profesores (id,nivel,carrera,grupo,nombre,materia,sexo,sello) VALUES (1312,'LICENCIATURA','IDIOMAS','TIDIOMAS_3','FRIAS REYNAGA MIGUEL ANGEL','IDIOMAS 2','MASCULINO',0);</v>
      </c>
    </row>
    <row r="314" spans="1:10" ht="58" x14ac:dyDescent="0.35">
      <c r="A314" s="8">
        <v>1313</v>
      </c>
      <c r="B314" s="9" t="s">
        <v>736</v>
      </c>
      <c r="C314" s="9" t="s">
        <v>1398</v>
      </c>
      <c r="D314" s="8" t="s">
        <v>1497</v>
      </c>
      <c r="E314" s="8" t="s">
        <v>686</v>
      </c>
      <c r="F314" s="8" t="s">
        <v>1396</v>
      </c>
      <c r="G314" s="8" t="s">
        <v>721</v>
      </c>
      <c r="H314" s="8">
        <v>0</v>
      </c>
      <c r="I314" s="8" t="str">
        <f t="shared" si="9"/>
        <v>1313,'LICENCIATURA','IDIOMAS','TIDIOMAS_4','DE LA ROSA RICARIO MELISSA','IDIOMAS 4','FEMENINO',0</v>
      </c>
      <c r="J314" s="8" t="str">
        <f t="shared" si="10"/>
        <v>INSERT INTO profesores (id,nivel,carrera,grupo,nombre,materia,sexo,sello) VALUES (1313,'LICENCIATURA','IDIOMAS','TIDIOMAS_4','DE LA ROSA RICARIO MELISSA','IDIOMAS 4','FEMENINO',0);</v>
      </c>
    </row>
    <row r="315" spans="1:10" ht="58" x14ac:dyDescent="0.35">
      <c r="A315" s="8">
        <v>1314</v>
      </c>
      <c r="B315" s="9" t="s">
        <v>736</v>
      </c>
      <c r="C315" s="9" t="s">
        <v>1398</v>
      </c>
      <c r="D315" s="8" t="s">
        <v>1498</v>
      </c>
      <c r="E315" s="8" t="s">
        <v>582</v>
      </c>
      <c r="F315" s="8" t="s">
        <v>1396</v>
      </c>
      <c r="G315" s="8" t="s">
        <v>721</v>
      </c>
      <c r="H315" s="8">
        <v>0</v>
      </c>
      <c r="I315" s="8" t="str">
        <f t="shared" si="9"/>
        <v>1314,'LICENCIATURA','IDIOMAS','TIDIOMAS_5','ESCOBEDO GARCIA CLAUDIA MAYELA','IDIOMAS 4','FEMENINO',0</v>
      </c>
      <c r="J315" s="8" t="str">
        <f t="shared" si="10"/>
        <v>INSERT INTO profesores (id,nivel,carrera,grupo,nombre,materia,sexo,sello) VALUES (1314,'LICENCIATURA','IDIOMAS','TIDIOMAS_5','ESCOBEDO GARCIA CLAUDIA MAYELA','IDIOMAS 4','FEMENINO',0);</v>
      </c>
    </row>
    <row r="316" spans="1:10" ht="58" x14ac:dyDescent="0.35">
      <c r="A316" s="8">
        <v>1315</v>
      </c>
      <c r="B316" s="9" t="s">
        <v>736</v>
      </c>
      <c r="C316" s="9" t="s">
        <v>1398</v>
      </c>
      <c r="D316" s="8" t="s">
        <v>1499</v>
      </c>
      <c r="E316" s="8" t="s">
        <v>604</v>
      </c>
      <c r="F316" s="8" t="s">
        <v>1396</v>
      </c>
      <c r="G316" s="8" t="s">
        <v>721</v>
      </c>
      <c r="H316" s="8">
        <v>0</v>
      </c>
      <c r="I316" s="8" t="str">
        <f t="shared" si="9"/>
        <v>1315,'LICENCIATURA','IDIOMAS','TIDIOMAS_6','ESPEJO REGALADO ERIKA','IDIOMAS 4','FEMENINO',0</v>
      </c>
      <c r="J316" s="8" t="str">
        <f t="shared" si="10"/>
        <v>INSERT INTO profesores (id,nivel,carrera,grupo,nombre,materia,sexo,sello) VALUES (1315,'LICENCIATURA','IDIOMAS','TIDIOMAS_6','ESPEJO REGALADO ERIKA','IDIOMAS 4','FEMENINO',0);</v>
      </c>
    </row>
    <row r="317" spans="1:10" ht="58" x14ac:dyDescent="0.35">
      <c r="A317" s="8">
        <v>1316</v>
      </c>
      <c r="B317" s="9" t="s">
        <v>736</v>
      </c>
      <c r="C317" s="9" t="s">
        <v>1398</v>
      </c>
      <c r="D317" s="8" t="s">
        <v>1500</v>
      </c>
      <c r="E317" s="8" t="s">
        <v>614</v>
      </c>
      <c r="F317" s="8" t="s">
        <v>1396</v>
      </c>
      <c r="G317" s="8" t="s">
        <v>721</v>
      </c>
      <c r="H317" s="8">
        <v>0</v>
      </c>
      <c r="I317" s="8" t="str">
        <f t="shared" si="9"/>
        <v>1316,'LICENCIATURA','IDIOMAS','TIDIOMAS_7','GARIBAY GARCIA GABRIELA','IDIOMAS 4','FEMENINO',0</v>
      </c>
      <c r="J317" s="8" t="str">
        <f t="shared" si="10"/>
        <v>INSERT INTO profesores (id,nivel,carrera,grupo,nombre,materia,sexo,sello) VALUES (1316,'LICENCIATURA','IDIOMAS','TIDIOMAS_7','GARIBAY GARCIA GABRIELA','IDIOMAS 4','FEMENINO',0);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</vt:lpstr>
      <vt:lpstr>Hoja1</vt:lpstr>
      <vt:lpstr>Participantes</vt:lpstr>
      <vt:lpstr>Materias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2026-03-23T16:04:42Z</dcterms:modified>
</cp:coreProperties>
</file>